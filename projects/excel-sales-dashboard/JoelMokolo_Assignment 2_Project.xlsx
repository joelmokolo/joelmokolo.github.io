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JOELM\Documents\STUDY\Data Analytics\Excel\lesson materials\Assignments\Assignment 2 - Project\"/>
    </mc:Choice>
  </mc:AlternateContent>
  <xr:revisionPtr revIDLastSave="0" documentId="13_ncr:1_{AED2311C-0770-45CD-A28E-E506AC085A5D}" xr6:coauthVersionLast="47" xr6:coauthVersionMax="47" xr10:uidLastSave="{00000000-0000-0000-0000-000000000000}"/>
  <bookViews>
    <workbookView xWindow="-110" yWindow="-110" windowWidth="19420" windowHeight="10300" activeTab="3" xr2:uid="{00000000-000D-0000-FFFF-FFFF00000000}"/>
  </bookViews>
  <sheets>
    <sheet name="Sales_Dashboard" sheetId="6" r:id="rId1"/>
    <sheet name="Sales_Pivot" sheetId="3" r:id="rId2"/>
    <sheet name="Sales Data" sheetId="1" r:id="rId3"/>
    <sheet name="Sales_Data2" sheetId="7" r:id="rId4"/>
    <sheet name="QA" sheetId="5" r:id="rId5"/>
    <sheet name="Instructions" sheetId="2" r:id="rId6"/>
  </sheets>
  <definedNames>
    <definedName name="ExternalData_1" localSheetId="3" hidden="1">Sales_Data2!$A$1:$R$2099</definedName>
    <definedName name="NativeTimeline_Date">#N/A</definedName>
    <definedName name="Slicer_Customer_Type">#N/A</definedName>
    <definedName name="Slicer_Product">#N/A</definedName>
    <definedName name="Slicer_Sales_Rep">#N/A</definedName>
  </definedNames>
  <calcPr calcId="191029"/>
  <pivotCaches>
    <pivotCache cacheId="18"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 i="5" l="1"/>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C2102" i="5"/>
  <c r="D2102" i="5"/>
  <c r="E2102" i="5"/>
  <c r="F2102" i="5"/>
  <c r="G2102" i="5"/>
  <c r="H2102" i="5"/>
  <c r="I2102" i="5"/>
  <c r="J2102" i="5"/>
  <c r="K2102" i="5"/>
  <c r="L2102" i="5"/>
  <c r="M2102" i="5"/>
  <c r="N2102" i="5"/>
  <c r="O2102" i="5"/>
  <c r="P2102" i="5"/>
  <c r="B2102" i="5"/>
  <c r="A2102" i="5"/>
  <c r="L2099" i="5"/>
  <c r="K2099" i="5"/>
  <c r="L2098" i="5"/>
  <c r="K2098" i="5"/>
  <c r="O2098" i="5" s="1"/>
  <c r="L2097" i="5"/>
  <c r="K2097" i="5"/>
  <c r="O2097" i="5" s="1"/>
  <c r="L2096" i="5"/>
  <c r="K2096" i="5"/>
  <c r="O2096" i="5" s="1"/>
  <c r="L2095" i="5"/>
  <c r="K2095" i="5"/>
  <c r="L2094" i="5"/>
  <c r="K2094" i="5"/>
  <c r="L2093" i="5"/>
  <c r="K2093" i="5"/>
  <c r="O2093" i="5" s="1"/>
  <c r="L2092" i="5"/>
  <c r="K2092" i="5"/>
  <c r="O2092" i="5" s="1"/>
  <c r="L2091" i="5"/>
  <c r="K2091" i="5"/>
  <c r="L2090" i="5"/>
  <c r="K2090" i="5"/>
  <c r="L2089" i="5"/>
  <c r="K2089" i="5"/>
  <c r="M2089" i="5" s="1"/>
  <c r="L2088" i="5"/>
  <c r="K2088" i="5"/>
  <c r="O2088" i="5" s="1"/>
  <c r="L2087" i="5"/>
  <c r="K2087" i="5"/>
  <c r="L2086" i="5"/>
  <c r="K2086" i="5"/>
  <c r="O2086" i="5" s="1"/>
  <c r="L2085" i="5"/>
  <c r="K2085" i="5"/>
  <c r="O2085" i="5" s="1"/>
  <c r="L2084" i="5"/>
  <c r="K2084" i="5"/>
  <c r="O2084" i="5" s="1"/>
  <c r="L2083" i="5"/>
  <c r="K2083" i="5"/>
  <c r="L2082" i="5"/>
  <c r="K2082" i="5"/>
  <c r="L2081" i="5"/>
  <c r="K2081" i="5"/>
  <c r="O2081" i="5" s="1"/>
  <c r="L2080" i="5"/>
  <c r="K2080" i="5"/>
  <c r="O2080" i="5" s="1"/>
  <c r="L2079" i="5"/>
  <c r="K2079" i="5"/>
  <c r="L2078" i="5"/>
  <c r="K2078" i="5"/>
  <c r="M2078" i="5" s="1"/>
  <c r="L2077" i="5"/>
  <c r="K2077" i="5"/>
  <c r="O2077" i="5" s="1"/>
  <c r="L2076" i="5"/>
  <c r="K2076" i="5"/>
  <c r="O2076" i="5" s="1"/>
  <c r="L2075" i="5"/>
  <c r="K2075" i="5"/>
  <c r="L2074" i="5"/>
  <c r="K2074" i="5"/>
  <c r="M2074" i="5" s="1"/>
  <c r="L2073" i="5"/>
  <c r="K2073" i="5"/>
  <c r="L2072" i="5"/>
  <c r="K2072" i="5"/>
  <c r="O2072" i="5" s="1"/>
  <c r="L2071" i="5"/>
  <c r="K2071" i="5"/>
  <c r="L2070" i="5"/>
  <c r="K2070" i="5"/>
  <c r="O2070" i="5" s="1"/>
  <c r="L2069" i="5"/>
  <c r="K2069" i="5"/>
  <c r="O2069" i="5" s="1"/>
  <c r="L2068" i="5"/>
  <c r="K2068" i="5"/>
  <c r="L2067" i="5"/>
  <c r="K2067" i="5"/>
  <c r="L2066" i="5"/>
  <c r="K2066" i="5"/>
  <c r="M2066" i="5" s="1"/>
  <c r="L2065" i="5"/>
  <c r="K2065" i="5"/>
  <c r="O2065" i="5" s="1"/>
  <c r="L2064" i="5"/>
  <c r="K2064" i="5"/>
  <c r="O2064" i="5" s="1"/>
  <c r="L2063" i="5"/>
  <c r="K2063" i="5"/>
  <c r="L2062" i="5"/>
  <c r="K2062" i="5"/>
  <c r="M2062" i="5" s="1"/>
  <c r="L2061" i="5"/>
  <c r="K2061" i="5"/>
  <c r="O2061" i="5" s="1"/>
  <c r="L2060" i="5"/>
  <c r="K2060" i="5"/>
  <c r="L2059" i="5"/>
  <c r="K2059" i="5"/>
  <c r="L2058" i="5"/>
  <c r="K2058" i="5"/>
  <c r="M2058" i="5" s="1"/>
  <c r="L2057" i="5"/>
  <c r="K2057" i="5"/>
  <c r="O2057" i="5" s="1"/>
  <c r="L2056" i="5"/>
  <c r="K2056" i="5"/>
  <c r="O2056" i="5" s="1"/>
  <c r="L2055" i="5"/>
  <c r="K2055" i="5"/>
  <c r="L2054" i="5"/>
  <c r="K2054" i="5"/>
  <c r="M2054" i="5" s="1"/>
  <c r="L2053" i="5"/>
  <c r="K2053" i="5"/>
  <c r="L2052" i="5"/>
  <c r="K2052" i="5"/>
  <c r="L2051" i="5"/>
  <c r="K2051" i="5"/>
  <c r="L2050" i="5"/>
  <c r="K2050" i="5"/>
  <c r="M2050" i="5" s="1"/>
  <c r="L2049" i="5"/>
  <c r="K2049" i="5"/>
  <c r="O2049" i="5" s="1"/>
  <c r="L2048" i="5"/>
  <c r="K2048" i="5"/>
  <c r="O2048" i="5" s="1"/>
  <c r="L2047" i="5"/>
  <c r="K2047" i="5"/>
  <c r="L2046" i="5"/>
  <c r="K2046" i="5"/>
  <c r="O2045" i="5"/>
  <c r="L2045" i="5"/>
  <c r="K2045" i="5"/>
  <c r="M2045" i="5" s="1"/>
  <c r="L2044" i="5"/>
  <c r="K2044" i="5"/>
  <c r="O2044" i="5" s="1"/>
  <c r="L2043" i="5"/>
  <c r="K2043" i="5"/>
  <c r="L2042" i="5"/>
  <c r="K2042" i="5"/>
  <c r="M2042" i="5" s="1"/>
  <c r="L2041" i="5"/>
  <c r="K2041" i="5"/>
  <c r="L2040" i="5"/>
  <c r="K2040" i="5"/>
  <c r="O2040" i="5" s="1"/>
  <c r="L2039" i="5"/>
  <c r="K2039" i="5"/>
  <c r="L2038" i="5"/>
  <c r="K2038" i="5"/>
  <c r="M2038" i="5" s="1"/>
  <c r="L2037" i="5"/>
  <c r="K2037" i="5"/>
  <c r="O2037" i="5" s="1"/>
  <c r="L2036" i="5"/>
  <c r="K2036" i="5"/>
  <c r="O2036" i="5" s="1"/>
  <c r="L2035" i="5"/>
  <c r="K2035" i="5"/>
  <c r="L2034" i="5"/>
  <c r="K2034" i="5"/>
  <c r="M2034" i="5" s="1"/>
  <c r="L2033" i="5"/>
  <c r="K2033" i="5"/>
  <c r="M2033" i="5" s="1"/>
  <c r="L2032" i="5"/>
  <c r="K2032" i="5"/>
  <c r="O2032" i="5" s="1"/>
  <c r="L2031" i="5"/>
  <c r="K2031" i="5"/>
  <c r="L2030" i="5"/>
  <c r="K2030" i="5"/>
  <c r="L2029" i="5"/>
  <c r="K2029" i="5"/>
  <c r="O2029" i="5" s="1"/>
  <c r="L2028" i="5"/>
  <c r="K2028" i="5"/>
  <c r="O2028" i="5" s="1"/>
  <c r="L2027" i="5"/>
  <c r="K2027" i="5"/>
  <c r="L2026" i="5"/>
  <c r="K2026" i="5"/>
  <c r="M2026" i="5" s="1"/>
  <c r="L2025" i="5"/>
  <c r="K2025" i="5"/>
  <c r="O2025" i="5" s="1"/>
  <c r="L2024" i="5"/>
  <c r="K2024" i="5"/>
  <c r="O2024" i="5" s="1"/>
  <c r="L2023" i="5"/>
  <c r="K2023" i="5"/>
  <c r="O2023" i="5" s="1"/>
  <c r="L2022" i="5"/>
  <c r="K2022" i="5"/>
  <c r="M2022" i="5" s="1"/>
  <c r="L2021" i="5"/>
  <c r="K2021" i="5"/>
  <c r="O2021" i="5" s="1"/>
  <c r="L2020" i="5"/>
  <c r="K2020" i="5"/>
  <c r="O2020" i="5" s="1"/>
  <c r="L2019" i="5"/>
  <c r="K2019" i="5"/>
  <c r="L2018" i="5"/>
  <c r="K2018" i="5"/>
  <c r="L2017" i="5"/>
  <c r="K2017" i="5"/>
  <c r="M2017" i="5" s="1"/>
  <c r="L2016" i="5"/>
  <c r="K2016" i="5"/>
  <c r="O2016" i="5" s="1"/>
  <c r="L2015" i="5"/>
  <c r="K2015" i="5"/>
  <c r="L2014" i="5"/>
  <c r="K2014" i="5"/>
  <c r="L2013" i="5"/>
  <c r="K2013" i="5"/>
  <c r="M2013" i="5" s="1"/>
  <c r="L2012" i="5"/>
  <c r="K2012" i="5"/>
  <c r="O2012" i="5" s="1"/>
  <c r="L2011" i="5"/>
  <c r="K2011" i="5"/>
  <c r="L2010" i="5"/>
  <c r="K2010" i="5"/>
  <c r="O2010" i="5" s="1"/>
  <c r="L2009" i="5"/>
  <c r="K2009" i="5"/>
  <c r="L2008" i="5"/>
  <c r="K2008" i="5"/>
  <c r="O2008" i="5" s="1"/>
  <c r="L2007" i="5"/>
  <c r="K2007" i="5"/>
  <c r="M2007" i="5" s="1"/>
  <c r="L2006" i="5"/>
  <c r="K2006" i="5"/>
  <c r="O2006" i="5" s="1"/>
  <c r="L2005" i="5"/>
  <c r="K2005" i="5"/>
  <c r="O2005" i="5" s="1"/>
  <c r="L2004" i="5"/>
  <c r="K2004" i="5"/>
  <c r="O2004" i="5" s="1"/>
  <c r="L2003" i="5"/>
  <c r="K2003" i="5"/>
  <c r="M2003" i="5" s="1"/>
  <c r="L2002" i="5"/>
  <c r="K2002" i="5"/>
  <c r="L2001" i="5"/>
  <c r="K2001" i="5"/>
  <c r="L2000" i="5"/>
  <c r="K2000" i="5"/>
  <c r="M2000" i="5" s="1"/>
  <c r="L1999" i="5"/>
  <c r="K1999" i="5"/>
  <c r="O1999" i="5" s="1"/>
  <c r="L1998" i="5"/>
  <c r="K1998" i="5"/>
  <c r="O1998" i="5" s="1"/>
  <c r="L1997" i="5"/>
  <c r="K1997" i="5"/>
  <c r="O1997" i="5" s="1"/>
  <c r="L1996" i="5"/>
  <c r="K1996" i="5"/>
  <c r="L1995" i="5"/>
  <c r="K1995" i="5"/>
  <c r="L1994" i="5"/>
  <c r="K1994" i="5"/>
  <c r="L1993" i="5"/>
  <c r="K1993" i="5"/>
  <c r="L1992" i="5"/>
  <c r="K1992" i="5"/>
  <c r="L1991" i="5"/>
  <c r="K1991" i="5"/>
  <c r="O1991" i="5" s="1"/>
  <c r="L1990" i="5"/>
  <c r="K1990" i="5"/>
  <c r="O1990" i="5" s="1"/>
  <c r="L1989" i="5"/>
  <c r="K1989" i="5"/>
  <c r="O1989" i="5" s="1"/>
  <c r="L1988" i="5"/>
  <c r="K1988" i="5"/>
  <c r="O1988" i="5" s="1"/>
  <c r="L1987" i="5"/>
  <c r="K1987" i="5"/>
  <c r="M1987" i="5" s="1"/>
  <c r="L1986" i="5"/>
  <c r="K1986" i="5"/>
  <c r="L1985" i="5"/>
  <c r="K1985" i="5"/>
  <c r="L1984" i="5"/>
  <c r="K1984" i="5"/>
  <c r="L1983" i="5"/>
  <c r="K1983" i="5"/>
  <c r="O1983" i="5" s="1"/>
  <c r="L1982" i="5"/>
  <c r="K1982" i="5"/>
  <c r="O1982" i="5" s="1"/>
  <c r="L1981" i="5"/>
  <c r="K1981" i="5"/>
  <c r="O1981" i="5" s="1"/>
  <c r="L1980" i="5"/>
  <c r="K1980" i="5"/>
  <c r="O1980" i="5" s="1"/>
  <c r="L1979" i="5"/>
  <c r="K1979" i="5"/>
  <c r="L1978" i="5"/>
  <c r="K1978" i="5"/>
  <c r="M1978" i="5" s="1"/>
  <c r="L1977" i="5"/>
  <c r="K1977" i="5"/>
  <c r="O1977" i="5" s="1"/>
  <c r="L1976" i="5"/>
  <c r="K1976" i="5"/>
  <c r="M1976" i="5" s="1"/>
  <c r="L1975" i="5"/>
  <c r="K1975" i="5"/>
  <c r="O1975" i="5" s="1"/>
  <c r="L1974" i="5"/>
  <c r="K1974" i="5"/>
  <c r="O1974" i="5" s="1"/>
  <c r="L1973" i="5"/>
  <c r="K1973" i="5"/>
  <c r="O1973" i="5" s="1"/>
  <c r="L1972" i="5"/>
  <c r="K1972" i="5"/>
  <c r="L1971" i="5"/>
  <c r="K1971" i="5"/>
  <c r="L1970" i="5"/>
  <c r="K1970" i="5"/>
  <c r="O1970" i="5" s="1"/>
  <c r="L1969" i="5"/>
  <c r="K1969" i="5"/>
  <c r="M1969" i="5" s="1"/>
  <c r="L1968" i="5"/>
  <c r="K1968" i="5"/>
  <c r="L1967" i="5"/>
  <c r="K1967" i="5"/>
  <c r="O1967" i="5" s="1"/>
  <c r="L1966" i="5"/>
  <c r="K1966" i="5"/>
  <c r="O1966" i="5" s="1"/>
  <c r="L1965" i="5"/>
  <c r="K1965" i="5"/>
  <c r="O1965" i="5" s="1"/>
  <c r="L1964" i="5"/>
  <c r="K1964" i="5"/>
  <c r="L1963" i="5"/>
  <c r="K1963" i="5"/>
  <c r="M1963" i="5" s="1"/>
  <c r="L1962" i="5"/>
  <c r="K1962" i="5"/>
  <c r="M1962" i="5" s="1"/>
  <c r="L1961" i="5"/>
  <c r="K1961" i="5"/>
  <c r="O1961" i="5" s="1"/>
  <c r="L1960" i="5"/>
  <c r="K1960" i="5"/>
  <c r="O1960" i="5" s="1"/>
  <c r="L1959" i="5"/>
  <c r="K1959" i="5"/>
  <c r="L1958" i="5"/>
  <c r="K1958" i="5"/>
  <c r="O1958" i="5" s="1"/>
  <c r="L1957" i="5"/>
  <c r="K1957" i="5"/>
  <c r="O1957" i="5" s="1"/>
  <c r="L1956" i="5"/>
  <c r="K1956" i="5"/>
  <c r="M1956" i="5" s="1"/>
  <c r="L1955" i="5"/>
  <c r="K1955" i="5"/>
  <c r="M1955" i="5" s="1"/>
  <c r="L1954" i="5"/>
  <c r="K1954" i="5"/>
  <c r="O1954" i="5" s="1"/>
  <c r="L1953" i="5"/>
  <c r="K1953" i="5"/>
  <c r="M1953" i="5" s="1"/>
  <c r="O1952" i="5"/>
  <c r="L1952" i="5"/>
  <c r="K1952" i="5"/>
  <c r="M1952" i="5" s="1"/>
  <c r="L1951" i="5"/>
  <c r="K1951" i="5"/>
  <c r="O1951" i="5" s="1"/>
  <c r="L1950" i="5"/>
  <c r="K1950" i="5"/>
  <c r="O1950" i="5" s="1"/>
  <c r="L1949" i="5"/>
  <c r="K1949" i="5"/>
  <c r="O1949" i="5" s="1"/>
  <c r="L1948" i="5"/>
  <c r="K1948" i="5"/>
  <c r="O1948" i="5" s="1"/>
  <c r="L1947" i="5"/>
  <c r="K1947" i="5"/>
  <c r="L1946" i="5"/>
  <c r="K1946" i="5"/>
  <c r="M1946" i="5" s="1"/>
  <c r="L1945" i="5"/>
  <c r="K1945" i="5"/>
  <c r="O1945" i="5" s="1"/>
  <c r="L1944" i="5"/>
  <c r="K1944" i="5"/>
  <c r="L1943" i="5"/>
  <c r="K1943" i="5"/>
  <c r="M1943" i="5" s="1"/>
  <c r="L1942" i="5"/>
  <c r="K1942" i="5"/>
  <c r="O1942" i="5" s="1"/>
  <c r="L1941" i="5"/>
  <c r="K1941" i="5"/>
  <c r="O1941" i="5" s="1"/>
  <c r="L1940" i="5"/>
  <c r="K1940" i="5"/>
  <c r="M1940" i="5" s="1"/>
  <c r="L1939" i="5"/>
  <c r="K1939" i="5"/>
  <c r="M1939" i="5" s="1"/>
  <c r="L1938" i="5"/>
  <c r="K1938" i="5"/>
  <c r="L1937" i="5"/>
  <c r="K1937" i="5"/>
  <c r="O1937" i="5" s="1"/>
  <c r="L1936" i="5"/>
  <c r="K1936" i="5"/>
  <c r="M1936" i="5" s="1"/>
  <c r="L1935" i="5"/>
  <c r="K1935" i="5"/>
  <c r="M1935" i="5" s="1"/>
  <c r="L1934" i="5"/>
  <c r="K1934" i="5"/>
  <c r="L1933" i="5"/>
  <c r="K1933" i="5"/>
  <c r="O1933" i="5" s="1"/>
  <c r="L1932" i="5"/>
  <c r="K1932" i="5"/>
  <c r="O1932" i="5" s="1"/>
  <c r="L1931" i="5"/>
  <c r="K1931" i="5"/>
  <c r="M1931" i="5" s="1"/>
  <c r="L1930" i="5"/>
  <c r="K1930" i="5"/>
  <c r="O1930" i="5" s="1"/>
  <c r="L1929" i="5"/>
  <c r="K1929" i="5"/>
  <c r="O1929" i="5" s="1"/>
  <c r="L1928" i="5"/>
  <c r="K1928" i="5"/>
  <c r="O1928" i="5" s="1"/>
  <c r="L1927" i="5"/>
  <c r="K1927" i="5"/>
  <c r="L1926" i="5"/>
  <c r="K1926" i="5"/>
  <c r="M1926" i="5" s="1"/>
  <c r="L1925" i="5"/>
  <c r="K1925" i="5"/>
  <c r="O1925" i="5" s="1"/>
  <c r="L1924" i="5"/>
  <c r="K1924" i="5"/>
  <c r="O1924" i="5" s="1"/>
  <c r="L1923" i="5"/>
  <c r="K1923" i="5"/>
  <c r="O1923" i="5" s="1"/>
  <c r="L1922" i="5"/>
  <c r="K1922" i="5"/>
  <c r="O1922" i="5" s="1"/>
  <c r="L1921" i="5"/>
  <c r="K1921" i="5"/>
  <c r="O1921" i="5" s="1"/>
  <c r="L1920" i="5"/>
  <c r="K1920" i="5"/>
  <c r="L1919" i="5"/>
  <c r="K1919" i="5"/>
  <c r="M1919" i="5" s="1"/>
  <c r="L1918" i="5"/>
  <c r="K1918" i="5"/>
  <c r="O1918" i="5" s="1"/>
  <c r="L1917" i="5"/>
  <c r="K1917" i="5"/>
  <c r="O1917" i="5" s="1"/>
  <c r="L1916" i="5"/>
  <c r="K1916" i="5"/>
  <c r="O1916" i="5" s="1"/>
  <c r="L1915" i="5"/>
  <c r="K1915" i="5"/>
  <c r="M1915" i="5" s="1"/>
  <c r="L1914" i="5"/>
  <c r="K1914" i="5"/>
  <c r="O1914" i="5" s="1"/>
  <c r="L1913" i="5"/>
  <c r="K1913" i="5"/>
  <c r="O1913" i="5" s="1"/>
  <c r="L1912" i="5"/>
  <c r="K1912" i="5"/>
  <c r="O1912" i="5" s="1"/>
  <c r="L1911" i="5"/>
  <c r="K1911" i="5"/>
  <c r="O1911" i="5" s="1"/>
  <c r="L1910" i="5"/>
  <c r="K1910" i="5"/>
  <c r="L1909" i="5"/>
  <c r="K1909" i="5"/>
  <c r="O1909" i="5" s="1"/>
  <c r="L1908" i="5"/>
  <c r="K1908" i="5"/>
  <c r="O1908" i="5" s="1"/>
  <c r="L1907" i="5"/>
  <c r="K1907" i="5"/>
  <c r="O1907" i="5" s="1"/>
  <c r="L1906" i="5"/>
  <c r="K1906" i="5"/>
  <c r="L1905" i="5"/>
  <c r="K1905" i="5"/>
  <c r="O1905" i="5" s="1"/>
  <c r="L1904" i="5"/>
  <c r="K1904" i="5"/>
  <c r="L1903" i="5"/>
  <c r="K1903" i="5"/>
  <c r="M1903" i="5" s="1"/>
  <c r="L1902" i="5"/>
  <c r="K1902" i="5"/>
  <c r="O1902" i="5" s="1"/>
  <c r="L1901" i="5"/>
  <c r="K1901" i="5"/>
  <c r="L1900" i="5"/>
  <c r="K1900" i="5"/>
  <c r="O1900" i="5" s="1"/>
  <c r="L1899" i="5"/>
  <c r="K1899" i="5"/>
  <c r="O1899" i="5" s="1"/>
  <c r="L1898" i="5"/>
  <c r="K1898" i="5"/>
  <c r="L1897" i="5"/>
  <c r="K1897" i="5"/>
  <c r="M1897" i="5" s="1"/>
  <c r="L1896" i="5"/>
  <c r="K1896" i="5"/>
  <c r="O1896" i="5" s="1"/>
  <c r="L1895" i="5"/>
  <c r="K1895" i="5"/>
  <c r="M1895" i="5" s="1"/>
  <c r="L1894" i="5"/>
  <c r="K1894" i="5"/>
  <c r="M1894" i="5" s="1"/>
  <c r="L1893" i="5"/>
  <c r="K1893" i="5"/>
  <c r="O1893" i="5" s="1"/>
  <c r="L1892" i="5"/>
  <c r="K1892" i="5"/>
  <c r="O1892" i="5" s="1"/>
  <c r="L1891" i="5"/>
  <c r="K1891" i="5"/>
  <c r="O1891" i="5" s="1"/>
  <c r="L1890" i="5"/>
  <c r="K1890" i="5"/>
  <c r="O1890" i="5" s="1"/>
  <c r="L1889" i="5"/>
  <c r="K1889" i="5"/>
  <c r="L1888" i="5"/>
  <c r="K1888" i="5"/>
  <c r="O1888" i="5" s="1"/>
  <c r="L1887" i="5"/>
  <c r="K1887" i="5"/>
  <c r="M1887" i="5" s="1"/>
  <c r="L1886" i="5"/>
  <c r="K1886" i="5"/>
  <c r="O1886" i="5" s="1"/>
  <c r="L1885" i="5"/>
  <c r="K1885" i="5"/>
  <c r="O1885" i="5" s="1"/>
  <c r="L1884" i="5"/>
  <c r="K1884" i="5"/>
  <c r="O1884" i="5" s="1"/>
  <c r="L1883" i="5"/>
  <c r="K1883" i="5"/>
  <c r="M1883" i="5" s="1"/>
  <c r="L1882" i="5"/>
  <c r="K1882" i="5"/>
  <c r="L1881" i="5"/>
  <c r="K1881" i="5"/>
  <c r="O1881" i="5" s="1"/>
  <c r="L1880" i="5"/>
  <c r="K1880" i="5"/>
  <c r="O1880" i="5" s="1"/>
  <c r="L1879" i="5"/>
  <c r="K1879" i="5"/>
  <c r="M1879" i="5" s="1"/>
  <c r="L1878" i="5"/>
  <c r="K1878" i="5"/>
  <c r="O1878" i="5" s="1"/>
  <c r="L1877" i="5"/>
  <c r="K1877" i="5"/>
  <c r="L1876" i="5"/>
  <c r="K1876" i="5"/>
  <c r="L1875" i="5"/>
  <c r="K1875" i="5"/>
  <c r="O1875" i="5" s="1"/>
  <c r="L1874" i="5"/>
  <c r="K1874" i="5"/>
  <c r="M1874" i="5" s="1"/>
  <c r="L1873" i="5"/>
  <c r="K1873" i="5"/>
  <c r="O1873" i="5" s="1"/>
  <c r="L1872" i="5"/>
  <c r="K1872" i="5"/>
  <c r="M1872" i="5" s="1"/>
  <c r="L1871" i="5"/>
  <c r="K1871" i="5"/>
  <c r="M1871" i="5" s="1"/>
  <c r="L1870" i="5"/>
  <c r="K1870" i="5"/>
  <c r="L1869" i="5"/>
  <c r="K1869" i="5"/>
  <c r="O1869" i="5" s="1"/>
  <c r="L1868" i="5"/>
  <c r="K1868" i="5"/>
  <c r="L1867" i="5"/>
  <c r="K1867" i="5"/>
  <c r="O1867" i="5" s="1"/>
  <c r="L1866" i="5"/>
  <c r="K1866" i="5"/>
  <c r="O1866" i="5" s="1"/>
  <c r="L1865" i="5"/>
  <c r="K1865" i="5"/>
  <c r="L1864" i="5"/>
  <c r="K1864" i="5"/>
  <c r="O1864" i="5" s="1"/>
  <c r="L1863" i="5"/>
  <c r="K1863" i="5"/>
  <c r="O1863" i="5" s="1"/>
  <c r="L1862" i="5"/>
  <c r="K1862" i="5"/>
  <c r="O1862" i="5" s="1"/>
  <c r="L1861" i="5"/>
  <c r="K1861" i="5"/>
  <c r="L1860" i="5"/>
  <c r="K1860" i="5"/>
  <c r="L1859" i="5"/>
  <c r="K1859" i="5"/>
  <c r="M1859" i="5" s="1"/>
  <c r="L1858" i="5"/>
  <c r="K1858" i="5"/>
  <c r="O1858" i="5" s="1"/>
  <c r="L1857" i="5"/>
  <c r="K1857" i="5"/>
  <c r="L1856" i="5"/>
  <c r="K1856" i="5"/>
  <c r="M1856" i="5" s="1"/>
  <c r="L1855" i="5"/>
  <c r="K1855" i="5"/>
  <c r="L1854" i="5"/>
  <c r="K1854" i="5"/>
  <c r="O1854" i="5" s="1"/>
  <c r="L1853" i="5"/>
  <c r="K1853" i="5"/>
  <c r="L1852" i="5"/>
  <c r="K1852" i="5"/>
  <c r="O1852" i="5" s="1"/>
  <c r="L1851" i="5"/>
  <c r="K1851" i="5"/>
  <c r="M1851" i="5" s="1"/>
  <c r="L1850" i="5"/>
  <c r="K1850" i="5"/>
  <c r="L1849" i="5"/>
  <c r="K1849" i="5"/>
  <c r="L1848" i="5"/>
  <c r="K1848" i="5"/>
  <c r="L1847" i="5"/>
  <c r="K1847" i="5"/>
  <c r="O1847" i="5" s="1"/>
  <c r="L1846" i="5"/>
  <c r="K1846" i="5"/>
  <c r="O1846" i="5" s="1"/>
  <c r="L1845" i="5"/>
  <c r="K1845" i="5"/>
  <c r="L1844" i="5"/>
  <c r="K1844" i="5"/>
  <c r="M1844" i="5" s="1"/>
  <c r="L1843" i="5"/>
  <c r="K1843" i="5"/>
  <c r="M1843" i="5" s="1"/>
  <c r="L1842" i="5"/>
  <c r="K1842" i="5"/>
  <c r="O1842" i="5" s="1"/>
  <c r="L1841" i="5"/>
  <c r="K1841" i="5"/>
  <c r="L1840" i="5"/>
  <c r="K1840" i="5"/>
  <c r="L1839" i="5"/>
  <c r="K1839" i="5"/>
  <c r="L1838" i="5"/>
  <c r="K1838" i="5"/>
  <c r="O1838" i="5" s="1"/>
  <c r="L1837" i="5"/>
  <c r="K1837" i="5"/>
  <c r="L1836" i="5"/>
  <c r="K1836" i="5"/>
  <c r="L1835" i="5"/>
  <c r="K1835" i="5"/>
  <c r="O1835" i="5" s="1"/>
  <c r="L1834" i="5"/>
  <c r="K1834" i="5"/>
  <c r="O1834" i="5" s="1"/>
  <c r="L1833" i="5"/>
  <c r="K1833" i="5"/>
  <c r="L1832" i="5"/>
  <c r="K1832" i="5"/>
  <c r="O1832" i="5" s="1"/>
  <c r="L1831" i="5"/>
  <c r="K1831" i="5"/>
  <c r="O1831" i="5" s="1"/>
  <c r="L1830" i="5"/>
  <c r="K1830" i="5"/>
  <c r="O1830" i="5" s="1"/>
  <c r="L1829" i="5"/>
  <c r="K1829" i="5"/>
  <c r="L1828" i="5"/>
  <c r="K1828" i="5"/>
  <c r="O1828" i="5" s="1"/>
  <c r="L1827" i="5"/>
  <c r="K1827" i="5"/>
  <c r="L1826" i="5"/>
  <c r="K1826" i="5"/>
  <c r="O1826" i="5" s="1"/>
  <c r="L1825" i="5"/>
  <c r="K1825" i="5"/>
  <c r="M1825" i="5" s="1"/>
  <c r="L1824" i="5"/>
  <c r="K1824" i="5"/>
  <c r="O1824" i="5" s="1"/>
  <c r="L1823" i="5"/>
  <c r="K1823" i="5"/>
  <c r="O1823" i="5" s="1"/>
  <c r="L1822" i="5"/>
  <c r="K1822" i="5"/>
  <c r="O1822" i="5" s="1"/>
  <c r="L1821" i="5"/>
  <c r="K1821" i="5"/>
  <c r="L1820" i="5"/>
  <c r="K1820" i="5"/>
  <c r="M1820" i="5" s="1"/>
  <c r="L1819" i="5"/>
  <c r="K1819" i="5"/>
  <c r="L1818" i="5"/>
  <c r="K1818" i="5"/>
  <c r="O1818" i="5" s="1"/>
  <c r="L1817" i="5"/>
  <c r="K1817" i="5"/>
  <c r="M1817" i="5" s="1"/>
  <c r="L1816" i="5"/>
  <c r="K1816" i="5"/>
  <c r="O1816" i="5" s="1"/>
  <c r="L1815" i="5"/>
  <c r="K1815" i="5"/>
  <c r="O1815" i="5" s="1"/>
  <c r="L1814" i="5"/>
  <c r="K1814" i="5"/>
  <c r="L1813" i="5"/>
  <c r="K1813" i="5"/>
  <c r="M1813" i="5" s="1"/>
  <c r="L1812" i="5"/>
  <c r="K1812" i="5"/>
  <c r="M1812" i="5" s="1"/>
  <c r="L1811" i="5"/>
  <c r="K1811" i="5"/>
  <c r="O1811" i="5" s="1"/>
  <c r="L1810" i="5"/>
  <c r="K1810" i="5"/>
  <c r="O1810" i="5" s="1"/>
  <c r="L1809" i="5"/>
  <c r="K1809" i="5"/>
  <c r="L1808" i="5"/>
  <c r="K1808" i="5"/>
  <c r="M1808" i="5" s="1"/>
  <c r="L1807" i="5"/>
  <c r="K1807" i="5"/>
  <c r="O1807" i="5" s="1"/>
  <c r="L1806" i="5"/>
  <c r="K1806" i="5"/>
  <c r="O1806" i="5" s="1"/>
  <c r="L1805" i="5"/>
  <c r="K1805" i="5"/>
  <c r="M1805" i="5" s="1"/>
  <c r="L1804" i="5"/>
  <c r="K1804" i="5"/>
  <c r="L1803" i="5"/>
  <c r="K1803" i="5"/>
  <c r="O1803" i="5" s="1"/>
  <c r="L1802" i="5"/>
  <c r="K1802" i="5"/>
  <c r="O1802" i="5" s="1"/>
  <c r="L1801" i="5"/>
  <c r="K1801" i="5"/>
  <c r="L1800" i="5"/>
  <c r="K1800" i="5"/>
  <c r="M1800" i="5" s="1"/>
  <c r="L1799" i="5"/>
  <c r="K1799" i="5"/>
  <c r="O1799" i="5" s="1"/>
  <c r="L1798" i="5"/>
  <c r="K1798" i="5"/>
  <c r="O1798" i="5" s="1"/>
  <c r="L1797" i="5"/>
  <c r="K1797" i="5"/>
  <c r="L1796" i="5"/>
  <c r="K1796" i="5"/>
  <c r="M1796" i="5" s="1"/>
  <c r="L1795" i="5"/>
  <c r="K1795" i="5"/>
  <c r="O1795" i="5" s="1"/>
  <c r="L1794" i="5"/>
  <c r="K1794" i="5"/>
  <c r="O1794" i="5" s="1"/>
  <c r="L1793" i="5"/>
  <c r="K1793" i="5"/>
  <c r="M1793" i="5" s="1"/>
  <c r="L1792" i="5"/>
  <c r="K1792" i="5"/>
  <c r="O1792" i="5" s="1"/>
  <c r="L1791" i="5"/>
  <c r="K1791" i="5"/>
  <c r="O1791" i="5" s="1"/>
  <c r="L1790" i="5"/>
  <c r="K1790" i="5"/>
  <c r="O1790" i="5" s="1"/>
  <c r="L1789" i="5"/>
  <c r="K1789" i="5"/>
  <c r="M1789" i="5" s="1"/>
  <c r="L1788" i="5"/>
  <c r="K1788" i="5"/>
  <c r="L1787" i="5"/>
  <c r="K1787" i="5"/>
  <c r="L1786" i="5"/>
  <c r="K1786" i="5"/>
  <c r="O1786" i="5" s="1"/>
  <c r="L1785" i="5"/>
  <c r="K1785" i="5"/>
  <c r="M1785" i="5" s="1"/>
  <c r="L1784" i="5"/>
  <c r="K1784" i="5"/>
  <c r="L1783" i="5"/>
  <c r="K1783" i="5"/>
  <c r="L1782" i="5"/>
  <c r="K1782" i="5"/>
  <c r="L1781" i="5"/>
  <c r="K1781" i="5"/>
  <c r="M1781" i="5" s="1"/>
  <c r="L1780" i="5"/>
  <c r="K1780" i="5"/>
  <c r="M1780" i="5" s="1"/>
  <c r="L1779" i="5"/>
  <c r="K1779" i="5"/>
  <c r="L1778" i="5"/>
  <c r="K1778" i="5"/>
  <c r="L1777" i="5"/>
  <c r="K1777" i="5"/>
  <c r="M1777" i="5" s="1"/>
  <c r="L1776" i="5"/>
  <c r="K1776" i="5"/>
  <c r="M1776" i="5" s="1"/>
  <c r="L1775" i="5"/>
  <c r="K1775" i="5"/>
  <c r="L1774" i="5"/>
  <c r="K1774" i="5"/>
  <c r="L1773" i="5"/>
  <c r="K1773" i="5"/>
  <c r="M1773" i="5" s="1"/>
  <c r="L1772" i="5"/>
  <c r="K1772" i="5"/>
  <c r="O1772" i="5" s="1"/>
  <c r="L1771" i="5"/>
  <c r="K1771" i="5"/>
  <c r="M1771" i="5" s="1"/>
  <c r="L1770" i="5"/>
  <c r="K1770" i="5"/>
  <c r="L1769" i="5"/>
  <c r="K1769" i="5"/>
  <c r="M1769" i="5" s="1"/>
  <c r="L1768" i="5"/>
  <c r="K1768" i="5"/>
  <c r="O1768" i="5" s="1"/>
  <c r="L1767" i="5"/>
  <c r="K1767" i="5"/>
  <c r="M1767" i="5" s="1"/>
  <c r="L1766" i="5"/>
  <c r="K1766" i="5"/>
  <c r="O1766" i="5" s="1"/>
  <c r="L1765" i="5"/>
  <c r="K1765" i="5"/>
  <c r="L1764" i="5"/>
  <c r="K1764" i="5"/>
  <c r="O1764" i="5" s="1"/>
  <c r="L1763" i="5"/>
  <c r="K1763" i="5"/>
  <c r="O1763" i="5" s="1"/>
  <c r="L1762" i="5"/>
  <c r="K1762" i="5"/>
  <c r="L1761" i="5"/>
  <c r="K1761" i="5"/>
  <c r="M1761" i="5" s="1"/>
  <c r="L1760" i="5"/>
  <c r="K1760" i="5"/>
  <c r="L1759" i="5"/>
  <c r="K1759" i="5"/>
  <c r="O1759" i="5" s="1"/>
  <c r="L1758" i="5"/>
  <c r="K1758" i="5"/>
  <c r="M1758" i="5" s="1"/>
  <c r="L1757" i="5"/>
  <c r="K1757" i="5"/>
  <c r="O1757" i="5" s="1"/>
  <c r="L1756" i="5"/>
  <c r="K1756" i="5"/>
  <c r="O1756" i="5" s="1"/>
  <c r="L1755" i="5"/>
  <c r="K1755" i="5"/>
  <c r="M1755" i="5" s="1"/>
  <c r="L1754" i="5"/>
  <c r="K1754" i="5"/>
  <c r="O1754" i="5" s="1"/>
  <c r="L1753" i="5"/>
  <c r="K1753" i="5"/>
  <c r="L1752" i="5"/>
  <c r="K1752" i="5"/>
  <c r="O1752" i="5" s="1"/>
  <c r="L1751" i="5"/>
  <c r="K1751" i="5"/>
  <c r="M1751" i="5" s="1"/>
  <c r="L1750" i="5"/>
  <c r="K1750" i="5"/>
  <c r="L1749" i="5"/>
  <c r="K1749" i="5"/>
  <c r="L1748" i="5"/>
  <c r="K1748" i="5"/>
  <c r="O1748" i="5" s="1"/>
  <c r="L1747" i="5"/>
  <c r="K1747" i="5"/>
  <c r="O1747" i="5" s="1"/>
  <c r="L1746" i="5"/>
  <c r="K1746" i="5"/>
  <c r="M1746" i="5" s="1"/>
  <c r="L1745" i="5"/>
  <c r="K1745" i="5"/>
  <c r="M1745" i="5" s="1"/>
  <c r="L1744" i="5"/>
  <c r="K1744" i="5"/>
  <c r="L1743" i="5"/>
  <c r="K1743" i="5"/>
  <c r="L1742" i="5"/>
  <c r="K1742" i="5"/>
  <c r="M1742" i="5" s="1"/>
  <c r="L1741" i="5"/>
  <c r="K1741" i="5"/>
  <c r="O1741" i="5" s="1"/>
  <c r="L1740" i="5"/>
  <c r="K1740" i="5"/>
  <c r="O1740" i="5" s="1"/>
  <c r="L1739" i="5"/>
  <c r="K1739" i="5"/>
  <c r="M1739" i="5" s="1"/>
  <c r="L1738" i="5"/>
  <c r="K1738" i="5"/>
  <c r="O1738" i="5" s="1"/>
  <c r="L1737" i="5"/>
  <c r="K1737" i="5"/>
  <c r="O1737" i="5" s="1"/>
  <c r="L1736" i="5"/>
  <c r="K1736" i="5"/>
  <c r="M1736" i="5" s="1"/>
  <c r="L1735" i="5"/>
  <c r="K1735" i="5"/>
  <c r="M1735" i="5" s="1"/>
  <c r="L1734" i="5"/>
  <c r="K1734" i="5"/>
  <c r="M1734" i="5" s="1"/>
  <c r="L1733" i="5"/>
  <c r="K1733" i="5"/>
  <c r="L1732" i="5"/>
  <c r="K1732" i="5"/>
  <c r="O1732" i="5" s="1"/>
  <c r="L1731" i="5"/>
  <c r="K1731" i="5"/>
  <c r="O1731" i="5" s="1"/>
  <c r="L1730" i="5"/>
  <c r="K1730" i="5"/>
  <c r="L1729" i="5"/>
  <c r="K1729" i="5"/>
  <c r="M1729" i="5" s="1"/>
  <c r="L1728" i="5"/>
  <c r="K1728" i="5"/>
  <c r="L1727" i="5"/>
  <c r="K1727" i="5"/>
  <c r="O1726" i="5"/>
  <c r="L1726" i="5"/>
  <c r="K1726" i="5"/>
  <c r="M1726" i="5" s="1"/>
  <c r="L1725" i="5"/>
  <c r="K1725" i="5"/>
  <c r="O1725" i="5" s="1"/>
  <c r="L1724" i="5"/>
  <c r="K1724" i="5"/>
  <c r="O1724" i="5" s="1"/>
  <c r="L1723" i="5"/>
  <c r="K1723" i="5"/>
  <c r="M1723" i="5" s="1"/>
  <c r="L1722" i="5"/>
  <c r="K1722" i="5"/>
  <c r="L1721" i="5"/>
  <c r="K1721" i="5"/>
  <c r="O1721" i="5" s="1"/>
  <c r="L1720" i="5"/>
  <c r="K1720" i="5"/>
  <c r="L1719" i="5"/>
  <c r="K1719" i="5"/>
  <c r="O1719" i="5" s="1"/>
  <c r="L1718" i="5"/>
  <c r="K1718" i="5"/>
  <c r="O1718" i="5" s="1"/>
  <c r="L1717" i="5"/>
  <c r="K1717" i="5"/>
  <c r="M1717" i="5" s="1"/>
  <c r="L1716" i="5"/>
  <c r="K1716" i="5"/>
  <c r="L1715" i="5"/>
  <c r="K1715" i="5"/>
  <c r="O1715" i="5" s="1"/>
  <c r="L1714" i="5"/>
  <c r="K1714" i="5"/>
  <c r="M1714" i="5" s="1"/>
  <c r="L1713" i="5"/>
  <c r="K1713" i="5"/>
  <c r="O1713" i="5" s="1"/>
  <c r="L1712" i="5"/>
  <c r="K1712" i="5"/>
  <c r="O1712" i="5" s="1"/>
  <c r="L1711" i="5"/>
  <c r="K1711" i="5"/>
  <c r="L1710" i="5"/>
  <c r="K1710" i="5"/>
  <c r="O1710" i="5" s="1"/>
  <c r="L1709" i="5"/>
  <c r="K1709" i="5"/>
  <c r="O1709" i="5" s="1"/>
  <c r="L1708" i="5"/>
  <c r="K1708" i="5"/>
  <c r="L1707" i="5"/>
  <c r="K1707" i="5"/>
  <c r="M1707" i="5" s="1"/>
  <c r="L1706" i="5"/>
  <c r="K1706" i="5"/>
  <c r="O1706" i="5" s="1"/>
  <c r="L1705" i="5"/>
  <c r="K1705" i="5"/>
  <c r="O1705" i="5" s="1"/>
  <c r="L1704" i="5"/>
  <c r="K1704" i="5"/>
  <c r="M1704" i="5" s="1"/>
  <c r="L1703" i="5"/>
  <c r="K1703" i="5"/>
  <c r="O1703" i="5" s="1"/>
  <c r="L1702" i="5"/>
  <c r="K1702" i="5"/>
  <c r="M1702" i="5" s="1"/>
  <c r="L1701" i="5"/>
  <c r="K1701" i="5"/>
  <c r="L1700" i="5"/>
  <c r="K1700" i="5"/>
  <c r="L1699" i="5"/>
  <c r="K1699" i="5"/>
  <c r="O1699" i="5" s="1"/>
  <c r="L1698" i="5"/>
  <c r="K1698" i="5"/>
  <c r="L1697" i="5"/>
  <c r="K1697" i="5"/>
  <c r="L1696" i="5"/>
  <c r="K1696" i="5"/>
  <c r="O1696" i="5" s="1"/>
  <c r="L1695" i="5"/>
  <c r="K1695" i="5"/>
  <c r="O1695" i="5" s="1"/>
  <c r="L1694" i="5"/>
  <c r="K1694" i="5"/>
  <c r="M1694" i="5" s="1"/>
  <c r="L1693" i="5"/>
  <c r="K1693" i="5"/>
  <c r="O1693" i="5" s="1"/>
  <c r="L1692" i="5"/>
  <c r="K1692" i="5"/>
  <c r="O1692" i="5" s="1"/>
  <c r="L1691" i="5"/>
  <c r="K1691" i="5"/>
  <c r="M1691" i="5" s="1"/>
  <c r="L1690" i="5"/>
  <c r="K1690" i="5"/>
  <c r="O1690" i="5" s="1"/>
  <c r="L1689" i="5"/>
  <c r="K1689" i="5"/>
  <c r="L1688" i="5"/>
  <c r="K1688" i="5"/>
  <c r="O1688" i="5" s="1"/>
  <c r="L1687" i="5"/>
  <c r="K1687" i="5"/>
  <c r="L1686" i="5"/>
  <c r="K1686" i="5"/>
  <c r="O1686" i="5" s="1"/>
  <c r="L1685" i="5"/>
  <c r="K1685" i="5"/>
  <c r="O1685" i="5" s="1"/>
  <c r="L1684" i="5"/>
  <c r="K1684" i="5"/>
  <c r="L1683" i="5"/>
  <c r="K1683" i="5"/>
  <c r="L1682" i="5"/>
  <c r="K1682" i="5"/>
  <c r="M1682" i="5" s="1"/>
  <c r="L1681" i="5"/>
  <c r="K1681" i="5"/>
  <c r="O1681" i="5" s="1"/>
  <c r="L1680" i="5"/>
  <c r="K1680" i="5"/>
  <c r="O1680" i="5" s="1"/>
  <c r="L1679" i="5"/>
  <c r="K1679" i="5"/>
  <c r="O1679" i="5" s="1"/>
  <c r="L1678" i="5"/>
  <c r="K1678" i="5"/>
  <c r="O1678" i="5" s="1"/>
  <c r="L1677" i="5"/>
  <c r="K1677" i="5"/>
  <c r="O1677" i="5" s="1"/>
  <c r="L1676" i="5"/>
  <c r="K1676" i="5"/>
  <c r="O1676" i="5" s="1"/>
  <c r="L1675" i="5"/>
  <c r="K1675" i="5"/>
  <c r="O1675" i="5" s="1"/>
  <c r="L1674" i="5"/>
  <c r="K1674" i="5"/>
  <c r="M1674" i="5" s="1"/>
  <c r="L1673" i="5"/>
  <c r="K1673" i="5"/>
  <c r="O1673" i="5" s="1"/>
  <c r="L1672" i="5"/>
  <c r="K1672" i="5"/>
  <c r="M1672" i="5" s="1"/>
  <c r="L1671" i="5"/>
  <c r="K1671" i="5"/>
  <c r="O1671" i="5" s="1"/>
  <c r="L1670" i="5"/>
  <c r="K1670" i="5"/>
  <c r="O1670" i="5" s="1"/>
  <c r="L1669" i="5"/>
  <c r="K1669" i="5"/>
  <c r="O1669" i="5" s="1"/>
  <c r="L1668" i="5"/>
  <c r="K1668" i="5"/>
  <c r="O1668" i="5" s="1"/>
  <c r="L1667" i="5"/>
  <c r="K1667" i="5"/>
  <c r="O1667" i="5" s="1"/>
  <c r="L1666" i="5"/>
  <c r="K1666" i="5"/>
  <c r="M1666" i="5" s="1"/>
  <c r="L1665" i="5"/>
  <c r="K1665" i="5"/>
  <c r="M1665" i="5" s="1"/>
  <c r="L1664" i="5"/>
  <c r="K1664" i="5"/>
  <c r="O1664" i="5" s="1"/>
  <c r="L1663" i="5"/>
  <c r="K1663" i="5"/>
  <c r="O1663" i="5" s="1"/>
  <c r="L1662" i="5"/>
  <c r="K1662" i="5"/>
  <c r="L1661" i="5"/>
  <c r="K1661" i="5"/>
  <c r="O1661" i="5" s="1"/>
  <c r="L1660" i="5"/>
  <c r="K1660" i="5"/>
  <c r="O1660" i="5" s="1"/>
  <c r="L1659" i="5"/>
  <c r="K1659" i="5"/>
  <c r="L1658" i="5"/>
  <c r="K1658" i="5"/>
  <c r="M1658" i="5" s="1"/>
  <c r="L1657" i="5"/>
  <c r="K1657" i="5"/>
  <c r="O1657" i="5" s="1"/>
  <c r="L1656" i="5"/>
  <c r="K1656" i="5"/>
  <c r="M1656" i="5" s="1"/>
  <c r="L1655" i="5"/>
  <c r="K1655" i="5"/>
  <c r="L1654" i="5"/>
  <c r="K1654" i="5"/>
  <c r="O1654" i="5" s="1"/>
  <c r="L1653" i="5"/>
  <c r="K1653" i="5"/>
  <c r="O1653" i="5" s="1"/>
  <c r="L1652" i="5"/>
  <c r="K1652" i="5"/>
  <c r="O1652" i="5" s="1"/>
  <c r="L1651" i="5"/>
  <c r="K1651" i="5"/>
  <c r="M1651" i="5" s="1"/>
  <c r="L1650" i="5"/>
  <c r="K1650" i="5"/>
  <c r="M1650" i="5" s="1"/>
  <c r="L1649" i="5"/>
  <c r="K1649" i="5"/>
  <c r="M1649" i="5" s="1"/>
  <c r="L1648" i="5"/>
  <c r="K1648" i="5"/>
  <c r="M1648" i="5" s="1"/>
  <c r="L1647" i="5"/>
  <c r="K1647" i="5"/>
  <c r="M1647" i="5" s="1"/>
  <c r="L1646" i="5"/>
  <c r="K1646" i="5"/>
  <c r="L1645" i="5"/>
  <c r="K1645" i="5"/>
  <c r="O1645" i="5" s="1"/>
  <c r="L1644" i="5"/>
  <c r="K1644" i="5"/>
  <c r="O1644" i="5" s="1"/>
  <c r="L1643" i="5"/>
  <c r="K1643" i="5"/>
  <c r="M1643" i="5" s="1"/>
  <c r="L1642" i="5"/>
  <c r="K1642" i="5"/>
  <c r="O1642" i="5" s="1"/>
  <c r="L1641" i="5"/>
  <c r="K1641" i="5"/>
  <c r="L1640" i="5"/>
  <c r="K1640" i="5"/>
  <c r="O1640" i="5" s="1"/>
  <c r="L1639" i="5"/>
  <c r="K1639" i="5"/>
  <c r="L1638" i="5"/>
  <c r="K1638" i="5"/>
  <c r="O1638" i="5" s="1"/>
  <c r="L1637" i="5"/>
  <c r="K1637" i="5"/>
  <c r="O1637" i="5" s="1"/>
  <c r="L1636" i="5"/>
  <c r="K1636" i="5"/>
  <c r="O1636" i="5" s="1"/>
  <c r="L1635" i="5"/>
  <c r="K1635" i="5"/>
  <c r="L1634" i="5"/>
  <c r="K1634" i="5"/>
  <c r="L1633" i="5"/>
  <c r="K1633" i="5"/>
  <c r="O1633" i="5" s="1"/>
  <c r="L1632" i="5"/>
  <c r="K1632" i="5"/>
  <c r="L1631" i="5"/>
  <c r="K1631" i="5"/>
  <c r="L1630" i="5"/>
  <c r="K1630" i="5"/>
  <c r="L1629" i="5"/>
  <c r="K1629" i="5"/>
  <c r="M1629" i="5" s="1"/>
  <c r="L1628" i="5"/>
  <c r="K1628" i="5"/>
  <c r="O1628" i="5" s="1"/>
  <c r="L1627" i="5"/>
  <c r="K1627" i="5"/>
  <c r="O1627" i="5" s="1"/>
  <c r="L1626" i="5"/>
  <c r="K1626" i="5"/>
  <c r="M1626" i="5" s="1"/>
  <c r="L1625" i="5"/>
  <c r="K1625" i="5"/>
  <c r="O1625" i="5" s="1"/>
  <c r="L1624" i="5"/>
  <c r="K1624" i="5"/>
  <c r="M1624" i="5" s="1"/>
  <c r="L1623" i="5"/>
  <c r="K1623" i="5"/>
  <c r="L1622" i="5"/>
  <c r="K1622" i="5"/>
  <c r="O1622" i="5" s="1"/>
  <c r="L1621" i="5"/>
  <c r="K1621" i="5"/>
  <c r="L1620" i="5"/>
  <c r="K1620" i="5"/>
  <c r="L1619" i="5"/>
  <c r="K1619" i="5"/>
  <c r="O1619" i="5" s="1"/>
  <c r="L1618" i="5"/>
  <c r="K1618" i="5"/>
  <c r="L1617" i="5"/>
  <c r="K1617" i="5"/>
  <c r="O1617" i="5" s="1"/>
  <c r="L1616" i="5"/>
  <c r="K1616" i="5"/>
  <c r="M1616" i="5" s="1"/>
  <c r="L1615" i="5"/>
  <c r="K1615" i="5"/>
  <c r="L1614" i="5"/>
  <c r="K1614" i="5"/>
  <c r="O1614" i="5" s="1"/>
  <c r="L1613" i="5"/>
  <c r="K1613" i="5"/>
  <c r="O1613" i="5" s="1"/>
  <c r="L1612" i="5"/>
  <c r="K1612" i="5"/>
  <c r="M1611" i="5"/>
  <c r="L1611" i="5"/>
  <c r="K1611" i="5"/>
  <c r="O1611" i="5" s="1"/>
  <c r="L1610" i="5"/>
  <c r="K1610" i="5"/>
  <c r="M1610" i="5" s="1"/>
  <c r="L1609" i="5"/>
  <c r="K1609" i="5"/>
  <c r="L1608" i="5"/>
  <c r="K1608" i="5"/>
  <c r="O1608" i="5" s="1"/>
  <c r="L1607" i="5"/>
  <c r="K1607" i="5"/>
  <c r="M1607" i="5" s="1"/>
  <c r="L1606" i="5"/>
  <c r="K1606" i="5"/>
  <c r="L1605" i="5"/>
  <c r="K1605" i="5"/>
  <c r="L1604" i="5"/>
  <c r="K1604" i="5"/>
  <c r="O1604" i="5" s="1"/>
  <c r="L1603" i="5"/>
  <c r="K1603" i="5"/>
  <c r="M1603" i="5" s="1"/>
  <c r="L1602" i="5"/>
  <c r="K1602" i="5"/>
  <c r="L1601" i="5"/>
  <c r="K1601" i="5"/>
  <c r="M1600" i="5"/>
  <c r="L1600" i="5"/>
  <c r="K1600" i="5"/>
  <c r="O1600" i="5" s="1"/>
  <c r="L1599" i="5"/>
  <c r="K1599" i="5"/>
  <c r="M1599" i="5" s="1"/>
  <c r="L1598" i="5"/>
  <c r="K1598" i="5"/>
  <c r="O1598" i="5" s="1"/>
  <c r="L1597" i="5"/>
  <c r="K1597" i="5"/>
  <c r="O1597" i="5" s="1"/>
  <c r="L1596" i="5"/>
  <c r="K1596" i="5"/>
  <c r="O1596" i="5" s="1"/>
  <c r="L1595" i="5"/>
  <c r="K1595" i="5"/>
  <c r="L1594" i="5"/>
  <c r="K1594" i="5"/>
  <c r="O1594" i="5" s="1"/>
  <c r="L1593" i="5"/>
  <c r="K1593" i="5"/>
  <c r="L1592" i="5"/>
  <c r="K1592" i="5"/>
  <c r="O1592" i="5" s="1"/>
  <c r="L1591" i="5"/>
  <c r="K1591" i="5"/>
  <c r="O1591" i="5" s="1"/>
  <c r="L1590" i="5"/>
  <c r="K1590" i="5"/>
  <c r="L1589" i="5"/>
  <c r="K1589" i="5"/>
  <c r="O1589" i="5" s="1"/>
  <c r="L1588" i="5"/>
  <c r="K1588" i="5"/>
  <c r="L1587" i="5"/>
  <c r="K1587" i="5"/>
  <c r="L1586" i="5"/>
  <c r="K1586" i="5"/>
  <c r="L1585" i="5"/>
  <c r="K1585" i="5"/>
  <c r="L1584" i="5"/>
  <c r="K1584" i="5"/>
  <c r="O1584" i="5" s="1"/>
  <c r="L1583" i="5"/>
  <c r="K1583" i="5"/>
  <c r="O1583" i="5" s="1"/>
  <c r="L1582" i="5"/>
  <c r="K1582" i="5"/>
  <c r="L1581" i="5"/>
  <c r="K1581" i="5"/>
  <c r="O1581" i="5" s="1"/>
  <c r="L1580" i="5"/>
  <c r="K1580" i="5"/>
  <c r="M1580" i="5" s="1"/>
  <c r="L1579" i="5"/>
  <c r="K1579" i="5"/>
  <c r="L1578" i="5"/>
  <c r="K1578" i="5"/>
  <c r="O1578" i="5" s="1"/>
  <c r="L1577" i="5"/>
  <c r="K1577" i="5"/>
  <c r="O1577" i="5" s="1"/>
  <c r="L1576" i="5"/>
  <c r="K1576" i="5"/>
  <c r="O1576" i="5" s="1"/>
  <c r="L1575" i="5"/>
  <c r="K1575" i="5"/>
  <c r="O1575" i="5" s="1"/>
  <c r="L1574" i="5"/>
  <c r="K1574" i="5"/>
  <c r="O1574" i="5" s="1"/>
  <c r="L1573" i="5"/>
  <c r="K1573" i="5"/>
  <c r="O1573" i="5" s="1"/>
  <c r="L1572" i="5"/>
  <c r="K1572" i="5"/>
  <c r="M1572" i="5" s="1"/>
  <c r="L1571" i="5"/>
  <c r="K1571" i="5"/>
  <c r="M1571" i="5" s="1"/>
  <c r="L1570" i="5"/>
  <c r="K1570" i="5"/>
  <c r="O1570" i="5" s="1"/>
  <c r="L1569" i="5"/>
  <c r="K1569" i="5"/>
  <c r="M1569" i="5" s="1"/>
  <c r="L1568" i="5"/>
  <c r="K1568" i="5"/>
  <c r="O1568" i="5" s="1"/>
  <c r="L1567" i="5"/>
  <c r="K1567" i="5"/>
  <c r="O1567" i="5" s="1"/>
  <c r="L1566" i="5"/>
  <c r="K1566" i="5"/>
  <c r="M1566" i="5" s="1"/>
  <c r="L1565" i="5"/>
  <c r="K1565" i="5"/>
  <c r="O1565" i="5" s="1"/>
  <c r="L1564" i="5"/>
  <c r="K1564" i="5"/>
  <c r="M1564" i="5" s="1"/>
  <c r="L1563" i="5"/>
  <c r="K1563" i="5"/>
  <c r="L1562" i="5"/>
  <c r="K1562" i="5"/>
  <c r="O1561" i="5"/>
  <c r="L1561" i="5"/>
  <c r="K1561" i="5"/>
  <c r="M1561" i="5" s="1"/>
  <c r="L1560" i="5"/>
  <c r="K1560" i="5"/>
  <c r="O1560" i="5" s="1"/>
  <c r="L1559" i="5"/>
  <c r="K1559" i="5"/>
  <c r="O1559" i="5" s="1"/>
  <c r="L1558" i="5"/>
  <c r="K1558" i="5"/>
  <c r="M1558" i="5" s="1"/>
  <c r="L1557" i="5"/>
  <c r="K1557" i="5"/>
  <c r="O1557" i="5" s="1"/>
  <c r="L1556" i="5"/>
  <c r="K1556" i="5"/>
  <c r="M1556" i="5" s="1"/>
  <c r="L1555" i="5"/>
  <c r="K1555" i="5"/>
  <c r="L1554" i="5"/>
  <c r="K1554" i="5"/>
  <c r="M1554" i="5" s="1"/>
  <c r="L1553" i="5"/>
  <c r="K1553" i="5"/>
  <c r="O1553" i="5" s="1"/>
  <c r="L1552" i="5"/>
  <c r="K1552" i="5"/>
  <c r="O1552" i="5" s="1"/>
  <c r="L1551" i="5"/>
  <c r="K1551" i="5"/>
  <c r="O1551" i="5" s="1"/>
  <c r="L1550" i="5"/>
  <c r="K1550" i="5"/>
  <c r="O1550" i="5" s="1"/>
  <c r="L1549" i="5"/>
  <c r="K1549" i="5"/>
  <c r="O1549" i="5" s="1"/>
  <c r="L1548" i="5"/>
  <c r="K1548" i="5"/>
  <c r="M1548" i="5" s="1"/>
  <c r="L1547" i="5"/>
  <c r="K1547" i="5"/>
  <c r="O1547" i="5" s="1"/>
  <c r="L1546" i="5"/>
  <c r="K1546" i="5"/>
  <c r="M1546" i="5" s="1"/>
  <c r="L1545" i="5"/>
  <c r="K1545" i="5"/>
  <c r="M1545" i="5" s="1"/>
  <c r="L1544" i="5"/>
  <c r="K1544" i="5"/>
  <c r="O1544" i="5" s="1"/>
  <c r="L1543" i="5"/>
  <c r="K1543" i="5"/>
  <c r="O1543" i="5" s="1"/>
  <c r="L1542" i="5"/>
  <c r="K1542" i="5"/>
  <c r="M1542" i="5" s="1"/>
  <c r="L1541" i="5"/>
  <c r="K1541" i="5"/>
  <c r="O1541" i="5" s="1"/>
  <c r="L1540" i="5"/>
  <c r="K1540" i="5"/>
  <c r="L1539" i="5"/>
  <c r="K1539" i="5"/>
  <c r="M1539" i="5" s="1"/>
  <c r="L1538" i="5"/>
  <c r="K1538" i="5"/>
  <c r="M1538" i="5" s="1"/>
  <c r="L1537" i="5"/>
  <c r="K1537" i="5"/>
  <c r="O1537" i="5" s="1"/>
  <c r="L1536" i="5"/>
  <c r="K1536" i="5"/>
  <c r="O1536" i="5" s="1"/>
  <c r="L1535" i="5"/>
  <c r="K1535" i="5"/>
  <c r="O1535" i="5" s="1"/>
  <c r="L1534" i="5"/>
  <c r="K1534" i="5"/>
  <c r="O1534" i="5" s="1"/>
  <c r="L1533" i="5"/>
  <c r="K1533" i="5"/>
  <c r="O1533" i="5" s="1"/>
  <c r="L1532" i="5"/>
  <c r="K1532" i="5"/>
  <c r="L1531" i="5"/>
  <c r="K1531" i="5"/>
  <c r="L1530" i="5"/>
  <c r="K1530" i="5"/>
  <c r="M1530" i="5" s="1"/>
  <c r="L1529" i="5"/>
  <c r="K1529" i="5"/>
  <c r="M1529" i="5" s="1"/>
  <c r="L1528" i="5"/>
  <c r="K1528" i="5"/>
  <c r="O1528" i="5" s="1"/>
  <c r="L1527" i="5"/>
  <c r="K1527" i="5"/>
  <c r="O1527" i="5" s="1"/>
  <c r="L1526" i="5"/>
  <c r="K1526" i="5"/>
  <c r="M1526" i="5" s="1"/>
  <c r="L1525" i="5"/>
  <c r="K1525" i="5"/>
  <c r="M1525" i="5" s="1"/>
  <c r="L1524" i="5"/>
  <c r="K1524" i="5"/>
  <c r="L1523" i="5"/>
  <c r="K1523" i="5"/>
  <c r="M1523" i="5" s="1"/>
  <c r="L1522" i="5"/>
  <c r="K1522" i="5"/>
  <c r="M1522" i="5" s="1"/>
  <c r="L1521" i="5"/>
  <c r="K1521" i="5"/>
  <c r="M1521" i="5" s="1"/>
  <c r="L1520" i="5"/>
  <c r="K1520" i="5"/>
  <c r="O1520" i="5" s="1"/>
  <c r="L1519" i="5"/>
  <c r="K1519" i="5"/>
  <c r="L1518" i="5"/>
  <c r="K1518" i="5"/>
  <c r="M1518" i="5" s="1"/>
  <c r="L1517" i="5"/>
  <c r="K1517" i="5"/>
  <c r="M1517" i="5" s="1"/>
  <c r="L1516" i="5"/>
  <c r="K1516" i="5"/>
  <c r="M1516" i="5" s="1"/>
  <c r="L1515" i="5"/>
  <c r="K1515" i="5"/>
  <c r="O1515" i="5" s="1"/>
  <c r="L1514" i="5"/>
  <c r="K1514" i="5"/>
  <c r="M1514" i="5" s="1"/>
  <c r="L1513" i="5"/>
  <c r="K1513" i="5"/>
  <c r="O1513" i="5" s="1"/>
  <c r="L1512" i="5"/>
  <c r="K1512" i="5"/>
  <c r="L1511" i="5"/>
  <c r="K1511" i="5"/>
  <c r="M1511" i="5" s="1"/>
  <c r="L1510" i="5"/>
  <c r="K1510" i="5"/>
  <c r="O1510" i="5" s="1"/>
  <c r="L1509" i="5"/>
  <c r="K1509" i="5"/>
  <c r="L1508" i="5"/>
  <c r="K1508" i="5"/>
  <c r="M1508" i="5" s="1"/>
  <c r="L1507" i="5"/>
  <c r="K1507" i="5"/>
  <c r="L1506" i="5"/>
  <c r="K1506" i="5"/>
  <c r="O1506" i="5" s="1"/>
  <c r="L1505" i="5"/>
  <c r="K1505" i="5"/>
  <c r="M1505" i="5" s="1"/>
  <c r="L1504" i="5"/>
  <c r="K1504" i="5"/>
  <c r="M1504" i="5" s="1"/>
  <c r="L1503" i="5"/>
  <c r="K1503" i="5"/>
  <c r="L1502" i="5"/>
  <c r="K1502" i="5"/>
  <c r="M1502" i="5" s="1"/>
  <c r="L1501" i="5"/>
  <c r="K1501" i="5"/>
  <c r="O1501" i="5" s="1"/>
  <c r="L1500" i="5"/>
  <c r="K1500" i="5"/>
  <c r="L1499" i="5"/>
  <c r="K1499" i="5"/>
  <c r="L1498" i="5"/>
  <c r="K1498" i="5"/>
  <c r="O1498" i="5" s="1"/>
  <c r="L1497" i="5"/>
  <c r="K1497" i="5"/>
  <c r="L1496" i="5"/>
  <c r="K1496" i="5"/>
  <c r="L1495" i="5"/>
  <c r="K1495" i="5"/>
  <c r="M1495" i="5" s="1"/>
  <c r="L1494" i="5"/>
  <c r="K1494" i="5"/>
  <c r="L1493" i="5"/>
  <c r="K1493" i="5"/>
  <c r="L1492" i="5"/>
  <c r="K1492" i="5"/>
  <c r="M1492" i="5" s="1"/>
  <c r="L1491" i="5"/>
  <c r="K1491" i="5"/>
  <c r="M1491" i="5" s="1"/>
  <c r="L1490" i="5"/>
  <c r="K1490" i="5"/>
  <c r="L1489" i="5"/>
  <c r="K1489" i="5"/>
  <c r="M1489" i="5" s="1"/>
  <c r="L1488" i="5"/>
  <c r="K1488" i="5"/>
  <c r="L1487" i="5"/>
  <c r="K1487" i="5"/>
  <c r="M1487" i="5" s="1"/>
  <c r="L1486" i="5"/>
  <c r="K1486" i="5"/>
  <c r="M1486" i="5" s="1"/>
  <c r="L1485" i="5"/>
  <c r="K1485" i="5"/>
  <c r="O1485" i="5" s="1"/>
  <c r="L1484" i="5"/>
  <c r="K1484" i="5"/>
  <c r="M1484" i="5" s="1"/>
  <c r="L1483" i="5"/>
  <c r="K1483" i="5"/>
  <c r="L1482" i="5"/>
  <c r="K1482" i="5"/>
  <c r="O1482" i="5" s="1"/>
  <c r="L1481" i="5"/>
  <c r="K1481" i="5"/>
  <c r="M1481" i="5" s="1"/>
  <c r="L1480" i="5"/>
  <c r="K1480" i="5"/>
  <c r="L1479" i="5"/>
  <c r="K1479" i="5"/>
  <c r="M1479" i="5" s="1"/>
  <c r="L1478" i="5"/>
  <c r="K1478" i="5"/>
  <c r="M1478" i="5" s="1"/>
  <c r="L1477" i="5"/>
  <c r="K1477" i="5"/>
  <c r="L1476" i="5"/>
  <c r="K1476" i="5"/>
  <c r="M1476" i="5" s="1"/>
  <c r="L1475" i="5"/>
  <c r="K1475" i="5"/>
  <c r="M1475" i="5" s="1"/>
  <c r="L1474" i="5"/>
  <c r="K1474" i="5"/>
  <c r="O1474" i="5" s="1"/>
  <c r="L1473" i="5"/>
  <c r="K1473" i="5"/>
  <c r="M1473" i="5" s="1"/>
  <c r="L1472" i="5"/>
  <c r="K1472" i="5"/>
  <c r="M1472" i="5" s="1"/>
  <c r="L1471" i="5"/>
  <c r="K1471" i="5"/>
  <c r="L1470" i="5"/>
  <c r="K1470" i="5"/>
  <c r="M1470" i="5" s="1"/>
  <c r="L1469" i="5"/>
  <c r="K1469" i="5"/>
  <c r="O1469" i="5" s="1"/>
  <c r="L1468" i="5"/>
  <c r="K1468" i="5"/>
  <c r="L1467" i="5"/>
  <c r="K1467" i="5"/>
  <c r="L1466" i="5"/>
  <c r="K1466" i="5"/>
  <c r="O1466" i="5" s="1"/>
  <c r="L1465" i="5"/>
  <c r="K1465" i="5"/>
  <c r="L1464" i="5"/>
  <c r="K1464" i="5"/>
  <c r="L1463" i="5"/>
  <c r="K1463" i="5"/>
  <c r="M1463" i="5" s="1"/>
  <c r="L1462" i="5"/>
  <c r="K1462" i="5"/>
  <c r="L1461" i="5"/>
  <c r="K1461" i="5"/>
  <c r="L1460" i="5"/>
  <c r="K1460" i="5"/>
  <c r="M1460" i="5" s="1"/>
  <c r="L1459" i="5"/>
  <c r="K1459" i="5"/>
  <c r="M1459" i="5" s="1"/>
  <c r="L1458" i="5"/>
  <c r="K1458" i="5"/>
  <c r="O1458" i="5" s="1"/>
  <c r="L1457" i="5"/>
  <c r="K1457" i="5"/>
  <c r="M1457" i="5" s="1"/>
  <c r="L1456" i="5"/>
  <c r="K1456" i="5"/>
  <c r="L1455" i="5"/>
  <c r="K1455" i="5"/>
  <c r="M1455" i="5" s="1"/>
  <c r="L1454" i="5"/>
  <c r="K1454" i="5"/>
  <c r="M1454" i="5" s="1"/>
  <c r="L1453" i="5"/>
  <c r="K1453" i="5"/>
  <c r="O1453" i="5" s="1"/>
  <c r="L1452" i="5"/>
  <c r="K1452" i="5"/>
  <c r="L1451" i="5"/>
  <c r="K1451" i="5"/>
  <c r="L1450" i="5"/>
  <c r="K1450" i="5"/>
  <c r="O1450" i="5" s="1"/>
  <c r="L1449" i="5"/>
  <c r="K1449" i="5"/>
  <c r="M1449" i="5" s="1"/>
  <c r="L1448" i="5"/>
  <c r="K1448" i="5"/>
  <c r="L1447" i="5"/>
  <c r="K1447" i="5"/>
  <c r="L1446" i="5"/>
  <c r="K1446" i="5"/>
  <c r="M1446" i="5" s="1"/>
  <c r="L1445" i="5"/>
  <c r="K1445" i="5"/>
  <c r="O1445" i="5" s="1"/>
  <c r="L1444" i="5"/>
  <c r="K1444" i="5"/>
  <c r="L1443" i="5"/>
  <c r="K1443" i="5"/>
  <c r="M1443" i="5" s="1"/>
  <c r="L1442" i="5"/>
  <c r="K1442" i="5"/>
  <c r="L1441" i="5"/>
  <c r="K1441" i="5"/>
  <c r="L1440" i="5"/>
  <c r="K1440" i="5"/>
  <c r="M1440" i="5" s="1"/>
  <c r="L1439" i="5"/>
  <c r="K1439" i="5"/>
  <c r="L1438" i="5"/>
  <c r="K1438" i="5"/>
  <c r="M1438" i="5" s="1"/>
  <c r="L1437" i="5"/>
  <c r="K1437" i="5"/>
  <c r="O1437" i="5" s="1"/>
  <c r="L1436" i="5"/>
  <c r="K1436" i="5"/>
  <c r="L1435" i="5"/>
  <c r="K1435" i="5"/>
  <c r="L1434" i="5"/>
  <c r="K1434" i="5"/>
  <c r="O1434" i="5" s="1"/>
  <c r="L1433" i="5"/>
  <c r="K1433" i="5"/>
  <c r="L1432" i="5"/>
  <c r="K1432" i="5"/>
  <c r="O1432" i="5" s="1"/>
  <c r="L1431" i="5"/>
  <c r="K1431" i="5"/>
  <c r="L1430" i="5"/>
  <c r="K1430" i="5"/>
  <c r="M1430" i="5" s="1"/>
  <c r="L1429" i="5"/>
  <c r="K1429" i="5"/>
  <c r="O1429" i="5" s="1"/>
  <c r="L1428" i="5"/>
  <c r="K1428" i="5"/>
  <c r="L1427" i="5"/>
  <c r="K1427" i="5"/>
  <c r="L1426" i="5"/>
  <c r="K1426" i="5"/>
  <c r="O1426" i="5" s="1"/>
  <c r="L1425" i="5"/>
  <c r="K1425" i="5"/>
  <c r="L1424" i="5"/>
  <c r="K1424" i="5"/>
  <c r="M1424" i="5" s="1"/>
  <c r="L1423" i="5"/>
  <c r="K1423" i="5"/>
  <c r="M1423" i="5" s="1"/>
  <c r="L1422" i="5"/>
  <c r="K1422" i="5"/>
  <c r="M1422" i="5" s="1"/>
  <c r="L1421" i="5"/>
  <c r="K1421" i="5"/>
  <c r="O1421" i="5" s="1"/>
  <c r="L1420" i="5"/>
  <c r="K1420" i="5"/>
  <c r="L1419" i="5"/>
  <c r="K1419" i="5"/>
  <c r="O1419" i="5" s="1"/>
  <c r="L1418" i="5"/>
  <c r="K1418" i="5"/>
  <c r="O1418" i="5" s="1"/>
  <c r="L1417" i="5"/>
  <c r="K1417" i="5"/>
  <c r="M1417" i="5" s="1"/>
  <c r="L1416" i="5"/>
  <c r="K1416" i="5"/>
  <c r="O1416" i="5" s="1"/>
  <c r="L1415" i="5"/>
  <c r="K1415" i="5"/>
  <c r="L1414" i="5"/>
  <c r="K1414" i="5"/>
  <c r="M1414" i="5" s="1"/>
  <c r="L1413" i="5"/>
  <c r="K1413" i="5"/>
  <c r="O1413" i="5" s="1"/>
  <c r="L1412" i="5"/>
  <c r="K1412" i="5"/>
  <c r="L1411" i="5"/>
  <c r="K1411" i="5"/>
  <c r="M1411" i="5" s="1"/>
  <c r="L1410" i="5"/>
  <c r="K1410" i="5"/>
  <c r="L1409" i="5"/>
  <c r="K1409" i="5"/>
  <c r="L1408" i="5"/>
  <c r="K1408" i="5"/>
  <c r="M1408" i="5" s="1"/>
  <c r="L1407" i="5"/>
  <c r="K1407" i="5"/>
  <c r="L1406" i="5"/>
  <c r="K1406" i="5"/>
  <c r="L1405" i="5"/>
  <c r="K1405" i="5"/>
  <c r="O1405" i="5" s="1"/>
  <c r="L1404" i="5"/>
  <c r="K1404" i="5"/>
  <c r="L1403" i="5"/>
  <c r="K1403" i="5"/>
  <c r="O1403" i="5" s="1"/>
  <c r="L1402" i="5"/>
  <c r="K1402" i="5"/>
  <c r="L1401" i="5"/>
  <c r="K1401" i="5"/>
  <c r="O1401" i="5" s="1"/>
  <c r="L1400" i="5"/>
  <c r="K1400" i="5"/>
  <c r="O1400" i="5" s="1"/>
  <c r="L1399" i="5"/>
  <c r="K1399" i="5"/>
  <c r="O1399" i="5" s="1"/>
  <c r="L1398" i="5"/>
  <c r="K1398" i="5"/>
  <c r="L1397" i="5"/>
  <c r="K1397" i="5"/>
  <c r="O1397" i="5" s="1"/>
  <c r="L1396" i="5"/>
  <c r="K1396" i="5"/>
  <c r="O1396" i="5" s="1"/>
  <c r="L1395" i="5"/>
  <c r="K1395" i="5"/>
  <c r="O1395" i="5" s="1"/>
  <c r="L1394" i="5"/>
  <c r="K1394" i="5"/>
  <c r="O1394" i="5" s="1"/>
  <c r="L1393" i="5"/>
  <c r="K1393" i="5"/>
  <c r="L1392" i="5"/>
  <c r="K1392" i="5"/>
  <c r="L1391" i="5"/>
  <c r="K1391" i="5"/>
  <c r="O1391" i="5" s="1"/>
  <c r="L1390" i="5"/>
  <c r="K1390" i="5"/>
  <c r="O1390" i="5" s="1"/>
  <c r="L1389" i="5"/>
  <c r="K1389" i="5"/>
  <c r="L1388" i="5"/>
  <c r="K1388" i="5"/>
  <c r="O1388" i="5" s="1"/>
  <c r="L1387" i="5"/>
  <c r="K1387" i="5"/>
  <c r="L1386" i="5"/>
  <c r="K1386" i="5"/>
  <c r="L1385" i="5"/>
  <c r="K1385" i="5"/>
  <c r="L1384" i="5"/>
  <c r="K1384" i="5"/>
  <c r="L1383" i="5"/>
  <c r="K1383" i="5"/>
  <c r="M1383" i="5" s="1"/>
  <c r="L1382" i="5"/>
  <c r="K1382" i="5"/>
  <c r="O1382" i="5" s="1"/>
  <c r="L1381" i="5"/>
  <c r="K1381" i="5"/>
  <c r="L1380" i="5"/>
  <c r="K1380" i="5"/>
  <c r="M1380" i="5" s="1"/>
  <c r="L1379" i="5"/>
  <c r="K1379" i="5"/>
  <c r="L1378" i="5"/>
  <c r="K1378" i="5"/>
  <c r="O1378" i="5" s="1"/>
  <c r="L1377" i="5"/>
  <c r="K1377" i="5"/>
  <c r="L1376" i="5"/>
  <c r="K1376" i="5"/>
  <c r="O1376" i="5" s="1"/>
  <c r="L1375" i="5"/>
  <c r="K1375" i="5"/>
  <c r="O1375" i="5" s="1"/>
  <c r="L1374" i="5"/>
  <c r="K1374" i="5"/>
  <c r="L1373" i="5"/>
  <c r="K1373" i="5"/>
  <c r="L1372" i="5"/>
  <c r="K1372" i="5"/>
  <c r="L1371" i="5"/>
  <c r="K1371" i="5"/>
  <c r="O1371" i="5" s="1"/>
  <c r="L1370" i="5"/>
  <c r="K1370" i="5"/>
  <c r="O1370" i="5" s="1"/>
  <c r="L1369" i="5"/>
  <c r="K1369" i="5"/>
  <c r="L1368" i="5"/>
  <c r="K1368" i="5"/>
  <c r="O1368" i="5" s="1"/>
  <c r="L1367" i="5"/>
  <c r="K1367" i="5"/>
  <c r="M1366" i="5"/>
  <c r="L1366" i="5"/>
  <c r="K1366" i="5"/>
  <c r="O1366" i="5" s="1"/>
  <c r="L1365" i="5"/>
  <c r="K1365" i="5"/>
  <c r="L1364" i="5"/>
  <c r="K1364" i="5"/>
  <c r="O1363" i="5"/>
  <c r="L1363" i="5"/>
  <c r="K1363" i="5"/>
  <c r="M1363" i="5" s="1"/>
  <c r="L1362" i="5"/>
  <c r="K1362" i="5"/>
  <c r="O1362" i="5" s="1"/>
  <c r="L1361" i="5"/>
  <c r="K1361" i="5"/>
  <c r="L1360" i="5"/>
  <c r="K1360" i="5"/>
  <c r="M1360" i="5" s="1"/>
  <c r="L1359" i="5"/>
  <c r="K1359" i="5"/>
  <c r="L1358" i="5"/>
  <c r="K1358" i="5"/>
  <c r="O1358" i="5" s="1"/>
  <c r="L1357" i="5"/>
  <c r="K1357" i="5"/>
  <c r="L1356" i="5"/>
  <c r="K1356" i="5"/>
  <c r="L1355" i="5"/>
  <c r="K1355" i="5"/>
  <c r="M1355" i="5" s="1"/>
  <c r="L1354" i="5"/>
  <c r="K1354" i="5"/>
  <c r="L1353" i="5"/>
  <c r="K1353" i="5"/>
  <c r="L1352" i="5"/>
  <c r="K1352" i="5"/>
  <c r="M1352" i="5" s="1"/>
  <c r="L1351" i="5"/>
  <c r="K1351" i="5"/>
  <c r="L1350" i="5"/>
  <c r="K1350" i="5"/>
  <c r="O1350" i="5" s="1"/>
  <c r="L1349" i="5"/>
  <c r="K1349" i="5"/>
  <c r="L1348" i="5"/>
  <c r="K1348" i="5"/>
  <c r="O1348" i="5" s="1"/>
  <c r="L1347" i="5"/>
  <c r="K1347" i="5"/>
  <c r="O1347" i="5" s="1"/>
  <c r="L1346" i="5"/>
  <c r="K1346" i="5"/>
  <c r="L1345" i="5"/>
  <c r="K1345" i="5"/>
  <c r="L1344" i="5"/>
  <c r="K1344" i="5"/>
  <c r="O1344" i="5" s="1"/>
  <c r="L1343" i="5"/>
  <c r="K1343" i="5"/>
  <c r="L1342" i="5"/>
  <c r="K1342" i="5"/>
  <c r="O1342" i="5" s="1"/>
  <c r="L1341" i="5"/>
  <c r="K1341" i="5"/>
  <c r="L1340" i="5"/>
  <c r="K1340" i="5"/>
  <c r="L1339" i="5"/>
  <c r="K1339" i="5"/>
  <c r="L1338" i="5"/>
  <c r="K1338" i="5"/>
  <c r="O1338" i="5" s="1"/>
  <c r="L1337" i="5"/>
  <c r="K1337" i="5"/>
  <c r="L1336" i="5"/>
  <c r="K1336" i="5"/>
  <c r="L1335" i="5"/>
  <c r="K1335" i="5"/>
  <c r="O1335" i="5" s="1"/>
  <c r="L1334" i="5"/>
  <c r="K1334" i="5"/>
  <c r="O1334" i="5" s="1"/>
  <c r="L1333" i="5"/>
  <c r="K1333" i="5"/>
  <c r="L1332" i="5"/>
  <c r="K1332" i="5"/>
  <c r="M1332" i="5" s="1"/>
  <c r="L1331" i="5"/>
  <c r="K1331" i="5"/>
  <c r="L1330" i="5"/>
  <c r="K1330" i="5"/>
  <c r="O1330" i="5" s="1"/>
  <c r="L1329" i="5"/>
  <c r="K1329" i="5"/>
  <c r="L1328" i="5"/>
  <c r="K1328" i="5"/>
  <c r="O1328" i="5" s="1"/>
  <c r="L1327" i="5"/>
  <c r="K1327" i="5"/>
  <c r="O1327" i="5" s="1"/>
  <c r="L1326" i="5"/>
  <c r="K1326" i="5"/>
  <c r="O1326" i="5" s="1"/>
  <c r="L1325" i="5"/>
  <c r="K1325" i="5"/>
  <c r="L1324" i="5"/>
  <c r="K1324" i="5"/>
  <c r="O1324" i="5" s="1"/>
  <c r="L1323" i="5"/>
  <c r="K1323" i="5"/>
  <c r="L1322" i="5"/>
  <c r="K1322" i="5"/>
  <c r="L1321" i="5"/>
  <c r="K1321" i="5"/>
  <c r="L1320" i="5"/>
  <c r="K1320" i="5"/>
  <c r="L1319" i="5"/>
  <c r="K1319" i="5"/>
  <c r="O1319" i="5" s="1"/>
  <c r="L1318" i="5"/>
  <c r="K1318" i="5"/>
  <c r="L1317" i="5"/>
  <c r="K1317" i="5"/>
  <c r="M1317" i="5" s="1"/>
  <c r="L1316" i="5"/>
  <c r="K1316" i="5"/>
  <c r="M1316" i="5" s="1"/>
  <c r="L1315" i="5"/>
  <c r="K1315" i="5"/>
  <c r="L1314" i="5"/>
  <c r="K1314" i="5"/>
  <c r="O1314" i="5" s="1"/>
  <c r="L1313" i="5"/>
  <c r="K1313" i="5"/>
  <c r="L1312" i="5"/>
  <c r="K1312" i="5"/>
  <c r="O1312" i="5" s="1"/>
  <c r="L1311" i="5"/>
  <c r="K1311" i="5"/>
  <c r="O1311" i="5" s="1"/>
  <c r="L1310" i="5"/>
  <c r="K1310" i="5"/>
  <c r="L1309" i="5"/>
  <c r="K1309" i="5"/>
  <c r="L1308" i="5"/>
  <c r="K1308" i="5"/>
  <c r="O1308" i="5" s="1"/>
  <c r="L1307" i="5"/>
  <c r="K1307" i="5"/>
  <c r="M1306" i="5"/>
  <c r="L1306" i="5"/>
  <c r="K1306" i="5"/>
  <c r="O1306" i="5" s="1"/>
  <c r="L1305" i="5"/>
  <c r="K1305" i="5"/>
  <c r="L1304" i="5"/>
  <c r="K1304" i="5"/>
  <c r="L1303" i="5"/>
  <c r="K1303" i="5"/>
  <c r="M1303" i="5" s="1"/>
  <c r="L1302" i="5"/>
  <c r="K1302" i="5"/>
  <c r="L1301" i="5"/>
  <c r="K1301" i="5"/>
  <c r="L1300" i="5"/>
  <c r="K1300" i="5"/>
  <c r="M1300" i="5" s="1"/>
  <c r="L1299" i="5"/>
  <c r="K1299" i="5"/>
  <c r="L1298" i="5"/>
  <c r="K1298" i="5"/>
  <c r="O1298" i="5" s="1"/>
  <c r="L1297" i="5"/>
  <c r="K1297" i="5"/>
  <c r="O1297" i="5" s="1"/>
  <c r="L1296" i="5"/>
  <c r="K1296" i="5"/>
  <c r="L1295" i="5"/>
  <c r="K1295" i="5"/>
  <c r="O1295" i="5" s="1"/>
  <c r="L1294" i="5"/>
  <c r="K1294" i="5"/>
  <c r="L1293" i="5"/>
  <c r="K1293" i="5"/>
  <c r="O1293" i="5" s="1"/>
  <c r="L1292" i="5"/>
  <c r="K1292" i="5"/>
  <c r="O1292" i="5" s="1"/>
  <c r="L1291" i="5"/>
  <c r="K1291" i="5"/>
  <c r="L1290" i="5"/>
  <c r="K1290" i="5"/>
  <c r="O1290" i="5" s="1"/>
  <c r="L1289" i="5"/>
  <c r="K1289" i="5"/>
  <c r="L1288" i="5"/>
  <c r="K1288" i="5"/>
  <c r="L1287" i="5"/>
  <c r="K1287" i="5"/>
  <c r="M1287" i="5" s="1"/>
  <c r="L1286" i="5"/>
  <c r="K1286" i="5"/>
  <c r="L1285" i="5"/>
  <c r="K1285" i="5"/>
  <c r="L1284" i="5"/>
  <c r="K1284" i="5"/>
  <c r="M1284" i="5" s="1"/>
  <c r="L1283" i="5"/>
  <c r="K1283" i="5"/>
  <c r="L1282" i="5"/>
  <c r="K1282" i="5"/>
  <c r="O1282" i="5" s="1"/>
  <c r="L1281" i="5"/>
  <c r="K1281" i="5"/>
  <c r="O1281" i="5" s="1"/>
  <c r="L1280" i="5"/>
  <c r="K1280" i="5"/>
  <c r="L1279" i="5"/>
  <c r="K1279" i="5"/>
  <c r="O1279" i="5" s="1"/>
  <c r="L1278" i="5"/>
  <c r="K1278" i="5"/>
  <c r="L1277" i="5"/>
  <c r="K1277" i="5"/>
  <c r="L1276" i="5"/>
  <c r="K1276" i="5"/>
  <c r="O1276" i="5" s="1"/>
  <c r="L1275" i="5"/>
  <c r="K1275" i="5"/>
  <c r="O1275" i="5" s="1"/>
  <c r="L1274" i="5"/>
  <c r="K1274" i="5"/>
  <c r="L1273" i="5"/>
  <c r="K1273" i="5"/>
  <c r="O1273" i="5" s="1"/>
  <c r="L1272" i="5"/>
  <c r="K1272" i="5"/>
  <c r="O1272" i="5" s="1"/>
  <c r="L1271" i="5"/>
  <c r="K1271" i="5"/>
  <c r="L1270" i="5"/>
  <c r="K1270" i="5"/>
  <c r="M1270" i="5" s="1"/>
  <c r="L1269" i="5"/>
  <c r="K1269" i="5"/>
  <c r="O1269" i="5" s="1"/>
  <c r="L1268" i="5"/>
  <c r="K1268" i="5"/>
  <c r="M1268" i="5" s="1"/>
  <c r="L1267" i="5"/>
  <c r="K1267" i="5"/>
  <c r="M1267" i="5" s="1"/>
  <c r="L1266" i="5"/>
  <c r="K1266" i="5"/>
  <c r="L1265" i="5"/>
  <c r="K1265" i="5"/>
  <c r="L1264" i="5"/>
  <c r="K1264" i="5"/>
  <c r="O1264" i="5" s="1"/>
  <c r="L1263" i="5"/>
  <c r="K1263" i="5"/>
  <c r="L1262" i="5"/>
  <c r="K1262" i="5"/>
  <c r="L1261" i="5"/>
  <c r="K1261" i="5"/>
  <c r="M1261" i="5" s="1"/>
  <c r="O1260" i="5"/>
  <c r="M1260" i="5"/>
  <c r="L1260" i="5"/>
  <c r="K1260" i="5"/>
  <c r="L1259" i="5"/>
  <c r="K1259" i="5"/>
  <c r="O1259" i="5" s="1"/>
  <c r="L1258" i="5"/>
  <c r="K1258" i="5"/>
  <c r="O1258" i="5" s="1"/>
  <c r="L1257" i="5"/>
  <c r="K1257" i="5"/>
  <c r="L1256" i="5"/>
  <c r="K1256" i="5"/>
  <c r="L1255" i="5"/>
  <c r="K1255" i="5"/>
  <c r="M1255" i="5" s="1"/>
  <c r="L1254" i="5"/>
  <c r="K1254" i="5"/>
  <c r="L1253" i="5"/>
  <c r="K1253" i="5"/>
  <c r="O1253" i="5" s="1"/>
  <c r="L1252" i="5"/>
  <c r="K1252" i="5"/>
  <c r="M1252" i="5" s="1"/>
  <c r="L1251" i="5"/>
  <c r="K1251" i="5"/>
  <c r="L1250" i="5"/>
  <c r="K1250" i="5"/>
  <c r="L1249" i="5"/>
  <c r="K1249" i="5"/>
  <c r="L1248" i="5"/>
  <c r="K1248" i="5"/>
  <c r="O1248" i="5" s="1"/>
  <c r="L1247" i="5"/>
  <c r="K1247" i="5"/>
  <c r="M1247" i="5" s="1"/>
  <c r="L1246" i="5"/>
  <c r="K1246" i="5"/>
  <c r="O1246" i="5" s="1"/>
  <c r="L1245" i="5"/>
  <c r="K1245" i="5"/>
  <c r="L1244" i="5"/>
  <c r="K1244" i="5"/>
  <c r="L1243" i="5"/>
  <c r="K1243" i="5"/>
  <c r="O1243" i="5" s="1"/>
  <c r="L1242" i="5"/>
  <c r="K1242" i="5"/>
  <c r="L1241" i="5"/>
  <c r="K1241" i="5"/>
  <c r="O1240" i="5"/>
  <c r="L1240" i="5"/>
  <c r="K1240" i="5"/>
  <c r="M1240" i="5" s="1"/>
  <c r="L1239" i="5"/>
  <c r="K1239" i="5"/>
  <c r="L1238" i="5"/>
  <c r="K1238" i="5"/>
  <c r="O1238" i="5" s="1"/>
  <c r="L1237" i="5"/>
  <c r="K1237" i="5"/>
  <c r="L1236" i="5"/>
  <c r="K1236" i="5"/>
  <c r="L1235" i="5"/>
  <c r="K1235" i="5"/>
  <c r="M1235" i="5" s="1"/>
  <c r="L1234" i="5"/>
  <c r="K1234" i="5"/>
  <c r="L1233" i="5"/>
  <c r="K1233" i="5"/>
  <c r="L1232" i="5"/>
  <c r="K1232" i="5"/>
  <c r="M1232" i="5" s="1"/>
  <c r="L1231" i="5"/>
  <c r="K1231" i="5"/>
  <c r="O1231" i="5" s="1"/>
  <c r="L1230" i="5"/>
  <c r="K1230" i="5"/>
  <c r="O1230" i="5" s="1"/>
  <c r="L1229" i="5"/>
  <c r="K1229" i="5"/>
  <c r="M1229" i="5" s="1"/>
  <c r="L1228" i="5"/>
  <c r="K1228" i="5"/>
  <c r="L1227" i="5"/>
  <c r="K1227" i="5"/>
  <c r="O1227" i="5" s="1"/>
  <c r="L1226" i="5"/>
  <c r="K1226" i="5"/>
  <c r="O1226" i="5" s="1"/>
  <c r="L1225" i="5"/>
  <c r="K1225" i="5"/>
  <c r="M1225" i="5" s="1"/>
  <c r="L1224" i="5"/>
  <c r="K1224" i="5"/>
  <c r="O1224" i="5" s="1"/>
  <c r="L1223" i="5"/>
  <c r="K1223" i="5"/>
  <c r="O1223" i="5" s="1"/>
  <c r="L1222" i="5"/>
  <c r="K1222" i="5"/>
  <c r="O1222" i="5" s="1"/>
  <c r="L1221" i="5"/>
  <c r="K1221" i="5"/>
  <c r="M1221" i="5" s="1"/>
  <c r="L1220" i="5"/>
  <c r="K1220" i="5"/>
  <c r="O1220" i="5" s="1"/>
  <c r="L1219" i="5"/>
  <c r="K1219" i="5"/>
  <c r="O1219" i="5" s="1"/>
  <c r="L1218" i="5"/>
  <c r="K1218" i="5"/>
  <c r="O1218" i="5" s="1"/>
  <c r="L1217" i="5"/>
  <c r="K1217" i="5"/>
  <c r="M1217" i="5" s="1"/>
  <c r="L1216" i="5"/>
  <c r="K1216" i="5"/>
  <c r="L1215" i="5"/>
  <c r="K1215" i="5"/>
  <c r="O1215" i="5" s="1"/>
  <c r="L1214" i="5"/>
  <c r="K1214" i="5"/>
  <c r="O1214" i="5" s="1"/>
  <c r="L1213" i="5"/>
  <c r="K1213" i="5"/>
  <c r="M1213" i="5" s="1"/>
  <c r="L1212" i="5"/>
  <c r="K1212" i="5"/>
  <c r="L1211" i="5"/>
  <c r="K1211" i="5"/>
  <c r="O1211" i="5" s="1"/>
  <c r="L1210" i="5"/>
  <c r="K1210" i="5"/>
  <c r="O1210" i="5" s="1"/>
  <c r="L1209" i="5"/>
  <c r="K1209" i="5"/>
  <c r="M1209" i="5" s="1"/>
  <c r="L1208" i="5"/>
  <c r="K1208" i="5"/>
  <c r="O1208" i="5" s="1"/>
  <c r="L1207" i="5"/>
  <c r="K1207" i="5"/>
  <c r="O1207" i="5" s="1"/>
  <c r="L1206" i="5"/>
  <c r="K1206" i="5"/>
  <c r="O1206" i="5" s="1"/>
  <c r="L1205" i="5"/>
  <c r="K1205" i="5"/>
  <c r="M1205" i="5" s="1"/>
  <c r="L1204" i="5"/>
  <c r="K1204" i="5"/>
  <c r="M1204" i="5" s="1"/>
  <c r="L1203" i="5"/>
  <c r="K1203" i="5"/>
  <c r="O1203" i="5" s="1"/>
  <c r="L1202" i="5"/>
  <c r="K1202" i="5"/>
  <c r="O1202" i="5" s="1"/>
  <c r="L1201" i="5"/>
  <c r="K1201" i="5"/>
  <c r="M1201" i="5" s="1"/>
  <c r="L1200" i="5"/>
  <c r="K1200" i="5"/>
  <c r="O1200" i="5" s="1"/>
  <c r="L1199" i="5"/>
  <c r="K1199" i="5"/>
  <c r="L1198" i="5"/>
  <c r="K1198" i="5"/>
  <c r="O1198" i="5" s="1"/>
  <c r="L1197" i="5"/>
  <c r="K1197" i="5"/>
  <c r="M1197" i="5" s="1"/>
  <c r="L1196" i="5"/>
  <c r="K1196" i="5"/>
  <c r="L1195" i="5"/>
  <c r="K1195" i="5"/>
  <c r="O1195" i="5" s="1"/>
  <c r="L1194" i="5"/>
  <c r="K1194" i="5"/>
  <c r="O1194" i="5" s="1"/>
  <c r="L1193" i="5"/>
  <c r="K1193" i="5"/>
  <c r="M1193" i="5" s="1"/>
  <c r="L1192" i="5"/>
  <c r="K1192" i="5"/>
  <c r="O1192" i="5" s="1"/>
  <c r="L1191" i="5"/>
  <c r="K1191" i="5"/>
  <c r="M1191" i="5" s="1"/>
  <c r="L1190" i="5"/>
  <c r="K1190" i="5"/>
  <c r="O1190" i="5" s="1"/>
  <c r="L1189" i="5"/>
  <c r="K1189" i="5"/>
  <c r="M1189" i="5" s="1"/>
  <c r="L1188" i="5"/>
  <c r="K1188" i="5"/>
  <c r="M1188" i="5" s="1"/>
  <c r="L1187" i="5"/>
  <c r="K1187" i="5"/>
  <c r="O1187" i="5" s="1"/>
  <c r="L1186" i="5"/>
  <c r="K1186" i="5"/>
  <c r="O1186" i="5" s="1"/>
  <c r="L1185" i="5"/>
  <c r="K1185" i="5"/>
  <c r="M1185" i="5" s="1"/>
  <c r="L1184" i="5"/>
  <c r="K1184" i="5"/>
  <c r="L1183" i="5"/>
  <c r="K1183" i="5"/>
  <c r="L1182" i="5"/>
  <c r="K1182" i="5"/>
  <c r="O1182" i="5" s="1"/>
  <c r="L1181" i="5"/>
  <c r="K1181" i="5"/>
  <c r="M1181" i="5" s="1"/>
  <c r="L1180" i="5"/>
  <c r="K1180" i="5"/>
  <c r="L1179" i="5"/>
  <c r="K1179" i="5"/>
  <c r="L1178" i="5"/>
  <c r="K1178" i="5"/>
  <c r="O1178" i="5" s="1"/>
  <c r="L1177" i="5"/>
  <c r="K1177" i="5"/>
  <c r="L1176" i="5"/>
  <c r="K1176" i="5"/>
  <c r="M1176" i="5" s="1"/>
  <c r="L1175" i="5"/>
  <c r="K1175" i="5"/>
  <c r="L1174" i="5"/>
  <c r="K1174" i="5"/>
  <c r="L1173" i="5"/>
  <c r="K1173" i="5"/>
  <c r="L1172" i="5"/>
  <c r="K1172" i="5"/>
  <c r="L1171" i="5"/>
  <c r="K1171" i="5"/>
  <c r="M1171" i="5" s="1"/>
  <c r="L1170" i="5"/>
  <c r="K1170" i="5"/>
  <c r="L1169" i="5"/>
  <c r="K1169" i="5"/>
  <c r="O1169" i="5" s="1"/>
  <c r="L1168" i="5"/>
  <c r="K1168" i="5"/>
  <c r="O1168" i="5" s="1"/>
  <c r="L1167" i="5"/>
  <c r="K1167" i="5"/>
  <c r="L1166" i="5"/>
  <c r="K1166" i="5"/>
  <c r="O1166" i="5" s="1"/>
  <c r="L1165" i="5"/>
  <c r="K1165" i="5"/>
  <c r="L1164" i="5"/>
  <c r="K1164" i="5"/>
  <c r="O1164" i="5" s="1"/>
  <c r="L1163" i="5"/>
  <c r="K1163" i="5"/>
  <c r="L1162" i="5"/>
  <c r="K1162" i="5"/>
  <c r="M1162" i="5" s="1"/>
  <c r="L1161" i="5"/>
  <c r="K1161" i="5"/>
  <c r="O1161" i="5" s="1"/>
  <c r="L1160" i="5"/>
  <c r="K1160" i="5"/>
  <c r="L1159" i="5"/>
  <c r="K1159" i="5"/>
  <c r="O1159" i="5" s="1"/>
  <c r="L1158" i="5"/>
  <c r="K1158" i="5"/>
  <c r="L1157" i="5"/>
  <c r="K1157" i="5"/>
  <c r="M1157" i="5" s="1"/>
  <c r="L1156" i="5"/>
  <c r="K1156" i="5"/>
  <c r="O1156" i="5" s="1"/>
  <c r="L1155" i="5"/>
  <c r="K1155" i="5"/>
  <c r="O1155" i="5" s="1"/>
  <c r="L1154" i="5"/>
  <c r="K1154" i="5"/>
  <c r="L1153" i="5"/>
  <c r="K1153" i="5"/>
  <c r="O1153" i="5" s="1"/>
  <c r="L1152" i="5"/>
  <c r="K1152" i="5"/>
  <c r="M1152" i="5" s="1"/>
  <c r="L1151" i="5"/>
  <c r="K1151" i="5"/>
  <c r="O1151" i="5" s="1"/>
  <c r="L1150" i="5"/>
  <c r="K1150" i="5"/>
  <c r="O1150" i="5" s="1"/>
  <c r="L1149" i="5"/>
  <c r="K1149" i="5"/>
  <c r="O1149" i="5" s="1"/>
  <c r="O1148" i="5"/>
  <c r="L1148" i="5"/>
  <c r="K1148" i="5"/>
  <c r="M1148" i="5" s="1"/>
  <c r="L1147" i="5"/>
  <c r="K1147" i="5"/>
  <c r="L1146" i="5"/>
  <c r="K1146" i="5"/>
  <c r="M1145" i="5"/>
  <c r="L1145" i="5"/>
  <c r="K1145" i="5"/>
  <c r="O1145" i="5" s="1"/>
  <c r="L1144" i="5"/>
  <c r="K1144" i="5"/>
  <c r="L1143" i="5"/>
  <c r="K1143" i="5"/>
  <c r="O1143" i="5" s="1"/>
  <c r="L1142" i="5"/>
  <c r="K1142" i="5"/>
  <c r="L1141" i="5"/>
  <c r="K1141" i="5"/>
  <c r="M1141" i="5" s="1"/>
  <c r="L1140" i="5"/>
  <c r="K1140" i="5"/>
  <c r="O1140" i="5" s="1"/>
  <c r="L1139" i="5"/>
  <c r="K1139" i="5"/>
  <c r="L1138" i="5"/>
  <c r="K1138" i="5"/>
  <c r="M1138" i="5" s="1"/>
  <c r="L1137" i="5"/>
  <c r="K1137" i="5"/>
  <c r="O1137" i="5" s="1"/>
  <c r="L1136" i="5"/>
  <c r="K1136" i="5"/>
  <c r="L1135" i="5"/>
  <c r="K1135" i="5"/>
  <c r="L1134" i="5"/>
  <c r="K1134" i="5"/>
  <c r="L1133" i="5"/>
  <c r="K1133" i="5"/>
  <c r="L1132" i="5"/>
  <c r="K1132" i="5"/>
  <c r="M1132" i="5" s="1"/>
  <c r="L1131" i="5"/>
  <c r="K1131" i="5"/>
  <c r="L1130" i="5"/>
  <c r="K1130" i="5"/>
  <c r="L1129" i="5"/>
  <c r="K1129" i="5"/>
  <c r="L1128" i="5"/>
  <c r="K1128" i="5"/>
  <c r="L1127" i="5"/>
  <c r="K1127" i="5"/>
  <c r="O1127" i="5" s="1"/>
  <c r="L1126" i="5"/>
  <c r="K1126" i="5"/>
  <c r="O1126" i="5" s="1"/>
  <c r="L1125" i="5"/>
  <c r="K1125" i="5"/>
  <c r="M1125" i="5" s="1"/>
  <c r="L1124" i="5"/>
  <c r="K1124" i="5"/>
  <c r="O1124" i="5" s="1"/>
  <c r="L1123" i="5"/>
  <c r="K1123" i="5"/>
  <c r="O1123" i="5" s="1"/>
  <c r="L1122" i="5"/>
  <c r="K1122" i="5"/>
  <c r="L1121" i="5"/>
  <c r="K1121" i="5"/>
  <c r="O1121" i="5" s="1"/>
  <c r="L1120" i="5"/>
  <c r="K1120" i="5"/>
  <c r="O1120" i="5" s="1"/>
  <c r="L1119" i="5"/>
  <c r="K1119" i="5"/>
  <c r="L1118" i="5"/>
  <c r="K1118" i="5"/>
  <c r="M1118" i="5" s="1"/>
  <c r="L1117" i="5"/>
  <c r="K1117" i="5"/>
  <c r="L1116" i="5"/>
  <c r="K1116" i="5"/>
  <c r="M1116" i="5" s="1"/>
  <c r="L1115" i="5"/>
  <c r="K1115" i="5"/>
  <c r="L1114" i="5"/>
  <c r="K1114" i="5"/>
  <c r="L1113" i="5"/>
  <c r="K1113" i="5"/>
  <c r="L1112" i="5"/>
  <c r="K1112" i="5"/>
  <c r="L1111" i="5"/>
  <c r="K1111" i="5"/>
  <c r="O1111" i="5" s="1"/>
  <c r="L1110" i="5"/>
  <c r="K1110" i="5"/>
  <c r="O1110" i="5" s="1"/>
  <c r="L1109" i="5"/>
  <c r="K1109" i="5"/>
  <c r="L1108" i="5"/>
  <c r="K1108" i="5"/>
  <c r="O1108" i="5" s="1"/>
  <c r="L1107" i="5"/>
  <c r="K1107" i="5"/>
  <c r="O1107" i="5" s="1"/>
  <c r="L1106" i="5"/>
  <c r="K1106" i="5"/>
  <c r="M1106" i="5" s="1"/>
  <c r="L1105" i="5"/>
  <c r="K1105" i="5"/>
  <c r="O1105" i="5" s="1"/>
  <c r="L1104" i="5"/>
  <c r="K1104" i="5"/>
  <c r="O1104" i="5" s="1"/>
  <c r="O1103" i="5"/>
  <c r="L1103" i="5"/>
  <c r="K1103" i="5"/>
  <c r="M1103" i="5" s="1"/>
  <c r="L1102" i="5"/>
  <c r="K1102" i="5"/>
  <c r="L1101" i="5"/>
  <c r="K1101" i="5"/>
  <c r="M1101" i="5" s="1"/>
  <c r="L1100" i="5"/>
  <c r="K1100" i="5"/>
  <c r="M1100" i="5" s="1"/>
  <c r="L1099" i="5"/>
  <c r="K1099" i="5"/>
  <c r="L1098" i="5"/>
  <c r="K1098" i="5"/>
  <c r="L1097" i="5"/>
  <c r="K1097" i="5"/>
  <c r="O1097" i="5" s="1"/>
  <c r="L1096" i="5"/>
  <c r="K1096" i="5"/>
  <c r="L1095" i="5"/>
  <c r="K1095" i="5"/>
  <c r="O1095" i="5" s="1"/>
  <c r="L1094" i="5"/>
  <c r="K1094" i="5"/>
  <c r="L1093" i="5"/>
  <c r="K1093" i="5"/>
  <c r="L1092" i="5"/>
  <c r="K1092" i="5"/>
  <c r="O1092" i="5" s="1"/>
  <c r="L1091" i="5"/>
  <c r="K1091" i="5"/>
  <c r="L1090" i="5"/>
  <c r="K1090" i="5"/>
  <c r="M1090" i="5" s="1"/>
  <c r="L1089" i="5"/>
  <c r="K1089" i="5"/>
  <c r="M1089" i="5" s="1"/>
  <c r="L1088" i="5"/>
  <c r="K1088" i="5"/>
  <c r="L1087" i="5"/>
  <c r="K1087" i="5"/>
  <c r="O1087" i="5" s="1"/>
  <c r="L1086" i="5"/>
  <c r="K1086" i="5"/>
  <c r="L1085" i="5"/>
  <c r="K1085" i="5"/>
  <c r="M1085" i="5" s="1"/>
  <c r="L1084" i="5"/>
  <c r="K1084" i="5"/>
  <c r="L1083" i="5"/>
  <c r="K1083" i="5"/>
  <c r="L1082" i="5"/>
  <c r="K1082" i="5"/>
  <c r="L1081" i="5"/>
  <c r="K1081" i="5"/>
  <c r="O1081" i="5" s="1"/>
  <c r="L1080" i="5"/>
  <c r="K1080" i="5"/>
  <c r="L1079" i="5"/>
  <c r="K1079" i="5"/>
  <c r="O1079" i="5" s="1"/>
  <c r="L1078" i="5"/>
  <c r="K1078" i="5"/>
  <c r="L1077" i="5"/>
  <c r="K1077" i="5"/>
  <c r="L1076" i="5"/>
  <c r="K1076" i="5"/>
  <c r="O1076" i="5" s="1"/>
  <c r="L1075" i="5"/>
  <c r="K1075" i="5"/>
  <c r="L1074" i="5"/>
  <c r="K1074" i="5"/>
  <c r="L1073" i="5"/>
  <c r="K1073" i="5"/>
  <c r="M1073" i="5" s="1"/>
  <c r="L1072" i="5"/>
  <c r="K1072" i="5"/>
  <c r="L1071" i="5"/>
  <c r="K1071" i="5"/>
  <c r="L1070" i="5"/>
  <c r="K1070" i="5"/>
  <c r="O1070" i="5" s="1"/>
  <c r="L1069" i="5"/>
  <c r="K1069" i="5"/>
  <c r="L1068" i="5"/>
  <c r="K1068" i="5"/>
  <c r="O1068" i="5" s="1"/>
  <c r="L1067" i="5"/>
  <c r="K1067" i="5"/>
  <c r="L1066" i="5"/>
  <c r="K1066" i="5"/>
  <c r="L1065" i="5"/>
  <c r="K1065" i="5"/>
  <c r="O1065" i="5" s="1"/>
  <c r="L1064" i="5"/>
  <c r="K1064" i="5"/>
  <c r="L1063" i="5"/>
  <c r="K1063" i="5"/>
  <c r="L1062" i="5"/>
  <c r="K1062" i="5"/>
  <c r="L1061" i="5"/>
  <c r="K1061" i="5"/>
  <c r="L1060" i="5"/>
  <c r="K1060" i="5"/>
  <c r="L1059" i="5"/>
  <c r="K1059" i="5"/>
  <c r="O1059" i="5" s="1"/>
  <c r="L1058" i="5"/>
  <c r="K1058" i="5"/>
  <c r="M1058" i="5" s="1"/>
  <c r="L1057" i="5"/>
  <c r="K1057" i="5"/>
  <c r="L1056" i="5"/>
  <c r="K1056" i="5"/>
  <c r="O1056" i="5" s="1"/>
  <c r="L1055" i="5"/>
  <c r="K1055" i="5"/>
  <c r="M1055" i="5" s="1"/>
  <c r="L1054" i="5"/>
  <c r="K1054" i="5"/>
  <c r="L1053" i="5"/>
  <c r="K1053" i="5"/>
  <c r="M1053" i="5" s="1"/>
  <c r="L1052" i="5"/>
  <c r="K1052" i="5"/>
  <c r="O1052" i="5" s="1"/>
  <c r="L1051" i="5"/>
  <c r="K1051" i="5"/>
  <c r="L1050" i="5"/>
  <c r="K1050" i="5"/>
  <c r="L1049" i="5"/>
  <c r="K1049" i="5"/>
  <c r="O1049" i="5" s="1"/>
  <c r="L1048" i="5"/>
  <c r="K1048" i="5"/>
  <c r="O1048" i="5" s="1"/>
  <c r="L1047" i="5"/>
  <c r="K1047" i="5"/>
  <c r="L1046" i="5"/>
  <c r="K1046" i="5"/>
  <c r="O1046" i="5" s="1"/>
  <c r="L1045" i="5"/>
  <c r="K1045" i="5"/>
  <c r="L1044" i="5"/>
  <c r="K1044" i="5"/>
  <c r="O1043" i="5"/>
  <c r="L1043" i="5"/>
  <c r="K1043" i="5"/>
  <c r="M1043" i="5" s="1"/>
  <c r="L1042" i="5"/>
  <c r="K1042" i="5"/>
  <c r="L1041" i="5"/>
  <c r="K1041" i="5"/>
  <c r="L1040" i="5"/>
  <c r="K1040" i="5"/>
  <c r="L1039" i="5"/>
  <c r="K1039" i="5"/>
  <c r="O1039" i="5" s="1"/>
  <c r="L1038" i="5"/>
  <c r="K1038" i="5"/>
  <c r="O1038" i="5" s="1"/>
  <c r="L1037" i="5"/>
  <c r="K1037" i="5"/>
  <c r="L1036" i="5"/>
  <c r="K1036" i="5"/>
  <c r="O1036" i="5" s="1"/>
  <c r="L1035" i="5"/>
  <c r="K1035" i="5"/>
  <c r="L1034" i="5"/>
  <c r="K1034" i="5"/>
  <c r="L1033" i="5"/>
  <c r="K1033" i="5"/>
  <c r="L1032" i="5"/>
  <c r="K1032" i="5"/>
  <c r="L1031" i="5"/>
  <c r="K1031" i="5"/>
  <c r="L1030" i="5"/>
  <c r="K1030" i="5"/>
  <c r="L1029" i="5"/>
  <c r="K1029" i="5"/>
  <c r="L1028" i="5"/>
  <c r="K1028" i="5"/>
  <c r="L1027" i="5"/>
  <c r="K1027" i="5"/>
  <c r="L1026" i="5"/>
  <c r="K1026" i="5"/>
  <c r="O1026" i="5" s="1"/>
  <c r="L1025" i="5"/>
  <c r="K1025" i="5"/>
  <c r="L1024" i="5"/>
  <c r="K1024" i="5"/>
  <c r="O1024" i="5" s="1"/>
  <c r="L1023" i="5"/>
  <c r="K1023" i="5"/>
  <c r="L1022" i="5"/>
  <c r="K1022" i="5"/>
  <c r="O1022" i="5" s="1"/>
  <c r="L1021" i="5"/>
  <c r="K1021" i="5"/>
  <c r="M1021" i="5" s="1"/>
  <c r="L1020" i="5"/>
  <c r="K1020" i="5"/>
  <c r="M1020" i="5" s="1"/>
  <c r="L1019" i="5"/>
  <c r="K1019" i="5"/>
  <c r="L1018" i="5"/>
  <c r="K1018" i="5"/>
  <c r="O1018" i="5" s="1"/>
  <c r="L1017" i="5"/>
  <c r="K1017" i="5"/>
  <c r="M1017" i="5" s="1"/>
  <c r="L1016" i="5"/>
  <c r="K1016" i="5"/>
  <c r="O1016" i="5" s="1"/>
  <c r="L1015" i="5"/>
  <c r="K1015" i="5"/>
  <c r="L1014" i="5"/>
  <c r="K1014" i="5"/>
  <c r="L1013" i="5"/>
  <c r="K1013" i="5"/>
  <c r="M1013" i="5" s="1"/>
  <c r="L1012" i="5"/>
  <c r="K1012" i="5"/>
  <c r="L1011" i="5"/>
  <c r="K1011" i="5"/>
  <c r="M1011" i="5" s="1"/>
  <c r="L1010" i="5"/>
  <c r="K1010" i="5"/>
  <c r="O1010" i="5" s="1"/>
  <c r="L1009" i="5"/>
  <c r="K1009" i="5"/>
  <c r="M1009" i="5" s="1"/>
  <c r="L1008" i="5"/>
  <c r="K1008" i="5"/>
  <c r="O1008" i="5" s="1"/>
  <c r="L1007" i="5"/>
  <c r="K1007" i="5"/>
  <c r="L1006" i="5"/>
  <c r="K1006" i="5"/>
  <c r="L1005" i="5"/>
  <c r="K1005" i="5"/>
  <c r="M1005" i="5" s="1"/>
  <c r="L1004" i="5"/>
  <c r="K1004" i="5"/>
  <c r="L1003" i="5"/>
  <c r="K1003" i="5"/>
  <c r="M1003" i="5" s="1"/>
  <c r="L1002" i="5"/>
  <c r="K1002" i="5"/>
  <c r="O1002" i="5" s="1"/>
  <c r="L1001" i="5"/>
  <c r="K1001" i="5"/>
  <c r="M1001" i="5" s="1"/>
  <c r="L1000" i="5"/>
  <c r="K1000" i="5"/>
  <c r="O1000" i="5" s="1"/>
  <c r="L999" i="5"/>
  <c r="K999" i="5"/>
  <c r="L998" i="5"/>
  <c r="K998" i="5"/>
  <c r="L997" i="5"/>
  <c r="K997" i="5"/>
  <c r="L996" i="5"/>
  <c r="K996" i="5"/>
  <c r="L995" i="5"/>
  <c r="K995" i="5"/>
  <c r="M995" i="5" s="1"/>
  <c r="L994" i="5"/>
  <c r="K994" i="5"/>
  <c r="O994" i="5" s="1"/>
  <c r="L993" i="5"/>
  <c r="K993" i="5"/>
  <c r="L992" i="5"/>
  <c r="K992" i="5"/>
  <c r="O992" i="5" s="1"/>
  <c r="L991" i="5"/>
  <c r="K991" i="5"/>
  <c r="L990" i="5"/>
  <c r="K990" i="5"/>
  <c r="L989" i="5"/>
  <c r="K989" i="5"/>
  <c r="L988" i="5"/>
  <c r="K988" i="5"/>
  <c r="O988" i="5" s="1"/>
  <c r="L987" i="5"/>
  <c r="K987" i="5"/>
  <c r="M987" i="5" s="1"/>
  <c r="L986" i="5"/>
  <c r="K986" i="5"/>
  <c r="O986" i="5" s="1"/>
  <c r="L985" i="5"/>
  <c r="K985" i="5"/>
  <c r="M985" i="5" s="1"/>
  <c r="L984" i="5"/>
  <c r="K984" i="5"/>
  <c r="L983" i="5"/>
  <c r="K983" i="5"/>
  <c r="L982" i="5"/>
  <c r="K982" i="5"/>
  <c r="O982" i="5" s="1"/>
  <c r="L981" i="5"/>
  <c r="K981" i="5"/>
  <c r="L980" i="5"/>
  <c r="K980" i="5"/>
  <c r="O980" i="5" s="1"/>
  <c r="L979" i="5"/>
  <c r="K979" i="5"/>
  <c r="M979" i="5" s="1"/>
  <c r="L978" i="5"/>
  <c r="K978" i="5"/>
  <c r="O978" i="5" s="1"/>
  <c r="L977" i="5"/>
  <c r="K977" i="5"/>
  <c r="M977" i="5" s="1"/>
  <c r="L976" i="5"/>
  <c r="K976" i="5"/>
  <c r="L975" i="5"/>
  <c r="K975" i="5"/>
  <c r="L974" i="5"/>
  <c r="K974" i="5"/>
  <c r="O974" i="5" s="1"/>
  <c r="L973" i="5"/>
  <c r="K973" i="5"/>
  <c r="L972" i="5"/>
  <c r="K972" i="5"/>
  <c r="L971" i="5"/>
  <c r="K971" i="5"/>
  <c r="M971" i="5" s="1"/>
  <c r="L970" i="5"/>
  <c r="K970" i="5"/>
  <c r="O970" i="5" s="1"/>
  <c r="L969" i="5"/>
  <c r="K969" i="5"/>
  <c r="M969" i="5" s="1"/>
  <c r="L968" i="5"/>
  <c r="K968" i="5"/>
  <c r="L967" i="5"/>
  <c r="K967" i="5"/>
  <c r="L966" i="5"/>
  <c r="K966" i="5"/>
  <c r="O966" i="5" s="1"/>
  <c r="L965" i="5"/>
  <c r="K965" i="5"/>
  <c r="O964" i="5"/>
  <c r="L964" i="5"/>
  <c r="K964" i="5"/>
  <c r="M964" i="5" s="1"/>
  <c r="L963" i="5"/>
  <c r="K963" i="5"/>
  <c r="L962" i="5"/>
  <c r="K962" i="5"/>
  <c r="O962" i="5" s="1"/>
  <c r="L961" i="5"/>
  <c r="K961" i="5"/>
  <c r="M961" i="5" s="1"/>
  <c r="L960" i="5"/>
  <c r="K960" i="5"/>
  <c r="O960" i="5" s="1"/>
  <c r="L959" i="5"/>
  <c r="K959" i="5"/>
  <c r="L958" i="5"/>
  <c r="K958" i="5"/>
  <c r="O958" i="5" s="1"/>
  <c r="L957" i="5"/>
  <c r="K957" i="5"/>
  <c r="L956" i="5"/>
  <c r="K956" i="5"/>
  <c r="M956" i="5" s="1"/>
  <c r="L955" i="5"/>
  <c r="K955" i="5"/>
  <c r="O955" i="5" s="1"/>
  <c r="L954" i="5"/>
  <c r="K954" i="5"/>
  <c r="M954" i="5" s="1"/>
  <c r="L953" i="5"/>
  <c r="K953" i="5"/>
  <c r="L952" i="5"/>
  <c r="K952" i="5"/>
  <c r="O952" i="5" s="1"/>
  <c r="L951" i="5"/>
  <c r="K951" i="5"/>
  <c r="L950" i="5"/>
  <c r="K950" i="5"/>
  <c r="L949" i="5"/>
  <c r="K949" i="5"/>
  <c r="M949" i="5" s="1"/>
  <c r="L948" i="5"/>
  <c r="K948" i="5"/>
  <c r="L947" i="5"/>
  <c r="K947" i="5"/>
  <c r="L946" i="5"/>
  <c r="K946" i="5"/>
  <c r="M946" i="5" s="1"/>
  <c r="L945" i="5"/>
  <c r="K945" i="5"/>
  <c r="O945" i="5" s="1"/>
  <c r="L944" i="5"/>
  <c r="K944" i="5"/>
  <c r="L943" i="5"/>
  <c r="K943" i="5"/>
  <c r="M943" i="5" s="1"/>
  <c r="L942" i="5"/>
  <c r="K942" i="5"/>
  <c r="O942" i="5" s="1"/>
  <c r="O941" i="5"/>
  <c r="L941" i="5"/>
  <c r="K941" i="5"/>
  <c r="M941" i="5" s="1"/>
  <c r="L940" i="5"/>
  <c r="K940" i="5"/>
  <c r="L939" i="5"/>
  <c r="K939" i="5"/>
  <c r="O939" i="5" s="1"/>
  <c r="L938" i="5"/>
  <c r="K938" i="5"/>
  <c r="L937" i="5"/>
  <c r="K937" i="5"/>
  <c r="L936" i="5"/>
  <c r="K936" i="5"/>
  <c r="O936" i="5" s="1"/>
  <c r="L935" i="5"/>
  <c r="K935" i="5"/>
  <c r="M935" i="5" s="1"/>
  <c r="L934" i="5"/>
  <c r="K934" i="5"/>
  <c r="L933" i="5"/>
  <c r="K933" i="5"/>
  <c r="M933" i="5" s="1"/>
  <c r="L932" i="5"/>
  <c r="K932" i="5"/>
  <c r="M932" i="5" s="1"/>
  <c r="L931" i="5"/>
  <c r="K931" i="5"/>
  <c r="O931" i="5" s="1"/>
  <c r="L930" i="5"/>
  <c r="K930" i="5"/>
  <c r="L929" i="5"/>
  <c r="K929" i="5"/>
  <c r="M929" i="5" s="1"/>
  <c r="L928" i="5"/>
  <c r="K928" i="5"/>
  <c r="O928" i="5" s="1"/>
  <c r="L927" i="5"/>
  <c r="K927" i="5"/>
  <c r="L926" i="5"/>
  <c r="K926" i="5"/>
  <c r="L925" i="5"/>
  <c r="K925" i="5"/>
  <c r="L924" i="5"/>
  <c r="K924" i="5"/>
  <c r="M924" i="5" s="1"/>
  <c r="L923" i="5"/>
  <c r="K923" i="5"/>
  <c r="O923" i="5" s="1"/>
  <c r="L922" i="5"/>
  <c r="K922" i="5"/>
  <c r="M922" i="5" s="1"/>
  <c r="L921" i="5"/>
  <c r="K921" i="5"/>
  <c r="O921" i="5" s="1"/>
  <c r="L920" i="5"/>
  <c r="K920" i="5"/>
  <c r="M920" i="5" s="1"/>
  <c r="L919" i="5"/>
  <c r="K919" i="5"/>
  <c r="L918" i="5"/>
  <c r="K918" i="5"/>
  <c r="M918" i="5" s="1"/>
  <c r="L917" i="5"/>
  <c r="K917" i="5"/>
  <c r="O917" i="5" s="1"/>
  <c r="L916" i="5"/>
  <c r="K916" i="5"/>
  <c r="O916" i="5" s="1"/>
  <c r="L915" i="5"/>
  <c r="K915" i="5"/>
  <c r="L914" i="5"/>
  <c r="K914" i="5"/>
  <c r="L913" i="5"/>
  <c r="K913" i="5"/>
  <c r="O913" i="5" s="1"/>
  <c r="L912" i="5"/>
  <c r="K912" i="5"/>
  <c r="L911" i="5"/>
  <c r="K911" i="5"/>
  <c r="L910" i="5"/>
  <c r="K910" i="5"/>
  <c r="L909" i="5"/>
  <c r="K909" i="5"/>
  <c r="O909" i="5" s="1"/>
  <c r="L908" i="5"/>
  <c r="K908" i="5"/>
  <c r="L907" i="5"/>
  <c r="K907" i="5"/>
  <c r="O907" i="5" s="1"/>
  <c r="L906" i="5"/>
  <c r="K906" i="5"/>
  <c r="L905" i="5"/>
  <c r="K905" i="5"/>
  <c r="O905" i="5" s="1"/>
  <c r="L904" i="5"/>
  <c r="K904" i="5"/>
  <c r="M904" i="5" s="1"/>
  <c r="L903" i="5"/>
  <c r="K903" i="5"/>
  <c r="O903" i="5" s="1"/>
  <c r="L902" i="5"/>
  <c r="K902" i="5"/>
  <c r="L901" i="5"/>
  <c r="K901" i="5"/>
  <c r="O901" i="5" s="1"/>
  <c r="L900" i="5"/>
  <c r="K900" i="5"/>
  <c r="O900" i="5" s="1"/>
  <c r="L899" i="5"/>
  <c r="K899" i="5"/>
  <c r="L898" i="5"/>
  <c r="K898" i="5"/>
  <c r="L897" i="5"/>
  <c r="K897" i="5"/>
  <c r="O897" i="5" s="1"/>
  <c r="L896" i="5"/>
  <c r="K896" i="5"/>
  <c r="L895" i="5"/>
  <c r="K895" i="5"/>
  <c r="O895" i="5" s="1"/>
  <c r="L894" i="5"/>
  <c r="K894" i="5"/>
  <c r="L893" i="5"/>
  <c r="K893" i="5"/>
  <c r="L892" i="5"/>
  <c r="K892" i="5"/>
  <c r="M892" i="5" s="1"/>
  <c r="L891" i="5"/>
  <c r="K891" i="5"/>
  <c r="L890" i="5"/>
  <c r="K890" i="5"/>
  <c r="L889" i="5"/>
  <c r="K889" i="5"/>
  <c r="L888" i="5"/>
  <c r="K888" i="5"/>
  <c r="L887" i="5"/>
  <c r="K887" i="5"/>
  <c r="L886" i="5"/>
  <c r="K886" i="5"/>
  <c r="M886" i="5" s="1"/>
  <c r="L885" i="5"/>
  <c r="K885" i="5"/>
  <c r="O885" i="5" s="1"/>
  <c r="L884" i="5"/>
  <c r="K884" i="5"/>
  <c r="L883" i="5"/>
  <c r="K883" i="5"/>
  <c r="L882" i="5"/>
  <c r="K882" i="5"/>
  <c r="O881" i="5"/>
  <c r="L881" i="5"/>
  <c r="K881" i="5"/>
  <c r="M881" i="5" s="1"/>
  <c r="L880" i="5"/>
  <c r="K880" i="5"/>
  <c r="M880" i="5" s="1"/>
  <c r="L879" i="5"/>
  <c r="K879" i="5"/>
  <c r="O879" i="5" s="1"/>
  <c r="L878" i="5"/>
  <c r="K878" i="5"/>
  <c r="L877" i="5"/>
  <c r="K877" i="5"/>
  <c r="L876" i="5"/>
  <c r="K876" i="5"/>
  <c r="M876" i="5" s="1"/>
  <c r="L875" i="5"/>
  <c r="K875" i="5"/>
  <c r="O875" i="5" s="1"/>
  <c r="L874" i="5"/>
  <c r="K874" i="5"/>
  <c r="L873" i="5"/>
  <c r="K873" i="5"/>
  <c r="O873" i="5" s="1"/>
  <c r="L872" i="5"/>
  <c r="K872" i="5"/>
  <c r="L871" i="5"/>
  <c r="K871" i="5"/>
  <c r="O871" i="5" s="1"/>
  <c r="L870" i="5"/>
  <c r="K870" i="5"/>
  <c r="M870" i="5" s="1"/>
  <c r="L869" i="5"/>
  <c r="K869" i="5"/>
  <c r="O869" i="5" s="1"/>
  <c r="O868" i="5"/>
  <c r="L868" i="5"/>
  <c r="K868" i="5"/>
  <c r="M868" i="5" s="1"/>
  <c r="L867" i="5"/>
  <c r="K867" i="5"/>
  <c r="L866" i="5"/>
  <c r="K866" i="5"/>
  <c r="M866" i="5" s="1"/>
  <c r="L865" i="5"/>
  <c r="K865" i="5"/>
  <c r="M865" i="5" s="1"/>
  <c r="L864" i="5"/>
  <c r="K864" i="5"/>
  <c r="M864" i="5" s="1"/>
  <c r="L863" i="5"/>
  <c r="K863" i="5"/>
  <c r="O863" i="5" s="1"/>
  <c r="L862" i="5"/>
  <c r="K862" i="5"/>
  <c r="L861" i="5"/>
  <c r="K861" i="5"/>
  <c r="M861" i="5" s="1"/>
  <c r="L860" i="5"/>
  <c r="K860" i="5"/>
  <c r="M860" i="5" s="1"/>
  <c r="L859" i="5"/>
  <c r="K859" i="5"/>
  <c r="O859" i="5" s="1"/>
  <c r="L858" i="5"/>
  <c r="K858" i="5"/>
  <c r="M858" i="5" s="1"/>
  <c r="L857" i="5"/>
  <c r="K857" i="5"/>
  <c r="M857" i="5" s="1"/>
  <c r="L856" i="5"/>
  <c r="K856" i="5"/>
  <c r="M856" i="5" s="1"/>
  <c r="L855" i="5"/>
  <c r="K855" i="5"/>
  <c r="O855" i="5" s="1"/>
  <c r="L854" i="5"/>
  <c r="K854" i="5"/>
  <c r="L853" i="5"/>
  <c r="K853" i="5"/>
  <c r="L852" i="5"/>
  <c r="K852" i="5"/>
  <c r="M852" i="5" s="1"/>
  <c r="L851" i="5"/>
  <c r="K851" i="5"/>
  <c r="O851" i="5" s="1"/>
  <c r="L850" i="5"/>
  <c r="K850" i="5"/>
  <c r="M850" i="5" s="1"/>
  <c r="L849" i="5"/>
  <c r="K849" i="5"/>
  <c r="M849" i="5" s="1"/>
  <c r="L848" i="5"/>
  <c r="K848" i="5"/>
  <c r="L847" i="5"/>
  <c r="K847" i="5"/>
  <c r="O847" i="5" s="1"/>
  <c r="L846" i="5"/>
  <c r="K846" i="5"/>
  <c r="L845" i="5"/>
  <c r="K845" i="5"/>
  <c r="M845" i="5" s="1"/>
  <c r="L844" i="5"/>
  <c r="K844" i="5"/>
  <c r="M844" i="5" s="1"/>
  <c r="L843" i="5"/>
  <c r="K843" i="5"/>
  <c r="O843" i="5" s="1"/>
  <c r="L842" i="5"/>
  <c r="K842" i="5"/>
  <c r="M842" i="5" s="1"/>
  <c r="L841" i="5"/>
  <c r="K841" i="5"/>
  <c r="M841" i="5" s="1"/>
  <c r="L840" i="5"/>
  <c r="K840" i="5"/>
  <c r="M840" i="5" s="1"/>
  <c r="L839" i="5"/>
  <c r="K839" i="5"/>
  <c r="O839" i="5" s="1"/>
  <c r="L838" i="5"/>
  <c r="K838" i="5"/>
  <c r="L837" i="5"/>
  <c r="K837" i="5"/>
  <c r="M837" i="5" s="1"/>
  <c r="L836" i="5"/>
  <c r="K836" i="5"/>
  <c r="M836" i="5" s="1"/>
  <c r="L835" i="5"/>
  <c r="K835" i="5"/>
  <c r="O835" i="5" s="1"/>
  <c r="L834" i="5"/>
  <c r="K834" i="5"/>
  <c r="M834" i="5" s="1"/>
  <c r="L833" i="5"/>
  <c r="K833" i="5"/>
  <c r="M833" i="5" s="1"/>
  <c r="L832" i="5"/>
  <c r="K832" i="5"/>
  <c r="M832" i="5" s="1"/>
  <c r="L831" i="5"/>
  <c r="K831" i="5"/>
  <c r="O831" i="5" s="1"/>
  <c r="L830" i="5"/>
  <c r="K830" i="5"/>
  <c r="L829" i="5"/>
  <c r="K829" i="5"/>
  <c r="M829" i="5" s="1"/>
  <c r="L828" i="5"/>
  <c r="K828" i="5"/>
  <c r="L827" i="5"/>
  <c r="K827" i="5"/>
  <c r="O827" i="5" s="1"/>
  <c r="L826" i="5"/>
  <c r="K826" i="5"/>
  <c r="M826" i="5" s="1"/>
  <c r="L825" i="5"/>
  <c r="K825" i="5"/>
  <c r="M825" i="5" s="1"/>
  <c r="L824" i="5"/>
  <c r="K824" i="5"/>
  <c r="L823" i="5"/>
  <c r="K823" i="5"/>
  <c r="O823" i="5" s="1"/>
  <c r="L822" i="5"/>
  <c r="K822" i="5"/>
  <c r="L821" i="5"/>
  <c r="K821" i="5"/>
  <c r="L820" i="5"/>
  <c r="K820" i="5"/>
  <c r="M820" i="5" s="1"/>
  <c r="L819" i="5"/>
  <c r="K819" i="5"/>
  <c r="O819" i="5" s="1"/>
  <c r="L818" i="5"/>
  <c r="K818" i="5"/>
  <c r="M818" i="5" s="1"/>
  <c r="L817" i="5"/>
  <c r="K817" i="5"/>
  <c r="L816" i="5"/>
  <c r="K816" i="5"/>
  <c r="O816" i="5" s="1"/>
  <c r="L815" i="5"/>
  <c r="K815" i="5"/>
  <c r="L814" i="5"/>
  <c r="K814" i="5"/>
  <c r="L813" i="5"/>
  <c r="K813" i="5"/>
  <c r="L812" i="5"/>
  <c r="K812" i="5"/>
  <c r="M812" i="5" s="1"/>
  <c r="L811" i="5"/>
  <c r="K811" i="5"/>
  <c r="M811" i="5" s="1"/>
  <c r="L810" i="5"/>
  <c r="K810" i="5"/>
  <c r="L809" i="5"/>
  <c r="K809" i="5"/>
  <c r="L808" i="5"/>
  <c r="K808" i="5"/>
  <c r="L807" i="5"/>
  <c r="K807" i="5"/>
  <c r="O807" i="5" s="1"/>
  <c r="L806" i="5"/>
  <c r="K806" i="5"/>
  <c r="O806" i="5" s="1"/>
  <c r="L805" i="5"/>
  <c r="K805" i="5"/>
  <c r="M805" i="5" s="1"/>
  <c r="L804" i="5"/>
  <c r="K804" i="5"/>
  <c r="L803" i="5"/>
  <c r="K803" i="5"/>
  <c r="L802" i="5"/>
  <c r="K802" i="5"/>
  <c r="L801" i="5"/>
  <c r="K801" i="5"/>
  <c r="L800" i="5"/>
  <c r="K800" i="5"/>
  <c r="O800" i="5" s="1"/>
  <c r="L799" i="5"/>
  <c r="K799" i="5"/>
  <c r="L798" i="5"/>
  <c r="K798" i="5"/>
  <c r="O798" i="5" s="1"/>
  <c r="L797" i="5"/>
  <c r="K797" i="5"/>
  <c r="M797" i="5" s="1"/>
  <c r="L796" i="5"/>
  <c r="K796" i="5"/>
  <c r="L795" i="5"/>
  <c r="K795" i="5"/>
  <c r="O795" i="5" s="1"/>
  <c r="L794" i="5"/>
  <c r="K794" i="5"/>
  <c r="L793" i="5"/>
  <c r="K793" i="5"/>
  <c r="L792" i="5"/>
  <c r="K792" i="5"/>
  <c r="L791" i="5"/>
  <c r="K791" i="5"/>
  <c r="O791" i="5" s="1"/>
  <c r="L790" i="5"/>
  <c r="K790" i="5"/>
  <c r="L789" i="5"/>
  <c r="K789" i="5"/>
  <c r="M789" i="5" s="1"/>
  <c r="L788" i="5"/>
  <c r="K788" i="5"/>
  <c r="O788" i="5" s="1"/>
  <c r="L787" i="5"/>
  <c r="K787" i="5"/>
  <c r="M787" i="5" s="1"/>
  <c r="L786" i="5"/>
  <c r="K786" i="5"/>
  <c r="L785" i="5"/>
  <c r="K785" i="5"/>
  <c r="L784" i="5"/>
  <c r="K784" i="5"/>
  <c r="O784" i="5" s="1"/>
  <c r="L783" i="5"/>
  <c r="K783" i="5"/>
  <c r="L782" i="5"/>
  <c r="K782" i="5"/>
  <c r="O782" i="5" s="1"/>
  <c r="L781" i="5"/>
  <c r="K781" i="5"/>
  <c r="O781" i="5" s="1"/>
  <c r="L780" i="5"/>
  <c r="K780" i="5"/>
  <c r="L779" i="5"/>
  <c r="K779" i="5"/>
  <c r="L778" i="5"/>
  <c r="K778" i="5"/>
  <c r="O778" i="5" s="1"/>
  <c r="L777" i="5"/>
  <c r="K777" i="5"/>
  <c r="M777" i="5" s="1"/>
  <c r="L776" i="5"/>
  <c r="K776" i="5"/>
  <c r="L775" i="5"/>
  <c r="K775" i="5"/>
  <c r="O775" i="5" s="1"/>
  <c r="L774" i="5"/>
  <c r="K774" i="5"/>
  <c r="O774" i="5" s="1"/>
  <c r="L773" i="5"/>
  <c r="K773" i="5"/>
  <c r="M773" i="5" s="1"/>
  <c r="L772" i="5"/>
  <c r="K772" i="5"/>
  <c r="M772" i="5" s="1"/>
  <c r="L771" i="5"/>
  <c r="K771" i="5"/>
  <c r="M771" i="5" s="1"/>
  <c r="L770" i="5"/>
  <c r="K770" i="5"/>
  <c r="M770" i="5" s="1"/>
  <c r="L769" i="5"/>
  <c r="K769" i="5"/>
  <c r="L768" i="5"/>
  <c r="K768" i="5"/>
  <c r="O768" i="5" s="1"/>
  <c r="L767" i="5"/>
  <c r="K767" i="5"/>
  <c r="L766" i="5"/>
  <c r="K766" i="5"/>
  <c r="O766" i="5" s="1"/>
  <c r="L765" i="5"/>
  <c r="K765" i="5"/>
  <c r="M765" i="5" s="1"/>
  <c r="L764" i="5"/>
  <c r="K764" i="5"/>
  <c r="M764" i="5" s="1"/>
  <c r="L763" i="5"/>
  <c r="K763" i="5"/>
  <c r="O763" i="5" s="1"/>
  <c r="L762" i="5"/>
  <c r="K762" i="5"/>
  <c r="O762" i="5" s="1"/>
  <c r="L761" i="5"/>
  <c r="K761" i="5"/>
  <c r="M761" i="5" s="1"/>
  <c r="L760" i="5"/>
  <c r="K760" i="5"/>
  <c r="L759" i="5"/>
  <c r="K759" i="5"/>
  <c r="O759" i="5" s="1"/>
  <c r="L758" i="5"/>
  <c r="K758" i="5"/>
  <c r="O758" i="5" s="1"/>
  <c r="L757" i="5"/>
  <c r="K757" i="5"/>
  <c r="M757" i="5" s="1"/>
  <c r="L756" i="5"/>
  <c r="K756" i="5"/>
  <c r="L755" i="5"/>
  <c r="K755" i="5"/>
  <c r="L754" i="5"/>
  <c r="K754" i="5"/>
  <c r="M754" i="5" s="1"/>
  <c r="L753" i="5"/>
  <c r="K753" i="5"/>
  <c r="L752" i="5"/>
  <c r="K752" i="5"/>
  <c r="O752" i="5" s="1"/>
  <c r="L751" i="5"/>
  <c r="K751" i="5"/>
  <c r="L750" i="5"/>
  <c r="K750" i="5"/>
  <c r="O750" i="5" s="1"/>
  <c r="L749" i="5"/>
  <c r="K749" i="5"/>
  <c r="M749" i="5" s="1"/>
  <c r="L748" i="5"/>
  <c r="K748" i="5"/>
  <c r="M748" i="5" s="1"/>
  <c r="L747" i="5"/>
  <c r="K747" i="5"/>
  <c r="O747" i="5" s="1"/>
  <c r="L746" i="5"/>
  <c r="K746" i="5"/>
  <c r="O746" i="5" s="1"/>
  <c r="L745" i="5"/>
  <c r="K745" i="5"/>
  <c r="M745" i="5" s="1"/>
  <c r="L744" i="5"/>
  <c r="K744" i="5"/>
  <c r="L743" i="5"/>
  <c r="K743" i="5"/>
  <c r="O743" i="5" s="1"/>
  <c r="L742" i="5"/>
  <c r="K742" i="5"/>
  <c r="M742" i="5" s="1"/>
  <c r="L741" i="5"/>
  <c r="K741" i="5"/>
  <c r="M741" i="5" s="1"/>
  <c r="L740" i="5"/>
  <c r="K740" i="5"/>
  <c r="L739" i="5"/>
  <c r="K739" i="5"/>
  <c r="M739" i="5" s="1"/>
  <c r="L738" i="5"/>
  <c r="K738" i="5"/>
  <c r="L737" i="5"/>
  <c r="K737" i="5"/>
  <c r="L736" i="5"/>
  <c r="K736" i="5"/>
  <c r="O736" i="5" s="1"/>
  <c r="L735" i="5"/>
  <c r="K735" i="5"/>
  <c r="L734" i="5"/>
  <c r="K734" i="5"/>
  <c r="O734" i="5" s="1"/>
  <c r="L733" i="5"/>
  <c r="K733" i="5"/>
  <c r="O733" i="5" s="1"/>
  <c r="L732" i="5"/>
  <c r="K732" i="5"/>
  <c r="L731" i="5"/>
  <c r="K731" i="5"/>
  <c r="L730" i="5"/>
  <c r="K730" i="5"/>
  <c r="O730" i="5" s="1"/>
  <c r="L729" i="5"/>
  <c r="K729" i="5"/>
  <c r="M729" i="5" s="1"/>
  <c r="L728" i="5"/>
  <c r="K728" i="5"/>
  <c r="L727" i="5"/>
  <c r="K727" i="5"/>
  <c r="O727" i="5" s="1"/>
  <c r="L726" i="5"/>
  <c r="K726" i="5"/>
  <c r="M726" i="5" s="1"/>
  <c r="L725" i="5"/>
  <c r="K725" i="5"/>
  <c r="M725" i="5" s="1"/>
  <c r="L724" i="5"/>
  <c r="K724" i="5"/>
  <c r="M724" i="5" s="1"/>
  <c r="L723" i="5"/>
  <c r="K723" i="5"/>
  <c r="M723" i="5" s="1"/>
  <c r="L722" i="5"/>
  <c r="K722" i="5"/>
  <c r="M722" i="5" s="1"/>
  <c r="L721" i="5"/>
  <c r="K721" i="5"/>
  <c r="L720" i="5"/>
  <c r="K720" i="5"/>
  <c r="O720" i="5" s="1"/>
  <c r="L719" i="5"/>
  <c r="K719" i="5"/>
  <c r="L718" i="5"/>
  <c r="K718" i="5"/>
  <c r="L717" i="5"/>
  <c r="K717" i="5"/>
  <c r="O717" i="5" s="1"/>
  <c r="L716" i="5"/>
  <c r="K716" i="5"/>
  <c r="L715" i="5"/>
  <c r="K715" i="5"/>
  <c r="L714" i="5"/>
  <c r="K714" i="5"/>
  <c r="O714" i="5" s="1"/>
  <c r="L713" i="5"/>
  <c r="K713" i="5"/>
  <c r="M713" i="5" s="1"/>
  <c r="L712" i="5"/>
  <c r="K712" i="5"/>
  <c r="L711" i="5"/>
  <c r="K711" i="5"/>
  <c r="O711" i="5" s="1"/>
  <c r="L710" i="5"/>
  <c r="K710" i="5"/>
  <c r="O710" i="5" s="1"/>
  <c r="L709" i="5"/>
  <c r="K709" i="5"/>
  <c r="M709" i="5" s="1"/>
  <c r="L708" i="5"/>
  <c r="K708" i="5"/>
  <c r="M708" i="5" s="1"/>
  <c r="L707" i="5"/>
  <c r="K707" i="5"/>
  <c r="M707" i="5" s="1"/>
  <c r="L706" i="5"/>
  <c r="K706" i="5"/>
  <c r="M706" i="5" s="1"/>
  <c r="L705" i="5"/>
  <c r="K705" i="5"/>
  <c r="L704" i="5"/>
  <c r="K704" i="5"/>
  <c r="O704" i="5" s="1"/>
  <c r="L703" i="5"/>
  <c r="K703" i="5"/>
  <c r="L702" i="5"/>
  <c r="K702" i="5"/>
  <c r="O702" i="5" s="1"/>
  <c r="L701" i="5"/>
  <c r="K701" i="5"/>
  <c r="O701" i="5" s="1"/>
  <c r="L700" i="5"/>
  <c r="K700" i="5"/>
  <c r="L699" i="5"/>
  <c r="K699" i="5"/>
  <c r="L698" i="5"/>
  <c r="K698" i="5"/>
  <c r="O698" i="5" s="1"/>
  <c r="L697" i="5"/>
  <c r="K697" i="5"/>
  <c r="M697" i="5" s="1"/>
  <c r="L696" i="5"/>
  <c r="K696" i="5"/>
  <c r="L695" i="5"/>
  <c r="K695" i="5"/>
  <c r="O695" i="5" s="1"/>
  <c r="L694" i="5"/>
  <c r="K694" i="5"/>
  <c r="O694" i="5" s="1"/>
  <c r="L693" i="5"/>
  <c r="K693" i="5"/>
  <c r="M693" i="5" s="1"/>
  <c r="L692" i="5"/>
  <c r="K692" i="5"/>
  <c r="M692" i="5" s="1"/>
  <c r="L691" i="5"/>
  <c r="K691" i="5"/>
  <c r="M691" i="5" s="1"/>
  <c r="L690" i="5"/>
  <c r="K690" i="5"/>
  <c r="M690" i="5" s="1"/>
  <c r="L689" i="5"/>
  <c r="K689" i="5"/>
  <c r="L688" i="5"/>
  <c r="K688" i="5"/>
  <c r="O688" i="5" s="1"/>
  <c r="L687" i="5"/>
  <c r="K687" i="5"/>
  <c r="L686" i="5"/>
  <c r="K686" i="5"/>
  <c r="O686" i="5" s="1"/>
  <c r="L685" i="5"/>
  <c r="K685" i="5"/>
  <c r="O685" i="5" s="1"/>
  <c r="L684" i="5"/>
  <c r="K684" i="5"/>
  <c r="M684" i="5" s="1"/>
  <c r="L683" i="5"/>
  <c r="K683" i="5"/>
  <c r="O683" i="5" s="1"/>
  <c r="L682" i="5"/>
  <c r="K682" i="5"/>
  <c r="O682" i="5" s="1"/>
  <c r="L681" i="5"/>
  <c r="K681" i="5"/>
  <c r="M681" i="5" s="1"/>
  <c r="L680" i="5"/>
  <c r="K680" i="5"/>
  <c r="L679" i="5"/>
  <c r="K679" i="5"/>
  <c r="O679" i="5" s="1"/>
  <c r="L678" i="5"/>
  <c r="K678" i="5"/>
  <c r="O678" i="5" s="1"/>
  <c r="L677" i="5"/>
  <c r="K677" i="5"/>
  <c r="M677" i="5" s="1"/>
  <c r="L676" i="5"/>
  <c r="K676" i="5"/>
  <c r="L675" i="5"/>
  <c r="K675" i="5"/>
  <c r="L674" i="5"/>
  <c r="K674" i="5"/>
  <c r="M674" i="5" s="1"/>
  <c r="L673" i="5"/>
  <c r="K673" i="5"/>
  <c r="L672" i="5"/>
  <c r="K672" i="5"/>
  <c r="O672" i="5" s="1"/>
  <c r="L671" i="5"/>
  <c r="K671" i="5"/>
  <c r="L670" i="5"/>
  <c r="K670" i="5"/>
  <c r="O670" i="5" s="1"/>
  <c r="L669" i="5"/>
  <c r="K669" i="5"/>
  <c r="O669" i="5" s="1"/>
  <c r="L668" i="5"/>
  <c r="K668" i="5"/>
  <c r="M668" i="5" s="1"/>
  <c r="L667" i="5"/>
  <c r="K667" i="5"/>
  <c r="L666" i="5"/>
  <c r="K666" i="5"/>
  <c r="O666" i="5" s="1"/>
  <c r="L665" i="5"/>
  <c r="K665" i="5"/>
  <c r="M665" i="5" s="1"/>
  <c r="L664" i="5"/>
  <c r="K664" i="5"/>
  <c r="L663" i="5"/>
  <c r="K663" i="5"/>
  <c r="O663" i="5" s="1"/>
  <c r="L662" i="5"/>
  <c r="K662" i="5"/>
  <c r="M662" i="5" s="1"/>
  <c r="L661" i="5"/>
  <c r="K661" i="5"/>
  <c r="L660" i="5"/>
  <c r="K660" i="5"/>
  <c r="L659" i="5"/>
  <c r="K659" i="5"/>
  <c r="M659" i="5" s="1"/>
  <c r="L658" i="5"/>
  <c r="K658" i="5"/>
  <c r="M658" i="5" s="1"/>
  <c r="L657" i="5"/>
  <c r="K657" i="5"/>
  <c r="O657" i="5" s="1"/>
  <c r="L656" i="5"/>
  <c r="K656" i="5"/>
  <c r="O656" i="5" s="1"/>
  <c r="L655" i="5"/>
  <c r="K655" i="5"/>
  <c r="O655" i="5" s="1"/>
  <c r="L654" i="5"/>
  <c r="K654" i="5"/>
  <c r="O654" i="5" s="1"/>
  <c r="O653" i="5"/>
  <c r="L653" i="5"/>
  <c r="K653" i="5"/>
  <c r="M653" i="5" s="1"/>
  <c r="L652" i="5"/>
  <c r="K652" i="5"/>
  <c r="M652" i="5" s="1"/>
  <c r="L651" i="5"/>
  <c r="K651" i="5"/>
  <c r="O651" i="5" s="1"/>
  <c r="L650" i="5"/>
  <c r="K650" i="5"/>
  <c r="L649" i="5"/>
  <c r="K649" i="5"/>
  <c r="M649" i="5" s="1"/>
  <c r="L648" i="5"/>
  <c r="K648" i="5"/>
  <c r="O648" i="5" s="1"/>
  <c r="L647" i="5"/>
  <c r="K647" i="5"/>
  <c r="O647" i="5" s="1"/>
  <c r="L646" i="5"/>
  <c r="K646" i="5"/>
  <c r="O646" i="5" s="1"/>
  <c r="L645" i="5"/>
  <c r="K645" i="5"/>
  <c r="L644" i="5"/>
  <c r="K644" i="5"/>
  <c r="L643" i="5"/>
  <c r="K643" i="5"/>
  <c r="M643" i="5" s="1"/>
  <c r="L642" i="5"/>
  <c r="K642" i="5"/>
  <c r="O642" i="5" s="1"/>
  <c r="L641" i="5"/>
  <c r="K641" i="5"/>
  <c r="L640" i="5"/>
  <c r="K640" i="5"/>
  <c r="L639" i="5"/>
  <c r="K639" i="5"/>
  <c r="M639" i="5" s="1"/>
  <c r="L638" i="5"/>
  <c r="K638" i="5"/>
  <c r="O638" i="5" s="1"/>
  <c r="L637" i="5"/>
  <c r="K637" i="5"/>
  <c r="L636" i="5"/>
  <c r="K636" i="5"/>
  <c r="L635" i="5"/>
  <c r="K635" i="5"/>
  <c r="L634" i="5"/>
  <c r="K634" i="5"/>
  <c r="O634" i="5" s="1"/>
  <c r="L633" i="5"/>
  <c r="K633" i="5"/>
  <c r="O633" i="5" s="1"/>
  <c r="L632" i="5"/>
  <c r="K632" i="5"/>
  <c r="M632" i="5" s="1"/>
  <c r="L631" i="5"/>
  <c r="K631" i="5"/>
  <c r="M631" i="5" s="1"/>
  <c r="L630" i="5"/>
  <c r="K630" i="5"/>
  <c r="O630" i="5" s="1"/>
  <c r="L629" i="5"/>
  <c r="K629" i="5"/>
  <c r="O629" i="5" s="1"/>
  <c r="L628" i="5"/>
  <c r="K628" i="5"/>
  <c r="L627" i="5"/>
  <c r="K627" i="5"/>
  <c r="M627" i="5" s="1"/>
  <c r="L626" i="5"/>
  <c r="K626" i="5"/>
  <c r="O626" i="5" s="1"/>
  <c r="L625" i="5"/>
  <c r="K625" i="5"/>
  <c r="O625" i="5" s="1"/>
  <c r="L624" i="5"/>
  <c r="K624" i="5"/>
  <c r="M624" i="5" s="1"/>
  <c r="L623" i="5"/>
  <c r="K623" i="5"/>
  <c r="M623" i="5" s="1"/>
  <c r="L622" i="5"/>
  <c r="K622" i="5"/>
  <c r="O622" i="5" s="1"/>
  <c r="L621" i="5"/>
  <c r="K621" i="5"/>
  <c r="L620" i="5"/>
  <c r="K620" i="5"/>
  <c r="L619" i="5"/>
  <c r="K619" i="5"/>
  <c r="M619" i="5" s="1"/>
  <c r="L618" i="5"/>
  <c r="K618" i="5"/>
  <c r="O618" i="5" s="1"/>
  <c r="L617" i="5"/>
  <c r="K617" i="5"/>
  <c r="L616" i="5"/>
  <c r="K616" i="5"/>
  <c r="M616" i="5" s="1"/>
  <c r="L615" i="5"/>
  <c r="K615" i="5"/>
  <c r="O615" i="5" s="1"/>
  <c r="L614" i="5"/>
  <c r="K614" i="5"/>
  <c r="O614" i="5" s="1"/>
  <c r="L613" i="5"/>
  <c r="K613" i="5"/>
  <c r="L612" i="5"/>
  <c r="K612" i="5"/>
  <c r="M612" i="5" s="1"/>
  <c r="L611" i="5"/>
  <c r="K611" i="5"/>
  <c r="O611" i="5" s="1"/>
  <c r="L610" i="5"/>
  <c r="K610" i="5"/>
  <c r="O610" i="5" s="1"/>
  <c r="L609" i="5"/>
  <c r="K609" i="5"/>
  <c r="L608" i="5"/>
  <c r="K608" i="5"/>
  <c r="L607" i="5"/>
  <c r="K607" i="5"/>
  <c r="O607" i="5" s="1"/>
  <c r="L606" i="5"/>
  <c r="K606" i="5"/>
  <c r="O606" i="5" s="1"/>
  <c r="L605" i="5"/>
  <c r="K605" i="5"/>
  <c r="L604" i="5"/>
  <c r="K604" i="5"/>
  <c r="M604" i="5" s="1"/>
  <c r="L603" i="5"/>
  <c r="K603" i="5"/>
  <c r="M603" i="5" s="1"/>
  <c r="L602" i="5"/>
  <c r="K602" i="5"/>
  <c r="O602" i="5" s="1"/>
  <c r="L601" i="5"/>
  <c r="K601" i="5"/>
  <c r="L600" i="5"/>
  <c r="K600" i="5"/>
  <c r="M600" i="5" s="1"/>
  <c r="L599" i="5"/>
  <c r="K599" i="5"/>
  <c r="O599" i="5" s="1"/>
  <c r="L598" i="5"/>
  <c r="K598" i="5"/>
  <c r="O598" i="5" s="1"/>
  <c r="L597" i="5"/>
  <c r="K597" i="5"/>
  <c r="L596" i="5"/>
  <c r="K596" i="5"/>
  <c r="M596" i="5" s="1"/>
  <c r="L595" i="5"/>
  <c r="K595" i="5"/>
  <c r="O595" i="5" s="1"/>
  <c r="L594" i="5"/>
  <c r="K594" i="5"/>
  <c r="O594" i="5" s="1"/>
  <c r="L593" i="5"/>
  <c r="K593" i="5"/>
  <c r="L592" i="5"/>
  <c r="K592" i="5"/>
  <c r="M592" i="5" s="1"/>
  <c r="L591" i="5"/>
  <c r="K591" i="5"/>
  <c r="L590" i="5"/>
  <c r="K590" i="5"/>
  <c r="O590" i="5" s="1"/>
  <c r="L589" i="5"/>
  <c r="K589" i="5"/>
  <c r="L588" i="5"/>
  <c r="K588" i="5"/>
  <c r="L587" i="5"/>
  <c r="K587" i="5"/>
  <c r="L586" i="5"/>
  <c r="K586" i="5"/>
  <c r="O586" i="5" s="1"/>
  <c r="L585" i="5"/>
  <c r="K585" i="5"/>
  <c r="L584" i="5"/>
  <c r="K584" i="5"/>
  <c r="M584" i="5" s="1"/>
  <c r="L583" i="5"/>
  <c r="K583" i="5"/>
  <c r="O583" i="5" s="1"/>
  <c r="L582" i="5"/>
  <c r="K582" i="5"/>
  <c r="O582" i="5" s="1"/>
  <c r="L581" i="5"/>
  <c r="K581" i="5"/>
  <c r="L580" i="5"/>
  <c r="K580" i="5"/>
  <c r="M580" i="5" s="1"/>
  <c r="L579" i="5"/>
  <c r="K579" i="5"/>
  <c r="O579" i="5" s="1"/>
  <c r="L578" i="5"/>
  <c r="K578" i="5"/>
  <c r="O578" i="5" s="1"/>
  <c r="L577" i="5"/>
  <c r="K577" i="5"/>
  <c r="L576" i="5"/>
  <c r="K576" i="5"/>
  <c r="L575" i="5"/>
  <c r="K575" i="5"/>
  <c r="O575" i="5" s="1"/>
  <c r="L574" i="5"/>
  <c r="K574" i="5"/>
  <c r="O574" i="5" s="1"/>
  <c r="L573" i="5"/>
  <c r="K573" i="5"/>
  <c r="L572" i="5"/>
  <c r="K572" i="5"/>
  <c r="M572" i="5" s="1"/>
  <c r="L571" i="5"/>
  <c r="K571" i="5"/>
  <c r="M571" i="5" s="1"/>
  <c r="L570" i="5"/>
  <c r="K570" i="5"/>
  <c r="O570" i="5" s="1"/>
  <c r="L569" i="5"/>
  <c r="K569" i="5"/>
  <c r="L568" i="5"/>
  <c r="K568" i="5"/>
  <c r="M568" i="5" s="1"/>
  <c r="O567" i="5"/>
  <c r="L567" i="5"/>
  <c r="K567" i="5"/>
  <c r="M567" i="5" s="1"/>
  <c r="L566" i="5"/>
  <c r="K566" i="5"/>
  <c r="O566" i="5" s="1"/>
  <c r="L565" i="5"/>
  <c r="K565" i="5"/>
  <c r="L564" i="5"/>
  <c r="K564" i="5"/>
  <c r="M564" i="5" s="1"/>
  <c r="L563" i="5"/>
  <c r="K563" i="5"/>
  <c r="O563" i="5" s="1"/>
  <c r="L562" i="5"/>
  <c r="K562" i="5"/>
  <c r="L561" i="5"/>
  <c r="K561" i="5"/>
  <c r="L560" i="5"/>
  <c r="K560" i="5"/>
  <c r="M560" i="5" s="1"/>
  <c r="L559" i="5"/>
  <c r="K559" i="5"/>
  <c r="O559" i="5" s="1"/>
  <c r="L558" i="5"/>
  <c r="K558" i="5"/>
  <c r="L557" i="5"/>
  <c r="K557" i="5"/>
  <c r="L556" i="5"/>
  <c r="K556" i="5"/>
  <c r="L555" i="5"/>
  <c r="K555" i="5"/>
  <c r="O555" i="5" s="1"/>
  <c r="L554" i="5"/>
  <c r="K554" i="5"/>
  <c r="L553" i="5"/>
  <c r="K553" i="5"/>
  <c r="L552" i="5"/>
  <c r="K552" i="5"/>
  <c r="M552" i="5" s="1"/>
  <c r="L551" i="5"/>
  <c r="K551" i="5"/>
  <c r="M551" i="5" s="1"/>
  <c r="L550" i="5"/>
  <c r="K550" i="5"/>
  <c r="L549" i="5"/>
  <c r="K549" i="5"/>
  <c r="L548" i="5"/>
  <c r="K548" i="5"/>
  <c r="M548" i="5" s="1"/>
  <c r="L547" i="5"/>
  <c r="K547" i="5"/>
  <c r="O547" i="5" s="1"/>
  <c r="L546" i="5"/>
  <c r="K546" i="5"/>
  <c r="L545" i="5"/>
  <c r="K545" i="5"/>
  <c r="L544" i="5"/>
  <c r="K544" i="5"/>
  <c r="M544" i="5" s="1"/>
  <c r="L543" i="5"/>
  <c r="K543" i="5"/>
  <c r="M543" i="5" s="1"/>
  <c r="L542" i="5"/>
  <c r="K542" i="5"/>
  <c r="L541" i="5"/>
  <c r="K541" i="5"/>
  <c r="L540" i="5"/>
  <c r="K540" i="5"/>
  <c r="M540" i="5" s="1"/>
  <c r="L539" i="5"/>
  <c r="K539" i="5"/>
  <c r="L538" i="5"/>
  <c r="K538" i="5"/>
  <c r="L537" i="5"/>
  <c r="K537" i="5"/>
  <c r="L536" i="5"/>
  <c r="K536" i="5"/>
  <c r="L535" i="5"/>
  <c r="K535" i="5"/>
  <c r="M535" i="5" s="1"/>
  <c r="L534" i="5"/>
  <c r="K534" i="5"/>
  <c r="L533" i="5"/>
  <c r="K533" i="5"/>
  <c r="L532" i="5"/>
  <c r="K532" i="5"/>
  <c r="M532" i="5" s="1"/>
  <c r="L531" i="5"/>
  <c r="K531" i="5"/>
  <c r="O531" i="5" s="1"/>
  <c r="L530" i="5"/>
  <c r="K530" i="5"/>
  <c r="L529" i="5"/>
  <c r="K529" i="5"/>
  <c r="L528" i="5"/>
  <c r="K528" i="5"/>
  <c r="M528" i="5" s="1"/>
  <c r="L527" i="5"/>
  <c r="K527" i="5"/>
  <c r="O527" i="5" s="1"/>
  <c r="L526" i="5"/>
  <c r="K526" i="5"/>
  <c r="L525" i="5"/>
  <c r="K525" i="5"/>
  <c r="L524" i="5"/>
  <c r="K524" i="5"/>
  <c r="L523" i="5"/>
  <c r="K523" i="5"/>
  <c r="O523" i="5" s="1"/>
  <c r="L522" i="5"/>
  <c r="K522" i="5"/>
  <c r="L521" i="5"/>
  <c r="K521" i="5"/>
  <c r="L520" i="5"/>
  <c r="K520" i="5"/>
  <c r="M520" i="5" s="1"/>
  <c r="L519" i="5"/>
  <c r="K519" i="5"/>
  <c r="M519" i="5" s="1"/>
  <c r="L518" i="5"/>
  <c r="K518" i="5"/>
  <c r="L517" i="5"/>
  <c r="K517" i="5"/>
  <c r="L516" i="5"/>
  <c r="K516" i="5"/>
  <c r="M516" i="5" s="1"/>
  <c r="L515" i="5"/>
  <c r="K515" i="5"/>
  <c r="O515" i="5" s="1"/>
  <c r="L514" i="5"/>
  <c r="K514" i="5"/>
  <c r="L513" i="5"/>
  <c r="K513" i="5"/>
  <c r="L512" i="5"/>
  <c r="K512" i="5"/>
  <c r="M512" i="5" s="1"/>
  <c r="L511" i="5"/>
  <c r="K511" i="5"/>
  <c r="O511" i="5" s="1"/>
  <c r="L510" i="5"/>
  <c r="K510" i="5"/>
  <c r="L509" i="5"/>
  <c r="K509" i="5"/>
  <c r="L508" i="5"/>
  <c r="K508" i="5"/>
  <c r="M508" i="5" s="1"/>
  <c r="L507" i="5"/>
  <c r="K507" i="5"/>
  <c r="O507" i="5" s="1"/>
  <c r="L506" i="5"/>
  <c r="K506" i="5"/>
  <c r="L505" i="5"/>
  <c r="K505" i="5"/>
  <c r="L504" i="5"/>
  <c r="K504" i="5"/>
  <c r="L503" i="5"/>
  <c r="K503" i="5"/>
  <c r="O503" i="5" s="1"/>
  <c r="L502" i="5"/>
  <c r="K502" i="5"/>
  <c r="L501" i="5"/>
  <c r="K501" i="5"/>
  <c r="O501" i="5" s="1"/>
  <c r="L500" i="5"/>
  <c r="K500" i="5"/>
  <c r="L499" i="5"/>
  <c r="K499" i="5"/>
  <c r="M499" i="5" s="1"/>
  <c r="L498" i="5"/>
  <c r="K498" i="5"/>
  <c r="M498" i="5" s="1"/>
  <c r="L497" i="5"/>
  <c r="K497" i="5"/>
  <c r="O497" i="5" s="1"/>
  <c r="L496" i="5"/>
  <c r="N496" i="5" s="1"/>
  <c r="K496" i="5"/>
  <c r="M496" i="5" s="1"/>
  <c r="L495" i="5"/>
  <c r="K495" i="5"/>
  <c r="O495" i="5" s="1"/>
  <c r="L494" i="5"/>
  <c r="K494" i="5"/>
  <c r="O494" i="5" s="1"/>
  <c r="L493" i="5"/>
  <c r="K493" i="5"/>
  <c r="L492" i="5"/>
  <c r="K492" i="5"/>
  <c r="M492" i="5" s="1"/>
  <c r="L491" i="5"/>
  <c r="K491" i="5"/>
  <c r="M491" i="5" s="1"/>
  <c r="L490" i="5"/>
  <c r="K490" i="5"/>
  <c r="O490" i="5" s="1"/>
  <c r="L489" i="5"/>
  <c r="K489" i="5"/>
  <c r="L488" i="5"/>
  <c r="K488" i="5"/>
  <c r="L487" i="5"/>
  <c r="K487" i="5"/>
  <c r="M487" i="5" s="1"/>
  <c r="L486" i="5"/>
  <c r="K486" i="5"/>
  <c r="L485" i="5"/>
  <c r="K485" i="5"/>
  <c r="O485" i="5" s="1"/>
  <c r="L484" i="5"/>
  <c r="K484" i="5"/>
  <c r="L483" i="5"/>
  <c r="K483" i="5"/>
  <c r="M483" i="5" s="1"/>
  <c r="L482" i="5"/>
  <c r="K482" i="5"/>
  <c r="O482" i="5" s="1"/>
  <c r="L481" i="5"/>
  <c r="K481" i="5"/>
  <c r="O481" i="5" s="1"/>
  <c r="L480" i="5"/>
  <c r="K480" i="5"/>
  <c r="M480" i="5" s="1"/>
  <c r="L479" i="5"/>
  <c r="K479" i="5"/>
  <c r="M479" i="5" s="1"/>
  <c r="L478" i="5"/>
  <c r="K478" i="5"/>
  <c r="O478" i="5" s="1"/>
  <c r="L477" i="5"/>
  <c r="K477" i="5"/>
  <c r="L476" i="5"/>
  <c r="K476" i="5"/>
  <c r="M476" i="5" s="1"/>
  <c r="L475" i="5"/>
  <c r="K475" i="5"/>
  <c r="M475" i="5" s="1"/>
  <c r="L474" i="5"/>
  <c r="K474" i="5"/>
  <c r="O474" i="5" s="1"/>
  <c r="L473" i="5"/>
  <c r="K473" i="5"/>
  <c r="O473" i="5" s="1"/>
  <c r="L472" i="5"/>
  <c r="K472" i="5"/>
  <c r="L471" i="5"/>
  <c r="K471" i="5"/>
  <c r="M471" i="5" s="1"/>
  <c r="L470" i="5"/>
  <c r="K470" i="5"/>
  <c r="L469" i="5"/>
  <c r="K469" i="5"/>
  <c r="O469" i="5" s="1"/>
  <c r="L468" i="5"/>
  <c r="K468" i="5"/>
  <c r="L467" i="5"/>
  <c r="K467" i="5"/>
  <c r="M467" i="5" s="1"/>
  <c r="L466" i="5"/>
  <c r="K466" i="5"/>
  <c r="O466" i="5" s="1"/>
  <c r="L465" i="5"/>
  <c r="K465" i="5"/>
  <c r="O465" i="5" s="1"/>
  <c r="L464" i="5"/>
  <c r="K464" i="5"/>
  <c r="M464" i="5" s="1"/>
  <c r="L463" i="5"/>
  <c r="K463" i="5"/>
  <c r="L462" i="5"/>
  <c r="K462" i="5"/>
  <c r="O462" i="5" s="1"/>
  <c r="L461" i="5"/>
  <c r="K461" i="5"/>
  <c r="L460" i="5"/>
  <c r="K460" i="5"/>
  <c r="M460" i="5" s="1"/>
  <c r="L459" i="5"/>
  <c r="K459" i="5"/>
  <c r="M459" i="5" s="1"/>
  <c r="L458" i="5"/>
  <c r="K458" i="5"/>
  <c r="O458" i="5" s="1"/>
  <c r="L457" i="5"/>
  <c r="K457" i="5"/>
  <c r="O457" i="5" s="1"/>
  <c r="L456" i="5"/>
  <c r="K456" i="5"/>
  <c r="L455" i="5"/>
  <c r="K455" i="5"/>
  <c r="M455" i="5" s="1"/>
  <c r="L454" i="5"/>
  <c r="K454" i="5"/>
  <c r="L453" i="5"/>
  <c r="K453" i="5"/>
  <c r="O453" i="5" s="1"/>
  <c r="L452" i="5"/>
  <c r="K452" i="5"/>
  <c r="M452" i="5" s="1"/>
  <c r="L451" i="5"/>
  <c r="K451" i="5"/>
  <c r="L450" i="5"/>
  <c r="K450" i="5"/>
  <c r="M450" i="5" s="1"/>
  <c r="L449" i="5"/>
  <c r="K449" i="5"/>
  <c r="L448" i="5"/>
  <c r="K448" i="5"/>
  <c r="M448" i="5" s="1"/>
  <c r="L447" i="5"/>
  <c r="K447" i="5"/>
  <c r="M447" i="5" s="1"/>
  <c r="L446" i="5"/>
  <c r="K446" i="5"/>
  <c r="L445" i="5"/>
  <c r="K445" i="5"/>
  <c r="M445" i="5" s="1"/>
  <c r="L444" i="5"/>
  <c r="K444" i="5"/>
  <c r="L443" i="5"/>
  <c r="K443" i="5"/>
  <c r="L442" i="5"/>
  <c r="K442" i="5"/>
  <c r="L441" i="5"/>
  <c r="K441" i="5"/>
  <c r="M441" i="5" s="1"/>
  <c r="L440" i="5"/>
  <c r="K440" i="5"/>
  <c r="L439" i="5"/>
  <c r="K439" i="5"/>
  <c r="L438" i="5"/>
  <c r="K438" i="5"/>
  <c r="M438" i="5" s="1"/>
  <c r="L437" i="5"/>
  <c r="K437" i="5"/>
  <c r="M437" i="5" s="1"/>
  <c r="L436" i="5"/>
  <c r="K436" i="5"/>
  <c r="O436" i="5" s="1"/>
  <c r="L435" i="5"/>
  <c r="K435" i="5"/>
  <c r="M435" i="5" s="1"/>
  <c r="L434" i="5"/>
  <c r="K434" i="5"/>
  <c r="O434" i="5" s="1"/>
  <c r="L433" i="5"/>
  <c r="K433" i="5"/>
  <c r="O433" i="5" s="1"/>
  <c r="L432" i="5"/>
  <c r="K432" i="5"/>
  <c r="O432" i="5" s="1"/>
  <c r="L431" i="5"/>
  <c r="K431" i="5"/>
  <c r="M431" i="5" s="1"/>
  <c r="L430" i="5"/>
  <c r="K430" i="5"/>
  <c r="L429" i="5"/>
  <c r="K429" i="5"/>
  <c r="L428" i="5"/>
  <c r="K428" i="5"/>
  <c r="M428" i="5" s="1"/>
  <c r="L427" i="5"/>
  <c r="K427" i="5"/>
  <c r="L426" i="5"/>
  <c r="K426" i="5"/>
  <c r="L425" i="5"/>
  <c r="K425" i="5"/>
  <c r="M425" i="5" s="1"/>
  <c r="L424" i="5"/>
  <c r="K424" i="5"/>
  <c r="M424" i="5" s="1"/>
  <c r="L423" i="5"/>
  <c r="K423" i="5"/>
  <c r="L422" i="5"/>
  <c r="K422" i="5"/>
  <c r="M422" i="5" s="1"/>
  <c r="L421" i="5"/>
  <c r="K421" i="5"/>
  <c r="M421" i="5" s="1"/>
  <c r="L420" i="5"/>
  <c r="K420" i="5"/>
  <c r="O420" i="5" s="1"/>
  <c r="L419" i="5"/>
  <c r="K419" i="5"/>
  <c r="M419" i="5" s="1"/>
  <c r="L418" i="5"/>
  <c r="K418" i="5"/>
  <c r="O418" i="5" s="1"/>
  <c r="L417" i="5"/>
  <c r="K417" i="5"/>
  <c r="O417" i="5" s="1"/>
  <c r="L416" i="5"/>
  <c r="K416" i="5"/>
  <c r="O416" i="5" s="1"/>
  <c r="L415" i="5"/>
  <c r="K415" i="5"/>
  <c r="M415" i="5" s="1"/>
  <c r="L414" i="5"/>
  <c r="K414" i="5"/>
  <c r="L413" i="5"/>
  <c r="K413" i="5"/>
  <c r="L412" i="5"/>
  <c r="K412" i="5"/>
  <c r="M412" i="5" s="1"/>
  <c r="L411" i="5"/>
  <c r="K411" i="5"/>
  <c r="L410" i="5"/>
  <c r="K410" i="5"/>
  <c r="L409" i="5"/>
  <c r="K409" i="5"/>
  <c r="M409" i="5" s="1"/>
  <c r="L408" i="5"/>
  <c r="K408" i="5"/>
  <c r="M408" i="5" s="1"/>
  <c r="L407" i="5"/>
  <c r="K407" i="5"/>
  <c r="O406" i="5"/>
  <c r="L406" i="5"/>
  <c r="K406" i="5"/>
  <c r="M406" i="5" s="1"/>
  <c r="L405" i="5"/>
  <c r="K405" i="5"/>
  <c r="O405" i="5" s="1"/>
  <c r="L404" i="5"/>
  <c r="K404" i="5"/>
  <c r="O404" i="5" s="1"/>
  <c r="L403" i="5"/>
  <c r="K403" i="5"/>
  <c r="M403" i="5" s="1"/>
  <c r="L402" i="5"/>
  <c r="K402" i="5"/>
  <c r="L401" i="5"/>
  <c r="K401" i="5"/>
  <c r="O401" i="5" s="1"/>
  <c r="L400" i="5"/>
  <c r="K400" i="5"/>
  <c r="O400" i="5" s="1"/>
  <c r="L399" i="5"/>
  <c r="K399" i="5"/>
  <c r="O399" i="5" s="1"/>
  <c r="L398" i="5"/>
  <c r="K398" i="5"/>
  <c r="L397" i="5"/>
  <c r="K397" i="5"/>
  <c r="L396" i="5"/>
  <c r="K396" i="5"/>
  <c r="O396" i="5" s="1"/>
  <c r="L395" i="5"/>
  <c r="K395" i="5"/>
  <c r="L394" i="5"/>
  <c r="K394" i="5"/>
  <c r="O394" i="5" s="1"/>
  <c r="L393" i="5"/>
  <c r="K393" i="5"/>
  <c r="M393" i="5" s="1"/>
  <c r="L392" i="5"/>
  <c r="K392" i="5"/>
  <c r="M392" i="5" s="1"/>
  <c r="L391" i="5"/>
  <c r="K391" i="5"/>
  <c r="L390" i="5"/>
  <c r="K390" i="5"/>
  <c r="M390" i="5" s="1"/>
  <c r="L389" i="5"/>
  <c r="K389" i="5"/>
  <c r="O389" i="5" s="1"/>
  <c r="L388" i="5"/>
  <c r="K388" i="5"/>
  <c r="O388" i="5" s="1"/>
  <c r="L387" i="5"/>
  <c r="K387" i="5"/>
  <c r="M387" i="5" s="1"/>
  <c r="L386" i="5"/>
  <c r="K386" i="5"/>
  <c r="L385" i="5"/>
  <c r="K385" i="5"/>
  <c r="O385" i="5" s="1"/>
  <c r="L384" i="5"/>
  <c r="K384" i="5"/>
  <c r="O384" i="5" s="1"/>
  <c r="L383" i="5"/>
  <c r="K383" i="5"/>
  <c r="O383" i="5" s="1"/>
  <c r="L382" i="5"/>
  <c r="K382" i="5"/>
  <c r="L381" i="5"/>
  <c r="K381" i="5"/>
  <c r="L380" i="5"/>
  <c r="K380" i="5"/>
  <c r="O380" i="5" s="1"/>
  <c r="L379" i="5"/>
  <c r="K379" i="5"/>
  <c r="L378" i="5"/>
  <c r="K378" i="5"/>
  <c r="O378" i="5" s="1"/>
  <c r="L377" i="5"/>
  <c r="K377" i="5"/>
  <c r="M377" i="5" s="1"/>
  <c r="L376" i="5"/>
  <c r="K376" i="5"/>
  <c r="M376" i="5" s="1"/>
  <c r="L375" i="5"/>
  <c r="K375" i="5"/>
  <c r="O375" i="5" s="1"/>
  <c r="L374" i="5"/>
  <c r="K374" i="5"/>
  <c r="M374" i="5" s="1"/>
  <c r="L373" i="5"/>
  <c r="K373" i="5"/>
  <c r="M373" i="5" s="1"/>
  <c r="L372" i="5"/>
  <c r="K372" i="5"/>
  <c r="L371" i="5"/>
  <c r="K371" i="5"/>
  <c r="M371" i="5" s="1"/>
  <c r="L370" i="5"/>
  <c r="K370" i="5"/>
  <c r="M370" i="5" s="1"/>
  <c r="L369" i="5"/>
  <c r="K369" i="5"/>
  <c r="O369" i="5" s="1"/>
  <c r="L368" i="5"/>
  <c r="K368" i="5"/>
  <c r="O368" i="5" s="1"/>
  <c r="L367" i="5"/>
  <c r="K367" i="5"/>
  <c r="L366" i="5"/>
  <c r="K366" i="5"/>
  <c r="L365" i="5"/>
  <c r="K365" i="5"/>
  <c r="L364" i="5"/>
  <c r="K364" i="5"/>
  <c r="L363" i="5"/>
  <c r="K363" i="5"/>
  <c r="L362" i="5"/>
  <c r="K362" i="5"/>
  <c r="O362" i="5" s="1"/>
  <c r="L361" i="5"/>
  <c r="K361" i="5"/>
  <c r="L360" i="5"/>
  <c r="K360" i="5"/>
  <c r="M360" i="5" s="1"/>
  <c r="L359" i="5"/>
  <c r="K359" i="5"/>
  <c r="O359" i="5" s="1"/>
  <c r="L358" i="5"/>
  <c r="K358" i="5"/>
  <c r="L357" i="5"/>
  <c r="K357" i="5"/>
  <c r="M357" i="5" s="1"/>
  <c r="L356" i="5"/>
  <c r="K356" i="5"/>
  <c r="L355" i="5"/>
  <c r="K355" i="5"/>
  <c r="M355" i="5" s="1"/>
  <c r="L354" i="5"/>
  <c r="K354" i="5"/>
  <c r="M354" i="5" s="1"/>
  <c r="L353" i="5"/>
  <c r="K353" i="5"/>
  <c r="O353" i="5" s="1"/>
  <c r="L352" i="5"/>
  <c r="K352" i="5"/>
  <c r="O352" i="5" s="1"/>
  <c r="L351" i="5"/>
  <c r="K351" i="5"/>
  <c r="L350" i="5"/>
  <c r="K350" i="5"/>
  <c r="L349" i="5"/>
  <c r="K349" i="5"/>
  <c r="L348" i="5"/>
  <c r="K348" i="5"/>
  <c r="L347" i="5"/>
  <c r="K347" i="5"/>
  <c r="L346" i="5"/>
  <c r="K346" i="5"/>
  <c r="O346" i="5" s="1"/>
  <c r="L345" i="5"/>
  <c r="K345" i="5"/>
  <c r="L344" i="5"/>
  <c r="K344" i="5"/>
  <c r="M344" i="5" s="1"/>
  <c r="L343" i="5"/>
  <c r="K343" i="5"/>
  <c r="O343" i="5" s="1"/>
  <c r="L342" i="5"/>
  <c r="K342" i="5"/>
  <c r="L341" i="5"/>
  <c r="K341" i="5"/>
  <c r="O341" i="5" s="1"/>
  <c r="L340" i="5"/>
  <c r="K340" i="5"/>
  <c r="L339" i="5"/>
  <c r="K339" i="5"/>
  <c r="M339" i="5" s="1"/>
  <c r="L338" i="5"/>
  <c r="K338" i="5"/>
  <c r="O338" i="5" s="1"/>
  <c r="L337" i="5"/>
  <c r="K337" i="5"/>
  <c r="O337" i="5" s="1"/>
  <c r="L336" i="5"/>
  <c r="K336" i="5"/>
  <c r="O336" i="5" s="1"/>
  <c r="L335" i="5"/>
  <c r="K335" i="5"/>
  <c r="M335" i="5" s="1"/>
  <c r="L334" i="5"/>
  <c r="K334" i="5"/>
  <c r="L333" i="5"/>
  <c r="K333" i="5"/>
  <c r="L332" i="5"/>
  <c r="K332" i="5"/>
  <c r="M332" i="5" s="1"/>
  <c r="L331" i="5"/>
  <c r="K331" i="5"/>
  <c r="L330" i="5"/>
  <c r="K330" i="5"/>
  <c r="O330" i="5" s="1"/>
  <c r="L329" i="5"/>
  <c r="K329" i="5"/>
  <c r="L328" i="5"/>
  <c r="K328" i="5"/>
  <c r="M328" i="5" s="1"/>
  <c r="L327" i="5"/>
  <c r="K327" i="5"/>
  <c r="O327" i="5" s="1"/>
  <c r="L326" i="5"/>
  <c r="K326" i="5"/>
  <c r="L325" i="5"/>
  <c r="K325" i="5"/>
  <c r="O325" i="5" s="1"/>
  <c r="L324" i="5"/>
  <c r="K324" i="5"/>
  <c r="L323" i="5"/>
  <c r="K323" i="5"/>
  <c r="M323" i="5" s="1"/>
  <c r="L322" i="5"/>
  <c r="K322" i="5"/>
  <c r="O322" i="5" s="1"/>
  <c r="L321" i="5"/>
  <c r="K321" i="5"/>
  <c r="O321" i="5" s="1"/>
  <c r="L320" i="5"/>
  <c r="K320" i="5"/>
  <c r="O320" i="5" s="1"/>
  <c r="L319" i="5"/>
  <c r="K319" i="5"/>
  <c r="M319" i="5" s="1"/>
  <c r="L318" i="5"/>
  <c r="K318" i="5"/>
  <c r="L317" i="5"/>
  <c r="K317" i="5"/>
  <c r="L316" i="5"/>
  <c r="K316" i="5"/>
  <c r="M316" i="5" s="1"/>
  <c r="L315" i="5"/>
  <c r="K315" i="5"/>
  <c r="L314" i="5"/>
  <c r="K314" i="5"/>
  <c r="O314" i="5" s="1"/>
  <c r="L313" i="5"/>
  <c r="K313" i="5"/>
  <c r="L312" i="5"/>
  <c r="K312" i="5"/>
  <c r="M312" i="5" s="1"/>
  <c r="L311" i="5"/>
  <c r="K311" i="5"/>
  <c r="O311" i="5" s="1"/>
  <c r="L310" i="5"/>
  <c r="K310" i="5"/>
  <c r="L309" i="5"/>
  <c r="K309" i="5"/>
  <c r="O309" i="5" s="1"/>
  <c r="L308" i="5"/>
  <c r="K308" i="5"/>
  <c r="L307" i="5"/>
  <c r="K307" i="5"/>
  <c r="L306" i="5"/>
  <c r="K306" i="5"/>
  <c r="M306" i="5" s="1"/>
  <c r="L305" i="5"/>
  <c r="K305" i="5"/>
  <c r="M305" i="5" s="1"/>
  <c r="L304" i="5"/>
  <c r="K304" i="5"/>
  <c r="L303" i="5"/>
  <c r="K303" i="5"/>
  <c r="O303" i="5" s="1"/>
  <c r="L302" i="5"/>
  <c r="K302" i="5"/>
  <c r="L301" i="5"/>
  <c r="K301" i="5"/>
  <c r="M301" i="5" s="1"/>
  <c r="L300" i="5"/>
  <c r="K300" i="5"/>
  <c r="L299" i="5"/>
  <c r="K299" i="5"/>
  <c r="L298" i="5"/>
  <c r="K298" i="5"/>
  <c r="L297" i="5"/>
  <c r="K297" i="5"/>
  <c r="M297" i="5" s="1"/>
  <c r="L296" i="5"/>
  <c r="K296" i="5"/>
  <c r="L295" i="5"/>
  <c r="K295" i="5"/>
  <c r="O295" i="5" s="1"/>
  <c r="L294" i="5"/>
  <c r="K294" i="5"/>
  <c r="L293" i="5"/>
  <c r="K293" i="5"/>
  <c r="O293" i="5" s="1"/>
  <c r="L292" i="5"/>
  <c r="K292" i="5"/>
  <c r="L291" i="5"/>
  <c r="K291" i="5"/>
  <c r="L290" i="5"/>
  <c r="K290" i="5"/>
  <c r="M290" i="5" s="1"/>
  <c r="L289" i="5"/>
  <c r="K289" i="5"/>
  <c r="M289" i="5" s="1"/>
  <c r="L288" i="5"/>
  <c r="K288" i="5"/>
  <c r="L287" i="5"/>
  <c r="K287" i="5"/>
  <c r="O287" i="5" s="1"/>
  <c r="L286" i="5"/>
  <c r="K286" i="5"/>
  <c r="L285" i="5"/>
  <c r="K285" i="5"/>
  <c r="O285" i="5" s="1"/>
  <c r="L284" i="5"/>
  <c r="K284" i="5"/>
  <c r="L283" i="5"/>
  <c r="K283" i="5"/>
  <c r="L282" i="5"/>
  <c r="K282" i="5"/>
  <c r="M282" i="5" s="1"/>
  <c r="L281" i="5"/>
  <c r="K281" i="5"/>
  <c r="M281" i="5" s="1"/>
  <c r="L280" i="5"/>
  <c r="K280" i="5"/>
  <c r="L279" i="5"/>
  <c r="K279" i="5"/>
  <c r="O279" i="5" s="1"/>
  <c r="L278" i="5"/>
  <c r="K278" i="5"/>
  <c r="L277" i="5"/>
  <c r="K277" i="5"/>
  <c r="O277" i="5" s="1"/>
  <c r="L276" i="5"/>
  <c r="K276" i="5"/>
  <c r="L275" i="5"/>
  <c r="K275" i="5"/>
  <c r="L274" i="5"/>
  <c r="K274" i="5"/>
  <c r="M274" i="5" s="1"/>
  <c r="L273" i="5"/>
  <c r="K273" i="5"/>
  <c r="L272" i="5"/>
  <c r="K272" i="5"/>
  <c r="L271" i="5"/>
  <c r="K271" i="5"/>
  <c r="O271" i="5" s="1"/>
  <c r="L270" i="5"/>
  <c r="K270" i="5"/>
  <c r="L269" i="5"/>
  <c r="K269" i="5"/>
  <c r="M269" i="5" s="1"/>
  <c r="L268" i="5"/>
  <c r="K268" i="5"/>
  <c r="L267" i="5"/>
  <c r="K267" i="5"/>
  <c r="L266" i="5"/>
  <c r="K266" i="5"/>
  <c r="L265" i="5"/>
  <c r="K265" i="5"/>
  <c r="M265" i="5" s="1"/>
  <c r="L264" i="5"/>
  <c r="K264" i="5"/>
  <c r="L263" i="5"/>
  <c r="K263" i="5"/>
  <c r="O263" i="5" s="1"/>
  <c r="L262" i="5"/>
  <c r="K262" i="5"/>
  <c r="L261" i="5"/>
  <c r="K261" i="5"/>
  <c r="O261" i="5" s="1"/>
  <c r="L260" i="5"/>
  <c r="K260" i="5"/>
  <c r="L259" i="5"/>
  <c r="K259" i="5"/>
  <c r="L258" i="5"/>
  <c r="K258" i="5"/>
  <c r="M258" i="5" s="1"/>
  <c r="L257" i="5"/>
  <c r="K257" i="5"/>
  <c r="M257" i="5" s="1"/>
  <c r="L256" i="5"/>
  <c r="K256" i="5"/>
  <c r="L255" i="5"/>
  <c r="K255" i="5"/>
  <c r="O255" i="5" s="1"/>
  <c r="L254" i="5"/>
  <c r="K254" i="5"/>
  <c r="L253" i="5"/>
  <c r="K253" i="5"/>
  <c r="O253" i="5" s="1"/>
  <c r="L252" i="5"/>
  <c r="K252" i="5"/>
  <c r="L251" i="5"/>
  <c r="K251" i="5"/>
  <c r="L250" i="5"/>
  <c r="K250" i="5"/>
  <c r="M250" i="5" s="1"/>
  <c r="L249" i="5"/>
  <c r="K249" i="5"/>
  <c r="M249" i="5" s="1"/>
  <c r="L248" i="5"/>
  <c r="K248" i="5"/>
  <c r="L247" i="5"/>
  <c r="K247" i="5"/>
  <c r="O247" i="5" s="1"/>
  <c r="L246" i="5"/>
  <c r="K246" i="5"/>
  <c r="L245" i="5"/>
  <c r="K245" i="5"/>
  <c r="O245" i="5" s="1"/>
  <c r="L244" i="5"/>
  <c r="K244" i="5"/>
  <c r="L243" i="5"/>
  <c r="K243" i="5"/>
  <c r="L242" i="5"/>
  <c r="K242" i="5"/>
  <c r="M242" i="5" s="1"/>
  <c r="L241" i="5"/>
  <c r="K241" i="5"/>
  <c r="L240" i="5"/>
  <c r="K240" i="5"/>
  <c r="L239" i="5"/>
  <c r="K239" i="5"/>
  <c r="O239" i="5" s="1"/>
  <c r="L238" i="5"/>
  <c r="K238" i="5"/>
  <c r="L237" i="5"/>
  <c r="K237" i="5"/>
  <c r="O237" i="5" s="1"/>
  <c r="L236" i="5"/>
  <c r="K236" i="5"/>
  <c r="L235" i="5"/>
  <c r="K235" i="5"/>
  <c r="O235" i="5" s="1"/>
  <c r="L234" i="5"/>
  <c r="K234" i="5"/>
  <c r="M234" i="5" s="1"/>
  <c r="L233" i="5"/>
  <c r="K233" i="5"/>
  <c r="L232" i="5"/>
  <c r="K232" i="5"/>
  <c r="L231" i="5"/>
  <c r="K231" i="5"/>
  <c r="O231" i="5" s="1"/>
  <c r="L230" i="5"/>
  <c r="K230" i="5"/>
  <c r="M230" i="5" s="1"/>
  <c r="L229" i="5"/>
  <c r="K229" i="5"/>
  <c r="O229" i="5" s="1"/>
  <c r="L228" i="5"/>
  <c r="K228" i="5"/>
  <c r="M228" i="5" s="1"/>
  <c r="M227" i="5"/>
  <c r="L227" i="5"/>
  <c r="K227" i="5"/>
  <c r="O227" i="5" s="1"/>
  <c r="L226" i="5"/>
  <c r="K226" i="5"/>
  <c r="M226" i="5" s="1"/>
  <c r="L225" i="5"/>
  <c r="K225" i="5"/>
  <c r="L224" i="5"/>
  <c r="K224" i="5"/>
  <c r="M224" i="5" s="1"/>
  <c r="L223" i="5"/>
  <c r="K223" i="5"/>
  <c r="O223" i="5" s="1"/>
  <c r="L222" i="5"/>
  <c r="K222" i="5"/>
  <c r="M222" i="5" s="1"/>
  <c r="L221" i="5"/>
  <c r="K221" i="5"/>
  <c r="M221" i="5" s="1"/>
  <c r="L220" i="5"/>
  <c r="K220" i="5"/>
  <c r="O220" i="5" s="1"/>
  <c r="L219" i="5"/>
  <c r="K219" i="5"/>
  <c r="O219" i="5" s="1"/>
  <c r="L218" i="5"/>
  <c r="K218" i="5"/>
  <c r="M218" i="5" s="1"/>
  <c r="L217" i="5"/>
  <c r="K217" i="5"/>
  <c r="M217" i="5" s="1"/>
  <c r="L216" i="5"/>
  <c r="K216" i="5"/>
  <c r="O216" i="5" s="1"/>
  <c r="L215" i="5"/>
  <c r="K215" i="5"/>
  <c r="O215" i="5" s="1"/>
  <c r="L214" i="5"/>
  <c r="K214" i="5"/>
  <c r="M214" i="5" s="1"/>
  <c r="L213" i="5"/>
  <c r="K213" i="5"/>
  <c r="M213" i="5" s="1"/>
  <c r="L212" i="5"/>
  <c r="K212" i="5"/>
  <c r="L211" i="5"/>
  <c r="K211" i="5"/>
  <c r="O211" i="5" s="1"/>
  <c r="L210" i="5"/>
  <c r="K210" i="5"/>
  <c r="M210" i="5" s="1"/>
  <c r="L209" i="5"/>
  <c r="K209" i="5"/>
  <c r="L208" i="5"/>
  <c r="K208" i="5"/>
  <c r="O208" i="5" s="1"/>
  <c r="L207" i="5"/>
  <c r="K207" i="5"/>
  <c r="O207" i="5" s="1"/>
  <c r="L206" i="5"/>
  <c r="K206" i="5"/>
  <c r="L205" i="5"/>
  <c r="K205" i="5"/>
  <c r="O205" i="5" s="1"/>
  <c r="L204" i="5"/>
  <c r="K204" i="5"/>
  <c r="O204" i="5" s="1"/>
  <c r="L203" i="5"/>
  <c r="K203" i="5"/>
  <c r="O203" i="5" s="1"/>
  <c r="L202" i="5"/>
  <c r="K202" i="5"/>
  <c r="M202" i="5" s="1"/>
  <c r="L201" i="5"/>
  <c r="K201" i="5"/>
  <c r="O201" i="5" s="1"/>
  <c r="L200" i="5"/>
  <c r="K200" i="5"/>
  <c r="M200" i="5" s="1"/>
  <c r="L199" i="5"/>
  <c r="K199" i="5"/>
  <c r="O199" i="5" s="1"/>
  <c r="L198" i="5"/>
  <c r="K198" i="5"/>
  <c r="L197" i="5"/>
  <c r="K197" i="5"/>
  <c r="O197" i="5" s="1"/>
  <c r="L196" i="5"/>
  <c r="K196" i="5"/>
  <c r="L195" i="5"/>
  <c r="K195" i="5"/>
  <c r="O195" i="5" s="1"/>
  <c r="L194" i="5"/>
  <c r="K194" i="5"/>
  <c r="M194" i="5" s="1"/>
  <c r="L193" i="5"/>
  <c r="K193" i="5"/>
  <c r="M193" i="5" s="1"/>
  <c r="L192" i="5"/>
  <c r="K192" i="5"/>
  <c r="O192" i="5" s="1"/>
  <c r="L191" i="5"/>
  <c r="K191" i="5"/>
  <c r="O191" i="5" s="1"/>
  <c r="L190" i="5"/>
  <c r="K190" i="5"/>
  <c r="L189" i="5"/>
  <c r="K189" i="5"/>
  <c r="O189" i="5" s="1"/>
  <c r="L188" i="5"/>
  <c r="K188" i="5"/>
  <c r="O188" i="5" s="1"/>
  <c r="L187" i="5"/>
  <c r="K187" i="5"/>
  <c r="O187" i="5" s="1"/>
  <c r="L186" i="5"/>
  <c r="K186" i="5"/>
  <c r="M186" i="5" s="1"/>
  <c r="L185" i="5"/>
  <c r="K185" i="5"/>
  <c r="M185" i="5" s="1"/>
  <c r="L184" i="5"/>
  <c r="K184" i="5"/>
  <c r="O184" i="5" s="1"/>
  <c r="L183" i="5"/>
  <c r="K183" i="5"/>
  <c r="O183" i="5" s="1"/>
  <c r="L182" i="5"/>
  <c r="K182" i="5"/>
  <c r="L181" i="5"/>
  <c r="K181" i="5"/>
  <c r="O181" i="5" s="1"/>
  <c r="L180" i="5"/>
  <c r="K180" i="5"/>
  <c r="M180" i="5" s="1"/>
  <c r="L179" i="5"/>
  <c r="K179" i="5"/>
  <c r="O179" i="5" s="1"/>
  <c r="L178" i="5"/>
  <c r="K178" i="5"/>
  <c r="M178" i="5" s="1"/>
  <c r="L177" i="5"/>
  <c r="K177" i="5"/>
  <c r="O177" i="5" s="1"/>
  <c r="L176" i="5"/>
  <c r="K176" i="5"/>
  <c r="O176" i="5" s="1"/>
  <c r="L175" i="5"/>
  <c r="K175" i="5"/>
  <c r="M175" i="5" s="1"/>
  <c r="L174" i="5"/>
  <c r="K174" i="5"/>
  <c r="O174" i="5" s="1"/>
  <c r="L173" i="5"/>
  <c r="K173" i="5"/>
  <c r="O173" i="5" s="1"/>
  <c r="L172" i="5"/>
  <c r="K172" i="5"/>
  <c r="M172" i="5" s="1"/>
  <c r="L171" i="5"/>
  <c r="K171" i="5"/>
  <c r="L170" i="5"/>
  <c r="K170" i="5"/>
  <c r="O170" i="5" s="1"/>
  <c r="L169" i="5"/>
  <c r="K169" i="5"/>
  <c r="O169" i="5" s="1"/>
  <c r="L168" i="5"/>
  <c r="K168" i="5"/>
  <c r="O168" i="5" s="1"/>
  <c r="L167" i="5"/>
  <c r="K167" i="5"/>
  <c r="M167" i="5" s="1"/>
  <c r="L166" i="5"/>
  <c r="K166" i="5"/>
  <c r="O166" i="5" s="1"/>
  <c r="M165" i="5"/>
  <c r="L165" i="5"/>
  <c r="K165" i="5"/>
  <c r="O165" i="5" s="1"/>
  <c r="L164" i="5"/>
  <c r="K164" i="5"/>
  <c r="M164" i="5" s="1"/>
  <c r="L163" i="5"/>
  <c r="K163" i="5"/>
  <c r="L162" i="5"/>
  <c r="K162" i="5"/>
  <c r="O162" i="5" s="1"/>
  <c r="L161" i="5"/>
  <c r="K161" i="5"/>
  <c r="O161" i="5" s="1"/>
  <c r="L160" i="5"/>
  <c r="K160" i="5"/>
  <c r="O160" i="5" s="1"/>
  <c r="L159" i="5"/>
  <c r="K159" i="5"/>
  <c r="O159" i="5" s="1"/>
  <c r="L158" i="5"/>
  <c r="K158" i="5"/>
  <c r="O158" i="5" s="1"/>
  <c r="L157" i="5"/>
  <c r="K157" i="5"/>
  <c r="M157" i="5" s="1"/>
  <c r="L156" i="5"/>
  <c r="K156" i="5"/>
  <c r="O156" i="5" s="1"/>
  <c r="L155" i="5"/>
  <c r="K155" i="5"/>
  <c r="M155" i="5" s="1"/>
  <c r="L154" i="5"/>
  <c r="K154" i="5"/>
  <c r="O154" i="5" s="1"/>
  <c r="L153" i="5"/>
  <c r="K153" i="5"/>
  <c r="O153" i="5" s="1"/>
  <c r="L152" i="5"/>
  <c r="K152" i="5"/>
  <c r="O152" i="5" s="1"/>
  <c r="L151" i="5"/>
  <c r="K151" i="5"/>
  <c r="O151" i="5" s="1"/>
  <c r="L150" i="5"/>
  <c r="K150" i="5"/>
  <c r="O150" i="5" s="1"/>
  <c r="L149" i="5"/>
  <c r="K149" i="5"/>
  <c r="M149" i="5" s="1"/>
  <c r="L148" i="5"/>
  <c r="K148" i="5"/>
  <c r="O148" i="5" s="1"/>
  <c r="L147" i="5"/>
  <c r="K147" i="5"/>
  <c r="M147" i="5" s="1"/>
  <c r="L146" i="5"/>
  <c r="K146" i="5"/>
  <c r="O146" i="5" s="1"/>
  <c r="L145" i="5"/>
  <c r="K145" i="5"/>
  <c r="O145" i="5" s="1"/>
  <c r="L144" i="5"/>
  <c r="K144" i="5"/>
  <c r="O144" i="5" s="1"/>
  <c r="L143" i="5"/>
  <c r="K143" i="5"/>
  <c r="O143" i="5" s="1"/>
  <c r="L142" i="5"/>
  <c r="K142" i="5"/>
  <c r="O142" i="5" s="1"/>
  <c r="L141" i="5"/>
  <c r="K141" i="5"/>
  <c r="M141" i="5" s="1"/>
  <c r="L140" i="5"/>
  <c r="K140" i="5"/>
  <c r="O140" i="5" s="1"/>
  <c r="L139" i="5"/>
  <c r="K139" i="5"/>
  <c r="M139" i="5" s="1"/>
  <c r="L138" i="5"/>
  <c r="K138" i="5"/>
  <c r="O138" i="5" s="1"/>
  <c r="L137" i="5"/>
  <c r="K137" i="5"/>
  <c r="O137" i="5" s="1"/>
  <c r="L136" i="5"/>
  <c r="K136" i="5"/>
  <c r="O136" i="5" s="1"/>
  <c r="L135" i="5"/>
  <c r="K135" i="5"/>
  <c r="O135" i="5" s="1"/>
  <c r="L134" i="5"/>
  <c r="K134" i="5"/>
  <c r="O134" i="5" s="1"/>
  <c r="L133" i="5"/>
  <c r="K133" i="5"/>
  <c r="O133" i="5" s="1"/>
  <c r="L132" i="5"/>
  <c r="K132" i="5"/>
  <c r="O132" i="5" s="1"/>
  <c r="L131" i="5"/>
  <c r="K131" i="5"/>
  <c r="M131" i="5" s="1"/>
  <c r="L130" i="5"/>
  <c r="K130" i="5"/>
  <c r="O130" i="5" s="1"/>
  <c r="L129" i="5"/>
  <c r="K129" i="5"/>
  <c r="O129" i="5" s="1"/>
  <c r="L128" i="5"/>
  <c r="K128" i="5"/>
  <c r="O128" i="5" s="1"/>
  <c r="L127" i="5"/>
  <c r="K127" i="5"/>
  <c r="L126" i="5"/>
  <c r="K126" i="5"/>
  <c r="O126" i="5" s="1"/>
  <c r="L125" i="5"/>
  <c r="K125" i="5"/>
  <c r="M125" i="5" s="1"/>
  <c r="L124" i="5"/>
  <c r="K124" i="5"/>
  <c r="L123" i="5"/>
  <c r="K123" i="5"/>
  <c r="M123" i="5" s="1"/>
  <c r="L122" i="5"/>
  <c r="K122" i="5"/>
  <c r="O122" i="5" s="1"/>
  <c r="L121" i="5"/>
  <c r="K121" i="5"/>
  <c r="O121" i="5" s="1"/>
  <c r="L120" i="5"/>
  <c r="K120" i="5"/>
  <c r="O120" i="5" s="1"/>
  <c r="L119" i="5"/>
  <c r="K119" i="5"/>
  <c r="O119" i="5" s="1"/>
  <c r="L118" i="5"/>
  <c r="K118" i="5"/>
  <c r="O118" i="5" s="1"/>
  <c r="L117" i="5"/>
  <c r="K117" i="5"/>
  <c r="O117" i="5" s="1"/>
  <c r="L116" i="5"/>
  <c r="K116" i="5"/>
  <c r="O116" i="5" s="1"/>
  <c r="L115" i="5"/>
  <c r="K115" i="5"/>
  <c r="M115" i="5" s="1"/>
  <c r="L114" i="5"/>
  <c r="K114" i="5"/>
  <c r="O114" i="5" s="1"/>
  <c r="L113" i="5"/>
  <c r="K113" i="5"/>
  <c r="L112" i="5"/>
  <c r="K112" i="5"/>
  <c r="O112" i="5" s="1"/>
  <c r="L111" i="5"/>
  <c r="K111" i="5"/>
  <c r="O111" i="5" s="1"/>
  <c r="L110" i="5"/>
  <c r="K110" i="5"/>
  <c r="O110" i="5" s="1"/>
  <c r="L109" i="5"/>
  <c r="K109" i="5"/>
  <c r="M109" i="5" s="1"/>
  <c r="L108" i="5"/>
  <c r="K108" i="5"/>
  <c r="O108" i="5" s="1"/>
  <c r="L107" i="5"/>
  <c r="K107" i="5"/>
  <c r="M107" i="5" s="1"/>
  <c r="L106" i="5"/>
  <c r="K106" i="5"/>
  <c r="O106" i="5" s="1"/>
  <c r="L105" i="5"/>
  <c r="K105" i="5"/>
  <c r="O105" i="5" s="1"/>
  <c r="L104" i="5"/>
  <c r="K104" i="5"/>
  <c r="O104" i="5" s="1"/>
  <c r="L103" i="5"/>
  <c r="K103" i="5"/>
  <c r="O103" i="5" s="1"/>
  <c r="L102" i="5"/>
  <c r="K102" i="5"/>
  <c r="O102" i="5" s="1"/>
  <c r="L101" i="5"/>
  <c r="K101" i="5"/>
  <c r="O101" i="5" s="1"/>
  <c r="L100" i="5"/>
  <c r="K100" i="5"/>
  <c r="O100" i="5" s="1"/>
  <c r="L99" i="5"/>
  <c r="K99" i="5"/>
  <c r="M99" i="5" s="1"/>
  <c r="L98" i="5"/>
  <c r="K98" i="5"/>
  <c r="O98" i="5" s="1"/>
  <c r="L97" i="5"/>
  <c r="K97" i="5"/>
  <c r="O97" i="5" s="1"/>
  <c r="L96" i="5"/>
  <c r="K96" i="5"/>
  <c r="O96" i="5" s="1"/>
  <c r="L95" i="5"/>
  <c r="K95" i="5"/>
  <c r="O95" i="5" s="1"/>
  <c r="L94" i="5"/>
  <c r="K94" i="5"/>
  <c r="O94" i="5" s="1"/>
  <c r="L93" i="5"/>
  <c r="K93" i="5"/>
  <c r="M93" i="5" s="1"/>
  <c r="L92" i="5"/>
  <c r="K92" i="5"/>
  <c r="O92" i="5" s="1"/>
  <c r="L91" i="5"/>
  <c r="K91" i="5"/>
  <c r="M91" i="5" s="1"/>
  <c r="L90" i="5"/>
  <c r="K90" i="5"/>
  <c r="O90" i="5" s="1"/>
  <c r="L89" i="5"/>
  <c r="K89" i="5"/>
  <c r="O89" i="5" s="1"/>
  <c r="L88" i="5"/>
  <c r="K88" i="5"/>
  <c r="O88" i="5" s="1"/>
  <c r="L87" i="5"/>
  <c r="K87" i="5"/>
  <c r="O87" i="5" s="1"/>
  <c r="L86" i="5"/>
  <c r="K86" i="5"/>
  <c r="O86" i="5" s="1"/>
  <c r="L85" i="5"/>
  <c r="K85" i="5"/>
  <c r="L84" i="5"/>
  <c r="K84" i="5"/>
  <c r="O84" i="5" s="1"/>
  <c r="L83" i="5"/>
  <c r="K83" i="5"/>
  <c r="M83" i="5" s="1"/>
  <c r="L82" i="5"/>
  <c r="K82" i="5"/>
  <c r="O82" i="5" s="1"/>
  <c r="L81" i="5"/>
  <c r="K81" i="5"/>
  <c r="O81" i="5" s="1"/>
  <c r="L80" i="5"/>
  <c r="K80" i="5"/>
  <c r="O80" i="5" s="1"/>
  <c r="L79" i="5"/>
  <c r="K79" i="5"/>
  <c r="O79" i="5" s="1"/>
  <c r="L78" i="5"/>
  <c r="K78" i="5"/>
  <c r="O78" i="5" s="1"/>
  <c r="L77" i="5"/>
  <c r="K77" i="5"/>
  <c r="M77" i="5" s="1"/>
  <c r="L76" i="5"/>
  <c r="K76" i="5"/>
  <c r="O76" i="5" s="1"/>
  <c r="L75" i="5"/>
  <c r="K75" i="5"/>
  <c r="M75" i="5" s="1"/>
  <c r="L74" i="5"/>
  <c r="K74" i="5"/>
  <c r="O74" i="5" s="1"/>
  <c r="L73" i="5"/>
  <c r="K73" i="5"/>
  <c r="O73" i="5" s="1"/>
  <c r="L72" i="5"/>
  <c r="K72" i="5"/>
  <c r="O72" i="5" s="1"/>
  <c r="L71" i="5"/>
  <c r="K71" i="5"/>
  <c r="O71" i="5" s="1"/>
  <c r="L70" i="5"/>
  <c r="K70" i="5"/>
  <c r="O70" i="5" s="1"/>
  <c r="L69" i="5"/>
  <c r="K69" i="5"/>
  <c r="M69" i="5" s="1"/>
  <c r="L68" i="5"/>
  <c r="K68" i="5"/>
  <c r="O68" i="5" s="1"/>
  <c r="L67" i="5"/>
  <c r="K67" i="5"/>
  <c r="M67" i="5" s="1"/>
  <c r="L66" i="5"/>
  <c r="K66" i="5"/>
  <c r="O66" i="5" s="1"/>
  <c r="L65" i="5"/>
  <c r="K65" i="5"/>
  <c r="O65" i="5" s="1"/>
  <c r="L64" i="5"/>
  <c r="K64" i="5"/>
  <c r="O64" i="5" s="1"/>
  <c r="L63" i="5"/>
  <c r="K63" i="5"/>
  <c r="M63" i="5" s="1"/>
  <c r="L62" i="5"/>
  <c r="K62" i="5"/>
  <c r="O62" i="5" s="1"/>
  <c r="L61" i="5"/>
  <c r="K61" i="5"/>
  <c r="O61" i="5" s="1"/>
  <c r="L60" i="5"/>
  <c r="K60" i="5"/>
  <c r="L59" i="5"/>
  <c r="K59" i="5"/>
  <c r="M59" i="5" s="1"/>
  <c r="L58" i="5"/>
  <c r="K58" i="5"/>
  <c r="O58" i="5" s="1"/>
  <c r="L57" i="5"/>
  <c r="K57" i="5"/>
  <c r="L56" i="5"/>
  <c r="K56" i="5"/>
  <c r="O56" i="5" s="1"/>
  <c r="L55" i="5"/>
  <c r="K55" i="5"/>
  <c r="O55" i="5" s="1"/>
  <c r="L54" i="5"/>
  <c r="K54" i="5"/>
  <c r="O54" i="5" s="1"/>
  <c r="L53" i="5"/>
  <c r="K53" i="5"/>
  <c r="O53" i="5" s="1"/>
  <c r="L52" i="5"/>
  <c r="K52" i="5"/>
  <c r="M52" i="5" s="1"/>
  <c r="L51" i="5"/>
  <c r="K51" i="5"/>
  <c r="M51" i="5" s="1"/>
  <c r="L50" i="5"/>
  <c r="K50" i="5"/>
  <c r="O50" i="5" s="1"/>
  <c r="L49" i="5"/>
  <c r="K49" i="5"/>
  <c r="L48" i="5"/>
  <c r="K48" i="5"/>
  <c r="O48" i="5" s="1"/>
  <c r="L47" i="5"/>
  <c r="K47" i="5"/>
  <c r="M47" i="5" s="1"/>
  <c r="L46" i="5"/>
  <c r="K46" i="5"/>
  <c r="O46" i="5" s="1"/>
  <c r="L45" i="5"/>
  <c r="K45" i="5"/>
  <c r="O45" i="5" s="1"/>
  <c r="L44" i="5"/>
  <c r="K44" i="5"/>
  <c r="M44" i="5" s="1"/>
  <c r="L43" i="5"/>
  <c r="K43" i="5"/>
  <c r="M43" i="5" s="1"/>
  <c r="L42" i="5"/>
  <c r="K42" i="5"/>
  <c r="O42" i="5" s="1"/>
  <c r="L41" i="5"/>
  <c r="K41" i="5"/>
  <c r="L40" i="5"/>
  <c r="K40" i="5"/>
  <c r="O40" i="5" s="1"/>
  <c r="L39" i="5"/>
  <c r="K39" i="5"/>
  <c r="O39" i="5" s="1"/>
  <c r="L38" i="5"/>
  <c r="K38" i="5"/>
  <c r="O38" i="5" s="1"/>
  <c r="L37" i="5"/>
  <c r="K37" i="5"/>
  <c r="O37" i="5" s="1"/>
  <c r="L36" i="5"/>
  <c r="K36" i="5"/>
  <c r="M36" i="5" s="1"/>
  <c r="L35" i="5"/>
  <c r="K35" i="5"/>
  <c r="M35" i="5" s="1"/>
  <c r="L34" i="5"/>
  <c r="K34" i="5"/>
  <c r="O34" i="5" s="1"/>
  <c r="L33" i="5"/>
  <c r="K33" i="5"/>
  <c r="L32" i="5"/>
  <c r="K32" i="5"/>
  <c r="O32" i="5" s="1"/>
  <c r="L31" i="5"/>
  <c r="K31" i="5"/>
  <c r="O31" i="5" s="1"/>
  <c r="L30" i="5"/>
  <c r="K30" i="5"/>
  <c r="O30" i="5" s="1"/>
  <c r="L29" i="5"/>
  <c r="K29" i="5"/>
  <c r="M29" i="5" s="1"/>
  <c r="L28" i="5"/>
  <c r="K28" i="5"/>
  <c r="L27" i="5"/>
  <c r="K27" i="5"/>
  <c r="M27" i="5" s="1"/>
  <c r="L26" i="5"/>
  <c r="K26" i="5"/>
  <c r="O26" i="5" s="1"/>
  <c r="L25" i="5"/>
  <c r="K25" i="5"/>
  <c r="L24" i="5"/>
  <c r="K24" i="5"/>
  <c r="O24" i="5" s="1"/>
  <c r="M23" i="5"/>
  <c r="L23" i="5"/>
  <c r="K23" i="5"/>
  <c r="O23" i="5" s="1"/>
  <c r="L22" i="5"/>
  <c r="K22" i="5"/>
  <c r="O22" i="5" s="1"/>
  <c r="L21" i="5"/>
  <c r="K21" i="5"/>
  <c r="O21" i="5" s="1"/>
  <c r="L20" i="5"/>
  <c r="K20" i="5"/>
  <c r="L19" i="5"/>
  <c r="K19" i="5"/>
  <c r="M19" i="5" s="1"/>
  <c r="L18" i="5"/>
  <c r="K18" i="5"/>
  <c r="O18" i="5" s="1"/>
  <c r="L17" i="5"/>
  <c r="K17" i="5"/>
  <c r="L16" i="5"/>
  <c r="K16" i="5"/>
  <c r="O16" i="5" s="1"/>
  <c r="L15" i="5"/>
  <c r="K15" i="5"/>
  <c r="O15" i="5" s="1"/>
  <c r="L14" i="5"/>
  <c r="K14" i="5"/>
  <c r="O14" i="5" s="1"/>
  <c r="L13" i="5"/>
  <c r="K13" i="5"/>
  <c r="M13" i="5" s="1"/>
  <c r="L12" i="5"/>
  <c r="K12" i="5"/>
  <c r="L11" i="5"/>
  <c r="K11" i="5"/>
  <c r="M11" i="5" s="1"/>
  <c r="L10" i="5"/>
  <c r="K10" i="5"/>
  <c r="O10" i="5" s="1"/>
  <c r="L9" i="5"/>
  <c r="K9" i="5"/>
  <c r="L8" i="5"/>
  <c r="K8" i="5"/>
  <c r="O8" i="5" s="1"/>
  <c r="L7" i="5"/>
  <c r="K7" i="5"/>
  <c r="O7" i="5" s="1"/>
  <c r="L6" i="5"/>
  <c r="K6" i="5"/>
  <c r="O6" i="5" s="1"/>
  <c r="L5" i="5"/>
  <c r="K5" i="5"/>
  <c r="M5" i="5" s="1"/>
  <c r="L4" i="5"/>
  <c r="K4" i="5"/>
  <c r="L3" i="5"/>
  <c r="K3" i="5"/>
  <c r="M3" i="5" s="1"/>
  <c r="L2" i="5"/>
  <c r="K2" i="5"/>
  <c r="O2" i="5"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N2023" i="1" s="1"/>
  <c r="L2024" i="1"/>
  <c r="L2025" i="1"/>
  <c r="L2026" i="1"/>
  <c r="L2027" i="1"/>
  <c r="L2028" i="1"/>
  <c r="L2029" i="1"/>
  <c r="L2030" i="1"/>
  <c r="L2031" i="1"/>
  <c r="N2031" i="1" s="1"/>
  <c r="L2032" i="1"/>
  <c r="L2033" i="1"/>
  <c r="L2034" i="1"/>
  <c r="L2035" i="1"/>
  <c r="L2036" i="1"/>
  <c r="L2037" i="1"/>
  <c r="L2038" i="1"/>
  <c r="L2039" i="1"/>
  <c r="N2039" i="1" s="1"/>
  <c r="L2040" i="1"/>
  <c r="L2041" i="1"/>
  <c r="L2042" i="1"/>
  <c r="L2043" i="1"/>
  <c r="L2044" i="1"/>
  <c r="L2045" i="1"/>
  <c r="L2046" i="1"/>
  <c r="L2047" i="1"/>
  <c r="N2047" i="1" s="1"/>
  <c r="L2048" i="1"/>
  <c r="L2049" i="1"/>
  <c r="L2050" i="1"/>
  <c r="L2051" i="1"/>
  <c r="L2052" i="1"/>
  <c r="L2053" i="1"/>
  <c r="L2054" i="1"/>
  <c r="L2055" i="1"/>
  <c r="N2055" i="1" s="1"/>
  <c r="L2056" i="1"/>
  <c r="L2057" i="1"/>
  <c r="L2058" i="1"/>
  <c r="L2059" i="1"/>
  <c r="L2060" i="1"/>
  <c r="L2061" i="1"/>
  <c r="L2062" i="1"/>
  <c r="L2063" i="1"/>
  <c r="N2063" i="1" s="1"/>
  <c r="L2064" i="1"/>
  <c r="L2065" i="1"/>
  <c r="L2066" i="1"/>
  <c r="L2067" i="1"/>
  <c r="L2068" i="1"/>
  <c r="L2069" i="1"/>
  <c r="L2070" i="1"/>
  <c r="L2071" i="1"/>
  <c r="N2071" i="1" s="1"/>
  <c r="L2072" i="1"/>
  <c r="L2073" i="1"/>
  <c r="L2074" i="1"/>
  <c r="L2075" i="1"/>
  <c r="L2076" i="1"/>
  <c r="L2077" i="1"/>
  <c r="L2078" i="1"/>
  <c r="L2079" i="1"/>
  <c r="N2079" i="1" s="1"/>
  <c r="L2080" i="1"/>
  <c r="L2081" i="1"/>
  <c r="L2082" i="1"/>
  <c r="L2083" i="1"/>
  <c r="L2084" i="1"/>
  <c r="L2085" i="1"/>
  <c r="L2086" i="1"/>
  <c r="L2087" i="1"/>
  <c r="N2087" i="1" s="1"/>
  <c r="L2088" i="1"/>
  <c r="L2089" i="1"/>
  <c r="L2090" i="1"/>
  <c r="L2091" i="1"/>
  <c r="L2092" i="1"/>
  <c r="L2093" i="1"/>
  <c r="L2094" i="1"/>
  <c r="L2095" i="1"/>
  <c r="N2095" i="1" s="1"/>
  <c r="L2096" i="1"/>
  <c r="L2097" i="1"/>
  <c r="L2098" i="1"/>
  <c r="L2099" i="1"/>
  <c r="K2099" i="1"/>
  <c r="K2098" i="1"/>
  <c r="K2097" i="1"/>
  <c r="K2096" i="1"/>
  <c r="K2095" i="1"/>
  <c r="M2095" i="1" s="1"/>
  <c r="K2094" i="1"/>
  <c r="K2093" i="1"/>
  <c r="K2092" i="1"/>
  <c r="K2091" i="1"/>
  <c r="K2090" i="1"/>
  <c r="K2089" i="1"/>
  <c r="K2088" i="1"/>
  <c r="K2087" i="1"/>
  <c r="M2087" i="1" s="1"/>
  <c r="K2086" i="1"/>
  <c r="K2085" i="1"/>
  <c r="K2084" i="1"/>
  <c r="K2083" i="1"/>
  <c r="K2082" i="1"/>
  <c r="K2081" i="1"/>
  <c r="K2080" i="1"/>
  <c r="K2079" i="1"/>
  <c r="M2079" i="1" s="1"/>
  <c r="K2078" i="1"/>
  <c r="K2077" i="1"/>
  <c r="K2076" i="1"/>
  <c r="K2075" i="1"/>
  <c r="K2074" i="1"/>
  <c r="K2073" i="1"/>
  <c r="K2072" i="1"/>
  <c r="K2071" i="1"/>
  <c r="M2071" i="1" s="1"/>
  <c r="K2070" i="1"/>
  <c r="K2069" i="1"/>
  <c r="K2068" i="1"/>
  <c r="K2067" i="1"/>
  <c r="K2066" i="1"/>
  <c r="K2065" i="1"/>
  <c r="K2064" i="1"/>
  <c r="K2063" i="1"/>
  <c r="M2063" i="1" s="1"/>
  <c r="K2062" i="1"/>
  <c r="K2061" i="1"/>
  <c r="K2060" i="1"/>
  <c r="K2059" i="1"/>
  <c r="K2058" i="1"/>
  <c r="K2057" i="1"/>
  <c r="K2056" i="1"/>
  <c r="K2055" i="1"/>
  <c r="M2055" i="1" s="1"/>
  <c r="K2054" i="1"/>
  <c r="K2053" i="1"/>
  <c r="K2052" i="1"/>
  <c r="K2051" i="1"/>
  <c r="K2050" i="1"/>
  <c r="K2049" i="1"/>
  <c r="K2048" i="1"/>
  <c r="K2047" i="1"/>
  <c r="M2047" i="1" s="1"/>
  <c r="K2046" i="1"/>
  <c r="K2045" i="1"/>
  <c r="K2044" i="1"/>
  <c r="K2043" i="1"/>
  <c r="K2042" i="1"/>
  <c r="K2041" i="1"/>
  <c r="K2040" i="1"/>
  <c r="K2039" i="1"/>
  <c r="M2039" i="1" s="1"/>
  <c r="K2038" i="1"/>
  <c r="K2037" i="1"/>
  <c r="K2036" i="1"/>
  <c r="K2035" i="1"/>
  <c r="K2034" i="1"/>
  <c r="K2033" i="1"/>
  <c r="K2032" i="1"/>
  <c r="K2031" i="1"/>
  <c r="M2031" i="1" s="1"/>
  <c r="K2030" i="1"/>
  <c r="K2029" i="1"/>
  <c r="K2028" i="1"/>
  <c r="K2027" i="1"/>
  <c r="K2026" i="1"/>
  <c r="K2025" i="1"/>
  <c r="K2024" i="1"/>
  <c r="K2023" i="1"/>
  <c r="M2023" i="1" s="1"/>
  <c r="K2022" i="1"/>
  <c r="K2021" i="1"/>
  <c r="K2020" i="1"/>
  <c r="K2019" i="1"/>
  <c r="K2018" i="1"/>
  <c r="K2017" i="1"/>
  <c r="K2016" i="1"/>
  <c r="K2015" i="1"/>
  <c r="M2015" i="1" s="1"/>
  <c r="K2014" i="1"/>
  <c r="K2013" i="1"/>
  <c r="K2012" i="1"/>
  <c r="K2011" i="1"/>
  <c r="K2010" i="1"/>
  <c r="K2009" i="1"/>
  <c r="K2008" i="1"/>
  <c r="K2007" i="1"/>
  <c r="M2007" i="1" s="1"/>
  <c r="K2006" i="1"/>
  <c r="K2005" i="1"/>
  <c r="K2004" i="1"/>
  <c r="K2003" i="1"/>
  <c r="K2002" i="1"/>
  <c r="K2001" i="1"/>
  <c r="K2000" i="1"/>
  <c r="K1999" i="1"/>
  <c r="M1999" i="1" s="1"/>
  <c r="K1998" i="1"/>
  <c r="K1997" i="1"/>
  <c r="K1996" i="1"/>
  <c r="K1995" i="1"/>
  <c r="K1994" i="1"/>
  <c r="K1993" i="1"/>
  <c r="K1992" i="1"/>
  <c r="K1991" i="1"/>
  <c r="M1991" i="1" s="1"/>
  <c r="K1990" i="1"/>
  <c r="K1989" i="1"/>
  <c r="K1988" i="1"/>
  <c r="K1987" i="1"/>
  <c r="K1986" i="1"/>
  <c r="K1985" i="1"/>
  <c r="K1984" i="1"/>
  <c r="K1983" i="1"/>
  <c r="M1983" i="1" s="1"/>
  <c r="K1982" i="1"/>
  <c r="K1981" i="1"/>
  <c r="K1980" i="1"/>
  <c r="K1979" i="1"/>
  <c r="K1978" i="1"/>
  <c r="K1977" i="1"/>
  <c r="K1976" i="1"/>
  <c r="K1975" i="1"/>
  <c r="M1975" i="1" s="1"/>
  <c r="K1974" i="1"/>
  <c r="K1973" i="1"/>
  <c r="K1972" i="1"/>
  <c r="K1971" i="1"/>
  <c r="K1970" i="1"/>
  <c r="K1969" i="1"/>
  <c r="K1968" i="1"/>
  <c r="K1967" i="1"/>
  <c r="M1967" i="1" s="1"/>
  <c r="K1966" i="1"/>
  <c r="K1965" i="1"/>
  <c r="K1964" i="1"/>
  <c r="K1963" i="1"/>
  <c r="K1962" i="1"/>
  <c r="K1961" i="1"/>
  <c r="K1960" i="1"/>
  <c r="K1959" i="1"/>
  <c r="M1959" i="1" s="1"/>
  <c r="K1958" i="1"/>
  <c r="K1957" i="1"/>
  <c r="K1956" i="1"/>
  <c r="K1955" i="1"/>
  <c r="K1954" i="1"/>
  <c r="K1953" i="1"/>
  <c r="K1952" i="1"/>
  <c r="K1951" i="1"/>
  <c r="M1951" i="1" s="1"/>
  <c r="K1950" i="1"/>
  <c r="K1949" i="1"/>
  <c r="K1948" i="1"/>
  <c r="K1947" i="1"/>
  <c r="K1946" i="1"/>
  <c r="K1945" i="1"/>
  <c r="K1944" i="1"/>
  <c r="K1943" i="1"/>
  <c r="M1943" i="1" s="1"/>
  <c r="K1942" i="1"/>
  <c r="K1941" i="1"/>
  <c r="K1940" i="1"/>
  <c r="K1939" i="1"/>
  <c r="K1938" i="1"/>
  <c r="K1937" i="1"/>
  <c r="K1936" i="1"/>
  <c r="K1935" i="1"/>
  <c r="M1935" i="1" s="1"/>
  <c r="K1934" i="1"/>
  <c r="K1933" i="1"/>
  <c r="K1932" i="1"/>
  <c r="K1931" i="1"/>
  <c r="K1930" i="1"/>
  <c r="K1929" i="1"/>
  <c r="K1928" i="1"/>
  <c r="K1927" i="1"/>
  <c r="M1927" i="1" s="1"/>
  <c r="K1926" i="1"/>
  <c r="K1925" i="1"/>
  <c r="K1924" i="1"/>
  <c r="K1923" i="1"/>
  <c r="K1922" i="1"/>
  <c r="K1921" i="1"/>
  <c r="K1920" i="1"/>
  <c r="K1919" i="1"/>
  <c r="M1919" i="1" s="1"/>
  <c r="K1918" i="1"/>
  <c r="K1917" i="1"/>
  <c r="K1916" i="1"/>
  <c r="K1915" i="1"/>
  <c r="K1914" i="1"/>
  <c r="K1913" i="1"/>
  <c r="K1912" i="1"/>
  <c r="K1911" i="1"/>
  <c r="M1911" i="1" s="1"/>
  <c r="K1910" i="1"/>
  <c r="K1909" i="1"/>
  <c r="K1908" i="1"/>
  <c r="K1907" i="1"/>
  <c r="K1906" i="1"/>
  <c r="K1905" i="1"/>
  <c r="K1904" i="1"/>
  <c r="K1903" i="1"/>
  <c r="M1903" i="1" s="1"/>
  <c r="K1902" i="1"/>
  <c r="K1901" i="1"/>
  <c r="K1900" i="1"/>
  <c r="K1899" i="1"/>
  <c r="K1898" i="1"/>
  <c r="K1897" i="1"/>
  <c r="K1896" i="1"/>
  <c r="K1895" i="1"/>
  <c r="M1895" i="1" s="1"/>
  <c r="K1894" i="1"/>
  <c r="K1893" i="1"/>
  <c r="K1892" i="1"/>
  <c r="K1891" i="1"/>
  <c r="K1890" i="1"/>
  <c r="K1889" i="1"/>
  <c r="K1888" i="1"/>
  <c r="K1887" i="1"/>
  <c r="M1887" i="1" s="1"/>
  <c r="K1886" i="1"/>
  <c r="K1885" i="1"/>
  <c r="K1884" i="1"/>
  <c r="K1883" i="1"/>
  <c r="K1882" i="1"/>
  <c r="K1881" i="1"/>
  <c r="K1880" i="1"/>
  <c r="K1879" i="1"/>
  <c r="M1879" i="1" s="1"/>
  <c r="K1878" i="1"/>
  <c r="K1877" i="1"/>
  <c r="K1876" i="1"/>
  <c r="K1875" i="1"/>
  <c r="K1874" i="1"/>
  <c r="K1873" i="1"/>
  <c r="K1872" i="1"/>
  <c r="K1871" i="1"/>
  <c r="M1871" i="1" s="1"/>
  <c r="K1870" i="1"/>
  <c r="K1869" i="1"/>
  <c r="K1868" i="1"/>
  <c r="K1867" i="1"/>
  <c r="K1866" i="1"/>
  <c r="K1865" i="1"/>
  <c r="K1864" i="1"/>
  <c r="K1863" i="1"/>
  <c r="M1863" i="1" s="1"/>
  <c r="K1862" i="1"/>
  <c r="K1861" i="1"/>
  <c r="K1860" i="1"/>
  <c r="K1859" i="1"/>
  <c r="K1858" i="1"/>
  <c r="K1857" i="1"/>
  <c r="K1856" i="1"/>
  <c r="K1855" i="1"/>
  <c r="M1855" i="1" s="1"/>
  <c r="K1854" i="1"/>
  <c r="K1853" i="1"/>
  <c r="K1852" i="1"/>
  <c r="K1851" i="1"/>
  <c r="K1850" i="1"/>
  <c r="K1849" i="1"/>
  <c r="K1848" i="1"/>
  <c r="K1847" i="1"/>
  <c r="M1847" i="1" s="1"/>
  <c r="K1846" i="1"/>
  <c r="K1845" i="1"/>
  <c r="K1844" i="1"/>
  <c r="K1843" i="1"/>
  <c r="K1842" i="1"/>
  <c r="K1841" i="1"/>
  <c r="K1840" i="1"/>
  <c r="K1839" i="1"/>
  <c r="M1839" i="1" s="1"/>
  <c r="K1838" i="1"/>
  <c r="K1837" i="1"/>
  <c r="K1836" i="1"/>
  <c r="K1835" i="1"/>
  <c r="K1834" i="1"/>
  <c r="K1833" i="1"/>
  <c r="K1832" i="1"/>
  <c r="K1831" i="1"/>
  <c r="M1831" i="1" s="1"/>
  <c r="K1830" i="1"/>
  <c r="K1829" i="1"/>
  <c r="K1828" i="1"/>
  <c r="K1827" i="1"/>
  <c r="K1826" i="1"/>
  <c r="K1825" i="1"/>
  <c r="K1824" i="1"/>
  <c r="K1823" i="1"/>
  <c r="M1823" i="1" s="1"/>
  <c r="K1822" i="1"/>
  <c r="K1821" i="1"/>
  <c r="K1820" i="1"/>
  <c r="K1819" i="1"/>
  <c r="K1818" i="1"/>
  <c r="K1817" i="1"/>
  <c r="K1816" i="1"/>
  <c r="K1815" i="1"/>
  <c r="K1814" i="1"/>
  <c r="K1813" i="1"/>
  <c r="M1813" i="1" s="1"/>
  <c r="K1812" i="1"/>
  <c r="K1811" i="1"/>
  <c r="K1810" i="1"/>
  <c r="K1809" i="1"/>
  <c r="K1808" i="1"/>
  <c r="K1807" i="1"/>
  <c r="K1806" i="1"/>
  <c r="K1805" i="1"/>
  <c r="K1804" i="1"/>
  <c r="K1803" i="1"/>
  <c r="K1802" i="1"/>
  <c r="K1801" i="1"/>
  <c r="M1801" i="1" s="1"/>
  <c r="K1800" i="1"/>
  <c r="K1799" i="1"/>
  <c r="K1798" i="1"/>
  <c r="K1797" i="1"/>
  <c r="K1796" i="1"/>
  <c r="K1795" i="1"/>
  <c r="K1794" i="1"/>
  <c r="K1793" i="1"/>
  <c r="K1792" i="1"/>
  <c r="K1791" i="1"/>
  <c r="K1790" i="1"/>
  <c r="K1789" i="1"/>
  <c r="M1789" i="1" s="1"/>
  <c r="K1788" i="1"/>
  <c r="K1787" i="1"/>
  <c r="K1786" i="1"/>
  <c r="K1785" i="1"/>
  <c r="K1784" i="1"/>
  <c r="K1783" i="1"/>
  <c r="K1782" i="1"/>
  <c r="K1781" i="1"/>
  <c r="K1780" i="1"/>
  <c r="K1779" i="1"/>
  <c r="K1778" i="1"/>
  <c r="K1777" i="1"/>
  <c r="K1776" i="1"/>
  <c r="K1775" i="1"/>
  <c r="M1775" i="1" s="1"/>
  <c r="K1774" i="1"/>
  <c r="K1773" i="1"/>
  <c r="K1772" i="1"/>
  <c r="K1771" i="1"/>
  <c r="K1770" i="1"/>
  <c r="K1769" i="1"/>
  <c r="K1768" i="1"/>
  <c r="K1767" i="1"/>
  <c r="K1766" i="1"/>
  <c r="K1765" i="1"/>
  <c r="K1764" i="1"/>
  <c r="K1763" i="1"/>
  <c r="K1762" i="1"/>
  <c r="M1762" i="1" s="1"/>
  <c r="K1761" i="1"/>
  <c r="K1760" i="1"/>
  <c r="K1759" i="1"/>
  <c r="K1758" i="1"/>
  <c r="K1757" i="1"/>
  <c r="K1756" i="1"/>
  <c r="K1755" i="1"/>
  <c r="K1754" i="1"/>
  <c r="K1753" i="1"/>
  <c r="K1752" i="1"/>
  <c r="K1751" i="1"/>
  <c r="K1750" i="1"/>
  <c r="M1750" i="1" s="1"/>
  <c r="K1749" i="1"/>
  <c r="K1748" i="1"/>
  <c r="K1747" i="1"/>
  <c r="K1746" i="1"/>
  <c r="K1745" i="1"/>
  <c r="K1744" i="1"/>
  <c r="K1743" i="1"/>
  <c r="K1742" i="1"/>
  <c r="K1741" i="1"/>
  <c r="K1740" i="1"/>
  <c r="K1739" i="1"/>
  <c r="K1738" i="1"/>
  <c r="K1737" i="1"/>
  <c r="M1737" i="1" s="1"/>
  <c r="K1736" i="1"/>
  <c r="K1735" i="1"/>
  <c r="K1734" i="1"/>
  <c r="K1733" i="1"/>
  <c r="K1732" i="1"/>
  <c r="K1731" i="1"/>
  <c r="K1730" i="1"/>
  <c r="K1729" i="1"/>
  <c r="K1728" i="1"/>
  <c r="K1727" i="1"/>
  <c r="K1726" i="1"/>
  <c r="K1725" i="1"/>
  <c r="M1725" i="1" s="1"/>
  <c r="K1724" i="1"/>
  <c r="K1723" i="1"/>
  <c r="K1722" i="1"/>
  <c r="K1721" i="1"/>
  <c r="K1720" i="1"/>
  <c r="K1719" i="1"/>
  <c r="K1718" i="1"/>
  <c r="K1717" i="1"/>
  <c r="K1716" i="1"/>
  <c r="K1715" i="1"/>
  <c r="K1714" i="1"/>
  <c r="K1713" i="1"/>
  <c r="K1712" i="1"/>
  <c r="K1711" i="1"/>
  <c r="M1711" i="1" s="1"/>
  <c r="K1710" i="1"/>
  <c r="K1709" i="1"/>
  <c r="K1708" i="1"/>
  <c r="K1707" i="1"/>
  <c r="K1706" i="1"/>
  <c r="K1705" i="1"/>
  <c r="K1704" i="1"/>
  <c r="K1703" i="1"/>
  <c r="K1702" i="1"/>
  <c r="K1701" i="1"/>
  <c r="K1700" i="1"/>
  <c r="K1699" i="1"/>
  <c r="K1698" i="1"/>
  <c r="M1698" i="1" s="1"/>
  <c r="K1697" i="1"/>
  <c r="K1696" i="1"/>
  <c r="K1695" i="1"/>
  <c r="K1694" i="1"/>
  <c r="K1693" i="1"/>
  <c r="K1692" i="1"/>
  <c r="K1691" i="1"/>
  <c r="K1690" i="1"/>
  <c r="K1689" i="1"/>
  <c r="K1688" i="1"/>
  <c r="K1687" i="1"/>
  <c r="K1686" i="1"/>
  <c r="M1686" i="1" s="1"/>
  <c r="K1685" i="1"/>
  <c r="K1684" i="1"/>
  <c r="K1683" i="1"/>
  <c r="K1682" i="1"/>
  <c r="K1681" i="1"/>
  <c r="K1680" i="1"/>
  <c r="K1679" i="1"/>
  <c r="K1678" i="1"/>
  <c r="K1677" i="1"/>
  <c r="K1676" i="1"/>
  <c r="K1675" i="1"/>
  <c r="K1674" i="1"/>
  <c r="K1673" i="1"/>
  <c r="M1673" i="1" s="1"/>
  <c r="K1672" i="1"/>
  <c r="K1671" i="1"/>
  <c r="K1670" i="1"/>
  <c r="K1669" i="1"/>
  <c r="K1668" i="1"/>
  <c r="K1667" i="1"/>
  <c r="K1666" i="1"/>
  <c r="K1665" i="1"/>
  <c r="K1664" i="1"/>
  <c r="K1663" i="1"/>
  <c r="K1662" i="1"/>
  <c r="K1661" i="1"/>
  <c r="M1661" i="1" s="1"/>
  <c r="K1660" i="1"/>
  <c r="K1659" i="1"/>
  <c r="K1658" i="1"/>
  <c r="K1657" i="1"/>
  <c r="K1656" i="1"/>
  <c r="K1655" i="1"/>
  <c r="K1654" i="1"/>
  <c r="K1653" i="1"/>
  <c r="K1652" i="1"/>
  <c r="K1651" i="1"/>
  <c r="K1650" i="1"/>
  <c r="K1649" i="1"/>
  <c r="K1648" i="1"/>
  <c r="K1647" i="1"/>
  <c r="K1646" i="1"/>
  <c r="K1645" i="1"/>
  <c r="M1645" i="1" s="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M1589" i="1" s="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M1525" i="1" s="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M1461" i="1" s="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M1397" i="1" s="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M1333" i="1" s="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M1266" i="1" s="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M1086" i="1" s="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M495" i="5" l="1"/>
  <c r="M1328" i="5"/>
  <c r="O1851" i="5"/>
  <c r="O63" i="5"/>
  <c r="O498" i="5"/>
  <c r="O155" i="5"/>
  <c r="O480" i="5"/>
  <c r="N1001" i="5"/>
  <c r="O1539" i="5"/>
  <c r="M1598" i="5"/>
  <c r="O1844" i="5"/>
  <c r="O1895" i="5"/>
  <c r="M229" i="5"/>
  <c r="O580" i="5"/>
  <c r="O13" i="5"/>
  <c r="O425" i="5"/>
  <c r="N837" i="5"/>
  <c r="M958" i="5"/>
  <c r="N958" i="5" s="1"/>
  <c r="O845" i="5"/>
  <c r="N1090" i="5"/>
  <c r="N949" i="5"/>
  <c r="O564" i="5"/>
  <c r="M579" i="5"/>
  <c r="M73" i="5"/>
  <c r="N73" i="5" s="1"/>
  <c r="M116" i="5"/>
  <c r="M159" i="5"/>
  <c r="M733" i="5"/>
  <c r="O832" i="5"/>
  <c r="N1776" i="5"/>
  <c r="O1946" i="5"/>
  <c r="M97" i="5"/>
  <c r="O193" i="5"/>
  <c r="M311" i="5"/>
  <c r="O619" i="5"/>
  <c r="M654" i="5"/>
  <c r="O961" i="5"/>
  <c r="M1087" i="5"/>
  <c r="N1316" i="5"/>
  <c r="O1417" i="5"/>
  <c r="M1669" i="5"/>
  <c r="N1669" i="5" s="1"/>
  <c r="M1828" i="5"/>
  <c r="M1831" i="5"/>
  <c r="O1939" i="5"/>
  <c r="N265" i="5"/>
  <c r="O1521" i="5"/>
  <c r="M1912" i="5"/>
  <c r="O880" i="5"/>
  <c r="O29" i="5"/>
  <c r="O175" i="5"/>
  <c r="O301" i="5"/>
  <c r="O360" i="5"/>
  <c r="M399" i="5"/>
  <c r="O422" i="5"/>
  <c r="O441" i="5"/>
  <c r="O1053" i="5"/>
  <c r="O1360" i="5"/>
  <c r="M45" i="5"/>
  <c r="M161" i="5"/>
  <c r="O172" i="5"/>
  <c r="M388" i="5"/>
  <c r="O771" i="5"/>
  <c r="O1859" i="5"/>
  <c r="N69" i="5"/>
  <c r="N681" i="5"/>
  <c r="N1508" i="5"/>
  <c r="O1616" i="5"/>
  <c r="O91" i="5"/>
  <c r="M133" i="5"/>
  <c r="N185" i="5"/>
  <c r="N281" i="5"/>
  <c r="O707" i="5"/>
  <c r="O742" i="5"/>
  <c r="M873" i="5"/>
  <c r="N924" i="5"/>
  <c r="N969" i="5"/>
  <c r="M1046" i="5"/>
  <c r="O1118" i="5"/>
  <c r="O1152" i="5"/>
  <c r="O1287" i="5"/>
  <c r="N1380" i="5"/>
  <c r="O1478" i="5"/>
  <c r="O1525" i="5"/>
  <c r="N2000" i="5"/>
  <c r="O2007" i="5"/>
  <c r="O2050" i="5"/>
  <c r="M2093" i="5"/>
  <c r="O69" i="5"/>
  <c r="M76" i="5"/>
  <c r="N76" i="5" s="1"/>
  <c r="O141" i="5"/>
  <c r="O200" i="5"/>
  <c r="M215" i="5"/>
  <c r="O269" i="5"/>
  <c r="O355" i="5"/>
  <c r="O419" i="5"/>
  <c r="M638" i="5"/>
  <c r="N638" i="5" s="1"/>
  <c r="O692" i="5"/>
  <c r="O765" i="5"/>
  <c r="M936" i="5"/>
  <c r="O969" i="5"/>
  <c r="O1100" i="5"/>
  <c r="O1176" i="5"/>
  <c r="M1342" i="5"/>
  <c r="M1376" i="5"/>
  <c r="N1376" i="5" s="1"/>
  <c r="O1629" i="5"/>
  <c r="O1746" i="5"/>
  <c r="O1780" i="5"/>
  <c r="M1803" i="5"/>
  <c r="O1879" i="5"/>
  <c r="M1890" i="5"/>
  <c r="N29" i="5"/>
  <c r="O149" i="5"/>
  <c r="O258" i="5"/>
  <c r="O496" i="5"/>
  <c r="N643" i="5"/>
  <c r="O1009" i="5"/>
  <c r="N1021" i="5"/>
  <c r="O1089" i="5"/>
  <c r="M1208" i="5"/>
  <c r="M1416" i="5"/>
  <c r="M1766" i="5"/>
  <c r="N1766" i="5" s="1"/>
  <c r="O1777" i="5"/>
  <c r="O1796" i="5"/>
  <c r="O1883" i="5"/>
  <c r="M1989" i="5"/>
  <c r="O47" i="5"/>
  <c r="O131" i="5"/>
  <c r="O305" i="5"/>
  <c r="M383" i="5"/>
  <c r="N383" i="5" s="1"/>
  <c r="M394" i="5"/>
  <c r="M405" i="5"/>
  <c r="M531" i="5"/>
  <c r="O616" i="5"/>
  <c r="M763" i="5"/>
  <c r="M781" i="5"/>
  <c r="O1021" i="5"/>
  <c r="O1116" i="5"/>
  <c r="M1220" i="5"/>
  <c r="M1269" i="5"/>
  <c r="M1534" i="5"/>
  <c r="N1534" i="5" s="1"/>
  <c r="M1982" i="5"/>
  <c r="M2005" i="5"/>
  <c r="N2005" i="5" s="1"/>
  <c r="M201" i="5"/>
  <c r="O516" i="5"/>
  <c r="O543" i="5"/>
  <c r="N567" i="5"/>
  <c r="O852" i="5"/>
  <c r="M1259" i="5"/>
  <c r="N1987" i="5"/>
  <c r="N757" i="5"/>
  <c r="N961" i="5"/>
  <c r="O1558" i="5"/>
  <c r="O1926" i="5"/>
  <c r="M1960" i="5"/>
  <c r="M2076" i="5"/>
  <c r="O19" i="5"/>
  <c r="N249" i="5"/>
  <c r="M1068" i="5"/>
  <c r="N1068" i="5" s="1"/>
  <c r="N1521" i="5"/>
  <c r="O1647" i="5"/>
  <c r="M1690" i="5"/>
  <c r="N1690" i="5" s="1"/>
  <c r="O1745" i="5"/>
  <c r="O1976" i="5"/>
  <c r="M1372" i="5"/>
  <c r="O1372" i="5"/>
  <c r="O1711" i="5"/>
  <c r="M1711" i="5"/>
  <c r="O1920" i="5"/>
  <c r="M1920" i="5"/>
  <c r="N1920" i="5" s="1"/>
  <c r="O127" i="5"/>
  <c r="M127" i="5"/>
  <c r="N127" i="5" s="1"/>
  <c r="M266" i="5"/>
  <c r="O266" i="5"/>
  <c r="M1216" i="5"/>
  <c r="N1216" i="5" s="1"/>
  <c r="O1216" i="5"/>
  <c r="O1720" i="5"/>
  <c r="M1720" i="5"/>
  <c r="N1720" i="5" s="1"/>
  <c r="O85" i="5"/>
  <c r="M85" i="5"/>
  <c r="M298" i="5"/>
  <c r="O298" i="5"/>
  <c r="M740" i="5"/>
  <c r="N740" i="5" s="1"/>
  <c r="O740" i="5"/>
  <c r="M1041" i="5"/>
  <c r="O1041" i="5"/>
  <c r="M1343" i="5"/>
  <c r="O1343" i="5"/>
  <c r="M1420" i="5"/>
  <c r="O1420" i="5"/>
  <c r="O124" i="5"/>
  <c r="M124" i="5"/>
  <c r="M463" i="5"/>
  <c r="N463" i="5" s="1"/>
  <c r="O463" i="5"/>
  <c r="M628" i="5"/>
  <c r="O628" i="5"/>
  <c r="M1136" i="5"/>
  <c r="N1136" i="5" s="1"/>
  <c r="O1136" i="5"/>
  <c r="M1340" i="5"/>
  <c r="N1340" i="5" s="1"/>
  <c r="O1340" i="5"/>
  <c r="O1979" i="5"/>
  <c r="M1979" i="5"/>
  <c r="O912" i="5"/>
  <c r="M912" i="5"/>
  <c r="N912" i="5" s="1"/>
  <c r="M824" i="5"/>
  <c r="O824" i="5"/>
  <c r="M993" i="5"/>
  <c r="N993" i="5" s="1"/>
  <c r="O993" i="5"/>
  <c r="M1180" i="5"/>
  <c r="O1180" i="5"/>
  <c r="M1641" i="5"/>
  <c r="O1641" i="5"/>
  <c r="O1051" i="5"/>
  <c r="M1051" i="5"/>
  <c r="M1139" i="5"/>
  <c r="N1139" i="5" s="1"/>
  <c r="O1139" i="5"/>
  <c r="M60" i="5"/>
  <c r="N60" i="5" s="1"/>
  <c r="O60" i="5"/>
  <c r="O113" i="5"/>
  <c r="M113" i="5"/>
  <c r="M1244" i="5"/>
  <c r="O1244" i="5"/>
  <c r="M1964" i="5"/>
  <c r="O1964" i="5"/>
  <c r="M444" i="5"/>
  <c r="N444" i="5" s="1"/>
  <c r="O444" i="5"/>
  <c r="O718" i="5"/>
  <c r="M718" i="5"/>
  <c r="N718" i="5" s="1"/>
  <c r="M853" i="5"/>
  <c r="O853" i="5"/>
  <c r="O891" i="5"/>
  <c r="M891" i="5"/>
  <c r="M919" i="5"/>
  <c r="N919" i="5" s="1"/>
  <c r="O919" i="5"/>
  <c r="M1072" i="5"/>
  <c r="N1072" i="5" s="1"/>
  <c r="O1072" i="5"/>
  <c r="O1129" i="5"/>
  <c r="M1129" i="5"/>
  <c r="O1367" i="5"/>
  <c r="M1367" i="5"/>
  <c r="O1586" i="5"/>
  <c r="M1586" i="5"/>
  <c r="O1655" i="5"/>
  <c r="M1655" i="5"/>
  <c r="N1655" i="5" s="1"/>
  <c r="O2053" i="5"/>
  <c r="M2053" i="5"/>
  <c r="M587" i="5"/>
  <c r="N587" i="5" s="1"/>
  <c r="O587" i="5"/>
  <c r="M884" i="5"/>
  <c r="N884" i="5" s="1"/>
  <c r="O884" i="5"/>
  <c r="M273" i="5"/>
  <c r="N273" i="5" s="1"/>
  <c r="O273" i="5"/>
  <c r="O489" i="5"/>
  <c r="M489" i="5"/>
  <c r="M1028" i="5"/>
  <c r="N1028" i="5" s="1"/>
  <c r="O1028" i="5"/>
  <c r="O1250" i="5"/>
  <c r="M1250" i="5"/>
  <c r="M241" i="5"/>
  <c r="N241" i="5" s="1"/>
  <c r="O241" i="5"/>
  <c r="M358" i="5"/>
  <c r="O358" i="5"/>
  <c r="O1004" i="5"/>
  <c r="M1004" i="5"/>
  <c r="N1004" i="5" s="1"/>
  <c r="M1031" i="5"/>
  <c r="N1031" i="5" s="1"/>
  <c r="O1031" i="5"/>
  <c r="M1183" i="5"/>
  <c r="N1183" i="5" s="1"/>
  <c r="O1183" i="5"/>
  <c r="M1442" i="5"/>
  <c r="O1442" i="5"/>
  <c r="M1683" i="5"/>
  <c r="O1683" i="5"/>
  <c r="M1749" i="5"/>
  <c r="N1749" i="5" s="1"/>
  <c r="O1749" i="5"/>
  <c r="O290" i="5"/>
  <c r="O447" i="5"/>
  <c r="O528" i="5"/>
  <c r="N797" i="5"/>
  <c r="O860" i="5"/>
  <c r="M897" i="5"/>
  <c r="M955" i="5"/>
  <c r="N955" i="5" s="1"/>
  <c r="M1097" i="5"/>
  <c r="N1097" i="5" s="1"/>
  <c r="O1125" i="5"/>
  <c r="O1132" i="5"/>
  <c r="O1247" i="5"/>
  <c r="M1253" i="5"/>
  <c r="O1284" i="5"/>
  <c r="M1394" i="5"/>
  <c r="M1413" i="5"/>
  <c r="N1413" i="5" s="1"/>
  <c r="O1423" i="5"/>
  <c r="M1426" i="5"/>
  <c r="N1518" i="5"/>
  <c r="M1608" i="5"/>
  <c r="N1616" i="5"/>
  <c r="O1626" i="5"/>
  <c r="O1714" i="5"/>
  <c r="O1717" i="5"/>
  <c r="N1723" i="5"/>
  <c r="M1752" i="5"/>
  <c r="N1752" i="5" s="1"/>
  <c r="N431" i="5"/>
  <c r="N471" i="5"/>
  <c r="N829" i="5"/>
  <c r="N1213" i="5"/>
  <c r="N1232" i="5"/>
  <c r="N1446" i="5"/>
  <c r="N1943" i="5"/>
  <c r="M153" i="5"/>
  <c r="M156" i="5"/>
  <c r="O224" i="5"/>
  <c r="O332" i="5"/>
  <c r="O438" i="5"/>
  <c r="O479" i="5"/>
  <c r="M511" i="5"/>
  <c r="N511" i="5" s="1"/>
  <c r="O551" i="5"/>
  <c r="O603" i="5"/>
  <c r="O726" i="5"/>
  <c r="O861" i="5"/>
  <c r="M895" i="5"/>
  <c r="M980" i="5"/>
  <c r="M1008" i="5"/>
  <c r="N1008" i="5" s="1"/>
  <c r="M1018" i="5"/>
  <c r="N1018" i="5" s="1"/>
  <c r="O1055" i="5"/>
  <c r="M1070" i="5"/>
  <c r="M1123" i="5"/>
  <c r="M1164" i="5"/>
  <c r="N1164" i="5" s="1"/>
  <c r="O1235" i="5"/>
  <c r="M1248" i="5"/>
  <c r="M1282" i="5"/>
  <c r="N1282" i="5" s="1"/>
  <c r="O1380" i="5"/>
  <c r="M1395" i="5"/>
  <c r="N1395" i="5" s="1"/>
  <c r="O1424" i="5"/>
  <c r="O1491" i="5"/>
  <c r="M1506" i="5"/>
  <c r="M1547" i="5"/>
  <c r="N1547" i="5" s="1"/>
  <c r="M1550" i="5"/>
  <c r="M1553" i="5"/>
  <c r="N1553" i="5" s="1"/>
  <c r="O1556" i="5"/>
  <c r="O1569" i="5"/>
  <c r="O1572" i="5"/>
  <c r="O1624" i="5"/>
  <c r="M1681" i="5"/>
  <c r="O1694" i="5"/>
  <c r="M1715" i="5"/>
  <c r="M1718" i="5"/>
  <c r="N1718" i="5" s="1"/>
  <c r="O1856" i="5"/>
  <c r="M1863" i="5"/>
  <c r="O1874" i="5"/>
  <c r="M2072" i="5"/>
  <c r="M7" i="5"/>
  <c r="M39" i="5"/>
  <c r="O107" i="5"/>
  <c r="O125" i="5"/>
  <c r="N157" i="5"/>
  <c r="M181" i="5"/>
  <c r="M184" i="5"/>
  <c r="O221" i="5"/>
  <c r="M253" i="5"/>
  <c r="N257" i="5"/>
  <c r="M285" i="5"/>
  <c r="M321" i="5"/>
  <c r="N321" i="5" s="1"/>
  <c r="M378" i="5"/>
  <c r="N378" i="5" s="1"/>
  <c r="M418" i="5"/>
  <c r="O421" i="5"/>
  <c r="O424" i="5"/>
  <c r="O435" i="5"/>
  <c r="O464" i="5"/>
  <c r="O508" i="5"/>
  <c r="O544" i="5"/>
  <c r="M563" i="5"/>
  <c r="N563" i="5" s="1"/>
  <c r="M615" i="5"/>
  <c r="O713" i="5"/>
  <c r="O723" i="5"/>
  <c r="N741" i="5"/>
  <c r="M806" i="5"/>
  <c r="N806" i="5" s="1"/>
  <c r="O844" i="5"/>
  <c r="M879" i="5"/>
  <c r="N879" i="5" s="1"/>
  <c r="M885" i="5"/>
  <c r="N885" i="5" s="1"/>
  <c r="O892" i="5"/>
  <c r="M913" i="5"/>
  <c r="O924" i="5"/>
  <c r="O935" i="5"/>
  <c r="M960" i="5"/>
  <c r="N960" i="5" s="1"/>
  <c r="O977" i="5"/>
  <c r="O1005" i="5"/>
  <c r="M1039" i="5"/>
  <c r="N1039" i="5" s="1"/>
  <c r="O1073" i="5"/>
  <c r="M1120" i="5"/>
  <c r="M1161" i="5"/>
  <c r="O1188" i="5"/>
  <c r="O1232" i="5"/>
  <c r="M1258" i="5"/>
  <c r="N1258" i="5" s="1"/>
  <c r="M1275" i="5"/>
  <c r="N1275" i="5" s="1"/>
  <c r="M1319" i="5"/>
  <c r="N1319" i="5" s="1"/>
  <c r="M1334" i="5"/>
  <c r="O1529" i="5"/>
  <c r="O1566" i="5"/>
  <c r="O1580" i="5"/>
  <c r="O1649" i="5"/>
  <c r="O1656" i="5"/>
  <c r="M1688" i="5"/>
  <c r="N1688" i="5" s="1"/>
  <c r="O1702" i="5"/>
  <c r="M1709" i="5"/>
  <c r="O1736" i="5"/>
  <c r="O1776" i="5"/>
  <c r="M1921" i="5"/>
  <c r="M1991" i="5"/>
  <c r="N1991" i="5" s="1"/>
  <c r="O2017" i="5"/>
  <c r="M2036" i="5"/>
  <c r="N2036" i="5" s="1"/>
  <c r="M2088" i="5"/>
  <c r="N2088" i="5" s="1"/>
  <c r="M100" i="5"/>
  <c r="O147" i="5"/>
  <c r="O250" i="5"/>
  <c r="O282" i="5"/>
  <c r="M375" i="5"/>
  <c r="N375" i="5" s="1"/>
  <c r="O415" i="5"/>
  <c r="O649" i="5"/>
  <c r="M710" i="5"/>
  <c r="N710" i="5" s="1"/>
  <c r="M717" i="5"/>
  <c r="M774" i="5"/>
  <c r="N774" i="5" s="1"/>
  <c r="O777" i="5"/>
  <c r="M788" i="5"/>
  <c r="M795" i="5"/>
  <c r="N795" i="5" s="1"/>
  <c r="O837" i="5"/>
  <c r="N845" i="5"/>
  <c r="M869" i="5"/>
  <c r="N869" i="5" s="1"/>
  <c r="M907" i="5"/>
  <c r="M928" i="5"/>
  <c r="M942" i="5"/>
  <c r="M974" i="5"/>
  <c r="M992" i="5"/>
  <c r="N992" i="5" s="1"/>
  <c r="M1016" i="5"/>
  <c r="N1016" i="5" s="1"/>
  <c r="M1036" i="5"/>
  <c r="N1036" i="5" s="1"/>
  <c r="O1085" i="5"/>
  <c r="M1110" i="5"/>
  <c r="M1168" i="5"/>
  <c r="N1168" i="5" s="1"/>
  <c r="O1171" i="5"/>
  <c r="M1192" i="5"/>
  <c r="O1255" i="5"/>
  <c r="O1316" i="5"/>
  <c r="M1344" i="5"/>
  <c r="N1344" i="5" s="1"/>
  <c r="M1368" i="5"/>
  <c r="N1368" i="5" s="1"/>
  <c r="M1371" i="5"/>
  <c r="O1443" i="5"/>
  <c r="M1458" i="5"/>
  <c r="M1510" i="5"/>
  <c r="M1513" i="5"/>
  <c r="N1513" i="5" s="1"/>
  <c r="O1516" i="5"/>
  <c r="O1526" i="5"/>
  <c r="N1665" i="5"/>
  <c r="M1675" i="5"/>
  <c r="M1706" i="5"/>
  <c r="M1754" i="5"/>
  <c r="M1810" i="5"/>
  <c r="O1940" i="5"/>
  <c r="O2033" i="5"/>
  <c r="M2081" i="5"/>
  <c r="N2081" i="5" s="1"/>
  <c r="N5" i="5"/>
  <c r="M79" i="5"/>
  <c r="N161" i="5"/>
  <c r="M247" i="5"/>
  <c r="M279" i="5"/>
  <c r="N1132" i="5"/>
  <c r="O1204" i="5"/>
  <c r="M1243" i="5"/>
  <c r="N1243" i="5" s="1"/>
  <c r="O1261" i="5"/>
  <c r="M1298" i="5"/>
  <c r="O1455" i="5"/>
  <c r="O1481" i="5"/>
  <c r="O1504" i="5"/>
  <c r="N1564" i="5"/>
  <c r="M1570" i="5"/>
  <c r="M1636" i="5"/>
  <c r="N1636" i="5" s="1"/>
  <c r="O1643" i="5"/>
  <c r="O1672" i="5"/>
  <c r="M1854" i="5"/>
  <c r="O1872" i="5"/>
  <c r="M1908" i="5"/>
  <c r="N1908" i="5" s="1"/>
  <c r="O1915" i="5"/>
  <c r="M2096" i="5"/>
  <c r="N2096" i="5" s="1"/>
  <c r="O1876" i="5"/>
  <c r="M1876" i="5"/>
  <c r="O1901" i="5"/>
  <c r="M1901" i="5"/>
  <c r="O1938" i="5"/>
  <c r="M1938" i="5"/>
  <c r="N1938" i="5" s="1"/>
  <c r="M1971" i="5"/>
  <c r="N1971" i="5" s="1"/>
  <c r="O1971" i="5"/>
  <c r="O1992" i="5"/>
  <c r="M1992" i="5"/>
  <c r="N1992" i="5" s="1"/>
  <c r="O2082" i="5"/>
  <c r="M2082" i="5"/>
  <c r="M55" i="5"/>
  <c r="M61" i="5"/>
  <c r="N61" i="5" s="1"/>
  <c r="O123" i="5"/>
  <c r="M132" i="5"/>
  <c r="N132" i="5" s="1"/>
  <c r="O185" i="5"/>
  <c r="O1309" i="5"/>
  <c r="M1309" i="5"/>
  <c r="M2030" i="5"/>
  <c r="O2030" i="5"/>
  <c r="O1848" i="5"/>
  <c r="M1848" i="5"/>
  <c r="N1848" i="5" s="1"/>
  <c r="O11" i="5"/>
  <c r="O27" i="5"/>
  <c r="M37" i="5"/>
  <c r="M92" i="5"/>
  <c r="M205" i="5"/>
  <c r="N222" i="5"/>
  <c r="M401" i="5"/>
  <c r="N401" i="5" s="1"/>
  <c r="N455" i="5"/>
  <c r="N487" i="5"/>
  <c r="O548" i="5"/>
  <c r="O600" i="5"/>
  <c r="O665" i="5"/>
  <c r="M685" i="5"/>
  <c r="M694" i="5"/>
  <c r="M796" i="5"/>
  <c r="N796" i="5" s="1"/>
  <c r="O796" i="5"/>
  <c r="O896" i="5"/>
  <c r="M896" i="5"/>
  <c r="N896" i="5" s="1"/>
  <c r="O972" i="5"/>
  <c r="M972" i="5"/>
  <c r="O1142" i="5"/>
  <c r="M1142" i="5"/>
  <c r="N1142" i="5" s="1"/>
  <c r="O1582" i="5"/>
  <c r="M1582" i="5"/>
  <c r="N1582" i="5" s="1"/>
  <c r="O5" i="5"/>
  <c r="M68" i="5"/>
  <c r="N68" i="5" s="1"/>
  <c r="O77" i="5"/>
  <c r="N93" i="5"/>
  <c r="M105" i="5"/>
  <c r="M108" i="5"/>
  <c r="M111" i="5"/>
  <c r="N111" i="5" s="1"/>
  <c r="M117" i="5"/>
  <c r="N117" i="5" s="1"/>
  <c r="O139" i="5"/>
  <c r="M145" i="5"/>
  <c r="N145" i="5" s="1"/>
  <c r="M148" i="5"/>
  <c r="O157" i="5"/>
  <c r="M173" i="5"/>
  <c r="N173" i="5" s="1"/>
  <c r="M189" i="5"/>
  <c r="O213" i="5"/>
  <c r="O222" i="5"/>
  <c r="M235" i="5"/>
  <c r="N235" i="5" s="1"/>
  <c r="M245" i="5"/>
  <c r="N245" i="5" s="1"/>
  <c r="M277" i="5"/>
  <c r="M309" i="5"/>
  <c r="O373" i="5"/>
  <c r="O392" i="5"/>
  <c r="M433" i="5"/>
  <c r="N433" i="5" s="1"/>
  <c r="O455" i="5"/>
  <c r="M465" i="5"/>
  <c r="N465" i="5" s="1"/>
  <c r="O471" i="5"/>
  <c r="M481" i="5"/>
  <c r="O487" i="5"/>
  <c r="O499" i="5"/>
  <c r="O532" i="5"/>
  <c r="O535" i="5"/>
  <c r="M559" i="5"/>
  <c r="O571" i="5"/>
  <c r="M595" i="5"/>
  <c r="N595" i="5" s="1"/>
  <c r="M611" i="5"/>
  <c r="O624" i="5"/>
  <c r="M629" i="5"/>
  <c r="N629" i="5" s="1"/>
  <c r="O639" i="5"/>
  <c r="O662" i="5"/>
  <c r="M669" i="5"/>
  <c r="N669" i="5" s="1"/>
  <c r="M683" i="5"/>
  <c r="N683" i="5" s="1"/>
  <c r="M701" i="5"/>
  <c r="N701" i="5" s="1"/>
  <c r="M734" i="5"/>
  <c r="M747" i="5"/>
  <c r="N747" i="5" s="1"/>
  <c r="O754" i="5"/>
  <c r="O761" i="5"/>
  <c r="M766" i="5"/>
  <c r="N766" i="5" s="1"/>
  <c r="M782" i="5"/>
  <c r="N782" i="5" s="1"/>
  <c r="M893" i="5"/>
  <c r="N893" i="5" s="1"/>
  <c r="O893" i="5"/>
  <c r="O1257" i="5"/>
  <c r="M1257" i="5"/>
  <c r="M1579" i="5"/>
  <c r="O1579" i="5"/>
  <c r="M1605" i="5"/>
  <c r="N1605" i="5" s="1"/>
  <c r="O1605" i="5"/>
  <c r="O1687" i="5"/>
  <c r="M1687" i="5"/>
  <c r="O1697" i="5"/>
  <c r="M1697" i="5"/>
  <c r="M1797" i="5"/>
  <c r="O1797" i="5"/>
  <c r="M1968" i="5"/>
  <c r="N1968" i="5" s="1"/>
  <c r="O1968" i="5"/>
  <c r="O2094" i="5"/>
  <c r="M2094" i="5"/>
  <c r="N2094" i="5" s="1"/>
  <c r="M981" i="5"/>
  <c r="O981" i="5"/>
  <c r="N201" i="5"/>
  <c r="M1452" i="5"/>
  <c r="N1452" i="5" s="1"/>
  <c r="O1452" i="5"/>
  <c r="O1689" i="5"/>
  <c r="M1689" i="5"/>
  <c r="M89" i="5"/>
  <c r="N89" i="5" s="1"/>
  <c r="M101" i="5"/>
  <c r="M322" i="5"/>
  <c r="M337" i="5"/>
  <c r="N337" i="5" s="1"/>
  <c r="O483" i="5"/>
  <c r="O652" i="5"/>
  <c r="O697" i="5"/>
  <c r="M31" i="5"/>
  <c r="M53" i="5"/>
  <c r="N53" i="5" s="1"/>
  <c r="O99" i="5"/>
  <c r="O180" i="5"/>
  <c r="M216" i="5"/>
  <c r="N216" i="5" s="1"/>
  <c r="M239" i="5"/>
  <c r="N239" i="5" s="1"/>
  <c r="M261" i="5"/>
  <c r="N261" i="5" s="1"/>
  <c r="O274" i="5"/>
  <c r="M293" i="5"/>
  <c r="O306" i="5"/>
  <c r="O316" i="5"/>
  <c r="M353" i="5"/>
  <c r="M359" i="5"/>
  <c r="N359" i="5" s="1"/>
  <c r="M389" i="5"/>
  <c r="N389" i="5" s="1"/>
  <c r="O452" i="5"/>
  <c r="O459" i="5"/>
  <c r="M497" i="5"/>
  <c r="M503" i="5"/>
  <c r="N503" i="5" s="1"/>
  <c r="O512" i="5"/>
  <c r="O519" i="5"/>
  <c r="O552" i="5"/>
  <c r="O568" i="5"/>
  <c r="O604" i="5"/>
  <c r="O627" i="5"/>
  <c r="M633" i="5"/>
  <c r="O708" i="5"/>
  <c r="M758" i="5"/>
  <c r="O764" i="5"/>
  <c r="O770" i="5"/>
  <c r="M828" i="5"/>
  <c r="N828" i="5" s="1"/>
  <c r="O828" i="5"/>
  <c r="M917" i="5"/>
  <c r="O1435" i="5"/>
  <c r="M1435" i="5"/>
  <c r="N1435" i="5" s="1"/>
  <c r="M1659" i="5"/>
  <c r="O1659" i="5"/>
  <c r="O1753" i="5"/>
  <c r="M1753" i="5"/>
  <c r="N1753" i="5" s="1"/>
  <c r="O1910" i="5"/>
  <c r="M1910" i="5"/>
  <c r="O1788" i="5"/>
  <c r="M1788" i="5"/>
  <c r="N1788" i="5" s="1"/>
  <c r="O3" i="5"/>
  <c r="M15" i="5"/>
  <c r="O44" i="5"/>
  <c r="O75" i="5"/>
  <c r="M81" i="5"/>
  <c r="N81" i="5" s="1"/>
  <c r="M84" i="5"/>
  <c r="N84" i="5" s="1"/>
  <c r="O93" i="5"/>
  <c r="O115" i="5"/>
  <c r="M121" i="5"/>
  <c r="N124" i="5"/>
  <c r="N133" i="5"/>
  <c r="O167" i="5"/>
  <c r="M338" i="5"/>
  <c r="N338" i="5" s="1"/>
  <c r="N374" i="5"/>
  <c r="N377" i="5"/>
  <c r="N615" i="5"/>
  <c r="O794" i="5"/>
  <c r="M794" i="5"/>
  <c r="N794" i="5" s="1"/>
  <c r="M809" i="5"/>
  <c r="N809" i="5" s="1"/>
  <c r="O809" i="5"/>
  <c r="M821" i="5"/>
  <c r="N821" i="5" s="1"/>
  <c r="O821" i="5"/>
  <c r="O1113" i="5"/>
  <c r="M1113" i="5"/>
  <c r="N1113" i="5" s="1"/>
  <c r="O1242" i="5"/>
  <c r="M1242" i="5"/>
  <c r="N1242" i="5" s="1"/>
  <c r="O1289" i="5"/>
  <c r="M1289" i="5"/>
  <c r="N1289" i="5" s="1"/>
  <c r="O1562" i="5"/>
  <c r="M1562" i="5"/>
  <c r="N1562" i="5" s="1"/>
  <c r="O1602" i="5"/>
  <c r="M1602" i="5"/>
  <c r="N1602" i="5" s="1"/>
  <c r="O1631" i="5"/>
  <c r="M1631" i="5"/>
  <c r="M1750" i="5"/>
  <c r="N1750" i="5" s="1"/>
  <c r="O1750" i="5"/>
  <c r="M1839" i="5"/>
  <c r="N1839" i="5" s="1"/>
  <c r="O1839" i="5"/>
  <c r="M848" i="5"/>
  <c r="O848" i="5"/>
  <c r="O43" i="5"/>
  <c r="O83" i="5"/>
  <c r="M95" i="5"/>
  <c r="N95" i="5" s="1"/>
  <c r="M404" i="5"/>
  <c r="N404" i="5" s="1"/>
  <c r="O584" i="5"/>
  <c r="M646" i="5"/>
  <c r="N646" i="5" s="1"/>
  <c r="M923" i="5"/>
  <c r="O1490" i="5"/>
  <c r="M1490" i="5"/>
  <c r="M65" i="5"/>
  <c r="N65" i="5" s="1"/>
  <c r="O164" i="5"/>
  <c r="O242" i="5"/>
  <c r="N36" i="5"/>
  <c r="O109" i="5"/>
  <c r="M137" i="5"/>
  <c r="M140" i="5"/>
  <c r="N140" i="5" s="1"/>
  <c r="M143" i="5"/>
  <c r="N181" i="5"/>
  <c r="M197" i="5"/>
  <c r="N197" i="5" s="1"/>
  <c r="O214" i="5"/>
  <c r="M223" i="5"/>
  <c r="N223" i="5" s="1"/>
  <c r="O249" i="5"/>
  <c r="M255" i="5"/>
  <c r="O281" i="5"/>
  <c r="M287" i="5"/>
  <c r="O357" i="5"/>
  <c r="O371" i="5"/>
  <c r="O374" i="5"/>
  <c r="O377" i="5"/>
  <c r="M380" i="5"/>
  <c r="N380" i="5" s="1"/>
  <c r="O393" i="5"/>
  <c r="M396" i="5"/>
  <c r="N396" i="5" s="1"/>
  <c r="O412" i="5"/>
  <c r="O431" i="5"/>
  <c r="M434" i="5"/>
  <c r="O437" i="5"/>
  <c r="M466" i="5"/>
  <c r="M482" i="5"/>
  <c r="M507" i="5"/>
  <c r="N507" i="5" s="1"/>
  <c r="M527" i="5"/>
  <c r="N527" i="5" s="1"/>
  <c r="O540" i="5"/>
  <c r="O560" i="5"/>
  <c r="O572" i="5"/>
  <c r="M599" i="5"/>
  <c r="O612" i="5"/>
  <c r="M625" i="5"/>
  <c r="N625" i="5" s="1"/>
  <c r="M651" i="5"/>
  <c r="M670" i="5"/>
  <c r="N670" i="5" s="1"/>
  <c r="O681" i="5"/>
  <c r="M686" i="5"/>
  <c r="M702" i="5"/>
  <c r="N702" i="5" s="1"/>
  <c r="O739" i="5"/>
  <c r="O748" i="5"/>
  <c r="O787" i="5"/>
  <c r="M802" i="5"/>
  <c r="O802" i="5"/>
  <c r="O864" i="5"/>
  <c r="O870" i="5"/>
  <c r="M874" i="5"/>
  <c r="O874" i="5"/>
  <c r="M908" i="5"/>
  <c r="N908" i="5" s="1"/>
  <c r="O908" i="5"/>
  <c r="O984" i="5"/>
  <c r="M984" i="5"/>
  <c r="N984" i="5" s="1"/>
  <c r="O1134" i="5"/>
  <c r="M1134" i="5"/>
  <c r="N1134" i="5" s="1"/>
  <c r="M1286" i="5"/>
  <c r="N1286" i="5" s="1"/>
  <c r="O1286" i="5"/>
  <c r="M1621" i="5"/>
  <c r="N1621" i="5" s="1"/>
  <c r="O1621" i="5"/>
  <c r="N1736" i="5"/>
  <c r="M1860" i="5"/>
  <c r="N1860" i="5" s="1"/>
  <c r="O1860" i="5"/>
  <c r="O1889" i="5"/>
  <c r="M1889" i="5"/>
  <c r="M1507" i="5"/>
  <c r="O1507" i="5"/>
  <c r="O1585" i="5"/>
  <c r="M1585" i="5"/>
  <c r="N535" i="5"/>
  <c r="M937" i="5"/>
  <c r="N937" i="5" s="1"/>
  <c r="O937" i="5"/>
  <c r="M129" i="5"/>
  <c r="N129" i="5" s="1"/>
  <c r="M385" i="5"/>
  <c r="N385" i="5" s="1"/>
  <c r="M417" i="5"/>
  <c r="M474" i="5"/>
  <c r="N474" i="5" s="1"/>
  <c r="O691" i="5"/>
  <c r="O772" i="5"/>
  <c r="O403" i="5"/>
  <c r="O409" i="5"/>
  <c r="O428" i="5"/>
  <c r="O450" i="5"/>
  <c r="N464" i="5"/>
  <c r="N480" i="5"/>
  <c r="O520" i="5"/>
  <c r="M583" i="5"/>
  <c r="N583" i="5" s="1"/>
  <c r="O596" i="5"/>
  <c r="N649" i="5"/>
  <c r="M678" i="5"/>
  <c r="N678" i="5" s="1"/>
  <c r="O684" i="5"/>
  <c r="O690" i="5"/>
  <c r="N707" i="5"/>
  <c r="O729" i="5"/>
  <c r="M810" i="5"/>
  <c r="N810" i="5" s="1"/>
  <c r="O810" i="5"/>
  <c r="M901" i="5"/>
  <c r="O946" i="5"/>
  <c r="M1154" i="5"/>
  <c r="O1154" i="5"/>
  <c r="O1836" i="5"/>
  <c r="M1836" i="5"/>
  <c r="O1882" i="5"/>
  <c r="M1882" i="5"/>
  <c r="O1904" i="5"/>
  <c r="M1904" i="5"/>
  <c r="N1904" i="5" s="1"/>
  <c r="O1944" i="5"/>
  <c r="M1944" i="5"/>
  <c r="N1944" i="5" s="1"/>
  <c r="O1959" i="5"/>
  <c r="M1959" i="5"/>
  <c r="N1959" i="5" s="1"/>
  <c r="M1995" i="5"/>
  <c r="N1995" i="5" s="1"/>
  <c r="O1995" i="5"/>
  <c r="M2014" i="5"/>
  <c r="O2014" i="5"/>
  <c r="N1248" i="5"/>
  <c r="O886" i="5"/>
  <c r="O943" i="5"/>
  <c r="N1284" i="5"/>
  <c r="N1287" i="5"/>
  <c r="O1332" i="5"/>
  <c r="M1335" i="5"/>
  <c r="M1378" i="5"/>
  <c r="N1378" i="5" s="1"/>
  <c r="M1399" i="5"/>
  <c r="N1399" i="5" s="1"/>
  <c r="N1440" i="5"/>
  <c r="O1449" i="5"/>
  <c r="M1474" i="5"/>
  <c r="N1474" i="5" s="1"/>
  <c r="O1487" i="5"/>
  <c r="N1523" i="5"/>
  <c r="N1529" i="5"/>
  <c r="O1545" i="5"/>
  <c r="O1571" i="5"/>
  <c r="M1574" i="5"/>
  <c r="M1577" i="5"/>
  <c r="O1648" i="5"/>
  <c r="M1695" i="5"/>
  <c r="N1695" i="5" s="1"/>
  <c r="O1704" i="5"/>
  <c r="O1707" i="5"/>
  <c r="M1724" i="5"/>
  <c r="N1724" i="5" s="1"/>
  <c r="M1737" i="5"/>
  <c r="O1781" i="5"/>
  <c r="O1808" i="5"/>
  <c r="M1811" i="5"/>
  <c r="N1811" i="5" s="1"/>
  <c r="O1843" i="5"/>
  <c r="M1858" i="5"/>
  <c r="N1858" i="5" s="1"/>
  <c r="M1913" i="5"/>
  <c r="M1922" i="5"/>
  <c r="N1922" i="5" s="1"/>
  <c r="O1935" i="5"/>
  <c r="O1956" i="5"/>
  <c r="M1975" i="5"/>
  <c r="M1977" i="5"/>
  <c r="N1977" i="5" s="1"/>
  <c r="M1980" i="5"/>
  <c r="M1990" i="5"/>
  <c r="N1990" i="5" s="1"/>
  <c r="M1999" i="5"/>
  <c r="N2003" i="5"/>
  <c r="M2008" i="5"/>
  <c r="M2025" i="5"/>
  <c r="M2061" i="5"/>
  <c r="N2061" i="5" s="1"/>
  <c r="O2074" i="5"/>
  <c r="M2077" i="5"/>
  <c r="N2077" i="5" s="1"/>
  <c r="M2086" i="5"/>
  <c r="N2086" i="5" s="1"/>
  <c r="M2092" i="5"/>
  <c r="M2097" i="5"/>
  <c r="N2097" i="5" s="1"/>
  <c r="N881" i="5"/>
  <c r="O1013" i="5"/>
  <c r="M1026" i="5"/>
  <c r="N1026" i="5" s="1"/>
  <c r="M1396" i="5"/>
  <c r="N1396" i="5" s="1"/>
  <c r="O1411" i="5"/>
  <c r="O1414" i="5"/>
  <c r="M1429" i="5"/>
  <c r="N1429" i="5" s="1"/>
  <c r="O1446" i="5"/>
  <c r="O1459" i="5"/>
  <c r="N1478" i="5"/>
  <c r="O1484" i="5"/>
  <c r="O1517" i="5"/>
  <c r="O1523" i="5"/>
  <c r="O1542" i="5"/>
  <c r="O1548" i="5"/>
  <c r="N1572" i="5"/>
  <c r="M1619" i="5"/>
  <c r="O1651" i="5"/>
  <c r="M1657" i="5"/>
  <c r="M1670" i="5"/>
  <c r="N1670" i="5" s="1"/>
  <c r="M1680" i="5"/>
  <c r="N1680" i="5" s="1"/>
  <c r="O1682" i="5"/>
  <c r="M1693" i="5"/>
  <c r="N1693" i="5" s="1"/>
  <c r="M1719" i="5"/>
  <c r="M1721" i="5"/>
  <c r="O1761" i="5"/>
  <c r="O1773" i="5"/>
  <c r="M1792" i="5"/>
  <c r="N1792" i="5" s="1"/>
  <c r="N1812" i="5"/>
  <c r="O1817" i="5"/>
  <c r="O1820" i="5"/>
  <c r="M1846" i="5"/>
  <c r="N1856" i="5"/>
  <c r="M1864" i="5"/>
  <c r="N1864" i="5" s="1"/>
  <c r="O1871" i="5"/>
  <c r="M1899" i="5"/>
  <c r="N1899" i="5" s="1"/>
  <c r="M1932" i="5"/>
  <c r="N1932" i="5" s="1"/>
  <c r="M1950" i="5"/>
  <c r="N1950" i="5" s="1"/>
  <c r="O1953" i="5"/>
  <c r="O1963" i="5"/>
  <c r="M2006" i="5"/>
  <c r="O2022" i="5"/>
  <c r="M2028" i="5"/>
  <c r="N2028" i="5" s="1"/>
  <c r="O2034" i="5"/>
  <c r="M2037" i="5"/>
  <c r="N2037" i="5" s="1"/>
  <c r="O2058" i="5"/>
  <c r="O2089" i="5"/>
  <c r="N1796" i="5"/>
  <c r="N853" i="5"/>
  <c r="O954" i="5"/>
  <c r="M966" i="5"/>
  <c r="N966" i="5" s="1"/>
  <c r="M988" i="5"/>
  <c r="N988" i="5" s="1"/>
  <c r="O1001" i="5"/>
  <c r="O1020" i="5"/>
  <c r="M1065" i="5"/>
  <c r="N1065" i="5" s="1"/>
  <c r="M1081" i="5"/>
  <c r="N1081" i="5" s="1"/>
  <c r="O1090" i="5"/>
  <c r="M1126" i="5"/>
  <c r="O1138" i="5"/>
  <c r="M1150" i="5"/>
  <c r="N1150" i="5" s="1"/>
  <c r="M1166" i="5"/>
  <c r="N1166" i="5" s="1"/>
  <c r="M1224" i="5"/>
  <c r="N1235" i="5"/>
  <c r="O1267" i="5"/>
  <c r="O1270" i="5"/>
  <c r="M1290" i="5"/>
  <c r="N1290" i="5" s="1"/>
  <c r="M1314" i="5"/>
  <c r="M1327" i="5"/>
  <c r="M1330" i="5"/>
  <c r="N1330" i="5" s="1"/>
  <c r="M1348" i="5"/>
  <c r="O1355" i="5"/>
  <c r="M1362" i="5"/>
  <c r="N1362" i="5" s="1"/>
  <c r="N1607" i="5"/>
  <c r="M1668" i="5"/>
  <c r="M1738" i="5"/>
  <c r="M1768" i="5"/>
  <c r="N1768" i="5" s="1"/>
  <c r="O1771" i="5"/>
  <c r="O1812" i="5"/>
  <c r="M1815" i="5"/>
  <c r="N1815" i="5" s="1"/>
  <c r="O1894" i="5"/>
  <c r="M1905" i="5"/>
  <c r="N1905" i="5" s="1"/>
  <c r="M1914" i="5"/>
  <c r="N1914" i="5" s="1"/>
  <c r="M1917" i="5"/>
  <c r="M1930" i="5"/>
  <c r="N1930" i="5" s="1"/>
  <c r="M1945" i="5"/>
  <c r="M1948" i="5"/>
  <c r="N1948" i="5" s="1"/>
  <c r="M1981" i="5"/>
  <c r="N1981" i="5" s="1"/>
  <c r="O2000" i="5"/>
  <c r="M2069" i="5"/>
  <c r="N2069" i="5" s="1"/>
  <c r="M2098" i="5"/>
  <c r="O829" i="5"/>
  <c r="O836" i="5"/>
  <c r="O856" i="5"/>
  <c r="M875" i="5"/>
  <c r="N875" i="5" s="1"/>
  <c r="M900" i="5"/>
  <c r="N900" i="5" s="1"/>
  <c r="M909" i="5"/>
  <c r="O922" i="5"/>
  <c r="O932" i="5"/>
  <c r="M952" i="5"/>
  <c r="N952" i="5" s="1"/>
  <c r="M982" i="5"/>
  <c r="N982" i="5" s="1"/>
  <c r="O985" i="5"/>
  <c r="M1049" i="5"/>
  <c r="O1101" i="5"/>
  <c r="O1141" i="5"/>
  <c r="M1238" i="5"/>
  <c r="N1238" i="5" s="1"/>
  <c r="M1264" i="5"/>
  <c r="M1308" i="5"/>
  <c r="O1317" i="5"/>
  <c r="M1324" i="5"/>
  <c r="N1324" i="5" s="1"/>
  <c r="O1352" i="5"/>
  <c r="O1383" i="5"/>
  <c r="O1430" i="5"/>
  <c r="O1475" i="5"/>
  <c r="O1518" i="5"/>
  <c r="M1537" i="5"/>
  <c r="N1556" i="5"/>
  <c r="O1564" i="5"/>
  <c r="M1578" i="5"/>
  <c r="N1578" i="5" s="1"/>
  <c r="M1594" i="5"/>
  <c r="N1594" i="5" s="1"/>
  <c r="M1614" i="5"/>
  <c r="O1665" i="5"/>
  <c r="M1686" i="5"/>
  <c r="M1696" i="5"/>
  <c r="N1696" i="5" s="1"/>
  <c r="O1793" i="5"/>
  <c r="N1800" i="5"/>
  <c r="M1818" i="5"/>
  <c r="M1847" i="5"/>
  <c r="N1847" i="5" s="1"/>
  <c r="M1869" i="5"/>
  <c r="M1881" i="5"/>
  <c r="N1881" i="5" s="1"/>
  <c r="O1897" i="5"/>
  <c r="O1903" i="5"/>
  <c r="O1943" i="5"/>
  <c r="M1967" i="5"/>
  <c r="N1967" i="5" s="1"/>
  <c r="M1970" i="5"/>
  <c r="N1970" i="5" s="1"/>
  <c r="O2013" i="5"/>
  <c r="O2026" i="5"/>
  <c r="M2029" i="5"/>
  <c r="N2029" i="5" s="1"/>
  <c r="O2066" i="5"/>
  <c r="O2078" i="5"/>
  <c r="O820" i="5"/>
  <c r="O840" i="5"/>
  <c r="N861" i="5"/>
  <c r="N917" i="5"/>
  <c r="M1059" i="5"/>
  <c r="N1059" i="5" s="1"/>
  <c r="N1229" i="5"/>
  <c r="N1650" i="5"/>
  <c r="N1704" i="5"/>
  <c r="O1734" i="5"/>
  <c r="M1763" i="5"/>
  <c r="N1763" i="5" s="1"/>
  <c r="O1769" i="5"/>
  <c r="M1772" i="5"/>
  <c r="N1772" i="5" s="1"/>
  <c r="O1800" i="5"/>
  <c r="O1813" i="5"/>
  <c r="M1816" i="5"/>
  <c r="M1826" i="5"/>
  <c r="N1826" i="5" s="1"/>
  <c r="O4" i="5"/>
  <c r="M4" i="5"/>
  <c r="O25" i="5"/>
  <c r="M25" i="5"/>
  <c r="N25" i="5" s="1"/>
  <c r="M246" i="5"/>
  <c r="O246" i="5"/>
  <c r="M326" i="5"/>
  <c r="N326" i="5" s="1"/>
  <c r="O326" i="5"/>
  <c r="O391" i="5"/>
  <c r="M391" i="5"/>
  <c r="N391" i="5" s="1"/>
  <c r="O442" i="5"/>
  <c r="M442" i="5"/>
  <c r="N442" i="5" s="1"/>
  <c r="M488" i="5"/>
  <c r="O488" i="5"/>
  <c r="M556" i="5"/>
  <c r="N556" i="5" s="1"/>
  <c r="O556" i="5"/>
  <c r="M635" i="5"/>
  <c r="N635" i="5" s="1"/>
  <c r="O635" i="5"/>
  <c r="O804" i="5"/>
  <c r="M804" i="5"/>
  <c r="M872" i="5"/>
  <c r="O872" i="5"/>
  <c r="M1146" i="5"/>
  <c r="N1146" i="5" s="1"/>
  <c r="O1146" i="5"/>
  <c r="O1251" i="5"/>
  <c r="M1251" i="5"/>
  <c r="N1251" i="5" s="1"/>
  <c r="O1266" i="5"/>
  <c r="M1266" i="5"/>
  <c r="O1296" i="5"/>
  <c r="M1296" i="5"/>
  <c r="N1296" i="5" s="1"/>
  <c r="M1801" i="5"/>
  <c r="N1801" i="5" s="1"/>
  <c r="O1801" i="5"/>
  <c r="O1814" i="5"/>
  <c r="M1814" i="5"/>
  <c r="N1814" i="5" s="1"/>
  <c r="O1827" i="5"/>
  <c r="M1827" i="5"/>
  <c r="N1827" i="5" s="1"/>
  <c r="O1855" i="5"/>
  <c r="M1855" i="5"/>
  <c r="N1855" i="5" s="1"/>
  <c r="M1947" i="5"/>
  <c r="N1947" i="5" s="1"/>
  <c r="O1947" i="5"/>
  <c r="M2018" i="5"/>
  <c r="N2018" i="5" s="1"/>
  <c r="O2018" i="5"/>
  <c r="O2068" i="5"/>
  <c r="M2068" i="5"/>
  <c r="O49" i="5"/>
  <c r="M49" i="5"/>
  <c r="N49" i="5" s="1"/>
  <c r="M171" i="5"/>
  <c r="N171" i="5" s="1"/>
  <c r="O171" i="5"/>
  <c r="M286" i="5"/>
  <c r="N286" i="5" s="1"/>
  <c r="O286" i="5"/>
  <c r="O439" i="5"/>
  <c r="M439" i="5"/>
  <c r="O944" i="5"/>
  <c r="M944" i="5"/>
  <c r="N944" i="5" s="1"/>
  <c r="O1054" i="5"/>
  <c r="M1054" i="5"/>
  <c r="N1054" i="5" s="1"/>
  <c r="O1084" i="5"/>
  <c r="M1084" i="5"/>
  <c r="N1084" i="5" s="1"/>
  <c r="O1339" i="5"/>
  <c r="M1339" i="5"/>
  <c r="N1339" i="5" s="1"/>
  <c r="O1351" i="5"/>
  <c r="M1351" i="5"/>
  <c r="N1351" i="5" s="1"/>
  <c r="O1364" i="5"/>
  <c r="M1364" i="5"/>
  <c r="O1436" i="5"/>
  <c r="M1436" i="5"/>
  <c r="N1436" i="5" s="1"/>
  <c r="O1494" i="5"/>
  <c r="M1494" i="5"/>
  <c r="N1494" i="5" s="1"/>
  <c r="M1563" i="5"/>
  <c r="O1563" i="5"/>
  <c r="O1606" i="5"/>
  <c r="M1606" i="5"/>
  <c r="N1606" i="5" s="1"/>
  <c r="O1996" i="5"/>
  <c r="M1996" i="5"/>
  <c r="N1996" i="5" s="1"/>
  <c r="O20" i="5"/>
  <c r="M20" i="5"/>
  <c r="O52" i="5"/>
  <c r="M71" i="5"/>
  <c r="N71" i="5" s="1"/>
  <c r="M183" i="5"/>
  <c r="N183" i="5" s="1"/>
  <c r="M206" i="5"/>
  <c r="N206" i="5" s="1"/>
  <c r="O206" i="5"/>
  <c r="O225" i="5"/>
  <c r="M225" i="5"/>
  <c r="N225" i="5" s="1"/>
  <c r="N228" i="5"/>
  <c r="O234" i="5"/>
  <c r="M237" i="5"/>
  <c r="N237" i="5" s="1"/>
  <c r="O259" i="5"/>
  <c r="M259" i="5"/>
  <c r="N259" i="5" s="1"/>
  <c r="M262" i="5"/>
  <c r="N262" i="5" s="1"/>
  <c r="O262" i="5"/>
  <c r="O289" i="5"/>
  <c r="M295" i="5"/>
  <c r="N295" i="5" s="1"/>
  <c r="O323" i="5"/>
  <c r="O339" i="5"/>
  <c r="O351" i="5"/>
  <c r="M351" i="5"/>
  <c r="N351" i="5" s="1"/>
  <c r="O370" i="5"/>
  <c r="O386" i="5"/>
  <c r="M386" i="5"/>
  <c r="O407" i="5"/>
  <c r="M407" i="5"/>
  <c r="M436" i="5"/>
  <c r="N436" i="5" s="1"/>
  <c r="M458" i="5"/>
  <c r="N458" i="5" s="1"/>
  <c r="O491" i="5"/>
  <c r="M515" i="5"/>
  <c r="N515" i="5" s="1"/>
  <c r="M547" i="5"/>
  <c r="N547" i="5" s="1"/>
  <c r="M575" i="5"/>
  <c r="N575" i="5" s="1"/>
  <c r="M607" i="5"/>
  <c r="N607" i="5" s="1"/>
  <c r="O636" i="5"/>
  <c r="M636" i="5"/>
  <c r="N636" i="5" s="1"/>
  <c r="O749" i="5"/>
  <c r="O797" i="5"/>
  <c r="N805" i="5"/>
  <c r="M822" i="5"/>
  <c r="N822" i="5" s="1"/>
  <c r="O822" i="5"/>
  <c r="M838" i="5"/>
  <c r="O838" i="5"/>
  <c r="M854" i="5"/>
  <c r="N854" i="5" s="1"/>
  <c r="O854" i="5"/>
  <c r="O867" i="5"/>
  <c r="M867" i="5"/>
  <c r="N867" i="5" s="1"/>
  <c r="M882" i="5"/>
  <c r="N882" i="5" s="1"/>
  <c r="O882" i="5"/>
  <c r="N907" i="5"/>
  <c r="O925" i="5"/>
  <c r="M925" i="5"/>
  <c r="N925" i="5" s="1"/>
  <c r="M938" i="5"/>
  <c r="N938" i="5" s="1"/>
  <c r="O938" i="5"/>
  <c r="M948" i="5"/>
  <c r="N948" i="5" s="1"/>
  <c r="O948" i="5"/>
  <c r="M1042" i="5"/>
  <c r="N1042" i="5" s="1"/>
  <c r="O1042" i="5"/>
  <c r="O1045" i="5"/>
  <c r="M1045" i="5"/>
  <c r="N1045" i="5" s="1"/>
  <c r="O1277" i="5"/>
  <c r="M1277" i="5"/>
  <c r="O243" i="5"/>
  <c r="M243" i="5"/>
  <c r="O307" i="5"/>
  <c r="M307" i="5"/>
  <c r="M310" i="5"/>
  <c r="O310" i="5"/>
  <c r="M342" i="5"/>
  <c r="O342" i="5"/>
  <c r="M524" i="5"/>
  <c r="N524" i="5" s="1"/>
  <c r="O524" i="5"/>
  <c r="O756" i="5"/>
  <c r="M756" i="5"/>
  <c r="N756" i="5" s="1"/>
  <c r="O814" i="5"/>
  <c r="M814" i="5"/>
  <c r="O947" i="5"/>
  <c r="M947" i="5"/>
  <c r="N947" i="5" s="1"/>
  <c r="M997" i="5"/>
  <c r="N997" i="5" s="1"/>
  <c r="O997" i="5"/>
  <c r="O1407" i="5"/>
  <c r="M1407" i="5"/>
  <c r="N1407" i="5" s="1"/>
  <c r="M1456" i="5"/>
  <c r="N1456" i="5" s="1"/>
  <c r="O1456" i="5"/>
  <c r="O1635" i="5"/>
  <c r="M1635" i="5"/>
  <c r="N1635" i="5" s="1"/>
  <c r="M1701" i="5"/>
  <c r="N1701" i="5" s="1"/>
  <c r="O1701" i="5"/>
  <c r="M196" i="5"/>
  <c r="N196" i="5" s="1"/>
  <c r="O196" i="5"/>
  <c r="O283" i="5"/>
  <c r="M283" i="5"/>
  <c r="O367" i="5"/>
  <c r="M367" i="5"/>
  <c r="N367" i="5" s="1"/>
  <c r="O410" i="5"/>
  <c r="M410" i="5"/>
  <c r="N410" i="5" s="1"/>
  <c r="M588" i="5"/>
  <c r="N588" i="5" s="1"/>
  <c r="O588" i="5"/>
  <c r="M620" i="5"/>
  <c r="O620" i="5"/>
  <c r="O676" i="5"/>
  <c r="M676" i="5"/>
  <c r="N676" i="5" s="1"/>
  <c r="O888" i="5"/>
  <c r="M888" i="5"/>
  <c r="N888" i="5" s="1"/>
  <c r="M1199" i="5"/>
  <c r="N1199" i="5" s="1"/>
  <c r="O1199" i="5"/>
  <c r="O1234" i="5"/>
  <c r="M1234" i="5"/>
  <c r="O1323" i="5"/>
  <c r="M1323" i="5"/>
  <c r="N1323" i="5" s="1"/>
  <c r="O1471" i="5"/>
  <c r="M1471" i="5"/>
  <c r="N1471" i="5" s="1"/>
  <c r="O1593" i="5"/>
  <c r="M1593" i="5"/>
  <c r="N1593" i="5" s="1"/>
  <c r="O1840" i="5"/>
  <c r="M1840" i="5"/>
  <c r="O1972" i="5"/>
  <c r="M1972" i="5"/>
  <c r="N1972" i="5" s="1"/>
  <c r="O17" i="5"/>
  <c r="M17" i="5"/>
  <c r="N17" i="5" s="1"/>
  <c r="O35" i="5"/>
  <c r="O41" i="5"/>
  <c r="M41" i="5"/>
  <c r="N41" i="5" s="1"/>
  <c r="M103" i="5"/>
  <c r="M135" i="5"/>
  <c r="M190" i="5"/>
  <c r="N190" i="5" s="1"/>
  <c r="O190" i="5"/>
  <c r="O228" i="5"/>
  <c r="M238" i="5"/>
  <c r="N238" i="5" s="1"/>
  <c r="O238" i="5"/>
  <c r="O265" i="5"/>
  <c r="M271" i="5"/>
  <c r="O299" i="5"/>
  <c r="M299" i="5"/>
  <c r="N299" i="5" s="1"/>
  <c r="M302" i="5"/>
  <c r="N302" i="5" s="1"/>
  <c r="O302" i="5"/>
  <c r="M314" i="5"/>
  <c r="N314" i="5" s="1"/>
  <c r="O324" i="5"/>
  <c r="M324" i="5"/>
  <c r="M330" i="5"/>
  <c r="O340" i="5"/>
  <c r="M340" i="5"/>
  <c r="N340" i="5" s="1"/>
  <c r="O354" i="5"/>
  <c r="O364" i="5"/>
  <c r="M364" i="5"/>
  <c r="N364" i="5" s="1"/>
  <c r="O467" i="5"/>
  <c r="M576" i="5"/>
  <c r="O576" i="5"/>
  <c r="O592" i="5"/>
  <c r="M608" i="5"/>
  <c r="N608" i="5" s="1"/>
  <c r="O608" i="5"/>
  <c r="O715" i="5"/>
  <c r="M715" i="5"/>
  <c r="N715" i="5" s="1"/>
  <c r="O724" i="5"/>
  <c r="O731" i="5"/>
  <c r="M731" i="5"/>
  <c r="M738" i="5"/>
  <c r="O738" i="5"/>
  <c r="O811" i="5"/>
  <c r="O825" i="5"/>
  <c r="O841" i="5"/>
  <c r="O857" i="5"/>
  <c r="O889" i="5"/>
  <c r="M889" i="5"/>
  <c r="O910" i="5"/>
  <c r="M910" i="5"/>
  <c r="N910" i="5" s="1"/>
  <c r="O1071" i="5"/>
  <c r="M1071" i="5"/>
  <c r="N1071" i="5" s="1"/>
  <c r="O1094" i="5"/>
  <c r="M1094" i="5"/>
  <c r="N1094" i="5" s="1"/>
  <c r="O1172" i="5"/>
  <c r="M1172" i="5"/>
  <c r="O1196" i="5"/>
  <c r="M1196" i="5"/>
  <c r="O1274" i="5"/>
  <c r="M1274" i="5"/>
  <c r="N1274" i="5" s="1"/>
  <c r="O1305" i="5"/>
  <c r="M1305" i="5"/>
  <c r="O1320" i="5"/>
  <c r="M1320" i="5"/>
  <c r="O275" i="5"/>
  <c r="M275" i="5"/>
  <c r="N275" i="5" s="1"/>
  <c r="M278" i="5"/>
  <c r="N278" i="5" s="1"/>
  <c r="O278" i="5"/>
  <c r="O348" i="5"/>
  <c r="M348" i="5"/>
  <c r="O539" i="5"/>
  <c r="M539" i="5"/>
  <c r="O637" i="5"/>
  <c r="M637" i="5"/>
  <c r="N637" i="5" s="1"/>
  <c r="O644" i="5"/>
  <c r="M644" i="5"/>
  <c r="N644" i="5" s="1"/>
  <c r="O660" i="5"/>
  <c r="M660" i="5"/>
  <c r="O779" i="5"/>
  <c r="M779" i="5"/>
  <c r="M786" i="5"/>
  <c r="O786" i="5"/>
  <c r="O883" i="5"/>
  <c r="M883" i="5"/>
  <c r="N883" i="5" s="1"/>
  <c r="O1133" i="5"/>
  <c r="M1133" i="5"/>
  <c r="O33" i="5"/>
  <c r="M33" i="5"/>
  <c r="M163" i="5"/>
  <c r="N163" i="5" s="1"/>
  <c r="O163" i="5"/>
  <c r="O251" i="5"/>
  <c r="M251" i="5"/>
  <c r="N251" i="5" s="1"/>
  <c r="M504" i="5"/>
  <c r="N504" i="5" s="1"/>
  <c r="O504" i="5"/>
  <c r="O667" i="5"/>
  <c r="M667" i="5"/>
  <c r="N667" i="5" s="1"/>
  <c r="O699" i="5"/>
  <c r="M699" i="5"/>
  <c r="N699" i="5" s="1"/>
  <c r="M716" i="5"/>
  <c r="N716" i="5" s="1"/>
  <c r="O716" i="5"/>
  <c r="M732" i="5"/>
  <c r="N732" i="5" s="1"/>
  <c r="O732" i="5"/>
  <c r="M793" i="5"/>
  <c r="O793" i="5"/>
  <c r="O930" i="5"/>
  <c r="M930" i="5"/>
  <c r="N930" i="5" s="1"/>
  <c r="O1082" i="5"/>
  <c r="M1082" i="5"/>
  <c r="N1082" i="5" s="1"/>
  <c r="O9" i="5"/>
  <c r="M9" i="5"/>
  <c r="M21" i="5"/>
  <c r="N33" i="5"/>
  <c r="O36" i="5"/>
  <c r="O59" i="5"/>
  <c r="O67" i="5"/>
  <c r="M182" i="5"/>
  <c r="N182" i="5" s="1"/>
  <c r="O182" i="5"/>
  <c r="M198" i="5"/>
  <c r="O198" i="5"/>
  <c r="M212" i="5"/>
  <c r="O212" i="5"/>
  <c r="O233" i="5"/>
  <c r="M233" i="5"/>
  <c r="N233" i="5" s="1"/>
  <c r="O257" i="5"/>
  <c r="M263" i="5"/>
  <c r="N263" i="5" s="1"/>
  <c r="O291" i="5"/>
  <c r="M291" i="5"/>
  <c r="M294" i="5"/>
  <c r="O294" i="5"/>
  <c r="O328" i="5"/>
  <c r="M345" i="5"/>
  <c r="N345" i="5" s="1"/>
  <c r="O345" i="5"/>
  <c r="O372" i="5"/>
  <c r="M372" i="5"/>
  <c r="O387" i="5"/>
  <c r="M420" i="5"/>
  <c r="M472" i="5"/>
  <c r="N472" i="5" s="1"/>
  <c r="O472" i="5"/>
  <c r="M536" i="5"/>
  <c r="N536" i="5" s="1"/>
  <c r="O536" i="5"/>
  <c r="O641" i="5"/>
  <c r="M641" i="5"/>
  <c r="N641" i="5" s="1"/>
  <c r="O664" i="5"/>
  <c r="M664" i="5"/>
  <c r="M755" i="5"/>
  <c r="N755" i="5" s="1"/>
  <c r="O755" i="5"/>
  <c r="M780" i="5"/>
  <c r="N780" i="5" s="1"/>
  <c r="O780" i="5"/>
  <c r="M803" i="5"/>
  <c r="N803" i="5" s="1"/>
  <c r="O803" i="5"/>
  <c r="O813" i="5"/>
  <c r="M813" i="5"/>
  <c r="M830" i="5"/>
  <c r="N830" i="5" s="1"/>
  <c r="O830" i="5"/>
  <c r="M846" i="5"/>
  <c r="N846" i="5" s="1"/>
  <c r="O846" i="5"/>
  <c r="M862" i="5"/>
  <c r="N862" i="5" s="1"/>
  <c r="O862" i="5"/>
  <c r="O899" i="5"/>
  <c r="M899" i="5"/>
  <c r="O920" i="5"/>
  <c r="O933" i="5"/>
  <c r="O950" i="5"/>
  <c r="M950" i="5"/>
  <c r="N950" i="5" s="1"/>
  <c r="O968" i="5"/>
  <c r="M968" i="5"/>
  <c r="O1050" i="5"/>
  <c r="M1050" i="5"/>
  <c r="O1075" i="5"/>
  <c r="M1075" i="5"/>
  <c r="N1075" i="5" s="1"/>
  <c r="O1102" i="5"/>
  <c r="M1102" i="5"/>
  <c r="N1102" i="5" s="1"/>
  <c r="O1167" i="5"/>
  <c r="M1167" i="5"/>
  <c r="O209" i="5"/>
  <c r="M209" i="5"/>
  <c r="O402" i="5"/>
  <c r="M402" i="5"/>
  <c r="N402" i="5" s="1"/>
  <c r="M456" i="5"/>
  <c r="N456" i="5" s="1"/>
  <c r="O456" i="5"/>
  <c r="M640" i="5"/>
  <c r="N640" i="5" s="1"/>
  <c r="O640" i="5"/>
  <c r="O926" i="5"/>
  <c r="M926" i="5"/>
  <c r="N926" i="5" s="1"/>
  <c r="M1130" i="5"/>
  <c r="N1130" i="5" s="1"/>
  <c r="O1130" i="5"/>
  <c r="O1228" i="5"/>
  <c r="M1228" i="5"/>
  <c r="N1228" i="5" s="1"/>
  <c r="O1387" i="5"/>
  <c r="M1387" i="5"/>
  <c r="M1540" i="5"/>
  <c r="N1540" i="5" s="1"/>
  <c r="O1540" i="5"/>
  <c r="O12" i="5"/>
  <c r="M12" i="5"/>
  <c r="N12" i="5" s="1"/>
  <c r="M254" i="5"/>
  <c r="N254" i="5" s="1"/>
  <c r="O254" i="5"/>
  <c r="M361" i="5"/>
  <c r="N361" i="5" s="1"/>
  <c r="O361" i="5"/>
  <c r="O423" i="5"/>
  <c r="M423" i="5"/>
  <c r="O426" i="5"/>
  <c r="M426" i="5"/>
  <c r="N426" i="5" s="1"/>
  <c r="O877" i="5"/>
  <c r="M877" i="5"/>
  <c r="N877" i="5" s="1"/>
  <c r="M911" i="5"/>
  <c r="N911" i="5" s="1"/>
  <c r="O911" i="5"/>
  <c r="M989" i="5"/>
  <c r="O989" i="5"/>
  <c r="O1088" i="5"/>
  <c r="M1088" i="5"/>
  <c r="N1088" i="5" s="1"/>
  <c r="O28" i="5"/>
  <c r="M28" i="5"/>
  <c r="N28" i="5" s="1"/>
  <c r="N45" i="5"/>
  <c r="O51" i="5"/>
  <c r="O57" i="5"/>
  <c r="M57" i="5"/>
  <c r="N57" i="5" s="1"/>
  <c r="M87" i="5"/>
  <c r="N87" i="5" s="1"/>
  <c r="M119" i="5"/>
  <c r="N119" i="5" s="1"/>
  <c r="M151" i="5"/>
  <c r="N151" i="5" s="1"/>
  <c r="N164" i="5"/>
  <c r="M191" i="5"/>
  <c r="N191" i="5" s="1"/>
  <c r="O217" i="5"/>
  <c r="N221" i="5"/>
  <c r="O267" i="5"/>
  <c r="M267" i="5"/>
  <c r="N267" i="5" s="1"/>
  <c r="M270" i="5"/>
  <c r="N270" i="5" s="1"/>
  <c r="O270" i="5"/>
  <c r="O297" i="5"/>
  <c r="M303" i="5"/>
  <c r="N303" i="5" s="1"/>
  <c r="M313" i="5"/>
  <c r="N313" i="5" s="1"/>
  <c r="O313" i="5"/>
  <c r="O319" i="5"/>
  <c r="M325" i="5"/>
  <c r="N325" i="5" s="1"/>
  <c r="M329" i="5"/>
  <c r="N329" i="5" s="1"/>
  <c r="O329" i="5"/>
  <c r="O335" i="5"/>
  <c r="M341" i="5"/>
  <c r="N341" i="5" s="1"/>
  <c r="O356" i="5"/>
  <c r="M356" i="5"/>
  <c r="M369" i="5"/>
  <c r="N369" i="5" s="1"/>
  <c r="O390" i="5"/>
  <c r="O451" i="5"/>
  <c r="M451" i="5"/>
  <c r="N451" i="5" s="1"/>
  <c r="O475" i="5"/>
  <c r="M490" i="5"/>
  <c r="N490" i="5" s="1"/>
  <c r="M523" i="5"/>
  <c r="N523" i="5" s="1"/>
  <c r="M555" i="5"/>
  <c r="N555" i="5" s="1"/>
  <c r="N559" i="5"/>
  <c r="O591" i="5"/>
  <c r="M591" i="5"/>
  <c r="N591" i="5" s="1"/>
  <c r="M675" i="5"/>
  <c r="N675" i="5" s="1"/>
  <c r="O675" i="5"/>
  <c r="M700" i="5"/>
  <c r="O700" i="5"/>
  <c r="N726" i="5"/>
  <c r="O790" i="5"/>
  <c r="M790" i="5"/>
  <c r="N790" i="5" s="1"/>
  <c r="O833" i="5"/>
  <c r="O849" i="5"/>
  <c r="O865" i="5"/>
  <c r="M878" i="5"/>
  <c r="O878" i="5"/>
  <c r="O887" i="5"/>
  <c r="M887" i="5"/>
  <c r="N887" i="5" s="1"/>
  <c r="O906" i="5"/>
  <c r="M906" i="5"/>
  <c r="N906" i="5" s="1"/>
  <c r="O915" i="5"/>
  <c r="M915" i="5"/>
  <c r="N915" i="5" s="1"/>
  <c r="O1035" i="5"/>
  <c r="M1035" i="5"/>
  <c r="O1086" i="5"/>
  <c r="M1086" i="5"/>
  <c r="N1086" i="5" s="1"/>
  <c r="O1158" i="5"/>
  <c r="M1158" i="5"/>
  <c r="O1254" i="5"/>
  <c r="M1254" i="5"/>
  <c r="N1254" i="5" s="1"/>
  <c r="O1283" i="5"/>
  <c r="M1283" i="5"/>
  <c r="O1299" i="5"/>
  <c r="M1299" i="5"/>
  <c r="N1299" i="5" s="1"/>
  <c r="N193" i="5"/>
  <c r="N421" i="5"/>
  <c r="N519" i="5"/>
  <c r="N551" i="5"/>
  <c r="N571" i="5"/>
  <c r="N709" i="5"/>
  <c r="N920" i="5"/>
  <c r="M965" i="5"/>
  <c r="O965" i="5"/>
  <c r="O996" i="5"/>
  <c r="M996" i="5"/>
  <c r="N996" i="5" s="1"/>
  <c r="O1014" i="5"/>
  <c r="M1014" i="5"/>
  <c r="N1014" i="5" s="1"/>
  <c r="M1066" i="5"/>
  <c r="N1066" i="5" s="1"/>
  <c r="O1066" i="5"/>
  <c r="O1069" i="5"/>
  <c r="M1069" i="5"/>
  <c r="N1069" i="5" s="1"/>
  <c r="O1091" i="5"/>
  <c r="M1091" i="5"/>
  <c r="N1091" i="5" s="1"/>
  <c r="O1263" i="5"/>
  <c r="M1263" i="5"/>
  <c r="N1263" i="5" s="1"/>
  <c r="O1280" i="5"/>
  <c r="M1280" i="5"/>
  <c r="N1280" i="5" s="1"/>
  <c r="M1302" i="5"/>
  <c r="O1302" i="5"/>
  <c r="O1379" i="5"/>
  <c r="M1379" i="5"/>
  <c r="N1379" i="5" s="1"/>
  <c r="O1404" i="5"/>
  <c r="M1404" i="5"/>
  <c r="N1404" i="5" s="1"/>
  <c r="M1433" i="5"/>
  <c r="N1433" i="5" s="1"/>
  <c r="O1433" i="5"/>
  <c r="M1488" i="5"/>
  <c r="O1488" i="5"/>
  <c r="N97" i="5"/>
  <c r="N113" i="5"/>
  <c r="N121" i="5"/>
  <c r="N913" i="5"/>
  <c r="N936" i="5"/>
  <c r="O951" i="5"/>
  <c r="M951" i="5"/>
  <c r="O990" i="5"/>
  <c r="M990" i="5"/>
  <c r="N990" i="5" s="1"/>
  <c r="O1032" i="5"/>
  <c r="M1032" i="5"/>
  <c r="N1032" i="5" s="1"/>
  <c r="O1119" i="5"/>
  <c r="M1119" i="5"/>
  <c r="N1119" i="5" s="1"/>
  <c r="N1224" i="5"/>
  <c r="O1336" i="5"/>
  <c r="M1336" i="5"/>
  <c r="N1336" i="5" s="1"/>
  <c r="N1348" i="5"/>
  <c r="O1359" i="5"/>
  <c r="M1359" i="5"/>
  <c r="O1468" i="5"/>
  <c r="M1468" i="5"/>
  <c r="N1468" i="5" s="1"/>
  <c r="O1503" i="5"/>
  <c r="M1503" i="5"/>
  <c r="N1503" i="5" s="1"/>
  <c r="M1555" i="5"/>
  <c r="N1555" i="5" s="1"/>
  <c r="O1555" i="5"/>
  <c r="M169" i="5"/>
  <c r="N169" i="5" s="1"/>
  <c r="M177" i="5"/>
  <c r="M199" i="5"/>
  <c r="N199" i="5" s="1"/>
  <c r="N205" i="5"/>
  <c r="M207" i="5"/>
  <c r="N207" i="5" s="1"/>
  <c r="M231" i="5"/>
  <c r="N231" i="5" s="1"/>
  <c r="M327" i="5"/>
  <c r="N327" i="5" s="1"/>
  <c r="M343" i="5"/>
  <c r="N343" i="5" s="1"/>
  <c r="M346" i="5"/>
  <c r="M362" i="5"/>
  <c r="M457" i="5"/>
  <c r="N457" i="5" s="1"/>
  <c r="M473" i="5"/>
  <c r="N473" i="5" s="1"/>
  <c r="N543" i="5"/>
  <c r="M916" i="5"/>
  <c r="N916" i="5" s="1"/>
  <c r="M931" i="5"/>
  <c r="N931" i="5" s="1"/>
  <c r="O976" i="5"/>
  <c r="M976" i="5"/>
  <c r="N976" i="5" s="1"/>
  <c r="M1000" i="5"/>
  <c r="N1000" i="5" s="1"/>
  <c r="O1012" i="5"/>
  <c r="M1012" i="5"/>
  <c r="O1027" i="5"/>
  <c r="M1027" i="5"/>
  <c r="M1056" i="5"/>
  <c r="N1056" i="5" s="1"/>
  <c r="M1104" i="5"/>
  <c r="M1107" i="5"/>
  <c r="N1107" i="5" s="1"/>
  <c r="N1110" i="5"/>
  <c r="O1117" i="5"/>
  <c r="M1117" i="5"/>
  <c r="O1256" i="5"/>
  <c r="M1256" i="5"/>
  <c r="N1256" i="5" s="1"/>
  <c r="M1312" i="5"/>
  <c r="N1312" i="5" s="1"/>
  <c r="O1331" i="5"/>
  <c r="M1331" i="5"/>
  <c r="N1331" i="5" s="1"/>
  <c r="O1356" i="5"/>
  <c r="M1356" i="5"/>
  <c r="N1356" i="5" s="1"/>
  <c r="N1387" i="5"/>
  <c r="O1465" i="5"/>
  <c r="M1465" i="5"/>
  <c r="N1465" i="5" s="1"/>
  <c r="O1500" i="5"/>
  <c r="M1500" i="5"/>
  <c r="N1500" i="5" s="1"/>
  <c r="N725" i="5"/>
  <c r="M940" i="5"/>
  <c r="N940" i="5" s="1"/>
  <c r="O940" i="5"/>
  <c r="M973" i="5"/>
  <c r="N973" i="5" s="1"/>
  <c r="O973" i="5"/>
  <c r="O1006" i="5"/>
  <c r="M1006" i="5"/>
  <c r="N1006" i="5" s="1"/>
  <c r="O1135" i="5"/>
  <c r="M1135" i="5"/>
  <c r="N1135" i="5" s="1"/>
  <c r="O1165" i="5"/>
  <c r="M1165" i="5"/>
  <c r="O1184" i="5"/>
  <c r="M1184" i="5"/>
  <c r="N1184" i="5" s="1"/>
  <c r="O1239" i="5"/>
  <c r="M1239" i="5"/>
  <c r="N1239" i="5" s="1"/>
  <c r="M1271" i="5"/>
  <c r="N1271" i="5" s="1"/>
  <c r="O1271" i="5"/>
  <c r="N1328" i="5"/>
  <c r="O1346" i="5"/>
  <c r="M1346" i="5"/>
  <c r="N1346" i="5" s="1"/>
  <c r="O1374" i="5"/>
  <c r="M1374" i="5"/>
  <c r="N1374" i="5" s="1"/>
  <c r="O1384" i="5"/>
  <c r="M1384" i="5"/>
  <c r="O1392" i="5"/>
  <c r="M1392" i="5"/>
  <c r="N1392" i="5" s="1"/>
  <c r="O1410" i="5"/>
  <c r="M1410" i="5"/>
  <c r="N1410" i="5" s="1"/>
  <c r="M1519" i="5"/>
  <c r="N1519" i="5" s="1"/>
  <c r="O1519" i="5"/>
  <c r="M1531" i="5"/>
  <c r="N1531" i="5" s="1"/>
  <c r="O1531" i="5"/>
  <c r="N202" i="5"/>
  <c r="N619" i="5"/>
  <c r="O659" i="5"/>
  <c r="O745" i="5"/>
  <c r="M750" i="5"/>
  <c r="N750" i="5" s="1"/>
  <c r="M798" i="5"/>
  <c r="O812" i="5"/>
  <c r="O818" i="5"/>
  <c r="O826" i="5"/>
  <c r="O834" i="5"/>
  <c r="O842" i="5"/>
  <c r="O850" i="5"/>
  <c r="O858" i="5"/>
  <c r="O866" i="5"/>
  <c r="M871" i="5"/>
  <c r="N871" i="5" s="1"/>
  <c r="O876" i="5"/>
  <c r="N886" i="5"/>
  <c r="M903" i="5"/>
  <c r="N903" i="5" s="1"/>
  <c r="N922" i="5"/>
  <c r="O929" i="5"/>
  <c r="N932" i="5"/>
  <c r="O998" i="5"/>
  <c r="M998" i="5"/>
  <c r="M1024" i="5"/>
  <c r="N1024" i="5" s="1"/>
  <c r="O1040" i="5"/>
  <c r="M1040" i="5"/>
  <c r="N1040" i="5" s="1"/>
  <c r="M1052" i="5"/>
  <c r="N1052" i="5" s="1"/>
  <c r="M1155" i="5"/>
  <c r="N1155" i="5" s="1"/>
  <c r="M1175" i="5"/>
  <c r="N1175" i="5" s="1"/>
  <c r="O1175" i="5"/>
  <c r="O1212" i="5"/>
  <c r="M1212" i="5"/>
  <c r="O1236" i="5"/>
  <c r="M1236" i="5"/>
  <c r="N1236" i="5" s="1"/>
  <c r="M1293" i="5"/>
  <c r="N1293" i="5" s="1"/>
  <c r="O1439" i="5"/>
  <c r="M1439" i="5"/>
  <c r="N1439" i="5" s="1"/>
  <c r="O1462" i="5"/>
  <c r="M1462" i="5"/>
  <c r="N1462" i="5" s="1"/>
  <c r="O1497" i="5"/>
  <c r="M1497" i="5"/>
  <c r="N1497" i="5" s="1"/>
  <c r="N1133" i="5"/>
  <c r="N1364" i="5"/>
  <c r="N1424" i="5"/>
  <c r="O1632" i="5"/>
  <c r="M1632" i="5"/>
  <c r="N1632" i="5" s="1"/>
  <c r="M1698" i="5"/>
  <c r="O1698" i="5"/>
  <c r="O1708" i="5"/>
  <c r="M1708" i="5"/>
  <c r="M1765" i="5"/>
  <c r="N1765" i="5" s="1"/>
  <c r="O1765" i="5"/>
  <c r="M1809" i="5"/>
  <c r="N1809" i="5" s="1"/>
  <c r="O1809" i="5"/>
  <c r="N1840" i="5"/>
  <c r="O2041" i="5"/>
  <c r="M2041" i="5"/>
  <c r="N2041" i="5" s="1"/>
  <c r="O2052" i="5"/>
  <c r="M2052" i="5"/>
  <c r="N2052" i="5" s="1"/>
  <c r="N956" i="5"/>
  <c r="N965" i="5"/>
  <c r="N1012" i="5"/>
  <c r="N1244" i="5"/>
  <c r="N1247" i="5"/>
  <c r="N1367" i="5"/>
  <c r="N1372" i="5"/>
  <c r="M1427" i="5"/>
  <c r="N1427" i="5" s="1"/>
  <c r="O1427" i="5"/>
  <c r="M1532" i="5"/>
  <c r="N1532" i="5" s="1"/>
  <c r="O1532" i="5"/>
  <c r="O1590" i="5"/>
  <c r="M1590" i="5"/>
  <c r="N1590" i="5" s="1"/>
  <c r="O1722" i="5"/>
  <c r="M1722" i="5"/>
  <c r="N1722" i="5" s="1"/>
  <c r="M1733" i="5"/>
  <c r="N1733" i="5" s="1"/>
  <c r="O1733" i="5"/>
  <c r="M1762" i="5"/>
  <c r="N1762" i="5" s="1"/>
  <c r="O1762" i="5"/>
  <c r="M1821" i="5"/>
  <c r="N1821" i="5" s="1"/>
  <c r="O1821" i="5"/>
  <c r="O1850" i="5"/>
  <c r="M1850" i="5"/>
  <c r="N1850" i="5" s="1"/>
  <c r="O2090" i="5"/>
  <c r="M2090" i="5"/>
  <c r="M1149" i="5"/>
  <c r="M1151" i="5"/>
  <c r="O1191" i="5"/>
  <c r="M1200" i="5"/>
  <c r="N1200" i="5" s="1"/>
  <c r="N1308" i="5"/>
  <c r="N1327" i="5"/>
  <c r="O1601" i="5"/>
  <c r="M1601" i="5"/>
  <c r="N1601" i="5" s="1"/>
  <c r="O1620" i="5"/>
  <c r="M1620" i="5"/>
  <c r="N1620" i="5" s="1"/>
  <c r="O1630" i="5"/>
  <c r="M1630" i="5"/>
  <c r="O1927" i="5"/>
  <c r="M1927" i="5"/>
  <c r="N1927" i="5" s="1"/>
  <c r="N941" i="5"/>
  <c r="N977" i="5"/>
  <c r="O1017" i="5"/>
  <c r="M1022" i="5"/>
  <c r="N1022" i="5" s="1"/>
  <c r="M1038" i="5"/>
  <c r="N1038" i="5" s="1"/>
  <c r="M1048" i="5"/>
  <c r="M1347" i="5"/>
  <c r="N1347" i="5" s="1"/>
  <c r="N1352" i="5"/>
  <c r="N1355" i="5"/>
  <c r="M1375" i="5"/>
  <c r="N1375" i="5" s="1"/>
  <c r="N1383" i="5"/>
  <c r="M1515" i="5"/>
  <c r="N1515" i="5" s="1"/>
  <c r="M1524" i="5"/>
  <c r="N1524" i="5" s="1"/>
  <c r="O1524" i="5"/>
  <c r="O1587" i="5"/>
  <c r="M1587" i="5"/>
  <c r="N1587" i="5" s="1"/>
  <c r="M1730" i="5"/>
  <c r="N1730" i="5" s="1"/>
  <c r="O1730" i="5"/>
  <c r="O1743" i="5"/>
  <c r="M1743" i="5"/>
  <c r="N1743" i="5" s="1"/>
  <c r="O1906" i="5"/>
  <c r="M1906" i="5"/>
  <c r="N1906" i="5" s="1"/>
  <c r="O1934" i="5"/>
  <c r="M1934" i="5"/>
  <c r="N1934" i="5" s="1"/>
  <c r="M2046" i="5"/>
  <c r="N2046" i="5" s="1"/>
  <c r="O2046" i="5"/>
  <c r="O2060" i="5"/>
  <c r="M2060" i="5"/>
  <c r="O2073" i="5"/>
  <c r="M2073" i="5"/>
  <c r="N1192" i="5"/>
  <c r="O1300" i="5"/>
  <c r="O1303" i="5"/>
  <c r="N1306" i="5"/>
  <c r="M1311" i="5"/>
  <c r="N1311" i="5" s="1"/>
  <c r="M1388" i="5"/>
  <c r="N1388" i="5" s="1"/>
  <c r="M1391" i="5"/>
  <c r="N1391" i="5" s="1"/>
  <c r="M1400" i="5"/>
  <c r="N1400" i="5" s="1"/>
  <c r="M1403" i="5"/>
  <c r="O1408" i="5"/>
  <c r="N1414" i="5"/>
  <c r="N1516" i="5"/>
  <c r="N1545" i="5"/>
  <c r="O1595" i="5"/>
  <c r="M1595" i="5"/>
  <c r="N1598" i="5"/>
  <c r="O1784" i="5"/>
  <c r="M1784" i="5"/>
  <c r="N1784" i="5" s="1"/>
  <c r="O1819" i="5"/>
  <c r="M1819" i="5"/>
  <c r="O1898" i="5"/>
  <c r="M1898" i="5"/>
  <c r="N1898" i="5" s="1"/>
  <c r="N1371" i="5"/>
  <c r="O1440" i="5"/>
  <c r="O1472" i="5"/>
  <c r="N1554" i="5"/>
  <c r="M1588" i="5"/>
  <c r="O1588" i="5"/>
  <c r="O1684" i="5"/>
  <c r="M1684" i="5"/>
  <c r="N1684" i="5" s="1"/>
  <c r="O1727" i="5"/>
  <c r="M1727" i="5"/>
  <c r="N1727" i="5" s="1"/>
  <c r="O1804" i="5"/>
  <c r="M1804" i="5"/>
  <c r="N1804" i="5" s="1"/>
  <c r="N1491" i="5"/>
  <c r="N1522" i="5"/>
  <c r="N1530" i="5"/>
  <c r="M1625" i="5"/>
  <c r="N1625" i="5" s="1"/>
  <c r="M1627" i="5"/>
  <c r="N1627" i="5" s="1"/>
  <c r="M1637" i="5"/>
  <c r="N1637" i="5" s="1"/>
  <c r="M1640" i="5"/>
  <c r="N1640" i="5" s="1"/>
  <c r="M1642" i="5"/>
  <c r="N1642" i="5" s="1"/>
  <c r="M1664" i="5"/>
  <c r="N1664" i="5" s="1"/>
  <c r="O1666" i="5"/>
  <c r="M1671" i="5"/>
  <c r="M1673" i="5"/>
  <c r="N1673" i="5" s="1"/>
  <c r="O1691" i="5"/>
  <c r="M1703" i="5"/>
  <c r="N1703" i="5" s="1"/>
  <c r="M1705" i="5"/>
  <c r="M1710" i="5"/>
  <c r="N1710" i="5" s="1"/>
  <c r="M1712" i="5"/>
  <c r="M1740" i="5"/>
  <c r="M1756" i="5"/>
  <c r="N1756" i="5" s="1"/>
  <c r="M1759" i="5"/>
  <c r="N1759" i="5" s="1"/>
  <c r="O1767" i="5"/>
  <c r="O1789" i="5"/>
  <c r="M1824" i="5"/>
  <c r="N1824" i="5" s="1"/>
  <c r="M1832" i="5"/>
  <c r="N1832" i="5" s="1"/>
  <c r="M1835" i="5"/>
  <c r="M1852" i="5"/>
  <c r="N1852" i="5" s="1"/>
  <c r="M1862" i="5"/>
  <c r="N1862" i="5" s="1"/>
  <c r="M1867" i="5"/>
  <c r="N1867" i="5" s="1"/>
  <c r="M1878" i="5"/>
  <c r="M1880" i="5"/>
  <c r="N1880" i="5" s="1"/>
  <c r="M1885" i="5"/>
  <c r="M1888" i="5"/>
  <c r="N1888" i="5" s="1"/>
  <c r="M1911" i="5"/>
  <c r="O1919" i="5"/>
  <c r="M1924" i="5"/>
  <c r="N1924" i="5" s="1"/>
  <c r="M1929" i="5"/>
  <c r="N1929" i="5" s="1"/>
  <c r="O1931" i="5"/>
  <c r="M1942" i="5"/>
  <c r="N1942" i="5" s="1"/>
  <c r="M1958" i="5"/>
  <c r="M1966" i="5"/>
  <c r="N1966" i="5" s="1"/>
  <c r="M1988" i="5"/>
  <c r="M1998" i="5"/>
  <c r="N1998" i="5" s="1"/>
  <c r="M2004" i="5"/>
  <c r="N2004" i="5" s="1"/>
  <c r="M2021" i="5"/>
  <c r="N2021" i="5" s="1"/>
  <c r="M2049" i="5"/>
  <c r="N2049" i="5" s="1"/>
  <c r="O2054" i="5"/>
  <c r="M2057" i="5"/>
  <c r="O2062" i="5"/>
  <c r="M2065" i="5"/>
  <c r="M2070" i="5"/>
  <c r="N2070" i="5" s="1"/>
  <c r="M2080" i="5"/>
  <c r="N2080" i="5" s="1"/>
  <c r="M2085" i="5"/>
  <c r="N2085" i="5" s="1"/>
  <c r="N1656" i="5"/>
  <c r="N1883" i="5"/>
  <c r="M1807" i="5"/>
  <c r="N1807" i="5" s="1"/>
  <c r="M1838" i="5"/>
  <c r="N1838" i="5" s="1"/>
  <c r="M1873" i="5"/>
  <c r="N1873" i="5" s="1"/>
  <c r="M1896" i="5"/>
  <c r="N1896" i="5" s="1"/>
  <c r="O2038" i="5"/>
  <c r="M2044" i="5"/>
  <c r="N2044" i="5" s="1"/>
  <c r="N2098" i="5"/>
  <c r="O1599" i="5"/>
  <c r="M1613" i="5"/>
  <c r="N1643" i="5"/>
  <c r="N1659" i="5"/>
  <c r="M1667" i="5"/>
  <c r="N1667" i="5" s="1"/>
  <c r="M1692" i="5"/>
  <c r="N1692" i="5" s="1"/>
  <c r="M1713" i="5"/>
  <c r="N1713" i="5" s="1"/>
  <c r="M1725" i="5"/>
  <c r="N1725" i="5" s="1"/>
  <c r="N1734" i="5"/>
  <c r="O1607" i="5"/>
  <c r="M1685" i="5"/>
  <c r="N1685" i="5" s="1"/>
  <c r="M1699" i="5"/>
  <c r="N1699" i="5" s="1"/>
  <c r="O1723" i="5"/>
  <c r="M1731" i="5"/>
  <c r="N1731" i="5" s="1"/>
  <c r="M1741" i="5"/>
  <c r="N1741" i="5" s="1"/>
  <c r="N1808" i="5"/>
  <c r="N1611" i="5"/>
  <c r="O1739" i="5"/>
  <c r="M1747" i="5"/>
  <c r="N1747" i="5" s="1"/>
  <c r="O1755" i="5"/>
  <c r="N1769" i="5"/>
  <c r="O1785" i="5"/>
  <c r="O1805" i="5"/>
  <c r="M1866" i="5"/>
  <c r="N1866" i="5" s="1"/>
  <c r="O1887" i="5"/>
  <c r="M1892" i="5"/>
  <c r="N1892" i="5" s="1"/>
  <c r="N1903" i="5"/>
  <c r="M1928" i="5"/>
  <c r="M1941" i="5"/>
  <c r="N1941" i="5" s="1"/>
  <c r="M1954" i="5"/>
  <c r="N1954" i="5" s="1"/>
  <c r="M1957" i="5"/>
  <c r="N1957" i="5" s="1"/>
  <c r="M1973" i="5"/>
  <c r="N1973" i="5" s="1"/>
  <c r="O1987" i="5"/>
  <c r="M1997" i="5"/>
  <c r="N1997" i="5" s="1"/>
  <c r="O2003" i="5"/>
  <c r="O2042" i="5"/>
  <c r="M2056" i="5"/>
  <c r="N2056" i="5" s="1"/>
  <c r="M2064" i="5"/>
  <c r="N2064" i="5" s="1"/>
  <c r="M2084" i="5"/>
  <c r="N2084" i="5" s="1"/>
  <c r="N1668" i="5"/>
  <c r="N1960" i="5"/>
  <c r="N109" i="5"/>
  <c r="N189" i="5"/>
  <c r="N213" i="5"/>
  <c r="N247" i="5"/>
  <c r="N255" i="5"/>
  <c r="N271" i="5"/>
  <c r="N279" i="5"/>
  <c r="N287" i="5"/>
  <c r="N322" i="5"/>
  <c r="N354" i="5"/>
  <c r="N435" i="5"/>
  <c r="N459" i="5"/>
  <c r="N467" i="5"/>
  <c r="N475" i="5"/>
  <c r="N483" i="5"/>
  <c r="N491" i="5"/>
  <c r="N499" i="5"/>
  <c r="N733" i="5"/>
  <c r="N745" i="5"/>
  <c r="N773" i="5"/>
  <c r="N781" i="5"/>
  <c r="N873" i="5"/>
  <c r="N878" i="5"/>
  <c r="N972" i="5"/>
  <c r="N980" i="5"/>
  <c r="N998" i="5"/>
  <c r="N1009" i="5"/>
  <c r="N1017" i="5"/>
  <c r="N1020" i="5"/>
  <c r="N1085" i="5"/>
  <c r="N1087" i="5"/>
  <c r="N1138" i="5"/>
  <c r="N1260" i="5"/>
  <c r="N1268" i="5"/>
  <c r="N1343" i="5"/>
  <c r="N1363" i="5"/>
  <c r="N1384" i="5"/>
  <c r="N1426" i="5"/>
  <c r="N1463" i="5"/>
  <c r="N1475" i="5"/>
  <c r="N1492" i="5"/>
  <c r="N1539" i="5"/>
  <c r="N1558" i="5"/>
  <c r="N1566" i="5"/>
  <c r="N1574" i="5"/>
  <c r="N1702" i="5"/>
  <c r="N1706" i="5"/>
  <c r="N1956" i="5"/>
  <c r="N1988" i="5"/>
  <c r="N2073" i="5"/>
  <c r="N2090" i="5"/>
  <c r="N229" i="5"/>
  <c r="N330" i="5"/>
  <c r="N346" i="5"/>
  <c r="N357" i="5"/>
  <c r="N387" i="5"/>
  <c r="N403" i="5"/>
  <c r="N452" i="5"/>
  <c r="N539" i="5"/>
  <c r="N723" i="5"/>
  <c r="N964" i="5"/>
  <c r="N1043" i="5"/>
  <c r="N371" i="5"/>
  <c r="N531" i="5"/>
  <c r="N631" i="5"/>
  <c r="N662" i="5"/>
  <c r="N665" i="5"/>
  <c r="N697" i="5"/>
  <c r="N729" i="5"/>
  <c r="N777" i="5"/>
  <c r="N1118" i="5"/>
  <c r="N1120" i="5"/>
  <c r="N1123" i="5"/>
  <c r="N1266" i="5"/>
  <c r="N1302" i="5"/>
  <c r="N1359" i="5"/>
  <c r="N1470" i="5"/>
  <c r="N1484" i="5"/>
  <c r="N1487" i="5"/>
  <c r="N1490" i="5"/>
  <c r="N1495" i="5"/>
  <c r="N1507" i="5"/>
  <c r="N1510" i="5"/>
  <c r="N1648" i="5"/>
  <c r="N1697" i="5"/>
  <c r="N1755" i="5"/>
  <c r="N1761" i="5"/>
  <c r="N1805" i="5"/>
  <c r="N1964" i="5"/>
  <c r="N1975" i="5"/>
  <c r="N2007" i="5"/>
  <c r="N2013" i="5"/>
  <c r="N981" i="5"/>
  <c r="N989" i="5"/>
  <c r="N1013" i="5"/>
  <c r="N1041" i="5"/>
  <c r="N1058" i="5"/>
  <c r="N100" i="5"/>
  <c r="N105" i="5"/>
  <c r="N137" i="5"/>
  <c r="N153" i="5"/>
  <c r="N209" i="5"/>
  <c r="N243" i="5"/>
  <c r="N283" i="5"/>
  <c r="N291" i="5"/>
  <c r="N307" i="5"/>
  <c r="N393" i="5"/>
  <c r="N406" i="5"/>
  <c r="N420" i="5"/>
  <c r="N425" i="5"/>
  <c r="N579" i="5"/>
  <c r="N611" i="5"/>
  <c r="N651" i="5"/>
  <c r="N1046" i="5"/>
  <c r="N1104" i="5"/>
  <c r="N1148" i="5"/>
  <c r="N1152" i="5"/>
  <c r="N1204" i="5"/>
  <c r="N1220" i="5"/>
  <c r="N1252" i="5"/>
  <c r="N1300" i="5"/>
  <c r="N1303" i="5"/>
  <c r="N1403" i="5"/>
  <c r="N1416" i="5"/>
  <c r="N1430" i="5"/>
  <c r="N1488" i="5"/>
  <c r="N1502" i="5"/>
  <c r="N1546" i="5"/>
  <c r="N1586" i="5"/>
  <c r="N1600" i="5"/>
  <c r="N1721" i="5"/>
  <c r="N1780" i="5"/>
  <c r="N1820" i="5"/>
  <c r="N1844" i="5"/>
  <c r="N1874" i="5"/>
  <c r="N1915" i="5"/>
  <c r="N2017" i="5"/>
  <c r="N2074" i="5"/>
  <c r="N2089" i="5"/>
  <c r="N177" i="5"/>
  <c r="N289" i="5"/>
  <c r="N297" i="5"/>
  <c r="N305" i="5"/>
  <c r="N324" i="5"/>
  <c r="N356" i="5"/>
  <c r="N399" i="5"/>
  <c r="N418" i="5"/>
  <c r="N713" i="5"/>
  <c r="N749" i="5"/>
  <c r="N811" i="5"/>
  <c r="N825" i="5"/>
  <c r="N833" i="5"/>
  <c r="N841" i="5"/>
  <c r="N849" i="5"/>
  <c r="N857" i="5"/>
  <c r="N865" i="5"/>
  <c r="N870" i="5"/>
  <c r="N933" i="5"/>
  <c r="N1196" i="5"/>
  <c r="N1208" i="5"/>
  <c r="N1270" i="5"/>
  <c r="N1563" i="5"/>
  <c r="N1649" i="5"/>
  <c r="N1657" i="5"/>
  <c r="N1672" i="5"/>
  <c r="N1674" i="5"/>
  <c r="N1976" i="5"/>
  <c r="N897" i="5"/>
  <c r="N928" i="5"/>
  <c r="N985" i="5"/>
  <c r="N1221" i="5"/>
  <c r="N1332" i="5"/>
  <c r="N1360" i="5"/>
  <c r="N1746" i="5"/>
  <c r="N1882" i="5"/>
  <c r="N1890" i="5"/>
  <c r="N1936" i="5"/>
  <c r="N1955" i="5"/>
  <c r="N2062" i="5"/>
  <c r="N37" i="5"/>
  <c r="N101" i="5"/>
  <c r="N165" i="5"/>
  <c r="N214" i="5"/>
  <c r="N319" i="5"/>
  <c r="N335" i="5"/>
  <c r="N372" i="5"/>
  <c r="N388" i="5"/>
  <c r="N415" i="5"/>
  <c r="N447" i="5"/>
  <c r="N599" i="5"/>
  <c r="N623" i="5"/>
  <c r="N653" i="5"/>
  <c r="N677" i="5"/>
  <c r="N685" i="5"/>
  <c r="N694" i="5"/>
  <c r="N731" i="5"/>
  <c r="N742" i="5"/>
  <c r="N771" i="5"/>
  <c r="N779" i="5"/>
  <c r="N826" i="5"/>
  <c r="N834" i="5"/>
  <c r="N842" i="5"/>
  <c r="N850" i="5"/>
  <c r="N858" i="5"/>
  <c r="N866" i="5"/>
  <c r="N895" i="5"/>
  <c r="N942" i="5"/>
  <c r="N1048" i="5"/>
  <c r="N1053" i="5"/>
  <c r="N1180" i="5"/>
  <c r="N1411" i="5"/>
  <c r="N1438" i="5"/>
  <c r="N1455" i="5"/>
  <c r="N1458" i="5"/>
  <c r="N1504" i="5"/>
  <c r="N1550" i="5"/>
  <c r="N1825" i="5"/>
  <c r="N4" i="5"/>
  <c r="N9" i="5"/>
  <c r="N186" i="5"/>
  <c r="N250" i="5"/>
  <c r="N266" i="5"/>
  <c r="N282" i="5"/>
  <c r="N311" i="5"/>
  <c r="N370" i="5"/>
  <c r="N386" i="5"/>
  <c r="N423" i="5"/>
  <c r="N434" i="5"/>
  <c r="N488" i="5"/>
  <c r="N717" i="5"/>
  <c r="N765" i="5"/>
  <c r="N874" i="5"/>
  <c r="N891" i="5"/>
  <c r="N1980" i="5"/>
  <c r="N1999" i="5"/>
  <c r="N2022" i="5"/>
  <c r="N2058" i="5"/>
  <c r="N2066" i="5"/>
  <c r="N20" i="5"/>
  <c r="N148" i="5"/>
  <c r="N92" i="5"/>
  <c r="N125" i="5"/>
  <c r="N156" i="5"/>
  <c r="N184" i="5"/>
  <c r="N217" i="5"/>
  <c r="N253" i="5"/>
  <c r="N269" i="5"/>
  <c r="N277" i="5"/>
  <c r="N285" i="5"/>
  <c r="N293" i="5"/>
  <c r="N301" i="5"/>
  <c r="N309" i="5"/>
  <c r="N323" i="5"/>
  <c r="N339" i="5"/>
  <c r="N355" i="5"/>
  <c r="N362" i="5"/>
  <c r="N373" i="5"/>
  <c r="N394" i="5"/>
  <c r="N405" i="5"/>
  <c r="N407" i="5"/>
  <c r="N419" i="5"/>
  <c r="N437" i="5"/>
  <c r="N439" i="5"/>
  <c r="N445" i="5"/>
  <c r="N603" i="5"/>
  <c r="N627" i="5"/>
  <c r="N763" i="5"/>
  <c r="N1910" i="5"/>
  <c r="N1935" i="5"/>
  <c r="N761" i="5"/>
  <c r="N789" i="5"/>
  <c r="N813" i="5"/>
  <c r="N901" i="5"/>
  <c r="N968" i="5"/>
  <c r="N1116" i="5"/>
  <c r="N1205" i="5"/>
  <c r="N1240" i="5"/>
  <c r="N1283" i="5"/>
  <c r="N1624" i="5"/>
  <c r="N44" i="5"/>
  <c r="N77" i="5"/>
  <c r="N108" i="5"/>
  <c r="N141" i="5"/>
  <c r="N172" i="5"/>
  <c r="N200" i="5"/>
  <c r="N481" i="5"/>
  <c r="N497" i="5"/>
  <c r="N633" i="5"/>
  <c r="N659" i="5"/>
  <c r="N693" i="5"/>
  <c r="N739" i="5"/>
  <c r="N758" i="5"/>
  <c r="N787" i="5"/>
  <c r="N13" i="5"/>
  <c r="N21" i="5"/>
  <c r="N52" i="5"/>
  <c r="N85" i="5"/>
  <c r="N116" i="5"/>
  <c r="N149" i="5"/>
  <c r="N198" i="5"/>
  <c r="N218" i="5"/>
  <c r="N224" i="5"/>
  <c r="N226" i="5"/>
  <c r="N246" i="5"/>
  <c r="N294" i="5"/>
  <c r="N310" i="5"/>
  <c r="N342" i="5"/>
  <c r="N353" i="5"/>
  <c r="N409" i="5"/>
  <c r="N417" i="5"/>
  <c r="N441" i="5"/>
  <c r="N479" i="5"/>
  <c r="N489" i="5"/>
  <c r="N495" i="5"/>
  <c r="N639" i="5"/>
  <c r="N691" i="5"/>
  <c r="N793" i="5"/>
  <c r="N1050" i="5"/>
  <c r="N1100" i="5"/>
  <c r="N1145" i="5"/>
  <c r="N1171" i="5"/>
  <c r="N1176" i="5"/>
  <c r="N1188" i="5"/>
  <c r="N1197" i="5"/>
  <c r="N1212" i="5"/>
  <c r="N1250" i="5"/>
  <c r="N1264" i="5"/>
  <c r="N1317" i="5"/>
  <c r="N1472" i="5"/>
  <c r="N1506" i="5"/>
  <c r="N1729" i="5"/>
  <c r="N1745" i="5"/>
  <c r="N1561" i="5"/>
  <c r="N1691" i="5"/>
  <c r="N1707" i="5"/>
  <c r="N1709" i="5"/>
  <c r="N1717" i="5"/>
  <c r="N1739" i="5"/>
  <c r="N1773" i="5"/>
  <c r="N1781" i="5"/>
  <c r="N1789" i="5"/>
  <c r="N1797" i="5"/>
  <c r="N1817" i="5"/>
  <c r="N1843" i="5"/>
  <c r="N1859" i="5"/>
  <c r="N1894" i="5"/>
  <c r="N1982" i="5"/>
  <c r="N2078" i="5"/>
  <c r="N2093" i="5"/>
  <c r="N838" i="5"/>
  <c r="N889" i="5"/>
  <c r="N892" i="5"/>
  <c r="N918" i="5"/>
  <c r="N946" i="5"/>
  <c r="N974" i="5"/>
  <c r="N1005" i="5"/>
  <c r="N1035" i="5"/>
  <c r="N1051" i="5"/>
  <c r="N1089" i="5"/>
  <c r="N1129" i="5"/>
  <c r="N1149" i="5"/>
  <c r="N1158" i="5"/>
  <c r="N1162" i="5"/>
  <c r="N1189" i="5"/>
  <c r="N1234" i="5"/>
  <c r="N1298" i="5"/>
  <c r="N1420" i="5"/>
  <c r="N1423" i="5"/>
  <c r="N1442" i="5"/>
  <c r="N1459" i="5"/>
  <c r="N1476" i="5"/>
  <c r="N1537" i="5"/>
  <c r="N1542" i="5"/>
  <c r="N1548" i="5"/>
  <c r="N1580" i="5"/>
  <c r="N1588" i="5"/>
  <c r="N1608" i="5"/>
  <c r="N1614" i="5"/>
  <c r="N1629" i="5"/>
  <c r="N1689" i="5"/>
  <c r="N1705" i="5"/>
  <c r="N1712" i="5"/>
  <c r="N1737" i="5"/>
  <c r="N1813" i="5"/>
  <c r="N1828" i="5"/>
  <c r="N1836" i="5"/>
  <c r="N1872" i="5"/>
  <c r="N1926" i="5"/>
  <c r="N1939" i="5"/>
  <c r="N1675" i="5"/>
  <c r="N1683" i="5"/>
  <c r="N1708" i="5"/>
  <c r="N1715" i="5"/>
  <c r="N1740" i="5"/>
  <c r="N1777" i="5"/>
  <c r="N1785" i="5"/>
  <c r="N1793" i="5"/>
  <c r="N1818" i="5"/>
  <c r="N1851" i="5"/>
  <c r="N1895" i="5"/>
  <c r="N1919" i="5"/>
  <c r="N1931" i="5"/>
  <c r="N1963" i="5"/>
  <c r="N2008" i="5"/>
  <c r="N2014" i="5"/>
  <c r="N2045" i="5"/>
  <c r="N2072" i="5"/>
  <c r="N899" i="5"/>
  <c r="N904" i="5"/>
  <c r="N909" i="5"/>
  <c r="N954" i="5"/>
  <c r="N1070" i="5"/>
  <c r="N1101" i="5"/>
  <c r="N1117" i="5"/>
  <c r="N1126" i="5"/>
  <c r="N1172" i="5"/>
  <c r="N1181" i="5"/>
  <c r="N1255" i="5"/>
  <c r="N1320" i="5"/>
  <c r="N1454" i="5"/>
  <c r="N1526" i="5"/>
  <c r="N1570" i="5"/>
  <c r="N1599" i="5"/>
  <c r="N1658" i="5"/>
  <c r="N2082" i="5"/>
  <c r="N1408" i="5"/>
  <c r="N1443" i="5"/>
  <c r="N1460" i="5"/>
  <c r="N1514" i="5"/>
  <c r="N1538" i="5"/>
  <c r="N1610" i="5"/>
  <c r="N1641" i="5"/>
  <c r="N1651" i="5"/>
  <c r="N1681" i="5"/>
  <c r="N1711" i="5"/>
  <c r="N1816" i="5"/>
  <c r="N1835" i="5"/>
  <c r="N1863" i="5"/>
  <c r="N1878" i="5"/>
  <c r="N1911" i="5"/>
  <c r="N1979" i="5"/>
  <c r="N2057" i="5"/>
  <c r="N2065" i="5"/>
  <c r="N2015" i="1"/>
  <c r="N2007" i="1"/>
  <c r="N1999" i="1"/>
  <c r="N1991" i="1"/>
  <c r="N1983" i="1"/>
  <c r="N1975" i="1"/>
  <c r="N1967" i="1"/>
  <c r="N1959" i="1"/>
  <c r="N1951" i="1"/>
  <c r="N1943" i="1"/>
  <c r="N1935" i="1"/>
  <c r="N1927" i="1"/>
  <c r="N1919" i="1"/>
  <c r="N1911" i="1"/>
  <c r="N1903" i="1"/>
  <c r="N1895" i="1"/>
  <c r="N1887" i="1"/>
  <c r="N1879" i="1"/>
  <c r="N1871" i="1"/>
  <c r="N1863" i="1"/>
  <c r="N1855" i="1"/>
  <c r="N1847" i="1"/>
  <c r="N1839" i="1"/>
  <c r="N1831" i="1"/>
  <c r="N1823" i="1"/>
  <c r="N1775" i="1"/>
  <c r="N212" i="5"/>
  <c r="N180" i="5"/>
  <c r="O256" i="5"/>
  <c r="M256" i="5"/>
  <c r="N256" i="5" s="1"/>
  <c r="O304" i="5"/>
  <c r="M304" i="5"/>
  <c r="N304" i="5" s="1"/>
  <c r="M2" i="5"/>
  <c r="N2" i="5" s="1"/>
  <c r="N7" i="5"/>
  <c r="M10" i="5"/>
  <c r="N10" i="5" s="1"/>
  <c r="N15" i="5"/>
  <c r="M18" i="5"/>
  <c r="N18" i="5" s="1"/>
  <c r="N23" i="5"/>
  <c r="M26" i="5"/>
  <c r="N31" i="5"/>
  <c r="M34" i="5"/>
  <c r="N34" i="5" s="1"/>
  <c r="N39" i="5"/>
  <c r="M42" i="5"/>
  <c r="N42" i="5" s="1"/>
  <c r="N47" i="5"/>
  <c r="M50" i="5"/>
  <c r="N50" i="5" s="1"/>
  <c r="N55" i="5"/>
  <c r="M58" i="5"/>
  <c r="N58" i="5" s="1"/>
  <c r="N63" i="5"/>
  <c r="M66" i="5"/>
  <c r="N66" i="5" s="1"/>
  <c r="M74" i="5"/>
  <c r="N74" i="5" s="1"/>
  <c r="N79" i="5"/>
  <c r="M82" i="5"/>
  <c r="N82" i="5" s="1"/>
  <c r="M90" i="5"/>
  <c r="N90" i="5" s="1"/>
  <c r="M98" i="5"/>
  <c r="N98" i="5" s="1"/>
  <c r="N103" i="5"/>
  <c r="M106" i="5"/>
  <c r="N106" i="5" s="1"/>
  <c r="M114" i="5"/>
  <c r="N114" i="5" s="1"/>
  <c r="M122" i="5"/>
  <c r="N122" i="5" s="1"/>
  <c r="M130" i="5"/>
  <c r="N130" i="5" s="1"/>
  <c r="N135" i="5"/>
  <c r="M138" i="5"/>
  <c r="N138" i="5" s="1"/>
  <c r="N143" i="5"/>
  <c r="M146" i="5"/>
  <c r="N146" i="5" s="1"/>
  <c r="M154" i="5"/>
  <c r="N154" i="5" s="1"/>
  <c r="N159" i="5"/>
  <c r="M162" i="5"/>
  <c r="N167" i="5"/>
  <c r="M170" i="5"/>
  <c r="N170" i="5" s="1"/>
  <c r="N175" i="5"/>
  <c r="O178" i="5"/>
  <c r="M187" i="5"/>
  <c r="N187" i="5" s="1"/>
  <c r="O194" i="5"/>
  <c r="M203" i="5"/>
  <c r="N203" i="5" s="1"/>
  <c r="O210" i="5"/>
  <c r="M219" i="5"/>
  <c r="N219" i="5" s="1"/>
  <c r="O230" i="5"/>
  <c r="O252" i="5"/>
  <c r="M252" i="5"/>
  <c r="N252" i="5" s="1"/>
  <c r="O268" i="5"/>
  <c r="M268" i="5"/>
  <c r="N268" i="5" s="1"/>
  <c r="O284" i="5"/>
  <c r="M284" i="5"/>
  <c r="N284" i="5" s="1"/>
  <c r="O300" i="5"/>
  <c r="M300" i="5"/>
  <c r="N300" i="5" s="1"/>
  <c r="O344" i="5"/>
  <c r="O347" i="5"/>
  <c r="M347" i="5"/>
  <c r="N347" i="5" s="1"/>
  <c r="O408" i="5"/>
  <c r="O411" i="5"/>
  <c r="M411" i="5"/>
  <c r="N411" i="5" s="1"/>
  <c r="O454" i="5"/>
  <c r="M454" i="5"/>
  <c r="N454" i="5" s="1"/>
  <c r="O493" i="5"/>
  <c r="M493" i="5"/>
  <c r="N493" i="5" s="1"/>
  <c r="M333" i="5"/>
  <c r="N333" i="5" s="1"/>
  <c r="O333" i="5"/>
  <c r="O350" i="5"/>
  <c r="M350" i="5"/>
  <c r="N350" i="5" s="1"/>
  <c r="M397" i="5"/>
  <c r="N397" i="5" s="1"/>
  <c r="O397" i="5"/>
  <c r="O414" i="5"/>
  <c r="M414" i="5"/>
  <c r="N414" i="5" s="1"/>
  <c r="O440" i="5"/>
  <c r="M440" i="5"/>
  <c r="N440" i="5" s="1"/>
  <c r="O470" i="5"/>
  <c r="M470" i="5"/>
  <c r="N227" i="5"/>
  <c r="O248" i="5"/>
  <c r="M248" i="5"/>
  <c r="N248" i="5" s="1"/>
  <c r="O264" i="5"/>
  <c r="M264" i="5"/>
  <c r="N264" i="5" s="1"/>
  <c r="O280" i="5"/>
  <c r="M280" i="5"/>
  <c r="N280" i="5" s="1"/>
  <c r="O296" i="5"/>
  <c r="M296" i="5"/>
  <c r="N296" i="5" s="1"/>
  <c r="O331" i="5"/>
  <c r="M331" i="5"/>
  <c r="N331" i="5" s="1"/>
  <c r="O395" i="5"/>
  <c r="M395" i="5"/>
  <c r="N395" i="5" s="1"/>
  <c r="O443" i="5"/>
  <c r="M443" i="5"/>
  <c r="N443" i="5" s="1"/>
  <c r="O446" i="5"/>
  <c r="M446" i="5"/>
  <c r="N446" i="5" s="1"/>
  <c r="O449" i="5"/>
  <c r="M449" i="5"/>
  <c r="N449" i="5" s="1"/>
  <c r="O486" i="5"/>
  <c r="M486" i="5"/>
  <c r="M188" i="5"/>
  <c r="N188" i="5" s="1"/>
  <c r="M204" i="5"/>
  <c r="N204" i="5" s="1"/>
  <c r="M220" i="5"/>
  <c r="N220" i="5" s="1"/>
  <c r="N298" i="5"/>
  <c r="M317" i="5"/>
  <c r="N317" i="5" s="1"/>
  <c r="O317" i="5"/>
  <c r="O334" i="5"/>
  <c r="M334" i="5"/>
  <c r="N334" i="5" s="1"/>
  <c r="M381" i="5"/>
  <c r="N381" i="5" s="1"/>
  <c r="O381" i="5"/>
  <c r="N390" i="5"/>
  <c r="O398" i="5"/>
  <c r="M398" i="5"/>
  <c r="N398" i="5" s="1"/>
  <c r="O502" i="5"/>
  <c r="M502" i="5"/>
  <c r="N502" i="5" s="1"/>
  <c r="O510" i="5"/>
  <c r="M510" i="5"/>
  <c r="N510" i="5" s="1"/>
  <c r="O518" i="5"/>
  <c r="M518" i="5"/>
  <c r="N518" i="5" s="1"/>
  <c r="O526" i="5"/>
  <c r="M526" i="5"/>
  <c r="N526" i="5" s="1"/>
  <c r="O534" i="5"/>
  <c r="M534" i="5"/>
  <c r="N534" i="5" s="1"/>
  <c r="O542" i="5"/>
  <c r="M542" i="5"/>
  <c r="N542" i="5" s="1"/>
  <c r="O550" i="5"/>
  <c r="M550" i="5"/>
  <c r="N550" i="5" s="1"/>
  <c r="O558" i="5"/>
  <c r="M558" i="5"/>
  <c r="N558" i="5" s="1"/>
  <c r="N3" i="5"/>
  <c r="M6" i="5"/>
  <c r="N6" i="5" s="1"/>
  <c r="N11" i="5"/>
  <c r="M14" i="5"/>
  <c r="N14" i="5" s="1"/>
  <c r="N19" i="5"/>
  <c r="M22" i="5"/>
  <c r="N22" i="5" s="1"/>
  <c r="N27" i="5"/>
  <c r="M30" i="5"/>
  <c r="N30" i="5" s="1"/>
  <c r="N35" i="5"/>
  <c r="M38" i="5"/>
  <c r="N38" i="5" s="1"/>
  <c r="N43" i="5"/>
  <c r="M46" i="5"/>
  <c r="N46" i="5" s="1"/>
  <c r="N51" i="5"/>
  <c r="M54" i="5"/>
  <c r="N54" i="5" s="1"/>
  <c r="N59" i="5"/>
  <c r="M62" i="5"/>
  <c r="N62" i="5" s="1"/>
  <c r="N67" i="5"/>
  <c r="M70" i="5"/>
  <c r="N70" i="5" s="1"/>
  <c r="N75" i="5"/>
  <c r="M78" i="5"/>
  <c r="N78" i="5" s="1"/>
  <c r="N83" i="5"/>
  <c r="M86" i="5"/>
  <c r="N86" i="5" s="1"/>
  <c r="N91" i="5"/>
  <c r="M94" i="5"/>
  <c r="N94" i="5" s="1"/>
  <c r="N99" i="5"/>
  <c r="M102" i="5"/>
  <c r="N102" i="5" s="1"/>
  <c r="N107" i="5"/>
  <c r="M110" i="5"/>
  <c r="N110" i="5" s="1"/>
  <c r="N115" i="5"/>
  <c r="M118" i="5"/>
  <c r="N118" i="5" s="1"/>
  <c r="N123" i="5"/>
  <c r="M126" i="5"/>
  <c r="N126" i="5" s="1"/>
  <c r="N131" i="5"/>
  <c r="M134" i="5"/>
  <c r="N134" i="5" s="1"/>
  <c r="N139" i="5"/>
  <c r="M142" i="5"/>
  <c r="N142" i="5" s="1"/>
  <c r="N147" i="5"/>
  <c r="M150" i="5"/>
  <c r="N150" i="5" s="1"/>
  <c r="N155" i="5"/>
  <c r="M158" i="5"/>
  <c r="N158" i="5" s="1"/>
  <c r="M166" i="5"/>
  <c r="N166" i="5" s="1"/>
  <c r="M174" i="5"/>
  <c r="N174" i="5" s="1"/>
  <c r="M179" i="5"/>
  <c r="N179" i="5" s="1"/>
  <c r="O186" i="5"/>
  <c r="M195" i="5"/>
  <c r="N195" i="5" s="1"/>
  <c r="O202" i="5"/>
  <c r="M211" i="5"/>
  <c r="N211" i="5" s="1"/>
  <c r="O218" i="5"/>
  <c r="O244" i="5"/>
  <c r="M244" i="5"/>
  <c r="N244" i="5" s="1"/>
  <c r="O260" i="5"/>
  <c r="M260" i="5"/>
  <c r="N260" i="5" s="1"/>
  <c r="O276" i="5"/>
  <c r="M276" i="5"/>
  <c r="N276" i="5" s="1"/>
  <c r="O292" i="5"/>
  <c r="M292" i="5"/>
  <c r="N292" i="5" s="1"/>
  <c r="O308" i="5"/>
  <c r="M308" i="5"/>
  <c r="N308" i="5" s="1"/>
  <c r="O312" i="5"/>
  <c r="O315" i="5"/>
  <c r="M315" i="5"/>
  <c r="N315" i="5" s="1"/>
  <c r="O376" i="5"/>
  <c r="O379" i="5"/>
  <c r="M379" i="5"/>
  <c r="N379" i="5" s="1"/>
  <c r="N438" i="5"/>
  <c r="M8" i="5"/>
  <c r="N8" i="5" s="1"/>
  <c r="M16" i="5"/>
  <c r="N16" i="5" s="1"/>
  <c r="M24" i="5"/>
  <c r="N24" i="5" s="1"/>
  <c r="M32" i="5"/>
  <c r="N32" i="5" s="1"/>
  <c r="M40" i="5"/>
  <c r="N40" i="5" s="1"/>
  <c r="M48" i="5"/>
  <c r="N48" i="5" s="1"/>
  <c r="M56" i="5"/>
  <c r="N56" i="5" s="1"/>
  <c r="M64" i="5"/>
  <c r="N64" i="5" s="1"/>
  <c r="M72" i="5"/>
  <c r="N72" i="5" s="1"/>
  <c r="M80" i="5"/>
  <c r="N80" i="5" s="1"/>
  <c r="M88" i="5"/>
  <c r="N88" i="5" s="1"/>
  <c r="M96" i="5"/>
  <c r="N96" i="5" s="1"/>
  <c r="M104" i="5"/>
  <c r="N104" i="5" s="1"/>
  <c r="M112" i="5"/>
  <c r="N112" i="5" s="1"/>
  <c r="M120" i="5"/>
  <c r="N120" i="5" s="1"/>
  <c r="M128" i="5"/>
  <c r="N128" i="5" s="1"/>
  <c r="M136" i="5"/>
  <c r="N136" i="5" s="1"/>
  <c r="M144" i="5"/>
  <c r="N144" i="5" s="1"/>
  <c r="M152" i="5"/>
  <c r="N152" i="5" s="1"/>
  <c r="M160" i="5"/>
  <c r="N160" i="5" s="1"/>
  <c r="M168" i="5"/>
  <c r="N168" i="5" s="1"/>
  <c r="M176" i="5"/>
  <c r="N176" i="5" s="1"/>
  <c r="M192" i="5"/>
  <c r="N192" i="5" s="1"/>
  <c r="M208" i="5"/>
  <c r="N208" i="5" s="1"/>
  <c r="N215" i="5"/>
  <c r="O232" i="5"/>
  <c r="M232" i="5"/>
  <c r="N232" i="5" s="1"/>
  <c r="O236" i="5"/>
  <c r="M236" i="5"/>
  <c r="N236" i="5" s="1"/>
  <c r="O240" i="5"/>
  <c r="M240" i="5"/>
  <c r="N240" i="5" s="1"/>
  <c r="O318" i="5"/>
  <c r="M318" i="5"/>
  <c r="N318" i="5" s="1"/>
  <c r="M365" i="5"/>
  <c r="N365" i="5" s="1"/>
  <c r="O365" i="5"/>
  <c r="O382" i="5"/>
  <c r="M382" i="5"/>
  <c r="N382" i="5" s="1"/>
  <c r="M429" i="5"/>
  <c r="N429" i="5" s="1"/>
  <c r="O429" i="5"/>
  <c r="M468" i="5"/>
  <c r="N468" i="5" s="1"/>
  <c r="O468" i="5"/>
  <c r="O427" i="5"/>
  <c r="M427" i="5"/>
  <c r="N427" i="5" s="1"/>
  <c r="O461" i="5"/>
  <c r="M461" i="5"/>
  <c r="N461" i="5" s="1"/>
  <c r="M484" i="5"/>
  <c r="N484" i="5" s="1"/>
  <c r="O484" i="5"/>
  <c r="O272" i="5"/>
  <c r="M272" i="5"/>
  <c r="N272" i="5" s="1"/>
  <c r="O288" i="5"/>
  <c r="M288" i="5"/>
  <c r="N288" i="5" s="1"/>
  <c r="O363" i="5"/>
  <c r="M363" i="5"/>
  <c r="N363" i="5" s="1"/>
  <c r="N26" i="5"/>
  <c r="N162" i="5"/>
  <c r="N178" i="5"/>
  <c r="N194" i="5"/>
  <c r="N210" i="5"/>
  <c r="O226" i="5"/>
  <c r="N230" i="5"/>
  <c r="N234" i="5"/>
  <c r="N242" i="5"/>
  <c r="N258" i="5"/>
  <c r="N274" i="5"/>
  <c r="N290" i="5"/>
  <c r="N306" i="5"/>
  <c r="M349" i="5"/>
  <c r="N349" i="5" s="1"/>
  <c r="O349" i="5"/>
  <c r="N358" i="5"/>
  <c r="O366" i="5"/>
  <c r="M366" i="5"/>
  <c r="N366" i="5" s="1"/>
  <c r="M413" i="5"/>
  <c r="N413" i="5" s="1"/>
  <c r="O413" i="5"/>
  <c r="N422" i="5"/>
  <c r="O430" i="5"/>
  <c r="M430" i="5"/>
  <c r="N430" i="5" s="1"/>
  <c r="O477" i="5"/>
  <c r="M477" i="5"/>
  <c r="N477" i="5" s="1"/>
  <c r="M500" i="5"/>
  <c r="N500" i="5" s="1"/>
  <c r="O500" i="5"/>
  <c r="O506" i="5"/>
  <c r="M506" i="5"/>
  <c r="N506" i="5" s="1"/>
  <c r="O514" i="5"/>
  <c r="M514" i="5"/>
  <c r="N514" i="5" s="1"/>
  <c r="O522" i="5"/>
  <c r="M522" i="5"/>
  <c r="N522" i="5" s="1"/>
  <c r="O530" i="5"/>
  <c r="M530" i="5"/>
  <c r="O538" i="5"/>
  <c r="M538" i="5"/>
  <c r="N538" i="5" s="1"/>
  <c r="O546" i="5"/>
  <c r="M546" i="5"/>
  <c r="N546" i="5" s="1"/>
  <c r="O554" i="5"/>
  <c r="M554" i="5"/>
  <c r="N554" i="5" s="1"/>
  <c r="O562" i="5"/>
  <c r="M562" i="5"/>
  <c r="N562" i="5" s="1"/>
  <c r="M320" i="5"/>
  <c r="N320" i="5" s="1"/>
  <c r="M336" i="5"/>
  <c r="N336" i="5" s="1"/>
  <c r="M352" i="5"/>
  <c r="N352" i="5" s="1"/>
  <c r="M368" i="5"/>
  <c r="N368" i="5" s="1"/>
  <c r="M384" i="5"/>
  <c r="M400" i="5"/>
  <c r="N400" i="5" s="1"/>
  <c r="M416" i="5"/>
  <c r="N416" i="5" s="1"/>
  <c r="M432" i="5"/>
  <c r="N432" i="5" s="1"/>
  <c r="O448" i="5"/>
  <c r="N450" i="5"/>
  <c r="M453" i="5"/>
  <c r="N453" i="5" s="1"/>
  <c r="O460" i="5"/>
  <c r="M462" i="5"/>
  <c r="N462" i="5" s="1"/>
  <c r="M469" i="5"/>
  <c r="N469" i="5" s="1"/>
  <c r="O476" i="5"/>
  <c r="M478" i="5"/>
  <c r="N478" i="5" s="1"/>
  <c r="M485" i="5"/>
  <c r="N485" i="5" s="1"/>
  <c r="O492" i="5"/>
  <c r="M494" i="5"/>
  <c r="N494" i="5" s="1"/>
  <c r="M501" i="5"/>
  <c r="N501" i="5" s="1"/>
  <c r="O623" i="5"/>
  <c r="O632" i="5"/>
  <c r="O643" i="5"/>
  <c r="M648" i="5"/>
  <c r="N648" i="5" s="1"/>
  <c r="O680" i="5"/>
  <c r="M680" i="5"/>
  <c r="N680" i="5" s="1"/>
  <c r="O721" i="5"/>
  <c r="M721" i="5"/>
  <c r="N721" i="5" s="1"/>
  <c r="O767" i="5"/>
  <c r="M767" i="5"/>
  <c r="N767" i="5" s="1"/>
  <c r="O776" i="5"/>
  <c r="M776" i="5"/>
  <c r="N776" i="5" s="1"/>
  <c r="N316" i="5"/>
  <c r="N332" i="5"/>
  <c r="N348" i="5"/>
  <c r="N412" i="5"/>
  <c r="N428" i="5"/>
  <c r="O445" i="5"/>
  <c r="N466" i="5"/>
  <c r="N482" i="5"/>
  <c r="N498" i="5"/>
  <c r="M630" i="5"/>
  <c r="N630" i="5" s="1"/>
  <c r="O705" i="5"/>
  <c r="M705" i="5"/>
  <c r="N705" i="5" s="1"/>
  <c r="O785" i="5"/>
  <c r="M785" i="5"/>
  <c r="N785" i="5" s="1"/>
  <c r="O689" i="5"/>
  <c r="M689" i="5"/>
  <c r="N689" i="5" s="1"/>
  <c r="O751" i="5"/>
  <c r="M751" i="5"/>
  <c r="N751" i="5" s="1"/>
  <c r="O815" i="5"/>
  <c r="M815" i="5"/>
  <c r="N815" i="5" s="1"/>
  <c r="N312" i="5"/>
  <c r="N328" i="5"/>
  <c r="N344" i="5"/>
  <c r="N360" i="5"/>
  <c r="N376" i="5"/>
  <c r="N392" i="5"/>
  <c r="N408" i="5"/>
  <c r="N424" i="5"/>
  <c r="N470" i="5"/>
  <c r="N486" i="5"/>
  <c r="N530" i="5"/>
  <c r="O673" i="5"/>
  <c r="M673" i="5"/>
  <c r="N673" i="5" s="1"/>
  <c r="O735" i="5"/>
  <c r="M735" i="5"/>
  <c r="N735" i="5" s="1"/>
  <c r="O760" i="5"/>
  <c r="M760" i="5"/>
  <c r="N760" i="5" s="1"/>
  <c r="O799" i="5"/>
  <c r="M799" i="5"/>
  <c r="N799" i="5" s="1"/>
  <c r="O808" i="5"/>
  <c r="M808" i="5"/>
  <c r="N808" i="5" s="1"/>
  <c r="N508" i="5"/>
  <c r="N512" i="5"/>
  <c r="N516" i="5"/>
  <c r="N520" i="5"/>
  <c r="N528" i="5"/>
  <c r="N532" i="5"/>
  <c r="N540" i="5"/>
  <c r="N544" i="5"/>
  <c r="N548" i="5"/>
  <c r="N552" i="5"/>
  <c r="N560" i="5"/>
  <c r="N564" i="5"/>
  <c r="M566" i="5"/>
  <c r="N566" i="5" s="1"/>
  <c r="N568" i="5"/>
  <c r="M570" i="5"/>
  <c r="N570" i="5" s="1"/>
  <c r="N572" i="5"/>
  <c r="M574" i="5"/>
  <c r="N574" i="5" s="1"/>
  <c r="N576" i="5"/>
  <c r="M578" i="5"/>
  <c r="N578" i="5" s="1"/>
  <c r="N580" i="5"/>
  <c r="M582" i="5"/>
  <c r="N582" i="5" s="1"/>
  <c r="N584" i="5"/>
  <c r="M586" i="5"/>
  <c r="N586" i="5" s="1"/>
  <c r="M590" i="5"/>
  <c r="N590" i="5" s="1"/>
  <c r="N592" i="5"/>
  <c r="M594" i="5"/>
  <c r="N594" i="5" s="1"/>
  <c r="N596" i="5"/>
  <c r="M598" i="5"/>
  <c r="N598" i="5" s="1"/>
  <c r="N600" i="5"/>
  <c r="M602" i="5"/>
  <c r="N602" i="5" s="1"/>
  <c r="N604" i="5"/>
  <c r="M606" i="5"/>
  <c r="N606" i="5" s="1"/>
  <c r="M610" i="5"/>
  <c r="N610" i="5" s="1"/>
  <c r="N612" i="5"/>
  <c r="M614" i="5"/>
  <c r="N614" i="5" s="1"/>
  <c r="N616" i="5"/>
  <c r="M618" i="5"/>
  <c r="N618" i="5" s="1"/>
  <c r="N620" i="5"/>
  <c r="M622" i="5"/>
  <c r="N622" i="5" s="1"/>
  <c r="O650" i="5"/>
  <c r="M650" i="5"/>
  <c r="N650" i="5" s="1"/>
  <c r="M657" i="5"/>
  <c r="N657" i="5" s="1"/>
  <c r="O719" i="5"/>
  <c r="M719" i="5"/>
  <c r="N719" i="5" s="1"/>
  <c r="O722" i="5"/>
  <c r="O744" i="5"/>
  <c r="M744" i="5"/>
  <c r="N744" i="5" s="1"/>
  <c r="O769" i="5"/>
  <c r="M769" i="5"/>
  <c r="N769" i="5" s="1"/>
  <c r="O631" i="5"/>
  <c r="M645" i="5"/>
  <c r="N645" i="5" s="1"/>
  <c r="O645" i="5"/>
  <c r="O703" i="5"/>
  <c r="M703" i="5"/>
  <c r="N703" i="5" s="1"/>
  <c r="O706" i="5"/>
  <c r="O728" i="5"/>
  <c r="M728" i="5"/>
  <c r="O783" i="5"/>
  <c r="M783" i="5"/>
  <c r="N783" i="5" s="1"/>
  <c r="O792" i="5"/>
  <c r="M792" i="5"/>
  <c r="N792" i="5" s="1"/>
  <c r="N448" i="5"/>
  <c r="O687" i="5"/>
  <c r="M687" i="5"/>
  <c r="N687" i="5" s="1"/>
  <c r="O712" i="5"/>
  <c r="M712" i="5"/>
  <c r="N712" i="5" s="1"/>
  <c r="O753" i="5"/>
  <c r="M753" i="5"/>
  <c r="N753" i="5" s="1"/>
  <c r="O817" i="5"/>
  <c r="M817" i="5"/>
  <c r="N817" i="5" s="1"/>
  <c r="N384" i="5"/>
  <c r="N460" i="5"/>
  <c r="N476" i="5"/>
  <c r="N492" i="5"/>
  <c r="M505" i="5"/>
  <c r="N505" i="5" s="1"/>
  <c r="O505" i="5"/>
  <c r="M509" i="5"/>
  <c r="N509" i="5" s="1"/>
  <c r="O509" i="5"/>
  <c r="M513" i="5"/>
  <c r="N513" i="5" s="1"/>
  <c r="O513" i="5"/>
  <c r="M517" i="5"/>
  <c r="N517" i="5" s="1"/>
  <c r="O517" i="5"/>
  <c r="M521" i="5"/>
  <c r="N521" i="5" s="1"/>
  <c r="O521" i="5"/>
  <c r="M525" i="5"/>
  <c r="N525" i="5" s="1"/>
  <c r="O525" i="5"/>
  <c r="M529" i="5"/>
  <c r="N529" i="5" s="1"/>
  <c r="O529" i="5"/>
  <c r="M533" i="5"/>
  <c r="N533" i="5" s="1"/>
  <c r="O533" i="5"/>
  <c r="M537" i="5"/>
  <c r="N537" i="5" s="1"/>
  <c r="O537" i="5"/>
  <c r="M541" i="5"/>
  <c r="N541" i="5" s="1"/>
  <c r="O541" i="5"/>
  <c r="M545" i="5"/>
  <c r="N545" i="5" s="1"/>
  <c r="O545" i="5"/>
  <c r="M549" i="5"/>
  <c r="N549" i="5" s="1"/>
  <c r="O549" i="5"/>
  <c r="M553" i="5"/>
  <c r="N553" i="5" s="1"/>
  <c r="O553" i="5"/>
  <c r="M557" i="5"/>
  <c r="N557" i="5" s="1"/>
  <c r="O557" i="5"/>
  <c r="M561" i="5"/>
  <c r="N561" i="5" s="1"/>
  <c r="O561" i="5"/>
  <c r="M565" i="5"/>
  <c r="N565" i="5" s="1"/>
  <c r="O565" i="5"/>
  <c r="M569" i="5"/>
  <c r="N569" i="5" s="1"/>
  <c r="O569" i="5"/>
  <c r="M573" i="5"/>
  <c r="N573" i="5" s="1"/>
  <c r="O573" i="5"/>
  <c r="M577" i="5"/>
  <c r="N577" i="5" s="1"/>
  <c r="O577" i="5"/>
  <c r="M581" i="5"/>
  <c r="N581" i="5" s="1"/>
  <c r="O581" i="5"/>
  <c r="M585" i="5"/>
  <c r="N585" i="5" s="1"/>
  <c r="O585" i="5"/>
  <c r="M589" i="5"/>
  <c r="N589" i="5" s="1"/>
  <c r="O589" i="5"/>
  <c r="M593" i="5"/>
  <c r="N593" i="5" s="1"/>
  <c r="O593" i="5"/>
  <c r="M597" i="5"/>
  <c r="N597" i="5" s="1"/>
  <c r="O597" i="5"/>
  <c r="M601" i="5"/>
  <c r="N601" i="5" s="1"/>
  <c r="O601" i="5"/>
  <c r="M605" i="5"/>
  <c r="N605" i="5" s="1"/>
  <c r="O605" i="5"/>
  <c r="M609" i="5"/>
  <c r="N609" i="5" s="1"/>
  <c r="O609" i="5"/>
  <c r="M613" i="5"/>
  <c r="N613" i="5" s="1"/>
  <c r="O613" i="5"/>
  <c r="M617" i="5"/>
  <c r="N617" i="5" s="1"/>
  <c r="O617" i="5"/>
  <c r="M621" i="5"/>
  <c r="N621" i="5" s="1"/>
  <c r="O621" i="5"/>
  <c r="M655" i="5"/>
  <c r="N655" i="5" s="1"/>
  <c r="O658" i="5"/>
  <c r="M661" i="5"/>
  <c r="N661" i="5" s="1"/>
  <c r="O661" i="5"/>
  <c r="O668" i="5"/>
  <c r="O671" i="5"/>
  <c r="M671" i="5"/>
  <c r="N671" i="5" s="1"/>
  <c r="O674" i="5"/>
  <c r="O696" i="5"/>
  <c r="M696" i="5"/>
  <c r="N696" i="5" s="1"/>
  <c r="O737" i="5"/>
  <c r="M737" i="5"/>
  <c r="N737" i="5" s="1"/>
  <c r="O801" i="5"/>
  <c r="M801" i="5"/>
  <c r="N801" i="5" s="1"/>
  <c r="O894" i="5"/>
  <c r="M894" i="5"/>
  <c r="N894" i="5" s="1"/>
  <c r="O914" i="5"/>
  <c r="M914" i="5"/>
  <c r="N914" i="5" s="1"/>
  <c r="M626" i="5"/>
  <c r="N626" i="5" s="1"/>
  <c r="M634" i="5"/>
  <c r="N634" i="5" s="1"/>
  <c r="M642" i="5"/>
  <c r="N642" i="5" s="1"/>
  <c r="M647" i="5"/>
  <c r="N647" i="5" s="1"/>
  <c r="M656" i="5"/>
  <c r="N656" i="5" s="1"/>
  <c r="N658" i="5"/>
  <c r="M663" i="5"/>
  <c r="N663" i="5" s="1"/>
  <c r="M672" i="5"/>
  <c r="N672" i="5" s="1"/>
  <c r="N674" i="5"/>
  <c r="O677" i="5"/>
  <c r="M679" i="5"/>
  <c r="N679" i="5" s="1"/>
  <c r="M688" i="5"/>
  <c r="N688" i="5" s="1"/>
  <c r="N690" i="5"/>
  <c r="O693" i="5"/>
  <c r="M695" i="5"/>
  <c r="N695" i="5" s="1"/>
  <c r="M704" i="5"/>
  <c r="N704" i="5" s="1"/>
  <c r="N706" i="5"/>
  <c r="O709" i="5"/>
  <c r="M711" i="5"/>
  <c r="N711" i="5" s="1"/>
  <c r="M720" i="5"/>
  <c r="N720" i="5" s="1"/>
  <c r="N722" i="5"/>
  <c r="O725" i="5"/>
  <c r="M727" i="5"/>
  <c r="N727" i="5" s="1"/>
  <c r="M736" i="5"/>
  <c r="N736" i="5" s="1"/>
  <c r="N738" i="5"/>
  <c r="O741" i="5"/>
  <c r="M743" i="5"/>
  <c r="N743" i="5" s="1"/>
  <c r="M752" i="5"/>
  <c r="N752" i="5" s="1"/>
  <c r="N754" i="5"/>
  <c r="O757" i="5"/>
  <c r="M759" i="5"/>
  <c r="N759" i="5" s="1"/>
  <c r="M768" i="5"/>
  <c r="N768" i="5" s="1"/>
  <c r="N770" i="5"/>
  <c r="O773" i="5"/>
  <c r="M775" i="5"/>
  <c r="N775" i="5" s="1"/>
  <c r="M784" i="5"/>
  <c r="N784" i="5" s="1"/>
  <c r="N786" i="5"/>
  <c r="O789" i="5"/>
  <c r="M791" i="5"/>
  <c r="N791" i="5" s="1"/>
  <c r="M800" i="5"/>
  <c r="N800" i="5" s="1"/>
  <c r="N802" i="5"/>
  <c r="O805" i="5"/>
  <c r="M807" i="5"/>
  <c r="N807" i="5" s="1"/>
  <c r="M816" i="5"/>
  <c r="N816" i="5" s="1"/>
  <c r="N818" i="5"/>
  <c r="N820" i="5"/>
  <c r="N824" i="5"/>
  <c r="N832" i="5"/>
  <c r="N836" i="5"/>
  <c r="N840" i="5"/>
  <c r="N844" i="5"/>
  <c r="N848" i="5"/>
  <c r="N852" i="5"/>
  <c r="N856" i="5"/>
  <c r="N860" i="5"/>
  <c r="N864" i="5"/>
  <c r="N868" i="5"/>
  <c r="N872" i="5"/>
  <c r="N876" i="5"/>
  <c r="N880" i="5"/>
  <c r="O890" i="5"/>
  <c r="M890" i="5"/>
  <c r="N890" i="5" s="1"/>
  <c r="N628" i="5"/>
  <c r="N660" i="5"/>
  <c r="N692" i="5"/>
  <c r="N708" i="5"/>
  <c r="N724" i="5"/>
  <c r="N772" i="5"/>
  <c r="N788" i="5"/>
  <c r="N804" i="5"/>
  <c r="O918" i="5"/>
  <c r="O953" i="5"/>
  <c r="M953" i="5"/>
  <c r="N953" i="5" s="1"/>
  <c r="N664" i="5"/>
  <c r="N728" i="5"/>
  <c r="O934" i="5"/>
  <c r="M934" i="5"/>
  <c r="N934" i="5" s="1"/>
  <c r="O957" i="5"/>
  <c r="M957" i="5"/>
  <c r="N957" i="5" s="1"/>
  <c r="N624" i="5"/>
  <c r="N632" i="5"/>
  <c r="N652" i="5"/>
  <c r="M666" i="5"/>
  <c r="N666" i="5" s="1"/>
  <c r="N668" i="5"/>
  <c r="M682" i="5"/>
  <c r="N682" i="5" s="1"/>
  <c r="N684" i="5"/>
  <c r="M698" i="5"/>
  <c r="N698" i="5" s="1"/>
  <c r="N700" i="5"/>
  <c r="M714" i="5"/>
  <c r="N714" i="5" s="1"/>
  <c r="M730" i="5"/>
  <c r="N730" i="5" s="1"/>
  <c r="M746" i="5"/>
  <c r="N746" i="5" s="1"/>
  <c r="N748" i="5"/>
  <c r="M762" i="5"/>
  <c r="N762" i="5" s="1"/>
  <c r="N764" i="5"/>
  <c r="M778" i="5"/>
  <c r="N778" i="5" s="1"/>
  <c r="N812" i="5"/>
  <c r="O902" i="5"/>
  <c r="M902" i="5"/>
  <c r="N902" i="5" s="1"/>
  <c r="N654" i="5"/>
  <c r="N686" i="5"/>
  <c r="N734" i="5"/>
  <c r="N798" i="5"/>
  <c r="N814" i="5"/>
  <c r="M819" i="5"/>
  <c r="N819" i="5" s="1"/>
  <c r="M823" i="5"/>
  <c r="N823" i="5" s="1"/>
  <c r="M827" i="5"/>
  <c r="N827" i="5" s="1"/>
  <c r="M831" i="5"/>
  <c r="N831" i="5" s="1"/>
  <c r="M835" i="5"/>
  <c r="N835" i="5" s="1"/>
  <c r="M839" i="5"/>
  <c r="N839" i="5" s="1"/>
  <c r="M843" i="5"/>
  <c r="N843" i="5" s="1"/>
  <c r="M847" i="5"/>
  <c r="N847" i="5" s="1"/>
  <c r="M851" i="5"/>
  <c r="N851" i="5" s="1"/>
  <c r="M855" i="5"/>
  <c r="N855" i="5" s="1"/>
  <c r="M859" i="5"/>
  <c r="N859" i="5" s="1"/>
  <c r="M863" i="5"/>
  <c r="N863" i="5" s="1"/>
  <c r="O898" i="5"/>
  <c r="M898" i="5"/>
  <c r="N898" i="5" s="1"/>
  <c r="O927" i="5"/>
  <c r="M927" i="5"/>
  <c r="N927" i="5" s="1"/>
  <c r="M963" i="5"/>
  <c r="N963" i="5" s="1"/>
  <c r="O963" i="5"/>
  <c r="N929" i="5"/>
  <c r="O971" i="5"/>
  <c r="O979" i="5"/>
  <c r="O987" i="5"/>
  <c r="O995" i="5"/>
  <c r="O1003" i="5"/>
  <c r="O1011" i="5"/>
  <c r="M1093" i="5"/>
  <c r="N1093" i="5" s="1"/>
  <c r="O1093" i="5"/>
  <c r="M905" i="5"/>
  <c r="N905" i="5" s="1"/>
  <c r="M939" i="5"/>
  <c r="N939" i="5" s="1"/>
  <c r="O1063" i="5"/>
  <c r="M1063" i="5"/>
  <c r="N1063" i="5" s="1"/>
  <c r="M1080" i="5"/>
  <c r="N1080" i="5" s="1"/>
  <c r="O1080" i="5"/>
  <c r="M1109" i="5"/>
  <c r="N1109" i="5" s="1"/>
  <c r="O1109" i="5"/>
  <c r="M1122" i="5"/>
  <c r="N1122" i="5" s="1"/>
  <c r="O1122" i="5"/>
  <c r="N1049" i="5"/>
  <c r="M1057" i="5"/>
  <c r="N1057" i="5" s="1"/>
  <c r="O1057" i="5"/>
  <c r="M1074" i="5"/>
  <c r="N1074" i="5" s="1"/>
  <c r="O1074" i="5"/>
  <c r="O1033" i="5"/>
  <c r="M1033" i="5"/>
  <c r="N1033" i="5" s="1"/>
  <c r="O1060" i="5"/>
  <c r="M1060" i="5"/>
  <c r="N1060" i="5" s="1"/>
  <c r="O1064" i="5"/>
  <c r="M1064" i="5"/>
  <c r="N1064" i="5" s="1"/>
  <c r="M1077" i="5"/>
  <c r="N1077" i="5" s="1"/>
  <c r="O1077" i="5"/>
  <c r="M921" i="5"/>
  <c r="N921" i="5" s="1"/>
  <c r="M945" i="5"/>
  <c r="N945" i="5" s="1"/>
  <c r="O1023" i="5"/>
  <c r="M1023" i="5"/>
  <c r="N1023" i="5" s="1"/>
  <c r="O1029" i="5"/>
  <c r="M1029" i="5"/>
  <c r="N1029" i="5" s="1"/>
  <c r="O904" i="5"/>
  <c r="N923" i="5"/>
  <c r="O956" i="5"/>
  <c r="M962" i="5"/>
  <c r="N962" i="5" s="1"/>
  <c r="M970" i="5"/>
  <c r="N970" i="5" s="1"/>
  <c r="M978" i="5"/>
  <c r="N978" i="5" s="1"/>
  <c r="M986" i="5"/>
  <c r="N986" i="5" s="1"/>
  <c r="M994" i="5"/>
  <c r="N994" i="5" s="1"/>
  <c r="M1002" i="5"/>
  <c r="N1002" i="5" s="1"/>
  <c r="M1010" i="5"/>
  <c r="N1010" i="5" s="1"/>
  <c r="O1019" i="5"/>
  <c r="M1019" i="5"/>
  <c r="N1019" i="5" s="1"/>
  <c r="N1027" i="5"/>
  <c r="O1034" i="5"/>
  <c r="M1034" i="5"/>
  <c r="N1034" i="5" s="1"/>
  <c r="O1061" i="5"/>
  <c r="M1061" i="5"/>
  <c r="N1061" i="5" s="1"/>
  <c r="O1067" i="5"/>
  <c r="M1067" i="5"/>
  <c r="N1067" i="5" s="1"/>
  <c r="O1078" i="5"/>
  <c r="M1078" i="5"/>
  <c r="N1078" i="5" s="1"/>
  <c r="M1098" i="5"/>
  <c r="N1098" i="5" s="1"/>
  <c r="O1098" i="5"/>
  <c r="M1114" i="5"/>
  <c r="N1114" i="5" s="1"/>
  <c r="O1114" i="5"/>
  <c r="O1015" i="5"/>
  <c r="M1015" i="5"/>
  <c r="N1015" i="5" s="1"/>
  <c r="O949" i="5"/>
  <c r="O959" i="5"/>
  <c r="M959" i="5"/>
  <c r="N959" i="5" s="1"/>
  <c r="O967" i="5"/>
  <c r="M967" i="5"/>
  <c r="N967" i="5" s="1"/>
  <c r="N971" i="5"/>
  <c r="O975" i="5"/>
  <c r="M975" i="5"/>
  <c r="N975" i="5" s="1"/>
  <c r="N979" i="5"/>
  <c r="O983" i="5"/>
  <c r="M983" i="5"/>
  <c r="N983" i="5" s="1"/>
  <c r="N987" i="5"/>
  <c r="O991" i="5"/>
  <c r="M991" i="5"/>
  <c r="N991" i="5" s="1"/>
  <c r="N995" i="5"/>
  <c r="O999" i="5"/>
  <c r="M999" i="5"/>
  <c r="N999" i="5" s="1"/>
  <c r="N1003" i="5"/>
  <c r="O1007" i="5"/>
  <c r="M1007" i="5"/>
  <c r="N1007" i="5" s="1"/>
  <c r="N1011" i="5"/>
  <c r="O1030" i="5"/>
  <c r="M1030" i="5"/>
  <c r="N1030" i="5" s="1"/>
  <c r="O1062" i="5"/>
  <c r="M1062" i="5"/>
  <c r="N1062" i="5" s="1"/>
  <c r="M1099" i="5"/>
  <c r="N1099" i="5" s="1"/>
  <c r="O1099" i="5"/>
  <c r="N935" i="5"/>
  <c r="N951" i="5"/>
  <c r="O1047" i="5"/>
  <c r="M1047" i="5"/>
  <c r="N1047" i="5" s="1"/>
  <c r="N1103" i="5"/>
  <c r="M1112" i="5"/>
  <c r="N1112" i="5" s="1"/>
  <c r="O1112" i="5"/>
  <c r="M1083" i="5"/>
  <c r="N1083" i="5" s="1"/>
  <c r="O1083" i="5"/>
  <c r="M1115" i="5"/>
  <c r="N1115" i="5" s="1"/>
  <c r="O1115" i="5"/>
  <c r="N1151" i="5"/>
  <c r="O1157" i="5"/>
  <c r="M1160" i="5"/>
  <c r="N1160" i="5" s="1"/>
  <c r="O1160" i="5"/>
  <c r="O1162" i="5"/>
  <c r="M1173" i="5"/>
  <c r="N1173" i="5" s="1"/>
  <c r="O1173" i="5"/>
  <c r="O1179" i="5"/>
  <c r="M1179" i="5"/>
  <c r="N1179" i="5" s="1"/>
  <c r="M1163" i="5"/>
  <c r="N1163" i="5" s="1"/>
  <c r="O1163" i="5"/>
  <c r="M1128" i="5"/>
  <c r="N1128" i="5" s="1"/>
  <c r="O1128" i="5"/>
  <c r="O1174" i="5"/>
  <c r="M1174" i="5"/>
  <c r="N1174" i="5" s="1"/>
  <c r="N943" i="5"/>
  <c r="O1025" i="5"/>
  <c r="M1025" i="5"/>
  <c r="N1025" i="5" s="1"/>
  <c r="O1044" i="5"/>
  <c r="M1044" i="5"/>
  <c r="N1044" i="5" s="1"/>
  <c r="O1058" i="5"/>
  <c r="N1106" i="5"/>
  <c r="M1131" i="5"/>
  <c r="N1131" i="5" s="1"/>
  <c r="O1131" i="5"/>
  <c r="N1167" i="5"/>
  <c r="N1191" i="5"/>
  <c r="O1037" i="5"/>
  <c r="M1037" i="5"/>
  <c r="N1037" i="5" s="1"/>
  <c r="N1055" i="5"/>
  <c r="N1073" i="5"/>
  <c r="M1096" i="5"/>
  <c r="N1096" i="5" s="1"/>
  <c r="O1096" i="5"/>
  <c r="O1106" i="5"/>
  <c r="N1154" i="5"/>
  <c r="N1161" i="5"/>
  <c r="M1177" i="5"/>
  <c r="N1177" i="5" s="1"/>
  <c r="O1177" i="5"/>
  <c r="M1144" i="5"/>
  <c r="N1144" i="5" s="1"/>
  <c r="O1144" i="5"/>
  <c r="M1147" i="5"/>
  <c r="N1147" i="5" s="1"/>
  <c r="O1147" i="5"/>
  <c r="O1170" i="5"/>
  <c r="M1170" i="5"/>
  <c r="N1170" i="5" s="1"/>
  <c r="M1076" i="5"/>
  <c r="N1076" i="5" s="1"/>
  <c r="M1079" i="5"/>
  <c r="N1079" i="5" s="1"/>
  <c r="M1092" i="5"/>
  <c r="N1092" i="5" s="1"/>
  <c r="M1095" i="5"/>
  <c r="N1095" i="5" s="1"/>
  <c r="M1105" i="5"/>
  <c r="N1105" i="5" s="1"/>
  <c r="M1108" i="5"/>
  <c r="N1108" i="5" s="1"/>
  <c r="M1111" i="5"/>
  <c r="N1111" i="5" s="1"/>
  <c r="M1121" i="5"/>
  <c r="N1121" i="5" s="1"/>
  <c r="M1124" i="5"/>
  <c r="N1124" i="5" s="1"/>
  <c r="M1127" i="5"/>
  <c r="N1127" i="5" s="1"/>
  <c r="M1137" i="5"/>
  <c r="N1137" i="5" s="1"/>
  <c r="M1140" i="5"/>
  <c r="N1140" i="5" s="1"/>
  <c r="M1143" i="5"/>
  <c r="N1143" i="5" s="1"/>
  <c r="M1153" i="5"/>
  <c r="N1153" i="5" s="1"/>
  <c r="M1156" i="5"/>
  <c r="N1156" i="5" s="1"/>
  <c r="M1159" i="5"/>
  <c r="N1159" i="5" s="1"/>
  <c r="M1169" i="5"/>
  <c r="N1169" i="5" s="1"/>
  <c r="N1185" i="5"/>
  <c r="N1193" i="5"/>
  <c r="N1201" i="5"/>
  <c r="N1209" i="5"/>
  <c r="N1217" i="5"/>
  <c r="N1225" i="5"/>
  <c r="O1245" i="5"/>
  <c r="M1245" i="5"/>
  <c r="N1245" i="5" s="1"/>
  <c r="O1318" i="5"/>
  <c r="M1318" i="5"/>
  <c r="N1318" i="5" s="1"/>
  <c r="O1354" i="5"/>
  <c r="M1354" i="5"/>
  <c r="N1354" i="5" s="1"/>
  <c r="N1165" i="5"/>
  <c r="M1182" i="5"/>
  <c r="N1182" i="5" s="1"/>
  <c r="O1185" i="5"/>
  <c r="M1187" i="5"/>
  <c r="N1187" i="5" s="1"/>
  <c r="M1190" i="5"/>
  <c r="N1190" i="5" s="1"/>
  <c r="O1193" i="5"/>
  <c r="M1195" i="5"/>
  <c r="N1195" i="5" s="1"/>
  <c r="M1198" i="5"/>
  <c r="N1198" i="5" s="1"/>
  <c r="O1201" i="5"/>
  <c r="M1203" i="5"/>
  <c r="N1203" i="5" s="1"/>
  <c r="M1206" i="5"/>
  <c r="N1206" i="5" s="1"/>
  <c r="O1209" i="5"/>
  <c r="M1211" i="5"/>
  <c r="N1211" i="5" s="1"/>
  <c r="M1214" i="5"/>
  <c r="N1214" i="5" s="1"/>
  <c r="O1217" i="5"/>
  <c r="M1219" i="5"/>
  <c r="N1219" i="5" s="1"/>
  <c r="M1222" i="5"/>
  <c r="N1222" i="5" s="1"/>
  <c r="O1225" i="5"/>
  <c r="M1227" i="5"/>
  <c r="N1227" i="5" s="1"/>
  <c r="M1230" i="5"/>
  <c r="N1230" i="5" s="1"/>
  <c r="O1252" i="5"/>
  <c r="O1268" i="5"/>
  <c r="M1273" i="5"/>
  <c r="N1273" i="5" s="1"/>
  <c r="M1279" i="5"/>
  <c r="N1279" i="5" s="1"/>
  <c r="M1295" i="5"/>
  <c r="N1295" i="5" s="1"/>
  <c r="O1313" i="5"/>
  <c r="M1313" i="5"/>
  <c r="N1313" i="5" s="1"/>
  <c r="O1365" i="5"/>
  <c r="M1365" i="5"/>
  <c r="N1365" i="5" s="1"/>
  <c r="O1237" i="5"/>
  <c r="M1237" i="5"/>
  <c r="N1237" i="5" s="1"/>
  <c r="O1291" i="5"/>
  <c r="M1291" i="5"/>
  <c r="N1291" i="5" s="1"/>
  <c r="O1307" i="5"/>
  <c r="M1307" i="5"/>
  <c r="N1307" i="5" s="1"/>
  <c r="O1386" i="5"/>
  <c r="M1386" i="5"/>
  <c r="N1386" i="5" s="1"/>
  <c r="O1249" i="5"/>
  <c r="M1249" i="5"/>
  <c r="N1249" i="5" s="1"/>
  <c r="N1253" i="5"/>
  <c r="N1259" i="5"/>
  <c r="O1265" i="5"/>
  <c r="M1265" i="5"/>
  <c r="N1265" i="5" s="1"/>
  <c r="N1267" i="5"/>
  <c r="N1269" i="5"/>
  <c r="N1125" i="5"/>
  <c r="N1141" i="5"/>
  <c r="N1157" i="5"/>
  <c r="M1178" i="5"/>
  <c r="N1178" i="5" s="1"/>
  <c r="O1181" i="5"/>
  <c r="M1186" i="5"/>
  <c r="N1186" i="5" s="1"/>
  <c r="O1189" i="5"/>
  <c r="M1194" i="5"/>
  <c r="N1194" i="5" s="1"/>
  <c r="O1197" i="5"/>
  <c r="M1202" i="5"/>
  <c r="N1202" i="5" s="1"/>
  <c r="O1205" i="5"/>
  <c r="M1207" i="5"/>
  <c r="N1207" i="5" s="1"/>
  <c r="M1210" i="5"/>
  <c r="N1210" i="5" s="1"/>
  <c r="O1213" i="5"/>
  <c r="M1215" i="5"/>
  <c r="N1215" i="5" s="1"/>
  <c r="M1218" i="5"/>
  <c r="N1218" i="5" s="1"/>
  <c r="O1221" i="5"/>
  <c r="M1223" i="5"/>
  <c r="N1223" i="5" s="1"/>
  <c r="M1226" i="5"/>
  <c r="N1226" i="5" s="1"/>
  <c r="O1229" i="5"/>
  <c r="M1231" i="5"/>
  <c r="N1231" i="5" s="1"/>
  <c r="O1241" i="5"/>
  <c r="M1241" i="5"/>
  <c r="N1241" i="5" s="1"/>
  <c r="M1246" i="5"/>
  <c r="N1246" i="5" s="1"/>
  <c r="O1278" i="5"/>
  <c r="M1278" i="5"/>
  <c r="N1278" i="5" s="1"/>
  <c r="O1294" i="5"/>
  <c r="M1294" i="5"/>
  <c r="N1294" i="5" s="1"/>
  <c r="O1310" i="5"/>
  <c r="M1310" i="5"/>
  <c r="N1310" i="5" s="1"/>
  <c r="N1335" i="5"/>
  <c r="M1272" i="5"/>
  <c r="N1272" i="5" s="1"/>
  <c r="M1276" i="5"/>
  <c r="N1276" i="5" s="1"/>
  <c r="O1285" i="5"/>
  <c r="M1285" i="5"/>
  <c r="N1285" i="5" s="1"/>
  <c r="M1292" i="5"/>
  <c r="N1292" i="5" s="1"/>
  <c r="O1301" i="5"/>
  <c r="M1301" i="5"/>
  <c r="N1301" i="5" s="1"/>
  <c r="O1315" i="5"/>
  <c r="M1315" i="5"/>
  <c r="N1315" i="5" s="1"/>
  <c r="O1322" i="5"/>
  <c r="M1322" i="5"/>
  <c r="N1322" i="5" s="1"/>
  <c r="O1233" i="5"/>
  <c r="M1233" i="5"/>
  <c r="N1233" i="5" s="1"/>
  <c r="O1262" i="5"/>
  <c r="M1262" i="5"/>
  <c r="N1262" i="5" s="1"/>
  <c r="O1288" i="5"/>
  <c r="M1288" i="5"/>
  <c r="N1288" i="5" s="1"/>
  <c r="O1304" i="5"/>
  <c r="M1304" i="5"/>
  <c r="N1304" i="5" s="1"/>
  <c r="O1333" i="5"/>
  <c r="M1333" i="5"/>
  <c r="N1333" i="5" s="1"/>
  <c r="O1337" i="5"/>
  <c r="M1337" i="5"/>
  <c r="N1337" i="5" s="1"/>
  <c r="M1350" i="5"/>
  <c r="N1350" i="5" s="1"/>
  <c r="O1369" i="5"/>
  <c r="M1369" i="5"/>
  <c r="N1369" i="5" s="1"/>
  <c r="M1382" i="5"/>
  <c r="N1382" i="5" s="1"/>
  <c r="M1412" i="5"/>
  <c r="N1412" i="5" s="1"/>
  <c r="O1412" i="5"/>
  <c r="M1419" i="5"/>
  <c r="N1419" i="5" s="1"/>
  <c r="M1447" i="5"/>
  <c r="N1447" i="5" s="1"/>
  <c r="O1447" i="5"/>
  <c r="O1464" i="5"/>
  <c r="M1464" i="5"/>
  <c r="N1464" i="5" s="1"/>
  <c r="O1467" i="5"/>
  <c r="M1467" i="5"/>
  <c r="N1467" i="5" s="1"/>
  <c r="N1486" i="5"/>
  <c r="O1341" i="5"/>
  <c r="M1341" i="5"/>
  <c r="N1341" i="5" s="1"/>
  <c r="O1373" i="5"/>
  <c r="M1373" i="5"/>
  <c r="N1373" i="5" s="1"/>
  <c r="N1422" i="5"/>
  <c r="M1425" i="5"/>
  <c r="O1425" i="5"/>
  <c r="M1432" i="5"/>
  <c r="N1432" i="5" s="1"/>
  <c r="O1509" i="5"/>
  <c r="M1509" i="5"/>
  <c r="N1509" i="5" s="1"/>
  <c r="N1511" i="5"/>
  <c r="M1281" i="5"/>
  <c r="N1281" i="5" s="1"/>
  <c r="M1297" i="5"/>
  <c r="N1297" i="5" s="1"/>
  <c r="M1326" i="5"/>
  <c r="N1326" i="5" s="1"/>
  <c r="O1345" i="5"/>
  <c r="M1345" i="5"/>
  <c r="N1345" i="5" s="1"/>
  <c r="M1358" i="5"/>
  <c r="N1358" i="5" s="1"/>
  <c r="O1377" i="5"/>
  <c r="M1377" i="5"/>
  <c r="N1377" i="5" s="1"/>
  <c r="M1390" i="5"/>
  <c r="N1390" i="5" s="1"/>
  <c r="N1394" i="5"/>
  <c r="M1398" i="5"/>
  <c r="N1398" i="5" s="1"/>
  <c r="O1398" i="5"/>
  <c r="M1402" i="5"/>
  <c r="N1402" i="5" s="1"/>
  <c r="O1402" i="5"/>
  <c r="M1406" i="5"/>
  <c r="N1406" i="5" s="1"/>
  <c r="O1406" i="5"/>
  <c r="M1415" i="5"/>
  <c r="N1415" i="5" s="1"/>
  <c r="O1415" i="5"/>
  <c r="M1445" i="5"/>
  <c r="N1445" i="5" s="1"/>
  <c r="O1448" i="5"/>
  <c r="M1448" i="5"/>
  <c r="N1448" i="5" s="1"/>
  <c r="O1451" i="5"/>
  <c r="M1451" i="5"/>
  <c r="N1451" i="5" s="1"/>
  <c r="O1512" i="5"/>
  <c r="M1512" i="5"/>
  <c r="N1512" i="5" s="1"/>
  <c r="N1261" i="5"/>
  <c r="N1277" i="5"/>
  <c r="N1309" i="5"/>
  <c r="N1334" i="5"/>
  <c r="O1349" i="5"/>
  <c r="M1349" i="5"/>
  <c r="N1349" i="5" s="1"/>
  <c r="N1366" i="5"/>
  <c r="O1381" i="5"/>
  <c r="M1381" i="5"/>
  <c r="N1381" i="5" s="1"/>
  <c r="M1428" i="5"/>
  <c r="N1428" i="5" s="1"/>
  <c r="O1428" i="5"/>
  <c r="O1493" i="5"/>
  <c r="M1493" i="5"/>
  <c r="N1493" i="5" s="1"/>
  <c r="O1321" i="5"/>
  <c r="M1321" i="5"/>
  <c r="N1321" i="5" s="1"/>
  <c r="O1353" i="5"/>
  <c r="M1353" i="5"/>
  <c r="N1353" i="5" s="1"/>
  <c r="O1385" i="5"/>
  <c r="M1385" i="5"/>
  <c r="N1385" i="5" s="1"/>
  <c r="M1441" i="5"/>
  <c r="N1441" i="5" s="1"/>
  <c r="O1441" i="5"/>
  <c r="O1496" i="5"/>
  <c r="M1496" i="5"/>
  <c r="N1496" i="5" s="1"/>
  <c r="O1499" i="5"/>
  <c r="M1499" i="5"/>
  <c r="N1499" i="5" s="1"/>
  <c r="N1257" i="5"/>
  <c r="N1305" i="5"/>
  <c r="N1314" i="5"/>
  <c r="O1325" i="5"/>
  <c r="M1325" i="5"/>
  <c r="N1325" i="5" s="1"/>
  <c r="M1338" i="5"/>
  <c r="N1338" i="5" s="1"/>
  <c r="N1342" i="5"/>
  <c r="O1357" i="5"/>
  <c r="M1357" i="5"/>
  <c r="N1357" i="5" s="1"/>
  <c r="M1370" i="5"/>
  <c r="N1370" i="5" s="1"/>
  <c r="O1389" i="5"/>
  <c r="M1389" i="5"/>
  <c r="N1389" i="5" s="1"/>
  <c r="M1409" i="5"/>
  <c r="N1409" i="5" s="1"/>
  <c r="O1409" i="5"/>
  <c r="M1431" i="5"/>
  <c r="N1431" i="5" s="1"/>
  <c r="O1431" i="5"/>
  <c r="O1477" i="5"/>
  <c r="M1477" i="5"/>
  <c r="N1477" i="5" s="1"/>
  <c r="N1479" i="5"/>
  <c r="O1329" i="5"/>
  <c r="M1329" i="5"/>
  <c r="N1329" i="5" s="1"/>
  <c r="O1361" i="5"/>
  <c r="M1361" i="5"/>
  <c r="N1361" i="5" s="1"/>
  <c r="O1393" i="5"/>
  <c r="M1393" i="5"/>
  <c r="N1393" i="5" s="1"/>
  <c r="M1444" i="5"/>
  <c r="N1444" i="5" s="1"/>
  <c r="O1444" i="5"/>
  <c r="O1480" i="5"/>
  <c r="M1480" i="5"/>
  <c r="N1480" i="5" s="1"/>
  <c r="O1483" i="5"/>
  <c r="M1483" i="5"/>
  <c r="N1483" i="5" s="1"/>
  <c r="O1461" i="5"/>
  <c r="M1461" i="5"/>
  <c r="N1461" i="5" s="1"/>
  <c r="M1397" i="5"/>
  <c r="N1397" i="5" s="1"/>
  <c r="M1401" i="5"/>
  <c r="N1401" i="5" s="1"/>
  <c r="M1405" i="5"/>
  <c r="N1405" i="5" s="1"/>
  <c r="M1418" i="5"/>
  <c r="N1418" i="5" s="1"/>
  <c r="O1422" i="5"/>
  <c r="M1434" i="5"/>
  <c r="N1434" i="5" s="1"/>
  <c r="O1438" i="5"/>
  <c r="M1450" i="5"/>
  <c r="N1450" i="5" s="1"/>
  <c r="O1454" i="5"/>
  <c r="O1457" i="5"/>
  <c r="M1466" i="5"/>
  <c r="N1466" i="5" s="1"/>
  <c r="O1470" i="5"/>
  <c r="O1473" i="5"/>
  <c r="M1482" i="5"/>
  <c r="N1482" i="5" s="1"/>
  <c r="O1486" i="5"/>
  <c r="O1489" i="5"/>
  <c r="M1498" i="5"/>
  <c r="N1498" i="5" s="1"/>
  <c r="O1502" i="5"/>
  <c r="O1505" i="5"/>
  <c r="M1527" i="5"/>
  <c r="N1527" i="5" s="1"/>
  <c r="M1535" i="5"/>
  <c r="N1535" i="5" s="1"/>
  <c r="M1543" i="5"/>
  <c r="N1543" i="5" s="1"/>
  <c r="M1551" i="5"/>
  <c r="N1551" i="5" s="1"/>
  <c r="M1559" i="5"/>
  <c r="N1559" i="5" s="1"/>
  <c r="M1567" i="5"/>
  <c r="N1567" i="5" s="1"/>
  <c r="M1575" i="5"/>
  <c r="N1575" i="5" s="1"/>
  <c r="M1583" i="5"/>
  <c r="N1583" i="5" s="1"/>
  <c r="M1591" i="5"/>
  <c r="N1603" i="5"/>
  <c r="O1662" i="5"/>
  <c r="M1662" i="5"/>
  <c r="N1662" i="5" s="1"/>
  <c r="M1421" i="5"/>
  <c r="N1421" i="5" s="1"/>
  <c r="M1437" i="5"/>
  <c r="N1437" i="5" s="1"/>
  <c r="M1453" i="5"/>
  <c r="N1453" i="5" s="1"/>
  <c r="O1460" i="5"/>
  <c r="O1463" i="5"/>
  <c r="M1469" i="5"/>
  <c r="N1469" i="5" s="1"/>
  <c r="O1476" i="5"/>
  <c r="O1479" i="5"/>
  <c r="M1485" i="5"/>
  <c r="N1485" i="5" s="1"/>
  <c r="O1492" i="5"/>
  <c r="O1495" i="5"/>
  <c r="M1501" i="5"/>
  <c r="N1501" i="5" s="1"/>
  <c r="O1508" i="5"/>
  <c r="O1511" i="5"/>
  <c r="O1514" i="5"/>
  <c r="O1522" i="5"/>
  <c r="O1530" i="5"/>
  <c r="O1538" i="5"/>
  <c r="O1546" i="5"/>
  <c r="O1554" i="5"/>
  <c r="N1569" i="5"/>
  <c r="N1577" i="5"/>
  <c r="N1585" i="5"/>
  <c r="M1596" i="5"/>
  <c r="N1596" i="5" s="1"/>
  <c r="O1603" i="5"/>
  <c r="O1609" i="5"/>
  <c r="M1609" i="5"/>
  <c r="N1609" i="5" s="1"/>
  <c r="N1626" i="5"/>
  <c r="N1417" i="5"/>
  <c r="N1449" i="5"/>
  <c r="N1481" i="5"/>
  <c r="O1618" i="5"/>
  <c r="M1618" i="5"/>
  <c r="N1618" i="5" s="1"/>
  <c r="N1571" i="5"/>
  <c r="N1579" i="5"/>
  <c r="N1595" i="5"/>
  <c r="O1612" i="5"/>
  <c r="M1612" i="5"/>
  <c r="N1612" i="5" s="1"/>
  <c r="O1634" i="5"/>
  <c r="M1634" i="5"/>
  <c r="N1634" i="5" s="1"/>
  <c r="N1517" i="5"/>
  <c r="M1520" i="5"/>
  <c r="N1520" i="5" s="1"/>
  <c r="N1525" i="5"/>
  <c r="M1528" i="5"/>
  <c r="N1528" i="5" s="1"/>
  <c r="M1536" i="5"/>
  <c r="N1536" i="5" s="1"/>
  <c r="M1544" i="5"/>
  <c r="N1544" i="5" s="1"/>
  <c r="M1552" i="5"/>
  <c r="N1552" i="5" s="1"/>
  <c r="M1560" i="5"/>
  <c r="N1560" i="5" s="1"/>
  <c r="M1568" i="5"/>
  <c r="N1568" i="5" s="1"/>
  <c r="M1576" i="5"/>
  <c r="N1576" i="5" s="1"/>
  <c r="M1584" i="5"/>
  <c r="N1584" i="5" s="1"/>
  <c r="M1592" i="5"/>
  <c r="N1592" i="5" s="1"/>
  <c r="M1597" i="5"/>
  <c r="N1597" i="5" s="1"/>
  <c r="M1604" i="5"/>
  <c r="N1604" i="5" s="1"/>
  <c r="O1623" i="5"/>
  <c r="M1623" i="5"/>
  <c r="N1623" i="5" s="1"/>
  <c r="O1646" i="5"/>
  <c r="M1646" i="5"/>
  <c r="N1425" i="5"/>
  <c r="N1457" i="5"/>
  <c r="N1473" i="5"/>
  <c r="N1489" i="5"/>
  <c r="N1505" i="5"/>
  <c r="M1533" i="5"/>
  <c r="N1533" i="5" s="1"/>
  <c r="M1541" i="5"/>
  <c r="N1541" i="5" s="1"/>
  <c r="M1549" i="5"/>
  <c r="N1549" i="5" s="1"/>
  <c r="M1557" i="5"/>
  <c r="N1557" i="5" s="1"/>
  <c r="M1565" i="5"/>
  <c r="N1565" i="5" s="1"/>
  <c r="M1573" i="5"/>
  <c r="N1573" i="5" s="1"/>
  <c r="M1581" i="5"/>
  <c r="N1581" i="5" s="1"/>
  <c r="M1589" i="5"/>
  <c r="N1589" i="5" s="1"/>
  <c r="O1639" i="5"/>
  <c r="M1639" i="5"/>
  <c r="N1639" i="5" s="1"/>
  <c r="N1591" i="5"/>
  <c r="O1610" i="5"/>
  <c r="O1615" i="5"/>
  <c r="M1615" i="5"/>
  <c r="N1615" i="5" s="1"/>
  <c r="M1728" i="5"/>
  <c r="N1728" i="5" s="1"/>
  <c r="O1728" i="5"/>
  <c r="O1751" i="5"/>
  <c r="O1770" i="5"/>
  <c r="M1770" i="5"/>
  <c r="N1770" i="5" s="1"/>
  <c r="M1628" i="5"/>
  <c r="N1628" i="5" s="1"/>
  <c r="M1633" i="5"/>
  <c r="N1633" i="5" s="1"/>
  <c r="M1638" i="5"/>
  <c r="N1638" i="5" s="1"/>
  <c r="M1645" i="5"/>
  <c r="N1645" i="5" s="1"/>
  <c r="O1650" i="5"/>
  <c r="M1652" i="5"/>
  <c r="N1652" i="5" s="1"/>
  <c r="M1661" i="5"/>
  <c r="N1661" i="5" s="1"/>
  <c r="O1674" i="5"/>
  <c r="M1676" i="5"/>
  <c r="N1676" i="5" s="1"/>
  <c r="O1735" i="5"/>
  <c r="O1758" i="5"/>
  <c r="O1778" i="5"/>
  <c r="M1778" i="5"/>
  <c r="N1778" i="5" s="1"/>
  <c r="M1654" i="5"/>
  <c r="N1654" i="5" s="1"/>
  <c r="M1663" i="5"/>
  <c r="N1663" i="5" s="1"/>
  <c r="M1678" i="5"/>
  <c r="N1678" i="5" s="1"/>
  <c r="N1682" i="5"/>
  <c r="N1698" i="5"/>
  <c r="O1742" i="5"/>
  <c r="O1716" i="5"/>
  <c r="M1716" i="5"/>
  <c r="N1716" i="5" s="1"/>
  <c r="O1779" i="5"/>
  <c r="M1779" i="5"/>
  <c r="N1779" i="5" s="1"/>
  <c r="O1787" i="5"/>
  <c r="M1787" i="5"/>
  <c r="N1787" i="5" s="1"/>
  <c r="M1617" i="5"/>
  <c r="N1617" i="5" s="1"/>
  <c r="M1622" i="5"/>
  <c r="N1622" i="5" s="1"/>
  <c r="M1644" i="5"/>
  <c r="N1644" i="5" s="1"/>
  <c r="M1653" i="5"/>
  <c r="N1653" i="5" s="1"/>
  <c r="O1658" i="5"/>
  <c r="M1660" i="5"/>
  <c r="N1660" i="5" s="1"/>
  <c r="M1677" i="5"/>
  <c r="N1677" i="5" s="1"/>
  <c r="O1729" i="5"/>
  <c r="O1774" i="5"/>
  <c r="M1774" i="5"/>
  <c r="N1774" i="5" s="1"/>
  <c r="O1782" i="5"/>
  <c r="M1782" i="5"/>
  <c r="N1613" i="5"/>
  <c r="N1619" i="5"/>
  <c r="N1666" i="5"/>
  <c r="M1679" i="5"/>
  <c r="N1679" i="5" s="1"/>
  <c r="N1714" i="5"/>
  <c r="M1757" i="5"/>
  <c r="N1757" i="5" s="1"/>
  <c r="M1760" i="5"/>
  <c r="N1760" i="5" s="1"/>
  <c r="O1760" i="5"/>
  <c r="N1631" i="5"/>
  <c r="O1700" i="5"/>
  <c r="M1700" i="5"/>
  <c r="N1700" i="5" s="1"/>
  <c r="M1744" i="5"/>
  <c r="N1744" i="5" s="1"/>
  <c r="O1744" i="5"/>
  <c r="O1775" i="5"/>
  <c r="M1775" i="5"/>
  <c r="N1775" i="5" s="1"/>
  <c r="O1783" i="5"/>
  <c r="M1783" i="5"/>
  <c r="N1783" i="5" s="1"/>
  <c r="N1630" i="5"/>
  <c r="N1646" i="5"/>
  <c r="N1686" i="5"/>
  <c r="M1732" i="5"/>
  <c r="N1732" i="5" s="1"/>
  <c r="M1748" i="5"/>
  <c r="N1748" i="5" s="1"/>
  <c r="M1764" i="5"/>
  <c r="N1764" i="5" s="1"/>
  <c r="M1823" i="5"/>
  <c r="N1823" i="5" s="1"/>
  <c r="O1825" i="5"/>
  <c r="M1830" i="5"/>
  <c r="N1830" i="5" s="1"/>
  <c r="M1842" i="5"/>
  <c r="N1842" i="5" s="1"/>
  <c r="O1849" i="5"/>
  <c r="M1849" i="5"/>
  <c r="N1849" i="5" s="1"/>
  <c r="O1865" i="5"/>
  <c r="M1865" i="5"/>
  <c r="N1865" i="5" s="1"/>
  <c r="N1819" i="5"/>
  <c r="O1833" i="5"/>
  <c r="M1833" i="5"/>
  <c r="N1833" i="5" s="1"/>
  <c r="N1854" i="5"/>
  <c r="O1868" i="5"/>
  <c r="M1868" i="5"/>
  <c r="N1868" i="5" s="1"/>
  <c r="N1782" i="5"/>
  <c r="N1810" i="5"/>
  <c r="N1831" i="5"/>
  <c r="O1845" i="5"/>
  <c r="M1845" i="5"/>
  <c r="N1845" i="5" s="1"/>
  <c r="O1861" i="5"/>
  <c r="M1861" i="5"/>
  <c r="N1861" i="5" s="1"/>
  <c r="N1738" i="5"/>
  <c r="N1754" i="5"/>
  <c r="M1786" i="5"/>
  <c r="N1786" i="5" s="1"/>
  <c r="M1790" i="5"/>
  <c r="N1790" i="5" s="1"/>
  <c r="M1794" i="5"/>
  <c r="N1794" i="5" s="1"/>
  <c r="M1798" i="5"/>
  <c r="N1798" i="5" s="1"/>
  <c r="M1802" i="5"/>
  <c r="N1802" i="5" s="1"/>
  <c r="M1806" i="5"/>
  <c r="N1806" i="5" s="1"/>
  <c r="O1829" i="5"/>
  <c r="M1829" i="5"/>
  <c r="N1829" i="5" s="1"/>
  <c r="O1841" i="5"/>
  <c r="M1841" i="5"/>
  <c r="N1841" i="5" s="1"/>
  <c r="O1857" i="5"/>
  <c r="M1857" i="5"/>
  <c r="N1857" i="5" s="1"/>
  <c r="O1877" i="5"/>
  <c r="M1877" i="5"/>
  <c r="N1877" i="5" s="1"/>
  <c r="N1647" i="5"/>
  <c r="N1671" i="5"/>
  <c r="N1687" i="5"/>
  <c r="N1694" i="5"/>
  <c r="N1719" i="5"/>
  <c r="N1726" i="5"/>
  <c r="N1735" i="5"/>
  <c r="N1742" i="5"/>
  <c r="N1751" i="5"/>
  <c r="N1758" i="5"/>
  <c r="N1767" i="5"/>
  <c r="N1771" i="5"/>
  <c r="N1803" i="5"/>
  <c r="M1822" i="5"/>
  <c r="N1822" i="5" s="1"/>
  <c r="M1834" i="5"/>
  <c r="N1834" i="5" s="1"/>
  <c r="N1846" i="5"/>
  <c r="M1791" i="5"/>
  <c r="N1791" i="5" s="1"/>
  <c r="M1795" i="5"/>
  <c r="N1795" i="5" s="1"/>
  <c r="M1799" i="5"/>
  <c r="N1799" i="5" s="1"/>
  <c r="O1837" i="5"/>
  <c r="M1837" i="5"/>
  <c r="N1837" i="5" s="1"/>
  <c r="O1853" i="5"/>
  <c r="M1853" i="5"/>
  <c r="N1853" i="5" s="1"/>
  <c r="O1870" i="5"/>
  <c r="M1870" i="5"/>
  <c r="N1870" i="5" s="1"/>
  <c r="O1994" i="5"/>
  <c r="M1994" i="5"/>
  <c r="N1994" i="5" s="1"/>
  <c r="M1875" i="5"/>
  <c r="N1875" i="5" s="1"/>
  <c r="M1891" i="5"/>
  <c r="N1891" i="5" s="1"/>
  <c r="M1907" i="5"/>
  <c r="N1907" i="5" s="1"/>
  <c r="M1923" i="5"/>
  <c r="N1923" i="5" s="1"/>
  <c r="O1969" i="5"/>
  <c r="O1978" i="5"/>
  <c r="N1879" i="5"/>
  <c r="M1884" i="5"/>
  <c r="N1884" i="5" s="1"/>
  <c r="M1886" i="5"/>
  <c r="N1886" i="5" s="1"/>
  <c r="M1893" i="5"/>
  <c r="N1893" i="5" s="1"/>
  <c r="M1900" i="5"/>
  <c r="N1900" i="5" s="1"/>
  <c r="M1902" i="5"/>
  <c r="N1902" i="5" s="1"/>
  <c r="M1909" i="5"/>
  <c r="N1909" i="5" s="1"/>
  <c r="M1916" i="5"/>
  <c r="N1916" i="5" s="1"/>
  <c r="M1918" i="5"/>
  <c r="N1918" i="5" s="1"/>
  <c r="M1925" i="5"/>
  <c r="N1925" i="5" s="1"/>
  <c r="M1937" i="5"/>
  <c r="N1937" i="5" s="1"/>
  <c r="O1955" i="5"/>
  <c r="O1962" i="5"/>
  <c r="M1974" i="5"/>
  <c r="N1974" i="5" s="1"/>
  <c r="M1983" i="5"/>
  <c r="N1983" i="5" s="1"/>
  <c r="O2011" i="5"/>
  <c r="M2011" i="5"/>
  <c r="N2011" i="5" s="1"/>
  <c r="O2019" i="5"/>
  <c r="M2019" i="5"/>
  <c r="N2019" i="5" s="1"/>
  <c r="N1897" i="5"/>
  <c r="N1913" i="5"/>
  <c r="O1984" i="5"/>
  <c r="M1984" i="5"/>
  <c r="N1984" i="5" s="1"/>
  <c r="N1869" i="5"/>
  <c r="N1876" i="5"/>
  <c r="N1885" i="5"/>
  <c r="N1901" i="5"/>
  <c r="N1917" i="5"/>
  <c r="M1933" i="5"/>
  <c r="N1933" i="5" s="1"/>
  <c r="N1940" i="5"/>
  <c r="M1951" i="5"/>
  <c r="N1951" i="5" s="1"/>
  <c r="M1965" i="5"/>
  <c r="N1965" i="5" s="1"/>
  <c r="O1985" i="5"/>
  <c r="M1985" i="5"/>
  <c r="N1985" i="5" s="1"/>
  <c r="O2001" i="5"/>
  <c r="M2001" i="5"/>
  <c r="N2001" i="5" s="1"/>
  <c r="N1871" i="5"/>
  <c r="N1887" i="5"/>
  <c r="O1993" i="5"/>
  <c r="M1993" i="5"/>
  <c r="N1993" i="5" s="1"/>
  <c r="O2009" i="5"/>
  <c r="M2009" i="5"/>
  <c r="N2009" i="5" s="1"/>
  <c r="O2015" i="5"/>
  <c r="M2015" i="5"/>
  <c r="N2015" i="5" s="1"/>
  <c r="N1889" i="5"/>
  <c r="N1912" i="5"/>
  <c r="N1921" i="5"/>
  <c r="N1928" i="5"/>
  <c r="O1936" i="5"/>
  <c r="M1949" i="5"/>
  <c r="N1949" i="5" s="1"/>
  <c r="N1952" i="5"/>
  <c r="M1961" i="5"/>
  <c r="N1961" i="5" s="1"/>
  <c r="O1986" i="5"/>
  <c r="M1986" i="5"/>
  <c r="N1986" i="5" s="1"/>
  <c r="O2002" i="5"/>
  <c r="M2002" i="5"/>
  <c r="N2002" i="5" s="1"/>
  <c r="O2075" i="5"/>
  <c r="M2075" i="5"/>
  <c r="N2075" i="5" s="1"/>
  <c r="N1945" i="5"/>
  <c r="N2025" i="5"/>
  <c r="N2034" i="5"/>
  <c r="O2039" i="5"/>
  <c r="M2039" i="5"/>
  <c r="N2039" i="5" s="1"/>
  <c r="N2050" i="5"/>
  <c r="O2055" i="5"/>
  <c r="M2055" i="5"/>
  <c r="N2055" i="5" s="1"/>
  <c r="N2060" i="5"/>
  <c r="N2068" i="5"/>
  <c r="O2095" i="5"/>
  <c r="M2095" i="5"/>
  <c r="N2095" i="5" s="1"/>
  <c r="M2023" i="5"/>
  <c r="N2023" i="5" s="1"/>
  <c r="M2032" i="5"/>
  <c r="N2032" i="5" s="1"/>
  <c r="M2048" i="5"/>
  <c r="N2048" i="5" s="1"/>
  <c r="O2063" i="5"/>
  <c r="M2063" i="5"/>
  <c r="N2063" i="5" s="1"/>
  <c r="O2083" i="5"/>
  <c r="M2083" i="5"/>
  <c r="N2083" i="5" s="1"/>
  <c r="N1958" i="5"/>
  <c r="N2006" i="5"/>
  <c r="N2030" i="5"/>
  <c r="O2035" i="5"/>
  <c r="M2035" i="5"/>
  <c r="N2035" i="5" s="1"/>
  <c r="O2051" i="5"/>
  <c r="M2051" i="5"/>
  <c r="N2051" i="5" s="1"/>
  <c r="N2053" i="5"/>
  <c r="O2071" i="5"/>
  <c r="M2071" i="5"/>
  <c r="N2071" i="5" s="1"/>
  <c r="N2076" i="5"/>
  <c r="O2091" i="5"/>
  <c r="M2091" i="5"/>
  <c r="N2091" i="5" s="1"/>
  <c r="N1946" i="5"/>
  <c r="N1953" i="5"/>
  <c r="N1962" i="5"/>
  <c r="N1969" i="5"/>
  <c r="N1978" i="5"/>
  <c r="N2026" i="5"/>
  <c r="O2031" i="5"/>
  <c r="M2031" i="5"/>
  <c r="N2031" i="5" s="1"/>
  <c r="N2033" i="5"/>
  <c r="N2042" i="5"/>
  <c r="O2047" i="5"/>
  <c r="M2047" i="5"/>
  <c r="N2047" i="5" s="1"/>
  <c r="O2079" i="5"/>
  <c r="M2079" i="5"/>
  <c r="N2079" i="5" s="1"/>
  <c r="M2010" i="5"/>
  <c r="N2010" i="5" s="1"/>
  <c r="M2012" i="5"/>
  <c r="N2012" i="5" s="1"/>
  <c r="M2016" i="5"/>
  <c r="N2016" i="5" s="1"/>
  <c r="M2020" i="5"/>
  <c r="N2020" i="5" s="1"/>
  <c r="M2024" i="5"/>
  <c r="N2024" i="5" s="1"/>
  <c r="M2040" i="5"/>
  <c r="N2040" i="5" s="1"/>
  <c r="O2059" i="5"/>
  <c r="M2059" i="5"/>
  <c r="N2059" i="5" s="1"/>
  <c r="O2067" i="5"/>
  <c r="M2067" i="5"/>
  <c r="N2067" i="5" s="1"/>
  <c r="O2099" i="5"/>
  <c r="M2099" i="5"/>
  <c r="N2099" i="5" s="1"/>
  <c r="N1989" i="5"/>
  <c r="O2027" i="5"/>
  <c r="M2027" i="5"/>
  <c r="N2027" i="5" s="1"/>
  <c r="N2038" i="5"/>
  <c r="O2043" i="5"/>
  <c r="M2043" i="5"/>
  <c r="N2043" i="5" s="1"/>
  <c r="N2054" i="5"/>
  <c r="O2087" i="5"/>
  <c r="M2087" i="5"/>
  <c r="N2087" i="5" s="1"/>
  <c r="N2092" i="5"/>
  <c r="M25" i="1"/>
  <c r="M49" i="1"/>
  <c r="M73" i="1"/>
  <c r="N73" i="1" s="1"/>
  <c r="M81" i="1"/>
  <c r="M105" i="1"/>
  <c r="N105" i="1" s="1"/>
  <c r="M113" i="1"/>
  <c r="M121" i="1"/>
  <c r="M129" i="1"/>
  <c r="M137" i="1"/>
  <c r="M145" i="1"/>
  <c r="M169" i="1"/>
  <c r="N169" i="1" s="1"/>
  <c r="M177" i="1"/>
  <c r="M185" i="1"/>
  <c r="N185" i="1" s="1"/>
  <c r="M193" i="1"/>
  <c r="M201" i="1"/>
  <c r="M209" i="1"/>
  <c r="M217" i="1"/>
  <c r="M225" i="1"/>
  <c r="M233" i="1"/>
  <c r="N233" i="1" s="1"/>
  <c r="M241" i="1"/>
  <c r="M249" i="1"/>
  <c r="N249" i="1" s="1"/>
  <c r="M257" i="1"/>
  <c r="M265" i="1"/>
  <c r="M273" i="1"/>
  <c r="M281" i="1"/>
  <c r="M289" i="1"/>
  <c r="M297" i="1"/>
  <c r="N297" i="1" s="1"/>
  <c r="M305" i="1"/>
  <c r="M313" i="1"/>
  <c r="N313" i="1" s="1"/>
  <c r="M321" i="1"/>
  <c r="M329" i="1"/>
  <c r="M337" i="1"/>
  <c r="M345" i="1"/>
  <c r="M353" i="1"/>
  <c r="M361" i="1"/>
  <c r="N361" i="1" s="1"/>
  <c r="M369" i="1"/>
  <c r="M377" i="1"/>
  <c r="N377" i="1" s="1"/>
  <c r="M385" i="1"/>
  <c r="M393" i="1"/>
  <c r="M401" i="1"/>
  <c r="M409" i="1"/>
  <c r="M417" i="1"/>
  <c r="M425" i="1"/>
  <c r="M433" i="1"/>
  <c r="M441" i="1"/>
  <c r="N441" i="1" s="1"/>
  <c r="M449" i="1"/>
  <c r="M457" i="1"/>
  <c r="M465" i="1"/>
  <c r="M481" i="1"/>
  <c r="M489" i="1"/>
  <c r="M505" i="1"/>
  <c r="N505" i="1" s="1"/>
  <c r="M537" i="1"/>
  <c r="M545" i="1"/>
  <c r="N545" i="1" s="1"/>
  <c r="M553" i="1"/>
  <c r="M561" i="1"/>
  <c r="M569" i="1"/>
  <c r="M577" i="1"/>
  <c r="M585" i="1"/>
  <c r="M593" i="1"/>
  <c r="N593" i="1" s="1"/>
  <c r="M601" i="1"/>
  <c r="M609" i="1"/>
  <c r="N609" i="1" s="1"/>
  <c r="M617" i="1"/>
  <c r="M625" i="1"/>
  <c r="M633" i="1"/>
  <c r="M641" i="1"/>
  <c r="M649" i="1"/>
  <c r="M657" i="1"/>
  <c r="N657" i="1" s="1"/>
  <c r="M665" i="1"/>
  <c r="M673" i="1"/>
  <c r="N673" i="1" s="1"/>
  <c r="M681" i="1"/>
  <c r="M689" i="1"/>
  <c r="M697" i="1"/>
  <c r="M705" i="1"/>
  <c r="M713" i="1"/>
  <c r="M721" i="1"/>
  <c r="N721" i="1" s="1"/>
  <c r="M729" i="1"/>
  <c r="M737" i="1"/>
  <c r="N737" i="1" s="1"/>
  <c r="M745" i="1"/>
  <c r="M753" i="1"/>
  <c r="M761" i="1"/>
  <c r="M769" i="1"/>
  <c r="M777" i="1"/>
  <c r="M785" i="1"/>
  <c r="N785" i="1" s="1"/>
  <c r="M793" i="1"/>
  <c r="M801" i="1"/>
  <c r="N801" i="1" s="1"/>
  <c r="M809" i="1"/>
  <c r="M817" i="1"/>
  <c r="M825" i="1"/>
  <c r="M833" i="1"/>
  <c r="M841" i="1"/>
  <c r="M849" i="1"/>
  <c r="N849" i="1" s="1"/>
  <c r="M857" i="1"/>
  <c r="M865" i="1"/>
  <c r="N865" i="1" s="1"/>
  <c r="M873" i="1"/>
  <c r="M881" i="1"/>
  <c r="M889" i="1"/>
  <c r="M897" i="1"/>
  <c r="M905" i="1"/>
  <c r="M913" i="1"/>
  <c r="N913" i="1" s="1"/>
  <c r="M921" i="1"/>
  <c r="M929" i="1"/>
  <c r="N929" i="1" s="1"/>
  <c r="M937" i="1"/>
  <c r="M945" i="1"/>
  <c r="M953" i="1"/>
  <c r="M961" i="1"/>
  <c r="M969" i="1"/>
  <c r="M977" i="1"/>
  <c r="N977" i="1" s="1"/>
  <c r="M985" i="1"/>
  <c r="M993" i="1"/>
  <c r="N993" i="1" s="1"/>
  <c r="M1001" i="1"/>
  <c r="M1009" i="1"/>
  <c r="M1017" i="1"/>
  <c r="M1025" i="1"/>
  <c r="M1033" i="1"/>
  <c r="M1041" i="1"/>
  <c r="N1041" i="1" s="1"/>
  <c r="M1049" i="1"/>
  <c r="M1057" i="1"/>
  <c r="N1057" i="1" s="1"/>
  <c r="M1065" i="1"/>
  <c r="M1073" i="1"/>
  <c r="M1081" i="1"/>
  <c r="M1089" i="1"/>
  <c r="M1097" i="1"/>
  <c r="M1105" i="1"/>
  <c r="N1105" i="1" s="1"/>
  <c r="M1113" i="1"/>
  <c r="M1121" i="1"/>
  <c r="N1121" i="1" s="1"/>
  <c r="M1129" i="1"/>
  <c r="M1137" i="1"/>
  <c r="M1145" i="1"/>
  <c r="M1153" i="1"/>
  <c r="M1161" i="1"/>
  <c r="M1169" i="1"/>
  <c r="N1169" i="1" s="1"/>
  <c r="M1177" i="1"/>
  <c r="M1297" i="1"/>
  <c r="N1297" i="1" s="1"/>
  <c r="M9" i="1"/>
  <c r="M33" i="1"/>
  <c r="M57" i="1"/>
  <c r="M97" i="1"/>
  <c r="M161" i="1"/>
  <c r="M521" i="1"/>
  <c r="N521" i="1" s="1"/>
  <c r="M497" i="1"/>
  <c r="N497" i="1" s="1"/>
  <c r="M473" i="1"/>
  <c r="M529" i="1"/>
  <c r="M17" i="1"/>
  <c r="M41" i="1"/>
  <c r="N41" i="1" s="1"/>
  <c r="M65" i="1"/>
  <c r="M89" i="1"/>
  <c r="M153" i="1"/>
  <c r="N153" i="1" s="1"/>
  <c r="M513" i="1"/>
  <c r="N513" i="1" s="1"/>
  <c r="M1193" i="1"/>
  <c r="M1225" i="1"/>
  <c r="M1241" i="1"/>
  <c r="M1281" i="1"/>
  <c r="N1281" i="1" s="1"/>
  <c r="M1329" i="1"/>
  <c r="M1369" i="1"/>
  <c r="M1417" i="1"/>
  <c r="N1417" i="1" s="1"/>
  <c r="M1465" i="1"/>
  <c r="N1465" i="1" s="1"/>
  <c r="M1497" i="1"/>
  <c r="N1497" i="1" s="1"/>
  <c r="M1537" i="1"/>
  <c r="M1553" i="1"/>
  <c r="M1585" i="1"/>
  <c r="N1585" i="1" s="1"/>
  <c r="M1625" i="1"/>
  <c r="M1649" i="1"/>
  <c r="M1681" i="1"/>
  <c r="N1681" i="1" s="1"/>
  <c r="M1705" i="1"/>
  <c r="N1705" i="1" s="1"/>
  <c r="M1745" i="1"/>
  <c r="N1745" i="1" s="1"/>
  <c r="M1825" i="1"/>
  <c r="M1873" i="1"/>
  <c r="M1913" i="1"/>
  <c r="N1913" i="1" s="1"/>
  <c r="M1961" i="1"/>
  <c r="M1985" i="1"/>
  <c r="M2025" i="1"/>
  <c r="N2025" i="1" s="1"/>
  <c r="M2065" i="1"/>
  <c r="N2065" i="1" s="1"/>
  <c r="M2089" i="1"/>
  <c r="N2089" i="1" s="1"/>
  <c r="M10" i="1"/>
  <c r="M18" i="1"/>
  <c r="M26" i="1"/>
  <c r="M34" i="1"/>
  <c r="M42" i="1"/>
  <c r="M50" i="1"/>
  <c r="M58" i="1"/>
  <c r="M66" i="1"/>
  <c r="M74" i="1"/>
  <c r="M82" i="1"/>
  <c r="M90" i="1"/>
  <c r="M98" i="1"/>
  <c r="M106" i="1"/>
  <c r="M114" i="1"/>
  <c r="M122" i="1"/>
  <c r="M130" i="1"/>
  <c r="M138" i="1"/>
  <c r="M146" i="1"/>
  <c r="M154" i="1"/>
  <c r="M162" i="1"/>
  <c r="M170" i="1"/>
  <c r="M178" i="1"/>
  <c r="M186" i="1"/>
  <c r="M194" i="1"/>
  <c r="M202" i="1"/>
  <c r="M210" i="1"/>
  <c r="M218" i="1"/>
  <c r="M226" i="1"/>
  <c r="M234" i="1"/>
  <c r="M242" i="1"/>
  <c r="M250" i="1"/>
  <c r="M258" i="1"/>
  <c r="M266" i="1"/>
  <c r="M274" i="1"/>
  <c r="M282" i="1"/>
  <c r="M290" i="1"/>
  <c r="M298" i="1"/>
  <c r="M306" i="1"/>
  <c r="M314" i="1"/>
  <c r="M322" i="1"/>
  <c r="M330" i="1"/>
  <c r="M338" i="1"/>
  <c r="M346" i="1"/>
  <c r="M354" i="1"/>
  <c r="M362" i="1"/>
  <c r="M370" i="1"/>
  <c r="M378" i="1"/>
  <c r="M386" i="1"/>
  <c r="M394" i="1"/>
  <c r="M402" i="1"/>
  <c r="M410" i="1"/>
  <c r="M418" i="1"/>
  <c r="M426" i="1"/>
  <c r="M434" i="1"/>
  <c r="M442" i="1"/>
  <c r="M450" i="1"/>
  <c r="M458" i="1"/>
  <c r="M466" i="1"/>
  <c r="M474" i="1"/>
  <c r="M482" i="1"/>
  <c r="M490" i="1"/>
  <c r="M498" i="1"/>
  <c r="M506" i="1"/>
  <c r="M514" i="1"/>
  <c r="M522" i="1"/>
  <c r="M530" i="1"/>
  <c r="M538" i="1"/>
  <c r="M546" i="1"/>
  <c r="M554" i="1"/>
  <c r="M562" i="1"/>
  <c r="M570" i="1"/>
  <c r="M578" i="1"/>
  <c r="M586" i="1"/>
  <c r="M594" i="1"/>
  <c r="M602" i="1"/>
  <c r="M610" i="1"/>
  <c r="M618" i="1"/>
  <c r="M626" i="1"/>
  <c r="M634" i="1"/>
  <c r="M642" i="1"/>
  <c r="M650" i="1"/>
  <c r="M658" i="1"/>
  <c r="M666" i="1"/>
  <c r="M674" i="1"/>
  <c r="M682" i="1"/>
  <c r="M690" i="1"/>
  <c r="M698" i="1"/>
  <c r="M706" i="1"/>
  <c r="M714" i="1"/>
  <c r="M722" i="1"/>
  <c r="M730" i="1"/>
  <c r="M738" i="1"/>
  <c r="M746" i="1"/>
  <c r="M754" i="1"/>
  <c r="M762" i="1"/>
  <c r="M770" i="1"/>
  <c r="M778" i="1"/>
  <c r="M786" i="1"/>
  <c r="M794" i="1"/>
  <c r="M802" i="1"/>
  <c r="M810" i="1"/>
  <c r="M818" i="1"/>
  <c r="M826" i="1"/>
  <c r="M834" i="1"/>
  <c r="M842" i="1"/>
  <c r="M850" i="1"/>
  <c r="M858" i="1"/>
  <c r="M866" i="1"/>
  <c r="M874" i="1"/>
  <c r="M882" i="1"/>
  <c r="M890" i="1"/>
  <c r="M898" i="1"/>
  <c r="M906" i="1"/>
  <c r="M914" i="1"/>
  <c r="M922" i="1"/>
  <c r="M930" i="1"/>
  <c r="M938" i="1"/>
  <c r="M946" i="1"/>
  <c r="M954" i="1"/>
  <c r="M962" i="1"/>
  <c r="M970" i="1"/>
  <c r="M978" i="1"/>
  <c r="M986" i="1"/>
  <c r="M994" i="1"/>
  <c r="M1002" i="1"/>
  <c r="M1010" i="1"/>
  <c r="M1018" i="1"/>
  <c r="M1026" i="1"/>
  <c r="M1034" i="1"/>
  <c r="M1042" i="1"/>
  <c r="M1050" i="1"/>
  <c r="M1058" i="1"/>
  <c r="M1066" i="1"/>
  <c r="N1066" i="1" s="1"/>
  <c r="M1074" i="1"/>
  <c r="M1082" i="1"/>
  <c r="N1082" i="1" s="1"/>
  <c r="M1090" i="1"/>
  <c r="M1098" i="1"/>
  <c r="M1106" i="1"/>
  <c r="M1114" i="1"/>
  <c r="M1122" i="1"/>
  <c r="M1130" i="1"/>
  <c r="N1130" i="1" s="1"/>
  <c r="M1138" i="1"/>
  <c r="M1146" i="1"/>
  <c r="N1146" i="1" s="1"/>
  <c r="M1154" i="1"/>
  <c r="M1162" i="1"/>
  <c r="M1170" i="1"/>
  <c r="M1178" i="1"/>
  <c r="M1186" i="1"/>
  <c r="M1194" i="1"/>
  <c r="N1194" i="1" s="1"/>
  <c r="M1202" i="1"/>
  <c r="M1210" i="1"/>
  <c r="N1210" i="1" s="1"/>
  <c r="M1218" i="1"/>
  <c r="M1226" i="1"/>
  <c r="M1234" i="1"/>
  <c r="M1242" i="1"/>
  <c r="M1250" i="1"/>
  <c r="M1258" i="1"/>
  <c r="N1258" i="1" s="1"/>
  <c r="M1274" i="1"/>
  <c r="M1282" i="1"/>
  <c r="M1290" i="1"/>
  <c r="M1298" i="1"/>
  <c r="M1306" i="1"/>
  <c r="M1314" i="1"/>
  <c r="M1322" i="1"/>
  <c r="M1330" i="1"/>
  <c r="N1330" i="1" s="1"/>
  <c r="M1338" i="1"/>
  <c r="M1346" i="1"/>
  <c r="M1354" i="1"/>
  <c r="M1362" i="1"/>
  <c r="M1370" i="1"/>
  <c r="M1378" i="1"/>
  <c r="M1386" i="1"/>
  <c r="M1394" i="1"/>
  <c r="N1394" i="1" s="1"/>
  <c r="M1402" i="1"/>
  <c r="M1410" i="1"/>
  <c r="M1418" i="1"/>
  <c r="M1426" i="1"/>
  <c r="M1434" i="1"/>
  <c r="M1442" i="1"/>
  <c r="M1450" i="1"/>
  <c r="M1458" i="1"/>
  <c r="N1458" i="1" s="1"/>
  <c r="M1466" i="1"/>
  <c r="M1474" i="1"/>
  <c r="M1482" i="1"/>
  <c r="M1490" i="1"/>
  <c r="M1498" i="1"/>
  <c r="M1506" i="1"/>
  <c r="M1514" i="1"/>
  <c r="M1522" i="1"/>
  <c r="N1522" i="1" s="1"/>
  <c r="M1530" i="1"/>
  <c r="M1538" i="1"/>
  <c r="M1546" i="1"/>
  <c r="M1554" i="1"/>
  <c r="M1562" i="1"/>
  <c r="M1570" i="1"/>
  <c r="M1578" i="1"/>
  <c r="M1586" i="1"/>
  <c r="N1586" i="1" s="1"/>
  <c r="M1594" i="1"/>
  <c r="M1602" i="1"/>
  <c r="N1602" i="1" s="1"/>
  <c r="M1610" i="1"/>
  <c r="M1618" i="1"/>
  <c r="M1626" i="1"/>
  <c r="M1634" i="1"/>
  <c r="M1642" i="1"/>
  <c r="M1650" i="1"/>
  <c r="N1650" i="1" s="1"/>
  <c r="M1658" i="1"/>
  <c r="M1666" i="1"/>
  <c r="N1666" i="1" s="1"/>
  <c r="M1674" i="1"/>
  <c r="M1682" i="1"/>
  <c r="M1690" i="1"/>
  <c r="M1706" i="1"/>
  <c r="M1714" i="1"/>
  <c r="M1722" i="1"/>
  <c r="N1722" i="1" s="1"/>
  <c r="M1730" i="1"/>
  <c r="M1738" i="1"/>
  <c r="N1738" i="1" s="1"/>
  <c r="M1746" i="1"/>
  <c r="M1754" i="1"/>
  <c r="M1770" i="1"/>
  <c r="M1778" i="1"/>
  <c r="M1786" i="1"/>
  <c r="M1794" i="1"/>
  <c r="N1794" i="1" s="1"/>
  <c r="M1802" i="1"/>
  <c r="M1810" i="1"/>
  <c r="M1818" i="1"/>
  <c r="M1826" i="1"/>
  <c r="M1834" i="1"/>
  <c r="M1842" i="1"/>
  <c r="M1850" i="1"/>
  <c r="M1858" i="1"/>
  <c r="N1858" i="1" s="1"/>
  <c r="M1866" i="1"/>
  <c r="M1874" i="1"/>
  <c r="M1882" i="1"/>
  <c r="M1890" i="1"/>
  <c r="M1898" i="1"/>
  <c r="M1906" i="1"/>
  <c r="M1914" i="1"/>
  <c r="M1922" i="1"/>
  <c r="N1922" i="1" s="1"/>
  <c r="M1930" i="1"/>
  <c r="M1938" i="1"/>
  <c r="M1946" i="1"/>
  <c r="M1954" i="1"/>
  <c r="M1962" i="1"/>
  <c r="M1970" i="1"/>
  <c r="M1978" i="1"/>
  <c r="M1986" i="1"/>
  <c r="N1986" i="1" s="1"/>
  <c r="M1994" i="1"/>
  <c r="M2002" i="1"/>
  <c r="M2010" i="1"/>
  <c r="M2018" i="1"/>
  <c r="M2026" i="1"/>
  <c r="M2034" i="1"/>
  <c r="M2042" i="1"/>
  <c r="M2050" i="1"/>
  <c r="N2050" i="1" s="1"/>
  <c r="M2058" i="1"/>
  <c r="M2066" i="1"/>
  <c r="M2074" i="1"/>
  <c r="M2082" i="1"/>
  <c r="M2090" i="1"/>
  <c r="M2098" i="1"/>
  <c r="N1677" i="1"/>
  <c r="M1217" i="1"/>
  <c r="M1273" i="1"/>
  <c r="N1273" i="1" s="1"/>
  <c r="M1321" i="1"/>
  <c r="M1361" i="1"/>
  <c r="N1361" i="1" s="1"/>
  <c r="M1401" i="1"/>
  <c r="M1441" i="1"/>
  <c r="M1481" i="1"/>
  <c r="M1521" i="1"/>
  <c r="N1521" i="1" s="1"/>
  <c r="M1577" i="1"/>
  <c r="M1601" i="1"/>
  <c r="N1601" i="1" s="1"/>
  <c r="M1641" i="1"/>
  <c r="M1689" i="1"/>
  <c r="N1689" i="1" s="1"/>
  <c r="M1721" i="1"/>
  <c r="M1769" i="1"/>
  <c r="M1817" i="1"/>
  <c r="M1857" i="1"/>
  <c r="N1857" i="1" s="1"/>
  <c r="M1897" i="1"/>
  <c r="M1937" i="1"/>
  <c r="N1937" i="1" s="1"/>
  <c r="M1969" i="1"/>
  <c r="M2001" i="1"/>
  <c r="N2001" i="1" s="1"/>
  <c r="M2041" i="1"/>
  <c r="M2073" i="1"/>
  <c r="M3" i="1"/>
  <c r="M11" i="1"/>
  <c r="M19" i="1"/>
  <c r="N19" i="1" s="1"/>
  <c r="M27" i="1"/>
  <c r="M35" i="1"/>
  <c r="M43" i="1"/>
  <c r="M51" i="1"/>
  <c r="N51" i="1" s="1"/>
  <c r="M59" i="1"/>
  <c r="M67" i="1"/>
  <c r="N67" i="1" s="1"/>
  <c r="M75" i="1"/>
  <c r="M83" i="1"/>
  <c r="N83" i="1" s="1"/>
  <c r="M91" i="1"/>
  <c r="M99" i="1"/>
  <c r="M107" i="1"/>
  <c r="M115" i="1"/>
  <c r="N115" i="1" s="1"/>
  <c r="M123" i="1"/>
  <c r="M131" i="1"/>
  <c r="N131" i="1" s="1"/>
  <c r="M139" i="1"/>
  <c r="M147" i="1"/>
  <c r="N147" i="1" s="1"/>
  <c r="M155" i="1"/>
  <c r="M163" i="1"/>
  <c r="M171" i="1"/>
  <c r="M179" i="1"/>
  <c r="N179" i="1" s="1"/>
  <c r="M187" i="1"/>
  <c r="M195" i="1"/>
  <c r="N195" i="1" s="1"/>
  <c r="M203" i="1"/>
  <c r="M211" i="1"/>
  <c r="N211" i="1" s="1"/>
  <c r="M219" i="1"/>
  <c r="M227" i="1"/>
  <c r="M235" i="1"/>
  <c r="M243" i="1"/>
  <c r="N243" i="1" s="1"/>
  <c r="M251" i="1"/>
  <c r="M259" i="1"/>
  <c r="N259" i="1" s="1"/>
  <c r="M267" i="1"/>
  <c r="M275" i="1"/>
  <c r="N275" i="1" s="1"/>
  <c r="M283" i="1"/>
  <c r="M291" i="1"/>
  <c r="M299" i="1"/>
  <c r="M307" i="1"/>
  <c r="N307" i="1" s="1"/>
  <c r="M315" i="1"/>
  <c r="M323" i="1"/>
  <c r="N323" i="1" s="1"/>
  <c r="M331" i="1"/>
  <c r="M339" i="1"/>
  <c r="N339" i="1" s="1"/>
  <c r="M347" i="1"/>
  <c r="M355" i="1"/>
  <c r="M363" i="1"/>
  <c r="M371" i="1"/>
  <c r="N371" i="1" s="1"/>
  <c r="M379" i="1"/>
  <c r="M387" i="1"/>
  <c r="N387" i="1" s="1"/>
  <c r="M395" i="1"/>
  <c r="M403" i="1"/>
  <c r="N403" i="1" s="1"/>
  <c r="M411" i="1"/>
  <c r="M419" i="1"/>
  <c r="M427" i="1"/>
  <c r="M435" i="1"/>
  <c r="N435" i="1" s="1"/>
  <c r="M443" i="1"/>
  <c r="N443" i="1" s="1"/>
  <c r="M451" i="1"/>
  <c r="M459" i="1"/>
  <c r="M467" i="1"/>
  <c r="N467" i="1" s="1"/>
  <c r="M475" i="1"/>
  <c r="M483" i="1"/>
  <c r="M491" i="1"/>
  <c r="M499" i="1"/>
  <c r="N499" i="1" s="1"/>
  <c r="M507" i="1"/>
  <c r="M515" i="1"/>
  <c r="N515" i="1" s="1"/>
  <c r="M523" i="1"/>
  <c r="M531" i="1"/>
  <c r="N531" i="1" s="1"/>
  <c r="M539" i="1"/>
  <c r="M547" i="1"/>
  <c r="M555" i="1"/>
  <c r="M563" i="1"/>
  <c r="N563" i="1" s="1"/>
  <c r="M571" i="1"/>
  <c r="M579" i="1"/>
  <c r="N579" i="1" s="1"/>
  <c r="M587" i="1"/>
  <c r="M595" i="1"/>
  <c r="N595" i="1" s="1"/>
  <c r="M603" i="1"/>
  <c r="M611" i="1"/>
  <c r="M619" i="1"/>
  <c r="M627" i="1"/>
  <c r="N627" i="1" s="1"/>
  <c r="M635" i="1"/>
  <c r="M643" i="1"/>
  <c r="M651" i="1"/>
  <c r="M659" i="1"/>
  <c r="N659" i="1" s="1"/>
  <c r="M667" i="1"/>
  <c r="M675" i="1"/>
  <c r="M683" i="1"/>
  <c r="M691" i="1"/>
  <c r="N691" i="1" s="1"/>
  <c r="M699" i="1"/>
  <c r="M707" i="1"/>
  <c r="M715" i="1"/>
  <c r="M723" i="1"/>
  <c r="N723" i="1" s="1"/>
  <c r="M731" i="1"/>
  <c r="M739" i="1"/>
  <c r="M747" i="1"/>
  <c r="M755" i="1"/>
  <c r="N755" i="1" s="1"/>
  <c r="M763" i="1"/>
  <c r="M771" i="1"/>
  <c r="N771" i="1" s="1"/>
  <c r="M779" i="1"/>
  <c r="M787" i="1"/>
  <c r="N787" i="1" s="1"/>
  <c r="M795" i="1"/>
  <c r="M803" i="1"/>
  <c r="M811" i="1"/>
  <c r="M819" i="1"/>
  <c r="N819" i="1" s="1"/>
  <c r="M827" i="1"/>
  <c r="M835" i="1"/>
  <c r="N835" i="1" s="1"/>
  <c r="M843" i="1"/>
  <c r="M851" i="1"/>
  <c r="N851" i="1" s="1"/>
  <c r="M859" i="1"/>
  <c r="M867" i="1"/>
  <c r="M875" i="1"/>
  <c r="M883" i="1"/>
  <c r="N883" i="1" s="1"/>
  <c r="M891" i="1"/>
  <c r="M899" i="1"/>
  <c r="M907" i="1"/>
  <c r="M915" i="1"/>
  <c r="N915" i="1" s="1"/>
  <c r="M923" i="1"/>
  <c r="M931" i="1"/>
  <c r="M939" i="1"/>
  <c r="M947" i="1"/>
  <c r="N947" i="1" s="1"/>
  <c r="M955" i="1"/>
  <c r="M963" i="1"/>
  <c r="M971" i="1"/>
  <c r="M979" i="1"/>
  <c r="N979" i="1" s="1"/>
  <c r="M987" i="1"/>
  <c r="M995" i="1"/>
  <c r="M1003" i="1"/>
  <c r="M1011" i="1"/>
  <c r="N1011" i="1" s="1"/>
  <c r="M1019" i="1"/>
  <c r="M1027" i="1"/>
  <c r="N1027" i="1" s="1"/>
  <c r="M1035" i="1"/>
  <c r="M1043" i="1"/>
  <c r="N1043" i="1" s="1"/>
  <c r="M1051" i="1"/>
  <c r="M1059" i="1"/>
  <c r="M1067" i="1"/>
  <c r="M1075" i="1"/>
  <c r="N1075" i="1" s="1"/>
  <c r="M1083" i="1"/>
  <c r="M1091" i="1"/>
  <c r="N1091" i="1" s="1"/>
  <c r="M1099" i="1"/>
  <c r="M1107" i="1"/>
  <c r="N1107" i="1" s="1"/>
  <c r="M1115" i="1"/>
  <c r="M1123" i="1"/>
  <c r="M1131" i="1"/>
  <c r="M1139" i="1"/>
  <c r="N1139" i="1" s="1"/>
  <c r="M1147" i="1"/>
  <c r="M1155" i="1"/>
  <c r="M1163" i="1"/>
  <c r="M1171" i="1"/>
  <c r="N1171" i="1" s="1"/>
  <c r="M1179" i="1"/>
  <c r="M1187" i="1"/>
  <c r="M1195" i="1"/>
  <c r="M1203" i="1"/>
  <c r="N1203" i="1" s="1"/>
  <c r="M1211" i="1"/>
  <c r="M1219" i="1"/>
  <c r="M1227" i="1"/>
  <c r="M1235" i="1"/>
  <c r="N1235" i="1" s="1"/>
  <c r="M1243" i="1"/>
  <c r="M1251" i="1"/>
  <c r="M1259" i="1"/>
  <c r="M1267" i="1"/>
  <c r="N1267" i="1" s="1"/>
  <c r="M1275" i="1"/>
  <c r="M1283" i="1"/>
  <c r="N1283" i="1" s="1"/>
  <c r="M1291" i="1"/>
  <c r="M1299" i="1"/>
  <c r="N1299" i="1" s="1"/>
  <c r="M1307" i="1"/>
  <c r="M1315" i="1"/>
  <c r="M1323" i="1"/>
  <c r="M1331" i="1"/>
  <c r="N1331" i="1" s="1"/>
  <c r="M1339" i="1"/>
  <c r="M1347" i="1"/>
  <c r="N1347" i="1" s="1"/>
  <c r="M1355" i="1"/>
  <c r="M1363" i="1"/>
  <c r="N1363" i="1" s="1"/>
  <c r="M1371" i="1"/>
  <c r="M1379" i="1"/>
  <c r="M1387" i="1"/>
  <c r="M1395" i="1"/>
  <c r="N1395" i="1" s="1"/>
  <c r="M1403" i="1"/>
  <c r="M1411" i="1"/>
  <c r="M1419" i="1"/>
  <c r="M1427" i="1"/>
  <c r="N1427" i="1" s="1"/>
  <c r="M1435" i="1"/>
  <c r="M1443" i="1"/>
  <c r="M1451" i="1"/>
  <c r="M1459" i="1"/>
  <c r="N1459" i="1" s="1"/>
  <c r="M1467" i="1"/>
  <c r="M1475" i="1"/>
  <c r="M1483" i="1"/>
  <c r="M1491" i="1"/>
  <c r="N1491" i="1" s="1"/>
  <c r="M1499" i="1"/>
  <c r="M1507" i="1"/>
  <c r="M1515" i="1"/>
  <c r="M1523" i="1"/>
  <c r="N1523" i="1" s="1"/>
  <c r="M1531" i="1"/>
  <c r="M1539" i="1"/>
  <c r="N1539" i="1" s="1"/>
  <c r="M1547" i="1"/>
  <c r="M1555" i="1"/>
  <c r="N1555" i="1" s="1"/>
  <c r="M1563" i="1"/>
  <c r="M1571" i="1"/>
  <c r="M1579" i="1"/>
  <c r="M1587" i="1"/>
  <c r="N1587" i="1" s="1"/>
  <c r="M1595" i="1"/>
  <c r="M1603" i="1"/>
  <c r="N1603" i="1" s="1"/>
  <c r="M1611" i="1"/>
  <c r="M1619" i="1"/>
  <c r="N1619" i="1" s="1"/>
  <c r="M1627" i="1"/>
  <c r="M1635" i="1"/>
  <c r="M1643" i="1"/>
  <c r="M1651" i="1"/>
  <c r="N1651" i="1" s="1"/>
  <c r="M1659" i="1"/>
  <c r="M1667" i="1"/>
  <c r="N1667" i="1" s="1"/>
  <c r="M1675" i="1"/>
  <c r="M1683" i="1"/>
  <c r="N1683" i="1" s="1"/>
  <c r="M1691" i="1"/>
  <c r="M1699" i="1"/>
  <c r="M1707" i="1"/>
  <c r="M1715" i="1"/>
  <c r="N1715" i="1" s="1"/>
  <c r="M1723" i="1"/>
  <c r="M1731" i="1"/>
  <c r="N1731" i="1" s="1"/>
  <c r="M1739" i="1"/>
  <c r="M1747" i="1"/>
  <c r="N1747" i="1" s="1"/>
  <c r="M1755" i="1"/>
  <c r="M1763" i="1"/>
  <c r="M1771" i="1"/>
  <c r="M1779" i="1"/>
  <c r="N1779" i="1" s="1"/>
  <c r="M1787" i="1"/>
  <c r="M1795" i="1"/>
  <c r="N1795" i="1" s="1"/>
  <c r="M1803" i="1"/>
  <c r="M1811" i="1"/>
  <c r="N1811" i="1" s="1"/>
  <c r="M1819" i="1"/>
  <c r="M1827" i="1"/>
  <c r="M1835" i="1"/>
  <c r="M1843" i="1"/>
  <c r="N1843" i="1" s="1"/>
  <c r="M1851" i="1"/>
  <c r="M1859" i="1"/>
  <c r="N1859" i="1" s="1"/>
  <c r="M1867" i="1"/>
  <c r="M1875" i="1"/>
  <c r="N1875" i="1" s="1"/>
  <c r="M1883" i="1"/>
  <c r="M1891" i="1"/>
  <c r="M1899" i="1"/>
  <c r="M1907" i="1"/>
  <c r="N1907" i="1" s="1"/>
  <c r="M1915" i="1"/>
  <c r="M1923" i="1"/>
  <c r="N1923" i="1" s="1"/>
  <c r="M1931" i="1"/>
  <c r="M1939" i="1"/>
  <c r="N1939" i="1" s="1"/>
  <c r="M1947" i="1"/>
  <c r="M1955" i="1"/>
  <c r="M1963" i="1"/>
  <c r="M1971" i="1"/>
  <c r="N1971" i="1" s="1"/>
  <c r="M1979" i="1"/>
  <c r="M1987" i="1"/>
  <c r="N1987" i="1" s="1"/>
  <c r="M1995" i="1"/>
  <c r="M2003" i="1"/>
  <c r="N2003" i="1" s="1"/>
  <c r="M2011" i="1"/>
  <c r="M2019" i="1"/>
  <c r="M2027" i="1"/>
  <c r="M2035" i="1"/>
  <c r="N2035" i="1" s="1"/>
  <c r="M2043" i="1"/>
  <c r="M2051" i="1"/>
  <c r="N2051" i="1" s="1"/>
  <c r="M2059" i="1"/>
  <c r="M2067" i="1"/>
  <c r="N2067" i="1" s="1"/>
  <c r="M2075" i="1"/>
  <c r="M2083" i="1"/>
  <c r="M2091" i="1"/>
  <c r="M2099" i="1"/>
  <c r="N2099" i="1" s="1"/>
  <c r="N1900" i="1"/>
  <c r="M1185" i="1"/>
  <c r="M1249" i="1"/>
  <c r="N1249" i="1" s="1"/>
  <c r="M1289" i="1"/>
  <c r="M1337" i="1"/>
  <c r="N1337" i="1" s="1"/>
  <c r="M1377" i="1"/>
  <c r="M1409" i="1"/>
  <c r="M1449" i="1"/>
  <c r="M1513" i="1"/>
  <c r="M1561" i="1"/>
  <c r="M1609" i="1"/>
  <c r="M1713" i="1"/>
  <c r="M1753" i="1"/>
  <c r="M1793" i="1"/>
  <c r="M1849" i="1"/>
  <c r="M1905" i="1"/>
  <c r="M1953" i="1"/>
  <c r="M2009" i="1"/>
  <c r="M2049" i="1"/>
  <c r="M2097" i="1"/>
  <c r="N1926" i="1"/>
  <c r="M4" i="1"/>
  <c r="M12" i="1"/>
  <c r="M20" i="1"/>
  <c r="M28" i="1"/>
  <c r="N28" i="1" s="1"/>
  <c r="M36" i="1"/>
  <c r="M44" i="1"/>
  <c r="N44" i="1" s="1"/>
  <c r="M52" i="1"/>
  <c r="M60" i="1"/>
  <c r="N60" i="1" s="1"/>
  <c r="M68" i="1"/>
  <c r="M76" i="1"/>
  <c r="M84" i="1"/>
  <c r="M92" i="1"/>
  <c r="N92" i="1" s="1"/>
  <c r="M100" i="1"/>
  <c r="M108" i="1"/>
  <c r="M116" i="1"/>
  <c r="M124" i="1"/>
  <c r="N124" i="1" s="1"/>
  <c r="M132" i="1"/>
  <c r="M140" i="1"/>
  <c r="M148" i="1"/>
  <c r="M156" i="1"/>
  <c r="N156" i="1" s="1"/>
  <c r="M164" i="1"/>
  <c r="M172" i="1"/>
  <c r="M180" i="1"/>
  <c r="M188" i="1"/>
  <c r="N188" i="1" s="1"/>
  <c r="M196" i="1"/>
  <c r="M204" i="1"/>
  <c r="M212" i="1"/>
  <c r="M220" i="1"/>
  <c r="N220" i="1" s="1"/>
  <c r="M228" i="1"/>
  <c r="M236" i="1"/>
  <c r="N236" i="1" s="1"/>
  <c r="M244" i="1"/>
  <c r="M252" i="1"/>
  <c r="N252" i="1" s="1"/>
  <c r="M260" i="1"/>
  <c r="M268" i="1"/>
  <c r="M276" i="1"/>
  <c r="M284" i="1"/>
  <c r="N284" i="1" s="1"/>
  <c r="M292" i="1"/>
  <c r="M300" i="1"/>
  <c r="N300" i="1" s="1"/>
  <c r="M308" i="1"/>
  <c r="M316" i="1"/>
  <c r="N316" i="1" s="1"/>
  <c r="M324" i="1"/>
  <c r="M332" i="1"/>
  <c r="M340" i="1"/>
  <c r="M348" i="1"/>
  <c r="N348" i="1" s="1"/>
  <c r="M356" i="1"/>
  <c r="M364" i="1"/>
  <c r="M372" i="1"/>
  <c r="M380" i="1"/>
  <c r="N380" i="1" s="1"/>
  <c r="M388" i="1"/>
  <c r="M396" i="1"/>
  <c r="M404" i="1"/>
  <c r="M412" i="1"/>
  <c r="N412" i="1" s="1"/>
  <c r="M420" i="1"/>
  <c r="M428" i="1"/>
  <c r="M436" i="1"/>
  <c r="M444" i="1"/>
  <c r="N444" i="1" s="1"/>
  <c r="M452" i="1"/>
  <c r="M460" i="1"/>
  <c r="M468" i="1"/>
  <c r="M476" i="1"/>
  <c r="N476" i="1" s="1"/>
  <c r="M484" i="1"/>
  <c r="M492" i="1"/>
  <c r="N492" i="1" s="1"/>
  <c r="M500" i="1"/>
  <c r="M508" i="1"/>
  <c r="N508" i="1" s="1"/>
  <c r="M516" i="1"/>
  <c r="M524" i="1"/>
  <c r="M532" i="1"/>
  <c r="M540" i="1"/>
  <c r="N540" i="1" s="1"/>
  <c r="M548" i="1"/>
  <c r="M556" i="1"/>
  <c r="N556" i="1" s="1"/>
  <c r="M564" i="1"/>
  <c r="M572" i="1"/>
  <c r="N572" i="1" s="1"/>
  <c r="M580" i="1"/>
  <c r="M588" i="1"/>
  <c r="M596" i="1"/>
  <c r="M604" i="1"/>
  <c r="N604" i="1" s="1"/>
  <c r="M612" i="1"/>
  <c r="M620" i="1"/>
  <c r="M628" i="1"/>
  <c r="M636" i="1"/>
  <c r="N636" i="1" s="1"/>
  <c r="M644" i="1"/>
  <c r="M652" i="1"/>
  <c r="M660" i="1"/>
  <c r="M668" i="1"/>
  <c r="N668" i="1" s="1"/>
  <c r="M676" i="1"/>
  <c r="M684" i="1"/>
  <c r="M692" i="1"/>
  <c r="M700" i="1"/>
  <c r="N700" i="1" s="1"/>
  <c r="M708" i="1"/>
  <c r="M716" i="1"/>
  <c r="M724" i="1"/>
  <c r="M732" i="1"/>
  <c r="N732" i="1" s="1"/>
  <c r="M740" i="1"/>
  <c r="M748" i="1"/>
  <c r="N748" i="1" s="1"/>
  <c r="M756" i="1"/>
  <c r="M764" i="1"/>
  <c r="N764" i="1" s="1"/>
  <c r="M772" i="1"/>
  <c r="M780" i="1"/>
  <c r="M788" i="1"/>
  <c r="M796" i="1"/>
  <c r="N796" i="1" s="1"/>
  <c r="M804" i="1"/>
  <c r="M812" i="1"/>
  <c r="N812" i="1" s="1"/>
  <c r="M820" i="1"/>
  <c r="M828" i="1"/>
  <c r="N828" i="1" s="1"/>
  <c r="M836" i="1"/>
  <c r="M844" i="1"/>
  <c r="M852" i="1"/>
  <c r="M860" i="1"/>
  <c r="N860" i="1" s="1"/>
  <c r="M868" i="1"/>
  <c r="M876" i="1"/>
  <c r="M884" i="1"/>
  <c r="M892" i="1"/>
  <c r="N892" i="1" s="1"/>
  <c r="M900" i="1"/>
  <c r="M908" i="1"/>
  <c r="M916" i="1"/>
  <c r="M924" i="1"/>
  <c r="N924" i="1" s="1"/>
  <c r="M932" i="1"/>
  <c r="M940" i="1"/>
  <c r="M948" i="1"/>
  <c r="M956" i="1"/>
  <c r="N956" i="1" s="1"/>
  <c r="M964" i="1"/>
  <c r="M972" i="1"/>
  <c r="M980" i="1"/>
  <c r="M988" i="1"/>
  <c r="N988" i="1" s="1"/>
  <c r="M996" i="1"/>
  <c r="M1004" i="1"/>
  <c r="N1004" i="1" s="1"/>
  <c r="M1012" i="1"/>
  <c r="M1020" i="1"/>
  <c r="N1020" i="1" s="1"/>
  <c r="M1028" i="1"/>
  <c r="M1036" i="1"/>
  <c r="M1044" i="1"/>
  <c r="M1052" i="1"/>
  <c r="N1052" i="1" s="1"/>
  <c r="M1060" i="1"/>
  <c r="M1068" i="1"/>
  <c r="N1068" i="1" s="1"/>
  <c r="M1076" i="1"/>
  <c r="M1084" i="1"/>
  <c r="N1084" i="1" s="1"/>
  <c r="M1092" i="1"/>
  <c r="M1100" i="1"/>
  <c r="M1108" i="1"/>
  <c r="M1116" i="1"/>
  <c r="N1116" i="1" s="1"/>
  <c r="M1124" i="1"/>
  <c r="M1132" i="1"/>
  <c r="N1132" i="1" s="1"/>
  <c r="M1140" i="1"/>
  <c r="M1148" i="1"/>
  <c r="N1148" i="1" s="1"/>
  <c r="M1156" i="1"/>
  <c r="M1164" i="1"/>
  <c r="M1172" i="1"/>
  <c r="M1180" i="1"/>
  <c r="N1180" i="1" s="1"/>
  <c r="M1188" i="1"/>
  <c r="M1196" i="1"/>
  <c r="M1204" i="1"/>
  <c r="M1212" i="1"/>
  <c r="N1212" i="1" s="1"/>
  <c r="M1220" i="1"/>
  <c r="M1228" i="1"/>
  <c r="M1236" i="1"/>
  <c r="M1244" i="1"/>
  <c r="N1244" i="1" s="1"/>
  <c r="M1252" i="1"/>
  <c r="M1260" i="1"/>
  <c r="N1260" i="1" s="1"/>
  <c r="M1268" i="1"/>
  <c r="M1276" i="1"/>
  <c r="N1276" i="1" s="1"/>
  <c r="M1284" i="1"/>
  <c r="M1292" i="1"/>
  <c r="M1300" i="1"/>
  <c r="M1308" i="1"/>
  <c r="N1308" i="1" s="1"/>
  <c r="M1316" i="1"/>
  <c r="M1324" i="1"/>
  <c r="N1324" i="1" s="1"/>
  <c r="M1332" i="1"/>
  <c r="M1340" i="1"/>
  <c r="N1340" i="1" s="1"/>
  <c r="M1348" i="1"/>
  <c r="M1356" i="1"/>
  <c r="M1364" i="1"/>
  <c r="M1372" i="1"/>
  <c r="N1372" i="1" s="1"/>
  <c r="M1380" i="1"/>
  <c r="M1388" i="1"/>
  <c r="M1396" i="1"/>
  <c r="M1404" i="1"/>
  <c r="N1404" i="1" s="1"/>
  <c r="M1412" i="1"/>
  <c r="M1420" i="1"/>
  <c r="M1428" i="1"/>
  <c r="M1436" i="1"/>
  <c r="N1436" i="1" s="1"/>
  <c r="M1444" i="1"/>
  <c r="M1452" i="1"/>
  <c r="M1460" i="1"/>
  <c r="M1468" i="1"/>
  <c r="N1468" i="1" s="1"/>
  <c r="M1476" i="1"/>
  <c r="M1484" i="1"/>
  <c r="M1492" i="1"/>
  <c r="M1500" i="1"/>
  <c r="N1500" i="1" s="1"/>
  <c r="M1508" i="1"/>
  <c r="M1516" i="1"/>
  <c r="N1516" i="1" s="1"/>
  <c r="M1524" i="1"/>
  <c r="M1532" i="1"/>
  <c r="N1532" i="1" s="1"/>
  <c r="M1540" i="1"/>
  <c r="M1548" i="1"/>
  <c r="M1556" i="1"/>
  <c r="M1564" i="1"/>
  <c r="N1564" i="1" s="1"/>
  <c r="M1572" i="1"/>
  <c r="M1580" i="1"/>
  <c r="N1580" i="1" s="1"/>
  <c r="M1588" i="1"/>
  <c r="M1596" i="1"/>
  <c r="N1596" i="1" s="1"/>
  <c r="M1604" i="1"/>
  <c r="N1604" i="1" s="1"/>
  <c r="M1612" i="1"/>
  <c r="N1612" i="1" s="1"/>
  <c r="M1620" i="1"/>
  <c r="N1620" i="1" s="1"/>
  <c r="M1628" i="1"/>
  <c r="N1628" i="1" s="1"/>
  <c r="M1636" i="1"/>
  <c r="N1636" i="1" s="1"/>
  <c r="M1644" i="1"/>
  <c r="N1644" i="1" s="1"/>
  <c r="M1652" i="1"/>
  <c r="N1652" i="1" s="1"/>
  <c r="M1660" i="1"/>
  <c r="N1660" i="1" s="1"/>
  <c r="M1668" i="1"/>
  <c r="N1668" i="1" s="1"/>
  <c r="M1676" i="1"/>
  <c r="N1676" i="1" s="1"/>
  <c r="M1684" i="1"/>
  <c r="N1684" i="1" s="1"/>
  <c r="M1692" i="1"/>
  <c r="N1692" i="1" s="1"/>
  <c r="M1700" i="1"/>
  <c r="N1700" i="1" s="1"/>
  <c r="M1708" i="1"/>
  <c r="N1708" i="1" s="1"/>
  <c r="M1716" i="1"/>
  <c r="N1716" i="1" s="1"/>
  <c r="M1724" i="1"/>
  <c r="N1724" i="1" s="1"/>
  <c r="M1732" i="1"/>
  <c r="N1732" i="1" s="1"/>
  <c r="M1740" i="1"/>
  <c r="N1740" i="1" s="1"/>
  <c r="M1748" i="1"/>
  <c r="N1748" i="1" s="1"/>
  <c r="M1756" i="1"/>
  <c r="N1756" i="1" s="1"/>
  <c r="M1764" i="1"/>
  <c r="N1764" i="1" s="1"/>
  <c r="M1772" i="1"/>
  <c r="N1772" i="1" s="1"/>
  <c r="M1780" i="1"/>
  <c r="N1780" i="1" s="1"/>
  <c r="M1788" i="1"/>
  <c r="N1788" i="1" s="1"/>
  <c r="M1796" i="1"/>
  <c r="N1796" i="1" s="1"/>
  <c r="M1804" i="1"/>
  <c r="N1804" i="1" s="1"/>
  <c r="M1812" i="1"/>
  <c r="N1812" i="1" s="1"/>
  <c r="M1820" i="1"/>
  <c r="N1820" i="1" s="1"/>
  <c r="M1828" i="1"/>
  <c r="N1828" i="1" s="1"/>
  <c r="M1836" i="1"/>
  <c r="N1836" i="1" s="1"/>
  <c r="M1844" i="1"/>
  <c r="N1844" i="1" s="1"/>
  <c r="M1852" i="1"/>
  <c r="N1852" i="1" s="1"/>
  <c r="M1860" i="1"/>
  <c r="N1860" i="1" s="1"/>
  <c r="M1868" i="1"/>
  <c r="N1868" i="1" s="1"/>
  <c r="M1876" i="1"/>
  <c r="N1876" i="1" s="1"/>
  <c r="M1884" i="1"/>
  <c r="N1884" i="1" s="1"/>
  <c r="M1892" i="1"/>
  <c r="N1892" i="1" s="1"/>
  <c r="M1900" i="1"/>
  <c r="M1908" i="1"/>
  <c r="N1908" i="1" s="1"/>
  <c r="M1916" i="1"/>
  <c r="N1916" i="1" s="1"/>
  <c r="M1924" i="1"/>
  <c r="N1924" i="1" s="1"/>
  <c r="M1932" i="1"/>
  <c r="N1932" i="1" s="1"/>
  <c r="M1940" i="1"/>
  <c r="N1940" i="1" s="1"/>
  <c r="M1948" i="1"/>
  <c r="N1948" i="1" s="1"/>
  <c r="M1956" i="1"/>
  <c r="N1956" i="1" s="1"/>
  <c r="M1964" i="1"/>
  <c r="N1964" i="1" s="1"/>
  <c r="M1972" i="1"/>
  <c r="N1972" i="1" s="1"/>
  <c r="M1980" i="1"/>
  <c r="N1980" i="1" s="1"/>
  <c r="M1988" i="1"/>
  <c r="N1988" i="1" s="1"/>
  <c r="M1996" i="1"/>
  <c r="N1996" i="1" s="1"/>
  <c r="M2004" i="1"/>
  <c r="N2004" i="1" s="1"/>
  <c r="M2012" i="1"/>
  <c r="N2012" i="1" s="1"/>
  <c r="M2020" i="1"/>
  <c r="N2020" i="1" s="1"/>
  <c r="M2028" i="1"/>
  <c r="N2028" i="1" s="1"/>
  <c r="M2036" i="1"/>
  <c r="N2036" i="1" s="1"/>
  <c r="M2044" i="1"/>
  <c r="N2044" i="1" s="1"/>
  <c r="M2052" i="1"/>
  <c r="N2052" i="1" s="1"/>
  <c r="M2060" i="1"/>
  <c r="N2060" i="1" s="1"/>
  <c r="M2068" i="1"/>
  <c r="N2068" i="1" s="1"/>
  <c r="M2076" i="1"/>
  <c r="N2076" i="1" s="1"/>
  <c r="M2084" i="1"/>
  <c r="N2084" i="1" s="1"/>
  <c r="M2092" i="1"/>
  <c r="N2092" i="1" s="1"/>
  <c r="M5" i="1"/>
  <c r="N5" i="1" s="1"/>
  <c r="M13" i="1"/>
  <c r="M21" i="1"/>
  <c r="M29" i="1"/>
  <c r="N29" i="1" s="1"/>
  <c r="M37" i="1"/>
  <c r="M45" i="1"/>
  <c r="M53" i="1"/>
  <c r="M61" i="1"/>
  <c r="N61" i="1" s="1"/>
  <c r="M69" i="1"/>
  <c r="N69" i="1" s="1"/>
  <c r="M77" i="1"/>
  <c r="M85" i="1"/>
  <c r="M93" i="1"/>
  <c r="N93" i="1" s="1"/>
  <c r="M101" i="1"/>
  <c r="M109" i="1"/>
  <c r="M117" i="1"/>
  <c r="N117" i="1" s="1"/>
  <c r="M125" i="1"/>
  <c r="N125" i="1" s="1"/>
  <c r="M133" i="1"/>
  <c r="N133" i="1" s="1"/>
  <c r="M141" i="1"/>
  <c r="M149" i="1"/>
  <c r="M157" i="1"/>
  <c r="N157" i="1" s="1"/>
  <c r="M165" i="1"/>
  <c r="M173" i="1"/>
  <c r="M181" i="1"/>
  <c r="N181" i="1" s="1"/>
  <c r="M189" i="1"/>
  <c r="N189" i="1" s="1"/>
  <c r="M197" i="1"/>
  <c r="N197" i="1" s="1"/>
  <c r="M205" i="1"/>
  <c r="M213" i="1"/>
  <c r="M221" i="1"/>
  <c r="N221" i="1" s="1"/>
  <c r="M229" i="1"/>
  <c r="M237" i="1"/>
  <c r="M245" i="1"/>
  <c r="M253" i="1"/>
  <c r="N253" i="1" s="1"/>
  <c r="M261" i="1"/>
  <c r="N261" i="1" s="1"/>
  <c r="M269" i="1"/>
  <c r="M277" i="1"/>
  <c r="M285" i="1"/>
  <c r="N285" i="1" s="1"/>
  <c r="M293" i="1"/>
  <c r="M301" i="1"/>
  <c r="M309" i="1"/>
  <c r="M317" i="1"/>
  <c r="N317" i="1" s="1"/>
  <c r="M325" i="1"/>
  <c r="N325" i="1" s="1"/>
  <c r="M333" i="1"/>
  <c r="M341" i="1"/>
  <c r="M349" i="1"/>
  <c r="N349" i="1" s="1"/>
  <c r="M357" i="1"/>
  <c r="M365" i="1"/>
  <c r="M373" i="1"/>
  <c r="N373" i="1" s="1"/>
  <c r="M381" i="1"/>
  <c r="N381" i="1" s="1"/>
  <c r="M389" i="1"/>
  <c r="N389" i="1" s="1"/>
  <c r="M397" i="1"/>
  <c r="M405" i="1"/>
  <c r="M413" i="1"/>
  <c r="N413" i="1" s="1"/>
  <c r="M421" i="1"/>
  <c r="M429" i="1"/>
  <c r="M437" i="1"/>
  <c r="N437" i="1" s="1"/>
  <c r="M445" i="1"/>
  <c r="N445" i="1" s="1"/>
  <c r="M453" i="1"/>
  <c r="N453" i="1" s="1"/>
  <c r="M461" i="1"/>
  <c r="M469" i="1"/>
  <c r="M477" i="1"/>
  <c r="N477" i="1" s="1"/>
  <c r="M485" i="1"/>
  <c r="M493" i="1"/>
  <c r="M501" i="1"/>
  <c r="N501" i="1" s="1"/>
  <c r="M509" i="1"/>
  <c r="N509" i="1" s="1"/>
  <c r="M517" i="1"/>
  <c r="N517" i="1" s="1"/>
  <c r="M525" i="1"/>
  <c r="M533" i="1"/>
  <c r="M541" i="1"/>
  <c r="N541" i="1" s="1"/>
  <c r="M549" i="1"/>
  <c r="M557" i="1"/>
  <c r="M565" i="1"/>
  <c r="N565" i="1" s="1"/>
  <c r="M573" i="1"/>
  <c r="N573" i="1" s="1"/>
  <c r="M581" i="1"/>
  <c r="M589" i="1"/>
  <c r="M597" i="1"/>
  <c r="M605" i="1"/>
  <c r="N605" i="1" s="1"/>
  <c r="M613" i="1"/>
  <c r="M621" i="1"/>
  <c r="M629" i="1"/>
  <c r="N629" i="1" s="1"/>
  <c r="M637" i="1"/>
  <c r="N637" i="1" s="1"/>
  <c r="M645" i="1"/>
  <c r="N645" i="1" s="1"/>
  <c r="M653" i="1"/>
  <c r="M661" i="1"/>
  <c r="M669" i="1"/>
  <c r="N669" i="1" s="1"/>
  <c r="M677" i="1"/>
  <c r="M685" i="1"/>
  <c r="M693" i="1"/>
  <c r="N693" i="1" s="1"/>
  <c r="M701" i="1"/>
  <c r="N701" i="1" s="1"/>
  <c r="M709" i="1"/>
  <c r="N709" i="1" s="1"/>
  <c r="M717" i="1"/>
  <c r="M725" i="1"/>
  <c r="M733" i="1"/>
  <c r="N733" i="1" s="1"/>
  <c r="M741" i="1"/>
  <c r="M749" i="1"/>
  <c r="M757" i="1"/>
  <c r="N757" i="1" s="1"/>
  <c r="M765" i="1"/>
  <c r="N765" i="1" s="1"/>
  <c r="M773" i="1"/>
  <c r="N773" i="1" s="1"/>
  <c r="M781" i="1"/>
  <c r="M789" i="1"/>
  <c r="M797" i="1"/>
  <c r="N797" i="1" s="1"/>
  <c r="M805" i="1"/>
  <c r="M813" i="1"/>
  <c r="M821" i="1"/>
  <c r="N821" i="1" s="1"/>
  <c r="M829" i="1"/>
  <c r="N829" i="1" s="1"/>
  <c r="M837" i="1"/>
  <c r="M845" i="1"/>
  <c r="M853" i="1"/>
  <c r="M861" i="1"/>
  <c r="N861" i="1" s="1"/>
  <c r="M869" i="1"/>
  <c r="M877" i="1"/>
  <c r="M885" i="1"/>
  <c r="N885" i="1" s="1"/>
  <c r="M893" i="1"/>
  <c r="N893" i="1" s="1"/>
  <c r="M901" i="1"/>
  <c r="N901" i="1" s="1"/>
  <c r="M909" i="1"/>
  <c r="M917" i="1"/>
  <c r="M925" i="1"/>
  <c r="N925" i="1" s="1"/>
  <c r="M933" i="1"/>
  <c r="M941" i="1"/>
  <c r="M949" i="1"/>
  <c r="N949" i="1" s="1"/>
  <c r="M957" i="1"/>
  <c r="N957" i="1" s="1"/>
  <c r="M965" i="1"/>
  <c r="N965" i="1" s="1"/>
  <c r="M973" i="1"/>
  <c r="M981" i="1"/>
  <c r="M989" i="1"/>
  <c r="N989" i="1" s="1"/>
  <c r="M997" i="1"/>
  <c r="M1005" i="1"/>
  <c r="M1013" i="1"/>
  <c r="M1021" i="1"/>
  <c r="N1021" i="1" s="1"/>
  <c r="M1029" i="1"/>
  <c r="N1029" i="1" s="1"/>
  <c r="M1037" i="1"/>
  <c r="M1045" i="1"/>
  <c r="M1053" i="1"/>
  <c r="N1053" i="1" s="1"/>
  <c r="M1061" i="1"/>
  <c r="M1069" i="1"/>
  <c r="M1077" i="1"/>
  <c r="M1085" i="1"/>
  <c r="N1085" i="1" s="1"/>
  <c r="M1093" i="1"/>
  <c r="N1093" i="1" s="1"/>
  <c r="M1101" i="1"/>
  <c r="M1109" i="1"/>
  <c r="M1117" i="1"/>
  <c r="N1117" i="1" s="1"/>
  <c r="M1125" i="1"/>
  <c r="M1133" i="1"/>
  <c r="M1141" i="1"/>
  <c r="N1141" i="1" s="1"/>
  <c r="M1149" i="1"/>
  <c r="N1149" i="1" s="1"/>
  <c r="M1157" i="1"/>
  <c r="N1157" i="1" s="1"/>
  <c r="M1165" i="1"/>
  <c r="M1173" i="1"/>
  <c r="M1181" i="1"/>
  <c r="N1181" i="1" s="1"/>
  <c r="M1189" i="1"/>
  <c r="M1197" i="1"/>
  <c r="M1205" i="1"/>
  <c r="N1205" i="1" s="1"/>
  <c r="M1213" i="1"/>
  <c r="N1213" i="1" s="1"/>
  <c r="M1221" i="1"/>
  <c r="N1221" i="1" s="1"/>
  <c r="M1229" i="1"/>
  <c r="M1237" i="1"/>
  <c r="M1245" i="1"/>
  <c r="N1245" i="1" s="1"/>
  <c r="M1253" i="1"/>
  <c r="M1261" i="1"/>
  <c r="M1269" i="1"/>
  <c r="M1277" i="1"/>
  <c r="N1277" i="1" s="1"/>
  <c r="M1285" i="1"/>
  <c r="N1285" i="1" s="1"/>
  <c r="M1293" i="1"/>
  <c r="M1301" i="1"/>
  <c r="M1309" i="1"/>
  <c r="N1309" i="1" s="1"/>
  <c r="M1317" i="1"/>
  <c r="M1325" i="1"/>
  <c r="M1341" i="1"/>
  <c r="N1341" i="1" s="1"/>
  <c r="M1349" i="1"/>
  <c r="M1357" i="1"/>
  <c r="N1357" i="1" s="1"/>
  <c r="M1365" i="1"/>
  <c r="M1373" i="1"/>
  <c r="M1381" i="1"/>
  <c r="N1381" i="1" s="1"/>
  <c r="M1389" i="1"/>
  <c r="M1405" i="1"/>
  <c r="M1413" i="1"/>
  <c r="N1413" i="1" s="1"/>
  <c r="M1421" i="1"/>
  <c r="N1421" i="1" s="1"/>
  <c r="M1429" i="1"/>
  <c r="N1429" i="1" s="1"/>
  <c r="M1437" i="1"/>
  <c r="M1445" i="1"/>
  <c r="M1453" i="1"/>
  <c r="N1453" i="1" s="1"/>
  <c r="M1469" i="1"/>
  <c r="M1477" i="1"/>
  <c r="M1485" i="1"/>
  <c r="M1493" i="1"/>
  <c r="N1493" i="1" s="1"/>
  <c r="M1501" i="1"/>
  <c r="N1501" i="1" s="1"/>
  <c r="M1509" i="1"/>
  <c r="M1517" i="1"/>
  <c r="M1533" i="1"/>
  <c r="N1533" i="1" s="1"/>
  <c r="M1541" i="1"/>
  <c r="M1549" i="1"/>
  <c r="M1557" i="1"/>
  <c r="N1557" i="1" s="1"/>
  <c r="M1565" i="1"/>
  <c r="N1565" i="1" s="1"/>
  <c r="M1573" i="1"/>
  <c r="M1581" i="1"/>
  <c r="N1581" i="1" s="1"/>
  <c r="M1597" i="1"/>
  <c r="M1605" i="1"/>
  <c r="N1605" i="1" s="1"/>
  <c r="M1613" i="1"/>
  <c r="N1613" i="1" s="1"/>
  <c r="M1621" i="1"/>
  <c r="M1629" i="1"/>
  <c r="N1629" i="1" s="1"/>
  <c r="M1637" i="1"/>
  <c r="N1637" i="1" s="1"/>
  <c r="M1653" i="1"/>
  <c r="N1653" i="1" s="1"/>
  <c r="M1669" i="1"/>
  <c r="N1669" i="1" s="1"/>
  <c r="M1677" i="1"/>
  <c r="M1685" i="1"/>
  <c r="N1685" i="1" s="1"/>
  <c r="M1693" i="1"/>
  <c r="M1701" i="1"/>
  <c r="N1701" i="1" s="1"/>
  <c r="M1709" i="1"/>
  <c r="N1709" i="1" s="1"/>
  <c r="M1717" i="1"/>
  <c r="N1717" i="1" s="1"/>
  <c r="M1733" i="1"/>
  <c r="N1733" i="1" s="1"/>
  <c r="M1741" i="1"/>
  <c r="M1749" i="1"/>
  <c r="M1757" i="1"/>
  <c r="N1757" i="1" s="1"/>
  <c r="M1765" i="1"/>
  <c r="N1765" i="1" s="1"/>
  <c r="M1773" i="1"/>
  <c r="M1781" i="1"/>
  <c r="N1781" i="1" s="1"/>
  <c r="M1797" i="1"/>
  <c r="N1797" i="1" s="1"/>
  <c r="M1805" i="1"/>
  <c r="N1805" i="1" s="1"/>
  <c r="M1821" i="1"/>
  <c r="M1829" i="1"/>
  <c r="M1837" i="1"/>
  <c r="N1837" i="1" s="1"/>
  <c r="M1845" i="1"/>
  <c r="M1853" i="1"/>
  <c r="M1861" i="1"/>
  <c r="N1861" i="1" s="1"/>
  <c r="M1869" i="1"/>
  <c r="N1869" i="1" s="1"/>
  <c r="M1877" i="1"/>
  <c r="M1885" i="1"/>
  <c r="M1893" i="1"/>
  <c r="M1901" i="1"/>
  <c r="N1901" i="1" s="1"/>
  <c r="M1909" i="1"/>
  <c r="M1917" i="1"/>
  <c r="M1925" i="1"/>
  <c r="N1925" i="1" s="1"/>
  <c r="M1933" i="1"/>
  <c r="N1933" i="1" s="1"/>
  <c r="M1941" i="1"/>
  <c r="N1941" i="1" s="1"/>
  <c r="M1949" i="1"/>
  <c r="M1957" i="1"/>
  <c r="N1957" i="1" s="1"/>
  <c r="M1965" i="1"/>
  <c r="N1965" i="1" s="1"/>
  <c r="M1973" i="1"/>
  <c r="M1981" i="1"/>
  <c r="M1989" i="1"/>
  <c r="N1989" i="1" s="1"/>
  <c r="M1997" i="1"/>
  <c r="N1997" i="1" s="1"/>
  <c r="M2005" i="1"/>
  <c r="N2005" i="1" s="1"/>
  <c r="M2013" i="1"/>
  <c r="M2021" i="1"/>
  <c r="N2021" i="1" s="1"/>
  <c r="M2029" i="1"/>
  <c r="N2029" i="1" s="1"/>
  <c r="M2037" i="1"/>
  <c r="M2045" i="1"/>
  <c r="M2053" i="1"/>
  <c r="N2053" i="1" s="1"/>
  <c r="M2061" i="1"/>
  <c r="N2061" i="1" s="1"/>
  <c r="M2069" i="1"/>
  <c r="N2069" i="1" s="1"/>
  <c r="M2077" i="1"/>
  <c r="M2085" i="1"/>
  <c r="M2093" i="1"/>
  <c r="N2093" i="1" s="1"/>
  <c r="N2098" i="1"/>
  <c r="N2090" i="1"/>
  <c r="N2082" i="1"/>
  <c r="N2074" i="1"/>
  <c r="N2066" i="1"/>
  <c r="N2058" i="1"/>
  <c r="N2042" i="1"/>
  <c r="N2034" i="1"/>
  <c r="N2026" i="1"/>
  <c r="N2018" i="1"/>
  <c r="N2010" i="1"/>
  <c r="N2002" i="1"/>
  <c r="N1994" i="1"/>
  <c r="N1978" i="1"/>
  <c r="N1970" i="1"/>
  <c r="N1962" i="1"/>
  <c r="N1954" i="1"/>
  <c r="N1946" i="1"/>
  <c r="N1938" i="1"/>
  <c r="N1930" i="1"/>
  <c r="N1914" i="1"/>
  <c r="N1906" i="1"/>
  <c r="N1898" i="1"/>
  <c r="N1890" i="1"/>
  <c r="N1882" i="1"/>
  <c r="N1874" i="1"/>
  <c r="N1866" i="1"/>
  <c r="N1850" i="1"/>
  <c r="N1842" i="1"/>
  <c r="M1201" i="1"/>
  <c r="M1233" i="1"/>
  <c r="N1233" i="1" s="1"/>
  <c r="M1265" i="1"/>
  <c r="M1313" i="1"/>
  <c r="N1313" i="1" s="1"/>
  <c r="M1353" i="1"/>
  <c r="M1393" i="1"/>
  <c r="M1425" i="1"/>
  <c r="M1457" i="1"/>
  <c r="N1457" i="1" s="1"/>
  <c r="M1489" i="1"/>
  <c r="M1529" i="1"/>
  <c r="N1529" i="1" s="1"/>
  <c r="M1545" i="1"/>
  <c r="M1593" i="1"/>
  <c r="N1593" i="1" s="1"/>
  <c r="M1633" i="1"/>
  <c r="M1657" i="1"/>
  <c r="M1697" i="1"/>
  <c r="M1729" i="1"/>
  <c r="M1761" i="1"/>
  <c r="M1777" i="1"/>
  <c r="N1777" i="1" s="1"/>
  <c r="M1809" i="1"/>
  <c r="M1841" i="1"/>
  <c r="N1841" i="1" s="1"/>
  <c r="M1865" i="1"/>
  <c r="M1889" i="1"/>
  <c r="M1929" i="1"/>
  <c r="M1945" i="1"/>
  <c r="N1945" i="1" s="1"/>
  <c r="M1977" i="1"/>
  <c r="M1993" i="1"/>
  <c r="M2033" i="1"/>
  <c r="M2057" i="1"/>
  <c r="N2057" i="1" s="1"/>
  <c r="M2081" i="1"/>
  <c r="M6" i="1"/>
  <c r="M14" i="1"/>
  <c r="M22" i="1"/>
  <c r="N22" i="1" s="1"/>
  <c r="M30" i="1"/>
  <c r="N30" i="1" s="1"/>
  <c r="M38" i="1"/>
  <c r="M46" i="1"/>
  <c r="M54" i="1"/>
  <c r="M62" i="1"/>
  <c r="N62" i="1" s="1"/>
  <c r="M70" i="1"/>
  <c r="M78" i="1"/>
  <c r="M86" i="1"/>
  <c r="N86" i="1" s="1"/>
  <c r="M94" i="1"/>
  <c r="N94" i="1" s="1"/>
  <c r="M102" i="1"/>
  <c r="M110" i="1"/>
  <c r="M118" i="1"/>
  <c r="M126" i="1"/>
  <c r="N126" i="1" s="1"/>
  <c r="M134" i="1"/>
  <c r="N134" i="1" s="1"/>
  <c r="M142" i="1"/>
  <c r="M150" i="1"/>
  <c r="M158" i="1"/>
  <c r="N158" i="1" s="1"/>
  <c r="M166" i="1"/>
  <c r="M174" i="1"/>
  <c r="M182" i="1"/>
  <c r="M190" i="1"/>
  <c r="N190" i="1" s="1"/>
  <c r="M198" i="1"/>
  <c r="N198" i="1" s="1"/>
  <c r="M206" i="1"/>
  <c r="M214" i="1"/>
  <c r="N214" i="1" s="1"/>
  <c r="M222" i="1"/>
  <c r="N222" i="1" s="1"/>
  <c r="M230" i="1"/>
  <c r="M238" i="1"/>
  <c r="M246" i="1"/>
  <c r="M254" i="1"/>
  <c r="N254" i="1" s="1"/>
  <c r="M262" i="1"/>
  <c r="M270" i="1"/>
  <c r="M278" i="1"/>
  <c r="N278" i="1" s="1"/>
  <c r="M286" i="1"/>
  <c r="N286" i="1" s="1"/>
  <c r="M294" i="1"/>
  <c r="M302" i="1"/>
  <c r="M310" i="1"/>
  <c r="M318" i="1"/>
  <c r="N318" i="1" s="1"/>
  <c r="M326" i="1"/>
  <c r="N326" i="1" s="1"/>
  <c r="M334" i="1"/>
  <c r="M342" i="1"/>
  <c r="N342" i="1" s="1"/>
  <c r="M350" i="1"/>
  <c r="N350" i="1" s="1"/>
  <c r="M358" i="1"/>
  <c r="M366" i="1"/>
  <c r="M374" i="1"/>
  <c r="M382" i="1"/>
  <c r="N382" i="1" s="1"/>
  <c r="M390" i="1"/>
  <c r="N390" i="1" s="1"/>
  <c r="M398" i="1"/>
  <c r="M406" i="1"/>
  <c r="N406" i="1" s="1"/>
  <c r="M414" i="1"/>
  <c r="N414" i="1" s="1"/>
  <c r="M422" i="1"/>
  <c r="M430" i="1"/>
  <c r="M438" i="1"/>
  <c r="M446" i="1"/>
  <c r="N446" i="1" s="1"/>
  <c r="M454" i="1"/>
  <c r="N454" i="1" s="1"/>
  <c r="M462" i="1"/>
  <c r="M470" i="1"/>
  <c r="N470" i="1" s="1"/>
  <c r="M478" i="1"/>
  <c r="N478" i="1" s="1"/>
  <c r="M486" i="1"/>
  <c r="M494" i="1"/>
  <c r="M502" i="1"/>
  <c r="M510" i="1"/>
  <c r="N510" i="1" s="1"/>
  <c r="M518" i="1"/>
  <c r="N518" i="1" s="1"/>
  <c r="M526" i="1"/>
  <c r="M534" i="1"/>
  <c r="N534" i="1" s="1"/>
  <c r="M542" i="1"/>
  <c r="N542" i="1" s="1"/>
  <c r="M550" i="1"/>
  <c r="M558" i="1"/>
  <c r="M566" i="1"/>
  <c r="M574" i="1"/>
  <c r="N574" i="1" s="1"/>
  <c r="M582" i="1"/>
  <c r="N582" i="1" s="1"/>
  <c r="M590" i="1"/>
  <c r="M598" i="1"/>
  <c r="N598" i="1" s="1"/>
  <c r="M606" i="1"/>
  <c r="N606" i="1" s="1"/>
  <c r="M614" i="1"/>
  <c r="M622" i="1"/>
  <c r="M630" i="1"/>
  <c r="M638" i="1"/>
  <c r="N638" i="1" s="1"/>
  <c r="M646" i="1"/>
  <c r="N646" i="1" s="1"/>
  <c r="M654" i="1"/>
  <c r="M662" i="1"/>
  <c r="N662" i="1" s="1"/>
  <c r="M670" i="1"/>
  <c r="N670" i="1" s="1"/>
  <c r="M678" i="1"/>
  <c r="M686" i="1"/>
  <c r="M694" i="1"/>
  <c r="M702" i="1"/>
  <c r="N702" i="1" s="1"/>
  <c r="M710" i="1"/>
  <c r="N710" i="1" s="1"/>
  <c r="M718" i="1"/>
  <c r="M726" i="1"/>
  <c r="N726" i="1" s="1"/>
  <c r="M734" i="1"/>
  <c r="N734" i="1" s="1"/>
  <c r="M742" i="1"/>
  <c r="M750" i="1"/>
  <c r="M758" i="1"/>
  <c r="M766" i="1"/>
  <c r="N766" i="1" s="1"/>
  <c r="M774" i="1"/>
  <c r="N774" i="1" s="1"/>
  <c r="M782" i="1"/>
  <c r="M790" i="1"/>
  <c r="N790" i="1" s="1"/>
  <c r="M798" i="1"/>
  <c r="N798" i="1" s="1"/>
  <c r="M806" i="1"/>
  <c r="M814" i="1"/>
  <c r="M822" i="1"/>
  <c r="M830" i="1"/>
  <c r="N830" i="1" s="1"/>
  <c r="M838" i="1"/>
  <c r="N838" i="1" s="1"/>
  <c r="M846" i="1"/>
  <c r="M854" i="1"/>
  <c r="N854" i="1" s="1"/>
  <c r="M862" i="1"/>
  <c r="N862" i="1" s="1"/>
  <c r="M870" i="1"/>
  <c r="M878" i="1"/>
  <c r="M886" i="1"/>
  <c r="M894" i="1"/>
  <c r="N894" i="1" s="1"/>
  <c r="M902" i="1"/>
  <c r="N902" i="1" s="1"/>
  <c r="M910" i="1"/>
  <c r="M918" i="1"/>
  <c r="N918" i="1" s="1"/>
  <c r="M926" i="1"/>
  <c r="N926" i="1" s="1"/>
  <c r="M934" i="1"/>
  <c r="M942" i="1"/>
  <c r="M950" i="1"/>
  <c r="M958" i="1"/>
  <c r="N958" i="1" s="1"/>
  <c r="M966" i="1"/>
  <c r="N966" i="1" s="1"/>
  <c r="M974" i="1"/>
  <c r="M982" i="1"/>
  <c r="N982" i="1" s="1"/>
  <c r="M990" i="1"/>
  <c r="N990" i="1" s="1"/>
  <c r="M998" i="1"/>
  <c r="M1006" i="1"/>
  <c r="M1014" i="1"/>
  <c r="M1022" i="1"/>
  <c r="N1022" i="1" s="1"/>
  <c r="M1030" i="1"/>
  <c r="N1030" i="1" s="1"/>
  <c r="M1038" i="1"/>
  <c r="M1046" i="1"/>
  <c r="M1054" i="1"/>
  <c r="N1054" i="1" s="1"/>
  <c r="M1062" i="1"/>
  <c r="M1070" i="1"/>
  <c r="M1078" i="1"/>
  <c r="M1094" i="1"/>
  <c r="N1094" i="1" s="1"/>
  <c r="M1102" i="1"/>
  <c r="N1102" i="1" s="1"/>
  <c r="M1110" i="1"/>
  <c r="M1118" i="1"/>
  <c r="N1118" i="1" s="1"/>
  <c r="M1126" i="1"/>
  <c r="N1126" i="1" s="1"/>
  <c r="M1134" i="1"/>
  <c r="M1142" i="1"/>
  <c r="M1150" i="1"/>
  <c r="M1158" i="1"/>
  <c r="N1158" i="1" s="1"/>
  <c r="M1166" i="1"/>
  <c r="N1166" i="1" s="1"/>
  <c r="M1174" i="1"/>
  <c r="M1182" i="1"/>
  <c r="N1182" i="1" s="1"/>
  <c r="M1190" i="1"/>
  <c r="N1190" i="1" s="1"/>
  <c r="M1198" i="1"/>
  <c r="M1206" i="1"/>
  <c r="M1214" i="1"/>
  <c r="M1222" i="1"/>
  <c r="M1230" i="1"/>
  <c r="M1238" i="1"/>
  <c r="M1246" i="1"/>
  <c r="N1246" i="1" s="1"/>
  <c r="M1254" i="1"/>
  <c r="N1254" i="1" s="1"/>
  <c r="M1262" i="1"/>
  <c r="M1270" i="1"/>
  <c r="M1278" i="1"/>
  <c r="M1286" i="1"/>
  <c r="N1286" i="1" s="1"/>
  <c r="M1294" i="1"/>
  <c r="M1302" i="1"/>
  <c r="M1310" i="1"/>
  <c r="N1310" i="1" s="1"/>
  <c r="M1318" i="1"/>
  <c r="N1318" i="1" s="1"/>
  <c r="M1326" i="1"/>
  <c r="M1334" i="1"/>
  <c r="M1342" i="1"/>
  <c r="M1350" i="1"/>
  <c r="N1350" i="1" s="1"/>
  <c r="M1358" i="1"/>
  <c r="N1358" i="1" s="1"/>
  <c r="M1366" i="1"/>
  <c r="M1374" i="1"/>
  <c r="M1382" i="1"/>
  <c r="N1382" i="1" s="1"/>
  <c r="M1390" i="1"/>
  <c r="M1398" i="1"/>
  <c r="M1406" i="1"/>
  <c r="N1406" i="1" s="1"/>
  <c r="M1414" i="1"/>
  <c r="N1414" i="1" s="1"/>
  <c r="M1422" i="1"/>
  <c r="N1422" i="1" s="1"/>
  <c r="M1430" i="1"/>
  <c r="M1438" i="1"/>
  <c r="N1438" i="1" s="1"/>
  <c r="M1446" i="1"/>
  <c r="N1446" i="1" s="1"/>
  <c r="M1454" i="1"/>
  <c r="M1462" i="1"/>
  <c r="M1470" i="1"/>
  <c r="M1478" i="1"/>
  <c r="N1478" i="1" s="1"/>
  <c r="M1486" i="1"/>
  <c r="N1486" i="1" s="1"/>
  <c r="M1494" i="1"/>
  <c r="M1502" i="1"/>
  <c r="N1502" i="1" s="1"/>
  <c r="M1510" i="1"/>
  <c r="N1510" i="1" s="1"/>
  <c r="M1518" i="1"/>
  <c r="M1526" i="1"/>
  <c r="M1534" i="1"/>
  <c r="M1542" i="1"/>
  <c r="N1542" i="1" s="1"/>
  <c r="M1550" i="1"/>
  <c r="N1550" i="1" s="1"/>
  <c r="M1558" i="1"/>
  <c r="M1566" i="1"/>
  <c r="N1566" i="1" s="1"/>
  <c r="M1574" i="1"/>
  <c r="N1574" i="1" s="1"/>
  <c r="M1582" i="1"/>
  <c r="M1590" i="1"/>
  <c r="M1598" i="1"/>
  <c r="M1606" i="1"/>
  <c r="N1606" i="1" s="1"/>
  <c r="M1614" i="1"/>
  <c r="M1622" i="1"/>
  <c r="M1630" i="1"/>
  <c r="N1630" i="1" s="1"/>
  <c r="M1638" i="1"/>
  <c r="N1638" i="1" s="1"/>
  <c r="M1646" i="1"/>
  <c r="M1654" i="1"/>
  <c r="M1662" i="1"/>
  <c r="M1670" i="1"/>
  <c r="N1670" i="1" s="1"/>
  <c r="M1678" i="1"/>
  <c r="M1694" i="1"/>
  <c r="M1702" i="1"/>
  <c r="N1702" i="1" s="1"/>
  <c r="M1710" i="1"/>
  <c r="N1710" i="1" s="1"/>
  <c r="M1718" i="1"/>
  <c r="M1726" i="1"/>
  <c r="M1734" i="1"/>
  <c r="M1742" i="1"/>
  <c r="N1742" i="1" s="1"/>
  <c r="M1758" i="1"/>
  <c r="M1766" i="1"/>
  <c r="M1774" i="1"/>
  <c r="N1774" i="1" s="1"/>
  <c r="M1782" i="1"/>
  <c r="N1782" i="1" s="1"/>
  <c r="M1790" i="1"/>
  <c r="M1798" i="1"/>
  <c r="M1806" i="1"/>
  <c r="M1814" i="1"/>
  <c r="N1814" i="1" s="1"/>
  <c r="M1822" i="1"/>
  <c r="N1822" i="1" s="1"/>
  <c r="M1830" i="1"/>
  <c r="M1838" i="1"/>
  <c r="N1838" i="1" s="1"/>
  <c r="M1846" i="1"/>
  <c r="N1846" i="1" s="1"/>
  <c r="M1854" i="1"/>
  <c r="N1854" i="1" s="1"/>
  <c r="M1862" i="1"/>
  <c r="N1862" i="1" s="1"/>
  <c r="M1870" i="1"/>
  <c r="N1870" i="1" s="1"/>
  <c r="M1878" i="1"/>
  <c r="N1878" i="1" s="1"/>
  <c r="M1886" i="1"/>
  <c r="N1886" i="1" s="1"/>
  <c r="M1894" i="1"/>
  <c r="N1894" i="1" s="1"/>
  <c r="M1902" i="1"/>
  <c r="N1902" i="1" s="1"/>
  <c r="M1910" i="1"/>
  <c r="N1910" i="1" s="1"/>
  <c r="M1918" i="1"/>
  <c r="N1918" i="1" s="1"/>
  <c r="M1926" i="1"/>
  <c r="M1934" i="1"/>
  <c r="N1934" i="1" s="1"/>
  <c r="M1942" i="1"/>
  <c r="N1942" i="1" s="1"/>
  <c r="M1950" i="1"/>
  <c r="N1950" i="1" s="1"/>
  <c r="M1958" i="1"/>
  <c r="N1958" i="1" s="1"/>
  <c r="M1966" i="1"/>
  <c r="N1966" i="1" s="1"/>
  <c r="M1974" i="1"/>
  <c r="N1974" i="1" s="1"/>
  <c r="M1982" i="1"/>
  <c r="N1982" i="1" s="1"/>
  <c r="M1990" i="1"/>
  <c r="M1998" i="1"/>
  <c r="N1998" i="1" s="1"/>
  <c r="M2006" i="1"/>
  <c r="N2006" i="1" s="1"/>
  <c r="M2014" i="1"/>
  <c r="N2014" i="1" s="1"/>
  <c r="M2022" i="1"/>
  <c r="N2022" i="1" s="1"/>
  <c r="M2030" i="1"/>
  <c r="N2030" i="1" s="1"/>
  <c r="M2038" i="1"/>
  <c r="N2038" i="1" s="1"/>
  <c r="M2046" i="1"/>
  <c r="N2046" i="1" s="1"/>
  <c r="M2054" i="1"/>
  <c r="M2062" i="1"/>
  <c r="N2062" i="1" s="1"/>
  <c r="M2070" i="1"/>
  <c r="N2070" i="1" s="1"/>
  <c r="M2078" i="1"/>
  <c r="N2078" i="1" s="1"/>
  <c r="M2086" i="1"/>
  <c r="N2086" i="1" s="1"/>
  <c r="M2094" i="1"/>
  <c r="N2094" i="1" s="1"/>
  <c r="M7" i="1"/>
  <c r="M15" i="1"/>
  <c r="M23" i="1"/>
  <c r="M31" i="1"/>
  <c r="M39" i="1"/>
  <c r="M47" i="1"/>
  <c r="N47" i="1" s="1"/>
  <c r="M55" i="1"/>
  <c r="M63" i="1"/>
  <c r="N63" i="1" s="1"/>
  <c r="M71" i="1"/>
  <c r="M79" i="1"/>
  <c r="M87" i="1"/>
  <c r="M95" i="1"/>
  <c r="M103" i="1"/>
  <c r="M111" i="1"/>
  <c r="N111" i="1" s="1"/>
  <c r="M119" i="1"/>
  <c r="M127" i="1"/>
  <c r="N127" i="1" s="1"/>
  <c r="M135" i="1"/>
  <c r="M143" i="1"/>
  <c r="M151" i="1"/>
  <c r="M159" i="1"/>
  <c r="M167" i="1"/>
  <c r="M175" i="1"/>
  <c r="N175" i="1" s="1"/>
  <c r="M183" i="1"/>
  <c r="M191" i="1"/>
  <c r="N191" i="1" s="1"/>
  <c r="M199" i="1"/>
  <c r="M207" i="1"/>
  <c r="M215" i="1"/>
  <c r="M223" i="1"/>
  <c r="M231" i="1"/>
  <c r="M239" i="1"/>
  <c r="N239" i="1" s="1"/>
  <c r="M247" i="1"/>
  <c r="M255" i="1"/>
  <c r="N255" i="1" s="1"/>
  <c r="M263" i="1"/>
  <c r="M271" i="1"/>
  <c r="M279" i="1"/>
  <c r="M287" i="1"/>
  <c r="M295" i="1"/>
  <c r="M303" i="1"/>
  <c r="N303" i="1" s="1"/>
  <c r="M311" i="1"/>
  <c r="M319" i="1"/>
  <c r="N319" i="1" s="1"/>
  <c r="M327" i="1"/>
  <c r="M335" i="1"/>
  <c r="M343" i="1"/>
  <c r="M351" i="1"/>
  <c r="M359" i="1"/>
  <c r="M367" i="1"/>
  <c r="M375" i="1"/>
  <c r="M383" i="1"/>
  <c r="N383" i="1" s="1"/>
  <c r="M391" i="1"/>
  <c r="M399" i="1"/>
  <c r="M407" i="1"/>
  <c r="M415" i="1"/>
  <c r="M423" i="1"/>
  <c r="M431" i="1"/>
  <c r="M439" i="1"/>
  <c r="M447" i="1"/>
  <c r="N447" i="1" s="1"/>
  <c r="M455" i="1"/>
  <c r="M463" i="1"/>
  <c r="M471" i="1"/>
  <c r="M479" i="1"/>
  <c r="M487" i="1"/>
  <c r="M495" i="1"/>
  <c r="N495" i="1" s="1"/>
  <c r="M503" i="1"/>
  <c r="M511" i="1"/>
  <c r="N511" i="1" s="1"/>
  <c r="M519" i="1"/>
  <c r="M527" i="1"/>
  <c r="M535" i="1"/>
  <c r="M543" i="1"/>
  <c r="M551" i="1"/>
  <c r="M559" i="1"/>
  <c r="M567" i="1"/>
  <c r="M575" i="1"/>
  <c r="N575" i="1" s="1"/>
  <c r="M583" i="1"/>
  <c r="M591" i="1"/>
  <c r="M599" i="1"/>
  <c r="M607" i="1"/>
  <c r="M615" i="1"/>
  <c r="M623" i="1"/>
  <c r="N623" i="1" s="1"/>
  <c r="M631" i="1"/>
  <c r="M639" i="1"/>
  <c r="N639" i="1" s="1"/>
  <c r="M647" i="1"/>
  <c r="M655" i="1"/>
  <c r="N655" i="1" s="1"/>
  <c r="M663" i="1"/>
  <c r="M671" i="1"/>
  <c r="M679" i="1"/>
  <c r="M687" i="1"/>
  <c r="N687" i="1" s="1"/>
  <c r="M695" i="1"/>
  <c r="M703" i="1"/>
  <c r="N703" i="1" s="1"/>
  <c r="M711" i="1"/>
  <c r="M719" i="1"/>
  <c r="N719" i="1" s="1"/>
  <c r="M727" i="1"/>
  <c r="M735" i="1"/>
  <c r="M743" i="1"/>
  <c r="M751" i="1"/>
  <c r="N751" i="1" s="1"/>
  <c r="M759" i="1"/>
  <c r="M767" i="1"/>
  <c r="N767" i="1" s="1"/>
  <c r="M775" i="1"/>
  <c r="M783" i="1"/>
  <c r="N783" i="1" s="1"/>
  <c r="M791" i="1"/>
  <c r="M799" i="1"/>
  <c r="M807" i="1"/>
  <c r="M815" i="1"/>
  <c r="N815" i="1" s="1"/>
  <c r="M823" i="1"/>
  <c r="M831" i="1"/>
  <c r="N831" i="1" s="1"/>
  <c r="M839" i="1"/>
  <c r="N839" i="1" s="1"/>
  <c r="M847" i="1"/>
  <c r="M855" i="1"/>
  <c r="M863" i="1"/>
  <c r="M871" i="1"/>
  <c r="N871" i="1" s="1"/>
  <c r="M879" i="1"/>
  <c r="N879" i="1" s="1"/>
  <c r="M887" i="1"/>
  <c r="N887" i="1" s="1"/>
  <c r="M895" i="1"/>
  <c r="N895" i="1" s="1"/>
  <c r="M903" i="1"/>
  <c r="N903" i="1" s="1"/>
  <c r="M911" i="1"/>
  <c r="M919" i="1"/>
  <c r="M927" i="1"/>
  <c r="M935" i="1"/>
  <c r="N935" i="1" s="1"/>
  <c r="M943" i="1"/>
  <c r="M951" i="1"/>
  <c r="N951" i="1" s="1"/>
  <c r="M959" i="1"/>
  <c r="N959" i="1" s="1"/>
  <c r="M967" i="1"/>
  <c r="N967" i="1" s="1"/>
  <c r="M975" i="1"/>
  <c r="M983" i="1"/>
  <c r="M991" i="1"/>
  <c r="M999" i="1"/>
  <c r="N999" i="1" s="1"/>
  <c r="M1007" i="1"/>
  <c r="N1007" i="1" s="1"/>
  <c r="M1015" i="1"/>
  <c r="N1015" i="1" s="1"/>
  <c r="M1023" i="1"/>
  <c r="N1023" i="1" s="1"/>
  <c r="M1031" i="1"/>
  <c r="N1031" i="1" s="1"/>
  <c r="M1039" i="1"/>
  <c r="M1047" i="1"/>
  <c r="M1055" i="1"/>
  <c r="M1063" i="1"/>
  <c r="N1063" i="1" s="1"/>
  <c r="M1071" i="1"/>
  <c r="M1079" i="1"/>
  <c r="N1079" i="1" s="1"/>
  <c r="M1087" i="1"/>
  <c r="N1087" i="1" s="1"/>
  <c r="M1095" i="1"/>
  <c r="N1095" i="1" s="1"/>
  <c r="M1103" i="1"/>
  <c r="M1111" i="1"/>
  <c r="M1119" i="1"/>
  <c r="M1127" i="1"/>
  <c r="N1127" i="1" s="1"/>
  <c r="M1135" i="1"/>
  <c r="N1135" i="1" s="1"/>
  <c r="M1143" i="1"/>
  <c r="N1143" i="1" s="1"/>
  <c r="M1151" i="1"/>
  <c r="M1159" i="1"/>
  <c r="N1159" i="1" s="1"/>
  <c r="M1167" i="1"/>
  <c r="M1175" i="1"/>
  <c r="M1183" i="1"/>
  <c r="M1191" i="1"/>
  <c r="N1191" i="1" s="1"/>
  <c r="M1199" i="1"/>
  <c r="N1199" i="1" s="1"/>
  <c r="M1207" i="1"/>
  <c r="N1207" i="1" s="1"/>
  <c r="M1215" i="1"/>
  <c r="N1215" i="1" s="1"/>
  <c r="M1223" i="1"/>
  <c r="N1223" i="1" s="1"/>
  <c r="M1231" i="1"/>
  <c r="M1239" i="1"/>
  <c r="M1247" i="1"/>
  <c r="M1255" i="1"/>
  <c r="N1255" i="1" s="1"/>
  <c r="M1263" i="1"/>
  <c r="N1263" i="1" s="1"/>
  <c r="M1271" i="1"/>
  <c r="N1271" i="1" s="1"/>
  <c r="M1279" i="1"/>
  <c r="N1279" i="1" s="1"/>
  <c r="M1287" i="1"/>
  <c r="N1287" i="1" s="1"/>
  <c r="M1295" i="1"/>
  <c r="M1303" i="1"/>
  <c r="M1311" i="1"/>
  <c r="M1319" i="1"/>
  <c r="N1319" i="1" s="1"/>
  <c r="M1327" i="1"/>
  <c r="N1327" i="1" s="1"/>
  <c r="M1335" i="1"/>
  <c r="N1335" i="1" s="1"/>
  <c r="M1343" i="1"/>
  <c r="N1343" i="1" s="1"/>
  <c r="M1351" i="1"/>
  <c r="N1351" i="1" s="1"/>
  <c r="M1359" i="1"/>
  <c r="M1367" i="1"/>
  <c r="M1375" i="1"/>
  <c r="M1383" i="1"/>
  <c r="N1383" i="1" s="1"/>
  <c r="M1391" i="1"/>
  <c r="N1391" i="1" s="1"/>
  <c r="M1399" i="1"/>
  <c r="N1399" i="1" s="1"/>
  <c r="M1407" i="1"/>
  <c r="N1407" i="1" s="1"/>
  <c r="M1415" i="1"/>
  <c r="N1415" i="1" s="1"/>
  <c r="M1423" i="1"/>
  <c r="M1431" i="1"/>
  <c r="N1431" i="1" s="1"/>
  <c r="M1439" i="1"/>
  <c r="M1447" i="1"/>
  <c r="M1455" i="1"/>
  <c r="N1455" i="1" s="1"/>
  <c r="M1463" i="1"/>
  <c r="N1463" i="1" s="1"/>
  <c r="M1471" i="1"/>
  <c r="N1471" i="1" s="1"/>
  <c r="M1479" i="1"/>
  <c r="N1479" i="1" s="1"/>
  <c r="M1487" i="1"/>
  <c r="M1495" i="1"/>
  <c r="N1495" i="1" s="1"/>
  <c r="M1503" i="1"/>
  <c r="M1511" i="1"/>
  <c r="M1519" i="1"/>
  <c r="N1519" i="1" s="1"/>
  <c r="M1527" i="1"/>
  <c r="N1527" i="1" s="1"/>
  <c r="M1535" i="1"/>
  <c r="N1535" i="1" s="1"/>
  <c r="M1543" i="1"/>
  <c r="N1543" i="1" s="1"/>
  <c r="M1551" i="1"/>
  <c r="M1559" i="1"/>
  <c r="N1559" i="1" s="1"/>
  <c r="M1567" i="1"/>
  <c r="M1575" i="1"/>
  <c r="M1583" i="1"/>
  <c r="N1583" i="1" s="1"/>
  <c r="M1591" i="1"/>
  <c r="N1591" i="1" s="1"/>
  <c r="M1599" i="1"/>
  <c r="N1599" i="1" s="1"/>
  <c r="M1607" i="1"/>
  <c r="N1607" i="1" s="1"/>
  <c r="M1615" i="1"/>
  <c r="M1623" i="1"/>
  <c r="N1623" i="1" s="1"/>
  <c r="M1631" i="1"/>
  <c r="M1639" i="1"/>
  <c r="M1647" i="1"/>
  <c r="M1655" i="1"/>
  <c r="N1655" i="1" s="1"/>
  <c r="M1663" i="1"/>
  <c r="N1663" i="1" s="1"/>
  <c r="M1671" i="1"/>
  <c r="N1671" i="1" s="1"/>
  <c r="M1679" i="1"/>
  <c r="M1687" i="1"/>
  <c r="N1687" i="1" s="1"/>
  <c r="M1695" i="1"/>
  <c r="M1703" i="1"/>
  <c r="M1719" i="1"/>
  <c r="N1719" i="1" s="1"/>
  <c r="M1727" i="1"/>
  <c r="N1727" i="1" s="1"/>
  <c r="M1735" i="1"/>
  <c r="N1735" i="1" s="1"/>
  <c r="M1743" i="1"/>
  <c r="M1751" i="1"/>
  <c r="N1751" i="1" s="1"/>
  <c r="M1759" i="1"/>
  <c r="M1767" i="1"/>
  <c r="M1783" i="1"/>
  <c r="M1791" i="1"/>
  <c r="N1791" i="1" s="1"/>
  <c r="M1799" i="1"/>
  <c r="M1807" i="1"/>
  <c r="N1807" i="1" s="1"/>
  <c r="M1815" i="1"/>
  <c r="M1209" i="1"/>
  <c r="N1209" i="1" s="1"/>
  <c r="M1257" i="1"/>
  <c r="M1305" i="1"/>
  <c r="M1345" i="1"/>
  <c r="M1385" i="1"/>
  <c r="N1385" i="1" s="1"/>
  <c r="M1433" i="1"/>
  <c r="M1473" i="1"/>
  <c r="N1473" i="1" s="1"/>
  <c r="M1505" i="1"/>
  <c r="M1569" i="1"/>
  <c r="N1569" i="1" s="1"/>
  <c r="M1617" i="1"/>
  <c r="M1665" i="1"/>
  <c r="M1785" i="1"/>
  <c r="M1833" i="1"/>
  <c r="N1833" i="1" s="1"/>
  <c r="M1881" i="1"/>
  <c r="M1921" i="1"/>
  <c r="N1921" i="1" s="1"/>
  <c r="M2017" i="1"/>
  <c r="N2054" i="1"/>
  <c r="N1990" i="1"/>
  <c r="M8" i="1"/>
  <c r="N8" i="1" s="1"/>
  <c r="M16" i="1"/>
  <c r="M24" i="1"/>
  <c r="N24" i="1" s="1"/>
  <c r="M32" i="1"/>
  <c r="M40" i="1"/>
  <c r="M48" i="1"/>
  <c r="M56" i="1"/>
  <c r="M64" i="1"/>
  <c r="M72" i="1"/>
  <c r="N72" i="1" s="1"/>
  <c r="M80" i="1"/>
  <c r="M88" i="1"/>
  <c r="N88" i="1" s="1"/>
  <c r="M96" i="1"/>
  <c r="M104" i="1"/>
  <c r="M112" i="1"/>
  <c r="M120" i="1"/>
  <c r="M128" i="1"/>
  <c r="M136" i="1"/>
  <c r="M144" i="1"/>
  <c r="M152" i="1"/>
  <c r="N152" i="1" s="1"/>
  <c r="M160" i="1"/>
  <c r="M168" i="1"/>
  <c r="M176" i="1"/>
  <c r="M184" i="1"/>
  <c r="M192" i="1"/>
  <c r="N192" i="1" s="1"/>
  <c r="M200" i="1"/>
  <c r="N200" i="1" s="1"/>
  <c r="M208" i="1"/>
  <c r="M216" i="1"/>
  <c r="N216" i="1" s="1"/>
  <c r="M224" i="1"/>
  <c r="M232" i="1"/>
  <c r="M240" i="1"/>
  <c r="M248" i="1"/>
  <c r="M256" i="1"/>
  <c r="M264" i="1"/>
  <c r="N264" i="1" s="1"/>
  <c r="M272" i="1"/>
  <c r="M280" i="1"/>
  <c r="M288" i="1"/>
  <c r="N288" i="1" s="1"/>
  <c r="M296" i="1"/>
  <c r="M304" i="1"/>
  <c r="M312" i="1"/>
  <c r="M320" i="1"/>
  <c r="M328" i="1"/>
  <c r="N328" i="1" s="1"/>
  <c r="M336" i="1"/>
  <c r="M344" i="1"/>
  <c r="N344" i="1" s="1"/>
  <c r="M352" i="1"/>
  <c r="M360" i="1"/>
  <c r="M368" i="1"/>
  <c r="M376" i="1"/>
  <c r="N376" i="1" s="1"/>
  <c r="M384" i="1"/>
  <c r="M392" i="1"/>
  <c r="N392" i="1" s="1"/>
  <c r="M400" i="1"/>
  <c r="M408" i="1"/>
  <c r="N408" i="1" s="1"/>
  <c r="M416" i="1"/>
  <c r="M424" i="1"/>
  <c r="M432" i="1"/>
  <c r="M440" i="1"/>
  <c r="N440" i="1" s="1"/>
  <c r="M448" i="1"/>
  <c r="N448" i="1" s="1"/>
  <c r="M456" i="1"/>
  <c r="N456" i="1" s="1"/>
  <c r="M464" i="1"/>
  <c r="N464" i="1" s="1"/>
  <c r="M472" i="1"/>
  <c r="N472" i="1" s="1"/>
  <c r="M480" i="1"/>
  <c r="M488" i="1"/>
  <c r="M496" i="1"/>
  <c r="M504" i="1"/>
  <c r="M512" i="1"/>
  <c r="N512" i="1" s="1"/>
  <c r="M520" i="1"/>
  <c r="N520" i="1" s="1"/>
  <c r="M528" i="1"/>
  <c r="N528" i="1" s="1"/>
  <c r="M536" i="1"/>
  <c r="N536" i="1" s="1"/>
  <c r="M544" i="1"/>
  <c r="M552" i="1"/>
  <c r="M560" i="1"/>
  <c r="M568" i="1"/>
  <c r="M576" i="1"/>
  <c r="N576" i="1" s="1"/>
  <c r="M584" i="1"/>
  <c r="N584" i="1" s="1"/>
  <c r="M592" i="1"/>
  <c r="N592" i="1" s="1"/>
  <c r="M600" i="1"/>
  <c r="M608" i="1"/>
  <c r="M616" i="1"/>
  <c r="M624" i="1"/>
  <c r="M632" i="1"/>
  <c r="M640" i="1"/>
  <c r="N640" i="1" s="1"/>
  <c r="M648" i="1"/>
  <c r="N648" i="1" s="1"/>
  <c r="M656" i="1"/>
  <c r="N656" i="1" s="1"/>
  <c r="M664" i="1"/>
  <c r="N664" i="1" s="1"/>
  <c r="M672" i="1"/>
  <c r="M680" i="1"/>
  <c r="N680" i="1" s="1"/>
  <c r="M688" i="1"/>
  <c r="M696" i="1"/>
  <c r="M704" i="1"/>
  <c r="M712" i="1"/>
  <c r="N712" i="1" s="1"/>
  <c r="M720" i="1"/>
  <c r="M728" i="1"/>
  <c r="N728" i="1" s="1"/>
  <c r="M736" i="1"/>
  <c r="M744" i="1"/>
  <c r="M752" i="1"/>
  <c r="M760" i="1"/>
  <c r="M768" i="1"/>
  <c r="M776" i="1"/>
  <c r="N776" i="1" s="1"/>
  <c r="M784" i="1"/>
  <c r="M792" i="1"/>
  <c r="N792" i="1" s="1"/>
  <c r="M800" i="1"/>
  <c r="M808" i="1"/>
  <c r="N808" i="1" s="1"/>
  <c r="M816" i="1"/>
  <c r="M824" i="1"/>
  <c r="M832" i="1"/>
  <c r="M840" i="1"/>
  <c r="N840" i="1" s="1"/>
  <c r="M848" i="1"/>
  <c r="N848" i="1" s="1"/>
  <c r="M856" i="1"/>
  <c r="N856" i="1" s="1"/>
  <c r="M864" i="1"/>
  <c r="N864" i="1" s="1"/>
  <c r="M872" i="1"/>
  <c r="M880" i="1"/>
  <c r="M888" i="1"/>
  <c r="M896" i="1"/>
  <c r="M904" i="1"/>
  <c r="N904" i="1" s="1"/>
  <c r="M912" i="1"/>
  <c r="N912" i="1" s="1"/>
  <c r="M920" i="1"/>
  <c r="N920" i="1" s="1"/>
  <c r="M928" i="1"/>
  <c r="N928" i="1" s="1"/>
  <c r="M936" i="1"/>
  <c r="M944" i="1"/>
  <c r="M952" i="1"/>
  <c r="M960" i="1"/>
  <c r="M968" i="1"/>
  <c r="N968" i="1" s="1"/>
  <c r="M976" i="1"/>
  <c r="M984" i="1"/>
  <c r="N984" i="1" s="1"/>
  <c r="M992" i="1"/>
  <c r="M1000" i="1"/>
  <c r="N1000" i="1" s="1"/>
  <c r="M1008" i="1"/>
  <c r="M1016" i="1"/>
  <c r="M1024" i="1"/>
  <c r="M1032" i="1"/>
  <c r="N1032" i="1" s="1"/>
  <c r="M1040" i="1"/>
  <c r="M1048" i="1"/>
  <c r="N1048" i="1" s="1"/>
  <c r="M1056" i="1"/>
  <c r="M1064" i="1"/>
  <c r="N1064" i="1" s="1"/>
  <c r="M1072" i="1"/>
  <c r="M1080" i="1"/>
  <c r="M1088" i="1"/>
  <c r="M1096" i="1"/>
  <c r="N1096" i="1" s="1"/>
  <c r="M1104" i="1"/>
  <c r="M1112" i="1"/>
  <c r="N1112" i="1" s="1"/>
  <c r="M1120" i="1"/>
  <c r="M1128" i="1"/>
  <c r="N1128" i="1" s="1"/>
  <c r="M1136" i="1"/>
  <c r="M1144" i="1"/>
  <c r="M1152" i="1"/>
  <c r="M1160" i="1"/>
  <c r="N1160" i="1" s="1"/>
  <c r="M1168" i="1"/>
  <c r="M1176" i="1"/>
  <c r="N1176" i="1" s="1"/>
  <c r="M1184" i="1"/>
  <c r="M1192" i="1"/>
  <c r="N1192" i="1" s="1"/>
  <c r="M1200" i="1"/>
  <c r="M1208" i="1"/>
  <c r="M1216" i="1"/>
  <c r="M1224" i="1"/>
  <c r="N1224" i="1" s="1"/>
  <c r="M1232" i="1"/>
  <c r="M1240" i="1"/>
  <c r="N1240" i="1" s="1"/>
  <c r="M1248" i="1"/>
  <c r="M1256" i="1"/>
  <c r="N1256" i="1" s="1"/>
  <c r="M1264" i="1"/>
  <c r="M1272" i="1"/>
  <c r="M1280" i="1"/>
  <c r="M1288" i="1"/>
  <c r="N1288" i="1" s="1"/>
  <c r="M1296" i="1"/>
  <c r="M1304" i="1"/>
  <c r="N1304" i="1" s="1"/>
  <c r="M1312" i="1"/>
  <c r="M1320" i="1"/>
  <c r="N1320" i="1" s="1"/>
  <c r="M1328" i="1"/>
  <c r="M1336" i="1"/>
  <c r="M1344" i="1"/>
  <c r="M1352" i="1"/>
  <c r="N1352" i="1" s="1"/>
  <c r="M1360" i="1"/>
  <c r="M1368" i="1"/>
  <c r="N1368" i="1" s="1"/>
  <c r="M1376" i="1"/>
  <c r="M1384" i="1"/>
  <c r="N1384" i="1" s="1"/>
  <c r="M1392" i="1"/>
  <c r="M1400" i="1"/>
  <c r="M1408" i="1"/>
  <c r="M1416" i="1"/>
  <c r="N1416" i="1" s="1"/>
  <c r="M1424" i="1"/>
  <c r="M1432" i="1"/>
  <c r="N1432" i="1" s="1"/>
  <c r="M1440" i="1"/>
  <c r="M1448" i="1"/>
  <c r="M1456" i="1"/>
  <c r="M1464" i="1"/>
  <c r="N1464" i="1" s="1"/>
  <c r="M1472" i="1"/>
  <c r="M1480" i="1"/>
  <c r="N1480" i="1" s="1"/>
  <c r="M1488" i="1"/>
  <c r="M1496" i="1"/>
  <c r="M1504" i="1"/>
  <c r="M1512" i="1"/>
  <c r="M1520" i="1"/>
  <c r="M1528" i="1"/>
  <c r="M1536" i="1"/>
  <c r="N1536" i="1" s="1"/>
  <c r="M1544" i="1"/>
  <c r="N1544" i="1" s="1"/>
  <c r="M1552" i="1"/>
  <c r="N1552" i="1" s="1"/>
  <c r="M1560" i="1"/>
  <c r="N1560" i="1" s="1"/>
  <c r="M1568" i="1"/>
  <c r="N1568" i="1" s="1"/>
  <c r="M1576" i="1"/>
  <c r="M1584" i="1"/>
  <c r="M1592" i="1"/>
  <c r="M1600" i="1"/>
  <c r="N1600" i="1" s="1"/>
  <c r="M1608" i="1"/>
  <c r="N1608" i="1" s="1"/>
  <c r="M1616" i="1"/>
  <c r="N1616" i="1" s="1"/>
  <c r="M1624" i="1"/>
  <c r="N1624" i="1" s="1"/>
  <c r="M1632" i="1"/>
  <c r="N1632" i="1" s="1"/>
  <c r="M1640" i="1"/>
  <c r="M1648" i="1"/>
  <c r="M1656" i="1"/>
  <c r="M1664" i="1"/>
  <c r="N1664" i="1" s="1"/>
  <c r="M1672" i="1"/>
  <c r="N1672" i="1" s="1"/>
  <c r="M1680" i="1"/>
  <c r="N1680" i="1" s="1"/>
  <c r="M1688" i="1"/>
  <c r="N1688" i="1" s="1"/>
  <c r="M1696" i="1"/>
  <c r="N1696" i="1" s="1"/>
  <c r="M1704" i="1"/>
  <c r="M1712" i="1"/>
  <c r="M1720" i="1"/>
  <c r="M1728" i="1"/>
  <c r="N1728" i="1" s="1"/>
  <c r="M1736" i="1"/>
  <c r="N1736" i="1" s="1"/>
  <c r="M1744" i="1"/>
  <c r="N1744" i="1" s="1"/>
  <c r="M1752" i="1"/>
  <c r="N1752" i="1" s="1"/>
  <c r="M1760" i="1"/>
  <c r="N1760" i="1" s="1"/>
  <c r="M1768" i="1"/>
  <c r="M1776" i="1"/>
  <c r="M1784" i="1"/>
  <c r="M1792" i="1"/>
  <c r="N1792" i="1" s="1"/>
  <c r="M1800" i="1"/>
  <c r="M1808" i="1"/>
  <c r="N1808" i="1" s="1"/>
  <c r="M1816" i="1"/>
  <c r="N1816" i="1" s="1"/>
  <c r="M1824" i="1"/>
  <c r="N1824" i="1" s="1"/>
  <c r="M1832" i="1"/>
  <c r="M1840" i="1"/>
  <c r="M1848" i="1"/>
  <c r="M1856" i="1"/>
  <c r="N1856" i="1" s="1"/>
  <c r="M1864" i="1"/>
  <c r="N1864" i="1" s="1"/>
  <c r="M1872" i="1"/>
  <c r="N1872" i="1" s="1"/>
  <c r="M1880" i="1"/>
  <c r="N1880" i="1" s="1"/>
  <c r="M1888" i="1"/>
  <c r="N1888" i="1" s="1"/>
  <c r="M1896" i="1"/>
  <c r="M1904" i="1"/>
  <c r="M1912" i="1"/>
  <c r="M1920" i="1"/>
  <c r="N1920" i="1" s="1"/>
  <c r="M1928" i="1"/>
  <c r="M1936" i="1"/>
  <c r="N1936" i="1" s="1"/>
  <c r="M1944" i="1"/>
  <c r="N1944" i="1" s="1"/>
  <c r="M1952" i="1"/>
  <c r="N1952" i="1" s="1"/>
  <c r="M1960" i="1"/>
  <c r="M1968" i="1"/>
  <c r="M1976" i="1"/>
  <c r="M1984" i="1"/>
  <c r="N1984" i="1" s="1"/>
  <c r="M1992" i="1"/>
  <c r="N1992" i="1" s="1"/>
  <c r="M2000" i="1"/>
  <c r="N2000" i="1" s="1"/>
  <c r="M2008" i="1"/>
  <c r="M2016" i="1"/>
  <c r="N2016" i="1" s="1"/>
  <c r="M2024" i="1"/>
  <c r="M2032" i="1"/>
  <c r="M2040" i="1"/>
  <c r="M2048" i="1"/>
  <c r="N2048" i="1" s="1"/>
  <c r="M2056" i="1"/>
  <c r="N2056" i="1" s="1"/>
  <c r="M2064" i="1"/>
  <c r="N2064" i="1" s="1"/>
  <c r="M2072" i="1"/>
  <c r="N2072" i="1" s="1"/>
  <c r="M2080" i="1"/>
  <c r="N2080" i="1" s="1"/>
  <c r="M2088" i="1"/>
  <c r="M2096" i="1"/>
  <c r="N1815" i="1"/>
  <c r="N1799" i="1"/>
  <c r="N1783" i="1"/>
  <c r="N1767" i="1"/>
  <c r="N1759" i="1"/>
  <c r="N1743" i="1"/>
  <c r="N1711" i="1"/>
  <c r="N1703" i="1"/>
  <c r="N1695" i="1"/>
  <c r="N1679" i="1"/>
  <c r="N1647" i="1"/>
  <c r="N1639" i="1"/>
  <c r="N1631" i="1"/>
  <c r="N1615" i="1"/>
  <c r="N1575" i="1"/>
  <c r="N1567" i="1"/>
  <c r="N1551" i="1"/>
  <c r="N1511" i="1"/>
  <c r="N1503" i="1"/>
  <c r="N1487" i="1"/>
  <c r="N1447" i="1"/>
  <c r="N1439" i="1"/>
  <c r="N1423" i="1"/>
  <c r="N1588" i="1"/>
  <c r="N1572" i="1"/>
  <c r="N1556" i="1"/>
  <c r="N1548" i="1"/>
  <c r="N1540" i="1"/>
  <c r="N1524" i="1"/>
  <c r="N1508" i="1"/>
  <c r="N1492" i="1"/>
  <c r="N1484" i="1"/>
  <c r="N1476" i="1"/>
  <c r="N1460" i="1"/>
  <c r="N1452" i="1"/>
  <c r="N1444" i="1"/>
  <c r="N1428" i="1"/>
  <c r="N1420" i="1"/>
  <c r="N1412" i="1"/>
  <c r="N1396" i="1"/>
  <c r="N1388" i="1"/>
  <c r="N1380" i="1"/>
  <c r="N1364" i="1"/>
  <c r="N1356" i="1"/>
  <c r="N1348" i="1"/>
  <c r="N1332" i="1"/>
  <c r="N1316" i="1"/>
  <c r="N1300" i="1"/>
  <c r="N1292" i="1"/>
  <c r="N1284" i="1"/>
  <c r="N1268" i="1"/>
  <c r="N1252" i="1"/>
  <c r="N1236" i="1"/>
  <c r="N1228" i="1"/>
  <c r="N1220" i="1"/>
  <c r="N1204" i="1"/>
  <c r="N1196" i="1"/>
  <c r="N1188" i="1"/>
  <c r="N1172" i="1"/>
  <c r="N1164" i="1"/>
  <c r="N1499" i="1"/>
  <c r="N1834" i="1"/>
  <c r="N1826" i="1"/>
  <c r="N1818" i="1"/>
  <c r="N1810" i="1"/>
  <c r="N1802" i="1"/>
  <c r="N1786" i="1"/>
  <c r="N1778" i="1"/>
  <c r="N1770" i="1"/>
  <c r="N1762" i="1"/>
  <c r="N1754" i="1"/>
  <c r="N1746" i="1"/>
  <c r="N1730" i="1"/>
  <c r="N1714" i="1"/>
  <c r="N1706" i="1"/>
  <c r="N1698" i="1"/>
  <c r="N1690" i="1"/>
  <c r="N1682" i="1"/>
  <c r="N1674" i="1"/>
  <c r="N1658" i="1"/>
  <c r="N1642" i="1"/>
  <c r="N1634" i="1"/>
  <c r="N1626" i="1"/>
  <c r="N1618" i="1"/>
  <c r="N1610" i="1"/>
  <c r="N1594" i="1"/>
  <c r="N1375" i="1"/>
  <c r="N1367" i="1"/>
  <c r="N1359" i="1"/>
  <c r="N1311" i="1"/>
  <c r="N1303" i="1"/>
  <c r="N1295" i="1"/>
  <c r="N1247" i="1"/>
  <c r="N1239" i="1"/>
  <c r="N1231" i="1"/>
  <c r="N1183" i="1"/>
  <c r="N1175" i="1"/>
  <c r="N1167" i="1"/>
  <c r="N1151" i="1"/>
  <c r="N1119" i="1"/>
  <c r="N1111" i="1"/>
  <c r="N1103" i="1"/>
  <c r="N1071" i="1"/>
  <c r="N1055" i="1"/>
  <c r="N1047" i="1"/>
  <c r="N1039" i="1"/>
  <c r="N991" i="1"/>
  <c r="N983" i="1"/>
  <c r="N975" i="1"/>
  <c r="N943" i="1"/>
  <c r="N927" i="1"/>
  <c r="N919" i="1"/>
  <c r="N911" i="1"/>
  <c r="N863" i="1"/>
  <c r="N855" i="1"/>
  <c r="N847" i="1"/>
  <c r="N1830" i="1"/>
  <c r="N1806" i="1"/>
  <c r="N1798" i="1"/>
  <c r="N1790" i="1"/>
  <c r="N1766" i="1"/>
  <c r="N1758" i="1"/>
  <c r="N1750" i="1"/>
  <c r="N1734" i="1"/>
  <c r="N1726" i="1"/>
  <c r="N1718" i="1"/>
  <c r="N1694" i="1"/>
  <c r="N1686" i="1"/>
  <c r="N1678" i="1"/>
  <c r="N1662" i="1"/>
  <c r="N1654" i="1"/>
  <c r="N1470" i="1"/>
  <c r="M2" i="1"/>
  <c r="N2085" i="1"/>
  <c r="N2077" i="1"/>
  <c r="N2045" i="1"/>
  <c r="N2037" i="1"/>
  <c r="N2013" i="1"/>
  <c r="N1981" i="1"/>
  <c r="N1973" i="1"/>
  <c r="N1949" i="1"/>
  <c r="N1917" i="1"/>
  <c r="N1909" i="1"/>
  <c r="N1893" i="1"/>
  <c r="N1885" i="1"/>
  <c r="N1877" i="1"/>
  <c r="N1853" i="1"/>
  <c r="N1845" i="1"/>
  <c r="N1829" i="1"/>
  <c r="N1821" i="1"/>
  <c r="N1813" i="1"/>
  <c r="N1789" i="1"/>
  <c r="N1773" i="1"/>
  <c r="N1749" i="1"/>
  <c r="N1741" i="1"/>
  <c r="N1725" i="1"/>
  <c r="N1693" i="1"/>
  <c r="N1661" i="1"/>
  <c r="N1645" i="1"/>
  <c r="N1621" i="1"/>
  <c r="N1597" i="1"/>
  <c r="N1589" i="1"/>
  <c r="N1573" i="1"/>
  <c r="N1549" i="1"/>
  <c r="N1541" i="1"/>
  <c r="N1525" i="1"/>
  <c r="N1517" i="1"/>
  <c r="N1509" i="1"/>
  <c r="N1485" i="1"/>
  <c r="N1477" i="1"/>
  <c r="N1469" i="1"/>
  <c r="N1461" i="1"/>
  <c r="N1445" i="1"/>
  <c r="N1437" i="1"/>
  <c r="N1405" i="1"/>
  <c r="N1397" i="1"/>
  <c r="N1389" i="1"/>
  <c r="N1373" i="1"/>
  <c r="N1365" i="1"/>
  <c r="N1349" i="1"/>
  <c r="N1333" i="1"/>
  <c r="N1325" i="1"/>
  <c r="N1317" i="1"/>
  <c r="N1301" i="1"/>
  <c r="N1293" i="1"/>
  <c r="N1269" i="1"/>
  <c r="N1261" i="1"/>
  <c r="N1253" i="1"/>
  <c r="N1237" i="1"/>
  <c r="N1229" i="1"/>
  <c r="N1197" i="1"/>
  <c r="N1189" i="1"/>
  <c r="N1173" i="1"/>
  <c r="N1165" i="1"/>
  <c r="N1133" i="1"/>
  <c r="N1125" i="1"/>
  <c r="N1109" i="1"/>
  <c r="N1101" i="1"/>
  <c r="N1077" i="1"/>
  <c r="N1069" i="1"/>
  <c r="N1061" i="1"/>
  <c r="N1045" i="1"/>
  <c r="N1037" i="1"/>
  <c r="N1013" i="1"/>
  <c r="N1005" i="1"/>
  <c r="N997" i="1"/>
  <c r="N981" i="1"/>
  <c r="N973" i="1"/>
  <c r="N941" i="1"/>
  <c r="N933" i="1"/>
  <c r="N2091" i="1"/>
  <c r="N2083" i="1"/>
  <c r="N2075" i="1"/>
  <c r="N2059" i="1"/>
  <c r="N2043" i="1"/>
  <c r="N2027" i="1"/>
  <c r="N2019" i="1"/>
  <c r="N2011" i="1"/>
  <c r="N1995" i="1"/>
  <c r="N1979" i="1"/>
  <c r="N1963" i="1"/>
  <c r="N1955" i="1"/>
  <c r="N1947" i="1"/>
  <c r="N1931" i="1"/>
  <c r="N1915" i="1"/>
  <c r="N1899" i="1"/>
  <c r="N1891" i="1"/>
  <c r="N1883" i="1"/>
  <c r="N1867" i="1"/>
  <c r="N1851" i="1"/>
  <c r="N1835" i="1"/>
  <c r="N1827" i="1"/>
  <c r="N1819" i="1"/>
  <c r="N1803" i="1"/>
  <c r="N1787" i="1"/>
  <c r="N1771" i="1"/>
  <c r="N1763" i="1"/>
  <c r="N1755" i="1"/>
  <c r="N1739" i="1"/>
  <c r="N1723" i="1"/>
  <c r="N1707" i="1"/>
  <c r="N1699" i="1"/>
  <c r="N1691" i="1"/>
  <c r="N1675" i="1"/>
  <c r="N1659" i="1"/>
  <c r="N1643" i="1"/>
  <c r="N1635" i="1"/>
  <c r="N1627" i="1"/>
  <c r="N1611" i="1"/>
  <c r="N1595" i="1"/>
  <c r="N1579" i="1"/>
  <c r="N1571" i="1"/>
  <c r="N1563" i="1"/>
  <c r="N1547" i="1"/>
  <c r="N1531" i="1"/>
  <c r="N1515" i="1"/>
  <c r="N1507" i="1"/>
  <c r="N1483" i="1"/>
  <c r="N1475" i="1"/>
  <c r="N1467" i="1"/>
  <c r="N1451" i="1"/>
  <c r="N1443" i="1"/>
  <c r="N1435" i="1"/>
  <c r="N1419" i="1"/>
  <c r="N1411" i="1"/>
  <c r="N1403" i="1"/>
  <c r="N1387" i="1"/>
  <c r="N1379" i="1"/>
  <c r="N1371" i="1"/>
  <c r="N1355" i="1"/>
  <c r="N1339" i="1"/>
  <c r="N1323" i="1"/>
  <c r="N1315" i="1"/>
  <c r="N1307" i="1"/>
  <c r="N1291" i="1"/>
  <c r="N1275" i="1"/>
  <c r="N1259" i="1"/>
  <c r="N1251" i="1"/>
  <c r="N1243" i="1"/>
  <c r="N1227" i="1"/>
  <c r="N1219" i="1"/>
  <c r="N1211" i="1"/>
  <c r="N1195" i="1"/>
  <c r="N1187" i="1"/>
  <c r="N1179" i="1"/>
  <c r="N1163" i="1"/>
  <c r="N1155" i="1"/>
  <c r="N1147" i="1"/>
  <c r="N1131" i="1"/>
  <c r="N187" i="1"/>
  <c r="N1578" i="1"/>
  <c r="N1570" i="1"/>
  <c r="N1562" i="1"/>
  <c r="N1554" i="1"/>
  <c r="N1546" i="1"/>
  <c r="N1538" i="1"/>
  <c r="N1530" i="1"/>
  <c r="N1514" i="1"/>
  <c r="N1506" i="1"/>
  <c r="N1498" i="1"/>
  <c r="N1490" i="1"/>
  <c r="N1482" i="1"/>
  <c r="N1474" i="1"/>
  <c r="N1466" i="1"/>
  <c r="N1450" i="1"/>
  <c r="N1442" i="1"/>
  <c r="N1434" i="1"/>
  <c r="N1426" i="1"/>
  <c r="N1418" i="1"/>
  <c r="N1410" i="1"/>
  <c r="N1402" i="1"/>
  <c r="N1386" i="1"/>
  <c r="N1378" i="1"/>
  <c r="N1370" i="1"/>
  <c r="N1362" i="1"/>
  <c r="N1354" i="1"/>
  <c r="N1346" i="1"/>
  <c r="N1338" i="1"/>
  <c r="N1322" i="1"/>
  <c r="N1314" i="1"/>
  <c r="N1306" i="1"/>
  <c r="N1298" i="1"/>
  <c r="N1290" i="1"/>
  <c r="N1282" i="1"/>
  <c r="N1274" i="1"/>
  <c r="N1266" i="1"/>
  <c r="N1250" i="1"/>
  <c r="N1242" i="1"/>
  <c r="N1234" i="1"/>
  <c r="N1226" i="1"/>
  <c r="N1218" i="1"/>
  <c r="N1202" i="1"/>
  <c r="N1186" i="1"/>
  <c r="N1178" i="1"/>
  <c r="N1170" i="1"/>
  <c r="N1162" i="1"/>
  <c r="N1154" i="1"/>
  <c r="N1138" i="1"/>
  <c r="N1122" i="1"/>
  <c r="N1114" i="1"/>
  <c r="N1106" i="1"/>
  <c r="N1098" i="1"/>
  <c r="N1090" i="1"/>
  <c r="N1074" i="1"/>
  <c r="N2097" i="1"/>
  <c r="N2081" i="1"/>
  <c r="N2073" i="1"/>
  <c r="N2049" i="1"/>
  <c r="N2041" i="1"/>
  <c r="N2033" i="1"/>
  <c r="N2017" i="1"/>
  <c r="N2009" i="1"/>
  <c r="N1993" i="1"/>
  <c r="N1985" i="1"/>
  <c r="N1977" i="1"/>
  <c r="N1969" i="1"/>
  <c r="N1961" i="1"/>
  <c r="N1953" i="1"/>
  <c r="N1929" i="1"/>
  <c r="N1905" i="1"/>
  <c r="N1897" i="1"/>
  <c r="N1889" i="1"/>
  <c r="N1881" i="1"/>
  <c r="N1873" i="1"/>
  <c r="N1865" i="1"/>
  <c r="N1849" i="1"/>
  <c r="N1825" i="1"/>
  <c r="N1817" i="1"/>
  <c r="N1809" i="1"/>
  <c r="N1801" i="1"/>
  <c r="N1793" i="1"/>
  <c r="N1785" i="1"/>
  <c r="N1769" i="1"/>
  <c r="N1761" i="1"/>
  <c r="N1753" i="1"/>
  <c r="N1737" i="1"/>
  <c r="N1729" i="1"/>
  <c r="N1721" i="1"/>
  <c r="N1713" i="1"/>
  <c r="N1697" i="1"/>
  <c r="N1673" i="1"/>
  <c r="N1665" i="1"/>
  <c r="N1657" i="1"/>
  <c r="N1649" i="1"/>
  <c r="N1641" i="1"/>
  <c r="N1633" i="1"/>
  <c r="N1625" i="1"/>
  <c r="N1617" i="1"/>
  <c r="N1609" i="1"/>
  <c r="N1577" i="1"/>
  <c r="N1561" i="1"/>
  <c r="N1553" i="1"/>
  <c r="N1545" i="1"/>
  <c r="N1537" i="1"/>
  <c r="N1513" i="1"/>
  <c r="N1505" i="1"/>
  <c r="N1489" i="1"/>
  <c r="N1481" i="1"/>
  <c r="N1449" i="1"/>
  <c r="N1441" i="1"/>
  <c r="N1433" i="1"/>
  <c r="N1425" i="1"/>
  <c r="N1409" i="1"/>
  <c r="N1401" i="1"/>
  <c r="N1393" i="1"/>
  <c r="N1377" i="1"/>
  <c r="N1369" i="1"/>
  <c r="N1353" i="1"/>
  <c r="N1345" i="1"/>
  <c r="N1329" i="1"/>
  <c r="N1321" i="1"/>
  <c r="N1512" i="1"/>
  <c r="N823" i="1"/>
  <c r="N807" i="1"/>
  <c r="N799" i="1"/>
  <c r="N791" i="1"/>
  <c r="N775" i="1"/>
  <c r="N759" i="1"/>
  <c r="N743" i="1"/>
  <c r="N735" i="1"/>
  <c r="N727" i="1"/>
  <c r="N711" i="1"/>
  <c r="N695" i="1"/>
  <c r="N679" i="1"/>
  <c r="N671" i="1"/>
  <c r="N663" i="1"/>
  <c r="N647" i="1"/>
  <c r="N631" i="1"/>
  <c r="N615" i="1"/>
  <c r="N607" i="1"/>
  <c r="N599" i="1"/>
  <c r="N591" i="1"/>
  <c r="N583" i="1"/>
  <c r="N567" i="1"/>
  <c r="N559" i="1"/>
  <c r="N551" i="1"/>
  <c r="N543" i="1"/>
  <c r="N535" i="1"/>
  <c r="N527" i="1"/>
  <c r="N519" i="1"/>
  <c r="N503" i="1"/>
  <c r="N487" i="1"/>
  <c r="N479" i="1"/>
  <c r="N471" i="1"/>
  <c r="N463" i="1"/>
  <c r="N455" i="1"/>
  <c r="N439" i="1"/>
  <c r="N431" i="1"/>
  <c r="N423" i="1"/>
  <c r="N1156" i="1"/>
  <c r="N1140" i="1"/>
  <c r="N1124" i="1"/>
  <c r="N1305" i="1"/>
  <c r="N1289" i="1"/>
  <c r="N1265" i="1"/>
  <c r="N1257" i="1"/>
  <c r="N1241" i="1"/>
  <c r="N1225" i="1"/>
  <c r="N1217" i="1"/>
  <c r="N1201" i="1"/>
  <c r="N1193" i="1"/>
  <c r="N1185" i="1"/>
  <c r="N1177" i="1"/>
  <c r="N1161" i="1"/>
  <c r="N1153" i="1"/>
  <c r="N1145" i="1"/>
  <c r="N1137" i="1"/>
  <c r="N1129" i="1"/>
  <c r="N1113" i="1"/>
  <c r="N1097" i="1"/>
  <c r="N1089" i="1"/>
  <c r="N1081" i="1"/>
  <c r="N1073" i="1"/>
  <c r="N1065" i="1"/>
  <c r="N1049" i="1"/>
  <c r="N1033" i="1"/>
  <c r="N1025" i="1"/>
  <c r="N1017" i="1"/>
  <c r="N1009" i="1"/>
  <c r="N1001" i="1"/>
  <c r="N985" i="1"/>
  <c r="N969" i="1"/>
  <c r="N961" i="1"/>
  <c r="N953" i="1"/>
  <c r="N945" i="1"/>
  <c r="N937" i="1"/>
  <c r="N921" i="1"/>
  <c r="N905" i="1"/>
  <c r="N897" i="1"/>
  <c r="N889" i="1"/>
  <c r="N881" i="1"/>
  <c r="N873" i="1"/>
  <c r="N857" i="1"/>
  <c r="N841" i="1"/>
  <c r="N833" i="1"/>
  <c r="N825" i="1"/>
  <c r="N817" i="1"/>
  <c r="N809" i="1"/>
  <c r="N793" i="1"/>
  <c r="N777" i="1"/>
  <c r="N769" i="1"/>
  <c r="N761" i="1"/>
  <c r="N753" i="1"/>
  <c r="N745" i="1"/>
  <c r="N729" i="1"/>
  <c r="N713" i="1"/>
  <c r="N705" i="1"/>
  <c r="N697" i="1"/>
  <c r="N689" i="1"/>
  <c r="N681" i="1"/>
  <c r="N665" i="1"/>
  <c r="N649" i="1"/>
  <c r="N641" i="1"/>
  <c r="N633" i="1"/>
  <c r="N625" i="1"/>
  <c r="N617" i="1"/>
  <c r="N601" i="1"/>
  <c r="N585" i="1"/>
  <c r="N577" i="1"/>
  <c r="N569" i="1"/>
  <c r="N561" i="1"/>
  <c r="N553" i="1"/>
  <c r="N537" i="1"/>
  <c r="N529" i="1"/>
  <c r="N489" i="1"/>
  <c r="N481" i="1"/>
  <c r="N473" i="1"/>
  <c r="N465" i="1"/>
  <c r="N457" i="1"/>
  <c r="N449" i="1"/>
  <c r="N433" i="1"/>
  <c r="N425" i="1"/>
  <c r="N417" i="1"/>
  <c r="N57" i="1"/>
  <c r="N2096" i="1"/>
  <c r="N2088" i="1"/>
  <c r="N2040" i="1"/>
  <c r="N2032" i="1"/>
  <c r="N2024" i="1"/>
  <c r="N2008" i="1"/>
  <c r="N1976" i="1"/>
  <c r="N1968" i="1"/>
  <c r="N1960" i="1"/>
  <c r="N1928" i="1"/>
  <c r="N1912" i="1"/>
  <c r="N1904" i="1"/>
  <c r="N1896" i="1"/>
  <c r="N1848" i="1"/>
  <c r="N1840" i="1"/>
  <c r="N1832" i="1"/>
  <c r="N1800" i="1"/>
  <c r="N1784" i="1"/>
  <c r="N1776" i="1"/>
  <c r="N1768" i="1"/>
  <c r="N1720" i="1"/>
  <c r="N1712" i="1"/>
  <c r="N1704" i="1"/>
  <c r="N1656" i="1"/>
  <c r="N1648" i="1"/>
  <c r="N1640" i="1"/>
  <c r="N1592" i="1"/>
  <c r="N1584" i="1"/>
  <c r="N1576" i="1"/>
  <c r="N1528" i="1"/>
  <c r="N1520" i="1"/>
  <c r="N1504" i="1"/>
  <c r="N1496" i="1"/>
  <c r="N1488" i="1"/>
  <c r="N1472" i="1"/>
  <c r="N1456" i="1"/>
  <c r="N1448" i="1"/>
  <c r="N1440" i="1"/>
  <c r="N936" i="1"/>
  <c r="N415" i="1"/>
  <c r="N407" i="1"/>
  <c r="N399" i="1"/>
  <c r="N391" i="1"/>
  <c r="N375" i="1"/>
  <c r="N367" i="1"/>
  <c r="N359" i="1"/>
  <c r="N351" i="1"/>
  <c r="N343" i="1"/>
  <c r="N335" i="1"/>
  <c r="N1646" i="1"/>
  <c r="N1622" i="1"/>
  <c r="N1614" i="1"/>
  <c r="N1598" i="1"/>
  <c r="N1590" i="1"/>
  <c r="N1582" i="1"/>
  <c r="N1558" i="1"/>
  <c r="N1534" i="1"/>
  <c r="N1526" i="1"/>
  <c r="N1518" i="1"/>
  <c r="N1494" i="1"/>
  <c r="N1462" i="1"/>
  <c r="N1454" i="1"/>
  <c r="N1430" i="1"/>
  <c r="N1398" i="1"/>
  <c r="N1390" i="1"/>
  <c r="N1374" i="1"/>
  <c r="N1366" i="1"/>
  <c r="N1342" i="1"/>
  <c r="N1334" i="1"/>
  <c r="N1326" i="1"/>
  <c r="N1302" i="1"/>
  <c r="N1294" i="1"/>
  <c r="N1278" i="1"/>
  <c r="N1270" i="1"/>
  <c r="N1262" i="1"/>
  <c r="N1238" i="1"/>
  <c r="N1230" i="1"/>
  <c r="N1222" i="1"/>
  <c r="N1214" i="1"/>
  <c r="N1206" i="1"/>
  <c r="N1198" i="1"/>
  <c r="N1174" i="1"/>
  <c r="N1150" i="1"/>
  <c r="N1142" i="1"/>
  <c r="N1134" i="1"/>
  <c r="N1110" i="1"/>
  <c r="N1086" i="1"/>
  <c r="N1078" i="1"/>
  <c r="N1070" i="1"/>
  <c r="N1062" i="1"/>
  <c r="N1046" i="1"/>
  <c r="N1038" i="1"/>
  <c r="N1014" i="1"/>
  <c r="N1006" i="1"/>
  <c r="N998" i="1"/>
  <c r="N974" i="1"/>
  <c r="N950" i="1"/>
  <c r="N942" i="1"/>
  <c r="N934" i="1"/>
  <c r="N910" i="1"/>
  <c r="N886" i="1"/>
  <c r="N878" i="1"/>
  <c r="N870" i="1"/>
  <c r="N846" i="1"/>
  <c r="N822" i="1"/>
  <c r="N814" i="1"/>
  <c r="N806" i="1"/>
  <c r="N782" i="1"/>
  <c r="N758" i="1"/>
  <c r="N750" i="1"/>
  <c r="N742" i="1"/>
  <c r="N718" i="1"/>
  <c r="N694" i="1"/>
  <c r="N686" i="1"/>
  <c r="N678" i="1"/>
  <c r="N654" i="1"/>
  <c r="N630" i="1"/>
  <c r="N622" i="1"/>
  <c r="N614" i="1"/>
  <c r="N590" i="1"/>
  <c r="N566" i="1"/>
  <c r="N558" i="1"/>
  <c r="N550" i="1"/>
  <c r="N526" i="1"/>
  <c r="N502" i="1"/>
  <c r="N494" i="1"/>
  <c r="N486" i="1"/>
  <c r="N462" i="1"/>
  <c r="N438" i="1"/>
  <c r="N430" i="1"/>
  <c r="N422" i="1"/>
  <c r="N398" i="1"/>
  <c r="N374" i="1"/>
  <c r="N366" i="1"/>
  <c r="N358" i="1"/>
  <c r="N334" i="1"/>
  <c r="N1424" i="1"/>
  <c r="N1408" i="1"/>
  <c r="N1400" i="1"/>
  <c r="N1392" i="1"/>
  <c r="N1376" i="1"/>
  <c r="N1360" i="1"/>
  <c r="N1344" i="1"/>
  <c r="N1336" i="1"/>
  <c r="N1328" i="1"/>
  <c r="N1312" i="1"/>
  <c r="N1296" i="1"/>
  <c r="N1280" i="1"/>
  <c r="N1272" i="1"/>
  <c r="N1264" i="1"/>
  <c r="N1248" i="1"/>
  <c r="N1232" i="1"/>
  <c r="N1216" i="1"/>
  <c r="N1208" i="1"/>
  <c r="N1200" i="1"/>
  <c r="N1184" i="1"/>
  <c r="N1168" i="1"/>
  <c r="N1152" i="1"/>
  <c r="N1144" i="1"/>
  <c r="N1136" i="1"/>
  <c r="N1120" i="1"/>
  <c r="N1104" i="1"/>
  <c r="N1088" i="1"/>
  <c r="N1080" i="1"/>
  <c r="N1072" i="1"/>
  <c r="N1056" i="1"/>
  <c r="N1040" i="1"/>
  <c r="N1024" i="1"/>
  <c r="N1016" i="1"/>
  <c r="N1008" i="1"/>
  <c r="N992" i="1"/>
  <c r="N976" i="1"/>
  <c r="N960" i="1"/>
  <c r="N952" i="1"/>
  <c r="N944" i="1"/>
  <c r="N896" i="1"/>
  <c r="N888" i="1"/>
  <c r="N880" i="1"/>
  <c r="N872" i="1"/>
  <c r="N832" i="1"/>
  <c r="N824" i="1"/>
  <c r="N816" i="1"/>
  <c r="N800" i="1"/>
  <c r="N784" i="1"/>
  <c r="N768" i="1"/>
  <c r="N760" i="1"/>
  <c r="N752" i="1"/>
  <c r="N744" i="1"/>
  <c r="N736" i="1"/>
  <c r="N720" i="1"/>
  <c r="N704" i="1"/>
  <c r="N696" i="1"/>
  <c r="N688" i="1"/>
  <c r="N672" i="1"/>
  <c r="N632" i="1"/>
  <c r="N624" i="1"/>
  <c r="N616" i="1"/>
  <c r="N608" i="1"/>
  <c r="N600" i="1"/>
  <c r="N568" i="1"/>
  <c r="N560" i="1"/>
  <c r="N552" i="1"/>
  <c r="N544" i="1"/>
  <c r="N504" i="1"/>
  <c r="N496" i="1"/>
  <c r="N488" i="1"/>
  <c r="N480" i="1"/>
  <c r="N432" i="1"/>
  <c r="N424" i="1"/>
  <c r="N416" i="1"/>
  <c r="N400" i="1"/>
  <c r="N384" i="1"/>
  <c r="N368" i="1"/>
  <c r="N320" i="1"/>
  <c r="N256" i="1"/>
  <c r="N128" i="1"/>
  <c r="N917" i="1"/>
  <c r="N909" i="1"/>
  <c r="N877" i="1"/>
  <c r="N869" i="1"/>
  <c r="N853" i="1"/>
  <c r="N845" i="1"/>
  <c r="N837" i="1"/>
  <c r="N813" i="1"/>
  <c r="N805" i="1"/>
  <c r="N789" i="1"/>
  <c r="N781" i="1"/>
  <c r="N749" i="1"/>
  <c r="N741" i="1"/>
  <c r="N725" i="1"/>
  <c r="N717" i="1"/>
  <c r="N685" i="1"/>
  <c r="N677" i="1"/>
  <c r="N661" i="1"/>
  <c r="N653" i="1"/>
  <c r="N621" i="1"/>
  <c r="N613" i="1"/>
  <c r="N597" i="1"/>
  <c r="N589" i="1"/>
  <c r="N581" i="1"/>
  <c r="N557" i="1"/>
  <c r="N549" i="1"/>
  <c r="N533" i="1"/>
  <c r="N525" i="1"/>
  <c r="N493" i="1"/>
  <c r="N485" i="1"/>
  <c r="N469" i="1"/>
  <c r="N461" i="1"/>
  <c r="N429" i="1"/>
  <c r="N421" i="1"/>
  <c r="N405" i="1"/>
  <c r="N397" i="1"/>
  <c r="N365" i="1"/>
  <c r="N357" i="1"/>
  <c r="N341" i="1"/>
  <c r="N333" i="1"/>
  <c r="N1108" i="1"/>
  <c r="N1100" i="1"/>
  <c r="N1092" i="1"/>
  <c r="N1076" i="1"/>
  <c r="N1060" i="1"/>
  <c r="N1044" i="1"/>
  <c r="N1036" i="1"/>
  <c r="N1028" i="1"/>
  <c r="N1012" i="1"/>
  <c r="N996" i="1"/>
  <c r="N980" i="1"/>
  <c r="N972" i="1"/>
  <c r="N964" i="1"/>
  <c r="N948" i="1"/>
  <c r="N940" i="1"/>
  <c r="N932" i="1"/>
  <c r="N916" i="1"/>
  <c r="N908" i="1"/>
  <c r="N900" i="1"/>
  <c r="N884" i="1"/>
  <c r="N876" i="1"/>
  <c r="N868" i="1"/>
  <c r="N852" i="1"/>
  <c r="N844" i="1"/>
  <c r="N836" i="1"/>
  <c r="N820" i="1"/>
  <c r="N804" i="1"/>
  <c r="N788" i="1"/>
  <c r="N780" i="1"/>
  <c r="N772" i="1"/>
  <c r="N756" i="1"/>
  <c r="N740" i="1"/>
  <c r="N724" i="1"/>
  <c r="N716" i="1"/>
  <c r="N708" i="1"/>
  <c r="N692" i="1"/>
  <c r="N684" i="1"/>
  <c r="N676" i="1"/>
  <c r="N660" i="1"/>
  <c r="N652" i="1"/>
  <c r="N644" i="1"/>
  <c r="N628" i="1"/>
  <c r="N620" i="1"/>
  <c r="N612" i="1"/>
  <c r="N596" i="1"/>
  <c r="N588" i="1"/>
  <c r="N580" i="1"/>
  <c r="N564" i="1"/>
  <c r="N548" i="1"/>
  <c r="N532" i="1"/>
  <c r="N524" i="1"/>
  <c r="N516" i="1"/>
  <c r="N500" i="1"/>
  <c r="N484" i="1"/>
  <c r="N468" i="1"/>
  <c r="N460" i="1"/>
  <c r="N452" i="1"/>
  <c r="N436" i="1"/>
  <c r="N428" i="1"/>
  <c r="N420" i="1"/>
  <c r="N404" i="1"/>
  <c r="N396" i="1"/>
  <c r="N388" i="1"/>
  <c r="N372" i="1"/>
  <c r="N364" i="1"/>
  <c r="N356" i="1"/>
  <c r="N340" i="1"/>
  <c r="N332" i="1"/>
  <c r="N324" i="1"/>
  <c r="N308" i="1"/>
  <c r="N292" i="1"/>
  <c r="N276" i="1"/>
  <c r="N268" i="1"/>
  <c r="N260" i="1"/>
  <c r="N244" i="1"/>
  <c r="N228" i="1"/>
  <c r="N212" i="1"/>
  <c r="N204" i="1"/>
  <c r="N196" i="1"/>
  <c r="N180" i="1"/>
  <c r="N172" i="1"/>
  <c r="N164" i="1"/>
  <c r="N148" i="1"/>
  <c r="N140" i="1"/>
  <c r="N132" i="1"/>
  <c r="N116" i="1"/>
  <c r="N108" i="1"/>
  <c r="N100" i="1"/>
  <c r="N84" i="1"/>
  <c r="N76" i="1"/>
  <c r="N68" i="1"/>
  <c r="N52" i="1"/>
  <c r="N36" i="1"/>
  <c r="N20" i="1"/>
  <c r="N12" i="1"/>
  <c r="N4" i="1"/>
  <c r="N1123" i="1"/>
  <c r="N1115" i="1"/>
  <c r="N1099" i="1"/>
  <c r="N1083" i="1"/>
  <c r="N1067" i="1"/>
  <c r="N1059" i="1"/>
  <c r="N1051" i="1"/>
  <c r="N1035" i="1"/>
  <c r="N1019" i="1"/>
  <c r="N1003" i="1"/>
  <c r="N995" i="1"/>
  <c r="N987" i="1"/>
  <c r="N971" i="1"/>
  <c r="N963" i="1"/>
  <c r="N955" i="1"/>
  <c r="N939" i="1"/>
  <c r="N931" i="1"/>
  <c r="N923" i="1"/>
  <c r="N907" i="1"/>
  <c r="N899" i="1"/>
  <c r="N891" i="1"/>
  <c r="N875" i="1"/>
  <c r="N867" i="1"/>
  <c r="N859" i="1"/>
  <c r="N843" i="1"/>
  <c r="N827" i="1"/>
  <c r="N811" i="1"/>
  <c r="N803" i="1"/>
  <c r="N795" i="1"/>
  <c r="N779" i="1"/>
  <c r="N763" i="1"/>
  <c r="N747" i="1"/>
  <c r="N739" i="1"/>
  <c r="N731" i="1"/>
  <c r="N715" i="1"/>
  <c r="N707" i="1"/>
  <c r="N699" i="1"/>
  <c r="N683" i="1"/>
  <c r="N675" i="1"/>
  <c r="N667" i="1"/>
  <c r="N651" i="1"/>
  <c r="N643" i="1"/>
  <c r="N635" i="1"/>
  <c r="N619" i="1"/>
  <c r="N611" i="1"/>
  <c r="N603" i="1"/>
  <c r="N587" i="1"/>
  <c r="N571" i="1"/>
  <c r="N555" i="1"/>
  <c r="N547" i="1"/>
  <c r="N539" i="1"/>
  <c r="N523" i="1"/>
  <c r="N507" i="1"/>
  <c r="N491" i="1"/>
  <c r="N483" i="1"/>
  <c r="N475" i="1"/>
  <c r="N459" i="1"/>
  <c r="N451" i="1"/>
  <c r="N427" i="1"/>
  <c r="N419" i="1"/>
  <c r="N411" i="1"/>
  <c r="N395" i="1"/>
  <c r="N379" i="1"/>
  <c r="N363" i="1"/>
  <c r="N355" i="1"/>
  <c r="N347" i="1"/>
  <c r="N331" i="1"/>
  <c r="N315" i="1"/>
  <c r="N299" i="1"/>
  <c r="N291" i="1"/>
  <c r="N283" i="1"/>
  <c r="N267" i="1"/>
  <c r="N251" i="1"/>
  <c r="N235" i="1"/>
  <c r="N227" i="1"/>
  <c r="N219" i="1"/>
  <c r="N203" i="1"/>
  <c r="N171" i="1"/>
  <c r="N163" i="1"/>
  <c r="N155" i="1"/>
  <c r="N139" i="1"/>
  <c r="N123" i="1"/>
  <c r="N107" i="1"/>
  <c r="N99" i="1"/>
  <c r="N91" i="1"/>
  <c r="N75" i="1"/>
  <c r="N59" i="1"/>
  <c r="N43" i="1"/>
  <c r="N35" i="1"/>
  <c r="N27" i="1"/>
  <c r="N11" i="1"/>
  <c r="N3" i="1"/>
  <c r="N1058" i="1"/>
  <c r="N1050" i="1"/>
  <c r="N1042" i="1"/>
  <c r="N1034" i="1"/>
  <c r="N1026" i="1"/>
  <c r="N1018" i="1"/>
  <c r="N1010" i="1"/>
  <c r="N1002" i="1"/>
  <c r="N994" i="1"/>
  <c r="N986" i="1"/>
  <c r="N978" i="1"/>
  <c r="N970" i="1"/>
  <c r="N962" i="1"/>
  <c r="N954" i="1"/>
  <c r="N946" i="1"/>
  <c r="N938" i="1"/>
  <c r="N930" i="1"/>
  <c r="N922" i="1"/>
  <c r="N914" i="1"/>
  <c r="N906" i="1"/>
  <c r="N898" i="1"/>
  <c r="N890" i="1"/>
  <c r="N882" i="1"/>
  <c r="N874" i="1"/>
  <c r="N866" i="1"/>
  <c r="N858" i="1"/>
  <c r="N850" i="1"/>
  <c r="N842" i="1"/>
  <c r="N834" i="1"/>
  <c r="N826" i="1"/>
  <c r="N818" i="1"/>
  <c r="N810" i="1"/>
  <c r="N802" i="1"/>
  <c r="N794" i="1"/>
  <c r="N786" i="1"/>
  <c r="N778" i="1"/>
  <c r="N770" i="1"/>
  <c r="N762" i="1"/>
  <c r="N754" i="1"/>
  <c r="N746" i="1"/>
  <c r="N738" i="1"/>
  <c r="N730" i="1"/>
  <c r="N722" i="1"/>
  <c r="N714" i="1"/>
  <c r="N706" i="1"/>
  <c r="N698" i="1"/>
  <c r="N690" i="1"/>
  <c r="N682" i="1"/>
  <c r="N674" i="1"/>
  <c r="N666" i="1"/>
  <c r="N658" i="1"/>
  <c r="N650" i="1"/>
  <c r="N642" i="1"/>
  <c r="N634" i="1"/>
  <c r="N626" i="1"/>
  <c r="N618" i="1"/>
  <c r="N610" i="1"/>
  <c r="N602" i="1"/>
  <c r="N594" i="1"/>
  <c r="N586" i="1"/>
  <c r="N578" i="1"/>
  <c r="N570" i="1"/>
  <c r="N562" i="1"/>
  <c r="N554" i="1"/>
  <c r="N546" i="1"/>
  <c r="N538" i="1"/>
  <c r="N530" i="1"/>
  <c r="N522" i="1"/>
  <c r="N514" i="1"/>
  <c r="N506" i="1"/>
  <c r="N498" i="1"/>
  <c r="N490" i="1"/>
  <c r="N482" i="1"/>
  <c r="N474" i="1"/>
  <c r="N466" i="1"/>
  <c r="N458" i="1"/>
  <c r="N450" i="1"/>
  <c r="N442" i="1"/>
  <c r="N434" i="1"/>
  <c r="N426" i="1"/>
  <c r="N418" i="1"/>
  <c r="N410" i="1"/>
  <c r="N402" i="1"/>
  <c r="N394" i="1"/>
  <c r="N386" i="1"/>
  <c r="N378" i="1"/>
  <c r="N370" i="1"/>
  <c r="N362" i="1"/>
  <c r="N354" i="1"/>
  <c r="N346" i="1"/>
  <c r="N338" i="1"/>
  <c r="N330" i="1"/>
  <c r="N322" i="1"/>
  <c r="N314" i="1"/>
  <c r="N306" i="1"/>
  <c r="N298" i="1"/>
  <c r="N290" i="1"/>
  <c r="N282" i="1"/>
  <c r="N274" i="1"/>
  <c r="N266" i="1"/>
  <c r="N258" i="1"/>
  <c r="N250" i="1"/>
  <c r="N242" i="1"/>
  <c r="N234" i="1"/>
  <c r="N226" i="1"/>
  <c r="N218" i="1"/>
  <c r="N210" i="1"/>
  <c r="N202" i="1"/>
  <c r="N194" i="1"/>
  <c r="N186" i="1"/>
  <c r="N178" i="1"/>
  <c r="N170" i="1"/>
  <c r="N162" i="1"/>
  <c r="N154" i="1"/>
  <c r="N146" i="1"/>
  <c r="N138" i="1"/>
  <c r="N130" i="1"/>
  <c r="N122" i="1"/>
  <c r="N114" i="1"/>
  <c r="N106" i="1"/>
  <c r="N98" i="1"/>
  <c r="N90" i="1"/>
  <c r="N82" i="1"/>
  <c r="N74" i="1"/>
  <c r="N66" i="1"/>
  <c r="N58" i="1"/>
  <c r="N50" i="1"/>
  <c r="N42" i="1"/>
  <c r="N34" i="1"/>
  <c r="N26" i="1"/>
  <c r="N18" i="1"/>
  <c r="N10" i="1"/>
  <c r="N2" i="1"/>
  <c r="N409" i="1"/>
  <c r="N401" i="1"/>
  <c r="N393" i="1"/>
  <c r="N385" i="1"/>
  <c r="N369" i="1"/>
  <c r="N353" i="1"/>
  <c r="N345" i="1"/>
  <c r="N337" i="1"/>
  <c r="N329" i="1"/>
  <c r="N321" i="1"/>
  <c r="N305" i="1"/>
  <c r="N289" i="1"/>
  <c r="N281" i="1"/>
  <c r="N273" i="1"/>
  <c r="N265" i="1"/>
  <c r="N257" i="1"/>
  <c r="N241" i="1"/>
  <c r="N225" i="1"/>
  <c r="N217" i="1"/>
  <c r="N209" i="1"/>
  <c r="N201" i="1"/>
  <c r="N193" i="1"/>
  <c r="N177" i="1"/>
  <c r="N161" i="1"/>
  <c r="N145" i="1"/>
  <c r="N137" i="1"/>
  <c r="N129" i="1"/>
  <c r="N121" i="1"/>
  <c r="N113" i="1"/>
  <c r="N97" i="1"/>
  <c r="N89" i="1"/>
  <c r="N81" i="1"/>
  <c r="N65" i="1"/>
  <c r="N49" i="1"/>
  <c r="N33" i="1"/>
  <c r="N25" i="1"/>
  <c r="N17" i="1"/>
  <c r="N9" i="1"/>
  <c r="N360" i="1"/>
  <c r="N352" i="1"/>
  <c r="N336" i="1"/>
  <c r="N312" i="1"/>
  <c r="N304" i="1"/>
  <c r="N296" i="1"/>
  <c r="N280" i="1"/>
  <c r="N272" i="1"/>
  <c r="N248" i="1"/>
  <c r="N240" i="1"/>
  <c r="N232" i="1"/>
  <c r="N224" i="1"/>
  <c r="N208" i="1"/>
  <c r="N184" i="1"/>
  <c r="N176" i="1"/>
  <c r="N168" i="1"/>
  <c r="N160" i="1"/>
  <c r="N144" i="1"/>
  <c r="N136" i="1"/>
  <c r="N120" i="1"/>
  <c r="N112" i="1"/>
  <c r="N104" i="1"/>
  <c r="N96" i="1"/>
  <c r="N80" i="1"/>
  <c r="N64" i="1"/>
  <c r="N56" i="1"/>
  <c r="N48" i="1"/>
  <c r="N40" i="1"/>
  <c r="N32" i="1"/>
  <c r="N16" i="1"/>
  <c r="N327" i="1"/>
  <c r="N311" i="1"/>
  <c r="N295" i="1"/>
  <c r="N287" i="1"/>
  <c r="N279" i="1"/>
  <c r="N271" i="1"/>
  <c r="N263" i="1"/>
  <c r="N247" i="1"/>
  <c r="N231" i="1"/>
  <c r="N223" i="1"/>
  <c r="N215" i="1"/>
  <c r="N207" i="1"/>
  <c r="N199" i="1"/>
  <c r="N183" i="1"/>
  <c r="N167" i="1"/>
  <c r="N159" i="1"/>
  <c r="N151" i="1"/>
  <c r="N143" i="1"/>
  <c r="N135" i="1"/>
  <c r="N119" i="1"/>
  <c r="N103" i="1"/>
  <c r="N95" i="1"/>
  <c r="N87" i="1"/>
  <c r="N79" i="1"/>
  <c r="N71" i="1"/>
  <c r="N55" i="1"/>
  <c r="N39" i="1"/>
  <c r="N31" i="1"/>
  <c r="N23" i="1"/>
  <c r="N15" i="1"/>
  <c r="N7" i="1"/>
  <c r="N310" i="1"/>
  <c r="N302" i="1"/>
  <c r="N294" i="1"/>
  <c r="N270" i="1"/>
  <c r="N262" i="1"/>
  <c r="N246" i="1"/>
  <c r="N238" i="1"/>
  <c r="N230" i="1"/>
  <c r="N206" i="1"/>
  <c r="N182" i="1"/>
  <c r="N174" i="1"/>
  <c r="N166" i="1"/>
  <c r="N150" i="1"/>
  <c r="N142" i="1"/>
  <c r="N118" i="1"/>
  <c r="N110" i="1"/>
  <c r="N102" i="1"/>
  <c r="N78" i="1"/>
  <c r="N70" i="1"/>
  <c r="N54" i="1"/>
  <c r="N46" i="1"/>
  <c r="N38" i="1"/>
  <c r="N14" i="1"/>
  <c r="N6" i="1"/>
  <c r="N309" i="1"/>
  <c r="N301" i="1"/>
  <c r="N293" i="1"/>
  <c r="N277" i="1"/>
  <c r="N269" i="1"/>
  <c r="N245" i="1"/>
  <c r="N237" i="1"/>
  <c r="N229" i="1"/>
  <c r="N213" i="1"/>
  <c r="N205" i="1"/>
  <c r="N173" i="1"/>
  <c r="N165" i="1"/>
  <c r="N149" i="1"/>
  <c r="N141" i="1"/>
  <c r="N109" i="1"/>
  <c r="N101" i="1"/>
  <c r="N85" i="1"/>
  <c r="N77" i="1"/>
  <c r="N53" i="1"/>
  <c r="N45" i="1"/>
  <c r="N37" i="1"/>
  <c r="N21" i="1"/>
  <c r="N13" i="1"/>
  <c r="P2067" i="5" l="1"/>
  <c r="P1951" i="5"/>
  <c r="P2062" i="5"/>
  <c r="P2093" i="5"/>
  <c r="P1203" i="5"/>
  <c r="P1005" i="5"/>
  <c r="P920" i="5"/>
  <c r="P938" i="5"/>
  <c r="P843" i="5"/>
  <c r="P701" i="5"/>
  <c r="P788" i="5"/>
  <c r="P425" i="5"/>
  <c r="P2049" i="5"/>
  <c r="P2059" i="5"/>
  <c r="P1311" i="5"/>
  <c r="P2027" i="5"/>
  <c r="P1565" i="5"/>
  <c r="P2032" i="5"/>
  <c r="P1475" i="5"/>
  <c r="P1776" i="5"/>
  <c r="P2074" i="5"/>
  <c r="P2033" i="5"/>
  <c r="P2099" i="5"/>
  <c r="P1518" i="5"/>
  <c r="P2007" i="5"/>
  <c r="P2084" i="5"/>
  <c r="P2029" i="5"/>
  <c r="P1963" i="5"/>
  <c r="P1969" i="5"/>
  <c r="P1878" i="5"/>
  <c r="P1864" i="5"/>
  <c r="P1915" i="5"/>
  <c r="P1855" i="5"/>
  <c r="P1813" i="5"/>
  <c r="P1908" i="5"/>
  <c r="P1923" i="5"/>
  <c r="P1792" i="5"/>
  <c r="P1856" i="5"/>
  <c r="P1812" i="5"/>
  <c r="P1863" i="5"/>
  <c r="P1911" i="5"/>
  <c r="P1844" i="5"/>
  <c r="P1810" i="5"/>
  <c r="P1909" i="5"/>
  <c r="P1851" i="5"/>
  <c r="P1825" i="5"/>
  <c r="P1791" i="5"/>
  <c r="P1755" i="5"/>
  <c r="P1676" i="5"/>
  <c r="P1805" i="5"/>
  <c r="P1752" i="5"/>
  <c r="P1668" i="5"/>
  <c r="P1768" i="5"/>
  <c r="P1694" i="5"/>
  <c r="P1722" i="5"/>
  <c r="P1809" i="5"/>
  <c r="P1672" i="5"/>
  <c r="P1780" i="5"/>
  <c r="P1702" i="5"/>
  <c r="P1650" i="5"/>
  <c r="P1620" i="5"/>
  <c r="P1723" i="5"/>
  <c r="P1681" i="5"/>
  <c r="P1596" i="5"/>
  <c r="P1506" i="5"/>
  <c r="P1442" i="5"/>
  <c r="P1657" i="5"/>
  <c r="P1550" i="5"/>
  <c r="P1642" i="5"/>
  <c r="P1689" i="5"/>
  <c r="P1556" i="5"/>
  <c r="P1647" i="5"/>
  <c r="P1514" i="5"/>
  <c r="P1476" i="5"/>
  <c r="P1486" i="5"/>
  <c r="P1454" i="5"/>
  <c r="P1586" i="5"/>
  <c r="P1537" i="5"/>
  <c r="P1436" i="5"/>
  <c r="P1575" i="5"/>
  <c r="P1570" i="5"/>
  <c r="P1351" i="5"/>
  <c r="P1496" i="5"/>
  <c r="P1416" i="5"/>
  <c r="P1353" i="5"/>
  <c r="P1555" i="5"/>
  <c r="P1456" i="5"/>
  <c r="P1512" i="5"/>
  <c r="P1402" i="5"/>
  <c r="P1339" i="5"/>
  <c r="P1544" i="5"/>
  <c r="P1394" i="5"/>
  <c r="P1535" i="5"/>
  <c r="P1464" i="5"/>
  <c r="P1424" i="5"/>
  <c r="P1399" i="5"/>
  <c r="P1331" i="5"/>
  <c r="P1333" i="5"/>
  <c r="P1295" i="5"/>
  <c r="P1233" i="5"/>
  <c r="P1322" i="5"/>
  <c r="P1250" i="5"/>
  <c r="P1294" i="5"/>
  <c r="P1238" i="5"/>
  <c r="P1213" i="5"/>
  <c r="P1305" i="5"/>
  <c r="P1392" i="5"/>
  <c r="P1282" i="5"/>
  <c r="P1194" i="5"/>
  <c r="P1307" i="5"/>
  <c r="P1237" i="5"/>
  <c r="P1260" i="5"/>
  <c r="P1344" i="5"/>
  <c r="P1141" i="5"/>
  <c r="P1169" i="5"/>
  <c r="P1025" i="5"/>
  <c r="P1138" i="5"/>
  <c r="P1207" i="5"/>
  <c r="P1157" i="5"/>
  <c r="P1097" i="5"/>
  <c r="P952" i="5"/>
  <c r="P1079" i="5"/>
  <c r="P967" i="5"/>
  <c r="P1143" i="5"/>
  <c r="P962" i="5"/>
  <c r="P1057" i="5"/>
  <c r="P965" i="5"/>
  <c r="P942" i="5"/>
  <c r="P887" i="5"/>
  <c r="P765" i="5"/>
  <c r="P811" i="5"/>
  <c r="P860" i="5"/>
  <c r="P873" i="5"/>
  <c r="P780" i="5"/>
  <c r="P753" i="5"/>
  <c r="P728" i="5"/>
  <c r="P815" i="5"/>
  <c r="P2095" i="5"/>
  <c r="P1985" i="5"/>
  <c r="P1932" i="5"/>
  <c r="P2089" i="5"/>
  <c r="P2037" i="5"/>
  <c r="P2078" i="5"/>
  <c r="P2096" i="5"/>
  <c r="P2051" i="5"/>
  <c r="P2076" i="5"/>
  <c r="P2034" i="5"/>
  <c r="P2088" i="5"/>
  <c r="P2060" i="5"/>
  <c r="P1988" i="5"/>
  <c r="P1957" i="5"/>
  <c r="P1982" i="5"/>
  <c r="P1904" i="5"/>
  <c r="P1872" i="5"/>
  <c r="P1954" i="5"/>
  <c r="P2003" i="5"/>
  <c r="P1939" i="5"/>
  <c r="P1930" i="5"/>
  <c r="P1967" i="5"/>
  <c r="P2005" i="5"/>
  <c r="P1952" i="5"/>
  <c r="P1944" i="5"/>
  <c r="P1848" i="5"/>
  <c r="P1900" i="5"/>
  <c r="P1899" i="5"/>
  <c r="P1918" i="5"/>
  <c r="P1857" i="5"/>
  <c r="P1829" i="5"/>
  <c r="P1928" i="5"/>
  <c r="P1759" i="5"/>
  <c r="P1727" i="5"/>
  <c r="P1821" i="5"/>
  <c r="P1891" i="5"/>
  <c r="P1806" i="5"/>
  <c r="P1901" i="5"/>
  <c r="P1746" i="5"/>
  <c r="P1652" i="5"/>
  <c r="P1736" i="5"/>
  <c r="P1651" i="5"/>
  <c r="P1784" i="5"/>
  <c r="P1741" i="5"/>
  <c r="P1757" i="5"/>
  <c r="P1692" i="5"/>
  <c r="P1787" i="5"/>
  <c r="P1764" i="5"/>
  <c r="P1696" i="5"/>
  <c r="P1648" i="5"/>
  <c r="P1770" i="5"/>
  <c r="P1715" i="5"/>
  <c r="P1664" i="5"/>
  <c r="P1590" i="5"/>
  <c r="P1526" i="5"/>
  <c r="P1640" i="5"/>
  <c r="P1510" i="5"/>
  <c r="P1446" i="5"/>
  <c r="P1677" i="5"/>
  <c r="P1588" i="5"/>
  <c r="P1548" i="5"/>
  <c r="P1621" i="5"/>
  <c r="P1511" i="5"/>
  <c r="P1662" i="5"/>
  <c r="P1583" i="5"/>
  <c r="P1513" i="5"/>
  <c r="P1434" i="5"/>
  <c r="P1551" i="5"/>
  <c r="P1480" i="5"/>
  <c r="P1393" i="5"/>
  <c r="P1355" i="5"/>
  <c r="P1567" i="5"/>
  <c r="P1429" i="5"/>
  <c r="P1383" i="5"/>
  <c r="P1346" i="5"/>
  <c r="P1306" i="5"/>
  <c r="P1569" i="5"/>
  <c r="P1487" i="5"/>
  <c r="P1528" i="5"/>
  <c r="P1349" i="5"/>
  <c r="P1503" i="5"/>
  <c r="P1371" i="5"/>
  <c r="P1334" i="5"/>
  <c r="P1541" i="5"/>
  <c r="P1341" i="5"/>
  <c r="P1601" i="5"/>
  <c r="P1529" i="5"/>
  <c r="P1455" i="5"/>
  <c r="P1363" i="5"/>
  <c r="P1326" i="5"/>
  <c r="P1328" i="5"/>
  <c r="P1230" i="5"/>
  <c r="P1287" i="5"/>
  <c r="P1284" i="5"/>
  <c r="P1181" i="5"/>
  <c r="P1292" i="5"/>
  <c r="P1271" i="5"/>
  <c r="P1249" i="5"/>
  <c r="P1186" i="5"/>
  <c r="P1234" i="5"/>
  <c r="P1254" i="5"/>
  <c r="P1217" i="5"/>
  <c r="P1150" i="5"/>
  <c r="P1147" i="5"/>
  <c r="P1136" i="5"/>
  <c r="P1168" i="5"/>
  <c r="P1088" i="5"/>
  <c r="P1128" i="5"/>
  <c r="P1163" i="5"/>
  <c r="P1152" i="5"/>
  <c r="P1075" i="5"/>
  <c r="P1061" i="5"/>
  <c r="P1016" i="5"/>
  <c r="P956" i="5"/>
  <c r="P1055" i="5"/>
  <c r="P912" i="5"/>
  <c r="P1063" i="5"/>
  <c r="P987" i="5"/>
  <c r="P875" i="5"/>
  <c r="P749" i="5"/>
  <c r="P715" i="5"/>
  <c r="P660" i="5"/>
  <c r="P848" i="5"/>
  <c r="P930" i="5"/>
  <c r="P861" i="5"/>
  <c r="P764" i="5"/>
  <c r="P720" i="5"/>
  <c r="P800" i="5"/>
  <c r="P491" i="5"/>
  <c r="P711" i="5"/>
  <c r="P361" i="5"/>
  <c r="P228" i="5"/>
  <c r="P1261" i="5"/>
  <c r="P2013" i="5"/>
  <c r="P1999" i="5"/>
  <c r="P1949" i="5"/>
  <c r="P1981" i="5"/>
  <c r="P2022" i="5"/>
  <c r="P2043" i="5"/>
  <c r="P2098" i="5"/>
  <c r="P2064" i="5"/>
  <c r="P2082" i="5"/>
  <c r="P1941" i="5"/>
  <c r="P1945" i="5"/>
  <c r="P1874" i="5"/>
  <c r="P1948" i="5"/>
  <c r="P1990" i="5"/>
  <c r="P1933" i="5"/>
  <c r="P2036" i="5"/>
  <c r="P1970" i="5"/>
  <c r="P1958" i="5"/>
  <c r="P1996" i="5"/>
  <c r="P1950" i="5"/>
  <c r="P1916" i="5"/>
  <c r="P1893" i="5"/>
  <c r="P1853" i="5"/>
  <c r="P1887" i="5"/>
  <c r="P1824" i="5"/>
  <c r="P1905" i="5"/>
  <c r="P1846" i="5"/>
  <c r="P1907" i="5"/>
  <c r="P1840" i="5"/>
  <c r="P2016" i="5"/>
  <c r="P1861" i="5"/>
  <c r="P1886" i="5"/>
  <c r="P1835" i="5"/>
  <c r="P1802" i="5"/>
  <c r="P1896" i="5"/>
  <c r="P1849" i="5"/>
  <c r="P1783" i="5"/>
  <c r="P1744" i="5"/>
  <c r="P1720" i="5"/>
  <c r="P1632" i="5"/>
  <c r="P1729" i="5"/>
  <c r="P1658" i="5"/>
  <c r="P1745" i="5"/>
  <c r="P1680" i="5"/>
  <c r="P1716" i="5"/>
  <c r="P1754" i="5"/>
  <c r="P1659" i="5"/>
  <c r="P1778" i="5"/>
  <c r="P1687" i="5"/>
  <c r="P1827" i="5"/>
  <c r="P1751" i="5"/>
  <c r="P1710" i="5"/>
  <c r="P1655" i="5"/>
  <c r="P1490" i="5"/>
  <c r="P1426" i="5"/>
  <c r="P1646" i="5"/>
  <c r="P1566" i="5"/>
  <c r="P1638" i="5"/>
  <c r="P1649" i="5"/>
  <c r="P1540" i="5"/>
  <c r="P1635" i="5"/>
  <c r="P1508" i="5"/>
  <c r="P1463" i="5"/>
  <c r="P1641" i="5"/>
  <c r="P1573" i="5"/>
  <c r="P1488" i="5"/>
  <c r="P1432" i="5"/>
  <c r="P1545" i="5"/>
  <c r="P1471" i="5"/>
  <c r="P1350" i="5"/>
  <c r="P1562" i="5"/>
  <c r="P1423" i="5"/>
  <c r="P1378" i="5"/>
  <c r="P1561" i="5"/>
  <c r="P1482" i="5"/>
  <c r="P1385" i="5"/>
  <c r="P1347" i="5"/>
  <c r="P1520" i="5"/>
  <c r="P1440" i="5"/>
  <c r="P1595" i="5"/>
  <c r="P1498" i="5"/>
  <c r="P1427" i="5"/>
  <c r="P1398" i="5"/>
  <c r="P1366" i="5"/>
  <c r="P1527" i="5"/>
  <c r="P1599" i="5"/>
  <c r="P1521" i="5"/>
  <c r="P1450" i="5"/>
  <c r="P1412" i="5"/>
  <c r="P1395" i="5"/>
  <c r="P1358" i="5"/>
  <c r="P1317" i="5"/>
  <c r="P1288" i="5"/>
  <c r="P1222" i="5"/>
  <c r="P1315" i="5"/>
  <c r="P1229" i="5"/>
  <c r="P1289" i="5"/>
  <c r="P1246" i="5"/>
  <c r="P1291" i="5"/>
  <c r="P1469" i="5"/>
  <c r="P1313" i="5"/>
  <c r="P1252" i="5"/>
  <c r="P1193" i="5"/>
  <c r="P1134" i="5"/>
  <c r="P1318" i="5"/>
  <c r="P1215" i="5"/>
  <c r="P1183" i="5"/>
  <c r="P1129" i="5"/>
  <c r="P1056" i="5"/>
  <c r="P1139" i="5"/>
  <c r="P1082" i="5"/>
  <c r="P936" i="5"/>
  <c r="P983" i="5"/>
  <c r="P959" i="5"/>
  <c r="P1012" i="5"/>
  <c r="P1098" i="5"/>
  <c r="P1038" i="5"/>
  <c r="P1041" i="5"/>
  <c r="P1133" i="5"/>
  <c r="P928" i="5"/>
  <c r="P1122" i="5"/>
  <c r="P1017" i="5"/>
  <c r="P1069" i="5"/>
  <c r="P863" i="5"/>
  <c r="P804" i="5"/>
  <c r="P836" i="5"/>
  <c r="P853" i="5"/>
  <c r="P814" i="5"/>
  <c r="P696" i="5"/>
  <c r="P658" i="5"/>
  <c r="P964" i="5"/>
  <c r="P2066" i="5"/>
  <c r="P2068" i="5"/>
  <c r="P1890" i="5"/>
  <c r="P2006" i="5"/>
  <c r="P1971" i="5"/>
  <c r="P2042" i="5"/>
  <c r="P2086" i="5"/>
  <c r="P2090" i="5"/>
  <c r="P2070" i="5"/>
  <c r="P2045" i="5"/>
  <c r="P2009" i="5"/>
  <c r="P1979" i="5"/>
  <c r="P2087" i="5"/>
  <c r="P2014" i="5"/>
  <c r="P2069" i="5"/>
  <c r="P2026" i="5"/>
  <c r="P2056" i="5"/>
  <c r="P2065" i="5"/>
  <c r="P2038" i="5"/>
  <c r="P1986" i="5"/>
  <c r="P1936" i="5"/>
  <c r="P1940" i="5"/>
  <c r="P1973" i="5"/>
  <c r="P1929" i="5"/>
  <c r="P1897" i="5"/>
  <c r="P2000" i="5"/>
  <c r="P1946" i="5"/>
  <c r="P1987" i="5"/>
  <c r="P1964" i="5"/>
  <c r="P1947" i="5"/>
  <c r="P1903" i="5"/>
  <c r="P1885" i="5"/>
  <c r="P1842" i="5"/>
  <c r="P1882" i="5"/>
  <c r="P1884" i="5"/>
  <c r="P1843" i="5"/>
  <c r="P1817" i="5"/>
  <c r="P1902" i="5"/>
  <c r="P1834" i="5"/>
  <c r="P1750" i="5"/>
  <c r="P1927" i="5"/>
  <c r="P1850" i="5"/>
  <c r="P1876" i="5"/>
  <c r="P1798" i="5"/>
  <c r="P1628" i="5"/>
  <c r="P1627" i="5"/>
  <c r="P1782" i="5"/>
  <c r="P1718" i="5"/>
  <c r="P1656" i="5"/>
  <c r="P1797" i="5"/>
  <c r="P1732" i="5"/>
  <c r="P1667" i="5"/>
  <c r="P1779" i="5"/>
  <c r="P1698" i="5"/>
  <c r="P1742" i="5"/>
  <c r="P1772" i="5"/>
  <c r="P1684" i="5"/>
  <c r="P1807" i="5"/>
  <c r="P1747" i="5"/>
  <c r="P1708" i="5"/>
  <c r="P1679" i="5"/>
  <c r="P1661" i="5"/>
  <c r="P1542" i="5"/>
  <c r="P1494" i="5"/>
  <c r="P1430" i="5"/>
  <c r="P1645" i="5"/>
  <c r="P1580" i="5"/>
  <c r="P1532" i="5"/>
  <c r="P1633" i="5"/>
  <c r="P1609" i="5"/>
  <c r="P1554" i="5"/>
  <c r="P1460" i="5"/>
  <c r="P1619" i="5"/>
  <c r="P1505" i="5"/>
  <c r="P1473" i="5"/>
  <c r="P1438" i="5"/>
  <c r="P1568" i="5"/>
  <c r="P1531" i="5"/>
  <c r="P1466" i="5"/>
  <c r="P1387" i="5"/>
  <c r="P1559" i="5"/>
  <c r="P1290" i="5"/>
  <c r="P1547" i="5"/>
  <c r="P1459" i="5"/>
  <c r="P1342" i="5"/>
  <c r="P1517" i="5"/>
  <c r="P1428" i="5"/>
  <c r="P1381" i="5"/>
  <c r="P1343" i="5"/>
  <c r="P1587" i="5"/>
  <c r="P1415" i="5"/>
  <c r="P1435" i="5"/>
  <c r="P1373" i="5"/>
  <c r="P1335" i="5"/>
  <c r="P1589" i="5"/>
  <c r="P1491" i="5"/>
  <c r="P1447" i="5"/>
  <c r="P1390" i="5"/>
  <c r="P1214" i="5"/>
  <c r="P1285" i="5"/>
  <c r="P1278" i="5"/>
  <c r="P1205" i="5"/>
  <c r="P1453" i="5"/>
  <c r="P1276" i="5"/>
  <c r="P1386" i="5"/>
  <c r="P1401" i="5"/>
  <c r="P1118" i="5"/>
  <c r="P1270" i="5"/>
  <c r="P1142" i="5"/>
  <c r="P1223" i="5"/>
  <c r="P1046" i="5"/>
  <c r="P1231" i="5"/>
  <c r="P1125" i="5"/>
  <c r="P1158" i="5"/>
  <c r="P1173" i="5"/>
  <c r="P1145" i="5"/>
  <c r="P1059" i="5"/>
  <c r="P1062" i="5"/>
  <c r="P1000" i="5"/>
  <c r="P924" i="5"/>
  <c r="P1018" i="5"/>
  <c r="P1026" i="5"/>
  <c r="P855" i="5"/>
  <c r="P699" i="5"/>
  <c r="P828" i="5"/>
  <c r="P841" i="5"/>
  <c r="P846" i="5"/>
  <c r="P769" i="5"/>
  <c r="P748" i="5"/>
  <c r="P2083" i="5"/>
  <c r="P2015" i="5"/>
  <c r="P1972" i="5"/>
  <c r="P2010" i="5"/>
  <c r="P2092" i="5"/>
  <c r="P2018" i="5"/>
  <c r="P2058" i="5"/>
  <c r="P2025" i="5"/>
  <c r="P2054" i="5"/>
  <c r="P2080" i="5"/>
  <c r="P2081" i="5"/>
  <c r="P2053" i="5"/>
  <c r="P2031" i="5"/>
  <c r="P2046" i="5"/>
  <c r="P2073" i="5"/>
  <c r="P2041" i="5"/>
  <c r="P2094" i="5"/>
  <c r="P1993" i="5"/>
  <c r="P1934" i="5"/>
  <c r="P2048" i="5"/>
  <c r="P1998" i="5"/>
  <c r="P1938" i="5"/>
  <c r="P2019" i="5"/>
  <c r="P1962" i="5"/>
  <c r="P2044" i="5"/>
  <c r="P1994" i="5"/>
  <c r="P1943" i="5"/>
  <c r="P1898" i="5"/>
  <c r="P1880" i="5"/>
  <c r="P1839" i="5"/>
  <c r="P1756" i="5"/>
  <c r="P1818" i="5"/>
  <c r="P1808" i="5"/>
  <c r="P1892" i="5"/>
  <c r="P1828" i="5"/>
  <c r="P1912" i="5"/>
  <c r="P1847" i="5"/>
  <c r="P1833" i="5"/>
  <c r="P1794" i="5"/>
  <c r="P1867" i="5"/>
  <c r="P1775" i="5"/>
  <c r="P1714" i="5"/>
  <c r="P1811" i="5"/>
  <c r="P1688" i="5"/>
  <c r="P1712" i="5"/>
  <c r="P1789" i="5"/>
  <c r="P1713" i="5"/>
  <c r="P1665" i="5"/>
  <c r="P1761" i="5"/>
  <c r="P1690" i="5"/>
  <c r="P1704" i="5"/>
  <c r="P1643" i="5"/>
  <c r="P1758" i="5"/>
  <c r="P1801" i="5"/>
  <c r="P1739" i="5"/>
  <c r="P1697" i="5"/>
  <c r="P1625" i="5"/>
  <c r="P1474" i="5"/>
  <c r="P1410" i="5"/>
  <c r="P1623" i="5"/>
  <c r="P1582" i="5"/>
  <c r="P1634" i="5"/>
  <c r="P1637" i="5"/>
  <c r="P1524" i="5"/>
  <c r="P1603" i="5"/>
  <c r="P1546" i="5"/>
  <c r="P1495" i="5"/>
  <c r="P1502" i="5"/>
  <c r="P1470" i="5"/>
  <c r="P1654" i="5"/>
  <c r="P1523" i="5"/>
  <c r="P1444" i="5"/>
  <c r="P1382" i="5"/>
  <c r="P1553" i="5"/>
  <c r="P1477" i="5"/>
  <c r="P1409" i="5"/>
  <c r="P1525" i="5"/>
  <c r="P1441" i="5"/>
  <c r="P1379" i="5"/>
  <c r="P1338" i="5"/>
  <c r="P1536" i="5"/>
  <c r="P1330" i="5"/>
  <c r="P1581" i="5"/>
  <c r="P1407" i="5"/>
  <c r="P1437" i="5"/>
  <c r="P1279" i="5"/>
  <c r="P1206" i="5"/>
  <c r="P1303" i="5"/>
  <c r="P1256" i="5"/>
  <c r="P1372" i="5"/>
  <c r="P1272" i="5"/>
  <c r="P1302" i="5"/>
  <c r="P1226" i="5"/>
  <c r="P1376" i="5"/>
  <c r="P1269" i="5"/>
  <c r="P1209" i="5"/>
  <c r="P1102" i="5"/>
  <c r="P1178" i="5"/>
  <c r="P1137" i="5"/>
  <c r="P1154" i="5"/>
  <c r="P1123" i="5"/>
  <c r="P1120" i="5"/>
  <c r="P1107" i="5"/>
  <c r="P1115" i="5"/>
  <c r="P1042" i="5"/>
  <c r="P949" i="5"/>
  <c r="P992" i="5"/>
  <c r="P1034" i="5"/>
  <c r="P1029" i="5"/>
  <c r="P1028" i="5"/>
  <c r="P951" i="5"/>
  <c r="P940" i="5"/>
  <c r="P900" i="5"/>
  <c r="P829" i="5"/>
  <c r="P822" i="5"/>
  <c r="P662" i="5"/>
  <c r="P808" i="5"/>
  <c r="P673" i="5"/>
  <c r="P724" i="5"/>
  <c r="P2030" i="5"/>
  <c r="P1991" i="5"/>
  <c r="P2077" i="5"/>
  <c r="P2040" i="5"/>
  <c r="P1931" i="5"/>
  <c r="P1920" i="5"/>
  <c r="P1888" i="5"/>
  <c r="P1995" i="5"/>
  <c r="P1935" i="5"/>
  <c r="P1984" i="5"/>
  <c r="P1955" i="5"/>
  <c r="P1997" i="5"/>
  <c r="P1989" i="5"/>
  <c r="P1926" i="5"/>
  <c r="P1895" i="5"/>
  <c r="P1820" i="5"/>
  <c r="P1740" i="5"/>
  <c r="P1852" i="5"/>
  <c r="P1877" i="5"/>
  <c r="P1841" i="5"/>
  <c r="P1804" i="5"/>
  <c r="P1883" i="5"/>
  <c r="P1822" i="5"/>
  <c r="P1743" i="5"/>
  <c r="P1889" i="5"/>
  <c r="P1925" i="5"/>
  <c r="P1868" i="5"/>
  <c r="P1826" i="5"/>
  <c r="P1790" i="5"/>
  <c r="P1838" i="5"/>
  <c r="P1769" i="5"/>
  <c r="P1706" i="5"/>
  <c r="P1762" i="5"/>
  <c r="P1614" i="5"/>
  <c r="P1703" i="5"/>
  <c r="P1781" i="5"/>
  <c r="P1711" i="5"/>
  <c r="P1815" i="5"/>
  <c r="P1748" i="5"/>
  <c r="P1660" i="5"/>
  <c r="P1735" i="5"/>
  <c r="P1674" i="5"/>
  <c r="P1631" i="5"/>
  <c r="P1793" i="5"/>
  <c r="P1730" i="5"/>
  <c r="P1695" i="5"/>
  <c r="P1639" i="5"/>
  <c r="P1608" i="5"/>
  <c r="P1558" i="5"/>
  <c r="P1478" i="5"/>
  <c r="P1414" i="5"/>
  <c r="P1626" i="5"/>
  <c r="P1572" i="5"/>
  <c r="P1516" i="5"/>
  <c r="P1618" i="5"/>
  <c r="P1600" i="5"/>
  <c r="P1538" i="5"/>
  <c r="P1492" i="5"/>
  <c r="P1597" i="5"/>
  <c r="P1560" i="5"/>
  <c r="P1391" i="5"/>
  <c r="P1507" i="5"/>
  <c r="P1329" i="5"/>
  <c r="P1539" i="5"/>
  <c r="P1468" i="5"/>
  <c r="P1325" i="5"/>
  <c r="P1274" i="5"/>
  <c r="P1374" i="5"/>
  <c r="P1375" i="5"/>
  <c r="P1533" i="5"/>
  <c r="P1451" i="5"/>
  <c r="P1413" i="5"/>
  <c r="P1509" i="5"/>
  <c r="P1425" i="5"/>
  <c r="P1367" i="5"/>
  <c r="P1576" i="5"/>
  <c r="P1445" i="5"/>
  <c r="P1405" i="5"/>
  <c r="P1198" i="5"/>
  <c r="P1310" i="5"/>
  <c r="P1221" i="5"/>
  <c r="P1197" i="5"/>
  <c r="P1359" i="5"/>
  <c r="P1255" i="5"/>
  <c r="P1298" i="5"/>
  <c r="P1265" i="5"/>
  <c r="P1218" i="5"/>
  <c r="P1340" i="5"/>
  <c r="P1259" i="5"/>
  <c r="P1365" i="5"/>
  <c r="P1275" i="5"/>
  <c r="P1185" i="5"/>
  <c r="P1086" i="5"/>
  <c r="P1175" i="5"/>
  <c r="P1146" i="5"/>
  <c r="P1191" i="5"/>
  <c r="P1044" i="5"/>
  <c r="P1113" i="5"/>
  <c r="P1090" i="5"/>
  <c r="P1162" i="5"/>
  <c r="P1032" i="5"/>
  <c r="P1050" i="5"/>
  <c r="P1108" i="5"/>
  <c r="P975" i="5"/>
  <c r="P1095" i="5"/>
  <c r="P988" i="5"/>
  <c r="P1002" i="5"/>
  <c r="P997" i="5"/>
  <c r="P831" i="5"/>
  <c r="P685" i="5"/>
  <c r="P772" i="5"/>
  <c r="P683" i="5"/>
  <c r="P895" i="5"/>
  <c r="P821" i="5"/>
  <c r="P761" i="5"/>
  <c r="P621" i="5"/>
  <c r="P605" i="5"/>
  <c r="P589" i="5"/>
  <c r="P573" i="5"/>
  <c r="P557" i="5"/>
  <c r="P541" i="5"/>
  <c r="P525" i="5"/>
  <c r="P509" i="5"/>
  <c r="P946" i="5"/>
  <c r="P1010" i="5"/>
  <c r="P1043" i="5"/>
  <c r="P972" i="5"/>
  <c r="P1004" i="5"/>
  <c r="P1159" i="5"/>
  <c r="P1070" i="5"/>
  <c r="P1130" i="5"/>
  <c r="P1263" i="5"/>
  <c r="P465" i="5"/>
  <c r="P629" i="5"/>
  <c r="P670" i="5"/>
  <c r="P437" i="5"/>
  <c r="P1153" i="5"/>
  <c r="P1273" i="5"/>
  <c r="P1161" i="5"/>
  <c r="P926" i="5"/>
  <c r="P1054" i="5"/>
  <c r="P1073" i="5"/>
  <c r="P961" i="5"/>
  <c r="P993" i="5"/>
  <c r="P688" i="5"/>
  <c r="P762" i="5"/>
  <c r="P793" i="5"/>
  <c r="P587" i="5"/>
  <c r="P619" i="5"/>
  <c r="P996" i="5"/>
  <c r="P1031" i="5"/>
  <c r="P1149" i="5"/>
  <c r="P687" i="5"/>
  <c r="P783" i="5"/>
  <c r="P644" i="5"/>
  <c r="P1417" i="5"/>
  <c r="P97" i="5"/>
  <c r="P2063" i="5"/>
  <c r="P2039" i="5"/>
  <c r="P2004" i="5"/>
  <c r="P1975" i="5"/>
  <c r="P1961" i="5"/>
  <c r="P2061" i="5"/>
  <c r="P2079" i="5"/>
  <c r="P2047" i="5"/>
  <c r="P2021" i="5"/>
  <c r="P2071" i="5"/>
  <c r="P2085" i="5"/>
  <c r="P2057" i="5"/>
  <c r="P2097" i="5"/>
  <c r="P1959" i="5"/>
  <c r="P2023" i="5"/>
  <c r="P1968" i="5"/>
  <c r="P1922" i="5"/>
  <c r="P2001" i="5"/>
  <c r="P1956" i="5"/>
  <c r="P1965" i="5"/>
  <c r="P2011" i="5"/>
  <c r="P1942" i="5"/>
  <c r="P1980" i="5"/>
  <c r="P2052" i="5"/>
  <c r="P1983" i="5"/>
  <c r="P1910" i="5"/>
  <c r="P1875" i="5"/>
  <c r="P1814" i="5"/>
  <c r="P1870" i="5"/>
  <c r="P1837" i="5"/>
  <c r="P1724" i="5"/>
  <c r="P1862" i="5"/>
  <c r="P1800" i="5"/>
  <c r="P1869" i="5"/>
  <c r="P1819" i="5"/>
  <c r="P1871" i="5"/>
  <c r="P1845" i="5"/>
  <c r="P1917" i="5"/>
  <c r="P1860" i="5"/>
  <c r="P1937" i="5"/>
  <c r="P1865" i="5"/>
  <c r="P1832" i="5"/>
  <c r="P1767" i="5"/>
  <c r="P1760" i="5"/>
  <c r="P1675" i="5"/>
  <c r="P1774" i="5"/>
  <c r="P1773" i="5"/>
  <c r="P1707" i="5"/>
  <c r="P1803" i="5"/>
  <c r="P1738" i="5"/>
  <c r="P1644" i="5"/>
  <c r="P1788" i="5"/>
  <c r="P1731" i="5"/>
  <c r="P1785" i="5"/>
  <c r="P1728" i="5"/>
  <c r="P1691" i="5"/>
  <c r="P1615" i="5"/>
  <c r="P1616" i="5"/>
  <c r="P1458" i="5"/>
  <c r="P1701" i="5"/>
  <c r="P1534" i="5"/>
  <c r="P1717" i="5"/>
  <c r="P1612" i="5"/>
  <c r="P1737" i="5"/>
  <c r="P1624" i="5"/>
  <c r="P1721" i="5"/>
  <c r="P1613" i="5"/>
  <c r="P1630" i="5"/>
  <c r="P1530" i="5"/>
  <c r="P1611" i="5"/>
  <c r="P1422" i="5"/>
  <c r="P1594" i="5"/>
  <c r="P1557" i="5"/>
  <c r="P1461" i="5"/>
  <c r="P1617" i="5"/>
  <c r="P1515" i="5"/>
  <c r="P1443" i="5"/>
  <c r="P1357" i="5"/>
  <c r="P1499" i="5"/>
  <c r="P1420" i="5"/>
  <c r="P1321" i="5"/>
  <c r="P1493" i="5"/>
  <c r="P1370" i="5"/>
  <c r="P1519" i="5"/>
  <c r="P1406" i="5"/>
  <c r="P1345" i="5"/>
  <c r="P1592" i="5"/>
  <c r="P1500" i="5"/>
  <c r="P1362" i="5"/>
  <c r="P1552" i="5"/>
  <c r="P1467" i="5"/>
  <c r="P1439" i="5"/>
  <c r="P1403" i="5"/>
  <c r="P1337" i="5"/>
  <c r="P1348" i="5"/>
  <c r="P1304" i="5"/>
  <c r="P1262" i="5"/>
  <c r="P1190" i="5"/>
  <c r="P1301" i="5"/>
  <c r="P1300" i="5"/>
  <c r="P1316" i="5"/>
  <c r="P1210" i="5"/>
  <c r="P1327" i="5"/>
  <c r="P1253" i="5"/>
  <c r="P1360" i="5"/>
  <c r="P1225" i="5"/>
  <c r="P1245" i="5"/>
  <c r="P1091" i="5"/>
  <c r="P1144" i="5"/>
  <c r="P1177" i="5"/>
  <c r="P1106" i="5"/>
  <c r="P1126" i="5"/>
  <c r="P1036" i="5"/>
  <c r="P1174" i="5"/>
  <c r="P1081" i="5"/>
  <c r="P1160" i="5"/>
  <c r="P1110" i="5"/>
  <c r="P1104" i="5"/>
  <c r="P1030" i="5"/>
  <c r="P1072" i="5"/>
  <c r="P980" i="5"/>
  <c r="P1219" i="5"/>
  <c r="P1023" i="5"/>
  <c r="P986" i="5"/>
  <c r="P985" i="5"/>
  <c r="P932" i="5"/>
  <c r="P823" i="5"/>
  <c r="P880" i="5"/>
  <c r="P906" i="5"/>
  <c r="P923" i="5"/>
  <c r="P894" i="5"/>
  <c r="P803" i="5"/>
  <c r="P663" i="5"/>
  <c r="P766" i="5"/>
  <c r="P866" i="5"/>
  <c r="P2072" i="5"/>
  <c r="P2091" i="5"/>
  <c r="P2017" i="5"/>
  <c r="P2035" i="5"/>
  <c r="P2050" i="5"/>
  <c r="P2055" i="5"/>
  <c r="P2075" i="5"/>
  <c r="P2002" i="5"/>
  <c r="P1966" i="5"/>
  <c r="P1906" i="5"/>
  <c r="P1913" i="5"/>
  <c r="P1881" i="5"/>
  <c r="P1977" i="5"/>
  <c r="P2028" i="5"/>
  <c r="P1953" i="5"/>
  <c r="P1978" i="5"/>
  <c r="P2024" i="5"/>
  <c r="P1974" i="5"/>
  <c r="P1894" i="5"/>
  <c r="P1873" i="5"/>
  <c r="P1924" i="5"/>
  <c r="P1858" i="5"/>
  <c r="P1830" i="5"/>
  <c r="P1921" i="5"/>
  <c r="P1836" i="5"/>
  <c r="P1859" i="5"/>
  <c r="P1831" i="5"/>
  <c r="P1796" i="5"/>
  <c r="P1766" i="5"/>
  <c r="P1734" i="5"/>
  <c r="P1866" i="5"/>
  <c r="P1914" i="5"/>
  <c r="P1816" i="5"/>
  <c r="P1919" i="5"/>
  <c r="P1854" i="5"/>
  <c r="P1799" i="5"/>
  <c r="P1763" i="5"/>
  <c r="P1700" i="5"/>
  <c r="P1673" i="5"/>
  <c r="P1823" i="5"/>
  <c r="P1671" i="5"/>
  <c r="P1636" i="5"/>
  <c r="P1771" i="5"/>
  <c r="P1699" i="5"/>
  <c r="P1795" i="5"/>
  <c r="P1726" i="5"/>
  <c r="P1786" i="5"/>
  <c r="P1719" i="5"/>
  <c r="P1777" i="5"/>
  <c r="P1683" i="5"/>
  <c r="P1610" i="5"/>
  <c r="P1602" i="5"/>
  <c r="P1678" i="5"/>
  <c r="P1574" i="5"/>
  <c r="P1653" i="5"/>
  <c r="P1598" i="5"/>
  <c r="P1462" i="5"/>
  <c r="P1705" i="5"/>
  <c r="P1604" i="5"/>
  <c r="P1564" i="5"/>
  <c r="P1663" i="5"/>
  <c r="P1522" i="5"/>
  <c r="P1479" i="5"/>
  <c r="P1669" i="5"/>
  <c r="P1606" i="5"/>
  <c r="P1489" i="5"/>
  <c r="P1457" i="5"/>
  <c r="P1591" i="5"/>
  <c r="P1543" i="5"/>
  <c r="P1452" i="5"/>
  <c r="P1578" i="5"/>
  <c r="P1483" i="5"/>
  <c r="P1419" i="5"/>
  <c r="P1361" i="5"/>
  <c r="P1323" i="5"/>
  <c r="P1504" i="5"/>
  <c r="P1431" i="5"/>
  <c r="P1389" i="5"/>
  <c r="P1319" i="5"/>
  <c r="P1258" i="5"/>
  <c r="P1418" i="5"/>
  <c r="P1314" i="5"/>
  <c r="P1484" i="5"/>
  <c r="P1448" i="5"/>
  <c r="P1377" i="5"/>
  <c r="P1584" i="5"/>
  <c r="P1472" i="5"/>
  <c r="P1549" i="5"/>
  <c r="P1369" i="5"/>
  <c r="P1266" i="5"/>
  <c r="P1241" i="5"/>
  <c r="P1189" i="5"/>
  <c r="P1308" i="5"/>
  <c r="P1397" i="5"/>
  <c r="P1286" i="5"/>
  <c r="P1202" i="5"/>
  <c r="P1268" i="5"/>
  <c r="P1201" i="5"/>
  <c r="P1166" i="5"/>
  <c r="P1354" i="5"/>
  <c r="P1242" i="5"/>
  <c r="P1170" i="5"/>
  <c r="P1089" i="5"/>
  <c r="P1096" i="5"/>
  <c r="P1199" i="5"/>
  <c r="P1121" i="5"/>
  <c r="P1155" i="5"/>
  <c r="P1182" i="5"/>
  <c r="P1105" i="5"/>
  <c r="P991" i="5"/>
  <c r="P968" i="5"/>
  <c r="P1067" i="5"/>
  <c r="P1171" i="5"/>
  <c r="P978" i="5"/>
  <c r="P973" i="5"/>
  <c r="P1124" i="5"/>
  <c r="P893" i="5"/>
  <c r="P1065" i="5"/>
  <c r="P633" i="5"/>
  <c r="P909" i="5"/>
  <c r="P797" i="5"/>
  <c r="P676" i="5"/>
  <c r="P868" i="5"/>
  <c r="P892" i="5"/>
  <c r="P805" i="5"/>
  <c r="P773" i="5"/>
  <c r="P741" i="5"/>
  <c r="P709" i="5"/>
  <c r="P677" i="5"/>
  <c r="P885" i="5"/>
  <c r="P787" i="5"/>
  <c r="P469" i="5"/>
  <c r="P269" i="5"/>
  <c r="P737" i="5"/>
  <c r="P671" i="5"/>
  <c r="P609" i="5"/>
  <c r="P593" i="5"/>
  <c r="P577" i="5"/>
  <c r="P561" i="5"/>
  <c r="P545" i="5"/>
  <c r="P529" i="5"/>
  <c r="P513" i="5"/>
  <c r="P862" i="5"/>
  <c r="P775" i="5"/>
  <c r="P690" i="5"/>
  <c r="P501" i="5"/>
  <c r="P786" i="5"/>
  <c r="P736" i="5"/>
  <c r="P678" i="5"/>
  <c r="P640" i="5"/>
  <c r="P777" i="5"/>
  <c r="P719" i="5"/>
  <c r="P650" i="5"/>
  <c r="P886" i="5"/>
  <c r="P760" i="5"/>
  <c r="P686" i="5"/>
  <c r="P487" i="5"/>
  <c r="P441" i="5"/>
  <c r="P377" i="5"/>
  <c r="P313" i="5"/>
  <c r="P818" i="5"/>
  <c r="P689" i="5"/>
  <c r="P595" i="5"/>
  <c r="P878" i="5"/>
  <c r="P718" i="5"/>
  <c r="P707" i="5"/>
  <c r="P643" i="5"/>
  <c r="P490" i="5"/>
  <c r="P366" i="5"/>
  <c r="P360" i="5"/>
  <c r="P262" i="5"/>
  <c r="P612" i="5"/>
  <c r="P461" i="5"/>
  <c r="P730" i="5"/>
  <c r="P523" i="5"/>
  <c r="P267" i="5"/>
  <c r="P618" i="5"/>
  <c r="P528" i="5"/>
  <c r="P390" i="5"/>
  <c r="P326" i="5"/>
  <c r="P250" i="5"/>
  <c r="P606" i="5"/>
  <c r="P407" i="5"/>
  <c r="P362" i="5"/>
  <c r="P200" i="5"/>
  <c r="P164" i="5"/>
  <c r="P132" i="5"/>
  <c r="P100" i="5"/>
  <c r="P68" i="5"/>
  <c r="P36" i="5"/>
  <c r="P596" i="5"/>
  <c r="P449" i="5"/>
  <c r="P286" i="5"/>
  <c r="P248" i="5"/>
  <c r="P175" i="5"/>
  <c r="P111" i="5"/>
  <c r="P47" i="5"/>
  <c r="P19" i="5"/>
  <c r="P535" i="5"/>
  <c r="P464" i="5"/>
  <c r="P397" i="5"/>
  <c r="P333" i="5"/>
  <c r="P243" i="5"/>
  <c r="P714" i="5"/>
  <c r="P548" i="5"/>
  <c r="P466" i="5"/>
  <c r="P403" i="5"/>
  <c r="P339" i="5"/>
  <c r="P284" i="5"/>
  <c r="P230" i="5"/>
  <c r="P131" i="5"/>
  <c r="P170" i="5"/>
  <c r="P42" i="5"/>
  <c r="P64" i="5"/>
  <c r="P144" i="5"/>
  <c r="P400" i="5"/>
  <c r="P5" i="5"/>
  <c r="P69" i="5"/>
  <c r="P133" i="5"/>
  <c r="P217" i="5"/>
  <c r="P370" i="5"/>
  <c r="P198" i="5"/>
  <c r="P309" i="5"/>
  <c r="P209" i="5"/>
  <c r="P305" i="5"/>
  <c r="P320" i="5"/>
  <c r="P642" i="5"/>
  <c r="P1071" i="5"/>
  <c r="P931" i="5"/>
  <c r="P998" i="5"/>
  <c r="P1027" i="5"/>
  <c r="P1227" i="5"/>
  <c r="P1165" i="5"/>
  <c r="P1172" i="5"/>
  <c r="P1248" i="5"/>
  <c r="P1247" i="5"/>
  <c r="P1192" i="5"/>
  <c r="P1352" i="5"/>
  <c r="P1332" i="5"/>
  <c r="P1421" i="5"/>
  <c r="P1465" i="5"/>
  <c r="P1693" i="5"/>
  <c r="P1682" i="5"/>
  <c r="P1992" i="5"/>
  <c r="P154" i="5"/>
  <c r="P26" i="5"/>
  <c r="P142" i="5"/>
  <c r="P192" i="5"/>
  <c r="P74" i="5"/>
  <c r="P122" i="5"/>
  <c r="P81" i="5"/>
  <c r="P1112" i="5"/>
  <c r="P1007" i="5"/>
  <c r="P1114" i="5"/>
  <c r="P1019" i="5"/>
  <c r="P1195" i="5"/>
  <c r="P916" i="5"/>
  <c r="P1060" i="5"/>
  <c r="P994" i="5"/>
  <c r="P941" i="5"/>
  <c r="P1001" i="5"/>
  <c r="P969" i="5"/>
  <c r="P1080" i="5"/>
  <c r="P1003" i="5"/>
  <c r="P971" i="5"/>
  <c r="P954" i="5"/>
  <c r="P947" i="5"/>
  <c r="P901" i="5"/>
  <c r="P859" i="5"/>
  <c r="P827" i="5"/>
  <c r="P763" i="5"/>
  <c r="P915" i="5"/>
  <c r="P864" i="5"/>
  <c r="P832" i="5"/>
  <c r="P899" i="5"/>
  <c r="P935" i="5"/>
  <c r="P789" i="5"/>
  <c r="P757" i="5"/>
  <c r="P725" i="5"/>
  <c r="P693" i="5"/>
  <c r="P925" i="5"/>
  <c r="P889" i="5"/>
  <c r="P857" i="5"/>
  <c r="P825" i="5"/>
  <c r="P809" i="5"/>
  <c r="P723" i="5"/>
  <c r="P668" i="5"/>
  <c r="P630" i="5"/>
  <c r="P479" i="5"/>
  <c r="P854" i="5"/>
  <c r="P485" i="5"/>
  <c r="P665" i="5"/>
  <c r="P631" i="5"/>
  <c r="P716" i="5"/>
  <c r="P647" i="5"/>
  <c r="P738" i="5"/>
  <c r="P751" i="5"/>
  <c r="P675" i="5"/>
  <c r="P622" i="5"/>
  <c r="P591" i="5"/>
  <c r="P807" i="5"/>
  <c r="P637" i="5"/>
  <c r="P445" i="5"/>
  <c r="P767" i="5"/>
  <c r="P632" i="5"/>
  <c r="P554" i="5"/>
  <c r="P522" i="5"/>
  <c r="P420" i="5"/>
  <c r="P295" i="5"/>
  <c r="P348" i="5"/>
  <c r="P224" i="5"/>
  <c r="P610" i="5"/>
  <c r="P450" i="5"/>
  <c r="P600" i="5"/>
  <c r="P515" i="5"/>
  <c r="P421" i="5"/>
  <c r="P357" i="5"/>
  <c r="P251" i="5"/>
  <c r="P588" i="5"/>
  <c r="P520" i="5"/>
  <c r="P292" i="5"/>
  <c r="P186" i="5"/>
  <c r="P12" i="5"/>
  <c r="P576" i="5"/>
  <c r="P542" i="5"/>
  <c r="P510" i="5"/>
  <c r="P343" i="5"/>
  <c r="P287" i="5"/>
  <c r="P594" i="5"/>
  <c r="P395" i="5"/>
  <c r="P331" i="5"/>
  <c r="P239" i="5"/>
  <c r="P167" i="5"/>
  <c r="P103" i="5"/>
  <c r="P39" i="5"/>
  <c r="P616" i="5"/>
  <c r="P527" i="5"/>
  <c r="P456" i="5"/>
  <c r="P227" i="5"/>
  <c r="P636" i="5"/>
  <c r="P540" i="5"/>
  <c r="P396" i="5"/>
  <c r="P332" i="5"/>
  <c r="P274" i="5"/>
  <c r="P223" i="5"/>
  <c r="P178" i="5"/>
  <c r="P304" i="5"/>
  <c r="P99" i="5"/>
  <c r="P152" i="5"/>
  <c r="P24" i="5"/>
  <c r="P46" i="5"/>
  <c r="P129" i="5"/>
  <c r="P174" i="5"/>
  <c r="P13" i="5"/>
  <c r="P77" i="5"/>
  <c r="P141" i="5"/>
  <c r="P234" i="5"/>
  <c r="P432" i="5"/>
  <c r="P205" i="5"/>
  <c r="P352" i="5"/>
  <c r="P229" i="5"/>
  <c r="P338" i="5"/>
  <c r="P322" i="5"/>
  <c r="P698" i="5"/>
  <c r="P1119" i="5"/>
  <c r="P1035" i="5"/>
  <c r="P1006" i="5"/>
  <c r="P1084" i="5"/>
  <c r="P1103" i="5"/>
  <c r="P1211" i="5"/>
  <c r="P1180" i="5"/>
  <c r="P1264" i="5"/>
  <c r="P1257" i="5"/>
  <c r="P1200" i="5"/>
  <c r="P1267" i="5"/>
  <c r="P1384" i="5"/>
  <c r="P1364" i="5"/>
  <c r="P1605" i="5"/>
  <c r="P1481" i="5"/>
  <c r="P1725" i="5"/>
  <c r="P1709" i="5"/>
  <c r="P2008" i="5"/>
  <c r="P136" i="5"/>
  <c r="P110" i="5"/>
  <c r="P96" i="5"/>
  <c r="P181" i="5"/>
  <c r="P56" i="5"/>
  <c r="P104" i="5"/>
  <c r="P94" i="5"/>
  <c r="P705" i="5"/>
  <c r="P476" i="5"/>
  <c r="P448" i="5"/>
  <c r="P477" i="5"/>
  <c r="P413" i="5"/>
  <c r="P356" i="5"/>
  <c r="P412" i="5"/>
  <c r="P337" i="5"/>
  <c r="P203" i="5"/>
  <c r="P580" i="5"/>
  <c r="P439" i="5"/>
  <c r="P598" i="5"/>
  <c r="P507" i="5"/>
  <c r="P410" i="5"/>
  <c r="P346" i="5"/>
  <c r="P586" i="5"/>
  <c r="P512" i="5"/>
  <c r="P282" i="5"/>
  <c r="P244" i="5"/>
  <c r="P183" i="5"/>
  <c r="P171" i="5"/>
  <c r="P574" i="5"/>
  <c r="P398" i="5"/>
  <c r="P271" i="5"/>
  <c r="P156" i="5"/>
  <c r="P124" i="5"/>
  <c r="P92" i="5"/>
  <c r="P60" i="5"/>
  <c r="P498" i="5"/>
  <c r="P446" i="5"/>
  <c r="P392" i="5"/>
  <c r="P328" i="5"/>
  <c r="P280" i="5"/>
  <c r="P235" i="5"/>
  <c r="P159" i="5"/>
  <c r="P95" i="5"/>
  <c r="P31" i="5"/>
  <c r="P614" i="5"/>
  <c r="P519" i="5"/>
  <c r="P389" i="5"/>
  <c r="P325" i="5"/>
  <c r="P212" i="5"/>
  <c r="P634" i="5"/>
  <c r="P532" i="5"/>
  <c r="P454" i="5"/>
  <c r="P385" i="5"/>
  <c r="P321" i="5"/>
  <c r="P294" i="5"/>
  <c r="P43" i="5"/>
  <c r="P137" i="5"/>
  <c r="P16" i="5"/>
  <c r="P17" i="5"/>
  <c r="P126" i="5"/>
  <c r="P128" i="5"/>
  <c r="P21" i="5"/>
  <c r="P85" i="5"/>
  <c r="P149" i="5"/>
  <c r="P238" i="5"/>
  <c r="P2" i="5"/>
  <c r="P214" i="5"/>
  <c r="P354" i="5"/>
  <c r="P233" i="5"/>
  <c r="P402" i="5"/>
  <c r="P384" i="5"/>
  <c r="P810" i="5"/>
  <c r="P917" i="5"/>
  <c r="P1039" i="5"/>
  <c r="P1052" i="5"/>
  <c r="P1135" i="5"/>
  <c r="P1132" i="5"/>
  <c r="P1087" i="5"/>
  <c r="P1188" i="5"/>
  <c r="P1281" i="5"/>
  <c r="P1277" i="5"/>
  <c r="P1208" i="5"/>
  <c r="P1244" i="5"/>
  <c r="P1396" i="5"/>
  <c r="P1577" i="5"/>
  <c r="P1497" i="5"/>
  <c r="P1765" i="5"/>
  <c r="P1686" i="5"/>
  <c r="P14" i="5"/>
  <c r="P121" i="5"/>
  <c r="P49" i="5"/>
  <c r="P494" i="5"/>
  <c r="P169" i="5"/>
  <c r="P41" i="5"/>
  <c r="P89" i="5"/>
  <c r="P220" i="5"/>
  <c r="P66" i="5"/>
  <c r="P995" i="5"/>
  <c r="P927" i="5"/>
  <c r="P641" i="5"/>
  <c r="P957" i="5"/>
  <c r="P883" i="5"/>
  <c r="P851" i="5"/>
  <c r="P819" i="5"/>
  <c r="P795" i="5"/>
  <c r="P756" i="5"/>
  <c r="P667" i="5"/>
  <c r="P888" i="5"/>
  <c r="P856" i="5"/>
  <c r="P824" i="5"/>
  <c r="P903" i="5"/>
  <c r="P914" i="5"/>
  <c r="P881" i="5"/>
  <c r="P849" i="5"/>
  <c r="P771" i="5"/>
  <c r="P801" i="5"/>
  <c r="P704" i="5"/>
  <c r="P661" i="5"/>
  <c r="P838" i="5"/>
  <c r="P739" i="5"/>
  <c r="P684" i="5"/>
  <c r="P453" i="5"/>
  <c r="P778" i="5"/>
  <c r="P706" i="5"/>
  <c r="P655" i="5"/>
  <c r="P475" i="5"/>
  <c r="P752" i="5"/>
  <c r="P694" i="5"/>
  <c r="P497" i="5"/>
  <c r="P802" i="5"/>
  <c r="P735" i="5"/>
  <c r="P669" i="5"/>
  <c r="P471" i="5"/>
  <c r="P858" i="5"/>
  <c r="P794" i="5"/>
  <c r="P743" i="5"/>
  <c r="P659" i="5"/>
  <c r="P615" i="5"/>
  <c r="P583" i="5"/>
  <c r="P691" i="5"/>
  <c r="P499" i="5"/>
  <c r="P806" i="5"/>
  <c r="P758" i="5"/>
  <c r="P623" i="5"/>
  <c r="P473" i="5"/>
  <c r="P592" i="5"/>
  <c r="P546" i="5"/>
  <c r="P514" i="5"/>
  <c r="P451" i="5"/>
  <c r="P349" i="5"/>
  <c r="P279" i="5"/>
  <c r="P401" i="5"/>
  <c r="P163" i="5"/>
  <c r="P578" i="5"/>
  <c r="P563" i="5"/>
  <c r="P468" i="5"/>
  <c r="P391" i="5"/>
  <c r="P327" i="5"/>
  <c r="P240" i="5"/>
  <c r="P28" i="5"/>
  <c r="P568" i="5"/>
  <c r="P504" i="5"/>
  <c r="P379" i="5"/>
  <c r="P315" i="5"/>
  <c r="P218" i="5"/>
  <c r="P83" i="5"/>
  <c r="P566" i="5"/>
  <c r="P534" i="5"/>
  <c r="P502" i="5"/>
  <c r="P334" i="5"/>
  <c r="P255" i="5"/>
  <c r="P184" i="5"/>
  <c r="P20" i="5"/>
  <c r="P387" i="5"/>
  <c r="P323" i="5"/>
  <c r="P270" i="5"/>
  <c r="P231" i="5"/>
  <c r="P151" i="5"/>
  <c r="P87" i="5"/>
  <c r="P23" i="5"/>
  <c r="P584" i="5"/>
  <c r="P511" i="5"/>
  <c r="P440" i="5"/>
  <c r="P378" i="5"/>
  <c r="P314" i="5"/>
  <c r="P196" i="5"/>
  <c r="P604" i="5"/>
  <c r="P524" i="5"/>
  <c r="P422" i="5"/>
  <c r="P358" i="5"/>
  <c r="P306" i="5"/>
  <c r="P268" i="5"/>
  <c r="P210" i="5"/>
  <c r="P3" i="5"/>
  <c r="P134" i="5"/>
  <c r="P8" i="5"/>
  <c r="P6" i="5"/>
  <c r="P98" i="5"/>
  <c r="P82" i="5"/>
  <c r="P29" i="5"/>
  <c r="P93" i="5"/>
  <c r="P157" i="5"/>
  <c r="P249" i="5"/>
  <c r="P335" i="5"/>
  <c r="P221" i="5"/>
  <c r="P418" i="5"/>
  <c r="P237" i="5"/>
  <c r="P431" i="5"/>
  <c r="P386" i="5"/>
  <c r="P905" i="5"/>
  <c r="P939" i="5"/>
  <c r="P1053" i="5"/>
  <c r="P1048" i="5"/>
  <c r="P1164" i="5"/>
  <c r="P1140" i="5"/>
  <c r="P1111" i="5"/>
  <c r="P1196" i="5"/>
  <c r="P1283" i="5"/>
  <c r="P1293" i="5"/>
  <c r="P1216" i="5"/>
  <c r="P1280" i="5"/>
  <c r="P1324" i="5"/>
  <c r="P1400" i="5"/>
  <c r="P1585" i="5"/>
  <c r="P1629" i="5"/>
  <c r="P1670" i="5"/>
  <c r="P1976" i="5"/>
  <c r="P114" i="5"/>
  <c r="P118" i="5"/>
  <c r="P10" i="5"/>
  <c r="P478" i="5"/>
  <c r="P166" i="5"/>
  <c r="P38" i="5"/>
  <c r="P86" i="5"/>
  <c r="P176" i="5"/>
  <c r="P48" i="5"/>
  <c r="P1058" i="5"/>
  <c r="P1179" i="5"/>
  <c r="P1083" i="5"/>
  <c r="P1047" i="5"/>
  <c r="P1099" i="5"/>
  <c r="P999" i="5"/>
  <c r="P1015" i="5"/>
  <c r="P984" i="5"/>
  <c r="P933" i="5"/>
  <c r="P1066" i="5"/>
  <c r="P1077" i="5"/>
  <c r="P1033" i="5"/>
  <c r="P970" i="5"/>
  <c r="P922" i="5"/>
  <c r="P989" i="5"/>
  <c r="P1051" i="5"/>
  <c r="P913" i="5"/>
  <c r="P919" i="5"/>
  <c r="P944" i="5"/>
  <c r="P879" i="5"/>
  <c r="P847" i="5"/>
  <c r="P813" i="5"/>
  <c r="P733" i="5"/>
  <c r="P943" i="5"/>
  <c r="P747" i="5"/>
  <c r="P708" i="5"/>
  <c r="P884" i="5"/>
  <c r="P852" i="5"/>
  <c r="P820" i="5"/>
  <c r="P896" i="5"/>
  <c r="P907" i="5"/>
  <c r="P877" i="5"/>
  <c r="P845" i="5"/>
  <c r="P812" i="5"/>
  <c r="P784" i="5"/>
  <c r="P617" i="5"/>
  <c r="P601" i="5"/>
  <c r="P585" i="5"/>
  <c r="P569" i="5"/>
  <c r="P553" i="5"/>
  <c r="P537" i="5"/>
  <c r="P521" i="5"/>
  <c r="P505" i="5"/>
  <c r="P463" i="5"/>
  <c r="P830" i="5"/>
  <c r="P679" i="5"/>
  <c r="P774" i="5"/>
  <c r="P652" i="5"/>
  <c r="P459" i="5"/>
  <c r="P681" i="5"/>
  <c r="P638" i="5"/>
  <c r="P481" i="5"/>
  <c r="P732" i="5"/>
  <c r="P649" i="5"/>
  <c r="P409" i="5"/>
  <c r="P345" i="5"/>
  <c r="P850" i="5"/>
  <c r="P790" i="5"/>
  <c r="P726" i="5"/>
  <c r="P657" i="5"/>
  <c r="P611" i="5"/>
  <c r="P579" i="5"/>
  <c r="P785" i="5"/>
  <c r="P798" i="5"/>
  <c r="P745" i="5"/>
  <c r="P680" i="5"/>
  <c r="P590" i="5"/>
  <c r="P444" i="5"/>
  <c r="P405" i="5"/>
  <c r="P374" i="5"/>
  <c r="P288" i="5"/>
  <c r="P139" i="5"/>
  <c r="P484" i="5"/>
  <c r="P555" i="5"/>
  <c r="P147" i="5"/>
  <c r="P560" i="5"/>
  <c r="P376" i="5"/>
  <c r="P312" i="5"/>
  <c r="P276" i="5"/>
  <c r="P215" i="5"/>
  <c r="P51" i="5"/>
  <c r="P496" i="5"/>
  <c r="P388" i="5"/>
  <c r="P324" i="5"/>
  <c r="P148" i="5"/>
  <c r="P116" i="5"/>
  <c r="P84" i="5"/>
  <c r="P52" i="5"/>
  <c r="P486" i="5"/>
  <c r="P443" i="5"/>
  <c r="P380" i="5"/>
  <c r="P316" i="5"/>
  <c r="P143" i="5"/>
  <c r="P79" i="5"/>
  <c r="P15" i="5"/>
  <c r="P582" i="5"/>
  <c r="P503" i="5"/>
  <c r="P423" i="5"/>
  <c r="P359" i="5"/>
  <c r="P307" i="5"/>
  <c r="P180" i="5"/>
  <c r="P602" i="5"/>
  <c r="P516" i="5"/>
  <c r="P258" i="5"/>
  <c r="P207" i="5"/>
  <c r="P256" i="5"/>
  <c r="P106" i="5"/>
  <c r="P160" i="5"/>
  <c r="P80" i="5"/>
  <c r="P18" i="5"/>
  <c r="P37" i="5"/>
  <c r="P101" i="5"/>
  <c r="P165" i="5"/>
  <c r="P265" i="5"/>
  <c r="P399" i="5"/>
  <c r="P245" i="5"/>
  <c r="P225" i="5"/>
  <c r="P241" i="5"/>
  <c r="P253" i="5"/>
  <c r="P626" i="5"/>
  <c r="P958" i="5"/>
  <c r="P955" i="5"/>
  <c r="P1085" i="5"/>
  <c r="P1068" i="5"/>
  <c r="P1092" i="5"/>
  <c r="P1151" i="5"/>
  <c r="P1167" i="5"/>
  <c r="P1204" i="5"/>
  <c r="P1297" i="5"/>
  <c r="P1309" i="5"/>
  <c r="P1224" i="5"/>
  <c r="P1296" i="5"/>
  <c r="P1356" i="5"/>
  <c r="P1404" i="5"/>
  <c r="P1593" i="5"/>
  <c r="P1563" i="5"/>
  <c r="P1685" i="5"/>
  <c r="P1960" i="5"/>
  <c r="P78" i="5"/>
  <c r="P90" i="5"/>
  <c r="P9" i="5"/>
  <c r="P416" i="5"/>
  <c r="P138" i="5"/>
  <c r="P58" i="5"/>
  <c r="P161" i="5"/>
  <c r="P33" i="5"/>
  <c r="P703" i="5"/>
  <c r="P744" i="5"/>
  <c r="P799" i="5"/>
  <c r="P727" i="5"/>
  <c r="P646" i="5"/>
  <c r="P842" i="5"/>
  <c r="P782" i="5"/>
  <c r="P713" i="5"/>
  <c r="P654" i="5"/>
  <c r="P607" i="5"/>
  <c r="P575" i="5"/>
  <c r="P759" i="5"/>
  <c r="P672" i="5"/>
  <c r="P483" i="5"/>
  <c r="P734" i="5"/>
  <c r="P664" i="5"/>
  <c r="P570" i="5"/>
  <c r="P538" i="5"/>
  <c r="P506" i="5"/>
  <c r="P442" i="5"/>
  <c r="P394" i="5"/>
  <c r="P341" i="5"/>
  <c r="P263" i="5"/>
  <c r="P226" i="5"/>
  <c r="P278" i="5"/>
  <c r="P107" i="5"/>
  <c r="P427" i="5"/>
  <c r="P547" i="5"/>
  <c r="P458" i="5"/>
  <c r="P382" i="5"/>
  <c r="P318" i="5"/>
  <c r="P236" i="5"/>
  <c r="P91" i="5"/>
  <c r="P552" i="5"/>
  <c r="P436" i="5"/>
  <c r="P371" i="5"/>
  <c r="P266" i="5"/>
  <c r="P11" i="5"/>
  <c r="P558" i="5"/>
  <c r="P526" i="5"/>
  <c r="P488" i="5"/>
  <c r="P381" i="5"/>
  <c r="P317" i="5"/>
  <c r="P216" i="5"/>
  <c r="P4" i="5"/>
  <c r="P480" i="5"/>
  <c r="P433" i="5"/>
  <c r="P369" i="5"/>
  <c r="P302" i="5"/>
  <c r="P264" i="5"/>
  <c r="P211" i="5"/>
  <c r="P135" i="5"/>
  <c r="P71" i="5"/>
  <c r="P7" i="5"/>
  <c r="P559" i="5"/>
  <c r="P482" i="5"/>
  <c r="P291" i="5"/>
  <c r="P155" i="5"/>
  <c r="P572" i="5"/>
  <c r="P508" i="5"/>
  <c r="P300" i="5"/>
  <c r="P246" i="5"/>
  <c r="P213" i="5"/>
  <c r="P88" i="5"/>
  <c r="P177" i="5"/>
  <c r="P50" i="5"/>
  <c r="P65" i="5"/>
  <c r="P367" i="5"/>
  <c r="P45" i="5"/>
  <c r="P109" i="5"/>
  <c r="P173" i="5"/>
  <c r="P281" i="5"/>
  <c r="P462" i="5"/>
  <c r="P261" i="5"/>
  <c r="P319" i="5"/>
  <c r="P257" i="5"/>
  <c r="P746" i="5"/>
  <c r="P910" i="5"/>
  <c r="P1076" i="5"/>
  <c r="P974" i="5"/>
  <c r="P1116" i="5"/>
  <c r="P1101" i="5"/>
  <c r="P1100" i="5"/>
  <c r="P1312" i="5"/>
  <c r="P1212" i="5"/>
  <c r="P1299" i="5"/>
  <c r="P1336" i="5"/>
  <c r="P1232" i="5"/>
  <c r="P1368" i="5"/>
  <c r="P1388" i="5"/>
  <c r="P1433" i="5"/>
  <c r="P1607" i="5"/>
  <c r="P1571" i="5"/>
  <c r="P1749" i="5"/>
  <c r="P1879" i="5"/>
  <c r="P208" i="5"/>
  <c r="P72" i="5"/>
  <c r="P145" i="5"/>
  <c r="P336" i="5"/>
  <c r="P120" i="5"/>
  <c r="P168" i="5"/>
  <c r="P40" i="5"/>
  <c r="P158" i="5"/>
  <c r="P30" i="5"/>
  <c r="P1037" i="5"/>
  <c r="P1131" i="5"/>
  <c r="P1008" i="5"/>
  <c r="P976" i="5"/>
  <c r="P1078" i="5"/>
  <c r="P1045" i="5"/>
  <c r="P1020" i="5"/>
  <c r="P1024" i="5"/>
  <c r="P948" i="5"/>
  <c r="P1094" i="5"/>
  <c r="P1013" i="5"/>
  <c r="P981" i="5"/>
  <c r="P1049" i="5"/>
  <c r="P1117" i="5"/>
  <c r="P1021" i="5"/>
  <c r="P902" i="5"/>
  <c r="P871" i="5"/>
  <c r="P839" i="5"/>
  <c r="P781" i="5"/>
  <c r="P717" i="5"/>
  <c r="P908" i="5"/>
  <c r="P779" i="5"/>
  <c r="P740" i="5"/>
  <c r="P876" i="5"/>
  <c r="P844" i="5"/>
  <c r="P937" i="5"/>
  <c r="P869" i="5"/>
  <c r="P837" i="5"/>
  <c r="P921" i="5"/>
  <c r="P750" i="5"/>
  <c r="P674" i="5"/>
  <c r="P613" i="5"/>
  <c r="P597" i="5"/>
  <c r="P581" i="5"/>
  <c r="P565" i="5"/>
  <c r="P549" i="5"/>
  <c r="P533" i="5"/>
  <c r="P517" i="5"/>
  <c r="P495" i="5"/>
  <c r="P648" i="5"/>
  <c r="P755" i="5"/>
  <c r="P700" i="5"/>
  <c r="P645" i="5"/>
  <c r="P874" i="5"/>
  <c r="P722" i="5"/>
  <c r="P447" i="5"/>
  <c r="P791" i="5"/>
  <c r="P710" i="5"/>
  <c r="P635" i="5"/>
  <c r="P455" i="5"/>
  <c r="P393" i="5"/>
  <c r="P329" i="5"/>
  <c r="P834" i="5"/>
  <c r="P768" i="5"/>
  <c r="P702" i="5"/>
  <c r="P651" i="5"/>
  <c r="P603" i="5"/>
  <c r="P571" i="5"/>
  <c r="P742" i="5"/>
  <c r="P776" i="5"/>
  <c r="P656" i="5"/>
  <c r="P492" i="5"/>
  <c r="P460" i="5"/>
  <c r="P500" i="5"/>
  <c r="P375" i="5"/>
  <c r="P330" i="5"/>
  <c r="P59" i="5"/>
  <c r="P474" i="5"/>
  <c r="P424" i="5"/>
  <c r="P539" i="5"/>
  <c r="P438" i="5"/>
  <c r="P372" i="5"/>
  <c r="P299" i="5"/>
  <c r="P27" i="5"/>
  <c r="P544" i="5"/>
  <c r="P428" i="5"/>
  <c r="P364" i="5"/>
  <c r="P308" i="5"/>
  <c r="P202" i="5"/>
  <c r="P666" i="5"/>
  <c r="P435" i="5"/>
  <c r="P172" i="5"/>
  <c r="P140" i="5"/>
  <c r="P108" i="5"/>
  <c r="P76" i="5"/>
  <c r="P44" i="5"/>
  <c r="P75" i="5"/>
  <c r="P472" i="5"/>
  <c r="P406" i="5"/>
  <c r="P342" i="5"/>
  <c r="P254" i="5"/>
  <c r="P195" i="5"/>
  <c r="P127" i="5"/>
  <c r="P63" i="5"/>
  <c r="P115" i="5"/>
  <c r="P551" i="5"/>
  <c r="P414" i="5"/>
  <c r="P350" i="5"/>
  <c r="P275" i="5"/>
  <c r="P123" i="5"/>
  <c r="P564" i="5"/>
  <c r="P411" i="5"/>
  <c r="P347" i="5"/>
  <c r="P290" i="5"/>
  <c r="P252" i="5"/>
  <c r="P194" i="5"/>
  <c r="P355" i="5"/>
  <c r="P219" i="5"/>
  <c r="P190" i="5"/>
  <c r="P73" i="5"/>
  <c r="P146" i="5"/>
  <c r="P188" i="5"/>
  <c r="P62" i="5"/>
  <c r="P351" i="5"/>
  <c r="P53" i="5"/>
  <c r="P117" i="5"/>
  <c r="P185" i="5"/>
  <c r="P297" i="5"/>
  <c r="P182" i="5"/>
  <c r="P277" i="5"/>
  <c r="P383" i="5"/>
  <c r="P273" i="5"/>
  <c r="P285" i="5"/>
  <c r="P434" i="5"/>
  <c r="P966" i="5"/>
  <c r="P929" i="5"/>
  <c r="P982" i="5"/>
  <c r="P1014" i="5"/>
  <c r="P1127" i="5"/>
  <c r="P1148" i="5"/>
  <c r="P1236" i="5"/>
  <c r="P1220" i="5"/>
  <c r="P1235" i="5"/>
  <c r="P1176" i="5"/>
  <c r="P1239" i="5"/>
  <c r="P1380" i="5"/>
  <c r="P1408" i="5"/>
  <c r="P1485" i="5"/>
  <c r="P1622" i="5"/>
  <c r="P1579" i="5"/>
  <c r="P1753" i="5"/>
  <c r="P2012" i="5"/>
  <c r="P197" i="5"/>
  <c r="P57" i="5"/>
  <c r="P32" i="5"/>
  <c r="P222" i="5"/>
  <c r="P105" i="5"/>
  <c r="P153" i="5"/>
  <c r="P25" i="5"/>
  <c r="P130" i="5"/>
  <c r="P904" i="5"/>
  <c r="P1064" i="5"/>
  <c r="P1074" i="5"/>
  <c r="P1009" i="5"/>
  <c r="P977" i="5"/>
  <c r="P1109" i="5"/>
  <c r="P1040" i="5"/>
  <c r="P1093" i="5"/>
  <c r="P1011" i="5"/>
  <c r="P979" i="5"/>
  <c r="P963" i="5"/>
  <c r="P898" i="5"/>
  <c r="P897" i="5"/>
  <c r="P625" i="5"/>
  <c r="P934" i="5"/>
  <c r="P867" i="5"/>
  <c r="P835" i="5"/>
  <c r="P891" i="5"/>
  <c r="P731" i="5"/>
  <c r="P692" i="5"/>
  <c r="P953" i="5"/>
  <c r="P872" i="5"/>
  <c r="P840" i="5"/>
  <c r="P918" i="5"/>
  <c r="P890" i="5"/>
  <c r="P960" i="5"/>
  <c r="P865" i="5"/>
  <c r="P833" i="5"/>
  <c r="P796" i="5"/>
  <c r="P870" i="5"/>
  <c r="P882" i="5"/>
  <c r="P817" i="5"/>
  <c r="P712" i="5"/>
  <c r="P627" i="5"/>
  <c r="P792" i="5"/>
  <c r="P695" i="5"/>
  <c r="P816" i="5"/>
  <c r="P945" i="5"/>
  <c r="P697" i="5"/>
  <c r="P624" i="5"/>
  <c r="P826" i="5"/>
  <c r="P754" i="5"/>
  <c r="P639" i="5"/>
  <c r="P599" i="5"/>
  <c r="P567" i="5"/>
  <c r="P729" i="5"/>
  <c r="P653" i="5"/>
  <c r="P467" i="5"/>
  <c r="P770" i="5"/>
  <c r="P721" i="5"/>
  <c r="P489" i="5"/>
  <c r="P457" i="5"/>
  <c r="P562" i="5"/>
  <c r="P530" i="5"/>
  <c r="P430" i="5"/>
  <c r="P311" i="5"/>
  <c r="P247" i="5"/>
  <c r="P363" i="5"/>
  <c r="P272" i="5"/>
  <c r="P682" i="5"/>
  <c r="P419" i="5"/>
  <c r="P531" i="5"/>
  <c r="P429" i="5"/>
  <c r="P365" i="5"/>
  <c r="P283" i="5"/>
  <c r="P232" i="5"/>
  <c r="P620" i="5"/>
  <c r="P536" i="5"/>
  <c r="P417" i="5"/>
  <c r="P353" i="5"/>
  <c r="P298" i="5"/>
  <c r="P260" i="5"/>
  <c r="P199" i="5"/>
  <c r="P608" i="5"/>
  <c r="P550" i="5"/>
  <c r="P518" i="5"/>
  <c r="P426" i="5"/>
  <c r="P373" i="5"/>
  <c r="P303" i="5"/>
  <c r="P628" i="5"/>
  <c r="P296" i="5"/>
  <c r="P179" i="5"/>
  <c r="P119" i="5"/>
  <c r="P55" i="5"/>
  <c r="P67" i="5"/>
  <c r="P543" i="5"/>
  <c r="P470" i="5"/>
  <c r="P404" i="5"/>
  <c r="P340" i="5"/>
  <c r="P259" i="5"/>
  <c r="P35" i="5"/>
  <c r="P556" i="5"/>
  <c r="P493" i="5"/>
  <c r="P408" i="5"/>
  <c r="P344" i="5"/>
  <c r="P242" i="5"/>
  <c r="P191" i="5"/>
  <c r="P310" i="5"/>
  <c r="P187" i="5"/>
  <c r="P70" i="5"/>
  <c r="P113" i="5"/>
  <c r="P162" i="5"/>
  <c r="P34" i="5"/>
  <c r="P415" i="5"/>
  <c r="P61" i="5"/>
  <c r="P125" i="5"/>
  <c r="P201" i="5"/>
  <c r="P368" i="5"/>
  <c r="P189" i="5"/>
  <c r="P293" i="5"/>
  <c r="P193" i="5"/>
  <c r="P289" i="5"/>
  <c r="P301" i="5"/>
  <c r="P452" i="5"/>
  <c r="P911" i="5"/>
  <c r="P950" i="5"/>
  <c r="P990" i="5"/>
  <c r="P1022" i="5"/>
  <c r="P1187" i="5"/>
  <c r="P1156" i="5"/>
  <c r="P1243" i="5"/>
  <c r="P1228" i="5"/>
  <c r="P1240" i="5"/>
  <c r="P1184" i="5"/>
  <c r="P1251" i="5"/>
  <c r="P1320" i="5"/>
  <c r="P1501" i="5"/>
  <c r="P1411" i="5"/>
  <c r="P1449" i="5"/>
  <c r="P1666" i="5"/>
  <c r="P1733" i="5"/>
  <c r="P2020" i="5"/>
  <c r="P54" i="5"/>
  <c r="P22" i="5"/>
  <c r="P102" i="5"/>
  <c r="P150" i="5"/>
  <c r="P204" i="5"/>
  <c r="P112" i="5"/>
  <c r="P20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311812-762D-4BF8-87AC-BC587B91F10E}" keepAlive="1" name="Query - Sales_Data2" description="Connection to the 'Sales_Data2' query in the workbook." type="5" refreshedVersion="8" background="1" saveData="1">
    <dbPr connection="Provider=Microsoft.Mashup.OleDb.1;Data Source=$Workbook$;Location=Sales_Data2;Extended Properties=&quot;&quot;" command="SELECT * FROM [Sales_Data2]"/>
  </connection>
</connections>
</file>

<file path=xl/sharedStrings.xml><?xml version="1.0" encoding="utf-8"?>
<sst xmlns="http://schemas.openxmlformats.org/spreadsheetml/2006/main" count="52588" uniqueCount="2201">
  <si>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</si>
  <si>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</si>
  <si>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</si>
  <si>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</si>
  <si>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</si>
  <si>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</si>
  <si>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</si>
  <si>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</si>
  <si>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</si>
  <si>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</si>
  <si>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</si>
  <si>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</si>
  <si>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</si>
  <si>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</si>
  <si>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</si>
  <si>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</si>
  <si>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</si>
  <si>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</si>
  <si>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</si>
  <si>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</si>
  <si>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</si>
  <si>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</si>
  <si>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</si>
  <si>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</si>
  <si>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</si>
  <si>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</si>
  <si>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</si>
  <si>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</si>
  <si>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</si>
  <si>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</si>
  <si>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</si>
  <si>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</si>
  <si>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</si>
  <si>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</si>
  <si>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</si>
  <si>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</si>
  <si>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</si>
  <si>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</si>
  <si>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</si>
  <si>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</si>
  <si>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</si>
  <si>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</si>
  <si>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</si>
  <si>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</si>
  <si>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</si>
  <si>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</si>
  <si>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</si>
  <si>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</si>
  <si>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</si>
  <si>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</si>
  <si>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</si>
  <si>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</si>
  <si>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</si>
  <si>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</si>
  <si>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</si>
  <si>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</si>
  <si>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t>Submit via this link:</t>
  </si>
  <si>
    <t>https://docs.google.com/forms/d/1XlNYHeYal-dyobjPkKfbrCW7qvB8kNe_O7pfYNYinq8/edit?ts=6a2fc4d9</t>
  </si>
  <si>
    <t>Revenue</t>
  </si>
  <si>
    <t>COGS</t>
  </si>
  <si>
    <t xml:space="preserve">REV= </t>
  </si>
  <si>
    <t>QUANTITY *SALES</t>
  </si>
  <si>
    <t>COGS =`</t>
  </si>
  <si>
    <t>ORDERQUANTITY*TOTALPRODUCT</t>
  </si>
  <si>
    <t xml:space="preserve">PROFIT = </t>
  </si>
  <si>
    <t>REVENUE-COGS</t>
  </si>
  <si>
    <t>Profit</t>
  </si>
  <si>
    <t>RowKey</t>
  </si>
  <si>
    <t>DuplicateFlag</t>
  </si>
  <si>
    <t>COUNT BLANK CHECKS</t>
  </si>
  <si>
    <t>QuantityCheck</t>
  </si>
  <si>
    <t>Date Check</t>
  </si>
  <si>
    <t>Sum of Revenue</t>
  </si>
  <si>
    <t>Sum of Quantity</t>
  </si>
  <si>
    <t>Row Labels</t>
  </si>
  <si>
    <t>Grand Total</t>
  </si>
  <si>
    <t>Sum of Profit</t>
  </si>
  <si>
    <t>Sum of COGS</t>
  </si>
  <si>
    <t>2025</t>
  </si>
  <si>
    <t>2026</t>
  </si>
  <si>
    <t>2027</t>
  </si>
  <si>
    <t>2028</t>
  </si>
  <si>
    <t>2029</t>
  </si>
  <si>
    <t>2030</t>
  </si>
  <si>
    <t>Jan</t>
  </si>
  <si>
    <t>Feb</t>
  </si>
  <si>
    <t>Mar</t>
  </si>
  <si>
    <t>Apr</t>
  </si>
  <si>
    <t>May</t>
  </si>
  <si>
    <t>Jun</t>
  </si>
  <si>
    <t>Jul</t>
  </si>
  <si>
    <t>Aug</t>
  </si>
  <si>
    <t>Sep</t>
  </si>
  <si>
    <t>Oct</t>
  </si>
  <si>
    <t>Nov</t>
  </si>
  <si>
    <t>Dec</t>
  </si>
  <si>
    <t>Count of Date</t>
  </si>
  <si>
    <t>Column Labels</t>
  </si>
  <si>
    <t>SALES DASHBOARD</t>
  </si>
  <si>
    <t>Joel Mokolo</t>
  </si>
  <si>
    <t>`</t>
  </si>
  <si>
    <t>45676|West|Port Harcourt|Retail|Online|Office Chair Pro|Furniture|85000|1|Chidinma|68000</t>
  </si>
  <si>
    <t>Unique</t>
  </si>
  <si>
    <t>OK</t>
  </si>
  <si>
    <t>45677|East|Lagos|Retail|Store|Blender B10|Home Appliances|30000|8|Chidinma|24000</t>
  </si>
  <si>
    <t>45678|East|Port Harcourt|Corporate|Online|Office Chair Pro|Furniture|85000|2|David|68000</t>
  </si>
  <si>
    <t>45679|South|Kano|Retail|Online|Microwave M20|Home Appliances|60000|2|Musa|48000</t>
  </si>
  <si>
    <t>45680|North|Kano|Corporate|Online|Desktop PC D21|Electronics|300000|2|Chidinma|240000</t>
  </si>
  <si>
    <t>45681|South|Abuja|Retail|Online|Air Conditioner X2|Home Appliances|180000|10|Chidinma|144000</t>
  </si>
  <si>
    <t>45682|South|Abuja|Corporate|Online|Sofa Classic|Furniture|320000|4|Musa|256000</t>
  </si>
  <si>
    <t>45683|South|Kano|Retail|Online|Sofa Classic|Furniture|320000|1|Peter|256000</t>
  </si>
  <si>
    <t>45684|East|Lagos|Retail|Store|Sofa Classic|Furniture|320000|9|Musa|256000</t>
  </si>
  <si>
    <t>45685|South|Lagos|Retail|Online|Sofa Classic|Furniture|320000|3|Musa|256000</t>
  </si>
  <si>
    <t>45686|South|Port Harcourt|Retail|Online|Printer P50|Electronics|150000|4|Peter|120000</t>
  </si>
  <si>
    <t>45687|West|Kano|Corporate|Online|Sofa Classic|Furniture|320000|7|Peter|256000</t>
  </si>
  <si>
    <t>45688|South|Port Harcourt|Retail|Store|Printer P50|Electronics|150000|2|Aisha|120000</t>
  </si>
  <si>
    <t>45689|West|Lagos|Retail|Online|Laptop A13|Electronics|420000|9|Musa|336000</t>
  </si>
  <si>
    <t>45690|North|Lagos|Retail|Online|Laptop A13|Electronics|420000|5|Grace|336000</t>
  </si>
  <si>
    <t>45691|West|Kano|Corporate|Store|Smartphone Z10|Electronics|250000|4|Peter|200000</t>
  </si>
  <si>
    <t>45692|West|Lagos|Retail|Online|Refrigerator R55|Home Appliances|220000|2|Peter|176000</t>
  </si>
  <si>
    <t>45693|East|Kano|Retail|Store|Printer P50|Electronics|150000|7|Musa|120000</t>
  </si>
  <si>
    <t>45694|South|Abuja|Corporate|Store|Desktop PC D21|Electronics|300000|5|Peter|240000</t>
  </si>
  <si>
    <t>45695|North|Kano|Retail|Online|Printer P50|Electronics|150000|4|Peter|120000</t>
  </si>
  <si>
    <t>45696|North|Kano|Corporate|Store|Office Chair Pro|Furniture|85000|1|Grace|68000</t>
  </si>
  <si>
    <t>45697|East|Port Harcourt|Retail|Store|Office Chair Pro|Furniture|85000|9|David|68000</t>
  </si>
  <si>
    <t>45698|East|Lagos|Retail|Store|Laptop A13|Electronics|420000|8|Grace|336000</t>
  </si>
  <si>
    <t>45699|North|Lagos|Corporate|Online|Laptop A13|Electronics|420000|10|Grace|336000</t>
  </si>
  <si>
    <t>45700|East|Port Harcourt|Retail|Store|Smartphone Z10|Electronics|250000|5|Aisha|200000</t>
  </si>
  <si>
    <t>45701|North|Lagos|Corporate|Store|Refrigerator R55|Home Appliances|220000|4|Grace|176000</t>
  </si>
  <si>
    <t>45702|West|Abuja|Corporate|Online|Printer P50|Electronics|150000|7|Musa|120000</t>
  </si>
  <si>
    <t>45703|South|Kano|Retail|Online|Office Chair Pro|Furniture|85000|3|Peter|68000</t>
  </si>
  <si>
    <t>45704|East|Port Harcourt|Retail|Store|Desktop PC D21|Electronics|300000|8|Grace|240000</t>
  </si>
  <si>
    <t>45705|West|Lagos|Corporate|Online|Refrigerator R55|Home Appliances|220000|1|David|176000</t>
  </si>
  <si>
    <t>45706|South|Abuja|Corporate|Online|Sofa Classic|Furniture|320000|7|Grace|256000</t>
  </si>
  <si>
    <t>45707|West|Abuja|Retail|Store|Printer P50|Electronics|150000|1|Chidinma|120000</t>
  </si>
  <si>
    <t>45708|East|Kano|Retail|Online|Air Conditioner X2|Home Appliances|180000|9|Grace|144000</t>
  </si>
  <si>
    <t>45709|South|Kano|Retail|Online|Sofa Classic|Furniture|320000|5|Grace|256000</t>
  </si>
  <si>
    <t>45710|South|Kano|Corporate|Store|Printer P50|Electronics|150000|8|Aisha|120000</t>
  </si>
  <si>
    <t>45711|West|Port Harcourt|Corporate|Store|Office Chair Pro|Furniture|85000|7|David|68000</t>
  </si>
  <si>
    <t>45712|South|Abuja|Corporate|Online|Sofa Classic|Furniture|320000|6|David|256000</t>
  </si>
  <si>
    <t>45713|West|Kano|Retail|Store|Laptop A13|Electronics|420000|8|Aisha|336000</t>
  </si>
  <si>
    <t>45714|South|Port Harcourt|Corporate|Online|Desktop PC D21|Electronics|300000|7|Peter|240000</t>
  </si>
  <si>
    <t>45715|West|Port Harcourt|Retail|Online|Blender B10|Home Appliances|30000|6|David|24000</t>
  </si>
  <si>
    <t>45716|West|Port Harcourt|Corporate|Store|Refrigerator R55|Home Appliances|220000|2|Peter|176000</t>
  </si>
  <si>
    <t>45717|West|Abuja|Retail|Online|Printer P50|Electronics|150000|1|David|120000</t>
  </si>
  <si>
    <t>45718|North|Lagos|Retail|Store|Sofa Classic|Furniture|320000|1|Grace|256000</t>
  </si>
  <si>
    <t>45719|North|Abuja|Corporate|Store|Blender B10|Home Appliances|30000|3|David|24000</t>
  </si>
  <si>
    <t>45720|West|Port Harcourt|Corporate|Online|Microwave M20|Home Appliances|60000|5|Musa|48000</t>
  </si>
  <si>
    <t>45721|East|Kano|Corporate|Online|Printer P50|Electronics|150000|3|Musa|120000</t>
  </si>
  <si>
    <t>45722|East|Lagos|Retail|Online|Sofa Classic|Furniture|320000|10|Musa|256000</t>
  </si>
  <si>
    <t>45723|East|Port Harcourt|Corporate|Online|Refrigerator R55|Home Appliances|220000|6|Chidinma|176000</t>
  </si>
  <si>
    <t>45724|West|Abuja|Corporate|Online|Air Conditioner X2|Home Appliances|180000|8|Musa|144000</t>
  </si>
  <si>
    <t>45725|West|Kano|Retail|Store|Sofa Classic|Furniture|320000|2|David|256000</t>
  </si>
  <si>
    <t>45726|West|Lagos|Retail|Store|Desktop PC D21|Electronics|300000|9|Peter|240000</t>
  </si>
  <si>
    <t>45727|North|Kano|Retail|Store|Laptop A13|Electronics|420000|1|Peter|336000</t>
  </si>
  <si>
    <t>45728|East|Kano|Retail|Online|Microwave M20|Home Appliances|60000|1|Musa|48000</t>
  </si>
  <si>
    <t>45729|East|Lagos|Corporate|Store|Desktop PC D21|Electronics|300000|9|Peter|240000</t>
  </si>
  <si>
    <t>45730|West|Kano|Corporate|Online|Laptop A13|Electronics|420000|9|David|336000</t>
  </si>
  <si>
    <t>45731|East|Lagos|Retail|Online|Refrigerator R55|Home Appliances|220000|8|Aisha|176000</t>
  </si>
  <si>
    <t>45732|South|Port Harcourt|Retail|Online|Office Chair Pro|Furniture|85000|10|Peter|68000</t>
  </si>
  <si>
    <t>45733|West|Kano|Corporate|Online|Printer P50|Electronics|150000|4|Chidinma|120000</t>
  </si>
  <si>
    <t>45734|East|Lagos|Corporate|Store|Smartphone Z10|Electronics|250000|1|Musa|200000</t>
  </si>
  <si>
    <t>45735|South|Lagos|Retail|Online|Blender B10|Home Appliances|30000|10|Musa|24000</t>
  </si>
  <si>
    <t>45736|South|Lagos|Corporate|Online|Laptop A13|Electronics|420000|4|David|336000</t>
  </si>
  <si>
    <t>45737|East|Lagos|Retail|Store|Office Chair Pro|Furniture|85000|2|Peter|68000</t>
  </si>
  <si>
    <t>45738|East|Lagos|Retail|Online|Refrigerator R55|Home Appliances|220000|1|Musa|176000</t>
  </si>
  <si>
    <t>45739|West|Port Harcourt|Retail|Store|Air Conditioner X2|Home Appliances|180000|9|Grace|144000</t>
  </si>
  <si>
    <t>45740|West|Kano|Retail|Store|Smartphone Z10|Electronics|250000|6|Chidinma|200000</t>
  </si>
  <si>
    <t>45741|West|Port Harcourt|Retail|Store|Air Conditioner X2|Home Appliances|180000|3|Grace|144000</t>
  </si>
  <si>
    <t>45742|South|Port Harcourt|Corporate|Online|Microwave M20|Home Appliances|60000|8|Peter|48000</t>
  </si>
  <si>
    <t>45743|North|Port Harcourt|Retail|Online|Microwave M20|Home Appliances|60000|3|Chidinma|48000</t>
  </si>
  <si>
    <t>45744|West|Kano|Corporate|Online|Blender B10|Home Appliances|30000|8|Musa|24000</t>
  </si>
  <si>
    <t>45745|South|Lagos|Retail|Store|Microwave M20|Home Appliances|60000|4|Grace|48000</t>
  </si>
  <si>
    <t>45746|South|Port Harcourt|Corporate|Store|Blender B10|Home Appliances|30000|3|David|24000</t>
  </si>
  <si>
    <t>45747|East|Kano|Retail|Online|Air Conditioner X2|Home Appliances|180000|5|Musa|144000</t>
  </si>
  <si>
    <t>45748|North|Port Harcourt|Retail|Store|Refrigerator R55|Home Appliances|220000|3|Grace|176000</t>
  </si>
  <si>
    <t>45749|West|Lagos|Retail|Online|Microwave M20|Home Appliances|60000|4|Aisha|48000</t>
  </si>
  <si>
    <t>45750|North|Port Harcourt|Corporate|Online|Office Chair Pro|Furniture|85000|1|Aisha|68000</t>
  </si>
  <si>
    <t>45751|East|Port Harcourt|Retail|Online|Blender B10|Home Appliances|30000|5|David|24000</t>
  </si>
  <si>
    <t>45752|East|Abuja|Retail|Store|Microwave M20|Home Appliances|60000|3|Aisha|48000</t>
  </si>
  <si>
    <t>45753|West|Abuja|Retail|Online|Microwave M20|Home Appliances|60000|6|Chidinma|48000</t>
  </si>
  <si>
    <t>45754|South|Kano|Corporate|Online|Desktop PC D21|Electronics|300000|2|Chidinma|240000</t>
  </si>
  <si>
    <t>45755|West|Kano|Retail|Online|Printer P50|Electronics|150000|7|David|120000</t>
  </si>
  <si>
    <t>45756|North|Kano|Corporate|Store|Refrigerator R55|Home Appliances|220000|3|Musa|176000</t>
  </si>
  <si>
    <t>45757|West|Kano|Retail|Store|Microwave M20|Home Appliances|60000|9|Peter|48000</t>
  </si>
  <si>
    <t>45758|West|Lagos|Corporate|Store|Sofa Classic|Furniture|320000|2|Musa|256000</t>
  </si>
  <si>
    <t>45759|West|Kano|Corporate|Online|Refrigerator R55|Home Appliances|220000|5|Chidinma|176000</t>
  </si>
  <si>
    <t>45760|West|Port Harcourt|Corporate|Online|Printer P50|Electronics|150000|1|Grace|120000</t>
  </si>
  <si>
    <t>45761|South|Lagos|Retail|Store|Desktop PC D21|Electronics|300000|8|Chidinma|240000</t>
  </si>
  <si>
    <t>45762|East|Abuja|Retail|Online|Refrigerator R55|Home Appliances|220000|3|Aisha|176000</t>
  </si>
  <si>
    <t>45763|West|Port Harcourt|Retail|Online|Smartphone Z10|Electronics|250000|8|Chidinma|200000</t>
  </si>
  <si>
    <t>45764|South|Lagos|Corporate|Online|Desktop PC D21|Electronics|300000|4|Musa|240000</t>
  </si>
  <si>
    <t>45765|South|Kano|Corporate|Store|Desktop PC D21|Electronics|300000|1|Musa|240000</t>
  </si>
  <si>
    <t>45766|East|Abuja|Retail|Online|Smartphone Z10|Electronics|250000|8|Musa|200000</t>
  </si>
  <si>
    <t>45767|West|Abuja|Corporate|Store|Air Conditioner X2|Home Appliances|180000|2|Aisha|144000</t>
  </si>
  <si>
    <t>45768|West|Abuja|Retail|Store|Air Conditioner X2|Home Appliances|180000|6|Musa|144000</t>
  </si>
  <si>
    <t>45769|North|Lagos|Corporate|Online|Desktop PC D21|Electronics|300000|2|Musa|240000</t>
  </si>
  <si>
    <t>45770|East|Port Harcourt|Corporate|Store|Printer P50|Electronics|150000|6|Chidinma|120000</t>
  </si>
  <si>
    <t>45771|South|Lagos|Corporate|Store|Laptop A13|Electronics|420000|10|Chidinma|336000</t>
  </si>
  <si>
    <t>45772|East|Kano|Retail|Online|Laptop A13|Electronics|420000|8|Musa|336000</t>
  </si>
  <si>
    <t>45773|South|Lagos|Retail|Store|Air Conditioner X2|Home Appliances|180000|8|Chidinma|144000</t>
  </si>
  <si>
    <t>45774|South|Kano|Retail|Store|Desktop PC D21|Electronics|300000|4|Aisha|240000</t>
  </si>
  <si>
    <t>45775|South|Kano|Retail|Store|Laptop A13|Electronics|420000|1|Peter|336000</t>
  </si>
  <si>
    <t>45776|West|Kano|Corporate|Online|Blender B10|Home Appliances|30000|7|Musa|24000</t>
  </si>
  <si>
    <t>45777|South|Port Harcourt|Retail|Online|Laptop A13|Electronics|420000|3|Musa|336000</t>
  </si>
  <si>
    <t>45778|South|Port Harcourt|Retail|Store|Microwave M20|Home Appliances|60000|5|Grace|48000</t>
  </si>
  <si>
    <t>45779|West|Abuja|Corporate|Online|Desktop PC D21|Electronics|300000|9|Grace|240000</t>
  </si>
  <si>
    <t>45780|East|Kano|Retail|Store|Sofa Classic|Furniture|320000|4|Peter|256000</t>
  </si>
  <si>
    <t>45781|North|Lagos|Retail|Store|Air Conditioner X2|Home Appliances|180000|2|Grace|144000</t>
  </si>
  <si>
    <t>45782|East|Lagos|Retail|Online|Office Chair Pro|Furniture|85000|1|Peter|68000</t>
  </si>
  <si>
    <t>45783|North|Kano|Corporate|Store|Sofa Classic|Furniture|320000|7|Peter|256000</t>
  </si>
  <si>
    <t>45784|East|Abuja|Corporate|Online|Microwave M20|Home Appliances|60000|9|Chidinma|48000</t>
  </si>
  <si>
    <t>45785|North|Abuja|Corporate|Store|Office Chair Pro|Furniture|85000|1|David|68000</t>
  </si>
  <si>
    <t>45786|East|Lagos|Retail|Online|Desktop PC D21|Electronics|300000|6|Grace|240000</t>
  </si>
  <si>
    <t>45787|North|Lagos|Corporate|Online|Blender B10|Home Appliances|30000|5|Chidinma|24000</t>
  </si>
  <si>
    <t>45788|North|Port Harcourt|Retail|Store|Printer P50|Electronics|150000|4|Aisha|120000</t>
  </si>
  <si>
    <t>45789|South|Port Harcourt|Corporate|Store|Printer P50|Electronics|150000|6|Aisha|120000</t>
  </si>
  <si>
    <t>45790|North|Lagos|Corporate|Store|Printer P50|Electronics|150000|8|Aisha|120000</t>
  </si>
  <si>
    <t>45791|South|Lagos|Retail|Store|Blender B10|Home Appliances|30000|6|Chidinma|24000</t>
  </si>
  <si>
    <t>45792|West|Lagos|Retail|Online|Smartphone Z10|Electronics|250000|3|Peter|200000</t>
  </si>
  <si>
    <t>45793|South|Lagos|Corporate|Online|Printer P50|Electronics|150000|5|Chidinma|120000</t>
  </si>
  <si>
    <t>45794|West|Lagos|Retail|Online|Refrigerator R55|Home Appliances|220000|1|Aisha|176000</t>
  </si>
  <si>
    <t>45795|North|Lagos|Retail|Store|Sofa Classic|Furniture|320000|10|Peter|256000</t>
  </si>
  <si>
    <t>45796|South|Port Harcourt|Corporate|Store|Microwave M20|Home Appliances|60000|5|David|48000</t>
  </si>
  <si>
    <t>45797|East|Abuja|Retail|Store|Printer P50|Electronics|150000|7|Grace|120000</t>
  </si>
  <si>
    <t>45798|North|Kano|Retail|Online|Microwave M20|Home Appliances|60000|7|Musa|48000</t>
  </si>
  <si>
    <t>45799|North|Port Harcourt|Corporate|Store|Refrigerator R55|Home Appliances|220000|4|Peter|176000</t>
  </si>
  <si>
    <t>45800|East|Kano|Corporate|Store|Smartphone Z10|Electronics|250000|6|David|200000</t>
  </si>
  <si>
    <t>45801|North|Port Harcourt|Corporate|Online|Laptop A13|Electronics|420000|10|Chidinma|336000</t>
  </si>
  <si>
    <t>45802|East|Port Harcourt|Retail|Online|Blender B10|Home Appliances|30000|9|Grace|24000</t>
  </si>
  <si>
    <t>45803|West|Kano|Retail|Store|Air Conditioner X2|Home Appliances|180000|8|Musa|144000</t>
  </si>
  <si>
    <t>45804|North|Lagos|Retail|Online|Laptop A13|Electronics|420000|5|Aisha|336000</t>
  </si>
  <si>
    <t>45805|West|Port Harcourt|Corporate|Online|Microwave M20|Home Appliances|60000|9|Chidinma|48000</t>
  </si>
  <si>
    <t>45806|South|Kano|Corporate|Store|Office Chair Pro|Furniture|85000|5|David|68000</t>
  </si>
  <si>
    <t>45807|South|Kano|Corporate|Online|Office Chair Pro|Furniture|85000|1|Musa|68000</t>
  </si>
  <si>
    <t>45808|East|Lagos|Retail|Store|Microwave M20|Home Appliances|60000|8|Peter|48000</t>
  </si>
  <si>
    <t>45809|West|Kano|Corporate|Online|Printer P50|Electronics|150000|5|Aisha|120000</t>
  </si>
  <si>
    <t>45810|West|Abuja|Retail|Online|Sofa Classic|Furniture|320000|10|Peter|256000</t>
  </si>
  <si>
    <t>45811|West|Abuja|Corporate|Online|Smartphone Z10|Electronics|250000|6|Grace|200000</t>
  </si>
  <si>
    <t>45812|South|Kano|Corporate|Online|Printer P50|Electronics|150000|3|Chidinma|120000</t>
  </si>
  <si>
    <t>45813|West|Lagos|Corporate|Online|Microwave M20|Home Appliances|60000|10|Aisha|48000</t>
  </si>
  <si>
    <t>45814|North|Kano|Retail|Online|Printer P50|Electronics|150000|8|Musa|120000</t>
  </si>
  <si>
    <t>45815|South|Port Harcourt|Retail|Online|Smartphone Z10|Electronics|250000|7|Aisha|200000</t>
  </si>
  <si>
    <t>45816|South|Abuja|Corporate|Online|Office Chair Pro|Furniture|85000|6|Peter|68000</t>
  </si>
  <si>
    <t>45817|North|Port Harcourt|Corporate|Online|Air Conditioner X2|Home Appliances|180000|9|Aisha|144000</t>
  </si>
  <si>
    <t>45818|West|Abuja|Corporate|Online|Blender B10|Home Appliances|30000|8|Aisha|24000</t>
  </si>
  <si>
    <t>45819|South|Port Harcourt|Corporate|Store|Office Chair Pro|Furniture|85000|1|David|68000</t>
  </si>
  <si>
    <t>45820|West|Abuja|Corporate|Online|Blender B10|Home Appliances|30000|8|Grace|24000</t>
  </si>
  <si>
    <t>45821|North|Kano|Retail|Online|Sofa Classic|Furniture|320000|2|Aisha|256000</t>
  </si>
  <si>
    <t>45822|East|Port Harcourt|Retail|Online|Printer P50|Electronics|150000|5|Aisha|120000</t>
  </si>
  <si>
    <t>45823|East|Kano|Corporate|Online|Smartphone Z10|Electronics|250000|5|Grace|200000</t>
  </si>
  <si>
    <t>45824|North|Abuja|Corporate|Online|Refrigerator R55|Home Appliances|220000|10|David|176000</t>
  </si>
  <si>
    <t>45825|North|Kano|Corporate|Online|Microwave M20|Home Appliances|60000|2|Peter|48000</t>
  </si>
  <si>
    <t>45826|North|Kano|Corporate|Store|Smartphone Z10|Electronics|250000|1|Aisha|200000</t>
  </si>
  <si>
    <t>45827|West|Port Harcourt|Retail|Online|Air Conditioner X2|Home Appliances|180000|8|Grace|144000</t>
  </si>
  <si>
    <t>45828|North|Lagos|Retail|Online|Printer P50|Electronics|150000|1|Chidinma|120000</t>
  </si>
  <si>
    <t>45829|North|Abuja|Retail|Online|Blender B10|Home Appliances|30000|6|David|24000</t>
  </si>
  <si>
    <t>45830|West|Port Harcourt|Corporate|Online|Refrigerator R55|Home Appliances|220000|10|Grace|176000</t>
  </si>
  <si>
    <t>45831|West|Port Harcourt|Retail|Store|Laptop A13|Electronics|420000|1|David|336000</t>
  </si>
  <si>
    <t>45832|West|Lagos|Corporate|Store|Desktop PC D21|Electronics|300000|8|David|240000</t>
  </si>
  <si>
    <t>45833|North|Abuja|Corporate|Online|Smartphone Z10|Electronics|250000|3|Chidinma|200000</t>
  </si>
  <si>
    <t>45834|West|Abuja|Corporate|Online|Desktop PC D21|Electronics|300000|4|Peter|240000</t>
  </si>
  <si>
    <t>45835|West|Kano|Retail|Online|Printer P50|Electronics|150000|6|Peter|120000</t>
  </si>
  <si>
    <t>45836|West|Abuja|Retail|Online|Laptop A13|Electronics|420000|2|Chidinma|336000</t>
  </si>
  <si>
    <t>45837|South|Lagos|Retail|Online|Refrigerator R55|Home Appliances|220000|1|David|176000</t>
  </si>
  <si>
    <t>45838|South|Abuja|Retail|Store|Refrigerator R55|Home Appliances|220000|8|Aisha|176000</t>
  </si>
  <si>
    <t>45839|North|Kano|Retail|Store|Blender B10|Home Appliances|30000|10|Grace|24000</t>
  </si>
  <si>
    <t>45840|North|Lagos|Corporate|Online|Blender B10|Home Appliances|30000|4|Grace|24000</t>
  </si>
  <si>
    <t>45841|West|Port Harcourt|Corporate|Online|Air Conditioner X2|Home Appliances|180000|6|Chidinma|144000</t>
  </si>
  <si>
    <t>45842|West|Abuja|Corporate|Online|Desktop PC D21|Electronics|300000|2|Grace|240000</t>
  </si>
  <si>
    <t>45843|East|Lagos|Retail|Online|Printer P50|Electronics|150000|9|Chidinma|120000</t>
  </si>
  <si>
    <t>45844|North|Port Harcourt|Retail|Store|Printer P50|Electronics|150000|9|David|120000</t>
  </si>
  <si>
    <t>45845|West|Port Harcourt|Retail|Online|Blender B10|Home Appliances|30000|4|Chidinma|24000</t>
  </si>
  <si>
    <t>45846|East|Kano|Corporate|Online|Microwave M20|Home Appliances|60000|9|Musa|48000</t>
  </si>
  <si>
    <t>45847|South|Lagos|Retail|Store|Desktop PC D21|Electronics|300000|9|Musa|240000</t>
  </si>
  <si>
    <t>45848|North|Abuja|Retail|Online|Sofa Classic|Furniture|320000|3|Grace|256000</t>
  </si>
  <si>
    <t>45849|West|Port Harcourt|Retail|Online|Printer P50|Electronics|150000|1|Chidinma|120000</t>
  </si>
  <si>
    <t>45850|North|Lagos|Corporate|Online|Desktop PC D21|Electronics|300000|9|Musa|240000</t>
  </si>
  <si>
    <t>45851|East|Lagos|Retail|Online|Refrigerator R55|Home Appliances|220000|3|David|176000</t>
  </si>
  <si>
    <t>45852|West|Kano|Corporate|Online|Refrigerator R55|Home Appliances|220000|9|Grace|176000</t>
  </si>
  <si>
    <t>45853|East|Kano|Corporate|Store|Microwave M20|Home Appliances|60000|6|Grace|48000</t>
  </si>
  <si>
    <t>45854|North|Kano|Retail|Store|Blender B10|Home Appliances|30000|10|Peter|24000</t>
  </si>
  <si>
    <t>45855|South|Kano|Corporate|Store|Laptop A13|Electronics|420000|8|Grace|336000</t>
  </si>
  <si>
    <t>45856|South|Kano|Corporate|Online|Microwave M20|Home Appliances|60000|9|Chidinma|48000</t>
  </si>
  <si>
    <t>45857|East|Kano|Corporate|Online|Smartphone Z10|Electronics|250000|1|Peter|200000</t>
  </si>
  <si>
    <t>45858|South|Kano|Retail|Online|Microwave M20|Home Appliances|60000|1|Grace|48000</t>
  </si>
  <si>
    <t>45859|South|Abuja|Retail|Online|Laptop A13|Electronics|420000|8|Grace|336000</t>
  </si>
  <si>
    <t>45860|South|Port Harcourt|Corporate|Store|Air Conditioner X2|Home Appliances|180000|4|Grace|144000</t>
  </si>
  <si>
    <t>45861|East|Kano|Retail|Store|Air Conditioner X2|Home Appliances|180000|7|Grace|144000</t>
  </si>
  <si>
    <t>45862|North|Kano|Retail|Online|Blender B10|Home Appliances|30000|6|Aisha|24000</t>
  </si>
  <si>
    <t>45863|East|Port Harcourt|Retail|Online|Air Conditioner X2|Home Appliances|180000|4|David|144000</t>
  </si>
  <si>
    <t>45864|East|Abuja|Corporate|Store|Desktop PC D21|Electronics|300000|3|Musa|240000</t>
  </si>
  <si>
    <t>45865|West|Lagos|Retail|Online|Microwave M20|Home Appliances|60000|3|Chidinma|48000</t>
  </si>
  <si>
    <t>45866|East|Port Harcourt|Corporate|Online|Refrigerator R55|Home Appliances|220000|1|Musa|176000</t>
  </si>
  <si>
    <t>45867|North|Lagos|Retail|Online|Desktop PC D21|Electronics|300000|2|David|240000</t>
  </si>
  <si>
    <t>45868|South|Kano|Retail|Online|Printer P50|Electronics|150000|3|David|120000</t>
  </si>
  <si>
    <t>45869|North|Lagos|Corporate|Online|Office Chair Pro|Furniture|85000|1|David|68000</t>
  </si>
  <si>
    <t>45870|South|Lagos|Retail|Store|Blender B10|Home Appliances|30000|6|Chidinma|24000</t>
  </si>
  <si>
    <t>45871|West|Kano|Corporate|Online|Printer P50|Electronics|150000|5|Musa|120000</t>
  </si>
  <si>
    <t>45872|West|Lagos|Retail|Store|Blender B10|Home Appliances|30000|5|Aisha|24000</t>
  </si>
  <si>
    <t>45873|East|Lagos|Retail|Store|Air Conditioner X2|Home Appliances|180000|9|Grace|144000</t>
  </si>
  <si>
    <t>45874|North|Kano|Corporate|Store|Microwave M20|Home Appliances|60000|6|Musa|48000</t>
  </si>
  <si>
    <t>45875|North|Lagos|Retail|Store|Smartphone Z10|Electronics|250000|10|David|200000</t>
  </si>
  <si>
    <t>45876|South|Kano|Retail|Store|Laptop A13|Electronics|420000|3|David|336000</t>
  </si>
  <si>
    <t>45877|North|Port Harcourt|Corporate|Store|Printer P50|Electronics|150000|3|David|120000</t>
  </si>
  <si>
    <t>45878|South|Abuja|Corporate|Store|Refrigerator R55|Home Appliances|220000|4|David|176000</t>
  </si>
  <si>
    <t>45879|South|Lagos|Corporate|Store|Office Chair Pro|Furniture|85000|10|David|68000</t>
  </si>
  <si>
    <t>45880|North|Kano|Retail|Store|Desktop PC D21|Electronics|300000|6|Grace|240000</t>
  </si>
  <si>
    <t>45881|West|Port Harcourt|Retail|Online|Desktop PC D21|Electronics|300000|8|Aisha|240000</t>
  </si>
  <si>
    <t>45882|South|Abuja|Corporate|Store|Sofa Classic|Furniture|320000|4|Musa|256000</t>
  </si>
  <si>
    <t>45883|South|Lagos|Corporate|Online|Air Conditioner X2|Home Appliances|180000|5|Grace|144000</t>
  </si>
  <si>
    <t>45884|West|Port Harcourt|Retail|Store|Air Conditioner X2|Home Appliances|180000|6|Peter|144000</t>
  </si>
  <si>
    <t>45885|East|Kano|Corporate|Store|Printer P50|Electronics|150000|9|Musa|120000</t>
  </si>
  <si>
    <t>45886|West|Port Harcourt|Retail|Online|Printer P50|Electronics|150000|1|Peter|120000</t>
  </si>
  <si>
    <t>45887|East|Kano|Retail|Online|Air Conditioner X2|Home Appliances|180000|8|Peter|144000</t>
  </si>
  <si>
    <t>45888|West|Port Harcourt|Retail|Store|Air Conditioner X2|Home Appliances|180000|6|Musa|144000</t>
  </si>
  <si>
    <t>45889|North|Abuja|Corporate|Online|Air Conditioner X2|Home Appliances|180000|3|Aisha|144000</t>
  </si>
  <si>
    <t>45890|North|Kano|Retail|Online|Printer P50|Electronics|150000|10|Chidinma|120000</t>
  </si>
  <si>
    <t>45891|South|Kano|Retail|Store|Air Conditioner X2|Home Appliances|180000|8|Aisha|144000</t>
  </si>
  <si>
    <t>45892|West|Kano|Retail|Store|Desktop PC D21|Electronics|300000|8|Musa|240000</t>
  </si>
  <si>
    <t>45893|West|Kano|Retail|Store|Sofa Classic|Furniture|320000|9|Peter|256000</t>
  </si>
  <si>
    <t>45894|South|Kano|Retail|Online|Sofa Classic|Furniture|320000|7|Grace|256000</t>
  </si>
  <si>
    <t>45895|East|Abuja|Retail|Online|Printer P50|Electronics|150000|7|David|120000</t>
  </si>
  <si>
    <t>45896|East|Abuja|Retail|Store|Refrigerator R55|Home Appliances|220000|6|Grace|176000</t>
  </si>
  <si>
    <t>45897|North|Lagos|Retail|Online|Smartphone Z10|Electronics|250000|1|Peter|200000</t>
  </si>
  <si>
    <t>45898|West|Lagos|Retail|Online|Microwave M20|Home Appliances|60000|4|David|48000</t>
  </si>
  <si>
    <t>45899|North|Lagos|Retail|Online|Office Chair Pro|Furniture|85000|9|David|68000</t>
  </si>
  <si>
    <t>45900|West|Port Harcourt|Retail|Online|Air Conditioner X2|Home Appliances|180000|5|Chidinma|144000</t>
  </si>
  <si>
    <t>45901|West|Lagos|Retail|Store|Printer P50|Electronics|150000|4|Chidinma|120000</t>
  </si>
  <si>
    <t>45902|North|Lagos|Retail|Online|Printer P50|Electronics|150000|4|Musa|120000</t>
  </si>
  <si>
    <t>45903|East|Lagos|Corporate|Online|Blender B10|Home Appliances|30000|2|Musa|24000</t>
  </si>
  <si>
    <t>45904|South|Abuja|Corporate|Online|Air Conditioner X2|Home Appliances|180000|6|Aisha|144000</t>
  </si>
  <si>
    <t>45905|North|Kano|Corporate|Store|Microwave M20|Home Appliances|60000|9|Grace|48000</t>
  </si>
  <si>
    <t>45906|South|Port Harcourt|Retail|Online|Printer P50|Electronics|150000|3|David|120000</t>
  </si>
  <si>
    <t>45907|North|Lagos|Retail|Online|Office Chair Pro|Furniture|85000|3|Musa|68000</t>
  </si>
  <si>
    <t>45908|East|Port Harcourt|Corporate|Store|Blender B10|Home Appliances|30000|3|Peter|24000</t>
  </si>
  <si>
    <t>45909|East|Kano|Corporate|Online|Office Chair Pro|Furniture|85000|2|Chidinma|68000</t>
  </si>
  <si>
    <t>45910|West|Abuja|Corporate|Online|Blender B10|Home Appliances|30000|6|Chidinma|24000</t>
  </si>
  <si>
    <t>45911|West|Abuja|Corporate|Online|Sofa Classic|Furniture|320000|1|Chidinma|256000</t>
  </si>
  <si>
    <t>45912|South|Lagos|Retail|Store|Laptop A13|Electronics|420000|5|Aisha|336000</t>
  </si>
  <si>
    <t>45913|West|Abuja|Retail|Store|Blender B10|Home Appliances|30000|9|Grace|24000</t>
  </si>
  <si>
    <t>45914|South|Abuja|Retail|Online|Microwave M20|Home Appliances|60000|8|Aisha|48000</t>
  </si>
  <si>
    <t>45915|West|Kano|Retail|Online|Desktop PC D21|Electronics|300000|2|Musa|240000</t>
  </si>
  <si>
    <t>45916|South|Port Harcourt|Retail|Online|Refrigerator R55|Home Appliances|220000|7|Musa|176000</t>
  </si>
  <si>
    <t>45917|North|Lagos|Corporate|Store|Desktop PC D21|Electronics|300000|8|Chidinma|240000</t>
  </si>
  <si>
    <t>45918|East|Lagos|Corporate|Store|Laptop A13|Electronics|420000|10|Peter|336000</t>
  </si>
  <si>
    <t>45919|East|Abuja|Corporate|Online|Desktop PC D21|Electronics|300000|2|Peter|240000</t>
  </si>
  <si>
    <t>45920|East|Lagos|Corporate|Online|Refrigerator R55|Home Appliances|220000|3|Musa|176000</t>
  </si>
  <si>
    <t>45921|East|Kano|Corporate|Store|Office Chair Pro|Furniture|85000|6|David|68000</t>
  </si>
  <si>
    <t>45922|North|Abuja|Corporate|Online|Sofa Classic|Furniture|320000|10|Grace|256000</t>
  </si>
  <si>
    <t>45923|East|Port Harcourt|Corporate|Online|Desktop PC D21|Electronics|300000|2|David|240000</t>
  </si>
  <si>
    <t>45924|South|Port Harcourt|Corporate|Store|Blender B10|Home Appliances|30000|6|Grace|24000</t>
  </si>
  <si>
    <t>45925|South|Port Harcourt|Corporate|Store|Microwave M20|Home Appliances|60000|2|Musa|48000</t>
  </si>
  <si>
    <t>45926|North|Kano|Retail|Online|Refrigerator R55|Home Appliances|220000|5|Chidinma|176000</t>
  </si>
  <si>
    <t>45927|West|Abuja|Retail|Store|Air Conditioner X2|Home Appliances|180000|6|Grace|144000</t>
  </si>
  <si>
    <t>45928|North|Port Harcourt|Retail|Online|Smartphone Z10|Electronics|250000|4|Peter|200000</t>
  </si>
  <si>
    <t>45929|North|Kano|Corporate|Online|Office Chair Pro|Furniture|85000|10|David|68000</t>
  </si>
  <si>
    <t>45930|West|Lagos|Retail|Online|Desktop PC D21|Electronics|300000|6|David|240000</t>
  </si>
  <si>
    <t>45931|North|Lagos|Corporate|Store|Refrigerator R55|Home Appliances|220000|3|Chidinma|176000</t>
  </si>
  <si>
    <t>45932|North|Kano|Retail|Store|Blender B10|Home Appliances|30000|8|Grace|24000</t>
  </si>
  <si>
    <t>45933|North|Port Harcourt|Corporate|Online|Office Chair Pro|Furniture|85000|2|Chidinma|68000</t>
  </si>
  <si>
    <t>45934|South|Abuja|Retail|Store|Printer P50|Electronics|150000|3|Peter|120000</t>
  </si>
  <si>
    <t>45935|East|Abuja|Retail|Store|Office Chair Pro|Furniture|85000|1|Aisha|68000</t>
  </si>
  <si>
    <t>45936|South|Port Harcourt|Corporate|Store|Smartphone Z10|Electronics|250000|3|Grace|200000</t>
  </si>
  <si>
    <t>45937|East|Port Harcourt|Corporate|Store|Laptop A13|Electronics|420000|2|Chidinma|336000</t>
  </si>
  <si>
    <t>45938|West|Kano|Retail|Online|Printer P50|Electronics|150000|9|Musa|120000</t>
  </si>
  <si>
    <t>45939|North|Abuja|Retail|Store|Blender B10|Home Appliances|30000|9|David|24000</t>
  </si>
  <si>
    <t>45940|East|Lagos|Corporate|Store|Refrigerator R55|Home Appliances|220000|6|Grace|176000</t>
  </si>
  <si>
    <t>45941|North|Kano|Corporate|Store|Blender B10|Home Appliances|30000|3|Grace|24000</t>
  </si>
  <si>
    <t>45942|West|Kano|Retail|Online|Laptop A13|Electronics|420000|10|David|336000</t>
  </si>
  <si>
    <t>45943|North|Abuja|Corporate|Online|Blender B10|Home Appliances|30000|2|Aisha|24000</t>
  </si>
  <si>
    <t>45944|East|Port Harcourt|Corporate|Store|Printer P50|Electronics|150000|5|David|120000</t>
  </si>
  <si>
    <t>45945|South|Abuja|Retail|Store|Printer P50|Electronics|150000|10|Aisha|120000</t>
  </si>
  <si>
    <t>45946|West|Abuja|Corporate|Online|Air Conditioner X2|Home Appliances|180000|3|David|144000</t>
  </si>
  <si>
    <t>45947|East|Kano|Corporate|Online|Blender B10|Home Appliances|30000|10|Musa|24000</t>
  </si>
  <si>
    <t>45948|East|Port Harcourt|Retail|Online|Laptop A13|Electronics|420000|2|Musa|336000</t>
  </si>
  <si>
    <t>45949|South|Port Harcourt|Corporate|Online|Sofa Classic|Furniture|320000|1|Peter|256000</t>
  </si>
  <si>
    <t>45950|North|Lagos|Retail|Online|Printer P50|Electronics|150000|2|Musa|120000</t>
  </si>
  <si>
    <t>45951|East|Lagos|Corporate|Store|Blender B10|Home Appliances|30000|9|Grace|24000</t>
  </si>
  <si>
    <t>45952|West|Lagos|Retail|Online|Office Chair Pro|Furniture|85000|7|Peter|68000</t>
  </si>
  <si>
    <t>45953|North|Port Harcourt|Corporate|Online|Printer P50|Electronics|150000|5|David|120000</t>
  </si>
  <si>
    <t>45954|West|Kano|Retail|Store|Sofa Classic|Furniture|320000|9|Chidinma|256000</t>
  </si>
  <si>
    <t>45955|North|Lagos|Retail|Online|Sofa Classic|Furniture|320000|10|Peter|256000</t>
  </si>
  <si>
    <t>45956|North|Kano|Corporate|Online|Office Chair Pro|Furniture|85000|7|Peter|68000</t>
  </si>
  <si>
    <t>45957|South|Kano|Retail|Online|Microwave M20|Home Appliances|60000|4|Peter|48000</t>
  </si>
  <si>
    <t>45958|East|Kano|Retail|Store|Microwave M20|Home Appliances|60000|7|David|48000</t>
  </si>
  <si>
    <t>45959|South|Lagos|Corporate|Online|Printer P50|Electronics|150000|7|Grace|120000</t>
  </si>
  <si>
    <t>45960|West|Lagos|Retail|Online|Office Chair Pro|Furniture|85000|3|David|68000</t>
  </si>
  <si>
    <t>45961|South|Abuja|Retail|Online|Office Chair Pro|Furniture|85000|10|Musa|68000</t>
  </si>
  <si>
    <t>45962|East|Lagos|Corporate|Store|Desktop PC D21|Electronics|300000|10|David|240000</t>
  </si>
  <si>
    <t>45963|South|Abuja|Retail|Store|Microwave M20|Home Appliances|60000|3|Chidinma|48000</t>
  </si>
  <si>
    <t>45964|East|Port Harcourt|Corporate|Online|Microwave M20|Home Appliances|60000|3|David|48000</t>
  </si>
  <si>
    <t>45965|West|Lagos|Retail|Online|Office Chair Pro|Furniture|85000|6|David|68000</t>
  </si>
  <si>
    <t>45966|East|Kano|Corporate|Store|Laptop A13|Electronics|420000|2|Aisha|336000</t>
  </si>
  <si>
    <t>45967|North|Abuja|Retail|Store|Smartphone Z10|Electronics|250000|6|Grace|200000</t>
  </si>
  <si>
    <t>45968|North|Port Harcourt|Retail|Online|Printer P50|Electronics|150000|8|David|120000</t>
  </si>
  <si>
    <t>45969|East|Kano|Corporate|Online|Printer P50|Electronics|150000|10|David|120000</t>
  </si>
  <si>
    <t>45970|East|Kano|Retail|Online|Smartphone Z10|Electronics|250000|5|Grace|200000</t>
  </si>
  <si>
    <t>45971|West|Kano|Retail|Store|Sofa Classic|Furniture|320000|9|Chidinma|256000</t>
  </si>
  <si>
    <t>45972|West|Port Harcourt|Corporate|Store|Air Conditioner X2|Home Appliances|180000|10|Grace|144000</t>
  </si>
  <si>
    <t>45973|West|Kano|Corporate|Store|Microwave M20|Home Appliances|60000|6|Aisha|48000</t>
  </si>
  <si>
    <t>45974|West|Kano|Corporate|Online|Printer P50|Electronics|150000|10|Musa|120000</t>
  </si>
  <si>
    <t>45975|East|Port Harcourt|Retail|Online|Smartphone Z10|Electronics|250000|5|Aisha|200000</t>
  </si>
  <si>
    <t>45976|West|Kano|Retail|Online|Air Conditioner X2|Home Appliances|180000|3|Chidinma|144000</t>
  </si>
  <si>
    <t>45977|West|Kano|Corporate|Store|Sofa Classic|Furniture|320000|5|Aisha|256000</t>
  </si>
  <si>
    <t>45978|South|Port Harcourt|Retail|Store|Sofa Classic|Furniture|320000|10|David|256000</t>
  </si>
  <si>
    <t>45979|East|Port Harcourt|Corporate|Online|Blender B10|Home Appliances|30000|5|Chidinma|24000</t>
  </si>
  <si>
    <t>45980|North|Port Harcourt|Corporate|Store|Laptop A13|Electronics|420000|3|Chidinma|336000</t>
  </si>
  <si>
    <t>45981|East|Kano|Retail|Online|Blender B10|Home Appliances|30000|4|Peter|24000</t>
  </si>
  <si>
    <t>45982|East|Port Harcourt|Retail|Online|Air Conditioner X2|Home Appliances|180000|4|Chidinma|144000</t>
  </si>
  <si>
    <t>45983|East|Lagos|Retail|Online|Smartphone Z10|Electronics|250000|5|Grace|200000</t>
  </si>
  <si>
    <t>45984|West|Abuja|Corporate|Store|Air Conditioner X2|Home Appliances|180000|3|Peter|144000</t>
  </si>
  <si>
    <t>45985|East|Port Harcourt|Retail|Online|Desktop PC D21|Electronics|300000|5|Grace|240000</t>
  </si>
  <si>
    <t>45986|West|Kano|Retail|Store|Office Chair Pro|Furniture|85000|8|Peter|68000</t>
  </si>
  <si>
    <t>45987|East|Lagos|Corporate|Online|Air Conditioner X2|Home Appliances|180000|6|Grace|144000</t>
  </si>
  <si>
    <t>45988|East|Lagos|Corporate|Online|Laptop A13|Electronics|420000|7|Aisha|336000</t>
  </si>
  <si>
    <t>45989|South|Kano|Corporate|Online|Printer P50|Electronics|150000|8|Chidinma|120000</t>
  </si>
  <si>
    <t>45990|East|Kano|Retail|Online|Office Chair Pro|Furniture|85000|6|Aisha|68000</t>
  </si>
  <si>
    <t>45991|South|Port Harcourt|Retail|Store|Air Conditioner X2|Home Appliances|180000|9|Musa|144000</t>
  </si>
  <si>
    <t>45992|West|Kano|Corporate|Online|Smartphone Z10|Electronics|250000|5|Aisha|200000</t>
  </si>
  <si>
    <t>45993|North|Kano|Retail|Store|Sofa Classic|Furniture|320000|9|Musa|256000</t>
  </si>
  <si>
    <t>45994|North|Lagos|Corporate|Store|Printer P50|Electronics|150000|7|David|120000</t>
  </si>
  <si>
    <t>45995|East|Port Harcourt|Retail|Online|Laptop A13|Electronics|420000|9|Aisha|336000</t>
  </si>
  <si>
    <t>45996|South|Lagos|Corporate|Store|Microwave M20|Home Appliances|60000|4|David|48000</t>
  </si>
  <si>
    <t>45997|West|Kano|Retail|Store|Smartphone Z10|Electronics|250000|5|David|200000</t>
  </si>
  <si>
    <t>45998|West|Kano|Corporate|Online|Desktop PC D21|Electronics|300000|8|Peter|240000</t>
  </si>
  <si>
    <t>45999|West|Kano|Corporate|Online|Laptop A13|Electronics|420000|4|Grace|336000</t>
  </si>
  <si>
    <t>46000|West|Kano|Corporate|Store|Blender B10|Home Appliances|30000|4|David|24000</t>
  </si>
  <si>
    <t>46001|East|Abuja|Retail|Online|Sofa Classic|Furniture|320000|7|David|256000</t>
  </si>
  <si>
    <t>46002|South|Lagos|Retail|Online|Printer P50|Electronics|150000|8|Aisha|120000</t>
  </si>
  <si>
    <t>46003|West|Lagos|Retail|Store|Microwave M20|Home Appliances|60000|7|Musa|48000</t>
  </si>
  <si>
    <t>46004|South|Kano|Retail|Online|Air Conditioner X2|Home Appliances|180000|4|David|144000</t>
  </si>
  <si>
    <t>46005|West|Kano|Corporate|Store|Laptop A13|Electronics|420000|8|Aisha|336000</t>
  </si>
  <si>
    <t>46006|West|Kano|Retail|Store|Desktop PC D21|Electronics|300000|2|Grace|240000</t>
  </si>
  <si>
    <t>46007|South|Lagos|Corporate|Online|Laptop A13|Electronics|420000|3|Aisha|336000</t>
  </si>
  <si>
    <t>46008|North|Kano|Retail|Online|Office Chair Pro|Furniture|85000|3|Musa|68000</t>
  </si>
  <si>
    <t>46009|West|Abuja|Corporate|Store|Microwave M20|Home Appliances|60000|8|David|48000</t>
  </si>
  <si>
    <t>46010|West|Lagos|Corporate|Store|Air Conditioner X2|Home Appliances|180000|10|Peter|144000</t>
  </si>
  <si>
    <t>46011|East|Abuja|Corporate|Online|Air Conditioner X2|Home Appliances|180000|7|Chidinma|144000</t>
  </si>
  <si>
    <t>46012|East|Abuja|Retail|Store|Blender B10|Home Appliances|30000|3|Musa|24000</t>
  </si>
  <si>
    <t>46013|North|Port Harcourt|Corporate|Store|Blender B10|Home Appliances|30000|6|David|24000</t>
  </si>
  <si>
    <t>46014|North|Lagos|Corporate|Online|Laptop A13|Electronics|420000|4|Aisha|336000</t>
  </si>
  <si>
    <t>46015|East|Kano|Retail|Online|Refrigerator R55|Home Appliances|220000|8|Grace|176000</t>
  </si>
  <si>
    <t>46016|North|Lagos|Corporate|Store|Office Chair Pro|Furniture|85000|5|Chidinma|68000</t>
  </si>
  <si>
    <t>46017|West|Lagos|Retail|Online|Sofa Classic|Furniture|320000|7|Musa|256000</t>
  </si>
  <si>
    <t>46018|South|Lagos|Corporate|Store|Air Conditioner X2|Home Appliances|180000|6|Chidinma|144000</t>
  </si>
  <si>
    <t>46019|East|Abuja|Corporate|Online|Microwave M20|Home Appliances|60000|2|Aisha|48000</t>
  </si>
  <si>
    <t>46020|West|Abuja|Corporate|Store|Air Conditioner X2|Home Appliances|180000|5|David|144000</t>
  </si>
  <si>
    <t>46021|East|Abuja|Corporate|Store|Printer P50|Electronics|150000|6|Aisha|120000</t>
  </si>
  <si>
    <t>46022|East|Port Harcourt|Corporate|Store|Blender B10|Home Appliances|30000|2|Aisha|24000</t>
  </si>
  <si>
    <t>46023|North|Port Harcourt|Retail|Online|Smartphone Z10|Electronics|250000|9|Aisha|200000</t>
  </si>
  <si>
    <t>46024|West|Kano|Retail|Store|Microwave M20|Home Appliances|60000|4|David|48000</t>
  </si>
  <si>
    <t>46025|East|Port Harcourt|Retail|Online|Printer P50|Electronics|150000|9|Aisha|120000</t>
  </si>
  <si>
    <t>46026|North|Lagos|Corporate|Store|Air Conditioner X2|Home Appliances|180000|3|Chidinma|144000</t>
  </si>
  <si>
    <t>46027|West|Port Harcourt|Retail|Online|Air Conditioner X2|Home Appliances|180000|10|Chidinma|144000</t>
  </si>
  <si>
    <t>46028|East|Lagos|Retail|Online|Refrigerator R55|Home Appliances|220000|2|Chidinma|176000</t>
  </si>
  <si>
    <t>46029|North|Port Harcourt|Corporate|Online|Laptop A13|Electronics|420000|10|Musa|336000</t>
  </si>
  <si>
    <t>46030|West|Port Harcourt|Retail|Store|Blender B10|Home Appliances|30000|9|Grace|24000</t>
  </si>
  <si>
    <t>46031|West|Abuja|Corporate|Online|Sofa Classic|Furniture|320000|6|Peter|256000</t>
  </si>
  <si>
    <t>46032|West|Abuja|Retail|Store|Laptop A13|Electronics|420000|2|Grace|336000</t>
  </si>
  <si>
    <t>46033|South|Kano|Corporate|Online|Sofa Classic|Furniture|320000|10|Peter|256000</t>
  </si>
  <si>
    <t>46034|East|Kano|Corporate|Store|Desktop PC D21|Electronics|300000|8|Grace|240000</t>
  </si>
  <si>
    <t>46035|East|Port Harcourt|Corporate|Online|Microwave M20|Home Appliances|60000|1|David|48000</t>
  </si>
  <si>
    <t>46036|South|Lagos|Corporate|Online|Office Chair Pro|Furniture|85000|3|David|68000</t>
  </si>
  <si>
    <t>46037|East|Kano|Corporate|Store|Blender B10|Home Appliances|30000|10|Chidinma|24000</t>
  </si>
  <si>
    <t>46038|East|Kano|Corporate|Online|Blender B10|Home Appliances|30000|4|Peter|24000</t>
  </si>
  <si>
    <t>46039|South|Abuja|Corporate|Store|Printer P50|Electronics|150000|3|David|120000</t>
  </si>
  <si>
    <t>46040|West|Port Harcourt|Corporate|Online|Printer P50|Electronics|150000|3|Chidinma|120000</t>
  </si>
  <si>
    <t>46041|East|Kano|Corporate|Store|Office Chair Pro|Furniture|85000|8|Chidinma|68000</t>
  </si>
  <si>
    <t>46042|South|Kano|Corporate|Online|Laptop A13|Electronics|420000|7|Chidinma|336000</t>
  </si>
  <si>
    <t>46043|East|Abuja|Corporate|Store|Printer P50|Electronics|150000|3|David|120000</t>
  </si>
  <si>
    <t>46044|West|Abuja|Corporate|Store|Sofa Classic|Furniture|320000|1|Musa|256000</t>
  </si>
  <si>
    <t>46045|East|Abuja|Corporate|Online|Air Conditioner X2|Home Appliances|180000|5|Chidinma|144000</t>
  </si>
  <si>
    <t>46046|North|Kano|Corporate|Store|Desktop PC D21|Electronics|300000|1|Musa|240000</t>
  </si>
  <si>
    <t>46047|East|Port Harcourt|Corporate|Online|Air Conditioner X2|Home Appliances|180000|8|Aisha|144000</t>
  </si>
  <si>
    <t>46048|South|Kano|Corporate|Online|Air Conditioner X2|Home Appliances|180000|3|Peter|144000</t>
  </si>
  <si>
    <t>46049|West|Abuja|Corporate|Store|Sofa Classic|Furniture|320000|6|Grace|256000</t>
  </si>
  <si>
    <t>46050|West|Abuja|Corporate|Store|Microwave M20|Home Appliances|60000|10|Chidinma|48000</t>
  </si>
  <si>
    <t>46051|South|Lagos|Corporate|Store|Desktop PC D21|Electronics|300000|1|Aisha|240000</t>
  </si>
  <si>
    <t>46052|West|Lagos|Corporate|Online|Air Conditioner X2|Home Appliances|180000|1|David|144000</t>
  </si>
  <si>
    <t>46053|East|Lagos|Retail|Store|Refrigerator R55|Home Appliances|220000|8|Aisha|176000</t>
  </si>
  <si>
    <t>46054|North|Lagos|Corporate|Store|Office Chair Pro|Furniture|85000|7|Musa|68000</t>
  </si>
  <si>
    <t>46055|West|Port Harcourt|Retail|Store|Air Conditioner X2|Home Appliances|180000|9|Grace|144000</t>
  </si>
  <si>
    <t>46056|North|Port Harcourt|Corporate|Online|Sofa Classic|Furniture|320000|3|Peter|256000</t>
  </si>
  <si>
    <t>46057|North|Port Harcourt|Corporate|Online|Printer P50|Electronics|150000|4|Chidinma|120000</t>
  </si>
  <si>
    <t>46058|East|Lagos|Retail|Online|Refrigerator R55|Home Appliances|220000|10|Grace|176000</t>
  </si>
  <si>
    <t>46059|South|Port Harcourt|Corporate|Online|Printer P50|Electronics|150000|6|Chidinma|120000</t>
  </si>
  <si>
    <t>46060|West|Lagos|Corporate|Store|Air Conditioner X2|Home Appliances|180000|1|Musa|144000</t>
  </si>
  <si>
    <t>46061|East|Kano|Retail|Online|Blender B10|Home Appliances|30000|2|Peter|24000</t>
  </si>
  <si>
    <t>46062|North|Abuja|Corporate|Online|Sofa Classic|Furniture|320000|7|Chidinma|256000</t>
  </si>
  <si>
    <t>46063|North|Kano|Retail|Store|Office Chair Pro|Furniture|85000|10|David|68000</t>
  </si>
  <si>
    <t>46064|East|Port Harcourt|Corporate|Online|Air Conditioner X2|Home Appliances|180000|7|Musa|144000</t>
  </si>
  <si>
    <t>46065|South|Lagos|Retail|Online|Laptop A13|Electronics|420000|5|Peter|336000</t>
  </si>
  <si>
    <t>46066|South|Abuja|Corporate|Store|Sofa Classic|Furniture|320000|8|David|256000</t>
  </si>
  <si>
    <t>46067|East|Kano|Corporate|Store|Air Conditioner X2|Home Appliances|180000|5|Musa|144000</t>
  </si>
  <si>
    <t>46068|North|Port Harcourt|Corporate|Store|Laptop A13|Electronics|420000|2|Chidinma|336000</t>
  </si>
  <si>
    <t>46069|North|Kano|Retail|Online|Desktop PC D21|Electronics|300000|8|David|240000</t>
  </si>
  <si>
    <t>46070|East|Kano|Retail|Online|Sofa Classic|Furniture|320000|1|David|256000</t>
  </si>
  <si>
    <t>46071|East|Kano|Retail|Online|Laptop A13|Electronics|420000|9|Chidinma|336000</t>
  </si>
  <si>
    <t>46072|East|Abuja|Corporate|Store|Office Chair Pro|Furniture|85000|8|Grace|68000</t>
  </si>
  <si>
    <t>46073|North|Port Harcourt|Corporate|Store|Laptop A13|Electronics|420000|10|Peter|336000</t>
  </si>
  <si>
    <t>46074|East|Port Harcourt|Retail|Store|Smartphone Z10|Electronics|250000|1|Peter|200000</t>
  </si>
  <si>
    <t>46075|East|Abuja|Corporate|Online|Refrigerator R55|Home Appliances|220000|5|Grace|176000</t>
  </si>
  <si>
    <t>46076|North|Lagos|Retail|Online|Desktop PC D21|Electronics|300000|1|Chidinma|240000</t>
  </si>
  <si>
    <t>46077|North|Kano|Corporate|Store|Microwave M20|Home Appliances|60000|6|Aisha|48000</t>
  </si>
  <si>
    <t>46078|South|Abuja|Retail|Online|Microwave M20|Home Appliances|60000|8|David|48000</t>
  </si>
  <si>
    <t>46079|South|Kano|Retail|Store|Refrigerator R55|Home Appliances|220000|3|Aisha|176000</t>
  </si>
  <si>
    <t>46080|North|Abuja|Retail|Online|Microwave M20|Home Appliances|60000|1|Peter|48000</t>
  </si>
  <si>
    <t>46081|East|Lagos|Corporate|Online|Printer P50|Electronics|150000|1|Musa|120000</t>
  </si>
  <si>
    <t>46082|West|Kano|Corporate|Online|Sofa Classic|Furniture|320000|7|Grace|256000</t>
  </si>
  <si>
    <t>46083|South|Kano|Retail|Store|Office Chair Pro|Furniture|85000|10|Musa|68000</t>
  </si>
  <si>
    <t>46084|West|Port Harcourt|Corporate|Online|Printer P50|Electronics|150000|10|Chidinma|120000</t>
  </si>
  <si>
    <t>46085|South|Lagos|Corporate|Online|Microwave M20|Home Appliances|60000|2|Musa|48000</t>
  </si>
  <si>
    <t>46086|North|Abuja|Corporate|Online|Desktop PC D21|Electronics|300000|6|Chidinma|240000</t>
  </si>
  <si>
    <t>46087|East|Kano|Retail|Online|Printer P50|Electronics|150000|3|Aisha|120000</t>
  </si>
  <si>
    <t>46088|West|Port Harcourt|Corporate|Online|Blender B10|Home Appliances|30000|2|David|24000</t>
  </si>
  <si>
    <t>46089|East|Lagos|Retail|Online|Air Conditioner X2|Home Appliances|180000|2|Aisha|144000</t>
  </si>
  <si>
    <t>46090|West|Kano|Corporate|Online|Sofa Classic|Furniture|320000|3|Musa|256000</t>
  </si>
  <si>
    <t>46091|South|Kano|Corporate|Store|Blender B10|Home Appliances|30000|3|Aisha|24000</t>
  </si>
  <si>
    <t>46092|West|Abuja|Retail|Store|Office Chair Pro|Furniture|85000|3|Peter|68000</t>
  </si>
  <si>
    <t>46093|North|Kano|Retail|Store|Office Chair Pro|Furniture|85000|10|Aisha|68000</t>
  </si>
  <si>
    <t>46094|East|Port Harcourt|Corporate|Store|Air Conditioner X2|Home Appliances|180000|10|Chidinma|144000</t>
  </si>
  <si>
    <t>46095|West|Lagos|Retail|Store|Refrigerator R55|Home Appliances|220000|9|Musa|176000</t>
  </si>
  <si>
    <t>46096|West|Abuja|Corporate|Store|Laptop A13|Electronics|420000|9|Musa|336000</t>
  </si>
  <si>
    <t>46097|East|Port Harcourt|Corporate|Online|Air Conditioner X2|Home Appliances|180000|2|Aisha|144000</t>
  </si>
  <si>
    <t>46098|West|Lagos|Corporate|Online|Desktop PC D21|Electronics|300000|3|David|240000</t>
  </si>
  <si>
    <t>46099|North|Kano|Corporate|Online|Air Conditioner X2|Home Appliances|180000|1|Grace|144000</t>
  </si>
  <si>
    <t>46100|North|Lagos|Retail|Store|Sofa Classic|Furniture|320000|9|Peter|256000</t>
  </si>
  <si>
    <t>46101|North|Port Harcourt|Retail|Online|Sofa Classic|Furniture|320000|5|David|256000</t>
  </si>
  <si>
    <t>46102|North|Abuja|Retail|Online|Microwave M20|Home Appliances|60000|8|Grace|48000</t>
  </si>
  <si>
    <t>46103|South|Port Harcourt|Corporate|Online|Office Chair Pro|Furniture|85000|8|David|68000</t>
  </si>
  <si>
    <t>46104|East|Port Harcourt|Retail|Store|Sofa Classic|Furniture|320000|5|David|256000</t>
  </si>
  <si>
    <t>46105|North|Kano|Corporate|Online|Printer P50|Electronics|150000|3|Aisha|120000</t>
  </si>
  <si>
    <t>46106|North|Kano|Retail|Store|Printer P50|Electronics|150000|1|Chidinma|120000</t>
  </si>
  <si>
    <t>46107|South|Kano|Corporate|Online|Microwave M20|Home Appliances|60000|7|David|48000</t>
  </si>
  <si>
    <t>46108|West|Port Harcourt|Retail|Online|Air Conditioner X2|Home Appliances|180000|1|David|144000</t>
  </si>
  <si>
    <t>46109|South|Port Harcourt|Corporate|Online|Air Conditioner X2|Home Appliances|180000|1|Peter|144000</t>
  </si>
  <si>
    <t>46110|South|Port Harcourt|Retail|Store|Smartphone Z10|Electronics|250000|9|Chidinma|200000</t>
  </si>
  <si>
    <t>46111|West|Kano|Corporate|Online|Sofa Classic|Furniture|320000|1|David|256000</t>
  </si>
  <si>
    <t>46112|South|Lagos|Retail|Store|Air Conditioner X2|Home Appliances|180000|10|Chidinma|144000</t>
  </si>
  <si>
    <t>46113|East|Kano|Retail|Store|Desktop PC D21|Electronics|300000|10|Peter|240000</t>
  </si>
  <si>
    <t>46114|South|Port Harcourt|Retail|Online|Laptop A13|Electronics|420000|4|Aisha|336000</t>
  </si>
  <si>
    <t>46115|West|Port Harcourt|Corporate|Store|Blender B10|Home Appliances|30000|4|Musa|24000</t>
  </si>
  <si>
    <t>46116|North|Kano|Retail|Online|Blender B10|Home Appliances|30000|10|Peter|24000</t>
  </si>
  <si>
    <t>46117|South|Port Harcourt|Corporate|Store|Microwave M20|Home Appliances|60000|7|Chidinma|48000</t>
  </si>
  <si>
    <t>46118|North|Port Harcourt|Corporate|Store|Air Conditioner X2|Home Appliances|180000|4|Grace|144000</t>
  </si>
  <si>
    <t>46119|West|Abuja|Retail|Store|Blender B10|Home Appliances|30000|7|Peter|24000</t>
  </si>
  <si>
    <t>46120|South|Lagos|Corporate|Store|Laptop A13|Electronics|420000|10|Chidinma|336000</t>
  </si>
  <si>
    <t>46121|East|Port Harcourt|Corporate|Online|Laptop A13|Electronics|420000|7|Peter|336000</t>
  </si>
  <si>
    <t>46122|South|Kano|Retail|Store|Smartphone Z10|Electronics|250000|5|David|200000</t>
  </si>
  <si>
    <t>46123|West|Abuja|Corporate|Online|Laptop A13|Electronics|420000|5|Musa|336000</t>
  </si>
  <si>
    <t>46124|East|Kano|Corporate|Store|Sofa Classic|Furniture|320000|2|Musa|256000</t>
  </si>
  <si>
    <t>46125|North|Port Harcourt|Retail|Store|Desktop PC D21|Electronics|300000|10|Aisha|240000</t>
  </si>
  <si>
    <t>46126|East|Port Harcourt|Retail|Online|Smartphone Z10|Electronics|250000|5|Aisha|200000</t>
  </si>
  <si>
    <t>46127|South|Kano|Corporate|Store|Smartphone Z10|Electronics|250000|2|David|200000</t>
  </si>
  <si>
    <t>46128|North|Lagos|Retail|Store|Air Conditioner X2|Home Appliances|180000|1|Chidinma|144000</t>
  </si>
  <si>
    <t>46129|East|Lagos|Retail|Store|Sofa Classic|Furniture|320000|10|Peter|256000</t>
  </si>
  <si>
    <t>46130|South|Kano|Corporate|Store|Printer P50|Electronics|150000|2|Chidinma|120000</t>
  </si>
  <si>
    <t>46131|East|Lagos|Retail|Store|Air Conditioner X2|Home Appliances|180000|10|Musa|144000</t>
  </si>
  <si>
    <t>46132|West|Lagos|Retail|Online|Printer P50|Electronics|150000|2|Musa|120000</t>
  </si>
  <si>
    <t>46133|South|Kano|Corporate|Store|Microwave M20|Home Appliances|60000|10|Musa|48000</t>
  </si>
  <si>
    <t>46134|West|Abuja|Corporate|Online|Refrigerator R55|Home Appliances|220000|4|Peter|176000</t>
  </si>
  <si>
    <t>46135|South|Lagos|Retail|Online|Microwave M20|Home Appliances|60000|5|Peter|48000</t>
  </si>
  <si>
    <t>46136|South|Abuja|Corporate|Online|Smartphone Z10|Electronics|250000|3|David|200000</t>
  </si>
  <si>
    <t>46137|South|Lagos|Corporate|Store|Printer P50|Electronics|150000|1|Aisha|120000</t>
  </si>
  <si>
    <t>46138|North|Abuja|Corporate|Store|Refrigerator R55|Home Appliances|220000|1|David|176000</t>
  </si>
  <si>
    <t>46139|East|Kano|Retail|Store|Smartphone Z10|Electronics|250000|6|Aisha|200000</t>
  </si>
  <si>
    <t>46140|West|Abuja|Retail|Store|Refrigerator R55|Home Appliances|220000|10|Peter|176000</t>
  </si>
  <si>
    <t>46141|East|Port Harcourt|Retail|Store|Air Conditioner X2|Home Appliances|180000|10|David|144000</t>
  </si>
  <si>
    <t>46142|West|Port Harcourt|Corporate|Online|Microwave M20|Home Appliances|60000|6|Grace|48000</t>
  </si>
  <si>
    <t>46143|North|Kano|Retail|Store|Refrigerator R55|Home Appliances|220000|4|David|176000</t>
  </si>
  <si>
    <t>46144|South|Abuja|Corporate|Online|Printer P50|Electronics|150000|1|David|120000</t>
  </si>
  <si>
    <t>46145|South|Kano|Retail|Store|Air Conditioner X2|Home Appliances|180000|1|Musa|144000</t>
  </si>
  <si>
    <t>46146|East|Abuja|Corporate|Store|Refrigerator R55|Home Appliances|220000|8|Musa|176000</t>
  </si>
  <si>
    <t>46147|West|Lagos|Retail|Store|Smartphone Z10|Electronics|250000|3|David|200000</t>
  </si>
  <si>
    <t>46148|North|Lagos|Corporate|Store|Microwave M20|Home Appliances|60000|1|Peter|48000</t>
  </si>
  <si>
    <t>46149|East|Abuja|Retail|Store|Sofa Classic|Furniture|320000|4|Chidinma|256000</t>
  </si>
  <si>
    <t>46150|South|Kano|Corporate|Store|Laptop A13|Electronics|420000|8|David|336000</t>
  </si>
  <si>
    <t>46151|South|Lagos|Corporate|Store|Laptop A13|Electronics|420000|8|Peter|336000</t>
  </si>
  <si>
    <t>46152|North|Lagos|Retail|Store|Microwave M20|Home Appliances|60000|1|Grace|48000</t>
  </si>
  <si>
    <t>46153|East|Port Harcourt|Corporate|Store|Air Conditioner X2|Home Appliances|180000|8|David|144000</t>
  </si>
  <si>
    <t>46154|West|Lagos|Corporate|Store|Air Conditioner X2|Home Appliances|180000|2|David|144000</t>
  </si>
  <si>
    <t>46155|South|Lagos|Corporate|Online|Desktop PC D21|Electronics|300000|7|Peter|240000</t>
  </si>
  <si>
    <t>46156|West|Kano|Retail|Online|Smartphone Z10|Electronics|250000|6|Peter|200000</t>
  </si>
  <si>
    <t>46157|North|Kano|Retail|Store|Printer P50|Electronics|150000|5|David|120000</t>
  </si>
  <si>
    <t>46158|West|Abuja|Retail|Online|Office Chair Pro|Furniture|85000|10|David|68000</t>
  </si>
  <si>
    <t>46159|North|Abuja|Retail|Online|Office Chair Pro|Furniture|85000|8|Peter|68000</t>
  </si>
  <si>
    <t>46160|South|Port Harcourt|Retail|Online|Office Chair Pro|Furniture|85000|2|Musa|68000</t>
  </si>
  <si>
    <t>46161|West|Abuja|Retail|Online|Smartphone Z10|Electronics|250000|4|Chidinma|200000</t>
  </si>
  <si>
    <t>46162|South|Port Harcourt|Retail|Online|Printer P50|Electronics|150000|6|Grace|120000</t>
  </si>
  <si>
    <t>46163|South|Abuja|Corporate|Store|Air Conditioner X2|Home Appliances|180000|10|Aisha|144000</t>
  </si>
  <si>
    <t>46164|South|Abuja|Retail|Online|Printer P50|Electronics|150000|8|Chidinma|120000</t>
  </si>
  <si>
    <t>46165|South|Lagos|Retail|Online|Air Conditioner X2|Home Appliances|180000|8|David|144000</t>
  </si>
  <si>
    <t>46166|East|Kano|Corporate|Online|Printer P50|Electronics|150000|6|Peter|120000</t>
  </si>
  <si>
    <t>46167|South|Abuja|Corporate|Store|Printer P50|Electronics|150000|4|Grace|120000</t>
  </si>
  <si>
    <t>46168|West|Lagos|Retail|Online|Air Conditioner X2|Home Appliances|180000|1|Peter|144000</t>
  </si>
  <si>
    <t>46169|North|Lagos|Retail|Online|Smartphone Z10|Electronics|250000|6|Grace|200000</t>
  </si>
  <si>
    <t>46170|South|Port Harcourt|Retail|Online|Microwave M20|Home Appliances|60000|6|David|48000</t>
  </si>
  <si>
    <t>46171|North|Abuja|Corporate|Store|Printer P50|Electronics|150000|2|David|120000</t>
  </si>
  <si>
    <t>46172|East|Kano|Corporate|Online|Office Chair Pro|Furniture|85000|2|Chidinma|68000</t>
  </si>
  <si>
    <t>46173|South|Lagos|Retail|Store|Desktop PC D21|Electronics|300000|5|Peter|240000</t>
  </si>
  <si>
    <t>46174|East|Kano|Corporate|Online|Laptop A13|Electronics|420000|10|Peter|336000</t>
  </si>
  <si>
    <t>46175|West|Abuja|Corporate|Online|Air Conditioner X2|Home Appliances|180000|6|David|144000</t>
  </si>
  <si>
    <t>46176|East|Abuja|Retail|Store|Office Chair Pro|Furniture|85000|4|Peter|68000</t>
  </si>
  <si>
    <t>46177|North|Kano|Corporate|Online|Desktop PC D21|Electronics|300000|4|Aisha|240000</t>
  </si>
  <si>
    <t>46178|South|Abuja|Retail|Online|Office Chair Pro|Furniture|85000|3|Peter|68000</t>
  </si>
  <si>
    <t>46179|North|Port Harcourt|Retail|Store|Refrigerator R55|Home Appliances|220000|9|Aisha|176000</t>
  </si>
  <si>
    <t>46180|West|Kano|Corporate|Online|Air Conditioner X2|Home Appliances|180000|3|Peter|144000</t>
  </si>
  <si>
    <t>46181|East|Lagos|Corporate|Store|Desktop PC D21|Electronics|300000|9|David|240000</t>
  </si>
  <si>
    <t>46182|North|Port Harcourt|Corporate|Store|Printer P50|Electronics|150000|4|Musa|120000</t>
  </si>
  <si>
    <t>46183|East|Abuja|Corporate|Store|Sofa Classic|Furniture|320000|8|Aisha|256000</t>
  </si>
  <si>
    <t>46184|North|Abuja|Retail|Online|Sofa Classic|Furniture|320000|7|Grace|256000</t>
  </si>
  <si>
    <t>46185|East|Abuja|Retail|Store|Refrigerator R55|Home Appliances|220000|10|Musa|176000</t>
  </si>
  <si>
    <t>46186|South|Lagos|Retail|Store|Blender B10|Home Appliances|30000|7|Musa|24000</t>
  </si>
  <si>
    <t>46187|East|Kano|Retail|Online|Sofa Classic|Furniture|320000|2|Musa|256000</t>
  </si>
  <si>
    <t>46188|North|Kano|Corporate|Store|Desktop PC D21|Electronics|300000|3|Aisha|240000</t>
  </si>
  <si>
    <t>46189|South|Port Harcourt|Retail|Online|Desktop PC D21|Electronics|300000|3|Musa|240000</t>
  </si>
  <si>
    <t>46190|South|Abuja|Retail|Store|Printer P50|Electronics|150000|10|Musa|120000</t>
  </si>
  <si>
    <t>46191|South|Lagos|Corporate|Store|Blender B10|Home Appliances|30000|7|Peter|24000</t>
  </si>
  <si>
    <t>46192|West|Port Harcourt|Retail|Online|Microwave M20|Home Appliances|60000|2|Aisha|48000</t>
  </si>
  <si>
    <t>46193|East|Lagos|Retail|Online|Desktop PC D21|Electronics|300000|8|Chidinma|240000</t>
  </si>
  <si>
    <t>46194|North|Lagos|Corporate|Store|Blender B10|Home Appliances|30000|6|Musa|24000</t>
  </si>
  <si>
    <t>46195|West|Lagos|Corporate|Online|Smartphone Z10|Electronics|250000|6|David|200000</t>
  </si>
  <si>
    <t>46196|East|Abuja|Retail|Online|Laptop A13|Electronics|420000|10|Peter|336000</t>
  </si>
  <si>
    <t>46197|South|Abuja|Retail|Online|Microwave M20|Home Appliances|60000|9|Grace|48000</t>
  </si>
  <si>
    <t>46198|East|Kano|Corporate|Store|Air Conditioner X2|Home Appliances|180000|4|Chidinma|144000</t>
  </si>
  <si>
    <t>46199|North|Kano|Retail|Store|Air Conditioner X2|Home Appliances|180000|10|Chidinma|144000</t>
  </si>
  <si>
    <t>46200|North|Lagos|Corporate|Online|Blender B10|Home Appliances|30000|1|Aisha|24000</t>
  </si>
  <si>
    <t>46201|East|Kano|Retail|Store|Laptop A13|Electronics|420000|3|Peter|336000</t>
  </si>
  <si>
    <t>46202|East|Port Harcourt|Retail|Store|Blender B10|Home Appliances|30000|8|Peter|24000</t>
  </si>
  <si>
    <t>46203|South|Abuja|Corporate|Online|Sofa Classic|Furniture|320000|2|Musa|256000</t>
  </si>
  <si>
    <t>46204|West|Lagos|Corporate|Store|Printer P50|Electronics|150000|10|Musa|120000</t>
  </si>
  <si>
    <t>46205|North|Kano|Corporate|Online|Smartphone Z10|Electronics|250000|9|David|200000</t>
  </si>
  <si>
    <t>46206|South|Kano|Corporate|Store|Refrigerator R55|Home Appliances|220000|5|David|176000</t>
  </si>
  <si>
    <t>46207|West|Kano|Retail|Store|Printer P50|Electronics|150000|5|Chidinma|120000</t>
  </si>
  <si>
    <t>46208|East|Abuja|Corporate|Store|Refrigerator R55|Home Appliances|220000|8|Aisha|176000</t>
  </si>
  <si>
    <t>46209|East|Lagos|Retail|Online|Office Chair Pro|Furniture|85000|4|Peter|68000</t>
  </si>
  <si>
    <t>46210|South|Kano|Retail|Online|Sofa Classic|Furniture|320000|4|Peter|256000</t>
  </si>
  <si>
    <t>46211|East|Kano|Corporate|Online|Smartphone Z10|Electronics|250000|2|David|200000</t>
  </si>
  <si>
    <t>46212|East|Port Harcourt|Retail|Online|Desktop PC D21|Electronics|300000|5|David|240000</t>
  </si>
  <si>
    <t>46213|East|Kano|Retail|Online|Microwave M20|Home Appliances|60000|9|Musa|48000</t>
  </si>
  <si>
    <t>46214|East|Kano|Corporate|Online|Printer P50|Electronics|150000|6|Musa|120000</t>
  </si>
  <si>
    <t>46215|South|Kano|Corporate|Store|Office Chair Pro|Furniture|85000|3|Peter|68000</t>
  </si>
  <si>
    <t>46216|South|Lagos|Corporate|Store|Sofa Classic|Furniture|320000|8|Musa|256000</t>
  </si>
  <si>
    <t>46217|East|Port Harcourt|Corporate|Online|Smartphone Z10|Electronics|250000|1|Peter|200000</t>
  </si>
  <si>
    <t>46218|West|Lagos|Corporate|Store|Air Conditioner X2|Home Appliances|180000|4|Chidinma|144000</t>
  </si>
  <si>
    <t>46219|East|Kano|Retail|Online|Microwave M20|Home Appliances|60000|6|Grace|48000</t>
  </si>
  <si>
    <t>46220|North|Abuja|Retail|Store|Air Conditioner X2|Home Appliances|180000|7|Chidinma|144000</t>
  </si>
  <si>
    <t>46221|North|Lagos|Retail|Online|Printer P50|Electronics|150000|10|Aisha|120000</t>
  </si>
  <si>
    <t>46222|East|Kano|Retail|Store|Sofa Classic|Furniture|320000|5|Aisha|256000</t>
  </si>
  <si>
    <t>46223|West|Port Harcourt|Corporate|Store|Printer P50|Electronics|150000|7|David|120000</t>
  </si>
  <si>
    <t>46224|East|Port Harcourt|Corporate|Online|Printer P50|Electronics|150000|4|Aisha|120000</t>
  </si>
  <si>
    <t>46225|North|Kano|Corporate|Online|Desktop PC D21|Electronics|300000|6|Musa|240000</t>
  </si>
  <si>
    <t>46226|North|Port Harcourt|Retail|Store|Sofa Classic|Furniture|320000|4|Musa|256000</t>
  </si>
  <si>
    <t>46227|South|Lagos|Corporate|Online|Blender B10|Home Appliances|30000|4|David|24000</t>
  </si>
  <si>
    <t>46228|East|Kano|Corporate|Online|Printer P50|Electronics|150000|8|Grace|120000</t>
  </si>
  <si>
    <t>46229|South|Lagos|Retail|Store|Smartphone Z10|Electronics|250000|8|Aisha|200000</t>
  </si>
  <si>
    <t>46230|North|Lagos|Corporate|Online|Blender B10|Home Appliances|30000|4|Grace|24000</t>
  </si>
  <si>
    <t>46231|South|Port Harcourt|Corporate|Online|Laptop A13|Electronics|420000|2|Aisha|336000</t>
  </si>
  <si>
    <t>46232|South|Port Harcourt|Corporate|Store|Blender B10|Home Appliances|30000|6|Aisha|24000</t>
  </si>
  <si>
    <t>46233|North|Abuja|Corporate|Online|Refrigerator R55|Home Appliances|220000|2|Peter|176000</t>
  </si>
  <si>
    <t>46234|South|Port Harcourt|Retail|Online|Desktop PC D21|Electronics|300000|4|Peter|240000</t>
  </si>
  <si>
    <t>46235|South|Port Harcourt|Corporate|Online|Laptop A13|Electronics|420000|8|Chidinma|336000</t>
  </si>
  <si>
    <t>46236|East|Port Harcourt|Retail|Online|Sofa Classic|Furniture|320000|4|Peter|256000</t>
  </si>
  <si>
    <t>46237|West|Port Harcourt|Corporate|Store|Smartphone Z10|Electronics|250000|8|David|200000</t>
  </si>
  <si>
    <t>46238|East|Lagos|Retail|Store|Sofa Classic|Furniture|320000|7|Grace|256000</t>
  </si>
  <si>
    <t>46239|West|Lagos|Corporate|Store|Desktop PC D21|Electronics|300000|6|David|240000</t>
  </si>
  <si>
    <t>46240|North|Abuja|Corporate|Store|Air Conditioner X2|Home Appliances|180000|4|Chidinma|144000</t>
  </si>
  <si>
    <t>46241|West|Port Harcourt|Corporate|Online|Smartphone Z10|Electronics|250000|6|Peter|200000</t>
  </si>
  <si>
    <t>46242|West|Kano|Corporate|Online|Smartphone Z10|Electronics|250000|7|Peter|200000</t>
  </si>
  <si>
    <t>46243|East|Lagos|Retail|Store|Laptop A13|Electronics|420000|2|Chidinma|336000</t>
  </si>
  <si>
    <t>46244|South|Lagos|Corporate|Online|Printer P50|Electronics|150000|2|David|120000</t>
  </si>
  <si>
    <t>46245|North|Lagos|Retail|Online|Refrigerator R55|Home Appliances|220000|8|Grace|176000</t>
  </si>
  <si>
    <t>46246|East|Port Harcourt|Retail|Store|Printer P50|Electronics|150000|2|Musa|120000</t>
  </si>
  <si>
    <t>46247|East|Lagos|Corporate|Online|Blender B10|Home Appliances|30000|1|Peter|24000</t>
  </si>
  <si>
    <t>46248|East|Port Harcourt|Retail|Store|Air Conditioner X2|Home Appliances|180000|5|Chidinma|144000</t>
  </si>
  <si>
    <t>46249|West|Kano|Corporate|Store|Printer P50|Electronics|150000|9|Aisha|120000</t>
  </si>
  <si>
    <t>46250|South|Lagos|Corporate|Store|Printer P50|Electronics|150000|5|Aisha|120000</t>
  </si>
  <si>
    <t>46251|South|Port Harcourt|Retail|Online|Refrigerator R55|Home Appliances|220000|4|Grace|176000</t>
  </si>
  <si>
    <t>46252|West|Kano|Retail|Online|Sofa Classic|Furniture|320000|4|Chidinma|256000</t>
  </si>
  <si>
    <t>46253|West|Abuja|Corporate|Store|Sofa Classic|Furniture|320000|8|Chidinma|256000</t>
  </si>
  <si>
    <t>46254|North|Abuja|Retail|Online|Microwave M20|Home Appliances|60000|9|Chidinma|48000</t>
  </si>
  <si>
    <t>46255|East|Lagos|Retail|Store|Desktop PC D21|Electronics|300000|10|Chidinma|240000</t>
  </si>
  <si>
    <t>46256|North|Lagos|Corporate|Online|Printer P50|Electronics|150000|6|Peter|120000</t>
  </si>
  <si>
    <t>46257|South|Kano|Corporate|Online|Air Conditioner X2|Home Appliances|180000|8|Aisha|144000</t>
  </si>
  <si>
    <t>46258|East|Port Harcourt|Retail|Online|Microwave M20|Home Appliances|60000|7|Grace|48000</t>
  </si>
  <si>
    <t>46259|East|Lagos|Retail|Store|Printer P50|Electronics|150000|9|Chidinma|120000</t>
  </si>
  <si>
    <t>46260|East|Lagos|Retail|Store|Air Conditioner X2|Home Appliances|180000|4|Peter|144000</t>
  </si>
  <si>
    <t>46261|West|Abuja|Retail|Store|Air Conditioner X2|Home Appliances|180000|1|Aisha|144000</t>
  </si>
  <si>
    <t>46262|West|Port Harcourt|Retail|Online|Microwave M20|Home Appliances|60000|6|Aisha|48000</t>
  </si>
  <si>
    <t>46263|East|Kano|Corporate|Store|Sofa Classic|Furniture|320000|8|Peter|256000</t>
  </si>
  <si>
    <t>46264|East|Kano|Retail|Online|Air Conditioner X2|Home Appliances|180000|6|Aisha|144000</t>
  </si>
  <si>
    <t>46265|South|Lagos|Corporate|Online|Microwave M20|Home Appliances|60000|8|David|48000</t>
  </si>
  <si>
    <t>46266|East|Lagos|Corporate|Online|Laptop A13|Electronics|420000|3|Chidinma|336000</t>
  </si>
  <si>
    <t>46267|South|Kano|Corporate|Online|Refrigerator R55|Home Appliances|220000|5|David|176000</t>
  </si>
  <si>
    <t>46268|West|Abuja|Retail|Online|Microwave M20|Home Appliances|60000|6|Chidinma|48000</t>
  </si>
  <si>
    <t>46269|West|Abuja|Retail|Store|Microwave M20|Home Appliances|60000|8|Grace|48000</t>
  </si>
  <si>
    <t>46270|West|Lagos|Corporate|Online|Blender B10|Home Appliances|30000|2|Chidinma|24000</t>
  </si>
  <si>
    <t>46271|East|Port Harcourt|Corporate|Store|Desktop PC D21|Electronics|300000|3|Peter|240000</t>
  </si>
  <si>
    <t>46272|North|Lagos|Corporate|Store|Smartphone Z10|Electronics|250000|3|David|200000</t>
  </si>
  <si>
    <t>46273|North|Lagos|Corporate|Store|Laptop A13|Electronics|420000|1|David|336000</t>
  </si>
  <si>
    <t>46274|South|Port Harcourt|Corporate|Store|Blender B10|Home Appliances|30000|1|Peter|24000</t>
  </si>
  <si>
    <t>46275|South|Kano|Retail|Online|Blender B10|Home Appliances|30000|8|Aisha|24000</t>
  </si>
  <si>
    <t>46276|North|Port Harcourt|Corporate|Online|Smartphone Z10|Electronics|250000|10|Aisha|200000</t>
  </si>
  <si>
    <t>46277|North|Kano|Corporate|Store|Printer P50|Electronics|150000|10|David|120000</t>
  </si>
  <si>
    <t>46278|East|Abuja|Retail|Store|Smartphone Z10|Electronics|250000|8|Chidinma|200000</t>
  </si>
  <si>
    <t>46279|North|Kano|Retail|Store|Smartphone Z10|Electronics|250000|9|Grace|200000</t>
  </si>
  <si>
    <t>46280|North|Abuja|Retail|Store|Laptop A13|Electronics|420000|10|Musa|336000</t>
  </si>
  <si>
    <t>46281|West|Lagos|Corporate|Online|Office Chair Pro|Furniture|85000|4|David|68000</t>
  </si>
  <si>
    <t>46282|East|Lagos|Retail|Online|Air Conditioner X2|Home Appliances|180000|1|Grace|144000</t>
  </si>
  <si>
    <t>46283|South|Lagos|Retail|Store|Air Conditioner X2|Home Appliances|180000|9|Peter|144000</t>
  </si>
  <si>
    <t>46284|East|Kano|Corporate|Store|Printer P50|Electronics|150000|10|Musa|120000</t>
  </si>
  <si>
    <t>46285|East|Abuja|Corporate|Store|Desktop PC D21|Electronics|300000|1|Musa|240000</t>
  </si>
  <si>
    <t>46286|South|Abuja|Retail|Online|Printer P50|Electronics|150000|8|Chidinma|120000</t>
  </si>
  <si>
    <t>46287|West|Abuja|Retail|Store|Printer P50|Electronics|150000|3|Peter|120000</t>
  </si>
  <si>
    <t>46288|North|Abuja|Retail|Store|Sofa Classic|Furniture|320000|3|Chidinma|256000</t>
  </si>
  <si>
    <t>46289|South|Kano|Retail|Online|Air Conditioner X2|Home Appliances|180000|8|Chidinma|144000</t>
  </si>
  <si>
    <t>46290|South|Kano|Retail|Store|Air Conditioner X2|Home Appliances|180000|1|David|144000</t>
  </si>
  <si>
    <t>46291|West|Lagos|Retail|Store|Microwave M20|Home Appliances|60000|7|Aisha|48000</t>
  </si>
  <si>
    <t>46292|East|Kano|Corporate|Store|Sofa Classic|Furniture|320000|7|David|256000</t>
  </si>
  <si>
    <t>46293|South|Lagos|Corporate|Online|Office Chair Pro|Furniture|85000|9|David|68000</t>
  </si>
  <si>
    <t>46294|West|Lagos|Retail|Online|Sofa Classic|Furniture|320000|3|Aisha|256000</t>
  </si>
  <si>
    <t>46295|South|Abuja|Retail|Online|Refrigerator R55|Home Appliances|220000|4|Aisha|176000</t>
  </si>
  <si>
    <t>46296|East|Kano|Corporate|Online|Sofa Classic|Furniture|320000|7|Peter|256000</t>
  </si>
  <si>
    <t>46297|East|Port Harcourt|Corporate|Online|Smartphone Z10|Electronics|250000|1|Musa|200000</t>
  </si>
  <si>
    <t>46298|East|Kano|Retail|Store|Blender B10|Home Appliances|30000|5|Musa|24000</t>
  </si>
  <si>
    <t>46299|South|Kano|Corporate|Online|Refrigerator R55|Home Appliances|220000|5|David|176000</t>
  </si>
  <si>
    <t>46300|North|Kano|Corporate|Store|Smartphone Z10|Electronics|250000|4|Peter|200000</t>
  </si>
  <si>
    <t>46301|North|Port Harcourt|Retail|Store|Air Conditioner X2|Home Appliances|180000|4|Chidinma|144000</t>
  </si>
  <si>
    <t>46302|South|Port Harcourt|Corporate|Store|Microwave M20|Home Appliances|60000|10|David|48000</t>
  </si>
  <si>
    <t>46303|East|Kano|Retail|Online|Sofa Classic|Furniture|320000|10|Chidinma|256000</t>
  </si>
  <si>
    <t>46304|East|Kano|Retail|Store|Printer P50|Electronics|150000|4|Musa|120000</t>
  </si>
  <si>
    <t>46305|West|Port Harcourt|Corporate|Store|Sofa Classic|Furniture|320000|4|Chidinma|256000</t>
  </si>
  <si>
    <t>46306|South|Lagos|Corporate|Online|Desktop PC D21|Electronics|300000|7|Aisha|240000</t>
  </si>
  <si>
    <t>46307|North|Port Harcourt|Corporate|Store|Printer P50|Electronics|150000|10|Chidinma|120000</t>
  </si>
  <si>
    <t>46308|South|Lagos|Corporate|Online|Refrigerator R55|Home Appliances|220000|9|Chidinma|176000</t>
  </si>
  <si>
    <t>46309|West|Abuja|Corporate|Store|Office Chair Pro|Furniture|85000|4|Musa|68000</t>
  </si>
  <si>
    <t>46310|South|Kano|Corporate|Online|Sofa Classic|Furniture|320000|1|Grace|256000</t>
  </si>
  <si>
    <t>46311|East|Abuja|Corporate|Store|Laptop A13|Electronics|420000|1|Peter|336000</t>
  </si>
  <si>
    <t>46312|South|Kano|Corporate|Store|Laptop A13|Electronics|420000|6|David|336000</t>
  </si>
  <si>
    <t>46313|North|Lagos|Corporate|Online|Microwave M20|Home Appliances|60000|8|Aisha|48000</t>
  </si>
  <si>
    <t>46314|East|Port Harcourt|Corporate|Store|Refrigerator R55|Home Appliances|220000|7|Chidinma|176000</t>
  </si>
  <si>
    <t>46315|South|Port Harcourt|Corporate|Online|Sofa Classic|Furniture|320000|9|Peter|256000</t>
  </si>
  <si>
    <t>46316|West|Abuja|Corporate|Store|Desktop PC D21|Electronics|300000|2|Aisha|240000</t>
  </si>
  <si>
    <t>46317|South|Port Harcourt|Corporate|Online|Smartphone Z10|Electronics|250000|4|Aisha|200000</t>
  </si>
  <si>
    <t>46318|North|Lagos|Retail|Online|Blender B10|Home Appliances|30000|4|Aisha|24000</t>
  </si>
  <si>
    <t>46319|West|Lagos|Retail|Store|Refrigerator R55|Home Appliances|220000|4|Chidinma|176000</t>
  </si>
  <si>
    <t>46320|North|Abuja|Retail|Store|Desktop PC D21|Electronics|300000|2|Aisha|240000</t>
  </si>
  <si>
    <t>46321|South|Lagos|Retail|Online|Sofa Classic|Furniture|320000|7|David|256000</t>
  </si>
  <si>
    <t>46322|East|Abuja|Corporate|Online|Microwave M20|Home Appliances|60000|5|Musa|48000</t>
  </si>
  <si>
    <t>46323|South|Kano|Retail|Online|Office Chair Pro|Furniture|85000|7|Peter|68000</t>
  </si>
  <si>
    <t>46324|West|Lagos|Retail|Store|Desktop PC D21|Electronics|300000|6|Grace|240000</t>
  </si>
  <si>
    <t>46325|East|Kano|Corporate|Online|Air Conditioner X2|Home Appliances|180000|5|Musa|144000</t>
  </si>
  <si>
    <t>46326|East|Lagos|Corporate|Store|Desktop PC D21|Electronics|300000|1|Aisha|240000</t>
  </si>
  <si>
    <t>46327|West|Port Harcourt|Retail|Store|Microwave M20|Home Appliances|60000|7|David|48000</t>
  </si>
  <si>
    <t>46328|South|Kano|Retail|Online|Blender B10|Home Appliances|30000|8|Musa|24000</t>
  </si>
  <si>
    <t>46329|West|Lagos|Corporate|Online|Refrigerator R55|Home Appliances|220000|3|Peter|176000</t>
  </si>
  <si>
    <t>46330|South|Lagos|Corporate|Online|Refrigerator R55|Home Appliances|220000|7|Peter|176000</t>
  </si>
  <si>
    <t>46331|North|Port Harcourt|Retail|Store|Air Conditioner X2|Home Appliances|180000|2|David|144000</t>
  </si>
  <si>
    <t>46332|West|Kano|Retail|Store|Microwave M20|Home Appliances|60000|8|Aisha|48000</t>
  </si>
  <si>
    <t>46333|North|Lagos|Retail|Online|Blender B10|Home Appliances|30000|2|Peter|24000</t>
  </si>
  <si>
    <t>46334|North|Lagos|Corporate|Online|Printer P50|Electronics|150000|5|Peter|120000</t>
  </si>
  <si>
    <t>46335|West|Lagos|Corporate|Store|Smartphone Z10|Electronics|250000|5|Peter|200000</t>
  </si>
  <si>
    <t>46336|South|Port Harcourt|Corporate|Online|Office Chair Pro|Furniture|85000|4|David|68000</t>
  </si>
  <si>
    <t>46337|West|Kano|Retail|Store|Desktop PC D21|Electronics|300000|10|David|240000</t>
  </si>
  <si>
    <t>46338|South|Port Harcourt|Corporate|Online|Smartphone Z10|Electronics|250000|8|Grace|200000</t>
  </si>
  <si>
    <t>46339|West|Lagos|Retail|Store|Sofa Classic|Furniture|320000|4|Grace|256000</t>
  </si>
  <si>
    <t>46340|North|Lagos|Corporate|Store|Blender B10|Home Appliances|30000|10|Musa|24000</t>
  </si>
  <si>
    <t>46341|North|Port Harcourt|Corporate|Online|Smartphone Z10|Electronics|250000|4|Aisha|200000</t>
  </si>
  <si>
    <t>46342|East|Port Harcourt|Corporate|Online|Sofa Classic|Furniture|320000|5|Musa|256000</t>
  </si>
  <si>
    <t>46343|East|Lagos|Retail|Store|Sofa Classic|Furniture|320000|9|Grace|256000</t>
  </si>
  <si>
    <t>46344|East|Lagos|Retail|Online|Air Conditioner X2|Home Appliances|180000|1|Aisha|144000</t>
  </si>
  <si>
    <t>46345|South|Port Harcourt|Retail|Online|Blender B10|Home Appliances|30000|7|Musa|24000</t>
  </si>
  <si>
    <t>46346|North|Abuja|Corporate|Store|Refrigerator R55|Home Appliances|220000|5|Peter|176000</t>
  </si>
  <si>
    <t>46347|North|Abuja|Corporate|Online|Air Conditioner X2|Home Appliances|180000|4|Grace|144000</t>
  </si>
  <si>
    <t>46348|South|Port Harcourt|Corporate|Online|Air Conditioner X2|Home Appliances|180000|2|Musa|144000</t>
  </si>
  <si>
    <t>46349|West|Kano|Corporate|Online|Refrigerator R55|Home Appliances|220000|2|Aisha|176000</t>
  </si>
  <si>
    <t>46350|West|Lagos|Corporate|Store|Microwave M20|Home Appliances|60000|10|Aisha|48000</t>
  </si>
  <si>
    <t>46351|North|Port Harcourt|Retail|Store|Blender B10|Home Appliances|30000|2|Grace|24000</t>
  </si>
  <si>
    <t>46352|East|Lagos|Corporate|Online|Desktop PC D21|Electronics|300000|3|David|240000</t>
  </si>
  <si>
    <t>46353|South|Kano|Retail|Store|Blender B10|Home Appliances|30000|8|Chidinma|24000</t>
  </si>
  <si>
    <t>46354|North|Port Harcourt|Retail|Online|Desktop PC D21|Electronics|300000|7|Chidinma|240000</t>
  </si>
  <si>
    <t>46355|East|Port Harcourt|Retail|Online|Blender B10|Home Appliances|30000|2|Peter|24000</t>
  </si>
  <si>
    <t>46356|East|Port Harcourt|Corporate|Store|Refrigerator R55|Home Appliances|220000|8|Musa|176000</t>
  </si>
  <si>
    <t>46357|West|Kano|Retail|Online|Microwave M20|Home Appliances|60000|1|Chidinma|48000</t>
  </si>
  <si>
    <t>46358|South|Kano|Corporate|Online|Office Chair Pro|Furniture|85000|9|Aisha|68000</t>
  </si>
  <si>
    <t>46359|East|Lagos|Retail|Store|Office Chair Pro|Furniture|85000|4|Peter|68000</t>
  </si>
  <si>
    <t>46360|East|Abuja|Corporate|Store|Air Conditioner X2|Home Appliances|180000|6|Chidinma|144000</t>
  </si>
  <si>
    <t>46361|West|Abuja|Retail|Online|Air Conditioner X2|Home Appliances|180000|2|Grace|144000</t>
  </si>
  <si>
    <t>46362|North|Port Harcourt|Retail|Online|Microwave M20|Home Appliances|60000|8|Musa|48000</t>
  </si>
  <si>
    <t>46363|North|Abuja|Retail|Online|Sofa Classic|Furniture|320000|4|Peter|256000</t>
  </si>
  <si>
    <t>46364|East|Lagos|Corporate|Online|Air Conditioner X2|Home Appliances|180000|3|David|144000</t>
  </si>
  <si>
    <t>46365|East|Port Harcourt|Retail|Store|Printer P50|Electronics|150000|9|Musa|120000</t>
  </si>
  <si>
    <t>46366|East|Lagos|Corporate|Store|Office Chair Pro|Furniture|85000|4|Chidinma|68000</t>
  </si>
  <si>
    <t>46367|South|Kano|Retail|Online|Refrigerator R55|Home Appliances|220000|4|Chidinma|176000</t>
  </si>
  <si>
    <t>46368|North|Port Harcourt|Retail|Online|Blender B10|Home Appliances|30000|8|Aisha|24000</t>
  </si>
  <si>
    <t>46369|South|Port Harcourt|Retail|Online|Office Chair Pro|Furniture|85000|4|Chidinma|68000</t>
  </si>
  <si>
    <t>46370|North|Port Harcourt|Retail|Online|Desktop PC D21|Electronics|300000|2|Musa|240000</t>
  </si>
  <si>
    <t>46371|West|Kano|Corporate|Store|Office Chair Pro|Furniture|85000|2|Aisha|68000</t>
  </si>
  <si>
    <t>46372|West|Port Harcourt|Corporate|Online|Laptop A13|Electronics|420000|5|Chidinma|336000</t>
  </si>
  <si>
    <t>46373|South|Kano|Corporate|Online|Desktop PC D21|Electronics|300000|8|David|240000</t>
  </si>
  <si>
    <t>46374|West|Lagos|Corporate|Store|Microwave M20|Home Appliances|60000|1|Chidinma|48000</t>
  </si>
  <si>
    <t>46375|West|Kano|Retail|Online|Smartphone Z10|Electronics|250000|8|Chidinma|200000</t>
  </si>
  <si>
    <t>46376|West|Lagos|Corporate|Online|Desktop PC D21|Electronics|300000|4|Chidinma|240000</t>
  </si>
  <si>
    <t>46377|East|Kano|Corporate|Online|Desktop PC D21|Electronics|300000|10|Aisha|240000</t>
  </si>
  <si>
    <t>46378|South|Lagos|Retail|Online|Desktop PC D21|Electronics|300000|2|Grace|240000</t>
  </si>
  <si>
    <t>46379|West|Abuja|Retail|Store|Office Chair Pro|Furniture|85000|2|Peter|68000</t>
  </si>
  <si>
    <t>46380|North|Lagos|Retail|Online|Sofa Classic|Furniture|320000|3|Musa|256000</t>
  </si>
  <si>
    <t>46381|West|Kano|Retail|Store|Printer P50|Electronics|150000|4|Chidinma|120000</t>
  </si>
  <si>
    <t>46382|West|Kano|Corporate|Store|Microwave M20|Home Appliances|60000|8|Musa|48000</t>
  </si>
  <si>
    <t>46383|North|Port Harcourt|Corporate|Store|Office Chair Pro|Furniture|85000|2|Chidinma|68000</t>
  </si>
  <si>
    <t>46384|North|Lagos|Corporate|Store|Desktop PC D21|Electronics|300000|8|David|240000</t>
  </si>
  <si>
    <t>46385|North|Port Harcourt|Retail|Online|Sofa Classic|Furniture|320000|5|Aisha|256000</t>
  </si>
  <si>
    <t>46386|West|Lagos|Corporate|Store|Blender B10|Home Appliances|30000|3|David|24000</t>
  </si>
  <si>
    <t>46387|South|Port Harcourt|Retail|Store|Blender B10|Home Appliances|30000|1|David|24000</t>
  </si>
  <si>
    <t>46388|South|Abuja|Corporate|Store|Printer P50|Electronics|150000|3|David|120000</t>
  </si>
  <si>
    <t>46389|South|Kano|Retail|Online|Blender B10|Home Appliances|30000|5|Peter|24000</t>
  </si>
  <si>
    <t>46390|North|Abuja|Corporate|Store|Air Conditioner X2|Home Appliances|180000|4|David|144000</t>
  </si>
  <si>
    <t>46391|South|Kano|Corporate|Store|Air Conditioner X2|Home Appliances|180000|3|Grace|144000</t>
  </si>
  <si>
    <t>46392|East|Lagos|Corporate|Store|Desktop PC D21|Electronics|300000|8|Chidinma|240000</t>
  </si>
  <si>
    <t>46393|East|Abuja|Corporate|Online|Office Chair Pro|Furniture|85000|8|David|68000</t>
  </si>
  <si>
    <t>46394|North|Lagos|Retail|Store|Air Conditioner X2|Home Appliances|180000|1|Chidinma|144000</t>
  </si>
  <si>
    <t>46395|South|Port Harcourt|Corporate|Online|Laptop A13|Electronics|420000|6|David|336000</t>
  </si>
  <si>
    <t>46396|West|Abuja|Retail|Store|Laptop A13|Electronics|420000|4|Aisha|336000</t>
  </si>
  <si>
    <t>46397|East|Abuja|Corporate|Store|Air Conditioner X2|Home Appliances|180000|3|David|144000</t>
  </si>
  <si>
    <t>46398|South|Lagos|Retail|Online|Microwave M20|Home Appliances|60000|3|David|48000</t>
  </si>
  <si>
    <t>46399|East|Abuja|Retail|Store|Printer P50|Electronics|150000|1|Musa|120000</t>
  </si>
  <si>
    <t>46400|South|Port Harcourt|Corporate|Online|Laptop A13|Electronics|420000|4|David|336000</t>
  </si>
  <si>
    <t>46401|North|Lagos|Corporate|Online|Smartphone Z10|Electronics|250000|6|Musa|200000</t>
  </si>
  <si>
    <t>46402|South|Port Harcourt|Corporate|Store|Sofa Classic|Furniture|320000|1|Peter|256000</t>
  </si>
  <si>
    <t>46403|North|Abuja|Corporate|Store|Refrigerator R55|Home Appliances|220000|10|Grace|176000</t>
  </si>
  <si>
    <t>46404|North|Lagos|Retail|Online|Refrigerator R55|Home Appliances|220000|5|David|176000</t>
  </si>
  <si>
    <t>46405|South|Kano|Corporate|Store|Refrigerator R55|Home Appliances|220000|8|Grace|176000</t>
  </si>
  <si>
    <t>46406|East|Port Harcourt|Retail|Online|Refrigerator R55|Home Appliances|220000|9|Musa|176000</t>
  </si>
  <si>
    <t>46407|North|Kano|Corporate|Online|Desktop PC D21|Electronics|300000|7|Grace|240000</t>
  </si>
  <si>
    <t>46408|West|Abuja|Retail|Online|Laptop A13|Electronics|420000|1|Musa|336000</t>
  </si>
  <si>
    <t>46409|West|Lagos|Corporate|Store|Air Conditioner X2|Home Appliances|180000|6|Musa|144000</t>
  </si>
  <si>
    <t>46410|North|Port Harcourt|Retail|Online|Smartphone Z10|Electronics|250000|3|Musa|200000</t>
  </si>
  <si>
    <t>46411|North|Abuja|Retail|Online|Sofa Classic|Furniture|320000|2|Chidinma|256000</t>
  </si>
  <si>
    <t>46412|East|Lagos|Corporate|Online|Microwave M20|Home Appliances|60000|3|David|48000</t>
  </si>
  <si>
    <t>46413|South|Abuja|Corporate|Store|Blender B10|Home Appliances|30000|9|David|24000</t>
  </si>
  <si>
    <t>46414|East|Kano|Corporate|Store|Air Conditioner X2|Home Appliances|180000|6|David|144000</t>
  </si>
  <si>
    <t>46415|South|Kano|Corporate|Online|Microwave M20|Home Appliances|60000|8|Aisha|48000</t>
  </si>
  <si>
    <t>46416|South|Kano|Corporate|Online|Microwave M20|Home Appliances|60000|8|Grace|48000</t>
  </si>
  <si>
    <t>46417|South|Kano|Corporate|Store|Smartphone Z10|Electronics|250000|3|Peter|200000</t>
  </si>
  <si>
    <t>46418|North|Kano|Corporate|Store|Office Chair Pro|Furniture|85000|6|Aisha|68000</t>
  </si>
  <si>
    <t>46419|East|Abuja|Corporate|Online|Refrigerator R55|Home Appliances|220000|9|Musa|176000</t>
  </si>
  <si>
    <t>46420|North|Abuja|Corporate|Store|Smartphone Z10|Electronics|250000|4|Musa|200000</t>
  </si>
  <si>
    <t>46421|South|Kano|Corporate|Store|Smartphone Z10|Electronics|250000|3|Chidinma|200000</t>
  </si>
  <si>
    <t>46422|South|Abuja|Corporate|Store|Blender B10|Home Appliances|30000|10|Chidinma|24000</t>
  </si>
  <si>
    <t>46423|North|Kano|Corporate|Store|Desktop PC D21|Electronics|300000|4|Grace|240000</t>
  </si>
  <si>
    <t>46424|South|Port Harcourt|Corporate|Store|Sofa Classic|Furniture|320000|2|Peter|256000</t>
  </si>
  <si>
    <t>46425|South|Abuja|Corporate|Store|Laptop A13|Electronics|420000|8|Grace|336000</t>
  </si>
  <si>
    <t>46426|South|Abuja|Corporate|Store|Blender B10|Home Appliances|30000|2|David|24000</t>
  </si>
  <si>
    <t>46427|North|Abuja|Corporate|Store|Printer P50|Electronics|150000|3|Chidinma|120000</t>
  </si>
  <si>
    <t>46428|South|Lagos|Corporate|Store|Refrigerator R55|Home Appliances|220000|6|David|176000</t>
  </si>
  <si>
    <t>46429|West|Port Harcourt|Corporate|Online|Microwave M20|Home Appliances|60000|7|Peter|48000</t>
  </si>
  <si>
    <t>46430|South|Port Harcourt|Retail|Online|Office Chair Pro|Furniture|85000|7|Peter|68000</t>
  </si>
  <si>
    <t>46431|West|Lagos|Retail|Online|Laptop A13|Electronics|420000|6|Chidinma|336000</t>
  </si>
  <si>
    <t>46432|West|Port Harcourt|Retail|Store|Desktop PC D21|Electronics|300000|3|Musa|240000</t>
  </si>
  <si>
    <t>46433|North|Abuja|Retail|Online|Refrigerator R55|Home Appliances|220000|10|Chidinma|176000</t>
  </si>
  <si>
    <t>46434|North|Port Harcourt|Corporate|Store|Office Chair Pro|Furniture|85000|4|Peter|68000</t>
  </si>
  <si>
    <t>46435|North|Lagos|Retail|Store|Sofa Classic|Furniture|320000|4|Grace|256000</t>
  </si>
  <si>
    <t>46436|South|Abuja|Retail|Store|Printer P50|Electronics|150000|6|Grace|120000</t>
  </si>
  <si>
    <t>46437|West|Lagos|Retail|Store|Sofa Classic|Furniture|320000|2|Grace|256000</t>
  </si>
  <si>
    <t>46438|North|Kano|Retail|Online|Sofa Classic|Furniture|320000|10|Grace|256000</t>
  </si>
  <si>
    <t>46439|South|Lagos|Corporate|Online|Laptop A13|Electronics|420000|8|Chidinma|336000</t>
  </si>
  <si>
    <t>46440|North|Port Harcourt|Corporate|Online|Printer P50|Electronics|150000|5|Aisha|120000</t>
  </si>
  <si>
    <t>46441|West|Kano|Corporate|Store|Office Chair Pro|Furniture|85000|1|Aisha|68000</t>
  </si>
  <si>
    <t>46442|East|Abuja|Corporate|Store|Laptop A13|Electronics|420000|2|Grace|336000</t>
  </si>
  <si>
    <t>46443|East|Abuja|Retail|Store|Air Conditioner X2|Home Appliances|180000|6|Grace|144000</t>
  </si>
  <si>
    <t>46444|East|Port Harcourt|Retail|Store|Refrigerator R55|Home Appliances|220000|7|Chidinma|176000</t>
  </si>
  <si>
    <t>46445|East|Port Harcourt|Retail|Online|Refrigerator R55|Home Appliances|220000|5|David|176000</t>
  </si>
  <si>
    <t>46446|North|Port Harcourt|Retail|Store|Desktop PC D21|Electronics|300000|6|Musa|240000</t>
  </si>
  <si>
    <t>46447|West|Kano|Retail|Store|Smartphone Z10|Electronics|250000|4|Musa|200000</t>
  </si>
  <si>
    <t>46448|North|Lagos|Corporate|Online|Sofa Classic|Furniture|320000|5|David|256000</t>
  </si>
  <si>
    <t>46449|North|Port Harcourt|Retail|Store|Desktop PC D21|Electronics|300000|10|Grace|240000</t>
  </si>
  <si>
    <t>46450|North|Port Harcourt|Retail|Store|Microwave M20|Home Appliances|60000|5|Aisha|48000</t>
  </si>
  <si>
    <t>46451|North|Kano|Retail|Online|Laptop A13|Electronics|420000|8|Peter|336000</t>
  </si>
  <si>
    <t>46452|West|Abuja|Corporate|Online|Desktop PC D21|Electronics|300000|1|David|240000</t>
  </si>
  <si>
    <t>46453|West|Kano|Corporate|Store|Laptop A13|Electronics|420000|2|Aisha|336000</t>
  </si>
  <si>
    <t>46454|South|Lagos|Corporate|Online|Laptop A13|Electronics|420000|7|Peter|336000</t>
  </si>
  <si>
    <t>46455|West|Kano|Corporate|Online|Air Conditioner X2|Home Appliances|180000|8|Musa|144000</t>
  </si>
  <si>
    <t>46456|West|Kano|Retail|Online|Microwave M20|Home Appliances|60000|7|Musa|48000</t>
  </si>
  <si>
    <t>46457|East|Lagos|Corporate|Online|Laptop A13|Electronics|420000|7|Musa|336000</t>
  </si>
  <si>
    <t>46458|East|Port Harcourt|Retail|Online|Air Conditioner X2|Home Appliances|180000|5|Grace|144000</t>
  </si>
  <si>
    <t>46459|East|Kano|Corporate|Store|Laptop A13|Electronics|420000|9|Grace|336000</t>
  </si>
  <si>
    <t>46460|East|Kano|Corporate|Store|Desktop PC D21|Electronics|300000|7|Peter|240000</t>
  </si>
  <si>
    <t>46461|West|Abuja|Retail|Store|Printer P50|Electronics|150000|3|David|120000</t>
  </si>
  <si>
    <t>46462|West|Lagos|Retail|Store|Desktop PC D21|Electronics|300000|10|Grace|240000</t>
  </si>
  <si>
    <t>46463|East|Port Harcourt|Retail|Online|Laptop A13|Electronics|420000|8|Grace|336000</t>
  </si>
  <si>
    <t>46464|West|Kano|Corporate|Store|Refrigerator R55|Home Appliances|220000|2|Musa|176000</t>
  </si>
  <si>
    <t>46465|West|Abuja|Retail|Online|Printer P50|Electronics|150000|4|Chidinma|120000</t>
  </si>
  <si>
    <t>46466|West|Lagos|Retail|Online|Blender B10|Home Appliances|30000|8|Peter|24000</t>
  </si>
  <si>
    <t>46467|West|Kano|Corporate|Store|Laptop A13|Electronics|420000|3|Aisha|336000</t>
  </si>
  <si>
    <t>46468|West|Port Harcourt|Corporate|Store|Desktop PC D21|Electronics|300000|4|Grace|240000</t>
  </si>
  <si>
    <t>46469|West|Lagos|Retail|Online|Smartphone Z10|Electronics|250000|6|David|200000</t>
  </si>
  <si>
    <t>46470|West|Kano|Corporate|Store|Sofa Classic|Furniture|320000|6|Peter|256000</t>
  </si>
  <si>
    <t>46471|West|Kano|Retail|Online|Air Conditioner X2|Home Appliances|180000|5|Peter|144000</t>
  </si>
  <si>
    <t>46472|West|Port Harcourt|Retail|Online|Printer P50|Electronics|150000|1|Musa|120000</t>
  </si>
  <si>
    <t>46473|West|Port Harcourt|Retail|Store|Microwave M20|Home Appliances|60000|3|Grace|48000</t>
  </si>
  <si>
    <t>46474|East|Abuja|Corporate|Online|Office Chair Pro|Furniture|85000|10|David|68000</t>
  </si>
  <si>
    <t>46475|West|Abuja|Corporate|Store|Printer P50|Electronics|150000|3|Aisha|120000</t>
  </si>
  <si>
    <t>46476|South|Port Harcourt|Corporate|Store|Laptop A13|Electronics|420000|9|Aisha|336000</t>
  </si>
  <si>
    <t>46477|South|Abuja|Retail|Store|Refrigerator R55|Home Appliances|220000|1|Peter|176000</t>
  </si>
  <si>
    <t>46478|East|Abuja|Corporate|Online|Office Chair Pro|Furniture|85000|4|David|68000</t>
  </si>
  <si>
    <t>46479|West|Port Harcourt|Retail|Online|Laptop A13|Electronics|420000|6|Aisha|336000</t>
  </si>
  <si>
    <t>46480|North|Abuja|Corporate|Online|Laptop A13|Electronics|420000|6|Musa|336000</t>
  </si>
  <si>
    <t>46481|East|Port Harcourt|Retail|Online|Desktop PC D21|Electronics|300000|10|Peter|240000</t>
  </si>
  <si>
    <t>46482|South|Lagos|Retail|Store|Refrigerator R55|Home Appliances|220000|4|Musa|176000</t>
  </si>
  <si>
    <t>46483|West|Abuja|Retail|Store|Air Conditioner X2|Home Appliances|180000|8|Aisha|144000</t>
  </si>
  <si>
    <t>46484|West|Abuja|Retail|Online|Smartphone Z10|Electronics|250000|3|Chidinma|200000</t>
  </si>
  <si>
    <t>46485|North|Kano|Corporate|Online|Desktop PC D21|Electronics|300000|7|Chidinma|240000</t>
  </si>
  <si>
    <t>46486|North|Abuja|Retail|Store|Desktop PC D21|Electronics|300000|7|Grace|240000</t>
  </si>
  <si>
    <t>46487|North|Abuja|Corporate|Store|Smartphone Z10|Electronics|250000|1|Aisha|200000</t>
  </si>
  <si>
    <t>46488|West|Lagos|Corporate|Online|Desktop PC D21|Electronics|300000|3|Peter|240000</t>
  </si>
  <si>
    <t>46489|South|Port Harcourt|Retail|Online|Laptop A13|Electronics|420000|10|Musa|336000</t>
  </si>
  <si>
    <t>46490|North|Kano|Corporate|Online|Microwave M20|Home Appliances|60000|9|Peter|48000</t>
  </si>
  <si>
    <t>46491|West|Port Harcourt|Retail|Online|Smartphone Z10|Electronics|250000|4|Musa|200000</t>
  </si>
  <si>
    <t>46492|East|Kano|Retail|Online|Smartphone Z10|Electronics|250000|3|Aisha|200000</t>
  </si>
  <si>
    <t>46493|West|Abuja|Retail|Store|Microwave M20|Home Appliances|60000|3|Chidinma|48000</t>
  </si>
  <si>
    <t>46494|West|Lagos|Corporate|Online|Sofa Classic|Furniture|320000|1|David|256000</t>
  </si>
  <si>
    <t>46495|North|Abuja|Corporate|Store|Microwave M20|Home Appliances|60000|8|David|48000</t>
  </si>
  <si>
    <t>46496|East|Kano|Corporate|Store|Smartphone Z10|Electronics|250000|5|Peter|200000</t>
  </si>
  <si>
    <t>46497|West|Port Harcourt|Corporate|Store|Sofa Classic|Furniture|320000|2|Grace|256000</t>
  </si>
  <si>
    <t>46498|South|Kano|Corporate|Online|Refrigerator R55|Home Appliances|220000|5|David|176000</t>
  </si>
  <si>
    <t>46499|West|Lagos|Corporate|Store|Smartphone Z10|Electronics|250000|3|Chidinma|200000</t>
  </si>
  <si>
    <t>46500|West|Kano|Retail|Store|Office Chair Pro|Furniture|85000|10|Musa|68000</t>
  </si>
  <si>
    <t>46501|South|Port Harcourt|Retail|Store|Laptop A13|Electronics|420000|6|Peter|336000</t>
  </si>
  <si>
    <t>46502|North|Lagos|Retail|Store|Printer P50|Electronics|150000|5|David|120000</t>
  </si>
  <si>
    <t>46503|North|Port Harcourt|Retail|Store|Sofa Classic|Furniture|320000|3|Aisha|256000</t>
  </si>
  <si>
    <t>46504|North|Abuja|Corporate|Online|Blender B10|Home Appliances|30000|1|Peter|24000</t>
  </si>
  <si>
    <t>46505|West|Kano|Retail|Online|Air Conditioner X2|Home Appliances|180000|10|Peter|144000</t>
  </si>
  <si>
    <t>46506|South|Port Harcourt|Corporate|Store|Air Conditioner X2|Home Appliances|180000|3|Chidinma|144000</t>
  </si>
  <si>
    <t>46507|East|Port Harcourt|Corporate|Online|Laptop A13|Electronics|420000|3|David|336000</t>
  </si>
  <si>
    <t>46508|East|Lagos|Retail|Online|Refrigerator R55|Home Appliances|220000|6|Aisha|176000</t>
  </si>
  <si>
    <t>46509|South|Kano|Retail|Online|Microwave M20|Home Appliances|60000|10|Peter|48000</t>
  </si>
  <si>
    <t>46510|South|Lagos|Retail|Store|Air Conditioner X2|Home Appliances|180000|10|Musa|144000</t>
  </si>
  <si>
    <t>46511|East|Port Harcourt|Corporate|Store|Refrigerator R55|Home Appliances|220000|4|David|176000</t>
  </si>
  <si>
    <t>46512|South|Abuja|Corporate|Store|Smartphone Z10|Electronics|250000|4|Peter|200000</t>
  </si>
  <si>
    <t>46513|South|Lagos|Corporate|Store|Blender B10|Home Appliances|30000|2|Grace|24000</t>
  </si>
  <si>
    <t>46514|West|Kano|Retail|Store|Air Conditioner X2|Home Appliances|180000|6|Musa|144000</t>
  </si>
  <si>
    <t>46515|South|Abuja|Corporate|Store|Air Conditioner X2|Home Appliances|180000|8|Grace|144000</t>
  </si>
  <si>
    <t>46516|West|Lagos|Corporate|Store|Laptop A13|Electronics|420000|3|Chidinma|336000</t>
  </si>
  <si>
    <t>46517|North|Kano|Corporate|Online|Blender B10|Home Appliances|30000|10|Musa|24000</t>
  </si>
  <si>
    <t>46518|East|Kano|Corporate|Online|Office Chair Pro|Furniture|85000|7|Grace|68000</t>
  </si>
  <si>
    <t>46519|West|Port Harcourt|Retail|Store|Blender B10|Home Appliances|30000|5|Chidinma|24000</t>
  </si>
  <si>
    <t>46520|North|Port Harcourt|Retail|Store|Desktop PC D21|Electronics|300000|5|Grace|240000</t>
  </si>
  <si>
    <t>46521|West|Kano|Corporate|Store|Office Chair Pro|Furniture|85000|8|Musa|68000</t>
  </si>
  <si>
    <t>46522|South|Abuja|Corporate|Store|Refrigerator R55|Home Appliances|220000|7|David|176000</t>
  </si>
  <si>
    <t>46523|North|Lagos|Retail|Online|Office Chair Pro|Furniture|85000|8|David|68000</t>
  </si>
  <si>
    <t>46524|East|Abuja|Corporate|Online|Printer P50|Electronics|150000|5|Peter|120000</t>
  </si>
  <si>
    <t>46525|East|Port Harcourt|Retail|Store|Microwave M20|Home Appliances|60000|10|David|48000</t>
  </si>
  <si>
    <t>46526|West|Kano|Corporate|Online|Refrigerator R55|Home Appliances|220000|1|Chidinma|176000</t>
  </si>
  <si>
    <t>46527|North|Lagos|Corporate|Online|Blender B10|Home Appliances|30000|3|Musa|24000</t>
  </si>
  <si>
    <t>46528|South|Lagos|Corporate|Online|Laptop A13|Electronics|420000|1|Peter|336000</t>
  </si>
  <si>
    <t>46529|East|Port Harcourt|Retail|Store|Blender B10|Home Appliances|30000|5|Grace|24000</t>
  </si>
  <si>
    <t>46530|East|Abuja|Corporate|Online|Laptop A13|Electronics|420000|7|Chidinma|336000</t>
  </si>
  <si>
    <t>46531|South|Lagos|Retail|Store|Air Conditioner X2|Home Appliances|180000|8|Aisha|144000</t>
  </si>
  <si>
    <t>46532|West|Abuja|Corporate|Store|Refrigerator R55|Home Appliances|220000|3|Musa|176000</t>
  </si>
  <si>
    <t>46533|East|Abuja|Retail|Online|Laptop A13|Electronics|420000|3|Chidinma|336000</t>
  </si>
  <si>
    <t>46534|East|Kano|Retail|Online|Air Conditioner X2|Home Appliances|180000|5|Grace|144000</t>
  </si>
  <si>
    <t>46535|West|Kano|Corporate|Online|Refrigerator R55|Home Appliances|220000|5|Musa|176000</t>
  </si>
  <si>
    <t>46536|North|Abuja|Corporate|Online|Smartphone Z10|Electronics|250000|2|Peter|200000</t>
  </si>
  <si>
    <t>46537|East|Kano|Corporate|Online|Laptop A13|Electronics|420000|3|Peter|336000</t>
  </si>
  <si>
    <t>46538|East|Lagos|Corporate|Online|Laptop A13|Electronics|420000|8|Musa|336000</t>
  </si>
  <si>
    <t>46539|East|Port Harcourt|Corporate|Online|Laptop A13|Electronics|420000|7|Chidinma|336000</t>
  </si>
  <si>
    <t>46540|West|Kano|Corporate|Online|Sofa Classic|Furniture|320000|6|Musa|256000</t>
  </si>
  <si>
    <t>46541|North|Kano|Corporate|Online|Microwave M20|Home Appliances|60000|3|Musa|48000</t>
  </si>
  <si>
    <t>46542|West|Port Harcourt|Corporate|Store|Office Chair Pro|Furniture|85000|8|Chidinma|68000</t>
  </si>
  <si>
    <t>46543|West|Port Harcourt|Corporate|Store|Air Conditioner X2|Home Appliances|180000|9|Peter|144000</t>
  </si>
  <si>
    <t>46544|West|Kano|Corporate|Store|Refrigerator R55|Home Appliances|220000|5|Peter|176000</t>
  </si>
  <si>
    <t>46545|South|Kano|Corporate|Store|Air Conditioner X2|Home Appliances|180000|5|Peter|144000</t>
  </si>
  <si>
    <t>46546|West|Lagos|Corporate|Online|Microwave M20|Home Appliances|60000|7|Chidinma|48000</t>
  </si>
  <si>
    <t>46547|South|Kano|Corporate|Store|Printer P50|Electronics|150000|7|Peter|120000</t>
  </si>
  <si>
    <t>46548|East|Port Harcourt|Corporate|Store|Blender B10|Home Appliances|30000|4|Aisha|24000</t>
  </si>
  <si>
    <t>46549|West|Abuja|Corporate|Store|Laptop A13|Electronics|420000|1|Aisha|336000</t>
  </si>
  <si>
    <t>46550|West|Kano|Corporate|Store|Laptop A13|Electronics|420000|4|Peter|336000</t>
  </si>
  <si>
    <t>46551|North|Kano|Corporate|Online|Office Chair Pro|Furniture|85000|4|Peter|68000</t>
  </si>
  <si>
    <t>46552|West|Lagos|Corporate|Store|Sofa Classic|Furniture|320000|5|Musa|256000</t>
  </si>
  <si>
    <t>46553|East|Port Harcourt|Corporate|Store|Office Chair Pro|Furniture|85000|4|Musa|68000</t>
  </si>
  <si>
    <t>46554|West|Port Harcourt|Corporate|Store|Laptop A13|Electronics|420000|7|Grace|336000</t>
  </si>
  <si>
    <t>46555|West|Kano|Corporate|Online|Blender B10|Home Appliances|30000|10|Musa|24000</t>
  </si>
  <si>
    <t>46556|West|Kano|Corporate|Online|Printer P50|Electronics|150000|10|Musa|120000</t>
  </si>
  <si>
    <t>46557|South|Port Harcourt|Corporate|Store|Smartphone Z10|Electronics|250000|4|Aisha|200000</t>
  </si>
  <si>
    <t>46558|East|Abuja|Retail|Online|Refrigerator R55|Home Appliances|220000|6|Aisha|176000</t>
  </si>
  <si>
    <t>46559|North|Port Harcourt|Retail|Store|Printer P50|Electronics|150000|10|David|120000</t>
  </si>
  <si>
    <t>46560|East|Kano|Retail|Online|Printer P50|Electronics|150000|2|Musa|120000</t>
  </si>
  <si>
    <t>46561|West|Port Harcourt|Retail|Online|Smartphone Z10|Electronics|250000|4|Peter|200000</t>
  </si>
  <si>
    <t>46562|East|Port Harcourt|Retail|Store|Printer P50|Electronics|150000|9|David|120000</t>
  </si>
  <si>
    <t>46563|North|Kano|Retail|Store|Laptop A13|Electronics|420000|7|Peter|336000</t>
  </si>
  <si>
    <t>46564|East|Lagos|Retail|Online|Office Chair Pro|Furniture|85000|2|Chidinma|68000</t>
  </si>
  <si>
    <t>46565|South|Lagos|Corporate|Store|Office Chair Pro|Furniture|85000|1|Peter|68000</t>
  </si>
  <si>
    <t>46566|South|Kano|Retail|Store|Laptop A13|Electronics|420000|9|Chidinma|336000</t>
  </si>
  <si>
    <t>46567|North|Lagos|Retail|Store|Refrigerator R55|Home Appliances|220000|2|Grace|176000</t>
  </si>
  <si>
    <t>46568|West|Kano|Corporate|Store|Refrigerator R55|Home Appliances|220000|8|Aisha|176000</t>
  </si>
  <si>
    <t>46569|North|Port Harcourt|Corporate|Online|Blender B10|Home Appliances|30000|9|Chidinma|24000</t>
  </si>
  <si>
    <t>46570|North|Abuja|Corporate|Online|Sofa Classic|Furniture|320000|3|Aisha|256000</t>
  </si>
  <si>
    <t>46571|North|Port Harcourt|Retail|Online|Blender B10|Home Appliances|30000|6|Peter|24000</t>
  </si>
  <si>
    <t>46572|North|Kano|Corporate|Online|Microwave M20|Home Appliances|60000|7|Musa|48000</t>
  </si>
  <si>
    <t>46573|South|Kano|Retail|Online|Air Conditioner X2|Home Appliances|180000|2|Peter|144000</t>
  </si>
  <si>
    <t>46574|East|Abuja|Corporate|Store|Blender B10|Home Appliances|30000|5|Chidinma|24000</t>
  </si>
  <si>
    <t>46575|West|Lagos|Corporate|Store|Printer P50|Electronics|150000|2|Aisha|120000</t>
  </si>
  <si>
    <t>46576|South|Port Harcourt|Retail|Online|Blender B10|Home Appliances|30000|9|Grace|24000</t>
  </si>
  <si>
    <t>46577|South|Kano|Corporate|Online|Printer P50|Electronics|150000|5|Peter|120000</t>
  </si>
  <si>
    <t>46578|South|Kano|Retail|Store|Microwave M20|Home Appliances|60000|8|Grace|48000</t>
  </si>
  <si>
    <t>46579|East|Lagos|Retail|Online|Printer P50|Electronics|150000|8|Aisha|120000</t>
  </si>
  <si>
    <t>46580|East|Kano|Retail|Store|Office Chair Pro|Furniture|85000|3|Grace|68000</t>
  </si>
  <si>
    <t>46581|South|Port Harcourt|Corporate|Online|Air Conditioner X2|Home Appliances|180000|4|Aisha|144000</t>
  </si>
  <si>
    <t>46582|North|Port Harcourt|Retail|Online|Laptop A13|Electronics|420000|7|David|336000</t>
  </si>
  <si>
    <t>46583|East|Lagos|Retail|Store|Microwave M20|Home Appliances|60000|8|David|48000</t>
  </si>
  <si>
    <t>46584|South|Kano|Retail|Store|Desktop PC D21|Electronics|300000|1|Peter|240000</t>
  </si>
  <si>
    <t>46585|East|Kano|Retail|Online|Blender B10|Home Appliances|30000|6|Peter|24000</t>
  </si>
  <si>
    <t>46586|North|Lagos|Corporate|Store|Smartphone Z10|Electronics|250000|9|Aisha|200000</t>
  </si>
  <si>
    <t>46587|East|Kano|Corporate|Store|Laptop A13|Electronics|420000|9|Peter|336000</t>
  </si>
  <si>
    <t>46588|East|Kano|Corporate|Store|Printer P50|Electronics|150000|9|Peter|120000</t>
  </si>
  <si>
    <t>46589|East|Lagos|Corporate|Online|Desktop PC D21|Electronics|300000|5|Grace|240000</t>
  </si>
  <si>
    <t>46590|North|Abuja|Retail|Online|Blender B10|Home Appliances|30000|4|Peter|24000</t>
  </si>
  <si>
    <t>46591|West|Abuja|Retail|Store|Laptop A13|Electronics|420000|7|Grace|336000</t>
  </si>
  <si>
    <t>46592|East|Lagos|Corporate|Store|Sofa Classic|Furniture|320000|6|Peter|256000</t>
  </si>
  <si>
    <t>46593|South|Abuja|Retail|Online|Office Chair Pro|Furniture|85000|2|Grace|68000</t>
  </si>
  <si>
    <t>46594|West|Lagos|Retail|Online|Printer P50|Electronics|150000|1|Grace|120000</t>
  </si>
  <si>
    <t>46595|West|Port Harcourt|Corporate|Store|Office Chair Pro|Furniture|85000|2|Aisha|68000</t>
  </si>
  <si>
    <t>46596|West|Abuja|Corporate|Online|Office Chair Pro|Furniture|85000|1|Musa|68000</t>
  </si>
  <si>
    <t>46597|North|Kano|Retail|Online|Air Conditioner X2|Home Appliances|180000|4|Grace|144000</t>
  </si>
  <si>
    <t>46598|East|Port Harcourt|Corporate|Online|Laptop A13|Electronics|420000|8|David|336000</t>
  </si>
  <si>
    <t>46599|West|Kano|Corporate|Store|Air Conditioner X2|Home Appliances|180000|9|David|144000</t>
  </si>
  <si>
    <t>46600|North|Lagos|Corporate|Store|Desktop PC D21|Electronics|300000|5|Grace|240000</t>
  </si>
  <si>
    <t>46601|West|Kano|Corporate|Store|Microwave M20|Home Appliances|60000|4|Aisha|48000</t>
  </si>
  <si>
    <t>46602|East|Lagos|Corporate|Online|Smartphone Z10|Electronics|250000|4|Aisha|200000</t>
  </si>
  <si>
    <t>46603|North|Port Harcourt|Retail|Store|Refrigerator R55|Home Appliances|220000|6|Grace|176000</t>
  </si>
  <si>
    <t>46604|East|Lagos|Corporate|Online|Desktop PC D21|Electronics|300000|7|Musa|240000</t>
  </si>
  <si>
    <t>46605|South|Lagos|Retail|Online|Laptop A13|Electronics|420000|10|Musa|336000</t>
  </si>
  <si>
    <t>46606|West|Lagos|Corporate|Store|Blender B10|Home Appliances|30000|7|Musa|24000</t>
  </si>
  <si>
    <t>46607|North|Lagos|Corporate|Online|Refrigerator R55|Home Appliances|220000|8|Aisha|176000</t>
  </si>
  <si>
    <t>46608|South|Abuja|Retail|Store|Sofa Classic|Furniture|320000|9|David|256000</t>
  </si>
  <si>
    <t>46609|East|Kano|Corporate|Store|Air Conditioner X2|Home Appliances|180000|8|Musa|144000</t>
  </si>
  <si>
    <t>46610|North|Port Harcourt|Retail|Online|Blender B10|Home Appliances|30000|5|Peter|24000</t>
  </si>
  <si>
    <t>46611|South|Kano|Retail|Store|Sofa Classic|Furniture|320000|8|Musa|256000</t>
  </si>
  <si>
    <t>46612|North|Lagos|Retail|Store|Sofa Classic|Furniture|320000|8|David|256000</t>
  </si>
  <si>
    <t>46613|East|Kano|Corporate|Store|Blender B10|Home Appliances|30000|4|Musa|24000</t>
  </si>
  <si>
    <t>46614|West|Abuja|Retail|Store|Air Conditioner X2|Home Appliances|180000|3|Peter|144000</t>
  </si>
  <si>
    <t>46615|North|Kano|Retail|Online|Air Conditioner X2|Home Appliances|180000|9|Peter|144000</t>
  </si>
  <si>
    <t>46616|North|Lagos|Corporate|Store|Air Conditioner X2|Home Appliances|180000|1|Musa|144000</t>
  </si>
  <si>
    <t>46617|West|Abuja|Corporate|Online|Refrigerator R55|Home Appliances|220000|6|David|176000</t>
  </si>
  <si>
    <t>46618|East|Lagos|Retail|Online|Desktop PC D21|Electronics|300000|3|David|240000</t>
  </si>
  <si>
    <t>46619|South|Lagos|Corporate|Store|Sofa Classic|Furniture|320000|1|Peter|256000</t>
  </si>
  <si>
    <t>46620|South|Port Harcourt|Corporate|Store|Printer P50|Electronics|150000|6|Peter|120000</t>
  </si>
  <si>
    <t>46621|East|Lagos|Corporate|Store|Refrigerator R55|Home Appliances|220000|7|David|176000</t>
  </si>
  <si>
    <t>46622|West|Lagos|Retail|Online|Refrigerator R55|Home Appliances|220000|1|Musa|176000</t>
  </si>
  <si>
    <t>46623|East|Port Harcourt|Retail|Online|Office Chair Pro|Furniture|85000|4|Peter|68000</t>
  </si>
  <si>
    <t>46624|West|Abuja|Corporate|Online|Smartphone Z10|Electronics|250000|10|Peter|200000</t>
  </si>
  <si>
    <t>46625|North|Abuja|Retail|Store|Sofa Classic|Furniture|320000|1|Aisha|256000</t>
  </si>
  <si>
    <t>46626|West|Port Harcourt|Corporate|Store|Microwave M20|Home Appliances|60000|8|David|48000</t>
  </si>
  <si>
    <t>46627|North|Abuja|Retail|Store|Laptop A13|Electronics|420000|2|Aisha|336000</t>
  </si>
  <si>
    <t>46628|North|Kano|Corporate|Online|Smartphone Z10|Electronics|250000|2|Chidinma|200000</t>
  </si>
  <si>
    <t>46629|West|Lagos|Retail|Store|Refrigerator R55|Home Appliances|220000|6|Grace|176000</t>
  </si>
  <si>
    <t>46630|North|Lagos|Corporate|Store|Microwave M20|Home Appliances|60000|1|Peter|48000</t>
  </si>
  <si>
    <t>46631|West|Port Harcourt|Retail|Store|Office Chair Pro|Furniture|85000|9|Grace|68000</t>
  </si>
  <si>
    <t>46632|South|Lagos|Retail|Store|Microwave M20|Home Appliances|60000|9|Aisha|48000</t>
  </si>
  <si>
    <t>46633|East|Kano|Corporate|Store|Office Chair Pro|Furniture|85000|7|David|68000</t>
  </si>
  <si>
    <t>46634|South|Abuja|Retail|Online|Sofa Classic|Furniture|320000|4|Musa|256000</t>
  </si>
  <si>
    <t>46635|South|Abuja|Corporate|Online|Smartphone Z10|Electronics|250000|4|Peter|200000</t>
  </si>
  <si>
    <t>46636|East|Kano|Corporate|Online|Microwave M20|Home Appliances|60000|8|David|48000</t>
  </si>
  <si>
    <t>46637|West|Kano|Corporate|Online|Laptop A13|Electronics|420000|2|Grace|336000</t>
  </si>
  <si>
    <t>46638|East|Abuja|Corporate|Store|Printer P50|Electronics|150000|1|Peter|120000</t>
  </si>
  <si>
    <t>46639|South|Lagos|Retail|Online|Smartphone Z10|Electronics|250000|8|Aisha|200000</t>
  </si>
  <si>
    <t>46640|West|Abuja|Retail|Online|Desktop PC D21|Electronics|300000|10|Grace|240000</t>
  </si>
  <si>
    <t>46641|East|Lagos|Corporate|Store|Microwave M20|Home Appliances|60000|3|David|48000</t>
  </si>
  <si>
    <t>46642|West|Abuja|Corporate|Online|Office Chair Pro|Furniture|85000|1|David|68000</t>
  </si>
  <si>
    <t>46643|East|Lagos|Corporate|Online|Air Conditioner X2|Home Appliances|180000|7|Chidinma|144000</t>
  </si>
  <si>
    <t>46644|East|Kano|Corporate|Online|Smartphone Z10|Electronics|250000|6|Musa|200000</t>
  </si>
  <si>
    <t>46645|West|Port Harcourt|Corporate|Online|Laptop A13|Electronics|420000|3|Chidinma|336000</t>
  </si>
  <si>
    <t>46646|West|Port Harcourt|Retail|Online|Blender B10|Home Appliances|30000|1|Musa|24000</t>
  </si>
  <si>
    <t>46647|North|Port Harcourt|Corporate|Store|Smartphone Z10|Electronics|250000|3|Chidinma|200000</t>
  </si>
  <si>
    <t>46648|East|Kano|Retail|Online|Sofa Classic|Furniture|320000|10|Chidinma|256000</t>
  </si>
  <si>
    <t>46649|West|Port Harcourt|Retail|Store|Smartphone Z10|Electronics|250000|7|David|200000</t>
  </si>
  <si>
    <t>46650|North|Lagos|Corporate|Online|Sofa Classic|Furniture|320000|2|Musa|256000</t>
  </si>
  <si>
    <t>46651|North|Port Harcourt|Corporate|Store|Refrigerator R55|Home Appliances|220000|5|Peter|176000</t>
  </si>
  <si>
    <t>46652|North|Abuja|Corporate|Store|Laptop A13|Electronics|420000|3|Peter|336000</t>
  </si>
  <si>
    <t>46653|North|Lagos|Corporate|Online|Refrigerator R55|Home Appliances|220000|3|Musa|176000</t>
  </si>
  <si>
    <t>46654|South|Port Harcourt|Corporate|Online|Sofa Classic|Furniture|320000|5|David|256000</t>
  </si>
  <si>
    <t>46655|East|Kano|Retail|Store|Office Chair Pro|Furniture|85000|8|Chidinma|68000</t>
  </si>
  <si>
    <t>46656|East|Abuja|Corporate|Store|Printer P50|Electronics|150000|9|Grace|120000</t>
  </si>
  <si>
    <t>46657|West|Port Harcourt|Corporate|Online|Smartphone Z10|Electronics|250000|4|Peter|200000</t>
  </si>
  <si>
    <t>46658|North|Lagos|Retail|Store|Refrigerator R55|Home Appliances|220000|4|Peter|176000</t>
  </si>
  <si>
    <t>46659|North|Port Harcourt|Corporate|Store|Office Chair Pro|Furniture|85000|2|Chidinma|68000</t>
  </si>
  <si>
    <t>46660|East|Port Harcourt|Retail|Online|Smartphone Z10|Electronics|250000|3|Peter|200000</t>
  </si>
  <si>
    <t>46661|North|Kano|Corporate|Online|Printer P50|Electronics|150000|4|Peter|120000</t>
  </si>
  <si>
    <t>46662|North|Port Harcourt|Retail|Online|Office Chair Pro|Furniture|85000|2|Chidinma|68000</t>
  </si>
  <si>
    <t>46663|West|Kano|Corporate|Store|Printer P50|Electronics|150000|4|Musa|120000</t>
  </si>
  <si>
    <t>46664|North|Port Harcourt|Retail|Online|Printer P50|Electronics|150000|3|David|120000</t>
  </si>
  <si>
    <t>46665|North|Port Harcourt|Corporate|Online|Blender B10|Home Appliances|30000|3|David|24000</t>
  </si>
  <si>
    <t>46666|North|Lagos|Corporate|Store|Sofa Classic|Furniture|320000|5|Grace|256000</t>
  </si>
  <si>
    <t>46667|East|Abuja|Corporate|Online|Smartphone Z10|Electronics|250000|3|Chidinma|200000</t>
  </si>
  <si>
    <t>46668|East|Kano|Corporate|Store|Microwave M20|Home Appliances|60000|10|Grace|48000</t>
  </si>
  <si>
    <t>46669|North|Port Harcourt|Retail|Store|Microwave M20|Home Appliances|60000|3|Aisha|48000</t>
  </si>
  <si>
    <t>46670|East|Lagos|Corporate|Store|Office Chair Pro|Furniture|85000|9|Peter|68000</t>
  </si>
  <si>
    <t>46671|East|Abuja|Corporate|Store|Laptop A13|Electronics|420000|4|Peter|336000</t>
  </si>
  <si>
    <t>46672|North|Kano|Corporate|Online|Printer P50|Electronics|150000|6|Aisha|120000</t>
  </si>
  <si>
    <t>46673|North|Kano|Corporate|Online|Sofa Classic|Furniture|320000|3|Peter|256000</t>
  </si>
  <si>
    <t>46674|South|Abuja|Retail|Store|Desktop PC D21|Electronics|300000|2|Chidinma|240000</t>
  </si>
  <si>
    <t>46675|East|Kano|Corporate|Online|Printer P50|Electronics|150000|10|Aisha|120000</t>
  </si>
  <si>
    <t>46676|East|Abuja|Retail|Store|Laptop A13|Electronics|420000|10|Musa|336000</t>
  </si>
  <si>
    <t>46677|North|Abuja|Corporate|Store|Air Conditioner X2|Home Appliances|180000|5|Aisha|144000</t>
  </si>
  <si>
    <t>46678|East|Abuja|Corporate|Store|Smartphone Z10|Electronics|250000|7|Musa|200000</t>
  </si>
  <si>
    <t>46679|West|Lagos|Retail|Store|Sofa Classic|Furniture|320000|4|David|256000</t>
  </si>
  <si>
    <t>46680|East|Lagos|Retail|Online|Blender B10|Home Appliances|30000|2|Chidinma|24000</t>
  </si>
  <si>
    <t>46681|North|Abuja|Retail|Online|Printer P50|Electronics|150000|4|Chidinma|120000</t>
  </si>
  <si>
    <t>46682|North|Kano|Corporate|Store|Microwave M20|Home Appliances|60000|4|Musa|48000</t>
  </si>
  <si>
    <t>46683|East|Abuja|Retail|Store|Sofa Classic|Furniture|320000|4|Aisha|256000</t>
  </si>
  <si>
    <t>46684|North|Lagos|Retail|Online|Microwave M20|Home Appliances|60000|2|David|48000</t>
  </si>
  <si>
    <t>46685|West|Port Harcourt|Corporate|Online|Blender B10|Home Appliances|30000|7|Peter|24000</t>
  </si>
  <si>
    <t>46686|East|Port Harcourt|Retail|Store|Smartphone Z10|Electronics|250000|6|Peter|200000</t>
  </si>
  <si>
    <t>46687|North|Kano|Retail|Online|Refrigerator R55|Home Appliances|220000|9|Chidinma|176000</t>
  </si>
  <si>
    <t>46688|East|Kano|Corporate|Online|Desktop PC D21|Electronics|300000|2|David|240000</t>
  </si>
  <si>
    <t>46689|West|Kano|Retail|Store|Laptop A13|Electronics|420000|2|David|336000</t>
  </si>
  <si>
    <t>46690|South|Lagos|Retail|Store|Refrigerator R55|Home Appliances|220000|3|Peter|176000</t>
  </si>
  <si>
    <t>46691|South|Port Harcourt|Corporate|Online|Refrigerator R55|Home Appliances|220000|10|Peter|176000</t>
  </si>
  <si>
    <t>46692|South|Abuja|Corporate|Store|Smartphone Z10|Electronics|250000|8|Chidinma|200000</t>
  </si>
  <si>
    <t>46693|East|Abuja|Retail|Online|Microwave M20|Home Appliances|60000|6|Musa|48000</t>
  </si>
  <si>
    <t>46694|East|Lagos|Retail|Online|Sofa Classic|Furniture|320000|4|Grace|256000</t>
  </si>
  <si>
    <t>46695|East|Port Harcourt|Retail|Store|Air Conditioner X2|Home Appliances|180000|7|Grace|144000</t>
  </si>
  <si>
    <t>46696|East|Port Harcourt|Retail|Online|Microwave M20|Home Appliances|60000|7|Chidinma|48000</t>
  </si>
  <si>
    <t>46697|South|Abuja|Retail|Online|Air Conditioner X2|Home Appliances|180000|9|David|144000</t>
  </si>
  <si>
    <t>46698|North|Port Harcourt|Corporate|Online|Blender B10|Home Appliances|30000|6|David|24000</t>
  </si>
  <si>
    <t>46699|South|Lagos|Retail|Online|Desktop PC D21|Electronics|300000|10|Aisha|240000</t>
  </si>
  <si>
    <t>46700|South|Abuja|Corporate|Online|Blender B10|Home Appliances|30000|2|Musa|24000</t>
  </si>
  <si>
    <t>46701|East|Kano|Corporate|Online|Blender B10|Home Appliances|30000|8|Grace|24000</t>
  </si>
  <si>
    <t>46702|South|Kano|Corporate|Store|Blender B10|Home Appliances|30000|9|Musa|24000</t>
  </si>
  <si>
    <t>46703|North|Port Harcourt|Retail|Store|Refrigerator R55|Home Appliances|220000|2|Grace|176000</t>
  </si>
  <si>
    <t>46704|South|Kano|Retail|Store|Refrigerator R55|Home Appliances|220000|3|Grace|176000</t>
  </si>
  <si>
    <t>46705|South|Abuja|Retail|Store|Office Chair Pro|Furniture|85000|3|David|68000</t>
  </si>
  <si>
    <t>46706|West|Lagos|Corporate|Online|Microwave M20|Home Appliances|60000|3|Peter|48000</t>
  </si>
  <si>
    <t>46707|West|Kano|Corporate|Store|Refrigerator R55|Home Appliances|220000|3|Grace|176000</t>
  </si>
  <si>
    <t>46708|West|Port Harcourt|Retail|Store|Blender B10|Home Appliances|30000|1|Chidinma|24000</t>
  </si>
  <si>
    <t>46709|East|Abuja|Corporate|Store|Laptop A13|Electronics|420000|1|Grace|336000</t>
  </si>
  <si>
    <t>46710|West|Lagos|Retail|Store|Refrigerator R55|Home Appliances|220000|10|David|176000</t>
  </si>
  <si>
    <t>46711|South|Kano|Corporate|Store|Air Conditioner X2|Home Appliances|180000|10|Grace|144000</t>
  </si>
  <si>
    <t>46712|South|Port Harcourt|Retail|Online|Laptop A13|Electronics|420000|3|Aisha|336000</t>
  </si>
  <si>
    <t>46713|West|Abuja|Corporate|Online|Office Chair Pro|Furniture|85000|4|Musa|68000</t>
  </si>
  <si>
    <t>46714|South|Kano|Corporate|Online|Sofa Classic|Furniture|320000|4|Peter|256000</t>
  </si>
  <si>
    <t>46715|West|Abuja|Retail|Store|Refrigerator R55|Home Appliances|220000|1|Aisha|176000</t>
  </si>
  <si>
    <t>46716|South|Lagos|Corporate|Store|Office Chair Pro|Furniture|85000|1|David|68000</t>
  </si>
  <si>
    <t>46717|West|Abuja|Retail|Online|Printer P50|Electronics|150000|8|Grace|120000</t>
  </si>
  <si>
    <t>46718|North|Lagos|Corporate|Online|Printer P50|Electronics|150000|9|Chidinma|120000</t>
  </si>
  <si>
    <t>46719|West|Lagos|Corporate|Online|Desktop PC D21|Electronics|300000|3|Chidinma|240000</t>
  </si>
  <si>
    <t>46720|North|Abuja|Corporate|Online|Printer P50|Electronics|150000|10|Peter|120000</t>
  </si>
  <si>
    <t>46721|West|Abuja|Retail|Store|Office Chair Pro|Furniture|85000|2|Peter|68000</t>
  </si>
  <si>
    <t>46722|East|Port Harcourt|Corporate|Store|Laptop A13|Electronics|420000|9|David|336000</t>
  </si>
  <si>
    <t>46723|West|Lagos|Corporate|Online|Desktop PC D21|Electronics|300000|2|Grace|240000</t>
  </si>
  <si>
    <t>46724|East|Kano|Corporate|Online|Printer P50|Electronics|150000|4|Aisha|120000</t>
  </si>
  <si>
    <t>46725|East|Lagos|Retail|Online|Laptop A13|Electronics|420000|9|David|336000</t>
  </si>
  <si>
    <t>46726|North|Kano|Retail|Store|Smartphone Z10|Electronics|250000|5|David|200000</t>
  </si>
  <si>
    <t>46727|North|Abuja|Corporate|Online|Blender B10|Home Appliances|30000|10|Aisha|24000</t>
  </si>
  <si>
    <t>46728|South|Kano|Retail|Store|Laptop A13|Electronics|420000|3|Chidinma|336000</t>
  </si>
  <si>
    <t>46729|South|Abuja|Retail|Online|Sofa Classic|Furniture|320000|8|Aisha|256000</t>
  </si>
  <si>
    <t>46730|North|Lagos|Corporate|Online|Laptop A13|Electronics|420000|8|Aisha|336000</t>
  </si>
  <si>
    <t>46731|South|Kano|Corporate|Online|Printer P50|Electronics|150000|1|Aisha|120000</t>
  </si>
  <si>
    <t>46732|South|Lagos|Retail|Online|Microwave M20|Home Appliances|60000|7|Peter|48000</t>
  </si>
  <si>
    <t>46733|South|Lagos|Retail|Store|Laptop A13|Electronics|420000|9|Aisha|336000</t>
  </si>
  <si>
    <t>46734|East|Kano|Corporate|Store|Laptop A13|Electronics|420000|6|David|336000</t>
  </si>
  <si>
    <t>46735|East|Port Harcourt|Retail|Online|Desktop PC D21|Electronics|300000|9|Aisha|240000</t>
  </si>
  <si>
    <t>46736|North|Port Harcourt|Corporate|Online|Air Conditioner X2|Home Appliances|180000|5|Grace|144000</t>
  </si>
  <si>
    <t>46737|South|Kano|Retail|Store|Printer P50|Electronics|150000|5|Musa|120000</t>
  </si>
  <si>
    <t>46738|East|Port Harcourt|Retail|Online|Office Chair Pro|Furniture|85000|9|Musa|68000</t>
  </si>
  <si>
    <t>46739|West|Abuja|Corporate|Online|Laptop A13|Electronics|420000|5|Grace|336000</t>
  </si>
  <si>
    <t>46740|East|Lagos|Retail|Store|Sofa Classic|Furniture|320000|4|Musa|256000</t>
  </si>
  <si>
    <t>46741|East|Lagos|Corporate|Online|Blender B10|Home Appliances|30000|4|Musa|24000</t>
  </si>
  <si>
    <t>46742|South|Abuja|Corporate|Store|Printer P50|Electronics|150000|3|Aisha|120000</t>
  </si>
  <si>
    <t>46743|West|Lagos|Retail|Online|Refrigerator R55|Home Appliances|220000|7|Chidinma|176000</t>
  </si>
  <si>
    <t>46744|East|Port Harcourt|Retail|Store|Air Conditioner X2|Home Appliances|180000|10|Peter|144000</t>
  </si>
  <si>
    <t>46745|West|Abuja|Corporate|Online|Office Chair Pro|Furniture|85000|7|David|68000</t>
  </si>
  <si>
    <t>46746|East|Lagos|Retail|Online|Blender B10|Home Appliances|30000|3|David|24000</t>
  </si>
  <si>
    <t>46747|North|Port Harcourt|Corporate|Online|Sofa Classic|Furniture|320000|9|Aisha|256000</t>
  </si>
  <si>
    <t>46748|West|Lagos|Retail|Store|Printer P50|Electronics|150000|2|David|120000</t>
  </si>
  <si>
    <t>46749|East|Lagos|Corporate|Store|Air Conditioner X2|Home Appliances|180000|8|Aisha|144000</t>
  </si>
  <si>
    <t>46750|East|Lagos|Corporate|Store|Office Chair Pro|Furniture|85000|7|Chidinma|68000</t>
  </si>
  <si>
    <t>46751|West|Abuja|Corporate|Online|Air Conditioner X2|Home Appliances|180000|8|Grace|144000</t>
  </si>
  <si>
    <t>46752|North|Port Harcourt|Corporate|Online|Refrigerator R55|Home Appliances|220000|5|Grace|176000</t>
  </si>
  <si>
    <t>46753|North|Kano|Retail|Online|Desktop PC D21|Electronics|300000|5|Aisha|240000</t>
  </si>
  <si>
    <t>46754|North|Abuja|Retail|Store|Smartphone Z10|Electronics|250000|7|Chidinma|200000</t>
  </si>
  <si>
    <t>46755|West|Abuja|Corporate|Store|Microwave M20|Home Appliances|60000|7|Aisha|48000</t>
  </si>
  <si>
    <t>46756|East|Port Harcourt|Corporate|Online|Office Chair Pro|Furniture|85000|2|Peter|68000</t>
  </si>
  <si>
    <t>46757|West|Port Harcourt|Retail|Store|Microwave M20|Home Appliances|60000|2|Grace|48000</t>
  </si>
  <si>
    <t>46758|East|Abuja|Corporate|Online|Blender B10|Home Appliances|30000|10|Grace|24000</t>
  </si>
  <si>
    <t>46759|North|Lagos|Corporate|Store|Laptop A13|Electronics|420000|8|David|336000</t>
  </si>
  <si>
    <t>46760|West|Lagos|Corporate|Online|Microwave M20|Home Appliances|60000|2|Aisha|48000</t>
  </si>
  <si>
    <t>46761|South|Kano|Corporate|Store|Office Chair Pro|Furniture|85000|8|Grace|68000</t>
  </si>
  <si>
    <t>46762|West|Port Harcourt|Retail|Store|Laptop A13|Electronics|420000|7|Peter|336000</t>
  </si>
  <si>
    <t>46763|East|Abuja|Retail|Store|Desktop PC D21|Electronics|300000|6|Grace|240000</t>
  </si>
  <si>
    <t>46764|North|Port Harcourt|Retail|Online|Laptop A13|Electronics|420000|2|Aisha|336000</t>
  </si>
  <si>
    <t>46765|North|Port Harcourt|Corporate|Online|Desktop PC D21|Electronics|300000|8|Peter|240000</t>
  </si>
  <si>
    <t>46766|North|Kano|Retail|Online|Smartphone Z10|Electronics|250000|5|Peter|200000</t>
  </si>
  <si>
    <t>46767|East|Abuja|Corporate|Store|Laptop A13|Electronics|420000|5|Peter|336000</t>
  </si>
  <si>
    <t>46768|East|Kano|Corporate|Online|Laptop A13|Electronics|420000|10|David|336000</t>
  </si>
  <si>
    <t>46769|North|Kano|Retail|Online|Sofa Classic|Furniture|320000|1|Musa|256000</t>
  </si>
  <si>
    <t>46770|South|Abuja|Retail|Online|Sofa Classic|Furniture|320000|1|Peter|256000</t>
  </si>
  <si>
    <t>46771|North|Kano|Corporate|Store|Printer P50|Electronics|150000|1|Grace|120000</t>
  </si>
  <si>
    <t>46772|East|Port Harcourt|Corporate|Online|Air Conditioner X2|Home Appliances|180000|10|Musa|144000</t>
  </si>
  <si>
    <t>46773|North|Kano|Retail|Store|Laptop A13|Electronics|420000|3|David|336000</t>
  </si>
  <si>
    <t>46774|North|Abuja|Retail|Online|Refrigerator R55|Home Appliances|220000|10|Grace|176000</t>
  </si>
  <si>
    <t>46775|East|Abuja|Corporate|Store|Laptop A13|Electronics|420000|9|Peter|336000</t>
  </si>
  <si>
    <t>46776|West|Abuja|Retail|Store|Blender B10|Home Appliances|30000|6|Grace|24000</t>
  </si>
  <si>
    <t>46777|North|Port Harcourt|Retail|Store|Smartphone Z10|Electronics|250000|10|David|200000</t>
  </si>
  <si>
    <t>46778|East|Kano|Retail|Store|Office Chair Pro|Furniture|85000|6|Grace|68000</t>
  </si>
  <si>
    <t>46779|North|Lagos|Corporate|Store|Laptop A13|Electronics|420000|3|Aisha|336000</t>
  </si>
  <si>
    <t>46780|East|Abuja|Retail|Online|Printer P50|Electronics|150000|8|Chidinma|120000</t>
  </si>
  <si>
    <t>46781|West|Lagos|Corporate|Online|Microwave M20|Home Appliances|60000|5|Peter|48000</t>
  </si>
  <si>
    <t>46782|West|Kano|Corporate|Store|Sofa Classic|Furniture|320000|9|Aisha|256000</t>
  </si>
  <si>
    <t>46783|West|Lagos|Corporate|Online|Laptop A13|Electronics|420000|5|Chidinma|336000</t>
  </si>
  <si>
    <t>46784|North|Lagos|Corporate|Online|Microwave M20|Home Appliances|60000|9|Musa|48000</t>
  </si>
  <si>
    <t>46785|South|Lagos|Retail|Online|Laptop A13|Electronics|420000|1|Grace|336000</t>
  </si>
  <si>
    <t>46786|East|Abuja|Retail|Online|Printer P50|Electronics|150000|9|Aisha|120000</t>
  </si>
  <si>
    <t>46787|South|Abuja|Corporate|Store|Refrigerator R55|Home Appliances|220000|7|Chidinma|176000</t>
  </si>
  <si>
    <t>46788|North|Port Harcourt|Retail|Store|Sofa Classic|Furniture|320000|3|Peter|256000</t>
  </si>
  <si>
    <t>46789|South|Lagos|Corporate|Online|Sofa Classic|Furniture|320000|8|Aisha|256000</t>
  </si>
  <si>
    <t>46790|South|Kano|Corporate|Online|Printer P50|Electronics|150000|3|Aisha|120000</t>
  </si>
  <si>
    <t>46791|West|Abuja|Retail|Online|Smartphone Z10|Electronics|250000|9|Chidinma|200000</t>
  </si>
  <si>
    <t>46792|West|Lagos|Retail|Store|Laptop A13|Electronics|420000|7|Musa|336000</t>
  </si>
  <si>
    <t>46793|West|Port Harcourt|Corporate|Store|Smartphone Z10|Electronics|250000|10|David|200000</t>
  </si>
  <si>
    <t>46794|East|Kano|Retail|Online|Microwave M20|Home Appliances|60000|4|David|48000</t>
  </si>
  <si>
    <t>46795|North|Lagos|Retail|Online|Smartphone Z10|Electronics|250000|4|Chidinma|200000</t>
  </si>
  <si>
    <t>46796|North|Port Harcourt|Retail|Online|Desktop PC D21|Electronics|300000|3|Grace|240000</t>
  </si>
  <si>
    <t>46797|South|Lagos|Corporate|Online|Laptop A13|Electronics|420000|9|Aisha|336000</t>
  </si>
  <si>
    <t>46798|South|Lagos|Corporate|Online|Laptop A13|Electronics|420000|7|Musa|336000</t>
  </si>
  <si>
    <t>46799|East|Kano|Retail|Online|Refrigerator R55|Home Appliances|220000|9|Grace|176000</t>
  </si>
  <si>
    <t>46800|East|Abuja|Corporate|Online|Office Chair Pro|Furniture|85000|8|Musa|68000</t>
  </si>
  <si>
    <t>46801|South|Port Harcourt|Corporate|Store|Office Chair Pro|Furniture|85000|5|Peter|68000</t>
  </si>
  <si>
    <t>46802|South|Abuja|Retail|Store|Smartphone Z10|Electronics|250000|6|Grace|200000</t>
  </si>
  <si>
    <t>46803|East|Kano|Corporate|Store|Blender B10|Home Appliances|30000|8|Grace|24000</t>
  </si>
  <si>
    <t>46804|North|Port Harcourt|Corporate|Online|Smartphone Z10|Electronics|250000|6|Aisha|200000</t>
  </si>
  <si>
    <t>46805|South|Lagos|Corporate|Store|Sofa Classic|Furniture|320000|10|Peter|256000</t>
  </si>
  <si>
    <t>46806|East|Abuja|Retail|Store|Blender B10|Home Appliances|30000|4|Peter|24000</t>
  </si>
  <si>
    <t>46807|South|Abuja|Retail|Store|Office Chair Pro|Furniture|85000|10|Chidinma|68000</t>
  </si>
  <si>
    <t>46808|North|Abuja|Corporate|Store|Smartphone Z10|Electronics|250000|6|Musa|200000</t>
  </si>
  <si>
    <t>46809|South|Lagos|Retail|Store|Microwave M20|Home Appliances|60000|10|David|48000</t>
  </si>
  <si>
    <t>46810|East|Lagos|Retail|Store|Desktop PC D21|Electronics|300000|3|David|240000</t>
  </si>
  <si>
    <t>46811|West|Abuja|Retail|Store|Printer P50|Electronics|150000|10|Grace|120000</t>
  </si>
  <si>
    <t>46812|South|Lagos|Corporate|Store|Blender B10|Home Appliances|30000|7|Peter|24000</t>
  </si>
  <si>
    <t>46813|East|Lagos|Corporate|Store|Desktop PC D21|Electronics|300000|9|Aisha|240000</t>
  </si>
  <si>
    <t>46814|North|Abuja|Corporate|Store|Refrigerator R55|Home Appliances|220000|4|Musa|176000</t>
  </si>
  <si>
    <t>46815|East|Kano|Corporate|Online|Smartphone Z10|Electronics|250000|9|Chidinma|200000</t>
  </si>
  <si>
    <t>46816|West|Port Harcourt|Corporate|Store|Desktop PC D21|Electronics|300000|4|Grace|240000</t>
  </si>
  <si>
    <t>46817|West|Port Harcourt|Retail|Store|Microwave M20|Home Appliances|60000|10|Aisha|48000</t>
  </si>
  <si>
    <t>46818|North|Kano|Corporate|Online|Laptop A13|Electronics|420000|10|Musa|336000</t>
  </si>
  <si>
    <t>46819|West|Kano|Retail|Store|Printer P50|Electronics|150000|1|Grace|120000</t>
  </si>
  <si>
    <t>46820|South|Kano|Retail|Store|Smartphone Z10|Electronics|250000|7|David|200000</t>
  </si>
  <si>
    <t>46821|South|Abuja|Retail|Store|Desktop PC D21|Electronics|300000|9|Musa|240000</t>
  </si>
  <si>
    <t>46822|North|Port Harcourt|Retail|Store|Printer P50|Electronics|150000|2|Aisha|120000</t>
  </si>
  <si>
    <t>46823|West|Lagos|Retail|Store|Refrigerator R55|Home Appliances|220000|9|David|176000</t>
  </si>
  <si>
    <t>46824|North|Abuja|Retail|Store|Microwave M20|Home Appliances|60000|5|Chidinma|48000</t>
  </si>
  <si>
    <t>46825|West|Port Harcourt|Corporate|Store|Air Conditioner X2|Home Appliances|180000|6|Peter|144000</t>
  </si>
  <si>
    <t>46826|East|Port Harcourt|Corporate|Store|Smartphone Z10|Electronics|250000|10|Chidinma|200000</t>
  </si>
  <si>
    <t>46827|East|Abuja|Retail|Store|Office Chair Pro|Furniture|85000|1|Aisha|68000</t>
  </si>
  <si>
    <t>46828|North|Port Harcourt|Retail|Online|Smartphone Z10|Electronics|250000|9|David|200000</t>
  </si>
  <si>
    <t>46829|East|Lagos|Retail|Online|Smartphone Z10|Electronics|250000|2|David|200000</t>
  </si>
  <si>
    <t>46830|South|Lagos|Retail|Online|Smartphone Z10|Electronics|250000|1|Grace|200000</t>
  </si>
  <si>
    <t>46831|West|Port Harcourt|Corporate|Store|Desktop PC D21|Electronics|300000|9|Musa|240000</t>
  </si>
  <si>
    <t>46832|West|Lagos|Corporate|Online|Sofa Classic|Furniture|320000|10|David|256000</t>
  </si>
  <si>
    <t>46833|South|Lagos|Corporate|Online|Air Conditioner X2|Home Appliances|180000|9|Aisha|144000</t>
  </si>
  <si>
    <t>46834|South|Kano|Corporate|Online|Smartphone Z10|Electronics|250000|1|Grace|200000</t>
  </si>
  <si>
    <t>46835|South|Abuja|Corporate|Online|Office Chair Pro|Furniture|85000|7|Grace|68000</t>
  </si>
  <si>
    <t>46836|West|Port Harcourt|Retail|Store|Blender B10|Home Appliances|30000|6|Musa|24000</t>
  </si>
  <si>
    <t>46837|West|Lagos|Retail|Store|Blender B10|Home Appliances|30000|6|David|24000</t>
  </si>
  <si>
    <t>46838|West|Port Harcourt|Corporate|Store|Sofa Classic|Furniture|320000|2|Aisha|256000</t>
  </si>
  <si>
    <t>46839|West|Abuja|Retail|Store|Microwave M20|Home Appliances|60000|6|David|48000</t>
  </si>
  <si>
    <t>46840|West|Lagos|Retail|Store|Refrigerator R55|Home Appliances|220000|10|Grace|176000</t>
  </si>
  <si>
    <t>46841|West|Abuja|Retail|Online|Microwave M20|Home Appliances|60000|6|Grace|48000</t>
  </si>
  <si>
    <t>46842|West|Kano|Retail|Online|Refrigerator R55|Home Appliances|220000|7|Aisha|176000</t>
  </si>
  <si>
    <t>46843|East|Lagos|Corporate|Store|Laptop A13|Electronics|420000|8|Aisha|336000</t>
  </si>
  <si>
    <t>46844|East|Lagos|Retail|Store|Laptop A13|Electronics|420000|1|Grace|336000</t>
  </si>
  <si>
    <t>46845|East|Port Harcourt|Corporate|Store|Smartphone Z10|Electronics|250000|9|Aisha|200000</t>
  </si>
  <si>
    <t>46846|North|Abuja|Retail|Online|Blender B10|Home Appliances|30000|3|David|24000</t>
  </si>
  <si>
    <t>46847|North|Kano|Retail|Online|Sofa Classic|Furniture|320000|1|Grace|256000</t>
  </si>
  <si>
    <t>46848|West|Abuja|Corporate|Online|Sofa Classic|Furniture|320000|10|Musa|256000</t>
  </si>
  <si>
    <t>46849|North|Lagos|Corporate|Online|Air Conditioner X2|Home Appliances|180000|4|Musa|144000</t>
  </si>
  <si>
    <t>46850|West|Lagos|Retail|Store|Laptop A13|Electronics|420000|5|Aisha|336000</t>
  </si>
  <si>
    <t>46851|North|Abuja|Retail|Online|Microwave M20|Home Appliances|60000|5|David|48000</t>
  </si>
  <si>
    <t>46852|North|Abuja|Retail|Store|Microwave M20|Home Appliances|60000|9|Aisha|48000</t>
  </si>
  <si>
    <t>46853|East|Kano|Corporate|Store|Desktop PC D21|Electronics|300000|10|David|240000</t>
  </si>
  <si>
    <t>46854|South|Abuja|Retail|Store|Laptop A13|Electronics|420000|8|Grace|336000</t>
  </si>
  <si>
    <t>46855|South|Kano|Corporate|Store|Air Conditioner X2|Home Appliances|180000|4|David|144000</t>
  </si>
  <si>
    <t>46856|East|Kano|Retail|Store|Blender B10|Home Appliances|30000|5|Aisha|24000</t>
  </si>
  <si>
    <t>46857|North|Lagos|Retail|Online|Smartphone Z10|Electronics|250000|3|David|200000</t>
  </si>
  <si>
    <t>46858|East|Kano|Corporate|Store|Office Chair Pro|Furniture|85000|8|Musa|68000</t>
  </si>
  <si>
    <t>46859|South|Port Harcourt|Corporate|Online|Microwave M20|Home Appliances|60000|8|Aisha|48000</t>
  </si>
  <si>
    <t>46860|South|Port Harcourt|Corporate|Store|Printer P50|Electronics|150000|5|Chidinma|120000</t>
  </si>
  <si>
    <t>46861|North|Port Harcourt|Corporate|Online|Sofa Classic|Furniture|320000|9|Peter|256000</t>
  </si>
  <si>
    <t>46862|North|Abuja|Corporate|Online|Laptop A13|Electronics|420000|7|Chidinma|336000</t>
  </si>
  <si>
    <t>46863|South|Kano|Corporate|Store|Microwave M20|Home Appliances|60000|6|Aisha|48000</t>
  </si>
  <si>
    <t>46864|North|Port Harcourt|Retail|Store|Printer P50|Electronics|150000|7|Grace|120000</t>
  </si>
  <si>
    <t>46865|East|Kano|Retail|Store|Sofa Classic|Furniture|320000|10|Musa|256000</t>
  </si>
  <si>
    <t>46866|East|Port Harcourt|Corporate|Online|Desktop PC D21|Electronics|300000|8|David|240000</t>
  </si>
  <si>
    <t>46867|West|Port Harcourt|Retail|Online|Laptop A13|Electronics|420000|5|Peter|336000</t>
  </si>
  <si>
    <t>46868|East|Kano|Retail|Store|Refrigerator R55|Home Appliances|220000|5|Chidinma|176000</t>
  </si>
  <si>
    <t>46869|West|Port Harcourt|Corporate|Store|Sofa Classic|Furniture|320000|3|David|256000</t>
  </si>
  <si>
    <t>46870|East|Port Harcourt|Retail|Online|Air Conditioner X2|Home Appliances|180000|9|Grace|144000</t>
  </si>
  <si>
    <t>46871|North|Port Harcourt|Retail|Online|Desktop PC D21|Electronics|300000|1|Grace|240000</t>
  </si>
  <si>
    <t>46872|North|Kano|Retail|Store|Refrigerator R55|Home Appliances|220000|7|Grace|176000</t>
  </si>
  <si>
    <t>46873|East|Lagos|Corporate|Store|Office Chair Pro|Furniture|85000|9|David|68000</t>
  </si>
  <si>
    <t>46874|East|Lagos|Retail|Online|Office Chair Pro|Furniture|85000|4|Musa|68000</t>
  </si>
  <si>
    <t>46875|East|Abuja|Retail|Store|Microwave M20|Home Appliances|60000|8|Musa|48000</t>
  </si>
  <si>
    <t>46876|South|Lagos|Corporate|Store|Printer P50|Electronics|150000|6|Peter|120000</t>
  </si>
  <si>
    <t>46877|East|Kano|Corporate|Online|Office Chair Pro|Furniture|85000|10|Musa|68000</t>
  </si>
  <si>
    <t>46878|West|Lagos|Corporate|Store|Office Chair Pro|Furniture|85000|3|Grace|68000</t>
  </si>
  <si>
    <t>46879|West|Kano|Corporate|Online|Desktop PC D21|Electronics|300000|8|Peter|240000</t>
  </si>
  <si>
    <t>46880|West|Port Harcourt|Corporate|Online|Laptop A13|Electronics|420000|6|Aisha|336000</t>
  </si>
  <si>
    <t>46881|South|Kano|Corporate|Online|Smartphone Z10|Electronics|250000|3|David|200000</t>
  </si>
  <si>
    <t>46882|West|Abuja|Retail|Store|Smartphone Z10|Electronics|250000|8|Musa|200000</t>
  </si>
  <si>
    <t>46883|North|Lagos|Corporate|Online|Office Chair Pro|Furniture|85000|3|Musa|68000</t>
  </si>
  <si>
    <t>46884|North|Abuja|Corporate|Online|Blender B10|Home Appliances|30000|7|Musa|24000</t>
  </si>
  <si>
    <t>46885|East|Kano|Retail|Store|Microwave M20|Home Appliances|60000|7|Peter|48000</t>
  </si>
  <si>
    <t>46886|South|Port Harcourt|Retail|Store|Refrigerator R55|Home Appliances|220000|10|David|176000</t>
  </si>
  <si>
    <t>46887|South|Lagos|Retail|Store|Smartphone Z10|Electronics|250000|5|Grace|200000</t>
  </si>
  <si>
    <t>46888|South|Abuja|Retail|Online|Office Chair Pro|Furniture|85000|7|Grace|68000</t>
  </si>
  <si>
    <t>46889|West|Lagos|Corporate|Online|Printer P50|Electronics|150000|4|Musa|120000</t>
  </si>
  <si>
    <t>46890|South|Abuja|Retail|Online|Laptop A13|Electronics|420000|5|David|336000</t>
  </si>
  <si>
    <t>46891|East|Kano|Retail|Online|Microwave M20|Home Appliances|60000|5|Chidinma|48000</t>
  </si>
  <si>
    <t>46892|South|Port Harcourt|Corporate|Online|Smartphone Z10|Electronics|250000|10|David|200000</t>
  </si>
  <si>
    <t>46893|West|Lagos|Retail|Online|Microwave M20|Home Appliances|60000|3|David|48000</t>
  </si>
  <si>
    <t>46894|West|Abuja|Corporate|Online|Refrigerator R55|Home Appliances|220000|5|Aisha|176000</t>
  </si>
  <si>
    <t>46895|South|Port Harcourt|Corporate|Store|Laptop A13|Electronics|420000|3|Musa|336000</t>
  </si>
  <si>
    <t>46896|West|Lagos|Corporate|Store|Microwave M20|Home Appliances|60000|7|Peter|48000</t>
  </si>
  <si>
    <t>46897|West|Port Harcourt|Retail|Online|Refrigerator R55|Home Appliances|220000|8|Musa|176000</t>
  </si>
  <si>
    <t>46898|West|Abuja|Corporate|Store|Smartphone Z10|Electronics|250000|6|Aisha|200000</t>
  </si>
  <si>
    <t>46899|West|Lagos|Corporate|Online|Printer P50|Electronics|150000|5|Musa|120000</t>
  </si>
  <si>
    <t>46900|North|Lagos|Corporate|Online|Office Chair Pro|Furniture|85000|2|Peter|68000</t>
  </si>
  <si>
    <t>46901|South|Port Harcourt|Corporate|Store|Office Chair Pro|Furniture|85000|6|David|68000</t>
  </si>
  <si>
    <t>46902|West|Abuja|Corporate|Online|Printer P50|Electronics|150000|5|Peter|120000</t>
  </si>
  <si>
    <t>46903|West|Kano|Corporate|Store|Laptop A13|Electronics|420000|4|Aisha|336000</t>
  </si>
  <si>
    <t>46904|East|Kano|Corporate|Store|Desktop PC D21|Electronics|300000|6|Grace|240000</t>
  </si>
  <si>
    <t>46905|North|Port Harcourt|Corporate|Online|Microwave M20|Home Appliances|60000|2|Aisha|48000</t>
  </si>
  <si>
    <t>46906|North|Abuja|Corporate|Online|Office Chair Pro|Furniture|85000|5|Peter|68000</t>
  </si>
  <si>
    <t>46907|West|Abuja|Retail|Store|Microwave M20|Home Appliances|60000|3|David|48000</t>
  </si>
  <si>
    <t>46908|North|Abuja|Corporate|Online|Office Chair Pro|Furniture|85000|7|Peter|68000</t>
  </si>
  <si>
    <t>46909|North|Lagos|Corporate|Online|Air Conditioner X2|Home Appliances|180000|5|Grace|144000</t>
  </si>
  <si>
    <t>46910|East|Lagos|Retail|Online|Laptop A13|Electronics|420000|5|Musa|336000</t>
  </si>
  <si>
    <t>46911|East|Abuja|Corporate|Store|Office Chair Pro|Furniture|85000|6|Musa|68000</t>
  </si>
  <si>
    <t>46912|North|Port Harcourt|Retail|Store|Laptop A13|Electronics|420000|7|Chidinma|336000</t>
  </si>
  <si>
    <t>46913|South|Abuja|Corporate|Online|Laptop A13|Electronics|420000|9|Grace|336000</t>
  </si>
  <si>
    <t>46914|West|Lagos|Corporate|Online|Desktop PC D21|Electronics|300000|3|Aisha|240000</t>
  </si>
  <si>
    <t>46915|East|Kano|Retail|Online|Office Chair Pro|Furniture|85000|9|Aisha|68000</t>
  </si>
  <si>
    <t>46916|South|Port Harcourt|Corporate|Store|Refrigerator R55|Home Appliances|220000|7|Peter|176000</t>
  </si>
  <si>
    <t>46917|West|Lagos|Corporate|Store|Desktop PC D21|Electronics|300000|10|Chidinma|240000</t>
  </si>
  <si>
    <t>46918|West|Port Harcourt|Retail|Store|Office Chair Pro|Furniture|85000|8|Aisha|68000</t>
  </si>
  <si>
    <t>46919|East|Lagos|Corporate|Online|Blender B10|Home Appliances|30000|3|Aisha|24000</t>
  </si>
  <si>
    <t>46920|South|Kano|Corporate|Store|Office Chair Pro|Furniture|85000|8|Peter|68000</t>
  </si>
  <si>
    <t>46921|West|Kano|Retail|Store|Air Conditioner X2|Home Appliances|180000|3|Peter|144000</t>
  </si>
  <si>
    <t>46922|North|Port Harcourt|Retail|Online|Refrigerator R55|Home Appliances|220000|7|Aisha|176000</t>
  </si>
  <si>
    <t>46923|North|Kano|Retail|Online|Air Conditioner X2|Home Appliances|180000|8|Grace|144000</t>
  </si>
  <si>
    <t>46924|South|Abuja|Retail|Online|Blender B10|Home Appliances|30000|1|Musa|24000</t>
  </si>
  <si>
    <t>46925|East|Lagos|Retail|Online|Blender B10|Home Appliances|30000|8|Peter|24000</t>
  </si>
  <si>
    <t>46926|South|Port Harcourt|Retail|Online|Air Conditioner X2|Home Appliances|180000|3|Grace|144000</t>
  </si>
  <si>
    <t>46927|South|Lagos|Retail|Store|Office Chair Pro|Furniture|85000|7|David|68000</t>
  </si>
  <si>
    <t>46928|West|Lagos|Retail|Store|Blender B10|Home Appliances|30000|7|Musa|24000</t>
  </si>
  <si>
    <t>46929|North|Abuja|Retail|Store|Microwave M20|Home Appliances|60000|3|Musa|48000</t>
  </si>
  <si>
    <t>46930|North|Abuja|Retail|Store|Office Chair Pro|Furniture|85000|5|Chidinma|68000</t>
  </si>
  <si>
    <t>46931|East|Abuja|Corporate|Online|Laptop A13|Electronics|420000|1|Chidinma|336000</t>
  </si>
  <si>
    <t>46932|South|Kano|Corporate|Store|Blender B10|Home Appliances|30000|5|Chidinma|24000</t>
  </si>
  <si>
    <t>46933|West|Kano|Retail|Online|Smartphone Z10|Electronics|250000|9|Peter|200000</t>
  </si>
  <si>
    <t>46934|North|Lagos|Corporate|Online|Printer P50|Electronics|150000|3|Grace|120000</t>
  </si>
  <si>
    <t>46935|East|Lagos|Corporate|Online|Desktop PC D21|Electronics|300000|5|Grace|240000</t>
  </si>
  <si>
    <t>46936|West|Port Harcourt|Retail|Store|Sofa Classic|Furniture|320000|5|Chidinma|256000</t>
  </si>
  <si>
    <t>46937|West|Abuja|Corporate|Store|Office Chair Pro|Furniture|85000|10|Aisha|68000</t>
  </si>
  <si>
    <t>46938|West|Lagos|Retail|Store|Air Conditioner X2|Home Appliances|180000|3|Aisha|144000</t>
  </si>
  <si>
    <t>46939|East|Abuja|Corporate|Store|Blender B10|Home Appliances|30000|3|Grace|24000</t>
  </si>
  <si>
    <t>46940|North|Lagos|Retail|Store|Printer P50|Electronics|150000|5|Aisha|120000</t>
  </si>
  <si>
    <t>46941|North|Kano|Retail|Online|Desktop PC D21|Electronics|300000|4|Peter|240000</t>
  </si>
  <si>
    <t>46942|East|Kano|Corporate|Store|Blender B10|Home Appliances|30000|8|Aisha|24000</t>
  </si>
  <si>
    <t>46943|West|Port Harcourt|Retail|Store|Refrigerator R55|Home Appliances|220000|10|David|176000</t>
  </si>
  <si>
    <t>46944|South|Kano|Retail|Online|Blender B10|Home Appliances|30000|10|Musa|24000</t>
  </si>
  <si>
    <t>46945|East|Lagos|Corporate|Store|Smartphone Z10|Electronics|250000|5|Chidinma|200000</t>
  </si>
  <si>
    <t>46946|South|Lagos|Corporate|Store|Printer P50|Electronics|150000|8|Chidinma|120000</t>
  </si>
  <si>
    <t>46947|South|Port Harcourt|Retail|Store|Office Chair Pro|Furniture|85000|1|Chidinma|68000</t>
  </si>
  <si>
    <t>46948|East|Kano|Retail|Online|Refrigerator R55|Home Appliances|220000|2|Aisha|176000</t>
  </si>
  <si>
    <t>46949|South|Lagos|Corporate|Online|Microwave M20|Home Appliances|60000|9|Musa|48000</t>
  </si>
  <si>
    <t>46950|North|Kano|Retail|Online|Smartphone Z10|Electronics|250000|9|Peter|200000</t>
  </si>
  <si>
    <t>46951|East|Port Harcourt|Retail|Store|Office Chair Pro|Furniture|85000|7|Aisha|68000</t>
  </si>
  <si>
    <t>46952|South|Kano|Retail|Store|Printer P50|Electronics|150000|7|Peter|120000</t>
  </si>
  <si>
    <t>46953|East|Kano|Corporate|Online|Blender B10|Home Appliances|30000|3|David|24000</t>
  </si>
  <si>
    <t>46954|East|Kano|Corporate|Store|Blender B10|Home Appliances|30000|3|Grace|24000</t>
  </si>
  <si>
    <t>46955|North|Abuja|Retail|Online|Blender B10|Home Appliances|30000|4|Aisha|24000</t>
  </si>
  <si>
    <t>46956|South|Lagos|Retail|Store|Microwave M20|Home Appliances|60000|9|David|48000</t>
  </si>
  <si>
    <t>46957|South|Abuja|Corporate|Online|Microwave M20|Home Appliances|60000|9|Peter|48000</t>
  </si>
  <si>
    <t>46958|South|Port Harcourt|Corporate|Online|Laptop A13|Electronics|420000|2|Musa|336000</t>
  </si>
  <si>
    <t>46959|North|Kano|Retail|Store|Sofa Classic|Furniture|320000|1|Grace|256000</t>
  </si>
  <si>
    <t>46960|West|Port Harcourt|Retail|Store|Blender B10|Home Appliances|30000|5|David|24000</t>
  </si>
  <si>
    <t>46961|West|Kano|Corporate|Store|Office Chair Pro|Furniture|85000|5|Grace|68000</t>
  </si>
  <si>
    <t>46962|West|Kano|Corporate|Online|Laptop A13|Electronics|420000|10|Peter|336000</t>
  </si>
  <si>
    <t>46963|East|Port Harcourt|Corporate|Online|Smartphone Z10|Electronics|250000|8|Aisha|200000</t>
  </si>
  <si>
    <t>46964|West|Lagos|Corporate|Store|Smartphone Z10|Electronics|250000|10|Peter|200000</t>
  </si>
  <si>
    <t>46965|East|Lagos|Corporate|Store|Printer P50|Electronics|150000|4|Musa|120000</t>
  </si>
  <si>
    <t>46966|East|Lagos|Corporate|Online|Air Conditioner X2|Home Appliances|180000|6|Musa|144000</t>
  </si>
  <si>
    <t>46967|East|Kano|Corporate|Store|Blender B10|Home Appliances|30000|6|Musa|24000</t>
  </si>
  <si>
    <t>46968|West|Lagos|Corporate|Online|Smartphone Z10|Electronics|250000|5|Peter|200000</t>
  </si>
  <si>
    <t>46969|South|Lagos|Corporate|Online|Sofa Classic|Furniture|320000|2|Grace|256000</t>
  </si>
  <si>
    <t>46970|East|Lagos|Corporate|Store|Desktop PC D21|Electronics|300000|10|Peter|240000</t>
  </si>
  <si>
    <t>46971|West|Lagos|Corporate|Store|Desktop PC D21|Electronics|300000|7|Aisha|240000</t>
  </si>
  <si>
    <t>46972|North|Port Harcourt|Corporate|Online|Air Conditioner X2|Home Appliances|180000|1|Grace|144000</t>
  </si>
  <si>
    <t>46973|East|Kano|Corporate|Store|Desktop PC D21|Electronics|300000|10|Chidinma|240000</t>
  </si>
  <si>
    <t>46974|West|Abuja|Corporate|Online|Air Conditioner X2|Home Appliances|180000|7|Aisha|144000</t>
  </si>
  <si>
    <t>46975|West|Lagos|Corporate|Online|Blender B10|Home Appliances|30000|7|Musa|24000</t>
  </si>
  <si>
    <t>46976|East|Port Harcourt|Corporate|Online|Blender B10|Home Appliances|30000|6|David|24000</t>
  </si>
  <si>
    <t>46977|East|Lagos|Corporate|Online|Office Chair Pro|Furniture|85000|7|Peter|68000</t>
  </si>
  <si>
    <t>46978|East|Port Harcourt|Corporate|Store|Smartphone Z10|Electronics|250000|3|Peter|200000</t>
  </si>
  <si>
    <t>46979|West|Lagos|Corporate|Online|Sofa Classic|Furniture|320000|7|Musa|256000</t>
  </si>
  <si>
    <t>46980|South|Kano|Corporate|Store|Blender B10|Home Appliances|30000|7|Peter|24000</t>
  </si>
  <si>
    <t>46981|West|Kano|Corporate|Online|Sofa Classic|Furniture|320000|8|Chidinma|256000</t>
  </si>
  <si>
    <t>46982|North|Abuja|Corporate|Online|Sofa Classic|Furniture|320000|7|Aisha|256000</t>
  </si>
  <si>
    <t>46983|East|Lagos|Corporate|Store|Microwave M20|Home Appliances|60000|2|Musa|48000</t>
  </si>
  <si>
    <t>46984|West|Port Harcourt|Corporate|Store|Refrigerator R55|Home Appliances|220000|8|Aisha|176000</t>
  </si>
  <si>
    <t>46985|South|Kano|Corporate|Online|Microwave M20|Home Appliances|60000|2|Musa|48000</t>
  </si>
  <si>
    <t>46986|West|Kano|Corporate|Online|Sofa Classic|Furniture|320000|2|Grace|256000</t>
  </si>
  <si>
    <t>46987|East|Port Harcourt|Corporate|Store|Blender B10|Home Appliances|30000|2|Peter|24000</t>
  </si>
  <si>
    <t>46988|North|Lagos|Corporate|Store|Blender B10|Home Appliances|30000|7|Peter|24000</t>
  </si>
  <si>
    <t>46989|North|Port Harcourt|Corporate|Store|Smartphone Z10|Electronics|250000|10|Peter|200000</t>
  </si>
  <si>
    <t>46990|East|Abuja|Corporate|Store|Desktop PC D21|Electronics|300000|9|Musa|240000</t>
  </si>
  <si>
    <t>46991|South|Kano|Corporate|Store|Office Chair Pro|Furniture|85000|6|Aisha|68000</t>
  </si>
  <si>
    <t>46992|West|Port Harcourt|Corporate|Store|Blender B10|Home Appliances|30000|4|Chidinma|24000</t>
  </si>
  <si>
    <t>46993|South|Abuja|Corporate|Online|Desktop PC D21|Electronics|300000|4|Chidinma|240000</t>
  </si>
  <si>
    <t>46994|South|Abuja|Corporate|Store|Refrigerator R55|Home Appliances|220000|5|Peter|176000</t>
  </si>
  <si>
    <t>46995|East|Abuja|Corporate|Store|Refrigerator R55|Home Appliances|220000|4|Peter|176000</t>
  </si>
  <si>
    <t>46996|East|Abuja|Corporate|Online|Blender B10|Home Appliances|30000|1|Grace|24000</t>
  </si>
  <si>
    <t>46997|South|Lagos|Retail|Online|Laptop A13|Electronics|420000|9|David|336000</t>
  </si>
  <si>
    <t>46998|West|Lagos|Corporate|Online|Microwave M20|Home Appliances|60000|6|David|48000</t>
  </si>
  <si>
    <t>46999|West|Abuja|Retail|Online|Air Conditioner X2|Home Appliances|180000|2|Musa|144000</t>
  </si>
  <si>
    <t>47000|East|Lagos|Retail|Online|Office Chair Pro|Furniture|85000|1|David|68000</t>
  </si>
  <si>
    <t>47001|West|Kano|Retail|Store|Smartphone Z10|Electronics|250000|2|Chidinma|200000</t>
  </si>
  <si>
    <t>47002|North|Abuja|Retail|Store|Blender B10|Home Appliances|30000|7|Peter|24000</t>
  </si>
  <si>
    <t>47003|West|Lagos|Retail|Store|Laptop A13|Electronics|420000|9|Peter|336000</t>
  </si>
  <si>
    <t>47004|South|Abuja|Retail|Online|Microwave M20|Home Appliances|60000|7|David|48000</t>
  </si>
  <si>
    <t>47005|North|Kano|Retail|Store|Desktop PC D21|Electronics|300000|7|Peter|240000</t>
  </si>
  <si>
    <t>47006|East|Port Harcourt|Corporate|Online|Printer P50|Electronics|150000|9|Grace|120000</t>
  </si>
  <si>
    <t>47007|South|Kano|Corporate|Online|Desktop PC D21|Electronics|300000|7|Musa|240000</t>
  </si>
  <si>
    <t>47008|West|Lagos|Retail|Online|Smartphone Z10|Electronics|250000|1|Aisha|200000</t>
  </si>
  <si>
    <t>47009|West|Lagos|Corporate|Online|Smartphone Z10|Electronics|250000|6|Musa|200000</t>
  </si>
  <si>
    <t>47010|East|Kano|Corporate|Store|Laptop A13|Electronics|420000|9|Grace|336000</t>
  </si>
  <si>
    <t>47011|South|Abuja|Corporate|Online|Air Conditioner X2|Home Appliances|180000|6|David|144000</t>
  </si>
  <si>
    <t>47012|South|Kano|Corporate|Online|Office Chair Pro|Furniture|85000|5|Grace|68000</t>
  </si>
  <si>
    <t>47013|West|Kano|Corporate|Online|Refrigerator R55|Home Appliances|220000|5|Grace|176000</t>
  </si>
  <si>
    <t>47014|East|Abuja|Retail|Online|Microwave M20|Home Appliances|60000|8|Aisha|48000</t>
  </si>
  <si>
    <t>47015|East|Abuja|Corporate|Store|Office Chair Pro|Furniture|85000|10|Peter|68000</t>
  </si>
  <si>
    <t>47016|North|Lagos|Retail|Store|Blender B10|Home Appliances|30000|6|Grace|24000</t>
  </si>
  <si>
    <t>47017|West|Lagos|Corporate|Store|Sofa Classic|Furniture|320000|10|David|256000</t>
  </si>
  <si>
    <t>47018|South|Abuja|Corporate|Store|Microwave M20|Home Appliances|60000|2|David|48000</t>
  </si>
  <si>
    <t>47019|East|Lagos|Corporate|Store|Laptop A13|Electronics|420000|3|Chidinma|336000</t>
  </si>
  <si>
    <t>47020|East|Lagos|Retail|Online|Printer P50|Electronics|150000|5|Musa|120000</t>
  </si>
  <si>
    <t>47021|South|Lagos|Retail|Store|Printer P50|Electronics|150000|9|Peter|120000</t>
  </si>
  <si>
    <t>47022|South|Port Harcourt|Corporate|Store|Office Chair Pro|Furniture|85000|5|Aisha|68000</t>
  </si>
  <si>
    <t>47023|North|Lagos|Corporate|Online|Sofa Classic|Furniture|320000|1|David|256000</t>
  </si>
  <si>
    <t>47024|East|Port Harcourt|Retail|Store|Blender B10|Home Appliances|30000|4|Musa|24000</t>
  </si>
  <si>
    <t>47025|South|Kano|Corporate|Store|Refrigerator R55|Home Appliances|220000|8|Aisha|176000</t>
  </si>
  <si>
    <t>47026|West|Abuja|Corporate|Store|Sofa Classic|Furniture|320000|5|Grace|256000</t>
  </si>
  <si>
    <t>47027|West|Abuja|Corporate|Store|Office Chair Pro|Furniture|85000|3|Aisha|68000</t>
  </si>
  <si>
    <t>47028|East|Kano|Retail|Store|Sofa Classic|Furniture|320000|10|Chidinma|256000</t>
  </si>
  <si>
    <t>47029|West|Kano|Retail|Online|Laptop A13|Electronics|420000|2|Grace|336000</t>
  </si>
  <si>
    <t>47030|North|Abuja|Retail|Online|Blender B10|Home Appliances|30000|3|Chidinma|24000</t>
  </si>
  <si>
    <t>47031|West|Abuja|Corporate|Online|Blender B10|Home Appliances|30000|1|Grace|24000</t>
  </si>
  <si>
    <t>47032|East|Kano|Retail|Store|Laptop A13|Electronics|420000|10|Grace|336000</t>
  </si>
  <si>
    <t>47033|South|Kano|Retail|Store|Printer P50|Electronics|150000|8|Chidinma|120000</t>
  </si>
  <si>
    <t>47034|North|Lagos|Corporate|Store|Refrigerator R55|Home Appliances|220000|8|Chidinma|176000</t>
  </si>
  <si>
    <t>47035|East|Abuja|Retail|Store|Sofa Classic|Furniture|320000|9|Peter|256000</t>
  </si>
  <si>
    <t>47036|North|Port Harcourt|Retail|Store|Refrigerator R55|Home Appliances|220000|3|Grace|176000</t>
  </si>
  <si>
    <t>47037|West|Kano|Corporate|Online|Air Conditioner X2|Home Appliances|180000|8|Peter|144000</t>
  </si>
  <si>
    <t>47038|North|Kano|Retail|Store|Smartphone Z10|Electronics|250000|4|Musa|200000</t>
  </si>
  <si>
    <t>47039|North|Lagos|Corporate|Store|Microwave M20|Home Appliances|60000|7|Peter|48000</t>
  </si>
  <si>
    <t>47040|North|Port Harcourt|Corporate|Store|Refrigerator R55|Home Appliances|220000|10|Grace|176000</t>
  </si>
  <si>
    <t>47041|South|Kano|Retail|Online|Microwave M20|Home Appliances|60000|9|Grace|48000</t>
  </si>
  <si>
    <t>47042|West|Kano|Corporate|Online|Microwave M20|Home Appliances|60000|2|Musa|48000</t>
  </si>
  <si>
    <t>47043|East|Lagos|Corporate|Online|Printer P50|Electronics|150000|3|Chidinma|120000</t>
  </si>
  <si>
    <t>47044|West|Lagos|Corporate|Online|Printer P50|Electronics|150000|10|Chidinma|120000</t>
  </si>
  <si>
    <t>47045|North|Kano|Corporate|Online|Printer P50|Electronics|150000|9|Peter|120000</t>
  </si>
  <si>
    <t>47046|West|Abuja|Retail|Online|Sofa Classic|Furniture|320000|5|Grace|256000</t>
  </si>
  <si>
    <t>47047|East|Abuja|Retail|Online|Air Conditioner X2|Home Appliances|180000|3|Chidinma|144000</t>
  </si>
  <si>
    <t>47048|West|Kano|Corporate|Online|Office Chair Pro|Furniture|85000|4|Peter|68000</t>
  </si>
  <si>
    <t>47049|West|Abuja|Corporate|Store|Sofa Classic|Furniture|320000|7|Grace|256000</t>
  </si>
  <si>
    <t>47050|South|Lagos|Retail|Store|Refrigerator R55|Home Appliances|220000|5|Peter|176000</t>
  </si>
  <si>
    <t>47051|South|Lagos|Corporate|Store|Printer P50|Electronics|150000|3|Chidinma|120000</t>
  </si>
  <si>
    <t>47052|West|Lagos|Corporate|Online|Laptop A13|Electronics|420000|8|David|336000</t>
  </si>
  <si>
    <t>47053|East|Abuja|Retail|Online|Refrigerator R55|Home Appliances|220000|9|David|176000</t>
  </si>
  <si>
    <t>47054|North|Port Harcourt|Retail|Online|Laptop A13|Electronics|420000|3|Grace|336000</t>
  </si>
  <si>
    <t>47055|North|Port Harcourt|Retail|Store|Smartphone Z10|Electronics|250000|1|Musa|200000</t>
  </si>
  <si>
    <t>47056|East|Lagos|Retail|Store|Sofa Classic|Furniture|320000|7|Aisha|256000</t>
  </si>
  <si>
    <t>47057|North|Lagos|Retail|Online|Laptop A13|Electronics|420000|2|Grace|336000</t>
  </si>
  <si>
    <t>47058|South|Port Harcourt|Retail|Store|Sofa Classic|Furniture|320000|3|Musa|256000</t>
  </si>
  <si>
    <t>47059|South|Port Harcourt|Corporate|Online|Printer P50|Electronics|150000|2|Aisha|120000</t>
  </si>
  <si>
    <t>47060|West|Lagos|Corporate|Store|Laptop A13|Electronics|420000|8|Musa|336000</t>
  </si>
  <si>
    <t>47061|East|Port Harcourt|Corporate|Store|Laptop A13|Electronics|420000|1|Grace|336000</t>
  </si>
  <si>
    <t>47062|West|Abuja|Retail|Online|Desktop PC D21|Electronics|300000|5|Peter|240000</t>
  </si>
  <si>
    <t>47063|East|Port Harcourt|Retail|Store|Air Conditioner X2|Home Appliances|180000|7|Aisha|144000</t>
  </si>
  <si>
    <t>47064|West|Abuja|Retail|Store|Printer P50|Electronics|150000|10|David|120000</t>
  </si>
  <si>
    <t>47065|West|Abuja|Corporate|Online|Desktop PC D21|Electronics|300000|7|Peter|240000</t>
  </si>
  <si>
    <t>47066|North|Lagos|Retail|Store|Refrigerator R55|Home Appliances|220000|2|Chidinma|176000</t>
  </si>
  <si>
    <t>47067|East|Port Harcourt|Retail|Store|Office Chair Pro|Furniture|85000|8|Musa|68000</t>
  </si>
  <si>
    <t>47068|West|Lagos|Retail|Online|Refrigerator R55|Home Appliances|220000|7|Grace|176000</t>
  </si>
  <si>
    <t>47069|North|Abuja|Retail|Store|Refrigerator R55|Home Appliances|220000|6|Peter|176000</t>
  </si>
  <si>
    <t>47070|North|Port Harcourt|Retail|Store|Air Conditioner X2|Home Appliances|180000|3|Musa|144000</t>
  </si>
  <si>
    <t>47071|South|Lagos|Retail|Online|Smartphone Z10|Electronics|250000|6|Peter|200000</t>
  </si>
  <si>
    <t>47072|West|Kano|Corporate|Store|Printer P50|Electronics|150000|7|Aisha|120000</t>
  </si>
  <si>
    <t>47073|South|Port Harcourt|Retail|Online|Desktop PC D21|Electronics|300000|9|Chidinma|240000</t>
  </si>
  <si>
    <t>47074|West|Kano|Retail|Online|Laptop A13|Electronics|420000|5|Musa|336000</t>
  </si>
  <si>
    <t>47075|South|Port Harcourt|Retail|Store|Desktop PC D21|Electronics|300000|3|Musa|240000</t>
  </si>
  <si>
    <t>47076|East|Port Harcourt|Corporate|Store|Smartphone Z10|Electronics|250000|5|Chidinma|200000</t>
  </si>
  <si>
    <t>47077|West|Abuja|Corporate|Store|Printer P50|Electronics|150000|2|Peter|120000</t>
  </si>
  <si>
    <t>47078|East|Lagos|Corporate|Online|Refrigerator R55|Home Appliances|220000|3|Grace|176000</t>
  </si>
  <si>
    <t>47079|East|Lagos|Corporate|Store|Desktop PC D21|Electronics|300000|6|David|240000</t>
  </si>
  <si>
    <t>47080|South|Lagos|Retail|Store|Air Conditioner X2|Home Appliances|180000|2|Grace|144000</t>
  </si>
  <si>
    <t>47081|East|Abuja|Retail|Online|Printer P50|Electronics|150000|5|Aisha|120000</t>
  </si>
  <si>
    <t>47082|East|Kano|Corporate|Store|Office Chair Pro|Furniture|85000|1|Aisha|68000</t>
  </si>
  <si>
    <t>47083|West|Port Harcourt|Retail|Online|Blender B10|Home Appliances|30000|1|Peter|24000</t>
  </si>
  <si>
    <t>47084|East|Lagos|Retail|Store|Office Chair Pro|Furniture|85000|1|Aisha|68000</t>
  </si>
  <si>
    <t>47085|South|Lagos|Retail|Store|Blender B10|Home Appliances|30000|2|Aisha|24000</t>
  </si>
  <si>
    <t>47086|East|Port Harcourt|Retail|Store|Laptop A13|Electronics|420000|3|Chidinma|336000</t>
  </si>
  <si>
    <t>47087|West|Lagos|Retail|Store|Blender B10|Home Appliances|30000|2|Peter|24000</t>
  </si>
  <si>
    <t>47088|South|Abuja|Retail|Store|Desktop PC D21|Electronics|300000|9|Musa|240000</t>
  </si>
  <si>
    <t>47089|East|Kano|Corporate|Store|Printer P50|Electronics|150000|4|Peter|120000</t>
  </si>
  <si>
    <t>47090|East|Port Harcourt|Retail|Store|Refrigerator R55|Home Appliances|220000|2|Grace|176000</t>
  </si>
  <si>
    <t>47091|South|Lagos|Retail|Store|Office Chair Pro|Furniture|85000|6|Chidinma|68000</t>
  </si>
  <si>
    <t>47092|West|Lagos|Retail|Store|Desktop PC D21|Electronics|300000|8|Chidinma|240000</t>
  </si>
  <si>
    <t>47093|South|Kano|Corporate|Store|Laptop A13|Electronics|420000|2|Peter|336000</t>
  </si>
  <si>
    <t>47094|East|Kano|Retail|Store|Refrigerator R55|Home Appliances|220000|3|David|176000</t>
  </si>
  <si>
    <t>47095|East|Lagos|Retail|Store|Laptop A13|Electronics|420000|10|Chidinma|336000</t>
  </si>
  <si>
    <t>47096|North|Lagos|Retail|Store|Desktop PC D21|Electronics|300000|7|David|240000</t>
  </si>
  <si>
    <t>47097|East|Kano|Retail|Store|Blender B10|Home Appliances|30000|1|Musa|24000</t>
  </si>
  <si>
    <t>47098|East|Lagos|Corporate|Store|Blender B10|Home Appliances|30000|7|Chidinma|24000</t>
  </si>
  <si>
    <t>47099|North|Abuja|Corporate|Store|Office Chair Pro|Furniture|85000|8|Peter|68000</t>
  </si>
  <si>
    <t>47100|East|Lagos|Retail|Store|Smartphone Z10|Electronics|250000|10|David|200000</t>
  </si>
  <si>
    <t>47101|West|Lagos|Retail|Store|Office Chair Pro|Furniture|85000|4|Grace|68000</t>
  </si>
  <si>
    <t>47102|West|Abuja|Retail|Store|Smartphone Z10|Electronics|250000|6|Grace|200000</t>
  </si>
  <si>
    <t>47103|East|Abuja|Corporate|Store|Sofa Classic|Furniture|320000|7|Aisha|256000</t>
  </si>
  <si>
    <t>47104|East|Abuja|Corporate|Store|Air Conditioner X2|Home Appliances|180000|2|Chidinma|144000</t>
  </si>
  <si>
    <t>47105|North|Abuja|Corporate|Store|Refrigerator R55|Home Appliances|220000|2|Grace|176000</t>
  </si>
  <si>
    <t>47106|North|Kano|Corporate|Store|Air Conditioner X2|Home Appliances|180000|6|David|144000</t>
  </si>
  <si>
    <t>47107|West|Abuja|Retail|Store|Air Conditioner X2|Home Appliances|180000|3|David|144000</t>
  </si>
  <si>
    <t>47108|West|Kano|Retail|Store|Microwave M20|Home Appliances|60000|2|David|48000</t>
  </si>
  <si>
    <t>47109|North|Abuja|Corporate|Store|Desktop PC D21|Electronics|300000|1|Aisha|240000</t>
  </si>
  <si>
    <t>47110|South|Kano|Corporate|Store|Laptop A13|Electronics|420000|2|David|336000</t>
  </si>
  <si>
    <t>47111|West|Lagos|Retail|Store|Smartphone Z10|Electronics|250000|9|David|200000</t>
  </si>
  <si>
    <t>47112|South|Port Harcourt|Corporate|Store|Air Conditioner X2|Home Appliances|180000|5|Aisha|144000</t>
  </si>
  <si>
    <t>47113|South|Lagos|Corporate|Store|Printer P50|Electronics|150000|5|Peter|120000</t>
  </si>
  <si>
    <t>47114|West|Abuja|Retail|Store|Sofa Classic|Furniture|320000|4|Grace|256000</t>
  </si>
  <si>
    <t>47115|South|Kano|Retail|Store|Air Conditioner X2|Home Appliances|180000|10|Peter|144000</t>
  </si>
  <si>
    <t>47116|North|Port Harcourt|Corporate|Store|Laptop A13|Electronics|420000|2|Aisha|336000</t>
  </si>
  <si>
    <t>47117|South|Port Harcourt|Corporate|Store|Printer P50|Electronics|150000|6|Aisha|120000</t>
  </si>
  <si>
    <t>47118|West|Lagos|Corporate|Store|Printer P50|Electronics|150000|4|David|120000</t>
  </si>
  <si>
    <t>47119|East|Port Harcourt|Corporate|Store|Smartphone Z10|Electronics|250000|9|Aisha|200000</t>
  </si>
  <si>
    <t>47120|South|Lagos|Corporate|Store|Refrigerator R55|Home Appliances|220000|8|Grace|176000</t>
  </si>
  <si>
    <t>47121|North|Kano|Retail|Store|Printer P50|Electronics|150000|2|Musa|120000</t>
  </si>
  <si>
    <t>47122|West|Lagos|Corporate|Store|Refrigerator R55|Home Appliances|220000|4|Musa|176000</t>
  </si>
  <si>
    <t>47123|South|Port Harcourt|Corporate|Store|Blender B10|Home Appliances|30000|6|Aisha|24000</t>
  </si>
  <si>
    <t>47124|East|Abuja|Retail|Store|Office Chair Pro|Furniture|85000|3|Musa|68000</t>
  </si>
  <si>
    <t>47125|East|Lagos|Retail|Store|Office Chair Pro|Furniture|85000|2|Chidinma|68000</t>
  </si>
  <si>
    <t>47126|North|Lagos|Retail|Store|Smartphone Z10|Electronics|250000|10|Musa|200000</t>
  </si>
  <si>
    <t>47127|West|Lagos|Corporate|Store|Refrigerator R55|Home Appliances|220000|2|Aisha|176000</t>
  </si>
  <si>
    <t>47128|West|Port Harcourt|Corporate|Store|Desktop PC D21|Electronics|300000|9|Aisha|240000</t>
  </si>
  <si>
    <t>47129|East|Abuja|Retail|Store|Refrigerator R55|Home Appliances|220000|3|David|176000</t>
  </si>
  <si>
    <t>47130|East|Abuja|Corporate|Store|Smartphone Z10|Electronics|250000|8|Musa|200000</t>
  </si>
  <si>
    <t>47131|South|Lagos|Corporate|Store|Smartphone Z10|Electronics|250000|5|Grace|200000</t>
  </si>
  <si>
    <t>47132|North|Abuja|Retail|Store|Laptop A13|Electronics|420000|5|David|336000</t>
  </si>
  <si>
    <t>47133|South|Lagos|Retail|Store|Microwave M20|Home Appliances|60000|7|Grace|48000</t>
  </si>
  <si>
    <t>47134|East|Kano|Retail|Store|Blender B10|Home Appliances|30000|8|Chidinma|24000</t>
  </si>
  <si>
    <t>47135|North|Port Harcourt|Corporate|Store|Smartphone Z10|Electronics|250000|2|Musa|200000</t>
  </si>
  <si>
    <t>47136|East|Port Harcourt|Retail|Store|Microwave M20|Home Appliances|60000|8|Grace|48000</t>
  </si>
  <si>
    <t>47137|West|Port Harcourt|Retail|Store|Blender B10|Home Appliances|30000|7|Aisha|24000</t>
  </si>
  <si>
    <t>47138|South|Lagos|Corporate|Store|Blender B10|Home Appliances|30000|3|Chidinma|24000</t>
  </si>
  <si>
    <t>47139|South|Kano|Corporate|Store|Air Conditioner X2|Home Appliances|180000|5|Aisha|144000</t>
  </si>
  <si>
    <t>47140|East|Abuja|Retail|Store|Smartphone Z10|Electronics|250000|5|Peter|200000</t>
  </si>
  <si>
    <t>47141|East|Port Harcourt|Retail|Store|Office Chair Pro|Furniture|85000|3|Aisha|68000</t>
  </si>
  <si>
    <t>47142|North|Port Harcourt|Corporate|Store|Blender B10|Home Appliances|30000|1|David|24000</t>
  </si>
  <si>
    <t>47143|South|Kano|Corporate|Store|Desktop PC D21|Electronics|300000|10|Peter|240000</t>
  </si>
  <si>
    <t>47144|South|Lagos|Corporate|Store|Laptop A13|Electronics|420000|5|Aisha|336000</t>
  </si>
  <si>
    <t>47145|East|Port Harcourt|Corporate|Store|Smartphone Z10|Electronics|250000|4|Aisha|200000</t>
  </si>
  <si>
    <t>47146|South|Kano|Retail|Store|Refrigerator R55|Home Appliances|220000|3|Chidinma|176000</t>
  </si>
  <si>
    <t>47147|North|Abuja|Retail|Store|Sofa Classic|Furniture|320000|2|Musa|256000</t>
  </si>
  <si>
    <t>47148|West|Abuja|Corporate|Store|Sofa Classic|Furniture|320000|9|Grace|256000</t>
  </si>
  <si>
    <t>47149|North|Lagos|Retail|Store|Refrigerator R55|Home Appliances|220000|10|David|176000</t>
  </si>
  <si>
    <t>47150|South|Port Harcourt|Retail|Store|Office Chair Pro|Furniture|85000|1|Musa|68000</t>
  </si>
  <si>
    <t>47151|South|Abuja|Retail|Online|Desktop PC D21|Electronics|300000|4|Musa|240000</t>
  </si>
  <si>
    <t>47152|South|Abuja|Corporate|Store|Office Chair Pro|Furniture|85000|5|David|68000</t>
  </si>
  <si>
    <t>47153|South|Abuja|Corporate|Online|Desktop PC D21|Electronics|300000|5|Grace|240000</t>
  </si>
  <si>
    <t>47154|South|Abuja|Retail|Store|Desktop PC D21|Electronics|300000|5|Chidinma|240000</t>
  </si>
  <si>
    <t>47155|West|Lagos|Corporate|Store|Blender B10|Home Appliances|30000|10|Chidinma|24000</t>
  </si>
  <si>
    <t>47156|South|Kano|Retail|Online|Refrigerator R55|Home Appliances|220000|6|Peter|176000</t>
  </si>
  <si>
    <t>47157|West|Abuja|Corporate|Online|Office Chair Pro|Furniture|85000|9|David|68000</t>
  </si>
  <si>
    <t>47158|East|Abuja|Retail|Online|Laptop A13|Electronics|420000|10|Musa|336000</t>
  </si>
  <si>
    <t>47159|North|Port Harcourt|Corporate|Store|Laptop A13|Electronics|420000|1|Peter|336000</t>
  </si>
  <si>
    <t>47160|West|Lagos|Retail|Store|Microwave M20|Home Appliances|60000|6|Musa|48000</t>
  </si>
  <si>
    <t>47161|South|Abuja|Retail|Store|Printer P50|Electronics|150000|1|Musa|120000</t>
  </si>
  <si>
    <t>47162|North|Kano|Retail|Online|Smartphone Z10|Electronics|250000|5|Musa|200000</t>
  </si>
  <si>
    <t>47163|East|Abuja|Retail|Store|Refrigerator R55|Home Appliances|220000|5|Musa|176000</t>
  </si>
  <si>
    <t>47164|West|Lagos|Corporate|Store|Microwave M20|Home Appliances|60000|2|Musa|48000</t>
  </si>
  <si>
    <t>47165|East|Abuja|Corporate|Store|Printer P50|Electronics|150000|3|Grace|120000</t>
  </si>
  <si>
    <t>47166|South|Lagos|Corporate|Store|Office Chair Pro|Furniture|85000|3|Aisha|68000</t>
  </si>
  <si>
    <t>47167|North|Abuja|Retail|Store|Air Conditioner X2|Home Appliances|180000|7|Grace|144000</t>
  </si>
  <si>
    <t>47168|North|Lagos|Corporate|Online|Air Conditioner X2|Home Appliances|180000|10|Aisha|144000</t>
  </si>
  <si>
    <t>47169|North|Port Harcourt|Corporate|Store|Air Conditioner X2|Home Appliances|180000|1|Musa|144000</t>
  </si>
  <si>
    <t>47170|West|Abuja|Retail|Online|Sofa Classic|Furniture|320000|5|Musa|256000</t>
  </si>
  <si>
    <t>47171|East|Lagos|Retail|Store|Laptop A13|Electronics|420000|5|Peter|336000</t>
  </si>
  <si>
    <t>47172|West|Kano|Corporate|Online|Air Conditioner X2|Home Appliances|180000|2|Chidinma|144000</t>
  </si>
  <si>
    <t>47173|South|Kano|Retail|Store|Refrigerator R55|Home Appliances|220000|1|David|176000</t>
  </si>
  <si>
    <t>47174|West|Kano|Corporate|Online|Sofa Classic|Furniture|320000|4|Aisha|256000</t>
  </si>
  <si>
    <t>47175|South|Kano|Retail|Online|Smartphone Z10|Electronics|250000|4|David|200000</t>
  </si>
  <si>
    <t>47176|South|Port Harcourt|Retail|Store|Microwave M20|Home Appliances|60000|10|Grace|48000</t>
  </si>
  <si>
    <t>47177|East|Abuja|Corporate|Online|Air Conditioner X2|Home Appliances|180000|10|Aisha|144000</t>
  </si>
  <si>
    <t>47178|East|Kano|Corporate|Store|Desktop PC D21|Electronics|300000|5|Peter|240000</t>
  </si>
  <si>
    <t>47179|East|Abuja|Retail|Store|Office Chair Pro|Furniture|85000|7|Aisha|68000</t>
  </si>
  <si>
    <t>47180|East|Port Harcourt|Retail|Online|Air Conditioner X2|Home Appliances|180000|5|Musa|144000</t>
  </si>
  <si>
    <t>47181|East|Kano|Corporate|Store|Sofa Classic|Furniture|320000|4|David|256000</t>
  </si>
  <si>
    <t>47182|West|Port Harcourt|Corporate|Online|Air Conditioner X2|Home Appliances|180000|8|Musa|144000</t>
  </si>
  <si>
    <t>47183|North|Kano|Retail|Online|Blender B10|Home Appliances|30000|3|Aisha|24000</t>
  </si>
  <si>
    <t>47184|North|Abuja|Corporate|Store|Refrigerator R55|Home Appliances|220000|3|David|176000</t>
  </si>
  <si>
    <t>47185|East|Kano|Retail|Online|Office Chair Pro|Furniture|85000|4|David|68000</t>
  </si>
  <si>
    <t>47186|North|Lagos|Retail|Online|Air Conditioner X2|Home Appliances|180000|6|David|144000</t>
  </si>
  <si>
    <t>47187|North|Kano|Corporate|Store|Refrigerator R55|Home Appliances|220000|8|Chidinma|176000</t>
  </si>
  <si>
    <t>47188|South|Lagos|Retail|Store|Printer P50|Electronics|150000|1|Grace|120000</t>
  </si>
  <si>
    <t>47189|North|Kano|Corporate|Online|Air Conditioner X2|Home Appliances|180000|9|Peter|144000</t>
  </si>
  <si>
    <t>47190|North|Kano|Corporate|Store|Laptop A13|Electronics|420000|10|Chidinma|336000</t>
  </si>
  <si>
    <t>47191|West|Abuja|Retail|Online|Smartphone Z10|Electronics|250000|10|Chidinma|200000</t>
  </si>
  <si>
    <t>47192|East|Kano|Retail|Store|Refrigerator R55|Home Appliances|220000|3|David|176000</t>
  </si>
  <si>
    <t>47193|North|Abuja|Retail|Online|Blender B10|Home Appliances|30000|4|Peter|24000</t>
  </si>
  <si>
    <t>47194|East|Abuja|Retail|Store|Air Conditioner X2|Home Appliances|180000|9|Peter|144000</t>
  </si>
  <si>
    <t>47195|West|Kano|Retail|Store|Air Conditioner X2|Home Appliances|180000|7|Peter|144000</t>
  </si>
  <si>
    <t>47196|East|Port Harcourt|Corporate|Store|Printer P50|Electronics|150000|7|Chidinma|120000</t>
  </si>
  <si>
    <t>47197|East|Abuja|Retail|Online|Blender B10|Home Appliances|30000|4|Musa|24000</t>
  </si>
  <si>
    <t>47198|East|Lagos|Retail|Online|Sofa Classic|Furniture|320000|2|Peter|256000</t>
  </si>
  <si>
    <t>47199|East|Lagos|Corporate|Store|Sofa Classic|Furniture|320000|6|Aisha|256000</t>
  </si>
  <si>
    <t>47200|East|Kano|Corporate|Store|Laptop A13|Electronics|420000|10|David|336000</t>
  </si>
  <si>
    <t>47201|South|Abuja|Retail|Online|Refrigerator R55|Home Appliances|220000|8|Chidinma|176000</t>
  </si>
  <si>
    <t>47202|East|Port Harcourt|Retail|Online|Desktop PC D21|Electronics|300000|10|Chidinma|240000</t>
  </si>
  <si>
    <t>47203|South|Abuja|Corporate|Store|Desktop PC D21|Electronics|300000|3|Musa|240000</t>
  </si>
  <si>
    <t>47204|North|Port Harcourt|Retail|Online|Sofa Classic|Furniture|320000|5|Aisha|256000</t>
  </si>
  <si>
    <t>47205|East|Abuja|Retail|Online|Office Chair Pro|Furniture|85000|7|Chidinma|68000</t>
  </si>
  <si>
    <t>47206|West|Kano|Retail|Store|Refrigerator R55|Home Appliances|220000|2|Aisha|176000</t>
  </si>
  <si>
    <t>47207|North|Abuja|Retail|Store|Desktop PC D21|Electronics|300000|2|Musa|240000</t>
  </si>
  <si>
    <t>47208|South|Lagos|Corporate|Online|Office Chair Pro|Furniture|85000|3|David|68000</t>
  </si>
  <si>
    <t>47209|North|Abuja|Retail|Store|Refrigerator R55|Home Appliances|220000|7|Aisha|176000</t>
  </si>
  <si>
    <t>47210|East|Kano|Corporate|Online|Printer P50|Electronics|150000|3|Musa|120000</t>
  </si>
  <si>
    <t>47211|East|Lagos|Retail|Store|Laptop A13|Electronics|420000|10|Aisha|336000</t>
  </si>
  <si>
    <t>47212|North|Lagos|Retail|Store|Microwave M20|Home Appliances|60000|3|Peter|48000</t>
  </si>
  <si>
    <t>47213|East|Lagos|Corporate|Online|Desktop PC D21|Electronics|300000|9|David|240000</t>
  </si>
  <si>
    <t>47214|South|Lagos|Corporate|Online|Microwave M20|Home Appliances|60000|7|Chidinma|48000</t>
  </si>
  <si>
    <t>47215|West|Port Harcourt|Retail|Online|Sofa Classic|Furniture|320000|3|Musa|256000</t>
  </si>
  <si>
    <t>47216|North|Lagos|Corporate|Online|Refrigerator R55|Home Appliances|220000|5|Chidinma|176000</t>
  </si>
  <si>
    <t>47217|East|Lagos|Corporate|Online|Refrigerator R55|Home Appliances|220000|2|Chidinma|176000</t>
  </si>
  <si>
    <t>47218|West|Port Harcourt|Retail|Store|Printer P50|Electronics|150000|10|David|120000</t>
  </si>
  <si>
    <t>47219|North|Kano|Retail|Store|Blender B10|Home Appliances|30000|8|Grace|24000</t>
  </si>
  <si>
    <t>47220|East|Lagos|Retail|Store|Blender B10|Home Appliances|30000|9|Peter|24000</t>
  </si>
  <si>
    <t>47221|East|Port Harcourt|Retail|Store|Printer P50|Electronics|150000|3|David|120000</t>
  </si>
  <si>
    <t>47222|East|Port Harcourt|Corporate|Online|Microwave M20|Home Appliances|60000|6|Musa|48000</t>
  </si>
  <si>
    <t>47223|East|Port Harcourt|Corporate|Store|Smartphone Z10|Electronics|250000|1|Musa|200000</t>
  </si>
  <si>
    <t>47224|West|Kano|Retail|Store|Office Chair Pro|Furniture|85000|8|Musa|68000</t>
  </si>
  <si>
    <t>47225|North|Port Harcourt|Retail|Store|Air Conditioner X2|Home Appliances|180000|8|Musa|144000</t>
  </si>
  <si>
    <t>47226|East|Abuja|Corporate|Store|Refrigerator R55|Home Appliances|220000|9|Aisha|176000</t>
  </si>
  <si>
    <t>47227|West|Port Harcourt|Retail|Store|Smartphone Z10|Electronics|250000|3|Musa|200000</t>
  </si>
  <si>
    <t>47228|North|Abuja|Retail|Online|Laptop A13|Electronics|420000|6|Grace|336000</t>
  </si>
  <si>
    <t>47229|East|Lagos|Corporate|Store|Air Conditioner X2|Home Appliances|180000|3|Chidinma|144000</t>
  </si>
  <si>
    <t>47230|South|Kano|Corporate|Store|Air Conditioner X2|Home Appliances|180000|9|Chidinma|144000</t>
  </si>
  <si>
    <t>47231|East|Kano|Retail|Online|Laptop A13|Electronics|420000|5|Chidinma|336000</t>
  </si>
  <si>
    <t>47232|North|Kano|Retail|Store|Air Conditioner X2|Home Appliances|180000|6|Grace|144000</t>
  </si>
  <si>
    <t>47233|East|Kano|Corporate|Online|Desktop PC D21|Electronics|300000|3|Musa|240000</t>
  </si>
  <si>
    <t>47234|West|Kano|Retail|Online|Refrigerator R55|Home Appliances|220000|7|Chidinma|176000</t>
  </si>
  <si>
    <t>47235|South|Lagos|Retail|Online|Microwave M20|Home Appliances|60000|2|Chidinma|48000</t>
  </si>
  <si>
    <t>47236|South|Lagos|Corporate|Online|Blender B10|Home Appliances|30000|4|Peter|24000</t>
  </si>
  <si>
    <t>47237|West|Lagos|Corporate|Store|Sofa Classic|Furniture|320000|8|Peter|256000</t>
  </si>
  <si>
    <t>47238|West|Abuja|Corporate|Store|Air Conditioner X2|Home Appliances|180000|5|Musa|144000</t>
  </si>
  <si>
    <t>47239|East|Port Harcourt|Retail|Store|Sofa Classic|Furniture|320000|6|Musa|256000</t>
  </si>
  <si>
    <t>47240|South|Lagos|Retail|Online|Laptop A13|Electronics|420000|3|Musa|336000</t>
  </si>
  <si>
    <t>47241|North|Abuja|Corporate|Online|Printer P50|Electronics|150000|2|Grace|120000</t>
  </si>
  <si>
    <t>47242|West|Abuja|Retail|Online|Air Conditioner X2|Home Appliances|180000|8|Peter|144000</t>
  </si>
  <si>
    <t>47243|North|Lagos|Retail|Online|Printer P50|Electronics|150000|4|Peter|120000</t>
  </si>
  <si>
    <t>47244|North|Kano|Corporate|Store|Microwave M20|Home Appliances|60000|8|Musa|48000</t>
  </si>
  <si>
    <t>47245|North|Port Harcourt|Corporate|Store|Laptop A13|Electronics|420000|5|Aisha|336000</t>
  </si>
  <si>
    <t>47246|North|Port Harcourt|Retail|Store|Laptop A13|Electronics|420000|6|Grace|336000</t>
  </si>
  <si>
    <t>47247|South|Port Harcourt|Retail|Store|Desktop PC D21|Electronics|300000|4|David|240000</t>
  </si>
  <si>
    <t>47248|East|Abuja|Retail|Online|Air Conditioner X2|Home Appliances|180000|1|Grace|144000</t>
  </si>
  <si>
    <t>47249|North|Abuja|Corporate|Online|Laptop A13|Electronics|420000|5|Aisha|336000</t>
  </si>
  <si>
    <t>47250|West|Lagos|Corporate|Store|Smartphone Z10|Electronics|250000|7|Grace|200000</t>
  </si>
  <si>
    <t>47251|South|Abuja|Corporate|Online|Blender B10|Home Appliances|30000|1|Grace|24000</t>
  </si>
  <si>
    <t>47252|South|Lagos|Corporate|Online|Air Conditioner X2|Home Appliances|180000|9|Peter|144000</t>
  </si>
  <si>
    <t>47253|North|Lagos|Corporate|Online|Desktop PC D21|Electronics|300000|7|Grace|240000</t>
  </si>
  <si>
    <t>47254|East|Lagos|Retail|Online|Microwave M20|Home Appliances|60000|2|Grace|48000</t>
  </si>
  <si>
    <t>47255|West|Abuja|Corporate|Online|Smartphone Z10|Electronics|250000|5|Musa|200000</t>
  </si>
  <si>
    <t>47256|North|Abuja|Corporate|Store|Office Chair Pro|Furniture|85000|9|Peter|68000</t>
  </si>
  <si>
    <t>47257|North|Kano|Retail|Online|Laptop A13|Electronics|420000|5|Musa|336000</t>
  </si>
  <si>
    <t>47258|East|Abuja|Retail|Online|Laptop A13|Electronics|420000|7|Musa|336000</t>
  </si>
  <si>
    <t>47259|North|Port Harcourt|Retail|Store|Sofa Classic|Furniture|320000|3|Musa|256000</t>
  </si>
  <si>
    <t>47260|South|Port Harcourt|Corporate|Store|Smartphone Z10|Electronics|250000|10|Musa|200000</t>
  </si>
  <si>
    <t>47261|East|Kano|Retail|Online|Printer P50|Electronics|150000|9|Grace|120000</t>
  </si>
  <si>
    <t>47262|West|Port Harcourt|Corporate|Online|Desktop PC D21|Electronics|300000|10|Chidinma|240000</t>
  </si>
  <si>
    <t>47263|East|Port Harcourt|Corporate|Store|Desktop PC D21|Electronics|300000|2|Peter|240000</t>
  </si>
  <si>
    <t>47264|East|Abuja|Retail|Store|Air Conditioner X2|Home Appliances|180000|2|Peter|144000</t>
  </si>
  <si>
    <t>47265|West|Abuja|Corporate|Store|Sofa Classic|Furniture|320000|10|Grace|256000</t>
  </si>
  <si>
    <t>47266|North|Port Harcourt|Corporate|Store|Sofa Classic|Furniture|320000|1|Aisha|256000</t>
  </si>
  <si>
    <t>47267|North|Abuja|Retail|Store|Printer P50|Electronics|150000|6|Peter|120000</t>
  </si>
  <si>
    <t>47268|North|Lagos|Corporate|Store|Office Chair Pro|Furniture|85000|9|Peter|68000</t>
  </si>
  <si>
    <t>47269|West|Port Harcourt|Retail|Online|Laptop A13|Electronics|420000|7|Chidinma|336000</t>
  </si>
  <si>
    <t>47270|East|Port Harcourt|Retail|Online|Blender B10|Home Appliances|30000|3|Peter|24000</t>
  </si>
  <si>
    <t>47271|East|Lagos|Corporate|Store|Blender B10|Home Appliances|30000|9|Chidinma|24000</t>
  </si>
  <si>
    <t>47272|South|Port Harcourt|Corporate|Store|Microwave M20|Home Appliances|60000|1|Aisha|48000</t>
  </si>
  <si>
    <t>47273|North|Port Harcourt|Corporate|Online|Smartphone Z10|Electronics|250000|1|Grace|200000</t>
  </si>
  <si>
    <t>47274|North|Lagos|Corporate|Online|Printer P50|Electronics|150000|9|Chidinma|120000</t>
  </si>
  <si>
    <t>47275|West|Kano|Corporate|Online|Printer P50|Electronics|150000|8|David|120000</t>
  </si>
  <si>
    <t>47276|South|Port Harcourt|Retail|Store|Microwave M20|Home Appliances|60000|4|David|48000</t>
  </si>
  <si>
    <t>47277|West|Abuja|Retail|Store|Blender B10|Home Appliances|30000|3|Peter|24000</t>
  </si>
  <si>
    <t>47278|West|Port Harcourt|Retail|Store|Sofa Classic|Furniture|320000|4|Peter|256000</t>
  </si>
  <si>
    <t>47279|North|Kano|Corporate|Online|Air Conditioner X2|Home Appliances|180000|8|Musa|144000</t>
  </si>
  <si>
    <t>47280|East|Abuja|Retail|Store|Office Chair Pro|Furniture|85000|4|David|68000</t>
  </si>
  <si>
    <t>47281|North|Lagos|Corporate|Store|Refrigerator R55|Home Appliances|220000|10|Chidinma|176000</t>
  </si>
  <si>
    <t>47282|South|Port Harcourt|Corporate|Store|Office Chair Pro|Furniture|85000|5|Peter|68000</t>
  </si>
  <si>
    <t>47283|West|Lagos|Retail|Store|Desktop PC D21|Electronics|300000|2|Aisha|240000</t>
  </si>
  <si>
    <t>47284|East|Abuja|Corporate|Online|Air Conditioner X2|Home Appliances|180000|1|Peter|144000</t>
  </si>
  <si>
    <t>47285|South|Abuja|Retail|Online|Printer P50|Electronics|150000|3|Peter|120000</t>
  </si>
  <si>
    <t>47286|South|Kano|Corporate|Store|Air Conditioner X2|Home Appliances|180000|3|Musa|144000</t>
  </si>
  <si>
    <t>47287|North|Kano|Retail|Online|Printer P50|Electronics|150000|5|David|120000</t>
  </si>
  <si>
    <t>47288|East|Abuja|Corporate|Online|Microwave M20|Home Appliances|60000|8|David|48000</t>
  </si>
  <si>
    <t>47289|East|Port Harcourt|Retail|Store|Smartphone Z10|Electronics|250000|5|David|200000</t>
  </si>
  <si>
    <t>47290|East|Kano|Retail|Online|Air Conditioner X2|Home Appliances|180000|3|Chidinma|144000</t>
  </si>
  <si>
    <t>47291|North|Port Harcourt|Corporate|Online|Sofa Classic|Furniture|320000|9|Chidinma|256000</t>
  </si>
  <si>
    <t>47292|West|Port Harcourt|Corporate|Store|Office Chair Pro|Furniture|85000|5|Musa|68000</t>
  </si>
  <si>
    <t>47293|South|Lagos|Retail|Online|Refrigerator R55|Home Appliances|220000|1|Aisha|176000</t>
  </si>
  <si>
    <t>47294|East|Lagos|Retail|Store|Air Conditioner X2|Home Appliances|180000|2|Musa|144000</t>
  </si>
  <si>
    <t>47295|East|Lagos|Corporate|Store|Printer P50|Electronics|150000|1|Peter|120000</t>
  </si>
  <si>
    <t>47296|West|Kano|Retail|Store|Air Conditioner X2|Home Appliances|180000|2|David|144000</t>
  </si>
  <si>
    <t>47297|North|Abuja|Corporate|Online|Sofa Classic|Furniture|320000|4|Grace|256000</t>
  </si>
  <si>
    <t>47298|North|Abuja|Retail|Store|Printer P50|Electronics|150000|10|Chidinma|120000</t>
  </si>
  <si>
    <t>47299|South|Kano|Corporate|Store|Blender B10|Home Appliances|30000|3|Peter|24000</t>
  </si>
  <si>
    <t>47300|South|Kano|Retail|Store|Office Chair Pro|Furniture|85000|4|Peter|68000</t>
  </si>
  <si>
    <t>47301|West|Abuja|Retail|Store|Air Conditioner X2|Home Appliances|180000|10|Peter|144000</t>
  </si>
  <si>
    <t>47302|West|Lagos|Corporate|Store|Sofa Classic|Furniture|320000|9|Aisha|256000</t>
  </si>
  <si>
    <t>47303|South|Lagos|Corporate|Online|Printer P50|Electronics|150000|3|Grace|120000</t>
  </si>
  <si>
    <t>47304|North|Lagos|Retail|Online|Refrigerator R55|Home Appliances|220000|5|Grace|176000</t>
  </si>
  <si>
    <t>47305|North|Abuja|Corporate|Store|Desktop PC D21|Electronics|300000|2|Chidinma|240000</t>
  </si>
  <si>
    <t>47306|East|Port Harcourt|Corporate|Online|Desktop PC D21|Electronics|300000|6|Grace|240000</t>
  </si>
  <si>
    <t>47307|North|Abuja|Corporate|Online|Air Conditioner X2|Home Appliances|180000|7|Grace|144000</t>
  </si>
  <si>
    <t>47308|West|Kano|Corporate|Store|Sofa Classic|Furniture|320000|6|Chidinma|256000</t>
  </si>
  <si>
    <t>47309|North|Lagos|Retail|Store|Smartphone Z10|Electronics|250000|5|Peter|200000</t>
  </si>
  <si>
    <t>47310|West|Lagos|Retail|Online|Desktop PC D21|Electronics|300000|3|Grace|240000</t>
  </si>
  <si>
    <t>47311|West|Abuja|Retail|Store|Air Conditioner X2|Home Appliances|180000|8|Grace|144000</t>
  </si>
  <si>
    <t>47312|East|Abuja|Retail|Store|Sofa Classic|Furniture|320000|5|David|256000</t>
  </si>
  <si>
    <t>47313|West|Abuja|Retail|Online|Smartphone Z10|Electronics|250000|7|David|200000</t>
  </si>
  <si>
    <t>47314|West|Lagos|Retail|Store|Desktop PC D21|Electronics|300000|8|Chidinma|240000</t>
  </si>
  <si>
    <t>47315|West|Lagos|Corporate|Online|Laptop A13|Electronics|420000|4|Grace|336000</t>
  </si>
  <si>
    <t>47316|West|Port Harcourt|Corporate|Store|Smartphone Z10|Electronics|250000|6|Musa|200000</t>
  </si>
  <si>
    <t>47317|East|Abuja|Retail|Online|Printer P50|Electronics|150000|3|Musa|120000</t>
  </si>
  <si>
    <t>47318|North|Port Harcourt|Corporate|Store|Desktop PC D21|Electronics|300000|6|Aisha|240000</t>
  </si>
  <si>
    <t>47319|South|Port Harcourt|Retail|Store|Air Conditioner X2|Home Appliances|180000|2|Musa|144000</t>
  </si>
  <si>
    <t>47320|East|Lagos|Corporate|Store|Printer P50|Electronics|150000|6|David|120000</t>
  </si>
  <si>
    <t>47321|South|Kano|Retail|Store|Microwave M20|Home Appliances|60000|8|Aisha|48000</t>
  </si>
  <si>
    <t>47322|West|Lagos|Retail|Store|Refrigerator R55|Home Appliances|220000|9|Musa|176000</t>
  </si>
  <si>
    <t>47323|North|Abuja|Corporate|Online|Desktop PC D21|Electronics|300000|9|Peter|240000</t>
  </si>
  <si>
    <t>47324|West|Abuja|Retail|Online|Laptop A13|Electronics|420000|1|Aisha|336000</t>
  </si>
  <si>
    <t>47325|South|Abuja|Retail|Store|Refrigerator R55|Home Appliances|220000|6|Peter|176000</t>
  </si>
  <si>
    <t>47326|West|Lagos|Retail|Store|Blender B10|Home Appliances|30000|5|Musa|24000</t>
  </si>
  <si>
    <t>47327|North|Kano|Corporate|Online|Blender B10|Home Appliances|30000|9|Musa|24000</t>
  </si>
  <si>
    <t>47328|South|Port Harcourt|Retail|Online|Smartphone Z10|Electronics|250000|1|Peter|200000</t>
  </si>
  <si>
    <t>47329|South|Abuja|Retail|Online|Refrigerator R55|Home Appliances|220000|8|David|176000</t>
  </si>
  <si>
    <t>47330|East|Lagos|Retail|Online|Laptop A13|Electronics|420000|8|Grace|336000</t>
  </si>
  <si>
    <t>47331|North|Kano|Retail|Online|Desktop PC D21|Electronics|300000|10|Peter|240000</t>
  </si>
  <si>
    <t>47332|North|Abuja|Retail|Online|Printer P50|Electronics|150000|1|Peter|120000</t>
  </si>
  <si>
    <t>47333|North|Abuja|Retail|Store|Refrigerator R55|Home Appliances|220000|6|Musa|176000</t>
  </si>
  <si>
    <t>47334|North|Lagos|Corporate|Online|Air Conditioner X2|Home Appliances|180000|3|Grace|144000</t>
  </si>
  <si>
    <t>47335|North|Port Harcourt|Retail|Store|Microwave M20|Home Appliances|60000|10|Peter|48000</t>
  </si>
  <si>
    <t>47336|South|Port Harcourt|Corporate|Online|Refrigerator R55|Home Appliances|220000|1|Aisha|176000</t>
  </si>
  <si>
    <t>47337|North|Kano|Retail|Store|Smartphone Z10|Electronics|250000|5|Musa|200000</t>
  </si>
  <si>
    <t>47338|South|Lagos|Corporate|Store|Smartphone Z10|Electronics|250000|8|Peter|200000</t>
  </si>
  <si>
    <t>47339|West|Abuja|Corporate|Online|Printer P50|Electronics|150000|4|David|120000</t>
  </si>
  <si>
    <t>47340|South|Lagos|Retail|Online|Refrigerator R55|Home Appliances|220000|3|Aisha|176000</t>
  </si>
  <si>
    <t>47341|South|Kano|Retail|Online|Air Conditioner X2|Home Appliances|180000|7|Aisha|144000</t>
  </si>
  <si>
    <t>47342|South|Lagos|Corporate|Store|Printer P50|Electronics|150000|4|Peter|120000</t>
  </si>
  <si>
    <t>47343|East|Kano|Corporate|Online|Printer P50|Electronics|150000|10|David|120000</t>
  </si>
  <si>
    <t>47344|West|Lagos|Retail|Online|Printer P50|Electronics|150000|1|Grace|120000</t>
  </si>
  <si>
    <t>47345|North|Kano|Corporate|Store|Printer P50|Electronics|150000|4|David|120000</t>
  </si>
  <si>
    <t>47346|West|Kano|Corporate|Online|Microwave M20|Home Appliances|60000|5|Aisha|48000</t>
  </si>
  <si>
    <t>47347|South|Abuja|Retail|Store|Refrigerator R55|Home Appliances|220000|7|Chidinma|176000</t>
  </si>
  <si>
    <t>47348|North|Lagos|Retail|Store|Printer P50|Electronics|150000|4|Grace|120000</t>
  </si>
  <si>
    <t>47349|East|Kano|Corporate|Online|Sofa Classic|Furniture|320000|6|Chidinma|256000</t>
  </si>
  <si>
    <t>47350|South|Port Harcourt|Retail|Store|Sofa Classic|Furniture|320000|6|Aisha|256000</t>
  </si>
  <si>
    <t>47351|West|Port Harcourt|Corporate|Store|Microwave M20|Home Appliances|60000|4|Aisha|48000</t>
  </si>
  <si>
    <t>47352|North|Lagos|Retail|Online|Office Chair Pro|Furniture|85000|8|David|68000</t>
  </si>
  <si>
    <t>47353|South|Kano|Corporate|Online|Office Chair Pro|Furniture|85000|2|Grace|68000</t>
  </si>
  <si>
    <t>47354|North|Kano|Corporate|Store|Office Chair Pro|Furniture|85000|9|Chidinma|68000</t>
  </si>
  <si>
    <t>47355|South|Kano|Retail|Store|Laptop A13|Electronics|420000|3|Peter|336000</t>
  </si>
  <si>
    <t>47356|North|Lagos|Retail|Online|Desktop PC D21|Electronics|300000|5|Peter|240000</t>
  </si>
  <si>
    <t>47357|East|Kano|Corporate|Store|Blender B10|Home Appliances|30000|1|Chidinma|24000</t>
  </si>
  <si>
    <t>47358|West|Abuja|Corporate|Store|Refrigerator R55|Home Appliances|220000|8|Aisha|176000</t>
  </si>
  <si>
    <t>47359|North|Port Harcourt|Corporate|Online|Sofa Classic|Furniture|320000|5|Chidinma|256000</t>
  </si>
  <si>
    <t>47360|East|Lagos|Corporate|Online|Desktop PC D21|Electronics|300000|10|Peter|240000</t>
  </si>
  <si>
    <t>47361|North|Port Harcourt|Retail|Store|Refrigerator R55|Home Appliances|220000|1|Chidinma|176000</t>
  </si>
  <si>
    <t>47362|South|Kano|Corporate|Online|Blender B10|Home Appliances|30000|6|David|24000</t>
  </si>
  <si>
    <t>47363|North|Lagos|Retail|Online|Laptop A13|Electronics|420000|1|Grace|336000</t>
  </si>
  <si>
    <t>47364|South|Abuja|Corporate|Store|Laptop A13|Electronics|420000|6|Aisha|336000</t>
  </si>
  <si>
    <t>47365|South|Abuja|Retail|Store|Office Chair Pro|Furniture|85000|7|Peter|68000</t>
  </si>
  <si>
    <t>47366|South|Lagos|Corporate|Store|Printer P50|Electronics|150000|7|Grace|120000</t>
  </si>
  <si>
    <t>47367|West|Lagos|Retail|Store|Printer P50|Electronics|150000|10|Chidinma|120000</t>
  </si>
  <si>
    <t>47368|East|Port Harcourt|Retail|Store|Blender B10|Home Appliances|30000|9|Chidinma|24000</t>
  </si>
  <si>
    <t>47369|South|Kano|Corporate|Online|Sofa Classic|Furniture|320000|8|Aisha|256000</t>
  </si>
  <si>
    <t>47370|East|Abuja|Retail|Store|Blender B10|Home Appliances|30000|9|Musa|24000</t>
  </si>
  <si>
    <t>47371|East|Kano|Corporate|Online|Smartphone Z10|Electronics|250000|3|David|200000</t>
  </si>
  <si>
    <t>47372|East|Lagos|Corporate|Online|Microwave M20|Home Appliances|60000|2|David|48000</t>
  </si>
  <si>
    <t>47373|West|Abuja|Retail|Store|Sofa Classic|Furniture|320000|3|Musa|256000</t>
  </si>
  <si>
    <t>47374|East|Kano|Retail|Online|Desktop PC D21|Electronics|300000|9|David|240000</t>
  </si>
  <si>
    <t>47375|East|Abuja|Retail|Online|Laptop A13|Electronics|420000|4|Grace|336000</t>
  </si>
  <si>
    <t>47376|West|Port Harcourt|Retail|Store|Sofa Classic|Furniture|320000|6|Peter|256000</t>
  </si>
  <si>
    <t>47377|West|Abuja|Retail|Store|Refrigerator R55|Home Appliances|220000|4|Grace|176000</t>
  </si>
  <si>
    <t>47378|South|Abuja|Retail|Store|Office Chair Pro|Furniture|85000|8|David|68000</t>
  </si>
  <si>
    <t>47379|West|Port Harcourt|Retail|Store|Laptop A13|Electronics|420000|7|Musa|336000</t>
  </si>
  <si>
    <t>47380|East|Abuja|Corporate|Store|Refrigerator R55|Home Appliances|220000|2|Chidinma|176000</t>
  </si>
  <si>
    <t>47381|North|Kano|Retail|Online|Printer P50|Electronics|150000|1|Peter|120000</t>
  </si>
  <si>
    <t>47382|North|Port Harcourt|Corporate|Store|Laptop A13|Electronics|420000|4|Aisha|336000</t>
  </si>
  <si>
    <t>47383|South|Lagos|Corporate|Online|Desktop PC D21|Electronics|300000|1|Musa|240000</t>
  </si>
  <si>
    <t>47384|West|Lagos|Retail|Store|Desktop PC D21|Electronics|300000|9|David|240000</t>
  </si>
  <si>
    <t>47385|South|Abuja|Retail|Online|Smartphone Z10|Electronics|250000|6|David|200000</t>
  </si>
  <si>
    <t>47386|North|Kano|Retail|Store|Blender B10|Home Appliances|30000|7|Musa|24000</t>
  </si>
  <si>
    <t>47387|South|Port Harcourt|Corporate|Online|Office Chair Pro|Furniture|85000|7|Grace|68000</t>
  </si>
  <si>
    <t>47388|West|Abuja|Corporate|Online|Office Chair Pro|Furniture|85000|7|Grace|68000</t>
  </si>
  <si>
    <t>47389|South|Kano|Retail|Online|Blender B10|Home Appliances|30000|4|Chidinma|24000</t>
  </si>
  <si>
    <t>47390|West|Kano|Retail|Online|Printer P50|Electronics|150000|9|David|120000</t>
  </si>
  <si>
    <t>47391|North|Port Harcourt|Corporate|Store|Refrigerator R55|Home Appliances|220000|9|Grace|176000</t>
  </si>
  <si>
    <t>47392|East|Kano|Corporate|Online|Blender B10|Home Appliances|30000|8|Aisha|24000</t>
  </si>
  <si>
    <t>47393|East|Kano|Retail|Online|Office Chair Pro|Furniture|85000|2|David|68000</t>
  </si>
  <si>
    <t>47394|South|Lagos|Corporate|Online|Air Conditioner X2|Home Appliances|180000|9|David|144000</t>
  </si>
  <si>
    <t>47395|East|Kano|Retail|Online|Printer P50|Electronics|150000|8|Grace|120000</t>
  </si>
  <si>
    <t>47396|North|Port Harcourt|Retail|Online|Microwave M20|Home Appliances|60000|8|Aisha|48000</t>
  </si>
  <si>
    <t>47397|West|Port Harcourt|Retail|Store|Desktop PC D21|Electronics|300000|5|Musa|240000</t>
  </si>
  <si>
    <t>47398|North|Lagos|Retail|Online|Blender B10|Home Appliances|30000|8|Peter|24000</t>
  </si>
  <si>
    <t>47399|North|Port Harcourt|Corporate|Store|Laptop A13|Electronics|420000|3|David|336000</t>
  </si>
  <si>
    <t>47400|West|Port Harcourt|Corporate|Online|Laptop A13|Electronics|420000|7|Grace|336000</t>
  </si>
  <si>
    <t>47401|East|Lagos|Corporate|Online|Office Chair Pro|Furniture|85000|9|Grace|68000</t>
  </si>
  <si>
    <t>47402|East|Lagos|Corporate|Online|Desktop PC D21|Electronics|300000|8|Musa|240000</t>
  </si>
  <si>
    <t>47403|North|Abuja|Retail|Store|Laptop A13|Electronics|420000|6|Chidinma|336000</t>
  </si>
  <si>
    <t>47404|South|Abuja|Corporate|Online|Printer P50|Electronics|150000|9|Peter|120000</t>
  </si>
  <si>
    <t>47405|East|Kano|Retail|Store|Blender B10|Home Appliances|30000|3|Musa|24000</t>
  </si>
  <si>
    <t>47406|East|Kano|Retail|Store|Blender B10|Home Appliances|30000|4|Aisha|24000</t>
  </si>
  <si>
    <t>47407|North|Lagos|Corporate|Online|Microwave M20|Home Appliances|60000|4|Aisha|48000</t>
  </si>
  <si>
    <t>47408|North|Kano|Retail|Store|Smartphone Z10|Electronics|250000|8|Chidinma|200000</t>
  </si>
  <si>
    <t>47409|North|Abuja|Corporate|Online|Blender B10|Home Appliances|30000|6|Musa|24000</t>
  </si>
  <si>
    <t>47410|South|Lagos|Corporate|Store|Smartphone Z10|Electronics|250000|1|David|200000</t>
  </si>
  <si>
    <t>47411|West|Port Harcourt|Retail|Online|Office Chair Pro|Furniture|85000|1|Peter|68000</t>
  </si>
  <si>
    <t>47412|North|Port Harcourt|Corporate|Store|Blender B10|Home Appliances|30000|9|Chidinma|24000</t>
  </si>
  <si>
    <t>47413|South|Abuja|Corporate|Store|Blender B10|Home Appliances|30000|3|Chidinma|24000</t>
  </si>
  <si>
    <t>47414|South|Port Harcourt|Corporate|Store|Printer P50|Electronics|150000|8|Musa|120000</t>
  </si>
  <si>
    <t>47415|North|Kano|Retail|Store|Office Chair Pro|Furniture|85000|4|David|68000</t>
  </si>
  <si>
    <t>47416|West|Kano|Corporate|Store|Sofa Classic|Furniture|320000|3|Musa|256000</t>
  </si>
  <si>
    <t>47417|East|Abuja|Retail|Online|Microwave M20|Home Appliances|60000|7|David|48000</t>
  </si>
  <si>
    <t>47418|East|Abuja|Corporate|Store|Desktop PC D21|Electronics|300000|6|David|240000</t>
  </si>
  <si>
    <t>47419|South|Abuja|Retail|Online|Printer P50|Electronics|150000|6|Peter|120000</t>
  </si>
  <si>
    <t>47420|South|Port Harcourt|Corporate|Online|Desktop PC D21|Electronics|300000|10|Musa|240000</t>
  </si>
  <si>
    <t>47421|East|Lagos|Retail|Online|Laptop A13|Electronics|420000|1|Chidinma|336000</t>
  </si>
  <si>
    <t>47422|West|Port Harcourt|Retail|Store|Microwave M20|Home Appliances|60000|1|David|48000</t>
  </si>
  <si>
    <t>47423|North|Lagos|Retail|Online|Printer P50|Electronics|150000|10|Grace|120000</t>
  </si>
  <si>
    <t>47424|West|Abuja|Retail|Online|Air Conditioner X2|Home Appliances|180000|10|Musa|144000</t>
  </si>
  <si>
    <t>47425|South|Port Harcourt|Corporate|Online|Printer P50|Electronics|150000|10|David|120000</t>
  </si>
  <si>
    <t>47426|East|Port Harcourt|Corporate|Store|Microwave M20|Home Appliances|60000|8|Grace|48000</t>
  </si>
  <si>
    <t>47427|North|Port Harcourt|Retail|Online|Refrigerator R55|Home Appliances|220000|7|Aisha|176000</t>
  </si>
  <si>
    <t>47428|East|Abuja|Retail|Online|Blender B10|Home Appliances|30000|1|Peter|24000</t>
  </si>
  <si>
    <t>47429|East|Lagos|Corporate|Store|Printer P50|Electronics|150000|6|Chidinma|120000</t>
  </si>
  <si>
    <t>47430|South|Abuja|Retail|Store|Blender B10|Home Appliances|30000|4|Chidinma|24000</t>
  </si>
  <si>
    <t>47431|South|Kano|Corporate|Online|Refrigerator R55|Home Appliances|220000|1|Musa|176000</t>
  </si>
  <si>
    <t>47432|South|Lagos|Retail|Online|Microwave M20|Home Appliances|60000|6|David|48000</t>
  </si>
  <si>
    <t>47433|South|Port Harcourt|Corporate|Store|Smartphone Z10|Electronics|250000|7|Grace|200000</t>
  </si>
  <si>
    <t>47434|East|Kano|Corporate|Online|Refrigerator R55|Home Appliances|220000|9|Peter|176000</t>
  </si>
  <si>
    <t>47435|South|Kano|Corporate|Online|Blender B10|Home Appliances|30000|10|Musa|24000</t>
  </si>
  <si>
    <t>47436|East|Kano|Retail|Online|Printer P50|Electronics|150000|1|David|120000</t>
  </si>
  <si>
    <t>47437|North|Port Harcourt|Retail|Online|Air Conditioner X2|Home Appliances|180000|3|Peter|144000</t>
  </si>
  <si>
    <t>47438|South|Port Harcourt|Corporate|Online|Laptop A13|Electronics|420000|10|Peter|336000</t>
  </si>
  <si>
    <t>47439|North|Port Harcourt|Corporate|Online|Office Chair Pro|Furniture|85000|2|Aisha|68000</t>
  </si>
  <si>
    <t>47440|West|Kano|Corporate|Online|Microwave M20|Home Appliances|60000|4|Aisha|48000</t>
  </si>
  <si>
    <t>47441|North|Lagos|Corporate|Online|Printer P50|Electronics|150000|9|Aisha|120000</t>
  </si>
  <si>
    <t>47442|South|Abuja|Retail|Store|Laptop A13|Electronics|420000|1|Peter|336000</t>
  </si>
  <si>
    <t>47443|East|Lagos|Retail|Online|Laptop A13|Electronics|420000|9|Aisha|336000</t>
  </si>
  <si>
    <t>47444|West|Abuja|Corporate|Store|Laptop A13|Electronics|420000|9|Grace|336000</t>
  </si>
  <si>
    <t>47445|West|Abuja|Retail|Store|Office Chair Pro|Furniture|85000|6|David|68000</t>
  </si>
  <si>
    <t>47446|North|Abuja|Corporate|Online|Sofa Classic|Furniture|320000|3|Peter|256000</t>
  </si>
  <si>
    <t>47447|North|Lagos|Corporate|Online|Air Conditioner X2|Home Appliances|180000|8|Musa|144000</t>
  </si>
  <si>
    <t>47448|West|Port Harcourt|Retail|Online|Office Chair Pro|Furniture|85000|6|Peter|68000</t>
  </si>
  <si>
    <t>47449|West|Abuja|Retail|Online|Desktop PC D21|Electronics|300000|3|Chidinma|240000</t>
  </si>
  <si>
    <t>47450|North|Port Harcourt|Corporate|Store|Air Conditioner X2|Home Appliances|180000|1|Musa|144000</t>
  </si>
  <si>
    <t>47451|East|Kano|Retail|Online|Refrigerator R55|Home Appliances|220000|1|Aisha|176000</t>
  </si>
  <si>
    <t>47452|South|Abuja|Retail|Store|Blender B10|Home Appliances|30000|1|Aisha|24000</t>
  </si>
  <si>
    <t>47453|East|Port Harcourt|Corporate|Store|Microwave M20|Home Appliances|60000|2|Grace|48000</t>
  </si>
  <si>
    <t>47454|West|Lagos|Retail|Store|Smartphone Z10|Electronics|250000|7|Aisha|200000</t>
  </si>
  <si>
    <t>47455|West|Kano|Corporate|Online|Laptop A13|Electronics|420000|10|Musa|336000</t>
  </si>
  <si>
    <t>47456|West|Port Harcourt|Corporate|Online|Sofa Classic|Furniture|320000|10|Peter|256000</t>
  </si>
  <si>
    <t>47457|South|Abuja|Retail|Online|Desktop PC D21|Electronics|300000|1|Musa|240000</t>
  </si>
  <si>
    <t>47458|South|Kano|Corporate|Store|Printer P50|Electronics|150000|3|David|120000</t>
  </si>
  <si>
    <t>47459|West|Kano|Corporate|Online|Smartphone Z10|Electronics|250000|3|Aisha|200000</t>
  </si>
  <si>
    <t>47460|North|Lagos|Retail|Store|Laptop A13|Electronics|420000|4|David|336000</t>
  </si>
  <si>
    <t>47461|North|Lagos|Corporate|Online|Air Conditioner X2|Home Appliances|180000|1|Chidinma|144000</t>
  </si>
  <si>
    <t>47462|North|Port Harcourt|Corporate|Store|Printer P50|Electronics|150000|3|Peter|120000</t>
  </si>
  <si>
    <t>47463|South|Abuja|Corporate|Online|Refrigerator R55|Home Appliances|220000|9|Musa|176000</t>
  </si>
  <si>
    <t>47464|North|Kano|Corporate|Online|Laptop A13|Electronics|420000|4|Musa|336000</t>
  </si>
  <si>
    <t>47465|North|Kano|Corporate|Store|Desktop PC D21|Electronics|300000|2|Grace|240000</t>
  </si>
  <si>
    <t>47466|East|Lagos|Corporate|Store|Office Chair Pro|Furniture|85000|8|David|68000</t>
  </si>
  <si>
    <t>47467|South|Abuja|Retail|Store|Refrigerator R55|Home Appliances|220000|10|Musa|176000</t>
  </si>
  <si>
    <t>47468|West|Port Harcourt|Retail|Store|Refrigerator R55|Home Appliances|220000|7|Musa|176000</t>
  </si>
  <si>
    <t>47469|East|Kano|Retail|Store|Sofa Classic|Furniture|320000|10|Musa|256000</t>
  </si>
  <si>
    <t>47470|West|Lagos|Corporate|Online|Air Conditioner X2|Home Appliances|180000|9|Aisha|144000</t>
  </si>
  <si>
    <t>47471|North|Kano|Corporate|Online|Microwave M20|Home Appliances|60000|4|Grace|48000</t>
  </si>
  <si>
    <t>47472|South|Kano|Corporate|Store|Smartphone Z10|Electronics|250000|10|Grace|200000</t>
  </si>
  <si>
    <t>47473|North|Kano|Corporate|Online|Sofa Classic|Furniture|320000|2|Musa|256000</t>
  </si>
  <si>
    <t>47474|South|Abuja|Corporate|Store|Laptop A13|Electronics|420000|7|Peter|336000</t>
  </si>
  <si>
    <t>47475|North|Kano|Corporate|Store|Desktop PC D21|Electronics|300000|5|Peter|240000</t>
  </si>
  <si>
    <t>47476|South|Port Harcourt|Corporate|Store|Microwave M20|Home Appliances|60000|5|Aisha|48000</t>
  </si>
  <si>
    <t>47477|East|Port Harcourt|Retail|Store|Laptop A13|Electronics|420000|9|Musa|336000</t>
  </si>
  <si>
    <t>47478|South|Port Harcourt|Retail|Store|Smartphone Z10|Electronics|250000|9|Grace|200000</t>
  </si>
  <si>
    <t>47479|West|Abuja|Retail|Store|Refrigerator R55|Home Appliances|220000|1|Grace|176000</t>
  </si>
  <si>
    <t>47480|West|Lagos|Retail|Store|Refrigerator R55|Home Appliances|220000|3|Grace|176000</t>
  </si>
  <si>
    <t>47481|West|Lagos|Corporate|Store|Smartphone Z10|Electronics|250000|8|Musa|200000</t>
  </si>
  <si>
    <t>47482|West|Kano|Retail|Store|Blender B10|Home Appliances|30000|1|Peter|24000</t>
  </si>
  <si>
    <t>47483|West|Abuja|Corporate|Store|Blender B10|Home Appliances|30000|1|Aisha|24000</t>
  </si>
  <si>
    <t>47484|North|Kano|Retail|Store|Blender B10|Home Appliances|30000|8|Chidinma|24000</t>
  </si>
  <si>
    <t>47485|West|Port Harcourt|Retail|Store|Microwave M20|Home Appliances|60000|6|Peter|48000</t>
  </si>
  <si>
    <t>47486|West|Port Harcourt|Corporate|Store|Smartphone Z10|Electronics|250000|5|David|200000</t>
  </si>
  <si>
    <t>47487|South|Abuja|Retail|Store|Blender B10|Home Appliances|30000|1|Aisha|24000</t>
  </si>
  <si>
    <t>47488|South|Kano|Corporate|Store|Printer P50|Electronics|150000|9|Aisha|120000</t>
  </si>
  <si>
    <t>47489|East|Abuja|Retail|Store|Air Conditioner X2|Home Appliances|180000|2|Aisha|144000</t>
  </si>
  <si>
    <t>47490|East|Abuja|Retail|Store|Laptop A13|Electronics|420000|10|Musa|336000</t>
  </si>
  <si>
    <t>47491|West|Kano|Corporate|Store|Desktop PC D21|Electronics|300000|4|Grace|240000</t>
  </si>
  <si>
    <t>47492|West|Port Harcourt|Retail|Store|Air Conditioner X2|Home Appliances|180000|8|Aisha|144000</t>
  </si>
  <si>
    <t>47493|East|Abuja|Retail|Store|Laptop A13|Electronics|420000|5|Aisha|336000</t>
  </si>
  <si>
    <t>47494|South|Lagos|Corporate|Store|Air Conditioner X2|Home Appliances|180000|5|Chidinma|144000</t>
  </si>
  <si>
    <t>47495|West|Port Harcourt|Corporate|Store|Desktop PC D21|Electronics|300000|1|Aisha|240000</t>
  </si>
  <si>
    <t>47496|South|Port Harcourt|Retail|Store|Air Conditioner X2|Home Appliances|180000|7|Aisha|144000</t>
  </si>
  <si>
    <t>47497|East|Kano|Corporate|Store|Blender B10|Home Appliances|30000|8|Aisha|24000</t>
  </si>
  <si>
    <t>47498|North|Port Harcourt|Retail|Store|Office Chair Pro|Furniture|85000|10|Musa|68000</t>
  </si>
  <si>
    <t>47499|East|Kano|Retail|Store|Office Chair Pro|Furniture|85000|1|Chidinma|68000</t>
  </si>
  <si>
    <t>47500|North|Lagos|Corporate|Store|Printer P50|Electronics|150000|8|Aisha|120000</t>
  </si>
  <si>
    <t>47501|West|Lagos|Corporate|Store|Laptop A13|Electronics|420000|6|Peter|336000</t>
  </si>
  <si>
    <t>47502|South|Abuja|Retail|Store|Microwave M20|Home Appliances|60000|8|Peter|48000</t>
  </si>
  <si>
    <t>47503|South|Port Harcourt|Retail|Store|Desktop PC D21|Electronics|300000|7|Musa|240000</t>
  </si>
  <si>
    <t>47504|East|Lagos|Corporate|Store|Printer P50|Electronics|150000|8|Aisha|120000</t>
  </si>
  <si>
    <t>47505|East|Port Harcourt|Corporate|Store|Microwave M20|Home Appliances|60000|10|Chidinma|48000</t>
  </si>
  <si>
    <t>47506|North|Kano|Retail|Store|Sofa Classic|Furniture|320000|9|Peter|256000</t>
  </si>
  <si>
    <t>47507|West|Port Harcourt|Retail|Store|Smartphone Z10|Electronics|250000|9|Musa|200000</t>
  </si>
  <si>
    <t>47508|South|Kano|Retail|Store|Refrigerator R55|Home Appliances|220000|7|Peter|176000</t>
  </si>
  <si>
    <t>47509|South|Lagos|Retail|Store|Sofa Classic|Furniture|320000|4|David|256000</t>
  </si>
  <si>
    <t>47510|South|Lagos|Corporate|Store|Refrigerator R55|Home Appliances|220000|1|Aisha|176000</t>
  </si>
  <si>
    <t>47511|West|Lagos|Retail|Store|Blender B10|Home Appliances|30000|9|Aisha|24000</t>
  </si>
  <si>
    <t>47512|North|Lagos|Corporate|Store|Blender B10|Home Appliances|30000|8|Aisha|24000</t>
  </si>
  <si>
    <t>47513|South|Lagos|Corporate|Store|Microwave M20|Home Appliances|60000|7|David|48000</t>
  </si>
  <si>
    <t>47514|West|Kano|Retail|Store|Blender B10|Home Appliances|30000|7|Grace|24000</t>
  </si>
  <si>
    <t>47515|West|Port Harcourt|Retail|Store|Desktop PC D21|Electronics|300000|6|Aisha|240000</t>
  </si>
  <si>
    <t>47516|North|Abuja|Corporate|Store|Desktop PC D21|Electronics|300000|4|Grace|240000</t>
  </si>
  <si>
    <t>47517|South|Kano|Retail|Store|Office Chair Pro|Furniture|85000|2|Chidinma|68000</t>
  </si>
  <si>
    <t>47518|North|Kano|Corporate|Store|Printer P50|Electronics|150000|3|David|120000</t>
  </si>
  <si>
    <t>47519|West|Abuja|Corporate|Store|Smartphone Z10|Electronics|250000|4|Musa|200000</t>
  </si>
  <si>
    <t>47520|North|Port Harcourt|Retail|Store|Smartphone Z10|Electronics|250000|7|Chidinma|200000</t>
  </si>
  <si>
    <t>47521|West|Lagos|Retail|Store|Smartphone Z10|Electronics|250000|3|David|200000</t>
  </si>
  <si>
    <t>47522|East|Kano|Retail|Store|Printer P50|Electronics|150000|8|Chidinma|120000</t>
  </si>
  <si>
    <t>47523|East|Kano|Corporate|Store|Office Chair Pro|Furniture|85000|1|Aisha|68000</t>
  </si>
  <si>
    <t>47524|East|Abuja|Retail|Store|Refrigerator R55|Home Appliances|220000|6|Chidinma|176000</t>
  </si>
  <si>
    <t>47525|East|Port Harcourt|Corporate|Store|Blender B10|Home Appliances|30000|3|Chidinma|24000</t>
  </si>
  <si>
    <t>47526|North|Abuja|Corporate|Store|Desktop PC D21|Electronics|300000|3|David|240000</t>
  </si>
  <si>
    <t>47527|East|Kano|Retail|Store|Smartphone Z10|Electronics|250000|10|Aisha|200000</t>
  </si>
  <si>
    <t>47528|East|Lagos|Retail|Store|Desktop PC D21|Electronics|300000|4|Peter|240000</t>
  </si>
  <si>
    <t>47529|South|Kano|Retail|Store|Sofa Classic|Furniture|320000|5|Grace|256000</t>
  </si>
  <si>
    <t>47530|South|Lagos|Retail|Store|Sofa Classic|Furniture|320000|1|David|256000</t>
  </si>
  <si>
    <t>47531|North|Port Harcourt|Retail|Store|Laptop A13|Electronics|420000|4|Aisha|336000</t>
  </si>
  <si>
    <t>47532|South|Kano|Corporate|Store|Office Chair Pro|Furniture|85000|5|Musa|68000</t>
  </si>
  <si>
    <t>47533|East|Lagos|Corporate|Store|Microwave M20|Home Appliances|60000|3|Chidinma|48000</t>
  </si>
  <si>
    <t>47534|West|Abuja|Retail|Store|Smartphone Z10|Electronics|250000|4|Aisha|200000</t>
  </si>
  <si>
    <t>47535|East|Port Harcourt|Retail|Store|Laptop A13|Electronics|420000|5|Chidinma|336000</t>
  </si>
  <si>
    <t>47536|West|Kano|Retail|Store|Printer P50|Electronics|150000|5|Musa|120000</t>
  </si>
  <si>
    <t>47537|North|Lagos|Corporate|Store|Air Conditioner X2|Home Appliances|180000|1|Peter|144000</t>
  </si>
  <si>
    <t>47538|South|Abuja|Corporate|Store|Air Conditioner X2|Home Appliances|180000|1|Musa|144000</t>
  </si>
  <si>
    <t>47539|West|Lagos|Retail|Store|Smartphone Z10|Electronics|250000|9|Chidinma|200000</t>
  </si>
  <si>
    <t>47540|North|Port Harcourt|Retail|Store|Office Chair Pro|Furniture|85000|4|Peter|68000</t>
  </si>
  <si>
    <t>47541|West|Abuja|Corporate|Store|Laptop A13|Electronics|420000|8|David|336000</t>
  </si>
  <si>
    <t>47542|South|Abuja|Corporate|Store|Sofa Classic|Furniture|320000|6|David|256000</t>
  </si>
  <si>
    <t>47543|North|Lagos|Retail|Store|Printer P50|Electronics|150000|3|Aisha|120000</t>
  </si>
  <si>
    <t>47544|West|Abuja|Retail|Store|Office Chair Pro|Furniture|85000|3|Musa|68000</t>
  </si>
  <si>
    <t>47545|North|Lagos|Retail|Store|Desktop PC D21|Electronics|300000|1|Musa|240000</t>
  </si>
  <si>
    <t>47546|South|Lagos|Corporate|Online|Air Conditioner X2|Home Appliances|180000|4|Aisha|144000</t>
  </si>
  <si>
    <t>47547|West|Lagos|Retail|Online|Laptop A13|Electronics|420000|10|Peter|336000</t>
  </si>
  <si>
    <t>47548|North|Abuja|Corporate|Online|Printer P50|Electronics|150000|4|Grace|120000</t>
  </si>
  <si>
    <t>47549|East|Kano|Retail|Online|Office Chair Pro|Furniture|85000|6|Grace|68000</t>
  </si>
  <si>
    <t>47550|South|Port Harcourt|Corporate|Store|Desktop PC D21|Electronics|300000|10|Chidinma|240000</t>
  </si>
  <si>
    <t>47551|East|Lagos|Corporate|Store|Printer P50|Electronics|150000|6|Grace|120000</t>
  </si>
  <si>
    <t>47552|South|Port Harcourt|Corporate|Store|Printer P50|Electronics|150000|1|Grace|120000</t>
  </si>
  <si>
    <t>47553|North|Port Harcourt|Retail|Store|Desktop PC D21|Electronics|300000|3|Musa|240000</t>
  </si>
  <si>
    <t>47554|North|Port Harcourt|Retail|Online|Desktop PC D21|Electronics|300000|8|Aisha|240000</t>
  </si>
  <si>
    <t>47555|East|Port Harcourt|Corporate|Online|Desktop PC D21|Electronics|300000|9|Chidinma|240000</t>
  </si>
  <si>
    <t>47556|North|Lagos|Retail|Online|Desktop PC D21|Electronics|300000|2|Peter|240000</t>
  </si>
  <si>
    <t>47557|North|Port Harcourt|Corporate|Store|Desktop PC D21|Electronics|300000|10|Musa|240000</t>
  </si>
  <si>
    <t>47558|West|Kano|Corporate|Store|Refrigerator R55|Home Appliances|220000|4|Aisha|176000</t>
  </si>
  <si>
    <t>47559|North|Lagos|Corporate|Online|Office Chair Pro|Furniture|85000|6|Aisha|68000</t>
  </si>
  <si>
    <t>47560|West|Kano|Corporate|Store|Microwave M20|Home Appliances|60000|4|Musa|48000</t>
  </si>
  <si>
    <t>47561|East|Port Harcourt|Retail|Store|Refrigerator R55|Home Appliances|220000|2|David|176000</t>
  </si>
  <si>
    <t>47562|East|Abuja|Corporate|Online|Desktop PC D21|Electronics|300000|3|Chidinma|240000</t>
  </si>
  <si>
    <t>47563|South|Port Harcourt|Corporate|Online|Refrigerator R55|Home Appliances|220000|8|Grace|176000</t>
  </si>
  <si>
    <t>47564|West|Port Harcourt|Retail|Online|Smartphone Z10|Electronics|250000|8|Aisha|200000</t>
  </si>
  <si>
    <t>47565|South|Port Harcourt|Retail|Online|Office Chair Pro|Furniture|85000|2|Chidinma|68000</t>
  </si>
  <si>
    <t>47566|North|Kano|Corporate|Store|Printer P50|Electronics|150000|7|Aisha|120000</t>
  </si>
  <si>
    <t>47567|South|Kano|Retail|Online|Blender B10|Home Appliances|30000|8|Musa|24000</t>
  </si>
  <si>
    <t>47568|West|Port Harcourt|Corporate|Online|Office Chair Pro|Furniture|85000|2|Aisha|68000</t>
  </si>
  <si>
    <t>47569|West|Abuja|Retail|Online|Air Conditioner X2|Home Appliances|180000|5|David|144000</t>
  </si>
  <si>
    <t>47570|West|Kano|Retail|Online|Office Chair Pro|Furniture|85000|9|Aisha|68000</t>
  </si>
  <si>
    <t>47571|West|Abuja|Corporate|Online|Laptop A13|Electronics|420000|9|David|336000</t>
  </si>
  <si>
    <t>47572|North|Abuja|Retail|Online|Sofa Classic|Furniture|320000|5|Chidinma|256000</t>
  </si>
  <si>
    <t>47573|West|Lagos|Retail|Online|Sofa Classic|Furniture|320000|1|Aisha|256000</t>
  </si>
  <si>
    <t>47574|North|Kano|Retail|Online|Blender B10|Home Appliances|30000|10|Peter|24000</t>
  </si>
  <si>
    <t>47575|East|Port Harcourt|Retail|Store|Air Conditioner X2|Home Appliances|180000|10|Grace|144000</t>
  </si>
  <si>
    <t>47576|West|Kano|Corporate|Online|Sofa Classic|Furniture|320000|9|Musa|256000</t>
  </si>
  <si>
    <t>47577|West|Abuja|Corporate|Online|Laptop A13|Electronics|420000|2|Aisha|336000</t>
  </si>
  <si>
    <t>47578|North|Port Harcourt|Retail|Online|Desktop PC D21|Electronics|300000|6|Musa|240000</t>
  </si>
  <si>
    <t>47579|North|Kano|Corporate|Store|Blender B10|Home Appliances|30000|4|David|24000</t>
  </si>
  <si>
    <t>47580|South|Abuja|Corporate|Store|Sofa Classic|Furniture|320000|7|Musa|256000</t>
  </si>
  <si>
    <t>47581|North|Kano|Corporate|Store|Sofa Classic|Furniture|320000|1|Aisha|256000</t>
  </si>
  <si>
    <t>47582|North|Kano|Corporate|Online|Desktop PC D21|Electronics|300000|3|Peter|240000</t>
  </si>
  <si>
    <t>47583|North|Lagos|Corporate|Online|Blender B10|Home Appliances|30000|6|Musa|24000</t>
  </si>
  <si>
    <t>47584|East|Kano|Corporate|Store|Refrigerator R55|Home Appliances|220000|1|Musa|176000</t>
  </si>
  <si>
    <t>47585|North|Abuja|Retail|Online|Blender B10|Home Appliances|30000|9|Peter|24000</t>
  </si>
  <si>
    <t>47586|West|Port Harcourt|Corporate|Online|Refrigerator R55|Home Appliances|220000|10|Peter|176000</t>
  </si>
  <si>
    <t>47587|East|Kano|Retail|Online|Refrigerator R55|Home Appliances|220000|9|Chidinma|176000</t>
  </si>
  <si>
    <t>47588|West|Abuja|Corporate|Online|Microwave M20|Home Appliances|60000|4|David|48000</t>
  </si>
  <si>
    <t>47589|South|Kano|Corporate|Store|Refrigerator R55|Home Appliances|220000|7|David|176000</t>
  </si>
  <si>
    <t>47590|West|Kano|Retail|Store|Sofa Classic|Furniture|320000|9|Musa|256000</t>
  </si>
  <si>
    <t>47591|West|Lagos|Corporate|Store|Office Chair Pro|Furniture|85000|5|Grace|68000</t>
  </si>
  <si>
    <t>47592|North|Abuja|Retail|Online|Smartphone Z10|Electronics|250000|10|Aisha|200000</t>
  </si>
  <si>
    <t>47593|East|Abuja|Retail|Store|Sofa Classic|Furniture|320000|8|Musa|256000</t>
  </si>
  <si>
    <t>47594|North|Port Harcourt|Corporate|Store|Printer P50|Electronics|150000|7|Peter|120000</t>
  </si>
  <si>
    <t>47595|North|Kano|Retail|Store|Air Conditioner X2|Home Appliances|180000|8|Peter|144000</t>
  </si>
  <si>
    <t>47596|West|Abuja|Retail|Online|Sofa Classic|Furniture|320000|10|Musa|256000</t>
  </si>
  <si>
    <t>47597|North|Port Harcourt|Corporate|Store|Printer P50|Electronics|150000|7|Grace|120000</t>
  </si>
  <si>
    <t>47598|South|Lagos|Corporate|Store|Refrigerator R55|Home Appliances|220000|1|David|176000</t>
  </si>
  <si>
    <t>47599|North|Abuja|Corporate|Online|Refrigerator R55|Home Appliances|220000|7|David|176000</t>
  </si>
  <si>
    <t>47600|South|Abuja|Corporate|Store|Printer P50|Electronics|150000|6|David|120000</t>
  </si>
  <si>
    <t>47601|East|Port Harcourt|Retail|Online|Desktop PC D21|Electronics|300000|8|Musa|240000</t>
  </si>
  <si>
    <t>47602|East|Abuja|Corporate|Store|Laptop A13|Electronics|420000|10|Grace|336000</t>
  </si>
  <si>
    <t>47603|North|Lagos|Retail|Store|Blender B10|Home Appliances|30000|1|David|24000</t>
  </si>
  <si>
    <t>47604|East|Port Harcourt|Corporate|Online|Laptop A13|Electronics|420000|7|Chidinma|336000</t>
  </si>
  <si>
    <t>47605|North|Port Harcourt|Corporate|Store|Air Conditioner X2|Home Appliances|180000|6|Peter|144000</t>
  </si>
  <si>
    <t>47606|South|Kano|Retail|Online|Blender B10|Home Appliances|30000|10|Grace|24000</t>
  </si>
  <si>
    <t>47607|West|Port Harcourt|Retail|Store|Refrigerator R55|Home Appliances|220000|1|Grace|176000</t>
  </si>
  <si>
    <t>47608|South|Kano|Retail|Online|Sofa Classic|Furniture|320000|6|Peter|256000</t>
  </si>
  <si>
    <t>47609|South|Abuja|Corporate|Store|Microwave M20|Home Appliances|60000|10|David|48000</t>
  </si>
  <si>
    <t>47610|West|Abuja|Retail|Online|Office Chair Pro|Furniture|85000|7|Grace|68000</t>
  </si>
  <si>
    <t>47611|East|Abuja|Corporate|Online|Smartphone Z10|Electronics|250000|1|Grace|200000</t>
  </si>
  <si>
    <t>47612|North|Abuja|Corporate|Store|Refrigerator R55|Home Appliances|220000|8|David|176000</t>
  </si>
  <si>
    <t>47613|North|Lagos|Retail|Online|Smartphone Z10|Electronics|250000|6|Peter|200000</t>
  </si>
  <si>
    <t>47614|North|Abuja|Retail|Online|Office Chair Pro|Furniture|85000|7|Peter|68000</t>
  </si>
  <si>
    <t>47615|South|Kano|Retail|Store|Office Chair Pro|Furniture|85000|4|Musa|68000</t>
  </si>
  <si>
    <t>47616|East|Abuja|Corporate|Store|Laptop A13|Electronics|420000|6|Chidinma|336000</t>
  </si>
  <si>
    <t>47617|East|Port Harcourt|Corporate|Store|Smartphone Z10|Electronics|250000|4|Musa|200000</t>
  </si>
  <si>
    <t>47618|West|Port Harcourt|Retail|Store|Blender B10|Home Appliances|30000|3|Aisha|24000</t>
  </si>
  <si>
    <t>47619|North|Abuja|Corporate|Online|Sofa Classic|Furniture|320000|9|Peter|256000</t>
  </si>
  <si>
    <t>47620|North|Port Harcourt|Retail|Store|Refrigerator R55|Home Appliances|220000|7|Musa|176000</t>
  </si>
  <si>
    <t>47621|South|Lagos|Corporate|Online|Printer P50|Electronics|150000|5|Chidinma|120000</t>
  </si>
  <si>
    <t>47622|South|Port Harcourt|Corporate|Store|Office Chair Pro|Furniture|85000|9|Peter|68000</t>
  </si>
  <si>
    <t>47623|North|Abuja|Corporate|Online|Smartphone Z10|Electronics|250000|10|Chidinma|200000</t>
  </si>
  <si>
    <t>47624|East|Port Harcourt|Corporate|Online|Office Chair Pro|Furniture|85000|7|David|68000</t>
  </si>
  <si>
    <t>47625|East|Lagos|Retail|Online|Desktop PC D21|Electronics|300000|6|Aisha|240000</t>
  </si>
  <si>
    <t>47626|West|Port Harcourt|Retail|Store|Desktop PC D21|Electronics|300000|10|David|240000</t>
  </si>
  <si>
    <t>47627|East|Lagos|Corporate|Online|Air Conditioner X2|Home Appliances|180000|1|Musa|144000</t>
  </si>
  <si>
    <t>47628|South|Abuja|Retail|Online|Printer P50|Electronics|150000|7|Aisha|120000</t>
  </si>
  <si>
    <t>47629|North|Port Harcourt|Retail|Online|Refrigerator R55|Home Appliances|220000|5|David|176000</t>
  </si>
  <si>
    <t>47630|East|Port Harcourt|Retail|Online|Laptop A13|Electronics|420000|2|Aisha|336000</t>
  </si>
  <si>
    <t>47631|West|Kano|Retail|Online|Air Conditioner X2|Home Appliances|180000|9|Peter|144000</t>
  </si>
  <si>
    <t>47632|North|Abuja|Retail|Online|Refrigerator R55|Home Appliances|220000|5|Peter|176000</t>
  </si>
  <si>
    <t>47633|North|Kano|Retail|Online|Air Conditioner X2|Home Appliances|180000|1|Grace|144000</t>
  </si>
  <si>
    <t>47634|East|Kano|Corporate|Store|Microwave M20|Home Appliances|60000|2|Grace|48000</t>
  </si>
  <si>
    <t>47635|North|Kano|Retail|Online|Desktop PC D21|Electronics|300000|5|David|240000</t>
  </si>
  <si>
    <t>47636|North|Kano|Retail|Store|Desktop PC D21|Electronics|300000|9|Aisha|240000</t>
  </si>
  <si>
    <t>47637|South|Abuja|Retail|Online|Refrigerator R55|Home Appliances|220000|1|Aisha|176000</t>
  </si>
  <si>
    <t>47638|West|Abuja|Corporate|Store|Blender B10|Home Appliances|30000|5|Aisha|24000</t>
  </si>
  <si>
    <t>47639|South|Port Harcourt|Corporate|Online|Air Conditioner X2|Home Appliances|180000|1|Chidinma|144000</t>
  </si>
  <si>
    <t>47640|North|Kano|Retail|Online|Desktop PC D21|Electronics|300000|6|Aisha|240000</t>
  </si>
  <si>
    <t>47641|West|Kano|Retail|Store|Refrigerator R55|Home Appliances|220000|3|Grace|176000</t>
  </si>
  <si>
    <t>47642|North|Port Harcourt|Retail|Store|Sofa Classic|Furniture|320000|5|Peter|256000</t>
  </si>
  <si>
    <t>47643|South|Kano|Retail|Online|Printer P50|Electronics|150000|2|Peter|120000</t>
  </si>
  <si>
    <t>47644|West|Port Harcourt|Retail|Online|Air Conditioner X2|Home Appliances|180000|1|David|144000</t>
  </si>
  <si>
    <t>47645|West|Lagos|Corporate|Store|Blender B10|Home Appliances|30000|10|Aisha|24000</t>
  </si>
  <si>
    <t>47646|North|Lagos|Retail|Store|Printer P50|Electronics|150000|4|David|120000</t>
  </si>
  <si>
    <t>47647|North|Kano|Retail|Online|Blender B10|Home Appliances|30000|1|David|24000</t>
  </si>
  <si>
    <t>47648|North|Lagos|Retail|Online|Blender B10|Home Appliances|30000|6|Peter|24000</t>
  </si>
  <si>
    <t>47649|South|Port Harcourt|Corporate|Online|Air Conditioner X2|Home Appliances|180000|7|Chidinma|144000</t>
  </si>
  <si>
    <t>47650|South|Abuja|Retail|Online|Microwave M20|Home Appliances|60000|8|Grace|48000</t>
  </si>
  <si>
    <t>47651|South|Lagos|Retail|Online|Microwave M20|Home Appliances|60000|2|Aisha|48000</t>
  </si>
  <si>
    <t>47652|South|Kano|Retail|Store|Office Chair Pro|Furniture|85000|1|Peter|68000</t>
  </si>
  <si>
    <t>47653|North|Kano|Corporate|Online|Blender B10|Home Appliances|30000|8|Aisha|24000</t>
  </si>
  <si>
    <t>47654|North|Abuja|Retail|Store|Microwave M20|Home Appliances|60000|10|Aisha|48000</t>
  </si>
  <si>
    <t>47655|West|Port Harcourt|Corporate|Store|Printer P50|Electronics|150000|1|Chidinma|120000</t>
  </si>
  <si>
    <t>47656|South|Port Harcourt|Corporate|Store|Microwave M20|Home Appliances|60000|9|Grace|48000</t>
  </si>
  <si>
    <t>47657|North|Abuja|Retail|Online|Microwave M20|Home Appliances|60000|5|Grace|48000</t>
  </si>
  <si>
    <t>47658|East|Port Harcourt|Retail|Store|Refrigerator R55|Home Appliances|220000|8|Chidinma|176000</t>
  </si>
  <si>
    <t>47659|West|Port Harcourt|Retail|Store|Office Chair Pro|Furniture|85000|2|Aisha|68000</t>
  </si>
  <si>
    <t>47660|South|Abuja|Retail|Store|Sofa Classic|Furniture|320000|7|Aisha|256000</t>
  </si>
  <si>
    <t>47661|South|Abuja|Retail|Online|Smartphone Z10|Electronics|250000|4|Chidinma|200000</t>
  </si>
  <si>
    <t>47662|East|Port Harcourt|Corporate|Store|Printer P50|Electronics|150000|6|David|120000</t>
  </si>
  <si>
    <t>47663|North|Abuja|Retail|Online|Desktop PC D21|Electronics|300000|8|David|240000</t>
  </si>
  <si>
    <t>47664|West|Lagos|Retail|Store|Desktop PC D21|Electronics|300000|10|Chidinma|240000</t>
  </si>
  <si>
    <t>47665|North|Kano|Corporate|Store|Sofa Classic|Furniture|320000|1|Musa|256000</t>
  </si>
  <si>
    <t>47666|South|Lagos|Corporate|Store|Sofa Classic|Furniture|320000|3|Musa|256000</t>
  </si>
  <si>
    <t>47667|West|Port Harcourt|Corporate|Online|Printer P50|Electronics|150000|6|Peter|120000</t>
  </si>
  <si>
    <t>47668|East|Lagos|Retail|Online|Air Conditioner X2|Home Appliances|180000|9|Grace|144000</t>
  </si>
  <si>
    <t>47669|South|Abuja|Retail|Online|Microwave M20|Home Appliances|60000|2|Peter|48000</t>
  </si>
  <si>
    <t>47670|East|Kano|Retail|Store|Printer P50|Electronics|150000|5|Peter|120000</t>
  </si>
  <si>
    <t>47671|East|Kano|Retail|Store|Air Conditioner X2|Home Appliances|180000|10|Peter|144000</t>
  </si>
  <si>
    <t>47672|West|Port Harcourt|Retail|Online|Office Chair Pro|Furniture|85000|7|Aisha|68000</t>
  </si>
  <si>
    <t>47673|East|Abuja|Corporate|Store|Laptop A13|Electronics|420000|3|David|336000</t>
  </si>
  <si>
    <t>47674|East|Abuja|Corporate|Online|Desktop PC D21|Electronics|300000|2|Aisha|240000</t>
  </si>
  <si>
    <t>47675|East|Lagos|Corporate|Online|Smartphone Z10|Electronics|250000|3|Aisha|200000</t>
  </si>
  <si>
    <t>47676|East|Port Harcourt|Retail|Store|Printer P50|Electronics|150000|7|David|120000</t>
  </si>
  <si>
    <t>47677|West|Port Harcourt|Corporate|Online|Laptop A13|Electronics|420000|7|Peter|336000</t>
  </si>
  <si>
    <t>47678|South|Lagos|Retail|Store|Air Conditioner X2|Home Appliances|180000|7|Musa|144000</t>
  </si>
  <si>
    <t>47679|West|Port Harcourt|Retail|Store|Sofa Classic|Furniture|320000|2|Grace|256000</t>
  </si>
  <si>
    <t>47680|North|Port Harcourt|Corporate|Store|Sofa Classic|Furniture|320000|6|Grace|256000</t>
  </si>
  <si>
    <t>47681|East|Kano|Corporate|Online|Blender B10|Home Appliances|30000|3|Aisha|24000</t>
  </si>
  <si>
    <t>47682|North|Port Harcourt|Retail|Online|Laptop A13|Electronics|420000|3|Chidinma|336000</t>
  </si>
  <si>
    <t>47683|South|Lagos|Retail|Store|Blender B10|Home Appliances|30000|9|Peter|24000</t>
  </si>
  <si>
    <t>47684|East|Port Harcourt|Corporate|Store|Sofa Classic|Furniture|320000|4|Chidinma|256000</t>
  </si>
  <si>
    <t>47685|North|Abuja|Corporate|Store|Printer P50|Electronics|150000|5|David|120000</t>
  </si>
  <si>
    <t>47686|South|Port Harcourt|Corporate|Store|Office Chair Pro|Furniture|85000|8|Peter|68000</t>
  </si>
  <si>
    <t>47687|North|Abuja|Retail|Store|Microwave M20|Home Appliances|60000|1|Chidinma|48000</t>
  </si>
  <si>
    <t>47688|South|Lagos|Retail|Online|Refrigerator R55|Home Appliances|220000|3|Musa|176000</t>
  </si>
  <si>
    <t>47689|West|Abuja|Corporate|Online|Air Conditioner X2|Home Appliances|180000|2|Aisha|144000</t>
  </si>
  <si>
    <t>47690|South|Port Harcourt|Corporate|Online|Smartphone Z10|Electronics|250000|9|David|200000</t>
  </si>
  <si>
    <t>47691|West|Port Harcourt|Corporate|Online|Desktop PC D21|Electronics|300000|8|Aisha|240000</t>
  </si>
  <si>
    <t>47692|West|Lagos|Retail|Online|Printer P50|Electronics|150000|6|Chidinma|120000</t>
  </si>
  <si>
    <t>47693|North|Abuja|Corporate|Store|Office Chair Pro|Furniture|85000|9|Musa|68000</t>
  </si>
  <si>
    <t>47694|North|Kano|Corporate|Online|Microwave M20|Home Appliances|60000|3|David|48000</t>
  </si>
  <si>
    <t>47695|South|Abuja|Retail|Store|Laptop A13|Electronics|420000|7|Peter|336000</t>
  </si>
  <si>
    <t>47696|South|Port Harcourt|Corporate|Online|Office Chair Pro|Furniture|85000|5|David|68000</t>
  </si>
  <si>
    <t>47697|East|Port Harcourt|Corporate|Online|Microwave M20|Home Appliances|60000|7|David|48000</t>
  </si>
  <si>
    <t>47698|East|Abuja|Retail|Online|Air Conditioner X2|Home Appliances|180000|2|Peter|144000</t>
  </si>
  <si>
    <t>47699|West|Port Harcourt|Corporate|Store|Smartphone Z10|Electronics|250000|3|Aisha|200000</t>
  </si>
  <si>
    <t>47700|East|Kano|Corporate|Online|Air Conditioner X2|Home Appliances|180000|6|Grace|144000</t>
  </si>
  <si>
    <t>47701|East|Abuja|Retail|Store|Office Chair Pro|Furniture|85000|2|Grace|68000</t>
  </si>
  <si>
    <t>47702|North|Abuja|Corporate|Store|Smartphone Z10|Electronics|250000|5|Musa|200000</t>
  </si>
  <si>
    <t>47703|West|Port Harcourt|Corporate|Store|Refrigerator R55|Home Appliances|220000|2|Aisha|176000</t>
  </si>
  <si>
    <t>47704|South|Abuja|Retail|Online|Blender B10|Home Appliances|30000|2|David|24000</t>
  </si>
  <si>
    <t>47705|East|Kano|Corporate|Store|Laptop A13|Electronics|420000|10|Aisha|336000</t>
  </si>
  <si>
    <t>47706|North|Abuja|Corporate|Online|Refrigerator R55|Home Appliances|220000|2|Peter|176000</t>
  </si>
  <si>
    <t>47707|South|Kano|Corporate|Store|Refrigerator R55|Home Appliances|220000|10|David|176000</t>
  </si>
  <si>
    <t>47708|West|Lagos|Corporate|Store|Sofa Classic|Furniture|320000|6|Peter|256000</t>
  </si>
  <si>
    <t>47709|North|Port Harcourt|Corporate|Store|Laptop A13|Electronics|420000|8|Peter|336000</t>
  </si>
  <si>
    <t>47710|East|Abuja|Retail|Store|Refrigerator R55|Home Appliances|220000|9|Peter|176000</t>
  </si>
  <si>
    <t>47711|North|Lagos|Corporate|Online|Refrigerator R55|Home Appliances|220000|2|Grace|176000</t>
  </si>
  <si>
    <t>47712|South|Abuja|Retail|Online|Printer P50|Electronics|150000|4|Aisha|120000</t>
  </si>
  <si>
    <t>47713|East|Kano|Retail|Store|Desktop PC D21|Electronics|300000|7|Grace|240000</t>
  </si>
  <si>
    <t>47714|South|Lagos|Corporate|Online|Laptop A13|Electronics|420000|4|Grace|336000</t>
  </si>
  <si>
    <t>47715|West|Kano|Corporate|Store|Microwave M20|Home Appliances|60000|4|Aisha|48000</t>
  </si>
  <si>
    <t>47716|North|Kano|Retail|Online|Air Conditioner X2|Home Appliances|180000|6|Chidinma|144000</t>
  </si>
  <si>
    <t>47717|South|Kano|Corporate|Online|Desktop PC D21|Electronics|300000|8|Peter|240000</t>
  </si>
  <si>
    <t>47718|West|Port Harcourt|Retail|Store|Sofa Classic|Furniture|320000|10|Chidinma|256000</t>
  </si>
  <si>
    <t>47719|West|Lagos|Retail|Store|Blender B10|Home Appliances|30000|1|Chidinma|24000</t>
  </si>
  <si>
    <t>47720|East|Lagos|Corporate|Store|Office Chair Pro|Furniture|85000|2|Peter|68000</t>
  </si>
  <si>
    <t>47721|West|Port Harcourt|Corporate|Online|Office Chair Pro|Furniture|85000|5|Aisha|68000</t>
  </si>
  <si>
    <t>47722|South|Port Harcourt|Retail|Store|Smartphone Z10|Electronics|250000|8|Aisha|200000</t>
  </si>
  <si>
    <t>47723|North|Kano|Corporate|Online|Desktop PC D21|Electronics|300000|8|Peter|240000</t>
  </si>
  <si>
    <t>47724|West|Lagos|Corporate|Store|Air Conditioner X2|Home Appliances|180000|9|Musa|144000</t>
  </si>
  <si>
    <t>47725|North|Abuja|Corporate|Online|Microwave M20|Home Appliances|60000|4|Peter|48000</t>
  </si>
  <si>
    <t>47726|South|Port Harcourt|Retail|Store|Microwave M20|Home Appliances|60000|3|Peter|48000</t>
  </si>
  <si>
    <t>47727|South|Port Harcourt|Retail|Online|Refrigerator R55|Home Appliances|220000|6|Aisha|176000</t>
  </si>
  <si>
    <t>47728|East|Kano|Retail|Store|Sofa Classic|Furniture|320000|9|Peter|256000</t>
  </si>
  <si>
    <t>47729|South|Kano|Retail|Store|Laptop A13|Electronics|420000|3|David|336000</t>
  </si>
  <si>
    <t>47730|East|Abuja|Corporate|Store|Air Conditioner X2|Home Appliances|180000|9|Chidinma|144000</t>
  </si>
  <si>
    <t>47731|South|Abuja|Corporate|Store|Microwave M20|Home Appliances|60000|1|Chidinma|48000</t>
  </si>
  <si>
    <t>47732|West|Kano|Corporate|Store|Smartphone Z10|Electronics|250000|5|Peter|200000</t>
  </si>
  <si>
    <t>47733|West|Port Harcourt|Corporate|Store|Blender B10|Home Appliances|30000|8|Chidinma|24000</t>
  </si>
  <si>
    <t>47734|North|Port Harcourt|Retail|Online|Air Conditioner X2|Home Appliances|180000|6|Chidinma|144000</t>
  </si>
  <si>
    <t>47735|East|Kano|Retail|Store|Microwave M20|Home Appliances|60000|1|Musa|48000</t>
  </si>
  <si>
    <t>47736|East|Kano|Retail|Online|Printer P50|Electronics|150000|5|Grace|120000</t>
  </si>
  <si>
    <t>47737|North|Lagos|Corporate|Store|Office Chair Pro|Furniture|85000|1|Grace|68000</t>
  </si>
  <si>
    <t>47738|South|Lagos|Corporate|Store|Printer P50|Electronics|150000|7|Peter|120000</t>
  </si>
  <si>
    <t>47739|North|Kano|Corporate|Store|Air Conditioner X2|Home Appliances|180000|4|Chidinma|144000</t>
  </si>
  <si>
    <t>47740|North|Kano|Corporate|Store|Office Chair Pro|Furniture|85000|8|Chidinma|68000</t>
  </si>
  <si>
    <t>47741|North|Abuja|Corporate|Store|Sofa Classic|Furniture|320000|4|David|256000</t>
  </si>
  <si>
    <t>47742|West|Kano|Retail|Store|Smartphone Z10|Electronics|250000|6|Peter|200000</t>
  </si>
  <si>
    <t>47743|West|Kano|Retail|Store|Refrigerator R55|Home Appliances|220000|5|Musa|176000</t>
  </si>
  <si>
    <t>47744|South|Lagos|Corporate|Store|Desktop PC D21|Electronics|300000|8|Aisha|240000</t>
  </si>
  <si>
    <t>47745|South|Abuja|Retail|Store|Microwave M20|Home Appliances|60000|10|Musa|48000</t>
  </si>
  <si>
    <t>47746|South|Lagos|Retail|Store|Air Conditioner X2|Home Appliances|180000|6|Grace|144000</t>
  </si>
  <si>
    <t>47747|South|Kano|Corporate|Store|Microwave M20|Home Appliances|60000|3|Aisha|48000</t>
  </si>
  <si>
    <t>47748|South|Kano|Retail|Store|Blender B10|Home Appliances|30000|4|David|24000</t>
  </si>
  <si>
    <t>47749|East|Port Harcourt|Corporate|Store|Microwave M20|Home Appliances|60000|4|Aisha|48000</t>
  </si>
  <si>
    <t>47750|West|Kano|Corporate|Store|Air Conditioner X2|Home Appliances|180000|5|Musa|144000</t>
  </si>
  <si>
    <t>47751|North|Port Harcourt|Retail|Store|Office Chair Pro|Furniture|85000|9|David|68000</t>
  </si>
  <si>
    <t>47752|West|Abuja|Retail|Store|Office Chair Pro|Furniture|85000|9|Aisha|68000</t>
  </si>
  <si>
    <t>47753|North|Port Harcourt|Corporate|Store|Air Conditioner X2|Home Appliances|180000|8|Grace|144000</t>
  </si>
  <si>
    <t>47754|North|Lagos|Corporate|Store|Printer P50|Electronics|150000|2|Grace|120000</t>
  </si>
  <si>
    <t>47755|East|Kano|Corporate|Store|Blender B10|Home Appliances|30000|3|Chidinma|24000</t>
  </si>
  <si>
    <t>47756|North|Port Harcourt|Corporate|Store|Blender B10|Home Appliances|30000|5|David|24000</t>
  </si>
  <si>
    <t>47757|East|Lagos|Corporate|Store|Blender B10|Home Appliances|30000|7|Grace|24000</t>
  </si>
  <si>
    <t>47758|East|Port Harcourt|Retail|Store|Air Conditioner X2|Home Appliances|180000|4|Chidinma|144000</t>
  </si>
  <si>
    <t>47759|East|Port Harcourt|Corporate|Store|Air Conditioner X2|Home Appliances|180000|1|Peter|144000</t>
  </si>
  <si>
    <t>47760|South|Lagos|Retail|Store|Microwave M20|Home Appliances|60000|10|Aisha|48000</t>
  </si>
  <si>
    <t>47761|North|Lagos|Retail|Store|Smartphone Z10|Electronics|250000|8|Musa|200000</t>
  </si>
  <si>
    <t>47762|North|Kano|Retail|Store|Blender B10|Home Appliances|30000|8|Aisha|24000</t>
  </si>
  <si>
    <t>47763|North|Port Harcourt|Corporate|Online|Air Conditioner X2|Home Appliances|180000|4|Musa|144000</t>
  </si>
  <si>
    <t>47764|East|Lagos|Corporate|Online|Printer P50|Electronics|150000|1|Musa|120000</t>
  </si>
  <si>
    <t>47765|North|Abuja|Retail|Store|Desktop PC D21|Electronics|300000|3|Chidinma|240000</t>
  </si>
  <si>
    <t>47766|West|Kano|Retail|Online|Sofa Classic|Furniture|320000|5|Chidinma|256000</t>
  </si>
  <si>
    <t>47767|West|Abuja|Corporate|Online|Desktop PC D21|Electronics|300000|1|David|240000</t>
  </si>
  <si>
    <t>47768|West|Lagos|Corporate|Online|Printer P50|Electronics|150000|4|Musa|120000</t>
  </si>
  <si>
    <t>47769|South|Port Harcourt|Corporate|Online|Smartphone Z10|Electronics|250000|2|Peter|200000</t>
  </si>
  <si>
    <t>47770|North|Lagos|Retail|Store|Smartphone Z10|Electronics|250000|10|Aisha|200000</t>
  </si>
  <si>
    <t>47771|South|Abuja|Corporate|Store|Printer P50|Electronics|150000|2|Chidinma|120000</t>
  </si>
  <si>
    <t>47772|South|Port Harcourt|Retail|Online|Smartphone Z10|Electronics|250000|9|Peter|200000</t>
  </si>
  <si>
    <t>47773|South|Port Harcourt|Retail|Online|Sofa Classic|Furniture|320000|4|David|256000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</si>
</sst>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5" formatCode="[$-409]d/mmm/yyyy;@"/>
    <numFmt numFmtId="174" formatCode="[&gt;=1000000]\ &quot;$&quot;#,##0.00,,&quot;M&quot;;[&gt;=1000]\ &quot;$&quot;#.00,&quot;K&quot;;&quot;$&quot;###.00"/>
  </numFmts>
  <fonts count="8">
    <font>
      <sz val="11"/>
      <color theme="1"/>
      <name val="Calibri"/>
      <charset val="134"/>
      <scheme val="minor"/>
    </font>
    <font>
      <sz val="11"/>
      <color theme="1"/>
      <name val="Calibri"/>
      <family val="2"/>
      <scheme val="minor"/>
    </font>
    <font>
      <u/>
      <sz val="11"/>
      <color rgb="FF0000FF"/>
      <name val="Calibri"/>
      <scheme val="minor"/>
    </font>
    <font>
      <sz val="11"/>
      <color theme="1"/>
      <name val="Calibri"/>
      <charset val="134"/>
      <scheme val="minor"/>
    </font>
    <font>
      <b/>
      <sz val="11"/>
      <color theme="1"/>
      <name val="Calibri"/>
      <family val="2"/>
      <scheme val="minor"/>
    </font>
    <font>
      <sz val="11"/>
      <color theme="0"/>
      <name val="Calibri"/>
      <family val="2"/>
      <scheme val="minor"/>
    </font>
    <font>
      <sz val="10"/>
      <color theme="1"/>
      <name val="Segoe UI"/>
      <family val="2"/>
    </font>
    <font>
      <b/>
      <sz val="24"/>
      <color theme="0"/>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alignment vertical="center"/>
    </xf>
    <xf numFmtId="44" fontId="3" fillId="0" borderId="0" applyFont="0" applyFill="0" applyBorder="0" applyAlignment="0" applyProtection="0"/>
  </cellStyleXfs>
  <cellXfs count="20">
    <xf numFmtId="0" fontId="0" fillId="0" borderId="0" xfId="0"/>
    <xf numFmtId="165" fontId="0" fillId="0" borderId="0" xfId="0" applyNumberFormat="1"/>
    <xf numFmtId="0" fontId="1" fillId="0" borderId="0" xfId="0" applyFont="1"/>
    <xf numFmtId="0" fontId="0" fillId="0" borderId="0" xfId="0" applyNumberFormat="1"/>
    <xf numFmtId="165" fontId="4" fillId="0" borderId="0" xfId="0" applyNumberFormat="1" applyFont="1" applyAlignment="1">
      <alignment horizontal="center"/>
    </xf>
    <xf numFmtId="165" fontId="4" fillId="0" borderId="0" xfId="0" applyNumberFormat="1" applyFont="1" applyAlignment="1">
      <alignment horizontal="center"/>
    </xf>
    <xf numFmtId="0" fontId="6" fillId="0" borderId="0" xfId="0" pivotButton="1" applyFont="1"/>
    <xf numFmtId="0" fontId="6" fillId="0" borderId="0" xfId="0" applyFont="1"/>
    <xf numFmtId="0" fontId="6" fillId="0" borderId="0" xfId="0" applyFont="1" applyAlignment="1">
      <alignment horizontal="left"/>
    </xf>
    <xf numFmtId="174" fontId="6" fillId="0" borderId="0" xfId="0" applyNumberFormat="1" applyFont="1"/>
    <xf numFmtId="0" fontId="6" fillId="0" borderId="0" xfId="0" applyNumberFormat="1" applyFont="1"/>
    <xf numFmtId="0" fontId="6" fillId="0" borderId="0" xfId="0" applyFont="1" applyAlignment="1">
      <alignment horizontal="right"/>
    </xf>
    <xf numFmtId="44" fontId="0" fillId="0" borderId="0" xfId="2" applyFont="1"/>
    <xf numFmtId="44" fontId="1" fillId="0" borderId="0" xfId="2" applyFont="1"/>
    <xf numFmtId="0" fontId="0" fillId="2" borderId="0" xfId="0" applyFill="1"/>
    <xf numFmtId="0" fontId="1" fillId="2" borderId="0" xfId="0" applyFont="1" applyFill="1"/>
    <xf numFmtId="0" fontId="7" fillId="2" borderId="0" xfId="0" applyFont="1" applyFill="1" applyAlignment="1">
      <alignment horizontal="center" vertical="center"/>
    </xf>
    <xf numFmtId="0" fontId="5" fillId="2" borderId="0" xfId="0" applyFont="1" applyFill="1"/>
    <xf numFmtId="0" fontId="2" fillId="0" borderId="0" xfId="1" applyAlignment="1"/>
    <xf numFmtId="22" fontId="0" fillId="0" borderId="0" xfId="0" applyNumberFormat="1"/>
  </cellXfs>
  <cellStyles count="3">
    <cellStyle name="Currency" xfId="2" builtinId="4"/>
    <cellStyle name="Hyperlink" xfId="1" builtinId="8"/>
    <cellStyle name="Normal" xfId="0" builtinId="0"/>
  </cellStyles>
  <dxfs count="9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mm"/>
    </dxf>
    <dxf>
      <numFmt numFmtId="174" formatCode="[&gt;=1000000]\ &quot;$&quot;#,##0.00,,&quot;M&quot;;[&gt;=1000]\ &quot;$&quot;#.00,&quot;K&quot;;&quot;$&quot;###.00"/>
    </dxf>
    <dxf>
      <numFmt numFmtId="174" formatCode="[&gt;=1000000]\ &quot;$&quot;#,##0.00,,&quot;M&quot;;[&gt;=1000]\ &quot;$&quot;#.00,&quot;K&quot;;&quot;$&quot;###.00"/>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sz val="10"/>
      </font>
    </dxf>
    <dxf>
      <font>
        <sz val="10"/>
      </font>
    </dxf>
    <dxf>
      <font>
        <sz val="10"/>
      </font>
    </dxf>
    <dxf>
      <font>
        <sz val="10"/>
      </font>
    </dxf>
    <dxf>
      <font>
        <sz val="10"/>
      </font>
    </dxf>
    <dxf>
      <font>
        <sz val="10"/>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sz val="10"/>
      </font>
    </dxf>
    <dxf>
      <font>
        <sz val="10"/>
      </font>
    </dxf>
    <dxf>
      <font>
        <sz val="10"/>
      </font>
    </dxf>
    <dxf>
      <font>
        <sz val="10"/>
      </font>
    </dxf>
    <dxf>
      <font>
        <sz val="10"/>
      </font>
    </dxf>
    <dxf>
      <font>
        <name val="Segoe UI"/>
        <family val="2"/>
        <scheme val="none"/>
      </font>
    </dxf>
    <dxf>
      <font>
        <name val="Segoe UI"/>
        <family val="2"/>
        <scheme val="none"/>
      </font>
    </dxf>
    <dxf>
      <font>
        <name val="Segoe UI"/>
        <family val="2"/>
        <scheme val="none"/>
      </font>
    </dxf>
    <dxf>
      <font>
        <sz val="10"/>
      </font>
    </dxf>
    <dxf>
      <font>
        <sz val="10"/>
      </font>
    </dxf>
    <dxf>
      <font>
        <sz val="10"/>
      </font>
    </dxf>
    <dxf>
      <numFmt numFmtId="174" formatCode="[&gt;=1000000]\ &quot;$&quot;#,##0.00,,&quot;M&quot;;[&gt;=1000]\ &quot;$&quot;#.00,&quot;K&quot;;&quot;$&quot;###.00"/>
    </dxf>
    <dxf>
      <numFmt numFmtId="174" formatCode="[&gt;=1000000]\ &quot;$&quot;#,##0.00,,&quot;M&quot;;[&gt;=1000]\ &quot;$&quot;#.00,&quot;K&quot;;&quot;$&quot;###.00"/>
    </dxf>
    <dxf>
      <font>
        <name val="Segoe UI"/>
        <family val="2"/>
        <scheme val="none"/>
      </font>
    </dxf>
    <dxf>
      <font>
        <name val="Segoe UI"/>
        <family val="2"/>
        <scheme val="none"/>
      </font>
    </dxf>
    <dxf>
      <font>
        <name val="Segoe UI"/>
        <family val="2"/>
        <scheme val="none"/>
      </font>
    </dxf>
    <dxf>
      <font>
        <sz val="10"/>
      </font>
    </dxf>
    <dxf>
      <font>
        <sz val="10"/>
      </font>
    </dxf>
    <dxf>
      <font>
        <sz val="10"/>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sz val="10"/>
      </font>
    </dxf>
    <dxf>
      <font>
        <sz val="10"/>
      </font>
    </dxf>
    <dxf>
      <font>
        <sz val="10"/>
      </font>
    </dxf>
    <dxf>
      <font>
        <sz val="10"/>
      </font>
    </dxf>
    <dxf>
      <font>
        <sz val="10"/>
      </font>
    </dxf>
    <dxf>
      <font>
        <sz val="10"/>
      </font>
    </dxf>
    <dxf>
      <alignment horizontal="righ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09]d/mmm/yyyy;@"/>
    </dxf>
    <dxf>
      <numFmt numFmtId="165" formatCode="[$-409]d/m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[JoelMokolo_Assignment 2_Project.xlsx]Sales_Pivot!PT_Monthly_Customer</c:name>
    <c:fmtId val="6"/>
  </c:pivotSource>
  <c:chart>
    <c:title>
      <c:tx>
        <c:rich>
          <a:bodyPr rot="0" spcFirstLastPara="1" vertOverflow="ellipsis" vert="horz" wrap="square" anchor="ctr" anchorCtr="1"/>
          <a:lstStyle/>
          <a:p>
            <a:pPr algn="ctr" rtl="0">
              <a:defRPr lang="en-GB" sz="1400" b="1" i="0" u="none" strike="noStrike" kern="1200" spc="0" baseline="0">
                <a:solidFill>
                  <a:schemeClr val="tx2"/>
                </a:solidFill>
                <a:latin typeface="+mn-lt"/>
                <a:ea typeface="+mn-ea"/>
                <a:cs typeface="+mn-cs"/>
              </a:defRPr>
            </a:pPr>
            <a:r>
              <a:rPr lang="en-GB" sz="1400" b="1" i="0" u="none" strike="noStrike" kern="1200" spc="0" baseline="0">
                <a:solidFill>
                  <a:schemeClr val="tx2"/>
                </a:solidFill>
                <a:latin typeface="+mn-lt"/>
                <a:ea typeface="+mn-ea"/>
                <a:cs typeface="+mn-cs"/>
              </a:rPr>
              <a:t>Monthly Customer Count by Year</a:t>
            </a:r>
          </a:p>
        </c:rich>
      </c:tx>
      <c:overlay val="0"/>
      <c:spPr>
        <a:noFill/>
        <a:ln>
          <a:noFill/>
        </a:ln>
        <a:effectLst/>
      </c:spPr>
      <c:txPr>
        <a:bodyPr rot="0" spcFirstLastPara="1" vertOverflow="ellipsis" vert="horz" wrap="square" anchor="ctr" anchorCtr="1"/>
        <a:lstStyle/>
        <a:p>
          <a:pPr algn="ctr" rtl="0">
            <a:defRPr lang="en-GB"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Sales_Pivot!$K$3:$K$4</c:f>
              <c:strCache>
                <c:ptCount val="1"/>
                <c:pt idx="0">
                  <c:v>2028</c:v>
                </c:pt>
              </c:strCache>
            </c:strRef>
          </c:tx>
          <c:spPr>
            <a:ln w="28575" cap="rnd">
              <a:solidFill>
                <a:schemeClr val="accent1"/>
              </a:solidFill>
              <a:round/>
            </a:ln>
            <a:effectLst/>
          </c:spPr>
          <c:marker>
            <c:symbol val="none"/>
          </c:marker>
          <c:cat>
            <c:strRef>
              <c:f>Sales_Pivot!$J$5:$J$17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Sales_Pivot!$K$5:$K$17</c:f>
              <c:numCache>
                <c:formatCode>General</c:formatCode>
                <c:ptCount val="12"/>
                <c:pt idx="0">
                  <c:v>31</c:v>
                </c:pt>
                <c:pt idx="1">
                  <c:v>29</c:v>
                </c:pt>
                <c:pt idx="2">
                  <c:v>31</c:v>
                </c:pt>
                <c:pt idx="3">
                  <c:v>30</c:v>
                </c:pt>
                <c:pt idx="4">
                  <c:v>31</c:v>
                </c:pt>
                <c:pt idx="5">
                  <c:v>30</c:v>
                </c:pt>
                <c:pt idx="6">
                  <c:v>31</c:v>
                </c:pt>
                <c:pt idx="7">
                  <c:v>31</c:v>
                </c:pt>
                <c:pt idx="8">
                  <c:v>30</c:v>
                </c:pt>
                <c:pt idx="9">
                  <c:v>31</c:v>
                </c:pt>
                <c:pt idx="10">
                  <c:v>30</c:v>
                </c:pt>
                <c:pt idx="11">
                  <c:v>31</c:v>
                </c:pt>
              </c:numCache>
            </c:numRef>
          </c:val>
          <c:smooth val="0"/>
          <c:extLst>
            <c:ext xmlns:c16="http://schemas.microsoft.com/office/drawing/2014/chart" uri="{C3380CC4-5D6E-409C-BE32-E72D297353CC}">
              <c16:uniqueId val="{00000000-D28D-43B0-AC8F-19A75427D4F4}"/>
            </c:ext>
          </c:extLst>
        </c:ser>
        <c:ser>
          <c:idx val="1"/>
          <c:order val="1"/>
          <c:tx>
            <c:strRef>
              <c:f>Sales_Pivot!$L$3:$L$4</c:f>
              <c:strCache>
                <c:ptCount val="1"/>
                <c:pt idx="0">
                  <c:v>2029</c:v>
                </c:pt>
              </c:strCache>
            </c:strRef>
          </c:tx>
          <c:spPr>
            <a:ln w="28575" cap="rnd">
              <a:solidFill>
                <a:schemeClr val="accent2"/>
              </a:solidFill>
              <a:round/>
            </a:ln>
            <a:effectLst/>
          </c:spPr>
          <c:marker>
            <c:symbol val="none"/>
          </c:marker>
          <c:cat>
            <c:strRef>
              <c:f>Sales_Pivot!$J$5:$J$17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Sales_Pivot!$L$5:$L$17</c:f>
              <c:numCache>
                <c:formatCode>General</c:formatCode>
                <c:ptCount val="12"/>
                <c:pt idx="0">
                  <c:v>31</c:v>
                </c:pt>
                <c:pt idx="1">
                  <c:v>28</c:v>
                </c:pt>
                <c:pt idx="2">
                  <c:v>31</c:v>
                </c:pt>
                <c:pt idx="3">
                  <c:v>30</c:v>
                </c:pt>
                <c:pt idx="4">
                  <c:v>31</c:v>
                </c:pt>
                <c:pt idx="5">
                  <c:v>30</c:v>
                </c:pt>
                <c:pt idx="6">
                  <c:v>31</c:v>
                </c:pt>
                <c:pt idx="7">
                  <c:v>31</c:v>
                </c:pt>
                <c:pt idx="8">
                  <c:v>30</c:v>
                </c:pt>
                <c:pt idx="9">
                  <c:v>31</c:v>
                </c:pt>
                <c:pt idx="10">
                  <c:v>30</c:v>
                </c:pt>
                <c:pt idx="11">
                  <c:v>31</c:v>
                </c:pt>
              </c:numCache>
            </c:numRef>
          </c:val>
          <c:smooth val="0"/>
          <c:extLst>
            <c:ext xmlns:c16="http://schemas.microsoft.com/office/drawing/2014/chart" uri="{C3380CC4-5D6E-409C-BE32-E72D297353CC}">
              <c16:uniqueId val="{00000017-D28D-43B0-AC8F-19A75427D4F4}"/>
            </c:ext>
          </c:extLst>
        </c:ser>
        <c:ser>
          <c:idx val="2"/>
          <c:order val="2"/>
          <c:tx>
            <c:strRef>
              <c:f>Sales_Pivot!$M$3:$M$4</c:f>
              <c:strCache>
                <c:ptCount val="1"/>
                <c:pt idx="0">
                  <c:v>2026</c:v>
                </c:pt>
              </c:strCache>
            </c:strRef>
          </c:tx>
          <c:spPr>
            <a:ln w="28575" cap="rnd">
              <a:solidFill>
                <a:schemeClr val="accent3"/>
              </a:solidFill>
              <a:round/>
            </a:ln>
            <a:effectLst/>
          </c:spPr>
          <c:marker>
            <c:symbol val="none"/>
          </c:marker>
          <c:cat>
            <c:strRef>
              <c:f>Sales_Pivot!$J$5:$J$17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Sales_Pivot!$M$5:$M$17</c:f>
              <c:numCache>
                <c:formatCode>General</c:formatCode>
                <c:ptCount val="12"/>
                <c:pt idx="0">
                  <c:v>31</c:v>
                </c:pt>
                <c:pt idx="1">
                  <c:v>28</c:v>
                </c:pt>
                <c:pt idx="2">
                  <c:v>31</c:v>
                </c:pt>
                <c:pt idx="3">
                  <c:v>30</c:v>
                </c:pt>
                <c:pt idx="4">
                  <c:v>31</c:v>
                </c:pt>
                <c:pt idx="5">
                  <c:v>30</c:v>
                </c:pt>
                <c:pt idx="6">
                  <c:v>31</c:v>
                </c:pt>
                <c:pt idx="7">
                  <c:v>31</c:v>
                </c:pt>
                <c:pt idx="8">
                  <c:v>30</c:v>
                </c:pt>
                <c:pt idx="9">
                  <c:v>31</c:v>
                </c:pt>
                <c:pt idx="10">
                  <c:v>30</c:v>
                </c:pt>
                <c:pt idx="11">
                  <c:v>31</c:v>
                </c:pt>
              </c:numCache>
            </c:numRef>
          </c:val>
          <c:smooth val="0"/>
          <c:extLst>
            <c:ext xmlns:c16="http://schemas.microsoft.com/office/drawing/2014/chart" uri="{C3380CC4-5D6E-409C-BE32-E72D297353CC}">
              <c16:uniqueId val="{00000018-D28D-43B0-AC8F-19A75427D4F4}"/>
            </c:ext>
          </c:extLst>
        </c:ser>
        <c:ser>
          <c:idx val="3"/>
          <c:order val="3"/>
          <c:tx>
            <c:strRef>
              <c:f>Sales_Pivot!$N$3:$N$4</c:f>
              <c:strCache>
                <c:ptCount val="1"/>
                <c:pt idx="0">
                  <c:v>2027</c:v>
                </c:pt>
              </c:strCache>
            </c:strRef>
          </c:tx>
          <c:spPr>
            <a:ln w="28575" cap="rnd">
              <a:solidFill>
                <a:schemeClr val="accent4"/>
              </a:solidFill>
              <a:round/>
            </a:ln>
            <a:effectLst/>
          </c:spPr>
          <c:marker>
            <c:symbol val="none"/>
          </c:marker>
          <c:cat>
            <c:strRef>
              <c:f>Sales_Pivot!$J$5:$J$17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Sales_Pivot!$N$5:$N$17</c:f>
              <c:numCache>
                <c:formatCode>General</c:formatCode>
                <c:ptCount val="12"/>
                <c:pt idx="0">
                  <c:v>31</c:v>
                </c:pt>
                <c:pt idx="1">
                  <c:v>28</c:v>
                </c:pt>
                <c:pt idx="2">
                  <c:v>31</c:v>
                </c:pt>
                <c:pt idx="3">
                  <c:v>30</c:v>
                </c:pt>
                <c:pt idx="4">
                  <c:v>31</c:v>
                </c:pt>
                <c:pt idx="5">
                  <c:v>30</c:v>
                </c:pt>
                <c:pt idx="6">
                  <c:v>31</c:v>
                </c:pt>
                <c:pt idx="7">
                  <c:v>31</c:v>
                </c:pt>
                <c:pt idx="8">
                  <c:v>30</c:v>
                </c:pt>
                <c:pt idx="9">
                  <c:v>31</c:v>
                </c:pt>
                <c:pt idx="10">
                  <c:v>30</c:v>
                </c:pt>
                <c:pt idx="11">
                  <c:v>31</c:v>
                </c:pt>
              </c:numCache>
            </c:numRef>
          </c:val>
          <c:smooth val="0"/>
          <c:extLst>
            <c:ext xmlns:c16="http://schemas.microsoft.com/office/drawing/2014/chart" uri="{C3380CC4-5D6E-409C-BE32-E72D297353CC}">
              <c16:uniqueId val="{00000019-D28D-43B0-AC8F-19A75427D4F4}"/>
            </c:ext>
          </c:extLst>
        </c:ser>
        <c:ser>
          <c:idx val="4"/>
          <c:order val="4"/>
          <c:tx>
            <c:strRef>
              <c:f>Sales_Pivot!$O$3:$O$4</c:f>
              <c:strCache>
                <c:ptCount val="1"/>
                <c:pt idx="0">
                  <c:v>2025</c:v>
                </c:pt>
              </c:strCache>
            </c:strRef>
          </c:tx>
          <c:spPr>
            <a:ln w="28575" cap="rnd">
              <a:solidFill>
                <a:schemeClr val="accent5"/>
              </a:solidFill>
              <a:round/>
            </a:ln>
            <a:effectLst/>
          </c:spPr>
          <c:marker>
            <c:symbol val="none"/>
          </c:marker>
          <c:cat>
            <c:strRef>
              <c:f>Sales_Pivot!$J$5:$J$17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Sales_Pivot!$O$5:$O$17</c:f>
              <c:numCache>
                <c:formatCode>General</c:formatCode>
                <c:ptCount val="12"/>
                <c:pt idx="0">
                  <c:v>13</c:v>
                </c:pt>
                <c:pt idx="1">
                  <c:v>28</c:v>
                </c:pt>
                <c:pt idx="2">
                  <c:v>31</c:v>
                </c:pt>
                <c:pt idx="3">
                  <c:v>30</c:v>
                </c:pt>
                <c:pt idx="4">
                  <c:v>31</c:v>
                </c:pt>
                <c:pt idx="5">
                  <c:v>30</c:v>
                </c:pt>
                <c:pt idx="6">
                  <c:v>31</c:v>
                </c:pt>
                <c:pt idx="7">
                  <c:v>31</c:v>
                </c:pt>
                <c:pt idx="8">
                  <c:v>30</c:v>
                </c:pt>
                <c:pt idx="9">
                  <c:v>31</c:v>
                </c:pt>
                <c:pt idx="10">
                  <c:v>30</c:v>
                </c:pt>
                <c:pt idx="11">
                  <c:v>31</c:v>
                </c:pt>
              </c:numCache>
            </c:numRef>
          </c:val>
          <c:smooth val="0"/>
          <c:extLst>
            <c:ext xmlns:c16="http://schemas.microsoft.com/office/drawing/2014/chart" uri="{C3380CC4-5D6E-409C-BE32-E72D297353CC}">
              <c16:uniqueId val="{0000001A-D28D-43B0-AC8F-19A75427D4F4}"/>
            </c:ext>
          </c:extLst>
        </c:ser>
        <c:ser>
          <c:idx val="5"/>
          <c:order val="5"/>
          <c:tx>
            <c:strRef>
              <c:f>Sales_Pivot!$P$3:$P$4</c:f>
              <c:strCache>
                <c:ptCount val="1"/>
                <c:pt idx="0">
                  <c:v>2030</c:v>
                </c:pt>
              </c:strCache>
            </c:strRef>
          </c:tx>
          <c:spPr>
            <a:ln w="28575" cap="rnd">
              <a:solidFill>
                <a:schemeClr val="accent6"/>
              </a:solidFill>
              <a:round/>
            </a:ln>
            <a:effectLst/>
          </c:spPr>
          <c:marker>
            <c:symbol val="none"/>
          </c:marker>
          <c:cat>
            <c:strRef>
              <c:f>Sales_Pivot!$J$5:$J$17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Sales_Pivot!$P$5:$P$17</c:f>
              <c:numCache>
                <c:formatCode>General</c:formatCode>
                <c:ptCount val="12"/>
                <c:pt idx="0">
                  <c:v>31</c:v>
                </c:pt>
                <c:pt idx="1">
                  <c:v>28</c:v>
                </c:pt>
                <c:pt idx="2">
                  <c:v>31</c:v>
                </c:pt>
                <c:pt idx="3">
                  <c:v>30</c:v>
                </c:pt>
                <c:pt idx="4">
                  <c:v>31</c:v>
                </c:pt>
                <c:pt idx="5">
                  <c:v>30</c:v>
                </c:pt>
                <c:pt idx="6">
                  <c:v>31</c:v>
                </c:pt>
                <c:pt idx="7">
                  <c:v>31</c:v>
                </c:pt>
                <c:pt idx="8">
                  <c:v>30</c:v>
                </c:pt>
                <c:pt idx="9">
                  <c:v>17</c:v>
                </c:pt>
              </c:numCache>
            </c:numRef>
          </c:val>
          <c:smooth val="0"/>
          <c:extLst>
            <c:ext xmlns:c16="http://schemas.microsoft.com/office/drawing/2014/chart" uri="{C3380CC4-5D6E-409C-BE32-E72D297353CC}">
              <c16:uniqueId val="{0000001B-D28D-43B0-AC8F-19A75427D4F4}"/>
            </c:ext>
          </c:extLst>
        </c:ser>
        <c:dLbls>
          <c:showLegendKey val="0"/>
          <c:showVal val="0"/>
          <c:showCatName val="0"/>
          <c:showSerName val="0"/>
          <c:showPercent val="0"/>
          <c:showBubbleSize val="0"/>
        </c:dLbls>
        <c:smooth val="0"/>
        <c:axId val="1865771744"/>
        <c:axId val="1865772224"/>
      </c:lineChart>
      <c:catAx>
        <c:axId val="1865771744"/>
        <c:scaling>
          <c:orientation val="minMax"/>
        </c:scaling>
        <c:delete val="0"/>
        <c:axPos val="b"/>
        <c:title>
          <c:tx>
            <c:rich>
              <a:bodyPr rot="0" spcFirstLastPara="1" vertOverflow="ellipsis" vert="horz" wrap="square" anchor="ctr" anchorCtr="1"/>
              <a:lstStyle/>
              <a:p>
                <a:pPr algn="ctr" rtl="0">
                  <a:defRPr lang="en-GB" sz="1000" b="1" i="0" u="none" strike="noStrike" kern="1200" baseline="0">
                    <a:solidFill>
                      <a:schemeClr val="tx2"/>
                    </a:solidFill>
                    <a:latin typeface="+mn-lt"/>
                    <a:ea typeface="+mn-ea"/>
                    <a:cs typeface="+mn-cs"/>
                  </a:defRPr>
                </a:pPr>
                <a:r>
                  <a:rPr lang="en-GB" sz="1000" b="1" i="0" u="none" strike="noStrike" kern="1200" baseline="0">
                    <a:solidFill>
                      <a:schemeClr val="tx2"/>
                    </a:solidFill>
                    <a:latin typeface="+mn-lt"/>
                    <a:ea typeface="+mn-ea"/>
                    <a:cs typeface="+mn-cs"/>
                  </a:rPr>
                  <a:t>Month</a:t>
                </a:r>
              </a:p>
            </c:rich>
          </c:tx>
          <c:overlay val="0"/>
          <c:spPr>
            <a:noFill/>
            <a:ln>
              <a:noFill/>
            </a:ln>
            <a:effectLst/>
          </c:spPr>
          <c:txPr>
            <a:bodyPr rot="0" spcFirstLastPara="1" vertOverflow="ellipsis" vert="horz" wrap="square" anchor="ctr" anchorCtr="1"/>
            <a:lstStyle/>
            <a:p>
              <a:pPr algn="ctr" rtl="0">
                <a:defRPr lang="en-GB" sz="10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772224"/>
        <c:crosses val="autoZero"/>
        <c:auto val="1"/>
        <c:lblAlgn val="ctr"/>
        <c:lblOffset val="100"/>
        <c:noMultiLvlLbl val="0"/>
      </c:catAx>
      <c:valAx>
        <c:axId val="1865772224"/>
        <c:scaling>
          <c:orientation val="minMax"/>
        </c:scaling>
        <c:delete val="0"/>
        <c:axPos val="l"/>
        <c:title>
          <c:tx>
            <c:rich>
              <a:bodyPr rot="-5400000" spcFirstLastPara="1" vertOverflow="ellipsis" vert="horz" wrap="square" anchor="ctr" anchorCtr="1"/>
              <a:lstStyle/>
              <a:p>
                <a:pPr algn="ctr" rtl="0">
                  <a:defRPr lang="en-GB" sz="1000" b="1" i="0" u="none" strike="noStrike" kern="1200" baseline="0">
                    <a:solidFill>
                      <a:schemeClr val="tx2"/>
                    </a:solidFill>
                    <a:latin typeface="+mn-lt"/>
                    <a:ea typeface="+mn-ea"/>
                    <a:cs typeface="+mn-cs"/>
                  </a:defRPr>
                </a:pPr>
                <a:r>
                  <a:rPr lang="en-GB" sz="1000" b="1" i="0" u="none" strike="noStrike" kern="1200" baseline="0">
                    <a:solidFill>
                      <a:schemeClr val="tx2"/>
                    </a:solidFill>
                    <a:latin typeface="+mn-lt"/>
                    <a:ea typeface="+mn-ea"/>
                    <a:cs typeface="+mn-cs"/>
                  </a:rPr>
                  <a:t>No. of Customers</a:t>
                </a:r>
              </a:p>
            </c:rich>
          </c:tx>
          <c:overlay val="0"/>
          <c:spPr>
            <a:noFill/>
            <a:ln>
              <a:noFill/>
            </a:ln>
            <a:effectLst/>
          </c:spPr>
          <c:txPr>
            <a:bodyPr rot="-5400000" spcFirstLastPara="1" vertOverflow="ellipsis" vert="horz" wrap="square" anchor="ctr" anchorCtr="1"/>
            <a:lstStyle/>
            <a:p>
              <a:pPr algn="ctr" rtl="0">
                <a:defRPr lang="en-GB" sz="10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77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[JoelMokolo_Assignment 2_Project.xlsx]Sales_Pivot!PT_City_by_COGS</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COGS by City</a:t>
            </a:r>
          </a:p>
        </c:rich>
      </c:tx>
      <c:layout>
        <c:manualLayout>
          <c:xMode val="edge"/>
          <c:yMode val="edge"/>
          <c:x val="0.29974504687197562"/>
          <c:y val="3.296703296703296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chemeClr val="tx2">
              <a:lumMod val="60000"/>
              <a:lumOff val="4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hade val="58000"/>
            </a:schemeClr>
          </a:solidFill>
          <a:ln w="19050">
            <a:solidFill>
              <a:schemeClr val="lt1"/>
            </a:solidFill>
          </a:ln>
          <a:effectLst/>
        </c:spPr>
      </c:pivotFmt>
      <c:pivotFmt>
        <c:idx val="5"/>
        <c:spPr>
          <a:solidFill>
            <a:schemeClr val="tx2">
              <a:lumMod val="60000"/>
              <a:lumOff val="40000"/>
            </a:schemeClr>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chemeClr val="accent1">
              <a:tint val="58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hade val="58000"/>
            </a:schemeClr>
          </a:solidFill>
          <a:ln w="19050">
            <a:solidFill>
              <a:schemeClr val="lt1"/>
            </a:solidFill>
          </a:ln>
          <a:effectLst/>
        </c:spPr>
      </c:pivotFmt>
      <c:pivotFmt>
        <c:idx val="10"/>
        <c:spPr>
          <a:solidFill>
            <a:schemeClr val="tx2">
              <a:lumMod val="60000"/>
              <a:lumOff val="40000"/>
            </a:schemeClr>
          </a:solidFill>
          <a:ln w="19050">
            <a:solidFill>
              <a:schemeClr val="lt1"/>
            </a:solidFill>
          </a:ln>
          <a:effectLst/>
        </c:spPr>
      </c:pivotFmt>
      <c:pivotFmt>
        <c:idx val="11"/>
        <c:spPr>
          <a:solidFill>
            <a:srgbClr val="92D050"/>
          </a:solidFill>
          <a:ln w="19050">
            <a:solidFill>
              <a:schemeClr val="lt1"/>
            </a:solidFill>
          </a:ln>
          <a:effectLst/>
        </c:spPr>
      </c:pivotFmt>
      <c:pivotFmt>
        <c:idx val="12"/>
        <c:spPr>
          <a:solidFill>
            <a:schemeClr val="accent1">
              <a:tint val="58000"/>
            </a:schemeClr>
          </a:solidFill>
          <a:ln w="19050">
            <a:solidFill>
              <a:schemeClr val="lt1"/>
            </a:solidFill>
          </a:ln>
          <a:effectLst/>
        </c:spPr>
      </c:pivotFmt>
    </c:pivotFmts>
    <c:plotArea>
      <c:layout/>
      <c:doughnutChart>
        <c:varyColors val="1"/>
        <c:ser>
          <c:idx val="0"/>
          <c:order val="0"/>
          <c:tx>
            <c:strRef>
              <c:f>Sales_Pivot!$H$3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CF6E-43C9-A555-F0CA9C013C66}"/>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CF6E-43C9-A555-F0CA9C013C66}"/>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CF6E-43C9-A555-F0CA9C013C66}"/>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CF6E-43C9-A555-F0CA9C013C66}"/>
              </c:ext>
            </c:extLst>
          </c:dPt>
          <c:dLbls>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Sales_Pivot!$G$4:$G$8</c:f>
              <c:strCache>
                <c:ptCount val="4"/>
                <c:pt idx="0">
                  <c:v>Lagos</c:v>
                </c:pt>
                <c:pt idx="1">
                  <c:v>Kano</c:v>
                </c:pt>
                <c:pt idx="2">
                  <c:v>Port Harcourt</c:v>
                </c:pt>
                <c:pt idx="3">
                  <c:v>Abuja</c:v>
                </c:pt>
              </c:strCache>
            </c:strRef>
          </c:cat>
          <c:val>
            <c:numRef>
              <c:f>Sales_Pivot!$H$4:$H$8</c:f>
              <c:numCache>
                <c:formatCode>[&gt;=1000000]\ "$"#,##0.00,,"M";[&gt;=1000]\ "$"#.00,"K";"$"###.00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CF6E-43C9-A555-F0CA9C013C6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accent1">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[JoelMokolo_Assignment 2_Project.xlsx]Sales_Pivot!PT_Rev_by_sales_rep</c:name>
    <c:fmtId val="10"/>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 by Sales Rep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0,,&quot;M&quot;;[&gt;=1000]\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0,,&quot;M&quot;;[&gt;=1000]\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Sales_Pivot!$E$3</c:f>
              <c:strCache>
                <c:ptCount val="1"/>
                <c:pt idx="0">
                  <c:v>Total</c:v>
                </c:pt>
              </c:strCache>
            </c:strRef>
          </c:tx>
          <c:spPr>
            <a:solidFill>
              <a:schemeClr val="accent1"/>
            </a:solidFill>
            <a:ln>
              <a:noFill/>
            </a:ln>
            <a:effectLst/>
          </c:spPr>
          <c:invertIfNegative val="0"/>
          <c:dLbls>
            <c:numFmt formatCode="[&gt;=1000000]\ #,##0,,&quot;M&quot;;[&gt;=1000]\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Sales_Pivot!$D$4:$D$10</c:f>
              <c:strCache>
                <c:ptCount val="6"/>
                <c:pt idx="0">
                  <c:v>Peter</c:v>
                </c:pt>
                <c:pt idx="1">
                  <c:v>Musa</c:v>
                </c:pt>
                <c:pt idx="2">
                  <c:v>David</c:v>
                </c:pt>
                <c:pt idx="3">
                  <c:v>Aisha</c:v>
                </c:pt>
                <c:pt idx="4">
                  <c:v>Chidinma</c:v>
                </c:pt>
                <c:pt idx="5">
                  <c:v>Grace</c:v>
                </c:pt>
              </c:strCache>
            </c:strRef>
          </c:cat>
          <c:val>
            <c:numRef>
              <c:f>Sales_Pivot!$E$4:$E$10</c:f>
              <c:numCache>
                <c:formatCode>[&gt;=1000000]\ "$"#,##0.00,,"M";[&gt;=1000]\ "$"#.00,"K";"$"###.00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E699-4E4C-8FB0-C6B6F56B080A}"/>
            </c:ext>
          </c:extLst>
        </c:ser>
        <c:dLbls>
          <c:showLegendKey val="0"/>
          <c:showVal val="1"/>
          <c:showCatName val="0"/>
          <c:showSerName val="0"/>
          <c:showPercent val="0"/>
          <c:showBubbleSize val="0"/>
        </c:dLbls>
        <c:gapWidth val="150"/>
        <c:axId val="1865777984"/>
        <c:axId val="1865769824"/>
      </c:barChart>
      <c:catAx>
        <c:axId val="186577798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GB" b="1">
                    <a:solidFill>
                      <a:schemeClr val="tx2"/>
                    </a:solidFill>
                  </a:rPr>
                  <a:t>Sales</a:t>
                </a:r>
                <a:r>
                  <a:rPr lang="en-GB" b="1" baseline="0">
                    <a:solidFill>
                      <a:schemeClr val="tx2"/>
                    </a:solidFill>
                  </a:rPr>
                  <a:t> Rep</a:t>
                </a:r>
                <a:endParaRPr lang="en-GB" b="1">
                  <a:solidFill>
                    <a:schemeClr val="tx2"/>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769824"/>
        <c:crosses val="autoZero"/>
        <c:auto val="1"/>
        <c:lblAlgn val="ctr"/>
        <c:lblOffset val="100"/>
        <c:noMultiLvlLbl val="0"/>
      </c:catAx>
      <c:valAx>
        <c:axId val="186576982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GB" b="1">
                    <a:solidFill>
                      <a:schemeClr val="tx2"/>
                    </a:solidFill>
                  </a:rPr>
                  <a:t>Total Revenue</a:t>
                </a:r>
                <a:r>
                  <a:rPr lang="en-GB" b="1" baseline="0">
                    <a:solidFill>
                      <a:schemeClr val="tx2"/>
                    </a:solidFill>
                  </a:rPr>
                  <a:t> ($)</a:t>
                </a:r>
                <a:endParaRPr lang="en-GB" b="1">
                  <a:solidFill>
                    <a:schemeClr val="tx2"/>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title>
        <c:numFmt formatCode="[&gt;=1000000]\ #,##0,,&quot;M&quot;;[&gt;=1000]\ ##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77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[JoelMokolo_Assignment 2_Project.xlsx]Sales_Pivot!PT_profit_by_product</c:name>
    <c:fmtId val="11"/>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Profit by Product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0,,&quot;M&quot;;[&gt;=1000]\ ##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0,,&quot;M&quot;;[&gt;=1000]\ ##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0,,&quot;M&quot;;[&gt;=1000]\ ##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Sales_Pivot!$B$3</c:f>
              <c:strCache>
                <c:ptCount val="1"/>
                <c:pt idx="0">
                  <c:v>Total</c:v>
                </c:pt>
              </c:strCache>
            </c:strRef>
          </c:tx>
          <c:spPr>
            <a:solidFill>
              <a:schemeClr val="accent1"/>
            </a:solidFill>
            <a:ln>
              <a:noFill/>
            </a:ln>
            <a:effectLst/>
          </c:spPr>
          <c:invertIfNegative val="0"/>
          <c:dLbls>
            <c:numFmt formatCode="[&gt;=1000000]\ #,##0,,&quot;M&quot;;[&gt;=1000]\ ##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Sales_Pivot!$B$4:$B$14</c:f>
              <c:numCache>
                <c:formatCode>[&gt;=1000000]\ "$"#,##0.00,,"M";[&gt;=1000]\ "$"#.00,"K";"$"###.00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3A24-43F3-A353-1917CF797184}"/>
            </c:ext>
          </c:extLst>
        </c:ser>
        <c:dLbls>
          <c:dLblPos val="outEnd"/>
          <c:showLegendKey val="0"/>
          <c:showVal val="1"/>
          <c:showCatName val="0"/>
          <c:showSerName val="0"/>
          <c:showPercent val="0"/>
          <c:showBubbleSize val="0"/>
        </c:dLbls>
        <c:gapWidth val="182"/>
        <c:axId val="1859329504"/>
        <c:axId val="1859321824"/>
      </c:barChart>
      <c:catAx>
        <c:axId val="1859329504"/>
        <c:scaling>
          <c:orientation val="maxMin"/>
        </c:scaling>
        <c:delete val="0"/>
        <c:axPos val="l"/>
        <c:title>
          <c:tx>
            <c:rich>
              <a:bodyPr rot="-5400000" spcFirstLastPara="1" vertOverflow="ellipsis" vert="horz" wrap="square" anchor="ctr" anchorCtr="1"/>
              <a:lstStyle/>
              <a:p>
                <a:pPr algn="ctr" rtl="0">
                  <a:defRPr lang="en-GB" sz="1000" b="1" i="0" u="none" strike="noStrike" kern="1200" baseline="0">
                    <a:solidFill>
                      <a:schemeClr val="tx2"/>
                    </a:solidFill>
                    <a:latin typeface="+mn-lt"/>
                    <a:ea typeface="+mn-ea"/>
                    <a:cs typeface="+mn-cs"/>
                  </a:defRPr>
                </a:pPr>
                <a:r>
                  <a:rPr lang="en-GB" sz="1000" b="1" i="0" u="none" strike="noStrike" kern="1200" baseline="0">
                    <a:solidFill>
                      <a:schemeClr val="tx2"/>
                    </a:solidFill>
                    <a:latin typeface="+mn-lt"/>
                    <a:ea typeface="+mn-ea"/>
                    <a:cs typeface="+mn-cs"/>
                  </a:rPr>
                  <a:t>Product</a:t>
                </a:r>
              </a:p>
            </c:rich>
          </c:tx>
          <c:overlay val="0"/>
          <c:spPr>
            <a:noFill/>
            <a:ln>
              <a:noFill/>
            </a:ln>
            <a:effectLst/>
          </c:spPr>
          <c:txPr>
            <a:bodyPr rot="-5400000" spcFirstLastPara="1" vertOverflow="ellipsis" vert="horz" wrap="square" anchor="ctr" anchorCtr="1"/>
            <a:lstStyle/>
            <a:p>
              <a:pPr algn="ctr" rtl="0">
                <a:defRPr lang="en-GB" sz="10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321824"/>
        <c:crosses val="autoZero"/>
        <c:auto val="1"/>
        <c:lblAlgn val="ctr"/>
        <c:lblOffset val="100"/>
        <c:noMultiLvlLbl val="0"/>
      </c:catAx>
      <c:valAx>
        <c:axId val="1859321824"/>
        <c:scaling>
          <c:orientation val="minMax"/>
        </c:scaling>
        <c:delete val="0"/>
        <c:axPos val="t"/>
        <c:title>
          <c:tx>
            <c:rich>
              <a:bodyPr rot="0" spcFirstLastPara="1" vertOverflow="ellipsis" vert="horz" wrap="square" anchor="ctr" anchorCtr="1"/>
              <a:lstStyle/>
              <a:p>
                <a:pPr algn="ctr" rtl="0">
                  <a:defRPr lang="en-GB" sz="1000" b="1" i="0" u="none" strike="noStrike" kern="1200" baseline="0">
                    <a:solidFill>
                      <a:schemeClr val="tx2"/>
                    </a:solidFill>
                    <a:latin typeface="+mn-lt"/>
                    <a:ea typeface="+mn-ea"/>
                    <a:cs typeface="+mn-cs"/>
                  </a:defRPr>
                </a:pPr>
                <a:r>
                  <a:rPr lang="en-GB" sz="1000" b="1" i="0" u="none" strike="noStrike" kern="1200" baseline="0">
                    <a:solidFill>
                      <a:schemeClr val="tx2"/>
                    </a:solidFill>
                    <a:latin typeface="+mn-lt"/>
                    <a:ea typeface="+mn-ea"/>
                    <a:cs typeface="+mn-cs"/>
                  </a:rPr>
                  <a:t>Total Profit ($)</a:t>
                </a:r>
              </a:p>
            </c:rich>
          </c:tx>
          <c:overlay val="0"/>
          <c:spPr>
            <a:noFill/>
            <a:ln>
              <a:noFill/>
            </a:ln>
            <a:effectLst/>
          </c:spPr>
          <c:txPr>
            <a:bodyPr rot="0" spcFirstLastPara="1" vertOverflow="ellipsis" vert="horz" wrap="square" anchor="ctr" anchorCtr="1"/>
            <a:lstStyle/>
            <a:p>
              <a:pPr algn="ctr" rtl="0">
                <a:defRPr lang="en-GB" sz="1000" b="1" i="0" u="none" strike="noStrike" kern="1200" baseline="0">
                  <a:solidFill>
                    <a:schemeClr val="tx2"/>
                  </a:solidFill>
                  <a:latin typeface="+mn-lt"/>
                  <a:ea typeface="+mn-ea"/>
                  <a:cs typeface="+mn-cs"/>
                </a:defRPr>
              </a:pPr>
              <a:endParaRPr lang="en-US"/>
            </a:p>
          </c:txPr>
        </c:title>
        <c:numFmt formatCode="[&gt;=1000000]\ #,##0,,&quot;M&quot;;[&gt;=1000]\ ##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32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chart" Target="../charts/chart3.xml"/><Relationship Id="rId5" Type="http://schemas.openxmlformats.org/officeDocument/2006/relationships/image" Target="../media/image3.png"/><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absolute">
    <xdr:from>
      <xdr:col>0</xdr:col>
      <xdr:colOff>1</xdr:colOff>
      <xdr:row>31</xdr:row>
      <xdr:rowOff>149225</xdr:rowOff>
    </xdr:from>
    <xdr:to>
      <xdr:col>3</xdr:col>
      <xdr:colOff>476250</xdr:colOff>
      <xdr:row>36</xdr:row>
      <xdr:rowOff>149225</xdr:rowOff>
    </xdr:to>
    <mc:AlternateContent xmlns:mc="http://schemas.openxmlformats.org/markup-compatibility/2006">
      <mc:Choice xmlns:a14="http://schemas.microsoft.com/office/drawing/2010/main" Requires="a14">
        <xdr:graphicFrame macro="">
          <xdr:nvGraphicFramePr>
            <xdr:cNvPr id="2" name="Customer Type">
              <a:extLst>
                <a:ext uri="{FF2B5EF4-FFF2-40B4-BE49-F238E27FC236}">
                  <a16:creationId xmlns:a16="http://schemas.microsoft.com/office/drawing/2014/main" id="{A8C80E64-C324-4FAA-B4DD-19653C10B90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 y="5808663"/>
              <a:ext cx="2309812" cy="9128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xdr:colOff>
      <xdr:row>14</xdr:row>
      <xdr:rowOff>87313</xdr:rowOff>
    </xdr:from>
    <xdr:to>
      <xdr:col>3</xdr:col>
      <xdr:colOff>476250</xdr:colOff>
      <xdr:row>31</xdr:row>
      <xdr:rowOff>84138</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3EA33623-9598-431F-B7E3-6AD352245B9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 y="2643188"/>
              <a:ext cx="2309812" cy="31003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xdr:colOff>
      <xdr:row>3</xdr:row>
      <xdr:rowOff>53978</xdr:rowOff>
    </xdr:from>
    <xdr:to>
      <xdr:col>3</xdr:col>
      <xdr:colOff>466514</xdr:colOff>
      <xdr:row>14</xdr:row>
      <xdr:rowOff>19051</xdr:rowOff>
    </xdr:to>
    <mc:AlternateContent xmlns:mc="http://schemas.openxmlformats.org/markup-compatibility/2006">
      <mc:Choice xmlns:a14="http://schemas.microsoft.com/office/drawing/2010/main" Requires="a14">
        <xdr:graphicFrame macro="">
          <xdr:nvGraphicFramePr>
            <xdr:cNvPr id="5" name="Sales Rep">
              <a:extLst>
                <a:ext uri="{FF2B5EF4-FFF2-40B4-BE49-F238E27FC236}">
                  <a16:creationId xmlns:a16="http://schemas.microsoft.com/office/drawing/2014/main" id="{35BC0557-4476-400C-92A4-5AFC9FB0BAD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1" y="601666"/>
              <a:ext cx="2300076" cy="19732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6</xdr:col>
      <xdr:colOff>144863</xdr:colOff>
      <xdr:row>3</xdr:row>
      <xdr:rowOff>53978</xdr:rowOff>
    </xdr:from>
    <xdr:to>
      <xdr:col>10</xdr:col>
      <xdr:colOff>1988</xdr:colOff>
      <xdr:row>10</xdr:row>
      <xdr:rowOff>143640</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9899EB3A-F281-4E4D-A091-E19B55E7FCC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811988" y="601666"/>
              <a:ext cx="2301875" cy="136759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editAs="absolute">
    <xdr:from>
      <xdr:col>3</xdr:col>
      <xdr:colOff>547688</xdr:colOff>
      <xdr:row>3</xdr:row>
      <xdr:rowOff>53978</xdr:rowOff>
    </xdr:from>
    <xdr:to>
      <xdr:col>6</xdr:col>
      <xdr:colOff>47920</xdr:colOff>
      <xdr:row>10</xdr:row>
      <xdr:rowOff>143640</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CD995B91-E54A-43EB-9DC7-34D9814B0B72}"/>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381251" y="601666"/>
              <a:ext cx="1333794" cy="136759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editAs="absolute">
    <xdr:from>
      <xdr:col>16</xdr:col>
      <xdr:colOff>94910</xdr:colOff>
      <xdr:row>3</xdr:row>
      <xdr:rowOff>53978</xdr:rowOff>
    </xdr:from>
    <xdr:to>
      <xdr:col>24</xdr:col>
      <xdr:colOff>181270</xdr:colOff>
      <xdr:row>10</xdr:row>
      <xdr:rowOff>149990</xdr:rowOff>
    </xdr:to>
    <mc:AlternateContent xmlns:mc="http://schemas.openxmlformats.org/markup-compatibility/2006">
      <mc:Choice xmlns:tsle="http://schemas.microsoft.com/office/drawing/2012/timeslicer" Requires="tsle">
        <xdr:graphicFrame macro="">
          <xdr:nvGraphicFramePr>
            <xdr:cNvPr id="8" name="Date 2">
              <a:extLst>
                <a:ext uri="{FF2B5EF4-FFF2-40B4-BE49-F238E27FC236}">
                  <a16:creationId xmlns:a16="http://schemas.microsoft.com/office/drawing/2014/main" id="{699AC613-534E-42E8-9E2D-B52DDB6EB01A}"/>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9873910" y="601666"/>
              <a:ext cx="4975860" cy="137394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editAs="absolute">
    <xdr:from>
      <xdr:col>10</xdr:col>
      <xdr:colOff>95756</xdr:colOff>
      <xdr:row>3</xdr:row>
      <xdr:rowOff>53978</xdr:rowOff>
    </xdr:from>
    <xdr:to>
      <xdr:col>16</xdr:col>
      <xdr:colOff>21779</xdr:colOff>
      <xdr:row>10</xdr:row>
      <xdr:rowOff>140465</xdr:rowOff>
    </xdr:to>
    <mc:AlternateContent xmlns:mc="http://schemas.openxmlformats.org/markup-compatibility/2006">
      <mc:Choice xmlns:tsle="http://schemas.microsoft.com/office/drawing/2012/timeslicer" Requires="tsle">
        <xdr:graphicFrame macro="">
          <xdr:nvGraphicFramePr>
            <xdr:cNvPr id="9" name="Date 3">
              <a:extLst>
                <a:ext uri="{FF2B5EF4-FFF2-40B4-BE49-F238E27FC236}">
                  <a16:creationId xmlns:a16="http://schemas.microsoft.com/office/drawing/2014/main" id="{3DB0A47E-EF01-4889-832B-22E8C7A60267}"/>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6207631" y="601666"/>
              <a:ext cx="3593148" cy="136442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xdr:from>
      <xdr:col>12</xdr:col>
      <xdr:colOff>380998</xdr:colOff>
      <xdr:row>11</xdr:row>
      <xdr:rowOff>26875</xdr:rowOff>
    </xdr:from>
    <xdr:to>
      <xdr:col>21</xdr:col>
      <xdr:colOff>121759</xdr:colOff>
      <xdr:row>23</xdr:row>
      <xdr:rowOff>165781</xdr:rowOff>
    </xdr:to>
    <xdr:graphicFrame macro="">
      <xdr:nvGraphicFramePr>
        <xdr:cNvPr id="10" name="PC_Monthly_Customer">
          <a:extLst>
            <a:ext uri="{FF2B5EF4-FFF2-40B4-BE49-F238E27FC236}">
              <a16:creationId xmlns:a16="http://schemas.microsoft.com/office/drawing/2014/main" id="{F2B1FAA8-603B-48B1-8E12-C01321168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573881</xdr:colOff>
      <xdr:row>11</xdr:row>
      <xdr:rowOff>26875</xdr:rowOff>
    </xdr:from>
    <xdr:to>
      <xdr:col>12</xdr:col>
      <xdr:colOff>320992</xdr:colOff>
      <xdr:row>23</xdr:row>
      <xdr:rowOff>169750</xdr:rowOff>
    </xdr:to>
    <xdr:graphicFrame macro="">
      <xdr:nvGraphicFramePr>
        <xdr:cNvPr id="11" name="PC_City_by_COGS">
          <a:extLst>
            <a:ext uri="{FF2B5EF4-FFF2-40B4-BE49-F238E27FC236}">
              <a16:creationId xmlns:a16="http://schemas.microsoft.com/office/drawing/2014/main" id="{95F6D032-90DD-4A2C-BD9E-3F3159108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215918</xdr:colOff>
      <xdr:row>11</xdr:row>
      <xdr:rowOff>75412</xdr:rowOff>
    </xdr:from>
    <xdr:to>
      <xdr:col>24</xdr:col>
      <xdr:colOff>188930</xdr:colOff>
      <xdr:row>17</xdr:row>
      <xdr:rowOff>125414</xdr:rowOff>
    </xdr:to>
    <xdr:grpSp>
      <xdr:nvGrpSpPr>
        <xdr:cNvPr id="51" name="Group 50">
          <a:extLst>
            <a:ext uri="{FF2B5EF4-FFF2-40B4-BE49-F238E27FC236}">
              <a16:creationId xmlns:a16="http://schemas.microsoft.com/office/drawing/2014/main" id="{17528897-B563-2F82-911E-50BF2CED5D8D}"/>
            </a:ext>
          </a:extLst>
        </xdr:cNvPr>
        <xdr:cNvGrpSpPr/>
      </xdr:nvGrpSpPr>
      <xdr:grpSpPr>
        <a:xfrm>
          <a:off x="13050856" y="2083600"/>
          <a:ext cx="1806574" cy="1145377"/>
          <a:chOff x="12968303" y="2039943"/>
          <a:chExt cx="1797843" cy="1118390"/>
        </a:xfrm>
      </xdr:grpSpPr>
      <xdr:sp macro="" textlink="">
        <xdr:nvSpPr>
          <xdr:cNvPr id="16" name="Rectangle: Rounded Corners 15">
            <a:extLst>
              <a:ext uri="{FF2B5EF4-FFF2-40B4-BE49-F238E27FC236}">
                <a16:creationId xmlns:a16="http://schemas.microsoft.com/office/drawing/2014/main" id="{2163093A-65D6-CDAA-5410-46AEA4131E03}"/>
              </a:ext>
            </a:extLst>
          </xdr:cNvPr>
          <xdr:cNvSpPr/>
        </xdr:nvSpPr>
        <xdr:spPr>
          <a:xfrm>
            <a:off x="12968303" y="2068853"/>
            <a:ext cx="1797843" cy="1023974"/>
          </a:xfrm>
          <a:prstGeom prst="roundRect">
            <a:avLst>
              <a:gd name="adj" fmla="val 8502"/>
            </a:avLst>
          </a:prstGeom>
          <a:ln w="31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sp macro="" textlink="Sales_Pivot!$A$22">
        <xdr:nvSpPr>
          <xdr:cNvPr id="20" name="TextBox 19">
            <a:extLst>
              <a:ext uri="{FF2B5EF4-FFF2-40B4-BE49-F238E27FC236}">
                <a16:creationId xmlns:a16="http://schemas.microsoft.com/office/drawing/2014/main" id="{A97C3D34-F972-C7F3-234D-15FD6D20C2D3}"/>
              </a:ext>
            </a:extLst>
          </xdr:cNvPr>
          <xdr:cNvSpPr txBox="1"/>
        </xdr:nvSpPr>
        <xdr:spPr>
          <a:xfrm>
            <a:off x="13188342" y="2681206"/>
            <a:ext cx="1375505" cy="47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10DF60-DECC-4F2A-BD8B-71B813CC11D6}" type="TxLink">
              <a:rPr lang="en-US" sz="1600" b="1" i="0" u="none" strike="noStrike">
                <a:solidFill>
                  <a:schemeClr val="tx2">
                    <a:lumMod val="60000"/>
                    <a:lumOff val="40000"/>
                  </a:schemeClr>
                </a:solidFill>
                <a:latin typeface="Segoe UI"/>
                <a:cs typeface="Segoe UI"/>
              </a:rPr>
              <a:pPr algn="ctr"/>
              <a:t> $2,328.37M</a:t>
            </a:fld>
            <a:endParaRPr lang="en-GB" sz="2000" b="1">
              <a:solidFill>
                <a:schemeClr val="tx2">
                  <a:lumMod val="60000"/>
                  <a:lumOff val="40000"/>
                </a:schemeClr>
              </a:solidFill>
            </a:endParaRPr>
          </a:p>
        </xdr:txBody>
      </xdr:sp>
      <xdr:sp macro="" textlink="Sales_Pivot!$A$22">
        <xdr:nvSpPr>
          <xdr:cNvPr id="21" name="TextBox 20">
            <a:extLst>
              <a:ext uri="{FF2B5EF4-FFF2-40B4-BE49-F238E27FC236}">
                <a16:creationId xmlns:a16="http://schemas.microsoft.com/office/drawing/2014/main" id="{0C14C143-B1EC-5480-20FD-FD6D7BC3F833}"/>
              </a:ext>
            </a:extLst>
          </xdr:cNvPr>
          <xdr:cNvSpPr txBox="1"/>
        </xdr:nvSpPr>
        <xdr:spPr>
          <a:xfrm>
            <a:off x="13179630" y="2510723"/>
            <a:ext cx="1499898" cy="342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tx2"/>
                </a:solidFill>
                <a:latin typeface="Segoe UI"/>
                <a:cs typeface="Segoe UI"/>
              </a:rPr>
              <a:t>Total</a:t>
            </a:r>
            <a:r>
              <a:rPr lang="en-US" sz="1400" b="1" i="0" u="none" strike="noStrike" baseline="0">
                <a:solidFill>
                  <a:schemeClr val="tx2"/>
                </a:solidFill>
                <a:latin typeface="Segoe UI"/>
                <a:cs typeface="Segoe UI"/>
              </a:rPr>
              <a:t> Revenue</a:t>
            </a:r>
            <a:endParaRPr lang="en-GB" sz="1800" b="1">
              <a:solidFill>
                <a:schemeClr val="tx2"/>
              </a:solidFill>
            </a:endParaRPr>
          </a:p>
        </xdr:txBody>
      </xdr:sp>
      <xdr:pic>
        <xdr:nvPicPr>
          <xdr:cNvPr id="29" name="Graphic 28" descr="Money with solid fill">
            <a:extLst>
              <a:ext uri="{FF2B5EF4-FFF2-40B4-BE49-F238E27FC236}">
                <a16:creationId xmlns:a16="http://schemas.microsoft.com/office/drawing/2014/main" id="{D21D64C0-C75C-9DEB-4CAD-7B7FC5C4193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613127" y="2039943"/>
            <a:ext cx="534833" cy="543513"/>
          </a:xfrm>
          <a:prstGeom prst="rect">
            <a:avLst/>
          </a:prstGeom>
        </xdr:spPr>
      </xdr:pic>
    </xdr:grpSp>
    <xdr:clientData/>
  </xdr:twoCellAnchor>
  <xdr:twoCellAnchor>
    <xdr:from>
      <xdr:col>21</xdr:col>
      <xdr:colOff>219093</xdr:colOff>
      <xdr:row>18</xdr:row>
      <xdr:rowOff>24952</xdr:rowOff>
    </xdr:from>
    <xdr:to>
      <xdr:col>24</xdr:col>
      <xdr:colOff>188930</xdr:colOff>
      <xdr:row>24</xdr:row>
      <xdr:rowOff>15611</xdr:rowOff>
    </xdr:to>
    <xdr:grpSp>
      <xdr:nvGrpSpPr>
        <xdr:cNvPr id="50" name="Group 49">
          <a:extLst>
            <a:ext uri="{FF2B5EF4-FFF2-40B4-BE49-F238E27FC236}">
              <a16:creationId xmlns:a16="http://schemas.microsoft.com/office/drawing/2014/main" id="{6A21309A-0BF3-7BCF-DD1D-EE9575BCB12E}"/>
            </a:ext>
          </a:extLst>
        </xdr:cNvPr>
        <xdr:cNvGrpSpPr/>
      </xdr:nvGrpSpPr>
      <xdr:grpSpPr>
        <a:xfrm>
          <a:off x="13054031" y="3311077"/>
          <a:ext cx="1803399" cy="1086034"/>
          <a:chOff x="12981005" y="3217678"/>
          <a:chExt cx="1794668" cy="1071746"/>
        </a:xfrm>
      </xdr:grpSpPr>
      <xdr:sp macro="" textlink="">
        <xdr:nvSpPr>
          <xdr:cNvPr id="32" name="Rectangle: Rounded Corners 31">
            <a:extLst>
              <a:ext uri="{FF2B5EF4-FFF2-40B4-BE49-F238E27FC236}">
                <a16:creationId xmlns:a16="http://schemas.microsoft.com/office/drawing/2014/main" id="{5878E674-1868-3434-24B8-190D7AF5AA05}"/>
              </a:ext>
            </a:extLst>
          </xdr:cNvPr>
          <xdr:cNvSpPr/>
        </xdr:nvSpPr>
        <xdr:spPr>
          <a:xfrm>
            <a:off x="12981005" y="3217678"/>
            <a:ext cx="1794668" cy="1026293"/>
          </a:xfrm>
          <a:prstGeom prst="roundRect">
            <a:avLst>
              <a:gd name="adj" fmla="val 8502"/>
            </a:avLst>
          </a:prstGeom>
          <a:ln w="31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sp macro="" textlink="Sales_Pivot!$D$22">
        <xdr:nvSpPr>
          <xdr:cNvPr id="33" name="TextBox 32">
            <a:extLst>
              <a:ext uri="{FF2B5EF4-FFF2-40B4-BE49-F238E27FC236}">
                <a16:creationId xmlns:a16="http://schemas.microsoft.com/office/drawing/2014/main" id="{CC095C77-C2B9-1A85-6C00-F03B3AAFEA8D}"/>
              </a:ext>
            </a:extLst>
          </xdr:cNvPr>
          <xdr:cNvSpPr txBox="1"/>
        </xdr:nvSpPr>
        <xdr:spPr>
          <a:xfrm>
            <a:off x="13188755" y="3805043"/>
            <a:ext cx="1379416" cy="484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31C3A5-E6E0-4062-BBBD-68DAFD4D46AE}" type="TxLink">
              <a:rPr lang="en-US" sz="1600" b="1" i="0" u="none" strike="noStrike">
                <a:solidFill>
                  <a:schemeClr val="tx2">
                    <a:lumMod val="60000"/>
                    <a:lumOff val="40000"/>
                  </a:schemeClr>
                </a:solidFill>
                <a:latin typeface="Segoe UI"/>
                <a:ea typeface="+mn-ea"/>
                <a:cs typeface="Segoe UI"/>
              </a:rPr>
              <a:pPr marL="0" indent="0" algn="ctr"/>
              <a:t> $465.67M</a:t>
            </a:fld>
            <a:endParaRPr lang="en-GB" sz="1600" b="1" i="0" u="none" strike="noStrike">
              <a:solidFill>
                <a:schemeClr val="tx2">
                  <a:lumMod val="60000"/>
                  <a:lumOff val="40000"/>
                </a:schemeClr>
              </a:solidFill>
              <a:latin typeface="Segoe UI"/>
              <a:ea typeface="+mn-ea"/>
              <a:cs typeface="Segoe UI"/>
            </a:endParaRPr>
          </a:p>
        </xdr:txBody>
      </xdr:sp>
      <xdr:sp macro="" textlink="Sales_Pivot!$A$22">
        <xdr:nvSpPr>
          <xdr:cNvPr id="34" name="TextBox 33">
            <a:extLst>
              <a:ext uri="{FF2B5EF4-FFF2-40B4-BE49-F238E27FC236}">
                <a16:creationId xmlns:a16="http://schemas.microsoft.com/office/drawing/2014/main" id="{631A0B47-65AF-DE3F-19E8-1525261EC68C}"/>
              </a:ext>
            </a:extLst>
          </xdr:cNvPr>
          <xdr:cNvSpPr txBox="1"/>
        </xdr:nvSpPr>
        <xdr:spPr>
          <a:xfrm>
            <a:off x="13180064" y="3639489"/>
            <a:ext cx="1497233" cy="335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tx2"/>
                </a:solidFill>
                <a:latin typeface="Segoe UI"/>
                <a:cs typeface="Segoe UI"/>
              </a:rPr>
              <a:t>Total</a:t>
            </a:r>
            <a:r>
              <a:rPr lang="en-US" sz="1400" b="1" i="0" u="none" strike="noStrike" baseline="0">
                <a:solidFill>
                  <a:schemeClr val="tx2"/>
                </a:solidFill>
                <a:latin typeface="Segoe UI"/>
                <a:cs typeface="Segoe UI"/>
              </a:rPr>
              <a:t> Profit</a:t>
            </a:r>
          </a:p>
        </xdr:txBody>
      </xdr:sp>
      <xdr:pic>
        <xdr:nvPicPr>
          <xdr:cNvPr id="43" name="Graphic 42" descr="Piggy Bank with solid fill">
            <a:extLst>
              <a:ext uri="{FF2B5EF4-FFF2-40B4-BE49-F238E27FC236}">
                <a16:creationId xmlns:a16="http://schemas.microsoft.com/office/drawing/2014/main" id="{122A4074-6823-057B-3413-7E7A4B4AA1D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3636605" y="3225766"/>
            <a:ext cx="549762" cy="533887"/>
          </a:xfrm>
          <a:prstGeom prst="rect">
            <a:avLst/>
          </a:prstGeom>
        </xdr:spPr>
      </xdr:pic>
    </xdr:grpSp>
    <xdr:clientData/>
  </xdr:twoCellAnchor>
  <xdr:twoCellAnchor>
    <xdr:from>
      <xdr:col>21</xdr:col>
      <xdr:colOff>219093</xdr:colOff>
      <xdr:row>24</xdr:row>
      <xdr:rowOff>99299</xdr:rowOff>
    </xdr:from>
    <xdr:to>
      <xdr:col>24</xdr:col>
      <xdr:colOff>188930</xdr:colOff>
      <xdr:row>30</xdr:row>
      <xdr:rowOff>126469</xdr:rowOff>
    </xdr:to>
    <xdr:grpSp>
      <xdr:nvGrpSpPr>
        <xdr:cNvPr id="49" name="Group 48">
          <a:extLst>
            <a:ext uri="{FF2B5EF4-FFF2-40B4-BE49-F238E27FC236}">
              <a16:creationId xmlns:a16="http://schemas.microsoft.com/office/drawing/2014/main" id="{7804B4DA-D6A4-8585-0B2B-1DED523B07EA}"/>
            </a:ext>
          </a:extLst>
        </xdr:cNvPr>
        <xdr:cNvGrpSpPr/>
      </xdr:nvGrpSpPr>
      <xdr:grpSpPr>
        <a:xfrm>
          <a:off x="13054031" y="4480799"/>
          <a:ext cx="1803399" cy="1122545"/>
          <a:chOff x="12973068" y="4313053"/>
          <a:chExt cx="1791493" cy="1105083"/>
        </a:xfrm>
      </xdr:grpSpPr>
      <xdr:sp macro="" textlink="">
        <xdr:nvSpPr>
          <xdr:cNvPr id="40" name="Rectangle: Rounded Corners 39">
            <a:extLst>
              <a:ext uri="{FF2B5EF4-FFF2-40B4-BE49-F238E27FC236}">
                <a16:creationId xmlns:a16="http://schemas.microsoft.com/office/drawing/2014/main" id="{C2A9022F-B1CD-629E-E612-37D3997ECCA4}"/>
              </a:ext>
            </a:extLst>
          </xdr:cNvPr>
          <xdr:cNvSpPr/>
        </xdr:nvSpPr>
        <xdr:spPr>
          <a:xfrm>
            <a:off x="12973068" y="4313053"/>
            <a:ext cx="1791493" cy="1029468"/>
          </a:xfrm>
          <a:prstGeom prst="roundRect">
            <a:avLst>
              <a:gd name="adj" fmla="val 8502"/>
            </a:avLst>
          </a:prstGeom>
          <a:ln w="31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sp macro="" textlink="Sales_Pivot!$G$22">
        <xdr:nvSpPr>
          <xdr:cNvPr id="41" name="TextBox 40">
            <a:extLst>
              <a:ext uri="{FF2B5EF4-FFF2-40B4-BE49-F238E27FC236}">
                <a16:creationId xmlns:a16="http://schemas.microsoft.com/office/drawing/2014/main" id="{C186A795-18C4-0D82-93FD-EA5AF917A53E}"/>
              </a:ext>
            </a:extLst>
          </xdr:cNvPr>
          <xdr:cNvSpPr txBox="1"/>
        </xdr:nvSpPr>
        <xdr:spPr>
          <a:xfrm>
            <a:off x="13183198" y="4936930"/>
            <a:ext cx="1382591" cy="481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1404B0-C088-4427-BEC3-84BDDE148F23}" type="TxLink">
              <a:rPr lang="en-US" sz="1600" b="1" i="0" u="none" strike="noStrike">
                <a:solidFill>
                  <a:schemeClr val="tx2">
                    <a:lumMod val="60000"/>
                    <a:lumOff val="40000"/>
                  </a:schemeClr>
                </a:solidFill>
                <a:latin typeface="Segoe UI"/>
                <a:ea typeface="+mn-ea"/>
                <a:cs typeface="Segoe UI"/>
              </a:rPr>
              <a:pPr marL="0" indent="0" algn="ctr"/>
              <a:t>11488</a:t>
            </a:fld>
            <a:endParaRPr lang="en-GB" sz="1600" b="1" i="0" u="none" strike="noStrike">
              <a:solidFill>
                <a:schemeClr val="tx2">
                  <a:lumMod val="60000"/>
                  <a:lumOff val="40000"/>
                </a:schemeClr>
              </a:solidFill>
              <a:latin typeface="Segoe UI"/>
              <a:ea typeface="+mn-ea"/>
              <a:cs typeface="Segoe UI"/>
            </a:endParaRPr>
          </a:p>
        </xdr:txBody>
      </xdr:sp>
      <xdr:sp macro="" textlink="Sales_Pivot!$A$22">
        <xdr:nvSpPr>
          <xdr:cNvPr id="42" name="TextBox 41">
            <a:extLst>
              <a:ext uri="{FF2B5EF4-FFF2-40B4-BE49-F238E27FC236}">
                <a16:creationId xmlns:a16="http://schemas.microsoft.com/office/drawing/2014/main" id="{F9E1319F-AC6E-32CB-A839-790C17D70DC3}"/>
              </a:ext>
            </a:extLst>
          </xdr:cNvPr>
          <xdr:cNvSpPr txBox="1"/>
        </xdr:nvSpPr>
        <xdr:spPr>
          <a:xfrm>
            <a:off x="13177682" y="4768201"/>
            <a:ext cx="1500408" cy="33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tx2"/>
                </a:solidFill>
                <a:latin typeface="Segoe UI"/>
                <a:cs typeface="Segoe UI"/>
              </a:rPr>
              <a:t>Quantity Sold</a:t>
            </a:r>
            <a:endParaRPr lang="en-US" sz="1400" b="1" i="0" u="none" strike="noStrike" baseline="0">
              <a:solidFill>
                <a:schemeClr val="tx2"/>
              </a:solidFill>
              <a:latin typeface="Segoe UI"/>
              <a:cs typeface="Segoe UI"/>
            </a:endParaRPr>
          </a:p>
        </xdr:txBody>
      </xdr:sp>
      <xdr:pic>
        <xdr:nvPicPr>
          <xdr:cNvPr id="35" name="Graphic 34" descr="Upward trend with solid fill">
            <a:extLst>
              <a:ext uri="{FF2B5EF4-FFF2-40B4-BE49-F238E27FC236}">
                <a16:creationId xmlns:a16="http://schemas.microsoft.com/office/drawing/2014/main" id="{3682D005-9918-E26A-F41F-7CD0B8C4BB5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13615176" y="4313203"/>
            <a:ext cx="530712" cy="530712"/>
          </a:xfrm>
          <a:prstGeom prst="rect">
            <a:avLst/>
          </a:prstGeom>
        </xdr:spPr>
      </xdr:pic>
    </xdr:grpSp>
    <xdr:clientData/>
  </xdr:twoCellAnchor>
  <xdr:twoCellAnchor>
    <xdr:from>
      <xdr:col>21</xdr:col>
      <xdr:colOff>215918</xdr:colOff>
      <xdr:row>31</xdr:row>
      <xdr:rowOff>26008</xdr:rowOff>
    </xdr:from>
    <xdr:to>
      <xdr:col>24</xdr:col>
      <xdr:colOff>192105</xdr:colOff>
      <xdr:row>37</xdr:row>
      <xdr:rowOff>56354</xdr:rowOff>
    </xdr:to>
    <xdr:grpSp>
      <xdr:nvGrpSpPr>
        <xdr:cNvPr id="48" name="Group 47">
          <a:extLst>
            <a:ext uri="{FF2B5EF4-FFF2-40B4-BE49-F238E27FC236}">
              <a16:creationId xmlns:a16="http://schemas.microsoft.com/office/drawing/2014/main" id="{C35A2C11-8986-2B2C-0405-40C72666A6F6}"/>
            </a:ext>
          </a:extLst>
        </xdr:cNvPr>
        <xdr:cNvGrpSpPr/>
      </xdr:nvGrpSpPr>
      <xdr:grpSpPr>
        <a:xfrm>
          <a:off x="13050856" y="5685446"/>
          <a:ext cx="1809749" cy="1125721"/>
          <a:chOff x="12970687" y="5453671"/>
          <a:chExt cx="1794668" cy="1098733"/>
        </a:xfrm>
      </xdr:grpSpPr>
      <xdr:sp macro="" textlink="">
        <xdr:nvSpPr>
          <xdr:cNvPr id="44" name="Rectangle: Rounded Corners 43">
            <a:extLst>
              <a:ext uri="{FF2B5EF4-FFF2-40B4-BE49-F238E27FC236}">
                <a16:creationId xmlns:a16="http://schemas.microsoft.com/office/drawing/2014/main" id="{B02790BE-BF02-5364-C697-5FD09F05C79B}"/>
              </a:ext>
            </a:extLst>
          </xdr:cNvPr>
          <xdr:cNvSpPr/>
        </xdr:nvSpPr>
        <xdr:spPr>
          <a:xfrm>
            <a:off x="12970687" y="5453671"/>
            <a:ext cx="1794668" cy="1032643"/>
          </a:xfrm>
          <a:prstGeom prst="roundRect">
            <a:avLst>
              <a:gd name="adj" fmla="val 8502"/>
            </a:avLst>
          </a:prstGeom>
          <a:ln w="31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sp macro="" textlink="Sales_Pivot!$J$22">
        <xdr:nvSpPr>
          <xdr:cNvPr id="45" name="TextBox 44">
            <a:extLst>
              <a:ext uri="{FF2B5EF4-FFF2-40B4-BE49-F238E27FC236}">
                <a16:creationId xmlns:a16="http://schemas.microsoft.com/office/drawing/2014/main" id="{C4ADB05E-9D92-465F-10C4-8845FB66FB35}"/>
              </a:ext>
            </a:extLst>
          </xdr:cNvPr>
          <xdr:cNvSpPr txBox="1"/>
        </xdr:nvSpPr>
        <xdr:spPr>
          <a:xfrm>
            <a:off x="13180817" y="6074373"/>
            <a:ext cx="1382591" cy="478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28ADF56-21C3-4B55-AF70-0B5CD40290CB}" type="TxLink">
              <a:rPr lang="en-US" sz="1600" b="1" i="0" u="none" strike="noStrike">
                <a:solidFill>
                  <a:schemeClr val="tx2">
                    <a:lumMod val="60000"/>
                    <a:lumOff val="40000"/>
                  </a:schemeClr>
                </a:solidFill>
                <a:latin typeface="Segoe UI"/>
                <a:ea typeface="+mn-ea"/>
                <a:cs typeface="Segoe UI"/>
              </a:rPr>
              <a:pPr marL="0" indent="0" algn="ctr"/>
              <a:t> $1,862.70M</a:t>
            </a:fld>
            <a:endParaRPr lang="en-GB" sz="1600" b="1" i="0" u="none" strike="noStrike">
              <a:solidFill>
                <a:schemeClr val="tx2">
                  <a:lumMod val="60000"/>
                  <a:lumOff val="40000"/>
                </a:schemeClr>
              </a:solidFill>
              <a:latin typeface="Segoe UI"/>
              <a:ea typeface="+mn-ea"/>
              <a:cs typeface="Segoe UI"/>
            </a:endParaRPr>
          </a:p>
        </xdr:txBody>
      </xdr:sp>
      <xdr:sp macro="" textlink="Sales_Pivot!$A$22">
        <xdr:nvSpPr>
          <xdr:cNvPr id="46" name="TextBox 45">
            <a:extLst>
              <a:ext uri="{FF2B5EF4-FFF2-40B4-BE49-F238E27FC236}">
                <a16:creationId xmlns:a16="http://schemas.microsoft.com/office/drawing/2014/main" id="{E53EACCF-09AB-8A85-473E-AF7653CCA2B3}"/>
              </a:ext>
            </a:extLst>
          </xdr:cNvPr>
          <xdr:cNvSpPr txBox="1"/>
        </xdr:nvSpPr>
        <xdr:spPr>
          <a:xfrm>
            <a:off x="13181651" y="5911994"/>
            <a:ext cx="1497233" cy="33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tx2"/>
                </a:solidFill>
                <a:latin typeface="Segoe UI"/>
                <a:cs typeface="Segoe UI"/>
              </a:rPr>
              <a:t>Total</a:t>
            </a:r>
            <a:r>
              <a:rPr lang="en-US" sz="1400" b="1" i="0" u="none" strike="noStrike" baseline="0">
                <a:solidFill>
                  <a:schemeClr val="tx2"/>
                </a:solidFill>
                <a:latin typeface="Segoe UI"/>
                <a:cs typeface="Segoe UI"/>
              </a:rPr>
              <a:t> Cost</a:t>
            </a:r>
          </a:p>
        </xdr:txBody>
      </xdr:sp>
      <xdr:pic>
        <xdr:nvPicPr>
          <xdr:cNvPr id="47" name="Graphic 46" descr="Business Growth with solid fill">
            <a:extLst>
              <a:ext uri="{FF2B5EF4-FFF2-40B4-BE49-F238E27FC236}">
                <a16:creationId xmlns:a16="http://schemas.microsoft.com/office/drawing/2014/main" id="{1ABE11D8-46D4-DB32-A89F-16869981A02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13617557" y="5453821"/>
            <a:ext cx="527537" cy="524362"/>
          </a:xfrm>
          <a:prstGeom prst="rect">
            <a:avLst/>
          </a:prstGeom>
        </xdr:spPr>
      </xdr:pic>
    </xdr:grpSp>
    <xdr:clientData/>
  </xdr:twoCellAnchor>
  <xdr:twoCellAnchor>
    <xdr:from>
      <xdr:col>3</xdr:col>
      <xdr:colOff>573881</xdr:colOff>
      <xdr:row>24</xdr:row>
      <xdr:rowOff>18257</xdr:rowOff>
    </xdr:from>
    <xdr:to>
      <xdr:col>12</xdr:col>
      <xdr:colOff>320992</xdr:colOff>
      <xdr:row>36</xdr:row>
      <xdr:rowOff>164307</xdr:rowOff>
    </xdr:to>
    <xdr:graphicFrame macro="">
      <xdr:nvGraphicFramePr>
        <xdr:cNvPr id="52" name="PT_Rev_by_sales_rep">
          <a:extLst>
            <a:ext uri="{FF2B5EF4-FFF2-40B4-BE49-F238E27FC236}">
              <a16:creationId xmlns:a16="http://schemas.microsoft.com/office/drawing/2014/main" id="{C1C516F8-E315-41F3-9904-32ECFB82F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380998</xdr:colOff>
      <xdr:row>24</xdr:row>
      <xdr:rowOff>18257</xdr:rowOff>
    </xdr:from>
    <xdr:to>
      <xdr:col>21</xdr:col>
      <xdr:colOff>128109</xdr:colOff>
      <xdr:row>36</xdr:row>
      <xdr:rowOff>164307</xdr:rowOff>
    </xdr:to>
    <xdr:graphicFrame macro="">
      <xdr:nvGraphicFramePr>
        <xdr:cNvPr id="53" name="PC_profit_by_product">
          <a:extLst>
            <a:ext uri="{FF2B5EF4-FFF2-40B4-BE49-F238E27FC236}">
              <a16:creationId xmlns:a16="http://schemas.microsoft.com/office/drawing/2014/main" id="{36E16B99-D503-4F05-816A-B2997BDC0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502363</xdr:colOff>
      <xdr:row>0</xdr:row>
      <xdr:rowOff>57150</xdr:rowOff>
    </xdr:from>
    <xdr:to>
      <xdr:col>1</xdr:col>
      <xdr:colOff>352424</xdr:colOff>
      <xdr:row>2</xdr:row>
      <xdr:rowOff>120650</xdr:rowOff>
    </xdr:to>
    <xdr:pic>
      <xdr:nvPicPr>
        <xdr:cNvPr id="54" name="Picture 53">
          <a:extLst>
            <a:ext uri="{FF2B5EF4-FFF2-40B4-BE49-F238E27FC236}">
              <a16:creationId xmlns:a16="http://schemas.microsoft.com/office/drawing/2014/main" id="{7BA3FA21-9D2E-3B25-914E-CB10C26B100B}"/>
            </a:ext>
          </a:extLst>
        </xdr:cNvPr>
        <xdr:cNvPicPr>
          <a:picLocks noChangeAspect="1"/>
        </xdr:cNvPicPr>
      </xdr:nvPicPr>
      <xdr:blipFill rotWithShape="1">
        <a:blip xmlns:r="http://schemas.openxmlformats.org/officeDocument/2006/relationships" r:embed="rId13" cstate="print">
          <a:extLst>
            <a:ext uri="{BEBA8EAE-BF5A-486C-A8C5-ECC9F3942E4B}">
              <a14:imgProps xmlns:a14="http://schemas.microsoft.com/office/drawing/2010/main">
                <a14:imgLayer r:embed="rId14">
                  <a14:imgEffect>
                    <a14:backgroundRemoval t="10000" b="90000" l="10000" r="90000"/>
                  </a14:imgEffect>
                </a14:imgLayer>
              </a14:imgProps>
            </a:ext>
            <a:ext uri="{28A0092B-C50C-407E-A947-70E740481C1C}">
              <a14:useLocalDpi xmlns:a14="http://schemas.microsoft.com/office/drawing/2010/main" val="0"/>
            </a:ext>
          </a:extLst>
        </a:blip>
        <a:srcRect l="25715" t="8178" r="25458" b="7756"/>
        <a:stretch/>
      </xdr:blipFill>
      <xdr:spPr>
        <a:xfrm>
          <a:off x="502363" y="57150"/>
          <a:ext cx="459661" cy="4254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TH AJET" refreshedDate="46249.570825925926" createdVersion="8" refreshedVersion="8" minRefreshableVersion="3" recordCount="2098" xr:uid="{F1893977-C6CC-4521-94BB-21E1255EBF42}">
  <cacheSource type="worksheet">
    <worksheetSource name="Sales_Data"/>
  </cacheSource>
  <cacheFields count="17">
    <cacheField name="Date" numFmtId="165">
      <sharedItems containsSemiMixedTypes="0" containsNonDate="0" containsDate="1" containsString="0" minDate="2025-01-19T00:00:00" maxDate="2030-10-18T00:00:00" count="2098">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sharedItems>
      <fieldGroup par="16"/>
    </cacheField>
    <cacheField name="Region" numFmtId="0">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ount="77">
        <n v="85000"/>
        <n v="240000"/>
        <n v="170000"/>
        <n v="120000"/>
        <n v="600000"/>
        <n v="1800000"/>
        <n v="1280000"/>
        <n v="320000"/>
        <n v="2880000"/>
        <n v="960000"/>
        <n v="2240000"/>
        <n v="300000"/>
        <n v="3780000"/>
        <n v="2100000"/>
        <n v="1000000"/>
        <n v="440000"/>
        <n v="1050000"/>
        <n v="1500000"/>
        <n v="765000"/>
        <n v="3360000"/>
        <n v="4200000"/>
        <n v="1250000"/>
        <n v="880000"/>
        <n v="255000"/>
        <n v="2400000"/>
        <n v="220000"/>
        <n v="150000"/>
        <n v="1620000"/>
        <n v="1600000"/>
        <n v="1200000"/>
        <n v="595000"/>
        <n v="1920000"/>
        <n v="180000"/>
        <n v="90000"/>
        <n v="450000"/>
        <n v="3200000"/>
        <n v="1320000"/>
        <n v="1440000"/>
        <n v="640000"/>
        <n v="2700000"/>
        <n v="420000"/>
        <n v="60000"/>
        <n v="1760000"/>
        <n v="850000"/>
        <n v="250000"/>
        <n v="1680000"/>
        <n v="540000"/>
        <n v="480000"/>
        <n v="900000"/>
        <n v="660000"/>
        <n v="360000"/>
        <n v="1100000"/>
        <n v="2000000"/>
        <n v="1080000"/>
        <n v="210000"/>
        <n v="1260000"/>
        <n v="750000"/>
        <n v="270000"/>
        <n v="425000"/>
        <n v="1750000"/>
        <n v="510000"/>
        <n v="2200000"/>
        <n v="840000"/>
        <n v="1350000"/>
        <n v="1980000"/>
        <n v="720000"/>
        <n v="2500000"/>
        <n v="1540000"/>
        <n v="3000000"/>
        <n v="680000"/>
        <n v="2940000"/>
        <n v="2250000"/>
        <n v="2560000"/>
        <n v="500000"/>
        <n v="340000"/>
        <n v="30000"/>
        <n v="2520000"/>
      </sharedItems>
    </cacheField>
    <cacheField name="COGS" numFmtId="0">
      <sharedItems containsSemiMixedTypes="0" containsString="0" containsNumber="1" containsInteger="1" minValue="24000" maxValue="3360000" count="77">
        <n v="68000"/>
        <n v="192000"/>
        <n v="136000"/>
        <n v="96000"/>
        <n v="480000"/>
        <n v="1440000"/>
        <n v="1024000"/>
        <n v="256000"/>
        <n v="2304000"/>
        <n v="768000"/>
        <n v="1792000"/>
        <n v="240000"/>
        <n v="3024000"/>
        <n v="1680000"/>
        <n v="800000"/>
        <n v="352000"/>
        <n v="840000"/>
        <n v="1200000"/>
        <n v="612000"/>
        <n v="2688000"/>
        <n v="3360000"/>
        <n v="1000000"/>
        <n v="704000"/>
        <n v="204000"/>
        <n v="1920000"/>
        <n v="176000"/>
        <n v="120000"/>
        <n v="1296000"/>
        <n v="1280000"/>
        <n v="960000"/>
        <n v="476000"/>
        <n v="1536000"/>
        <n v="144000"/>
        <n v="72000"/>
        <n v="360000"/>
        <n v="2560000"/>
        <n v="1056000"/>
        <n v="1152000"/>
        <n v="512000"/>
        <n v="2160000"/>
        <n v="336000"/>
        <n v="48000"/>
        <n v="1408000"/>
        <n v="680000"/>
        <n v="200000"/>
        <n v="1344000"/>
        <n v="432000"/>
        <n v="384000"/>
        <n v="720000"/>
        <n v="528000"/>
        <n v="288000"/>
        <n v="880000"/>
        <n v="1600000"/>
        <n v="864000"/>
        <n v="168000"/>
        <n v="1008000"/>
        <n v="600000"/>
        <n v="216000"/>
        <n v="340000"/>
        <n v="1400000"/>
        <n v="408000"/>
        <n v="1760000"/>
        <n v="672000"/>
        <n v="1080000"/>
        <n v="1584000"/>
        <n v="576000"/>
        <n v="2000000"/>
        <n v="1232000"/>
        <n v="2400000"/>
        <n v="544000"/>
        <n v="2352000"/>
        <n v="1800000"/>
        <n v="2048000"/>
        <n v="400000"/>
        <n v="272000"/>
        <n v="24000"/>
        <n v="2016000"/>
      </sharedItems>
    </cacheField>
    <cacheField name="Profit" numFmtId="0">
      <sharedItems containsSemiMixedTypes="0" containsString="0" containsNumber="1" containsInteger="1" minValue="6000" maxValue="840000" count="77">
        <n v="17000"/>
        <n v="48000"/>
        <n v="34000"/>
        <n v="24000"/>
        <n v="120000"/>
        <n v="360000"/>
        <n v="256000"/>
        <n v="64000"/>
        <n v="576000"/>
        <n v="192000"/>
        <n v="448000"/>
        <n v="60000"/>
        <n v="756000"/>
        <n v="420000"/>
        <n v="200000"/>
        <n v="88000"/>
        <n v="210000"/>
        <n v="300000"/>
        <n v="153000"/>
        <n v="672000"/>
        <n v="840000"/>
        <n v="250000"/>
        <n v="176000"/>
        <n v="51000"/>
        <n v="480000"/>
        <n v="44000"/>
        <n v="30000"/>
        <n v="324000"/>
        <n v="320000"/>
        <n v="240000"/>
        <n v="119000"/>
        <n v="384000"/>
        <n v="36000"/>
        <n v="18000"/>
        <n v="90000"/>
        <n v="640000"/>
        <n v="264000"/>
        <n v="288000"/>
        <n v="128000"/>
        <n v="540000"/>
        <n v="84000"/>
        <n v="12000"/>
        <n v="352000"/>
        <n v="170000"/>
        <n v="50000"/>
        <n v="336000"/>
        <n v="108000"/>
        <n v="96000"/>
        <n v="180000"/>
        <n v="132000"/>
        <n v="72000"/>
        <n v="220000"/>
        <n v="400000"/>
        <n v="216000"/>
        <n v="42000"/>
        <n v="252000"/>
        <n v="150000"/>
        <n v="54000"/>
        <n v="85000"/>
        <n v="350000"/>
        <n v="102000"/>
        <n v="440000"/>
        <n v="168000"/>
        <n v="270000"/>
        <n v="396000"/>
        <n v="144000"/>
        <n v="500000"/>
        <n v="308000"/>
        <n v="600000"/>
        <n v="136000"/>
        <n v="588000"/>
        <n v="450000"/>
        <n v="512000"/>
        <n v="100000"/>
        <n v="68000"/>
        <n v="6000"/>
        <n v="504000"/>
      </sharedItems>
    </cacheField>
    <cacheField name="Months (Date)" numFmtId="0" databaseField="0">
      <fieldGroup base="0">
        <rangePr groupBy="months" startDate="2025-01-19T00:00:00" endDate="2030-10-18T00:00:00"/>
        <groupItems count="14">
          <s v="&lt;19-01-25"/>
          <s v="Jan"/>
          <s v="Feb"/>
          <s v="Mar"/>
          <s v="Apr"/>
          <s v="May"/>
          <s v="Jun"/>
          <s v="Jul"/>
          <s v="Aug"/>
          <s v="Sep"/>
          <s v="Oct"/>
          <s v="Nov"/>
          <s v="Dec"/>
          <s v="&gt;18-10-30"/>
        </groupItems>
      </fieldGroup>
    </cacheField>
    <cacheField name="Quarters (Date)" numFmtId="0" databaseField="0">
      <fieldGroup base="0">
        <rangePr groupBy="quarters" startDate="2025-01-19T00:00:00" endDate="2030-10-18T00:00:00"/>
        <groupItems count="6">
          <s v="&lt;19-01-25"/>
          <s v="Qtr1"/>
          <s v="Qtr2"/>
          <s v="Qtr3"/>
          <s v="Qtr4"/>
          <s v="&gt;18-10-30"/>
        </groupItems>
      </fieldGroup>
    </cacheField>
    <cacheField name="Years (Date)" numFmtId="0" databaseField="0">
      <fieldGroup base="0">
        <rangePr groupBy="years" startDate="2025-01-19T00:00:00" endDate="2030-10-18T00:00:00"/>
        <groupItems count="8">
          <s v="&lt;19-01-25"/>
          <s v="2025"/>
          <s v="2026"/>
          <s v="2027"/>
          <s v="2028"/>
          <s v="2029"/>
          <s v="2030"/>
          <s v="&gt;18-10-30"/>
        </groupItems>
      </fieldGroup>
    </cacheField>
  </cacheFields>
  <extLst>
    <ext xmlns:x14="http://schemas.microsoft.com/office/spreadsheetml/2009/9/main" uri="{725AE2AE-9491-48be-B2B4-4EB974FC3084}">
      <x14:pivotCacheDefinition pivotCacheId="452999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s v="West"/>
    <x v="0"/>
    <x v="0"/>
    <s v="Online"/>
    <x v="0"/>
    <s v="Furniture"/>
    <n v="85000"/>
    <n v="1"/>
    <x v="0"/>
    <n v="68000"/>
    <x v="0"/>
    <x v="0"/>
    <x v="0"/>
  </r>
  <r>
    <x v="1"/>
    <s v="East"/>
    <x v="1"/>
    <x v="0"/>
    <s v="Store"/>
    <x v="1"/>
    <s v="Home Appliances"/>
    <n v="30000"/>
    <n v="8"/>
    <x v="0"/>
    <n v="24000"/>
    <x v="1"/>
    <x v="1"/>
    <x v="1"/>
  </r>
  <r>
    <x v="2"/>
    <s v="East"/>
    <x v="0"/>
    <x v="1"/>
    <s v="Online"/>
    <x v="0"/>
    <s v="Furniture"/>
    <n v="85000"/>
    <n v="2"/>
    <x v="1"/>
    <n v="68000"/>
    <x v="2"/>
    <x v="2"/>
    <x v="2"/>
  </r>
  <r>
    <x v="3"/>
    <s v="South"/>
    <x v="2"/>
    <x v="0"/>
    <s v="Online"/>
    <x v="2"/>
    <s v="Home Appliances"/>
    <n v="60000"/>
    <n v="2"/>
    <x v="2"/>
    <n v="48000"/>
    <x v="3"/>
    <x v="3"/>
    <x v="3"/>
  </r>
  <r>
    <x v="4"/>
    <s v="North"/>
    <x v="2"/>
    <x v="1"/>
    <s v="Online"/>
    <x v="3"/>
    <s v="Electronics"/>
    <n v="300000"/>
    <n v="2"/>
    <x v="0"/>
    <n v="240000"/>
    <x v="4"/>
    <x v="4"/>
    <x v="4"/>
  </r>
  <r>
    <x v="5"/>
    <s v="South"/>
    <x v="3"/>
    <x v="0"/>
    <s v="Online"/>
    <x v="4"/>
    <s v="Home Appliances"/>
    <n v="180000"/>
    <n v="10"/>
    <x v="0"/>
    <n v="144000"/>
    <x v="5"/>
    <x v="5"/>
    <x v="5"/>
  </r>
  <r>
    <x v="6"/>
    <s v="South"/>
    <x v="3"/>
    <x v="1"/>
    <s v="Online"/>
    <x v="5"/>
    <s v="Furniture"/>
    <n v="320000"/>
    <n v="4"/>
    <x v="2"/>
    <n v="256000"/>
    <x v="6"/>
    <x v="6"/>
    <x v="6"/>
  </r>
  <r>
    <x v="7"/>
    <s v="South"/>
    <x v="2"/>
    <x v="0"/>
    <s v="Online"/>
    <x v="5"/>
    <s v="Furniture"/>
    <n v="320000"/>
    <n v="1"/>
    <x v="3"/>
    <n v="256000"/>
    <x v="7"/>
    <x v="7"/>
    <x v="7"/>
  </r>
  <r>
    <x v="8"/>
    <s v="East"/>
    <x v="1"/>
    <x v="0"/>
    <s v="Store"/>
    <x v="5"/>
    <s v="Furniture"/>
    <n v="320000"/>
    <n v="9"/>
    <x v="2"/>
    <n v="256000"/>
    <x v="8"/>
    <x v="8"/>
    <x v="8"/>
  </r>
  <r>
    <x v="9"/>
    <s v="South"/>
    <x v="1"/>
    <x v="0"/>
    <s v="Online"/>
    <x v="5"/>
    <s v="Furniture"/>
    <n v="320000"/>
    <n v="3"/>
    <x v="2"/>
    <n v="256000"/>
    <x v="9"/>
    <x v="9"/>
    <x v="9"/>
  </r>
  <r>
    <x v="10"/>
    <s v="South"/>
    <x v="0"/>
    <x v="0"/>
    <s v="Online"/>
    <x v="6"/>
    <s v="Electronics"/>
    <n v="150000"/>
    <n v="4"/>
    <x v="3"/>
    <n v="120000"/>
    <x v="4"/>
    <x v="4"/>
    <x v="4"/>
  </r>
  <r>
    <x v="11"/>
    <s v="West"/>
    <x v="2"/>
    <x v="1"/>
    <s v="Online"/>
    <x v="5"/>
    <s v="Furniture"/>
    <n v="320000"/>
    <n v="7"/>
    <x v="3"/>
    <n v="256000"/>
    <x v="10"/>
    <x v="10"/>
    <x v="10"/>
  </r>
  <r>
    <x v="12"/>
    <s v="South"/>
    <x v="0"/>
    <x v="0"/>
    <s v="Store"/>
    <x v="6"/>
    <s v="Electronics"/>
    <n v="150000"/>
    <n v="2"/>
    <x v="4"/>
    <n v="120000"/>
    <x v="11"/>
    <x v="11"/>
    <x v="11"/>
  </r>
  <r>
    <x v="13"/>
    <s v="West"/>
    <x v="1"/>
    <x v="0"/>
    <s v="Online"/>
    <x v="7"/>
    <s v="Electronics"/>
    <n v="420000"/>
    <n v="9"/>
    <x v="2"/>
    <n v="336000"/>
    <x v="12"/>
    <x v="12"/>
    <x v="12"/>
  </r>
  <r>
    <x v="14"/>
    <s v="North"/>
    <x v="1"/>
    <x v="0"/>
    <s v="Online"/>
    <x v="7"/>
    <s v="Electronics"/>
    <n v="420000"/>
    <n v="5"/>
    <x v="5"/>
    <n v="336000"/>
    <x v="13"/>
    <x v="13"/>
    <x v="13"/>
  </r>
  <r>
    <x v="15"/>
    <s v="West"/>
    <x v="2"/>
    <x v="1"/>
    <s v="Store"/>
    <x v="8"/>
    <s v="Electronics"/>
    <n v="250000"/>
    <n v="4"/>
    <x v="3"/>
    <n v="200000"/>
    <x v="14"/>
    <x v="14"/>
    <x v="14"/>
  </r>
  <r>
    <x v="16"/>
    <s v="West"/>
    <x v="1"/>
    <x v="0"/>
    <s v="Online"/>
    <x v="9"/>
    <s v="Home Appliances"/>
    <n v="220000"/>
    <n v="2"/>
    <x v="3"/>
    <n v="176000"/>
    <x v="15"/>
    <x v="15"/>
    <x v="15"/>
  </r>
  <r>
    <x v="17"/>
    <s v="East"/>
    <x v="2"/>
    <x v="0"/>
    <s v="Store"/>
    <x v="6"/>
    <s v="Electronics"/>
    <n v="150000"/>
    <n v="7"/>
    <x v="2"/>
    <n v="120000"/>
    <x v="16"/>
    <x v="16"/>
    <x v="16"/>
  </r>
  <r>
    <x v="18"/>
    <s v="South"/>
    <x v="3"/>
    <x v="1"/>
    <s v="Store"/>
    <x v="3"/>
    <s v="Electronics"/>
    <n v="300000"/>
    <n v="5"/>
    <x v="3"/>
    <n v="240000"/>
    <x v="17"/>
    <x v="17"/>
    <x v="17"/>
  </r>
  <r>
    <x v="19"/>
    <s v="North"/>
    <x v="2"/>
    <x v="0"/>
    <s v="Online"/>
    <x v="6"/>
    <s v="Electronics"/>
    <n v="150000"/>
    <n v="4"/>
    <x v="3"/>
    <n v="120000"/>
    <x v="4"/>
    <x v="4"/>
    <x v="4"/>
  </r>
  <r>
    <x v="20"/>
    <s v="North"/>
    <x v="2"/>
    <x v="1"/>
    <s v="Store"/>
    <x v="0"/>
    <s v="Furniture"/>
    <n v="85000"/>
    <n v="1"/>
    <x v="5"/>
    <n v="68000"/>
    <x v="0"/>
    <x v="0"/>
    <x v="0"/>
  </r>
  <r>
    <x v="21"/>
    <s v="East"/>
    <x v="0"/>
    <x v="0"/>
    <s v="Store"/>
    <x v="0"/>
    <s v="Furniture"/>
    <n v="85000"/>
    <n v="9"/>
    <x v="1"/>
    <n v="68000"/>
    <x v="18"/>
    <x v="18"/>
    <x v="18"/>
  </r>
  <r>
    <x v="22"/>
    <s v="East"/>
    <x v="1"/>
    <x v="0"/>
    <s v="Store"/>
    <x v="7"/>
    <s v="Electronics"/>
    <n v="420000"/>
    <n v="8"/>
    <x v="5"/>
    <n v="336000"/>
    <x v="19"/>
    <x v="19"/>
    <x v="19"/>
  </r>
  <r>
    <x v="23"/>
    <s v="North"/>
    <x v="1"/>
    <x v="1"/>
    <s v="Online"/>
    <x v="7"/>
    <s v="Electronics"/>
    <n v="420000"/>
    <n v="10"/>
    <x v="5"/>
    <n v="336000"/>
    <x v="20"/>
    <x v="20"/>
    <x v="20"/>
  </r>
  <r>
    <x v="24"/>
    <s v="East"/>
    <x v="0"/>
    <x v="0"/>
    <s v="Store"/>
    <x v="8"/>
    <s v="Electronics"/>
    <n v="250000"/>
    <n v="5"/>
    <x v="4"/>
    <n v="200000"/>
    <x v="21"/>
    <x v="21"/>
    <x v="21"/>
  </r>
  <r>
    <x v="25"/>
    <s v="North"/>
    <x v="1"/>
    <x v="1"/>
    <s v="Store"/>
    <x v="9"/>
    <s v="Home Appliances"/>
    <n v="220000"/>
    <n v="4"/>
    <x v="5"/>
    <n v="176000"/>
    <x v="22"/>
    <x v="22"/>
    <x v="22"/>
  </r>
  <r>
    <x v="26"/>
    <s v="West"/>
    <x v="3"/>
    <x v="1"/>
    <s v="Online"/>
    <x v="6"/>
    <s v="Electronics"/>
    <n v="150000"/>
    <n v="7"/>
    <x v="2"/>
    <n v="120000"/>
    <x v="16"/>
    <x v="16"/>
    <x v="16"/>
  </r>
  <r>
    <x v="27"/>
    <s v="South"/>
    <x v="2"/>
    <x v="0"/>
    <s v="Online"/>
    <x v="0"/>
    <s v="Furniture"/>
    <n v="85000"/>
    <n v="3"/>
    <x v="3"/>
    <n v="68000"/>
    <x v="23"/>
    <x v="23"/>
    <x v="23"/>
  </r>
  <r>
    <x v="28"/>
    <s v="East"/>
    <x v="0"/>
    <x v="0"/>
    <s v="Store"/>
    <x v="3"/>
    <s v="Electronics"/>
    <n v="300000"/>
    <n v="8"/>
    <x v="5"/>
    <n v="240000"/>
    <x v="24"/>
    <x v="24"/>
    <x v="24"/>
  </r>
  <r>
    <x v="29"/>
    <s v="West"/>
    <x v="1"/>
    <x v="1"/>
    <s v="Online"/>
    <x v="9"/>
    <s v="Home Appliances"/>
    <n v="220000"/>
    <n v="1"/>
    <x v="1"/>
    <n v="176000"/>
    <x v="25"/>
    <x v="25"/>
    <x v="25"/>
  </r>
  <r>
    <x v="30"/>
    <s v="South"/>
    <x v="3"/>
    <x v="1"/>
    <s v="Online"/>
    <x v="5"/>
    <s v="Furniture"/>
    <n v="320000"/>
    <n v="7"/>
    <x v="5"/>
    <n v="256000"/>
    <x v="10"/>
    <x v="10"/>
    <x v="10"/>
  </r>
  <r>
    <x v="31"/>
    <s v="West"/>
    <x v="3"/>
    <x v="0"/>
    <s v="Store"/>
    <x v="6"/>
    <s v="Electronics"/>
    <n v="150000"/>
    <n v="1"/>
    <x v="0"/>
    <n v="120000"/>
    <x v="26"/>
    <x v="26"/>
    <x v="26"/>
  </r>
  <r>
    <x v="32"/>
    <s v="East"/>
    <x v="2"/>
    <x v="0"/>
    <s v="Online"/>
    <x v="4"/>
    <s v="Home Appliances"/>
    <n v="180000"/>
    <n v="9"/>
    <x v="5"/>
    <n v="144000"/>
    <x v="27"/>
    <x v="27"/>
    <x v="27"/>
  </r>
  <r>
    <x v="33"/>
    <s v="South"/>
    <x v="2"/>
    <x v="0"/>
    <s v="Online"/>
    <x v="5"/>
    <s v="Furniture"/>
    <n v="320000"/>
    <n v="5"/>
    <x v="5"/>
    <n v="256000"/>
    <x v="28"/>
    <x v="28"/>
    <x v="28"/>
  </r>
  <r>
    <x v="34"/>
    <s v="South"/>
    <x v="2"/>
    <x v="1"/>
    <s v="Store"/>
    <x v="6"/>
    <s v="Electronics"/>
    <n v="150000"/>
    <n v="8"/>
    <x v="4"/>
    <n v="120000"/>
    <x v="29"/>
    <x v="29"/>
    <x v="29"/>
  </r>
  <r>
    <x v="35"/>
    <s v="West"/>
    <x v="0"/>
    <x v="1"/>
    <s v="Store"/>
    <x v="0"/>
    <s v="Furniture"/>
    <n v="85000"/>
    <n v="7"/>
    <x v="1"/>
    <n v="68000"/>
    <x v="30"/>
    <x v="30"/>
    <x v="30"/>
  </r>
  <r>
    <x v="36"/>
    <s v="South"/>
    <x v="3"/>
    <x v="1"/>
    <s v="Online"/>
    <x v="5"/>
    <s v="Furniture"/>
    <n v="320000"/>
    <n v="6"/>
    <x v="1"/>
    <n v="256000"/>
    <x v="31"/>
    <x v="31"/>
    <x v="31"/>
  </r>
  <r>
    <x v="37"/>
    <s v="West"/>
    <x v="2"/>
    <x v="0"/>
    <s v="Store"/>
    <x v="7"/>
    <s v="Electronics"/>
    <n v="420000"/>
    <n v="8"/>
    <x v="4"/>
    <n v="336000"/>
    <x v="19"/>
    <x v="19"/>
    <x v="19"/>
  </r>
  <r>
    <x v="38"/>
    <s v="South"/>
    <x v="0"/>
    <x v="1"/>
    <s v="Online"/>
    <x v="3"/>
    <s v="Electronics"/>
    <n v="300000"/>
    <n v="7"/>
    <x v="3"/>
    <n v="240000"/>
    <x v="13"/>
    <x v="13"/>
    <x v="13"/>
  </r>
  <r>
    <x v="39"/>
    <s v="West"/>
    <x v="0"/>
    <x v="0"/>
    <s v="Online"/>
    <x v="1"/>
    <s v="Home Appliances"/>
    <n v="30000"/>
    <n v="6"/>
    <x v="1"/>
    <n v="24000"/>
    <x v="32"/>
    <x v="32"/>
    <x v="32"/>
  </r>
  <r>
    <x v="40"/>
    <s v="West"/>
    <x v="0"/>
    <x v="1"/>
    <s v="Store"/>
    <x v="9"/>
    <s v="Home Appliances"/>
    <n v="220000"/>
    <n v="2"/>
    <x v="3"/>
    <n v="176000"/>
    <x v="15"/>
    <x v="15"/>
    <x v="15"/>
  </r>
  <r>
    <x v="41"/>
    <s v="West"/>
    <x v="3"/>
    <x v="0"/>
    <s v="Online"/>
    <x v="6"/>
    <s v="Electronics"/>
    <n v="150000"/>
    <n v="1"/>
    <x v="1"/>
    <n v="120000"/>
    <x v="26"/>
    <x v="26"/>
    <x v="26"/>
  </r>
  <r>
    <x v="42"/>
    <s v="North"/>
    <x v="1"/>
    <x v="0"/>
    <s v="Store"/>
    <x v="5"/>
    <s v="Furniture"/>
    <n v="320000"/>
    <n v="1"/>
    <x v="5"/>
    <n v="256000"/>
    <x v="7"/>
    <x v="7"/>
    <x v="7"/>
  </r>
  <r>
    <x v="43"/>
    <s v="North"/>
    <x v="3"/>
    <x v="1"/>
    <s v="Store"/>
    <x v="1"/>
    <s v="Home Appliances"/>
    <n v="30000"/>
    <n v="3"/>
    <x v="1"/>
    <n v="24000"/>
    <x v="33"/>
    <x v="33"/>
    <x v="33"/>
  </r>
  <r>
    <x v="44"/>
    <s v="West"/>
    <x v="0"/>
    <x v="1"/>
    <s v="Online"/>
    <x v="2"/>
    <s v="Home Appliances"/>
    <n v="60000"/>
    <n v="5"/>
    <x v="2"/>
    <n v="48000"/>
    <x v="11"/>
    <x v="11"/>
    <x v="11"/>
  </r>
  <r>
    <x v="45"/>
    <s v="East"/>
    <x v="2"/>
    <x v="1"/>
    <s v="Online"/>
    <x v="6"/>
    <s v="Electronics"/>
    <n v="150000"/>
    <n v="3"/>
    <x v="2"/>
    <n v="120000"/>
    <x v="34"/>
    <x v="34"/>
    <x v="34"/>
  </r>
  <r>
    <x v="46"/>
    <s v="East"/>
    <x v="1"/>
    <x v="0"/>
    <s v="Online"/>
    <x v="5"/>
    <s v="Furniture"/>
    <n v="320000"/>
    <n v="10"/>
    <x v="2"/>
    <n v="256000"/>
    <x v="35"/>
    <x v="35"/>
    <x v="35"/>
  </r>
  <r>
    <x v="47"/>
    <s v="East"/>
    <x v="0"/>
    <x v="1"/>
    <s v="Online"/>
    <x v="9"/>
    <s v="Home Appliances"/>
    <n v="220000"/>
    <n v="6"/>
    <x v="0"/>
    <n v="176000"/>
    <x v="36"/>
    <x v="36"/>
    <x v="36"/>
  </r>
  <r>
    <x v="48"/>
    <s v="West"/>
    <x v="3"/>
    <x v="1"/>
    <s v="Online"/>
    <x v="4"/>
    <s v="Home Appliances"/>
    <n v="180000"/>
    <n v="8"/>
    <x v="2"/>
    <n v="144000"/>
    <x v="37"/>
    <x v="37"/>
    <x v="37"/>
  </r>
  <r>
    <x v="49"/>
    <s v="West"/>
    <x v="2"/>
    <x v="0"/>
    <s v="Store"/>
    <x v="5"/>
    <s v="Furniture"/>
    <n v="320000"/>
    <n v="2"/>
    <x v="1"/>
    <n v="256000"/>
    <x v="38"/>
    <x v="38"/>
    <x v="38"/>
  </r>
  <r>
    <x v="50"/>
    <s v="West"/>
    <x v="1"/>
    <x v="0"/>
    <s v="Store"/>
    <x v="3"/>
    <s v="Electronics"/>
    <n v="300000"/>
    <n v="9"/>
    <x v="3"/>
    <n v="240000"/>
    <x v="39"/>
    <x v="39"/>
    <x v="39"/>
  </r>
  <r>
    <x v="51"/>
    <s v="North"/>
    <x v="2"/>
    <x v="0"/>
    <s v="Store"/>
    <x v="7"/>
    <s v="Electronics"/>
    <n v="420000"/>
    <n v="1"/>
    <x v="3"/>
    <n v="336000"/>
    <x v="40"/>
    <x v="40"/>
    <x v="40"/>
  </r>
  <r>
    <x v="52"/>
    <s v="East"/>
    <x v="2"/>
    <x v="0"/>
    <s v="Online"/>
    <x v="2"/>
    <s v="Home Appliances"/>
    <n v="60000"/>
    <n v="1"/>
    <x v="2"/>
    <n v="48000"/>
    <x v="41"/>
    <x v="41"/>
    <x v="41"/>
  </r>
  <r>
    <x v="53"/>
    <s v="East"/>
    <x v="1"/>
    <x v="1"/>
    <s v="Store"/>
    <x v="3"/>
    <s v="Electronics"/>
    <n v="300000"/>
    <n v="9"/>
    <x v="3"/>
    <n v="240000"/>
    <x v="39"/>
    <x v="39"/>
    <x v="39"/>
  </r>
  <r>
    <x v="54"/>
    <s v="West"/>
    <x v="2"/>
    <x v="1"/>
    <s v="Online"/>
    <x v="7"/>
    <s v="Electronics"/>
    <n v="420000"/>
    <n v="9"/>
    <x v="1"/>
    <n v="336000"/>
    <x v="12"/>
    <x v="12"/>
    <x v="12"/>
  </r>
  <r>
    <x v="55"/>
    <s v="East"/>
    <x v="1"/>
    <x v="0"/>
    <s v="Online"/>
    <x v="9"/>
    <s v="Home Appliances"/>
    <n v="220000"/>
    <n v="8"/>
    <x v="4"/>
    <n v="176000"/>
    <x v="42"/>
    <x v="42"/>
    <x v="42"/>
  </r>
  <r>
    <x v="56"/>
    <s v="South"/>
    <x v="0"/>
    <x v="0"/>
    <s v="Online"/>
    <x v="0"/>
    <s v="Furniture"/>
    <n v="85000"/>
    <n v="10"/>
    <x v="3"/>
    <n v="68000"/>
    <x v="43"/>
    <x v="43"/>
    <x v="43"/>
  </r>
  <r>
    <x v="57"/>
    <s v="West"/>
    <x v="2"/>
    <x v="1"/>
    <s v="Online"/>
    <x v="6"/>
    <s v="Electronics"/>
    <n v="150000"/>
    <n v="4"/>
    <x v="0"/>
    <n v="120000"/>
    <x v="4"/>
    <x v="4"/>
    <x v="4"/>
  </r>
  <r>
    <x v="58"/>
    <s v="East"/>
    <x v="1"/>
    <x v="1"/>
    <s v="Store"/>
    <x v="8"/>
    <s v="Electronics"/>
    <n v="250000"/>
    <n v="1"/>
    <x v="2"/>
    <n v="200000"/>
    <x v="44"/>
    <x v="44"/>
    <x v="44"/>
  </r>
  <r>
    <x v="59"/>
    <s v="South"/>
    <x v="1"/>
    <x v="0"/>
    <s v="Online"/>
    <x v="1"/>
    <s v="Home Appliances"/>
    <n v="30000"/>
    <n v="10"/>
    <x v="2"/>
    <n v="24000"/>
    <x v="11"/>
    <x v="11"/>
    <x v="11"/>
  </r>
  <r>
    <x v="60"/>
    <s v="South"/>
    <x v="1"/>
    <x v="1"/>
    <s v="Online"/>
    <x v="7"/>
    <s v="Electronics"/>
    <n v="420000"/>
    <n v="4"/>
    <x v="1"/>
    <n v="336000"/>
    <x v="45"/>
    <x v="45"/>
    <x v="45"/>
  </r>
  <r>
    <x v="61"/>
    <s v="East"/>
    <x v="1"/>
    <x v="0"/>
    <s v="Store"/>
    <x v="0"/>
    <s v="Furniture"/>
    <n v="85000"/>
    <n v="2"/>
    <x v="3"/>
    <n v="68000"/>
    <x v="2"/>
    <x v="2"/>
    <x v="2"/>
  </r>
  <r>
    <x v="62"/>
    <s v="East"/>
    <x v="1"/>
    <x v="0"/>
    <s v="Online"/>
    <x v="9"/>
    <s v="Home Appliances"/>
    <n v="220000"/>
    <n v="1"/>
    <x v="2"/>
    <n v="176000"/>
    <x v="25"/>
    <x v="25"/>
    <x v="25"/>
  </r>
  <r>
    <x v="63"/>
    <s v="West"/>
    <x v="0"/>
    <x v="0"/>
    <s v="Store"/>
    <x v="4"/>
    <s v="Home Appliances"/>
    <n v="180000"/>
    <n v="9"/>
    <x v="5"/>
    <n v="144000"/>
    <x v="27"/>
    <x v="27"/>
    <x v="27"/>
  </r>
  <r>
    <x v="64"/>
    <s v="West"/>
    <x v="2"/>
    <x v="0"/>
    <s v="Store"/>
    <x v="8"/>
    <s v="Electronics"/>
    <n v="250000"/>
    <n v="6"/>
    <x v="0"/>
    <n v="200000"/>
    <x v="17"/>
    <x v="17"/>
    <x v="17"/>
  </r>
  <r>
    <x v="65"/>
    <s v="West"/>
    <x v="0"/>
    <x v="0"/>
    <s v="Store"/>
    <x v="4"/>
    <s v="Home Appliances"/>
    <n v="180000"/>
    <n v="3"/>
    <x v="5"/>
    <n v="144000"/>
    <x v="46"/>
    <x v="46"/>
    <x v="46"/>
  </r>
  <r>
    <x v="66"/>
    <s v="South"/>
    <x v="0"/>
    <x v="1"/>
    <s v="Online"/>
    <x v="2"/>
    <s v="Home Appliances"/>
    <n v="60000"/>
    <n v="8"/>
    <x v="3"/>
    <n v="48000"/>
    <x v="47"/>
    <x v="47"/>
    <x v="47"/>
  </r>
  <r>
    <x v="67"/>
    <s v="North"/>
    <x v="0"/>
    <x v="0"/>
    <s v="Online"/>
    <x v="2"/>
    <s v="Home Appliances"/>
    <n v="60000"/>
    <n v="3"/>
    <x v="0"/>
    <n v="48000"/>
    <x v="32"/>
    <x v="32"/>
    <x v="32"/>
  </r>
  <r>
    <x v="68"/>
    <s v="West"/>
    <x v="2"/>
    <x v="1"/>
    <s v="Online"/>
    <x v="1"/>
    <s v="Home Appliances"/>
    <n v="30000"/>
    <n v="8"/>
    <x v="2"/>
    <n v="24000"/>
    <x v="1"/>
    <x v="1"/>
    <x v="1"/>
  </r>
  <r>
    <x v="69"/>
    <s v="South"/>
    <x v="1"/>
    <x v="0"/>
    <s v="Store"/>
    <x v="2"/>
    <s v="Home Appliances"/>
    <n v="60000"/>
    <n v="4"/>
    <x v="5"/>
    <n v="48000"/>
    <x v="1"/>
    <x v="1"/>
    <x v="1"/>
  </r>
  <r>
    <x v="70"/>
    <s v="South"/>
    <x v="0"/>
    <x v="1"/>
    <s v="Store"/>
    <x v="1"/>
    <s v="Home Appliances"/>
    <n v="30000"/>
    <n v="3"/>
    <x v="1"/>
    <n v="24000"/>
    <x v="33"/>
    <x v="33"/>
    <x v="33"/>
  </r>
  <r>
    <x v="71"/>
    <s v="East"/>
    <x v="2"/>
    <x v="0"/>
    <s v="Online"/>
    <x v="4"/>
    <s v="Home Appliances"/>
    <n v="180000"/>
    <n v="5"/>
    <x v="2"/>
    <n v="144000"/>
    <x v="48"/>
    <x v="48"/>
    <x v="48"/>
  </r>
  <r>
    <x v="72"/>
    <s v="North"/>
    <x v="0"/>
    <x v="0"/>
    <s v="Store"/>
    <x v="9"/>
    <s v="Home Appliances"/>
    <n v="220000"/>
    <n v="3"/>
    <x v="5"/>
    <n v="176000"/>
    <x v="49"/>
    <x v="49"/>
    <x v="49"/>
  </r>
  <r>
    <x v="73"/>
    <s v="West"/>
    <x v="1"/>
    <x v="0"/>
    <s v="Online"/>
    <x v="2"/>
    <s v="Home Appliances"/>
    <n v="60000"/>
    <n v="4"/>
    <x v="4"/>
    <n v="48000"/>
    <x v="1"/>
    <x v="1"/>
    <x v="1"/>
  </r>
  <r>
    <x v="74"/>
    <s v="North"/>
    <x v="0"/>
    <x v="1"/>
    <s v="Online"/>
    <x v="0"/>
    <s v="Furniture"/>
    <n v="85000"/>
    <n v="1"/>
    <x v="4"/>
    <n v="68000"/>
    <x v="0"/>
    <x v="0"/>
    <x v="0"/>
  </r>
  <r>
    <x v="75"/>
    <s v="East"/>
    <x v="0"/>
    <x v="0"/>
    <s v="Online"/>
    <x v="1"/>
    <s v="Home Appliances"/>
    <n v="30000"/>
    <n v="5"/>
    <x v="1"/>
    <n v="24000"/>
    <x v="26"/>
    <x v="26"/>
    <x v="26"/>
  </r>
  <r>
    <x v="76"/>
    <s v="East"/>
    <x v="3"/>
    <x v="0"/>
    <s v="Store"/>
    <x v="2"/>
    <s v="Home Appliances"/>
    <n v="60000"/>
    <n v="3"/>
    <x v="4"/>
    <n v="48000"/>
    <x v="32"/>
    <x v="32"/>
    <x v="32"/>
  </r>
  <r>
    <x v="77"/>
    <s v="West"/>
    <x v="3"/>
    <x v="0"/>
    <s v="Online"/>
    <x v="2"/>
    <s v="Home Appliances"/>
    <n v="60000"/>
    <n v="6"/>
    <x v="0"/>
    <n v="48000"/>
    <x v="50"/>
    <x v="50"/>
    <x v="50"/>
  </r>
  <r>
    <x v="78"/>
    <s v="South"/>
    <x v="2"/>
    <x v="1"/>
    <s v="Online"/>
    <x v="3"/>
    <s v="Electronics"/>
    <n v="300000"/>
    <n v="2"/>
    <x v="0"/>
    <n v="240000"/>
    <x v="4"/>
    <x v="4"/>
    <x v="4"/>
  </r>
  <r>
    <x v="79"/>
    <s v="West"/>
    <x v="2"/>
    <x v="0"/>
    <s v="Online"/>
    <x v="6"/>
    <s v="Electronics"/>
    <n v="150000"/>
    <n v="7"/>
    <x v="1"/>
    <n v="120000"/>
    <x v="16"/>
    <x v="16"/>
    <x v="16"/>
  </r>
  <r>
    <x v="80"/>
    <s v="North"/>
    <x v="2"/>
    <x v="1"/>
    <s v="Store"/>
    <x v="9"/>
    <s v="Home Appliances"/>
    <n v="220000"/>
    <n v="3"/>
    <x v="2"/>
    <n v="176000"/>
    <x v="49"/>
    <x v="49"/>
    <x v="49"/>
  </r>
  <r>
    <x v="81"/>
    <s v="West"/>
    <x v="2"/>
    <x v="0"/>
    <s v="Store"/>
    <x v="2"/>
    <s v="Home Appliances"/>
    <n v="60000"/>
    <n v="9"/>
    <x v="3"/>
    <n v="48000"/>
    <x v="46"/>
    <x v="46"/>
    <x v="46"/>
  </r>
  <r>
    <x v="82"/>
    <s v="West"/>
    <x v="1"/>
    <x v="1"/>
    <s v="Store"/>
    <x v="5"/>
    <s v="Furniture"/>
    <n v="320000"/>
    <n v="2"/>
    <x v="2"/>
    <n v="256000"/>
    <x v="38"/>
    <x v="38"/>
    <x v="38"/>
  </r>
  <r>
    <x v="83"/>
    <s v="West"/>
    <x v="2"/>
    <x v="1"/>
    <s v="Online"/>
    <x v="9"/>
    <s v="Home Appliances"/>
    <n v="220000"/>
    <n v="5"/>
    <x v="0"/>
    <n v="176000"/>
    <x v="51"/>
    <x v="51"/>
    <x v="51"/>
  </r>
  <r>
    <x v="84"/>
    <s v="West"/>
    <x v="0"/>
    <x v="1"/>
    <s v="Online"/>
    <x v="6"/>
    <s v="Electronics"/>
    <n v="150000"/>
    <n v="1"/>
    <x v="5"/>
    <n v="120000"/>
    <x v="26"/>
    <x v="26"/>
    <x v="26"/>
  </r>
  <r>
    <x v="85"/>
    <s v="South"/>
    <x v="1"/>
    <x v="0"/>
    <s v="Store"/>
    <x v="3"/>
    <s v="Electronics"/>
    <n v="300000"/>
    <n v="8"/>
    <x v="0"/>
    <n v="240000"/>
    <x v="24"/>
    <x v="24"/>
    <x v="24"/>
  </r>
  <r>
    <x v="86"/>
    <s v="East"/>
    <x v="3"/>
    <x v="0"/>
    <s v="Online"/>
    <x v="9"/>
    <s v="Home Appliances"/>
    <n v="220000"/>
    <n v="3"/>
    <x v="4"/>
    <n v="176000"/>
    <x v="49"/>
    <x v="49"/>
    <x v="49"/>
  </r>
  <r>
    <x v="87"/>
    <s v="West"/>
    <x v="0"/>
    <x v="0"/>
    <s v="Online"/>
    <x v="8"/>
    <s v="Electronics"/>
    <n v="250000"/>
    <n v="8"/>
    <x v="0"/>
    <n v="200000"/>
    <x v="52"/>
    <x v="52"/>
    <x v="52"/>
  </r>
  <r>
    <x v="88"/>
    <s v="South"/>
    <x v="1"/>
    <x v="1"/>
    <s v="Online"/>
    <x v="3"/>
    <s v="Electronics"/>
    <n v="300000"/>
    <n v="4"/>
    <x v="2"/>
    <n v="240000"/>
    <x v="29"/>
    <x v="29"/>
    <x v="29"/>
  </r>
  <r>
    <x v="89"/>
    <s v="South"/>
    <x v="2"/>
    <x v="1"/>
    <s v="Store"/>
    <x v="3"/>
    <s v="Electronics"/>
    <n v="300000"/>
    <n v="1"/>
    <x v="2"/>
    <n v="240000"/>
    <x v="11"/>
    <x v="11"/>
    <x v="11"/>
  </r>
  <r>
    <x v="90"/>
    <s v="East"/>
    <x v="3"/>
    <x v="0"/>
    <s v="Online"/>
    <x v="8"/>
    <s v="Electronics"/>
    <n v="250000"/>
    <n v="8"/>
    <x v="2"/>
    <n v="200000"/>
    <x v="52"/>
    <x v="52"/>
    <x v="52"/>
  </r>
  <r>
    <x v="91"/>
    <s v="West"/>
    <x v="3"/>
    <x v="1"/>
    <s v="Store"/>
    <x v="4"/>
    <s v="Home Appliances"/>
    <n v="180000"/>
    <n v="2"/>
    <x v="4"/>
    <n v="144000"/>
    <x v="50"/>
    <x v="50"/>
    <x v="50"/>
  </r>
  <r>
    <x v="92"/>
    <s v="West"/>
    <x v="3"/>
    <x v="0"/>
    <s v="Store"/>
    <x v="4"/>
    <s v="Home Appliances"/>
    <n v="180000"/>
    <n v="6"/>
    <x v="2"/>
    <n v="144000"/>
    <x v="53"/>
    <x v="53"/>
    <x v="53"/>
  </r>
  <r>
    <x v="93"/>
    <s v="North"/>
    <x v="1"/>
    <x v="1"/>
    <s v="Online"/>
    <x v="3"/>
    <s v="Electronics"/>
    <n v="300000"/>
    <n v="2"/>
    <x v="2"/>
    <n v="240000"/>
    <x v="4"/>
    <x v="4"/>
    <x v="4"/>
  </r>
  <r>
    <x v="94"/>
    <s v="East"/>
    <x v="0"/>
    <x v="1"/>
    <s v="Store"/>
    <x v="6"/>
    <s v="Electronics"/>
    <n v="150000"/>
    <n v="6"/>
    <x v="0"/>
    <n v="120000"/>
    <x v="48"/>
    <x v="48"/>
    <x v="48"/>
  </r>
  <r>
    <x v="95"/>
    <s v="South"/>
    <x v="1"/>
    <x v="1"/>
    <s v="Store"/>
    <x v="7"/>
    <s v="Electronics"/>
    <n v="420000"/>
    <n v="10"/>
    <x v="0"/>
    <n v="336000"/>
    <x v="20"/>
    <x v="20"/>
    <x v="20"/>
  </r>
  <r>
    <x v="96"/>
    <s v="East"/>
    <x v="2"/>
    <x v="0"/>
    <s v="Online"/>
    <x v="7"/>
    <s v="Electronics"/>
    <n v="420000"/>
    <n v="8"/>
    <x v="2"/>
    <n v="336000"/>
    <x v="19"/>
    <x v="19"/>
    <x v="19"/>
  </r>
  <r>
    <x v="97"/>
    <s v="South"/>
    <x v="1"/>
    <x v="0"/>
    <s v="Store"/>
    <x v="4"/>
    <s v="Home Appliances"/>
    <n v="180000"/>
    <n v="8"/>
    <x v="0"/>
    <n v="144000"/>
    <x v="37"/>
    <x v="37"/>
    <x v="37"/>
  </r>
  <r>
    <x v="98"/>
    <s v="South"/>
    <x v="2"/>
    <x v="0"/>
    <s v="Store"/>
    <x v="3"/>
    <s v="Electronics"/>
    <n v="300000"/>
    <n v="4"/>
    <x v="4"/>
    <n v="240000"/>
    <x v="29"/>
    <x v="29"/>
    <x v="29"/>
  </r>
  <r>
    <x v="99"/>
    <s v="South"/>
    <x v="2"/>
    <x v="0"/>
    <s v="Store"/>
    <x v="7"/>
    <s v="Electronics"/>
    <n v="420000"/>
    <n v="1"/>
    <x v="3"/>
    <n v="336000"/>
    <x v="40"/>
    <x v="40"/>
    <x v="40"/>
  </r>
  <r>
    <x v="100"/>
    <s v="West"/>
    <x v="2"/>
    <x v="1"/>
    <s v="Online"/>
    <x v="1"/>
    <s v="Home Appliances"/>
    <n v="30000"/>
    <n v="7"/>
    <x v="2"/>
    <n v="24000"/>
    <x v="54"/>
    <x v="54"/>
    <x v="54"/>
  </r>
  <r>
    <x v="101"/>
    <s v="South"/>
    <x v="0"/>
    <x v="0"/>
    <s v="Online"/>
    <x v="7"/>
    <s v="Electronics"/>
    <n v="420000"/>
    <n v="3"/>
    <x v="2"/>
    <n v="336000"/>
    <x v="55"/>
    <x v="55"/>
    <x v="55"/>
  </r>
  <r>
    <x v="102"/>
    <s v="South"/>
    <x v="0"/>
    <x v="0"/>
    <s v="Store"/>
    <x v="2"/>
    <s v="Home Appliances"/>
    <n v="60000"/>
    <n v="5"/>
    <x v="5"/>
    <n v="48000"/>
    <x v="11"/>
    <x v="11"/>
    <x v="11"/>
  </r>
  <r>
    <x v="103"/>
    <s v="West"/>
    <x v="3"/>
    <x v="1"/>
    <s v="Online"/>
    <x v="3"/>
    <s v="Electronics"/>
    <n v="300000"/>
    <n v="9"/>
    <x v="5"/>
    <n v="240000"/>
    <x v="39"/>
    <x v="39"/>
    <x v="39"/>
  </r>
  <r>
    <x v="104"/>
    <s v="East"/>
    <x v="2"/>
    <x v="0"/>
    <s v="Store"/>
    <x v="5"/>
    <s v="Furniture"/>
    <n v="320000"/>
    <n v="4"/>
    <x v="3"/>
    <n v="256000"/>
    <x v="6"/>
    <x v="6"/>
    <x v="6"/>
  </r>
  <r>
    <x v="105"/>
    <s v="North"/>
    <x v="1"/>
    <x v="0"/>
    <s v="Store"/>
    <x v="4"/>
    <s v="Home Appliances"/>
    <n v="180000"/>
    <n v="2"/>
    <x v="5"/>
    <n v="144000"/>
    <x v="50"/>
    <x v="50"/>
    <x v="50"/>
  </r>
  <r>
    <x v="106"/>
    <s v="East"/>
    <x v="1"/>
    <x v="0"/>
    <s v="Online"/>
    <x v="0"/>
    <s v="Furniture"/>
    <n v="85000"/>
    <n v="1"/>
    <x v="3"/>
    <n v="68000"/>
    <x v="0"/>
    <x v="0"/>
    <x v="0"/>
  </r>
  <r>
    <x v="107"/>
    <s v="North"/>
    <x v="2"/>
    <x v="1"/>
    <s v="Store"/>
    <x v="5"/>
    <s v="Furniture"/>
    <n v="320000"/>
    <n v="7"/>
    <x v="3"/>
    <n v="256000"/>
    <x v="10"/>
    <x v="10"/>
    <x v="10"/>
  </r>
  <r>
    <x v="108"/>
    <s v="East"/>
    <x v="3"/>
    <x v="1"/>
    <s v="Online"/>
    <x v="2"/>
    <s v="Home Appliances"/>
    <n v="60000"/>
    <n v="9"/>
    <x v="0"/>
    <n v="48000"/>
    <x v="46"/>
    <x v="46"/>
    <x v="46"/>
  </r>
  <r>
    <x v="109"/>
    <s v="North"/>
    <x v="3"/>
    <x v="1"/>
    <s v="Store"/>
    <x v="0"/>
    <s v="Furniture"/>
    <n v="85000"/>
    <n v="1"/>
    <x v="1"/>
    <n v="68000"/>
    <x v="0"/>
    <x v="0"/>
    <x v="0"/>
  </r>
  <r>
    <x v="110"/>
    <s v="East"/>
    <x v="1"/>
    <x v="0"/>
    <s v="Online"/>
    <x v="3"/>
    <s v="Electronics"/>
    <n v="300000"/>
    <n v="6"/>
    <x v="5"/>
    <n v="240000"/>
    <x v="5"/>
    <x v="5"/>
    <x v="5"/>
  </r>
  <r>
    <x v="111"/>
    <s v="North"/>
    <x v="1"/>
    <x v="1"/>
    <s v="Online"/>
    <x v="1"/>
    <s v="Home Appliances"/>
    <n v="30000"/>
    <n v="5"/>
    <x v="0"/>
    <n v="24000"/>
    <x v="26"/>
    <x v="26"/>
    <x v="26"/>
  </r>
  <r>
    <x v="112"/>
    <s v="North"/>
    <x v="0"/>
    <x v="0"/>
    <s v="Store"/>
    <x v="6"/>
    <s v="Electronics"/>
    <n v="150000"/>
    <n v="4"/>
    <x v="4"/>
    <n v="120000"/>
    <x v="4"/>
    <x v="4"/>
    <x v="4"/>
  </r>
  <r>
    <x v="113"/>
    <s v="South"/>
    <x v="0"/>
    <x v="1"/>
    <s v="Store"/>
    <x v="6"/>
    <s v="Electronics"/>
    <n v="150000"/>
    <n v="6"/>
    <x v="4"/>
    <n v="120000"/>
    <x v="48"/>
    <x v="48"/>
    <x v="48"/>
  </r>
  <r>
    <x v="114"/>
    <s v="North"/>
    <x v="1"/>
    <x v="1"/>
    <s v="Store"/>
    <x v="6"/>
    <s v="Electronics"/>
    <n v="150000"/>
    <n v="8"/>
    <x v="4"/>
    <n v="120000"/>
    <x v="29"/>
    <x v="29"/>
    <x v="29"/>
  </r>
  <r>
    <x v="115"/>
    <s v="South"/>
    <x v="1"/>
    <x v="0"/>
    <s v="Store"/>
    <x v="1"/>
    <s v="Home Appliances"/>
    <n v="30000"/>
    <n v="6"/>
    <x v="0"/>
    <n v="24000"/>
    <x v="32"/>
    <x v="32"/>
    <x v="32"/>
  </r>
  <r>
    <x v="116"/>
    <s v="West"/>
    <x v="1"/>
    <x v="0"/>
    <s v="Online"/>
    <x v="8"/>
    <s v="Electronics"/>
    <n v="250000"/>
    <n v="3"/>
    <x v="3"/>
    <n v="200000"/>
    <x v="56"/>
    <x v="56"/>
    <x v="56"/>
  </r>
  <r>
    <x v="117"/>
    <s v="South"/>
    <x v="1"/>
    <x v="1"/>
    <s v="Online"/>
    <x v="6"/>
    <s v="Electronics"/>
    <n v="150000"/>
    <n v="5"/>
    <x v="0"/>
    <n v="120000"/>
    <x v="56"/>
    <x v="56"/>
    <x v="56"/>
  </r>
  <r>
    <x v="118"/>
    <s v="West"/>
    <x v="1"/>
    <x v="0"/>
    <s v="Online"/>
    <x v="9"/>
    <s v="Home Appliances"/>
    <n v="220000"/>
    <n v="1"/>
    <x v="4"/>
    <n v="176000"/>
    <x v="25"/>
    <x v="25"/>
    <x v="25"/>
  </r>
  <r>
    <x v="119"/>
    <s v="North"/>
    <x v="1"/>
    <x v="0"/>
    <s v="Store"/>
    <x v="5"/>
    <s v="Furniture"/>
    <n v="320000"/>
    <n v="10"/>
    <x v="3"/>
    <n v="256000"/>
    <x v="35"/>
    <x v="35"/>
    <x v="35"/>
  </r>
  <r>
    <x v="120"/>
    <s v="South"/>
    <x v="0"/>
    <x v="1"/>
    <s v="Store"/>
    <x v="2"/>
    <s v="Home Appliances"/>
    <n v="60000"/>
    <n v="5"/>
    <x v="1"/>
    <n v="48000"/>
    <x v="11"/>
    <x v="11"/>
    <x v="11"/>
  </r>
  <r>
    <x v="121"/>
    <s v="East"/>
    <x v="3"/>
    <x v="0"/>
    <s v="Store"/>
    <x v="6"/>
    <s v="Electronics"/>
    <n v="150000"/>
    <n v="7"/>
    <x v="5"/>
    <n v="120000"/>
    <x v="16"/>
    <x v="16"/>
    <x v="16"/>
  </r>
  <r>
    <x v="122"/>
    <s v="North"/>
    <x v="2"/>
    <x v="0"/>
    <s v="Online"/>
    <x v="2"/>
    <s v="Home Appliances"/>
    <n v="60000"/>
    <n v="7"/>
    <x v="2"/>
    <n v="48000"/>
    <x v="40"/>
    <x v="40"/>
    <x v="40"/>
  </r>
  <r>
    <x v="123"/>
    <s v="North"/>
    <x v="0"/>
    <x v="1"/>
    <s v="Store"/>
    <x v="9"/>
    <s v="Home Appliances"/>
    <n v="220000"/>
    <n v="4"/>
    <x v="3"/>
    <n v="176000"/>
    <x v="22"/>
    <x v="22"/>
    <x v="22"/>
  </r>
  <r>
    <x v="124"/>
    <s v="East"/>
    <x v="2"/>
    <x v="1"/>
    <s v="Store"/>
    <x v="8"/>
    <s v="Electronics"/>
    <n v="250000"/>
    <n v="6"/>
    <x v="1"/>
    <n v="200000"/>
    <x v="17"/>
    <x v="17"/>
    <x v="17"/>
  </r>
  <r>
    <x v="125"/>
    <s v="North"/>
    <x v="0"/>
    <x v="1"/>
    <s v="Online"/>
    <x v="7"/>
    <s v="Electronics"/>
    <n v="420000"/>
    <n v="10"/>
    <x v="0"/>
    <n v="336000"/>
    <x v="20"/>
    <x v="20"/>
    <x v="20"/>
  </r>
  <r>
    <x v="126"/>
    <s v="East"/>
    <x v="0"/>
    <x v="0"/>
    <s v="Online"/>
    <x v="1"/>
    <s v="Home Appliances"/>
    <n v="30000"/>
    <n v="9"/>
    <x v="5"/>
    <n v="24000"/>
    <x v="57"/>
    <x v="57"/>
    <x v="57"/>
  </r>
  <r>
    <x v="127"/>
    <s v="West"/>
    <x v="2"/>
    <x v="0"/>
    <s v="Store"/>
    <x v="4"/>
    <s v="Home Appliances"/>
    <n v="180000"/>
    <n v="8"/>
    <x v="2"/>
    <n v="144000"/>
    <x v="37"/>
    <x v="37"/>
    <x v="37"/>
  </r>
  <r>
    <x v="128"/>
    <s v="North"/>
    <x v="1"/>
    <x v="0"/>
    <s v="Online"/>
    <x v="7"/>
    <s v="Electronics"/>
    <n v="420000"/>
    <n v="5"/>
    <x v="4"/>
    <n v="336000"/>
    <x v="13"/>
    <x v="13"/>
    <x v="13"/>
  </r>
  <r>
    <x v="129"/>
    <s v="West"/>
    <x v="0"/>
    <x v="1"/>
    <s v="Online"/>
    <x v="2"/>
    <s v="Home Appliances"/>
    <n v="60000"/>
    <n v="9"/>
    <x v="0"/>
    <n v="48000"/>
    <x v="46"/>
    <x v="46"/>
    <x v="46"/>
  </r>
  <r>
    <x v="130"/>
    <s v="South"/>
    <x v="2"/>
    <x v="1"/>
    <s v="Store"/>
    <x v="0"/>
    <s v="Furniture"/>
    <n v="85000"/>
    <n v="5"/>
    <x v="1"/>
    <n v="68000"/>
    <x v="58"/>
    <x v="58"/>
    <x v="58"/>
  </r>
  <r>
    <x v="131"/>
    <s v="South"/>
    <x v="2"/>
    <x v="1"/>
    <s v="Online"/>
    <x v="0"/>
    <s v="Furniture"/>
    <n v="85000"/>
    <n v="1"/>
    <x v="2"/>
    <n v="68000"/>
    <x v="0"/>
    <x v="0"/>
    <x v="0"/>
  </r>
  <r>
    <x v="132"/>
    <s v="East"/>
    <x v="1"/>
    <x v="0"/>
    <s v="Store"/>
    <x v="2"/>
    <s v="Home Appliances"/>
    <n v="60000"/>
    <n v="8"/>
    <x v="3"/>
    <n v="48000"/>
    <x v="47"/>
    <x v="47"/>
    <x v="47"/>
  </r>
  <r>
    <x v="133"/>
    <s v="West"/>
    <x v="2"/>
    <x v="1"/>
    <s v="Online"/>
    <x v="6"/>
    <s v="Electronics"/>
    <n v="150000"/>
    <n v="5"/>
    <x v="4"/>
    <n v="120000"/>
    <x v="56"/>
    <x v="56"/>
    <x v="56"/>
  </r>
  <r>
    <x v="134"/>
    <s v="West"/>
    <x v="3"/>
    <x v="0"/>
    <s v="Online"/>
    <x v="5"/>
    <s v="Furniture"/>
    <n v="320000"/>
    <n v="10"/>
    <x v="3"/>
    <n v="256000"/>
    <x v="35"/>
    <x v="35"/>
    <x v="35"/>
  </r>
  <r>
    <x v="135"/>
    <s v="West"/>
    <x v="3"/>
    <x v="1"/>
    <s v="Online"/>
    <x v="8"/>
    <s v="Electronics"/>
    <n v="250000"/>
    <n v="6"/>
    <x v="5"/>
    <n v="200000"/>
    <x v="17"/>
    <x v="17"/>
    <x v="17"/>
  </r>
  <r>
    <x v="136"/>
    <s v="South"/>
    <x v="2"/>
    <x v="1"/>
    <s v="Online"/>
    <x v="6"/>
    <s v="Electronics"/>
    <n v="150000"/>
    <n v="3"/>
    <x v="0"/>
    <n v="120000"/>
    <x v="34"/>
    <x v="34"/>
    <x v="34"/>
  </r>
  <r>
    <x v="137"/>
    <s v="West"/>
    <x v="1"/>
    <x v="1"/>
    <s v="Online"/>
    <x v="2"/>
    <s v="Home Appliances"/>
    <n v="60000"/>
    <n v="10"/>
    <x v="4"/>
    <n v="48000"/>
    <x v="4"/>
    <x v="4"/>
    <x v="4"/>
  </r>
  <r>
    <x v="138"/>
    <s v="North"/>
    <x v="2"/>
    <x v="0"/>
    <s v="Online"/>
    <x v="6"/>
    <s v="Electronics"/>
    <n v="150000"/>
    <n v="8"/>
    <x v="2"/>
    <n v="120000"/>
    <x v="29"/>
    <x v="29"/>
    <x v="29"/>
  </r>
  <r>
    <x v="139"/>
    <s v="South"/>
    <x v="0"/>
    <x v="0"/>
    <s v="Online"/>
    <x v="8"/>
    <s v="Electronics"/>
    <n v="250000"/>
    <n v="7"/>
    <x v="4"/>
    <n v="200000"/>
    <x v="59"/>
    <x v="59"/>
    <x v="59"/>
  </r>
  <r>
    <x v="140"/>
    <s v="South"/>
    <x v="3"/>
    <x v="1"/>
    <s v="Online"/>
    <x v="0"/>
    <s v="Furniture"/>
    <n v="85000"/>
    <n v="6"/>
    <x v="3"/>
    <n v="68000"/>
    <x v="60"/>
    <x v="60"/>
    <x v="60"/>
  </r>
  <r>
    <x v="141"/>
    <s v="North"/>
    <x v="0"/>
    <x v="1"/>
    <s v="Online"/>
    <x v="4"/>
    <s v="Home Appliances"/>
    <n v="180000"/>
    <n v="9"/>
    <x v="4"/>
    <n v="144000"/>
    <x v="27"/>
    <x v="27"/>
    <x v="27"/>
  </r>
  <r>
    <x v="142"/>
    <s v="West"/>
    <x v="3"/>
    <x v="1"/>
    <s v="Online"/>
    <x v="1"/>
    <s v="Home Appliances"/>
    <n v="30000"/>
    <n v="8"/>
    <x v="4"/>
    <n v="24000"/>
    <x v="1"/>
    <x v="1"/>
    <x v="1"/>
  </r>
  <r>
    <x v="143"/>
    <s v="South"/>
    <x v="0"/>
    <x v="1"/>
    <s v="Store"/>
    <x v="0"/>
    <s v="Furniture"/>
    <n v="85000"/>
    <n v="1"/>
    <x v="1"/>
    <n v="68000"/>
    <x v="0"/>
    <x v="0"/>
    <x v="0"/>
  </r>
  <r>
    <x v="144"/>
    <s v="West"/>
    <x v="3"/>
    <x v="1"/>
    <s v="Online"/>
    <x v="1"/>
    <s v="Home Appliances"/>
    <n v="30000"/>
    <n v="8"/>
    <x v="5"/>
    <n v="24000"/>
    <x v="1"/>
    <x v="1"/>
    <x v="1"/>
  </r>
  <r>
    <x v="145"/>
    <s v="North"/>
    <x v="2"/>
    <x v="0"/>
    <s v="Online"/>
    <x v="5"/>
    <s v="Furniture"/>
    <n v="320000"/>
    <n v="2"/>
    <x v="4"/>
    <n v="256000"/>
    <x v="38"/>
    <x v="38"/>
    <x v="38"/>
  </r>
  <r>
    <x v="146"/>
    <s v="East"/>
    <x v="0"/>
    <x v="0"/>
    <s v="Online"/>
    <x v="6"/>
    <s v="Electronics"/>
    <n v="150000"/>
    <n v="5"/>
    <x v="4"/>
    <n v="120000"/>
    <x v="56"/>
    <x v="56"/>
    <x v="56"/>
  </r>
  <r>
    <x v="147"/>
    <s v="East"/>
    <x v="2"/>
    <x v="1"/>
    <s v="Online"/>
    <x v="8"/>
    <s v="Electronics"/>
    <n v="250000"/>
    <n v="5"/>
    <x v="5"/>
    <n v="200000"/>
    <x v="21"/>
    <x v="21"/>
    <x v="21"/>
  </r>
  <r>
    <x v="148"/>
    <s v="North"/>
    <x v="3"/>
    <x v="1"/>
    <s v="Online"/>
    <x v="9"/>
    <s v="Home Appliances"/>
    <n v="220000"/>
    <n v="10"/>
    <x v="1"/>
    <n v="176000"/>
    <x v="61"/>
    <x v="61"/>
    <x v="61"/>
  </r>
  <r>
    <x v="149"/>
    <s v="North"/>
    <x v="2"/>
    <x v="1"/>
    <s v="Online"/>
    <x v="2"/>
    <s v="Home Appliances"/>
    <n v="60000"/>
    <n v="2"/>
    <x v="3"/>
    <n v="48000"/>
    <x v="3"/>
    <x v="3"/>
    <x v="3"/>
  </r>
  <r>
    <x v="150"/>
    <s v="North"/>
    <x v="2"/>
    <x v="1"/>
    <s v="Store"/>
    <x v="8"/>
    <s v="Electronics"/>
    <n v="250000"/>
    <n v="1"/>
    <x v="4"/>
    <n v="200000"/>
    <x v="44"/>
    <x v="44"/>
    <x v="44"/>
  </r>
  <r>
    <x v="151"/>
    <s v="West"/>
    <x v="0"/>
    <x v="0"/>
    <s v="Online"/>
    <x v="4"/>
    <s v="Home Appliances"/>
    <n v="180000"/>
    <n v="8"/>
    <x v="5"/>
    <n v="144000"/>
    <x v="37"/>
    <x v="37"/>
    <x v="37"/>
  </r>
  <r>
    <x v="152"/>
    <s v="North"/>
    <x v="1"/>
    <x v="0"/>
    <s v="Online"/>
    <x v="6"/>
    <s v="Electronics"/>
    <n v="150000"/>
    <n v="1"/>
    <x v="0"/>
    <n v="120000"/>
    <x v="26"/>
    <x v="26"/>
    <x v="26"/>
  </r>
  <r>
    <x v="153"/>
    <s v="North"/>
    <x v="3"/>
    <x v="0"/>
    <s v="Online"/>
    <x v="1"/>
    <s v="Home Appliances"/>
    <n v="30000"/>
    <n v="6"/>
    <x v="1"/>
    <n v="24000"/>
    <x v="32"/>
    <x v="32"/>
    <x v="32"/>
  </r>
  <r>
    <x v="154"/>
    <s v="West"/>
    <x v="0"/>
    <x v="1"/>
    <s v="Online"/>
    <x v="9"/>
    <s v="Home Appliances"/>
    <n v="220000"/>
    <n v="10"/>
    <x v="5"/>
    <n v="176000"/>
    <x v="61"/>
    <x v="61"/>
    <x v="61"/>
  </r>
  <r>
    <x v="155"/>
    <s v="West"/>
    <x v="0"/>
    <x v="0"/>
    <s v="Store"/>
    <x v="7"/>
    <s v="Electronics"/>
    <n v="420000"/>
    <n v="1"/>
    <x v="1"/>
    <n v="336000"/>
    <x v="40"/>
    <x v="40"/>
    <x v="40"/>
  </r>
  <r>
    <x v="156"/>
    <s v="West"/>
    <x v="1"/>
    <x v="1"/>
    <s v="Store"/>
    <x v="3"/>
    <s v="Electronics"/>
    <n v="300000"/>
    <n v="8"/>
    <x v="1"/>
    <n v="240000"/>
    <x v="24"/>
    <x v="24"/>
    <x v="24"/>
  </r>
  <r>
    <x v="157"/>
    <s v="North"/>
    <x v="3"/>
    <x v="1"/>
    <s v="Online"/>
    <x v="8"/>
    <s v="Electronics"/>
    <n v="250000"/>
    <n v="3"/>
    <x v="0"/>
    <n v="200000"/>
    <x v="56"/>
    <x v="56"/>
    <x v="56"/>
  </r>
  <r>
    <x v="158"/>
    <s v="West"/>
    <x v="3"/>
    <x v="1"/>
    <s v="Online"/>
    <x v="3"/>
    <s v="Electronics"/>
    <n v="300000"/>
    <n v="4"/>
    <x v="3"/>
    <n v="240000"/>
    <x v="29"/>
    <x v="29"/>
    <x v="29"/>
  </r>
  <r>
    <x v="159"/>
    <s v="West"/>
    <x v="2"/>
    <x v="0"/>
    <s v="Online"/>
    <x v="6"/>
    <s v="Electronics"/>
    <n v="150000"/>
    <n v="6"/>
    <x v="3"/>
    <n v="120000"/>
    <x v="48"/>
    <x v="48"/>
    <x v="48"/>
  </r>
  <r>
    <x v="160"/>
    <s v="West"/>
    <x v="3"/>
    <x v="0"/>
    <s v="Online"/>
    <x v="7"/>
    <s v="Electronics"/>
    <n v="420000"/>
    <n v="2"/>
    <x v="0"/>
    <n v="336000"/>
    <x v="62"/>
    <x v="62"/>
    <x v="62"/>
  </r>
  <r>
    <x v="161"/>
    <s v="South"/>
    <x v="1"/>
    <x v="0"/>
    <s v="Online"/>
    <x v="9"/>
    <s v="Home Appliances"/>
    <n v="220000"/>
    <n v="1"/>
    <x v="1"/>
    <n v="176000"/>
    <x v="25"/>
    <x v="25"/>
    <x v="25"/>
  </r>
  <r>
    <x v="162"/>
    <s v="South"/>
    <x v="3"/>
    <x v="0"/>
    <s v="Store"/>
    <x v="9"/>
    <s v="Home Appliances"/>
    <n v="220000"/>
    <n v="8"/>
    <x v="4"/>
    <n v="176000"/>
    <x v="42"/>
    <x v="42"/>
    <x v="42"/>
  </r>
  <r>
    <x v="163"/>
    <s v="North"/>
    <x v="2"/>
    <x v="0"/>
    <s v="Store"/>
    <x v="1"/>
    <s v="Home Appliances"/>
    <n v="30000"/>
    <n v="10"/>
    <x v="5"/>
    <n v="24000"/>
    <x v="11"/>
    <x v="11"/>
    <x v="11"/>
  </r>
  <r>
    <x v="164"/>
    <s v="North"/>
    <x v="1"/>
    <x v="1"/>
    <s v="Online"/>
    <x v="1"/>
    <s v="Home Appliances"/>
    <n v="30000"/>
    <n v="4"/>
    <x v="5"/>
    <n v="24000"/>
    <x v="3"/>
    <x v="3"/>
    <x v="3"/>
  </r>
  <r>
    <x v="165"/>
    <s v="West"/>
    <x v="0"/>
    <x v="1"/>
    <s v="Online"/>
    <x v="4"/>
    <s v="Home Appliances"/>
    <n v="180000"/>
    <n v="6"/>
    <x v="0"/>
    <n v="144000"/>
    <x v="53"/>
    <x v="53"/>
    <x v="53"/>
  </r>
  <r>
    <x v="166"/>
    <s v="West"/>
    <x v="3"/>
    <x v="1"/>
    <s v="Online"/>
    <x v="3"/>
    <s v="Electronics"/>
    <n v="300000"/>
    <n v="2"/>
    <x v="5"/>
    <n v="240000"/>
    <x v="4"/>
    <x v="4"/>
    <x v="4"/>
  </r>
  <r>
    <x v="167"/>
    <s v="East"/>
    <x v="1"/>
    <x v="0"/>
    <s v="Online"/>
    <x v="6"/>
    <s v="Electronics"/>
    <n v="150000"/>
    <n v="9"/>
    <x v="0"/>
    <n v="120000"/>
    <x v="63"/>
    <x v="63"/>
    <x v="63"/>
  </r>
  <r>
    <x v="168"/>
    <s v="North"/>
    <x v="0"/>
    <x v="0"/>
    <s v="Store"/>
    <x v="6"/>
    <s v="Electronics"/>
    <n v="150000"/>
    <n v="9"/>
    <x v="1"/>
    <n v="120000"/>
    <x v="63"/>
    <x v="63"/>
    <x v="63"/>
  </r>
  <r>
    <x v="169"/>
    <s v="West"/>
    <x v="0"/>
    <x v="0"/>
    <s v="Online"/>
    <x v="1"/>
    <s v="Home Appliances"/>
    <n v="30000"/>
    <n v="4"/>
    <x v="0"/>
    <n v="24000"/>
    <x v="3"/>
    <x v="3"/>
    <x v="3"/>
  </r>
  <r>
    <x v="170"/>
    <s v="East"/>
    <x v="2"/>
    <x v="1"/>
    <s v="Online"/>
    <x v="2"/>
    <s v="Home Appliances"/>
    <n v="60000"/>
    <n v="9"/>
    <x v="2"/>
    <n v="48000"/>
    <x v="46"/>
    <x v="46"/>
    <x v="46"/>
  </r>
  <r>
    <x v="171"/>
    <s v="South"/>
    <x v="1"/>
    <x v="0"/>
    <s v="Store"/>
    <x v="3"/>
    <s v="Electronics"/>
    <n v="300000"/>
    <n v="9"/>
    <x v="2"/>
    <n v="240000"/>
    <x v="39"/>
    <x v="39"/>
    <x v="39"/>
  </r>
  <r>
    <x v="172"/>
    <s v="North"/>
    <x v="3"/>
    <x v="0"/>
    <s v="Online"/>
    <x v="5"/>
    <s v="Furniture"/>
    <n v="320000"/>
    <n v="3"/>
    <x v="5"/>
    <n v="256000"/>
    <x v="9"/>
    <x v="9"/>
    <x v="9"/>
  </r>
  <r>
    <x v="173"/>
    <s v="West"/>
    <x v="0"/>
    <x v="0"/>
    <s v="Online"/>
    <x v="6"/>
    <s v="Electronics"/>
    <n v="150000"/>
    <n v="1"/>
    <x v="0"/>
    <n v="120000"/>
    <x v="26"/>
    <x v="26"/>
    <x v="26"/>
  </r>
  <r>
    <x v="174"/>
    <s v="North"/>
    <x v="1"/>
    <x v="1"/>
    <s v="Online"/>
    <x v="3"/>
    <s v="Electronics"/>
    <n v="300000"/>
    <n v="9"/>
    <x v="2"/>
    <n v="240000"/>
    <x v="39"/>
    <x v="39"/>
    <x v="39"/>
  </r>
  <r>
    <x v="175"/>
    <s v="East"/>
    <x v="1"/>
    <x v="0"/>
    <s v="Online"/>
    <x v="9"/>
    <s v="Home Appliances"/>
    <n v="220000"/>
    <n v="3"/>
    <x v="1"/>
    <n v="176000"/>
    <x v="49"/>
    <x v="49"/>
    <x v="49"/>
  </r>
  <r>
    <x v="176"/>
    <s v="West"/>
    <x v="2"/>
    <x v="1"/>
    <s v="Online"/>
    <x v="9"/>
    <s v="Home Appliances"/>
    <n v="220000"/>
    <n v="9"/>
    <x v="5"/>
    <n v="176000"/>
    <x v="64"/>
    <x v="64"/>
    <x v="64"/>
  </r>
  <r>
    <x v="177"/>
    <s v="East"/>
    <x v="2"/>
    <x v="1"/>
    <s v="Store"/>
    <x v="2"/>
    <s v="Home Appliances"/>
    <n v="60000"/>
    <n v="6"/>
    <x v="5"/>
    <n v="48000"/>
    <x v="50"/>
    <x v="50"/>
    <x v="50"/>
  </r>
  <r>
    <x v="178"/>
    <s v="North"/>
    <x v="2"/>
    <x v="0"/>
    <s v="Store"/>
    <x v="1"/>
    <s v="Home Appliances"/>
    <n v="30000"/>
    <n v="10"/>
    <x v="3"/>
    <n v="24000"/>
    <x v="11"/>
    <x v="11"/>
    <x v="11"/>
  </r>
  <r>
    <x v="179"/>
    <s v="South"/>
    <x v="2"/>
    <x v="1"/>
    <s v="Store"/>
    <x v="7"/>
    <s v="Electronics"/>
    <n v="420000"/>
    <n v="8"/>
    <x v="5"/>
    <n v="336000"/>
    <x v="19"/>
    <x v="19"/>
    <x v="19"/>
  </r>
  <r>
    <x v="180"/>
    <s v="South"/>
    <x v="2"/>
    <x v="1"/>
    <s v="Online"/>
    <x v="2"/>
    <s v="Home Appliances"/>
    <n v="60000"/>
    <n v="9"/>
    <x v="0"/>
    <n v="48000"/>
    <x v="46"/>
    <x v="46"/>
    <x v="46"/>
  </r>
  <r>
    <x v="181"/>
    <s v="East"/>
    <x v="2"/>
    <x v="1"/>
    <s v="Online"/>
    <x v="8"/>
    <s v="Electronics"/>
    <n v="250000"/>
    <n v="1"/>
    <x v="3"/>
    <n v="200000"/>
    <x v="44"/>
    <x v="44"/>
    <x v="44"/>
  </r>
  <r>
    <x v="182"/>
    <s v="South"/>
    <x v="2"/>
    <x v="0"/>
    <s v="Online"/>
    <x v="2"/>
    <s v="Home Appliances"/>
    <n v="60000"/>
    <n v="1"/>
    <x v="5"/>
    <n v="48000"/>
    <x v="41"/>
    <x v="41"/>
    <x v="41"/>
  </r>
  <r>
    <x v="183"/>
    <s v="South"/>
    <x v="3"/>
    <x v="0"/>
    <s v="Online"/>
    <x v="7"/>
    <s v="Electronics"/>
    <n v="420000"/>
    <n v="8"/>
    <x v="5"/>
    <n v="336000"/>
    <x v="19"/>
    <x v="19"/>
    <x v="19"/>
  </r>
  <r>
    <x v="184"/>
    <s v="South"/>
    <x v="0"/>
    <x v="1"/>
    <s v="Store"/>
    <x v="4"/>
    <s v="Home Appliances"/>
    <n v="180000"/>
    <n v="4"/>
    <x v="5"/>
    <n v="144000"/>
    <x v="65"/>
    <x v="65"/>
    <x v="65"/>
  </r>
  <r>
    <x v="185"/>
    <s v="East"/>
    <x v="2"/>
    <x v="0"/>
    <s v="Store"/>
    <x v="4"/>
    <s v="Home Appliances"/>
    <n v="180000"/>
    <n v="7"/>
    <x v="5"/>
    <n v="144000"/>
    <x v="55"/>
    <x v="55"/>
    <x v="55"/>
  </r>
  <r>
    <x v="186"/>
    <s v="North"/>
    <x v="2"/>
    <x v="0"/>
    <s v="Online"/>
    <x v="1"/>
    <s v="Home Appliances"/>
    <n v="30000"/>
    <n v="6"/>
    <x v="4"/>
    <n v="24000"/>
    <x v="32"/>
    <x v="32"/>
    <x v="32"/>
  </r>
  <r>
    <x v="187"/>
    <s v="East"/>
    <x v="0"/>
    <x v="0"/>
    <s v="Online"/>
    <x v="4"/>
    <s v="Home Appliances"/>
    <n v="180000"/>
    <n v="4"/>
    <x v="1"/>
    <n v="144000"/>
    <x v="65"/>
    <x v="65"/>
    <x v="65"/>
  </r>
  <r>
    <x v="188"/>
    <s v="East"/>
    <x v="3"/>
    <x v="1"/>
    <s v="Store"/>
    <x v="3"/>
    <s v="Electronics"/>
    <n v="300000"/>
    <n v="3"/>
    <x v="2"/>
    <n v="240000"/>
    <x v="48"/>
    <x v="48"/>
    <x v="48"/>
  </r>
  <r>
    <x v="189"/>
    <s v="West"/>
    <x v="1"/>
    <x v="0"/>
    <s v="Online"/>
    <x v="2"/>
    <s v="Home Appliances"/>
    <n v="60000"/>
    <n v="3"/>
    <x v="0"/>
    <n v="48000"/>
    <x v="32"/>
    <x v="32"/>
    <x v="32"/>
  </r>
  <r>
    <x v="190"/>
    <s v="East"/>
    <x v="0"/>
    <x v="1"/>
    <s v="Online"/>
    <x v="9"/>
    <s v="Home Appliances"/>
    <n v="220000"/>
    <n v="1"/>
    <x v="2"/>
    <n v="176000"/>
    <x v="25"/>
    <x v="25"/>
    <x v="25"/>
  </r>
  <r>
    <x v="191"/>
    <s v="North"/>
    <x v="1"/>
    <x v="0"/>
    <s v="Online"/>
    <x v="3"/>
    <s v="Electronics"/>
    <n v="300000"/>
    <n v="2"/>
    <x v="1"/>
    <n v="240000"/>
    <x v="4"/>
    <x v="4"/>
    <x v="4"/>
  </r>
  <r>
    <x v="192"/>
    <s v="South"/>
    <x v="2"/>
    <x v="0"/>
    <s v="Online"/>
    <x v="6"/>
    <s v="Electronics"/>
    <n v="150000"/>
    <n v="3"/>
    <x v="1"/>
    <n v="120000"/>
    <x v="34"/>
    <x v="34"/>
    <x v="34"/>
  </r>
  <r>
    <x v="193"/>
    <s v="North"/>
    <x v="1"/>
    <x v="1"/>
    <s v="Online"/>
    <x v="0"/>
    <s v="Furniture"/>
    <n v="85000"/>
    <n v="1"/>
    <x v="1"/>
    <n v="68000"/>
    <x v="0"/>
    <x v="0"/>
    <x v="0"/>
  </r>
  <r>
    <x v="194"/>
    <s v="South"/>
    <x v="1"/>
    <x v="0"/>
    <s v="Store"/>
    <x v="1"/>
    <s v="Home Appliances"/>
    <n v="30000"/>
    <n v="6"/>
    <x v="0"/>
    <n v="24000"/>
    <x v="32"/>
    <x v="32"/>
    <x v="32"/>
  </r>
  <r>
    <x v="195"/>
    <s v="West"/>
    <x v="2"/>
    <x v="1"/>
    <s v="Online"/>
    <x v="6"/>
    <s v="Electronics"/>
    <n v="150000"/>
    <n v="5"/>
    <x v="2"/>
    <n v="120000"/>
    <x v="56"/>
    <x v="56"/>
    <x v="56"/>
  </r>
  <r>
    <x v="196"/>
    <s v="West"/>
    <x v="1"/>
    <x v="0"/>
    <s v="Store"/>
    <x v="1"/>
    <s v="Home Appliances"/>
    <n v="30000"/>
    <n v="5"/>
    <x v="4"/>
    <n v="24000"/>
    <x v="26"/>
    <x v="26"/>
    <x v="26"/>
  </r>
  <r>
    <x v="197"/>
    <s v="East"/>
    <x v="1"/>
    <x v="0"/>
    <s v="Store"/>
    <x v="4"/>
    <s v="Home Appliances"/>
    <n v="180000"/>
    <n v="9"/>
    <x v="5"/>
    <n v="144000"/>
    <x v="27"/>
    <x v="27"/>
    <x v="27"/>
  </r>
  <r>
    <x v="198"/>
    <s v="North"/>
    <x v="2"/>
    <x v="1"/>
    <s v="Store"/>
    <x v="2"/>
    <s v="Home Appliances"/>
    <n v="60000"/>
    <n v="6"/>
    <x v="2"/>
    <n v="48000"/>
    <x v="50"/>
    <x v="50"/>
    <x v="50"/>
  </r>
  <r>
    <x v="199"/>
    <s v="North"/>
    <x v="1"/>
    <x v="0"/>
    <s v="Store"/>
    <x v="8"/>
    <s v="Electronics"/>
    <n v="250000"/>
    <n v="10"/>
    <x v="1"/>
    <n v="200000"/>
    <x v="66"/>
    <x v="66"/>
    <x v="66"/>
  </r>
  <r>
    <x v="200"/>
    <s v="South"/>
    <x v="2"/>
    <x v="0"/>
    <s v="Store"/>
    <x v="7"/>
    <s v="Electronics"/>
    <n v="420000"/>
    <n v="3"/>
    <x v="1"/>
    <n v="336000"/>
    <x v="55"/>
    <x v="55"/>
    <x v="55"/>
  </r>
  <r>
    <x v="201"/>
    <s v="North"/>
    <x v="0"/>
    <x v="1"/>
    <s v="Store"/>
    <x v="6"/>
    <s v="Electronics"/>
    <n v="150000"/>
    <n v="3"/>
    <x v="1"/>
    <n v="120000"/>
    <x v="34"/>
    <x v="34"/>
    <x v="34"/>
  </r>
  <r>
    <x v="202"/>
    <s v="South"/>
    <x v="3"/>
    <x v="1"/>
    <s v="Store"/>
    <x v="9"/>
    <s v="Home Appliances"/>
    <n v="220000"/>
    <n v="4"/>
    <x v="1"/>
    <n v="176000"/>
    <x v="22"/>
    <x v="22"/>
    <x v="22"/>
  </r>
  <r>
    <x v="203"/>
    <s v="South"/>
    <x v="1"/>
    <x v="1"/>
    <s v="Store"/>
    <x v="0"/>
    <s v="Furniture"/>
    <n v="85000"/>
    <n v="10"/>
    <x v="1"/>
    <n v="68000"/>
    <x v="43"/>
    <x v="43"/>
    <x v="43"/>
  </r>
  <r>
    <x v="204"/>
    <s v="North"/>
    <x v="2"/>
    <x v="0"/>
    <s v="Store"/>
    <x v="3"/>
    <s v="Electronics"/>
    <n v="300000"/>
    <n v="6"/>
    <x v="5"/>
    <n v="240000"/>
    <x v="5"/>
    <x v="5"/>
    <x v="5"/>
  </r>
  <r>
    <x v="205"/>
    <s v="West"/>
    <x v="0"/>
    <x v="0"/>
    <s v="Online"/>
    <x v="3"/>
    <s v="Electronics"/>
    <n v="300000"/>
    <n v="8"/>
    <x v="4"/>
    <n v="240000"/>
    <x v="24"/>
    <x v="24"/>
    <x v="24"/>
  </r>
  <r>
    <x v="206"/>
    <s v="South"/>
    <x v="3"/>
    <x v="1"/>
    <s v="Store"/>
    <x v="5"/>
    <s v="Furniture"/>
    <n v="320000"/>
    <n v="4"/>
    <x v="2"/>
    <n v="256000"/>
    <x v="6"/>
    <x v="6"/>
    <x v="6"/>
  </r>
  <r>
    <x v="207"/>
    <s v="South"/>
    <x v="1"/>
    <x v="1"/>
    <s v="Online"/>
    <x v="4"/>
    <s v="Home Appliances"/>
    <n v="180000"/>
    <n v="5"/>
    <x v="5"/>
    <n v="144000"/>
    <x v="48"/>
    <x v="48"/>
    <x v="48"/>
  </r>
  <r>
    <x v="208"/>
    <s v="West"/>
    <x v="0"/>
    <x v="0"/>
    <s v="Store"/>
    <x v="4"/>
    <s v="Home Appliances"/>
    <n v="180000"/>
    <n v="6"/>
    <x v="3"/>
    <n v="144000"/>
    <x v="53"/>
    <x v="53"/>
    <x v="53"/>
  </r>
  <r>
    <x v="209"/>
    <s v="East"/>
    <x v="2"/>
    <x v="1"/>
    <s v="Store"/>
    <x v="6"/>
    <s v="Electronics"/>
    <n v="150000"/>
    <n v="9"/>
    <x v="2"/>
    <n v="120000"/>
    <x v="63"/>
    <x v="63"/>
    <x v="63"/>
  </r>
  <r>
    <x v="210"/>
    <s v="West"/>
    <x v="0"/>
    <x v="0"/>
    <s v="Online"/>
    <x v="6"/>
    <s v="Electronics"/>
    <n v="150000"/>
    <n v="1"/>
    <x v="3"/>
    <n v="120000"/>
    <x v="26"/>
    <x v="26"/>
    <x v="26"/>
  </r>
  <r>
    <x v="211"/>
    <s v="East"/>
    <x v="2"/>
    <x v="0"/>
    <s v="Online"/>
    <x v="4"/>
    <s v="Home Appliances"/>
    <n v="180000"/>
    <n v="8"/>
    <x v="3"/>
    <n v="144000"/>
    <x v="37"/>
    <x v="37"/>
    <x v="37"/>
  </r>
  <r>
    <x v="212"/>
    <s v="West"/>
    <x v="0"/>
    <x v="0"/>
    <s v="Store"/>
    <x v="4"/>
    <s v="Home Appliances"/>
    <n v="180000"/>
    <n v="6"/>
    <x v="2"/>
    <n v="144000"/>
    <x v="53"/>
    <x v="53"/>
    <x v="53"/>
  </r>
  <r>
    <x v="213"/>
    <s v="North"/>
    <x v="3"/>
    <x v="1"/>
    <s v="Online"/>
    <x v="4"/>
    <s v="Home Appliances"/>
    <n v="180000"/>
    <n v="3"/>
    <x v="4"/>
    <n v="144000"/>
    <x v="46"/>
    <x v="46"/>
    <x v="46"/>
  </r>
  <r>
    <x v="214"/>
    <s v="North"/>
    <x v="2"/>
    <x v="0"/>
    <s v="Online"/>
    <x v="6"/>
    <s v="Electronics"/>
    <n v="150000"/>
    <n v="10"/>
    <x v="0"/>
    <n v="120000"/>
    <x v="17"/>
    <x v="17"/>
    <x v="17"/>
  </r>
  <r>
    <x v="215"/>
    <s v="South"/>
    <x v="2"/>
    <x v="0"/>
    <s v="Store"/>
    <x v="4"/>
    <s v="Home Appliances"/>
    <n v="180000"/>
    <n v="8"/>
    <x v="4"/>
    <n v="144000"/>
    <x v="37"/>
    <x v="37"/>
    <x v="37"/>
  </r>
  <r>
    <x v="216"/>
    <s v="West"/>
    <x v="2"/>
    <x v="0"/>
    <s v="Store"/>
    <x v="3"/>
    <s v="Electronics"/>
    <n v="300000"/>
    <n v="8"/>
    <x v="2"/>
    <n v="240000"/>
    <x v="24"/>
    <x v="24"/>
    <x v="24"/>
  </r>
  <r>
    <x v="217"/>
    <s v="West"/>
    <x v="2"/>
    <x v="0"/>
    <s v="Store"/>
    <x v="5"/>
    <s v="Furniture"/>
    <n v="320000"/>
    <n v="9"/>
    <x v="3"/>
    <n v="256000"/>
    <x v="8"/>
    <x v="8"/>
    <x v="8"/>
  </r>
  <r>
    <x v="218"/>
    <s v="South"/>
    <x v="2"/>
    <x v="0"/>
    <s v="Online"/>
    <x v="5"/>
    <s v="Furniture"/>
    <n v="320000"/>
    <n v="7"/>
    <x v="5"/>
    <n v="256000"/>
    <x v="10"/>
    <x v="10"/>
    <x v="10"/>
  </r>
  <r>
    <x v="219"/>
    <s v="East"/>
    <x v="3"/>
    <x v="0"/>
    <s v="Online"/>
    <x v="6"/>
    <s v="Electronics"/>
    <n v="150000"/>
    <n v="7"/>
    <x v="1"/>
    <n v="120000"/>
    <x v="16"/>
    <x v="16"/>
    <x v="16"/>
  </r>
  <r>
    <x v="220"/>
    <s v="East"/>
    <x v="3"/>
    <x v="0"/>
    <s v="Store"/>
    <x v="9"/>
    <s v="Home Appliances"/>
    <n v="220000"/>
    <n v="6"/>
    <x v="5"/>
    <n v="176000"/>
    <x v="36"/>
    <x v="36"/>
    <x v="36"/>
  </r>
  <r>
    <x v="221"/>
    <s v="North"/>
    <x v="1"/>
    <x v="0"/>
    <s v="Online"/>
    <x v="8"/>
    <s v="Electronics"/>
    <n v="250000"/>
    <n v="1"/>
    <x v="3"/>
    <n v="200000"/>
    <x v="44"/>
    <x v="44"/>
    <x v="44"/>
  </r>
  <r>
    <x v="222"/>
    <s v="West"/>
    <x v="1"/>
    <x v="0"/>
    <s v="Online"/>
    <x v="2"/>
    <s v="Home Appliances"/>
    <n v="60000"/>
    <n v="4"/>
    <x v="1"/>
    <n v="48000"/>
    <x v="1"/>
    <x v="1"/>
    <x v="1"/>
  </r>
  <r>
    <x v="223"/>
    <s v="North"/>
    <x v="1"/>
    <x v="0"/>
    <s v="Online"/>
    <x v="0"/>
    <s v="Furniture"/>
    <n v="85000"/>
    <n v="9"/>
    <x v="1"/>
    <n v="68000"/>
    <x v="18"/>
    <x v="18"/>
    <x v="18"/>
  </r>
  <r>
    <x v="224"/>
    <s v="West"/>
    <x v="0"/>
    <x v="0"/>
    <s v="Online"/>
    <x v="4"/>
    <s v="Home Appliances"/>
    <n v="180000"/>
    <n v="5"/>
    <x v="0"/>
    <n v="144000"/>
    <x v="48"/>
    <x v="48"/>
    <x v="48"/>
  </r>
  <r>
    <x v="225"/>
    <s v="West"/>
    <x v="1"/>
    <x v="0"/>
    <s v="Store"/>
    <x v="6"/>
    <s v="Electronics"/>
    <n v="150000"/>
    <n v="4"/>
    <x v="0"/>
    <n v="120000"/>
    <x v="4"/>
    <x v="4"/>
    <x v="4"/>
  </r>
  <r>
    <x v="226"/>
    <s v="North"/>
    <x v="1"/>
    <x v="0"/>
    <s v="Online"/>
    <x v="6"/>
    <s v="Electronics"/>
    <n v="150000"/>
    <n v="4"/>
    <x v="2"/>
    <n v="120000"/>
    <x v="4"/>
    <x v="4"/>
    <x v="4"/>
  </r>
  <r>
    <x v="227"/>
    <s v="East"/>
    <x v="1"/>
    <x v="1"/>
    <s v="Online"/>
    <x v="1"/>
    <s v="Home Appliances"/>
    <n v="30000"/>
    <n v="2"/>
    <x v="2"/>
    <n v="24000"/>
    <x v="41"/>
    <x v="41"/>
    <x v="41"/>
  </r>
  <r>
    <x v="228"/>
    <s v="South"/>
    <x v="3"/>
    <x v="1"/>
    <s v="Online"/>
    <x v="4"/>
    <s v="Home Appliances"/>
    <n v="180000"/>
    <n v="6"/>
    <x v="4"/>
    <n v="144000"/>
    <x v="53"/>
    <x v="53"/>
    <x v="53"/>
  </r>
  <r>
    <x v="229"/>
    <s v="North"/>
    <x v="2"/>
    <x v="1"/>
    <s v="Store"/>
    <x v="2"/>
    <s v="Home Appliances"/>
    <n v="60000"/>
    <n v="9"/>
    <x v="5"/>
    <n v="48000"/>
    <x v="46"/>
    <x v="46"/>
    <x v="46"/>
  </r>
  <r>
    <x v="230"/>
    <s v="South"/>
    <x v="0"/>
    <x v="0"/>
    <s v="Online"/>
    <x v="6"/>
    <s v="Electronics"/>
    <n v="150000"/>
    <n v="3"/>
    <x v="1"/>
    <n v="120000"/>
    <x v="34"/>
    <x v="34"/>
    <x v="34"/>
  </r>
  <r>
    <x v="231"/>
    <s v="North"/>
    <x v="1"/>
    <x v="0"/>
    <s v="Online"/>
    <x v="0"/>
    <s v="Furniture"/>
    <n v="85000"/>
    <n v="3"/>
    <x v="2"/>
    <n v="68000"/>
    <x v="23"/>
    <x v="23"/>
    <x v="23"/>
  </r>
  <r>
    <x v="232"/>
    <s v="East"/>
    <x v="0"/>
    <x v="1"/>
    <s v="Store"/>
    <x v="1"/>
    <s v="Home Appliances"/>
    <n v="30000"/>
    <n v="3"/>
    <x v="3"/>
    <n v="24000"/>
    <x v="33"/>
    <x v="33"/>
    <x v="33"/>
  </r>
  <r>
    <x v="233"/>
    <s v="East"/>
    <x v="2"/>
    <x v="1"/>
    <s v="Online"/>
    <x v="0"/>
    <s v="Furniture"/>
    <n v="85000"/>
    <n v="2"/>
    <x v="0"/>
    <n v="68000"/>
    <x v="2"/>
    <x v="2"/>
    <x v="2"/>
  </r>
  <r>
    <x v="234"/>
    <s v="West"/>
    <x v="3"/>
    <x v="1"/>
    <s v="Online"/>
    <x v="1"/>
    <s v="Home Appliances"/>
    <n v="30000"/>
    <n v="6"/>
    <x v="0"/>
    <n v="24000"/>
    <x v="32"/>
    <x v="32"/>
    <x v="32"/>
  </r>
  <r>
    <x v="235"/>
    <s v="West"/>
    <x v="3"/>
    <x v="1"/>
    <s v="Online"/>
    <x v="5"/>
    <s v="Furniture"/>
    <n v="320000"/>
    <n v="1"/>
    <x v="0"/>
    <n v="256000"/>
    <x v="7"/>
    <x v="7"/>
    <x v="7"/>
  </r>
  <r>
    <x v="236"/>
    <s v="South"/>
    <x v="1"/>
    <x v="0"/>
    <s v="Store"/>
    <x v="7"/>
    <s v="Electronics"/>
    <n v="420000"/>
    <n v="5"/>
    <x v="4"/>
    <n v="336000"/>
    <x v="13"/>
    <x v="13"/>
    <x v="13"/>
  </r>
  <r>
    <x v="237"/>
    <s v="West"/>
    <x v="3"/>
    <x v="0"/>
    <s v="Store"/>
    <x v="1"/>
    <s v="Home Appliances"/>
    <n v="30000"/>
    <n v="9"/>
    <x v="5"/>
    <n v="24000"/>
    <x v="57"/>
    <x v="57"/>
    <x v="57"/>
  </r>
  <r>
    <x v="238"/>
    <s v="South"/>
    <x v="3"/>
    <x v="0"/>
    <s v="Online"/>
    <x v="2"/>
    <s v="Home Appliances"/>
    <n v="60000"/>
    <n v="8"/>
    <x v="4"/>
    <n v="48000"/>
    <x v="47"/>
    <x v="47"/>
    <x v="47"/>
  </r>
  <r>
    <x v="239"/>
    <s v="West"/>
    <x v="2"/>
    <x v="0"/>
    <s v="Online"/>
    <x v="3"/>
    <s v="Electronics"/>
    <n v="300000"/>
    <n v="2"/>
    <x v="2"/>
    <n v="240000"/>
    <x v="4"/>
    <x v="4"/>
    <x v="4"/>
  </r>
  <r>
    <x v="240"/>
    <s v="South"/>
    <x v="0"/>
    <x v="0"/>
    <s v="Online"/>
    <x v="9"/>
    <s v="Home Appliances"/>
    <n v="220000"/>
    <n v="7"/>
    <x v="2"/>
    <n v="176000"/>
    <x v="67"/>
    <x v="67"/>
    <x v="67"/>
  </r>
  <r>
    <x v="241"/>
    <s v="North"/>
    <x v="1"/>
    <x v="1"/>
    <s v="Store"/>
    <x v="3"/>
    <s v="Electronics"/>
    <n v="300000"/>
    <n v="8"/>
    <x v="0"/>
    <n v="240000"/>
    <x v="24"/>
    <x v="24"/>
    <x v="24"/>
  </r>
  <r>
    <x v="242"/>
    <s v="East"/>
    <x v="1"/>
    <x v="1"/>
    <s v="Store"/>
    <x v="7"/>
    <s v="Electronics"/>
    <n v="420000"/>
    <n v="10"/>
    <x v="3"/>
    <n v="336000"/>
    <x v="20"/>
    <x v="20"/>
    <x v="20"/>
  </r>
  <r>
    <x v="243"/>
    <s v="East"/>
    <x v="3"/>
    <x v="1"/>
    <s v="Online"/>
    <x v="3"/>
    <s v="Electronics"/>
    <n v="300000"/>
    <n v="2"/>
    <x v="3"/>
    <n v="240000"/>
    <x v="4"/>
    <x v="4"/>
    <x v="4"/>
  </r>
  <r>
    <x v="244"/>
    <s v="East"/>
    <x v="1"/>
    <x v="1"/>
    <s v="Online"/>
    <x v="9"/>
    <s v="Home Appliances"/>
    <n v="220000"/>
    <n v="3"/>
    <x v="2"/>
    <n v="176000"/>
    <x v="49"/>
    <x v="49"/>
    <x v="49"/>
  </r>
  <r>
    <x v="245"/>
    <s v="East"/>
    <x v="2"/>
    <x v="1"/>
    <s v="Store"/>
    <x v="0"/>
    <s v="Furniture"/>
    <n v="85000"/>
    <n v="6"/>
    <x v="1"/>
    <n v="68000"/>
    <x v="60"/>
    <x v="60"/>
    <x v="60"/>
  </r>
  <r>
    <x v="246"/>
    <s v="North"/>
    <x v="3"/>
    <x v="1"/>
    <s v="Online"/>
    <x v="5"/>
    <s v="Furniture"/>
    <n v="320000"/>
    <n v="10"/>
    <x v="5"/>
    <n v="256000"/>
    <x v="35"/>
    <x v="35"/>
    <x v="35"/>
  </r>
  <r>
    <x v="247"/>
    <s v="East"/>
    <x v="0"/>
    <x v="1"/>
    <s v="Online"/>
    <x v="3"/>
    <s v="Electronics"/>
    <n v="300000"/>
    <n v="2"/>
    <x v="1"/>
    <n v="240000"/>
    <x v="4"/>
    <x v="4"/>
    <x v="4"/>
  </r>
  <r>
    <x v="248"/>
    <s v="South"/>
    <x v="0"/>
    <x v="1"/>
    <s v="Store"/>
    <x v="1"/>
    <s v="Home Appliances"/>
    <n v="30000"/>
    <n v="6"/>
    <x v="5"/>
    <n v="24000"/>
    <x v="32"/>
    <x v="32"/>
    <x v="32"/>
  </r>
  <r>
    <x v="249"/>
    <s v="South"/>
    <x v="0"/>
    <x v="1"/>
    <s v="Store"/>
    <x v="2"/>
    <s v="Home Appliances"/>
    <n v="60000"/>
    <n v="2"/>
    <x v="2"/>
    <n v="48000"/>
    <x v="3"/>
    <x v="3"/>
    <x v="3"/>
  </r>
  <r>
    <x v="250"/>
    <s v="North"/>
    <x v="2"/>
    <x v="0"/>
    <s v="Online"/>
    <x v="9"/>
    <s v="Home Appliances"/>
    <n v="220000"/>
    <n v="5"/>
    <x v="0"/>
    <n v="176000"/>
    <x v="51"/>
    <x v="51"/>
    <x v="51"/>
  </r>
  <r>
    <x v="251"/>
    <s v="West"/>
    <x v="3"/>
    <x v="0"/>
    <s v="Store"/>
    <x v="4"/>
    <s v="Home Appliances"/>
    <n v="180000"/>
    <n v="6"/>
    <x v="5"/>
    <n v="144000"/>
    <x v="53"/>
    <x v="53"/>
    <x v="53"/>
  </r>
  <r>
    <x v="252"/>
    <s v="North"/>
    <x v="0"/>
    <x v="0"/>
    <s v="Online"/>
    <x v="8"/>
    <s v="Electronics"/>
    <n v="250000"/>
    <n v="4"/>
    <x v="3"/>
    <n v="200000"/>
    <x v="14"/>
    <x v="14"/>
    <x v="14"/>
  </r>
  <r>
    <x v="253"/>
    <s v="North"/>
    <x v="2"/>
    <x v="1"/>
    <s v="Online"/>
    <x v="0"/>
    <s v="Furniture"/>
    <n v="85000"/>
    <n v="10"/>
    <x v="1"/>
    <n v="68000"/>
    <x v="43"/>
    <x v="43"/>
    <x v="43"/>
  </r>
  <r>
    <x v="254"/>
    <s v="West"/>
    <x v="1"/>
    <x v="0"/>
    <s v="Online"/>
    <x v="3"/>
    <s v="Electronics"/>
    <n v="300000"/>
    <n v="6"/>
    <x v="1"/>
    <n v="240000"/>
    <x v="5"/>
    <x v="5"/>
    <x v="5"/>
  </r>
  <r>
    <x v="255"/>
    <s v="North"/>
    <x v="1"/>
    <x v="1"/>
    <s v="Store"/>
    <x v="9"/>
    <s v="Home Appliances"/>
    <n v="220000"/>
    <n v="3"/>
    <x v="0"/>
    <n v="176000"/>
    <x v="49"/>
    <x v="49"/>
    <x v="49"/>
  </r>
  <r>
    <x v="256"/>
    <s v="North"/>
    <x v="2"/>
    <x v="0"/>
    <s v="Store"/>
    <x v="1"/>
    <s v="Home Appliances"/>
    <n v="30000"/>
    <n v="8"/>
    <x v="5"/>
    <n v="24000"/>
    <x v="1"/>
    <x v="1"/>
    <x v="1"/>
  </r>
  <r>
    <x v="257"/>
    <s v="North"/>
    <x v="0"/>
    <x v="1"/>
    <s v="Online"/>
    <x v="0"/>
    <s v="Furniture"/>
    <n v="85000"/>
    <n v="2"/>
    <x v="0"/>
    <n v="68000"/>
    <x v="2"/>
    <x v="2"/>
    <x v="2"/>
  </r>
  <r>
    <x v="258"/>
    <s v="South"/>
    <x v="3"/>
    <x v="0"/>
    <s v="Store"/>
    <x v="6"/>
    <s v="Electronics"/>
    <n v="150000"/>
    <n v="3"/>
    <x v="3"/>
    <n v="120000"/>
    <x v="34"/>
    <x v="34"/>
    <x v="34"/>
  </r>
  <r>
    <x v="259"/>
    <s v="East"/>
    <x v="3"/>
    <x v="0"/>
    <s v="Store"/>
    <x v="0"/>
    <s v="Furniture"/>
    <n v="85000"/>
    <n v="1"/>
    <x v="4"/>
    <n v="68000"/>
    <x v="0"/>
    <x v="0"/>
    <x v="0"/>
  </r>
  <r>
    <x v="260"/>
    <s v="South"/>
    <x v="0"/>
    <x v="1"/>
    <s v="Store"/>
    <x v="8"/>
    <s v="Electronics"/>
    <n v="250000"/>
    <n v="3"/>
    <x v="5"/>
    <n v="200000"/>
    <x v="56"/>
    <x v="56"/>
    <x v="56"/>
  </r>
  <r>
    <x v="261"/>
    <s v="East"/>
    <x v="0"/>
    <x v="1"/>
    <s v="Store"/>
    <x v="7"/>
    <s v="Electronics"/>
    <n v="420000"/>
    <n v="2"/>
    <x v="0"/>
    <n v="336000"/>
    <x v="62"/>
    <x v="62"/>
    <x v="62"/>
  </r>
  <r>
    <x v="262"/>
    <s v="West"/>
    <x v="2"/>
    <x v="0"/>
    <s v="Online"/>
    <x v="6"/>
    <s v="Electronics"/>
    <n v="150000"/>
    <n v="9"/>
    <x v="2"/>
    <n v="120000"/>
    <x v="63"/>
    <x v="63"/>
    <x v="63"/>
  </r>
  <r>
    <x v="263"/>
    <s v="North"/>
    <x v="3"/>
    <x v="0"/>
    <s v="Store"/>
    <x v="1"/>
    <s v="Home Appliances"/>
    <n v="30000"/>
    <n v="9"/>
    <x v="1"/>
    <n v="24000"/>
    <x v="57"/>
    <x v="57"/>
    <x v="57"/>
  </r>
  <r>
    <x v="264"/>
    <s v="East"/>
    <x v="1"/>
    <x v="1"/>
    <s v="Store"/>
    <x v="9"/>
    <s v="Home Appliances"/>
    <n v="220000"/>
    <n v="6"/>
    <x v="5"/>
    <n v="176000"/>
    <x v="36"/>
    <x v="36"/>
    <x v="36"/>
  </r>
  <r>
    <x v="265"/>
    <s v="North"/>
    <x v="2"/>
    <x v="1"/>
    <s v="Store"/>
    <x v="1"/>
    <s v="Home Appliances"/>
    <n v="30000"/>
    <n v="3"/>
    <x v="5"/>
    <n v="24000"/>
    <x v="33"/>
    <x v="33"/>
    <x v="33"/>
  </r>
  <r>
    <x v="266"/>
    <s v="West"/>
    <x v="2"/>
    <x v="0"/>
    <s v="Online"/>
    <x v="7"/>
    <s v="Electronics"/>
    <n v="420000"/>
    <n v="10"/>
    <x v="1"/>
    <n v="336000"/>
    <x v="20"/>
    <x v="20"/>
    <x v="20"/>
  </r>
  <r>
    <x v="267"/>
    <s v="North"/>
    <x v="3"/>
    <x v="1"/>
    <s v="Online"/>
    <x v="1"/>
    <s v="Home Appliances"/>
    <n v="30000"/>
    <n v="2"/>
    <x v="4"/>
    <n v="24000"/>
    <x v="41"/>
    <x v="41"/>
    <x v="41"/>
  </r>
  <r>
    <x v="268"/>
    <s v="East"/>
    <x v="0"/>
    <x v="1"/>
    <s v="Store"/>
    <x v="6"/>
    <s v="Electronics"/>
    <n v="150000"/>
    <n v="5"/>
    <x v="1"/>
    <n v="120000"/>
    <x v="56"/>
    <x v="56"/>
    <x v="56"/>
  </r>
  <r>
    <x v="269"/>
    <s v="South"/>
    <x v="3"/>
    <x v="0"/>
    <s v="Store"/>
    <x v="6"/>
    <s v="Electronics"/>
    <n v="150000"/>
    <n v="10"/>
    <x v="4"/>
    <n v="120000"/>
    <x v="17"/>
    <x v="17"/>
    <x v="17"/>
  </r>
  <r>
    <x v="270"/>
    <s v="West"/>
    <x v="3"/>
    <x v="1"/>
    <s v="Online"/>
    <x v="4"/>
    <s v="Home Appliances"/>
    <n v="180000"/>
    <n v="3"/>
    <x v="1"/>
    <n v="144000"/>
    <x v="46"/>
    <x v="46"/>
    <x v="46"/>
  </r>
  <r>
    <x v="271"/>
    <s v="East"/>
    <x v="2"/>
    <x v="1"/>
    <s v="Online"/>
    <x v="1"/>
    <s v="Home Appliances"/>
    <n v="30000"/>
    <n v="10"/>
    <x v="2"/>
    <n v="24000"/>
    <x v="11"/>
    <x v="11"/>
    <x v="11"/>
  </r>
  <r>
    <x v="272"/>
    <s v="East"/>
    <x v="0"/>
    <x v="0"/>
    <s v="Online"/>
    <x v="7"/>
    <s v="Electronics"/>
    <n v="420000"/>
    <n v="2"/>
    <x v="2"/>
    <n v="336000"/>
    <x v="62"/>
    <x v="62"/>
    <x v="62"/>
  </r>
  <r>
    <x v="273"/>
    <s v="South"/>
    <x v="0"/>
    <x v="1"/>
    <s v="Online"/>
    <x v="5"/>
    <s v="Furniture"/>
    <n v="320000"/>
    <n v="1"/>
    <x v="3"/>
    <n v="256000"/>
    <x v="7"/>
    <x v="7"/>
    <x v="7"/>
  </r>
  <r>
    <x v="274"/>
    <s v="North"/>
    <x v="1"/>
    <x v="0"/>
    <s v="Online"/>
    <x v="6"/>
    <s v="Electronics"/>
    <n v="150000"/>
    <n v="2"/>
    <x v="2"/>
    <n v="120000"/>
    <x v="11"/>
    <x v="11"/>
    <x v="11"/>
  </r>
  <r>
    <x v="275"/>
    <s v="East"/>
    <x v="1"/>
    <x v="1"/>
    <s v="Store"/>
    <x v="1"/>
    <s v="Home Appliances"/>
    <n v="30000"/>
    <n v="9"/>
    <x v="5"/>
    <n v="24000"/>
    <x v="57"/>
    <x v="57"/>
    <x v="57"/>
  </r>
  <r>
    <x v="276"/>
    <s v="West"/>
    <x v="1"/>
    <x v="0"/>
    <s v="Online"/>
    <x v="0"/>
    <s v="Furniture"/>
    <n v="85000"/>
    <n v="7"/>
    <x v="3"/>
    <n v="68000"/>
    <x v="30"/>
    <x v="30"/>
    <x v="30"/>
  </r>
  <r>
    <x v="277"/>
    <s v="North"/>
    <x v="0"/>
    <x v="1"/>
    <s v="Online"/>
    <x v="6"/>
    <s v="Electronics"/>
    <n v="150000"/>
    <n v="5"/>
    <x v="1"/>
    <n v="120000"/>
    <x v="56"/>
    <x v="56"/>
    <x v="56"/>
  </r>
  <r>
    <x v="278"/>
    <s v="West"/>
    <x v="2"/>
    <x v="0"/>
    <s v="Store"/>
    <x v="5"/>
    <s v="Furniture"/>
    <n v="320000"/>
    <n v="9"/>
    <x v="0"/>
    <n v="256000"/>
    <x v="8"/>
    <x v="8"/>
    <x v="8"/>
  </r>
  <r>
    <x v="279"/>
    <s v="North"/>
    <x v="1"/>
    <x v="0"/>
    <s v="Online"/>
    <x v="5"/>
    <s v="Furniture"/>
    <n v="320000"/>
    <n v="10"/>
    <x v="3"/>
    <n v="256000"/>
    <x v="35"/>
    <x v="35"/>
    <x v="35"/>
  </r>
  <r>
    <x v="280"/>
    <s v="North"/>
    <x v="2"/>
    <x v="1"/>
    <s v="Online"/>
    <x v="0"/>
    <s v="Furniture"/>
    <n v="85000"/>
    <n v="7"/>
    <x v="3"/>
    <n v="68000"/>
    <x v="30"/>
    <x v="30"/>
    <x v="30"/>
  </r>
  <r>
    <x v="281"/>
    <s v="South"/>
    <x v="2"/>
    <x v="0"/>
    <s v="Online"/>
    <x v="2"/>
    <s v="Home Appliances"/>
    <n v="60000"/>
    <n v="4"/>
    <x v="3"/>
    <n v="48000"/>
    <x v="1"/>
    <x v="1"/>
    <x v="1"/>
  </r>
  <r>
    <x v="282"/>
    <s v="East"/>
    <x v="2"/>
    <x v="0"/>
    <s v="Store"/>
    <x v="2"/>
    <s v="Home Appliances"/>
    <n v="60000"/>
    <n v="7"/>
    <x v="1"/>
    <n v="48000"/>
    <x v="40"/>
    <x v="40"/>
    <x v="40"/>
  </r>
  <r>
    <x v="283"/>
    <s v="South"/>
    <x v="1"/>
    <x v="1"/>
    <s v="Online"/>
    <x v="6"/>
    <s v="Electronics"/>
    <n v="150000"/>
    <n v="7"/>
    <x v="5"/>
    <n v="120000"/>
    <x v="16"/>
    <x v="16"/>
    <x v="16"/>
  </r>
  <r>
    <x v="284"/>
    <s v="West"/>
    <x v="1"/>
    <x v="0"/>
    <s v="Online"/>
    <x v="0"/>
    <s v="Furniture"/>
    <n v="85000"/>
    <n v="3"/>
    <x v="1"/>
    <n v="68000"/>
    <x v="23"/>
    <x v="23"/>
    <x v="23"/>
  </r>
  <r>
    <x v="285"/>
    <s v="South"/>
    <x v="3"/>
    <x v="0"/>
    <s v="Online"/>
    <x v="0"/>
    <s v="Furniture"/>
    <n v="85000"/>
    <n v="10"/>
    <x v="2"/>
    <n v="68000"/>
    <x v="43"/>
    <x v="43"/>
    <x v="43"/>
  </r>
  <r>
    <x v="286"/>
    <s v="East"/>
    <x v="1"/>
    <x v="1"/>
    <s v="Store"/>
    <x v="3"/>
    <s v="Electronics"/>
    <n v="300000"/>
    <n v="10"/>
    <x v="1"/>
    <n v="240000"/>
    <x v="68"/>
    <x v="68"/>
    <x v="68"/>
  </r>
  <r>
    <x v="287"/>
    <s v="South"/>
    <x v="3"/>
    <x v="0"/>
    <s v="Store"/>
    <x v="2"/>
    <s v="Home Appliances"/>
    <n v="60000"/>
    <n v="3"/>
    <x v="0"/>
    <n v="48000"/>
    <x v="32"/>
    <x v="32"/>
    <x v="32"/>
  </r>
  <r>
    <x v="288"/>
    <s v="East"/>
    <x v="0"/>
    <x v="1"/>
    <s v="Online"/>
    <x v="2"/>
    <s v="Home Appliances"/>
    <n v="60000"/>
    <n v="3"/>
    <x v="1"/>
    <n v="48000"/>
    <x v="32"/>
    <x v="32"/>
    <x v="32"/>
  </r>
  <r>
    <x v="289"/>
    <s v="West"/>
    <x v="1"/>
    <x v="0"/>
    <s v="Online"/>
    <x v="0"/>
    <s v="Furniture"/>
    <n v="85000"/>
    <n v="6"/>
    <x v="1"/>
    <n v="68000"/>
    <x v="60"/>
    <x v="60"/>
    <x v="60"/>
  </r>
  <r>
    <x v="290"/>
    <s v="East"/>
    <x v="2"/>
    <x v="1"/>
    <s v="Store"/>
    <x v="7"/>
    <s v="Electronics"/>
    <n v="420000"/>
    <n v="2"/>
    <x v="4"/>
    <n v="336000"/>
    <x v="62"/>
    <x v="62"/>
    <x v="62"/>
  </r>
  <r>
    <x v="291"/>
    <s v="North"/>
    <x v="3"/>
    <x v="0"/>
    <s v="Store"/>
    <x v="8"/>
    <s v="Electronics"/>
    <n v="250000"/>
    <n v="6"/>
    <x v="5"/>
    <n v="200000"/>
    <x v="17"/>
    <x v="17"/>
    <x v="17"/>
  </r>
  <r>
    <x v="292"/>
    <s v="North"/>
    <x v="0"/>
    <x v="0"/>
    <s v="Online"/>
    <x v="6"/>
    <s v="Electronics"/>
    <n v="150000"/>
    <n v="8"/>
    <x v="1"/>
    <n v="120000"/>
    <x v="29"/>
    <x v="29"/>
    <x v="29"/>
  </r>
  <r>
    <x v="293"/>
    <s v="East"/>
    <x v="2"/>
    <x v="1"/>
    <s v="Online"/>
    <x v="6"/>
    <s v="Electronics"/>
    <n v="150000"/>
    <n v="10"/>
    <x v="1"/>
    <n v="120000"/>
    <x v="17"/>
    <x v="17"/>
    <x v="17"/>
  </r>
  <r>
    <x v="294"/>
    <s v="East"/>
    <x v="2"/>
    <x v="0"/>
    <s v="Online"/>
    <x v="8"/>
    <s v="Electronics"/>
    <n v="250000"/>
    <n v="5"/>
    <x v="5"/>
    <n v="200000"/>
    <x v="21"/>
    <x v="21"/>
    <x v="21"/>
  </r>
  <r>
    <x v="295"/>
    <s v="West"/>
    <x v="2"/>
    <x v="0"/>
    <s v="Store"/>
    <x v="5"/>
    <s v="Furniture"/>
    <n v="320000"/>
    <n v="9"/>
    <x v="0"/>
    <n v="256000"/>
    <x v="8"/>
    <x v="8"/>
    <x v="8"/>
  </r>
  <r>
    <x v="296"/>
    <s v="West"/>
    <x v="0"/>
    <x v="1"/>
    <s v="Store"/>
    <x v="4"/>
    <s v="Home Appliances"/>
    <n v="180000"/>
    <n v="10"/>
    <x v="5"/>
    <n v="144000"/>
    <x v="5"/>
    <x v="5"/>
    <x v="5"/>
  </r>
  <r>
    <x v="297"/>
    <s v="West"/>
    <x v="2"/>
    <x v="1"/>
    <s v="Store"/>
    <x v="2"/>
    <s v="Home Appliances"/>
    <n v="60000"/>
    <n v="6"/>
    <x v="4"/>
    <n v="48000"/>
    <x v="50"/>
    <x v="50"/>
    <x v="50"/>
  </r>
  <r>
    <x v="298"/>
    <s v="West"/>
    <x v="2"/>
    <x v="1"/>
    <s v="Online"/>
    <x v="6"/>
    <s v="Electronics"/>
    <n v="150000"/>
    <n v="10"/>
    <x v="2"/>
    <n v="120000"/>
    <x v="17"/>
    <x v="17"/>
    <x v="17"/>
  </r>
  <r>
    <x v="299"/>
    <s v="East"/>
    <x v="0"/>
    <x v="0"/>
    <s v="Online"/>
    <x v="8"/>
    <s v="Electronics"/>
    <n v="250000"/>
    <n v="5"/>
    <x v="4"/>
    <n v="200000"/>
    <x v="21"/>
    <x v="21"/>
    <x v="21"/>
  </r>
  <r>
    <x v="300"/>
    <s v="West"/>
    <x v="2"/>
    <x v="0"/>
    <s v="Online"/>
    <x v="4"/>
    <s v="Home Appliances"/>
    <n v="180000"/>
    <n v="3"/>
    <x v="0"/>
    <n v="144000"/>
    <x v="46"/>
    <x v="46"/>
    <x v="46"/>
  </r>
  <r>
    <x v="301"/>
    <s v="West"/>
    <x v="2"/>
    <x v="1"/>
    <s v="Store"/>
    <x v="5"/>
    <s v="Furniture"/>
    <n v="320000"/>
    <n v="5"/>
    <x v="4"/>
    <n v="256000"/>
    <x v="28"/>
    <x v="28"/>
    <x v="28"/>
  </r>
  <r>
    <x v="302"/>
    <s v="South"/>
    <x v="0"/>
    <x v="0"/>
    <s v="Store"/>
    <x v="5"/>
    <s v="Furniture"/>
    <n v="320000"/>
    <n v="10"/>
    <x v="1"/>
    <n v="256000"/>
    <x v="35"/>
    <x v="35"/>
    <x v="35"/>
  </r>
  <r>
    <x v="303"/>
    <s v="East"/>
    <x v="0"/>
    <x v="1"/>
    <s v="Online"/>
    <x v="1"/>
    <s v="Home Appliances"/>
    <n v="30000"/>
    <n v="5"/>
    <x v="0"/>
    <n v="24000"/>
    <x v="26"/>
    <x v="26"/>
    <x v="26"/>
  </r>
  <r>
    <x v="304"/>
    <s v="North"/>
    <x v="0"/>
    <x v="1"/>
    <s v="Store"/>
    <x v="7"/>
    <s v="Electronics"/>
    <n v="420000"/>
    <n v="3"/>
    <x v="0"/>
    <n v="336000"/>
    <x v="55"/>
    <x v="55"/>
    <x v="55"/>
  </r>
  <r>
    <x v="305"/>
    <s v="East"/>
    <x v="2"/>
    <x v="0"/>
    <s v="Online"/>
    <x v="1"/>
    <s v="Home Appliances"/>
    <n v="30000"/>
    <n v="4"/>
    <x v="3"/>
    <n v="24000"/>
    <x v="3"/>
    <x v="3"/>
    <x v="3"/>
  </r>
  <r>
    <x v="306"/>
    <s v="East"/>
    <x v="0"/>
    <x v="0"/>
    <s v="Online"/>
    <x v="4"/>
    <s v="Home Appliances"/>
    <n v="180000"/>
    <n v="4"/>
    <x v="0"/>
    <n v="144000"/>
    <x v="65"/>
    <x v="65"/>
    <x v="65"/>
  </r>
  <r>
    <x v="307"/>
    <s v="East"/>
    <x v="1"/>
    <x v="0"/>
    <s v="Online"/>
    <x v="8"/>
    <s v="Electronics"/>
    <n v="250000"/>
    <n v="5"/>
    <x v="5"/>
    <n v="200000"/>
    <x v="21"/>
    <x v="21"/>
    <x v="21"/>
  </r>
  <r>
    <x v="308"/>
    <s v="West"/>
    <x v="3"/>
    <x v="1"/>
    <s v="Store"/>
    <x v="4"/>
    <s v="Home Appliances"/>
    <n v="180000"/>
    <n v="3"/>
    <x v="3"/>
    <n v="144000"/>
    <x v="46"/>
    <x v="46"/>
    <x v="46"/>
  </r>
  <r>
    <x v="309"/>
    <s v="East"/>
    <x v="0"/>
    <x v="0"/>
    <s v="Online"/>
    <x v="3"/>
    <s v="Electronics"/>
    <n v="300000"/>
    <n v="5"/>
    <x v="5"/>
    <n v="240000"/>
    <x v="17"/>
    <x v="17"/>
    <x v="17"/>
  </r>
  <r>
    <x v="310"/>
    <s v="West"/>
    <x v="2"/>
    <x v="0"/>
    <s v="Store"/>
    <x v="0"/>
    <s v="Furniture"/>
    <n v="85000"/>
    <n v="8"/>
    <x v="3"/>
    <n v="68000"/>
    <x v="69"/>
    <x v="69"/>
    <x v="69"/>
  </r>
  <r>
    <x v="311"/>
    <s v="East"/>
    <x v="1"/>
    <x v="1"/>
    <s v="Online"/>
    <x v="4"/>
    <s v="Home Appliances"/>
    <n v="180000"/>
    <n v="6"/>
    <x v="5"/>
    <n v="144000"/>
    <x v="53"/>
    <x v="53"/>
    <x v="53"/>
  </r>
  <r>
    <x v="312"/>
    <s v="East"/>
    <x v="1"/>
    <x v="1"/>
    <s v="Online"/>
    <x v="7"/>
    <s v="Electronics"/>
    <n v="420000"/>
    <n v="7"/>
    <x v="4"/>
    <n v="336000"/>
    <x v="70"/>
    <x v="70"/>
    <x v="70"/>
  </r>
  <r>
    <x v="313"/>
    <s v="South"/>
    <x v="2"/>
    <x v="1"/>
    <s v="Online"/>
    <x v="6"/>
    <s v="Electronics"/>
    <n v="150000"/>
    <n v="8"/>
    <x v="0"/>
    <n v="120000"/>
    <x v="29"/>
    <x v="29"/>
    <x v="29"/>
  </r>
  <r>
    <x v="314"/>
    <s v="East"/>
    <x v="2"/>
    <x v="0"/>
    <s v="Online"/>
    <x v="0"/>
    <s v="Furniture"/>
    <n v="85000"/>
    <n v="6"/>
    <x v="4"/>
    <n v="68000"/>
    <x v="60"/>
    <x v="60"/>
    <x v="60"/>
  </r>
  <r>
    <x v="315"/>
    <s v="South"/>
    <x v="0"/>
    <x v="0"/>
    <s v="Store"/>
    <x v="4"/>
    <s v="Home Appliances"/>
    <n v="180000"/>
    <n v="9"/>
    <x v="2"/>
    <n v="144000"/>
    <x v="27"/>
    <x v="27"/>
    <x v="27"/>
  </r>
  <r>
    <x v="316"/>
    <s v="West"/>
    <x v="2"/>
    <x v="1"/>
    <s v="Online"/>
    <x v="8"/>
    <s v="Electronics"/>
    <n v="250000"/>
    <n v="5"/>
    <x v="4"/>
    <n v="200000"/>
    <x v="21"/>
    <x v="21"/>
    <x v="21"/>
  </r>
  <r>
    <x v="317"/>
    <s v="North"/>
    <x v="2"/>
    <x v="0"/>
    <s v="Store"/>
    <x v="5"/>
    <s v="Furniture"/>
    <n v="320000"/>
    <n v="9"/>
    <x v="2"/>
    <n v="256000"/>
    <x v="8"/>
    <x v="8"/>
    <x v="8"/>
  </r>
  <r>
    <x v="318"/>
    <s v="North"/>
    <x v="1"/>
    <x v="1"/>
    <s v="Store"/>
    <x v="6"/>
    <s v="Electronics"/>
    <n v="150000"/>
    <n v="7"/>
    <x v="1"/>
    <n v="120000"/>
    <x v="16"/>
    <x v="16"/>
    <x v="16"/>
  </r>
  <r>
    <x v="319"/>
    <s v="East"/>
    <x v="0"/>
    <x v="0"/>
    <s v="Online"/>
    <x v="7"/>
    <s v="Electronics"/>
    <n v="420000"/>
    <n v="9"/>
    <x v="4"/>
    <n v="336000"/>
    <x v="12"/>
    <x v="12"/>
    <x v="12"/>
  </r>
  <r>
    <x v="320"/>
    <s v="South"/>
    <x v="1"/>
    <x v="1"/>
    <s v="Store"/>
    <x v="2"/>
    <s v="Home Appliances"/>
    <n v="60000"/>
    <n v="4"/>
    <x v="1"/>
    <n v="48000"/>
    <x v="1"/>
    <x v="1"/>
    <x v="1"/>
  </r>
  <r>
    <x v="321"/>
    <s v="West"/>
    <x v="2"/>
    <x v="0"/>
    <s v="Store"/>
    <x v="8"/>
    <s v="Electronics"/>
    <n v="250000"/>
    <n v="5"/>
    <x v="1"/>
    <n v="200000"/>
    <x v="21"/>
    <x v="21"/>
    <x v="21"/>
  </r>
  <r>
    <x v="322"/>
    <s v="West"/>
    <x v="2"/>
    <x v="1"/>
    <s v="Online"/>
    <x v="3"/>
    <s v="Electronics"/>
    <n v="300000"/>
    <n v="8"/>
    <x v="3"/>
    <n v="240000"/>
    <x v="24"/>
    <x v="24"/>
    <x v="24"/>
  </r>
  <r>
    <x v="323"/>
    <s v="West"/>
    <x v="2"/>
    <x v="1"/>
    <s v="Online"/>
    <x v="7"/>
    <s v="Electronics"/>
    <n v="420000"/>
    <n v="4"/>
    <x v="5"/>
    <n v="336000"/>
    <x v="45"/>
    <x v="45"/>
    <x v="45"/>
  </r>
  <r>
    <x v="324"/>
    <s v="West"/>
    <x v="2"/>
    <x v="1"/>
    <s v="Store"/>
    <x v="1"/>
    <s v="Home Appliances"/>
    <n v="30000"/>
    <n v="4"/>
    <x v="1"/>
    <n v="24000"/>
    <x v="3"/>
    <x v="3"/>
    <x v="3"/>
  </r>
  <r>
    <x v="325"/>
    <s v="East"/>
    <x v="3"/>
    <x v="0"/>
    <s v="Online"/>
    <x v="5"/>
    <s v="Furniture"/>
    <n v="320000"/>
    <n v="7"/>
    <x v="1"/>
    <n v="256000"/>
    <x v="10"/>
    <x v="10"/>
    <x v="10"/>
  </r>
  <r>
    <x v="326"/>
    <s v="South"/>
    <x v="1"/>
    <x v="0"/>
    <s v="Online"/>
    <x v="6"/>
    <s v="Electronics"/>
    <n v="150000"/>
    <n v="8"/>
    <x v="4"/>
    <n v="120000"/>
    <x v="29"/>
    <x v="29"/>
    <x v="29"/>
  </r>
  <r>
    <x v="327"/>
    <s v="West"/>
    <x v="1"/>
    <x v="0"/>
    <s v="Store"/>
    <x v="2"/>
    <s v="Home Appliances"/>
    <n v="60000"/>
    <n v="7"/>
    <x v="2"/>
    <n v="48000"/>
    <x v="40"/>
    <x v="40"/>
    <x v="40"/>
  </r>
  <r>
    <x v="328"/>
    <s v="South"/>
    <x v="2"/>
    <x v="0"/>
    <s v="Online"/>
    <x v="4"/>
    <s v="Home Appliances"/>
    <n v="180000"/>
    <n v="4"/>
    <x v="1"/>
    <n v="144000"/>
    <x v="65"/>
    <x v="65"/>
    <x v="65"/>
  </r>
  <r>
    <x v="329"/>
    <s v="West"/>
    <x v="2"/>
    <x v="1"/>
    <s v="Store"/>
    <x v="7"/>
    <s v="Electronics"/>
    <n v="420000"/>
    <n v="8"/>
    <x v="4"/>
    <n v="336000"/>
    <x v="19"/>
    <x v="19"/>
    <x v="19"/>
  </r>
  <r>
    <x v="330"/>
    <s v="West"/>
    <x v="2"/>
    <x v="0"/>
    <s v="Store"/>
    <x v="3"/>
    <s v="Electronics"/>
    <n v="300000"/>
    <n v="2"/>
    <x v="5"/>
    <n v="240000"/>
    <x v="4"/>
    <x v="4"/>
    <x v="4"/>
  </r>
  <r>
    <x v="331"/>
    <s v="South"/>
    <x v="1"/>
    <x v="1"/>
    <s v="Online"/>
    <x v="7"/>
    <s v="Electronics"/>
    <n v="420000"/>
    <n v="3"/>
    <x v="4"/>
    <n v="336000"/>
    <x v="55"/>
    <x v="55"/>
    <x v="55"/>
  </r>
  <r>
    <x v="332"/>
    <s v="North"/>
    <x v="2"/>
    <x v="0"/>
    <s v="Online"/>
    <x v="0"/>
    <s v="Furniture"/>
    <n v="85000"/>
    <n v="3"/>
    <x v="2"/>
    <n v="68000"/>
    <x v="23"/>
    <x v="23"/>
    <x v="23"/>
  </r>
  <r>
    <x v="333"/>
    <s v="West"/>
    <x v="3"/>
    <x v="1"/>
    <s v="Store"/>
    <x v="2"/>
    <s v="Home Appliances"/>
    <n v="60000"/>
    <n v="8"/>
    <x v="1"/>
    <n v="48000"/>
    <x v="47"/>
    <x v="47"/>
    <x v="47"/>
  </r>
  <r>
    <x v="334"/>
    <s v="West"/>
    <x v="1"/>
    <x v="1"/>
    <s v="Store"/>
    <x v="4"/>
    <s v="Home Appliances"/>
    <n v="180000"/>
    <n v="10"/>
    <x v="3"/>
    <n v="144000"/>
    <x v="5"/>
    <x v="5"/>
    <x v="5"/>
  </r>
  <r>
    <x v="335"/>
    <s v="East"/>
    <x v="3"/>
    <x v="1"/>
    <s v="Online"/>
    <x v="4"/>
    <s v="Home Appliances"/>
    <n v="180000"/>
    <n v="7"/>
    <x v="0"/>
    <n v="144000"/>
    <x v="55"/>
    <x v="55"/>
    <x v="55"/>
  </r>
  <r>
    <x v="336"/>
    <s v="East"/>
    <x v="3"/>
    <x v="0"/>
    <s v="Store"/>
    <x v="1"/>
    <s v="Home Appliances"/>
    <n v="30000"/>
    <n v="3"/>
    <x v="2"/>
    <n v="24000"/>
    <x v="33"/>
    <x v="33"/>
    <x v="33"/>
  </r>
  <r>
    <x v="337"/>
    <s v="North"/>
    <x v="0"/>
    <x v="1"/>
    <s v="Store"/>
    <x v="1"/>
    <s v="Home Appliances"/>
    <n v="30000"/>
    <n v="6"/>
    <x v="1"/>
    <n v="24000"/>
    <x v="32"/>
    <x v="32"/>
    <x v="32"/>
  </r>
  <r>
    <x v="338"/>
    <s v="North"/>
    <x v="1"/>
    <x v="1"/>
    <s v="Online"/>
    <x v="7"/>
    <s v="Electronics"/>
    <n v="420000"/>
    <n v="4"/>
    <x v="4"/>
    <n v="336000"/>
    <x v="45"/>
    <x v="45"/>
    <x v="45"/>
  </r>
  <r>
    <x v="339"/>
    <s v="East"/>
    <x v="2"/>
    <x v="0"/>
    <s v="Online"/>
    <x v="9"/>
    <s v="Home Appliances"/>
    <n v="220000"/>
    <n v="8"/>
    <x v="5"/>
    <n v="176000"/>
    <x v="42"/>
    <x v="42"/>
    <x v="42"/>
  </r>
  <r>
    <x v="340"/>
    <s v="North"/>
    <x v="1"/>
    <x v="1"/>
    <s v="Store"/>
    <x v="0"/>
    <s v="Furniture"/>
    <n v="85000"/>
    <n v="5"/>
    <x v="0"/>
    <n v="68000"/>
    <x v="58"/>
    <x v="58"/>
    <x v="58"/>
  </r>
  <r>
    <x v="341"/>
    <s v="West"/>
    <x v="1"/>
    <x v="0"/>
    <s v="Online"/>
    <x v="5"/>
    <s v="Furniture"/>
    <n v="320000"/>
    <n v="7"/>
    <x v="2"/>
    <n v="256000"/>
    <x v="10"/>
    <x v="10"/>
    <x v="10"/>
  </r>
  <r>
    <x v="342"/>
    <s v="South"/>
    <x v="1"/>
    <x v="1"/>
    <s v="Store"/>
    <x v="4"/>
    <s v="Home Appliances"/>
    <n v="180000"/>
    <n v="6"/>
    <x v="0"/>
    <n v="144000"/>
    <x v="53"/>
    <x v="53"/>
    <x v="53"/>
  </r>
  <r>
    <x v="343"/>
    <s v="East"/>
    <x v="3"/>
    <x v="1"/>
    <s v="Online"/>
    <x v="2"/>
    <s v="Home Appliances"/>
    <n v="60000"/>
    <n v="2"/>
    <x v="4"/>
    <n v="48000"/>
    <x v="3"/>
    <x v="3"/>
    <x v="3"/>
  </r>
  <r>
    <x v="344"/>
    <s v="West"/>
    <x v="3"/>
    <x v="1"/>
    <s v="Store"/>
    <x v="4"/>
    <s v="Home Appliances"/>
    <n v="180000"/>
    <n v="5"/>
    <x v="1"/>
    <n v="144000"/>
    <x v="48"/>
    <x v="48"/>
    <x v="48"/>
  </r>
  <r>
    <x v="345"/>
    <s v="East"/>
    <x v="3"/>
    <x v="1"/>
    <s v="Store"/>
    <x v="6"/>
    <s v="Electronics"/>
    <n v="150000"/>
    <n v="6"/>
    <x v="4"/>
    <n v="120000"/>
    <x v="48"/>
    <x v="48"/>
    <x v="48"/>
  </r>
  <r>
    <x v="346"/>
    <s v="East"/>
    <x v="0"/>
    <x v="1"/>
    <s v="Store"/>
    <x v="1"/>
    <s v="Home Appliances"/>
    <n v="30000"/>
    <n v="2"/>
    <x v="4"/>
    <n v="24000"/>
    <x v="41"/>
    <x v="41"/>
    <x v="41"/>
  </r>
  <r>
    <x v="347"/>
    <s v="North"/>
    <x v="0"/>
    <x v="0"/>
    <s v="Online"/>
    <x v="8"/>
    <s v="Electronics"/>
    <n v="250000"/>
    <n v="9"/>
    <x v="4"/>
    <n v="200000"/>
    <x v="71"/>
    <x v="71"/>
    <x v="71"/>
  </r>
  <r>
    <x v="348"/>
    <s v="West"/>
    <x v="2"/>
    <x v="0"/>
    <s v="Store"/>
    <x v="2"/>
    <s v="Home Appliances"/>
    <n v="60000"/>
    <n v="4"/>
    <x v="1"/>
    <n v="48000"/>
    <x v="1"/>
    <x v="1"/>
    <x v="1"/>
  </r>
  <r>
    <x v="349"/>
    <s v="East"/>
    <x v="0"/>
    <x v="0"/>
    <s v="Online"/>
    <x v="6"/>
    <s v="Electronics"/>
    <n v="150000"/>
    <n v="9"/>
    <x v="4"/>
    <n v="120000"/>
    <x v="63"/>
    <x v="63"/>
    <x v="63"/>
  </r>
  <r>
    <x v="350"/>
    <s v="North"/>
    <x v="1"/>
    <x v="1"/>
    <s v="Store"/>
    <x v="4"/>
    <s v="Home Appliances"/>
    <n v="180000"/>
    <n v="3"/>
    <x v="0"/>
    <n v="144000"/>
    <x v="46"/>
    <x v="46"/>
    <x v="46"/>
  </r>
  <r>
    <x v="351"/>
    <s v="West"/>
    <x v="0"/>
    <x v="0"/>
    <s v="Online"/>
    <x v="4"/>
    <s v="Home Appliances"/>
    <n v="180000"/>
    <n v="10"/>
    <x v="0"/>
    <n v="144000"/>
    <x v="5"/>
    <x v="5"/>
    <x v="5"/>
  </r>
  <r>
    <x v="352"/>
    <s v="East"/>
    <x v="1"/>
    <x v="0"/>
    <s v="Online"/>
    <x v="9"/>
    <s v="Home Appliances"/>
    <n v="220000"/>
    <n v="2"/>
    <x v="0"/>
    <n v="176000"/>
    <x v="15"/>
    <x v="15"/>
    <x v="15"/>
  </r>
  <r>
    <x v="353"/>
    <s v="North"/>
    <x v="0"/>
    <x v="1"/>
    <s v="Online"/>
    <x v="7"/>
    <s v="Electronics"/>
    <n v="420000"/>
    <n v="10"/>
    <x v="2"/>
    <n v="336000"/>
    <x v="20"/>
    <x v="20"/>
    <x v="20"/>
  </r>
  <r>
    <x v="354"/>
    <s v="West"/>
    <x v="0"/>
    <x v="0"/>
    <s v="Store"/>
    <x v="1"/>
    <s v="Home Appliances"/>
    <n v="30000"/>
    <n v="9"/>
    <x v="5"/>
    <n v="24000"/>
    <x v="57"/>
    <x v="57"/>
    <x v="57"/>
  </r>
  <r>
    <x v="355"/>
    <s v="West"/>
    <x v="3"/>
    <x v="1"/>
    <s v="Online"/>
    <x v="5"/>
    <s v="Furniture"/>
    <n v="320000"/>
    <n v="6"/>
    <x v="3"/>
    <n v="256000"/>
    <x v="31"/>
    <x v="31"/>
    <x v="31"/>
  </r>
  <r>
    <x v="356"/>
    <s v="West"/>
    <x v="3"/>
    <x v="0"/>
    <s v="Store"/>
    <x v="7"/>
    <s v="Electronics"/>
    <n v="420000"/>
    <n v="2"/>
    <x v="5"/>
    <n v="336000"/>
    <x v="62"/>
    <x v="62"/>
    <x v="62"/>
  </r>
  <r>
    <x v="357"/>
    <s v="South"/>
    <x v="2"/>
    <x v="1"/>
    <s v="Online"/>
    <x v="5"/>
    <s v="Furniture"/>
    <n v="320000"/>
    <n v="10"/>
    <x v="3"/>
    <n v="256000"/>
    <x v="35"/>
    <x v="35"/>
    <x v="35"/>
  </r>
  <r>
    <x v="358"/>
    <s v="East"/>
    <x v="2"/>
    <x v="1"/>
    <s v="Store"/>
    <x v="3"/>
    <s v="Electronics"/>
    <n v="300000"/>
    <n v="8"/>
    <x v="5"/>
    <n v="240000"/>
    <x v="24"/>
    <x v="24"/>
    <x v="24"/>
  </r>
  <r>
    <x v="359"/>
    <s v="East"/>
    <x v="0"/>
    <x v="1"/>
    <s v="Online"/>
    <x v="2"/>
    <s v="Home Appliances"/>
    <n v="60000"/>
    <n v="1"/>
    <x v="1"/>
    <n v="48000"/>
    <x v="41"/>
    <x v="41"/>
    <x v="41"/>
  </r>
  <r>
    <x v="360"/>
    <s v="South"/>
    <x v="1"/>
    <x v="1"/>
    <s v="Online"/>
    <x v="0"/>
    <s v="Furniture"/>
    <n v="85000"/>
    <n v="3"/>
    <x v="1"/>
    <n v="68000"/>
    <x v="23"/>
    <x v="23"/>
    <x v="23"/>
  </r>
  <r>
    <x v="361"/>
    <s v="East"/>
    <x v="2"/>
    <x v="1"/>
    <s v="Store"/>
    <x v="1"/>
    <s v="Home Appliances"/>
    <n v="30000"/>
    <n v="10"/>
    <x v="0"/>
    <n v="24000"/>
    <x v="11"/>
    <x v="11"/>
    <x v="11"/>
  </r>
  <r>
    <x v="362"/>
    <s v="East"/>
    <x v="2"/>
    <x v="1"/>
    <s v="Online"/>
    <x v="1"/>
    <s v="Home Appliances"/>
    <n v="30000"/>
    <n v="4"/>
    <x v="3"/>
    <n v="24000"/>
    <x v="3"/>
    <x v="3"/>
    <x v="3"/>
  </r>
  <r>
    <x v="363"/>
    <s v="South"/>
    <x v="3"/>
    <x v="1"/>
    <s v="Store"/>
    <x v="6"/>
    <s v="Electronics"/>
    <n v="150000"/>
    <n v="3"/>
    <x v="1"/>
    <n v="120000"/>
    <x v="34"/>
    <x v="34"/>
    <x v="34"/>
  </r>
  <r>
    <x v="364"/>
    <s v="West"/>
    <x v="0"/>
    <x v="1"/>
    <s v="Online"/>
    <x v="6"/>
    <s v="Electronics"/>
    <n v="150000"/>
    <n v="3"/>
    <x v="0"/>
    <n v="120000"/>
    <x v="34"/>
    <x v="34"/>
    <x v="34"/>
  </r>
  <r>
    <x v="365"/>
    <s v="East"/>
    <x v="2"/>
    <x v="1"/>
    <s v="Store"/>
    <x v="0"/>
    <s v="Furniture"/>
    <n v="85000"/>
    <n v="8"/>
    <x v="0"/>
    <n v="68000"/>
    <x v="69"/>
    <x v="69"/>
    <x v="69"/>
  </r>
  <r>
    <x v="366"/>
    <s v="South"/>
    <x v="2"/>
    <x v="1"/>
    <s v="Online"/>
    <x v="7"/>
    <s v="Electronics"/>
    <n v="420000"/>
    <n v="7"/>
    <x v="0"/>
    <n v="336000"/>
    <x v="70"/>
    <x v="70"/>
    <x v="70"/>
  </r>
  <r>
    <x v="367"/>
    <s v="East"/>
    <x v="3"/>
    <x v="1"/>
    <s v="Store"/>
    <x v="6"/>
    <s v="Electronics"/>
    <n v="150000"/>
    <n v="3"/>
    <x v="1"/>
    <n v="120000"/>
    <x v="34"/>
    <x v="34"/>
    <x v="34"/>
  </r>
  <r>
    <x v="368"/>
    <s v="West"/>
    <x v="3"/>
    <x v="1"/>
    <s v="Store"/>
    <x v="5"/>
    <s v="Furniture"/>
    <n v="320000"/>
    <n v="1"/>
    <x v="2"/>
    <n v="256000"/>
    <x v="7"/>
    <x v="7"/>
    <x v="7"/>
  </r>
  <r>
    <x v="369"/>
    <s v="East"/>
    <x v="3"/>
    <x v="1"/>
    <s v="Online"/>
    <x v="4"/>
    <s v="Home Appliances"/>
    <n v="180000"/>
    <n v="5"/>
    <x v="0"/>
    <n v="144000"/>
    <x v="48"/>
    <x v="48"/>
    <x v="48"/>
  </r>
  <r>
    <x v="370"/>
    <s v="North"/>
    <x v="2"/>
    <x v="1"/>
    <s v="Store"/>
    <x v="3"/>
    <s v="Electronics"/>
    <n v="300000"/>
    <n v="1"/>
    <x v="2"/>
    <n v="240000"/>
    <x v="11"/>
    <x v="11"/>
    <x v="11"/>
  </r>
  <r>
    <x v="371"/>
    <s v="East"/>
    <x v="0"/>
    <x v="1"/>
    <s v="Online"/>
    <x v="4"/>
    <s v="Home Appliances"/>
    <n v="180000"/>
    <n v="8"/>
    <x v="4"/>
    <n v="144000"/>
    <x v="37"/>
    <x v="37"/>
    <x v="37"/>
  </r>
  <r>
    <x v="372"/>
    <s v="South"/>
    <x v="2"/>
    <x v="1"/>
    <s v="Online"/>
    <x v="4"/>
    <s v="Home Appliances"/>
    <n v="180000"/>
    <n v="3"/>
    <x v="3"/>
    <n v="144000"/>
    <x v="46"/>
    <x v="46"/>
    <x v="46"/>
  </r>
  <r>
    <x v="373"/>
    <s v="West"/>
    <x v="3"/>
    <x v="1"/>
    <s v="Store"/>
    <x v="5"/>
    <s v="Furniture"/>
    <n v="320000"/>
    <n v="6"/>
    <x v="5"/>
    <n v="256000"/>
    <x v="31"/>
    <x v="31"/>
    <x v="31"/>
  </r>
  <r>
    <x v="374"/>
    <s v="West"/>
    <x v="3"/>
    <x v="1"/>
    <s v="Store"/>
    <x v="2"/>
    <s v="Home Appliances"/>
    <n v="60000"/>
    <n v="10"/>
    <x v="0"/>
    <n v="48000"/>
    <x v="4"/>
    <x v="4"/>
    <x v="4"/>
  </r>
  <r>
    <x v="375"/>
    <s v="South"/>
    <x v="1"/>
    <x v="1"/>
    <s v="Store"/>
    <x v="3"/>
    <s v="Electronics"/>
    <n v="300000"/>
    <n v="1"/>
    <x v="4"/>
    <n v="240000"/>
    <x v="11"/>
    <x v="11"/>
    <x v="11"/>
  </r>
  <r>
    <x v="376"/>
    <s v="West"/>
    <x v="1"/>
    <x v="1"/>
    <s v="Online"/>
    <x v="4"/>
    <s v="Home Appliances"/>
    <n v="180000"/>
    <n v="1"/>
    <x v="1"/>
    <n v="144000"/>
    <x v="32"/>
    <x v="32"/>
    <x v="32"/>
  </r>
  <r>
    <x v="377"/>
    <s v="East"/>
    <x v="1"/>
    <x v="0"/>
    <s v="Store"/>
    <x v="9"/>
    <s v="Home Appliances"/>
    <n v="220000"/>
    <n v="8"/>
    <x v="4"/>
    <n v="176000"/>
    <x v="42"/>
    <x v="42"/>
    <x v="42"/>
  </r>
  <r>
    <x v="378"/>
    <s v="North"/>
    <x v="1"/>
    <x v="1"/>
    <s v="Store"/>
    <x v="0"/>
    <s v="Furniture"/>
    <n v="85000"/>
    <n v="7"/>
    <x v="2"/>
    <n v="68000"/>
    <x v="30"/>
    <x v="30"/>
    <x v="30"/>
  </r>
  <r>
    <x v="379"/>
    <s v="West"/>
    <x v="0"/>
    <x v="0"/>
    <s v="Store"/>
    <x v="4"/>
    <s v="Home Appliances"/>
    <n v="180000"/>
    <n v="9"/>
    <x v="5"/>
    <n v="144000"/>
    <x v="27"/>
    <x v="27"/>
    <x v="27"/>
  </r>
  <r>
    <x v="380"/>
    <s v="North"/>
    <x v="0"/>
    <x v="1"/>
    <s v="Online"/>
    <x v="5"/>
    <s v="Furniture"/>
    <n v="320000"/>
    <n v="3"/>
    <x v="3"/>
    <n v="256000"/>
    <x v="9"/>
    <x v="9"/>
    <x v="9"/>
  </r>
  <r>
    <x v="381"/>
    <s v="North"/>
    <x v="0"/>
    <x v="1"/>
    <s v="Online"/>
    <x v="6"/>
    <s v="Electronics"/>
    <n v="150000"/>
    <n v="4"/>
    <x v="0"/>
    <n v="120000"/>
    <x v="4"/>
    <x v="4"/>
    <x v="4"/>
  </r>
  <r>
    <x v="382"/>
    <s v="East"/>
    <x v="1"/>
    <x v="0"/>
    <s v="Online"/>
    <x v="9"/>
    <s v="Home Appliances"/>
    <n v="220000"/>
    <n v="10"/>
    <x v="5"/>
    <n v="176000"/>
    <x v="61"/>
    <x v="61"/>
    <x v="61"/>
  </r>
  <r>
    <x v="383"/>
    <s v="South"/>
    <x v="0"/>
    <x v="1"/>
    <s v="Online"/>
    <x v="6"/>
    <s v="Electronics"/>
    <n v="150000"/>
    <n v="6"/>
    <x v="0"/>
    <n v="120000"/>
    <x v="48"/>
    <x v="48"/>
    <x v="48"/>
  </r>
  <r>
    <x v="384"/>
    <s v="West"/>
    <x v="1"/>
    <x v="1"/>
    <s v="Store"/>
    <x v="4"/>
    <s v="Home Appliances"/>
    <n v="180000"/>
    <n v="1"/>
    <x v="2"/>
    <n v="144000"/>
    <x v="32"/>
    <x v="32"/>
    <x v="32"/>
  </r>
  <r>
    <x v="385"/>
    <s v="East"/>
    <x v="2"/>
    <x v="0"/>
    <s v="Online"/>
    <x v="1"/>
    <s v="Home Appliances"/>
    <n v="30000"/>
    <n v="2"/>
    <x v="3"/>
    <n v="24000"/>
    <x v="41"/>
    <x v="41"/>
    <x v="41"/>
  </r>
  <r>
    <x v="386"/>
    <s v="North"/>
    <x v="3"/>
    <x v="1"/>
    <s v="Online"/>
    <x v="5"/>
    <s v="Furniture"/>
    <n v="320000"/>
    <n v="7"/>
    <x v="0"/>
    <n v="256000"/>
    <x v="10"/>
    <x v="10"/>
    <x v="10"/>
  </r>
  <r>
    <x v="387"/>
    <s v="North"/>
    <x v="2"/>
    <x v="0"/>
    <s v="Store"/>
    <x v="0"/>
    <s v="Furniture"/>
    <n v="85000"/>
    <n v="10"/>
    <x v="1"/>
    <n v="68000"/>
    <x v="43"/>
    <x v="43"/>
    <x v="43"/>
  </r>
  <r>
    <x v="388"/>
    <s v="East"/>
    <x v="0"/>
    <x v="1"/>
    <s v="Online"/>
    <x v="4"/>
    <s v="Home Appliances"/>
    <n v="180000"/>
    <n v="7"/>
    <x v="2"/>
    <n v="144000"/>
    <x v="55"/>
    <x v="55"/>
    <x v="55"/>
  </r>
  <r>
    <x v="389"/>
    <s v="South"/>
    <x v="1"/>
    <x v="0"/>
    <s v="Online"/>
    <x v="7"/>
    <s v="Electronics"/>
    <n v="420000"/>
    <n v="5"/>
    <x v="3"/>
    <n v="336000"/>
    <x v="13"/>
    <x v="13"/>
    <x v="13"/>
  </r>
  <r>
    <x v="390"/>
    <s v="South"/>
    <x v="3"/>
    <x v="1"/>
    <s v="Store"/>
    <x v="5"/>
    <s v="Furniture"/>
    <n v="320000"/>
    <n v="8"/>
    <x v="1"/>
    <n v="256000"/>
    <x v="72"/>
    <x v="72"/>
    <x v="72"/>
  </r>
  <r>
    <x v="391"/>
    <s v="East"/>
    <x v="2"/>
    <x v="1"/>
    <s v="Store"/>
    <x v="4"/>
    <s v="Home Appliances"/>
    <n v="180000"/>
    <n v="5"/>
    <x v="2"/>
    <n v="144000"/>
    <x v="48"/>
    <x v="48"/>
    <x v="48"/>
  </r>
  <r>
    <x v="392"/>
    <s v="North"/>
    <x v="0"/>
    <x v="1"/>
    <s v="Store"/>
    <x v="7"/>
    <s v="Electronics"/>
    <n v="420000"/>
    <n v="2"/>
    <x v="0"/>
    <n v="336000"/>
    <x v="62"/>
    <x v="62"/>
    <x v="62"/>
  </r>
  <r>
    <x v="393"/>
    <s v="North"/>
    <x v="2"/>
    <x v="0"/>
    <s v="Online"/>
    <x v="3"/>
    <s v="Electronics"/>
    <n v="300000"/>
    <n v="8"/>
    <x v="1"/>
    <n v="240000"/>
    <x v="24"/>
    <x v="24"/>
    <x v="24"/>
  </r>
  <r>
    <x v="394"/>
    <s v="East"/>
    <x v="2"/>
    <x v="0"/>
    <s v="Online"/>
    <x v="5"/>
    <s v="Furniture"/>
    <n v="320000"/>
    <n v="1"/>
    <x v="1"/>
    <n v="256000"/>
    <x v="7"/>
    <x v="7"/>
    <x v="7"/>
  </r>
  <r>
    <x v="395"/>
    <s v="East"/>
    <x v="2"/>
    <x v="0"/>
    <s v="Online"/>
    <x v="7"/>
    <s v="Electronics"/>
    <n v="420000"/>
    <n v="9"/>
    <x v="0"/>
    <n v="336000"/>
    <x v="12"/>
    <x v="12"/>
    <x v="12"/>
  </r>
  <r>
    <x v="396"/>
    <s v="East"/>
    <x v="3"/>
    <x v="1"/>
    <s v="Store"/>
    <x v="0"/>
    <s v="Furniture"/>
    <n v="85000"/>
    <n v="8"/>
    <x v="5"/>
    <n v="68000"/>
    <x v="69"/>
    <x v="69"/>
    <x v="69"/>
  </r>
  <r>
    <x v="397"/>
    <s v="North"/>
    <x v="0"/>
    <x v="1"/>
    <s v="Store"/>
    <x v="7"/>
    <s v="Electronics"/>
    <n v="420000"/>
    <n v="10"/>
    <x v="3"/>
    <n v="336000"/>
    <x v="20"/>
    <x v="20"/>
    <x v="20"/>
  </r>
  <r>
    <x v="398"/>
    <s v="East"/>
    <x v="0"/>
    <x v="0"/>
    <s v="Store"/>
    <x v="8"/>
    <s v="Electronics"/>
    <n v="250000"/>
    <n v="1"/>
    <x v="3"/>
    <n v="200000"/>
    <x v="44"/>
    <x v="44"/>
    <x v="44"/>
  </r>
  <r>
    <x v="399"/>
    <s v="East"/>
    <x v="3"/>
    <x v="1"/>
    <s v="Online"/>
    <x v="9"/>
    <s v="Home Appliances"/>
    <n v="220000"/>
    <n v="5"/>
    <x v="5"/>
    <n v="176000"/>
    <x v="51"/>
    <x v="51"/>
    <x v="51"/>
  </r>
  <r>
    <x v="400"/>
    <s v="North"/>
    <x v="1"/>
    <x v="0"/>
    <s v="Online"/>
    <x v="3"/>
    <s v="Electronics"/>
    <n v="300000"/>
    <n v="1"/>
    <x v="0"/>
    <n v="240000"/>
    <x v="11"/>
    <x v="11"/>
    <x v="11"/>
  </r>
  <r>
    <x v="401"/>
    <s v="North"/>
    <x v="2"/>
    <x v="1"/>
    <s v="Store"/>
    <x v="2"/>
    <s v="Home Appliances"/>
    <n v="60000"/>
    <n v="6"/>
    <x v="4"/>
    <n v="48000"/>
    <x v="50"/>
    <x v="50"/>
    <x v="50"/>
  </r>
  <r>
    <x v="402"/>
    <s v="South"/>
    <x v="3"/>
    <x v="0"/>
    <s v="Online"/>
    <x v="2"/>
    <s v="Home Appliances"/>
    <n v="60000"/>
    <n v="8"/>
    <x v="1"/>
    <n v="48000"/>
    <x v="47"/>
    <x v="47"/>
    <x v="47"/>
  </r>
  <r>
    <x v="403"/>
    <s v="South"/>
    <x v="2"/>
    <x v="0"/>
    <s v="Store"/>
    <x v="9"/>
    <s v="Home Appliances"/>
    <n v="220000"/>
    <n v="3"/>
    <x v="4"/>
    <n v="176000"/>
    <x v="49"/>
    <x v="49"/>
    <x v="49"/>
  </r>
  <r>
    <x v="404"/>
    <s v="North"/>
    <x v="3"/>
    <x v="0"/>
    <s v="Online"/>
    <x v="2"/>
    <s v="Home Appliances"/>
    <n v="60000"/>
    <n v="1"/>
    <x v="3"/>
    <n v="48000"/>
    <x v="41"/>
    <x v="41"/>
    <x v="41"/>
  </r>
  <r>
    <x v="405"/>
    <s v="East"/>
    <x v="1"/>
    <x v="1"/>
    <s v="Online"/>
    <x v="6"/>
    <s v="Electronics"/>
    <n v="150000"/>
    <n v="1"/>
    <x v="2"/>
    <n v="120000"/>
    <x v="26"/>
    <x v="26"/>
    <x v="26"/>
  </r>
  <r>
    <x v="406"/>
    <s v="West"/>
    <x v="2"/>
    <x v="1"/>
    <s v="Online"/>
    <x v="5"/>
    <s v="Furniture"/>
    <n v="320000"/>
    <n v="7"/>
    <x v="5"/>
    <n v="256000"/>
    <x v="10"/>
    <x v="10"/>
    <x v="10"/>
  </r>
  <r>
    <x v="407"/>
    <s v="South"/>
    <x v="2"/>
    <x v="0"/>
    <s v="Store"/>
    <x v="0"/>
    <s v="Furniture"/>
    <n v="85000"/>
    <n v="10"/>
    <x v="2"/>
    <n v="68000"/>
    <x v="43"/>
    <x v="43"/>
    <x v="43"/>
  </r>
  <r>
    <x v="408"/>
    <s v="West"/>
    <x v="0"/>
    <x v="1"/>
    <s v="Online"/>
    <x v="6"/>
    <s v="Electronics"/>
    <n v="150000"/>
    <n v="10"/>
    <x v="0"/>
    <n v="120000"/>
    <x v="17"/>
    <x v="17"/>
    <x v="17"/>
  </r>
  <r>
    <x v="409"/>
    <s v="South"/>
    <x v="1"/>
    <x v="1"/>
    <s v="Online"/>
    <x v="2"/>
    <s v="Home Appliances"/>
    <n v="60000"/>
    <n v="2"/>
    <x v="2"/>
    <n v="48000"/>
    <x v="3"/>
    <x v="3"/>
    <x v="3"/>
  </r>
  <r>
    <x v="410"/>
    <s v="North"/>
    <x v="3"/>
    <x v="1"/>
    <s v="Online"/>
    <x v="3"/>
    <s v="Electronics"/>
    <n v="300000"/>
    <n v="6"/>
    <x v="0"/>
    <n v="240000"/>
    <x v="5"/>
    <x v="5"/>
    <x v="5"/>
  </r>
  <r>
    <x v="411"/>
    <s v="East"/>
    <x v="2"/>
    <x v="0"/>
    <s v="Online"/>
    <x v="6"/>
    <s v="Electronics"/>
    <n v="150000"/>
    <n v="3"/>
    <x v="4"/>
    <n v="120000"/>
    <x v="34"/>
    <x v="34"/>
    <x v="34"/>
  </r>
  <r>
    <x v="412"/>
    <s v="West"/>
    <x v="0"/>
    <x v="1"/>
    <s v="Online"/>
    <x v="1"/>
    <s v="Home Appliances"/>
    <n v="30000"/>
    <n v="2"/>
    <x v="1"/>
    <n v="24000"/>
    <x v="41"/>
    <x v="41"/>
    <x v="41"/>
  </r>
  <r>
    <x v="413"/>
    <s v="East"/>
    <x v="1"/>
    <x v="0"/>
    <s v="Online"/>
    <x v="4"/>
    <s v="Home Appliances"/>
    <n v="180000"/>
    <n v="2"/>
    <x v="4"/>
    <n v="144000"/>
    <x v="50"/>
    <x v="50"/>
    <x v="50"/>
  </r>
  <r>
    <x v="414"/>
    <s v="West"/>
    <x v="2"/>
    <x v="1"/>
    <s v="Online"/>
    <x v="5"/>
    <s v="Furniture"/>
    <n v="320000"/>
    <n v="3"/>
    <x v="2"/>
    <n v="256000"/>
    <x v="9"/>
    <x v="9"/>
    <x v="9"/>
  </r>
  <r>
    <x v="415"/>
    <s v="South"/>
    <x v="2"/>
    <x v="1"/>
    <s v="Store"/>
    <x v="1"/>
    <s v="Home Appliances"/>
    <n v="30000"/>
    <n v="3"/>
    <x v="4"/>
    <n v="24000"/>
    <x v="33"/>
    <x v="33"/>
    <x v="33"/>
  </r>
  <r>
    <x v="416"/>
    <s v="West"/>
    <x v="3"/>
    <x v="0"/>
    <s v="Store"/>
    <x v="0"/>
    <s v="Furniture"/>
    <n v="85000"/>
    <n v="3"/>
    <x v="3"/>
    <n v="68000"/>
    <x v="23"/>
    <x v="23"/>
    <x v="23"/>
  </r>
  <r>
    <x v="417"/>
    <s v="North"/>
    <x v="2"/>
    <x v="0"/>
    <s v="Store"/>
    <x v="0"/>
    <s v="Furniture"/>
    <n v="85000"/>
    <n v="10"/>
    <x v="4"/>
    <n v="68000"/>
    <x v="43"/>
    <x v="43"/>
    <x v="43"/>
  </r>
  <r>
    <x v="418"/>
    <s v="East"/>
    <x v="0"/>
    <x v="1"/>
    <s v="Store"/>
    <x v="4"/>
    <s v="Home Appliances"/>
    <n v="180000"/>
    <n v="10"/>
    <x v="0"/>
    <n v="144000"/>
    <x v="5"/>
    <x v="5"/>
    <x v="5"/>
  </r>
  <r>
    <x v="419"/>
    <s v="West"/>
    <x v="1"/>
    <x v="0"/>
    <s v="Store"/>
    <x v="9"/>
    <s v="Home Appliances"/>
    <n v="220000"/>
    <n v="9"/>
    <x v="2"/>
    <n v="176000"/>
    <x v="64"/>
    <x v="64"/>
    <x v="64"/>
  </r>
  <r>
    <x v="420"/>
    <s v="West"/>
    <x v="3"/>
    <x v="1"/>
    <s v="Store"/>
    <x v="7"/>
    <s v="Electronics"/>
    <n v="420000"/>
    <n v="9"/>
    <x v="2"/>
    <n v="336000"/>
    <x v="12"/>
    <x v="12"/>
    <x v="12"/>
  </r>
  <r>
    <x v="421"/>
    <s v="East"/>
    <x v="0"/>
    <x v="1"/>
    <s v="Online"/>
    <x v="4"/>
    <s v="Home Appliances"/>
    <n v="180000"/>
    <n v="2"/>
    <x v="4"/>
    <n v="144000"/>
    <x v="50"/>
    <x v="50"/>
    <x v="50"/>
  </r>
  <r>
    <x v="422"/>
    <s v="West"/>
    <x v="1"/>
    <x v="1"/>
    <s v="Online"/>
    <x v="3"/>
    <s v="Electronics"/>
    <n v="300000"/>
    <n v="3"/>
    <x v="1"/>
    <n v="240000"/>
    <x v="48"/>
    <x v="48"/>
    <x v="48"/>
  </r>
  <r>
    <x v="423"/>
    <s v="North"/>
    <x v="2"/>
    <x v="1"/>
    <s v="Online"/>
    <x v="4"/>
    <s v="Home Appliances"/>
    <n v="180000"/>
    <n v="1"/>
    <x v="5"/>
    <n v="144000"/>
    <x v="32"/>
    <x v="32"/>
    <x v="32"/>
  </r>
  <r>
    <x v="424"/>
    <s v="North"/>
    <x v="1"/>
    <x v="0"/>
    <s v="Store"/>
    <x v="5"/>
    <s v="Furniture"/>
    <n v="320000"/>
    <n v="9"/>
    <x v="3"/>
    <n v="256000"/>
    <x v="8"/>
    <x v="8"/>
    <x v="8"/>
  </r>
  <r>
    <x v="425"/>
    <s v="North"/>
    <x v="0"/>
    <x v="0"/>
    <s v="Online"/>
    <x v="5"/>
    <s v="Furniture"/>
    <n v="320000"/>
    <n v="5"/>
    <x v="1"/>
    <n v="256000"/>
    <x v="28"/>
    <x v="28"/>
    <x v="28"/>
  </r>
  <r>
    <x v="426"/>
    <s v="North"/>
    <x v="3"/>
    <x v="0"/>
    <s v="Online"/>
    <x v="2"/>
    <s v="Home Appliances"/>
    <n v="60000"/>
    <n v="8"/>
    <x v="5"/>
    <n v="48000"/>
    <x v="47"/>
    <x v="47"/>
    <x v="47"/>
  </r>
  <r>
    <x v="427"/>
    <s v="South"/>
    <x v="0"/>
    <x v="1"/>
    <s v="Online"/>
    <x v="0"/>
    <s v="Furniture"/>
    <n v="85000"/>
    <n v="8"/>
    <x v="1"/>
    <n v="68000"/>
    <x v="69"/>
    <x v="69"/>
    <x v="69"/>
  </r>
  <r>
    <x v="428"/>
    <s v="East"/>
    <x v="0"/>
    <x v="0"/>
    <s v="Store"/>
    <x v="5"/>
    <s v="Furniture"/>
    <n v="320000"/>
    <n v="5"/>
    <x v="1"/>
    <n v="256000"/>
    <x v="28"/>
    <x v="28"/>
    <x v="28"/>
  </r>
  <r>
    <x v="429"/>
    <s v="North"/>
    <x v="2"/>
    <x v="1"/>
    <s v="Online"/>
    <x v="6"/>
    <s v="Electronics"/>
    <n v="150000"/>
    <n v="3"/>
    <x v="4"/>
    <n v="120000"/>
    <x v="34"/>
    <x v="34"/>
    <x v="34"/>
  </r>
  <r>
    <x v="430"/>
    <s v="North"/>
    <x v="2"/>
    <x v="0"/>
    <s v="Store"/>
    <x v="6"/>
    <s v="Electronics"/>
    <n v="150000"/>
    <n v="1"/>
    <x v="0"/>
    <n v="120000"/>
    <x v="26"/>
    <x v="26"/>
    <x v="26"/>
  </r>
  <r>
    <x v="431"/>
    <s v="South"/>
    <x v="2"/>
    <x v="1"/>
    <s v="Online"/>
    <x v="2"/>
    <s v="Home Appliances"/>
    <n v="60000"/>
    <n v="7"/>
    <x v="1"/>
    <n v="48000"/>
    <x v="40"/>
    <x v="40"/>
    <x v="40"/>
  </r>
  <r>
    <x v="432"/>
    <s v="West"/>
    <x v="0"/>
    <x v="0"/>
    <s v="Online"/>
    <x v="4"/>
    <s v="Home Appliances"/>
    <n v="180000"/>
    <n v="1"/>
    <x v="1"/>
    <n v="144000"/>
    <x v="32"/>
    <x v="32"/>
    <x v="32"/>
  </r>
  <r>
    <x v="433"/>
    <s v="South"/>
    <x v="0"/>
    <x v="1"/>
    <s v="Online"/>
    <x v="4"/>
    <s v="Home Appliances"/>
    <n v="180000"/>
    <n v="1"/>
    <x v="3"/>
    <n v="144000"/>
    <x v="32"/>
    <x v="32"/>
    <x v="32"/>
  </r>
  <r>
    <x v="434"/>
    <s v="South"/>
    <x v="0"/>
    <x v="0"/>
    <s v="Store"/>
    <x v="8"/>
    <s v="Electronics"/>
    <n v="250000"/>
    <n v="9"/>
    <x v="0"/>
    <n v="200000"/>
    <x v="71"/>
    <x v="71"/>
    <x v="71"/>
  </r>
  <r>
    <x v="435"/>
    <s v="West"/>
    <x v="2"/>
    <x v="1"/>
    <s v="Online"/>
    <x v="5"/>
    <s v="Furniture"/>
    <n v="320000"/>
    <n v="1"/>
    <x v="1"/>
    <n v="256000"/>
    <x v="7"/>
    <x v="7"/>
    <x v="7"/>
  </r>
  <r>
    <x v="436"/>
    <s v="South"/>
    <x v="1"/>
    <x v="0"/>
    <s v="Store"/>
    <x v="4"/>
    <s v="Home Appliances"/>
    <n v="180000"/>
    <n v="10"/>
    <x v="0"/>
    <n v="144000"/>
    <x v="5"/>
    <x v="5"/>
    <x v="5"/>
  </r>
  <r>
    <x v="437"/>
    <s v="East"/>
    <x v="2"/>
    <x v="0"/>
    <s v="Store"/>
    <x v="3"/>
    <s v="Electronics"/>
    <n v="300000"/>
    <n v="10"/>
    <x v="3"/>
    <n v="240000"/>
    <x v="68"/>
    <x v="68"/>
    <x v="68"/>
  </r>
  <r>
    <x v="438"/>
    <s v="South"/>
    <x v="0"/>
    <x v="0"/>
    <s v="Online"/>
    <x v="7"/>
    <s v="Electronics"/>
    <n v="420000"/>
    <n v="4"/>
    <x v="4"/>
    <n v="336000"/>
    <x v="45"/>
    <x v="45"/>
    <x v="45"/>
  </r>
  <r>
    <x v="439"/>
    <s v="West"/>
    <x v="0"/>
    <x v="1"/>
    <s v="Store"/>
    <x v="1"/>
    <s v="Home Appliances"/>
    <n v="30000"/>
    <n v="4"/>
    <x v="2"/>
    <n v="24000"/>
    <x v="3"/>
    <x v="3"/>
    <x v="3"/>
  </r>
  <r>
    <x v="440"/>
    <s v="North"/>
    <x v="2"/>
    <x v="0"/>
    <s v="Online"/>
    <x v="1"/>
    <s v="Home Appliances"/>
    <n v="30000"/>
    <n v="10"/>
    <x v="3"/>
    <n v="24000"/>
    <x v="11"/>
    <x v="11"/>
    <x v="11"/>
  </r>
  <r>
    <x v="441"/>
    <s v="South"/>
    <x v="0"/>
    <x v="1"/>
    <s v="Store"/>
    <x v="2"/>
    <s v="Home Appliances"/>
    <n v="60000"/>
    <n v="7"/>
    <x v="0"/>
    <n v="48000"/>
    <x v="40"/>
    <x v="40"/>
    <x v="40"/>
  </r>
  <r>
    <x v="442"/>
    <s v="North"/>
    <x v="0"/>
    <x v="1"/>
    <s v="Store"/>
    <x v="4"/>
    <s v="Home Appliances"/>
    <n v="180000"/>
    <n v="4"/>
    <x v="5"/>
    <n v="144000"/>
    <x v="65"/>
    <x v="65"/>
    <x v="65"/>
  </r>
  <r>
    <x v="443"/>
    <s v="West"/>
    <x v="3"/>
    <x v="0"/>
    <s v="Store"/>
    <x v="1"/>
    <s v="Home Appliances"/>
    <n v="30000"/>
    <n v="7"/>
    <x v="3"/>
    <n v="24000"/>
    <x v="54"/>
    <x v="54"/>
    <x v="54"/>
  </r>
  <r>
    <x v="444"/>
    <s v="South"/>
    <x v="1"/>
    <x v="1"/>
    <s v="Store"/>
    <x v="7"/>
    <s v="Electronics"/>
    <n v="420000"/>
    <n v="10"/>
    <x v="0"/>
    <n v="336000"/>
    <x v="20"/>
    <x v="20"/>
    <x v="20"/>
  </r>
  <r>
    <x v="445"/>
    <s v="East"/>
    <x v="0"/>
    <x v="1"/>
    <s v="Online"/>
    <x v="7"/>
    <s v="Electronics"/>
    <n v="420000"/>
    <n v="7"/>
    <x v="3"/>
    <n v="336000"/>
    <x v="70"/>
    <x v="70"/>
    <x v="70"/>
  </r>
  <r>
    <x v="446"/>
    <s v="South"/>
    <x v="2"/>
    <x v="0"/>
    <s v="Store"/>
    <x v="8"/>
    <s v="Electronics"/>
    <n v="250000"/>
    <n v="5"/>
    <x v="1"/>
    <n v="200000"/>
    <x v="21"/>
    <x v="21"/>
    <x v="21"/>
  </r>
  <r>
    <x v="447"/>
    <s v="West"/>
    <x v="3"/>
    <x v="1"/>
    <s v="Online"/>
    <x v="7"/>
    <s v="Electronics"/>
    <n v="420000"/>
    <n v="5"/>
    <x v="2"/>
    <n v="336000"/>
    <x v="13"/>
    <x v="13"/>
    <x v="13"/>
  </r>
  <r>
    <x v="448"/>
    <s v="East"/>
    <x v="2"/>
    <x v="1"/>
    <s v="Store"/>
    <x v="5"/>
    <s v="Furniture"/>
    <n v="320000"/>
    <n v="2"/>
    <x v="2"/>
    <n v="256000"/>
    <x v="38"/>
    <x v="38"/>
    <x v="38"/>
  </r>
  <r>
    <x v="449"/>
    <s v="North"/>
    <x v="0"/>
    <x v="0"/>
    <s v="Store"/>
    <x v="3"/>
    <s v="Electronics"/>
    <n v="300000"/>
    <n v="10"/>
    <x v="4"/>
    <n v="240000"/>
    <x v="68"/>
    <x v="68"/>
    <x v="68"/>
  </r>
  <r>
    <x v="450"/>
    <s v="East"/>
    <x v="0"/>
    <x v="0"/>
    <s v="Online"/>
    <x v="8"/>
    <s v="Electronics"/>
    <n v="250000"/>
    <n v="5"/>
    <x v="4"/>
    <n v="200000"/>
    <x v="21"/>
    <x v="21"/>
    <x v="21"/>
  </r>
  <r>
    <x v="451"/>
    <s v="South"/>
    <x v="2"/>
    <x v="1"/>
    <s v="Store"/>
    <x v="8"/>
    <s v="Electronics"/>
    <n v="250000"/>
    <n v="2"/>
    <x v="1"/>
    <n v="200000"/>
    <x v="73"/>
    <x v="73"/>
    <x v="73"/>
  </r>
  <r>
    <x v="452"/>
    <s v="North"/>
    <x v="1"/>
    <x v="0"/>
    <s v="Store"/>
    <x v="4"/>
    <s v="Home Appliances"/>
    <n v="180000"/>
    <n v="1"/>
    <x v="0"/>
    <n v="144000"/>
    <x v="32"/>
    <x v="32"/>
    <x v="32"/>
  </r>
  <r>
    <x v="453"/>
    <s v="East"/>
    <x v="1"/>
    <x v="0"/>
    <s v="Store"/>
    <x v="5"/>
    <s v="Furniture"/>
    <n v="320000"/>
    <n v="10"/>
    <x v="3"/>
    <n v="256000"/>
    <x v="35"/>
    <x v="35"/>
    <x v="35"/>
  </r>
  <r>
    <x v="454"/>
    <s v="South"/>
    <x v="2"/>
    <x v="1"/>
    <s v="Store"/>
    <x v="6"/>
    <s v="Electronics"/>
    <n v="150000"/>
    <n v="2"/>
    <x v="0"/>
    <n v="120000"/>
    <x v="11"/>
    <x v="11"/>
    <x v="11"/>
  </r>
  <r>
    <x v="455"/>
    <s v="East"/>
    <x v="1"/>
    <x v="0"/>
    <s v="Store"/>
    <x v="4"/>
    <s v="Home Appliances"/>
    <n v="180000"/>
    <n v="10"/>
    <x v="2"/>
    <n v="144000"/>
    <x v="5"/>
    <x v="5"/>
    <x v="5"/>
  </r>
  <r>
    <x v="456"/>
    <s v="West"/>
    <x v="1"/>
    <x v="0"/>
    <s v="Online"/>
    <x v="6"/>
    <s v="Electronics"/>
    <n v="150000"/>
    <n v="2"/>
    <x v="2"/>
    <n v="120000"/>
    <x v="11"/>
    <x v="11"/>
    <x v="11"/>
  </r>
  <r>
    <x v="457"/>
    <s v="South"/>
    <x v="2"/>
    <x v="1"/>
    <s v="Store"/>
    <x v="2"/>
    <s v="Home Appliances"/>
    <n v="60000"/>
    <n v="10"/>
    <x v="2"/>
    <n v="48000"/>
    <x v="4"/>
    <x v="4"/>
    <x v="4"/>
  </r>
  <r>
    <x v="458"/>
    <s v="West"/>
    <x v="3"/>
    <x v="1"/>
    <s v="Online"/>
    <x v="9"/>
    <s v="Home Appliances"/>
    <n v="220000"/>
    <n v="4"/>
    <x v="3"/>
    <n v="176000"/>
    <x v="22"/>
    <x v="22"/>
    <x v="22"/>
  </r>
  <r>
    <x v="459"/>
    <s v="South"/>
    <x v="1"/>
    <x v="0"/>
    <s v="Online"/>
    <x v="2"/>
    <s v="Home Appliances"/>
    <n v="60000"/>
    <n v="5"/>
    <x v="3"/>
    <n v="48000"/>
    <x v="11"/>
    <x v="11"/>
    <x v="11"/>
  </r>
  <r>
    <x v="460"/>
    <s v="South"/>
    <x v="3"/>
    <x v="1"/>
    <s v="Online"/>
    <x v="8"/>
    <s v="Electronics"/>
    <n v="250000"/>
    <n v="3"/>
    <x v="1"/>
    <n v="200000"/>
    <x v="56"/>
    <x v="56"/>
    <x v="56"/>
  </r>
  <r>
    <x v="461"/>
    <s v="South"/>
    <x v="1"/>
    <x v="1"/>
    <s v="Store"/>
    <x v="6"/>
    <s v="Electronics"/>
    <n v="150000"/>
    <n v="1"/>
    <x v="4"/>
    <n v="120000"/>
    <x v="26"/>
    <x v="26"/>
    <x v="26"/>
  </r>
  <r>
    <x v="462"/>
    <s v="North"/>
    <x v="3"/>
    <x v="1"/>
    <s v="Store"/>
    <x v="9"/>
    <s v="Home Appliances"/>
    <n v="220000"/>
    <n v="1"/>
    <x v="1"/>
    <n v="176000"/>
    <x v="25"/>
    <x v="25"/>
    <x v="25"/>
  </r>
  <r>
    <x v="463"/>
    <s v="East"/>
    <x v="2"/>
    <x v="0"/>
    <s v="Store"/>
    <x v="8"/>
    <s v="Electronics"/>
    <n v="250000"/>
    <n v="6"/>
    <x v="4"/>
    <n v="200000"/>
    <x v="17"/>
    <x v="17"/>
    <x v="17"/>
  </r>
  <r>
    <x v="464"/>
    <s v="West"/>
    <x v="3"/>
    <x v="0"/>
    <s v="Store"/>
    <x v="9"/>
    <s v="Home Appliances"/>
    <n v="220000"/>
    <n v="10"/>
    <x v="3"/>
    <n v="176000"/>
    <x v="61"/>
    <x v="61"/>
    <x v="61"/>
  </r>
  <r>
    <x v="465"/>
    <s v="East"/>
    <x v="0"/>
    <x v="0"/>
    <s v="Store"/>
    <x v="4"/>
    <s v="Home Appliances"/>
    <n v="180000"/>
    <n v="10"/>
    <x v="1"/>
    <n v="144000"/>
    <x v="5"/>
    <x v="5"/>
    <x v="5"/>
  </r>
  <r>
    <x v="466"/>
    <s v="West"/>
    <x v="0"/>
    <x v="1"/>
    <s v="Online"/>
    <x v="2"/>
    <s v="Home Appliances"/>
    <n v="60000"/>
    <n v="6"/>
    <x v="5"/>
    <n v="48000"/>
    <x v="50"/>
    <x v="50"/>
    <x v="50"/>
  </r>
  <r>
    <x v="467"/>
    <s v="North"/>
    <x v="2"/>
    <x v="0"/>
    <s v="Store"/>
    <x v="9"/>
    <s v="Home Appliances"/>
    <n v="220000"/>
    <n v="4"/>
    <x v="1"/>
    <n v="176000"/>
    <x v="22"/>
    <x v="22"/>
    <x v="22"/>
  </r>
  <r>
    <x v="468"/>
    <s v="South"/>
    <x v="3"/>
    <x v="1"/>
    <s v="Online"/>
    <x v="6"/>
    <s v="Electronics"/>
    <n v="150000"/>
    <n v="1"/>
    <x v="1"/>
    <n v="120000"/>
    <x v="26"/>
    <x v="26"/>
    <x v="26"/>
  </r>
  <r>
    <x v="469"/>
    <s v="South"/>
    <x v="2"/>
    <x v="0"/>
    <s v="Store"/>
    <x v="4"/>
    <s v="Home Appliances"/>
    <n v="180000"/>
    <n v="1"/>
    <x v="2"/>
    <n v="144000"/>
    <x v="32"/>
    <x v="32"/>
    <x v="32"/>
  </r>
  <r>
    <x v="470"/>
    <s v="East"/>
    <x v="3"/>
    <x v="1"/>
    <s v="Store"/>
    <x v="9"/>
    <s v="Home Appliances"/>
    <n v="220000"/>
    <n v="8"/>
    <x v="2"/>
    <n v="176000"/>
    <x v="42"/>
    <x v="42"/>
    <x v="42"/>
  </r>
  <r>
    <x v="471"/>
    <s v="West"/>
    <x v="1"/>
    <x v="0"/>
    <s v="Store"/>
    <x v="8"/>
    <s v="Electronics"/>
    <n v="250000"/>
    <n v="3"/>
    <x v="1"/>
    <n v="200000"/>
    <x v="56"/>
    <x v="56"/>
    <x v="56"/>
  </r>
  <r>
    <x v="472"/>
    <s v="North"/>
    <x v="1"/>
    <x v="1"/>
    <s v="Store"/>
    <x v="2"/>
    <s v="Home Appliances"/>
    <n v="60000"/>
    <n v="1"/>
    <x v="3"/>
    <n v="48000"/>
    <x v="41"/>
    <x v="41"/>
    <x v="41"/>
  </r>
  <r>
    <x v="473"/>
    <s v="East"/>
    <x v="3"/>
    <x v="0"/>
    <s v="Store"/>
    <x v="5"/>
    <s v="Furniture"/>
    <n v="320000"/>
    <n v="4"/>
    <x v="0"/>
    <n v="256000"/>
    <x v="6"/>
    <x v="6"/>
    <x v="6"/>
  </r>
  <r>
    <x v="474"/>
    <s v="South"/>
    <x v="2"/>
    <x v="1"/>
    <s v="Store"/>
    <x v="7"/>
    <s v="Electronics"/>
    <n v="420000"/>
    <n v="8"/>
    <x v="1"/>
    <n v="336000"/>
    <x v="19"/>
    <x v="19"/>
    <x v="19"/>
  </r>
  <r>
    <x v="475"/>
    <s v="South"/>
    <x v="1"/>
    <x v="1"/>
    <s v="Store"/>
    <x v="7"/>
    <s v="Electronics"/>
    <n v="420000"/>
    <n v="8"/>
    <x v="3"/>
    <n v="336000"/>
    <x v="19"/>
    <x v="19"/>
    <x v="19"/>
  </r>
  <r>
    <x v="476"/>
    <s v="North"/>
    <x v="1"/>
    <x v="0"/>
    <s v="Store"/>
    <x v="2"/>
    <s v="Home Appliances"/>
    <n v="60000"/>
    <n v="1"/>
    <x v="5"/>
    <n v="48000"/>
    <x v="41"/>
    <x v="41"/>
    <x v="41"/>
  </r>
  <r>
    <x v="477"/>
    <s v="East"/>
    <x v="0"/>
    <x v="1"/>
    <s v="Store"/>
    <x v="4"/>
    <s v="Home Appliances"/>
    <n v="180000"/>
    <n v="8"/>
    <x v="1"/>
    <n v="144000"/>
    <x v="37"/>
    <x v="37"/>
    <x v="37"/>
  </r>
  <r>
    <x v="478"/>
    <s v="West"/>
    <x v="1"/>
    <x v="1"/>
    <s v="Store"/>
    <x v="4"/>
    <s v="Home Appliances"/>
    <n v="180000"/>
    <n v="2"/>
    <x v="1"/>
    <n v="144000"/>
    <x v="50"/>
    <x v="50"/>
    <x v="50"/>
  </r>
  <r>
    <x v="479"/>
    <s v="South"/>
    <x v="1"/>
    <x v="1"/>
    <s v="Online"/>
    <x v="3"/>
    <s v="Electronics"/>
    <n v="300000"/>
    <n v="7"/>
    <x v="3"/>
    <n v="240000"/>
    <x v="13"/>
    <x v="13"/>
    <x v="13"/>
  </r>
  <r>
    <x v="480"/>
    <s v="West"/>
    <x v="2"/>
    <x v="0"/>
    <s v="Online"/>
    <x v="8"/>
    <s v="Electronics"/>
    <n v="250000"/>
    <n v="6"/>
    <x v="3"/>
    <n v="200000"/>
    <x v="17"/>
    <x v="17"/>
    <x v="17"/>
  </r>
  <r>
    <x v="481"/>
    <s v="North"/>
    <x v="2"/>
    <x v="0"/>
    <s v="Store"/>
    <x v="6"/>
    <s v="Electronics"/>
    <n v="150000"/>
    <n v="5"/>
    <x v="1"/>
    <n v="120000"/>
    <x v="56"/>
    <x v="56"/>
    <x v="56"/>
  </r>
  <r>
    <x v="482"/>
    <s v="West"/>
    <x v="3"/>
    <x v="0"/>
    <s v="Online"/>
    <x v="0"/>
    <s v="Furniture"/>
    <n v="85000"/>
    <n v="10"/>
    <x v="1"/>
    <n v="68000"/>
    <x v="43"/>
    <x v="43"/>
    <x v="43"/>
  </r>
  <r>
    <x v="483"/>
    <s v="North"/>
    <x v="3"/>
    <x v="0"/>
    <s v="Online"/>
    <x v="0"/>
    <s v="Furniture"/>
    <n v="85000"/>
    <n v="8"/>
    <x v="3"/>
    <n v="68000"/>
    <x v="69"/>
    <x v="69"/>
    <x v="69"/>
  </r>
  <r>
    <x v="484"/>
    <s v="South"/>
    <x v="0"/>
    <x v="0"/>
    <s v="Online"/>
    <x v="0"/>
    <s v="Furniture"/>
    <n v="85000"/>
    <n v="2"/>
    <x v="2"/>
    <n v="68000"/>
    <x v="2"/>
    <x v="2"/>
    <x v="2"/>
  </r>
  <r>
    <x v="485"/>
    <s v="West"/>
    <x v="3"/>
    <x v="0"/>
    <s v="Online"/>
    <x v="8"/>
    <s v="Electronics"/>
    <n v="250000"/>
    <n v="4"/>
    <x v="0"/>
    <n v="200000"/>
    <x v="14"/>
    <x v="14"/>
    <x v="14"/>
  </r>
  <r>
    <x v="486"/>
    <s v="South"/>
    <x v="0"/>
    <x v="0"/>
    <s v="Online"/>
    <x v="6"/>
    <s v="Electronics"/>
    <n v="150000"/>
    <n v="6"/>
    <x v="5"/>
    <n v="120000"/>
    <x v="48"/>
    <x v="48"/>
    <x v="48"/>
  </r>
  <r>
    <x v="487"/>
    <s v="South"/>
    <x v="3"/>
    <x v="1"/>
    <s v="Store"/>
    <x v="4"/>
    <s v="Home Appliances"/>
    <n v="180000"/>
    <n v="10"/>
    <x v="4"/>
    <n v="144000"/>
    <x v="5"/>
    <x v="5"/>
    <x v="5"/>
  </r>
  <r>
    <x v="488"/>
    <s v="South"/>
    <x v="3"/>
    <x v="0"/>
    <s v="Online"/>
    <x v="6"/>
    <s v="Electronics"/>
    <n v="150000"/>
    <n v="8"/>
    <x v="0"/>
    <n v="120000"/>
    <x v="29"/>
    <x v="29"/>
    <x v="29"/>
  </r>
  <r>
    <x v="489"/>
    <s v="South"/>
    <x v="1"/>
    <x v="0"/>
    <s v="Online"/>
    <x v="4"/>
    <s v="Home Appliances"/>
    <n v="180000"/>
    <n v="8"/>
    <x v="1"/>
    <n v="144000"/>
    <x v="37"/>
    <x v="37"/>
    <x v="37"/>
  </r>
  <r>
    <x v="490"/>
    <s v="East"/>
    <x v="2"/>
    <x v="1"/>
    <s v="Online"/>
    <x v="6"/>
    <s v="Electronics"/>
    <n v="150000"/>
    <n v="6"/>
    <x v="3"/>
    <n v="120000"/>
    <x v="48"/>
    <x v="48"/>
    <x v="48"/>
  </r>
  <r>
    <x v="491"/>
    <s v="South"/>
    <x v="3"/>
    <x v="1"/>
    <s v="Store"/>
    <x v="6"/>
    <s v="Electronics"/>
    <n v="150000"/>
    <n v="4"/>
    <x v="5"/>
    <n v="120000"/>
    <x v="4"/>
    <x v="4"/>
    <x v="4"/>
  </r>
  <r>
    <x v="492"/>
    <s v="West"/>
    <x v="1"/>
    <x v="0"/>
    <s v="Online"/>
    <x v="4"/>
    <s v="Home Appliances"/>
    <n v="180000"/>
    <n v="1"/>
    <x v="3"/>
    <n v="144000"/>
    <x v="32"/>
    <x v="32"/>
    <x v="32"/>
  </r>
  <r>
    <x v="493"/>
    <s v="North"/>
    <x v="1"/>
    <x v="0"/>
    <s v="Online"/>
    <x v="8"/>
    <s v="Electronics"/>
    <n v="250000"/>
    <n v="6"/>
    <x v="5"/>
    <n v="200000"/>
    <x v="17"/>
    <x v="17"/>
    <x v="17"/>
  </r>
  <r>
    <x v="494"/>
    <s v="South"/>
    <x v="0"/>
    <x v="0"/>
    <s v="Online"/>
    <x v="2"/>
    <s v="Home Appliances"/>
    <n v="60000"/>
    <n v="6"/>
    <x v="1"/>
    <n v="48000"/>
    <x v="50"/>
    <x v="50"/>
    <x v="50"/>
  </r>
  <r>
    <x v="495"/>
    <s v="North"/>
    <x v="3"/>
    <x v="1"/>
    <s v="Store"/>
    <x v="6"/>
    <s v="Electronics"/>
    <n v="150000"/>
    <n v="2"/>
    <x v="1"/>
    <n v="120000"/>
    <x v="11"/>
    <x v="11"/>
    <x v="11"/>
  </r>
  <r>
    <x v="496"/>
    <s v="East"/>
    <x v="2"/>
    <x v="1"/>
    <s v="Online"/>
    <x v="0"/>
    <s v="Furniture"/>
    <n v="85000"/>
    <n v="2"/>
    <x v="0"/>
    <n v="68000"/>
    <x v="2"/>
    <x v="2"/>
    <x v="2"/>
  </r>
  <r>
    <x v="497"/>
    <s v="South"/>
    <x v="1"/>
    <x v="0"/>
    <s v="Store"/>
    <x v="3"/>
    <s v="Electronics"/>
    <n v="300000"/>
    <n v="5"/>
    <x v="3"/>
    <n v="240000"/>
    <x v="17"/>
    <x v="17"/>
    <x v="17"/>
  </r>
  <r>
    <x v="498"/>
    <s v="East"/>
    <x v="2"/>
    <x v="1"/>
    <s v="Online"/>
    <x v="7"/>
    <s v="Electronics"/>
    <n v="420000"/>
    <n v="10"/>
    <x v="3"/>
    <n v="336000"/>
    <x v="20"/>
    <x v="20"/>
    <x v="20"/>
  </r>
  <r>
    <x v="499"/>
    <s v="West"/>
    <x v="3"/>
    <x v="1"/>
    <s v="Online"/>
    <x v="4"/>
    <s v="Home Appliances"/>
    <n v="180000"/>
    <n v="6"/>
    <x v="1"/>
    <n v="144000"/>
    <x v="53"/>
    <x v="53"/>
    <x v="53"/>
  </r>
  <r>
    <x v="500"/>
    <s v="East"/>
    <x v="3"/>
    <x v="0"/>
    <s v="Store"/>
    <x v="0"/>
    <s v="Furniture"/>
    <n v="85000"/>
    <n v="4"/>
    <x v="3"/>
    <n v="68000"/>
    <x v="74"/>
    <x v="74"/>
    <x v="74"/>
  </r>
  <r>
    <x v="501"/>
    <s v="North"/>
    <x v="2"/>
    <x v="1"/>
    <s v="Online"/>
    <x v="3"/>
    <s v="Electronics"/>
    <n v="300000"/>
    <n v="4"/>
    <x v="4"/>
    <n v="240000"/>
    <x v="29"/>
    <x v="29"/>
    <x v="29"/>
  </r>
  <r>
    <x v="502"/>
    <s v="South"/>
    <x v="3"/>
    <x v="0"/>
    <s v="Online"/>
    <x v="0"/>
    <s v="Furniture"/>
    <n v="85000"/>
    <n v="3"/>
    <x v="3"/>
    <n v="68000"/>
    <x v="23"/>
    <x v="23"/>
    <x v="23"/>
  </r>
  <r>
    <x v="503"/>
    <s v="North"/>
    <x v="0"/>
    <x v="0"/>
    <s v="Store"/>
    <x v="9"/>
    <s v="Home Appliances"/>
    <n v="220000"/>
    <n v="9"/>
    <x v="4"/>
    <n v="176000"/>
    <x v="64"/>
    <x v="64"/>
    <x v="64"/>
  </r>
  <r>
    <x v="504"/>
    <s v="West"/>
    <x v="2"/>
    <x v="1"/>
    <s v="Online"/>
    <x v="4"/>
    <s v="Home Appliances"/>
    <n v="180000"/>
    <n v="3"/>
    <x v="3"/>
    <n v="144000"/>
    <x v="46"/>
    <x v="46"/>
    <x v="46"/>
  </r>
  <r>
    <x v="505"/>
    <s v="East"/>
    <x v="1"/>
    <x v="1"/>
    <s v="Store"/>
    <x v="3"/>
    <s v="Electronics"/>
    <n v="300000"/>
    <n v="9"/>
    <x v="1"/>
    <n v="240000"/>
    <x v="39"/>
    <x v="39"/>
    <x v="39"/>
  </r>
  <r>
    <x v="506"/>
    <s v="North"/>
    <x v="0"/>
    <x v="1"/>
    <s v="Store"/>
    <x v="6"/>
    <s v="Electronics"/>
    <n v="150000"/>
    <n v="4"/>
    <x v="2"/>
    <n v="120000"/>
    <x v="4"/>
    <x v="4"/>
    <x v="4"/>
  </r>
  <r>
    <x v="507"/>
    <s v="East"/>
    <x v="3"/>
    <x v="1"/>
    <s v="Store"/>
    <x v="5"/>
    <s v="Furniture"/>
    <n v="320000"/>
    <n v="8"/>
    <x v="4"/>
    <n v="256000"/>
    <x v="72"/>
    <x v="72"/>
    <x v="72"/>
  </r>
  <r>
    <x v="508"/>
    <s v="North"/>
    <x v="3"/>
    <x v="0"/>
    <s v="Online"/>
    <x v="5"/>
    <s v="Furniture"/>
    <n v="320000"/>
    <n v="7"/>
    <x v="5"/>
    <n v="256000"/>
    <x v="10"/>
    <x v="10"/>
    <x v="10"/>
  </r>
  <r>
    <x v="509"/>
    <s v="East"/>
    <x v="3"/>
    <x v="0"/>
    <s v="Store"/>
    <x v="9"/>
    <s v="Home Appliances"/>
    <n v="220000"/>
    <n v="10"/>
    <x v="2"/>
    <n v="176000"/>
    <x v="61"/>
    <x v="61"/>
    <x v="61"/>
  </r>
  <r>
    <x v="510"/>
    <s v="South"/>
    <x v="1"/>
    <x v="0"/>
    <s v="Store"/>
    <x v="1"/>
    <s v="Home Appliances"/>
    <n v="30000"/>
    <n v="7"/>
    <x v="2"/>
    <n v="24000"/>
    <x v="54"/>
    <x v="54"/>
    <x v="54"/>
  </r>
  <r>
    <x v="511"/>
    <s v="East"/>
    <x v="2"/>
    <x v="0"/>
    <s v="Online"/>
    <x v="5"/>
    <s v="Furniture"/>
    <n v="320000"/>
    <n v="2"/>
    <x v="2"/>
    <n v="256000"/>
    <x v="38"/>
    <x v="38"/>
    <x v="38"/>
  </r>
  <r>
    <x v="512"/>
    <s v="North"/>
    <x v="2"/>
    <x v="1"/>
    <s v="Store"/>
    <x v="3"/>
    <s v="Electronics"/>
    <n v="300000"/>
    <n v="3"/>
    <x v="4"/>
    <n v="240000"/>
    <x v="48"/>
    <x v="48"/>
    <x v="48"/>
  </r>
  <r>
    <x v="513"/>
    <s v="South"/>
    <x v="0"/>
    <x v="0"/>
    <s v="Online"/>
    <x v="3"/>
    <s v="Electronics"/>
    <n v="300000"/>
    <n v="3"/>
    <x v="2"/>
    <n v="240000"/>
    <x v="48"/>
    <x v="48"/>
    <x v="48"/>
  </r>
  <r>
    <x v="514"/>
    <s v="South"/>
    <x v="3"/>
    <x v="0"/>
    <s v="Store"/>
    <x v="6"/>
    <s v="Electronics"/>
    <n v="150000"/>
    <n v="10"/>
    <x v="2"/>
    <n v="120000"/>
    <x v="17"/>
    <x v="17"/>
    <x v="17"/>
  </r>
  <r>
    <x v="515"/>
    <s v="South"/>
    <x v="1"/>
    <x v="1"/>
    <s v="Store"/>
    <x v="1"/>
    <s v="Home Appliances"/>
    <n v="30000"/>
    <n v="7"/>
    <x v="3"/>
    <n v="24000"/>
    <x v="54"/>
    <x v="54"/>
    <x v="54"/>
  </r>
  <r>
    <x v="516"/>
    <s v="West"/>
    <x v="0"/>
    <x v="0"/>
    <s v="Online"/>
    <x v="2"/>
    <s v="Home Appliances"/>
    <n v="60000"/>
    <n v="2"/>
    <x v="4"/>
    <n v="48000"/>
    <x v="3"/>
    <x v="3"/>
    <x v="3"/>
  </r>
  <r>
    <x v="517"/>
    <s v="East"/>
    <x v="1"/>
    <x v="0"/>
    <s v="Online"/>
    <x v="3"/>
    <s v="Electronics"/>
    <n v="300000"/>
    <n v="8"/>
    <x v="0"/>
    <n v="240000"/>
    <x v="24"/>
    <x v="24"/>
    <x v="24"/>
  </r>
  <r>
    <x v="518"/>
    <s v="North"/>
    <x v="1"/>
    <x v="1"/>
    <s v="Store"/>
    <x v="1"/>
    <s v="Home Appliances"/>
    <n v="30000"/>
    <n v="6"/>
    <x v="2"/>
    <n v="24000"/>
    <x v="32"/>
    <x v="32"/>
    <x v="32"/>
  </r>
  <r>
    <x v="519"/>
    <s v="West"/>
    <x v="1"/>
    <x v="1"/>
    <s v="Online"/>
    <x v="8"/>
    <s v="Electronics"/>
    <n v="250000"/>
    <n v="6"/>
    <x v="1"/>
    <n v="200000"/>
    <x v="17"/>
    <x v="17"/>
    <x v="17"/>
  </r>
  <r>
    <x v="520"/>
    <s v="East"/>
    <x v="3"/>
    <x v="0"/>
    <s v="Online"/>
    <x v="7"/>
    <s v="Electronics"/>
    <n v="420000"/>
    <n v="10"/>
    <x v="3"/>
    <n v="336000"/>
    <x v="20"/>
    <x v="20"/>
    <x v="20"/>
  </r>
  <r>
    <x v="521"/>
    <s v="South"/>
    <x v="3"/>
    <x v="0"/>
    <s v="Online"/>
    <x v="2"/>
    <s v="Home Appliances"/>
    <n v="60000"/>
    <n v="9"/>
    <x v="5"/>
    <n v="48000"/>
    <x v="46"/>
    <x v="46"/>
    <x v="46"/>
  </r>
  <r>
    <x v="522"/>
    <s v="East"/>
    <x v="2"/>
    <x v="1"/>
    <s v="Store"/>
    <x v="4"/>
    <s v="Home Appliances"/>
    <n v="180000"/>
    <n v="4"/>
    <x v="0"/>
    <n v="144000"/>
    <x v="65"/>
    <x v="65"/>
    <x v="65"/>
  </r>
  <r>
    <x v="523"/>
    <s v="North"/>
    <x v="2"/>
    <x v="0"/>
    <s v="Store"/>
    <x v="4"/>
    <s v="Home Appliances"/>
    <n v="180000"/>
    <n v="10"/>
    <x v="0"/>
    <n v="144000"/>
    <x v="5"/>
    <x v="5"/>
    <x v="5"/>
  </r>
  <r>
    <x v="524"/>
    <s v="North"/>
    <x v="1"/>
    <x v="1"/>
    <s v="Online"/>
    <x v="1"/>
    <s v="Home Appliances"/>
    <n v="30000"/>
    <n v="1"/>
    <x v="4"/>
    <n v="24000"/>
    <x v="75"/>
    <x v="75"/>
    <x v="75"/>
  </r>
  <r>
    <x v="525"/>
    <s v="East"/>
    <x v="2"/>
    <x v="0"/>
    <s v="Store"/>
    <x v="7"/>
    <s v="Electronics"/>
    <n v="420000"/>
    <n v="3"/>
    <x v="3"/>
    <n v="336000"/>
    <x v="55"/>
    <x v="55"/>
    <x v="55"/>
  </r>
  <r>
    <x v="526"/>
    <s v="East"/>
    <x v="0"/>
    <x v="0"/>
    <s v="Store"/>
    <x v="1"/>
    <s v="Home Appliances"/>
    <n v="30000"/>
    <n v="8"/>
    <x v="3"/>
    <n v="24000"/>
    <x v="1"/>
    <x v="1"/>
    <x v="1"/>
  </r>
  <r>
    <x v="527"/>
    <s v="South"/>
    <x v="3"/>
    <x v="1"/>
    <s v="Online"/>
    <x v="5"/>
    <s v="Furniture"/>
    <n v="320000"/>
    <n v="2"/>
    <x v="2"/>
    <n v="256000"/>
    <x v="38"/>
    <x v="38"/>
    <x v="38"/>
  </r>
  <r>
    <x v="528"/>
    <s v="West"/>
    <x v="1"/>
    <x v="1"/>
    <s v="Store"/>
    <x v="6"/>
    <s v="Electronics"/>
    <n v="150000"/>
    <n v="10"/>
    <x v="2"/>
    <n v="120000"/>
    <x v="17"/>
    <x v="17"/>
    <x v="17"/>
  </r>
  <r>
    <x v="529"/>
    <s v="North"/>
    <x v="2"/>
    <x v="1"/>
    <s v="Online"/>
    <x v="8"/>
    <s v="Electronics"/>
    <n v="250000"/>
    <n v="9"/>
    <x v="1"/>
    <n v="200000"/>
    <x v="71"/>
    <x v="71"/>
    <x v="71"/>
  </r>
  <r>
    <x v="530"/>
    <s v="South"/>
    <x v="2"/>
    <x v="1"/>
    <s v="Store"/>
    <x v="9"/>
    <s v="Home Appliances"/>
    <n v="220000"/>
    <n v="5"/>
    <x v="1"/>
    <n v="176000"/>
    <x v="51"/>
    <x v="51"/>
    <x v="51"/>
  </r>
  <r>
    <x v="531"/>
    <s v="West"/>
    <x v="2"/>
    <x v="0"/>
    <s v="Store"/>
    <x v="6"/>
    <s v="Electronics"/>
    <n v="150000"/>
    <n v="5"/>
    <x v="0"/>
    <n v="120000"/>
    <x v="56"/>
    <x v="56"/>
    <x v="56"/>
  </r>
  <r>
    <x v="532"/>
    <s v="East"/>
    <x v="3"/>
    <x v="1"/>
    <s v="Store"/>
    <x v="9"/>
    <s v="Home Appliances"/>
    <n v="220000"/>
    <n v="8"/>
    <x v="4"/>
    <n v="176000"/>
    <x v="42"/>
    <x v="42"/>
    <x v="42"/>
  </r>
  <r>
    <x v="533"/>
    <s v="East"/>
    <x v="1"/>
    <x v="0"/>
    <s v="Online"/>
    <x v="0"/>
    <s v="Furniture"/>
    <n v="85000"/>
    <n v="4"/>
    <x v="3"/>
    <n v="68000"/>
    <x v="74"/>
    <x v="74"/>
    <x v="74"/>
  </r>
  <r>
    <x v="534"/>
    <s v="South"/>
    <x v="2"/>
    <x v="0"/>
    <s v="Online"/>
    <x v="5"/>
    <s v="Furniture"/>
    <n v="320000"/>
    <n v="4"/>
    <x v="3"/>
    <n v="256000"/>
    <x v="6"/>
    <x v="6"/>
    <x v="6"/>
  </r>
  <r>
    <x v="535"/>
    <s v="East"/>
    <x v="2"/>
    <x v="1"/>
    <s v="Online"/>
    <x v="8"/>
    <s v="Electronics"/>
    <n v="250000"/>
    <n v="2"/>
    <x v="1"/>
    <n v="200000"/>
    <x v="73"/>
    <x v="73"/>
    <x v="73"/>
  </r>
  <r>
    <x v="536"/>
    <s v="East"/>
    <x v="0"/>
    <x v="0"/>
    <s v="Online"/>
    <x v="3"/>
    <s v="Electronics"/>
    <n v="300000"/>
    <n v="5"/>
    <x v="1"/>
    <n v="240000"/>
    <x v="17"/>
    <x v="17"/>
    <x v="17"/>
  </r>
  <r>
    <x v="537"/>
    <s v="East"/>
    <x v="2"/>
    <x v="0"/>
    <s v="Online"/>
    <x v="2"/>
    <s v="Home Appliances"/>
    <n v="60000"/>
    <n v="9"/>
    <x v="2"/>
    <n v="48000"/>
    <x v="46"/>
    <x v="46"/>
    <x v="46"/>
  </r>
  <r>
    <x v="538"/>
    <s v="East"/>
    <x v="2"/>
    <x v="1"/>
    <s v="Online"/>
    <x v="6"/>
    <s v="Electronics"/>
    <n v="150000"/>
    <n v="6"/>
    <x v="2"/>
    <n v="120000"/>
    <x v="48"/>
    <x v="48"/>
    <x v="48"/>
  </r>
  <r>
    <x v="539"/>
    <s v="South"/>
    <x v="2"/>
    <x v="1"/>
    <s v="Store"/>
    <x v="0"/>
    <s v="Furniture"/>
    <n v="85000"/>
    <n v="3"/>
    <x v="3"/>
    <n v="68000"/>
    <x v="23"/>
    <x v="23"/>
    <x v="23"/>
  </r>
  <r>
    <x v="540"/>
    <s v="South"/>
    <x v="1"/>
    <x v="1"/>
    <s v="Store"/>
    <x v="5"/>
    <s v="Furniture"/>
    <n v="320000"/>
    <n v="8"/>
    <x v="2"/>
    <n v="256000"/>
    <x v="72"/>
    <x v="72"/>
    <x v="72"/>
  </r>
  <r>
    <x v="541"/>
    <s v="East"/>
    <x v="0"/>
    <x v="1"/>
    <s v="Online"/>
    <x v="8"/>
    <s v="Electronics"/>
    <n v="250000"/>
    <n v="1"/>
    <x v="3"/>
    <n v="200000"/>
    <x v="44"/>
    <x v="44"/>
    <x v="44"/>
  </r>
  <r>
    <x v="542"/>
    <s v="West"/>
    <x v="1"/>
    <x v="1"/>
    <s v="Store"/>
    <x v="4"/>
    <s v="Home Appliances"/>
    <n v="180000"/>
    <n v="4"/>
    <x v="0"/>
    <n v="144000"/>
    <x v="65"/>
    <x v="65"/>
    <x v="65"/>
  </r>
  <r>
    <x v="543"/>
    <s v="East"/>
    <x v="2"/>
    <x v="0"/>
    <s v="Online"/>
    <x v="2"/>
    <s v="Home Appliances"/>
    <n v="60000"/>
    <n v="6"/>
    <x v="5"/>
    <n v="48000"/>
    <x v="50"/>
    <x v="50"/>
    <x v="50"/>
  </r>
  <r>
    <x v="544"/>
    <s v="North"/>
    <x v="3"/>
    <x v="0"/>
    <s v="Store"/>
    <x v="4"/>
    <s v="Home Appliances"/>
    <n v="180000"/>
    <n v="7"/>
    <x v="0"/>
    <n v="144000"/>
    <x v="55"/>
    <x v="55"/>
    <x v="55"/>
  </r>
  <r>
    <x v="545"/>
    <s v="North"/>
    <x v="1"/>
    <x v="0"/>
    <s v="Online"/>
    <x v="6"/>
    <s v="Electronics"/>
    <n v="150000"/>
    <n v="10"/>
    <x v="4"/>
    <n v="120000"/>
    <x v="17"/>
    <x v="17"/>
    <x v="17"/>
  </r>
  <r>
    <x v="546"/>
    <s v="East"/>
    <x v="2"/>
    <x v="0"/>
    <s v="Store"/>
    <x v="5"/>
    <s v="Furniture"/>
    <n v="320000"/>
    <n v="5"/>
    <x v="4"/>
    <n v="256000"/>
    <x v="28"/>
    <x v="28"/>
    <x v="28"/>
  </r>
  <r>
    <x v="547"/>
    <s v="West"/>
    <x v="0"/>
    <x v="1"/>
    <s v="Store"/>
    <x v="6"/>
    <s v="Electronics"/>
    <n v="150000"/>
    <n v="7"/>
    <x v="1"/>
    <n v="120000"/>
    <x v="16"/>
    <x v="16"/>
    <x v="16"/>
  </r>
  <r>
    <x v="548"/>
    <s v="East"/>
    <x v="0"/>
    <x v="1"/>
    <s v="Online"/>
    <x v="6"/>
    <s v="Electronics"/>
    <n v="150000"/>
    <n v="4"/>
    <x v="4"/>
    <n v="120000"/>
    <x v="4"/>
    <x v="4"/>
    <x v="4"/>
  </r>
  <r>
    <x v="549"/>
    <s v="North"/>
    <x v="2"/>
    <x v="1"/>
    <s v="Online"/>
    <x v="3"/>
    <s v="Electronics"/>
    <n v="300000"/>
    <n v="6"/>
    <x v="2"/>
    <n v="240000"/>
    <x v="5"/>
    <x v="5"/>
    <x v="5"/>
  </r>
  <r>
    <x v="550"/>
    <s v="North"/>
    <x v="0"/>
    <x v="0"/>
    <s v="Store"/>
    <x v="5"/>
    <s v="Furniture"/>
    <n v="320000"/>
    <n v="4"/>
    <x v="2"/>
    <n v="256000"/>
    <x v="6"/>
    <x v="6"/>
    <x v="6"/>
  </r>
  <r>
    <x v="551"/>
    <s v="South"/>
    <x v="1"/>
    <x v="1"/>
    <s v="Online"/>
    <x v="1"/>
    <s v="Home Appliances"/>
    <n v="30000"/>
    <n v="4"/>
    <x v="1"/>
    <n v="24000"/>
    <x v="3"/>
    <x v="3"/>
    <x v="3"/>
  </r>
  <r>
    <x v="552"/>
    <s v="East"/>
    <x v="2"/>
    <x v="1"/>
    <s v="Online"/>
    <x v="6"/>
    <s v="Electronics"/>
    <n v="150000"/>
    <n v="8"/>
    <x v="5"/>
    <n v="120000"/>
    <x v="29"/>
    <x v="29"/>
    <x v="29"/>
  </r>
  <r>
    <x v="553"/>
    <s v="South"/>
    <x v="1"/>
    <x v="0"/>
    <s v="Store"/>
    <x v="8"/>
    <s v="Electronics"/>
    <n v="250000"/>
    <n v="8"/>
    <x v="4"/>
    <n v="200000"/>
    <x v="52"/>
    <x v="52"/>
    <x v="52"/>
  </r>
  <r>
    <x v="554"/>
    <s v="North"/>
    <x v="1"/>
    <x v="1"/>
    <s v="Online"/>
    <x v="1"/>
    <s v="Home Appliances"/>
    <n v="30000"/>
    <n v="4"/>
    <x v="5"/>
    <n v="24000"/>
    <x v="3"/>
    <x v="3"/>
    <x v="3"/>
  </r>
  <r>
    <x v="555"/>
    <s v="South"/>
    <x v="0"/>
    <x v="1"/>
    <s v="Online"/>
    <x v="7"/>
    <s v="Electronics"/>
    <n v="420000"/>
    <n v="2"/>
    <x v="4"/>
    <n v="336000"/>
    <x v="62"/>
    <x v="62"/>
    <x v="62"/>
  </r>
  <r>
    <x v="556"/>
    <s v="South"/>
    <x v="0"/>
    <x v="1"/>
    <s v="Store"/>
    <x v="1"/>
    <s v="Home Appliances"/>
    <n v="30000"/>
    <n v="6"/>
    <x v="4"/>
    <n v="24000"/>
    <x v="32"/>
    <x v="32"/>
    <x v="32"/>
  </r>
  <r>
    <x v="557"/>
    <s v="North"/>
    <x v="3"/>
    <x v="1"/>
    <s v="Online"/>
    <x v="9"/>
    <s v="Home Appliances"/>
    <n v="220000"/>
    <n v="2"/>
    <x v="3"/>
    <n v="176000"/>
    <x v="15"/>
    <x v="15"/>
    <x v="15"/>
  </r>
  <r>
    <x v="558"/>
    <s v="South"/>
    <x v="0"/>
    <x v="0"/>
    <s v="Online"/>
    <x v="3"/>
    <s v="Electronics"/>
    <n v="300000"/>
    <n v="4"/>
    <x v="3"/>
    <n v="240000"/>
    <x v="29"/>
    <x v="29"/>
    <x v="29"/>
  </r>
  <r>
    <x v="559"/>
    <s v="South"/>
    <x v="0"/>
    <x v="1"/>
    <s v="Online"/>
    <x v="7"/>
    <s v="Electronics"/>
    <n v="420000"/>
    <n v="8"/>
    <x v="0"/>
    <n v="336000"/>
    <x v="19"/>
    <x v="19"/>
    <x v="19"/>
  </r>
  <r>
    <x v="560"/>
    <s v="East"/>
    <x v="0"/>
    <x v="0"/>
    <s v="Online"/>
    <x v="5"/>
    <s v="Furniture"/>
    <n v="320000"/>
    <n v="4"/>
    <x v="3"/>
    <n v="256000"/>
    <x v="6"/>
    <x v="6"/>
    <x v="6"/>
  </r>
  <r>
    <x v="561"/>
    <s v="West"/>
    <x v="0"/>
    <x v="1"/>
    <s v="Store"/>
    <x v="8"/>
    <s v="Electronics"/>
    <n v="250000"/>
    <n v="8"/>
    <x v="1"/>
    <n v="200000"/>
    <x v="52"/>
    <x v="52"/>
    <x v="52"/>
  </r>
  <r>
    <x v="562"/>
    <s v="East"/>
    <x v="1"/>
    <x v="0"/>
    <s v="Store"/>
    <x v="5"/>
    <s v="Furniture"/>
    <n v="320000"/>
    <n v="7"/>
    <x v="5"/>
    <n v="256000"/>
    <x v="10"/>
    <x v="10"/>
    <x v="10"/>
  </r>
  <r>
    <x v="563"/>
    <s v="West"/>
    <x v="1"/>
    <x v="1"/>
    <s v="Store"/>
    <x v="3"/>
    <s v="Electronics"/>
    <n v="300000"/>
    <n v="6"/>
    <x v="1"/>
    <n v="240000"/>
    <x v="5"/>
    <x v="5"/>
    <x v="5"/>
  </r>
  <r>
    <x v="564"/>
    <s v="North"/>
    <x v="3"/>
    <x v="1"/>
    <s v="Store"/>
    <x v="4"/>
    <s v="Home Appliances"/>
    <n v="180000"/>
    <n v="4"/>
    <x v="0"/>
    <n v="144000"/>
    <x v="65"/>
    <x v="65"/>
    <x v="65"/>
  </r>
  <r>
    <x v="565"/>
    <s v="West"/>
    <x v="0"/>
    <x v="1"/>
    <s v="Online"/>
    <x v="8"/>
    <s v="Electronics"/>
    <n v="250000"/>
    <n v="6"/>
    <x v="3"/>
    <n v="200000"/>
    <x v="17"/>
    <x v="17"/>
    <x v="17"/>
  </r>
  <r>
    <x v="566"/>
    <s v="West"/>
    <x v="2"/>
    <x v="1"/>
    <s v="Online"/>
    <x v="8"/>
    <s v="Electronics"/>
    <n v="250000"/>
    <n v="7"/>
    <x v="3"/>
    <n v="200000"/>
    <x v="59"/>
    <x v="59"/>
    <x v="59"/>
  </r>
  <r>
    <x v="567"/>
    <s v="East"/>
    <x v="1"/>
    <x v="0"/>
    <s v="Store"/>
    <x v="7"/>
    <s v="Electronics"/>
    <n v="420000"/>
    <n v="2"/>
    <x v="0"/>
    <n v="336000"/>
    <x v="62"/>
    <x v="62"/>
    <x v="62"/>
  </r>
  <r>
    <x v="568"/>
    <s v="South"/>
    <x v="1"/>
    <x v="1"/>
    <s v="Online"/>
    <x v="6"/>
    <s v="Electronics"/>
    <n v="150000"/>
    <n v="2"/>
    <x v="1"/>
    <n v="120000"/>
    <x v="11"/>
    <x v="11"/>
    <x v="11"/>
  </r>
  <r>
    <x v="569"/>
    <s v="North"/>
    <x v="1"/>
    <x v="0"/>
    <s v="Online"/>
    <x v="9"/>
    <s v="Home Appliances"/>
    <n v="220000"/>
    <n v="8"/>
    <x v="5"/>
    <n v="176000"/>
    <x v="42"/>
    <x v="42"/>
    <x v="42"/>
  </r>
  <r>
    <x v="570"/>
    <s v="East"/>
    <x v="0"/>
    <x v="0"/>
    <s v="Store"/>
    <x v="6"/>
    <s v="Electronics"/>
    <n v="150000"/>
    <n v="2"/>
    <x v="2"/>
    <n v="120000"/>
    <x v="11"/>
    <x v="11"/>
    <x v="11"/>
  </r>
  <r>
    <x v="571"/>
    <s v="East"/>
    <x v="1"/>
    <x v="1"/>
    <s v="Online"/>
    <x v="1"/>
    <s v="Home Appliances"/>
    <n v="30000"/>
    <n v="1"/>
    <x v="3"/>
    <n v="24000"/>
    <x v="75"/>
    <x v="75"/>
    <x v="75"/>
  </r>
  <r>
    <x v="572"/>
    <s v="East"/>
    <x v="0"/>
    <x v="0"/>
    <s v="Store"/>
    <x v="4"/>
    <s v="Home Appliances"/>
    <n v="180000"/>
    <n v="5"/>
    <x v="0"/>
    <n v="144000"/>
    <x v="48"/>
    <x v="48"/>
    <x v="48"/>
  </r>
  <r>
    <x v="573"/>
    <s v="West"/>
    <x v="2"/>
    <x v="1"/>
    <s v="Store"/>
    <x v="6"/>
    <s v="Electronics"/>
    <n v="150000"/>
    <n v="9"/>
    <x v="4"/>
    <n v="120000"/>
    <x v="63"/>
    <x v="63"/>
    <x v="63"/>
  </r>
  <r>
    <x v="574"/>
    <s v="South"/>
    <x v="1"/>
    <x v="1"/>
    <s v="Store"/>
    <x v="6"/>
    <s v="Electronics"/>
    <n v="150000"/>
    <n v="5"/>
    <x v="4"/>
    <n v="120000"/>
    <x v="56"/>
    <x v="56"/>
    <x v="56"/>
  </r>
  <r>
    <x v="575"/>
    <s v="South"/>
    <x v="0"/>
    <x v="0"/>
    <s v="Online"/>
    <x v="9"/>
    <s v="Home Appliances"/>
    <n v="220000"/>
    <n v="4"/>
    <x v="5"/>
    <n v="176000"/>
    <x v="22"/>
    <x v="22"/>
    <x v="22"/>
  </r>
  <r>
    <x v="576"/>
    <s v="West"/>
    <x v="2"/>
    <x v="0"/>
    <s v="Online"/>
    <x v="5"/>
    <s v="Furniture"/>
    <n v="320000"/>
    <n v="4"/>
    <x v="0"/>
    <n v="256000"/>
    <x v="6"/>
    <x v="6"/>
    <x v="6"/>
  </r>
  <r>
    <x v="577"/>
    <s v="West"/>
    <x v="3"/>
    <x v="1"/>
    <s v="Store"/>
    <x v="5"/>
    <s v="Furniture"/>
    <n v="320000"/>
    <n v="8"/>
    <x v="0"/>
    <n v="256000"/>
    <x v="72"/>
    <x v="72"/>
    <x v="72"/>
  </r>
  <r>
    <x v="578"/>
    <s v="North"/>
    <x v="3"/>
    <x v="0"/>
    <s v="Online"/>
    <x v="2"/>
    <s v="Home Appliances"/>
    <n v="60000"/>
    <n v="9"/>
    <x v="0"/>
    <n v="48000"/>
    <x v="46"/>
    <x v="46"/>
    <x v="46"/>
  </r>
  <r>
    <x v="579"/>
    <s v="East"/>
    <x v="1"/>
    <x v="0"/>
    <s v="Store"/>
    <x v="3"/>
    <s v="Electronics"/>
    <n v="300000"/>
    <n v="10"/>
    <x v="0"/>
    <n v="240000"/>
    <x v="68"/>
    <x v="68"/>
    <x v="68"/>
  </r>
  <r>
    <x v="580"/>
    <s v="North"/>
    <x v="1"/>
    <x v="1"/>
    <s v="Online"/>
    <x v="6"/>
    <s v="Electronics"/>
    <n v="150000"/>
    <n v="6"/>
    <x v="3"/>
    <n v="120000"/>
    <x v="48"/>
    <x v="48"/>
    <x v="48"/>
  </r>
  <r>
    <x v="581"/>
    <s v="South"/>
    <x v="2"/>
    <x v="1"/>
    <s v="Online"/>
    <x v="4"/>
    <s v="Home Appliances"/>
    <n v="180000"/>
    <n v="8"/>
    <x v="4"/>
    <n v="144000"/>
    <x v="37"/>
    <x v="37"/>
    <x v="37"/>
  </r>
  <r>
    <x v="582"/>
    <s v="East"/>
    <x v="0"/>
    <x v="0"/>
    <s v="Online"/>
    <x v="2"/>
    <s v="Home Appliances"/>
    <n v="60000"/>
    <n v="7"/>
    <x v="5"/>
    <n v="48000"/>
    <x v="40"/>
    <x v="40"/>
    <x v="40"/>
  </r>
  <r>
    <x v="583"/>
    <s v="East"/>
    <x v="1"/>
    <x v="0"/>
    <s v="Store"/>
    <x v="6"/>
    <s v="Electronics"/>
    <n v="150000"/>
    <n v="9"/>
    <x v="0"/>
    <n v="120000"/>
    <x v="63"/>
    <x v="63"/>
    <x v="63"/>
  </r>
  <r>
    <x v="584"/>
    <s v="East"/>
    <x v="1"/>
    <x v="0"/>
    <s v="Store"/>
    <x v="4"/>
    <s v="Home Appliances"/>
    <n v="180000"/>
    <n v="4"/>
    <x v="3"/>
    <n v="144000"/>
    <x v="65"/>
    <x v="65"/>
    <x v="65"/>
  </r>
  <r>
    <x v="585"/>
    <s v="West"/>
    <x v="3"/>
    <x v="0"/>
    <s v="Store"/>
    <x v="4"/>
    <s v="Home Appliances"/>
    <n v="180000"/>
    <n v="1"/>
    <x v="4"/>
    <n v="144000"/>
    <x v="32"/>
    <x v="32"/>
    <x v="32"/>
  </r>
  <r>
    <x v="586"/>
    <s v="West"/>
    <x v="0"/>
    <x v="0"/>
    <s v="Online"/>
    <x v="2"/>
    <s v="Home Appliances"/>
    <n v="60000"/>
    <n v="6"/>
    <x v="4"/>
    <n v="48000"/>
    <x v="50"/>
    <x v="50"/>
    <x v="50"/>
  </r>
  <r>
    <x v="587"/>
    <s v="East"/>
    <x v="2"/>
    <x v="1"/>
    <s v="Store"/>
    <x v="5"/>
    <s v="Furniture"/>
    <n v="320000"/>
    <n v="8"/>
    <x v="3"/>
    <n v="256000"/>
    <x v="72"/>
    <x v="72"/>
    <x v="72"/>
  </r>
  <r>
    <x v="588"/>
    <s v="East"/>
    <x v="2"/>
    <x v="0"/>
    <s v="Online"/>
    <x v="4"/>
    <s v="Home Appliances"/>
    <n v="180000"/>
    <n v="6"/>
    <x v="4"/>
    <n v="144000"/>
    <x v="53"/>
    <x v="53"/>
    <x v="53"/>
  </r>
  <r>
    <x v="589"/>
    <s v="South"/>
    <x v="1"/>
    <x v="1"/>
    <s v="Online"/>
    <x v="2"/>
    <s v="Home Appliances"/>
    <n v="60000"/>
    <n v="8"/>
    <x v="1"/>
    <n v="48000"/>
    <x v="47"/>
    <x v="47"/>
    <x v="47"/>
  </r>
  <r>
    <x v="590"/>
    <s v="East"/>
    <x v="1"/>
    <x v="1"/>
    <s v="Online"/>
    <x v="7"/>
    <s v="Electronics"/>
    <n v="420000"/>
    <n v="3"/>
    <x v="0"/>
    <n v="336000"/>
    <x v="55"/>
    <x v="55"/>
    <x v="55"/>
  </r>
  <r>
    <x v="591"/>
    <s v="South"/>
    <x v="2"/>
    <x v="1"/>
    <s v="Online"/>
    <x v="9"/>
    <s v="Home Appliances"/>
    <n v="220000"/>
    <n v="5"/>
    <x v="1"/>
    <n v="176000"/>
    <x v="51"/>
    <x v="51"/>
    <x v="51"/>
  </r>
  <r>
    <x v="592"/>
    <s v="West"/>
    <x v="3"/>
    <x v="0"/>
    <s v="Online"/>
    <x v="2"/>
    <s v="Home Appliances"/>
    <n v="60000"/>
    <n v="6"/>
    <x v="0"/>
    <n v="48000"/>
    <x v="50"/>
    <x v="50"/>
    <x v="50"/>
  </r>
  <r>
    <x v="593"/>
    <s v="West"/>
    <x v="3"/>
    <x v="0"/>
    <s v="Store"/>
    <x v="2"/>
    <s v="Home Appliances"/>
    <n v="60000"/>
    <n v="8"/>
    <x v="5"/>
    <n v="48000"/>
    <x v="47"/>
    <x v="47"/>
    <x v="47"/>
  </r>
  <r>
    <x v="594"/>
    <s v="West"/>
    <x v="1"/>
    <x v="1"/>
    <s v="Online"/>
    <x v="1"/>
    <s v="Home Appliances"/>
    <n v="30000"/>
    <n v="2"/>
    <x v="0"/>
    <n v="24000"/>
    <x v="41"/>
    <x v="41"/>
    <x v="41"/>
  </r>
  <r>
    <x v="595"/>
    <s v="East"/>
    <x v="0"/>
    <x v="1"/>
    <s v="Store"/>
    <x v="3"/>
    <s v="Electronics"/>
    <n v="300000"/>
    <n v="3"/>
    <x v="3"/>
    <n v="240000"/>
    <x v="48"/>
    <x v="48"/>
    <x v="48"/>
  </r>
  <r>
    <x v="596"/>
    <s v="North"/>
    <x v="1"/>
    <x v="1"/>
    <s v="Store"/>
    <x v="8"/>
    <s v="Electronics"/>
    <n v="250000"/>
    <n v="3"/>
    <x v="1"/>
    <n v="200000"/>
    <x v="56"/>
    <x v="56"/>
    <x v="56"/>
  </r>
  <r>
    <x v="597"/>
    <s v="North"/>
    <x v="1"/>
    <x v="1"/>
    <s v="Store"/>
    <x v="7"/>
    <s v="Electronics"/>
    <n v="420000"/>
    <n v="1"/>
    <x v="1"/>
    <n v="336000"/>
    <x v="40"/>
    <x v="40"/>
    <x v="40"/>
  </r>
  <r>
    <x v="598"/>
    <s v="South"/>
    <x v="0"/>
    <x v="1"/>
    <s v="Store"/>
    <x v="1"/>
    <s v="Home Appliances"/>
    <n v="30000"/>
    <n v="1"/>
    <x v="3"/>
    <n v="24000"/>
    <x v="75"/>
    <x v="75"/>
    <x v="75"/>
  </r>
  <r>
    <x v="599"/>
    <s v="South"/>
    <x v="2"/>
    <x v="0"/>
    <s v="Online"/>
    <x v="1"/>
    <s v="Home Appliances"/>
    <n v="30000"/>
    <n v="8"/>
    <x v="4"/>
    <n v="24000"/>
    <x v="1"/>
    <x v="1"/>
    <x v="1"/>
  </r>
  <r>
    <x v="600"/>
    <s v="North"/>
    <x v="0"/>
    <x v="1"/>
    <s v="Online"/>
    <x v="8"/>
    <s v="Electronics"/>
    <n v="250000"/>
    <n v="10"/>
    <x v="4"/>
    <n v="200000"/>
    <x v="66"/>
    <x v="66"/>
    <x v="66"/>
  </r>
  <r>
    <x v="601"/>
    <s v="North"/>
    <x v="2"/>
    <x v="1"/>
    <s v="Store"/>
    <x v="6"/>
    <s v="Electronics"/>
    <n v="150000"/>
    <n v="10"/>
    <x v="1"/>
    <n v="120000"/>
    <x v="17"/>
    <x v="17"/>
    <x v="17"/>
  </r>
  <r>
    <x v="602"/>
    <s v="East"/>
    <x v="3"/>
    <x v="0"/>
    <s v="Store"/>
    <x v="8"/>
    <s v="Electronics"/>
    <n v="250000"/>
    <n v="8"/>
    <x v="0"/>
    <n v="200000"/>
    <x v="52"/>
    <x v="52"/>
    <x v="52"/>
  </r>
  <r>
    <x v="603"/>
    <s v="North"/>
    <x v="2"/>
    <x v="0"/>
    <s v="Store"/>
    <x v="8"/>
    <s v="Electronics"/>
    <n v="250000"/>
    <n v="9"/>
    <x v="5"/>
    <n v="200000"/>
    <x v="71"/>
    <x v="71"/>
    <x v="71"/>
  </r>
  <r>
    <x v="604"/>
    <s v="North"/>
    <x v="3"/>
    <x v="0"/>
    <s v="Store"/>
    <x v="7"/>
    <s v="Electronics"/>
    <n v="420000"/>
    <n v="10"/>
    <x v="2"/>
    <n v="336000"/>
    <x v="20"/>
    <x v="20"/>
    <x v="20"/>
  </r>
  <r>
    <x v="605"/>
    <s v="West"/>
    <x v="1"/>
    <x v="1"/>
    <s v="Online"/>
    <x v="0"/>
    <s v="Furniture"/>
    <n v="85000"/>
    <n v="4"/>
    <x v="1"/>
    <n v="68000"/>
    <x v="74"/>
    <x v="74"/>
    <x v="74"/>
  </r>
  <r>
    <x v="606"/>
    <s v="East"/>
    <x v="1"/>
    <x v="0"/>
    <s v="Online"/>
    <x v="4"/>
    <s v="Home Appliances"/>
    <n v="180000"/>
    <n v="1"/>
    <x v="5"/>
    <n v="144000"/>
    <x v="32"/>
    <x v="32"/>
    <x v="32"/>
  </r>
  <r>
    <x v="607"/>
    <s v="South"/>
    <x v="1"/>
    <x v="0"/>
    <s v="Store"/>
    <x v="4"/>
    <s v="Home Appliances"/>
    <n v="180000"/>
    <n v="9"/>
    <x v="3"/>
    <n v="144000"/>
    <x v="27"/>
    <x v="27"/>
    <x v="27"/>
  </r>
  <r>
    <x v="608"/>
    <s v="East"/>
    <x v="2"/>
    <x v="1"/>
    <s v="Store"/>
    <x v="6"/>
    <s v="Electronics"/>
    <n v="150000"/>
    <n v="10"/>
    <x v="2"/>
    <n v="120000"/>
    <x v="17"/>
    <x v="17"/>
    <x v="17"/>
  </r>
  <r>
    <x v="609"/>
    <s v="East"/>
    <x v="3"/>
    <x v="1"/>
    <s v="Store"/>
    <x v="3"/>
    <s v="Electronics"/>
    <n v="300000"/>
    <n v="1"/>
    <x v="2"/>
    <n v="240000"/>
    <x v="11"/>
    <x v="11"/>
    <x v="11"/>
  </r>
  <r>
    <x v="610"/>
    <s v="South"/>
    <x v="3"/>
    <x v="0"/>
    <s v="Online"/>
    <x v="6"/>
    <s v="Electronics"/>
    <n v="150000"/>
    <n v="8"/>
    <x v="0"/>
    <n v="120000"/>
    <x v="29"/>
    <x v="29"/>
    <x v="29"/>
  </r>
  <r>
    <x v="611"/>
    <s v="West"/>
    <x v="3"/>
    <x v="0"/>
    <s v="Store"/>
    <x v="6"/>
    <s v="Electronics"/>
    <n v="150000"/>
    <n v="3"/>
    <x v="3"/>
    <n v="120000"/>
    <x v="34"/>
    <x v="34"/>
    <x v="34"/>
  </r>
  <r>
    <x v="612"/>
    <s v="North"/>
    <x v="3"/>
    <x v="0"/>
    <s v="Store"/>
    <x v="5"/>
    <s v="Furniture"/>
    <n v="320000"/>
    <n v="3"/>
    <x v="0"/>
    <n v="256000"/>
    <x v="9"/>
    <x v="9"/>
    <x v="9"/>
  </r>
  <r>
    <x v="613"/>
    <s v="South"/>
    <x v="2"/>
    <x v="0"/>
    <s v="Online"/>
    <x v="4"/>
    <s v="Home Appliances"/>
    <n v="180000"/>
    <n v="8"/>
    <x v="0"/>
    <n v="144000"/>
    <x v="37"/>
    <x v="37"/>
    <x v="37"/>
  </r>
  <r>
    <x v="614"/>
    <s v="South"/>
    <x v="2"/>
    <x v="0"/>
    <s v="Store"/>
    <x v="4"/>
    <s v="Home Appliances"/>
    <n v="180000"/>
    <n v="1"/>
    <x v="1"/>
    <n v="144000"/>
    <x v="32"/>
    <x v="32"/>
    <x v="32"/>
  </r>
  <r>
    <x v="615"/>
    <s v="West"/>
    <x v="1"/>
    <x v="0"/>
    <s v="Store"/>
    <x v="2"/>
    <s v="Home Appliances"/>
    <n v="60000"/>
    <n v="7"/>
    <x v="4"/>
    <n v="48000"/>
    <x v="40"/>
    <x v="40"/>
    <x v="40"/>
  </r>
  <r>
    <x v="616"/>
    <s v="East"/>
    <x v="2"/>
    <x v="1"/>
    <s v="Store"/>
    <x v="5"/>
    <s v="Furniture"/>
    <n v="320000"/>
    <n v="7"/>
    <x v="1"/>
    <n v="256000"/>
    <x v="10"/>
    <x v="10"/>
    <x v="10"/>
  </r>
  <r>
    <x v="617"/>
    <s v="South"/>
    <x v="1"/>
    <x v="1"/>
    <s v="Online"/>
    <x v="0"/>
    <s v="Furniture"/>
    <n v="85000"/>
    <n v="9"/>
    <x v="1"/>
    <n v="68000"/>
    <x v="18"/>
    <x v="18"/>
    <x v="18"/>
  </r>
  <r>
    <x v="618"/>
    <s v="West"/>
    <x v="1"/>
    <x v="0"/>
    <s v="Online"/>
    <x v="5"/>
    <s v="Furniture"/>
    <n v="320000"/>
    <n v="3"/>
    <x v="4"/>
    <n v="256000"/>
    <x v="9"/>
    <x v="9"/>
    <x v="9"/>
  </r>
  <r>
    <x v="619"/>
    <s v="South"/>
    <x v="3"/>
    <x v="0"/>
    <s v="Online"/>
    <x v="9"/>
    <s v="Home Appliances"/>
    <n v="220000"/>
    <n v="4"/>
    <x v="4"/>
    <n v="176000"/>
    <x v="22"/>
    <x v="22"/>
    <x v="22"/>
  </r>
  <r>
    <x v="620"/>
    <s v="East"/>
    <x v="2"/>
    <x v="1"/>
    <s v="Online"/>
    <x v="5"/>
    <s v="Furniture"/>
    <n v="320000"/>
    <n v="7"/>
    <x v="3"/>
    <n v="256000"/>
    <x v="10"/>
    <x v="10"/>
    <x v="10"/>
  </r>
  <r>
    <x v="621"/>
    <s v="East"/>
    <x v="0"/>
    <x v="1"/>
    <s v="Online"/>
    <x v="8"/>
    <s v="Electronics"/>
    <n v="250000"/>
    <n v="1"/>
    <x v="2"/>
    <n v="200000"/>
    <x v="44"/>
    <x v="44"/>
    <x v="44"/>
  </r>
  <r>
    <x v="622"/>
    <s v="East"/>
    <x v="2"/>
    <x v="0"/>
    <s v="Store"/>
    <x v="1"/>
    <s v="Home Appliances"/>
    <n v="30000"/>
    <n v="5"/>
    <x v="2"/>
    <n v="24000"/>
    <x v="26"/>
    <x v="26"/>
    <x v="26"/>
  </r>
  <r>
    <x v="623"/>
    <s v="South"/>
    <x v="2"/>
    <x v="1"/>
    <s v="Online"/>
    <x v="9"/>
    <s v="Home Appliances"/>
    <n v="220000"/>
    <n v="5"/>
    <x v="1"/>
    <n v="176000"/>
    <x v="51"/>
    <x v="51"/>
    <x v="51"/>
  </r>
  <r>
    <x v="624"/>
    <s v="North"/>
    <x v="2"/>
    <x v="1"/>
    <s v="Store"/>
    <x v="8"/>
    <s v="Electronics"/>
    <n v="250000"/>
    <n v="4"/>
    <x v="3"/>
    <n v="200000"/>
    <x v="14"/>
    <x v="14"/>
    <x v="14"/>
  </r>
  <r>
    <x v="625"/>
    <s v="North"/>
    <x v="0"/>
    <x v="0"/>
    <s v="Store"/>
    <x v="4"/>
    <s v="Home Appliances"/>
    <n v="180000"/>
    <n v="4"/>
    <x v="0"/>
    <n v="144000"/>
    <x v="65"/>
    <x v="65"/>
    <x v="65"/>
  </r>
  <r>
    <x v="626"/>
    <s v="South"/>
    <x v="0"/>
    <x v="1"/>
    <s v="Store"/>
    <x v="2"/>
    <s v="Home Appliances"/>
    <n v="60000"/>
    <n v="10"/>
    <x v="1"/>
    <n v="48000"/>
    <x v="4"/>
    <x v="4"/>
    <x v="4"/>
  </r>
  <r>
    <x v="627"/>
    <s v="East"/>
    <x v="2"/>
    <x v="0"/>
    <s v="Online"/>
    <x v="5"/>
    <s v="Furniture"/>
    <n v="320000"/>
    <n v="10"/>
    <x v="0"/>
    <n v="256000"/>
    <x v="35"/>
    <x v="35"/>
    <x v="35"/>
  </r>
  <r>
    <x v="628"/>
    <s v="East"/>
    <x v="2"/>
    <x v="0"/>
    <s v="Store"/>
    <x v="6"/>
    <s v="Electronics"/>
    <n v="150000"/>
    <n v="4"/>
    <x v="2"/>
    <n v="120000"/>
    <x v="4"/>
    <x v="4"/>
    <x v="4"/>
  </r>
  <r>
    <x v="629"/>
    <s v="West"/>
    <x v="0"/>
    <x v="1"/>
    <s v="Store"/>
    <x v="5"/>
    <s v="Furniture"/>
    <n v="320000"/>
    <n v="4"/>
    <x v="0"/>
    <n v="256000"/>
    <x v="6"/>
    <x v="6"/>
    <x v="6"/>
  </r>
  <r>
    <x v="630"/>
    <s v="South"/>
    <x v="1"/>
    <x v="1"/>
    <s v="Online"/>
    <x v="3"/>
    <s v="Electronics"/>
    <n v="300000"/>
    <n v="7"/>
    <x v="4"/>
    <n v="240000"/>
    <x v="13"/>
    <x v="13"/>
    <x v="13"/>
  </r>
  <r>
    <x v="631"/>
    <s v="North"/>
    <x v="0"/>
    <x v="1"/>
    <s v="Store"/>
    <x v="6"/>
    <s v="Electronics"/>
    <n v="150000"/>
    <n v="10"/>
    <x v="0"/>
    <n v="120000"/>
    <x v="17"/>
    <x v="17"/>
    <x v="17"/>
  </r>
  <r>
    <x v="632"/>
    <s v="South"/>
    <x v="1"/>
    <x v="1"/>
    <s v="Online"/>
    <x v="9"/>
    <s v="Home Appliances"/>
    <n v="220000"/>
    <n v="9"/>
    <x v="0"/>
    <n v="176000"/>
    <x v="64"/>
    <x v="64"/>
    <x v="64"/>
  </r>
  <r>
    <x v="633"/>
    <s v="West"/>
    <x v="3"/>
    <x v="1"/>
    <s v="Store"/>
    <x v="0"/>
    <s v="Furniture"/>
    <n v="85000"/>
    <n v="4"/>
    <x v="2"/>
    <n v="68000"/>
    <x v="74"/>
    <x v="74"/>
    <x v="74"/>
  </r>
  <r>
    <x v="634"/>
    <s v="South"/>
    <x v="2"/>
    <x v="1"/>
    <s v="Online"/>
    <x v="5"/>
    <s v="Furniture"/>
    <n v="320000"/>
    <n v="1"/>
    <x v="5"/>
    <n v="256000"/>
    <x v="7"/>
    <x v="7"/>
    <x v="7"/>
  </r>
  <r>
    <x v="635"/>
    <s v="East"/>
    <x v="3"/>
    <x v="1"/>
    <s v="Store"/>
    <x v="7"/>
    <s v="Electronics"/>
    <n v="420000"/>
    <n v="1"/>
    <x v="3"/>
    <n v="336000"/>
    <x v="40"/>
    <x v="40"/>
    <x v="40"/>
  </r>
  <r>
    <x v="636"/>
    <s v="South"/>
    <x v="2"/>
    <x v="1"/>
    <s v="Store"/>
    <x v="7"/>
    <s v="Electronics"/>
    <n v="420000"/>
    <n v="6"/>
    <x v="1"/>
    <n v="336000"/>
    <x v="76"/>
    <x v="76"/>
    <x v="76"/>
  </r>
  <r>
    <x v="637"/>
    <s v="North"/>
    <x v="1"/>
    <x v="1"/>
    <s v="Online"/>
    <x v="2"/>
    <s v="Home Appliances"/>
    <n v="60000"/>
    <n v="8"/>
    <x v="4"/>
    <n v="48000"/>
    <x v="47"/>
    <x v="47"/>
    <x v="47"/>
  </r>
  <r>
    <x v="638"/>
    <s v="East"/>
    <x v="0"/>
    <x v="1"/>
    <s v="Store"/>
    <x v="9"/>
    <s v="Home Appliances"/>
    <n v="220000"/>
    <n v="7"/>
    <x v="0"/>
    <n v="176000"/>
    <x v="67"/>
    <x v="67"/>
    <x v="67"/>
  </r>
  <r>
    <x v="639"/>
    <s v="South"/>
    <x v="0"/>
    <x v="1"/>
    <s v="Online"/>
    <x v="5"/>
    <s v="Furniture"/>
    <n v="320000"/>
    <n v="9"/>
    <x v="3"/>
    <n v="256000"/>
    <x v="8"/>
    <x v="8"/>
    <x v="8"/>
  </r>
  <r>
    <x v="640"/>
    <s v="West"/>
    <x v="3"/>
    <x v="1"/>
    <s v="Store"/>
    <x v="3"/>
    <s v="Electronics"/>
    <n v="300000"/>
    <n v="2"/>
    <x v="4"/>
    <n v="240000"/>
    <x v="4"/>
    <x v="4"/>
    <x v="4"/>
  </r>
  <r>
    <x v="641"/>
    <s v="South"/>
    <x v="0"/>
    <x v="1"/>
    <s v="Online"/>
    <x v="8"/>
    <s v="Electronics"/>
    <n v="250000"/>
    <n v="4"/>
    <x v="4"/>
    <n v="200000"/>
    <x v="14"/>
    <x v="14"/>
    <x v="14"/>
  </r>
  <r>
    <x v="642"/>
    <s v="North"/>
    <x v="1"/>
    <x v="0"/>
    <s v="Online"/>
    <x v="1"/>
    <s v="Home Appliances"/>
    <n v="30000"/>
    <n v="4"/>
    <x v="4"/>
    <n v="24000"/>
    <x v="3"/>
    <x v="3"/>
    <x v="3"/>
  </r>
  <r>
    <x v="643"/>
    <s v="West"/>
    <x v="1"/>
    <x v="0"/>
    <s v="Store"/>
    <x v="9"/>
    <s v="Home Appliances"/>
    <n v="220000"/>
    <n v="4"/>
    <x v="0"/>
    <n v="176000"/>
    <x v="22"/>
    <x v="22"/>
    <x v="22"/>
  </r>
  <r>
    <x v="644"/>
    <s v="North"/>
    <x v="3"/>
    <x v="0"/>
    <s v="Store"/>
    <x v="3"/>
    <s v="Electronics"/>
    <n v="300000"/>
    <n v="2"/>
    <x v="4"/>
    <n v="240000"/>
    <x v="4"/>
    <x v="4"/>
    <x v="4"/>
  </r>
  <r>
    <x v="645"/>
    <s v="South"/>
    <x v="1"/>
    <x v="0"/>
    <s v="Online"/>
    <x v="5"/>
    <s v="Furniture"/>
    <n v="320000"/>
    <n v="7"/>
    <x v="1"/>
    <n v="256000"/>
    <x v="10"/>
    <x v="10"/>
    <x v="10"/>
  </r>
  <r>
    <x v="646"/>
    <s v="East"/>
    <x v="3"/>
    <x v="1"/>
    <s v="Online"/>
    <x v="2"/>
    <s v="Home Appliances"/>
    <n v="60000"/>
    <n v="5"/>
    <x v="2"/>
    <n v="48000"/>
    <x v="11"/>
    <x v="11"/>
    <x v="11"/>
  </r>
  <r>
    <x v="647"/>
    <s v="South"/>
    <x v="2"/>
    <x v="0"/>
    <s v="Online"/>
    <x v="0"/>
    <s v="Furniture"/>
    <n v="85000"/>
    <n v="7"/>
    <x v="3"/>
    <n v="68000"/>
    <x v="30"/>
    <x v="30"/>
    <x v="30"/>
  </r>
  <r>
    <x v="648"/>
    <s v="West"/>
    <x v="1"/>
    <x v="0"/>
    <s v="Store"/>
    <x v="3"/>
    <s v="Electronics"/>
    <n v="300000"/>
    <n v="6"/>
    <x v="5"/>
    <n v="240000"/>
    <x v="5"/>
    <x v="5"/>
    <x v="5"/>
  </r>
  <r>
    <x v="649"/>
    <s v="East"/>
    <x v="2"/>
    <x v="1"/>
    <s v="Online"/>
    <x v="4"/>
    <s v="Home Appliances"/>
    <n v="180000"/>
    <n v="5"/>
    <x v="2"/>
    <n v="144000"/>
    <x v="48"/>
    <x v="48"/>
    <x v="48"/>
  </r>
  <r>
    <x v="650"/>
    <s v="East"/>
    <x v="1"/>
    <x v="1"/>
    <s v="Store"/>
    <x v="3"/>
    <s v="Electronics"/>
    <n v="300000"/>
    <n v="1"/>
    <x v="4"/>
    <n v="240000"/>
    <x v="11"/>
    <x v="11"/>
    <x v="11"/>
  </r>
  <r>
    <x v="651"/>
    <s v="West"/>
    <x v="0"/>
    <x v="0"/>
    <s v="Store"/>
    <x v="2"/>
    <s v="Home Appliances"/>
    <n v="60000"/>
    <n v="7"/>
    <x v="1"/>
    <n v="48000"/>
    <x v="40"/>
    <x v="40"/>
    <x v="40"/>
  </r>
  <r>
    <x v="652"/>
    <s v="South"/>
    <x v="2"/>
    <x v="0"/>
    <s v="Online"/>
    <x v="1"/>
    <s v="Home Appliances"/>
    <n v="30000"/>
    <n v="8"/>
    <x v="2"/>
    <n v="24000"/>
    <x v="1"/>
    <x v="1"/>
    <x v="1"/>
  </r>
  <r>
    <x v="653"/>
    <s v="West"/>
    <x v="1"/>
    <x v="1"/>
    <s v="Online"/>
    <x v="9"/>
    <s v="Home Appliances"/>
    <n v="220000"/>
    <n v="3"/>
    <x v="3"/>
    <n v="176000"/>
    <x v="49"/>
    <x v="49"/>
    <x v="49"/>
  </r>
  <r>
    <x v="654"/>
    <s v="South"/>
    <x v="1"/>
    <x v="1"/>
    <s v="Online"/>
    <x v="9"/>
    <s v="Home Appliances"/>
    <n v="220000"/>
    <n v="7"/>
    <x v="3"/>
    <n v="176000"/>
    <x v="67"/>
    <x v="67"/>
    <x v="67"/>
  </r>
  <r>
    <x v="655"/>
    <s v="North"/>
    <x v="0"/>
    <x v="0"/>
    <s v="Store"/>
    <x v="4"/>
    <s v="Home Appliances"/>
    <n v="180000"/>
    <n v="2"/>
    <x v="1"/>
    <n v="144000"/>
    <x v="50"/>
    <x v="50"/>
    <x v="50"/>
  </r>
  <r>
    <x v="656"/>
    <s v="West"/>
    <x v="2"/>
    <x v="0"/>
    <s v="Store"/>
    <x v="2"/>
    <s v="Home Appliances"/>
    <n v="60000"/>
    <n v="8"/>
    <x v="4"/>
    <n v="48000"/>
    <x v="47"/>
    <x v="47"/>
    <x v="47"/>
  </r>
  <r>
    <x v="657"/>
    <s v="North"/>
    <x v="1"/>
    <x v="0"/>
    <s v="Online"/>
    <x v="1"/>
    <s v="Home Appliances"/>
    <n v="30000"/>
    <n v="2"/>
    <x v="3"/>
    <n v="24000"/>
    <x v="41"/>
    <x v="41"/>
    <x v="41"/>
  </r>
  <r>
    <x v="658"/>
    <s v="North"/>
    <x v="1"/>
    <x v="1"/>
    <s v="Online"/>
    <x v="6"/>
    <s v="Electronics"/>
    <n v="150000"/>
    <n v="5"/>
    <x v="3"/>
    <n v="120000"/>
    <x v="56"/>
    <x v="56"/>
    <x v="56"/>
  </r>
  <r>
    <x v="659"/>
    <s v="West"/>
    <x v="1"/>
    <x v="1"/>
    <s v="Store"/>
    <x v="8"/>
    <s v="Electronics"/>
    <n v="250000"/>
    <n v="5"/>
    <x v="3"/>
    <n v="200000"/>
    <x v="21"/>
    <x v="21"/>
    <x v="21"/>
  </r>
  <r>
    <x v="660"/>
    <s v="South"/>
    <x v="0"/>
    <x v="1"/>
    <s v="Online"/>
    <x v="0"/>
    <s v="Furniture"/>
    <n v="85000"/>
    <n v="4"/>
    <x v="1"/>
    <n v="68000"/>
    <x v="74"/>
    <x v="74"/>
    <x v="74"/>
  </r>
  <r>
    <x v="661"/>
    <s v="West"/>
    <x v="2"/>
    <x v="0"/>
    <s v="Store"/>
    <x v="3"/>
    <s v="Electronics"/>
    <n v="300000"/>
    <n v="10"/>
    <x v="1"/>
    <n v="240000"/>
    <x v="68"/>
    <x v="68"/>
    <x v="68"/>
  </r>
  <r>
    <x v="662"/>
    <s v="South"/>
    <x v="0"/>
    <x v="1"/>
    <s v="Online"/>
    <x v="8"/>
    <s v="Electronics"/>
    <n v="250000"/>
    <n v="8"/>
    <x v="5"/>
    <n v="200000"/>
    <x v="52"/>
    <x v="52"/>
    <x v="52"/>
  </r>
  <r>
    <x v="663"/>
    <s v="West"/>
    <x v="1"/>
    <x v="0"/>
    <s v="Store"/>
    <x v="5"/>
    <s v="Furniture"/>
    <n v="320000"/>
    <n v="4"/>
    <x v="5"/>
    <n v="256000"/>
    <x v="6"/>
    <x v="6"/>
    <x v="6"/>
  </r>
  <r>
    <x v="664"/>
    <s v="North"/>
    <x v="1"/>
    <x v="1"/>
    <s v="Store"/>
    <x v="1"/>
    <s v="Home Appliances"/>
    <n v="30000"/>
    <n v="10"/>
    <x v="2"/>
    <n v="24000"/>
    <x v="11"/>
    <x v="11"/>
    <x v="11"/>
  </r>
  <r>
    <x v="665"/>
    <s v="North"/>
    <x v="0"/>
    <x v="1"/>
    <s v="Online"/>
    <x v="8"/>
    <s v="Electronics"/>
    <n v="250000"/>
    <n v="4"/>
    <x v="4"/>
    <n v="200000"/>
    <x v="14"/>
    <x v="14"/>
    <x v="14"/>
  </r>
  <r>
    <x v="666"/>
    <s v="East"/>
    <x v="0"/>
    <x v="1"/>
    <s v="Online"/>
    <x v="5"/>
    <s v="Furniture"/>
    <n v="320000"/>
    <n v="5"/>
    <x v="2"/>
    <n v="256000"/>
    <x v="28"/>
    <x v="28"/>
    <x v="28"/>
  </r>
  <r>
    <x v="667"/>
    <s v="East"/>
    <x v="1"/>
    <x v="0"/>
    <s v="Store"/>
    <x v="5"/>
    <s v="Furniture"/>
    <n v="320000"/>
    <n v="9"/>
    <x v="5"/>
    <n v="256000"/>
    <x v="8"/>
    <x v="8"/>
    <x v="8"/>
  </r>
  <r>
    <x v="668"/>
    <s v="East"/>
    <x v="1"/>
    <x v="0"/>
    <s v="Online"/>
    <x v="4"/>
    <s v="Home Appliances"/>
    <n v="180000"/>
    <n v="1"/>
    <x v="4"/>
    <n v="144000"/>
    <x v="32"/>
    <x v="32"/>
    <x v="32"/>
  </r>
  <r>
    <x v="669"/>
    <s v="South"/>
    <x v="0"/>
    <x v="0"/>
    <s v="Online"/>
    <x v="1"/>
    <s v="Home Appliances"/>
    <n v="30000"/>
    <n v="7"/>
    <x v="2"/>
    <n v="24000"/>
    <x v="54"/>
    <x v="54"/>
    <x v="54"/>
  </r>
  <r>
    <x v="670"/>
    <s v="North"/>
    <x v="3"/>
    <x v="1"/>
    <s v="Store"/>
    <x v="9"/>
    <s v="Home Appliances"/>
    <n v="220000"/>
    <n v="5"/>
    <x v="3"/>
    <n v="176000"/>
    <x v="51"/>
    <x v="51"/>
    <x v="51"/>
  </r>
  <r>
    <x v="671"/>
    <s v="North"/>
    <x v="3"/>
    <x v="1"/>
    <s v="Online"/>
    <x v="4"/>
    <s v="Home Appliances"/>
    <n v="180000"/>
    <n v="4"/>
    <x v="5"/>
    <n v="144000"/>
    <x v="65"/>
    <x v="65"/>
    <x v="65"/>
  </r>
  <r>
    <x v="672"/>
    <s v="South"/>
    <x v="0"/>
    <x v="1"/>
    <s v="Online"/>
    <x v="4"/>
    <s v="Home Appliances"/>
    <n v="180000"/>
    <n v="2"/>
    <x v="2"/>
    <n v="144000"/>
    <x v="50"/>
    <x v="50"/>
    <x v="50"/>
  </r>
  <r>
    <x v="673"/>
    <s v="West"/>
    <x v="2"/>
    <x v="1"/>
    <s v="Online"/>
    <x v="9"/>
    <s v="Home Appliances"/>
    <n v="220000"/>
    <n v="2"/>
    <x v="4"/>
    <n v="176000"/>
    <x v="15"/>
    <x v="15"/>
    <x v="15"/>
  </r>
  <r>
    <x v="674"/>
    <s v="West"/>
    <x v="1"/>
    <x v="1"/>
    <s v="Store"/>
    <x v="2"/>
    <s v="Home Appliances"/>
    <n v="60000"/>
    <n v="10"/>
    <x v="4"/>
    <n v="48000"/>
    <x v="4"/>
    <x v="4"/>
    <x v="4"/>
  </r>
  <r>
    <x v="675"/>
    <s v="North"/>
    <x v="0"/>
    <x v="0"/>
    <s v="Store"/>
    <x v="1"/>
    <s v="Home Appliances"/>
    <n v="30000"/>
    <n v="2"/>
    <x v="5"/>
    <n v="24000"/>
    <x v="41"/>
    <x v="41"/>
    <x v="41"/>
  </r>
  <r>
    <x v="676"/>
    <s v="East"/>
    <x v="1"/>
    <x v="1"/>
    <s v="Online"/>
    <x v="3"/>
    <s v="Electronics"/>
    <n v="300000"/>
    <n v="3"/>
    <x v="1"/>
    <n v="240000"/>
    <x v="48"/>
    <x v="48"/>
    <x v="48"/>
  </r>
  <r>
    <x v="677"/>
    <s v="South"/>
    <x v="2"/>
    <x v="0"/>
    <s v="Store"/>
    <x v="1"/>
    <s v="Home Appliances"/>
    <n v="30000"/>
    <n v="8"/>
    <x v="0"/>
    <n v="24000"/>
    <x v="1"/>
    <x v="1"/>
    <x v="1"/>
  </r>
  <r>
    <x v="678"/>
    <s v="North"/>
    <x v="0"/>
    <x v="0"/>
    <s v="Online"/>
    <x v="3"/>
    <s v="Electronics"/>
    <n v="300000"/>
    <n v="7"/>
    <x v="0"/>
    <n v="240000"/>
    <x v="13"/>
    <x v="13"/>
    <x v="13"/>
  </r>
  <r>
    <x v="679"/>
    <s v="East"/>
    <x v="0"/>
    <x v="0"/>
    <s v="Online"/>
    <x v="1"/>
    <s v="Home Appliances"/>
    <n v="30000"/>
    <n v="2"/>
    <x v="3"/>
    <n v="24000"/>
    <x v="41"/>
    <x v="41"/>
    <x v="41"/>
  </r>
  <r>
    <x v="680"/>
    <s v="East"/>
    <x v="0"/>
    <x v="1"/>
    <s v="Store"/>
    <x v="9"/>
    <s v="Home Appliances"/>
    <n v="220000"/>
    <n v="8"/>
    <x v="2"/>
    <n v="176000"/>
    <x v="42"/>
    <x v="42"/>
    <x v="42"/>
  </r>
  <r>
    <x v="681"/>
    <s v="West"/>
    <x v="2"/>
    <x v="0"/>
    <s v="Online"/>
    <x v="2"/>
    <s v="Home Appliances"/>
    <n v="60000"/>
    <n v="1"/>
    <x v="0"/>
    <n v="48000"/>
    <x v="41"/>
    <x v="41"/>
    <x v="41"/>
  </r>
  <r>
    <x v="682"/>
    <s v="South"/>
    <x v="2"/>
    <x v="1"/>
    <s v="Online"/>
    <x v="0"/>
    <s v="Furniture"/>
    <n v="85000"/>
    <n v="9"/>
    <x v="4"/>
    <n v="68000"/>
    <x v="18"/>
    <x v="18"/>
    <x v="18"/>
  </r>
  <r>
    <x v="683"/>
    <s v="East"/>
    <x v="1"/>
    <x v="0"/>
    <s v="Store"/>
    <x v="0"/>
    <s v="Furniture"/>
    <n v="85000"/>
    <n v="4"/>
    <x v="3"/>
    <n v="68000"/>
    <x v="74"/>
    <x v="74"/>
    <x v="74"/>
  </r>
  <r>
    <x v="684"/>
    <s v="East"/>
    <x v="3"/>
    <x v="1"/>
    <s v="Store"/>
    <x v="4"/>
    <s v="Home Appliances"/>
    <n v="180000"/>
    <n v="6"/>
    <x v="0"/>
    <n v="144000"/>
    <x v="53"/>
    <x v="53"/>
    <x v="53"/>
  </r>
  <r>
    <x v="685"/>
    <s v="West"/>
    <x v="3"/>
    <x v="0"/>
    <s v="Online"/>
    <x v="4"/>
    <s v="Home Appliances"/>
    <n v="180000"/>
    <n v="2"/>
    <x v="5"/>
    <n v="144000"/>
    <x v="50"/>
    <x v="50"/>
    <x v="50"/>
  </r>
  <r>
    <x v="686"/>
    <s v="North"/>
    <x v="0"/>
    <x v="0"/>
    <s v="Online"/>
    <x v="2"/>
    <s v="Home Appliances"/>
    <n v="60000"/>
    <n v="8"/>
    <x v="2"/>
    <n v="48000"/>
    <x v="47"/>
    <x v="47"/>
    <x v="47"/>
  </r>
  <r>
    <x v="687"/>
    <s v="North"/>
    <x v="3"/>
    <x v="0"/>
    <s v="Online"/>
    <x v="5"/>
    <s v="Furniture"/>
    <n v="320000"/>
    <n v="4"/>
    <x v="3"/>
    <n v="256000"/>
    <x v="6"/>
    <x v="6"/>
    <x v="6"/>
  </r>
  <r>
    <x v="688"/>
    <s v="East"/>
    <x v="1"/>
    <x v="1"/>
    <s v="Online"/>
    <x v="4"/>
    <s v="Home Appliances"/>
    <n v="180000"/>
    <n v="3"/>
    <x v="1"/>
    <n v="144000"/>
    <x v="46"/>
    <x v="46"/>
    <x v="46"/>
  </r>
  <r>
    <x v="689"/>
    <s v="East"/>
    <x v="0"/>
    <x v="0"/>
    <s v="Store"/>
    <x v="6"/>
    <s v="Electronics"/>
    <n v="150000"/>
    <n v="9"/>
    <x v="2"/>
    <n v="120000"/>
    <x v="63"/>
    <x v="63"/>
    <x v="63"/>
  </r>
  <r>
    <x v="690"/>
    <s v="East"/>
    <x v="1"/>
    <x v="1"/>
    <s v="Store"/>
    <x v="0"/>
    <s v="Furniture"/>
    <n v="85000"/>
    <n v="4"/>
    <x v="0"/>
    <n v="68000"/>
    <x v="74"/>
    <x v="74"/>
    <x v="74"/>
  </r>
  <r>
    <x v="691"/>
    <s v="South"/>
    <x v="2"/>
    <x v="0"/>
    <s v="Online"/>
    <x v="9"/>
    <s v="Home Appliances"/>
    <n v="220000"/>
    <n v="4"/>
    <x v="0"/>
    <n v="176000"/>
    <x v="22"/>
    <x v="22"/>
    <x v="22"/>
  </r>
  <r>
    <x v="692"/>
    <s v="North"/>
    <x v="0"/>
    <x v="0"/>
    <s v="Online"/>
    <x v="1"/>
    <s v="Home Appliances"/>
    <n v="30000"/>
    <n v="8"/>
    <x v="4"/>
    <n v="24000"/>
    <x v="1"/>
    <x v="1"/>
    <x v="1"/>
  </r>
  <r>
    <x v="693"/>
    <s v="South"/>
    <x v="0"/>
    <x v="0"/>
    <s v="Online"/>
    <x v="0"/>
    <s v="Furniture"/>
    <n v="85000"/>
    <n v="4"/>
    <x v="0"/>
    <n v="68000"/>
    <x v="74"/>
    <x v="74"/>
    <x v="74"/>
  </r>
  <r>
    <x v="694"/>
    <s v="North"/>
    <x v="0"/>
    <x v="0"/>
    <s v="Online"/>
    <x v="3"/>
    <s v="Electronics"/>
    <n v="300000"/>
    <n v="2"/>
    <x v="2"/>
    <n v="240000"/>
    <x v="4"/>
    <x v="4"/>
    <x v="4"/>
  </r>
  <r>
    <x v="695"/>
    <s v="West"/>
    <x v="2"/>
    <x v="1"/>
    <s v="Store"/>
    <x v="0"/>
    <s v="Furniture"/>
    <n v="85000"/>
    <n v="2"/>
    <x v="4"/>
    <n v="68000"/>
    <x v="2"/>
    <x v="2"/>
    <x v="2"/>
  </r>
  <r>
    <x v="696"/>
    <s v="West"/>
    <x v="0"/>
    <x v="1"/>
    <s v="Online"/>
    <x v="7"/>
    <s v="Electronics"/>
    <n v="420000"/>
    <n v="5"/>
    <x v="0"/>
    <n v="336000"/>
    <x v="13"/>
    <x v="13"/>
    <x v="13"/>
  </r>
  <r>
    <x v="697"/>
    <s v="South"/>
    <x v="2"/>
    <x v="1"/>
    <s v="Online"/>
    <x v="3"/>
    <s v="Electronics"/>
    <n v="300000"/>
    <n v="8"/>
    <x v="1"/>
    <n v="240000"/>
    <x v="24"/>
    <x v="24"/>
    <x v="24"/>
  </r>
  <r>
    <x v="698"/>
    <s v="West"/>
    <x v="1"/>
    <x v="1"/>
    <s v="Store"/>
    <x v="2"/>
    <s v="Home Appliances"/>
    <n v="60000"/>
    <n v="1"/>
    <x v="0"/>
    <n v="48000"/>
    <x v="41"/>
    <x v="41"/>
    <x v="41"/>
  </r>
  <r>
    <x v="699"/>
    <s v="West"/>
    <x v="2"/>
    <x v="0"/>
    <s v="Online"/>
    <x v="8"/>
    <s v="Electronics"/>
    <n v="250000"/>
    <n v="8"/>
    <x v="0"/>
    <n v="200000"/>
    <x v="52"/>
    <x v="52"/>
    <x v="52"/>
  </r>
  <r>
    <x v="700"/>
    <s v="West"/>
    <x v="1"/>
    <x v="1"/>
    <s v="Online"/>
    <x v="3"/>
    <s v="Electronics"/>
    <n v="300000"/>
    <n v="4"/>
    <x v="0"/>
    <n v="240000"/>
    <x v="29"/>
    <x v="29"/>
    <x v="29"/>
  </r>
  <r>
    <x v="701"/>
    <s v="East"/>
    <x v="2"/>
    <x v="1"/>
    <s v="Online"/>
    <x v="3"/>
    <s v="Electronics"/>
    <n v="300000"/>
    <n v="10"/>
    <x v="4"/>
    <n v="240000"/>
    <x v="68"/>
    <x v="68"/>
    <x v="68"/>
  </r>
  <r>
    <x v="702"/>
    <s v="South"/>
    <x v="1"/>
    <x v="0"/>
    <s v="Online"/>
    <x v="3"/>
    <s v="Electronics"/>
    <n v="300000"/>
    <n v="2"/>
    <x v="5"/>
    <n v="240000"/>
    <x v="4"/>
    <x v="4"/>
    <x v="4"/>
  </r>
  <r>
    <x v="703"/>
    <s v="West"/>
    <x v="3"/>
    <x v="0"/>
    <s v="Store"/>
    <x v="0"/>
    <s v="Furniture"/>
    <n v="85000"/>
    <n v="2"/>
    <x v="3"/>
    <n v="68000"/>
    <x v="2"/>
    <x v="2"/>
    <x v="2"/>
  </r>
  <r>
    <x v="704"/>
    <s v="North"/>
    <x v="1"/>
    <x v="0"/>
    <s v="Online"/>
    <x v="5"/>
    <s v="Furniture"/>
    <n v="320000"/>
    <n v="3"/>
    <x v="2"/>
    <n v="256000"/>
    <x v="9"/>
    <x v="9"/>
    <x v="9"/>
  </r>
  <r>
    <x v="705"/>
    <s v="West"/>
    <x v="2"/>
    <x v="0"/>
    <s v="Store"/>
    <x v="6"/>
    <s v="Electronics"/>
    <n v="150000"/>
    <n v="4"/>
    <x v="0"/>
    <n v="120000"/>
    <x v="4"/>
    <x v="4"/>
    <x v="4"/>
  </r>
  <r>
    <x v="706"/>
    <s v="West"/>
    <x v="2"/>
    <x v="1"/>
    <s v="Store"/>
    <x v="2"/>
    <s v="Home Appliances"/>
    <n v="60000"/>
    <n v="8"/>
    <x v="2"/>
    <n v="48000"/>
    <x v="47"/>
    <x v="47"/>
    <x v="47"/>
  </r>
  <r>
    <x v="707"/>
    <s v="North"/>
    <x v="0"/>
    <x v="1"/>
    <s v="Store"/>
    <x v="0"/>
    <s v="Furniture"/>
    <n v="85000"/>
    <n v="2"/>
    <x v="0"/>
    <n v="68000"/>
    <x v="2"/>
    <x v="2"/>
    <x v="2"/>
  </r>
  <r>
    <x v="708"/>
    <s v="North"/>
    <x v="1"/>
    <x v="1"/>
    <s v="Store"/>
    <x v="3"/>
    <s v="Electronics"/>
    <n v="300000"/>
    <n v="8"/>
    <x v="1"/>
    <n v="240000"/>
    <x v="24"/>
    <x v="24"/>
    <x v="24"/>
  </r>
  <r>
    <x v="709"/>
    <s v="North"/>
    <x v="0"/>
    <x v="0"/>
    <s v="Online"/>
    <x v="5"/>
    <s v="Furniture"/>
    <n v="320000"/>
    <n v="5"/>
    <x v="4"/>
    <n v="256000"/>
    <x v="28"/>
    <x v="28"/>
    <x v="28"/>
  </r>
  <r>
    <x v="710"/>
    <s v="West"/>
    <x v="1"/>
    <x v="1"/>
    <s v="Store"/>
    <x v="1"/>
    <s v="Home Appliances"/>
    <n v="30000"/>
    <n v="3"/>
    <x v="1"/>
    <n v="24000"/>
    <x v="33"/>
    <x v="33"/>
    <x v="33"/>
  </r>
  <r>
    <x v="711"/>
    <s v="South"/>
    <x v="0"/>
    <x v="0"/>
    <s v="Store"/>
    <x v="1"/>
    <s v="Home Appliances"/>
    <n v="30000"/>
    <n v="1"/>
    <x v="1"/>
    <n v="24000"/>
    <x v="75"/>
    <x v="75"/>
    <x v="75"/>
  </r>
  <r>
    <x v="712"/>
    <s v="South"/>
    <x v="3"/>
    <x v="1"/>
    <s v="Store"/>
    <x v="6"/>
    <s v="Electronics"/>
    <n v="150000"/>
    <n v="3"/>
    <x v="1"/>
    <n v="120000"/>
    <x v="34"/>
    <x v="34"/>
    <x v="34"/>
  </r>
  <r>
    <x v="713"/>
    <s v="South"/>
    <x v="2"/>
    <x v="0"/>
    <s v="Online"/>
    <x v="1"/>
    <s v="Home Appliances"/>
    <n v="30000"/>
    <n v="5"/>
    <x v="3"/>
    <n v="24000"/>
    <x v="26"/>
    <x v="26"/>
    <x v="26"/>
  </r>
  <r>
    <x v="714"/>
    <s v="North"/>
    <x v="3"/>
    <x v="1"/>
    <s v="Store"/>
    <x v="4"/>
    <s v="Home Appliances"/>
    <n v="180000"/>
    <n v="4"/>
    <x v="1"/>
    <n v="144000"/>
    <x v="65"/>
    <x v="65"/>
    <x v="65"/>
  </r>
  <r>
    <x v="715"/>
    <s v="South"/>
    <x v="2"/>
    <x v="1"/>
    <s v="Store"/>
    <x v="4"/>
    <s v="Home Appliances"/>
    <n v="180000"/>
    <n v="3"/>
    <x v="5"/>
    <n v="144000"/>
    <x v="46"/>
    <x v="46"/>
    <x v="46"/>
  </r>
  <r>
    <x v="716"/>
    <s v="East"/>
    <x v="1"/>
    <x v="1"/>
    <s v="Store"/>
    <x v="3"/>
    <s v="Electronics"/>
    <n v="300000"/>
    <n v="8"/>
    <x v="0"/>
    <n v="240000"/>
    <x v="24"/>
    <x v="24"/>
    <x v="24"/>
  </r>
  <r>
    <x v="717"/>
    <s v="East"/>
    <x v="3"/>
    <x v="1"/>
    <s v="Online"/>
    <x v="0"/>
    <s v="Furniture"/>
    <n v="85000"/>
    <n v="8"/>
    <x v="1"/>
    <n v="68000"/>
    <x v="69"/>
    <x v="69"/>
    <x v="69"/>
  </r>
  <r>
    <x v="718"/>
    <s v="North"/>
    <x v="1"/>
    <x v="0"/>
    <s v="Store"/>
    <x v="4"/>
    <s v="Home Appliances"/>
    <n v="180000"/>
    <n v="1"/>
    <x v="0"/>
    <n v="144000"/>
    <x v="32"/>
    <x v="32"/>
    <x v="32"/>
  </r>
  <r>
    <x v="719"/>
    <s v="South"/>
    <x v="0"/>
    <x v="1"/>
    <s v="Online"/>
    <x v="7"/>
    <s v="Electronics"/>
    <n v="420000"/>
    <n v="6"/>
    <x v="1"/>
    <n v="336000"/>
    <x v="76"/>
    <x v="76"/>
    <x v="76"/>
  </r>
  <r>
    <x v="720"/>
    <s v="West"/>
    <x v="3"/>
    <x v="0"/>
    <s v="Store"/>
    <x v="7"/>
    <s v="Electronics"/>
    <n v="420000"/>
    <n v="4"/>
    <x v="4"/>
    <n v="336000"/>
    <x v="45"/>
    <x v="45"/>
    <x v="45"/>
  </r>
  <r>
    <x v="721"/>
    <s v="East"/>
    <x v="3"/>
    <x v="1"/>
    <s v="Store"/>
    <x v="4"/>
    <s v="Home Appliances"/>
    <n v="180000"/>
    <n v="3"/>
    <x v="1"/>
    <n v="144000"/>
    <x v="46"/>
    <x v="46"/>
    <x v="46"/>
  </r>
  <r>
    <x v="722"/>
    <s v="South"/>
    <x v="1"/>
    <x v="0"/>
    <s v="Online"/>
    <x v="2"/>
    <s v="Home Appliances"/>
    <n v="60000"/>
    <n v="3"/>
    <x v="1"/>
    <n v="48000"/>
    <x v="32"/>
    <x v="32"/>
    <x v="32"/>
  </r>
  <r>
    <x v="723"/>
    <s v="East"/>
    <x v="3"/>
    <x v="0"/>
    <s v="Store"/>
    <x v="6"/>
    <s v="Electronics"/>
    <n v="150000"/>
    <n v="1"/>
    <x v="2"/>
    <n v="120000"/>
    <x v="26"/>
    <x v="26"/>
    <x v="26"/>
  </r>
  <r>
    <x v="724"/>
    <s v="South"/>
    <x v="0"/>
    <x v="1"/>
    <s v="Online"/>
    <x v="7"/>
    <s v="Electronics"/>
    <n v="420000"/>
    <n v="4"/>
    <x v="1"/>
    <n v="336000"/>
    <x v="45"/>
    <x v="45"/>
    <x v="45"/>
  </r>
  <r>
    <x v="725"/>
    <s v="North"/>
    <x v="1"/>
    <x v="1"/>
    <s v="Online"/>
    <x v="8"/>
    <s v="Electronics"/>
    <n v="250000"/>
    <n v="6"/>
    <x v="2"/>
    <n v="200000"/>
    <x v="17"/>
    <x v="17"/>
    <x v="17"/>
  </r>
  <r>
    <x v="726"/>
    <s v="South"/>
    <x v="0"/>
    <x v="1"/>
    <s v="Store"/>
    <x v="5"/>
    <s v="Furniture"/>
    <n v="320000"/>
    <n v="1"/>
    <x v="3"/>
    <n v="256000"/>
    <x v="7"/>
    <x v="7"/>
    <x v="7"/>
  </r>
  <r>
    <x v="727"/>
    <s v="North"/>
    <x v="3"/>
    <x v="1"/>
    <s v="Store"/>
    <x v="9"/>
    <s v="Home Appliances"/>
    <n v="220000"/>
    <n v="10"/>
    <x v="5"/>
    <n v="176000"/>
    <x v="61"/>
    <x v="61"/>
    <x v="61"/>
  </r>
  <r>
    <x v="728"/>
    <s v="North"/>
    <x v="1"/>
    <x v="0"/>
    <s v="Online"/>
    <x v="9"/>
    <s v="Home Appliances"/>
    <n v="220000"/>
    <n v="5"/>
    <x v="1"/>
    <n v="176000"/>
    <x v="51"/>
    <x v="51"/>
    <x v="51"/>
  </r>
  <r>
    <x v="729"/>
    <s v="South"/>
    <x v="2"/>
    <x v="1"/>
    <s v="Store"/>
    <x v="9"/>
    <s v="Home Appliances"/>
    <n v="220000"/>
    <n v="8"/>
    <x v="5"/>
    <n v="176000"/>
    <x v="42"/>
    <x v="42"/>
    <x v="42"/>
  </r>
  <r>
    <x v="730"/>
    <s v="East"/>
    <x v="0"/>
    <x v="0"/>
    <s v="Online"/>
    <x v="9"/>
    <s v="Home Appliances"/>
    <n v="220000"/>
    <n v="9"/>
    <x v="2"/>
    <n v="176000"/>
    <x v="64"/>
    <x v="64"/>
    <x v="64"/>
  </r>
  <r>
    <x v="731"/>
    <s v="North"/>
    <x v="2"/>
    <x v="1"/>
    <s v="Online"/>
    <x v="3"/>
    <s v="Electronics"/>
    <n v="300000"/>
    <n v="7"/>
    <x v="5"/>
    <n v="240000"/>
    <x v="13"/>
    <x v="13"/>
    <x v="13"/>
  </r>
  <r>
    <x v="732"/>
    <s v="West"/>
    <x v="3"/>
    <x v="0"/>
    <s v="Online"/>
    <x v="7"/>
    <s v="Electronics"/>
    <n v="420000"/>
    <n v="1"/>
    <x v="2"/>
    <n v="336000"/>
    <x v="40"/>
    <x v="40"/>
    <x v="40"/>
  </r>
  <r>
    <x v="733"/>
    <s v="West"/>
    <x v="1"/>
    <x v="1"/>
    <s v="Store"/>
    <x v="4"/>
    <s v="Home Appliances"/>
    <n v="180000"/>
    <n v="6"/>
    <x v="2"/>
    <n v="144000"/>
    <x v="53"/>
    <x v="53"/>
    <x v="53"/>
  </r>
  <r>
    <x v="734"/>
    <s v="North"/>
    <x v="0"/>
    <x v="0"/>
    <s v="Online"/>
    <x v="8"/>
    <s v="Electronics"/>
    <n v="250000"/>
    <n v="3"/>
    <x v="2"/>
    <n v="200000"/>
    <x v="56"/>
    <x v="56"/>
    <x v="56"/>
  </r>
  <r>
    <x v="735"/>
    <s v="North"/>
    <x v="3"/>
    <x v="0"/>
    <s v="Online"/>
    <x v="5"/>
    <s v="Furniture"/>
    <n v="320000"/>
    <n v="2"/>
    <x v="0"/>
    <n v="256000"/>
    <x v="38"/>
    <x v="38"/>
    <x v="38"/>
  </r>
  <r>
    <x v="736"/>
    <s v="East"/>
    <x v="1"/>
    <x v="1"/>
    <s v="Online"/>
    <x v="2"/>
    <s v="Home Appliances"/>
    <n v="60000"/>
    <n v="3"/>
    <x v="1"/>
    <n v="48000"/>
    <x v="32"/>
    <x v="32"/>
    <x v="32"/>
  </r>
  <r>
    <x v="737"/>
    <s v="South"/>
    <x v="3"/>
    <x v="1"/>
    <s v="Store"/>
    <x v="1"/>
    <s v="Home Appliances"/>
    <n v="30000"/>
    <n v="9"/>
    <x v="1"/>
    <n v="24000"/>
    <x v="57"/>
    <x v="57"/>
    <x v="57"/>
  </r>
  <r>
    <x v="738"/>
    <s v="East"/>
    <x v="2"/>
    <x v="1"/>
    <s v="Store"/>
    <x v="4"/>
    <s v="Home Appliances"/>
    <n v="180000"/>
    <n v="6"/>
    <x v="1"/>
    <n v="144000"/>
    <x v="53"/>
    <x v="53"/>
    <x v="53"/>
  </r>
  <r>
    <x v="739"/>
    <s v="South"/>
    <x v="2"/>
    <x v="1"/>
    <s v="Online"/>
    <x v="2"/>
    <s v="Home Appliances"/>
    <n v="60000"/>
    <n v="8"/>
    <x v="4"/>
    <n v="48000"/>
    <x v="47"/>
    <x v="47"/>
    <x v="47"/>
  </r>
  <r>
    <x v="740"/>
    <s v="South"/>
    <x v="2"/>
    <x v="1"/>
    <s v="Online"/>
    <x v="2"/>
    <s v="Home Appliances"/>
    <n v="60000"/>
    <n v="8"/>
    <x v="5"/>
    <n v="48000"/>
    <x v="47"/>
    <x v="47"/>
    <x v="47"/>
  </r>
  <r>
    <x v="741"/>
    <s v="South"/>
    <x v="2"/>
    <x v="1"/>
    <s v="Store"/>
    <x v="8"/>
    <s v="Electronics"/>
    <n v="250000"/>
    <n v="3"/>
    <x v="3"/>
    <n v="200000"/>
    <x v="56"/>
    <x v="56"/>
    <x v="56"/>
  </r>
  <r>
    <x v="742"/>
    <s v="North"/>
    <x v="2"/>
    <x v="1"/>
    <s v="Store"/>
    <x v="0"/>
    <s v="Furniture"/>
    <n v="85000"/>
    <n v="6"/>
    <x v="4"/>
    <n v="68000"/>
    <x v="60"/>
    <x v="60"/>
    <x v="60"/>
  </r>
  <r>
    <x v="743"/>
    <s v="East"/>
    <x v="3"/>
    <x v="1"/>
    <s v="Online"/>
    <x v="9"/>
    <s v="Home Appliances"/>
    <n v="220000"/>
    <n v="9"/>
    <x v="2"/>
    <n v="176000"/>
    <x v="64"/>
    <x v="64"/>
    <x v="64"/>
  </r>
  <r>
    <x v="744"/>
    <s v="North"/>
    <x v="3"/>
    <x v="1"/>
    <s v="Store"/>
    <x v="8"/>
    <s v="Electronics"/>
    <n v="250000"/>
    <n v="4"/>
    <x v="2"/>
    <n v="200000"/>
    <x v="14"/>
    <x v="14"/>
    <x v="14"/>
  </r>
  <r>
    <x v="745"/>
    <s v="South"/>
    <x v="2"/>
    <x v="1"/>
    <s v="Store"/>
    <x v="8"/>
    <s v="Electronics"/>
    <n v="250000"/>
    <n v="3"/>
    <x v="0"/>
    <n v="200000"/>
    <x v="56"/>
    <x v="56"/>
    <x v="56"/>
  </r>
  <r>
    <x v="746"/>
    <s v="South"/>
    <x v="3"/>
    <x v="1"/>
    <s v="Store"/>
    <x v="1"/>
    <s v="Home Appliances"/>
    <n v="30000"/>
    <n v="10"/>
    <x v="0"/>
    <n v="24000"/>
    <x v="11"/>
    <x v="11"/>
    <x v="11"/>
  </r>
  <r>
    <x v="747"/>
    <s v="North"/>
    <x v="2"/>
    <x v="1"/>
    <s v="Store"/>
    <x v="3"/>
    <s v="Electronics"/>
    <n v="300000"/>
    <n v="4"/>
    <x v="5"/>
    <n v="240000"/>
    <x v="29"/>
    <x v="29"/>
    <x v="29"/>
  </r>
  <r>
    <x v="748"/>
    <s v="South"/>
    <x v="0"/>
    <x v="1"/>
    <s v="Store"/>
    <x v="5"/>
    <s v="Furniture"/>
    <n v="320000"/>
    <n v="2"/>
    <x v="3"/>
    <n v="256000"/>
    <x v="38"/>
    <x v="38"/>
    <x v="38"/>
  </r>
  <r>
    <x v="749"/>
    <s v="South"/>
    <x v="3"/>
    <x v="1"/>
    <s v="Store"/>
    <x v="7"/>
    <s v="Electronics"/>
    <n v="420000"/>
    <n v="8"/>
    <x v="5"/>
    <n v="336000"/>
    <x v="19"/>
    <x v="19"/>
    <x v="19"/>
  </r>
  <r>
    <x v="750"/>
    <s v="South"/>
    <x v="3"/>
    <x v="1"/>
    <s v="Store"/>
    <x v="1"/>
    <s v="Home Appliances"/>
    <n v="30000"/>
    <n v="2"/>
    <x v="1"/>
    <n v="24000"/>
    <x v="41"/>
    <x v="41"/>
    <x v="41"/>
  </r>
  <r>
    <x v="751"/>
    <s v="North"/>
    <x v="3"/>
    <x v="1"/>
    <s v="Store"/>
    <x v="6"/>
    <s v="Electronics"/>
    <n v="150000"/>
    <n v="3"/>
    <x v="0"/>
    <n v="120000"/>
    <x v="34"/>
    <x v="34"/>
    <x v="34"/>
  </r>
  <r>
    <x v="752"/>
    <s v="South"/>
    <x v="1"/>
    <x v="1"/>
    <s v="Store"/>
    <x v="9"/>
    <s v="Home Appliances"/>
    <n v="220000"/>
    <n v="6"/>
    <x v="1"/>
    <n v="176000"/>
    <x v="36"/>
    <x v="36"/>
    <x v="36"/>
  </r>
  <r>
    <x v="753"/>
    <s v="West"/>
    <x v="0"/>
    <x v="1"/>
    <s v="Online"/>
    <x v="2"/>
    <s v="Home Appliances"/>
    <n v="60000"/>
    <n v="7"/>
    <x v="3"/>
    <n v="48000"/>
    <x v="40"/>
    <x v="40"/>
    <x v="40"/>
  </r>
  <r>
    <x v="754"/>
    <s v="South"/>
    <x v="0"/>
    <x v="0"/>
    <s v="Online"/>
    <x v="0"/>
    <s v="Furniture"/>
    <n v="85000"/>
    <n v="7"/>
    <x v="3"/>
    <n v="68000"/>
    <x v="30"/>
    <x v="30"/>
    <x v="30"/>
  </r>
  <r>
    <x v="755"/>
    <s v="West"/>
    <x v="1"/>
    <x v="0"/>
    <s v="Online"/>
    <x v="7"/>
    <s v="Electronics"/>
    <n v="420000"/>
    <n v="6"/>
    <x v="0"/>
    <n v="336000"/>
    <x v="76"/>
    <x v="76"/>
    <x v="76"/>
  </r>
  <r>
    <x v="756"/>
    <s v="West"/>
    <x v="0"/>
    <x v="0"/>
    <s v="Store"/>
    <x v="3"/>
    <s v="Electronics"/>
    <n v="300000"/>
    <n v="3"/>
    <x v="2"/>
    <n v="240000"/>
    <x v="48"/>
    <x v="48"/>
    <x v="48"/>
  </r>
  <r>
    <x v="757"/>
    <s v="North"/>
    <x v="3"/>
    <x v="0"/>
    <s v="Online"/>
    <x v="9"/>
    <s v="Home Appliances"/>
    <n v="220000"/>
    <n v="10"/>
    <x v="0"/>
    <n v="176000"/>
    <x v="61"/>
    <x v="61"/>
    <x v="61"/>
  </r>
  <r>
    <x v="758"/>
    <s v="North"/>
    <x v="0"/>
    <x v="1"/>
    <s v="Store"/>
    <x v="0"/>
    <s v="Furniture"/>
    <n v="85000"/>
    <n v="4"/>
    <x v="3"/>
    <n v="68000"/>
    <x v="74"/>
    <x v="74"/>
    <x v="74"/>
  </r>
  <r>
    <x v="759"/>
    <s v="North"/>
    <x v="1"/>
    <x v="0"/>
    <s v="Store"/>
    <x v="5"/>
    <s v="Furniture"/>
    <n v="320000"/>
    <n v="4"/>
    <x v="5"/>
    <n v="256000"/>
    <x v="6"/>
    <x v="6"/>
    <x v="6"/>
  </r>
  <r>
    <x v="760"/>
    <s v="South"/>
    <x v="3"/>
    <x v="0"/>
    <s v="Store"/>
    <x v="6"/>
    <s v="Electronics"/>
    <n v="150000"/>
    <n v="6"/>
    <x v="5"/>
    <n v="120000"/>
    <x v="48"/>
    <x v="48"/>
    <x v="48"/>
  </r>
  <r>
    <x v="761"/>
    <s v="West"/>
    <x v="1"/>
    <x v="0"/>
    <s v="Store"/>
    <x v="5"/>
    <s v="Furniture"/>
    <n v="320000"/>
    <n v="2"/>
    <x v="5"/>
    <n v="256000"/>
    <x v="38"/>
    <x v="38"/>
    <x v="38"/>
  </r>
  <r>
    <x v="762"/>
    <s v="North"/>
    <x v="2"/>
    <x v="0"/>
    <s v="Online"/>
    <x v="5"/>
    <s v="Furniture"/>
    <n v="320000"/>
    <n v="10"/>
    <x v="5"/>
    <n v="256000"/>
    <x v="35"/>
    <x v="35"/>
    <x v="35"/>
  </r>
  <r>
    <x v="763"/>
    <s v="South"/>
    <x v="1"/>
    <x v="1"/>
    <s v="Online"/>
    <x v="7"/>
    <s v="Electronics"/>
    <n v="420000"/>
    <n v="8"/>
    <x v="0"/>
    <n v="336000"/>
    <x v="19"/>
    <x v="19"/>
    <x v="19"/>
  </r>
  <r>
    <x v="764"/>
    <s v="North"/>
    <x v="0"/>
    <x v="1"/>
    <s v="Online"/>
    <x v="6"/>
    <s v="Electronics"/>
    <n v="150000"/>
    <n v="5"/>
    <x v="4"/>
    <n v="120000"/>
    <x v="56"/>
    <x v="56"/>
    <x v="56"/>
  </r>
  <r>
    <x v="765"/>
    <s v="West"/>
    <x v="2"/>
    <x v="1"/>
    <s v="Store"/>
    <x v="0"/>
    <s v="Furniture"/>
    <n v="85000"/>
    <n v="1"/>
    <x v="4"/>
    <n v="68000"/>
    <x v="0"/>
    <x v="0"/>
    <x v="0"/>
  </r>
  <r>
    <x v="766"/>
    <s v="East"/>
    <x v="3"/>
    <x v="1"/>
    <s v="Store"/>
    <x v="7"/>
    <s v="Electronics"/>
    <n v="420000"/>
    <n v="2"/>
    <x v="5"/>
    <n v="336000"/>
    <x v="62"/>
    <x v="62"/>
    <x v="62"/>
  </r>
  <r>
    <x v="767"/>
    <s v="East"/>
    <x v="3"/>
    <x v="0"/>
    <s v="Store"/>
    <x v="4"/>
    <s v="Home Appliances"/>
    <n v="180000"/>
    <n v="6"/>
    <x v="5"/>
    <n v="144000"/>
    <x v="53"/>
    <x v="53"/>
    <x v="53"/>
  </r>
  <r>
    <x v="768"/>
    <s v="East"/>
    <x v="0"/>
    <x v="0"/>
    <s v="Store"/>
    <x v="9"/>
    <s v="Home Appliances"/>
    <n v="220000"/>
    <n v="7"/>
    <x v="0"/>
    <n v="176000"/>
    <x v="67"/>
    <x v="67"/>
    <x v="67"/>
  </r>
  <r>
    <x v="769"/>
    <s v="East"/>
    <x v="0"/>
    <x v="0"/>
    <s v="Online"/>
    <x v="9"/>
    <s v="Home Appliances"/>
    <n v="220000"/>
    <n v="5"/>
    <x v="1"/>
    <n v="176000"/>
    <x v="51"/>
    <x v="51"/>
    <x v="51"/>
  </r>
  <r>
    <x v="770"/>
    <s v="North"/>
    <x v="0"/>
    <x v="0"/>
    <s v="Store"/>
    <x v="3"/>
    <s v="Electronics"/>
    <n v="300000"/>
    <n v="6"/>
    <x v="2"/>
    <n v="240000"/>
    <x v="5"/>
    <x v="5"/>
    <x v="5"/>
  </r>
  <r>
    <x v="771"/>
    <s v="West"/>
    <x v="2"/>
    <x v="0"/>
    <s v="Store"/>
    <x v="8"/>
    <s v="Electronics"/>
    <n v="250000"/>
    <n v="4"/>
    <x v="2"/>
    <n v="200000"/>
    <x v="14"/>
    <x v="14"/>
    <x v="14"/>
  </r>
  <r>
    <x v="772"/>
    <s v="North"/>
    <x v="1"/>
    <x v="1"/>
    <s v="Online"/>
    <x v="5"/>
    <s v="Furniture"/>
    <n v="320000"/>
    <n v="5"/>
    <x v="1"/>
    <n v="256000"/>
    <x v="28"/>
    <x v="28"/>
    <x v="28"/>
  </r>
  <r>
    <x v="773"/>
    <s v="North"/>
    <x v="0"/>
    <x v="0"/>
    <s v="Store"/>
    <x v="3"/>
    <s v="Electronics"/>
    <n v="300000"/>
    <n v="10"/>
    <x v="5"/>
    <n v="240000"/>
    <x v="68"/>
    <x v="68"/>
    <x v="68"/>
  </r>
  <r>
    <x v="774"/>
    <s v="North"/>
    <x v="0"/>
    <x v="0"/>
    <s v="Store"/>
    <x v="2"/>
    <s v="Home Appliances"/>
    <n v="60000"/>
    <n v="5"/>
    <x v="4"/>
    <n v="48000"/>
    <x v="11"/>
    <x v="11"/>
    <x v="11"/>
  </r>
  <r>
    <x v="775"/>
    <s v="North"/>
    <x v="2"/>
    <x v="0"/>
    <s v="Online"/>
    <x v="7"/>
    <s v="Electronics"/>
    <n v="420000"/>
    <n v="8"/>
    <x v="3"/>
    <n v="336000"/>
    <x v="19"/>
    <x v="19"/>
    <x v="19"/>
  </r>
  <r>
    <x v="776"/>
    <s v="West"/>
    <x v="3"/>
    <x v="1"/>
    <s v="Online"/>
    <x v="3"/>
    <s v="Electronics"/>
    <n v="300000"/>
    <n v="1"/>
    <x v="1"/>
    <n v="240000"/>
    <x v="11"/>
    <x v="11"/>
    <x v="11"/>
  </r>
  <r>
    <x v="777"/>
    <s v="West"/>
    <x v="2"/>
    <x v="1"/>
    <s v="Store"/>
    <x v="7"/>
    <s v="Electronics"/>
    <n v="420000"/>
    <n v="2"/>
    <x v="4"/>
    <n v="336000"/>
    <x v="62"/>
    <x v="62"/>
    <x v="62"/>
  </r>
  <r>
    <x v="778"/>
    <s v="South"/>
    <x v="1"/>
    <x v="1"/>
    <s v="Online"/>
    <x v="7"/>
    <s v="Electronics"/>
    <n v="420000"/>
    <n v="7"/>
    <x v="3"/>
    <n v="336000"/>
    <x v="70"/>
    <x v="70"/>
    <x v="70"/>
  </r>
  <r>
    <x v="779"/>
    <s v="West"/>
    <x v="2"/>
    <x v="1"/>
    <s v="Online"/>
    <x v="4"/>
    <s v="Home Appliances"/>
    <n v="180000"/>
    <n v="8"/>
    <x v="2"/>
    <n v="144000"/>
    <x v="37"/>
    <x v="37"/>
    <x v="37"/>
  </r>
  <r>
    <x v="780"/>
    <s v="West"/>
    <x v="2"/>
    <x v="0"/>
    <s v="Online"/>
    <x v="2"/>
    <s v="Home Appliances"/>
    <n v="60000"/>
    <n v="7"/>
    <x v="2"/>
    <n v="48000"/>
    <x v="40"/>
    <x v="40"/>
    <x v="40"/>
  </r>
  <r>
    <x v="781"/>
    <s v="East"/>
    <x v="1"/>
    <x v="1"/>
    <s v="Online"/>
    <x v="7"/>
    <s v="Electronics"/>
    <n v="420000"/>
    <n v="7"/>
    <x v="2"/>
    <n v="336000"/>
    <x v="70"/>
    <x v="70"/>
    <x v="70"/>
  </r>
  <r>
    <x v="782"/>
    <s v="East"/>
    <x v="0"/>
    <x v="0"/>
    <s v="Online"/>
    <x v="4"/>
    <s v="Home Appliances"/>
    <n v="180000"/>
    <n v="5"/>
    <x v="5"/>
    <n v="144000"/>
    <x v="48"/>
    <x v="48"/>
    <x v="48"/>
  </r>
  <r>
    <x v="783"/>
    <s v="East"/>
    <x v="2"/>
    <x v="1"/>
    <s v="Store"/>
    <x v="7"/>
    <s v="Electronics"/>
    <n v="420000"/>
    <n v="9"/>
    <x v="5"/>
    <n v="336000"/>
    <x v="12"/>
    <x v="12"/>
    <x v="12"/>
  </r>
  <r>
    <x v="784"/>
    <s v="East"/>
    <x v="2"/>
    <x v="1"/>
    <s v="Store"/>
    <x v="3"/>
    <s v="Electronics"/>
    <n v="300000"/>
    <n v="7"/>
    <x v="3"/>
    <n v="240000"/>
    <x v="13"/>
    <x v="13"/>
    <x v="13"/>
  </r>
  <r>
    <x v="785"/>
    <s v="West"/>
    <x v="3"/>
    <x v="0"/>
    <s v="Store"/>
    <x v="6"/>
    <s v="Electronics"/>
    <n v="150000"/>
    <n v="3"/>
    <x v="1"/>
    <n v="120000"/>
    <x v="34"/>
    <x v="34"/>
    <x v="34"/>
  </r>
  <r>
    <x v="786"/>
    <s v="West"/>
    <x v="1"/>
    <x v="0"/>
    <s v="Store"/>
    <x v="3"/>
    <s v="Electronics"/>
    <n v="300000"/>
    <n v="10"/>
    <x v="5"/>
    <n v="240000"/>
    <x v="68"/>
    <x v="68"/>
    <x v="68"/>
  </r>
  <r>
    <x v="787"/>
    <s v="East"/>
    <x v="0"/>
    <x v="0"/>
    <s v="Online"/>
    <x v="7"/>
    <s v="Electronics"/>
    <n v="420000"/>
    <n v="8"/>
    <x v="5"/>
    <n v="336000"/>
    <x v="19"/>
    <x v="19"/>
    <x v="19"/>
  </r>
  <r>
    <x v="788"/>
    <s v="West"/>
    <x v="2"/>
    <x v="1"/>
    <s v="Store"/>
    <x v="9"/>
    <s v="Home Appliances"/>
    <n v="220000"/>
    <n v="2"/>
    <x v="2"/>
    <n v="176000"/>
    <x v="15"/>
    <x v="15"/>
    <x v="15"/>
  </r>
  <r>
    <x v="789"/>
    <s v="West"/>
    <x v="3"/>
    <x v="0"/>
    <s v="Online"/>
    <x v="6"/>
    <s v="Electronics"/>
    <n v="150000"/>
    <n v="4"/>
    <x v="0"/>
    <n v="120000"/>
    <x v="4"/>
    <x v="4"/>
    <x v="4"/>
  </r>
  <r>
    <x v="790"/>
    <s v="West"/>
    <x v="1"/>
    <x v="0"/>
    <s v="Online"/>
    <x v="1"/>
    <s v="Home Appliances"/>
    <n v="30000"/>
    <n v="8"/>
    <x v="3"/>
    <n v="24000"/>
    <x v="1"/>
    <x v="1"/>
    <x v="1"/>
  </r>
  <r>
    <x v="791"/>
    <s v="West"/>
    <x v="2"/>
    <x v="1"/>
    <s v="Store"/>
    <x v="7"/>
    <s v="Electronics"/>
    <n v="420000"/>
    <n v="3"/>
    <x v="4"/>
    <n v="336000"/>
    <x v="55"/>
    <x v="55"/>
    <x v="55"/>
  </r>
  <r>
    <x v="792"/>
    <s v="West"/>
    <x v="0"/>
    <x v="1"/>
    <s v="Store"/>
    <x v="3"/>
    <s v="Electronics"/>
    <n v="300000"/>
    <n v="4"/>
    <x v="5"/>
    <n v="240000"/>
    <x v="29"/>
    <x v="29"/>
    <x v="29"/>
  </r>
  <r>
    <x v="793"/>
    <s v="West"/>
    <x v="1"/>
    <x v="0"/>
    <s v="Online"/>
    <x v="8"/>
    <s v="Electronics"/>
    <n v="250000"/>
    <n v="6"/>
    <x v="1"/>
    <n v="200000"/>
    <x v="17"/>
    <x v="17"/>
    <x v="17"/>
  </r>
  <r>
    <x v="794"/>
    <s v="West"/>
    <x v="2"/>
    <x v="1"/>
    <s v="Store"/>
    <x v="5"/>
    <s v="Furniture"/>
    <n v="320000"/>
    <n v="6"/>
    <x v="3"/>
    <n v="256000"/>
    <x v="31"/>
    <x v="31"/>
    <x v="31"/>
  </r>
  <r>
    <x v="795"/>
    <s v="West"/>
    <x v="2"/>
    <x v="0"/>
    <s v="Online"/>
    <x v="4"/>
    <s v="Home Appliances"/>
    <n v="180000"/>
    <n v="5"/>
    <x v="3"/>
    <n v="144000"/>
    <x v="48"/>
    <x v="48"/>
    <x v="48"/>
  </r>
  <r>
    <x v="796"/>
    <s v="West"/>
    <x v="0"/>
    <x v="0"/>
    <s v="Online"/>
    <x v="6"/>
    <s v="Electronics"/>
    <n v="150000"/>
    <n v="1"/>
    <x v="2"/>
    <n v="120000"/>
    <x v="26"/>
    <x v="26"/>
    <x v="26"/>
  </r>
  <r>
    <x v="797"/>
    <s v="West"/>
    <x v="0"/>
    <x v="0"/>
    <s v="Store"/>
    <x v="2"/>
    <s v="Home Appliances"/>
    <n v="60000"/>
    <n v="3"/>
    <x v="5"/>
    <n v="48000"/>
    <x v="32"/>
    <x v="32"/>
    <x v="32"/>
  </r>
  <r>
    <x v="798"/>
    <s v="East"/>
    <x v="3"/>
    <x v="1"/>
    <s v="Online"/>
    <x v="0"/>
    <s v="Furniture"/>
    <n v="85000"/>
    <n v="10"/>
    <x v="1"/>
    <n v="68000"/>
    <x v="43"/>
    <x v="43"/>
    <x v="43"/>
  </r>
  <r>
    <x v="799"/>
    <s v="West"/>
    <x v="3"/>
    <x v="1"/>
    <s v="Store"/>
    <x v="6"/>
    <s v="Electronics"/>
    <n v="150000"/>
    <n v="3"/>
    <x v="4"/>
    <n v="120000"/>
    <x v="34"/>
    <x v="34"/>
    <x v="34"/>
  </r>
  <r>
    <x v="800"/>
    <s v="South"/>
    <x v="0"/>
    <x v="1"/>
    <s v="Store"/>
    <x v="7"/>
    <s v="Electronics"/>
    <n v="420000"/>
    <n v="9"/>
    <x v="4"/>
    <n v="336000"/>
    <x v="12"/>
    <x v="12"/>
    <x v="12"/>
  </r>
  <r>
    <x v="801"/>
    <s v="South"/>
    <x v="3"/>
    <x v="0"/>
    <s v="Store"/>
    <x v="9"/>
    <s v="Home Appliances"/>
    <n v="220000"/>
    <n v="1"/>
    <x v="3"/>
    <n v="176000"/>
    <x v="25"/>
    <x v="25"/>
    <x v="25"/>
  </r>
  <r>
    <x v="802"/>
    <s v="East"/>
    <x v="3"/>
    <x v="1"/>
    <s v="Online"/>
    <x v="0"/>
    <s v="Furniture"/>
    <n v="85000"/>
    <n v="4"/>
    <x v="1"/>
    <n v="68000"/>
    <x v="74"/>
    <x v="74"/>
    <x v="74"/>
  </r>
  <r>
    <x v="803"/>
    <s v="West"/>
    <x v="0"/>
    <x v="0"/>
    <s v="Online"/>
    <x v="7"/>
    <s v="Electronics"/>
    <n v="420000"/>
    <n v="6"/>
    <x v="4"/>
    <n v="336000"/>
    <x v="76"/>
    <x v="76"/>
    <x v="76"/>
  </r>
  <r>
    <x v="804"/>
    <s v="North"/>
    <x v="3"/>
    <x v="1"/>
    <s v="Online"/>
    <x v="7"/>
    <s v="Electronics"/>
    <n v="420000"/>
    <n v="6"/>
    <x v="2"/>
    <n v="336000"/>
    <x v="76"/>
    <x v="76"/>
    <x v="76"/>
  </r>
  <r>
    <x v="805"/>
    <s v="East"/>
    <x v="0"/>
    <x v="0"/>
    <s v="Online"/>
    <x v="3"/>
    <s v="Electronics"/>
    <n v="300000"/>
    <n v="10"/>
    <x v="3"/>
    <n v="240000"/>
    <x v="68"/>
    <x v="68"/>
    <x v="68"/>
  </r>
  <r>
    <x v="806"/>
    <s v="South"/>
    <x v="1"/>
    <x v="0"/>
    <s v="Store"/>
    <x v="9"/>
    <s v="Home Appliances"/>
    <n v="220000"/>
    <n v="4"/>
    <x v="2"/>
    <n v="176000"/>
    <x v="22"/>
    <x v="22"/>
    <x v="22"/>
  </r>
  <r>
    <x v="807"/>
    <s v="West"/>
    <x v="3"/>
    <x v="0"/>
    <s v="Store"/>
    <x v="4"/>
    <s v="Home Appliances"/>
    <n v="180000"/>
    <n v="8"/>
    <x v="4"/>
    <n v="144000"/>
    <x v="37"/>
    <x v="37"/>
    <x v="37"/>
  </r>
  <r>
    <x v="808"/>
    <s v="West"/>
    <x v="3"/>
    <x v="0"/>
    <s v="Online"/>
    <x v="8"/>
    <s v="Electronics"/>
    <n v="250000"/>
    <n v="3"/>
    <x v="0"/>
    <n v="200000"/>
    <x v="56"/>
    <x v="56"/>
    <x v="56"/>
  </r>
  <r>
    <x v="809"/>
    <s v="North"/>
    <x v="2"/>
    <x v="1"/>
    <s v="Online"/>
    <x v="3"/>
    <s v="Electronics"/>
    <n v="300000"/>
    <n v="7"/>
    <x v="0"/>
    <n v="240000"/>
    <x v="13"/>
    <x v="13"/>
    <x v="13"/>
  </r>
  <r>
    <x v="810"/>
    <s v="North"/>
    <x v="3"/>
    <x v="0"/>
    <s v="Store"/>
    <x v="3"/>
    <s v="Electronics"/>
    <n v="300000"/>
    <n v="7"/>
    <x v="5"/>
    <n v="240000"/>
    <x v="13"/>
    <x v="13"/>
    <x v="13"/>
  </r>
  <r>
    <x v="811"/>
    <s v="North"/>
    <x v="3"/>
    <x v="1"/>
    <s v="Store"/>
    <x v="8"/>
    <s v="Electronics"/>
    <n v="250000"/>
    <n v="1"/>
    <x v="4"/>
    <n v="200000"/>
    <x v="44"/>
    <x v="44"/>
    <x v="44"/>
  </r>
  <r>
    <x v="812"/>
    <s v="West"/>
    <x v="1"/>
    <x v="1"/>
    <s v="Online"/>
    <x v="3"/>
    <s v="Electronics"/>
    <n v="300000"/>
    <n v="3"/>
    <x v="3"/>
    <n v="240000"/>
    <x v="48"/>
    <x v="48"/>
    <x v="48"/>
  </r>
  <r>
    <x v="813"/>
    <s v="South"/>
    <x v="0"/>
    <x v="0"/>
    <s v="Online"/>
    <x v="7"/>
    <s v="Electronics"/>
    <n v="420000"/>
    <n v="10"/>
    <x v="2"/>
    <n v="336000"/>
    <x v="20"/>
    <x v="20"/>
    <x v="20"/>
  </r>
  <r>
    <x v="814"/>
    <s v="North"/>
    <x v="2"/>
    <x v="1"/>
    <s v="Online"/>
    <x v="2"/>
    <s v="Home Appliances"/>
    <n v="60000"/>
    <n v="9"/>
    <x v="3"/>
    <n v="48000"/>
    <x v="46"/>
    <x v="46"/>
    <x v="46"/>
  </r>
  <r>
    <x v="815"/>
    <s v="West"/>
    <x v="0"/>
    <x v="0"/>
    <s v="Online"/>
    <x v="8"/>
    <s v="Electronics"/>
    <n v="250000"/>
    <n v="4"/>
    <x v="2"/>
    <n v="200000"/>
    <x v="14"/>
    <x v="14"/>
    <x v="14"/>
  </r>
  <r>
    <x v="816"/>
    <s v="East"/>
    <x v="2"/>
    <x v="0"/>
    <s v="Online"/>
    <x v="8"/>
    <s v="Electronics"/>
    <n v="250000"/>
    <n v="3"/>
    <x v="4"/>
    <n v="200000"/>
    <x v="56"/>
    <x v="56"/>
    <x v="56"/>
  </r>
  <r>
    <x v="817"/>
    <s v="West"/>
    <x v="3"/>
    <x v="0"/>
    <s v="Store"/>
    <x v="2"/>
    <s v="Home Appliances"/>
    <n v="60000"/>
    <n v="3"/>
    <x v="0"/>
    <n v="48000"/>
    <x v="32"/>
    <x v="32"/>
    <x v="32"/>
  </r>
  <r>
    <x v="818"/>
    <s v="West"/>
    <x v="1"/>
    <x v="1"/>
    <s v="Online"/>
    <x v="5"/>
    <s v="Furniture"/>
    <n v="320000"/>
    <n v="1"/>
    <x v="1"/>
    <n v="256000"/>
    <x v="7"/>
    <x v="7"/>
    <x v="7"/>
  </r>
  <r>
    <x v="819"/>
    <s v="North"/>
    <x v="3"/>
    <x v="1"/>
    <s v="Store"/>
    <x v="2"/>
    <s v="Home Appliances"/>
    <n v="60000"/>
    <n v="8"/>
    <x v="1"/>
    <n v="48000"/>
    <x v="47"/>
    <x v="47"/>
    <x v="47"/>
  </r>
  <r>
    <x v="820"/>
    <s v="East"/>
    <x v="2"/>
    <x v="1"/>
    <s v="Store"/>
    <x v="8"/>
    <s v="Electronics"/>
    <n v="250000"/>
    <n v="5"/>
    <x v="3"/>
    <n v="200000"/>
    <x v="21"/>
    <x v="21"/>
    <x v="21"/>
  </r>
  <r>
    <x v="821"/>
    <s v="West"/>
    <x v="0"/>
    <x v="1"/>
    <s v="Store"/>
    <x v="5"/>
    <s v="Furniture"/>
    <n v="320000"/>
    <n v="2"/>
    <x v="5"/>
    <n v="256000"/>
    <x v="38"/>
    <x v="38"/>
    <x v="38"/>
  </r>
  <r>
    <x v="822"/>
    <s v="South"/>
    <x v="2"/>
    <x v="1"/>
    <s v="Online"/>
    <x v="9"/>
    <s v="Home Appliances"/>
    <n v="220000"/>
    <n v="5"/>
    <x v="1"/>
    <n v="176000"/>
    <x v="51"/>
    <x v="51"/>
    <x v="51"/>
  </r>
  <r>
    <x v="823"/>
    <s v="West"/>
    <x v="1"/>
    <x v="1"/>
    <s v="Store"/>
    <x v="8"/>
    <s v="Electronics"/>
    <n v="250000"/>
    <n v="3"/>
    <x v="0"/>
    <n v="200000"/>
    <x v="56"/>
    <x v="56"/>
    <x v="56"/>
  </r>
  <r>
    <x v="824"/>
    <s v="West"/>
    <x v="2"/>
    <x v="0"/>
    <s v="Store"/>
    <x v="0"/>
    <s v="Furniture"/>
    <n v="85000"/>
    <n v="10"/>
    <x v="2"/>
    <n v="68000"/>
    <x v="43"/>
    <x v="43"/>
    <x v="43"/>
  </r>
  <r>
    <x v="825"/>
    <s v="South"/>
    <x v="0"/>
    <x v="0"/>
    <s v="Store"/>
    <x v="7"/>
    <s v="Electronics"/>
    <n v="420000"/>
    <n v="6"/>
    <x v="3"/>
    <n v="336000"/>
    <x v="76"/>
    <x v="76"/>
    <x v="76"/>
  </r>
  <r>
    <x v="826"/>
    <s v="North"/>
    <x v="1"/>
    <x v="0"/>
    <s v="Store"/>
    <x v="6"/>
    <s v="Electronics"/>
    <n v="150000"/>
    <n v="5"/>
    <x v="1"/>
    <n v="120000"/>
    <x v="56"/>
    <x v="56"/>
    <x v="56"/>
  </r>
  <r>
    <x v="827"/>
    <s v="North"/>
    <x v="0"/>
    <x v="0"/>
    <s v="Store"/>
    <x v="5"/>
    <s v="Furniture"/>
    <n v="320000"/>
    <n v="3"/>
    <x v="4"/>
    <n v="256000"/>
    <x v="9"/>
    <x v="9"/>
    <x v="9"/>
  </r>
  <r>
    <x v="828"/>
    <s v="North"/>
    <x v="3"/>
    <x v="1"/>
    <s v="Online"/>
    <x v="1"/>
    <s v="Home Appliances"/>
    <n v="30000"/>
    <n v="1"/>
    <x v="3"/>
    <n v="24000"/>
    <x v="75"/>
    <x v="75"/>
    <x v="75"/>
  </r>
  <r>
    <x v="829"/>
    <s v="West"/>
    <x v="2"/>
    <x v="0"/>
    <s v="Online"/>
    <x v="4"/>
    <s v="Home Appliances"/>
    <n v="180000"/>
    <n v="10"/>
    <x v="3"/>
    <n v="144000"/>
    <x v="5"/>
    <x v="5"/>
    <x v="5"/>
  </r>
  <r>
    <x v="830"/>
    <s v="South"/>
    <x v="0"/>
    <x v="1"/>
    <s v="Store"/>
    <x v="4"/>
    <s v="Home Appliances"/>
    <n v="180000"/>
    <n v="3"/>
    <x v="0"/>
    <n v="144000"/>
    <x v="46"/>
    <x v="46"/>
    <x v="46"/>
  </r>
  <r>
    <x v="831"/>
    <s v="East"/>
    <x v="0"/>
    <x v="1"/>
    <s v="Online"/>
    <x v="7"/>
    <s v="Electronics"/>
    <n v="420000"/>
    <n v="3"/>
    <x v="1"/>
    <n v="336000"/>
    <x v="55"/>
    <x v="55"/>
    <x v="55"/>
  </r>
  <r>
    <x v="832"/>
    <s v="East"/>
    <x v="1"/>
    <x v="0"/>
    <s v="Online"/>
    <x v="9"/>
    <s v="Home Appliances"/>
    <n v="220000"/>
    <n v="6"/>
    <x v="4"/>
    <n v="176000"/>
    <x v="36"/>
    <x v="36"/>
    <x v="36"/>
  </r>
  <r>
    <x v="833"/>
    <s v="South"/>
    <x v="2"/>
    <x v="0"/>
    <s v="Online"/>
    <x v="2"/>
    <s v="Home Appliances"/>
    <n v="60000"/>
    <n v="10"/>
    <x v="3"/>
    <n v="48000"/>
    <x v="4"/>
    <x v="4"/>
    <x v="4"/>
  </r>
  <r>
    <x v="834"/>
    <s v="South"/>
    <x v="1"/>
    <x v="0"/>
    <s v="Store"/>
    <x v="4"/>
    <s v="Home Appliances"/>
    <n v="180000"/>
    <n v="10"/>
    <x v="2"/>
    <n v="144000"/>
    <x v="5"/>
    <x v="5"/>
    <x v="5"/>
  </r>
  <r>
    <x v="835"/>
    <s v="East"/>
    <x v="0"/>
    <x v="1"/>
    <s v="Store"/>
    <x v="9"/>
    <s v="Home Appliances"/>
    <n v="220000"/>
    <n v="4"/>
    <x v="1"/>
    <n v="176000"/>
    <x v="22"/>
    <x v="22"/>
    <x v="22"/>
  </r>
  <r>
    <x v="836"/>
    <s v="South"/>
    <x v="3"/>
    <x v="1"/>
    <s v="Store"/>
    <x v="8"/>
    <s v="Electronics"/>
    <n v="250000"/>
    <n v="4"/>
    <x v="3"/>
    <n v="200000"/>
    <x v="14"/>
    <x v="14"/>
    <x v="14"/>
  </r>
  <r>
    <x v="837"/>
    <s v="South"/>
    <x v="1"/>
    <x v="1"/>
    <s v="Store"/>
    <x v="1"/>
    <s v="Home Appliances"/>
    <n v="30000"/>
    <n v="2"/>
    <x v="5"/>
    <n v="24000"/>
    <x v="41"/>
    <x v="41"/>
    <x v="41"/>
  </r>
  <r>
    <x v="838"/>
    <s v="West"/>
    <x v="2"/>
    <x v="0"/>
    <s v="Store"/>
    <x v="4"/>
    <s v="Home Appliances"/>
    <n v="180000"/>
    <n v="6"/>
    <x v="2"/>
    <n v="144000"/>
    <x v="53"/>
    <x v="53"/>
    <x v="53"/>
  </r>
  <r>
    <x v="839"/>
    <s v="South"/>
    <x v="3"/>
    <x v="1"/>
    <s v="Store"/>
    <x v="4"/>
    <s v="Home Appliances"/>
    <n v="180000"/>
    <n v="8"/>
    <x v="5"/>
    <n v="144000"/>
    <x v="37"/>
    <x v="37"/>
    <x v="37"/>
  </r>
  <r>
    <x v="840"/>
    <s v="West"/>
    <x v="1"/>
    <x v="1"/>
    <s v="Store"/>
    <x v="7"/>
    <s v="Electronics"/>
    <n v="420000"/>
    <n v="3"/>
    <x v="0"/>
    <n v="336000"/>
    <x v="55"/>
    <x v="55"/>
    <x v="55"/>
  </r>
  <r>
    <x v="841"/>
    <s v="North"/>
    <x v="2"/>
    <x v="1"/>
    <s v="Online"/>
    <x v="1"/>
    <s v="Home Appliances"/>
    <n v="30000"/>
    <n v="10"/>
    <x v="2"/>
    <n v="24000"/>
    <x v="11"/>
    <x v="11"/>
    <x v="11"/>
  </r>
  <r>
    <x v="842"/>
    <s v="East"/>
    <x v="2"/>
    <x v="1"/>
    <s v="Online"/>
    <x v="0"/>
    <s v="Furniture"/>
    <n v="85000"/>
    <n v="7"/>
    <x v="5"/>
    <n v="68000"/>
    <x v="30"/>
    <x v="30"/>
    <x v="30"/>
  </r>
  <r>
    <x v="843"/>
    <s v="West"/>
    <x v="0"/>
    <x v="0"/>
    <s v="Store"/>
    <x v="1"/>
    <s v="Home Appliances"/>
    <n v="30000"/>
    <n v="5"/>
    <x v="0"/>
    <n v="24000"/>
    <x v="26"/>
    <x v="26"/>
    <x v="26"/>
  </r>
  <r>
    <x v="844"/>
    <s v="North"/>
    <x v="0"/>
    <x v="0"/>
    <s v="Store"/>
    <x v="3"/>
    <s v="Electronics"/>
    <n v="300000"/>
    <n v="5"/>
    <x v="5"/>
    <n v="240000"/>
    <x v="17"/>
    <x v="17"/>
    <x v="17"/>
  </r>
  <r>
    <x v="845"/>
    <s v="West"/>
    <x v="2"/>
    <x v="1"/>
    <s v="Store"/>
    <x v="0"/>
    <s v="Furniture"/>
    <n v="85000"/>
    <n v="8"/>
    <x v="2"/>
    <n v="68000"/>
    <x v="69"/>
    <x v="69"/>
    <x v="69"/>
  </r>
  <r>
    <x v="846"/>
    <s v="South"/>
    <x v="3"/>
    <x v="1"/>
    <s v="Store"/>
    <x v="9"/>
    <s v="Home Appliances"/>
    <n v="220000"/>
    <n v="7"/>
    <x v="1"/>
    <n v="176000"/>
    <x v="67"/>
    <x v="67"/>
    <x v="67"/>
  </r>
  <r>
    <x v="847"/>
    <s v="North"/>
    <x v="1"/>
    <x v="0"/>
    <s v="Online"/>
    <x v="0"/>
    <s v="Furniture"/>
    <n v="85000"/>
    <n v="8"/>
    <x v="1"/>
    <n v="68000"/>
    <x v="69"/>
    <x v="69"/>
    <x v="69"/>
  </r>
  <r>
    <x v="848"/>
    <s v="East"/>
    <x v="3"/>
    <x v="1"/>
    <s v="Online"/>
    <x v="6"/>
    <s v="Electronics"/>
    <n v="150000"/>
    <n v="5"/>
    <x v="3"/>
    <n v="120000"/>
    <x v="56"/>
    <x v="56"/>
    <x v="56"/>
  </r>
  <r>
    <x v="849"/>
    <s v="East"/>
    <x v="0"/>
    <x v="0"/>
    <s v="Store"/>
    <x v="2"/>
    <s v="Home Appliances"/>
    <n v="60000"/>
    <n v="10"/>
    <x v="1"/>
    <n v="48000"/>
    <x v="4"/>
    <x v="4"/>
    <x v="4"/>
  </r>
  <r>
    <x v="850"/>
    <s v="West"/>
    <x v="2"/>
    <x v="1"/>
    <s v="Online"/>
    <x v="9"/>
    <s v="Home Appliances"/>
    <n v="220000"/>
    <n v="1"/>
    <x v="0"/>
    <n v="176000"/>
    <x v="25"/>
    <x v="25"/>
    <x v="25"/>
  </r>
  <r>
    <x v="851"/>
    <s v="North"/>
    <x v="1"/>
    <x v="1"/>
    <s v="Online"/>
    <x v="1"/>
    <s v="Home Appliances"/>
    <n v="30000"/>
    <n v="3"/>
    <x v="2"/>
    <n v="24000"/>
    <x v="33"/>
    <x v="33"/>
    <x v="33"/>
  </r>
  <r>
    <x v="852"/>
    <s v="South"/>
    <x v="1"/>
    <x v="1"/>
    <s v="Online"/>
    <x v="7"/>
    <s v="Electronics"/>
    <n v="420000"/>
    <n v="1"/>
    <x v="3"/>
    <n v="336000"/>
    <x v="40"/>
    <x v="40"/>
    <x v="40"/>
  </r>
  <r>
    <x v="853"/>
    <s v="East"/>
    <x v="0"/>
    <x v="0"/>
    <s v="Store"/>
    <x v="1"/>
    <s v="Home Appliances"/>
    <n v="30000"/>
    <n v="5"/>
    <x v="5"/>
    <n v="24000"/>
    <x v="26"/>
    <x v="26"/>
    <x v="26"/>
  </r>
  <r>
    <x v="854"/>
    <s v="East"/>
    <x v="3"/>
    <x v="1"/>
    <s v="Online"/>
    <x v="7"/>
    <s v="Electronics"/>
    <n v="420000"/>
    <n v="7"/>
    <x v="0"/>
    <n v="336000"/>
    <x v="70"/>
    <x v="70"/>
    <x v="70"/>
  </r>
  <r>
    <x v="855"/>
    <s v="South"/>
    <x v="1"/>
    <x v="0"/>
    <s v="Store"/>
    <x v="4"/>
    <s v="Home Appliances"/>
    <n v="180000"/>
    <n v="8"/>
    <x v="4"/>
    <n v="144000"/>
    <x v="37"/>
    <x v="37"/>
    <x v="37"/>
  </r>
  <r>
    <x v="856"/>
    <s v="West"/>
    <x v="3"/>
    <x v="1"/>
    <s v="Store"/>
    <x v="9"/>
    <s v="Home Appliances"/>
    <n v="220000"/>
    <n v="3"/>
    <x v="2"/>
    <n v="176000"/>
    <x v="49"/>
    <x v="49"/>
    <x v="49"/>
  </r>
  <r>
    <x v="857"/>
    <s v="East"/>
    <x v="3"/>
    <x v="0"/>
    <s v="Online"/>
    <x v="7"/>
    <s v="Electronics"/>
    <n v="420000"/>
    <n v="3"/>
    <x v="0"/>
    <n v="336000"/>
    <x v="55"/>
    <x v="55"/>
    <x v="55"/>
  </r>
  <r>
    <x v="858"/>
    <s v="East"/>
    <x v="2"/>
    <x v="0"/>
    <s v="Online"/>
    <x v="4"/>
    <s v="Home Appliances"/>
    <n v="180000"/>
    <n v="5"/>
    <x v="5"/>
    <n v="144000"/>
    <x v="48"/>
    <x v="48"/>
    <x v="48"/>
  </r>
  <r>
    <x v="859"/>
    <s v="West"/>
    <x v="2"/>
    <x v="1"/>
    <s v="Online"/>
    <x v="9"/>
    <s v="Home Appliances"/>
    <n v="220000"/>
    <n v="5"/>
    <x v="2"/>
    <n v="176000"/>
    <x v="51"/>
    <x v="51"/>
    <x v="51"/>
  </r>
  <r>
    <x v="860"/>
    <s v="North"/>
    <x v="3"/>
    <x v="1"/>
    <s v="Online"/>
    <x v="8"/>
    <s v="Electronics"/>
    <n v="250000"/>
    <n v="2"/>
    <x v="3"/>
    <n v="200000"/>
    <x v="73"/>
    <x v="73"/>
    <x v="73"/>
  </r>
  <r>
    <x v="861"/>
    <s v="East"/>
    <x v="2"/>
    <x v="1"/>
    <s v="Online"/>
    <x v="7"/>
    <s v="Electronics"/>
    <n v="420000"/>
    <n v="3"/>
    <x v="3"/>
    <n v="336000"/>
    <x v="55"/>
    <x v="55"/>
    <x v="55"/>
  </r>
  <r>
    <x v="862"/>
    <s v="East"/>
    <x v="1"/>
    <x v="1"/>
    <s v="Online"/>
    <x v="7"/>
    <s v="Electronics"/>
    <n v="420000"/>
    <n v="8"/>
    <x v="2"/>
    <n v="336000"/>
    <x v="19"/>
    <x v="19"/>
    <x v="19"/>
  </r>
  <r>
    <x v="863"/>
    <s v="East"/>
    <x v="0"/>
    <x v="1"/>
    <s v="Online"/>
    <x v="7"/>
    <s v="Electronics"/>
    <n v="420000"/>
    <n v="7"/>
    <x v="0"/>
    <n v="336000"/>
    <x v="70"/>
    <x v="70"/>
    <x v="70"/>
  </r>
  <r>
    <x v="864"/>
    <s v="West"/>
    <x v="2"/>
    <x v="1"/>
    <s v="Online"/>
    <x v="5"/>
    <s v="Furniture"/>
    <n v="320000"/>
    <n v="6"/>
    <x v="2"/>
    <n v="256000"/>
    <x v="31"/>
    <x v="31"/>
    <x v="31"/>
  </r>
  <r>
    <x v="865"/>
    <s v="North"/>
    <x v="2"/>
    <x v="1"/>
    <s v="Online"/>
    <x v="2"/>
    <s v="Home Appliances"/>
    <n v="60000"/>
    <n v="3"/>
    <x v="2"/>
    <n v="48000"/>
    <x v="32"/>
    <x v="32"/>
    <x v="32"/>
  </r>
  <r>
    <x v="866"/>
    <s v="West"/>
    <x v="0"/>
    <x v="1"/>
    <s v="Store"/>
    <x v="0"/>
    <s v="Furniture"/>
    <n v="85000"/>
    <n v="8"/>
    <x v="0"/>
    <n v="68000"/>
    <x v="69"/>
    <x v="69"/>
    <x v="69"/>
  </r>
  <r>
    <x v="867"/>
    <s v="West"/>
    <x v="0"/>
    <x v="1"/>
    <s v="Store"/>
    <x v="4"/>
    <s v="Home Appliances"/>
    <n v="180000"/>
    <n v="9"/>
    <x v="3"/>
    <n v="144000"/>
    <x v="27"/>
    <x v="27"/>
    <x v="27"/>
  </r>
  <r>
    <x v="868"/>
    <s v="West"/>
    <x v="2"/>
    <x v="1"/>
    <s v="Store"/>
    <x v="9"/>
    <s v="Home Appliances"/>
    <n v="220000"/>
    <n v="5"/>
    <x v="3"/>
    <n v="176000"/>
    <x v="51"/>
    <x v="51"/>
    <x v="51"/>
  </r>
  <r>
    <x v="869"/>
    <s v="South"/>
    <x v="2"/>
    <x v="1"/>
    <s v="Store"/>
    <x v="4"/>
    <s v="Home Appliances"/>
    <n v="180000"/>
    <n v="5"/>
    <x v="3"/>
    <n v="144000"/>
    <x v="48"/>
    <x v="48"/>
    <x v="48"/>
  </r>
  <r>
    <x v="870"/>
    <s v="West"/>
    <x v="1"/>
    <x v="1"/>
    <s v="Online"/>
    <x v="2"/>
    <s v="Home Appliances"/>
    <n v="60000"/>
    <n v="7"/>
    <x v="0"/>
    <n v="48000"/>
    <x v="40"/>
    <x v="40"/>
    <x v="40"/>
  </r>
  <r>
    <x v="871"/>
    <s v="South"/>
    <x v="2"/>
    <x v="1"/>
    <s v="Store"/>
    <x v="6"/>
    <s v="Electronics"/>
    <n v="150000"/>
    <n v="7"/>
    <x v="3"/>
    <n v="120000"/>
    <x v="16"/>
    <x v="16"/>
    <x v="16"/>
  </r>
  <r>
    <x v="872"/>
    <s v="East"/>
    <x v="0"/>
    <x v="1"/>
    <s v="Store"/>
    <x v="1"/>
    <s v="Home Appliances"/>
    <n v="30000"/>
    <n v="4"/>
    <x v="4"/>
    <n v="24000"/>
    <x v="3"/>
    <x v="3"/>
    <x v="3"/>
  </r>
  <r>
    <x v="873"/>
    <s v="West"/>
    <x v="3"/>
    <x v="1"/>
    <s v="Store"/>
    <x v="7"/>
    <s v="Electronics"/>
    <n v="420000"/>
    <n v="1"/>
    <x v="4"/>
    <n v="336000"/>
    <x v="40"/>
    <x v="40"/>
    <x v="40"/>
  </r>
  <r>
    <x v="874"/>
    <s v="West"/>
    <x v="2"/>
    <x v="1"/>
    <s v="Store"/>
    <x v="7"/>
    <s v="Electronics"/>
    <n v="420000"/>
    <n v="4"/>
    <x v="3"/>
    <n v="336000"/>
    <x v="45"/>
    <x v="45"/>
    <x v="45"/>
  </r>
  <r>
    <x v="875"/>
    <s v="North"/>
    <x v="2"/>
    <x v="1"/>
    <s v="Online"/>
    <x v="0"/>
    <s v="Furniture"/>
    <n v="85000"/>
    <n v="4"/>
    <x v="3"/>
    <n v="68000"/>
    <x v="74"/>
    <x v="74"/>
    <x v="74"/>
  </r>
  <r>
    <x v="876"/>
    <s v="West"/>
    <x v="1"/>
    <x v="1"/>
    <s v="Store"/>
    <x v="5"/>
    <s v="Furniture"/>
    <n v="320000"/>
    <n v="5"/>
    <x v="2"/>
    <n v="256000"/>
    <x v="28"/>
    <x v="28"/>
    <x v="28"/>
  </r>
  <r>
    <x v="877"/>
    <s v="East"/>
    <x v="0"/>
    <x v="1"/>
    <s v="Store"/>
    <x v="0"/>
    <s v="Furniture"/>
    <n v="85000"/>
    <n v="4"/>
    <x v="2"/>
    <n v="68000"/>
    <x v="74"/>
    <x v="74"/>
    <x v="74"/>
  </r>
  <r>
    <x v="878"/>
    <s v="West"/>
    <x v="0"/>
    <x v="1"/>
    <s v="Store"/>
    <x v="7"/>
    <s v="Electronics"/>
    <n v="420000"/>
    <n v="7"/>
    <x v="5"/>
    <n v="336000"/>
    <x v="70"/>
    <x v="70"/>
    <x v="70"/>
  </r>
  <r>
    <x v="879"/>
    <s v="West"/>
    <x v="2"/>
    <x v="1"/>
    <s v="Online"/>
    <x v="1"/>
    <s v="Home Appliances"/>
    <n v="30000"/>
    <n v="10"/>
    <x v="2"/>
    <n v="24000"/>
    <x v="11"/>
    <x v="11"/>
    <x v="11"/>
  </r>
  <r>
    <x v="880"/>
    <s v="West"/>
    <x v="2"/>
    <x v="1"/>
    <s v="Online"/>
    <x v="6"/>
    <s v="Electronics"/>
    <n v="150000"/>
    <n v="10"/>
    <x v="2"/>
    <n v="120000"/>
    <x v="17"/>
    <x v="17"/>
    <x v="17"/>
  </r>
  <r>
    <x v="881"/>
    <s v="South"/>
    <x v="0"/>
    <x v="1"/>
    <s v="Store"/>
    <x v="8"/>
    <s v="Electronics"/>
    <n v="250000"/>
    <n v="4"/>
    <x v="4"/>
    <n v="200000"/>
    <x v="14"/>
    <x v="14"/>
    <x v="14"/>
  </r>
  <r>
    <x v="882"/>
    <s v="East"/>
    <x v="3"/>
    <x v="0"/>
    <s v="Online"/>
    <x v="9"/>
    <s v="Home Appliances"/>
    <n v="220000"/>
    <n v="6"/>
    <x v="4"/>
    <n v="176000"/>
    <x v="36"/>
    <x v="36"/>
    <x v="36"/>
  </r>
  <r>
    <x v="883"/>
    <s v="North"/>
    <x v="0"/>
    <x v="0"/>
    <s v="Store"/>
    <x v="6"/>
    <s v="Electronics"/>
    <n v="150000"/>
    <n v="10"/>
    <x v="1"/>
    <n v="120000"/>
    <x v="17"/>
    <x v="17"/>
    <x v="17"/>
  </r>
  <r>
    <x v="884"/>
    <s v="East"/>
    <x v="2"/>
    <x v="0"/>
    <s v="Online"/>
    <x v="6"/>
    <s v="Electronics"/>
    <n v="150000"/>
    <n v="2"/>
    <x v="2"/>
    <n v="120000"/>
    <x v="11"/>
    <x v="11"/>
    <x v="11"/>
  </r>
  <r>
    <x v="885"/>
    <s v="West"/>
    <x v="0"/>
    <x v="0"/>
    <s v="Online"/>
    <x v="8"/>
    <s v="Electronics"/>
    <n v="250000"/>
    <n v="4"/>
    <x v="3"/>
    <n v="200000"/>
    <x v="14"/>
    <x v="14"/>
    <x v="14"/>
  </r>
  <r>
    <x v="886"/>
    <s v="East"/>
    <x v="0"/>
    <x v="0"/>
    <s v="Store"/>
    <x v="6"/>
    <s v="Electronics"/>
    <n v="150000"/>
    <n v="9"/>
    <x v="1"/>
    <n v="120000"/>
    <x v="63"/>
    <x v="63"/>
    <x v="63"/>
  </r>
  <r>
    <x v="887"/>
    <s v="North"/>
    <x v="2"/>
    <x v="0"/>
    <s v="Store"/>
    <x v="7"/>
    <s v="Electronics"/>
    <n v="420000"/>
    <n v="7"/>
    <x v="3"/>
    <n v="336000"/>
    <x v="70"/>
    <x v="70"/>
    <x v="70"/>
  </r>
  <r>
    <x v="888"/>
    <s v="East"/>
    <x v="1"/>
    <x v="0"/>
    <s v="Online"/>
    <x v="0"/>
    <s v="Furniture"/>
    <n v="85000"/>
    <n v="2"/>
    <x v="0"/>
    <n v="68000"/>
    <x v="2"/>
    <x v="2"/>
    <x v="2"/>
  </r>
  <r>
    <x v="889"/>
    <s v="South"/>
    <x v="1"/>
    <x v="1"/>
    <s v="Store"/>
    <x v="0"/>
    <s v="Furniture"/>
    <n v="85000"/>
    <n v="1"/>
    <x v="3"/>
    <n v="68000"/>
    <x v="0"/>
    <x v="0"/>
    <x v="0"/>
  </r>
  <r>
    <x v="890"/>
    <s v="South"/>
    <x v="2"/>
    <x v="0"/>
    <s v="Store"/>
    <x v="7"/>
    <s v="Electronics"/>
    <n v="420000"/>
    <n v="9"/>
    <x v="0"/>
    <n v="336000"/>
    <x v="12"/>
    <x v="12"/>
    <x v="12"/>
  </r>
  <r>
    <x v="891"/>
    <s v="North"/>
    <x v="1"/>
    <x v="0"/>
    <s v="Store"/>
    <x v="9"/>
    <s v="Home Appliances"/>
    <n v="220000"/>
    <n v="2"/>
    <x v="5"/>
    <n v="176000"/>
    <x v="15"/>
    <x v="15"/>
    <x v="15"/>
  </r>
  <r>
    <x v="892"/>
    <s v="West"/>
    <x v="2"/>
    <x v="1"/>
    <s v="Store"/>
    <x v="9"/>
    <s v="Home Appliances"/>
    <n v="220000"/>
    <n v="8"/>
    <x v="4"/>
    <n v="176000"/>
    <x v="42"/>
    <x v="42"/>
    <x v="42"/>
  </r>
  <r>
    <x v="893"/>
    <s v="North"/>
    <x v="0"/>
    <x v="1"/>
    <s v="Online"/>
    <x v="1"/>
    <s v="Home Appliances"/>
    <n v="30000"/>
    <n v="9"/>
    <x v="0"/>
    <n v="24000"/>
    <x v="57"/>
    <x v="57"/>
    <x v="57"/>
  </r>
  <r>
    <x v="894"/>
    <s v="North"/>
    <x v="3"/>
    <x v="1"/>
    <s v="Online"/>
    <x v="5"/>
    <s v="Furniture"/>
    <n v="320000"/>
    <n v="3"/>
    <x v="4"/>
    <n v="256000"/>
    <x v="9"/>
    <x v="9"/>
    <x v="9"/>
  </r>
  <r>
    <x v="895"/>
    <s v="North"/>
    <x v="0"/>
    <x v="0"/>
    <s v="Online"/>
    <x v="1"/>
    <s v="Home Appliances"/>
    <n v="30000"/>
    <n v="6"/>
    <x v="3"/>
    <n v="24000"/>
    <x v="32"/>
    <x v="32"/>
    <x v="32"/>
  </r>
  <r>
    <x v="896"/>
    <s v="North"/>
    <x v="2"/>
    <x v="1"/>
    <s v="Online"/>
    <x v="2"/>
    <s v="Home Appliances"/>
    <n v="60000"/>
    <n v="7"/>
    <x v="2"/>
    <n v="48000"/>
    <x v="40"/>
    <x v="40"/>
    <x v="40"/>
  </r>
  <r>
    <x v="897"/>
    <s v="South"/>
    <x v="2"/>
    <x v="0"/>
    <s v="Online"/>
    <x v="4"/>
    <s v="Home Appliances"/>
    <n v="180000"/>
    <n v="2"/>
    <x v="3"/>
    <n v="144000"/>
    <x v="50"/>
    <x v="50"/>
    <x v="50"/>
  </r>
  <r>
    <x v="898"/>
    <s v="East"/>
    <x v="3"/>
    <x v="1"/>
    <s v="Store"/>
    <x v="1"/>
    <s v="Home Appliances"/>
    <n v="30000"/>
    <n v="5"/>
    <x v="0"/>
    <n v="24000"/>
    <x v="26"/>
    <x v="26"/>
    <x v="26"/>
  </r>
  <r>
    <x v="899"/>
    <s v="West"/>
    <x v="1"/>
    <x v="1"/>
    <s v="Store"/>
    <x v="6"/>
    <s v="Electronics"/>
    <n v="150000"/>
    <n v="2"/>
    <x v="4"/>
    <n v="120000"/>
    <x v="11"/>
    <x v="11"/>
    <x v="11"/>
  </r>
  <r>
    <x v="900"/>
    <s v="South"/>
    <x v="0"/>
    <x v="0"/>
    <s v="Online"/>
    <x v="1"/>
    <s v="Home Appliances"/>
    <n v="30000"/>
    <n v="9"/>
    <x v="5"/>
    <n v="24000"/>
    <x v="57"/>
    <x v="57"/>
    <x v="57"/>
  </r>
  <r>
    <x v="901"/>
    <s v="South"/>
    <x v="2"/>
    <x v="1"/>
    <s v="Online"/>
    <x v="6"/>
    <s v="Electronics"/>
    <n v="150000"/>
    <n v="5"/>
    <x v="3"/>
    <n v="120000"/>
    <x v="56"/>
    <x v="56"/>
    <x v="56"/>
  </r>
  <r>
    <x v="902"/>
    <s v="South"/>
    <x v="2"/>
    <x v="0"/>
    <s v="Store"/>
    <x v="2"/>
    <s v="Home Appliances"/>
    <n v="60000"/>
    <n v="8"/>
    <x v="5"/>
    <n v="48000"/>
    <x v="47"/>
    <x v="47"/>
    <x v="47"/>
  </r>
  <r>
    <x v="903"/>
    <s v="East"/>
    <x v="1"/>
    <x v="0"/>
    <s v="Online"/>
    <x v="6"/>
    <s v="Electronics"/>
    <n v="150000"/>
    <n v="8"/>
    <x v="4"/>
    <n v="120000"/>
    <x v="29"/>
    <x v="29"/>
    <x v="29"/>
  </r>
  <r>
    <x v="904"/>
    <s v="East"/>
    <x v="2"/>
    <x v="0"/>
    <s v="Store"/>
    <x v="0"/>
    <s v="Furniture"/>
    <n v="85000"/>
    <n v="3"/>
    <x v="5"/>
    <n v="68000"/>
    <x v="23"/>
    <x v="23"/>
    <x v="23"/>
  </r>
  <r>
    <x v="905"/>
    <s v="South"/>
    <x v="0"/>
    <x v="1"/>
    <s v="Online"/>
    <x v="4"/>
    <s v="Home Appliances"/>
    <n v="180000"/>
    <n v="4"/>
    <x v="4"/>
    <n v="144000"/>
    <x v="65"/>
    <x v="65"/>
    <x v="65"/>
  </r>
  <r>
    <x v="906"/>
    <s v="North"/>
    <x v="0"/>
    <x v="0"/>
    <s v="Online"/>
    <x v="7"/>
    <s v="Electronics"/>
    <n v="420000"/>
    <n v="7"/>
    <x v="1"/>
    <n v="336000"/>
    <x v="70"/>
    <x v="70"/>
    <x v="70"/>
  </r>
  <r>
    <x v="907"/>
    <s v="East"/>
    <x v="1"/>
    <x v="0"/>
    <s v="Store"/>
    <x v="2"/>
    <s v="Home Appliances"/>
    <n v="60000"/>
    <n v="8"/>
    <x v="1"/>
    <n v="48000"/>
    <x v="47"/>
    <x v="47"/>
    <x v="47"/>
  </r>
  <r>
    <x v="908"/>
    <s v="South"/>
    <x v="2"/>
    <x v="0"/>
    <s v="Store"/>
    <x v="3"/>
    <s v="Electronics"/>
    <n v="300000"/>
    <n v="1"/>
    <x v="3"/>
    <n v="240000"/>
    <x v="11"/>
    <x v="11"/>
    <x v="11"/>
  </r>
  <r>
    <x v="909"/>
    <s v="East"/>
    <x v="2"/>
    <x v="0"/>
    <s v="Online"/>
    <x v="1"/>
    <s v="Home Appliances"/>
    <n v="30000"/>
    <n v="6"/>
    <x v="3"/>
    <n v="24000"/>
    <x v="32"/>
    <x v="32"/>
    <x v="32"/>
  </r>
  <r>
    <x v="910"/>
    <s v="North"/>
    <x v="1"/>
    <x v="1"/>
    <s v="Store"/>
    <x v="8"/>
    <s v="Electronics"/>
    <n v="250000"/>
    <n v="9"/>
    <x v="4"/>
    <n v="200000"/>
    <x v="71"/>
    <x v="71"/>
    <x v="71"/>
  </r>
  <r>
    <x v="911"/>
    <s v="East"/>
    <x v="2"/>
    <x v="1"/>
    <s v="Store"/>
    <x v="7"/>
    <s v="Electronics"/>
    <n v="420000"/>
    <n v="9"/>
    <x v="3"/>
    <n v="336000"/>
    <x v="12"/>
    <x v="12"/>
    <x v="12"/>
  </r>
  <r>
    <x v="912"/>
    <s v="East"/>
    <x v="2"/>
    <x v="1"/>
    <s v="Store"/>
    <x v="6"/>
    <s v="Electronics"/>
    <n v="150000"/>
    <n v="9"/>
    <x v="3"/>
    <n v="120000"/>
    <x v="63"/>
    <x v="63"/>
    <x v="63"/>
  </r>
  <r>
    <x v="913"/>
    <s v="East"/>
    <x v="1"/>
    <x v="1"/>
    <s v="Online"/>
    <x v="3"/>
    <s v="Electronics"/>
    <n v="300000"/>
    <n v="5"/>
    <x v="5"/>
    <n v="240000"/>
    <x v="17"/>
    <x v="17"/>
    <x v="17"/>
  </r>
  <r>
    <x v="914"/>
    <s v="North"/>
    <x v="3"/>
    <x v="0"/>
    <s v="Online"/>
    <x v="1"/>
    <s v="Home Appliances"/>
    <n v="30000"/>
    <n v="4"/>
    <x v="3"/>
    <n v="24000"/>
    <x v="3"/>
    <x v="3"/>
    <x v="3"/>
  </r>
  <r>
    <x v="915"/>
    <s v="West"/>
    <x v="3"/>
    <x v="0"/>
    <s v="Store"/>
    <x v="7"/>
    <s v="Electronics"/>
    <n v="420000"/>
    <n v="7"/>
    <x v="5"/>
    <n v="336000"/>
    <x v="70"/>
    <x v="70"/>
    <x v="70"/>
  </r>
  <r>
    <x v="916"/>
    <s v="East"/>
    <x v="1"/>
    <x v="1"/>
    <s v="Store"/>
    <x v="5"/>
    <s v="Furniture"/>
    <n v="320000"/>
    <n v="6"/>
    <x v="3"/>
    <n v="256000"/>
    <x v="31"/>
    <x v="31"/>
    <x v="31"/>
  </r>
  <r>
    <x v="917"/>
    <s v="South"/>
    <x v="3"/>
    <x v="0"/>
    <s v="Online"/>
    <x v="0"/>
    <s v="Furniture"/>
    <n v="85000"/>
    <n v="2"/>
    <x v="5"/>
    <n v="68000"/>
    <x v="2"/>
    <x v="2"/>
    <x v="2"/>
  </r>
  <r>
    <x v="918"/>
    <s v="West"/>
    <x v="1"/>
    <x v="0"/>
    <s v="Online"/>
    <x v="6"/>
    <s v="Electronics"/>
    <n v="150000"/>
    <n v="1"/>
    <x v="5"/>
    <n v="120000"/>
    <x v="26"/>
    <x v="26"/>
    <x v="26"/>
  </r>
  <r>
    <x v="919"/>
    <s v="West"/>
    <x v="0"/>
    <x v="1"/>
    <s v="Store"/>
    <x v="0"/>
    <s v="Furniture"/>
    <n v="85000"/>
    <n v="2"/>
    <x v="4"/>
    <n v="68000"/>
    <x v="2"/>
    <x v="2"/>
    <x v="2"/>
  </r>
  <r>
    <x v="920"/>
    <s v="West"/>
    <x v="3"/>
    <x v="1"/>
    <s v="Online"/>
    <x v="0"/>
    <s v="Furniture"/>
    <n v="85000"/>
    <n v="1"/>
    <x v="2"/>
    <n v="68000"/>
    <x v="0"/>
    <x v="0"/>
    <x v="0"/>
  </r>
  <r>
    <x v="921"/>
    <s v="North"/>
    <x v="2"/>
    <x v="0"/>
    <s v="Online"/>
    <x v="4"/>
    <s v="Home Appliances"/>
    <n v="180000"/>
    <n v="4"/>
    <x v="5"/>
    <n v="144000"/>
    <x v="65"/>
    <x v="65"/>
    <x v="65"/>
  </r>
  <r>
    <x v="922"/>
    <s v="East"/>
    <x v="0"/>
    <x v="1"/>
    <s v="Online"/>
    <x v="7"/>
    <s v="Electronics"/>
    <n v="420000"/>
    <n v="8"/>
    <x v="1"/>
    <n v="336000"/>
    <x v="19"/>
    <x v="19"/>
    <x v="19"/>
  </r>
  <r>
    <x v="923"/>
    <s v="West"/>
    <x v="2"/>
    <x v="1"/>
    <s v="Store"/>
    <x v="4"/>
    <s v="Home Appliances"/>
    <n v="180000"/>
    <n v="9"/>
    <x v="1"/>
    <n v="144000"/>
    <x v="27"/>
    <x v="27"/>
    <x v="27"/>
  </r>
  <r>
    <x v="924"/>
    <s v="North"/>
    <x v="1"/>
    <x v="1"/>
    <s v="Store"/>
    <x v="3"/>
    <s v="Electronics"/>
    <n v="300000"/>
    <n v="5"/>
    <x v="5"/>
    <n v="240000"/>
    <x v="17"/>
    <x v="17"/>
    <x v="17"/>
  </r>
  <r>
    <x v="925"/>
    <s v="West"/>
    <x v="2"/>
    <x v="1"/>
    <s v="Store"/>
    <x v="2"/>
    <s v="Home Appliances"/>
    <n v="60000"/>
    <n v="4"/>
    <x v="4"/>
    <n v="48000"/>
    <x v="1"/>
    <x v="1"/>
    <x v="1"/>
  </r>
  <r>
    <x v="926"/>
    <s v="East"/>
    <x v="1"/>
    <x v="1"/>
    <s v="Online"/>
    <x v="8"/>
    <s v="Electronics"/>
    <n v="250000"/>
    <n v="4"/>
    <x v="4"/>
    <n v="200000"/>
    <x v="14"/>
    <x v="14"/>
    <x v="14"/>
  </r>
  <r>
    <x v="927"/>
    <s v="North"/>
    <x v="0"/>
    <x v="0"/>
    <s v="Store"/>
    <x v="9"/>
    <s v="Home Appliances"/>
    <n v="220000"/>
    <n v="6"/>
    <x v="5"/>
    <n v="176000"/>
    <x v="36"/>
    <x v="36"/>
    <x v="36"/>
  </r>
  <r>
    <x v="928"/>
    <s v="East"/>
    <x v="1"/>
    <x v="1"/>
    <s v="Online"/>
    <x v="3"/>
    <s v="Electronics"/>
    <n v="300000"/>
    <n v="7"/>
    <x v="2"/>
    <n v="240000"/>
    <x v="13"/>
    <x v="13"/>
    <x v="13"/>
  </r>
  <r>
    <x v="929"/>
    <s v="South"/>
    <x v="1"/>
    <x v="0"/>
    <s v="Online"/>
    <x v="7"/>
    <s v="Electronics"/>
    <n v="420000"/>
    <n v="10"/>
    <x v="2"/>
    <n v="336000"/>
    <x v="20"/>
    <x v="20"/>
    <x v="20"/>
  </r>
  <r>
    <x v="930"/>
    <s v="West"/>
    <x v="1"/>
    <x v="1"/>
    <s v="Store"/>
    <x v="1"/>
    <s v="Home Appliances"/>
    <n v="30000"/>
    <n v="7"/>
    <x v="2"/>
    <n v="24000"/>
    <x v="54"/>
    <x v="54"/>
    <x v="54"/>
  </r>
  <r>
    <x v="931"/>
    <s v="North"/>
    <x v="1"/>
    <x v="1"/>
    <s v="Online"/>
    <x v="9"/>
    <s v="Home Appliances"/>
    <n v="220000"/>
    <n v="8"/>
    <x v="4"/>
    <n v="176000"/>
    <x v="42"/>
    <x v="42"/>
    <x v="42"/>
  </r>
  <r>
    <x v="932"/>
    <s v="South"/>
    <x v="3"/>
    <x v="0"/>
    <s v="Store"/>
    <x v="5"/>
    <s v="Furniture"/>
    <n v="320000"/>
    <n v="9"/>
    <x v="1"/>
    <n v="256000"/>
    <x v="8"/>
    <x v="8"/>
    <x v="8"/>
  </r>
  <r>
    <x v="933"/>
    <s v="East"/>
    <x v="2"/>
    <x v="1"/>
    <s v="Store"/>
    <x v="4"/>
    <s v="Home Appliances"/>
    <n v="180000"/>
    <n v="8"/>
    <x v="2"/>
    <n v="144000"/>
    <x v="37"/>
    <x v="37"/>
    <x v="37"/>
  </r>
  <r>
    <x v="934"/>
    <s v="North"/>
    <x v="0"/>
    <x v="0"/>
    <s v="Online"/>
    <x v="1"/>
    <s v="Home Appliances"/>
    <n v="30000"/>
    <n v="5"/>
    <x v="3"/>
    <n v="24000"/>
    <x v="26"/>
    <x v="26"/>
    <x v="26"/>
  </r>
  <r>
    <x v="935"/>
    <s v="South"/>
    <x v="2"/>
    <x v="0"/>
    <s v="Store"/>
    <x v="5"/>
    <s v="Furniture"/>
    <n v="320000"/>
    <n v="8"/>
    <x v="2"/>
    <n v="256000"/>
    <x v="72"/>
    <x v="72"/>
    <x v="72"/>
  </r>
  <r>
    <x v="936"/>
    <s v="North"/>
    <x v="1"/>
    <x v="0"/>
    <s v="Store"/>
    <x v="5"/>
    <s v="Furniture"/>
    <n v="320000"/>
    <n v="8"/>
    <x v="1"/>
    <n v="256000"/>
    <x v="72"/>
    <x v="72"/>
    <x v="72"/>
  </r>
  <r>
    <x v="937"/>
    <s v="East"/>
    <x v="2"/>
    <x v="1"/>
    <s v="Store"/>
    <x v="1"/>
    <s v="Home Appliances"/>
    <n v="30000"/>
    <n v="4"/>
    <x v="2"/>
    <n v="24000"/>
    <x v="3"/>
    <x v="3"/>
    <x v="3"/>
  </r>
  <r>
    <x v="938"/>
    <s v="West"/>
    <x v="3"/>
    <x v="0"/>
    <s v="Store"/>
    <x v="4"/>
    <s v="Home Appliances"/>
    <n v="180000"/>
    <n v="3"/>
    <x v="3"/>
    <n v="144000"/>
    <x v="46"/>
    <x v="46"/>
    <x v="46"/>
  </r>
  <r>
    <x v="939"/>
    <s v="North"/>
    <x v="2"/>
    <x v="0"/>
    <s v="Online"/>
    <x v="4"/>
    <s v="Home Appliances"/>
    <n v="180000"/>
    <n v="9"/>
    <x v="3"/>
    <n v="144000"/>
    <x v="27"/>
    <x v="27"/>
    <x v="27"/>
  </r>
  <r>
    <x v="940"/>
    <s v="North"/>
    <x v="1"/>
    <x v="1"/>
    <s v="Store"/>
    <x v="4"/>
    <s v="Home Appliances"/>
    <n v="180000"/>
    <n v="1"/>
    <x v="2"/>
    <n v="144000"/>
    <x v="32"/>
    <x v="32"/>
    <x v="32"/>
  </r>
  <r>
    <x v="941"/>
    <s v="West"/>
    <x v="3"/>
    <x v="1"/>
    <s v="Online"/>
    <x v="9"/>
    <s v="Home Appliances"/>
    <n v="220000"/>
    <n v="6"/>
    <x v="1"/>
    <n v="176000"/>
    <x v="36"/>
    <x v="36"/>
    <x v="36"/>
  </r>
  <r>
    <x v="942"/>
    <s v="East"/>
    <x v="1"/>
    <x v="0"/>
    <s v="Online"/>
    <x v="3"/>
    <s v="Electronics"/>
    <n v="300000"/>
    <n v="3"/>
    <x v="1"/>
    <n v="240000"/>
    <x v="48"/>
    <x v="48"/>
    <x v="48"/>
  </r>
  <r>
    <x v="943"/>
    <s v="South"/>
    <x v="1"/>
    <x v="1"/>
    <s v="Store"/>
    <x v="5"/>
    <s v="Furniture"/>
    <n v="320000"/>
    <n v="1"/>
    <x v="3"/>
    <n v="256000"/>
    <x v="7"/>
    <x v="7"/>
    <x v="7"/>
  </r>
  <r>
    <x v="944"/>
    <s v="South"/>
    <x v="0"/>
    <x v="1"/>
    <s v="Store"/>
    <x v="6"/>
    <s v="Electronics"/>
    <n v="150000"/>
    <n v="6"/>
    <x v="3"/>
    <n v="120000"/>
    <x v="48"/>
    <x v="48"/>
    <x v="48"/>
  </r>
  <r>
    <x v="945"/>
    <s v="East"/>
    <x v="1"/>
    <x v="1"/>
    <s v="Store"/>
    <x v="9"/>
    <s v="Home Appliances"/>
    <n v="220000"/>
    <n v="7"/>
    <x v="1"/>
    <n v="176000"/>
    <x v="67"/>
    <x v="67"/>
    <x v="67"/>
  </r>
  <r>
    <x v="946"/>
    <s v="West"/>
    <x v="1"/>
    <x v="0"/>
    <s v="Online"/>
    <x v="9"/>
    <s v="Home Appliances"/>
    <n v="220000"/>
    <n v="1"/>
    <x v="2"/>
    <n v="176000"/>
    <x v="25"/>
    <x v="25"/>
    <x v="25"/>
  </r>
  <r>
    <x v="947"/>
    <s v="East"/>
    <x v="0"/>
    <x v="0"/>
    <s v="Online"/>
    <x v="0"/>
    <s v="Furniture"/>
    <n v="85000"/>
    <n v="4"/>
    <x v="3"/>
    <n v="68000"/>
    <x v="74"/>
    <x v="74"/>
    <x v="74"/>
  </r>
  <r>
    <x v="948"/>
    <s v="West"/>
    <x v="3"/>
    <x v="1"/>
    <s v="Online"/>
    <x v="8"/>
    <s v="Electronics"/>
    <n v="250000"/>
    <n v="10"/>
    <x v="3"/>
    <n v="200000"/>
    <x v="66"/>
    <x v="66"/>
    <x v="66"/>
  </r>
  <r>
    <x v="949"/>
    <s v="North"/>
    <x v="3"/>
    <x v="0"/>
    <s v="Store"/>
    <x v="5"/>
    <s v="Furniture"/>
    <n v="320000"/>
    <n v="1"/>
    <x v="4"/>
    <n v="256000"/>
    <x v="7"/>
    <x v="7"/>
    <x v="7"/>
  </r>
  <r>
    <x v="950"/>
    <s v="West"/>
    <x v="0"/>
    <x v="1"/>
    <s v="Store"/>
    <x v="2"/>
    <s v="Home Appliances"/>
    <n v="60000"/>
    <n v="8"/>
    <x v="1"/>
    <n v="48000"/>
    <x v="47"/>
    <x v="47"/>
    <x v="47"/>
  </r>
  <r>
    <x v="951"/>
    <s v="North"/>
    <x v="3"/>
    <x v="0"/>
    <s v="Store"/>
    <x v="7"/>
    <s v="Electronics"/>
    <n v="420000"/>
    <n v="2"/>
    <x v="4"/>
    <n v="336000"/>
    <x v="62"/>
    <x v="62"/>
    <x v="62"/>
  </r>
  <r>
    <x v="952"/>
    <s v="North"/>
    <x v="2"/>
    <x v="1"/>
    <s v="Online"/>
    <x v="8"/>
    <s v="Electronics"/>
    <n v="250000"/>
    <n v="2"/>
    <x v="0"/>
    <n v="200000"/>
    <x v="73"/>
    <x v="73"/>
    <x v="73"/>
  </r>
  <r>
    <x v="953"/>
    <s v="West"/>
    <x v="1"/>
    <x v="0"/>
    <s v="Store"/>
    <x v="9"/>
    <s v="Home Appliances"/>
    <n v="220000"/>
    <n v="6"/>
    <x v="5"/>
    <n v="176000"/>
    <x v="36"/>
    <x v="36"/>
    <x v="36"/>
  </r>
  <r>
    <x v="954"/>
    <s v="North"/>
    <x v="1"/>
    <x v="1"/>
    <s v="Store"/>
    <x v="2"/>
    <s v="Home Appliances"/>
    <n v="60000"/>
    <n v="1"/>
    <x v="3"/>
    <n v="48000"/>
    <x v="41"/>
    <x v="41"/>
    <x v="41"/>
  </r>
  <r>
    <x v="955"/>
    <s v="West"/>
    <x v="0"/>
    <x v="0"/>
    <s v="Store"/>
    <x v="0"/>
    <s v="Furniture"/>
    <n v="85000"/>
    <n v="9"/>
    <x v="5"/>
    <n v="68000"/>
    <x v="18"/>
    <x v="18"/>
    <x v="18"/>
  </r>
  <r>
    <x v="956"/>
    <s v="South"/>
    <x v="1"/>
    <x v="0"/>
    <s v="Store"/>
    <x v="2"/>
    <s v="Home Appliances"/>
    <n v="60000"/>
    <n v="9"/>
    <x v="4"/>
    <n v="48000"/>
    <x v="46"/>
    <x v="46"/>
    <x v="46"/>
  </r>
  <r>
    <x v="957"/>
    <s v="East"/>
    <x v="2"/>
    <x v="1"/>
    <s v="Store"/>
    <x v="0"/>
    <s v="Furniture"/>
    <n v="85000"/>
    <n v="7"/>
    <x v="1"/>
    <n v="68000"/>
    <x v="30"/>
    <x v="30"/>
    <x v="30"/>
  </r>
  <r>
    <x v="958"/>
    <s v="South"/>
    <x v="3"/>
    <x v="0"/>
    <s v="Online"/>
    <x v="5"/>
    <s v="Furniture"/>
    <n v="320000"/>
    <n v="4"/>
    <x v="2"/>
    <n v="256000"/>
    <x v="6"/>
    <x v="6"/>
    <x v="6"/>
  </r>
  <r>
    <x v="959"/>
    <s v="South"/>
    <x v="3"/>
    <x v="1"/>
    <s v="Online"/>
    <x v="8"/>
    <s v="Electronics"/>
    <n v="250000"/>
    <n v="4"/>
    <x v="3"/>
    <n v="200000"/>
    <x v="14"/>
    <x v="14"/>
    <x v="14"/>
  </r>
  <r>
    <x v="960"/>
    <s v="East"/>
    <x v="2"/>
    <x v="1"/>
    <s v="Online"/>
    <x v="2"/>
    <s v="Home Appliances"/>
    <n v="60000"/>
    <n v="8"/>
    <x v="1"/>
    <n v="48000"/>
    <x v="47"/>
    <x v="47"/>
    <x v="47"/>
  </r>
  <r>
    <x v="961"/>
    <s v="West"/>
    <x v="2"/>
    <x v="1"/>
    <s v="Online"/>
    <x v="7"/>
    <s v="Electronics"/>
    <n v="420000"/>
    <n v="2"/>
    <x v="5"/>
    <n v="336000"/>
    <x v="62"/>
    <x v="62"/>
    <x v="62"/>
  </r>
  <r>
    <x v="962"/>
    <s v="East"/>
    <x v="3"/>
    <x v="1"/>
    <s v="Store"/>
    <x v="6"/>
    <s v="Electronics"/>
    <n v="150000"/>
    <n v="1"/>
    <x v="3"/>
    <n v="120000"/>
    <x v="26"/>
    <x v="26"/>
    <x v="26"/>
  </r>
  <r>
    <x v="963"/>
    <s v="South"/>
    <x v="1"/>
    <x v="0"/>
    <s v="Online"/>
    <x v="8"/>
    <s v="Electronics"/>
    <n v="250000"/>
    <n v="8"/>
    <x v="4"/>
    <n v="200000"/>
    <x v="52"/>
    <x v="52"/>
    <x v="52"/>
  </r>
  <r>
    <x v="964"/>
    <s v="West"/>
    <x v="3"/>
    <x v="0"/>
    <s v="Online"/>
    <x v="3"/>
    <s v="Electronics"/>
    <n v="300000"/>
    <n v="10"/>
    <x v="5"/>
    <n v="240000"/>
    <x v="68"/>
    <x v="68"/>
    <x v="68"/>
  </r>
  <r>
    <x v="965"/>
    <s v="East"/>
    <x v="1"/>
    <x v="1"/>
    <s v="Store"/>
    <x v="2"/>
    <s v="Home Appliances"/>
    <n v="60000"/>
    <n v="3"/>
    <x v="1"/>
    <n v="48000"/>
    <x v="32"/>
    <x v="32"/>
    <x v="32"/>
  </r>
  <r>
    <x v="966"/>
    <s v="West"/>
    <x v="3"/>
    <x v="1"/>
    <s v="Online"/>
    <x v="0"/>
    <s v="Furniture"/>
    <n v="85000"/>
    <n v="1"/>
    <x v="1"/>
    <n v="68000"/>
    <x v="0"/>
    <x v="0"/>
    <x v="0"/>
  </r>
  <r>
    <x v="967"/>
    <s v="East"/>
    <x v="1"/>
    <x v="1"/>
    <s v="Online"/>
    <x v="4"/>
    <s v="Home Appliances"/>
    <n v="180000"/>
    <n v="7"/>
    <x v="0"/>
    <n v="144000"/>
    <x v="55"/>
    <x v="55"/>
    <x v="55"/>
  </r>
  <r>
    <x v="968"/>
    <s v="East"/>
    <x v="2"/>
    <x v="1"/>
    <s v="Online"/>
    <x v="8"/>
    <s v="Electronics"/>
    <n v="250000"/>
    <n v="6"/>
    <x v="2"/>
    <n v="200000"/>
    <x v="17"/>
    <x v="17"/>
    <x v="17"/>
  </r>
  <r>
    <x v="969"/>
    <s v="West"/>
    <x v="0"/>
    <x v="1"/>
    <s v="Online"/>
    <x v="7"/>
    <s v="Electronics"/>
    <n v="420000"/>
    <n v="3"/>
    <x v="0"/>
    <n v="336000"/>
    <x v="55"/>
    <x v="55"/>
    <x v="55"/>
  </r>
  <r>
    <x v="970"/>
    <s v="West"/>
    <x v="0"/>
    <x v="0"/>
    <s v="Online"/>
    <x v="1"/>
    <s v="Home Appliances"/>
    <n v="30000"/>
    <n v="1"/>
    <x v="2"/>
    <n v="24000"/>
    <x v="75"/>
    <x v="75"/>
    <x v="75"/>
  </r>
  <r>
    <x v="971"/>
    <s v="North"/>
    <x v="0"/>
    <x v="1"/>
    <s v="Store"/>
    <x v="8"/>
    <s v="Electronics"/>
    <n v="250000"/>
    <n v="3"/>
    <x v="0"/>
    <n v="200000"/>
    <x v="56"/>
    <x v="56"/>
    <x v="56"/>
  </r>
  <r>
    <x v="972"/>
    <s v="East"/>
    <x v="2"/>
    <x v="0"/>
    <s v="Online"/>
    <x v="5"/>
    <s v="Furniture"/>
    <n v="320000"/>
    <n v="10"/>
    <x v="0"/>
    <n v="256000"/>
    <x v="35"/>
    <x v="35"/>
    <x v="35"/>
  </r>
  <r>
    <x v="973"/>
    <s v="West"/>
    <x v="0"/>
    <x v="0"/>
    <s v="Store"/>
    <x v="8"/>
    <s v="Electronics"/>
    <n v="250000"/>
    <n v="7"/>
    <x v="1"/>
    <n v="200000"/>
    <x v="59"/>
    <x v="59"/>
    <x v="59"/>
  </r>
  <r>
    <x v="974"/>
    <s v="North"/>
    <x v="1"/>
    <x v="1"/>
    <s v="Online"/>
    <x v="5"/>
    <s v="Furniture"/>
    <n v="320000"/>
    <n v="2"/>
    <x v="2"/>
    <n v="256000"/>
    <x v="38"/>
    <x v="38"/>
    <x v="38"/>
  </r>
  <r>
    <x v="975"/>
    <s v="North"/>
    <x v="0"/>
    <x v="1"/>
    <s v="Store"/>
    <x v="9"/>
    <s v="Home Appliances"/>
    <n v="220000"/>
    <n v="5"/>
    <x v="3"/>
    <n v="176000"/>
    <x v="51"/>
    <x v="51"/>
    <x v="51"/>
  </r>
  <r>
    <x v="976"/>
    <s v="North"/>
    <x v="3"/>
    <x v="1"/>
    <s v="Store"/>
    <x v="7"/>
    <s v="Electronics"/>
    <n v="420000"/>
    <n v="3"/>
    <x v="3"/>
    <n v="336000"/>
    <x v="55"/>
    <x v="55"/>
    <x v="55"/>
  </r>
  <r>
    <x v="977"/>
    <s v="North"/>
    <x v="1"/>
    <x v="1"/>
    <s v="Online"/>
    <x v="9"/>
    <s v="Home Appliances"/>
    <n v="220000"/>
    <n v="3"/>
    <x v="2"/>
    <n v="176000"/>
    <x v="49"/>
    <x v="49"/>
    <x v="49"/>
  </r>
  <r>
    <x v="978"/>
    <s v="South"/>
    <x v="0"/>
    <x v="1"/>
    <s v="Online"/>
    <x v="5"/>
    <s v="Furniture"/>
    <n v="320000"/>
    <n v="5"/>
    <x v="1"/>
    <n v="256000"/>
    <x v="28"/>
    <x v="28"/>
    <x v="28"/>
  </r>
  <r>
    <x v="979"/>
    <s v="East"/>
    <x v="2"/>
    <x v="0"/>
    <s v="Store"/>
    <x v="0"/>
    <s v="Furniture"/>
    <n v="85000"/>
    <n v="8"/>
    <x v="0"/>
    <n v="68000"/>
    <x v="69"/>
    <x v="69"/>
    <x v="69"/>
  </r>
  <r>
    <x v="980"/>
    <s v="East"/>
    <x v="3"/>
    <x v="1"/>
    <s v="Store"/>
    <x v="6"/>
    <s v="Electronics"/>
    <n v="150000"/>
    <n v="9"/>
    <x v="5"/>
    <n v="120000"/>
    <x v="63"/>
    <x v="63"/>
    <x v="63"/>
  </r>
  <r>
    <x v="981"/>
    <s v="West"/>
    <x v="0"/>
    <x v="1"/>
    <s v="Online"/>
    <x v="8"/>
    <s v="Electronics"/>
    <n v="250000"/>
    <n v="4"/>
    <x v="3"/>
    <n v="200000"/>
    <x v="14"/>
    <x v="14"/>
    <x v="14"/>
  </r>
  <r>
    <x v="982"/>
    <s v="North"/>
    <x v="1"/>
    <x v="0"/>
    <s v="Store"/>
    <x v="9"/>
    <s v="Home Appliances"/>
    <n v="220000"/>
    <n v="4"/>
    <x v="3"/>
    <n v="176000"/>
    <x v="22"/>
    <x v="22"/>
    <x v="22"/>
  </r>
  <r>
    <x v="983"/>
    <s v="North"/>
    <x v="0"/>
    <x v="1"/>
    <s v="Store"/>
    <x v="0"/>
    <s v="Furniture"/>
    <n v="85000"/>
    <n v="2"/>
    <x v="0"/>
    <n v="68000"/>
    <x v="2"/>
    <x v="2"/>
    <x v="2"/>
  </r>
  <r>
    <x v="984"/>
    <s v="East"/>
    <x v="0"/>
    <x v="0"/>
    <s v="Online"/>
    <x v="8"/>
    <s v="Electronics"/>
    <n v="250000"/>
    <n v="3"/>
    <x v="3"/>
    <n v="200000"/>
    <x v="56"/>
    <x v="56"/>
    <x v="56"/>
  </r>
  <r>
    <x v="985"/>
    <s v="North"/>
    <x v="2"/>
    <x v="1"/>
    <s v="Online"/>
    <x v="6"/>
    <s v="Electronics"/>
    <n v="150000"/>
    <n v="4"/>
    <x v="3"/>
    <n v="120000"/>
    <x v="4"/>
    <x v="4"/>
    <x v="4"/>
  </r>
  <r>
    <x v="986"/>
    <s v="North"/>
    <x v="0"/>
    <x v="0"/>
    <s v="Online"/>
    <x v="0"/>
    <s v="Furniture"/>
    <n v="85000"/>
    <n v="2"/>
    <x v="0"/>
    <n v="68000"/>
    <x v="2"/>
    <x v="2"/>
    <x v="2"/>
  </r>
  <r>
    <x v="987"/>
    <s v="West"/>
    <x v="2"/>
    <x v="1"/>
    <s v="Store"/>
    <x v="6"/>
    <s v="Electronics"/>
    <n v="150000"/>
    <n v="4"/>
    <x v="2"/>
    <n v="120000"/>
    <x v="4"/>
    <x v="4"/>
    <x v="4"/>
  </r>
  <r>
    <x v="988"/>
    <s v="North"/>
    <x v="0"/>
    <x v="0"/>
    <s v="Online"/>
    <x v="6"/>
    <s v="Electronics"/>
    <n v="150000"/>
    <n v="3"/>
    <x v="1"/>
    <n v="120000"/>
    <x v="34"/>
    <x v="34"/>
    <x v="34"/>
  </r>
  <r>
    <x v="989"/>
    <s v="North"/>
    <x v="0"/>
    <x v="1"/>
    <s v="Online"/>
    <x v="1"/>
    <s v="Home Appliances"/>
    <n v="30000"/>
    <n v="3"/>
    <x v="1"/>
    <n v="24000"/>
    <x v="33"/>
    <x v="33"/>
    <x v="33"/>
  </r>
  <r>
    <x v="990"/>
    <s v="North"/>
    <x v="1"/>
    <x v="1"/>
    <s v="Store"/>
    <x v="5"/>
    <s v="Furniture"/>
    <n v="320000"/>
    <n v="5"/>
    <x v="5"/>
    <n v="256000"/>
    <x v="28"/>
    <x v="28"/>
    <x v="28"/>
  </r>
  <r>
    <x v="991"/>
    <s v="East"/>
    <x v="3"/>
    <x v="1"/>
    <s v="Online"/>
    <x v="8"/>
    <s v="Electronics"/>
    <n v="250000"/>
    <n v="3"/>
    <x v="0"/>
    <n v="200000"/>
    <x v="56"/>
    <x v="56"/>
    <x v="56"/>
  </r>
  <r>
    <x v="992"/>
    <s v="East"/>
    <x v="2"/>
    <x v="1"/>
    <s v="Store"/>
    <x v="2"/>
    <s v="Home Appliances"/>
    <n v="60000"/>
    <n v="10"/>
    <x v="5"/>
    <n v="48000"/>
    <x v="4"/>
    <x v="4"/>
    <x v="4"/>
  </r>
  <r>
    <x v="993"/>
    <s v="North"/>
    <x v="0"/>
    <x v="0"/>
    <s v="Store"/>
    <x v="2"/>
    <s v="Home Appliances"/>
    <n v="60000"/>
    <n v="3"/>
    <x v="4"/>
    <n v="48000"/>
    <x v="32"/>
    <x v="32"/>
    <x v="32"/>
  </r>
  <r>
    <x v="994"/>
    <s v="East"/>
    <x v="1"/>
    <x v="1"/>
    <s v="Store"/>
    <x v="0"/>
    <s v="Furniture"/>
    <n v="85000"/>
    <n v="9"/>
    <x v="3"/>
    <n v="68000"/>
    <x v="18"/>
    <x v="18"/>
    <x v="18"/>
  </r>
  <r>
    <x v="995"/>
    <s v="East"/>
    <x v="3"/>
    <x v="1"/>
    <s v="Store"/>
    <x v="7"/>
    <s v="Electronics"/>
    <n v="420000"/>
    <n v="4"/>
    <x v="3"/>
    <n v="336000"/>
    <x v="45"/>
    <x v="45"/>
    <x v="45"/>
  </r>
  <r>
    <x v="996"/>
    <s v="North"/>
    <x v="2"/>
    <x v="1"/>
    <s v="Online"/>
    <x v="6"/>
    <s v="Electronics"/>
    <n v="150000"/>
    <n v="6"/>
    <x v="4"/>
    <n v="120000"/>
    <x v="48"/>
    <x v="48"/>
    <x v="48"/>
  </r>
  <r>
    <x v="997"/>
    <s v="North"/>
    <x v="2"/>
    <x v="1"/>
    <s v="Online"/>
    <x v="5"/>
    <s v="Furniture"/>
    <n v="320000"/>
    <n v="3"/>
    <x v="3"/>
    <n v="256000"/>
    <x v="9"/>
    <x v="9"/>
    <x v="9"/>
  </r>
  <r>
    <x v="998"/>
    <s v="South"/>
    <x v="3"/>
    <x v="0"/>
    <s v="Store"/>
    <x v="3"/>
    <s v="Electronics"/>
    <n v="300000"/>
    <n v="2"/>
    <x v="0"/>
    <n v="240000"/>
    <x v="4"/>
    <x v="4"/>
    <x v="4"/>
  </r>
  <r>
    <x v="999"/>
    <s v="East"/>
    <x v="2"/>
    <x v="1"/>
    <s v="Online"/>
    <x v="6"/>
    <s v="Electronics"/>
    <n v="150000"/>
    <n v="10"/>
    <x v="4"/>
    <n v="120000"/>
    <x v="17"/>
    <x v="17"/>
    <x v="17"/>
  </r>
  <r>
    <x v="1000"/>
    <s v="East"/>
    <x v="3"/>
    <x v="0"/>
    <s v="Store"/>
    <x v="7"/>
    <s v="Electronics"/>
    <n v="420000"/>
    <n v="10"/>
    <x v="2"/>
    <n v="336000"/>
    <x v="20"/>
    <x v="20"/>
    <x v="20"/>
  </r>
  <r>
    <x v="1001"/>
    <s v="North"/>
    <x v="3"/>
    <x v="1"/>
    <s v="Store"/>
    <x v="4"/>
    <s v="Home Appliances"/>
    <n v="180000"/>
    <n v="5"/>
    <x v="4"/>
    <n v="144000"/>
    <x v="48"/>
    <x v="48"/>
    <x v="48"/>
  </r>
  <r>
    <x v="1002"/>
    <s v="East"/>
    <x v="3"/>
    <x v="1"/>
    <s v="Store"/>
    <x v="8"/>
    <s v="Electronics"/>
    <n v="250000"/>
    <n v="7"/>
    <x v="2"/>
    <n v="200000"/>
    <x v="59"/>
    <x v="59"/>
    <x v="59"/>
  </r>
  <r>
    <x v="1003"/>
    <s v="West"/>
    <x v="1"/>
    <x v="0"/>
    <s v="Store"/>
    <x v="5"/>
    <s v="Furniture"/>
    <n v="320000"/>
    <n v="4"/>
    <x v="1"/>
    <n v="256000"/>
    <x v="6"/>
    <x v="6"/>
    <x v="6"/>
  </r>
  <r>
    <x v="1004"/>
    <s v="East"/>
    <x v="1"/>
    <x v="0"/>
    <s v="Online"/>
    <x v="1"/>
    <s v="Home Appliances"/>
    <n v="30000"/>
    <n v="2"/>
    <x v="0"/>
    <n v="24000"/>
    <x v="41"/>
    <x v="41"/>
    <x v="41"/>
  </r>
  <r>
    <x v="1005"/>
    <s v="North"/>
    <x v="3"/>
    <x v="0"/>
    <s v="Online"/>
    <x v="6"/>
    <s v="Electronics"/>
    <n v="150000"/>
    <n v="4"/>
    <x v="0"/>
    <n v="120000"/>
    <x v="4"/>
    <x v="4"/>
    <x v="4"/>
  </r>
  <r>
    <x v="1006"/>
    <s v="North"/>
    <x v="2"/>
    <x v="1"/>
    <s v="Store"/>
    <x v="2"/>
    <s v="Home Appliances"/>
    <n v="60000"/>
    <n v="4"/>
    <x v="2"/>
    <n v="48000"/>
    <x v="1"/>
    <x v="1"/>
    <x v="1"/>
  </r>
  <r>
    <x v="1007"/>
    <s v="East"/>
    <x v="3"/>
    <x v="0"/>
    <s v="Store"/>
    <x v="5"/>
    <s v="Furniture"/>
    <n v="320000"/>
    <n v="4"/>
    <x v="4"/>
    <n v="256000"/>
    <x v="6"/>
    <x v="6"/>
    <x v="6"/>
  </r>
  <r>
    <x v="1008"/>
    <s v="North"/>
    <x v="1"/>
    <x v="0"/>
    <s v="Online"/>
    <x v="2"/>
    <s v="Home Appliances"/>
    <n v="60000"/>
    <n v="2"/>
    <x v="1"/>
    <n v="48000"/>
    <x v="3"/>
    <x v="3"/>
    <x v="3"/>
  </r>
  <r>
    <x v="1009"/>
    <s v="West"/>
    <x v="0"/>
    <x v="1"/>
    <s v="Online"/>
    <x v="1"/>
    <s v="Home Appliances"/>
    <n v="30000"/>
    <n v="7"/>
    <x v="3"/>
    <n v="24000"/>
    <x v="54"/>
    <x v="54"/>
    <x v="54"/>
  </r>
  <r>
    <x v="1010"/>
    <s v="East"/>
    <x v="0"/>
    <x v="0"/>
    <s v="Store"/>
    <x v="8"/>
    <s v="Electronics"/>
    <n v="250000"/>
    <n v="6"/>
    <x v="3"/>
    <n v="200000"/>
    <x v="17"/>
    <x v="17"/>
    <x v="17"/>
  </r>
  <r>
    <x v="1011"/>
    <s v="North"/>
    <x v="2"/>
    <x v="0"/>
    <s v="Online"/>
    <x v="9"/>
    <s v="Home Appliances"/>
    <n v="220000"/>
    <n v="9"/>
    <x v="0"/>
    <n v="176000"/>
    <x v="64"/>
    <x v="64"/>
    <x v="64"/>
  </r>
  <r>
    <x v="1012"/>
    <s v="East"/>
    <x v="2"/>
    <x v="1"/>
    <s v="Online"/>
    <x v="3"/>
    <s v="Electronics"/>
    <n v="300000"/>
    <n v="2"/>
    <x v="1"/>
    <n v="240000"/>
    <x v="4"/>
    <x v="4"/>
    <x v="4"/>
  </r>
  <r>
    <x v="1013"/>
    <s v="West"/>
    <x v="2"/>
    <x v="0"/>
    <s v="Store"/>
    <x v="7"/>
    <s v="Electronics"/>
    <n v="420000"/>
    <n v="2"/>
    <x v="1"/>
    <n v="336000"/>
    <x v="62"/>
    <x v="62"/>
    <x v="62"/>
  </r>
  <r>
    <x v="1014"/>
    <s v="South"/>
    <x v="1"/>
    <x v="0"/>
    <s v="Store"/>
    <x v="9"/>
    <s v="Home Appliances"/>
    <n v="220000"/>
    <n v="3"/>
    <x v="3"/>
    <n v="176000"/>
    <x v="49"/>
    <x v="49"/>
    <x v="49"/>
  </r>
  <r>
    <x v="1015"/>
    <s v="South"/>
    <x v="0"/>
    <x v="1"/>
    <s v="Online"/>
    <x v="9"/>
    <s v="Home Appliances"/>
    <n v="220000"/>
    <n v="10"/>
    <x v="3"/>
    <n v="176000"/>
    <x v="61"/>
    <x v="61"/>
    <x v="61"/>
  </r>
  <r>
    <x v="1016"/>
    <s v="South"/>
    <x v="3"/>
    <x v="1"/>
    <s v="Store"/>
    <x v="8"/>
    <s v="Electronics"/>
    <n v="250000"/>
    <n v="8"/>
    <x v="0"/>
    <n v="200000"/>
    <x v="52"/>
    <x v="52"/>
    <x v="52"/>
  </r>
  <r>
    <x v="1017"/>
    <s v="East"/>
    <x v="3"/>
    <x v="0"/>
    <s v="Online"/>
    <x v="2"/>
    <s v="Home Appliances"/>
    <n v="60000"/>
    <n v="6"/>
    <x v="2"/>
    <n v="48000"/>
    <x v="50"/>
    <x v="50"/>
    <x v="50"/>
  </r>
  <r>
    <x v="1018"/>
    <s v="East"/>
    <x v="1"/>
    <x v="0"/>
    <s v="Online"/>
    <x v="5"/>
    <s v="Furniture"/>
    <n v="320000"/>
    <n v="4"/>
    <x v="5"/>
    <n v="256000"/>
    <x v="6"/>
    <x v="6"/>
    <x v="6"/>
  </r>
  <r>
    <x v="1019"/>
    <s v="East"/>
    <x v="0"/>
    <x v="0"/>
    <s v="Store"/>
    <x v="4"/>
    <s v="Home Appliances"/>
    <n v="180000"/>
    <n v="7"/>
    <x v="5"/>
    <n v="144000"/>
    <x v="55"/>
    <x v="55"/>
    <x v="55"/>
  </r>
  <r>
    <x v="1020"/>
    <s v="East"/>
    <x v="0"/>
    <x v="0"/>
    <s v="Online"/>
    <x v="2"/>
    <s v="Home Appliances"/>
    <n v="60000"/>
    <n v="7"/>
    <x v="0"/>
    <n v="48000"/>
    <x v="40"/>
    <x v="40"/>
    <x v="40"/>
  </r>
  <r>
    <x v="1021"/>
    <s v="South"/>
    <x v="3"/>
    <x v="0"/>
    <s v="Online"/>
    <x v="4"/>
    <s v="Home Appliances"/>
    <n v="180000"/>
    <n v="9"/>
    <x v="1"/>
    <n v="144000"/>
    <x v="27"/>
    <x v="27"/>
    <x v="27"/>
  </r>
  <r>
    <x v="1022"/>
    <s v="North"/>
    <x v="0"/>
    <x v="1"/>
    <s v="Online"/>
    <x v="1"/>
    <s v="Home Appliances"/>
    <n v="30000"/>
    <n v="6"/>
    <x v="1"/>
    <n v="24000"/>
    <x v="32"/>
    <x v="32"/>
    <x v="32"/>
  </r>
  <r>
    <x v="1023"/>
    <s v="South"/>
    <x v="1"/>
    <x v="0"/>
    <s v="Online"/>
    <x v="3"/>
    <s v="Electronics"/>
    <n v="300000"/>
    <n v="10"/>
    <x v="4"/>
    <n v="240000"/>
    <x v="68"/>
    <x v="68"/>
    <x v="68"/>
  </r>
  <r>
    <x v="1024"/>
    <s v="South"/>
    <x v="3"/>
    <x v="1"/>
    <s v="Online"/>
    <x v="1"/>
    <s v="Home Appliances"/>
    <n v="30000"/>
    <n v="2"/>
    <x v="2"/>
    <n v="24000"/>
    <x v="41"/>
    <x v="41"/>
    <x v="41"/>
  </r>
  <r>
    <x v="1025"/>
    <s v="East"/>
    <x v="2"/>
    <x v="1"/>
    <s v="Online"/>
    <x v="1"/>
    <s v="Home Appliances"/>
    <n v="30000"/>
    <n v="8"/>
    <x v="5"/>
    <n v="24000"/>
    <x v="1"/>
    <x v="1"/>
    <x v="1"/>
  </r>
  <r>
    <x v="1026"/>
    <s v="South"/>
    <x v="2"/>
    <x v="1"/>
    <s v="Store"/>
    <x v="1"/>
    <s v="Home Appliances"/>
    <n v="30000"/>
    <n v="9"/>
    <x v="2"/>
    <n v="24000"/>
    <x v="57"/>
    <x v="57"/>
    <x v="57"/>
  </r>
  <r>
    <x v="1027"/>
    <s v="North"/>
    <x v="0"/>
    <x v="0"/>
    <s v="Store"/>
    <x v="9"/>
    <s v="Home Appliances"/>
    <n v="220000"/>
    <n v="2"/>
    <x v="5"/>
    <n v="176000"/>
    <x v="15"/>
    <x v="15"/>
    <x v="15"/>
  </r>
  <r>
    <x v="1028"/>
    <s v="South"/>
    <x v="2"/>
    <x v="0"/>
    <s v="Store"/>
    <x v="9"/>
    <s v="Home Appliances"/>
    <n v="220000"/>
    <n v="3"/>
    <x v="5"/>
    <n v="176000"/>
    <x v="49"/>
    <x v="49"/>
    <x v="49"/>
  </r>
  <r>
    <x v="1029"/>
    <s v="South"/>
    <x v="3"/>
    <x v="0"/>
    <s v="Store"/>
    <x v="0"/>
    <s v="Furniture"/>
    <n v="85000"/>
    <n v="3"/>
    <x v="1"/>
    <n v="68000"/>
    <x v="23"/>
    <x v="23"/>
    <x v="23"/>
  </r>
  <r>
    <x v="1030"/>
    <s v="West"/>
    <x v="1"/>
    <x v="1"/>
    <s v="Online"/>
    <x v="2"/>
    <s v="Home Appliances"/>
    <n v="60000"/>
    <n v="3"/>
    <x v="3"/>
    <n v="48000"/>
    <x v="32"/>
    <x v="32"/>
    <x v="32"/>
  </r>
  <r>
    <x v="1031"/>
    <s v="West"/>
    <x v="2"/>
    <x v="1"/>
    <s v="Store"/>
    <x v="9"/>
    <s v="Home Appliances"/>
    <n v="220000"/>
    <n v="3"/>
    <x v="5"/>
    <n v="176000"/>
    <x v="49"/>
    <x v="49"/>
    <x v="49"/>
  </r>
  <r>
    <x v="1032"/>
    <s v="West"/>
    <x v="0"/>
    <x v="0"/>
    <s v="Store"/>
    <x v="1"/>
    <s v="Home Appliances"/>
    <n v="30000"/>
    <n v="1"/>
    <x v="0"/>
    <n v="24000"/>
    <x v="75"/>
    <x v="75"/>
    <x v="75"/>
  </r>
  <r>
    <x v="1033"/>
    <s v="East"/>
    <x v="3"/>
    <x v="1"/>
    <s v="Store"/>
    <x v="7"/>
    <s v="Electronics"/>
    <n v="420000"/>
    <n v="1"/>
    <x v="5"/>
    <n v="336000"/>
    <x v="40"/>
    <x v="40"/>
    <x v="40"/>
  </r>
  <r>
    <x v="1034"/>
    <s v="West"/>
    <x v="1"/>
    <x v="0"/>
    <s v="Store"/>
    <x v="9"/>
    <s v="Home Appliances"/>
    <n v="220000"/>
    <n v="10"/>
    <x v="1"/>
    <n v="176000"/>
    <x v="61"/>
    <x v="61"/>
    <x v="61"/>
  </r>
  <r>
    <x v="1035"/>
    <s v="South"/>
    <x v="2"/>
    <x v="1"/>
    <s v="Store"/>
    <x v="4"/>
    <s v="Home Appliances"/>
    <n v="180000"/>
    <n v="10"/>
    <x v="5"/>
    <n v="144000"/>
    <x v="5"/>
    <x v="5"/>
    <x v="5"/>
  </r>
  <r>
    <x v="1036"/>
    <s v="South"/>
    <x v="0"/>
    <x v="0"/>
    <s v="Online"/>
    <x v="7"/>
    <s v="Electronics"/>
    <n v="420000"/>
    <n v="3"/>
    <x v="4"/>
    <n v="336000"/>
    <x v="55"/>
    <x v="55"/>
    <x v="55"/>
  </r>
  <r>
    <x v="1037"/>
    <s v="West"/>
    <x v="3"/>
    <x v="1"/>
    <s v="Online"/>
    <x v="0"/>
    <s v="Furniture"/>
    <n v="85000"/>
    <n v="4"/>
    <x v="2"/>
    <n v="68000"/>
    <x v="74"/>
    <x v="74"/>
    <x v="74"/>
  </r>
  <r>
    <x v="1038"/>
    <s v="South"/>
    <x v="2"/>
    <x v="1"/>
    <s v="Online"/>
    <x v="5"/>
    <s v="Furniture"/>
    <n v="320000"/>
    <n v="4"/>
    <x v="3"/>
    <n v="256000"/>
    <x v="6"/>
    <x v="6"/>
    <x v="6"/>
  </r>
  <r>
    <x v="1039"/>
    <s v="West"/>
    <x v="3"/>
    <x v="0"/>
    <s v="Store"/>
    <x v="9"/>
    <s v="Home Appliances"/>
    <n v="220000"/>
    <n v="1"/>
    <x v="4"/>
    <n v="176000"/>
    <x v="25"/>
    <x v="25"/>
    <x v="25"/>
  </r>
  <r>
    <x v="1040"/>
    <s v="South"/>
    <x v="1"/>
    <x v="1"/>
    <s v="Store"/>
    <x v="0"/>
    <s v="Furniture"/>
    <n v="85000"/>
    <n v="1"/>
    <x v="1"/>
    <n v="68000"/>
    <x v="0"/>
    <x v="0"/>
    <x v="0"/>
  </r>
  <r>
    <x v="1041"/>
    <s v="West"/>
    <x v="3"/>
    <x v="0"/>
    <s v="Online"/>
    <x v="6"/>
    <s v="Electronics"/>
    <n v="150000"/>
    <n v="8"/>
    <x v="5"/>
    <n v="120000"/>
    <x v="29"/>
    <x v="29"/>
    <x v="29"/>
  </r>
  <r>
    <x v="1042"/>
    <s v="North"/>
    <x v="1"/>
    <x v="1"/>
    <s v="Online"/>
    <x v="6"/>
    <s v="Electronics"/>
    <n v="150000"/>
    <n v="9"/>
    <x v="0"/>
    <n v="120000"/>
    <x v="63"/>
    <x v="63"/>
    <x v="63"/>
  </r>
  <r>
    <x v="1043"/>
    <s v="West"/>
    <x v="1"/>
    <x v="1"/>
    <s v="Online"/>
    <x v="3"/>
    <s v="Electronics"/>
    <n v="300000"/>
    <n v="3"/>
    <x v="0"/>
    <n v="240000"/>
    <x v="48"/>
    <x v="48"/>
    <x v="48"/>
  </r>
  <r>
    <x v="1044"/>
    <s v="North"/>
    <x v="3"/>
    <x v="1"/>
    <s v="Online"/>
    <x v="6"/>
    <s v="Electronics"/>
    <n v="150000"/>
    <n v="10"/>
    <x v="3"/>
    <n v="120000"/>
    <x v="17"/>
    <x v="17"/>
    <x v="17"/>
  </r>
  <r>
    <x v="1045"/>
    <s v="West"/>
    <x v="3"/>
    <x v="0"/>
    <s v="Store"/>
    <x v="0"/>
    <s v="Furniture"/>
    <n v="85000"/>
    <n v="2"/>
    <x v="3"/>
    <n v="68000"/>
    <x v="2"/>
    <x v="2"/>
    <x v="2"/>
  </r>
  <r>
    <x v="1046"/>
    <s v="East"/>
    <x v="0"/>
    <x v="1"/>
    <s v="Store"/>
    <x v="7"/>
    <s v="Electronics"/>
    <n v="420000"/>
    <n v="9"/>
    <x v="1"/>
    <n v="336000"/>
    <x v="12"/>
    <x v="12"/>
    <x v="12"/>
  </r>
  <r>
    <x v="1047"/>
    <s v="West"/>
    <x v="1"/>
    <x v="1"/>
    <s v="Online"/>
    <x v="3"/>
    <s v="Electronics"/>
    <n v="300000"/>
    <n v="2"/>
    <x v="5"/>
    <n v="240000"/>
    <x v="4"/>
    <x v="4"/>
    <x v="4"/>
  </r>
  <r>
    <x v="1048"/>
    <s v="East"/>
    <x v="2"/>
    <x v="1"/>
    <s v="Online"/>
    <x v="6"/>
    <s v="Electronics"/>
    <n v="150000"/>
    <n v="4"/>
    <x v="4"/>
    <n v="120000"/>
    <x v="4"/>
    <x v="4"/>
    <x v="4"/>
  </r>
  <r>
    <x v="1049"/>
    <s v="East"/>
    <x v="1"/>
    <x v="0"/>
    <s v="Online"/>
    <x v="7"/>
    <s v="Electronics"/>
    <n v="420000"/>
    <n v="9"/>
    <x v="1"/>
    <n v="336000"/>
    <x v="12"/>
    <x v="12"/>
    <x v="12"/>
  </r>
  <r>
    <x v="1050"/>
    <s v="North"/>
    <x v="2"/>
    <x v="0"/>
    <s v="Store"/>
    <x v="8"/>
    <s v="Electronics"/>
    <n v="250000"/>
    <n v="5"/>
    <x v="1"/>
    <n v="200000"/>
    <x v="21"/>
    <x v="21"/>
    <x v="21"/>
  </r>
  <r>
    <x v="1051"/>
    <s v="North"/>
    <x v="3"/>
    <x v="1"/>
    <s v="Online"/>
    <x v="1"/>
    <s v="Home Appliances"/>
    <n v="30000"/>
    <n v="10"/>
    <x v="4"/>
    <n v="24000"/>
    <x v="11"/>
    <x v="11"/>
    <x v="11"/>
  </r>
  <r>
    <x v="1052"/>
    <s v="South"/>
    <x v="2"/>
    <x v="0"/>
    <s v="Store"/>
    <x v="7"/>
    <s v="Electronics"/>
    <n v="420000"/>
    <n v="3"/>
    <x v="0"/>
    <n v="336000"/>
    <x v="55"/>
    <x v="55"/>
    <x v="55"/>
  </r>
  <r>
    <x v="1053"/>
    <s v="South"/>
    <x v="3"/>
    <x v="0"/>
    <s v="Online"/>
    <x v="5"/>
    <s v="Furniture"/>
    <n v="320000"/>
    <n v="8"/>
    <x v="4"/>
    <n v="256000"/>
    <x v="72"/>
    <x v="72"/>
    <x v="72"/>
  </r>
  <r>
    <x v="1054"/>
    <s v="North"/>
    <x v="1"/>
    <x v="1"/>
    <s v="Online"/>
    <x v="7"/>
    <s v="Electronics"/>
    <n v="420000"/>
    <n v="8"/>
    <x v="4"/>
    <n v="336000"/>
    <x v="19"/>
    <x v="19"/>
    <x v="19"/>
  </r>
  <r>
    <x v="1055"/>
    <s v="South"/>
    <x v="2"/>
    <x v="1"/>
    <s v="Online"/>
    <x v="6"/>
    <s v="Electronics"/>
    <n v="150000"/>
    <n v="1"/>
    <x v="4"/>
    <n v="120000"/>
    <x v="26"/>
    <x v="26"/>
    <x v="26"/>
  </r>
  <r>
    <x v="1056"/>
    <s v="South"/>
    <x v="1"/>
    <x v="0"/>
    <s v="Online"/>
    <x v="2"/>
    <s v="Home Appliances"/>
    <n v="60000"/>
    <n v="7"/>
    <x v="3"/>
    <n v="48000"/>
    <x v="40"/>
    <x v="40"/>
    <x v="40"/>
  </r>
  <r>
    <x v="1057"/>
    <s v="South"/>
    <x v="1"/>
    <x v="0"/>
    <s v="Store"/>
    <x v="7"/>
    <s v="Electronics"/>
    <n v="420000"/>
    <n v="9"/>
    <x v="4"/>
    <n v="336000"/>
    <x v="12"/>
    <x v="12"/>
    <x v="12"/>
  </r>
  <r>
    <x v="1058"/>
    <s v="East"/>
    <x v="2"/>
    <x v="1"/>
    <s v="Store"/>
    <x v="7"/>
    <s v="Electronics"/>
    <n v="420000"/>
    <n v="6"/>
    <x v="1"/>
    <n v="336000"/>
    <x v="76"/>
    <x v="76"/>
    <x v="76"/>
  </r>
  <r>
    <x v="1059"/>
    <s v="East"/>
    <x v="0"/>
    <x v="0"/>
    <s v="Online"/>
    <x v="3"/>
    <s v="Electronics"/>
    <n v="300000"/>
    <n v="9"/>
    <x v="4"/>
    <n v="240000"/>
    <x v="39"/>
    <x v="39"/>
    <x v="39"/>
  </r>
  <r>
    <x v="1060"/>
    <s v="North"/>
    <x v="0"/>
    <x v="1"/>
    <s v="Online"/>
    <x v="4"/>
    <s v="Home Appliances"/>
    <n v="180000"/>
    <n v="5"/>
    <x v="5"/>
    <n v="144000"/>
    <x v="48"/>
    <x v="48"/>
    <x v="48"/>
  </r>
  <r>
    <x v="1061"/>
    <s v="South"/>
    <x v="2"/>
    <x v="0"/>
    <s v="Store"/>
    <x v="6"/>
    <s v="Electronics"/>
    <n v="150000"/>
    <n v="5"/>
    <x v="2"/>
    <n v="120000"/>
    <x v="56"/>
    <x v="56"/>
    <x v="56"/>
  </r>
  <r>
    <x v="1062"/>
    <s v="East"/>
    <x v="0"/>
    <x v="0"/>
    <s v="Online"/>
    <x v="0"/>
    <s v="Furniture"/>
    <n v="85000"/>
    <n v="9"/>
    <x v="2"/>
    <n v="68000"/>
    <x v="18"/>
    <x v="18"/>
    <x v="18"/>
  </r>
  <r>
    <x v="1063"/>
    <s v="West"/>
    <x v="3"/>
    <x v="1"/>
    <s v="Online"/>
    <x v="7"/>
    <s v="Electronics"/>
    <n v="420000"/>
    <n v="5"/>
    <x v="5"/>
    <n v="336000"/>
    <x v="13"/>
    <x v="13"/>
    <x v="13"/>
  </r>
  <r>
    <x v="1064"/>
    <s v="East"/>
    <x v="1"/>
    <x v="0"/>
    <s v="Store"/>
    <x v="5"/>
    <s v="Furniture"/>
    <n v="320000"/>
    <n v="4"/>
    <x v="2"/>
    <n v="256000"/>
    <x v="6"/>
    <x v="6"/>
    <x v="6"/>
  </r>
  <r>
    <x v="1065"/>
    <s v="East"/>
    <x v="1"/>
    <x v="1"/>
    <s v="Online"/>
    <x v="1"/>
    <s v="Home Appliances"/>
    <n v="30000"/>
    <n v="4"/>
    <x v="2"/>
    <n v="24000"/>
    <x v="3"/>
    <x v="3"/>
    <x v="3"/>
  </r>
  <r>
    <x v="1066"/>
    <s v="South"/>
    <x v="3"/>
    <x v="1"/>
    <s v="Store"/>
    <x v="6"/>
    <s v="Electronics"/>
    <n v="150000"/>
    <n v="3"/>
    <x v="4"/>
    <n v="120000"/>
    <x v="34"/>
    <x v="34"/>
    <x v="34"/>
  </r>
  <r>
    <x v="1067"/>
    <s v="West"/>
    <x v="1"/>
    <x v="0"/>
    <s v="Online"/>
    <x v="9"/>
    <s v="Home Appliances"/>
    <n v="220000"/>
    <n v="7"/>
    <x v="0"/>
    <n v="176000"/>
    <x v="67"/>
    <x v="67"/>
    <x v="67"/>
  </r>
  <r>
    <x v="1068"/>
    <s v="East"/>
    <x v="0"/>
    <x v="0"/>
    <s v="Store"/>
    <x v="4"/>
    <s v="Home Appliances"/>
    <n v="180000"/>
    <n v="10"/>
    <x v="3"/>
    <n v="144000"/>
    <x v="5"/>
    <x v="5"/>
    <x v="5"/>
  </r>
  <r>
    <x v="1069"/>
    <s v="West"/>
    <x v="3"/>
    <x v="1"/>
    <s v="Online"/>
    <x v="0"/>
    <s v="Furniture"/>
    <n v="85000"/>
    <n v="7"/>
    <x v="1"/>
    <n v="68000"/>
    <x v="30"/>
    <x v="30"/>
    <x v="30"/>
  </r>
  <r>
    <x v="1070"/>
    <s v="East"/>
    <x v="1"/>
    <x v="0"/>
    <s v="Online"/>
    <x v="1"/>
    <s v="Home Appliances"/>
    <n v="30000"/>
    <n v="3"/>
    <x v="1"/>
    <n v="24000"/>
    <x v="33"/>
    <x v="33"/>
    <x v="33"/>
  </r>
  <r>
    <x v="1071"/>
    <s v="North"/>
    <x v="0"/>
    <x v="1"/>
    <s v="Online"/>
    <x v="5"/>
    <s v="Furniture"/>
    <n v="320000"/>
    <n v="9"/>
    <x v="4"/>
    <n v="256000"/>
    <x v="8"/>
    <x v="8"/>
    <x v="8"/>
  </r>
  <r>
    <x v="1072"/>
    <s v="West"/>
    <x v="1"/>
    <x v="0"/>
    <s v="Store"/>
    <x v="6"/>
    <s v="Electronics"/>
    <n v="150000"/>
    <n v="2"/>
    <x v="1"/>
    <n v="120000"/>
    <x v="11"/>
    <x v="11"/>
    <x v="11"/>
  </r>
  <r>
    <x v="1073"/>
    <s v="East"/>
    <x v="1"/>
    <x v="1"/>
    <s v="Store"/>
    <x v="4"/>
    <s v="Home Appliances"/>
    <n v="180000"/>
    <n v="8"/>
    <x v="4"/>
    <n v="144000"/>
    <x v="37"/>
    <x v="37"/>
    <x v="37"/>
  </r>
  <r>
    <x v="1074"/>
    <s v="East"/>
    <x v="1"/>
    <x v="1"/>
    <s v="Store"/>
    <x v="0"/>
    <s v="Furniture"/>
    <n v="85000"/>
    <n v="7"/>
    <x v="0"/>
    <n v="68000"/>
    <x v="30"/>
    <x v="30"/>
    <x v="30"/>
  </r>
  <r>
    <x v="1075"/>
    <s v="West"/>
    <x v="3"/>
    <x v="1"/>
    <s v="Online"/>
    <x v="4"/>
    <s v="Home Appliances"/>
    <n v="180000"/>
    <n v="8"/>
    <x v="5"/>
    <n v="144000"/>
    <x v="37"/>
    <x v="37"/>
    <x v="37"/>
  </r>
  <r>
    <x v="1076"/>
    <s v="North"/>
    <x v="0"/>
    <x v="1"/>
    <s v="Online"/>
    <x v="9"/>
    <s v="Home Appliances"/>
    <n v="220000"/>
    <n v="5"/>
    <x v="5"/>
    <n v="176000"/>
    <x v="51"/>
    <x v="51"/>
    <x v="51"/>
  </r>
  <r>
    <x v="1077"/>
    <s v="North"/>
    <x v="2"/>
    <x v="0"/>
    <s v="Online"/>
    <x v="3"/>
    <s v="Electronics"/>
    <n v="300000"/>
    <n v="5"/>
    <x v="4"/>
    <n v="240000"/>
    <x v="17"/>
    <x v="17"/>
    <x v="17"/>
  </r>
  <r>
    <x v="1078"/>
    <s v="North"/>
    <x v="3"/>
    <x v="0"/>
    <s v="Store"/>
    <x v="8"/>
    <s v="Electronics"/>
    <n v="250000"/>
    <n v="7"/>
    <x v="0"/>
    <n v="200000"/>
    <x v="59"/>
    <x v="59"/>
    <x v="59"/>
  </r>
  <r>
    <x v="1079"/>
    <s v="West"/>
    <x v="3"/>
    <x v="1"/>
    <s v="Store"/>
    <x v="2"/>
    <s v="Home Appliances"/>
    <n v="60000"/>
    <n v="7"/>
    <x v="4"/>
    <n v="48000"/>
    <x v="40"/>
    <x v="40"/>
    <x v="40"/>
  </r>
  <r>
    <x v="1080"/>
    <s v="East"/>
    <x v="0"/>
    <x v="1"/>
    <s v="Online"/>
    <x v="0"/>
    <s v="Furniture"/>
    <n v="85000"/>
    <n v="2"/>
    <x v="3"/>
    <n v="68000"/>
    <x v="2"/>
    <x v="2"/>
    <x v="2"/>
  </r>
  <r>
    <x v="1081"/>
    <s v="West"/>
    <x v="0"/>
    <x v="0"/>
    <s v="Store"/>
    <x v="2"/>
    <s v="Home Appliances"/>
    <n v="60000"/>
    <n v="2"/>
    <x v="5"/>
    <n v="48000"/>
    <x v="3"/>
    <x v="3"/>
    <x v="3"/>
  </r>
  <r>
    <x v="1082"/>
    <s v="East"/>
    <x v="3"/>
    <x v="1"/>
    <s v="Online"/>
    <x v="1"/>
    <s v="Home Appliances"/>
    <n v="30000"/>
    <n v="10"/>
    <x v="5"/>
    <n v="24000"/>
    <x v="11"/>
    <x v="11"/>
    <x v="11"/>
  </r>
  <r>
    <x v="1083"/>
    <s v="North"/>
    <x v="1"/>
    <x v="1"/>
    <s v="Store"/>
    <x v="7"/>
    <s v="Electronics"/>
    <n v="420000"/>
    <n v="8"/>
    <x v="1"/>
    <n v="336000"/>
    <x v="19"/>
    <x v="19"/>
    <x v="19"/>
  </r>
  <r>
    <x v="1084"/>
    <s v="West"/>
    <x v="1"/>
    <x v="1"/>
    <s v="Online"/>
    <x v="2"/>
    <s v="Home Appliances"/>
    <n v="60000"/>
    <n v="2"/>
    <x v="4"/>
    <n v="48000"/>
    <x v="3"/>
    <x v="3"/>
    <x v="3"/>
  </r>
  <r>
    <x v="1085"/>
    <s v="South"/>
    <x v="2"/>
    <x v="1"/>
    <s v="Store"/>
    <x v="0"/>
    <s v="Furniture"/>
    <n v="85000"/>
    <n v="8"/>
    <x v="5"/>
    <n v="68000"/>
    <x v="69"/>
    <x v="69"/>
    <x v="69"/>
  </r>
  <r>
    <x v="1086"/>
    <s v="West"/>
    <x v="0"/>
    <x v="0"/>
    <s v="Store"/>
    <x v="7"/>
    <s v="Electronics"/>
    <n v="420000"/>
    <n v="7"/>
    <x v="3"/>
    <n v="336000"/>
    <x v="70"/>
    <x v="70"/>
    <x v="70"/>
  </r>
  <r>
    <x v="1087"/>
    <s v="East"/>
    <x v="3"/>
    <x v="0"/>
    <s v="Store"/>
    <x v="3"/>
    <s v="Electronics"/>
    <n v="300000"/>
    <n v="6"/>
    <x v="5"/>
    <n v="240000"/>
    <x v="5"/>
    <x v="5"/>
    <x v="5"/>
  </r>
  <r>
    <x v="1088"/>
    <s v="North"/>
    <x v="0"/>
    <x v="0"/>
    <s v="Online"/>
    <x v="7"/>
    <s v="Electronics"/>
    <n v="420000"/>
    <n v="2"/>
    <x v="4"/>
    <n v="336000"/>
    <x v="62"/>
    <x v="62"/>
    <x v="62"/>
  </r>
  <r>
    <x v="1089"/>
    <s v="North"/>
    <x v="0"/>
    <x v="1"/>
    <s v="Online"/>
    <x v="3"/>
    <s v="Electronics"/>
    <n v="300000"/>
    <n v="8"/>
    <x v="3"/>
    <n v="240000"/>
    <x v="24"/>
    <x v="24"/>
    <x v="24"/>
  </r>
  <r>
    <x v="1090"/>
    <s v="North"/>
    <x v="2"/>
    <x v="0"/>
    <s v="Online"/>
    <x v="8"/>
    <s v="Electronics"/>
    <n v="250000"/>
    <n v="5"/>
    <x v="3"/>
    <n v="200000"/>
    <x v="21"/>
    <x v="21"/>
    <x v="21"/>
  </r>
  <r>
    <x v="1091"/>
    <s v="East"/>
    <x v="3"/>
    <x v="1"/>
    <s v="Store"/>
    <x v="7"/>
    <s v="Electronics"/>
    <n v="420000"/>
    <n v="5"/>
    <x v="3"/>
    <n v="336000"/>
    <x v="13"/>
    <x v="13"/>
    <x v="13"/>
  </r>
  <r>
    <x v="1092"/>
    <s v="East"/>
    <x v="2"/>
    <x v="1"/>
    <s v="Online"/>
    <x v="7"/>
    <s v="Electronics"/>
    <n v="420000"/>
    <n v="10"/>
    <x v="1"/>
    <n v="336000"/>
    <x v="20"/>
    <x v="20"/>
    <x v="20"/>
  </r>
  <r>
    <x v="1093"/>
    <s v="North"/>
    <x v="2"/>
    <x v="0"/>
    <s v="Online"/>
    <x v="5"/>
    <s v="Furniture"/>
    <n v="320000"/>
    <n v="1"/>
    <x v="2"/>
    <n v="256000"/>
    <x v="7"/>
    <x v="7"/>
    <x v="7"/>
  </r>
  <r>
    <x v="1094"/>
    <s v="South"/>
    <x v="3"/>
    <x v="0"/>
    <s v="Online"/>
    <x v="5"/>
    <s v="Furniture"/>
    <n v="320000"/>
    <n v="1"/>
    <x v="3"/>
    <n v="256000"/>
    <x v="7"/>
    <x v="7"/>
    <x v="7"/>
  </r>
  <r>
    <x v="1095"/>
    <s v="North"/>
    <x v="2"/>
    <x v="1"/>
    <s v="Store"/>
    <x v="6"/>
    <s v="Electronics"/>
    <n v="150000"/>
    <n v="1"/>
    <x v="5"/>
    <n v="120000"/>
    <x v="26"/>
    <x v="26"/>
    <x v="26"/>
  </r>
  <r>
    <x v="1096"/>
    <s v="East"/>
    <x v="0"/>
    <x v="1"/>
    <s v="Online"/>
    <x v="4"/>
    <s v="Home Appliances"/>
    <n v="180000"/>
    <n v="10"/>
    <x v="2"/>
    <n v="144000"/>
    <x v="5"/>
    <x v="5"/>
    <x v="5"/>
  </r>
  <r>
    <x v="1097"/>
    <s v="North"/>
    <x v="2"/>
    <x v="0"/>
    <s v="Store"/>
    <x v="7"/>
    <s v="Electronics"/>
    <n v="420000"/>
    <n v="3"/>
    <x v="1"/>
    <n v="336000"/>
    <x v="55"/>
    <x v="55"/>
    <x v="55"/>
  </r>
  <r>
    <x v="1098"/>
    <s v="North"/>
    <x v="3"/>
    <x v="0"/>
    <s v="Online"/>
    <x v="9"/>
    <s v="Home Appliances"/>
    <n v="220000"/>
    <n v="10"/>
    <x v="5"/>
    <n v="176000"/>
    <x v="61"/>
    <x v="61"/>
    <x v="61"/>
  </r>
  <r>
    <x v="1099"/>
    <s v="East"/>
    <x v="3"/>
    <x v="1"/>
    <s v="Store"/>
    <x v="7"/>
    <s v="Electronics"/>
    <n v="420000"/>
    <n v="9"/>
    <x v="3"/>
    <n v="336000"/>
    <x v="12"/>
    <x v="12"/>
    <x v="12"/>
  </r>
  <r>
    <x v="1100"/>
    <s v="West"/>
    <x v="3"/>
    <x v="0"/>
    <s v="Store"/>
    <x v="1"/>
    <s v="Home Appliances"/>
    <n v="30000"/>
    <n v="6"/>
    <x v="5"/>
    <n v="24000"/>
    <x v="32"/>
    <x v="32"/>
    <x v="32"/>
  </r>
  <r>
    <x v="1101"/>
    <s v="North"/>
    <x v="0"/>
    <x v="0"/>
    <s v="Store"/>
    <x v="8"/>
    <s v="Electronics"/>
    <n v="250000"/>
    <n v="10"/>
    <x v="1"/>
    <n v="200000"/>
    <x v="66"/>
    <x v="66"/>
    <x v="66"/>
  </r>
  <r>
    <x v="1102"/>
    <s v="East"/>
    <x v="2"/>
    <x v="0"/>
    <s v="Store"/>
    <x v="0"/>
    <s v="Furniture"/>
    <n v="85000"/>
    <n v="6"/>
    <x v="5"/>
    <n v="68000"/>
    <x v="60"/>
    <x v="60"/>
    <x v="60"/>
  </r>
  <r>
    <x v="1103"/>
    <s v="North"/>
    <x v="1"/>
    <x v="1"/>
    <s v="Store"/>
    <x v="7"/>
    <s v="Electronics"/>
    <n v="420000"/>
    <n v="3"/>
    <x v="4"/>
    <n v="336000"/>
    <x v="55"/>
    <x v="55"/>
    <x v="55"/>
  </r>
  <r>
    <x v="1104"/>
    <s v="East"/>
    <x v="3"/>
    <x v="0"/>
    <s v="Online"/>
    <x v="6"/>
    <s v="Electronics"/>
    <n v="150000"/>
    <n v="8"/>
    <x v="0"/>
    <n v="120000"/>
    <x v="29"/>
    <x v="29"/>
    <x v="29"/>
  </r>
  <r>
    <x v="1105"/>
    <s v="West"/>
    <x v="1"/>
    <x v="1"/>
    <s v="Online"/>
    <x v="2"/>
    <s v="Home Appliances"/>
    <n v="60000"/>
    <n v="5"/>
    <x v="3"/>
    <n v="48000"/>
    <x v="11"/>
    <x v="11"/>
    <x v="11"/>
  </r>
  <r>
    <x v="1106"/>
    <s v="West"/>
    <x v="2"/>
    <x v="1"/>
    <s v="Store"/>
    <x v="5"/>
    <s v="Furniture"/>
    <n v="320000"/>
    <n v="9"/>
    <x v="4"/>
    <n v="256000"/>
    <x v="8"/>
    <x v="8"/>
    <x v="8"/>
  </r>
  <r>
    <x v="1107"/>
    <s v="West"/>
    <x v="1"/>
    <x v="1"/>
    <s v="Online"/>
    <x v="7"/>
    <s v="Electronics"/>
    <n v="420000"/>
    <n v="5"/>
    <x v="0"/>
    <n v="336000"/>
    <x v="13"/>
    <x v="13"/>
    <x v="13"/>
  </r>
  <r>
    <x v="1108"/>
    <s v="North"/>
    <x v="1"/>
    <x v="1"/>
    <s v="Online"/>
    <x v="2"/>
    <s v="Home Appliances"/>
    <n v="60000"/>
    <n v="9"/>
    <x v="2"/>
    <n v="48000"/>
    <x v="46"/>
    <x v="46"/>
    <x v="46"/>
  </r>
  <r>
    <x v="1109"/>
    <s v="South"/>
    <x v="1"/>
    <x v="0"/>
    <s v="Online"/>
    <x v="7"/>
    <s v="Electronics"/>
    <n v="420000"/>
    <n v="1"/>
    <x v="5"/>
    <n v="336000"/>
    <x v="40"/>
    <x v="40"/>
    <x v="40"/>
  </r>
  <r>
    <x v="1110"/>
    <s v="East"/>
    <x v="3"/>
    <x v="0"/>
    <s v="Online"/>
    <x v="6"/>
    <s v="Electronics"/>
    <n v="150000"/>
    <n v="9"/>
    <x v="4"/>
    <n v="120000"/>
    <x v="63"/>
    <x v="63"/>
    <x v="63"/>
  </r>
  <r>
    <x v="1111"/>
    <s v="South"/>
    <x v="3"/>
    <x v="1"/>
    <s v="Store"/>
    <x v="9"/>
    <s v="Home Appliances"/>
    <n v="220000"/>
    <n v="7"/>
    <x v="0"/>
    <n v="176000"/>
    <x v="67"/>
    <x v="67"/>
    <x v="67"/>
  </r>
  <r>
    <x v="1112"/>
    <s v="North"/>
    <x v="0"/>
    <x v="0"/>
    <s v="Store"/>
    <x v="5"/>
    <s v="Furniture"/>
    <n v="320000"/>
    <n v="3"/>
    <x v="3"/>
    <n v="256000"/>
    <x v="9"/>
    <x v="9"/>
    <x v="9"/>
  </r>
  <r>
    <x v="1113"/>
    <s v="South"/>
    <x v="1"/>
    <x v="1"/>
    <s v="Online"/>
    <x v="5"/>
    <s v="Furniture"/>
    <n v="320000"/>
    <n v="8"/>
    <x v="4"/>
    <n v="256000"/>
    <x v="72"/>
    <x v="72"/>
    <x v="72"/>
  </r>
  <r>
    <x v="1114"/>
    <s v="South"/>
    <x v="2"/>
    <x v="1"/>
    <s v="Online"/>
    <x v="6"/>
    <s v="Electronics"/>
    <n v="150000"/>
    <n v="3"/>
    <x v="4"/>
    <n v="120000"/>
    <x v="34"/>
    <x v="34"/>
    <x v="34"/>
  </r>
  <r>
    <x v="1115"/>
    <s v="West"/>
    <x v="3"/>
    <x v="0"/>
    <s v="Online"/>
    <x v="8"/>
    <s v="Electronics"/>
    <n v="250000"/>
    <n v="9"/>
    <x v="0"/>
    <n v="200000"/>
    <x v="71"/>
    <x v="71"/>
    <x v="71"/>
  </r>
  <r>
    <x v="1116"/>
    <s v="West"/>
    <x v="1"/>
    <x v="0"/>
    <s v="Store"/>
    <x v="7"/>
    <s v="Electronics"/>
    <n v="420000"/>
    <n v="7"/>
    <x v="2"/>
    <n v="336000"/>
    <x v="70"/>
    <x v="70"/>
    <x v="70"/>
  </r>
  <r>
    <x v="1117"/>
    <s v="West"/>
    <x v="0"/>
    <x v="1"/>
    <s v="Store"/>
    <x v="8"/>
    <s v="Electronics"/>
    <n v="250000"/>
    <n v="10"/>
    <x v="1"/>
    <n v="200000"/>
    <x v="66"/>
    <x v="66"/>
    <x v="66"/>
  </r>
  <r>
    <x v="1118"/>
    <s v="East"/>
    <x v="2"/>
    <x v="0"/>
    <s v="Online"/>
    <x v="2"/>
    <s v="Home Appliances"/>
    <n v="60000"/>
    <n v="4"/>
    <x v="1"/>
    <n v="48000"/>
    <x v="1"/>
    <x v="1"/>
    <x v="1"/>
  </r>
  <r>
    <x v="1119"/>
    <s v="North"/>
    <x v="1"/>
    <x v="0"/>
    <s v="Online"/>
    <x v="8"/>
    <s v="Electronics"/>
    <n v="250000"/>
    <n v="4"/>
    <x v="0"/>
    <n v="200000"/>
    <x v="14"/>
    <x v="14"/>
    <x v="14"/>
  </r>
  <r>
    <x v="1120"/>
    <s v="North"/>
    <x v="0"/>
    <x v="0"/>
    <s v="Online"/>
    <x v="3"/>
    <s v="Electronics"/>
    <n v="300000"/>
    <n v="3"/>
    <x v="5"/>
    <n v="240000"/>
    <x v="48"/>
    <x v="48"/>
    <x v="48"/>
  </r>
  <r>
    <x v="1121"/>
    <s v="South"/>
    <x v="1"/>
    <x v="1"/>
    <s v="Online"/>
    <x v="7"/>
    <s v="Electronics"/>
    <n v="420000"/>
    <n v="9"/>
    <x v="4"/>
    <n v="336000"/>
    <x v="12"/>
    <x v="12"/>
    <x v="12"/>
  </r>
  <r>
    <x v="1122"/>
    <s v="South"/>
    <x v="1"/>
    <x v="1"/>
    <s v="Online"/>
    <x v="7"/>
    <s v="Electronics"/>
    <n v="420000"/>
    <n v="7"/>
    <x v="2"/>
    <n v="336000"/>
    <x v="70"/>
    <x v="70"/>
    <x v="70"/>
  </r>
  <r>
    <x v="1123"/>
    <s v="East"/>
    <x v="2"/>
    <x v="0"/>
    <s v="Online"/>
    <x v="9"/>
    <s v="Home Appliances"/>
    <n v="220000"/>
    <n v="9"/>
    <x v="5"/>
    <n v="176000"/>
    <x v="64"/>
    <x v="64"/>
    <x v="64"/>
  </r>
  <r>
    <x v="1124"/>
    <s v="East"/>
    <x v="3"/>
    <x v="1"/>
    <s v="Online"/>
    <x v="0"/>
    <s v="Furniture"/>
    <n v="85000"/>
    <n v="8"/>
    <x v="2"/>
    <n v="68000"/>
    <x v="69"/>
    <x v="69"/>
    <x v="69"/>
  </r>
  <r>
    <x v="1125"/>
    <s v="South"/>
    <x v="0"/>
    <x v="1"/>
    <s v="Store"/>
    <x v="0"/>
    <s v="Furniture"/>
    <n v="85000"/>
    <n v="5"/>
    <x v="3"/>
    <n v="68000"/>
    <x v="58"/>
    <x v="58"/>
    <x v="58"/>
  </r>
  <r>
    <x v="1126"/>
    <s v="South"/>
    <x v="3"/>
    <x v="0"/>
    <s v="Store"/>
    <x v="8"/>
    <s v="Electronics"/>
    <n v="250000"/>
    <n v="6"/>
    <x v="5"/>
    <n v="200000"/>
    <x v="17"/>
    <x v="17"/>
    <x v="17"/>
  </r>
  <r>
    <x v="1127"/>
    <s v="East"/>
    <x v="2"/>
    <x v="1"/>
    <s v="Store"/>
    <x v="1"/>
    <s v="Home Appliances"/>
    <n v="30000"/>
    <n v="8"/>
    <x v="5"/>
    <n v="24000"/>
    <x v="1"/>
    <x v="1"/>
    <x v="1"/>
  </r>
  <r>
    <x v="1128"/>
    <s v="North"/>
    <x v="0"/>
    <x v="1"/>
    <s v="Online"/>
    <x v="8"/>
    <s v="Electronics"/>
    <n v="250000"/>
    <n v="6"/>
    <x v="4"/>
    <n v="200000"/>
    <x v="17"/>
    <x v="17"/>
    <x v="17"/>
  </r>
  <r>
    <x v="1129"/>
    <s v="South"/>
    <x v="1"/>
    <x v="1"/>
    <s v="Store"/>
    <x v="5"/>
    <s v="Furniture"/>
    <n v="320000"/>
    <n v="10"/>
    <x v="3"/>
    <n v="256000"/>
    <x v="35"/>
    <x v="35"/>
    <x v="35"/>
  </r>
  <r>
    <x v="1130"/>
    <s v="East"/>
    <x v="3"/>
    <x v="0"/>
    <s v="Store"/>
    <x v="1"/>
    <s v="Home Appliances"/>
    <n v="30000"/>
    <n v="4"/>
    <x v="3"/>
    <n v="24000"/>
    <x v="3"/>
    <x v="3"/>
    <x v="3"/>
  </r>
  <r>
    <x v="1131"/>
    <s v="South"/>
    <x v="3"/>
    <x v="0"/>
    <s v="Store"/>
    <x v="0"/>
    <s v="Furniture"/>
    <n v="85000"/>
    <n v="10"/>
    <x v="0"/>
    <n v="68000"/>
    <x v="43"/>
    <x v="43"/>
    <x v="43"/>
  </r>
  <r>
    <x v="1132"/>
    <s v="North"/>
    <x v="3"/>
    <x v="1"/>
    <s v="Store"/>
    <x v="8"/>
    <s v="Electronics"/>
    <n v="250000"/>
    <n v="6"/>
    <x v="2"/>
    <n v="200000"/>
    <x v="17"/>
    <x v="17"/>
    <x v="17"/>
  </r>
  <r>
    <x v="1133"/>
    <s v="South"/>
    <x v="1"/>
    <x v="0"/>
    <s v="Store"/>
    <x v="2"/>
    <s v="Home Appliances"/>
    <n v="60000"/>
    <n v="10"/>
    <x v="1"/>
    <n v="48000"/>
    <x v="4"/>
    <x v="4"/>
    <x v="4"/>
  </r>
  <r>
    <x v="1134"/>
    <s v="East"/>
    <x v="1"/>
    <x v="0"/>
    <s v="Store"/>
    <x v="3"/>
    <s v="Electronics"/>
    <n v="300000"/>
    <n v="3"/>
    <x v="1"/>
    <n v="240000"/>
    <x v="48"/>
    <x v="48"/>
    <x v="48"/>
  </r>
  <r>
    <x v="1135"/>
    <s v="West"/>
    <x v="3"/>
    <x v="0"/>
    <s v="Store"/>
    <x v="6"/>
    <s v="Electronics"/>
    <n v="150000"/>
    <n v="10"/>
    <x v="5"/>
    <n v="120000"/>
    <x v="17"/>
    <x v="17"/>
    <x v="17"/>
  </r>
  <r>
    <x v="1136"/>
    <s v="South"/>
    <x v="1"/>
    <x v="1"/>
    <s v="Store"/>
    <x v="1"/>
    <s v="Home Appliances"/>
    <n v="30000"/>
    <n v="7"/>
    <x v="3"/>
    <n v="24000"/>
    <x v="54"/>
    <x v="54"/>
    <x v="54"/>
  </r>
  <r>
    <x v="1137"/>
    <s v="East"/>
    <x v="1"/>
    <x v="1"/>
    <s v="Store"/>
    <x v="3"/>
    <s v="Electronics"/>
    <n v="300000"/>
    <n v="9"/>
    <x v="4"/>
    <n v="240000"/>
    <x v="39"/>
    <x v="39"/>
    <x v="39"/>
  </r>
  <r>
    <x v="1138"/>
    <s v="North"/>
    <x v="3"/>
    <x v="1"/>
    <s v="Store"/>
    <x v="9"/>
    <s v="Home Appliances"/>
    <n v="220000"/>
    <n v="4"/>
    <x v="2"/>
    <n v="176000"/>
    <x v="22"/>
    <x v="22"/>
    <x v="22"/>
  </r>
  <r>
    <x v="1139"/>
    <s v="East"/>
    <x v="2"/>
    <x v="1"/>
    <s v="Online"/>
    <x v="8"/>
    <s v="Electronics"/>
    <n v="250000"/>
    <n v="9"/>
    <x v="0"/>
    <n v="200000"/>
    <x v="71"/>
    <x v="71"/>
    <x v="71"/>
  </r>
  <r>
    <x v="1140"/>
    <s v="West"/>
    <x v="0"/>
    <x v="1"/>
    <s v="Store"/>
    <x v="3"/>
    <s v="Electronics"/>
    <n v="300000"/>
    <n v="4"/>
    <x v="5"/>
    <n v="240000"/>
    <x v="29"/>
    <x v="29"/>
    <x v="29"/>
  </r>
  <r>
    <x v="1141"/>
    <s v="West"/>
    <x v="0"/>
    <x v="0"/>
    <s v="Store"/>
    <x v="2"/>
    <s v="Home Appliances"/>
    <n v="60000"/>
    <n v="10"/>
    <x v="4"/>
    <n v="48000"/>
    <x v="4"/>
    <x v="4"/>
    <x v="4"/>
  </r>
  <r>
    <x v="1142"/>
    <s v="North"/>
    <x v="2"/>
    <x v="1"/>
    <s v="Online"/>
    <x v="7"/>
    <s v="Electronics"/>
    <n v="420000"/>
    <n v="10"/>
    <x v="2"/>
    <n v="336000"/>
    <x v="20"/>
    <x v="20"/>
    <x v="20"/>
  </r>
  <r>
    <x v="1143"/>
    <s v="West"/>
    <x v="2"/>
    <x v="0"/>
    <s v="Store"/>
    <x v="6"/>
    <s v="Electronics"/>
    <n v="150000"/>
    <n v="1"/>
    <x v="5"/>
    <n v="120000"/>
    <x v="26"/>
    <x v="26"/>
    <x v="26"/>
  </r>
  <r>
    <x v="1144"/>
    <s v="South"/>
    <x v="2"/>
    <x v="0"/>
    <s v="Store"/>
    <x v="8"/>
    <s v="Electronics"/>
    <n v="250000"/>
    <n v="7"/>
    <x v="1"/>
    <n v="200000"/>
    <x v="59"/>
    <x v="59"/>
    <x v="59"/>
  </r>
  <r>
    <x v="1145"/>
    <s v="South"/>
    <x v="3"/>
    <x v="0"/>
    <s v="Store"/>
    <x v="3"/>
    <s v="Electronics"/>
    <n v="300000"/>
    <n v="9"/>
    <x v="2"/>
    <n v="240000"/>
    <x v="39"/>
    <x v="39"/>
    <x v="39"/>
  </r>
  <r>
    <x v="1146"/>
    <s v="North"/>
    <x v="0"/>
    <x v="0"/>
    <s v="Store"/>
    <x v="6"/>
    <s v="Electronics"/>
    <n v="150000"/>
    <n v="2"/>
    <x v="4"/>
    <n v="120000"/>
    <x v="11"/>
    <x v="11"/>
    <x v="11"/>
  </r>
  <r>
    <x v="1147"/>
    <s v="West"/>
    <x v="1"/>
    <x v="0"/>
    <s v="Store"/>
    <x v="9"/>
    <s v="Home Appliances"/>
    <n v="220000"/>
    <n v="9"/>
    <x v="1"/>
    <n v="176000"/>
    <x v="64"/>
    <x v="64"/>
    <x v="64"/>
  </r>
  <r>
    <x v="1148"/>
    <s v="North"/>
    <x v="3"/>
    <x v="0"/>
    <s v="Store"/>
    <x v="2"/>
    <s v="Home Appliances"/>
    <n v="60000"/>
    <n v="5"/>
    <x v="0"/>
    <n v="48000"/>
    <x v="11"/>
    <x v="11"/>
    <x v="11"/>
  </r>
  <r>
    <x v="1149"/>
    <s v="West"/>
    <x v="0"/>
    <x v="1"/>
    <s v="Store"/>
    <x v="4"/>
    <s v="Home Appliances"/>
    <n v="180000"/>
    <n v="6"/>
    <x v="3"/>
    <n v="144000"/>
    <x v="53"/>
    <x v="53"/>
    <x v="53"/>
  </r>
  <r>
    <x v="1150"/>
    <s v="East"/>
    <x v="0"/>
    <x v="1"/>
    <s v="Store"/>
    <x v="8"/>
    <s v="Electronics"/>
    <n v="250000"/>
    <n v="10"/>
    <x v="0"/>
    <n v="200000"/>
    <x v="66"/>
    <x v="66"/>
    <x v="66"/>
  </r>
  <r>
    <x v="1151"/>
    <s v="East"/>
    <x v="3"/>
    <x v="0"/>
    <s v="Store"/>
    <x v="0"/>
    <s v="Furniture"/>
    <n v="85000"/>
    <n v="1"/>
    <x v="4"/>
    <n v="68000"/>
    <x v="0"/>
    <x v="0"/>
    <x v="0"/>
  </r>
  <r>
    <x v="1152"/>
    <s v="North"/>
    <x v="0"/>
    <x v="0"/>
    <s v="Online"/>
    <x v="8"/>
    <s v="Electronics"/>
    <n v="250000"/>
    <n v="9"/>
    <x v="1"/>
    <n v="200000"/>
    <x v="71"/>
    <x v="71"/>
    <x v="71"/>
  </r>
  <r>
    <x v="1153"/>
    <s v="East"/>
    <x v="1"/>
    <x v="0"/>
    <s v="Online"/>
    <x v="8"/>
    <s v="Electronics"/>
    <n v="250000"/>
    <n v="2"/>
    <x v="1"/>
    <n v="200000"/>
    <x v="73"/>
    <x v="73"/>
    <x v="73"/>
  </r>
  <r>
    <x v="1154"/>
    <s v="South"/>
    <x v="1"/>
    <x v="0"/>
    <s v="Online"/>
    <x v="8"/>
    <s v="Electronics"/>
    <n v="250000"/>
    <n v="1"/>
    <x v="5"/>
    <n v="200000"/>
    <x v="44"/>
    <x v="44"/>
    <x v="44"/>
  </r>
  <r>
    <x v="1155"/>
    <s v="West"/>
    <x v="0"/>
    <x v="1"/>
    <s v="Store"/>
    <x v="3"/>
    <s v="Electronics"/>
    <n v="300000"/>
    <n v="9"/>
    <x v="2"/>
    <n v="240000"/>
    <x v="39"/>
    <x v="39"/>
    <x v="39"/>
  </r>
  <r>
    <x v="1156"/>
    <s v="West"/>
    <x v="1"/>
    <x v="1"/>
    <s v="Online"/>
    <x v="5"/>
    <s v="Furniture"/>
    <n v="320000"/>
    <n v="10"/>
    <x v="1"/>
    <n v="256000"/>
    <x v="35"/>
    <x v="35"/>
    <x v="35"/>
  </r>
  <r>
    <x v="1157"/>
    <s v="South"/>
    <x v="1"/>
    <x v="1"/>
    <s v="Online"/>
    <x v="4"/>
    <s v="Home Appliances"/>
    <n v="180000"/>
    <n v="9"/>
    <x v="4"/>
    <n v="144000"/>
    <x v="27"/>
    <x v="27"/>
    <x v="27"/>
  </r>
  <r>
    <x v="1158"/>
    <s v="South"/>
    <x v="2"/>
    <x v="1"/>
    <s v="Online"/>
    <x v="8"/>
    <s v="Electronics"/>
    <n v="250000"/>
    <n v="1"/>
    <x v="5"/>
    <n v="200000"/>
    <x v="44"/>
    <x v="44"/>
    <x v="44"/>
  </r>
  <r>
    <x v="1159"/>
    <s v="South"/>
    <x v="3"/>
    <x v="1"/>
    <s v="Online"/>
    <x v="0"/>
    <s v="Furniture"/>
    <n v="85000"/>
    <n v="7"/>
    <x v="5"/>
    <n v="68000"/>
    <x v="30"/>
    <x v="30"/>
    <x v="30"/>
  </r>
  <r>
    <x v="1160"/>
    <s v="West"/>
    <x v="0"/>
    <x v="0"/>
    <s v="Store"/>
    <x v="1"/>
    <s v="Home Appliances"/>
    <n v="30000"/>
    <n v="6"/>
    <x v="2"/>
    <n v="24000"/>
    <x v="32"/>
    <x v="32"/>
    <x v="32"/>
  </r>
  <r>
    <x v="1161"/>
    <s v="West"/>
    <x v="1"/>
    <x v="0"/>
    <s v="Store"/>
    <x v="1"/>
    <s v="Home Appliances"/>
    <n v="30000"/>
    <n v="6"/>
    <x v="1"/>
    <n v="24000"/>
    <x v="32"/>
    <x v="32"/>
    <x v="32"/>
  </r>
  <r>
    <x v="1162"/>
    <s v="West"/>
    <x v="0"/>
    <x v="1"/>
    <s v="Store"/>
    <x v="5"/>
    <s v="Furniture"/>
    <n v="320000"/>
    <n v="2"/>
    <x v="4"/>
    <n v="256000"/>
    <x v="38"/>
    <x v="38"/>
    <x v="38"/>
  </r>
  <r>
    <x v="1163"/>
    <s v="West"/>
    <x v="3"/>
    <x v="0"/>
    <s v="Store"/>
    <x v="2"/>
    <s v="Home Appliances"/>
    <n v="60000"/>
    <n v="6"/>
    <x v="1"/>
    <n v="48000"/>
    <x v="50"/>
    <x v="50"/>
    <x v="50"/>
  </r>
  <r>
    <x v="1164"/>
    <s v="West"/>
    <x v="1"/>
    <x v="0"/>
    <s v="Store"/>
    <x v="9"/>
    <s v="Home Appliances"/>
    <n v="220000"/>
    <n v="10"/>
    <x v="5"/>
    <n v="176000"/>
    <x v="61"/>
    <x v="61"/>
    <x v="61"/>
  </r>
  <r>
    <x v="1165"/>
    <s v="West"/>
    <x v="3"/>
    <x v="0"/>
    <s v="Online"/>
    <x v="2"/>
    <s v="Home Appliances"/>
    <n v="60000"/>
    <n v="6"/>
    <x v="5"/>
    <n v="48000"/>
    <x v="50"/>
    <x v="50"/>
    <x v="50"/>
  </r>
  <r>
    <x v="1166"/>
    <s v="West"/>
    <x v="2"/>
    <x v="0"/>
    <s v="Online"/>
    <x v="9"/>
    <s v="Home Appliances"/>
    <n v="220000"/>
    <n v="7"/>
    <x v="4"/>
    <n v="176000"/>
    <x v="67"/>
    <x v="67"/>
    <x v="67"/>
  </r>
  <r>
    <x v="1167"/>
    <s v="East"/>
    <x v="1"/>
    <x v="1"/>
    <s v="Store"/>
    <x v="7"/>
    <s v="Electronics"/>
    <n v="420000"/>
    <n v="8"/>
    <x v="4"/>
    <n v="336000"/>
    <x v="19"/>
    <x v="19"/>
    <x v="19"/>
  </r>
  <r>
    <x v="1168"/>
    <s v="East"/>
    <x v="1"/>
    <x v="0"/>
    <s v="Store"/>
    <x v="7"/>
    <s v="Electronics"/>
    <n v="420000"/>
    <n v="1"/>
    <x v="5"/>
    <n v="336000"/>
    <x v="40"/>
    <x v="40"/>
    <x v="40"/>
  </r>
  <r>
    <x v="1169"/>
    <s v="East"/>
    <x v="0"/>
    <x v="1"/>
    <s v="Store"/>
    <x v="8"/>
    <s v="Electronics"/>
    <n v="250000"/>
    <n v="9"/>
    <x v="4"/>
    <n v="200000"/>
    <x v="71"/>
    <x v="71"/>
    <x v="71"/>
  </r>
  <r>
    <x v="1170"/>
    <s v="North"/>
    <x v="3"/>
    <x v="0"/>
    <s v="Online"/>
    <x v="1"/>
    <s v="Home Appliances"/>
    <n v="30000"/>
    <n v="3"/>
    <x v="1"/>
    <n v="24000"/>
    <x v="33"/>
    <x v="33"/>
    <x v="33"/>
  </r>
  <r>
    <x v="1171"/>
    <s v="North"/>
    <x v="2"/>
    <x v="0"/>
    <s v="Online"/>
    <x v="5"/>
    <s v="Furniture"/>
    <n v="320000"/>
    <n v="1"/>
    <x v="5"/>
    <n v="256000"/>
    <x v="7"/>
    <x v="7"/>
    <x v="7"/>
  </r>
  <r>
    <x v="1172"/>
    <s v="West"/>
    <x v="3"/>
    <x v="1"/>
    <s v="Online"/>
    <x v="5"/>
    <s v="Furniture"/>
    <n v="320000"/>
    <n v="10"/>
    <x v="2"/>
    <n v="256000"/>
    <x v="35"/>
    <x v="35"/>
    <x v="35"/>
  </r>
  <r>
    <x v="1173"/>
    <s v="North"/>
    <x v="1"/>
    <x v="1"/>
    <s v="Online"/>
    <x v="4"/>
    <s v="Home Appliances"/>
    <n v="180000"/>
    <n v="4"/>
    <x v="2"/>
    <n v="144000"/>
    <x v="65"/>
    <x v="65"/>
    <x v="65"/>
  </r>
  <r>
    <x v="1174"/>
    <s v="West"/>
    <x v="1"/>
    <x v="0"/>
    <s v="Store"/>
    <x v="7"/>
    <s v="Electronics"/>
    <n v="420000"/>
    <n v="5"/>
    <x v="4"/>
    <n v="336000"/>
    <x v="13"/>
    <x v="13"/>
    <x v="13"/>
  </r>
  <r>
    <x v="1175"/>
    <s v="North"/>
    <x v="3"/>
    <x v="0"/>
    <s v="Online"/>
    <x v="2"/>
    <s v="Home Appliances"/>
    <n v="60000"/>
    <n v="5"/>
    <x v="1"/>
    <n v="48000"/>
    <x v="11"/>
    <x v="11"/>
    <x v="11"/>
  </r>
  <r>
    <x v="1176"/>
    <s v="North"/>
    <x v="3"/>
    <x v="0"/>
    <s v="Store"/>
    <x v="2"/>
    <s v="Home Appliances"/>
    <n v="60000"/>
    <n v="9"/>
    <x v="4"/>
    <n v="48000"/>
    <x v="46"/>
    <x v="46"/>
    <x v="46"/>
  </r>
  <r>
    <x v="1177"/>
    <s v="East"/>
    <x v="2"/>
    <x v="1"/>
    <s v="Store"/>
    <x v="3"/>
    <s v="Electronics"/>
    <n v="300000"/>
    <n v="10"/>
    <x v="1"/>
    <n v="240000"/>
    <x v="68"/>
    <x v="68"/>
    <x v="68"/>
  </r>
  <r>
    <x v="1178"/>
    <s v="South"/>
    <x v="3"/>
    <x v="0"/>
    <s v="Store"/>
    <x v="7"/>
    <s v="Electronics"/>
    <n v="420000"/>
    <n v="8"/>
    <x v="5"/>
    <n v="336000"/>
    <x v="19"/>
    <x v="19"/>
    <x v="19"/>
  </r>
  <r>
    <x v="1179"/>
    <s v="South"/>
    <x v="2"/>
    <x v="1"/>
    <s v="Store"/>
    <x v="4"/>
    <s v="Home Appliances"/>
    <n v="180000"/>
    <n v="4"/>
    <x v="1"/>
    <n v="144000"/>
    <x v="65"/>
    <x v="65"/>
    <x v="65"/>
  </r>
  <r>
    <x v="1180"/>
    <s v="East"/>
    <x v="2"/>
    <x v="0"/>
    <s v="Store"/>
    <x v="1"/>
    <s v="Home Appliances"/>
    <n v="30000"/>
    <n v="5"/>
    <x v="4"/>
    <n v="24000"/>
    <x v="26"/>
    <x v="26"/>
    <x v="26"/>
  </r>
  <r>
    <x v="1181"/>
    <s v="North"/>
    <x v="1"/>
    <x v="0"/>
    <s v="Online"/>
    <x v="8"/>
    <s v="Electronics"/>
    <n v="250000"/>
    <n v="3"/>
    <x v="1"/>
    <n v="200000"/>
    <x v="56"/>
    <x v="56"/>
    <x v="56"/>
  </r>
  <r>
    <x v="1182"/>
    <s v="East"/>
    <x v="2"/>
    <x v="1"/>
    <s v="Store"/>
    <x v="0"/>
    <s v="Furniture"/>
    <n v="85000"/>
    <n v="8"/>
    <x v="2"/>
    <n v="68000"/>
    <x v="69"/>
    <x v="69"/>
    <x v="69"/>
  </r>
  <r>
    <x v="1183"/>
    <s v="South"/>
    <x v="0"/>
    <x v="1"/>
    <s v="Online"/>
    <x v="2"/>
    <s v="Home Appliances"/>
    <n v="60000"/>
    <n v="8"/>
    <x v="4"/>
    <n v="48000"/>
    <x v="47"/>
    <x v="47"/>
    <x v="47"/>
  </r>
  <r>
    <x v="1184"/>
    <s v="South"/>
    <x v="0"/>
    <x v="1"/>
    <s v="Store"/>
    <x v="6"/>
    <s v="Electronics"/>
    <n v="150000"/>
    <n v="5"/>
    <x v="0"/>
    <n v="120000"/>
    <x v="56"/>
    <x v="56"/>
    <x v="56"/>
  </r>
  <r>
    <x v="1185"/>
    <s v="North"/>
    <x v="0"/>
    <x v="1"/>
    <s v="Online"/>
    <x v="5"/>
    <s v="Furniture"/>
    <n v="320000"/>
    <n v="9"/>
    <x v="3"/>
    <n v="256000"/>
    <x v="8"/>
    <x v="8"/>
    <x v="8"/>
  </r>
  <r>
    <x v="1186"/>
    <s v="North"/>
    <x v="3"/>
    <x v="1"/>
    <s v="Online"/>
    <x v="7"/>
    <s v="Electronics"/>
    <n v="420000"/>
    <n v="7"/>
    <x v="0"/>
    <n v="336000"/>
    <x v="70"/>
    <x v="70"/>
    <x v="70"/>
  </r>
  <r>
    <x v="1187"/>
    <s v="South"/>
    <x v="2"/>
    <x v="1"/>
    <s v="Store"/>
    <x v="2"/>
    <s v="Home Appliances"/>
    <n v="60000"/>
    <n v="6"/>
    <x v="4"/>
    <n v="48000"/>
    <x v="50"/>
    <x v="50"/>
    <x v="50"/>
  </r>
  <r>
    <x v="1188"/>
    <s v="North"/>
    <x v="0"/>
    <x v="0"/>
    <s v="Store"/>
    <x v="6"/>
    <s v="Electronics"/>
    <n v="150000"/>
    <n v="7"/>
    <x v="5"/>
    <n v="120000"/>
    <x v="16"/>
    <x v="16"/>
    <x v="16"/>
  </r>
  <r>
    <x v="1189"/>
    <s v="East"/>
    <x v="2"/>
    <x v="0"/>
    <s v="Store"/>
    <x v="5"/>
    <s v="Furniture"/>
    <n v="320000"/>
    <n v="10"/>
    <x v="2"/>
    <n v="256000"/>
    <x v="35"/>
    <x v="35"/>
    <x v="35"/>
  </r>
  <r>
    <x v="1190"/>
    <s v="East"/>
    <x v="0"/>
    <x v="1"/>
    <s v="Online"/>
    <x v="3"/>
    <s v="Electronics"/>
    <n v="300000"/>
    <n v="8"/>
    <x v="1"/>
    <n v="240000"/>
    <x v="24"/>
    <x v="24"/>
    <x v="24"/>
  </r>
  <r>
    <x v="1191"/>
    <s v="West"/>
    <x v="0"/>
    <x v="0"/>
    <s v="Online"/>
    <x v="7"/>
    <s v="Electronics"/>
    <n v="420000"/>
    <n v="5"/>
    <x v="3"/>
    <n v="336000"/>
    <x v="13"/>
    <x v="13"/>
    <x v="13"/>
  </r>
  <r>
    <x v="1192"/>
    <s v="East"/>
    <x v="2"/>
    <x v="0"/>
    <s v="Store"/>
    <x v="9"/>
    <s v="Home Appliances"/>
    <n v="220000"/>
    <n v="5"/>
    <x v="0"/>
    <n v="176000"/>
    <x v="51"/>
    <x v="51"/>
    <x v="51"/>
  </r>
  <r>
    <x v="1193"/>
    <s v="West"/>
    <x v="0"/>
    <x v="1"/>
    <s v="Store"/>
    <x v="5"/>
    <s v="Furniture"/>
    <n v="320000"/>
    <n v="3"/>
    <x v="1"/>
    <n v="256000"/>
    <x v="9"/>
    <x v="9"/>
    <x v="9"/>
  </r>
  <r>
    <x v="1194"/>
    <s v="East"/>
    <x v="0"/>
    <x v="0"/>
    <s v="Online"/>
    <x v="4"/>
    <s v="Home Appliances"/>
    <n v="180000"/>
    <n v="9"/>
    <x v="5"/>
    <n v="144000"/>
    <x v="27"/>
    <x v="27"/>
    <x v="27"/>
  </r>
  <r>
    <x v="1195"/>
    <s v="North"/>
    <x v="0"/>
    <x v="0"/>
    <s v="Online"/>
    <x v="3"/>
    <s v="Electronics"/>
    <n v="300000"/>
    <n v="1"/>
    <x v="5"/>
    <n v="240000"/>
    <x v="11"/>
    <x v="11"/>
    <x v="11"/>
  </r>
  <r>
    <x v="1196"/>
    <s v="North"/>
    <x v="2"/>
    <x v="0"/>
    <s v="Store"/>
    <x v="9"/>
    <s v="Home Appliances"/>
    <n v="220000"/>
    <n v="7"/>
    <x v="5"/>
    <n v="176000"/>
    <x v="67"/>
    <x v="67"/>
    <x v="67"/>
  </r>
  <r>
    <x v="1197"/>
    <s v="East"/>
    <x v="1"/>
    <x v="1"/>
    <s v="Store"/>
    <x v="0"/>
    <s v="Furniture"/>
    <n v="85000"/>
    <n v="9"/>
    <x v="1"/>
    <n v="68000"/>
    <x v="18"/>
    <x v="18"/>
    <x v="18"/>
  </r>
  <r>
    <x v="1198"/>
    <s v="East"/>
    <x v="1"/>
    <x v="0"/>
    <s v="Online"/>
    <x v="0"/>
    <s v="Furniture"/>
    <n v="85000"/>
    <n v="4"/>
    <x v="2"/>
    <n v="68000"/>
    <x v="74"/>
    <x v="74"/>
    <x v="74"/>
  </r>
  <r>
    <x v="1199"/>
    <s v="East"/>
    <x v="3"/>
    <x v="0"/>
    <s v="Store"/>
    <x v="2"/>
    <s v="Home Appliances"/>
    <n v="60000"/>
    <n v="8"/>
    <x v="2"/>
    <n v="48000"/>
    <x v="47"/>
    <x v="47"/>
    <x v="47"/>
  </r>
  <r>
    <x v="1200"/>
    <s v="South"/>
    <x v="1"/>
    <x v="1"/>
    <s v="Store"/>
    <x v="6"/>
    <s v="Electronics"/>
    <n v="150000"/>
    <n v="6"/>
    <x v="3"/>
    <n v="120000"/>
    <x v="48"/>
    <x v="48"/>
    <x v="48"/>
  </r>
  <r>
    <x v="1201"/>
    <s v="East"/>
    <x v="2"/>
    <x v="1"/>
    <s v="Online"/>
    <x v="0"/>
    <s v="Furniture"/>
    <n v="85000"/>
    <n v="10"/>
    <x v="2"/>
    <n v="68000"/>
    <x v="43"/>
    <x v="43"/>
    <x v="43"/>
  </r>
  <r>
    <x v="1202"/>
    <s v="West"/>
    <x v="1"/>
    <x v="1"/>
    <s v="Store"/>
    <x v="0"/>
    <s v="Furniture"/>
    <n v="85000"/>
    <n v="3"/>
    <x v="5"/>
    <n v="68000"/>
    <x v="23"/>
    <x v="23"/>
    <x v="23"/>
  </r>
  <r>
    <x v="1203"/>
    <s v="West"/>
    <x v="2"/>
    <x v="1"/>
    <s v="Online"/>
    <x v="3"/>
    <s v="Electronics"/>
    <n v="300000"/>
    <n v="8"/>
    <x v="3"/>
    <n v="240000"/>
    <x v="24"/>
    <x v="24"/>
    <x v="24"/>
  </r>
  <r>
    <x v="1204"/>
    <s v="West"/>
    <x v="0"/>
    <x v="1"/>
    <s v="Online"/>
    <x v="7"/>
    <s v="Electronics"/>
    <n v="420000"/>
    <n v="6"/>
    <x v="4"/>
    <n v="336000"/>
    <x v="76"/>
    <x v="76"/>
    <x v="76"/>
  </r>
  <r>
    <x v="1205"/>
    <s v="South"/>
    <x v="2"/>
    <x v="1"/>
    <s v="Online"/>
    <x v="8"/>
    <s v="Electronics"/>
    <n v="250000"/>
    <n v="3"/>
    <x v="1"/>
    <n v="200000"/>
    <x v="56"/>
    <x v="56"/>
    <x v="56"/>
  </r>
  <r>
    <x v="1206"/>
    <s v="West"/>
    <x v="3"/>
    <x v="0"/>
    <s v="Store"/>
    <x v="8"/>
    <s v="Electronics"/>
    <n v="250000"/>
    <n v="8"/>
    <x v="2"/>
    <n v="200000"/>
    <x v="52"/>
    <x v="52"/>
    <x v="52"/>
  </r>
  <r>
    <x v="1207"/>
    <s v="North"/>
    <x v="1"/>
    <x v="1"/>
    <s v="Online"/>
    <x v="0"/>
    <s v="Furniture"/>
    <n v="85000"/>
    <n v="3"/>
    <x v="2"/>
    <n v="68000"/>
    <x v="23"/>
    <x v="23"/>
    <x v="23"/>
  </r>
  <r>
    <x v="1208"/>
    <s v="North"/>
    <x v="3"/>
    <x v="1"/>
    <s v="Online"/>
    <x v="1"/>
    <s v="Home Appliances"/>
    <n v="30000"/>
    <n v="7"/>
    <x v="2"/>
    <n v="24000"/>
    <x v="54"/>
    <x v="54"/>
    <x v="54"/>
  </r>
  <r>
    <x v="1209"/>
    <s v="East"/>
    <x v="2"/>
    <x v="0"/>
    <s v="Store"/>
    <x v="2"/>
    <s v="Home Appliances"/>
    <n v="60000"/>
    <n v="7"/>
    <x v="3"/>
    <n v="48000"/>
    <x v="40"/>
    <x v="40"/>
    <x v="40"/>
  </r>
  <r>
    <x v="1210"/>
    <s v="South"/>
    <x v="0"/>
    <x v="0"/>
    <s v="Store"/>
    <x v="9"/>
    <s v="Home Appliances"/>
    <n v="220000"/>
    <n v="10"/>
    <x v="1"/>
    <n v="176000"/>
    <x v="61"/>
    <x v="61"/>
    <x v="61"/>
  </r>
  <r>
    <x v="1211"/>
    <s v="South"/>
    <x v="1"/>
    <x v="0"/>
    <s v="Store"/>
    <x v="8"/>
    <s v="Electronics"/>
    <n v="250000"/>
    <n v="5"/>
    <x v="5"/>
    <n v="200000"/>
    <x v="21"/>
    <x v="21"/>
    <x v="21"/>
  </r>
  <r>
    <x v="1212"/>
    <s v="South"/>
    <x v="3"/>
    <x v="0"/>
    <s v="Online"/>
    <x v="0"/>
    <s v="Furniture"/>
    <n v="85000"/>
    <n v="7"/>
    <x v="5"/>
    <n v="68000"/>
    <x v="30"/>
    <x v="30"/>
    <x v="30"/>
  </r>
  <r>
    <x v="1213"/>
    <s v="West"/>
    <x v="1"/>
    <x v="1"/>
    <s v="Online"/>
    <x v="6"/>
    <s v="Electronics"/>
    <n v="150000"/>
    <n v="4"/>
    <x v="2"/>
    <n v="120000"/>
    <x v="4"/>
    <x v="4"/>
    <x v="4"/>
  </r>
  <r>
    <x v="1214"/>
    <s v="South"/>
    <x v="3"/>
    <x v="0"/>
    <s v="Online"/>
    <x v="7"/>
    <s v="Electronics"/>
    <n v="420000"/>
    <n v="5"/>
    <x v="1"/>
    <n v="336000"/>
    <x v="13"/>
    <x v="13"/>
    <x v="13"/>
  </r>
  <r>
    <x v="1215"/>
    <s v="East"/>
    <x v="2"/>
    <x v="0"/>
    <s v="Online"/>
    <x v="2"/>
    <s v="Home Appliances"/>
    <n v="60000"/>
    <n v="5"/>
    <x v="0"/>
    <n v="48000"/>
    <x v="11"/>
    <x v="11"/>
    <x v="11"/>
  </r>
  <r>
    <x v="1216"/>
    <s v="South"/>
    <x v="0"/>
    <x v="1"/>
    <s v="Online"/>
    <x v="8"/>
    <s v="Electronics"/>
    <n v="250000"/>
    <n v="10"/>
    <x v="1"/>
    <n v="200000"/>
    <x v="66"/>
    <x v="66"/>
    <x v="66"/>
  </r>
  <r>
    <x v="1217"/>
    <s v="West"/>
    <x v="1"/>
    <x v="0"/>
    <s v="Online"/>
    <x v="2"/>
    <s v="Home Appliances"/>
    <n v="60000"/>
    <n v="3"/>
    <x v="1"/>
    <n v="48000"/>
    <x v="32"/>
    <x v="32"/>
    <x v="32"/>
  </r>
  <r>
    <x v="1218"/>
    <s v="West"/>
    <x v="3"/>
    <x v="1"/>
    <s v="Online"/>
    <x v="9"/>
    <s v="Home Appliances"/>
    <n v="220000"/>
    <n v="5"/>
    <x v="4"/>
    <n v="176000"/>
    <x v="51"/>
    <x v="51"/>
    <x v="51"/>
  </r>
  <r>
    <x v="1219"/>
    <s v="South"/>
    <x v="0"/>
    <x v="1"/>
    <s v="Store"/>
    <x v="7"/>
    <s v="Electronics"/>
    <n v="420000"/>
    <n v="3"/>
    <x v="2"/>
    <n v="336000"/>
    <x v="55"/>
    <x v="55"/>
    <x v="55"/>
  </r>
  <r>
    <x v="1220"/>
    <s v="West"/>
    <x v="1"/>
    <x v="1"/>
    <s v="Store"/>
    <x v="2"/>
    <s v="Home Appliances"/>
    <n v="60000"/>
    <n v="7"/>
    <x v="3"/>
    <n v="48000"/>
    <x v="40"/>
    <x v="40"/>
    <x v="40"/>
  </r>
  <r>
    <x v="1221"/>
    <s v="West"/>
    <x v="0"/>
    <x v="0"/>
    <s v="Online"/>
    <x v="9"/>
    <s v="Home Appliances"/>
    <n v="220000"/>
    <n v="8"/>
    <x v="2"/>
    <n v="176000"/>
    <x v="42"/>
    <x v="42"/>
    <x v="42"/>
  </r>
  <r>
    <x v="1222"/>
    <s v="West"/>
    <x v="3"/>
    <x v="1"/>
    <s v="Store"/>
    <x v="8"/>
    <s v="Electronics"/>
    <n v="250000"/>
    <n v="6"/>
    <x v="4"/>
    <n v="200000"/>
    <x v="17"/>
    <x v="17"/>
    <x v="17"/>
  </r>
  <r>
    <x v="1223"/>
    <s v="West"/>
    <x v="1"/>
    <x v="1"/>
    <s v="Online"/>
    <x v="6"/>
    <s v="Electronics"/>
    <n v="150000"/>
    <n v="5"/>
    <x v="2"/>
    <n v="120000"/>
    <x v="56"/>
    <x v="56"/>
    <x v="56"/>
  </r>
  <r>
    <x v="1224"/>
    <s v="North"/>
    <x v="1"/>
    <x v="1"/>
    <s v="Online"/>
    <x v="0"/>
    <s v="Furniture"/>
    <n v="85000"/>
    <n v="2"/>
    <x v="3"/>
    <n v="68000"/>
    <x v="2"/>
    <x v="2"/>
    <x v="2"/>
  </r>
  <r>
    <x v="1225"/>
    <s v="South"/>
    <x v="0"/>
    <x v="1"/>
    <s v="Store"/>
    <x v="0"/>
    <s v="Furniture"/>
    <n v="85000"/>
    <n v="6"/>
    <x v="1"/>
    <n v="68000"/>
    <x v="60"/>
    <x v="60"/>
    <x v="60"/>
  </r>
  <r>
    <x v="1226"/>
    <s v="West"/>
    <x v="3"/>
    <x v="1"/>
    <s v="Online"/>
    <x v="6"/>
    <s v="Electronics"/>
    <n v="150000"/>
    <n v="5"/>
    <x v="3"/>
    <n v="120000"/>
    <x v="56"/>
    <x v="56"/>
    <x v="56"/>
  </r>
  <r>
    <x v="1227"/>
    <s v="West"/>
    <x v="2"/>
    <x v="1"/>
    <s v="Store"/>
    <x v="7"/>
    <s v="Electronics"/>
    <n v="420000"/>
    <n v="4"/>
    <x v="4"/>
    <n v="336000"/>
    <x v="45"/>
    <x v="45"/>
    <x v="45"/>
  </r>
  <r>
    <x v="1228"/>
    <s v="East"/>
    <x v="2"/>
    <x v="1"/>
    <s v="Store"/>
    <x v="3"/>
    <s v="Electronics"/>
    <n v="300000"/>
    <n v="6"/>
    <x v="5"/>
    <n v="240000"/>
    <x v="5"/>
    <x v="5"/>
    <x v="5"/>
  </r>
  <r>
    <x v="1229"/>
    <s v="North"/>
    <x v="0"/>
    <x v="1"/>
    <s v="Online"/>
    <x v="2"/>
    <s v="Home Appliances"/>
    <n v="60000"/>
    <n v="2"/>
    <x v="4"/>
    <n v="48000"/>
    <x v="3"/>
    <x v="3"/>
    <x v="3"/>
  </r>
  <r>
    <x v="1230"/>
    <s v="North"/>
    <x v="3"/>
    <x v="1"/>
    <s v="Online"/>
    <x v="0"/>
    <s v="Furniture"/>
    <n v="85000"/>
    <n v="5"/>
    <x v="3"/>
    <n v="68000"/>
    <x v="58"/>
    <x v="58"/>
    <x v="58"/>
  </r>
  <r>
    <x v="1231"/>
    <s v="West"/>
    <x v="3"/>
    <x v="0"/>
    <s v="Store"/>
    <x v="2"/>
    <s v="Home Appliances"/>
    <n v="60000"/>
    <n v="3"/>
    <x v="1"/>
    <n v="48000"/>
    <x v="32"/>
    <x v="32"/>
    <x v="32"/>
  </r>
  <r>
    <x v="1232"/>
    <s v="North"/>
    <x v="3"/>
    <x v="1"/>
    <s v="Online"/>
    <x v="0"/>
    <s v="Furniture"/>
    <n v="85000"/>
    <n v="7"/>
    <x v="3"/>
    <n v="68000"/>
    <x v="30"/>
    <x v="30"/>
    <x v="30"/>
  </r>
  <r>
    <x v="1233"/>
    <s v="North"/>
    <x v="1"/>
    <x v="1"/>
    <s v="Online"/>
    <x v="4"/>
    <s v="Home Appliances"/>
    <n v="180000"/>
    <n v="5"/>
    <x v="5"/>
    <n v="144000"/>
    <x v="48"/>
    <x v="48"/>
    <x v="48"/>
  </r>
  <r>
    <x v="1234"/>
    <s v="East"/>
    <x v="1"/>
    <x v="0"/>
    <s v="Online"/>
    <x v="7"/>
    <s v="Electronics"/>
    <n v="420000"/>
    <n v="5"/>
    <x v="2"/>
    <n v="336000"/>
    <x v="13"/>
    <x v="13"/>
    <x v="13"/>
  </r>
  <r>
    <x v="1235"/>
    <s v="East"/>
    <x v="3"/>
    <x v="1"/>
    <s v="Store"/>
    <x v="0"/>
    <s v="Furniture"/>
    <n v="85000"/>
    <n v="6"/>
    <x v="2"/>
    <n v="68000"/>
    <x v="60"/>
    <x v="60"/>
    <x v="60"/>
  </r>
  <r>
    <x v="1236"/>
    <s v="North"/>
    <x v="0"/>
    <x v="0"/>
    <s v="Store"/>
    <x v="7"/>
    <s v="Electronics"/>
    <n v="420000"/>
    <n v="7"/>
    <x v="0"/>
    <n v="336000"/>
    <x v="70"/>
    <x v="70"/>
    <x v="70"/>
  </r>
  <r>
    <x v="1237"/>
    <s v="South"/>
    <x v="3"/>
    <x v="1"/>
    <s v="Online"/>
    <x v="7"/>
    <s v="Electronics"/>
    <n v="420000"/>
    <n v="9"/>
    <x v="5"/>
    <n v="336000"/>
    <x v="12"/>
    <x v="12"/>
    <x v="12"/>
  </r>
  <r>
    <x v="1238"/>
    <s v="West"/>
    <x v="1"/>
    <x v="1"/>
    <s v="Online"/>
    <x v="3"/>
    <s v="Electronics"/>
    <n v="300000"/>
    <n v="3"/>
    <x v="4"/>
    <n v="240000"/>
    <x v="48"/>
    <x v="48"/>
    <x v="48"/>
  </r>
  <r>
    <x v="1239"/>
    <s v="East"/>
    <x v="2"/>
    <x v="0"/>
    <s v="Online"/>
    <x v="0"/>
    <s v="Furniture"/>
    <n v="85000"/>
    <n v="9"/>
    <x v="4"/>
    <n v="68000"/>
    <x v="18"/>
    <x v="18"/>
    <x v="18"/>
  </r>
  <r>
    <x v="1240"/>
    <s v="South"/>
    <x v="0"/>
    <x v="1"/>
    <s v="Store"/>
    <x v="9"/>
    <s v="Home Appliances"/>
    <n v="220000"/>
    <n v="7"/>
    <x v="3"/>
    <n v="176000"/>
    <x v="67"/>
    <x v="67"/>
    <x v="67"/>
  </r>
  <r>
    <x v="1241"/>
    <s v="West"/>
    <x v="1"/>
    <x v="1"/>
    <s v="Store"/>
    <x v="3"/>
    <s v="Electronics"/>
    <n v="300000"/>
    <n v="10"/>
    <x v="0"/>
    <n v="240000"/>
    <x v="68"/>
    <x v="68"/>
    <x v="68"/>
  </r>
  <r>
    <x v="1242"/>
    <s v="West"/>
    <x v="0"/>
    <x v="0"/>
    <s v="Store"/>
    <x v="0"/>
    <s v="Furniture"/>
    <n v="85000"/>
    <n v="8"/>
    <x v="4"/>
    <n v="68000"/>
    <x v="69"/>
    <x v="69"/>
    <x v="69"/>
  </r>
  <r>
    <x v="1243"/>
    <s v="East"/>
    <x v="1"/>
    <x v="1"/>
    <s v="Online"/>
    <x v="1"/>
    <s v="Home Appliances"/>
    <n v="30000"/>
    <n v="3"/>
    <x v="4"/>
    <n v="24000"/>
    <x v="33"/>
    <x v="33"/>
    <x v="33"/>
  </r>
  <r>
    <x v="1244"/>
    <s v="South"/>
    <x v="2"/>
    <x v="1"/>
    <s v="Store"/>
    <x v="0"/>
    <s v="Furniture"/>
    <n v="85000"/>
    <n v="8"/>
    <x v="3"/>
    <n v="68000"/>
    <x v="69"/>
    <x v="69"/>
    <x v="69"/>
  </r>
  <r>
    <x v="1245"/>
    <s v="West"/>
    <x v="2"/>
    <x v="0"/>
    <s v="Store"/>
    <x v="4"/>
    <s v="Home Appliances"/>
    <n v="180000"/>
    <n v="3"/>
    <x v="3"/>
    <n v="144000"/>
    <x v="46"/>
    <x v="46"/>
    <x v="46"/>
  </r>
  <r>
    <x v="1246"/>
    <s v="North"/>
    <x v="0"/>
    <x v="0"/>
    <s v="Online"/>
    <x v="9"/>
    <s v="Home Appliances"/>
    <n v="220000"/>
    <n v="7"/>
    <x v="4"/>
    <n v="176000"/>
    <x v="67"/>
    <x v="67"/>
    <x v="67"/>
  </r>
  <r>
    <x v="1247"/>
    <s v="North"/>
    <x v="2"/>
    <x v="0"/>
    <s v="Online"/>
    <x v="4"/>
    <s v="Home Appliances"/>
    <n v="180000"/>
    <n v="8"/>
    <x v="5"/>
    <n v="144000"/>
    <x v="37"/>
    <x v="37"/>
    <x v="37"/>
  </r>
  <r>
    <x v="1248"/>
    <s v="South"/>
    <x v="3"/>
    <x v="0"/>
    <s v="Online"/>
    <x v="1"/>
    <s v="Home Appliances"/>
    <n v="30000"/>
    <n v="1"/>
    <x v="2"/>
    <n v="24000"/>
    <x v="75"/>
    <x v="75"/>
    <x v="75"/>
  </r>
  <r>
    <x v="1249"/>
    <s v="East"/>
    <x v="1"/>
    <x v="0"/>
    <s v="Online"/>
    <x v="1"/>
    <s v="Home Appliances"/>
    <n v="30000"/>
    <n v="8"/>
    <x v="3"/>
    <n v="24000"/>
    <x v="1"/>
    <x v="1"/>
    <x v="1"/>
  </r>
  <r>
    <x v="1250"/>
    <s v="South"/>
    <x v="0"/>
    <x v="0"/>
    <s v="Online"/>
    <x v="4"/>
    <s v="Home Appliances"/>
    <n v="180000"/>
    <n v="3"/>
    <x v="5"/>
    <n v="144000"/>
    <x v="46"/>
    <x v="46"/>
    <x v="46"/>
  </r>
  <r>
    <x v="1251"/>
    <s v="South"/>
    <x v="1"/>
    <x v="0"/>
    <s v="Store"/>
    <x v="0"/>
    <s v="Furniture"/>
    <n v="85000"/>
    <n v="7"/>
    <x v="1"/>
    <n v="68000"/>
    <x v="30"/>
    <x v="30"/>
    <x v="30"/>
  </r>
  <r>
    <x v="1252"/>
    <s v="West"/>
    <x v="1"/>
    <x v="0"/>
    <s v="Store"/>
    <x v="1"/>
    <s v="Home Appliances"/>
    <n v="30000"/>
    <n v="7"/>
    <x v="2"/>
    <n v="24000"/>
    <x v="54"/>
    <x v="54"/>
    <x v="54"/>
  </r>
  <r>
    <x v="1253"/>
    <s v="North"/>
    <x v="3"/>
    <x v="0"/>
    <s v="Store"/>
    <x v="2"/>
    <s v="Home Appliances"/>
    <n v="60000"/>
    <n v="3"/>
    <x v="2"/>
    <n v="48000"/>
    <x v="32"/>
    <x v="32"/>
    <x v="32"/>
  </r>
  <r>
    <x v="1254"/>
    <s v="North"/>
    <x v="3"/>
    <x v="0"/>
    <s v="Store"/>
    <x v="0"/>
    <s v="Furniture"/>
    <n v="85000"/>
    <n v="5"/>
    <x v="0"/>
    <n v="68000"/>
    <x v="58"/>
    <x v="58"/>
    <x v="58"/>
  </r>
  <r>
    <x v="1255"/>
    <s v="East"/>
    <x v="3"/>
    <x v="1"/>
    <s v="Online"/>
    <x v="7"/>
    <s v="Electronics"/>
    <n v="420000"/>
    <n v="1"/>
    <x v="0"/>
    <n v="336000"/>
    <x v="40"/>
    <x v="40"/>
    <x v="40"/>
  </r>
  <r>
    <x v="1256"/>
    <s v="South"/>
    <x v="2"/>
    <x v="1"/>
    <s v="Store"/>
    <x v="1"/>
    <s v="Home Appliances"/>
    <n v="30000"/>
    <n v="5"/>
    <x v="0"/>
    <n v="24000"/>
    <x v="26"/>
    <x v="26"/>
    <x v="26"/>
  </r>
  <r>
    <x v="1257"/>
    <s v="West"/>
    <x v="2"/>
    <x v="0"/>
    <s v="Online"/>
    <x v="8"/>
    <s v="Electronics"/>
    <n v="250000"/>
    <n v="9"/>
    <x v="3"/>
    <n v="200000"/>
    <x v="71"/>
    <x v="71"/>
    <x v="71"/>
  </r>
  <r>
    <x v="1258"/>
    <s v="North"/>
    <x v="1"/>
    <x v="1"/>
    <s v="Online"/>
    <x v="6"/>
    <s v="Electronics"/>
    <n v="150000"/>
    <n v="3"/>
    <x v="5"/>
    <n v="120000"/>
    <x v="34"/>
    <x v="34"/>
    <x v="34"/>
  </r>
  <r>
    <x v="1259"/>
    <s v="East"/>
    <x v="1"/>
    <x v="1"/>
    <s v="Online"/>
    <x v="3"/>
    <s v="Electronics"/>
    <n v="300000"/>
    <n v="5"/>
    <x v="5"/>
    <n v="240000"/>
    <x v="17"/>
    <x v="17"/>
    <x v="17"/>
  </r>
  <r>
    <x v="1260"/>
    <s v="West"/>
    <x v="0"/>
    <x v="0"/>
    <s v="Store"/>
    <x v="5"/>
    <s v="Furniture"/>
    <n v="320000"/>
    <n v="5"/>
    <x v="0"/>
    <n v="256000"/>
    <x v="28"/>
    <x v="28"/>
    <x v="28"/>
  </r>
  <r>
    <x v="1261"/>
    <s v="West"/>
    <x v="3"/>
    <x v="1"/>
    <s v="Store"/>
    <x v="0"/>
    <s v="Furniture"/>
    <n v="85000"/>
    <n v="10"/>
    <x v="4"/>
    <n v="68000"/>
    <x v="43"/>
    <x v="43"/>
    <x v="43"/>
  </r>
  <r>
    <x v="1262"/>
    <s v="West"/>
    <x v="1"/>
    <x v="0"/>
    <s v="Store"/>
    <x v="4"/>
    <s v="Home Appliances"/>
    <n v="180000"/>
    <n v="3"/>
    <x v="4"/>
    <n v="144000"/>
    <x v="46"/>
    <x v="46"/>
    <x v="46"/>
  </r>
  <r>
    <x v="1263"/>
    <s v="East"/>
    <x v="3"/>
    <x v="1"/>
    <s v="Store"/>
    <x v="1"/>
    <s v="Home Appliances"/>
    <n v="30000"/>
    <n v="3"/>
    <x v="5"/>
    <n v="24000"/>
    <x v="33"/>
    <x v="33"/>
    <x v="33"/>
  </r>
  <r>
    <x v="1264"/>
    <s v="North"/>
    <x v="1"/>
    <x v="0"/>
    <s v="Store"/>
    <x v="6"/>
    <s v="Electronics"/>
    <n v="150000"/>
    <n v="5"/>
    <x v="4"/>
    <n v="120000"/>
    <x v="56"/>
    <x v="56"/>
    <x v="56"/>
  </r>
  <r>
    <x v="1265"/>
    <s v="North"/>
    <x v="2"/>
    <x v="0"/>
    <s v="Online"/>
    <x v="3"/>
    <s v="Electronics"/>
    <n v="300000"/>
    <n v="4"/>
    <x v="3"/>
    <n v="240000"/>
    <x v="29"/>
    <x v="29"/>
    <x v="29"/>
  </r>
  <r>
    <x v="1266"/>
    <s v="East"/>
    <x v="2"/>
    <x v="1"/>
    <s v="Store"/>
    <x v="1"/>
    <s v="Home Appliances"/>
    <n v="30000"/>
    <n v="8"/>
    <x v="4"/>
    <n v="24000"/>
    <x v="1"/>
    <x v="1"/>
    <x v="1"/>
  </r>
  <r>
    <x v="1267"/>
    <s v="West"/>
    <x v="0"/>
    <x v="0"/>
    <s v="Store"/>
    <x v="9"/>
    <s v="Home Appliances"/>
    <n v="220000"/>
    <n v="10"/>
    <x v="1"/>
    <n v="176000"/>
    <x v="61"/>
    <x v="61"/>
    <x v="61"/>
  </r>
  <r>
    <x v="1268"/>
    <s v="South"/>
    <x v="2"/>
    <x v="0"/>
    <s v="Online"/>
    <x v="1"/>
    <s v="Home Appliances"/>
    <n v="30000"/>
    <n v="10"/>
    <x v="2"/>
    <n v="24000"/>
    <x v="11"/>
    <x v="11"/>
    <x v="11"/>
  </r>
  <r>
    <x v="1269"/>
    <s v="East"/>
    <x v="1"/>
    <x v="1"/>
    <s v="Store"/>
    <x v="8"/>
    <s v="Electronics"/>
    <n v="250000"/>
    <n v="5"/>
    <x v="0"/>
    <n v="200000"/>
    <x v="21"/>
    <x v="21"/>
    <x v="21"/>
  </r>
  <r>
    <x v="1270"/>
    <s v="South"/>
    <x v="1"/>
    <x v="1"/>
    <s v="Store"/>
    <x v="6"/>
    <s v="Electronics"/>
    <n v="150000"/>
    <n v="8"/>
    <x v="0"/>
    <n v="120000"/>
    <x v="29"/>
    <x v="29"/>
    <x v="29"/>
  </r>
  <r>
    <x v="1271"/>
    <s v="South"/>
    <x v="0"/>
    <x v="0"/>
    <s v="Store"/>
    <x v="0"/>
    <s v="Furniture"/>
    <n v="85000"/>
    <n v="1"/>
    <x v="0"/>
    <n v="68000"/>
    <x v="0"/>
    <x v="0"/>
    <x v="0"/>
  </r>
  <r>
    <x v="1272"/>
    <s v="East"/>
    <x v="2"/>
    <x v="0"/>
    <s v="Online"/>
    <x v="9"/>
    <s v="Home Appliances"/>
    <n v="220000"/>
    <n v="2"/>
    <x v="4"/>
    <n v="176000"/>
    <x v="15"/>
    <x v="15"/>
    <x v="15"/>
  </r>
  <r>
    <x v="1273"/>
    <s v="South"/>
    <x v="1"/>
    <x v="1"/>
    <s v="Online"/>
    <x v="2"/>
    <s v="Home Appliances"/>
    <n v="60000"/>
    <n v="9"/>
    <x v="2"/>
    <n v="48000"/>
    <x v="46"/>
    <x v="46"/>
    <x v="46"/>
  </r>
  <r>
    <x v="1274"/>
    <s v="North"/>
    <x v="2"/>
    <x v="0"/>
    <s v="Online"/>
    <x v="8"/>
    <s v="Electronics"/>
    <n v="250000"/>
    <n v="9"/>
    <x v="3"/>
    <n v="200000"/>
    <x v="71"/>
    <x v="71"/>
    <x v="71"/>
  </r>
  <r>
    <x v="1275"/>
    <s v="East"/>
    <x v="0"/>
    <x v="0"/>
    <s v="Store"/>
    <x v="0"/>
    <s v="Furniture"/>
    <n v="85000"/>
    <n v="7"/>
    <x v="4"/>
    <n v="68000"/>
    <x v="30"/>
    <x v="30"/>
    <x v="30"/>
  </r>
  <r>
    <x v="1276"/>
    <s v="South"/>
    <x v="2"/>
    <x v="0"/>
    <s v="Store"/>
    <x v="6"/>
    <s v="Electronics"/>
    <n v="150000"/>
    <n v="7"/>
    <x v="3"/>
    <n v="120000"/>
    <x v="16"/>
    <x v="16"/>
    <x v="16"/>
  </r>
  <r>
    <x v="1277"/>
    <s v="East"/>
    <x v="2"/>
    <x v="1"/>
    <s v="Online"/>
    <x v="1"/>
    <s v="Home Appliances"/>
    <n v="30000"/>
    <n v="3"/>
    <x v="1"/>
    <n v="24000"/>
    <x v="33"/>
    <x v="33"/>
    <x v="33"/>
  </r>
  <r>
    <x v="1278"/>
    <s v="East"/>
    <x v="2"/>
    <x v="1"/>
    <s v="Store"/>
    <x v="1"/>
    <s v="Home Appliances"/>
    <n v="30000"/>
    <n v="3"/>
    <x v="5"/>
    <n v="24000"/>
    <x v="33"/>
    <x v="33"/>
    <x v="33"/>
  </r>
  <r>
    <x v="1279"/>
    <s v="North"/>
    <x v="3"/>
    <x v="0"/>
    <s v="Online"/>
    <x v="1"/>
    <s v="Home Appliances"/>
    <n v="30000"/>
    <n v="4"/>
    <x v="4"/>
    <n v="24000"/>
    <x v="3"/>
    <x v="3"/>
    <x v="3"/>
  </r>
  <r>
    <x v="1280"/>
    <s v="South"/>
    <x v="1"/>
    <x v="0"/>
    <s v="Store"/>
    <x v="2"/>
    <s v="Home Appliances"/>
    <n v="60000"/>
    <n v="9"/>
    <x v="1"/>
    <n v="48000"/>
    <x v="46"/>
    <x v="46"/>
    <x v="46"/>
  </r>
  <r>
    <x v="1281"/>
    <s v="South"/>
    <x v="3"/>
    <x v="1"/>
    <s v="Online"/>
    <x v="2"/>
    <s v="Home Appliances"/>
    <n v="60000"/>
    <n v="9"/>
    <x v="3"/>
    <n v="48000"/>
    <x v="46"/>
    <x v="46"/>
    <x v="46"/>
  </r>
  <r>
    <x v="1282"/>
    <s v="South"/>
    <x v="0"/>
    <x v="1"/>
    <s v="Online"/>
    <x v="7"/>
    <s v="Electronics"/>
    <n v="420000"/>
    <n v="2"/>
    <x v="2"/>
    <n v="336000"/>
    <x v="62"/>
    <x v="62"/>
    <x v="62"/>
  </r>
  <r>
    <x v="1283"/>
    <s v="North"/>
    <x v="2"/>
    <x v="0"/>
    <s v="Store"/>
    <x v="5"/>
    <s v="Furniture"/>
    <n v="320000"/>
    <n v="1"/>
    <x v="5"/>
    <n v="256000"/>
    <x v="7"/>
    <x v="7"/>
    <x v="7"/>
  </r>
  <r>
    <x v="1284"/>
    <s v="West"/>
    <x v="0"/>
    <x v="0"/>
    <s v="Store"/>
    <x v="1"/>
    <s v="Home Appliances"/>
    <n v="30000"/>
    <n v="5"/>
    <x v="1"/>
    <n v="24000"/>
    <x v="26"/>
    <x v="26"/>
    <x v="26"/>
  </r>
  <r>
    <x v="1285"/>
    <s v="West"/>
    <x v="2"/>
    <x v="1"/>
    <s v="Store"/>
    <x v="0"/>
    <s v="Furniture"/>
    <n v="85000"/>
    <n v="5"/>
    <x v="5"/>
    <n v="68000"/>
    <x v="58"/>
    <x v="58"/>
    <x v="58"/>
  </r>
  <r>
    <x v="1286"/>
    <s v="West"/>
    <x v="2"/>
    <x v="1"/>
    <s v="Online"/>
    <x v="7"/>
    <s v="Electronics"/>
    <n v="420000"/>
    <n v="10"/>
    <x v="3"/>
    <n v="336000"/>
    <x v="20"/>
    <x v="20"/>
    <x v="20"/>
  </r>
  <r>
    <x v="1287"/>
    <s v="East"/>
    <x v="0"/>
    <x v="1"/>
    <s v="Online"/>
    <x v="8"/>
    <s v="Electronics"/>
    <n v="250000"/>
    <n v="8"/>
    <x v="4"/>
    <n v="200000"/>
    <x v="52"/>
    <x v="52"/>
    <x v="52"/>
  </r>
  <r>
    <x v="1288"/>
    <s v="West"/>
    <x v="1"/>
    <x v="1"/>
    <s v="Store"/>
    <x v="8"/>
    <s v="Electronics"/>
    <n v="250000"/>
    <n v="10"/>
    <x v="3"/>
    <n v="200000"/>
    <x v="66"/>
    <x v="66"/>
    <x v="66"/>
  </r>
  <r>
    <x v="1289"/>
    <s v="East"/>
    <x v="1"/>
    <x v="1"/>
    <s v="Store"/>
    <x v="6"/>
    <s v="Electronics"/>
    <n v="150000"/>
    <n v="4"/>
    <x v="2"/>
    <n v="120000"/>
    <x v="4"/>
    <x v="4"/>
    <x v="4"/>
  </r>
  <r>
    <x v="1290"/>
    <s v="East"/>
    <x v="1"/>
    <x v="1"/>
    <s v="Online"/>
    <x v="4"/>
    <s v="Home Appliances"/>
    <n v="180000"/>
    <n v="6"/>
    <x v="2"/>
    <n v="144000"/>
    <x v="53"/>
    <x v="53"/>
    <x v="53"/>
  </r>
  <r>
    <x v="1291"/>
    <s v="East"/>
    <x v="2"/>
    <x v="1"/>
    <s v="Store"/>
    <x v="1"/>
    <s v="Home Appliances"/>
    <n v="30000"/>
    <n v="6"/>
    <x v="2"/>
    <n v="24000"/>
    <x v="32"/>
    <x v="32"/>
    <x v="32"/>
  </r>
  <r>
    <x v="1292"/>
    <s v="West"/>
    <x v="1"/>
    <x v="1"/>
    <s v="Online"/>
    <x v="8"/>
    <s v="Electronics"/>
    <n v="250000"/>
    <n v="5"/>
    <x v="3"/>
    <n v="200000"/>
    <x v="21"/>
    <x v="21"/>
    <x v="21"/>
  </r>
  <r>
    <x v="1293"/>
    <s v="South"/>
    <x v="1"/>
    <x v="1"/>
    <s v="Online"/>
    <x v="5"/>
    <s v="Furniture"/>
    <n v="320000"/>
    <n v="2"/>
    <x v="5"/>
    <n v="256000"/>
    <x v="38"/>
    <x v="38"/>
    <x v="38"/>
  </r>
  <r>
    <x v="1294"/>
    <s v="East"/>
    <x v="1"/>
    <x v="1"/>
    <s v="Store"/>
    <x v="3"/>
    <s v="Electronics"/>
    <n v="300000"/>
    <n v="10"/>
    <x v="3"/>
    <n v="240000"/>
    <x v="68"/>
    <x v="68"/>
    <x v="68"/>
  </r>
  <r>
    <x v="1295"/>
    <s v="West"/>
    <x v="1"/>
    <x v="1"/>
    <s v="Store"/>
    <x v="3"/>
    <s v="Electronics"/>
    <n v="300000"/>
    <n v="7"/>
    <x v="4"/>
    <n v="240000"/>
    <x v="13"/>
    <x v="13"/>
    <x v="13"/>
  </r>
  <r>
    <x v="1296"/>
    <s v="North"/>
    <x v="0"/>
    <x v="1"/>
    <s v="Online"/>
    <x v="4"/>
    <s v="Home Appliances"/>
    <n v="180000"/>
    <n v="1"/>
    <x v="5"/>
    <n v="144000"/>
    <x v="32"/>
    <x v="32"/>
    <x v="32"/>
  </r>
  <r>
    <x v="1297"/>
    <s v="East"/>
    <x v="2"/>
    <x v="1"/>
    <s v="Store"/>
    <x v="3"/>
    <s v="Electronics"/>
    <n v="300000"/>
    <n v="10"/>
    <x v="0"/>
    <n v="240000"/>
    <x v="68"/>
    <x v="68"/>
    <x v="68"/>
  </r>
  <r>
    <x v="1298"/>
    <s v="West"/>
    <x v="3"/>
    <x v="1"/>
    <s v="Online"/>
    <x v="4"/>
    <s v="Home Appliances"/>
    <n v="180000"/>
    <n v="7"/>
    <x v="4"/>
    <n v="144000"/>
    <x v="55"/>
    <x v="55"/>
    <x v="55"/>
  </r>
  <r>
    <x v="1299"/>
    <s v="West"/>
    <x v="1"/>
    <x v="1"/>
    <s v="Online"/>
    <x v="1"/>
    <s v="Home Appliances"/>
    <n v="30000"/>
    <n v="7"/>
    <x v="2"/>
    <n v="24000"/>
    <x v="54"/>
    <x v="54"/>
    <x v="54"/>
  </r>
  <r>
    <x v="1300"/>
    <s v="East"/>
    <x v="0"/>
    <x v="1"/>
    <s v="Online"/>
    <x v="1"/>
    <s v="Home Appliances"/>
    <n v="30000"/>
    <n v="6"/>
    <x v="1"/>
    <n v="24000"/>
    <x v="32"/>
    <x v="32"/>
    <x v="32"/>
  </r>
  <r>
    <x v="1301"/>
    <s v="East"/>
    <x v="1"/>
    <x v="1"/>
    <s v="Online"/>
    <x v="0"/>
    <s v="Furniture"/>
    <n v="85000"/>
    <n v="7"/>
    <x v="3"/>
    <n v="68000"/>
    <x v="30"/>
    <x v="30"/>
    <x v="30"/>
  </r>
  <r>
    <x v="1302"/>
    <s v="East"/>
    <x v="0"/>
    <x v="1"/>
    <s v="Store"/>
    <x v="8"/>
    <s v="Electronics"/>
    <n v="250000"/>
    <n v="3"/>
    <x v="3"/>
    <n v="200000"/>
    <x v="56"/>
    <x v="56"/>
    <x v="56"/>
  </r>
  <r>
    <x v="1303"/>
    <s v="West"/>
    <x v="1"/>
    <x v="1"/>
    <s v="Online"/>
    <x v="5"/>
    <s v="Furniture"/>
    <n v="320000"/>
    <n v="7"/>
    <x v="2"/>
    <n v="256000"/>
    <x v="10"/>
    <x v="10"/>
    <x v="10"/>
  </r>
  <r>
    <x v="1304"/>
    <s v="South"/>
    <x v="2"/>
    <x v="1"/>
    <s v="Store"/>
    <x v="1"/>
    <s v="Home Appliances"/>
    <n v="30000"/>
    <n v="7"/>
    <x v="3"/>
    <n v="24000"/>
    <x v="54"/>
    <x v="54"/>
    <x v="54"/>
  </r>
  <r>
    <x v="1305"/>
    <s v="West"/>
    <x v="2"/>
    <x v="1"/>
    <s v="Online"/>
    <x v="5"/>
    <s v="Furniture"/>
    <n v="320000"/>
    <n v="8"/>
    <x v="0"/>
    <n v="256000"/>
    <x v="72"/>
    <x v="72"/>
    <x v="72"/>
  </r>
  <r>
    <x v="1306"/>
    <s v="North"/>
    <x v="3"/>
    <x v="1"/>
    <s v="Online"/>
    <x v="5"/>
    <s v="Furniture"/>
    <n v="320000"/>
    <n v="7"/>
    <x v="4"/>
    <n v="256000"/>
    <x v="10"/>
    <x v="10"/>
    <x v="10"/>
  </r>
  <r>
    <x v="1307"/>
    <s v="East"/>
    <x v="1"/>
    <x v="1"/>
    <s v="Store"/>
    <x v="2"/>
    <s v="Home Appliances"/>
    <n v="60000"/>
    <n v="2"/>
    <x v="2"/>
    <n v="48000"/>
    <x v="3"/>
    <x v="3"/>
    <x v="3"/>
  </r>
  <r>
    <x v="1308"/>
    <s v="West"/>
    <x v="0"/>
    <x v="1"/>
    <s v="Store"/>
    <x v="9"/>
    <s v="Home Appliances"/>
    <n v="220000"/>
    <n v="8"/>
    <x v="4"/>
    <n v="176000"/>
    <x v="42"/>
    <x v="42"/>
    <x v="42"/>
  </r>
  <r>
    <x v="1309"/>
    <s v="South"/>
    <x v="2"/>
    <x v="1"/>
    <s v="Online"/>
    <x v="2"/>
    <s v="Home Appliances"/>
    <n v="60000"/>
    <n v="2"/>
    <x v="2"/>
    <n v="48000"/>
    <x v="3"/>
    <x v="3"/>
    <x v="3"/>
  </r>
  <r>
    <x v="1310"/>
    <s v="West"/>
    <x v="2"/>
    <x v="1"/>
    <s v="Online"/>
    <x v="5"/>
    <s v="Furniture"/>
    <n v="320000"/>
    <n v="2"/>
    <x v="5"/>
    <n v="256000"/>
    <x v="38"/>
    <x v="38"/>
    <x v="38"/>
  </r>
  <r>
    <x v="1311"/>
    <s v="East"/>
    <x v="0"/>
    <x v="1"/>
    <s v="Store"/>
    <x v="1"/>
    <s v="Home Appliances"/>
    <n v="30000"/>
    <n v="2"/>
    <x v="3"/>
    <n v="24000"/>
    <x v="41"/>
    <x v="41"/>
    <x v="41"/>
  </r>
  <r>
    <x v="1312"/>
    <s v="North"/>
    <x v="1"/>
    <x v="1"/>
    <s v="Store"/>
    <x v="1"/>
    <s v="Home Appliances"/>
    <n v="30000"/>
    <n v="7"/>
    <x v="3"/>
    <n v="24000"/>
    <x v="54"/>
    <x v="54"/>
    <x v="54"/>
  </r>
  <r>
    <x v="1313"/>
    <s v="North"/>
    <x v="0"/>
    <x v="1"/>
    <s v="Store"/>
    <x v="8"/>
    <s v="Electronics"/>
    <n v="250000"/>
    <n v="10"/>
    <x v="3"/>
    <n v="200000"/>
    <x v="66"/>
    <x v="66"/>
    <x v="66"/>
  </r>
  <r>
    <x v="1314"/>
    <s v="East"/>
    <x v="3"/>
    <x v="1"/>
    <s v="Store"/>
    <x v="3"/>
    <s v="Electronics"/>
    <n v="300000"/>
    <n v="9"/>
    <x v="2"/>
    <n v="240000"/>
    <x v="39"/>
    <x v="39"/>
    <x v="39"/>
  </r>
  <r>
    <x v="1315"/>
    <s v="South"/>
    <x v="2"/>
    <x v="1"/>
    <s v="Store"/>
    <x v="0"/>
    <s v="Furniture"/>
    <n v="85000"/>
    <n v="6"/>
    <x v="4"/>
    <n v="68000"/>
    <x v="60"/>
    <x v="60"/>
    <x v="60"/>
  </r>
  <r>
    <x v="1316"/>
    <s v="West"/>
    <x v="0"/>
    <x v="1"/>
    <s v="Store"/>
    <x v="1"/>
    <s v="Home Appliances"/>
    <n v="30000"/>
    <n v="4"/>
    <x v="0"/>
    <n v="24000"/>
    <x v="3"/>
    <x v="3"/>
    <x v="3"/>
  </r>
  <r>
    <x v="1317"/>
    <s v="South"/>
    <x v="3"/>
    <x v="1"/>
    <s v="Online"/>
    <x v="3"/>
    <s v="Electronics"/>
    <n v="300000"/>
    <n v="4"/>
    <x v="0"/>
    <n v="240000"/>
    <x v="29"/>
    <x v="29"/>
    <x v="29"/>
  </r>
  <r>
    <x v="1318"/>
    <s v="South"/>
    <x v="3"/>
    <x v="1"/>
    <s v="Store"/>
    <x v="9"/>
    <s v="Home Appliances"/>
    <n v="220000"/>
    <n v="5"/>
    <x v="3"/>
    <n v="176000"/>
    <x v="51"/>
    <x v="51"/>
    <x v="51"/>
  </r>
  <r>
    <x v="1319"/>
    <s v="East"/>
    <x v="3"/>
    <x v="1"/>
    <s v="Store"/>
    <x v="9"/>
    <s v="Home Appliances"/>
    <n v="220000"/>
    <n v="4"/>
    <x v="3"/>
    <n v="176000"/>
    <x v="22"/>
    <x v="22"/>
    <x v="22"/>
  </r>
  <r>
    <x v="1320"/>
    <s v="East"/>
    <x v="3"/>
    <x v="1"/>
    <s v="Online"/>
    <x v="1"/>
    <s v="Home Appliances"/>
    <n v="30000"/>
    <n v="1"/>
    <x v="5"/>
    <n v="24000"/>
    <x v="75"/>
    <x v="75"/>
    <x v="75"/>
  </r>
  <r>
    <x v="1321"/>
    <s v="South"/>
    <x v="1"/>
    <x v="0"/>
    <s v="Online"/>
    <x v="7"/>
    <s v="Electronics"/>
    <n v="420000"/>
    <n v="9"/>
    <x v="1"/>
    <n v="336000"/>
    <x v="12"/>
    <x v="12"/>
    <x v="12"/>
  </r>
  <r>
    <x v="1322"/>
    <s v="West"/>
    <x v="1"/>
    <x v="1"/>
    <s v="Online"/>
    <x v="2"/>
    <s v="Home Appliances"/>
    <n v="60000"/>
    <n v="6"/>
    <x v="1"/>
    <n v="48000"/>
    <x v="50"/>
    <x v="50"/>
    <x v="50"/>
  </r>
  <r>
    <x v="1323"/>
    <s v="West"/>
    <x v="3"/>
    <x v="0"/>
    <s v="Online"/>
    <x v="4"/>
    <s v="Home Appliances"/>
    <n v="180000"/>
    <n v="2"/>
    <x v="2"/>
    <n v="144000"/>
    <x v="50"/>
    <x v="50"/>
    <x v="50"/>
  </r>
  <r>
    <x v="1324"/>
    <s v="East"/>
    <x v="1"/>
    <x v="0"/>
    <s v="Online"/>
    <x v="0"/>
    <s v="Furniture"/>
    <n v="85000"/>
    <n v="1"/>
    <x v="1"/>
    <n v="68000"/>
    <x v="0"/>
    <x v="0"/>
    <x v="0"/>
  </r>
  <r>
    <x v="1325"/>
    <s v="West"/>
    <x v="2"/>
    <x v="0"/>
    <s v="Store"/>
    <x v="8"/>
    <s v="Electronics"/>
    <n v="250000"/>
    <n v="2"/>
    <x v="0"/>
    <n v="200000"/>
    <x v="73"/>
    <x v="73"/>
    <x v="73"/>
  </r>
  <r>
    <x v="1326"/>
    <s v="North"/>
    <x v="3"/>
    <x v="0"/>
    <s v="Store"/>
    <x v="1"/>
    <s v="Home Appliances"/>
    <n v="30000"/>
    <n v="7"/>
    <x v="3"/>
    <n v="24000"/>
    <x v="54"/>
    <x v="54"/>
    <x v="54"/>
  </r>
  <r>
    <x v="1327"/>
    <s v="West"/>
    <x v="1"/>
    <x v="0"/>
    <s v="Store"/>
    <x v="7"/>
    <s v="Electronics"/>
    <n v="420000"/>
    <n v="9"/>
    <x v="3"/>
    <n v="336000"/>
    <x v="12"/>
    <x v="12"/>
    <x v="12"/>
  </r>
  <r>
    <x v="1328"/>
    <s v="South"/>
    <x v="3"/>
    <x v="0"/>
    <s v="Online"/>
    <x v="2"/>
    <s v="Home Appliances"/>
    <n v="60000"/>
    <n v="7"/>
    <x v="1"/>
    <n v="48000"/>
    <x v="40"/>
    <x v="40"/>
    <x v="40"/>
  </r>
  <r>
    <x v="1329"/>
    <s v="North"/>
    <x v="2"/>
    <x v="0"/>
    <s v="Store"/>
    <x v="3"/>
    <s v="Electronics"/>
    <n v="300000"/>
    <n v="7"/>
    <x v="3"/>
    <n v="240000"/>
    <x v="13"/>
    <x v="13"/>
    <x v="13"/>
  </r>
  <r>
    <x v="1330"/>
    <s v="East"/>
    <x v="0"/>
    <x v="1"/>
    <s v="Online"/>
    <x v="6"/>
    <s v="Electronics"/>
    <n v="150000"/>
    <n v="9"/>
    <x v="5"/>
    <n v="120000"/>
    <x v="63"/>
    <x v="63"/>
    <x v="63"/>
  </r>
  <r>
    <x v="1331"/>
    <s v="South"/>
    <x v="2"/>
    <x v="1"/>
    <s v="Online"/>
    <x v="3"/>
    <s v="Electronics"/>
    <n v="300000"/>
    <n v="7"/>
    <x v="2"/>
    <n v="240000"/>
    <x v="13"/>
    <x v="13"/>
    <x v="13"/>
  </r>
  <r>
    <x v="1332"/>
    <s v="West"/>
    <x v="1"/>
    <x v="0"/>
    <s v="Online"/>
    <x v="8"/>
    <s v="Electronics"/>
    <n v="250000"/>
    <n v="1"/>
    <x v="4"/>
    <n v="200000"/>
    <x v="44"/>
    <x v="44"/>
    <x v="44"/>
  </r>
  <r>
    <x v="1333"/>
    <s v="West"/>
    <x v="1"/>
    <x v="1"/>
    <s v="Online"/>
    <x v="8"/>
    <s v="Electronics"/>
    <n v="250000"/>
    <n v="6"/>
    <x v="2"/>
    <n v="200000"/>
    <x v="17"/>
    <x v="17"/>
    <x v="17"/>
  </r>
  <r>
    <x v="1334"/>
    <s v="East"/>
    <x v="2"/>
    <x v="1"/>
    <s v="Store"/>
    <x v="7"/>
    <s v="Electronics"/>
    <n v="420000"/>
    <n v="9"/>
    <x v="5"/>
    <n v="336000"/>
    <x v="12"/>
    <x v="12"/>
    <x v="12"/>
  </r>
  <r>
    <x v="1335"/>
    <s v="South"/>
    <x v="3"/>
    <x v="1"/>
    <s v="Online"/>
    <x v="4"/>
    <s v="Home Appliances"/>
    <n v="180000"/>
    <n v="6"/>
    <x v="1"/>
    <n v="144000"/>
    <x v="53"/>
    <x v="53"/>
    <x v="53"/>
  </r>
  <r>
    <x v="1336"/>
    <s v="South"/>
    <x v="2"/>
    <x v="1"/>
    <s v="Online"/>
    <x v="0"/>
    <s v="Furniture"/>
    <n v="85000"/>
    <n v="5"/>
    <x v="5"/>
    <n v="68000"/>
    <x v="58"/>
    <x v="58"/>
    <x v="58"/>
  </r>
  <r>
    <x v="1337"/>
    <s v="West"/>
    <x v="2"/>
    <x v="1"/>
    <s v="Online"/>
    <x v="9"/>
    <s v="Home Appliances"/>
    <n v="220000"/>
    <n v="5"/>
    <x v="5"/>
    <n v="176000"/>
    <x v="51"/>
    <x v="51"/>
    <x v="51"/>
  </r>
  <r>
    <x v="1338"/>
    <s v="East"/>
    <x v="3"/>
    <x v="0"/>
    <s v="Online"/>
    <x v="2"/>
    <s v="Home Appliances"/>
    <n v="60000"/>
    <n v="8"/>
    <x v="4"/>
    <n v="48000"/>
    <x v="47"/>
    <x v="47"/>
    <x v="47"/>
  </r>
  <r>
    <x v="1339"/>
    <s v="East"/>
    <x v="3"/>
    <x v="1"/>
    <s v="Store"/>
    <x v="0"/>
    <s v="Furniture"/>
    <n v="85000"/>
    <n v="10"/>
    <x v="3"/>
    <n v="68000"/>
    <x v="43"/>
    <x v="43"/>
    <x v="43"/>
  </r>
  <r>
    <x v="1340"/>
    <s v="North"/>
    <x v="1"/>
    <x v="0"/>
    <s v="Store"/>
    <x v="1"/>
    <s v="Home Appliances"/>
    <n v="30000"/>
    <n v="6"/>
    <x v="5"/>
    <n v="24000"/>
    <x v="32"/>
    <x v="32"/>
    <x v="32"/>
  </r>
  <r>
    <x v="1341"/>
    <s v="West"/>
    <x v="1"/>
    <x v="1"/>
    <s v="Store"/>
    <x v="5"/>
    <s v="Furniture"/>
    <n v="320000"/>
    <n v="10"/>
    <x v="1"/>
    <n v="256000"/>
    <x v="35"/>
    <x v="35"/>
    <x v="35"/>
  </r>
  <r>
    <x v="1342"/>
    <s v="South"/>
    <x v="3"/>
    <x v="1"/>
    <s v="Store"/>
    <x v="2"/>
    <s v="Home Appliances"/>
    <n v="60000"/>
    <n v="2"/>
    <x v="1"/>
    <n v="48000"/>
    <x v="3"/>
    <x v="3"/>
    <x v="3"/>
  </r>
  <r>
    <x v="1343"/>
    <s v="East"/>
    <x v="1"/>
    <x v="1"/>
    <s v="Store"/>
    <x v="7"/>
    <s v="Electronics"/>
    <n v="420000"/>
    <n v="3"/>
    <x v="0"/>
    <n v="336000"/>
    <x v="55"/>
    <x v="55"/>
    <x v="55"/>
  </r>
  <r>
    <x v="1344"/>
    <s v="East"/>
    <x v="1"/>
    <x v="0"/>
    <s v="Online"/>
    <x v="6"/>
    <s v="Electronics"/>
    <n v="150000"/>
    <n v="5"/>
    <x v="2"/>
    <n v="120000"/>
    <x v="56"/>
    <x v="56"/>
    <x v="56"/>
  </r>
  <r>
    <x v="1345"/>
    <s v="South"/>
    <x v="1"/>
    <x v="0"/>
    <s v="Store"/>
    <x v="6"/>
    <s v="Electronics"/>
    <n v="150000"/>
    <n v="9"/>
    <x v="3"/>
    <n v="120000"/>
    <x v="63"/>
    <x v="63"/>
    <x v="63"/>
  </r>
  <r>
    <x v="1346"/>
    <s v="South"/>
    <x v="0"/>
    <x v="1"/>
    <s v="Store"/>
    <x v="0"/>
    <s v="Furniture"/>
    <n v="85000"/>
    <n v="5"/>
    <x v="4"/>
    <n v="68000"/>
    <x v="58"/>
    <x v="58"/>
    <x v="58"/>
  </r>
  <r>
    <x v="1347"/>
    <s v="North"/>
    <x v="1"/>
    <x v="1"/>
    <s v="Online"/>
    <x v="5"/>
    <s v="Furniture"/>
    <n v="320000"/>
    <n v="1"/>
    <x v="1"/>
    <n v="256000"/>
    <x v="7"/>
    <x v="7"/>
    <x v="7"/>
  </r>
  <r>
    <x v="1348"/>
    <s v="East"/>
    <x v="0"/>
    <x v="0"/>
    <s v="Store"/>
    <x v="1"/>
    <s v="Home Appliances"/>
    <n v="30000"/>
    <n v="4"/>
    <x v="2"/>
    <n v="24000"/>
    <x v="3"/>
    <x v="3"/>
    <x v="3"/>
  </r>
  <r>
    <x v="1349"/>
    <s v="South"/>
    <x v="2"/>
    <x v="1"/>
    <s v="Store"/>
    <x v="9"/>
    <s v="Home Appliances"/>
    <n v="220000"/>
    <n v="8"/>
    <x v="4"/>
    <n v="176000"/>
    <x v="42"/>
    <x v="42"/>
    <x v="42"/>
  </r>
  <r>
    <x v="1350"/>
    <s v="West"/>
    <x v="3"/>
    <x v="1"/>
    <s v="Store"/>
    <x v="5"/>
    <s v="Furniture"/>
    <n v="320000"/>
    <n v="5"/>
    <x v="5"/>
    <n v="256000"/>
    <x v="28"/>
    <x v="28"/>
    <x v="28"/>
  </r>
  <r>
    <x v="1351"/>
    <s v="West"/>
    <x v="3"/>
    <x v="1"/>
    <s v="Store"/>
    <x v="0"/>
    <s v="Furniture"/>
    <n v="85000"/>
    <n v="3"/>
    <x v="4"/>
    <n v="68000"/>
    <x v="23"/>
    <x v="23"/>
    <x v="23"/>
  </r>
  <r>
    <x v="1352"/>
    <s v="East"/>
    <x v="2"/>
    <x v="0"/>
    <s v="Store"/>
    <x v="5"/>
    <s v="Furniture"/>
    <n v="320000"/>
    <n v="10"/>
    <x v="0"/>
    <n v="256000"/>
    <x v="35"/>
    <x v="35"/>
    <x v="35"/>
  </r>
  <r>
    <x v="1353"/>
    <s v="West"/>
    <x v="2"/>
    <x v="0"/>
    <s v="Online"/>
    <x v="7"/>
    <s v="Electronics"/>
    <n v="420000"/>
    <n v="2"/>
    <x v="5"/>
    <n v="336000"/>
    <x v="62"/>
    <x v="62"/>
    <x v="62"/>
  </r>
  <r>
    <x v="1354"/>
    <s v="North"/>
    <x v="3"/>
    <x v="0"/>
    <s v="Online"/>
    <x v="1"/>
    <s v="Home Appliances"/>
    <n v="30000"/>
    <n v="3"/>
    <x v="0"/>
    <n v="24000"/>
    <x v="33"/>
    <x v="33"/>
    <x v="33"/>
  </r>
  <r>
    <x v="1355"/>
    <s v="West"/>
    <x v="3"/>
    <x v="1"/>
    <s v="Online"/>
    <x v="1"/>
    <s v="Home Appliances"/>
    <n v="30000"/>
    <n v="1"/>
    <x v="5"/>
    <n v="24000"/>
    <x v="75"/>
    <x v="75"/>
    <x v="75"/>
  </r>
  <r>
    <x v="1356"/>
    <s v="East"/>
    <x v="2"/>
    <x v="0"/>
    <s v="Store"/>
    <x v="7"/>
    <s v="Electronics"/>
    <n v="420000"/>
    <n v="10"/>
    <x v="5"/>
    <n v="336000"/>
    <x v="20"/>
    <x v="20"/>
    <x v="20"/>
  </r>
  <r>
    <x v="1357"/>
    <s v="South"/>
    <x v="2"/>
    <x v="0"/>
    <s v="Store"/>
    <x v="6"/>
    <s v="Electronics"/>
    <n v="150000"/>
    <n v="8"/>
    <x v="0"/>
    <n v="120000"/>
    <x v="29"/>
    <x v="29"/>
    <x v="29"/>
  </r>
  <r>
    <x v="1358"/>
    <s v="North"/>
    <x v="1"/>
    <x v="1"/>
    <s v="Store"/>
    <x v="9"/>
    <s v="Home Appliances"/>
    <n v="220000"/>
    <n v="8"/>
    <x v="0"/>
    <n v="176000"/>
    <x v="42"/>
    <x v="42"/>
    <x v="42"/>
  </r>
  <r>
    <x v="1359"/>
    <s v="East"/>
    <x v="3"/>
    <x v="0"/>
    <s v="Store"/>
    <x v="5"/>
    <s v="Furniture"/>
    <n v="320000"/>
    <n v="9"/>
    <x v="3"/>
    <n v="256000"/>
    <x v="8"/>
    <x v="8"/>
    <x v="8"/>
  </r>
  <r>
    <x v="1360"/>
    <s v="North"/>
    <x v="0"/>
    <x v="0"/>
    <s v="Store"/>
    <x v="9"/>
    <s v="Home Appliances"/>
    <n v="220000"/>
    <n v="3"/>
    <x v="5"/>
    <n v="176000"/>
    <x v="49"/>
    <x v="49"/>
    <x v="49"/>
  </r>
  <r>
    <x v="1361"/>
    <s v="West"/>
    <x v="2"/>
    <x v="1"/>
    <s v="Online"/>
    <x v="4"/>
    <s v="Home Appliances"/>
    <n v="180000"/>
    <n v="8"/>
    <x v="3"/>
    <n v="144000"/>
    <x v="37"/>
    <x v="37"/>
    <x v="37"/>
  </r>
  <r>
    <x v="1362"/>
    <s v="North"/>
    <x v="2"/>
    <x v="0"/>
    <s v="Store"/>
    <x v="8"/>
    <s v="Electronics"/>
    <n v="250000"/>
    <n v="4"/>
    <x v="2"/>
    <n v="200000"/>
    <x v="14"/>
    <x v="14"/>
    <x v="14"/>
  </r>
  <r>
    <x v="1363"/>
    <s v="North"/>
    <x v="1"/>
    <x v="1"/>
    <s v="Store"/>
    <x v="2"/>
    <s v="Home Appliances"/>
    <n v="60000"/>
    <n v="7"/>
    <x v="3"/>
    <n v="48000"/>
    <x v="40"/>
    <x v="40"/>
    <x v="40"/>
  </r>
  <r>
    <x v="1364"/>
    <s v="North"/>
    <x v="0"/>
    <x v="1"/>
    <s v="Store"/>
    <x v="9"/>
    <s v="Home Appliances"/>
    <n v="220000"/>
    <n v="10"/>
    <x v="5"/>
    <n v="176000"/>
    <x v="61"/>
    <x v="61"/>
    <x v="61"/>
  </r>
  <r>
    <x v="1365"/>
    <s v="South"/>
    <x v="2"/>
    <x v="0"/>
    <s v="Online"/>
    <x v="2"/>
    <s v="Home Appliances"/>
    <n v="60000"/>
    <n v="9"/>
    <x v="5"/>
    <n v="48000"/>
    <x v="46"/>
    <x v="46"/>
    <x v="46"/>
  </r>
  <r>
    <x v="1366"/>
    <s v="West"/>
    <x v="2"/>
    <x v="1"/>
    <s v="Online"/>
    <x v="2"/>
    <s v="Home Appliances"/>
    <n v="60000"/>
    <n v="2"/>
    <x v="2"/>
    <n v="48000"/>
    <x v="3"/>
    <x v="3"/>
    <x v="3"/>
  </r>
  <r>
    <x v="1367"/>
    <s v="East"/>
    <x v="1"/>
    <x v="1"/>
    <s v="Online"/>
    <x v="6"/>
    <s v="Electronics"/>
    <n v="150000"/>
    <n v="3"/>
    <x v="0"/>
    <n v="120000"/>
    <x v="34"/>
    <x v="34"/>
    <x v="34"/>
  </r>
  <r>
    <x v="1368"/>
    <s v="West"/>
    <x v="1"/>
    <x v="1"/>
    <s v="Online"/>
    <x v="6"/>
    <s v="Electronics"/>
    <n v="150000"/>
    <n v="10"/>
    <x v="0"/>
    <n v="120000"/>
    <x v="17"/>
    <x v="17"/>
    <x v="17"/>
  </r>
  <r>
    <x v="1369"/>
    <s v="North"/>
    <x v="2"/>
    <x v="1"/>
    <s v="Online"/>
    <x v="6"/>
    <s v="Electronics"/>
    <n v="150000"/>
    <n v="9"/>
    <x v="3"/>
    <n v="120000"/>
    <x v="63"/>
    <x v="63"/>
    <x v="63"/>
  </r>
  <r>
    <x v="1370"/>
    <s v="West"/>
    <x v="3"/>
    <x v="0"/>
    <s v="Online"/>
    <x v="5"/>
    <s v="Furniture"/>
    <n v="320000"/>
    <n v="5"/>
    <x v="5"/>
    <n v="256000"/>
    <x v="28"/>
    <x v="28"/>
    <x v="28"/>
  </r>
  <r>
    <x v="1371"/>
    <s v="East"/>
    <x v="3"/>
    <x v="0"/>
    <s v="Online"/>
    <x v="4"/>
    <s v="Home Appliances"/>
    <n v="180000"/>
    <n v="3"/>
    <x v="0"/>
    <n v="144000"/>
    <x v="46"/>
    <x v="46"/>
    <x v="46"/>
  </r>
  <r>
    <x v="1372"/>
    <s v="West"/>
    <x v="2"/>
    <x v="1"/>
    <s v="Online"/>
    <x v="0"/>
    <s v="Furniture"/>
    <n v="85000"/>
    <n v="4"/>
    <x v="3"/>
    <n v="68000"/>
    <x v="74"/>
    <x v="74"/>
    <x v="74"/>
  </r>
  <r>
    <x v="1373"/>
    <s v="West"/>
    <x v="3"/>
    <x v="1"/>
    <s v="Store"/>
    <x v="5"/>
    <s v="Furniture"/>
    <n v="320000"/>
    <n v="7"/>
    <x v="5"/>
    <n v="256000"/>
    <x v="10"/>
    <x v="10"/>
    <x v="10"/>
  </r>
  <r>
    <x v="1374"/>
    <s v="South"/>
    <x v="1"/>
    <x v="0"/>
    <s v="Store"/>
    <x v="9"/>
    <s v="Home Appliances"/>
    <n v="220000"/>
    <n v="5"/>
    <x v="3"/>
    <n v="176000"/>
    <x v="51"/>
    <x v="51"/>
    <x v="51"/>
  </r>
  <r>
    <x v="1375"/>
    <s v="South"/>
    <x v="1"/>
    <x v="1"/>
    <s v="Store"/>
    <x v="6"/>
    <s v="Electronics"/>
    <n v="150000"/>
    <n v="3"/>
    <x v="0"/>
    <n v="120000"/>
    <x v="34"/>
    <x v="34"/>
    <x v="34"/>
  </r>
  <r>
    <x v="1376"/>
    <s v="West"/>
    <x v="1"/>
    <x v="1"/>
    <s v="Online"/>
    <x v="7"/>
    <s v="Electronics"/>
    <n v="420000"/>
    <n v="8"/>
    <x v="1"/>
    <n v="336000"/>
    <x v="19"/>
    <x v="19"/>
    <x v="19"/>
  </r>
  <r>
    <x v="1377"/>
    <s v="East"/>
    <x v="3"/>
    <x v="0"/>
    <s v="Online"/>
    <x v="9"/>
    <s v="Home Appliances"/>
    <n v="220000"/>
    <n v="9"/>
    <x v="1"/>
    <n v="176000"/>
    <x v="64"/>
    <x v="64"/>
    <x v="64"/>
  </r>
  <r>
    <x v="1378"/>
    <s v="North"/>
    <x v="0"/>
    <x v="0"/>
    <s v="Online"/>
    <x v="7"/>
    <s v="Electronics"/>
    <n v="420000"/>
    <n v="3"/>
    <x v="5"/>
    <n v="336000"/>
    <x v="55"/>
    <x v="55"/>
    <x v="55"/>
  </r>
  <r>
    <x v="1379"/>
    <s v="North"/>
    <x v="0"/>
    <x v="0"/>
    <s v="Store"/>
    <x v="8"/>
    <s v="Electronics"/>
    <n v="250000"/>
    <n v="1"/>
    <x v="2"/>
    <n v="200000"/>
    <x v="44"/>
    <x v="44"/>
    <x v="44"/>
  </r>
  <r>
    <x v="1380"/>
    <s v="East"/>
    <x v="1"/>
    <x v="0"/>
    <s v="Store"/>
    <x v="5"/>
    <s v="Furniture"/>
    <n v="320000"/>
    <n v="7"/>
    <x v="4"/>
    <n v="256000"/>
    <x v="10"/>
    <x v="10"/>
    <x v="10"/>
  </r>
  <r>
    <x v="1381"/>
    <s v="North"/>
    <x v="1"/>
    <x v="0"/>
    <s v="Online"/>
    <x v="7"/>
    <s v="Electronics"/>
    <n v="420000"/>
    <n v="2"/>
    <x v="5"/>
    <n v="336000"/>
    <x v="62"/>
    <x v="62"/>
    <x v="62"/>
  </r>
  <r>
    <x v="1382"/>
    <s v="South"/>
    <x v="0"/>
    <x v="0"/>
    <s v="Store"/>
    <x v="5"/>
    <s v="Furniture"/>
    <n v="320000"/>
    <n v="3"/>
    <x v="2"/>
    <n v="256000"/>
    <x v="9"/>
    <x v="9"/>
    <x v="9"/>
  </r>
  <r>
    <x v="1383"/>
    <s v="South"/>
    <x v="0"/>
    <x v="1"/>
    <s v="Online"/>
    <x v="6"/>
    <s v="Electronics"/>
    <n v="150000"/>
    <n v="2"/>
    <x v="4"/>
    <n v="120000"/>
    <x v="11"/>
    <x v="11"/>
    <x v="11"/>
  </r>
  <r>
    <x v="1384"/>
    <s v="West"/>
    <x v="1"/>
    <x v="1"/>
    <s v="Store"/>
    <x v="7"/>
    <s v="Electronics"/>
    <n v="420000"/>
    <n v="8"/>
    <x v="2"/>
    <n v="336000"/>
    <x v="19"/>
    <x v="19"/>
    <x v="19"/>
  </r>
  <r>
    <x v="1385"/>
    <s v="East"/>
    <x v="0"/>
    <x v="1"/>
    <s v="Store"/>
    <x v="7"/>
    <s v="Electronics"/>
    <n v="420000"/>
    <n v="1"/>
    <x v="5"/>
    <n v="336000"/>
    <x v="40"/>
    <x v="40"/>
    <x v="40"/>
  </r>
  <r>
    <x v="1386"/>
    <s v="West"/>
    <x v="3"/>
    <x v="0"/>
    <s v="Online"/>
    <x v="3"/>
    <s v="Electronics"/>
    <n v="300000"/>
    <n v="5"/>
    <x v="3"/>
    <n v="240000"/>
    <x v="17"/>
    <x v="17"/>
    <x v="17"/>
  </r>
  <r>
    <x v="1387"/>
    <s v="East"/>
    <x v="0"/>
    <x v="0"/>
    <s v="Store"/>
    <x v="4"/>
    <s v="Home Appliances"/>
    <n v="180000"/>
    <n v="7"/>
    <x v="4"/>
    <n v="144000"/>
    <x v="55"/>
    <x v="55"/>
    <x v="55"/>
  </r>
  <r>
    <x v="1388"/>
    <s v="West"/>
    <x v="3"/>
    <x v="0"/>
    <s v="Store"/>
    <x v="6"/>
    <s v="Electronics"/>
    <n v="150000"/>
    <n v="10"/>
    <x v="1"/>
    <n v="120000"/>
    <x v="17"/>
    <x v="17"/>
    <x v="17"/>
  </r>
  <r>
    <x v="1389"/>
    <s v="West"/>
    <x v="3"/>
    <x v="1"/>
    <s v="Online"/>
    <x v="3"/>
    <s v="Electronics"/>
    <n v="300000"/>
    <n v="7"/>
    <x v="3"/>
    <n v="240000"/>
    <x v="13"/>
    <x v="13"/>
    <x v="13"/>
  </r>
  <r>
    <x v="1390"/>
    <s v="North"/>
    <x v="1"/>
    <x v="0"/>
    <s v="Store"/>
    <x v="9"/>
    <s v="Home Appliances"/>
    <n v="220000"/>
    <n v="2"/>
    <x v="0"/>
    <n v="176000"/>
    <x v="15"/>
    <x v="15"/>
    <x v="15"/>
  </r>
  <r>
    <x v="1391"/>
    <s v="East"/>
    <x v="0"/>
    <x v="0"/>
    <s v="Store"/>
    <x v="0"/>
    <s v="Furniture"/>
    <n v="85000"/>
    <n v="8"/>
    <x v="2"/>
    <n v="68000"/>
    <x v="69"/>
    <x v="69"/>
    <x v="69"/>
  </r>
  <r>
    <x v="1392"/>
    <s v="West"/>
    <x v="1"/>
    <x v="0"/>
    <s v="Online"/>
    <x v="9"/>
    <s v="Home Appliances"/>
    <n v="220000"/>
    <n v="7"/>
    <x v="5"/>
    <n v="176000"/>
    <x v="67"/>
    <x v="67"/>
    <x v="67"/>
  </r>
  <r>
    <x v="1393"/>
    <s v="North"/>
    <x v="3"/>
    <x v="0"/>
    <s v="Store"/>
    <x v="9"/>
    <s v="Home Appliances"/>
    <n v="220000"/>
    <n v="6"/>
    <x v="3"/>
    <n v="176000"/>
    <x v="36"/>
    <x v="36"/>
    <x v="36"/>
  </r>
  <r>
    <x v="1394"/>
    <s v="North"/>
    <x v="0"/>
    <x v="0"/>
    <s v="Store"/>
    <x v="4"/>
    <s v="Home Appliances"/>
    <n v="180000"/>
    <n v="3"/>
    <x v="2"/>
    <n v="144000"/>
    <x v="46"/>
    <x v="46"/>
    <x v="46"/>
  </r>
  <r>
    <x v="1395"/>
    <s v="South"/>
    <x v="1"/>
    <x v="0"/>
    <s v="Online"/>
    <x v="8"/>
    <s v="Electronics"/>
    <n v="250000"/>
    <n v="6"/>
    <x v="3"/>
    <n v="200000"/>
    <x v="17"/>
    <x v="17"/>
    <x v="17"/>
  </r>
  <r>
    <x v="1396"/>
    <s v="West"/>
    <x v="2"/>
    <x v="1"/>
    <s v="Store"/>
    <x v="6"/>
    <s v="Electronics"/>
    <n v="150000"/>
    <n v="7"/>
    <x v="4"/>
    <n v="120000"/>
    <x v="16"/>
    <x v="16"/>
    <x v="16"/>
  </r>
  <r>
    <x v="1397"/>
    <s v="South"/>
    <x v="0"/>
    <x v="0"/>
    <s v="Online"/>
    <x v="3"/>
    <s v="Electronics"/>
    <n v="300000"/>
    <n v="9"/>
    <x v="0"/>
    <n v="240000"/>
    <x v="39"/>
    <x v="39"/>
    <x v="39"/>
  </r>
  <r>
    <x v="1398"/>
    <s v="West"/>
    <x v="2"/>
    <x v="0"/>
    <s v="Online"/>
    <x v="7"/>
    <s v="Electronics"/>
    <n v="420000"/>
    <n v="5"/>
    <x v="2"/>
    <n v="336000"/>
    <x v="13"/>
    <x v="13"/>
    <x v="13"/>
  </r>
  <r>
    <x v="1399"/>
    <s v="South"/>
    <x v="0"/>
    <x v="0"/>
    <s v="Store"/>
    <x v="3"/>
    <s v="Electronics"/>
    <n v="300000"/>
    <n v="3"/>
    <x v="2"/>
    <n v="240000"/>
    <x v="48"/>
    <x v="48"/>
    <x v="48"/>
  </r>
  <r>
    <x v="1400"/>
    <s v="East"/>
    <x v="0"/>
    <x v="1"/>
    <s v="Store"/>
    <x v="8"/>
    <s v="Electronics"/>
    <n v="250000"/>
    <n v="5"/>
    <x v="0"/>
    <n v="200000"/>
    <x v="21"/>
    <x v="21"/>
    <x v="21"/>
  </r>
  <r>
    <x v="1401"/>
    <s v="West"/>
    <x v="3"/>
    <x v="1"/>
    <s v="Store"/>
    <x v="6"/>
    <s v="Electronics"/>
    <n v="150000"/>
    <n v="2"/>
    <x v="3"/>
    <n v="120000"/>
    <x v="11"/>
    <x v="11"/>
    <x v="11"/>
  </r>
  <r>
    <x v="1402"/>
    <s v="East"/>
    <x v="1"/>
    <x v="1"/>
    <s v="Online"/>
    <x v="9"/>
    <s v="Home Appliances"/>
    <n v="220000"/>
    <n v="3"/>
    <x v="5"/>
    <n v="176000"/>
    <x v="49"/>
    <x v="49"/>
    <x v="49"/>
  </r>
  <r>
    <x v="1403"/>
    <s v="East"/>
    <x v="1"/>
    <x v="1"/>
    <s v="Store"/>
    <x v="3"/>
    <s v="Electronics"/>
    <n v="300000"/>
    <n v="6"/>
    <x v="1"/>
    <n v="240000"/>
    <x v="5"/>
    <x v="5"/>
    <x v="5"/>
  </r>
  <r>
    <x v="1404"/>
    <s v="South"/>
    <x v="1"/>
    <x v="0"/>
    <s v="Store"/>
    <x v="4"/>
    <s v="Home Appliances"/>
    <n v="180000"/>
    <n v="2"/>
    <x v="5"/>
    <n v="144000"/>
    <x v="50"/>
    <x v="50"/>
    <x v="50"/>
  </r>
  <r>
    <x v="1405"/>
    <s v="East"/>
    <x v="3"/>
    <x v="0"/>
    <s v="Online"/>
    <x v="6"/>
    <s v="Electronics"/>
    <n v="150000"/>
    <n v="5"/>
    <x v="4"/>
    <n v="120000"/>
    <x v="56"/>
    <x v="56"/>
    <x v="56"/>
  </r>
  <r>
    <x v="1406"/>
    <s v="East"/>
    <x v="2"/>
    <x v="1"/>
    <s v="Store"/>
    <x v="0"/>
    <s v="Furniture"/>
    <n v="85000"/>
    <n v="1"/>
    <x v="4"/>
    <n v="68000"/>
    <x v="0"/>
    <x v="0"/>
    <x v="0"/>
  </r>
  <r>
    <x v="1407"/>
    <s v="West"/>
    <x v="0"/>
    <x v="0"/>
    <s v="Online"/>
    <x v="1"/>
    <s v="Home Appliances"/>
    <n v="30000"/>
    <n v="1"/>
    <x v="3"/>
    <n v="24000"/>
    <x v="75"/>
    <x v="75"/>
    <x v="75"/>
  </r>
  <r>
    <x v="1408"/>
    <s v="East"/>
    <x v="1"/>
    <x v="0"/>
    <s v="Store"/>
    <x v="0"/>
    <s v="Furniture"/>
    <n v="85000"/>
    <n v="1"/>
    <x v="4"/>
    <n v="68000"/>
    <x v="0"/>
    <x v="0"/>
    <x v="0"/>
  </r>
  <r>
    <x v="1409"/>
    <s v="South"/>
    <x v="1"/>
    <x v="0"/>
    <s v="Store"/>
    <x v="1"/>
    <s v="Home Appliances"/>
    <n v="30000"/>
    <n v="2"/>
    <x v="4"/>
    <n v="24000"/>
    <x v="41"/>
    <x v="41"/>
    <x v="41"/>
  </r>
  <r>
    <x v="1410"/>
    <s v="East"/>
    <x v="0"/>
    <x v="0"/>
    <s v="Store"/>
    <x v="7"/>
    <s v="Electronics"/>
    <n v="420000"/>
    <n v="3"/>
    <x v="0"/>
    <n v="336000"/>
    <x v="55"/>
    <x v="55"/>
    <x v="55"/>
  </r>
  <r>
    <x v="1411"/>
    <s v="West"/>
    <x v="1"/>
    <x v="0"/>
    <s v="Store"/>
    <x v="1"/>
    <s v="Home Appliances"/>
    <n v="30000"/>
    <n v="2"/>
    <x v="3"/>
    <n v="24000"/>
    <x v="41"/>
    <x v="41"/>
    <x v="41"/>
  </r>
  <r>
    <x v="1412"/>
    <s v="South"/>
    <x v="3"/>
    <x v="0"/>
    <s v="Store"/>
    <x v="3"/>
    <s v="Electronics"/>
    <n v="300000"/>
    <n v="9"/>
    <x v="2"/>
    <n v="240000"/>
    <x v="39"/>
    <x v="39"/>
    <x v="39"/>
  </r>
  <r>
    <x v="1413"/>
    <s v="East"/>
    <x v="2"/>
    <x v="1"/>
    <s v="Store"/>
    <x v="6"/>
    <s v="Electronics"/>
    <n v="150000"/>
    <n v="4"/>
    <x v="3"/>
    <n v="120000"/>
    <x v="4"/>
    <x v="4"/>
    <x v="4"/>
  </r>
  <r>
    <x v="1414"/>
    <s v="East"/>
    <x v="0"/>
    <x v="0"/>
    <s v="Store"/>
    <x v="9"/>
    <s v="Home Appliances"/>
    <n v="220000"/>
    <n v="2"/>
    <x v="5"/>
    <n v="176000"/>
    <x v="15"/>
    <x v="15"/>
    <x v="15"/>
  </r>
  <r>
    <x v="1415"/>
    <s v="South"/>
    <x v="1"/>
    <x v="0"/>
    <s v="Store"/>
    <x v="0"/>
    <s v="Furniture"/>
    <n v="85000"/>
    <n v="6"/>
    <x v="0"/>
    <n v="68000"/>
    <x v="60"/>
    <x v="60"/>
    <x v="60"/>
  </r>
  <r>
    <x v="1416"/>
    <s v="West"/>
    <x v="1"/>
    <x v="0"/>
    <s v="Store"/>
    <x v="3"/>
    <s v="Electronics"/>
    <n v="300000"/>
    <n v="8"/>
    <x v="0"/>
    <n v="240000"/>
    <x v="24"/>
    <x v="24"/>
    <x v="24"/>
  </r>
  <r>
    <x v="1417"/>
    <s v="South"/>
    <x v="2"/>
    <x v="1"/>
    <s v="Store"/>
    <x v="7"/>
    <s v="Electronics"/>
    <n v="420000"/>
    <n v="2"/>
    <x v="3"/>
    <n v="336000"/>
    <x v="62"/>
    <x v="62"/>
    <x v="62"/>
  </r>
  <r>
    <x v="1418"/>
    <s v="East"/>
    <x v="2"/>
    <x v="0"/>
    <s v="Store"/>
    <x v="9"/>
    <s v="Home Appliances"/>
    <n v="220000"/>
    <n v="3"/>
    <x v="1"/>
    <n v="176000"/>
    <x v="49"/>
    <x v="49"/>
    <x v="49"/>
  </r>
  <r>
    <x v="1419"/>
    <s v="East"/>
    <x v="1"/>
    <x v="0"/>
    <s v="Store"/>
    <x v="7"/>
    <s v="Electronics"/>
    <n v="420000"/>
    <n v="10"/>
    <x v="0"/>
    <n v="336000"/>
    <x v="20"/>
    <x v="20"/>
    <x v="20"/>
  </r>
  <r>
    <x v="1420"/>
    <s v="North"/>
    <x v="1"/>
    <x v="0"/>
    <s v="Store"/>
    <x v="3"/>
    <s v="Electronics"/>
    <n v="300000"/>
    <n v="7"/>
    <x v="1"/>
    <n v="240000"/>
    <x v="13"/>
    <x v="13"/>
    <x v="13"/>
  </r>
  <r>
    <x v="1421"/>
    <s v="East"/>
    <x v="2"/>
    <x v="0"/>
    <s v="Store"/>
    <x v="1"/>
    <s v="Home Appliances"/>
    <n v="30000"/>
    <n v="1"/>
    <x v="2"/>
    <n v="24000"/>
    <x v="75"/>
    <x v="75"/>
    <x v="75"/>
  </r>
  <r>
    <x v="1422"/>
    <s v="East"/>
    <x v="1"/>
    <x v="1"/>
    <s v="Store"/>
    <x v="1"/>
    <s v="Home Appliances"/>
    <n v="30000"/>
    <n v="7"/>
    <x v="0"/>
    <n v="24000"/>
    <x v="54"/>
    <x v="54"/>
    <x v="54"/>
  </r>
  <r>
    <x v="1423"/>
    <s v="North"/>
    <x v="3"/>
    <x v="1"/>
    <s v="Store"/>
    <x v="0"/>
    <s v="Furniture"/>
    <n v="85000"/>
    <n v="8"/>
    <x v="3"/>
    <n v="68000"/>
    <x v="69"/>
    <x v="69"/>
    <x v="69"/>
  </r>
  <r>
    <x v="1424"/>
    <s v="East"/>
    <x v="1"/>
    <x v="0"/>
    <s v="Store"/>
    <x v="8"/>
    <s v="Electronics"/>
    <n v="250000"/>
    <n v="10"/>
    <x v="1"/>
    <n v="200000"/>
    <x v="66"/>
    <x v="66"/>
    <x v="66"/>
  </r>
  <r>
    <x v="1425"/>
    <s v="West"/>
    <x v="1"/>
    <x v="0"/>
    <s v="Store"/>
    <x v="0"/>
    <s v="Furniture"/>
    <n v="85000"/>
    <n v="4"/>
    <x v="5"/>
    <n v="68000"/>
    <x v="74"/>
    <x v="74"/>
    <x v="74"/>
  </r>
  <r>
    <x v="1426"/>
    <s v="West"/>
    <x v="3"/>
    <x v="0"/>
    <s v="Store"/>
    <x v="8"/>
    <s v="Electronics"/>
    <n v="250000"/>
    <n v="6"/>
    <x v="5"/>
    <n v="200000"/>
    <x v="17"/>
    <x v="17"/>
    <x v="17"/>
  </r>
  <r>
    <x v="1427"/>
    <s v="East"/>
    <x v="3"/>
    <x v="1"/>
    <s v="Store"/>
    <x v="5"/>
    <s v="Furniture"/>
    <n v="320000"/>
    <n v="7"/>
    <x v="4"/>
    <n v="256000"/>
    <x v="10"/>
    <x v="10"/>
    <x v="10"/>
  </r>
  <r>
    <x v="1428"/>
    <s v="East"/>
    <x v="3"/>
    <x v="1"/>
    <s v="Store"/>
    <x v="4"/>
    <s v="Home Appliances"/>
    <n v="180000"/>
    <n v="2"/>
    <x v="0"/>
    <n v="144000"/>
    <x v="50"/>
    <x v="50"/>
    <x v="50"/>
  </r>
  <r>
    <x v="1429"/>
    <s v="North"/>
    <x v="3"/>
    <x v="1"/>
    <s v="Store"/>
    <x v="9"/>
    <s v="Home Appliances"/>
    <n v="220000"/>
    <n v="2"/>
    <x v="5"/>
    <n v="176000"/>
    <x v="15"/>
    <x v="15"/>
    <x v="15"/>
  </r>
  <r>
    <x v="1430"/>
    <s v="North"/>
    <x v="2"/>
    <x v="1"/>
    <s v="Store"/>
    <x v="4"/>
    <s v="Home Appliances"/>
    <n v="180000"/>
    <n v="6"/>
    <x v="1"/>
    <n v="144000"/>
    <x v="53"/>
    <x v="53"/>
    <x v="53"/>
  </r>
  <r>
    <x v="1431"/>
    <s v="West"/>
    <x v="3"/>
    <x v="0"/>
    <s v="Store"/>
    <x v="4"/>
    <s v="Home Appliances"/>
    <n v="180000"/>
    <n v="3"/>
    <x v="1"/>
    <n v="144000"/>
    <x v="46"/>
    <x v="46"/>
    <x v="46"/>
  </r>
  <r>
    <x v="1432"/>
    <s v="West"/>
    <x v="2"/>
    <x v="0"/>
    <s v="Store"/>
    <x v="2"/>
    <s v="Home Appliances"/>
    <n v="60000"/>
    <n v="2"/>
    <x v="1"/>
    <n v="48000"/>
    <x v="3"/>
    <x v="3"/>
    <x v="3"/>
  </r>
  <r>
    <x v="1433"/>
    <s v="North"/>
    <x v="3"/>
    <x v="1"/>
    <s v="Store"/>
    <x v="3"/>
    <s v="Electronics"/>
    <n v="300000"/>
    <n v="1"/>
    <x v="4"/>
    <n v="240000"/>
    <x v="11"/>
    <x v="11"/>
    <x v="11"/>
  </r>
  <r>
    <x v="1434"/>
    <s v="South"/>
    <x v="2"/>
    <x v="1"/>
    <s v="Store"/>
    <x v="7"/>
    <s v="Electronics"/>
    <n v="420000"/>
    <n v="2"/>
    <x v="1"/>
    <n v="336000"/>
    <x v="62"/>
    <x v="62"/>
    <x v="62"/>
  </r>
  <r>
    <x v="1435"/>
    <s v="West"/>
    <x v="1"/>
    <x v="0"/>
    <s v="Store"/>
    <x v="8"/>
    <s v="Electronics"/>
    <n v="250000"/>
    <n v="9"/>
    <x v="1"/>
    <n v="200000"/>
    <x v="71"/>
    <x v="71"/>
    <x v="71"/>
  </r>
  <r>
    <x v="1436"/>
    <s v="South"/>
    <x v="0"/>
    <x v="1"/>
    <s v="Store"/>
    <x v="4"/>
    <s v="Home Appliances"/>
    <n v="180000"/>
    <n v="5"/>
    <x v="4"/>
    <n v="144000"/>
    <x v="48"/>
    <x v="48"/>
    <x v="48"/>
  </r>
  <r>
    <x v="1437"/>
    <s v="South"/>
    <x v="1"/>
    <x v="1"/>
    <s v="Store"/>
    <x v="6"/>
    <s v="Electronics"/>
    <n v="150000"/>
    <n v="5"/>
    <x v="3"/>
    <n v="120000"/>
    <x v="56"/>
    <x v="56"/>
    <x v="56"/>
  </r>
  <r>
    <x v="1438"/>
    <s v="West"/>
    <x v="3"/>
    <x v="0"/>
    <s v="Store"/>
    <x v="5"/>
    <s v="Furniture"/>
    <n v="320000"/>
    <n v="4"/>
    <x v="5"/>
    <n v="256000"/>
    <x v="6"/>
    <x v="6"/>
    <x v="6"/>
  </r>
  <r>
    <x v="1439"/>
    <s v="South"/>
    <x v="2"/>
    <x v="0"/>
    <s v="Store"/>
    <x v="4"/>
    <s v="Home Appliances"/>
    <n v="180000"/>
    <n v="10"/>
    <x v="3"/>
    <n v="144000"/>
    <x v="5"/>
    <x v="5"/>
    <x v="5"/>
  </r>
  <r>
    <x v="1440"/>
    <s v="North"/>
    <x v="0"/>
    <x v="1"/>
    <s v="Store"/>
    <x v="7"/>
    <s v="Electronics"/>
    <n v="420000"/>
    <n v="2"/>
    <x v="4"/>
    <n v="336000"/>
    <x v="62"/>
    <x v="62"/>
    <x v="62"/>
  </r>
  <r>
    <x v="1441"/>
    <s v="South"/>
    <x v="0"/>
    <x v="1"/>
    <s v="Store"/>
    <x v="6"/>
    <s v="Electronics"/>
    <n v="150000"/>
    <n v="6"/>
    <x v="4"/>
    <n v="120000"/>
    <x v="48"/>
    <x v="48"/>
    <x v="48"/>
  </r>
  <r>
    <x v="1442"/>
    <s v="West"/>
    <x v="1"/>
    <x v="1"/>
    <s v="Store"/>
    <x v="6"/>
    <s v="Electronics"/>
    <n v="150000"/>
    <n v="4"/>
    <x v="1"/>
    <n v="120000"/>
    <x v="4"/>
    <x v="4"/>
    <x v="4"/>
  </r>
  <r>
    <x v="1443"/>
    <s v="East"/>
    <x v="0"/>
    <x v="1"/>
    <s v="Store"/>
    <x v="8"/>
    <s v="Electronics"/>
    <n v="250000"/>
    <n v="9"/>
    <x v="4"/>
    <n v="200000"/>
    <x v="71"/>
    <x v="71"/>
    <x v="71"/>
  </r>
  <r>
    <x v="1444"/>
    <s v="South"/>
    <x v="1"/>
    <x v="1"/>
    <s v="Store"/>
    <x v="9"/>
    <s v="Home Appliances"/>
    <n v="220000"/>
    <n v="8"/>
    <x v="5"/>
    <n v="176000"/>
    <x v="42"/>
    <x v="42"/>
    <x v="42"/>
  </r>
  <r>
    <x v="1445"/>
    <s v="North"/>
    <x v="2"/>
    <x v="0"/>
    <s v="Store"/>
    <x v="6"/>
    <s v="Electronics"/>
    <n v="150000"/>
    <n v="2"/>
    <x v="2"/>
    <n v="120000"/>
    <x v="11"/>
    <x v="11"/>
    <x v="11"/>
  </r>
  <r>
    <x v="1446"/>
    <s v="West"/>
    <x v="1"/>
    <x v="1"/>
    <s v="Store"/>
    <x v="9"/>
    <s v="Home Appliances"/>
    <n v="220000"/>
    <n v="4"/>
    <x v="2"/>
    <n v="176000"/>
    <x v="22"/>
    <x v="22"/>
    <x v="22"/>
  </r>
  <r>
    <x v="1447"/>
    <s v="South"/>
    <x v="0"/>
    <x v="1"/>
    <s v="Store"/>
    <x v="1"/>
    <s v="Home Appliances"/>
    <n v="30000"/>
    <n v="6"/>
    <x v="4"/>
    <n v="24000"/>
    <x v="32"/>
    <x v="32"/>
    <x v="32"/>
  </r>
  <r>
    <x v="1448"/>
    <s v="East"/>
    <x v="3"/>
    <x v="0"/>
    <s v="Store"/>
    <x v="0"/>
    <s v="Furniture"/>
    <n v="85000"/>
    <n v="3"/>
    <x v="2"/>
    <n v="68000"/>
    <x v="23"/>
    <x v="23"/>
    <x v="23"/>
  </r>
  <r>
    <x v="1449"/>
    <s v="East"/>
    <x v="1"/>
    <x v="0"/>
    <s v="Store"/>
    <x v="0"/>
    <s v="Furniture"/>
    <n v="85000"/>
    <n v="2"/>
    <x v="0"/>
    <n v="68000"/>
    <x v="2"/>
    <x v="2"/>
    <x v="2"/>
  </r>
  <r>
    <x v="1450"/>
    <s v="North"/>
    <x v="1"/>
    <x v="0"/>
    <s v="Store"/>
    <x v="8"/>
    <s v="Electronics"/>
    <n v="250000"/>
    <n v="10"/>
    <x v="2"/>
    <n v="200000"/>
    <x v="66"/>
    <x v="66"/>
    <x v="66"/>
  </r>
  <r>
    <x v="1451"/>
    <s v="West"/>
    <x v="1"/>
    <x v="1"/>
    <s v="Store"/>
    <x v="9"/>
    <s v="Home Appliances"/>
    <n v="220000"/>
    <n v="2"/>
    <x v="4"/>
    <n v="176000"/>
    <x v="15"/>
    <x v="15"/>
    <x v="15"/>
  </r>
  <r>
    <x v="1452"/>
    <s v="West"/>
    <x v="0"/>
    <x v="1"/>
    <s v="Store"/>
    <x v="3"/>
    <s v="Electronics"/>
    <n v="300000"/>
    <n v="9"/>
    <x v="4"/>
    <n v="240000"/>
    <x v="39"/>
    <x v="39"/>
    <x v="39"/>
  </r>
  <r>
    <x v="1453"/>
    <s v="East"/>
    <x v="3"/>
    <x v="0"/>
    <s v="Store"/>
    <x v="9"/>
    <s v="Home Appliances"/>
    <n v="220000"/>
    <n v="3"/>
    <x v="1"/>
    <n v="176000"/>
    <x v="49"/>
    <x v="49"/>
    <x v="49"/>
  </r>
  <r>
    <x v="1454"/>
    <s v="East"/>
    <x v="3"/>
    <x v="1"/>
    <s v="Store"/>
    <x v="8"/>
    <s v="Electronics"/>
    <n v="250000"/>
    <n v="8"/>
    <x v="2"/>
    <n v="200000"/>
    <x v="52"/>
    <x v="52"/>
    <x v="52"/>
  </r>
  <r>
    <x v="1455"/>
    <s v="South"/>
    <x v="1"/>
    <x v="1"/>
    <s v="Store"/>
    <x v="8"/>
    <s v="Electronics"/>
    <n v="250000"/>
    <n v="5"/>
    <x v="5"/>
    <n v="200000"/>
    <x v="21"/>
    <x v="21"/>
    <x v="21"/>
  </r>
  <r>
    <x v="1456"/>
    <s v="North"/>
    <x v="3"/>
    <x v="0"/>
    <s v="Store"/>
    <x v="7"/>
    <s v="Electronics"/>
    <n v="420000"/>
    <n v="5"/>
    <x v="1"/>
    <n v="336000"/>
    <x v="13"/>
    <x v="13"/>
    <x v="13"/>
  </r>
  <r>
    <x v="1457"/>
    <s v="South"/>
    <x v="1"/>
    <x v="0"/>
    <s v="Store"/>
    <x v="2"/>
    <s v="Home Appliances"/>
    <n v="60000"/>
    <n v="7"/>
    <x v="5"/>
    <n v="48000"/>
    <x v="40"/>
    <x v="40"/>
    <x v="40"/>
  </r>
  <r>
    <x v="1458"/>
    <s v="East"/>
    <x v="2"/>
    <x v="0"/>
    <s v="Store"/>
    <x v="1"/>
    <s v="Home Appliances"/>
    <n v="30000"/>
    <n v="8"/>
    <x v="0"/>
    <n v="24000"/>
    <x v="1"/>
    <x v="1"/>
    <x v="1"/>
  </r>
  <r>
    <x v="1459"/>
    <s v="North"/>
    <x v="0"/>
    <x v="1"/>
    <s v="Store"/>
    <x v="8"/>
    <s v="Electronics"/>
    <n v="250000"/>
    <n v="2"/>
    <x v="2"/>
    <n v="200000"/>
    <x v="73"/>
    <x v="73"/>
    <x v="73"/>
  </r>
  <r>
    <x v="1460"/>
    <s v="East"/>
    <x v="0"/>
    <x v="0"/>
    <s v="Store"/>
    <x v="2"/>
    <s v="Home Appliances"/>
    <n v="60000"/>
    <n v="8"/>
    <x v="5"/>
    <n v="48000"/>
    <x v="47"/>
    <x v="47"/>
    <x v="47"/>
  </r>
  <r>
    <x v="1461"/>
    <s v="West"/>
    <x v="0"/>
    <x v="0"/>
    <s v="Store"/>
    <x v="1"/>
    <s v="Home Appliances"/>
    <n v="30000"/>
    <n v="7"/>
    <x v="4"/>
    <n v="24000"/>
    <x v="54"/>
    <x v="54"/>
    <x v="54"/>
  </r>
  <r>
    <x v="1462"/>
    <s v="South"/>
    <x v="1"/>
    <x v="1"/>
    <s v="Store"/>
    <x v="1"/>
    <s v="Home Appliances"/>
    <n v="30000"/>
    <n v="3"/>
    <x v="0"/>
    <n v="24000"/>
    <x v="33"/>
    <x v="33"/>
    <x v="33"/>
  </r>
  <r>
    <x v="1463"/>
    <s v="South"/>
    <x v="2"/>
    <x v="1"/>
    <s v="Store"/>
    <x v="4"/>
    <s v="Home Appliances"/>
    <n v="180000"/>
    <n v="5"/>
    <x v="4"/>
    <n v="144000"/>
    <x v="48"/>
    <x v="48"/>
    <x v="48"/>
  </r>
  <r>
    <x v="1464"/>
    <s v="East"/>
    <x v="3"/>
    <x v="0"/>
    <s v="Store"/>
    <x v="8"/>
    <s v="Electronics"/>
    <n v="250000"/>
    <n v="5"/>
    <x v="3"/>
    <n v="200000"/>
    <x v="21"/>
    <x v="21"/>
    <x v="21"/>
  </r>
  <r>
    <x v="1465"/>
    <s v="East"/>
    <x v="0"/>
    <x v="0"/>
    <s v="Store"/>
    <x v="0"/>
    <s v="Furniture"/>
    <n v="85000"/>
    <n v="3"/>
    <x v="4"/>
    <n v="68000"/>
    <x v="23"/>
    <x v="23"/>
    <x v="23"/>
  </r>
  <r>
    <x v="1466"/>
    <s v="North"/>
    <x v="0"/>
    <x v="1"/>
    <s v="Store"/>
    <x v="1"/>
    <s v="Home Appliances"/>
    <n v="30000"/>
    <n v="1"/>
    <x v="1"/>
    <n v="24000"/>
    <x v="75"/>
    <x v="75"/>
    <x v="75"/>
  </r>
  <r>
    <x v="1467"/>
    <s v="South"/>
    <x v="2"/>
    <x v="1"/>
    <s v="Store"/>
    <x v="3"/>
    <s v="Electronics"/>
    <n v="300000"/>
    <n v="10"/>
    <x v="3"/>
    <n v="240000"/>
    <x v="68"/>
    <x v="68"/>
    <x v="68"/>
  </r>
  <r>
    <x v="1468"/>
    <s v="South"/>
    <x v="1"/>
    <x v="1"/>
    <s v="Store"/>
    <x v="7"/>
    <s v="Electronics"/>
    <n v="420000"/>
    <n v="5"/>
    <x v="4"/>
    <n v="336000"/>
    <x v="13"/>
    <x v="13"/>
    <x v="13"/>
  </r>
  <r>
    <x v="1469"/>
    <s v="East"/>
    <x v="0"/>
    <x v="1"/>
    <s v="Store"/>
    <x v="8"/>
    <s v="Electronics"/>
    <n v="250000"/>
    <n v="4"/>
    <x v="4"/>
    <n v="200000"/>
    <x v="14"/>
    <x v="14"/>
    <x v="14"/>
  </r>
  <r>
    <x v="1470"/>
    <s v="South"/>
    <x v="2"/>
    <x v="0"/>
    <s v="Store"/>
    <x v="9"/>
    <s v="Home Appliances"/>
    <n v="220000"/>
    <n v="3"/>
    <x v="0"/>
    <n v="176000"/>
    <x v="49"/>
    <x v="49"/>
    <x v="49"/>
  </r>
  <r>
    <x v="1471"/>
    <s v="North"/>
    <x v="3"/>
    <x v="0"/>
    <s v="Store"/>
    <x v="5"/>
    <s v="Furniture"/>
    <n v="320000"/>
    <n v="2"/>
    <x v="2"/>
    <n v="256000"/>
    <x v="38"/>
    <x v="38"/>
    <x v="38"/>
  </r>
  <r>
    <x v="1472"/>
    <s v="West"/>
    <x v="3"/>
    <x v="1"/>
    <s v="Store"/>
    <x v="5"/>
    <s v="Furniture"/>
    <n v="320000"/>
    <n v="9"/>
    <x v="5"/>
    <n v="256000"/>
    <x v="8"/>
    <x v="8"/>
    <x v="8"/>
  </r>
  <r>
    <x v="1473"/>
    <s v="North"/>
    <x v="1"/>
    <x v="0"/>
    <s v="Store"/>
    <x v="9"/>
    <s v="Home Appliances"/>
    <n v="220000"/>
    <n v="10"/>
    <x v="1"/>
    <n v="176000"/>
    <x v="61"/>
    <x v="61"/>
    <x v="61"/>
  </r>
  <r>
    <x v="1474"/>
    <s v="South"/>
    <x v="0"/>
    <x v="0"/>
    <s v="Store"/>
    <x v="0"/>
    <s v="Furniture"/>
    <n v="85000"/>
    <n v="1"/>
    <x v="2"/>
    <n v="68000"/>
    <x v="0"/>
    <x v="0"/>
    <x v="0"/>
  </r>
  <r>
    <x v="1475"/>
    <s v="South"/>
    <x v="3"/>
    <x v="0"/>
    <s v="Online"/>
    <x v="3"/>
    <s v="Electronics"/>
    <n v="300000"/>
    <n v="4"/>
    <x v="2"/>
    <n v="240000"/>
    <x v="29"/>
    <x v="29"/>
    <x v="29"/>
  </r>
  <r>
    <x v="1476"/>
    <s v="South"/>
    <x v="3"/>
    <x v="1"/>
    <s v="Store"/>
    <x v="0"/>
    <s v="Furniture"/>
    <n v="85000"/>
    <n v="5"/>
    <x v="1"/>
    <n v="68000"/>
    <x v="58"/>
    <x v="58"/>
    <x v="58"/>
  </r>
  <r>
    <x v="1477"/>
    <s v="South"/>
    <x v="3"/>
    <x v="1"/>
    <s v="Online"/>
    <x v="3"/>
    <s v="Electronics"/>
    <n v="300000"/>
    <n v="5"/>
    <x v="5"/>
    <n v="240000"/>
    <x v="17"/>
    <x v="17"/>
    <x v="17"/>
  </r>
  <r>
    <x v="1478"/>
    <s v="South"/>
    <x v="3"/>
    <x v="0"/>
    <s v="Store"/>
    <x v="3"/>
    <s v="Electronics"/>
    <n v="300000"/>
    <n v="5"/>
    <x v="0"/>
    <n v="240000"/>
    <x v="17"/>
    <x v="17"/>
    <x v="17"/>
  </r>
  <r>
    <x v="1479"/>
    <s v="West"/>
    <x v="1"/>
    <x v="1"/>
    <s v="Store"/>
    <x v="1"/>
    <s v="Home Appliances"/>
    <n v="30000"/>
    <n v="10"/>
    <x v="0"/>
    <n v="24000"/>
    <x v="11"/>
    <x v="11"/>
    <x v="11"/>
  </r>
  <r>
    <x v="1480"/>
    <s v="South"/>
    <x v="2"/>
    <x v="0"/>
    <s v="Online"/>
    <x v="9"/>
    <s v="Home Appliances"/>
    <n v="220000"/>
    <n v="6"/>
    <x v="3"/>
    <n v="176000"/>
    <x v="36"/>
    <x v="36"/>
    <x v="36"/>
  </r>
  <r>
    <x v="1481"/>
    <s v="West"/>
    <x v="3"/>
    <x v="1"/>
    <s v="Online"/>
    <x v="0"/>
    <s v="Furniture"/>
    <n v="85000"/>
    <n v="9"/>
    <x v="1"/>
    <n v="68000"/>
    <x v="18"/>
    <x v="18"/>
    <x v="18"/>
  </r>
  <r>
    <x v="1482"/>
    <s v="East"/>
    <x v="3"/>
    <x v="0"/>
    <s v="Online"/>
    <x v="7"/>
    <s v="Electronics"/>
    <n v="420000"/>
    <n v="10"/>
    <x v="2"/>
    <n v="336000"/>
    <x v="20"/>
    <x v="20"/>
    <x v="20"/>
  </r>
  <r>
    <x v="1483"/>
    <s v="North"/>
    <x v="0"/>
    <x v="1"/>
    <s v="Store"/>
    <x v="7"/>
    <s v="Electronics"/>
    <n v="420000"/>
    <n v="1"/>
    <x v="3"/>
    <n v="336000"/>
    <x v="40"/>
    <x v="40"/>
    <x v="40"/>
  </r>
  <r>
    <x v="1484"/>
    <s v="West"/>
    <x v="1"/>
    <x v="0"/>
    <s v="Store"/>
    <x v="2"/>
    <s v="Home Appliances"/>
    <n v="60000"/>
    <n v="6"/>
    <x v="2"/>
    <n v="48000"/>
    <x v="50"/>
    <x v="50"/>
    <x v="50"/>
  </r>
  <r>
    <x v="1485"/>
    <s v="South"/>
    <x v="3"/>
    <x v="0"/>
    <s v="Store"/>
    <x v="6"/>
    <s v="Electronics"/>
    <n v="150000"/>
    <n v="1"/>
    <x v="2"/>
    <n v="120000"/>
    <x v="26"/>
    <x v="26"/>
    <x v="26"/>
  </r>
  <r>
    <x v="1486"/>
    <s v="North"/>
    <x v="2"/>
    <x v="0"/>
    <s v="Online"/>
    <x v="8"/>
    <s v="Electronics"/>
    <n v="250000"/>
    <n v="5"/>
    <x v="2"/>
    <n v="200000"/>
    <x v="21"/>
    <x v="21"/>
    <x v="21"/>
  </r>
  <r>
    <x v="1487"/>
    <s v="East"/>
    <x v="3"/>
    <x v="0"/>
    <s v="Store"/>
    <x v="9"/>
    <s v="Home Appliances"/>
    <n v="220000"/>
    <n v="5"/>
    <x v="2"/>
    <n v="176000"/>
    <x v="51"/>
    <x v="51"/>
    <x v="51"/>
  </r>
  <r>
    <x v="1488"/>
    <s v="West"/>
    <x v="1"/>
    <x v="1"/>
    <s v="Store"/>
    <x v="2"/>
    <s v="Home Appliances"/>
    <n v="60000"/>
    <n v="2"/>
    <x v="2"/>
    <n v="48000"/>
    <x v="3"/>
    <x v="3"/>
    <x v="3"/>
  </r>
  <r>
    <x v="1489"/>
    <s v="East"/>
    <x v="3"/>
    <x v="1"/>
    <s v="Store"/>
    <x v="6"/>
    <s v="Electronics"/>
    <n v="150000"/>
    <n v="3"/>
    <x v="5"/>
    <n v="120000"/>
    <x v="34"/>
    <x v="34"/>
    <x v="34"/>
  </r>
  <r>
    <x v="1490"/>
    <s v="South"/>
    <x v="1"/>
    <x v="1"/>
    <s v="Store"/>
    <x v="0"/>
    <s v="Furniture"/>
    <n v="85000"/>
    <n v="3"/>
    <x v="4"/>
    <n v="68000"/>
    <x v="23"/>
    <x v="23"/>
    <x v="23"/>
  </r>
  <r>
    <x v="1491"/>
    <s v="North"/>
    <x v="3"/>
    <x v="0"/>
    <s v="Store"/>
    <x v="4"/>
    <s v="Home Appliances"/>
    <n v="180000"/>
    <n v="7"/>
    <x v="5"/>
    <n v="144000"/>
    <x v="55"/>
    <x v="55"/>
    <x v="55"/>
  </r>
  <r>
    <x v="1492"/>
    <s v="North"/>
    <x v="1"/>
    <x v="1"/>
    <s v="Online"/>
    <x v="4"/>
    <s v="Home Appliances"/>
    <n v="180000"/>
    <n v="10"/>
    <x v="4"/>
    <n v="144000"/>
    <x v="5"/>
    <x v="5"/>
    <x v="5"/>
  </r>
  <r>
    <x v="1493"/>
    <s v="North"/>
    <x v="0"/>
    <x v="1"/>
    <s v="Store"/>
    <x v="4"/>
    <s v="Home Appliances"/>
    <n v="180000"/>
    <n v="1"/>
    <x v="2"/>
    <n v="144000"/>
    <x v="32"/>
    <x v="32"/>
    <x v="32"/>
  </r>
  <r>
    <x v="1494"/>
    <s v="West"/>
    <x v="3"/>
    <x v="0"/>
    <s v="Online"/>
    <x v="5"/>
    <s v="Furniture"/>
    <n v="320000"/>
    <n v="5"/>
    <x v="2"/>
    <n v="256000"/>
    <x v="28"/>
    <x v="28"/>
    <x v="28"/>
  </r>
  <r>
    <x v="1495"/>
    <s v="East"/>
    <x v="1"/>
    <x v="0"/>
    <s v="Store"/>
    <x v="7"/>
    <s v="Electronics"/>
    <n v="420000"/>
    <n v="5"/>
    <x v="3"/>
    <n v="336000"/>
    <x v="13"/>
    <x v="13"/>
    <x v="13"/>
  </r>
  <r>
    <x v="1496"/>
    <s v="West"/>
    <x v="2"/>
    <x v="1"/>
    <s v="Online"/>
    <x v="4"/>
    <s v="Home Appliances"/>
    <n v="180000"/>
    <n v="2"/>
    <x v="0"/>
    <n v="144000"/>
    <x v="50"/>
    <x v="50"/>
    <x v="50"/>
  </r>
  <r>
    <x v="1497"/>
    <s v="South"/>
    <x v="2"/>
    <x v="0"/>
    <s v="Store"/>
    <x v="9"/>
    <s v="Home Appliances"/>
    <n v="220000"/>
    <n v="1"/>
    <x v="1"/>
    <n v="176000"/>
    <x v="25"/>
    <x v="25"/>
    <x v="25"/>
  </r>
  <r>
    <x v="1498"/>
    <s v="West"/>
    <x v="2"/>
    <x v="1"/>
    <s v="Online"/>
    <x v="5"/>
    <s v="Furniture"/>
    <n v="320000"/>
    <n v="4"/>
    <x v="4"/>
    <n v="256000"/>
    <x v="6"/>
    <x v="6"/>
    <x v="6"/>
  </r>
  <r>
    <x v="1499"/>
    <s v="South"/>
    <x v="2"/>
    <x v="0"/>
    <s v="Online"/>
    <x v="8"/>
    <s v="Electronics"/>
    <n v="250000"/>
    <n v="4"/>
    <x v="1"/>
    <n v="200000"/>
    <x v="14"/>
    <x v="14"/>
    <x v="14"/>
  </r>
  <r>
    <x v="1500"/>
    <s v="South"/>
    <x v="0"/>
    <x v="0"/>
    <s v="Store"/>
    <x v="2"/>
    <s v="Home Appliances"/>
    <n v="60000"/>
    <n v="10"/>
    <x v="5"/>
    <n v="48000"/>
    <x v="4"/>
    <x v="4"/>
    <x v="4"/>
  </r>
  <r>
    <x v="1501"/>
    <s v="East"/>
    <x v="3"/>
    <x v="1"/>
    <s v="Online"/>
    <x v="4"/>
    <s v="Home Appliances"/>
    <n v="180000"/>
    <n v="10"/>
    <x v="4"/>
    <n v="144000"/>
    <x v="5"/>
    <x v="5"/>
    <x v="5"/>
  </r>
  <r>
    <x v="1502"/>
    <s v="East"/>
    <x v="2"/>
    <x v="1"/>
    <s v="Store"/>
    <x v="3"/>
    <s v="Electronics"/>
    <n v="300000"/>
    <n v="5"/>
    <x v="3"/>
    <n v="240000"/>
    <x v="17"/>
    <x v="17"/>
    <x v="17"/>
  </r>
  <r>
    <x v="1503"/>
    <s v="East"/>
    <x v="3"/>
    <x v="0"/>
    <s v="Store"/>
    <x v="0"/>
    <s v="Furniture"/>
    <n v="85000"/>
    <n v="7"/>
    <x v="4"/>
    <n v="68000"/>
    <x v="30"/>
    <x v="30"/>
    <x v="30"/>
  </r>
  <r>
    <x v="1504"/>
    <s v="East"/>
    <x v="0"/>
    <x v="0"/>
    <s v="Online"/>
    <x v="4"/>
    <s v="Home Appliances"/>
    <n v="180000"/>
    <n v="5"/>
    <x v="2"/>
    <n v="144000"/>
    <x v="48"/>
    <x v="48"/>
    <x v="48"/>
  </r>
  <r>
    <x v="1505"/>
    <s v="East"/>
    <x v="2"/>
    <x v="1"/>
    <s v="Store"/>
    <x v="5"/>
    <s v="Furniture"/>
    <n v="320000"/>
    <n v="4"/>
    <x v="1"/>
    <n v="256000"/>
    <x v="6"/>
    <x v="6"/>
    <x v="6"/>
  </r>
  <r>
    <x v="1506"/>
    <s v="West"/>
    <x v="0"/>
    <x v="1"/>
    <s v="Online"/>
    <x v="4"/>
    <s v="Home Appliances"/>
    <n v="180000"/>
    <n v="8"/>
    <x v="2"/>
    <n v="144000"/>
    <x v="37"/>
    <x v="37"/>
    <x v="37"/>
  </r>
  <r>
    <x v="1507"/>
    <s v="North"/>
    <x v="2"/>
    <x v="0"/>
    <s v="Online"/>
    <x v="1"/>
    <s v="Home Appliances"/>
    <n v="30000"/>
    <n v="3"/>
    <x v="4"/>
    <n v="24000"/>
    <x v="33"/>
    <x v="33"/>
    <x v="33"/>
  </r>
  <r>
    <x v="1508"/>
    <s v="North"/>
    <x v="3"/>
    <x v="1"/>
    <s v="Store"/>
    <x v="9"/>
    <s v="Home Appliances"/>
    <n v="220000"/>
    <n v="3"/>
    <x v="1"/>
    <n v="176000"/>
    <x v="49"/>
    <x v="49"/>
    <x v="49"/>
  </r>
  <r>
    <x v="1509"/>
    <s v="East"/>
    <x v="2"/>
    <x v="0"/>
    <s v="Online"/>
    <x v="0"/>
    <s v="Furniture"/>
    <n v="85000"/>
    <n v="4"/>
    <x v="1"/>
    <n v="68000"/>
    <x v="74"/>
    <x v="74"/>
    <x v="74"/>
  </r>
  <r>
    <x v="1510"/>
    <s v="North"/>
    <x v="1"/>
    <x v="0"/>
    <s v="Online"/>
    <x v="4"/>
    <s v="Home Appliances"/>
    <n v="180000"/>
    <n v="6"/>
    <x v="1"/>
    <n v="144000"/>
    <x v="53"/>
    <x v="53"/>
    <x v="53"/>
  </r>
  <r>
    <x v="1511"/>
    <s v="North"/>
    <x v="2"/>
    <x v="1"/>
    <s v="Store"/>
    <x v="9"/>
    <s v="Home Appliances"/>
    <n v="220000"/>
    <n v="8"/>
    <x v="0"/>
    <n v="176000"/>
    <x v="42"/>
    <x v="42"/>
    <x v="42"/>
  </r>
  <r>
    <x v="1512"/>
    <s v="South"/>
    <x v="1"/>
    <x v="0"/>
    <s v="Store"/>
    <x v="6"/>
    <s v="Electronics"/>
    <n v="150000"/>
    <n v="1"/>
    <x v="5"/>
    <n v="120000"/>
    <x v="26"/>
    <x v="26"/>
    <x v="26"/>
  </r>
  <r>
    <x v="1513"/>
    <s v="North"/>
    <x v="2"/>
    <x v="1"/>
    <s v="Online"/>
    <x v="4"/>
    <s v="Home Appliances"/>
    <n v="180000"/>
    <n v="9"/>
    <x v="3"/>
    <n v="144000"/>
    <x v="27"/>
    <x v="27"/>
    <x v="27"/>
  </r>
  <r>
    <x v="1514"/>
    <s v="North"/>
    <x v="2"/>
    <x v="1"/>
    <s v="Store"/>
    <x v="7"/>
    <s v="Electronics"/>
    <n v="420000"/>
    <n v="10"/>
    <x v="0"/>
    <n v="336000"/>
    <x v="20"/>
    <x v="20"/>
    <x v="20"/>
  </r>
  <r>
    <x v="1515"/>
    <s v="West"/>
    <x v="3"/>
    <x v="0"/>
    <s v="Online"/>
    <x v="8"/>
    <s v="Electronics"/>
    <n v="250000"/>
    <n v="10"/>
    <x v="0"/>
    <n v="200000"/>
    <x v="66"/>
    <x v="66"/>
    <x v="66"/>
  </r>
  <r>
    <x v="1516"/>
    <s v="East"/>
    <x v="2"/>
    <x v="0"/>
    <s v="Store"/>
    <x v="9"/>
    <s v="Home Appliances"/>
    <n v="220000"/>
    <n v="3"/>
    <x v="1"/>
    <n v="176000"/>
    <x v="49"/>
    <x v="49"/>
    <x v="49"/>
  </r>
  <r>
    <x v="1517"/>
    <s v="North"/>
    <x v="3"/>
    <x v="0"/>
    <s v="Online"/>
    <x v="1"/>
    <s v="Home Appliances"/>
    <n v="30000"/>
    <n v="4"/>
    <x v="3"/>
    <n v="24000"/>
    <x v="3"/>
    <x v="3"/>
    <x v="3"/>
  </r>
  <r>
    <x v="1518"/>
    <s v="East"/>
    <x v="3"/>
    <x v="0"/>
    <s v="Store"/>
    <x v="4"/>
    <s v="Home Appliances"/>
    <n v="180000"/>
    <n v="9"/>
    <x v="3"/>
    <n v="144000"/>
    <x v="27"/>
    <x v="27"/>
    <x v="27"/>
  </r>
  <r>
    <x v="1519"/>
    <s v="West"/>
    <x v="2"/>
    <x v="0"/>
    <s v="Store"/>
    <x v="4"/>
    <s v="Home Appliances"/>
    <n v="180000"/>
    <n v="7"/>
    <x v="3"/>
    <n v="144000"/>
    <x v="55"/>
    <x v="55"/>
    <x v="55"/>
  </r>
  <r>
    <x v="1520"/>
    <s v="East"/>
    <x v="0"/>
    <x v="1"/>
    <s v="Store"/>
    <x v="6"/>
    <s v="Electronics"/>
    <n v="150000"/>
    <n v="7"/>
    <x v="0"/>
    <n v="120000"/>
    <x v="16"/>
    <x v="16"/>
    <x v="16"/>
  </r>
  <r>
    <x v="1521"/>
    <s v="East"/>
    <x v="3"/>
    <x v="0"/>
    <s v="Online"/>
    <x v="1"/>
    <s v="Home Appliances"/>
    <n v="30000"/>
    <n v="4"/>
    <x v="2"/>
    <n v="24000"/>
    <x v="3"/>
    <x v="3"/>
    <x v="3"/>
  </r>
  <r>
    <x v="1522"/>
    <s v="East"/>
    <x v="1"/>
    <x v="0"/>
    <s v="Online"/>
    <x v="5"/>
    <s v="Furniture"/>
    <n v="320000"/>
    <n v="2"/>
    <x v="3"/>
    <n v="256000"/>
    <x v="38"/>
    <x v="38"/>
    <x v="38"/>
  </r>
  <r>
    <x v="1523"/>
    <s v="East"/>
    <x v="1"/>
    <x v="1"/>
    <s v="Store"/>
    <x v="5"/>
    <s v="Furniture"/>
    <n v="320000"/>
    <n v="6"/>
    <x v="4"/>
    <n v="256000"/>
    <x v="31"/>
    <x v="31"/>
    <x v="31"/>
  </r>
  <r>
    <x v="1524"/>
    <s v="East"/>
    <x v="2"/>
    <x v="1"/>
    <s v="Store"/>
    <x v="7"/>
    <s v="Electronics"/>
    <n v="420000"/>
    <n v="10"/>
    <x v="1"/>
    <n v="336000"/>
    <x v="20"/>
    <x v="20"/>
    <x v="20"/>
  </r>
  <r>
    <x v="1525"/>
    <s v="South"/>
    <x v="3"/>
    <x v="0"/>
    <s v="Online"/>
    <x v="9"/>
    <s v="Home Appliances"/>
    <n v="220000"/>
    <n v="8"/>
    <x v="0"/>
    <n v="176000"/>
    <x v="42"/>
    <x v="42"/>
    <x v="42"/>
  </r>
  <r>
    <x v="1526"/>
    <s v="East"/>
    <x v="0"/>
    <x v="0"/>
    <s v="Online"/>
    <x v="3"/>
    <s v="Electronics"/>
    <n v="300000"/>
    <n v="10"/>
    <x v="0"/>
    <n v="240000"/>
    <x v="68"/>
    <x v="68"/>
    <x v="68"/>
  </r>
  <r>
    <x v="1527"/>
    <s v="South"/>
    <x v="3"/>
    <x v="1"/>
    <s v="Store"/>
    <x v="3"/>
    <s v="Electronics"/>
    <n v="300000"/>
    <n v="3"/>
    <x v="2"/>
    <n v="240000"/>
    <x v="48"/>
    <x v="48"/>
    <x v="48"/>
  </r>
  <r>
    <x v="1528"/>
    <s v="North"/>
    <x v="0"/>
    <x v="0"/>
    <s v="Online"/>
    <x v="5"/>
    <s v="Furniture"/>
    <n v="320000"/>
    <n v="5"/>
    <x v="4"/>
    <n v="256000"/>
    <x v="28"/>
    <x v="28"/>
    <x v="28"/>
  </r>
  <r>
    <x v="1529"/>
    <s v="East"/>
    <x v="3"/>
    <x v="0"/>
    <s v="Online"/>
    <x v="0"/>
    <s v="Furniture"/>
    <n v="85000"/>
    <n v="7"/>
    <x v="0"/>
    <n v="68000"/>
    <x v="30"/>
    <x v="30"/>
    <x v="30"/>
  </r>
  <r>
    <x v="1530"/>
    <s v="West"/>
    <x v="2"/>
    <x v="0"/>
    <s v="Store"/>
    <x v="9"/>
    <s v="Home Appliances"/>
    <n v="220000"/>
    <n v="2"/>
    <x v="4"/>
    <n v="176000"/>
    <x v="15"/>
    <x v="15"/>
    <x v="15"/>
  </r>
  <r>
    <x v="1531"/>
    <s v="North"/>
    <x v="3"/>
    <x v="0"/>
    <s v="Store"/>
    <x v="3"/>
    <s v="Electronics"/>
    <n v="300000"/>
    <n v="2"/>
    <x v="2"/>
    <n v="240000"/>
    <x v="4"/>
    <x v="4"/>
    <x v="4"/>
  </r>
  <r>
    <x v="1532"/>
    <s v="South"/>
    <x v="1"/>
    <x v="1"/>
    <s v="Online"/>
    <x v="0"/>
    <s v="Furniture"/>
    <n v="85000"/>
    <n v="3"/>
    <x v="1"/>
    <n v="68000"/>
    <x v="23"/>
    <x v="23"/>
    <x v="23"/>
  </r>
  <r>
    <x v="1533"/>
    <s v="North"/>
    <x v="3"/>
    <x v="0"/>
    <s v="Store"/>
    <x v="9"/>
    <s v="Home Appliances"/>
    <n v="220000"/>
    <n v="7"/>
    <x v="4"/>
    <n v="176000"/>
    <x v="67"/>
    <x v="67"/>
    <x v="67"/>
  </r>
  <r>
    <x v="1534"/>
    <s v="East"/>
    <x v="2"/>
    <x v="1"/>
    <s v="Online"/>
    <x v="6"/>
    <s v="Electronics"/>
    <n v="150000"/>
    <n v="3"/>
    <x v="2"/>
    <n v="120000"/>
    <x v="34"/>
    <x v="34"/>
    <x v="34"/>
  </r>
  <r>
    <x v="1535"/>
    <s v="East"/>
    <x v="1"/>
    <x v="0"/>
    <s v="Store"/>
    <x v="7"/>
    <s v="Electronics"/>
    <n v="420000"/>
    <n v="10"/>
    <x v="4"/>
    <n v="336000"/>
    <x v="20"/>
    <x v="20"/>
    <x v="20"/>
  </r>
  <r>
    <x v="1536"/>
    <s v="North"/>
    <x v="1"/>
    <x v="0"/>
    <s v="Store"/>
    <x v="2"/>
    <s v="Home Appliances"/>
    <n v="60000"/>
    <n v="3"/>
    <x v="3"/>
    <n v="48000"/>
    <x v="32"/>
    <x v="32"/>
    <x v="32"/>
  </r>
  <r>
    <x v="1537"/>
    <s v="East"/>
    <x v="1"/>
    <x v="1"/>
    <s v="Online"/>
    <x v="3"/>
    <s v="Electronics"/>
    <n v="300000"/>
    <n v="9"/>
    <x v="1"/>
    <n v="240000"/>
    <x v="39"/>
    <x v="39"/>
    <x v="39"/>
  </r>
  <r>
    <x v="1538"/>
    <s v="South"/>
    <x v="1"/>
    <x v="1"/>
    <s v="Online"/>
    <x v="2"/>
    <s v="Home Appliances"/>
    <n v="60000"/>
    <n v="7"/>
    <x v="0"/>
    <n v="48000"/>
    <x v="40"/>
    <x v="40"/>
    <x v="40"/>
  </r>
  <r>
    <x v="1539"/>
    <s v="West"/>
    <x v="0"/>
    <x v="0"/>
    <s v="Online"/>
    <x v="5"/>
    <s v="Furniture"/>
    <n v="320000"/>
    <n v="3"/>
    <x v="2"/>
    <n v="256000"/>
    <x v="9"/>
    <x v="9"/>
    <x v="9"/>
  </r>
  <r>
    <x v="1540"/>
    <s v="North"/>
    <x v="1"/>
    <x v="1"/>
    <s v="Online"/>
    <x v="9"/>
    <s v="Home Appliances"/>
    <n v="220000"/>
    <n v="5"/>
    <x v="0"/>
    <n v="176000"/>
    <x v="51"/>
    <x v="51"/>
    <x v="51"/>
  </r>
  <r>
    <x v="1541"/>
    <s v="East"/>
    <x v="1"/>
    <x v="1"/>
    <s v="Online"/>
    <x v="9"/>
    <s v="Home Appliances"/>
    <n v="220000"/>
    <n v="2"/>
    <x v="0"/>
    <n v="176000"/>
    <x v="15"/>
    <x v="15"/>
    <x v="15"/>
  </r>
  <r>
    <x v="1542"/>
    <s v="West"/>
    <x v="0"/>
    <x v="0"/>
    <s v="Store"/>
    <x v="6"/>
    <s v="Electronics"/>
    <n v="150000"/>
    <n v="10"/>
    <x v="1"/>
    <n v="120000"/>
    <x v="17"/>
    <x v="17"/>
    <x v="17"/>
  </r>
  <r>
    <x v="1543"/>
    <s v="North"/>
    <x v="2"/>
    <x v="0"/>
    <s v="Store"/>
    <x v="1"/>
    <s v="Home Appliances"/>
    <n v="30000"/>
    <n v="8"/>
    <x v="5"/>
    <n v="24000"/>
    <x v="1"/>
    <x v="1"/>
    <x v="1"/>
  </r>
  <r>
    <x v="1544"/>
    <s v="East"/>
    <x v="1"/>
    <x v="0"/>
    <s v="Store"/>
    <x v="1"/>
    <s v="Home Appliances"/>
    <n v="30000"/>
    <n v="9"/>
    <x v="3"/>
    <n v="24000"/>
    <x v="57"/>
    <x v="57"/>
    <x v="57"/>
  </r>
  <r>
    <x v="1545"/>
    <s v="East"/>
    <x v="0"/>
    <x v="0"/>
    <s v="Store"/>
    <x v="6"/>
    <s v="Electronics"/>
    <n v="150000"/>
    <n v="3"/>
    <x v="1"/>
    <n v="120000"/>
    <x v="34"/>
    <x v="34"/>
    <x v="34"/>
  </r>
  <r>
    <x v="1546"/>
    <s v="East"/>
    <x v="0"/>
    <x v="1"/>
    <s v="Online"/>
    <x v="2"/>
    <s v="Home Appliances"/>
    <n v="60000"/>
    <n v="6"/>
    <x v="2"/>
    <n v="48000"/>
    <x v="50"/>
    <x v="50"/>
    <x v="50"/>
  </r>
  <r>
    <x v="1547"/>
    <s v="East"/>
    <x v="0"/>
    <x v="1"/>
    <s v="Store"/>
    <x v="8"/>
    <s v="Electronics"/>
    <n v="250000"/>
    <n v="1"/>
    <x v="2"/>
    <n v="200000"/>
    <x v="44"/>
    <x v="44"/>
    <x v="44"/>
  </r>
  <r>
    <x v="1548"/>
    <s v="West"/>
    <x v="2"/>
    <x v="0"/>
    <s v="Store"/>
    <x v="0"/>
    <s v="Furniture"/>
    <n v="85000"/>
    <n v="8"/>
    <x v="2"/>
    <n v="68000"/>
    <x v="69"/>
    <x v="69"/>
    <x v="69"/>
  </r>
  <r>
    <x v="1549"/>
    <s v="North"/>
    <x v="0"/>
    <x v="0"/>
    <s v="Store"/>
    <x v="4"/>
    <s v="Home Appliances"/>
    <n v="180000"/>
    <n v="8"/>
    <x v="2"/>
    <n v="144000"/>
    <x v="37"/>
    <x v="37"/>
    <x v="37"/>
  </r>
  <r>
    <x v="1550"/>
    <s v="East"/>
    <x v="3"/>
    <x v="1"/>
    <s v="Store"/>
    <x v="9"/>
    <s v="Home Appliances"/>
    <n v="220000"/>
    <n v="9"/>
    <x v="4"/>
    <n v="176000"/>
    <x v="64"/>
    <x v="64"/>
    <x v="64"/>
  </r>
  <r>
    <x v="1551"/>
    <s v="West"/>
    <x v="0"/>
    <x v="0"/>
    <s v="Store"/>
    <x v="8"/>
    <s v="Electronics"/>
    <n v="250000"/>
    <n v="3"/>
    <x v="2"/>
    <n v="200000"/>
    <x v="56"/>
    <x v="56"/>
    <x v="56"/>
  </r>
  <r>
    <x v="1552"/>
    <s v="North"/>
    <x v="3"/>
    <x v="0"/>
    <s v="Online"/>
    <x v="7"/>
    <s v="Electronics"/>
    <n v="420000"/>
    <n v="6"/>
    <x v="5"/>
    <n v="336000"/>
    <x v="76"/>
    <x v="76"/>
    <x v="76"/>
  </r>
  <r>
    <x v="1553"/>
    <s v="East"/>
    <x v="1"/>
    <x v="1"/>
    <s v="Store"/>
    <x v="4"/>
    <s v="Home Appliances"/>
    <n v="180000"/>
    <n v="3"/>
    <x v="0"/>
    <n v="144000"/>
    <x v="46"/>
    <x v="46"/>
    <x v="46"/>
  </r>
  <r>
    <x v="1554"/>
    <s v="South"/>
    <x v="2"/>
    <x v="1"/>
    <s v="Store"/>
    <x v="4"/>
    <s v="Home Appliances"/>
    <n v="180000"/>
    <n v="9"/>
    <x v="0"/>
    <n v="144000"/>
    <x v="27"/>
    <x v="27"/>
    <x v="27"/>
  </r>
  <r>
    <x v="1555"/>
    <s v="East"/>
    <x v="2"/>
    <x v="0"/>
    <s v="Online"/>
    <x v="7"/>
    <s v="Electronics"/>
    <n v="420000"/>
    <n v="5"/>
    <x v="0"/>
    <n v="336000"/>
    <x v="13"/>
    <x v="13"/>
    <x v="13"/>
  </r>
  <r>
    <x v="1556"/>
    <s v="North"/>
    <x v="2"/>
    <x v="0"/>
    <s v="Store"/>
    <x v="4"/>
    <s v="Home Appliances"/>
    <n v="180000"/>
    <n v="6"/>
    <x v="5"/>
    <n v="144000"/>
    <x v="53"/>
    <x v="53"/>
    <x v="53"/>
  </r>
  <r>
    <x v="1557"/>
    <s v="East"/>
    <x v="2"/>
    <x v="1"/>
    <s v="Online"/>
    <x v="3"/>
    <s v="Electronics"/>
    <n v="300000"/>
    <n v="3"/>
    <x v="2"/>
    <n v="240000"/>
    <x v="48"/>
    <x v="48"/>
    <x v="48"/>
  </r>
  <r>
    <x v="1558"/>
    <s v="West"/>
    <x v="2"/>
    <x v="0"/>
    <s v="Online"/>
    <x v="9"/>
    <s v="Home Appliances"/>
    <n v="220000"/>
    <n v="7"/>
    <x v="0"/>
    <n v="176000"/>
    <x v="67"/>
    <x v="67"/>
    <x v="67"/>
  </r>
  <r>
    <x v="1559"/>
    <s v="South"/>
    <x v="1"/>
    <x v="0"/>
    <s v="Online"/>
    <x v="2"/>
    <s v="Home Appliances"/>
    <n v="60000"/>
    <n v="2"/>
    <x v="0"/>
    <n v="48000"/>
    <x v="3"/>
    <x v="3"/>
    <x v="3"/>
  </r>
  <r>
    <x v="1560"/>
    <s v="South"/>
    <x v="1"/>
    <x v="1"/>
    <s v="Online"/>
    <x v="1"/>
    <s v="Home Appliances"/>
    <n v="30000"/>
    <n v="4"/>
    <x v="3"/>
    <n v="24000"/>
    <x v="3"/>
    <x v="3"/>
    <x v="3"/>
  </r>
  <r>
    <x v="1561"/>
    <s v="West"/>
    <x v="1"/>
    <x v="1"/>
    <s v="Store"/>
    <x v="5"/>
    <s v="Furniture"/>
    <n v="320000"/>
    <n v="8"/>
    <x v="3"/>
    <n v="256000"/>
    <x v="72"/>
    <x v="72"/>
    <x v="72"/>
  </r>
  <r>
    <x v="1562"/>
    <s v="West"/>
    <x v="3"/>
    <x v="1"/>
    <s v="Store"/>
    <x v="4"/>
    <s v="Home Appliances"/>
    <n v="180000"/>
    <n v="5"/>
    <x v="2"/>
    <n v="144000"/>
    <x v="48"/>
    <x v="48"/>
    <x v="48"/>
  </r>
  <r>
    <x v="1563"/>
    <s v="East"/>
    <x v="0"/>
    <x v="0"/>
    <s v="Store"/>
    <x v="5"/>
    <s v="Furniture"/>
    <n v="320000"/>
    <n v="6"/>
    <x v="2"/>
    <n v="256000"/>
    <x v="31"/>
    <x v="31"/>
    <x v="31"/>
  </r>
  <r>
    <x v="1564"/>
    <s v="South"/>
    <x v="1"/>
    <x v="0"/>
    <s v="Online"/>
    <x v="7"/>
    <s v="Electronics"/>
    <n v="420000"/>
    <n v="3"/>
    <x v="2"/>
    <n v="336000"/>
    <x v="55"/>
    <x v="55"/>
    <x v="55"/>
  </r>
  <r>
    <x v="1565"/>
    <s v="North"/>
    <x v="3"/>
    <x v="1"/>
    <s v="Online"/>
    <x v="6"/>
    <s v="Electronics"/>
    <n v="150000"/>
    <n v="2"/>
    <x v="5"/>
    <n v="120000"/>
    <x v="11"/>
    <x v="11"/>
    <x v="11"/>
  </r>
  <r>
    <x v="1566"/>
    <s v="West"/>
    <x v="3"/>
    <x v="0"/>
    <s v="Online"/>
    <x v="4"/>
    <s v="Home Appliances"/>
    <n v="180000"/>
    <n v="8"/>
    <x v="3"/>
    <n v="144000"/>
    <x v="37"/>
    <x v="37"/>
    <x v="37"/>
  </r>
  <r>
    <x v="1567"/>
    <s v="North"/>
    <x v="1"/>
    <x v="0"/>
    <s v="Online"/>
    <x v="6"/>
    <s v="Electronics"/>
    <n v="150000"/>
    <n v="4"/>
    <x v="3"/>
    <n v="120000"/>
    <x v="4"/>
    <x v="4"/>
    <x v="4"/>
  </r>
  <r>
    <x v="1568"/>
    <s v="North"/>
    <x v="2"/>
    <x v="1"/>
    <s v="Store"/>
    <x v="2"/>
    <s v="Home Appliances"/>
    <n v="60000"/>
    <n v="8"/>
    <x v="2"/>
    <n v="48000"/>
    <x v="47"/>
    <x v="47"/>
    <x v="47"/>
  </r>
  <r>
    <x v="1569"/>
    <s v="North"/>
    <x v="0"/>
    <x v="1"/>
    <s v="Store"/>
    <x v="7"/>
    <s v="Electronics"/>
    <n v="420000"/>
    <n v="5"/>
    <x v="4"/>
    <n v="336000"/>
    <x v="13"/>
    <x v="13"/>
    <x v="13"/>
  </r>
  <r>
    <x v="1570"/>
    <s v="North"/>
    <x v="0"/>
    <x v="0"/>
    <s v="Store"/>
    <x v="7"/>
    <s v="Electronics"/>
    <n v="420000"/>
    <n v="6"/>
    <x v="5"/>
    <n v="336000"/>
    <x v="76"/>
    <x v="76"/>
    <x v="76"/>
  </r>
  <r>
    <x v="1571"/>
    <s v="South"/>
    <x v="0"/>
    <x v="0"/>
    <s v="Store"/>
    <x v="3"/>
    <s v="Electronics"/>
    <n v="300000"/>
    <n v="4"/>
    <x v="1"/>
    <n v="240000"/>
    <x v="29"/>
    <x v="29"/>
    <x v="29"/>
  </r>
  <r>
    <x v="1572"/>
    <s v="East"/>
    <x v="3"/>
    <x v="0"/>
    <s v="Online"/>
    <x v="4"/>
    <s v="Home Appliances"/>
    <n v="180000"/>
    <n v="1"/>
    <x v="5"/>
    <n v="144000"/>
    <x v="32"/>
    <x v="32"/>
    <x v="32"/>
  </r>
  <r>
    <x v="1573"/>
    <s v="North"/>
    <x v="3"/>
    <x v="1"/>
    <s v="Online"/>
    <x v="7"/>
    <s v="Electronics"/>
    <n v="420000"/>
    <n v="5"/>
    <x v="4"/>
    <n v="336000"/>
    <x v="13"/>
    <x v="13"/>
    <x v="13"/>
  </r>
  <r>
    <x v="1574"/>
    <s v="West"/>
    <x v="1"/>
    <x v="1"/>
    <s v="Store"/>
    <x v="8"/>
    <s v="Electronics"/>
    <n v="250000"/>
    <n v="7"/>
    <x v="5"/>
    <n v="200000"/>
    <x v="59"/>
    <x v="59"/>
    <x v="59"/>
  </r>
  <r>
    <x v="1575"/>
    <s v="South"/>
    <x v="3"/>
    <x v="1"/>
    <s v="Online"/>
    <x v="1"/>
    <s v="Home Appliances"/>
    <n v="30000"/>
    <n v="1"/>
    <x v="5"/>
    <n v="24000"/>
    <x v="75"/>
    <x v="75"/>
    <x v="75"/>
  </r>
  <r>
    <x v="1576"/>
    <s v="South"/>
    <x v="1"/>
    <x v="1"/>
    <s v="Online"/>
    <x v="4"/>
    <s v="Home Appliances"/>
    <n v="180000"/>
    <n v="9"/>
    <x v="3"/>
    <n v="144000"/>
    <x v="27"/>
    <x v="27"/>
    <x v="27"/>
  </r>
  <r>
    <x v="1577"/>
    <s v="North"/>
    <x v="1"/>
    <x v="1"/>
    <s v="Online"/>
    <x v="3"/>
    <s v="Electronics"/>
    <n v="300000"/>
    <n v="7"/>
    <x v="5"/>
    <n v="240000"/>
    <x v="13"/>
    <x v="13"/>
    <x v="13"/>
  </r>
  <r>
    <x v="1578"/>
    <s v="East"/>
    <x v="1"/>
    <x v="0"/>
    <s v="Online"/>
    <x v="2"/>
    <s v="Home Appliances"/>
    <n v="60000"/>
    <n v="2"/>
    <x v="5"/>
    <n v="48000"/>
    <x v="3"/>
    <x v="3"/>
    <x v="3"/>
  </r>
  <r>
    <x v="1579"/>
    <s v="West"/>
    <x v="3"/>
    <x v="1"/>
    <s v="Online"/>
    <x v="8"/>
    <s v="Electronics"/>
    <n v="250000"/>
    <n v="5"/>
    <x v="2"/>
    <n v="200000"/>
    <x v="21"/>
    <x v="21"/>
    <x v="21"/>
  </r>
  <r>
    <x v="1580"/>
    <s v="North"/>
    <x v="3"/>
    <x v="1"/>
    <s v="Store"/>
    <x v="0"/>
    <s v="Furniture"/>
    <n v="85000"/>
    <n v="9"/>
    <x v="3"/>
    <n v="68000"/>
    <x v="18"/>
    <x v="18"/>
    <x v="18"/>
  </r>
  <r>
    <x v="1581"/>
    <s v="North"/>
    <x v="2"/>
    <x v="0"/>
    <s v="Online"/>
    <x v="7"/>
    <s v="Electronics"/>
    <n v="420000"/>
    <n v="5"/>
    <x v="2"/>
    <n v="336000"/>
    <x v="13"/>
    <x v="13"/>
    <x v="13"/>
  </r>
  <r>
    <x v="1582"/>
    <s v="East"/>
    <x v="3"/>
    <x v="0"/>
    <s v="Online"/>
    <x v="7"/>
    <s v="Electronics"/>
    <n v="420000"/>
    <n v="7"/>
    <x v="2"/>
    <n v="336000"/>
    <x v="70"/>
    <x v="70"/>
    <x v="70"/>
  </r>
  <r>
    <x v="1583"/>
    <s v="North"/>
    <x v="0"/>
    <x v="0"/>
    <s v="Store"/>
    <x v="5"/>
    <s v="Furniture"/>
    <n v="320000"/>
    <n v="3"/>
    <x v="2"/>
    <n v="256000"/>
    <x v="9"/>
    <x v="9"/>
    <x v="9"/>
  </r>
  <r>
    <x v="1584"/>
    <s v="South"/>
    <x v="0"/>
    <x v="1"/>
    <s v="Store"/>
    <x v="8"/>
    <s v="Electronics"/>
    <n v="250000"/>
    <n v="10"/>
    <x v="2"/>
    <n v="200000"/>
    <x v="66"/>
    <x v="66"/>
    <x v="66"/>
  </r>
  <r>
    <x v="1585"/>
    <s v="East"/>
    <x v="2"/>
    <x v="0"/>
    <s v="Online"/>
    <x v="6"/>
    <s v="Electronics"/>
    <n v="150000"/>
    <n v="9"/>
    <x v="5"/>
    <n v="120000"/>
    <x v="63"/>
    <x v="63"/>
    <x v="63"/>
  </r>
  <r>
    <x v="1586"/>
    <s v="West"/>
    <x v="0"/>
    <x v="1"/>
    <s v="Online"/>
    <x v="3"/>
    <s v="Electronics"/>
    <n v="300000"/>
    <n v="10"/>
    <x v="0"/>
    <n v="240000"/>
    <x v="68"/>
    <x v="68"/>
    <x v="68"/>
  </r>
  <r>
    <x v="1587"/>
    <s v="East"/>
    <x v="0"/>
    <x v="1"/>
    <s v="Store"/>
    <x v="3"/>
    <s v="Electronics"/>
    <n v="300000"/>
    <n v="2"/>
    <x v="3"/>
    <n v="240000"/>
    <x v="4"/>
    <x v="4"/>
    <x v="4"/>
  </r>
  <r>
    <x v="1588"/>
    <s v="East"/>
    <x v="3"/>
    <x v="0"/>
    <s v="Store"/>
    <x v="4"/>
    <s v="Home Appliances"/>
    <n v="180000"/>
    <n v="2"/>
    <x v="3"/>
    <n v="144000"/>
    <x v="50"/>
    <x v="50"/>
    <x v="50"/>
  </r>
  <r>
    <x v="1589"/>
    <s v="West"/>
    <x v="3"/>
    <x v="1"/>
    <s v="Store"/>
    <x v="5"/>
    <s v="Furniture"/>
    <n v="320000"/>
    <n v="10"/>
    <x v="5"/>
    <n v="256000"/>
    <x v="35"/>
    <x v="35"/>
    <x v="35"/>
  </r>
  <r>
    <x v="1590"/>
    <s v="North"/>
    <x v="0"/>
    <x v="1"/>
    <s v="Store"/>
    <x v="5"/>
    <s v="Furniture"/>
    <n v="320000"/>
    <n v="1"/>
    <x v="4"/>
    <n v="256000"/>
    <x v="7"/>
    <x v="7"/>
    <x v="7"/>
  </r>
  <r>
    <x v="1591"/>
    <s v="North"/>
    <x v="3"/>
    <x v="0"/>
    <s v="Store"/>
    <x v="6"/>
    <s v="Electronics"/>
    <n v="150000"/>
    <n v="6"/>
    <x v="3"/>
    <n v="120000"/>
    <x v="48"/>
    <x v="48"/>
    <x v="48"/>
  </r>
  <r>
    <x v="1592"/>
    <s v="North"/>
    <x v="1"/>
    <x v="1"/>
    <s v="Store"/>
    <x v="0"/>
    <s v="Furniture"/>
    <n v="85000"/>
    <n v="9"/>
    <x v="3"/>
    <n v="68000"/>
    <x v="18"/>
    <x v="18"/>
    <x v="18"/>
  </r>
  <r>
    <x v="1593"/>
    <s v="West"/>
    <x v="0"/>
    <x v="0"/>
    <s v="Online"/>
    <x v="7"/>
    <s v="Electronics"/>
    <n v="420000"/>
    <n v="7"/>
    <x v="0"/>
    <n v="336000"/>
    <x v="70"/>
    <x v="70"/>
    <x v="70"/>
  </r>
  <r>
    <x v="1594"/>
    <s v="East"/>
    <x v="0"/>
    <x v="0"/>
    <s v="Online"/>
    <x v="1"/>
    <s v="Home Appliances"/>
    <n v="30000"/>
    <n v="3"/>
    <x v="3"/>
    <n v="24000"/>
    <x v="33"/>
    <x v="33"/>
    <x v="33"/>
  </r>
  <r>
    <x v="1595"/>
    <s v="East"/>
    <x v="1"/>
    <x v="1"/>
    <s v="Store"/>
    <x v="1"/>
    <s v="Home Appliances"/>
    <n v="30000"/>
    <n v="9"/>
    <x v="0"/>
    <n v="24000"/>
    <x v="57"/>
    <x v="57"/>
    <x v="57"/>
  </r>
  <r>
    <x v="1596"/>
    <s v="South"/>
    <x v="0"/>
    <x v="1"/>
    <s v="Store"/>
    <x v="2"/>
    <s v="Home Appliances"/>
    <n v="60000"/>
    <n v="1"/>
    <x v="4"/>
    <n v="48000"/>
    <x v="41"/>
    <x v="41"/>
    <x v="41"/>
  </r>
  <r>
    <x v="1597"/>
    <s v="North"/>
    <x v="0"/>
    <x v="1"/>
    <s v="Online"/>
    <x v="8"/>
    <s v="Electronics"/>
    <n v="250000"/>
    <n v="1"/>
    <x v="5"/>
    <n v="200000"/>
    <x v="44"/>
    <x v="44"/>
    <x v="44"/>
  </r>
  <r>
    <x v="1598"/>
    <s v="North"/>
    <x v="1"/>
    <x v="1"/>
    <s v="Online"/>
    <x v="6"/>
    <s v="Electronics"/>
    <n v="150000"/>
    <n v="9"/>
    <x v="0"/>
    <n v="120000"/>
    <x v="63"/>
    <x v="63"/>
    <x v="63"/>
  </r>
  <r>
    <x v="1599"/>
    <s v="West"/>
    <x v="2"/>
    <x v="1"/>
    <s v="Online"/>
    <x v="6"/>
    <s v="Electronics"/>
    <n v="150000"/>
    <n v="8"/>
    <x v="1"/>
    <n v="120000"/>
    <x v="29"/>
    <x v="29"/>
    <x v="29"/>
  </r>
  <r>
    <x v="1600"/>
    <s v="South"/>
    <x v="0"/>
    <x v="0"/>
    <s v="Store"/>
    <x v="2"/>
    <s v="Home Appliances"/>
    <n v="60000"/>
    <n v="4"/>
    <x v="1"/>
    <n v="48000"/>
    <x v="1"/>
    <x v="1"/>
    <x v="1"/>
  </r>
  <r>
    <x v="1601"/>
    <s v="West"/>
    <x v="3"/>
    <x v="0"/>
    <s v="Store"/>
    <x v="1"/>
    <s v="Home Appliances"/>
    <n v="30000"/>
    <n v="3"/>
    <x v="3"/>
    <n v="24000"/>
    <x v="33"/>
    <x v="33"/>
    <x v="33"/>
  </r>
  <r>
    <x v="1602"/>
    <s v="West"/>
    <x v="0"/>
    <x v="0"/>
    <s v="Store"/>
    <x v="5"/>
    <s v="Furniture"/>
    <n v="320000"/>
    <n v="4"/>
    <x v="3"/>
    <n v="256000"/>
    <x v="6"/>
    <x v="6"/>
    <x v="6"/>
  </r>
  <r>
    <x v="1603"/>
    <s v="North"/>
    <x v="2"/>
    <x v="1"/>
    <s v="Online"/>
    <x v="4"/>
    <s v="Home Appliances"/>
    <n v="180000"/>
    <n v="8"/>
    <x v="2"/>
    <n v="144000"/>
    <x v="37"/>
    <x v="37"/>
    <x v="37"/>
  </r>
  <r>
    <x v="1604"/>
    <s v="East"/>
    <x v="3"/>
    <x v="0"/>
    <s v="Store"/>
    <x v="0"/>
    <s v="Furniture"/>
    <n v="85000"/>
    <n v="4"/>
    <x v="1"/>
    <n v="68000"/>
    <x v="74"/>
    <x v="74"/>
    <x v="74"/>
  </r>
  <r>
    <x v="1605"/>
    <s v="North"/>
    <x v="1"/>
    <x v="1"/>
    <s v="Store"/>
    <x v="9"/>
    <s v="Home Appliances"/>
    <n v="220000"/>
    <n v="10"/>
    <x v="0"/>
    <n v="176000"/>
    <x v="61"/>
    <x v="61"/>
    <x v="61"/>
  </r>
  <r>
    <x v="1606"/>
    <s v="South"/>
    <x v="0"/>
    <x v="1"/>
    <s v="Store"/>
    <x v="0"/>
    <s v="Furniture"/>
    <n v="85000"/>
    <n v="5"/>
    <x v="3"/>
    <n v="68000"/>
    <x v="58"/>
    <x v="58"/>
    <x v="58"/>
  </r>
  <r>
    <x v="1607"/>
    <s v="West"/>
    <x v="1"/>
    <x v="0"/>
    <s v="Store"/>
    <x v="3"/>
    <s v="Electronics"/>
    <n v="300000"/>
    <n v="2"/>
    <x v="4"/>
    <n v="240000"/>
    <x v="4"/>
    <x v="4"/>
    <x v="4"/>
  </r>
  <r>
    <x v="1608"/>
    <s v="East"/>
    <x v="3"/>
    <x v="1"/>
    <s v="Online"/>
    <x v="4"/>
    <s v="Home Appliances"/>
    <n v="180000"/>
    <n v="1"/>
    <x v="3"/>
    <n v="144000"/>
    <x v="32"/>
    <x v="32"/>
    <x v="32"/>
  </r>
  <r>
    <x v="1609"/>
    <s v="South"/>
    <x v="3"/>
    <x v="0"/>
    <s v="Online"/>
    <x v="6"/>
    <s v="Electronics"/>
    <n v="150000"/>
    <n v="3"/>
    <x v="3"/>
    <n v="120000"/>
    <x v="34"/>
    <x v="34"/>
    <x v="34"/>
  </r>
  <r>
    <x v="1610"/>
    <s v="South"/>
    <x v="2"/>
    <x v="1"/>
    <s v="Store"/>
    <x v="4"/>
    <s v="Home Appliances"/>
    <n v="180000"/>
    <n v="3"/>
    <x v="2"/>
    <n v="144000"/>
    <x v="46"/>
    <x v="46"/>
    <x v="46"/>
  </r>
  <r>
    <x v="1611"/>
    <s v="North"/>
    <x v="2"/>
    <x v="0"/>
    <s v="Online"/>
    <x v="6"/>
    <s v="Electronics"/>
    <n v="150000"/>
    <n v="5"/>
    <x v="1"/>
    <n v="120000"/>
    <x v="56"/>
    <x v="56"/>
    <x v="56"/>
  </r>
  <r>
    <x v="1612"/>
    <s v="East"/>
    <x v="3"/>
    <x v="1"/>
    <s v="Online"/>
    <x v="2"/>
    <s v="Home Appliances"/>
    <n v="60000"/>
    <n v="8"/>
    <x v="1"/>
    <n v="48000"/>
    <x v="47"/>
    <x v="47"/>
    <x v="47"/>
  </r>
  <r>
    <x v="1613"/>
    <s v="East"/>
    <x v="0"/>
    <x v="0"/>
    <s v="Store"/>
    <x v="8"/>
    <s v="Electronics"/>
    <n v="250000"/>
    <n v="5"/>
    <x v="1"/>
    <n v="200000"/>
    <x v="21"/>
    <x v="21"/>
    <x v="21"/>
  </r>
  <r>
    <x v="1614"/>
    <s v="East"/>
    <x v="2"/>
    <x v="0"/>
    <s v="Online"/>
    <x v="4"/>
    <s v="Home Appliances"/>
    <n v="180000"/>
    <n v="3"/>
    <x v="0"/>
    <n v="144000"/>
    <x v="46"/>
    <x v="46"/>
    <x v="46"/>
  </r>
  <r>
    <x v="1615"/>
    <s v="North"/>
    <x v="0"/>
    <x v="1"/>
    <s v="Online"/>
    <x v="5"/>
    <s v="Furniture"/>
    <n v="320000"/>
    <n v="9"/>
    <x v="0"/>
    <n v="256000"/>
    <x v="8"/>
    <x v="8"/>
    <x v="8"/>
  </r>
  <r>
    <x v="1616"/>
    <s v="West"/>
    <x v="0"/>
    <x v="1"/>
    <s v="Store"/>
    <x v="0"/>
    <s v="Furniture"/>
    <n v="85000"/>
    <n v="5"/>
    <x v="2"/>
    <n v="68000"/>
    <x v="58"/>
    <x v="58"/>
    <x v="58"/>
  </r>
  <r>
    <x v="1617"/>
    <s v="South"/>
    <x v="1"/>
    <x v="0"/>
    <s v="Online"/>
    <x v="9"/>
    <s v="Home Appliances"/>
    <n v="220000"/>
    <n v="1"/>
    <x v="4"/>
    <n v="176000"/>
    <x v="25"/>
    <x v="25"/>
    <x v="25"/>
  </r>
  <r>
    <x v="1618"/>
    <s v="East"/>
    <x v="1"/>
    <x v="0"/>
    <s v="Store"/>
    <x v="4"/>
    <s v="Home Appliances"/>
    <n v="180000"/>
    <n v="2"/>
    <x v="2"/>
    <n v="144000"/>
    <x v="50"/>
    <x v="50"/>
    <x v="50"/>
  </r>
  <r>
    <x v="1619"/>
    <s v="East"/>
    <x v="1"/>
    <x v="1"/>
    <s v="Store"/>
    <x v="6"/>
    <s v="Electronics"/>
    <n v="150000"/>
    <n v="1"/>
    <x v="3"/>
    <n v="120000"/>
    <x v="26"/>
    <x v="26"/>
    <x v="26"/>
  </r>
  <r>
    <x v="1620"/>
    <s v="West"/>
    <x v="2"/>
    <x v="0"/>
    <s v="Store"/>
    <x v="4"/>
    <s v="Home Appliances"/>
    <n v="180000"/>
    <n v="2"/>
    <x v="1"/>
    <n v="144000"/>
    <x v="50"/>
    <x v="50"/>
    <x v="50"/>
  </r>
  <r>
    <x v="1621"/>
    <s v="North"/>
    <x v="3"/>
    <x v="1"/>
    <s v="Online"/>
    <x v="5"/>
    <s v="Furniture"/>
    <n v="320000"/>
    <n v="4"/>
    <x v="5"/>
    <n v="256000"/>
    <x v="6"/>
    <x v="6"/>
    <x v="6"/>
  </r>
  <r>
    <x v="1622"/>
    <s v="North"/>
    <x v="3"/>
    <x v="0"/>
    <s v="Store"/>
    <x v="6"/>
    <s v="Electronics"/>
    <n v="150000"/>
    <n v="10"/>
    <x v="0"/>
    <n v="120000"/>
    <x v="17"/>
    <x v="17"/>
    <x v="17"/>
  </r>
  <r>
    <x v="1623"/>
    <s v="South"/>
    <x v="2"/>
    <x v="1"/>
    <s v="Store"/>
    <x v="1"/>
    <s v="Home Appliances"/>
    <n v="30000"/>
    <n v="3"/>
    <x v="3"/>
    <n v="24000"/>
    <x v="33"/>
    <x v="33"/>
    <x v="33"/>
  </r>
  <r>
    <x v="1624"/>
    <s v="South"/>
    <x v="2"/>
    <x v="0"/>
    <s v="Store"/>
    <x v="0"/>
    <s v="Furniture"/>
    <n v="85000"/>
    <n v="4"/>
    <x v="3"/>
    <n v="68000"/>
    <x v="74"/>
    <x v="74"/>
    <x v="74"/>
  </r>
  <r>
    <x v="1625"/>
    <s v="West"/>
    <x v="3"/>
    <x v="0"/>
    <s v="Store"/>
    <x v="4"/>
    <s v="Home Appliances"/>
    <n v="180000"/>
    <n v="10"/>
    <x v="3"/>
    <n v="144000"/>
    <x v="5"/>
    <x v="5"/>
    <x v="5"/>
  </r>
  <r>
    <x v="1626"/>
    <s v="West"/>
    <x v="1"/>
    <x v="1"/>
    <s v="Store"/>
    <x v="5"/>
    <s v="Furniture"/>
    <n v="320000"/>
    <n v="9"/>
    <x v="4"/>
    <n v="256000"/>
    <x v="8"/>
    <x v="8"/>
    <x v="8"/>
  </r>
  <r>
    <x v="1627"/>
    <s v="South"/>
    <x v="1"/>
    <x v="1"/>
    <s v="Online"/>
    <x v="6"/>
    <s v="Electronics"/>
    <n v="150000"/>
    <n v="3"/>
    <x v="5"/>
    <n v="120000"/>
    <x v="34"/>
    <x v="34"/>
    <x v="34"/>
  </r>
  <r>
    <x v="1628"/>
    <s v="North"/>
    <x v="1"/>
    <x v="0"/>
    <s v="Online"/>
    <x v="9"/>
    <s v="Home Appliances"/>
    <n v="220000"/>
    <n v="5"/>
    <x v="5"/>
    <n v="176000"/>
    <x v="51"/>
    <x v="51"/>
    <x v="51"/>
  </r>
  <r>
    <x v="1629"/>
    <s v="North"/>
    <x v="3"/>
    <x v="1"/>
    <s v="Store"/>
    <x v="3"/>
    <s v="Electronics"/>
    <n v="300000"/>
    <n v="2"/>
    <x v="0"/>
    <n v="240000"/>
    <x v="4"/>
    <x v="4"/>
    <x v="4"/>
  </r>
  <r>
    <x v="1630"/>
    <s v="East"/>
    <x v="0"/>
    <x v="1"/>
    <s v="Online"/>
    <x v="3"/>
    <s v="Electronics"/>
    <n v="300000"/>
    <n v="6"/>
    <x v="5"/>
    <n v="240000"/>
    <x v="5"/>
    <x v="5"/>
    <x v="5"/>
  </r>
  <r>
    <x v="1631"/>
    <s v="North"/>
    <x v="3"/>
    <x v="1"/>
    <s v="Online"/>
    <x v="4"/>
    <s v="Home Appliances"/>
    <n v="180000"/>
    <n v="7"/>
    <x v="5"/>
    <n v="144000"/>
    <x v="55"/>
    <x v="55"/>
    <x v="55"/>
  </r>
  <r>
    <x v="1632"/>
    <s v="West"/>
    <x v="2"/>
    <x v="1"/>
    <s v="Store"/>
    <x v="5"/>
    <s v="Furniture"/>
    <n v="320000"/>
    <n v="6"/>
    <x v="0"/>
    <n v="256000"/>
    <x v="31"/>
    <x v="31"/>
    <x v="31"/>
  </r>
  <r>
    <x v="1633"/>
    <s v="North"/>
    <x v="1"/>
    <x v="0"/>
    <s v="Store"/>
    <x v="8"/>
    <s v="Electronics"/>
    <n v="250000"/>
    <n v="5"/>
    <x v="3"/>
    <n v="200000"/>
    <x v="21"/>
    <x v="21"/>
    <x v="21"/>
  </r>
  <r>
    <x v="1634"/>
    <s v="West"/>
    <x v="1"/>
    <x v="0"/>
    <s v="Online"/>
    <x v="3"/>
    <s v="Electronics"/>
    <n v="300000"/>
    <n v="3"/>
    <x v="5"/>
    <n v="240000"/>
    <x v="48"/>
    <x v="48"/>
    <x v="48"/>
  </r>
  <r>
    <x v="1635"/>
    <s v="West"/>
    <x v="3"/>
    <x v="0"/>
    <s v="Store"/>
    <x v="4"/>
    <s v="Home Appliances"/>
    <n v="180000"/>
    <n v="8"/>
    <x v="5"/>
    <n v="144000"/>
    <x v="37"/>
    <x v="37"/>
    <x v="37"/>
  </r>
  <r>
    <x v="1636"/>
    <s v="East"/>
    <x v="3"/>
    <x v="0"/>
    <s v="Store"/>
    <x v="5"/>
    <s v="Furniture"/>
    <n v="320000"/>
    <n v="5"/>
    <x v="1"/>
    <n v="256000"/>
    <x v="28"/>
    <x v="28"/>
    <x v="28"/>
  </r>
  <r>
    <x v="1637"/>
    <s v="West"/>
    <x v="3"/>
    <x v="0"/>
    <s v="Online"/>
    <x v="8"/>
    <s v="Electronics"/>
    <n v="250000"/>
    <n v="7"/>
    <x v="1"/>
    <n v="200000"/>
    <x v="59"/>
    <x v="59"/>
    <x v="59"/>
  </r>
  <r>
    <x v="1638"/>
    <s v="West"/>
    <x v="1"/>
    <x v="0"/>
    <s v="Store"/>
    <x v="3"/>
    <s v="Electronics"/>
    <n v="300000"/>
    <n v="8"/>
    <x v="0"/>
    <n v="240000"/>
    <x v="24"/>
    <x v="24"/>
    <x v="24"/>
  </r>
  <r>
    <x v="1639"/>
    <s v="West"/>
    <x v="1"/>
    <x v="1"/>
    <s v="Online"/>
    <x v="7"/>
    <s v="Electronics"/>
    <n v="420000"/>
    <n v="4"/>
    <x v="5"/>
    <n v="336000"/>
    <x v="45"/>
    <x v="45"/>
    <x v="45"/>
  </r>
  <r>
    <x v="1640"/>
    <s v="West"/>
    <x v="0"/>
    <x v="1"/>
    <s v="Store"/>
    <x v="8"/>
    <s v="Electronics"/>
    <n v="250000"/>
    <n v="6"/>
    <x v="2"/>
    <n v="200000"/>
    <x v="17"/>
    <x v="17"/>
    <x v="17"/>
  </r>
  <r>
    <x v="1641"/>
    <s v="East"/>
    <x v="3"/>
    <x v="0"/>
    <s v="Online"/>
    <x v="6"/>
    <s v="Electronics"/>
    <n v="150000"/>
    <n v="3"/>
    <x v="2"/>
    <n v="120000"/>
    <x v="34"/>
    <x v="34"/>
    <x v="34"/>
  </r>
  <r>
    <x v="1642"/>
    <s v="North"/>
    <x v="0"/>
    <x v="1"/>
    <s v="Store"/>
    <x v="3"/>
    <s v="Electronics"/>
    <n v="300000"/>
    <n v="6"/>
    <x v="4"/>
    <n v="240000"/>
    <x v="5"/>
    <x v="5"/>
    <x v="5"/>
  </r>
  <r>
    <x v="1643"/>
    <s v="South"/>
    <x v="0"/>
    <x v="0"/>
    <s v="Store"/>
    <x v="4"/>
    <s v="Home Appliances"/>
    <n v="180000"/>
    <n v="2"/>
    <x v="2"/>
    <n v="144000"/>
    <x v="50"/>
    <x v="50"/>
    <x v="50"/>
  </r>
  <r>
    <x v="1644"/>
    <s v="East"/>
    <x v="1"/>
    <x v="1"/>
    <s v="Store"/>
    <x v="6"/>
    <s v="Electronics"/>
    <n v="150000"/>
    <n v="6"/>
    <x v="1"/>
    <n v="120000"/>
    <x v="48"/>
    <x v="48"/>
    <x v="48"/>
  </r>
  <r>
    <x v="1645"/>
    <s v="South"/>
    <x v="2"/>
    <x v="0"/>
    <s v="Store"/>
    <x v="2"/>
    <s v="Home Appliances"/>
    <n v="60000"/>
    <n v="8"/>
    <x v="4"/>
    <n v="48000"/>
    <x v="47"/>
    <x v="47"/>
    <x v="47"/>
  </r>
  <r>
    <x v="1646"/>
    <s v="West"/>
    <x v="1"/>
    <x v="0"/>
    <s v="Store"/>
    <x v="9"/>
    <s v="Home Appliances"/>
    <n v="220000"/>
    <n v="9"/>
    <x v="2"/>
    <n v="176000"/>
    <x v="64"/>
    <x v="64"/>
    <x v="64"/>
  </r>
  <r>
    <x v="1647"/>
    <s v="North"/>
    <x v="3"/>
    <x v="1"/>
    <s v="Online"/>
    <x v="3"/>
    <s v="Electronics"/>
    <n v="300000"/>
    <n v="9"/>
    <x v="3"/>
    <n v="240000"/>
    <x v="39"/>
    <x v="39"/>
    <x v="39"/>
  </r>
  <r>
    <x v="1648"/>
    <s v="West"/>
    <x v="3"/>
    <x v="0"/>
    <s v="Online"/>
    <x v="7"/>
    <s v="Electronics"/>
    <n v="420000"/>
    <n v="1"/>
    <x v="4"/>
    <n v="336000"/>
    <x v="40"/>
    <x v="40"/>
    <x v="40"/>
  </r>
  <r>
    <x v="1649"/>
    <s v="South"/>
    <x v="3"/>
    <x v="0"/>
    <s v="Store"/>
    <x v="9"/>
    <s v="Home Appliances"/>
    <n v="220000"/>
    <n v="6"/>
    <x v="3"/>
    <n v="176000"/>
    <x v="36"/>
    <x v="36"/>
    <x v="36"/>
  </r>
  <r>
    <x v="1650"/>
    <s v="West"/>
    <x v="1"/>
    <x v="0"/>
    <s v="Store"/>
    <x v="1"/>
    <s v="Home Appliances"/>
    <n v="30000"/>
    <n v="5"/>
    <x v="2"/>
    <n v="24000"/>
    <x v="26"/>
    <x v="26"/>
    <x v="26"/>
  </r>
  <r>
    <x v="1651"/>
    <s v="North"/>
    <x v="2"/>
    <x v="1"/>
    <s v="Online"/>
    <x v="1"/>
    <s v="Home Appliances"/>
    <n v="30000"/>
    <n v="9"/>
    <x v="2"/>
    <n v="24000"/>
    <x v="57"/>
    <x v="57"/>
    <x v="57"/>
  </r>
  <r>
    <x v="1652"/>
    <s v="South"/>
    <x v="0"/>
    <x v="0"/>
    <s v="Online"/>
    <x v="8"/>
    <s v="Electronics"/>
    <n v="250000"/>
    <n v="1"/>
    <x v="3"/>
    <n v="200000"/>
    <x v="44"/>
    <x v="44"/>
    <x v="44"/>
  </r>
  <r>
    <x v="1653"/>
    <s v="South"/>
    <x v="3"/>
    <x v="0"/>
    <s v="Online"/>
    <x v="9"/>
    <s v="Home Appliances"/>
    <n v="220000"/>
    <n v="8"/>
    <x v="1"/>
    <n v="176000"/>
    <x v="42"/>
    <x v="42"/>
    <x v="42"/>
  </r>
  <r>
    <x v="1654"/>
    <s v="East"/>
    <x v="1"/>
    <x v="0"/>
    <s v="Online"/>
    <x v="7"/>
    <s v="Electronics"/>
    <n v="420000"/>
    <n v="8"/>
    <x v="5"/>
    <n v="336000"/>
    <x v="19"/>
    <x v="19"/>
    <x v="19"/>
  </r>
  <r>
    <x v="1655"/>
    <s v="North"/>
    <x v="2"/>
    <x v="0"/>
    <s v="Online"/>
    <x v="3"/>
    <s v="Electronics"/>
    <n v="300000"/>
    <n v="10"/>
    <x v="3"/>
    <n v="240000"/>
    <x v="68"/>
    <x v="68"/>
    <x v="68"/>
  </r>
  <r>
    <x v="1656"/>
    <s v="North"/>
    <x v="3"/>
    <x v="0"/>
    <s v="Online"/>
    <x v="6"/>
    <s v="Electronics"/>
    <n v="150000"/>
    <n v="1"/>
    <x v="3"/>
    <n v="120000"/>
    <x v="26"/>
    <x v="26"/>
    <x v="26"/>
  </r>
  <r>
    <x v="1657"/>
    <s v="North"/>
    <x v="3"/>
    <x v="0"/>
    <s v="Store"/>
    <x v="9"/>
    <s v="Home Appliances"/>
    <n v="220000"/>
    <n v="6"/>
    <x v="2"/>
    <n v="176000"/>
    <x v="36"/>
    <x v="36"/>
    <x v="36"/>
  </r>
  <r>
    <x v="1658"/>
    <s v="North"/>
    <x v="1"/>
    <x v="1"/>
    <s v="Online"/>
    <x v="4"/>
    <s v="Home Appliances"/>
    <n v="180000"/>
    <n v="3"/>
    <x v="5"/>
    <n v="144000"/>
    <x v="46"/>
    <x v="46"/>
    <x v="46"/>
  </r>
  <r>
    <x v="1659"/>
    <s v="North"/>
    <x v="0"/>
    <x v="0"/>
    <s v="Store"/>
    <x v="2"/>
    <s v="Home Appliances"/>
    <n v="60000"/>
    <n v="10"/>
    <x v="3"/>
    <n v="48000"/>
    <x v="4"/>
    <x v="4"/>
    <x v="4"/>
  </r>
  <r>
    <x v="1660"/>
    <s v="South"/>
    <x v="0"/>
    <x v="1"/>
    <s v="Online"/>
    <x v="9"/>
    <s v="Home Appliances"/>
    <n v="220000"/>
    <n v="1"/>
    <x v="4"/>
    <n v="176000"/>
    <x v="25"/>
    <x v="25"/>
    <x v="25"/>
  </r>
  <r>
    <x v="1661"/>
    <s v="North"/>
    <x v="2"/>
    <x v="0"/>
    <s v="Store"/>
    <x v="8"/>
    <s v="Electronics"/>
    <n v="250000"/>
    <n v="5"/>
    <x v="2"/>
    <n v="200000"/>
    <x v="21"/>
    <x v="21"/>
    <x v="21"/>
  </r>
  <r>
    <x v="1662"/>
    <s v="South"/>
    <x v="1"/>
    <x v="1"/>
    <s v="Store"/>
    <x v="8"/>
    <s v="Electronics"/>
    <n v="250000"/>
    <n v="8"/>
    <x v="3"/>
    <n v="200000"/>
    <x v="52"/>
    <x v="52"/>
    <x v="52"/>
  </r>
  <r>
    <x v="1663"/>
    <s v="West"/>
    <x v="3"/>
    <x v="1"/>
    <s v="Online"/>
    <x v="6"/>
    <s v="Electronics"/>
    <n v="150000"/>
    <n v="4"/>
    <x v="1"/>
    <n v="120000"/>
    <x v="4"/>
    <x v="4"/>
    <x v="4"/>
  </r>
  <r>
    <x v="1664"/>
    <s v="South"/>
    <x v="1"/>
    <x v="0"/>
    <s v="Online"/>
    <x v="9"/>
    <s v="Home Appliances"/>
    <n v="220000"/>
    <n v="3"/>
    <x v="4"/>
    <n v="176000"/>
    <x v="49"/>
    <x v="49"/>
    <x v="49"/>
  </r>
  <r>
    <x v="1665"/>
    <s v="South"/>
    <x v="2"/>
    <x v="0"/>
    <s v="Online"/>
    <x v="4"/>
    <s v="Home Appliances"/>
    <n v="180000"/>
    <n v="7"/>
    <x v="4"/>
    <n v="144000"/>
    <x v="55"/>
    <x v="55"/>
    <x v="55"/>
  </r>
  <r>
    <x v="1666"/>
    <s v="South"/>
    <x v="1"/>
    <x v="1"/>
    <s v="Store"/>
    <x v="6"/>
    <s v="Electronics"/>
    <n v="150000"/>
    <n v="4"/>
    <x v="3"/>
    <n v="120000"/>
    <x v="4"/>
    <x v="4"/>
    <x v="4"/>
  </r>
  <r>
    <x v="1667"/>
    <s v="East"/>
    <x v="2"/>
    <x v="1"/>
    <s v="Online"/>
    <x v="6"/>
    <s v="Electronics"/>
    <n v="150000"/>
    <n v="10"/>
    <x v="1"/>
    <n v="120000"/>
    <x v="17"/>
    <x v="17"/>
    <x v="17"/>
  </r>
  <r>
    <x v="1668"/>
    <s v="West"/>
    <x v="1"/>
    <x v="0"/>
    <s v="Online"/>
    <x v="6"/>
    <s v="Electronics"/>
    <n v="150000"/>
    <n v="1"/>
    <x v="5"/>
    <n v="120000"/>
    <x v="26"/>
    <x v="26"/>
    <x v="26"/>
  </r>
  <r>
    <x v="1669"/>
    <s v="North"/>
    <x v="2"/>
    <x v="1"/>
    <s v="Store"/>
    <x v="6"/>
    <s v="Electronics"/>
    <n v="150000"/>
    <n v="4"/>
    <x v="1"/>
    <n v="120000"/>
    <x v="4"/>
    <x v="4"/>
    <x v="4"/>
  </r>
  <r>
    <x v="1670"/>
    <s v="West"/>
    <x v="2"/>
    <x v="1"/>
    <s v="Online"/>
    <x v="2"/>
    <s v="Home Appliances"/>
    <n v="60000"/>
    <n v="5"/>
    <x v="4"/>
    <n v="48000"/>
    <x v="11"/>
    <x v="11"/>
    <x v="11"/>
  </r>
  <r>
    <x v="1671"/>
    <s v="South"/>
    <x v="3"/>
    <x v="0"/>
    <s v="Store"/>
    <x v="9"/>
    <s v="Home Appliances"/>
    <n v="220000"/>
    <n v="7"/>
    <x v="0"/>
    <n v="176000"/>
    <x v="67"/>
    <x v="67"/>
    <x v="67"/>
  </r>
  <r>
    <x v="1672"/>
    <s v="North"/>
    <x v="1"/>
    <x v="0"/>
    <s v="Store"/>
    <x v="6"/>
    <s v="Electronics"/>
    <n v="150000"/>
    <n v="4"/>
    <x v="5"/>
    <n v="120000"/>
    <x v="4"/>
    <x v="4"/>
    <x v="4"/>
  </r>
  <r>
    <x v="1673"/>
    <s v="East"/>
    <x v="2"/>
    <x v="1"/>
    <s v="Online"/>
    <x v="5"/>
    <s v="Furniture"/>
    <n v="320000"/>
    <n v="6"/>
    <x v="0"/>
    <n v="256000"/>
    <x v="31"/>
    <x v="31"/>
    <x v="31"/>
  </r>
  <r>
    <x v="1674"/>
    <s v="South"/>
    <x v="0"/>
    <x v="0"/>
    <s v="Store"/>
    <x v="5"/>
    <s v="Furniture"/>
    <n v="320000"/>
    <n v="6"/>
    <x v="4"/>
    <n v="256000"/>
    <x v="31"/>
    <x v="31"/>
    <x v="31"/>
  </r>
  <r>
    <x v="1675"/>
    <s v="West"/>
    <x v="0"/>
    <x v="1"/>
    <s v="Store"/>
    <x v="2"/>
    <s v="Home Appliances"/>
    <n v="60000"/>
    <n v="4"/>
    <x v="4"/>
    <n v="48000"/>
    <x v="1"/>
    <x v="1"/>
    <x v="1"/>
  </r>
  <r>
    <x v="1676"/>
    <s v="North"/>
    <x v="1"/>
    <x v="0"/>
    <s v="Online"/>
    <x v="0"/>
    <s v="Furniture"/>
    <n v="85000"/>
    <n v="8"/>
    <x v="1"/>
    <n v="68000"/>
    <x v="69"/>
    <x v="69"/>
    <x v="69"/>
  </r>
  <r>
    <x v="1677"/>
    <s v="South"/>
    <x v="2"/>
    <x v="1"/>
    <s v="Online"/>
    <x v="0"/>
    <s v="Furniture"/>
    <n v="85000"/>
    <n v="2"/>
    <x v="5"/>
    <n v="68000"/>
    <x v="2"/>
    <x v="2"/>
    <x v="2"/>
  </r>
  <r>
    <x v="1678"/>
    <s v="North"/>
    <x v="2"/>
    <x v="1"/>
    <s v="Store"/>
    <x v="0"/>
    <s v="Furniture"/>
    <n v="85000"/>
    <n v="9"/>
    <x v="0"/>
    <n v="68000"/>
    <x v="18"/>
    <x v="18"/>
    <x v="18"/>
  </r>
  <r>
    <x v="1679"/>
    <s v="South"/>
    <x v="2"/>
    <x v="0"/>
    <s v="Store"/>
    <x v="7"/>
    <s v="Electronics"/>
    <n v="420000"/>
    <n v="3"/>
    <x v="3"/>
    <n v="336000"/>
    <x v="55"/>
    <x v="55"/>
    <x v="55"/>
  </r>
  <r>
    <x v="1680"/>
    <s v="North"/>
    <x v="1"/>
    <x v="0"/>
    <s v="Online"/>
    <x v="3"/>
    <s v="Electronics"/>
    <n v="300000"/>
    <n v="5"/>
    <x v="3"/>
    <n v="240000"/>
    <x v="17"/>
    <x v="17"/>
    <x v="17"/>
  </r>
  <r>
    <x v="1681"/>
    <s v="East"/>
    <x v="2"/>
    <x v="1"/>
    <s v="Store"/>
    <x v="1"/>
    <s v="Home Appliances"/>
    <n v="30000"/>
    <n v="1"/>
    <x v="0"/>
    <n v="24000"/>
    <x v="75"/>
    <x v="75"/>
    <x v="75"/>
  </r>
  <r>
    <x v="1682"/>
    <s v="West"/>
    <x v="3"/>
    <x v="1"/>
    <s v="Store"/>
    <x v="9"/>
    <s v="Home Appliances"/>
    <n v="220000"/>
    <n v="8"/>
    <x v="4"/>
    <n v="176000"/>
    <x v="42"/>
    <x v="42"/>
    <x v="42"/>
  </r>
  <r>
    <x v="1683"/>
    <s v="North"/>
    <x v="0"/>
    <x v="1"/>
    <s v="Online"/>
    <x v="5"/>
    <s v="Furniture"/>
    <n v="320000"/>
    <n v="5"/>
    <x v="0"/>
    <n v="256000"/>
    <x v="28"/>
    <x v="28"/>
    <x v="28"/>
  </r>
  <r>
    <x v="1684"/>
    <s v="East"/>
    <x v="1"/>
    <x v="1"/>
    <s v="Online"/>
    <x v="3"/>
    <s v="Electronics"/>
    <n v="300000"/>
    <n v="10"/>
    <x v="3"/>
    <n v="240000"/>
    <x v="68"/>
    <x v="68"/>
    <x v="68"/>
  </r>
  <r>
    <x v="1685"/>
    <s v="North"/>
    <x v="0"/>
    <x v="0"/>
    <s v="Store"/>
    <x v="9"/>
    <s v="Home Appliances"/>
    <n v="220000"/>
    <n v="1"/>
    <x v="0"/>
    <n v="176000"/>
    <x v="25"/>
    <x v="25"/>
    <x v="25"/>
  </r>
  <r>
    <x v="1686"/>
    <s v="South"/>
    <x v="2"/>
    <x v="1"/>
    <s v="Online"/>
    <x v="1"/>
    <s v="Home Appliances"/>
    <n v="30000"/>
    <n v="6"/>
    <x v="1"/>
    <n v="24000"/>
    <x v="32"/>
    <x v="32"/>
    <x v="32"/>
  </r>
  <r>
    <x v="1687"/>
    <s v="North"/>
    <x v="1"/>
    <x v="0"/>
    <s v="Online"/>
    <x v="7"/>
    <s v="Electronics"/>
    <n v="420000"/>
    <n v="1"/>
    <x v="5"/>
    <n v="336000"/>
    <x v="40"/>
    <x v="40"/>
    <x v="40"/>
  </r>
  <r>
    <x v="1688"/>
    <s v="South"/>
    <x v="3"/>
    <x v="1"/>
    <s v="Store"/>
    <x v="7"/>
    <s v="Electronics"/>
    <n v="420000"/>
    <n v="6"/>
    <x v="4"/>
    <n v="336000"/>
    <x v="76"/>
    <x v="76"/>
    <x v="76"/>
  </r>
  <r>
    <x v="1689"/>
    <s v="South"/>
    <x v="3"/>
    <x v="0"/>
    <s v="Store"/>
    <x v="0"/>
    <s v="Furniture"/>
    <n v="85000"/>
    <n v="7"/>
    <x v="3"/>
    <n v="68000"/>
    <x v="30"/>
    <x v="30"/>
    <x v="30"/>
  </r>
  <r>
    <x v="1690"/>
    <s v="South"/>
    <x v="1"/>
    <x v="1"/>
    <s v="Store"/>
    <x v="6"/>
    <s v="Electronics"/>
    <n v="150000"/>
    <n v="7"/>
    <x v="5"/>
    <n v="120000"/>
    <x v="16"/>
    <x v="16"/>
    <x v="16"/>
  </r>
  <r>
    <x v="1691"/>
    <s v="West"/>
    <x v="1"/>
    <x v="0"/>
    <s v="Store"/>
    <x v="6"/>
    <s v="Electronics"/>
    <n v="150000"/>
    <n v="10"/>
    <x v="0"/>
    <n v="120000"/>
    <x v="17"/>
    <x v="17"/>
    <x v="17"/>
  </r>
  <r>
    <x v="1692"/>
    <s v="East"/>
    <x v="0"/>
    <x v="0"/>
    <s v="Store"/>
    <x v="1"/>
    <s v="Home Appliances"/>
    <n v="30000"/>
    <n v="9"/>
    <x v="0"/>
    <n v="24000"/>
    <x v="57"/>
    <x v="57"/>
    <x v="57"/>
  </r>
  <r>
    <x v="1693"/>
    <s v="South"/>
    <x v="2"/>
    <x v="1"/>
    <s v="Online"/>
    <x v="5"/>
    <s v="Furniture"/>
    <n v="320000"/>
    <n v="8"/>
    <x v="4"/>
    <n v="256000"/>
    <x v="72"/>
    <x v="72"/>
    <x v="72"/>
  </r>
  <r>
    <x v="1694"/>
    <s v="East"/>
    <x v="3"/>
    <x v="0"/>
    <s v="Store"/>
    <x v="1"/>
    <s v="Home Appliances"/>
    <n v="30000"/>
    <n v="9"/>
    <x v="2"/>
    <n v="24000"/>
    <x v="57"/>
    <x v="57"/>
    <x v="57"/>
  </r>
  <r>
    <x v="1695"/>
    <s v="East"/>
    <x v="2"/>
    <x v="1"/>
    <s v="Online"/>
    <x v="8"/>
    <s v="Electronics"/>
    <n v="250000"/>
    <n v="3"/>
    <x v="1"/>
    <n v="200000"/>
    <x v="56"/>
    <x v="56"/>
    <x v="56"/>
  </r>
  <r>
    <x v="1696"/>
    <s v="East"/>
    <x v="1"/>
    <x v="1"/>
    <s v="Online"/>
    <x v="2"/>
    <s v="Home Appliances"/>
    <n v="60000"/>
    <n v="2"/>
    <x v="1"/>
    <n v="48000"/>
    <x v="3"/>
    <x v="3"/>
    <x v="3"/>
  </r>
  <r>
    <x v="1697"/>
    <s v="West"/>
    <x v="3"/>
    <x v="0"/>
    <s v="Store"/>
    <x v="5"/>
    <s v="Furniture"/>
    <n v="320000"/>
    <n v="3"/>
    <x v="2"/>
    <n v="256000"/>
    <x v="9"/>
    <x v="9"/>
    <x v="9"/>
  </r>
  <r>
    <x v="1698"/>
    <s v="East"/>
    <x v="2"/>
    <x v="0"/>
    <s v="Online"/>
    <x v="3"/>
    <s v="Electronics"/>
    <n v="300000"/>
    <n v="9"/>
    <x v="1"/>
    <n v="240000"/>
    <x v="39"/>
    <x v="39"/>
    <x v="39"/>
  </r>
  <r>
    <x v="1699"/>
    <s v="East"/>
    <x v="3"/>
    <x v="0"/>
    <s v="Online"/>
    <x v="7"/>
    <s v="Electronics"/>
    <n v="420000"/>
    <n v="4"/>
    <x v="5"/>
    <n v="336000"/>
    <x v="45"/>
    <x v="45"/>
    <x v="45"/>
  </r>
  <r>
    <x v="1700"/>
    <s v="West"/>
    <x v="0"/>
    <x v="0"/>
    <s v="Store"/>
    <x v="5"/>
    <s v="Furniture"/>
    <n v="320000"/>
    <n v="6"/>
    <x v="3"/>
    <n v="256000"/>
    <x v="31"/>
    <x v="31"/>
    <x v="31"/>
  </r>
  <r>
    <x v="1701"/>
    <s v="West"/>
    <x v="3"/>
    <x v="0"/>
    <s v="Store"/>
    <x v="9"/>
    <s v="Home Appliances"/>
    <n v="220000"/>
    <n v="4"/>
    <x v="5"/>
    <n v="176000"/>
    <x v="22"/>
    <x v="22"/>
    <x v="22"/>
  </r>
  <r>
    <x v="1702"/>
    <s v="South"/>
    <x v="3"/>
    <x v="0"/>
    <s v="Store"/>
    <x v="0"/>
    <s v="Furniture"/>
    <n v="85000"/>
    <n v="8"/>
    <x v="1"/>
    <n v="68000"/>
    <x v="69"/>
    <x v="69"/>
    <x v="69"/>
  </r>
  <r>
    <x v="1703"/>
    <s v="West"/>
    <x v="0"/>
    <x v="0"/>
    <s v="Store"/>
    <x v="7"/>
    <s v="Electronics"/>
    <n v="420000"/>
    <n v="7"/>
    <x v="2"/>
    <n v="336000"/>
    <x v="70"/>
    <x v="70"/>
    <x v="70"/>
  </r>
  <r>
    <x v="1704"/>
    <s v="East"/>
    <x v="3"/>
    <x v="1"/>
    <s v="Store"/>
    <x v="9"/>
    <s v="Home Appliances"/>
    <n v="220000"/>
    <n v="2"/>
    <x v="0"/>
    <n v="176000"/>
    <x v="15"/>
    <x v="15"/>
    <x v="15"/>
  </r>
  <r>
    <x v="1705"/>
    <s v="North"/>
    <x v="2"/>
    <x v="0"/>
    <s v="Online"/>
    <x v="6"/>
    <s v="Electronics"/>
    <n v="150000"/>
    <n v="1"/>
    <x v="3"/>
    <n v="120000"/>
    <x v="26"/>
    <x v="26"/>
    <x v="26"/>
  </r>
  <r>
    <x v="1706"/>
    <s v="North"/>
    <x v="0"/>
    <x v="1"/>
    <s v="Store"/>
    <x v="7"/>
    <s v="Electronics"/>
    <n v="420000"/>
    <n v="4"/>
    <x v="4"/>
    <n v="336000"/>
    <x v="45"/>
    <x v="45"/>
    <x v="45"/>
  </r>
  <r>
    <x v="1707"/>
    <s v="South"/>
    <x v="1"/>
    <x v="1"/>
    <s v="Online"/>
    <x v="3"/>
    <s v="Electronics"/>
    <n v="300000"/>
    <n v="1"/>
    <x v="2"/>
    <n v="240000"/>
    <x v="11"/>
    <x v="11"/>
    <x v="11"/>
  </r>
  <r>
    <x v="1708"/>
    <s v="West"/>
    <x v="1"/>
    <x v="0"/>
    <s v="Store"/>
    <x v="3"/>
    <s v="Electronics"/>
    <n v="300000"/>
    <n v="9"/>
    <x v="1"/>
    <n v="240000"/>
    <x v="39"/>
    <x v="39"/>
    <x v="39"/>
  </r>
  <r>
    <x v="1709"/>
    <s v="South"/>
    <x v="3"/>
    <x v="0"/>
    <s v="Online"/>
    <x v="8"/>
    <s v="Electronics"/>
    <n v="250000"/>
    <n v="6"/>
    <x v="1"/>
    <n v="200000"/>
    <x v="17"/>
    <x v="17"/>
    <x v="17"/>
  </r>
  <r>
    <x v="1710"/>
    <s v="North"/>
    <x v="2"/>
    <x v="0"/>
    <s v="Store"/>
    <x v="1"/>
    <s v="Home Appliances"/>
    <n v="30000"/>
    <n v="7"/>
    <x v="2"/>
    <n v="24000"/>
    <x v="54"/>
    <x v="54"/>
    <x v="54"/>
  </r>
  <r>
    <x v="1711"/>
    <s v="South"/>
    <x v="0"/>
    <x v="1"/>
    <s v="Online"/>
    <x v="0"/>
    <s v="Furniture"/>
    <n v="85000"/>
    <n v="7"/>
    <x v="5"/>
    <n v="68000"/>
    <x v="30"/>
    <x v="30"/>
    <x v="30"/>
  </r>
  <r>
    <x v="1712"/>
    <s v="West"/>
    <x v="3"/>
    <x v="1"/>
    <s v="Online"/>
    <x v="0"/>
    <s v="Furniture"/>
    <n v="85000"/>
    <n v="7"/>
    <x v="5"/>
    <n v="68000"/>
    <x v="30"/>
    <x v="30"/>
    <x v="30"/>
  </r>
  <r>
    <x v="1713"/>
    <s v="South"/>
    <x v="2"/>
    <x v="0"/>
    <s v="Online"/>
    <x v="1"/>
    <s v="Home Appliances"/>
    <n v="30000"/>
    <n v="4"/>
    <x v="0"/>
    <n v="24000"/>
    <x v="3"/>
    <x v="3"/>
    <x v="3"/>
  </r>
  <r>
    <x v="1714"/>
    <s v="West"/>
    <x v="2"/>
    <x v="0"/>
    <s v="Online"/>
    <x v="6"/>
    <s v="Electronics"/>
    <n v="150000"/>
    <n v="9"/>
    <x v="1"/>
    <n v="120000"/>
    <x v="63"/>
    <x v="63"/>
    <x v="63"/>
  </r>
  <r>
    <x v="1715"/>
    <s v="North"/>
    <x v="0"/>
    <x v="1"/>
    <s v="Store"/>
    <x v="9"/>
    <s v="Home Appliances"/>
    <n v="220000"/>
    <n v="9"/>
    <x v="5"/>
    <n v="176000"/>
    <x v="64"/>
    <x v="64"/>
    <x v="64"/>
  </r>
  <r>
    <x v="1716"/>
    <s v="East"/>
    <x v="2"/>
    <x v="1"/>
    <s v="Online"/>
    <x v="1"/>
    <s v="Home Appliances"/>
    <n v="30000"/>
    <n v="8"/>
    <x v="4"/>
    <n v="24000"/>
    <x v="1"/>
    <x v="1"/>
    <x v="1"/>
  </r>
  <r>
    <x v="1717"/>
    <s v="East"/>
    <x v="2"/>
    <x v="0"/>
    <s v="Online"/>
    <x v="0"/>
    <s v="Furniture"/>
    <n v="85000"/>
    <n v="2"/>
    <x v="1"/>
    <n v="68000"/>
    <x v="2"/>
    <x v="2"/>
    <x v="2"/>
  </r>
  <r>
    <x v="1718"/>
    <s v="South"/>
    <x v="1"/>
    <x v="1"/>
    <s v="Online"/>
    <x v="4"/>
    <s v="Home Appliances"/>
    <n v="180000"/>
    <n v="9"/>
    <x v="1"/>
    <n v="144000"/>
    <x v="27"/>
    <x v="27"/>
    <x v="27"/>
  </r>
  <r>
    <x v="1719"/>
    <s v="East"/>
    <x v="2"/>
    <x v="0"/>
    <s v="Online"/>
    <x v="6"/>
    <s v="Electronics"/>
    <n v="150000"/>
    <n v="8"/>
    <x v="5"/>
    <n v="120000"/>
    <x v="29"/>
    <x v="29"/>
    <x v="29"/>
  </r>
  <r>
    <x v="1720"/>
    <s v="North"/>
    <x v="0"/>
    <x v="0"/>
    <s v="Online"/>
    <x v="2"/>
    <s v="Home Appliances"/>
    <n v="60000"/>
    <n v="8"/>
    <x v="4"/>
    <n v="48000"/>
    <x v="47"/>
    <x v="47"/>
    <x v="47"/>
  </r>
  <r>
    <x v="1721"/>
    <s v="West"/>
    <x v="0"/>
    <x v="0"/>
    <s v="Store"/>
    <x v="3"/>
    <s v="Electronics"/>
    <n v="300000"/>
    <n v="5"/>
    <x v="2"/>
    <n v="240000"/>
    <x v="17"/>
    <x v="17"/>
    <x v="17"/>
  </r>
  <r>
    <x v="1722"/>
    <s v="North"/>
    <x v="1"/>
    <x v="0"/>
    <s v="Online"/>
    <x v="1"/>
    <s v="Home Appliances"/>
    <n v="30000"/>
    <n v="8"/>
    <x v="3"/>
    <n v="24000"/>
    <x v="1"/>
    <x v="1"/>
    <x v="1"/>
  </r>
  <r>
    <x v="1723"/>
    <s v="North"/>
    <x v="0"/>
    <x v="1"/>
    <s v="Store"/>
    <x v="7"/>
    <s v="Electronics"/>
    <n v="420000"/>
    <n v="3"/>
    <x v="1"/>
    <n v="336000"/>
    <x v="55"/>
    <x v="55"/>
    <x v="55"/>
  </r>
  <r>
    <x v="1724"/>
    <s v="West"/>
    <x v="0"/>
    <x v="1"/>
    <s v="Online"/>
    <x v="7"/>
    <s v="Electronics"/>
    <n v="420000"/>
    <n v="7"/>
    <x v="5"/>
    <n v="336000"/>
    <x v="70"/>
    <x v="70"/>
    <x v="70"/>
  </r>
  <r>
    <x v="1725"/>
    <s v="East"/>
    <x v="1"/>
    <x v="1"/>
    <s v="Online"/>
    <x v="0"/>
    <s v="Furniture"/>
    <n v="85000"/>
    <n v="9"/>
    <x v="5"/>
    <n v="68000"/>
    <x v="18"/>
    <x v="18"/>
    <x v="18"/>
  </r>
  <r>
    <x v="1726"/>
    <s v="East"/>
    <x v="1"/>
    <x v="1"/>
    <s v="Online"/>
    <x v="3"/>
    <s v="Electronics"/>
    <n v="300000"/>
    <n v="8"/>
    <x v="2"/>
    <n v="240000"/>
    <x v="24"/>
    <x v="24"/>
    <x v="24"/>
  </r>
  <r>
    <x v="1727"/>
    <s v="North"/>
    <x v="3"/>
    <x v="0"/>
    <s v="Store"/>
    <x v="7"/>
    <s v="Electronics"/>
    <n v="420000"/>
    <n v="6"/>
    <x v="0"/>
    <n v="336000"/>
    <x v="76"/>
    <x v="76"/>
    <x v="76"/>
  </r>
  <r>
    <x v="1728"/>
    <s v="South"/>
    <x v="3"/>
    <x v="1"/>
    <s v="Online"/>
    <x v="6"/>
    <s v="Electronics"/>
    <n v="150000"/>
    <n v="9"/>
    <x v="3"/>
    <n v="120000"/>
    <x v="63"/>
    <x v="63"/>
    <x v="63"/>
  </r>
  <r>
    <x v="1729"/>
    <s v="East"/>
    <x v="2"/>
    <x v="0"/>
    <s v="Store"/>
    <x v="1"/>
    <s v="Home Appliances"/>
    <n v="30000"/>
    <n v="3"/>
    <x v="2"/>
    <n v="24000"/>
    <x v="33"/>
    <x v="33"/>
    <x v="33"/>
  </r>
  <r>
    <x v="1730"/>
    <s v="East"/>
    <x v="2"/>
    <x v="0"/>
    <s v="Store"/>
    <x v="1"/>
    <s v="Home Appliances"/>
    <n v="30000"/>
    <n v="4"/>
    <x v="4"/>
    <n v="24000"/>
    <x v="3"/>
    <x v="3"/>
    <x v="3"/>
  </r>
  <r>
    <x v="1731"/>
    <s v="North"/>
    <x v="1"/>
    <x v="1"/>
    <s v="Online"/>
    <x v="2"/>
    <s v="Home Appliances"/>
    <n v="60000"/>
    <n v="4"/>
    <x v="4"/>
    <n v="48000"/>
    <x v="1"/>
    <x v="1"/>
    <x v="1"/>
  </r>
  <r>
    <x v="1732"/>
    <s v="North"/>
    <x v="2"/>
    <x v="0"/>
    <s v="Store"/>
    <x v="8"/>
    <s v="Electronics"/>
    <n v="250000"/>
    <n v="8"/>
    <x v="0"/>
    <n v="200000"/>
    <x v="52"/>
    <x v="52"/>
    <x v="52"/>
  </r>
  <r>
    <x v="1733"/>
    <s v="North"/>
    <x v="3"/>
    <x v="1"/>
    <s v="Online"/>
    <x v="1"/>
    <s v="Home Appliances"/>
    <n v="30000"/>
    <n v="6"/>
    <x v="2"/>
    <n v="24000"/>
    <x v="32"/>
    <x v="32"/>
    <x v="32"/>
  </r>
  <r>
    <x v="1734"/>
    <s v="South"/>
    <x v="1"/>
    <x v="1"/>
    <s v="Store"/>
    <x v="8"/>
    <s v="Electronics"/>
    <n v="250000"/>
    <n v="1"/>
    <x v="1"/>
    <n v="200000"/>
    <x v="44"/>
    <x v="44"/>
    <x v="44"/>
  </r>
  <r>
    <x v="1735"/>
    <s v="West"/>
    <x v="0"/>
    <x v="0"/>
    <s v="Online"/>
    <x v="0"/>
    <s v="Furniture"/>
    <n v="85000"/>
    <n v="1"/>
    <x v="3"/>
    <n v="68000"/>
    <x v="0"/>
    <x v="0"/>
    <x v="0"/>
  </r>
  <r>
    <x v="1736"/>
    <s v="North"/>
    <x v="0"/>
    <x v="1"/>
    <s v="Store"/>
    <x v="1"/>
    <s v="Home Appliances"/>
    <n v="30000"/>
    <n v="9"/>
    <x v="0"/>
    <n v="24000"/>
    <x v="57"/>
    <x v="57"/>
    <x v="57"/>
  </r>
  <r>
    <x v="1737"/>
    <s v="South"/>
    <x v="3"/>
    <x v="1"/>
    <s v="Store"/>
    <x v="1"/>
    <s v="Home Appliances"/>
    <n v="30000"/>
    <n v="3"/>
    <x v="0"/>
    <n v="24000"/>
    <x v="33"/>
    <x v="33"/>
    <x v="33"/>
  </r>
  <r>
    <x v="1738"/>
    <s v="South"/>
    <x v="0"/>
    <x v="1"/>
    <s v="Store"/>
    <x v="6"/>
    <s v="Electronics"/>
    <n v="150000"/>
    <n v="8"/>
    <x v="2"/>
    <n v="120000"/>
    <x v="29"/>
    <x v="29"/>
    <x v="29"/>
  </r>
  <r>
    <x v="1739"/>
    <s v="North"/>
    <x v="2"/>
    <x v="0"/>
    <s v="Store"/>
    <x v="0"/>
    <s v="Furniture"/>
    <n v="85000"/>
    <n v="4"/>
    <x v="1"/>
    <n v="68000"/>
    <x v="74"/>
    <x v="74"/>
    <x v="74"/>
  </r>
  <r>
    <x v="1740"/>
    <s v="West"/>
    <x v="2"/>
    <x v="1"/>
    <s v="Store"/>
    <x v="5"/>
    <s v="Furniture"/>
    <n v="320000"/>
    <n v="3"/>
    <x v="2"/>
    <n v="256000"/>
    <x v="9"/>
    <x v="9"/>
    <x v="9"/>
  </r>
  <r>
    <x v="1741"/>
    <s v="East"/>
    <x v="3"/>
    <x v="0"/>
    <s v="Online"/>
    <x v="2"/>
    <s v="Home Appliances"/>
    <n v="60000"/>
    <n v="7"/>
    <x v="1"/>
    <n v="48000"/>
    <x v="40"/>
    <x v="40"/>
    <x v="40"/>
  </r>
  <r>
    <x v="1742"/>
    <s v="East"/>
    <x v="3"/>
    <x v="1"/>
    <s v="Store"/>
    <x v="3"/>
    <s v="Electronics"/>
    <n v="300000"/>
    <n v="6"/>
    <x v="1"/>
    <n v="240000"/>
    <x v="5"/>
    <x v="5"/>
    <x v="5"/>
  </r>
  <r>
    <x v="1743"/>
    <s v="South"/>
    <x v="3"/>
    <x v="0"/>
    <s v="Online"/>
    <x v="6"/>
    <s v="Electronics"/>
    <n v="150000"/>
    <n v="6"/>
    <x v="3"/>
    <n v="120000"/>
    <x v="48"/>
    <x v="48"/>
    <x v="48"/>
  </r>
  <r>
    <x v="1744"/>
    <s v="South"/>
    <x v="0"/>
    <x v="1"/>
    <s v="Online"/>
    <x v="3"/>
    <s v="Electronics"/>
    <n v="300000"/>
    <n v="10"/>
    <x v="2"/>
    <n v="240000"/>
    <x v="68"/>
    <x v="68"/>
    <x v="68"/>
  </r>
  <r>
    <x v="1745"/>
    <s v="East"/>
    <x v="1"/>
    <x v="0"/>
    <s v="Online"/>
    <x v="7"/>
    <s v="Electronics"/>
    <n v="420000"/>
    <n v="1"/>
    <x v="0"/>
    <n v="336000"/>
    <x v="40"/>
    <x v="40"/>
    <x v="40"/>
  </r>
  <r>
    <x v="1746"/>
    <s v="West"/>
    <x v="0"/>
    <x v="0"/>
    <s v="Store"/>
    <x v="2"/>
    <s v="Home Appliances"/>
    <n v="60000"/>
    <n v="1"/>
    <x v="1"/>
    <n v="48000"/>
    <x v="41"/>
    <x v="41"/>
    <x v="41"/>
  </r>
  <r>
    <x v="1747"/>
    <s v="North"/>
    <x v="1"/>
    <x v="0"/>
    <s v="Online"/>
    <x v="6"/>
    <s v="Electronics"/>
    <n v="150000"/>
    <n v="10"/>
    <x v="5"/>
    <n v="120000"/>
    <x v="17"/>
    <x v="17"/>
    <x v="17"/>
  </r>
  <r>
    <x v="1748"/>
    <s v="West"/>
    <x v="3"/>
    <x v="0"/>
    <s v="Online"/>
    <x v="4"/>
    <s v="Home Appliances"/>
    <n v="180000"/>
    <n v="10"/>
    <x v="2"/>
    <n v="144000"/>
    <x v="5"/>
    <x v="5"/>
    <x v="5"/>
  </r>
  <r>
    <x v="1749"/>
    <s v="South"/>
    <x v="0"/>
    <x v="1"/>
    <s v="Online"/>
    <x v="6"/>
    <s v="Electronics"/>
    <n v="150000"/>
    <n v="10"/>
    <x v="1"/>
    <n v="120000"/>
    <x v="17"/>
    <x v="17"/>
    <x v="17"/>
  </r>
  <r>
    <x v="1750"/>
    <s v="East"/>
    <x v="0"/>
    <x v="1"/>
    <s v="Store"/>
    <x v="2"/>
    <s v="Home Appliances"/>
    <n v="60000"/>
    <n v="8"/>
    <x v="5"/>
    <n v="48000"/>
    <x v="47"/>
    <x v="47"/>
    <x v="47"/>
  </r>
  <r>
    <x v="1751"/>
    <s v="North"/>
    <x v="0"/>
    <x v="0"/>
    <s v="Online"/>
    <x v="9"/>
    <s v="Home Appliances"/>
    <n v="220000"/>
    <n v="7"/>
    <x v="4"/>
    <n v="176000"/>
    <x v="67"/>
    <x v="67"/>
    <x v="67"/>
  </r>
  <r>
    <x v="1752"/>
    <s v="East"/>
    <x v="3"/>
    <x v="0"/>
    <s v="Online"/>
    <x v="1"/>
    <s v="Home Appliances"/>
    <n v="30000"/>
    <n v="1"/>
    <x v="3"/>
    <n v="24000"/>
    <x v="75"/>
    <x v="75"/>
    <x v="75"/>
  </r>
  <r>
    <x v="1753"/>
    <s v="East"/>
    <x v="1"/>
    <x v="1"/>
    <s v="Store"/>
    <x v="6"/>
    <s v="Electronics"/>
    <n v="150000"/>
    <n v="6"/>
    <x v="0"/>
    <n v="120000"/>
    <x v="48"/>
    <x v="48"/>
    <x v="48"/>
  </r>
  <r>
    <x v="1754"/>
    <s v="South"/>
    <x v="3"/>
    <x v="0"/>
    <s v="Store"/>
    <x v="1"/>
    <s v="Home Appliances"/>
    <n v="30000"/>
    <n v="4"/>
    <x v="0"/>
    <n v="24000"/>
    <x v="3"/>
    <x v="3"/>
    <x v="3"/>
  </r>
  <r>
    <x v="1755"/>
    <s v="South"/>
    <x v="2"/>
    <x v="1"/>
    <s v="Online"/>
    <x v="9"/>
    <s v="Home Appliances"/>
    <n v="220000"/>
    <n v="1"/>
    <x v="2"/>
    <n v="176000"/>
    <x v="25"/>
    <x v="25"/>
    <x v="25"/>
  </r>
  <r>
    <x v="1756"/>
    <s v="South"/>
    <x v="1"/>
    <x v="0"/>
    <s v="Online"/>
    <x v="2"/>
    <s v="Home Appliances"/>
    <n v="60000"/>
    <n v="6"/>
    <x v="1"/>
    <n v="48000"/>
    <x v="50"/>
    <x v="50"/>
    <x v="50"/>
  </r>
  <r>
    <x v="1757"/>
    <s v="South"/>
    <x v="0"/>
    <x v="1"/>
    <s v="Store"/>
    <x v="8"/>
    <s v="Electronics"/>
    <n v="250000"/>
    <n v="7"/>
    <x v="5"/>
    <n v="200000"/>
    <x v="59"/>
    <x v="59"/>
    <x v="59"/>
  </r>
  <r>
    <x v="1758"/>
    <s v="East"/>
    <x v="2"/>
    <x v="1"/>
    <s v="Online"/>
    <x v="9"/>
    <s v="Home Appliances"/>
    <n v="220000"/>
    <n v="9"/>
    <x v="3"/>
    <n v="176000"/>
    <x v="64"/>
    <x v="64"/>
    <x v="64"/>
  </r>
  <r>
    <x v="1759"/>
    <s v="South"/>
    <x v="2"/>
    <x v="1"/>
    <s v="Online"/>
    <x v="1"/>
    <s v="Home Appliances"/>
    <n v="30000"/>
    <n v="10"/>
    <x v="2"/>
    <n v="24000"/>
    <x v="11"/>
    <x v="11"/>
    <x v="11"/>
  </r>
  <r>
    <x v="1760"/>
    <s v="East"/>
    <x v="2"/>
    <x v="0"/>
    <s v="Online"/>
    <x v="6"/>
    <s v="Electronics"/>
    <n v="150000"/>
    <n v="1"/>
    <x v="1"/>
    <n v="120000"/>
    <x v="26"/>
    <x v="26"/>
    <x v="26"/>
  </r>
  <r>
    <x v="1761"/>
    <s v="North"/>
    <x v="0"/>
    <x v="0"/>
    <s v="Online"/>
    <x v="4"/>
    <s v="Home Appliances"/>
    <n v="180000"/>
    <n v="3"/>
    <x v="3"/>
    <n v="144000"/>
    <x v="46"/>
    <x v="46"/>
    <x v="46"/>
  </r>
  <r>
    <x v="1762"/>
    <s v="South"/>
    <x v="0"/>
    <x v="1"/>
    <s v="Online"/>
    <x v="7"/>
    <s v="Electronics"/>
    <n v="420000"/>
    <n v="10"/>
    <x v="3"/>
    <n v="336000"/>
    <x v="20"/>
    <x v="20"/>
    <x v="20"/>
  </r>
  <r>
    <x v="1763"/>
    <s v="North"/>
    <x v="0"/>
    <x v="1"/>
    <s v="Online"/>
    <x v="0"/>
    <s v="Furniture"/>
    <n v="85000"/>
    <n v="2"/>
    <x v="4"/>
    <n v="68000"/>
    <x v="2"/>
    <x v="2"/>
    <x v="2"/>
  </r>
  <r>
    <x v="1764"/>
    <s v="West"/>
    <x v="2"/>
    <x v="1"/>
    <s v="Online"/>
    <x v="2"/>
    <s v="Home Appliances"/>
    <n v="60000"/>
    <n v="4"/>
    <x v="4"/>
    <n v="48000"/>
    <x v="1"/>
    <x v="1"/>
    <x v="1"/>
  </r>
  <r>
    <x v="1765"/>
    <s v="North"/>
    <x v="1"/>
    <x v="1"/>
    <s v="Online"/>
    <x v="6"/>
    <s v="Electronics"/>
    <n v="150000"/>
    <n v="9"/>
    <x v="4"/>
    <n v="120000"/>
    <x v="63"/>
    <x v="63"/>
    <x v="63"/>
  </r>
  <r>
    <x v="1766"/>
    <s v="South"/>
    <x v="3"/>
    <x v="0"/>
    <s v="Store"/>
    <x v="7"/>
    <s v="Electronics"/>
    <n v="420000"/>
    <n v="1"/>
    <x v="3"/>
    <n v="336000"/>
    <x v="40"/>
    <x v="40"/>
    <x v="40"/>
  </r>
  <r>
    <x v="1767"/>
    <s v="East"/>
    <x v="1"/>
    <x v="0"/>
    <s v="Online"/>
    <x v="7"/>
    <s v="Electronics"/>
    <n v="420000"/>
    <n v="9"/>
    <x v="4"/>
    <n v="336000"/>
    <x v="12"/>
    <x v="12"/>
    <x v="12"/>
  </r>
  <r>
    <x v="1768"/>
    <s v="West"/>
    <x v="3"/>
    <x v="1"/>
    <s v="Store"/>
    <x v="7"/>
    <s v="Electronics"/>
    <n v="420000"/>
    <n v="9"/>
    <x v="5"/>
    <n v="336000"/>
    <x v="12"/>
    <x v="12"/>
    <x v="12"/>
  </r>
  <r>
    <x v="1769"/>
    <s v="West"/>
    <x v="3"/>
    <x v="0"/>
    <s v="Store"/>
    <x v="0"/>
    <s v="Furniture"/>
    <n v="85000"/>
    <n v="6"/>
    <x v="1"/>
    <n v="68000"/>
    <x v="60"/>
    <x v="60"/>
    <x v="60"/>
  </r>
  <r>
    <x v="1770"/>
    <s v="North"/>
    <x v="3"/>
    <x v="1"/>
    <s v="Online"/>
    <x v="5"/>
    <s v="Furniture"/>
    <n v="320000"/>
    <n v="3"/>
    <x v="3"/>
    <n v="256000"/>
    <x v="9"/>
    <x v="9"/>
    <x v="9"/>
  </r>
  <r>
    <x v="1771"/>
    <s v="North"/>
    <x v="1"/>
    <x v="1"/>
    <s v="Online"/>
    <x v="4"/>
    <s v="Home Appliances"/>
    <n v="180000"/>
    <n v="8"/>
    <x v="2"/>
    <n v="144000"/>
    <x v="37"/>
    <x v="37"/>
    <x v="37"/>
  </r>
  <r>
    <x v="1772"/>
    <s v="West"/>
    <x v="0"/>
    <x v="0"/>
    <s v="Online"/>
    <x v="0"/>
    <s v="Furniture"/>
    <n v="85000"/>
    <n v="6"/>
    <x v="3"/>
    <n v="68000"/>
    <x v="60"/>
    <x v="60"/>
    <x v="60"/>
  </r>
  <r>
    <x v="1773"/>
    <s v="West"/>
    <x v="3"/>
    <x v="0"/>
    <s v="Online"/>
    <x v="3"/>
    <s v="Electronics"/>
    <n v="300000"/>
    <n v="3"/>
    <x v="0"/>
    <n v="240000"/>
    <x v="48"/>
    <x v="48"/>
    <x v="48"/>
  </r>
  <r>
    <x v="1774"/>
    <s v="North"/>
    <x v="0"/>
    <x v="1"/>
    <s v="Store"/>
    <x v="4"/>
    <s v="Home Appliances"/>
    <n v="180000"/>
    <n v="1"/>
    <x v="2"/>
    <n v="144000"/>
    <x v="32"/>
    <x v="32"/>
    <x v="32"/>
  </r>
  <r>
    <x v="1775"/>
    <s v="East"/>
    <x v="2"/>
    <x v="0"/>
    <s v="Online"/>
    <x v="9"/>
    <s v="Home Appliances"/>
    <n v="220000"/>
    <n v="1"/>
    <x v="4"/>
    <n v="176000"/>
    <x v="25"/>
    <x v="25"/>
    <x v="25"/>
  </r>
  <r>
    <x v="1776"/>
    <s v="South"/>
    <x v="3"/>
    <x v="0"/>
    <s v="Store"/>
    <x v="1"/>
    <s v="Home Appliances"/>
    <n v="30000"/>
    <n v="1"/>
    <x v="4"/>
    <n v="24000"/>
    <x v="75"/>
    <x v="75"/>
    <x v="75"/>
  </r>
  <r>
    <x v="1777"/>
    <s v="East"/>
    <x v="0"/>
    <x v="1"/>
    <s v="Store"/>
    <x v="2"/>
    <s v="Home Appliances"/>
    <n v="60000"/>
    <n v="2"/>
    <x v="5"/>
    <n v="48000"/>
    <x v="3"/>
    <x v="3"/>
    <x v="3"/>
  </r>
  <r>
    <x v="1778"/>
    <s v="West"/>
    <x v="1"/>
    <x v="0"/>
    <s v="Store"/>
    <x v="8"/>
    <s v="Electronics"/>
    <n v="250000"/>
    <n v="7"/>
    <x v="4"/>
    <n v="200000"/>
    <x v="59"/>
    <x v="59"/>
    <x v="59"/>
  </r>
  <r>
    <x v="1779"/>
    <s v="West"/>
    <x v="2"/>
    <x v="1"/>
    <s v="Online"/>
    <x v="7"/>
    <s v="Electronics"/>
    <n v="420000"/>
    <n v="10"/>
    <x v="2"/>
    <n v="336000"/>
    <x v="20"/>
    <x v="20"/>
    <x v="20"/>
  </r>
  <r>
    <x v="1780"/>
    <s v="West"/>
    <x v="0"/>
    <x v="1"/>
    <s v="Online"/>
    <x v="5"/>
    <s v="Furniture"/>
    <n v="320000"/>
    <n v="10"/>
    <x v="3"/>
    <n v="256000"/>
    <x v="35"/>
    <x v="35"/>
    <x v="35"/>
  </r>
  <r>
    <x v="1781"/>
    <s v="South"/>
    <x v="3"/>
    <x v="0"/>
    <s v="Online"/>
    <x v="3"/>
    <s v="Electronics"/>
    <n v="300000"/>
    <n v="1"/>
    <x v="2"/>
    <n v="240000"/>
    <x v="11"/>
    <x v="11"/>
    <x v="11"/>
  </r>
  <r>
    <x v="1782"/>
    <s v="South"/>
    <x v="2"/>
    <x v="1"/>
    <s v="Store"/>
    <x v="6"/>
    <s v="Electronics"/>
    <n v="150000"/>
    <n v="3"/>
    <x v="1"/>
    <n v="120000"/>
    <x v="34"/>
    <x v="34"/>
    <x v="34"/>
  </r>
  <r>
    <x v="1783"/>
    <s v="West"/>
    <x v="2"/>
    <x v="1"/>
    <s v="Online"/>
    <x v="8"/>
    <s v="Electronics"/>
    <n v="250000"/>
    <n v="3"/>
    <x v="4"/>
    <n v="200000"/>
    <x v="56"/>
    <x v="56"/>
    <x v="56"/>
  </r>
  <r>
    <x v="1784"/>
    <s v="North"/>
    <x v="1"/>
    <x v="0"/>
    <s v="Store"/>
    <x v="7"/>
    <s v="Electronics"/>
    <n v="420000"/>
    <n v="4"/>
    <x v="1"/>
    <n v="336000"/>
    <x v="45"/>
    <x v="45"/>
    <x v="45"/>
  </r>
  <r>
    <x v="1785"/>
    <s v="North"/>
    <x v="1"/>
    <x v="1"/>
    <s v="Online"/>
    <x v="4"/>
    <s v="Home Appliances"/>
    <n v="180000"/>
    <n v="1"/>
    <x v="0"/>
    <n v="144000"/>
    <x v="32"/>
    <x v="32"/>
    <x v="32"/>
  </r>
  <r>
    <x v="1786"/>
    <s v="North"/>
    <x v="0"/>
    <x v="1"/>
    <s v="Store"/>
    <x v="6"/>
    <s v="Electronics"/>
    <n v="150000"/>
    <n v="3"/>
    <x v="3"/>
    <n v="120000"/>
    <x v="34"/>
    <x v="34"/>
    <x v="34"/>
  </r>
  <r>
    <x v="1787"/>
    <s v="South"/>
    <x v="3"/>
    <x v="1"/>
    <s v="Online"/>
    <x v="9"/>
    <s v="Home Appliances"/>
    <n v="220000"/>
    <n v="9"/>
    <x v="2"/>
    <n v="176000"/>
    <x v="64"/>
    <x v="64"/>
    <x v="64"/>
  </r>
  <r>
    <x v="1788"/>
    <s v="North"/>
    <x v="2"/>
    <x v="1"/>
    <s v="Online"/>
    <x v="7"/>
    <s v="Electronics"/>
    <n v="420000"/>
    <n v="4"/>
    <x v="2"/>
    <n v="336000"/>
    <x v="45"/>
    <x v="45"/>
    <x v="45"/>
  </r>
  <r>
    <x v="1789"/>
    <s v="North"/>
    <x v="2"/>
    <x v="1"/>
    <s v="Store"/>
    <x v="3"/>
    <s v="Electronics"/>
    <n v="300000"/>
    <n v="2"/>
    <x v="5"/>
    <n v="240000"/>
    <x v="4"/>
    <x v="4"/>
    <x v="4"/>
  </r>
  <r>
    <x v="1790"/>
    <s v="East"/>
    <x v="1"/>
    <x v="1"/>
    <s v="Store"/>
    <x v="0"/>
    <s v="Furniture"/>
    <n v="85000"/>
    <n v="8"/>
    <x v="1"/>
    <n v="68000"/>
    <x v="69"/>
    <x v="69"/>
    <x v="69"/>
  </r>
  <r>
    <x v="1791"/>
    <s v="South"/>
    <x v="3"/>
    <x v="0"/>
    <s v="Store"/>
    <x v="9"/>
    <s v="Home Appliances"/>
    <n v="220000"/>
    <n v="10"/>
    <x v="2"/>
    <n v="176000"/>
    <x v="61"/>
    <x v="61"/>
    <x v="61"/>
  </r>
  <r>
    <x v="1792"/>
    <s v="West"/>
    <x v="0"/>
    <x v="0"/>
    <s v="Store"/>
    <x v="9"/>
    <s v="Home Appliances"/>
    <n v="220000"/>
    <n v="7"/>
    <x v="2"/>
    <n v="176000"/>
    <x v="67"/>
    <x v="67"/>
    <x v="67"/>
  </r>
  <r>
    <x v="1793"/>
    <s v="East"/>
    <x v="2"/>
    <x v="0"/>
    <s v="Store"/>
    <x v="5"/>
    <s v="Furniture"/>
    <n v="320000"/>
    <n v="10"/>
    <x v="2"/>
    <n v="256000"/>
    <x v="35"/>
    <x v="35"/>
    <x v="35"/>
  </r>
  <r>
    <x v="1794"/>
    <s v="West"/>
    <x v="1"/>
    <x v="1"/>
    <s v="Online"/>
    <x v="4"/>
    <s v="Home Appliances"/>
    <n v="180000"/>
    <n v="9"/>
    <x v="4"/>
    <n v="144000"/>
    <x v="27"/>
    <x v="27"/>
    <x v="27"/>
  </r>
  <r>
    <x v="1795"/>
    <s v="North"/>
    <x v="2"/>
    <x v="1"/>
    <s v="Online"/>
    <x v="2"/>
    <s v="Home Appliances"/>
    <n v="60000"/>
    <n v="4"/>
    <x v="5"/>
    <n v="48000"/>
    <x v="1"/>
    <x v="1"/>
    <x v="1"/>
  </r>
  <r>
    <x v="1796"/>
    <s v="South"/>
    <x v="2"/>
    <x v="1"/>
    <s v="Store"/>
    <x v="8"/>
    <s v="Electronics"/>
    <n v="250000"/>
    <n v="10"/>
    <x v="5"/>
    <n v="200000"/>
    <x v="66"/>
    <x v="66"/>
    <x v="66"/>
  </r>
  <r>
    <x v="1797"/>
    <s v="North"/>
    <x v="2"/>
    <x v="1"/>
    <s v="Online"/>
    <x v="5"/>
    <s v="Furniture"/>
    <n v="320000"/>
    <n v="2"/>
    <x v="2"/>
    <n v="256000"/>
    <x v="38"/>
    <x v="38"/>
    <x v="38"/>
  </r>
  <r>
    <x v="1798"/>
    <s v="South"/>
    <x v="3"/>
    <x v="1"/>
    <s v="Store"/>
    <x v="7"/>
    <s v="Electronics"/>
    <n v="420000"/>
    <n v="7"/>
    <x v="3"/>
    <n v="336000"/>
    <x v="70"/>
    <x v="70"/>
    <x v="70"/>
  </r>
  <r>
    <x v="1799"/>
    <s v="North"/>
    <x v="2"/>
    <x v="1"/>
    <s v="Store"/>
    <x v="3"/>
    <s v="Electronics"/>
    <n v="300000"/>
    <n v="5"/>
    <x v="3"/>
    <n v="240000"/>
    <x v="17"/>
    <x v="17"/>
    <x v="17"/>
  </r>
  <r>
    <x v="1800"/>
    <s v="South"/>
    <x v="0"/>
    <x v="1"/>
    <s v="Store"/>
    <x v="2"/>
    <s v="Home Appliances"/>
    <n v="60000"/>
    <n v="5"/>
    <x v="4"/>
    <n v="48000"/>
    <x v="11"/>
    <x v="11"/>
    <x v="11"/>
  </r>
  <r>
    <x v="1801"/>
    <s v="East"/>
    <x v="0"/>
    <x v="0"/>
    <s v="Store"/>
    <x v="7"/>
    <s v="Electronics"/>
    <n v="420000"/>
    <n v="9"/>
    <x v="2"/>
    <n v="336000"/>
    <x v="12"/>
    <x v="12"/>
    <x v="12"/>
  </r>
  <r>
    <x v="1802"/>
    <s v="South"/>
    <x v="0"/>
    <x v="0"/>
    <s v="Store"/>
    <x v="8"/>
    <s v="Electronics"/>
    <n v="250000"/>
    <n v="9"/>
    <x v="5"/>
    <n v="200000"/>
    <x v="71"/>
    <x v="71"/>
    <x v="71"/>
  </r>
  <r>
    <x v="1803"/>
    <s v="West"/>
    <x v="3"/>
    <x v="0"/>
    <s v="Store"/>
    <x v="9"/>
    <s v="Home Appliances"/>
    <n v="220000"/>
    <n v="1"/>
    <x v="5"/>
    <n v="176000"/>
    <x v="25"/>
    <x v="25"/>
    <x v="25"/>
  </r>
  <r>
    <x v="1804"/>
    <s v="West"/>
    <x v="1"/>
    <x v="0"/>
    <s v="Store"/>
    <x v="9"/>
    <s v="Home Appliances"/>
    <n v="220000"/>
    <n v="3"/>
    <x v="5"/>
    <n v="176000"/>
    <x v="49"/>
    <x v="49"/>
    <x v="49"/>
  </r>
  <r>
    <x v="1805"/>
    <s v="West"/>
    <x v="1"/>
    <x v="1"/>
    <s v="Store"/>
    <x v="8"/>
    <s v="Electronics"/>
    <n v="250000"/>
    <n v="8"/>
    <x v="2"/>
    <n v="200000"/>
    <x v="52"/>
    <x v="52"/>
    <x v="52"/>
  </r>
  <r>
    <x v="1806"/>
    <s v="West"/>
    <x v="2"/>
    <x v="0"/>
    <s v="Store"/>
    <x v="1"/>
    <s v="Home Appliances"/>
    <n v="30000"/>
    <n v="1"/>
    <x v="3"/>
    <n v="24000"/>
    <x v="75"/>
    <x v="75"/>
    <x v="75"/>
  </r>
  <r>
    <x v="1807"/>
    <s v="West"/>
    <x v="3"/>
    <x v="1"/>
    <s v="Store"/>
    <x v="1"/>
    <s v="Home Appliances"/>
    <n v="30000"/>
    <n v="1"/>
    <x v="4"/>
    <n v="24000"/>
    <x v="75"/>
    <x v="75"/>
    <x v="75"/>
  </r>
  <r>
    <x v="1808"/>
    <s v="North"/>
    <x v="2"/>
    <x v="0"/>
    <s v="Store"/>
    <x v="1"/>
    <s v="Home Appliances"/>
    <n v="30000"/>
    <n v="8"/>
    <x v="0"/>
    <n v="24000"/>
    <x v="1"/>
    <x v="1"/>
    <x v="1"/>
  </r>
  <r>
    <x v="1809"/>
    <s v="West"/>
    <x v="0"/>
    <x v="0"/>
    <s v="Store"/>
    <x v="2"/>
    <s v="Home Appliances"/>
    <n v="60000"/>
    <n v="6"/>
    <x v="3"/>
    <n v="48000"/>
    <x v="50"/>
    <x v="50"/>
    <x v="50"/>
  </r>
  <r>
    <x v="1810"/>
    <s v="West"/>
    <x v="0"/>
    <x v="1"/>
    <s v="Store"/>
    <x v="8"/>
    <s v="Electronics"/>
    <n v="250000"/>
    <n v="5"/>
    <x v="1"/>
    <n v="200000"/>
    <x v="21"/>
    <x v="21"/>
    <x v="21"/>
  </r>
  <r>
    <x v="1811"/>
    <s v="South"/>
    <x v="3"/>
    <x v="0"/>
    <s v="Store"/>
    <x v="1"/>
    <s v="Home Appliances"/>
    <n v="30000"/>
    <n v="1"/>
    <x v="4"/>
    <n v="24000"/>
    <x v="75"/>
    <x v="75"/>
    <x v="75"/>
  </r>
  <r>
    <x v="1812"/>
    <s v="South"/>
    <x v="2"/>
    <x v="1"/>
    <s v="Store"/>
    <x v="6"/>
    <s v="Electronics"/>
    <n v="150000"/>
    <n v="9"/>
    <x v="4"/>
    <n v="120000"/>
    <x v="63"/>
    <x v="63"/>
    <x v="63"/>
  </r>
  <r>
    <x v="1813"/>
    <s v="East"/>
    <x v="3"/>
    <x v="0"/>
    <s v="Store"/>
    <x v="4"/>
    <s v="Home Appliances"/>
    <n v="180000"/>
    <n v="2"/>
    <x v="4"/>
    <n v="144000"/>
    <x v="50"/>
    <x v="50"/>
    <x v="50"/>
  </r>
  <r>
    <x v="1814"/>
    <s v="East"/>
    <x v="3"/>
    <x v="0"/>
    <s v="Store"/>
    <x v="7"/>
    <s v="Electronics"/>
    <n v="420000"/>
    <n v="10"/>
    <x v="2"/>
    <n v="336000"/>
    <x v="20"/>
    <x v="20"/>
    <x v="20"/>
  </r>
  <r>
    <x v="1815"/>
    <s v="West"/>
    <x v="2"/>
    <x v="1"/>
    <s v="Store"/>
    <x v="3"/>
    <s v="Electronics"/>
    <n v="300000"/>
    <n v="4"/>
    <x v="5"/>
    <n v="240000"/>
    <x v="29"/>
    <x v="29"/>
    <x v="29"/>
  </r>
  <r>
    <x v="1816"/>
    <s v="West"/>
    <x v="0"/>
    <x v="0"/>
    <s v="Store"/>
    <x v="4"/>
    <s v="Home Appliances"/>
    <n v="180000"/>
    <n v="8"/>
    <x v="4"/>
    <n v="144000"/>
    <x v="37"/>
    <x v="37"/>
    <x v="37"/>
  </r>
  <r>
    <x v="1817"/>
    <s v="East"/>
    <x v="3"/>
    <x v="0"/>
    <s v="Store"/>
    <x v="7"/>
    <s v="Electronics"/>
    <n v="420000"/>
    <n v="5"/>
    <x v="4"/>
    <n v="336000"/>
    <x v="13"/>
    <x v="13"/>
    <x v="13"/>
  </r>
  <r>
    <x v="1818"/>
    <s v="South"/>
    <x v="1"/>
    <x v="1"/>
    <s v="Store"/>
    <x v="4"/>
    <s v="Home Appliances"/>
    <n v="180000"/>
    <n v="5"/>
    <x v="0"/>
    <n v="144000"/>
    <x v="48"/>
    <x v="48"/>
    <x v="48"/>
  </r>
  <r>
    <x v="1819"/>
    <s v="West"/>
    <x v="0"/>
    <x v="1"/>
    <s v="Store"/>
    <x v="3"/>
    <s v="Electronics"/>
    <n v="300000"/>
    <n v="1"/>
    <x v="4"/>
    <n v="240000"/>
    <x v="11"/>
    <x v="11"/>
    <x v="11"/>
  </r>
  <r>
    <x v="1820"/>
    <s v="South"/>
    <x v="0"/>
    <x v="0"/>
    <s v="Store"/>
    <x v="4"/>
    <s v="Home Appliances"/>
    <n v="180000"/>
    <n v="7"/>
    <x v="4"/>
    <n v="144000"/>
    <x v="55"/>
    <x v="55"/>
    <x v="55"/>
  </r>
  <r>
    <x v="1821"/>
    <s v="East"/>
    <x v="2"/>
    <x v="1"/>
    <s v="Store"/>
    <x v="1"/>
    <s v="Home Appliances"/>
    <n v="30000"/>
    <n v="8"/>
    <x v="4"/>
    <n v="24000"/>
    <x v="1"/>
    <x v="1"/>
    <x v="1"/>
  </r>
  <r>
    <x v="1822"/>
    <s v="North"/>
    <x v="0"/>
    <x v="0"/>
    <s v="Store"/>
    <x v="0"/>
    <s v="Furniture"/>
    <n v="85000"/>
    <n v="10"/>
    <x v="2"/>
    <n v="68000"/>
    <x v="43"/>
    <x v="43"/>
    <x v="43"/>
  </r>
  <r>
    <x v="1823"/>
    <s v="East"/>
    <x v="2"/>
    <x v="0"/>
    <s v="Store"/>
    <x v="0"/>
    <s v="Furniture"/>
    <n v="85000"/>
    <n v="1"/>
    <x v="0"/>
    <n v="68000"/>
    <x v="0"/>
    <x v="0"/>
    <x v="0"/>
  </r>
  <r>
    <x v="1824"/>
    <s v="North"/>
    <x v="1"/>
    <x v="1"/>
    <s v="Store"/>
    <x v="6"/>
    <s v="Electronics"/>
    <n v="150000"/>
    <n v="8"/>
    <x v="4"/>
    <n v="120000"/>
    <x v="29"/>
    <x v="29"/>
    <x v="29"/>
  </r>
  <r>
    <x v="1825"/>
    <s v="West"/>
    <x v="1"/>
    <x v="1"/>
    <s v="Store"/>
    <x v="7"/>
    <s v="Electronics"/>
    <n v="420000"/>
    <n v="6"/>
    <x v="3"/>
    <n v="336000"/>
    <x v="76"/>
    <x v="76"/>
    <x v="76"/>
  </r>
  <r>
    <x v="1826"/>
    <s v="South"/>
    <x v="3"/>
    <x v="0"/>
    <s v="Store"/>
    <x v="2"/>
    <s v="Home Appliances"/>
    <n v="60000"/>
    <n v="8"/>
    <x v="3"/>
    <n v="48000"/>
    <x v="47"/>
    <x v="47"/>
    <x v="47"/>
  </r>
  <r>
    <x v="1827"/>
    <s v="South"/>
    <x v="0"/>
    <x v="0"/>
    <s v="Store"/>
    <x v="3"/>
    <s v="Electronics"/>
    <n v="300000"/>
    <n v="7"/>
    <x v="2"/>
    <n v="240000"/>
    <x v="13"/>
    <x v="13"/>
    <x v="13"/>
  </r>
  <r>
    <x v="1828"/>
    <s v="East"/>
    <x v="1"/>
    <x v="1"/>
    <s v="Store"/>
    <x v="6"/>
    <s v="Electronics"/>
    <n v="150000"/>
    <n v="8"/>
    <x v="4"/>
    <n v="120000"/>
    <x v="29"/>
    <x v="29"/>
    <x v="29"/>
  </r>
  <r>
    <x v="1829"/>
    <s v="East"/>
    <x v="0"/>
    <x v="1"/>
    <s v="Store"/>
    <x v="2"/>
    <s v="Home Appliances"/>
    <n v="60000"/>
    <n v="10"/>
    <x v="0"/>
    <n v="48000"/>
    <x v="4"/>
    <x v="4"/>
    <x v="4"/>
  </r>
  <r>
    <x v="1830"/>
    <s v="North"/>
    <x v="2"/>
    <x v="0"/>
    <s v="Store"/>
    <x v="5"/>
    <s v="Furniture"/>
    <n v="320000"/>
    <n v="9"/>
    <x v="3"/>
    <n v="256000"/>
    <x v="8"/>
    <x v="8"/>
    <x v="8"/>
  </r>
  <r>
    <x v="1831"/>
    <s v="West"/>
    <x v="0"/>
    <x v="0"/>
    <s v="Store"/>
    <x v="8"/>
    <s v="Electronics"/>
    <n v="250000"/>
    <n v="9"/>
    <x v="2"/>
    <n v="200000"/>
    <x v="71"/>
    <x v="71"/>
    <x v="71"/>
  </r>
  <r>
    <x v="1832"/>
    <s v="South"/>
    <x v="2"/>
    <x v="0"/>
    <s v="Store"/>
    <x v="9"/>
    <s v="Home Appliances"/>
    <n v="220000"/>
    <n v="7"/>
    <x v="3"/>
    <n v="176000"/>
    <x v="67"/>
    <x v="67"/>
    <x v="67"/>
  </r>
  <r>
    <x v="1833"/>
    <s v="South"/>
    <x v="1"/>
    <x v="0"/>
    <s v="Store"/>
    <x v="5"/>
    <s v="Furniture"/>
    <n v="320000"/>
    <n v="4"/>
    <x v="1"/>
    <n v="256000"/>
    <x v="6"/>
    <x v="6"/>
    <x v="6"/>
  </r>
  <r>
    <x v="1834"/>
    <s v="South"/>
    <x v="1"/>
    <x v="1"/>
    <s v="Store"/>
    <x v="9"/>
    <s v="Home Appliances"/>
    <n v="220000"/>
    <n v="1"/>
    <x v="4"/>
    <n v="176000"/>
    <x v="25"/>
    <x v="25"/>
    <x v="25"/>
  </r>
  <r>
    <x v="1835"/>
    <s v="West"/>
    <x v="1"/>
    <x v="0"/>
    <s v="Store"/>
    <x v="1"/>
    <s v="Home Appliances"/>
    <n v="30000"/>
    <n v="9"/>
    <x v="4"/>
    <n v="24000"/>
    <x v="57"/>
    <x v="57"/>
    <x v="57"/>
  </r>
  <r>
    <x v="1836"/>
    <s v="North"/>
    <x v="1"/>
    <x v="1"/>
    <s v="Store"/>
    <x v="1"/>
    <s v="Home Appliances"/>
    <n v="30000"/>
    <n v="8"/>
    <x v="4"/>
    <n v="24000"/>
    <x v="1"/>
    <x v="1"/>
    <x v="1"/>
  </r>
  <r>
    <x v="1837"/>
    <s v="South"/>
    <x v="1"/>
    <x v="1"/>
    <s v="Store"/>
    <x v="2"/>
    <s v="Home Appliances"/>
    <n v="60000"/>
    <n v="7"/>
    <x v="1"/>
    <n v="48000"/>
    <x v="40"/>
    <x v="40"/>
    <x v="40"/>
  </r>
  <r>
    <x v="1838"/>
    <s v="West"/>
    <x v="2"/>
    <x v="0"/>
    <s v="Store"/>
    <x v="1"/>
    <s v="Home Appliances"/>
    <n v="30000"/>
    <n v="7"/>
    <x v="5"/>
    <n v="24000"/>
    <x v="54"/>
    <x v="54"/>
    <x v="54"/>
  </r>
  <r>
    <x v="1839"/>
    <s v="West"/>
    <x v="0"/>
    <x v="0"/>
    <s v="Store"/>
    <x v="3"/>
    <s v="Electronics"/>
    <n v="300000"/>
    <n v="6"/>
    <x v="4"/>
    <n v="240000"/>
    <x v="5"/>
    <x v="5"/>
    <x v="5"/>
  </r>
  <r>
    <x v="1840"/>
    <s v="North"/>
    <x v="3"/>
    <x v="1"/>
    <s v="Store"/>
    <x v="3"/>
    <s v="Electronics"/>
    <n v="300000"/>
    <n v="4"/>
    <x v="5"/>
    <n v="240000"/>
    <x v="29"/>
    <x v="29"/>
    <x v="29"/>
  </r>
  <r>
    <x v="1841"/>
    <s v="South"/>
    <x v="2"/>
    <x v="0"/>
    <s v="Store"/>
    <x v="0"/>
    <s v="Furniture"/>
    <n v="85000"/>
    <n v="2"/>
    <x v="0"/>
    <n v="68000"/>
    <x v="2"/>
    <x v="2"/>
    <x v="2"/>
  </r>
  <r>
    <x v="1842"/>
    <s v="North"/>
    <x v="2"/>
    <x v="1"/>
    <s v="Store"/>
    <x v="6"/>
    <s v="Electronics"/>
    <n v="150000"/>
    <n v="3"/>
    <x v="1"/>
    <n v="120000"/>
    <x v="34"/>
    <x v="34"/>
    <x v="34"/>
  </r>
  <r>
    <x v="1843"/>
    <s v="West"/>
    <x v="3"/>
    <x v="1"/>
    <s v="Store"/>
    <x v="8"/>
    <s v="Electronics"/>
    <n v="250000"/>
    <n v="4"/>
    <x v="2"/>
    <n v="200000"/>
    <x v="14"/>
    <x v="14"/>
    <x v="14"/>
  </r>
  <r>
    <x v="1844"/>
    <s v="North"/>
    <x v="0"/>
    <x v="0"/>
    <s v="Store"/>
    <x v="8"/>
    <s v="Electronics"/>
    <n v="250000"/>
    <n v="7"/>
    <x v="0"/>
    <n v="200000"/>
    <x v="59"/>
    <x v="59"/>
    <x v="59"/>
  </r>
  <r>
    <x v="1845"/>
    <s v="West"/>
    <x v="1"/>
    <x v="0"/>
    <s v="Store"/>
    <x v="8"/>
    <s v="Electronics"/>
    <n v="250000"/>
    <n v="3"/>
    <x v="1"/>
    <n v="200000"/>
    <x v="56"/>
    <x v="56"/>
    <x v="56"/>
  </r>
  <r>
    <x v="1846"/>
    <s v="East"/>
    <x v="2"/>
    <x v="0"/>
    <s v="Store"/>
    <x v="6"/>
    <s v="Electronics"/>
    <n v="150000"/>
    <n v="8"/>
    <x v="0"/>
    <n v="120000"/>
    <x v="29"/>
    <x v="29"/>
    <x v="29"/>
  </r>
  <r>
    <x v="1847"/>
    <s v="East"/>
    <x v="2"/>
    <x v="1"/>
    <s v="Store"/>
    <x v="0"/>
    <s v="Furniture"/>
    <n v="85000"/>
    <n v="1"/>
    <x v="4"/>
    <n v="68000"/>
    <x v="0"/>
    <x v="0"/>
    <x v="0"/>
  </r>
  <r>
    <x v="1848"/>
    <s v="East"/>
    <x v="3"/>
    <x v="0"/>
    <s v="Store"/>
    <x v="9"/>
    <s v="Home Appliances"/>
    <n v="220000"/>
    <n v="6"/>
    <x v="0"/>
    <n v="176000"/>
    <x v="36"/>
    <x v="36"/>
    <x v="36"/>
  </r>
  <r>
    <x v="1849"/>
    <s v="East"/>
    <x v="0"/>
    <x v="1"/>
    <s v="Store"/>
    <x v="1"/>
    <s v="Home Appliances"/>
    <n v="30000"/>
    <n v="3"/>
    <x v="0"/>
    <n v="24000"/>
    <x v="33"/>
    <x v="33"/>
    <x v="33"/>
  </r>
  <r>
    <x v="1850"/>
    <s v="North"/>
    <x v="3"/>
    <x v="1"/>
    <s v="Store"/>
    <x v="3"/>
    <s v="Electronics"/>
    <n v="300000"/>
    <n v="3"/>
    <x v="1"/>
    <n v="240000"/>
    <x v="48"/>
    <x v="48"/>
    <x v="48"/>
  </r>
  <r>
    <x v="1851"/>
    <s v="East"/>
    <x v="2"/>
    <x v="0"/>
    <s v="Store"/>
    <x v="8"/>
    <s v="Electronics"/>
    <n v="250000"/>
    <n v="10"/>
    <x v="4"/>
    <n v="200000"/>
    <x v="66"/>
    <x v="66"/>
    <x v="66"/>
  </r>
  <r>
    <x v="1852"/>
    <s v="East"/>
    <x v="1"/>
    <x v="0"/>
    <s v="Store"/>
    <x v="3"/>
    <s v="Electronics"/>
    <n v="300000"/>
    <n v="4"/>
    <x v="3"/>
    <n v="240000"/>
    <x v="29"/>
    <x v="29"/>
    <x v="29"/>
  </r>
  <r>
    <x v="1853"/>
    <s v="South"/>
    <x v="2"/>
    <x v="0"/>
    <s v="Store"/>
    <x v="5"/>
    <s v="Furniture"/>
    <n v="320000"/>
    <n v="5"/>
    <x v="5"/>
    <n v="256000"/>
    <x v="28"/>
    <x v="28"/>
    <x v="28"/>
  </r>
  <r>
    <x v="1854"/>
    <s v="South"/>
    <x v="1"/>
    <x v="0"/>
    <s v="Store"/>
    <x v="5"/>
    <s v="Furniture"/>
    <n v="320000"/>
    <n v="1"/>
    <x v="1"/>
    <n v="256000"/>
    <x v="7"/>
    <x v="7"/>
    <x v="7"/>
  </r>
  <r>
    <x v="1855"/>
    <s v="North"/>
    <x v="0"/>
    <x v="0"/>
    <s v="Store"/>
    <x v="7"/>
    <s v="Electronics"/>
    <n v="420000"/>
    <n v="4"/>
    <x v="4"/>
    <n v="336000"/>
    <x v="45"/>
    <x v="45"/>
    <x v="45"/>
  </r>
  <r>
    <x v="1856"/>
    <s v="South"/>
    <x v="2"/>
    <x v="1"/>
    <s v="Store"/>
    <x v="0"/>
    <s v="Furniture"/>
    <n v="85000"/>
    <n v="5"/>
    <x v="2"/>
    <n v="68000"/>
    <x v="58"/>
    <x v="58"/>
    <x v="58"/>
  </r>
  <r>
    <x v="1857"/>
    <s v="East"/>
    <x v="1"/>
    <x v="1"/>
    <s v="Store"/>
    <x v="2"/>
    <s v="Home Appliances"/>
    <n v="60000"/>
    <n v="3"/>
    <x v="0"/>
    <n v="48000"/>
    <x v="32"/>
    <x v="32"/>
    <x v="32"/>
  </r>
  <r>
    <x v="1858"/>
    <s v="West"/>
    <x v="3"/>
    <x v="0"/>
    <s v="Store"/>
    <x v="8"/>
    <s v="Electronics"/>
    <n v="250000"/>
    <n v="4"/>
    <x v="4"/>
    <n v="200000"/>
    <x v="14"/>
    <x v="14"/>
    <x v="14"/>
  </r>
  <r>
    <x v="1859"/>
    <s v="East"/>
    <x v="0"/>
    <x v="0"/>
    <s v="Store"/>
    <x v="7"/>
    <s v="Electronics"/>
    <n v="420000"/>
    <n v="5"/>
    <x v="0"/>
    <n v="336000"/>
    <x v="13"/>
    <x v="13"/>
    <x v="13"/>
  </r>
  <r>
    <x v="1860"/>
    <s v="West"/>
    <x v="2"/>
    <x v="0"/>
    <s v="Store"/>
    <x v="6"/>
    <s v="Electronics"/>
    <n v="150000"/>
    <n v="5"/>
    <x v="2"/>
    <n v="120000"/>
    <x v="56"/>
    <x v="56"/>
    <x v="56"/>
  </r>
  <r>
    <x v="1861"/>
    <s v="North"/>
    <x v="1"/>
    <x v="1"/>
    <s v="Store"/>
    <x v="4"/>
    <s v="Home Appliances"/>
    <n v="180000"/>
    <n v="1"/>
    <x v="3"/>
    <n v="144000"/>
    <x v="32"/>
    <x v="32"/>
    <x v="32"/>
  </r>
  <r>
    <x v="1862"/>
    <s v="South"/>
    <x v="3"/>
    <x v="1"/>
    <s v="Store"/>
    <x v="4"/>
    <s v="Home Appliances"/>
    <n v="180000"/>
    <n v="1"/>
    <x v="2"/>
    <n v="144000"/>
    <x v="32"/>
    <x v="32"/>
    <x v="32"/>
  </r>
  <r>
    <x v="1863"/>
    <s v="West"/>
    <x v="1"/>
    <x v="0"/>
    <s v="Store"/>
    <x v="8"/>
    <s v="Electronics"/>
    <n v="250000"/>
    <n v="9"/>
    <x v="0"/>
    <n v="200000"/>
    <x v="71"/>
    <x v="71"/>
    <x v="71"/>
  </r>
  <r>
    <x v="1864"/>
    <s v="North"/>
    <x v="0"/>
    <x v="0"/>
    <s v="Store"/>
    <x v="0"/>
    <s v="Furniture"/>
    <n v="85000"/>
    <n v="4"/>
    <x v="3"/>
    <n v="68000"/>
    <x v="74"/>
    <x v="74"/>
    <x v="74"/>
  </r>
  <r>
    <x v="1865"/>
    <s v="West"/>
    <x v="3"/>
    <x v="1"/>
    <s v="Store"/>
    <x v="7"/>
    <s v="Electronics"/>
    <n v="420000"/>
    <n v="8"/>
    <x v="1"/>
    <n v="336000"/>
    <x v="19"/>
    <x v="19"/>
    <x v="19"/>
  </r>
  <r>
    <x v="1866"/>
    <s v="South"/>
    <x v="3"/>
    <x v="1"/>
    <s v="Store"/>
    <x v="5"/>
    <s v="Furniture"/>
    <n v="320000"/>
    <n v="6"/>
    <x v="1"/>
    <n v="256000"/>
    <x v="31"/>
    <x v="31"/>
    <x v="31"/>
  </r>
  <r>
    <x v="1867"/>
    <s v="North"/>
    <x v="1"/>
    <x v="0"/>
    <s v="Store"/>
    <x v="6"/>
    <s v="Electronics"/>
    <n v="150000"/>
    <n v="3"/>
    <x v="4"/>
    <n v="120000"/>
    <x v="34"/>
    <x v="34"/>
    <x v="34"/>
  </r>
  <r>
    <x v="1868"/>
    <s v="West"/>
    <x v="3"/>
    <x v="0"/>
    <s v="Store"/>
    <x v="0"/>
    <s v="Furniture"/>
    <n v="85000"/>
    <n v="3"/>
    <x v="2"/>
    <n v="68000"/>
    <x v="23"/>
    <x v="23"/>
    <x v="23"/>
  </r>
  <r>
    <x v="1869"/>
    <s v="North"/>
    <x v="1"/>
    <x v="0"/>
    <s v="Store"/>
    <x v="3"/>
    <s v="Electronics"/>
    <n v="300000"/>
    <n v="1"/>
    <x v="2"/>
    <n v="240000"/>
    <x v="11"/>
    <x v="11"/>
    <x v="11"/>
  </r>
  <r>
    <x v="1870"/>
    <s v="South"/>
    <x v="1"/>
    <x v="1"/>
    <s v="Online"/>
    <x v="4"/>
    <s v="Home Appliances"/>
    <n v="180000"/>
    <n v="4"/>
    <x v="4"/>
    <n v="144000"/>
    <x v="65"/>
    <x v="65"/>
    <x v="65"/>
  </r>
  <r>
    <x v="1871"/>
    <s v="West"/>
    <x v="1"/>
    <x v="0"/>
    <s v="Online"/>
    <x v="7"/>
    <s v="Electronics"/>
    <n v="420000"/>
    <n v="10"/>
    <x v="3"/>
    <n v="336000"/>
    <x v="20"/>
    <x v="20"/>
    <x v="20"/>
  </r>
  <r>
    <x v="1872"/>
    <s v="North"/>
    <x v="3"/>
    <x v="1"/>
    <s v="Online"/>
    <x v="6"/>
    <s v="Electronics"/>
    <n v="150000"/>
    <n v="4"/>
    <x v="5"/>
    <n v="120000"/>
    <x v="4"/>
    <x v="4"/>
    <x v="4"/>
  </r>
  <r>
    <x v="1873"/>
    <s v="East"/>
    <x v="2"/>
    <x v="0"/>
    <s v="Online"/>
    <x v="0"/>
    <s v="Furniture"/>
    <n v="85000"/>
    <n v="6"/>
    <x v="5"/>
    <n v="68000"/>
    <x v="60"/>
    <x v="60"/>
    <x v="60"/>
  </r>
  <r>
    <x v="1874"/>
    <s v="South"/>
    <x v="0"/>
    <x v="1"/>
    <s v="Store"/>
    <x v="3"/>
    <s v="Electronics"/>
    <n v="300000"/>
    <n v="10"/>
    <x v="0"/>
    <n v="240000"/>
    <x v="68"/>
    <x v="68"/>
    <x v="68"/>
  </r>
  <r>
    <x v="1875"/>
    <s v="East"/>
    <x v="1"/>
    <x v="1"/>
    <s v="Store"/>
    <x v="6"/>
    <s v="Electronics"/>
    <n v="150000"/>
    <n v="6"/>
    <x v="5"/>
    <n v="120000"/>
    <x v="48"/>
    <x v="48"/>
    <x v="48"/>
  </r>
  <r>
    <x v="1876"/>
    <s v="South"/>
    <x v="0"/>
    <x v="1"/>
    <s v="Store"/>
    <x v="6"/>
    <s v="Electronics"/>
    <n v="150000"/>
    <n v="1"/>
    <x v="5"/>
    <n v="120000"/>
    <x v="26"/>
    <x v="26"/>
    <x v="26"/>
  </r>
  <r>
    <x v="1877"/>
    <s v="North"/>
    <x v="0"/>
    <x v="0"/>
    <s v="Store"/>
    <x v="3"/>
    <s v="Electronics"/>
    <n v="300000"/>
    <n v="3"/>
    <x v="2"/>
    <n v="240000"/>
    <x v="48"/>
    <x v="48"/>
    <x v="48"/>
  </r>
  <r>
    <x v="1878"/>
    <s v="North"/>
    <x v="0"/>
    <x v="0"/>
    <s v="Online"/>
    <x v="3"/>
    <s v="Electronics"/>
    <n v="300000"/>
    <n v="8"/>
    <x v="4"/>
    <n v="240000"/>
    <x v="24"/>
    <x v="24"/>
    <x v="24"/>
  </r>
  <r>
    <x v="1879"/>
    <s v="East"/>
    <x v="0"/>
    <x v="1"/>
    <s v="Online"/>
    <x v="3"/>
    <s v="Electronics"/>
    <n v="300000"/>
    <n v="9"/>
    <x v="0"/>
    <n v="240000"/>
    <x v="39"/>
    <x v="39"/>
    <x v="39"/>
  </r>
  <r>
    <x v="1880"/>
    <s v="North"/>
    <x v="1"/>
    <x v="0"/>
    <s v="Online"/>
    <x v="3"/>
    <s v="Electronics"/>
    <n v="300000"/>
    <n v="2"/>
    <x v="3"/>
    <n v="240000"/>
    <x v="4"/>
    <x v="4"/>
    <x v="4"/>
  </r>
  <r>
    <x v="1881"/>
    <s v="North"/>
    <x v="0"/>
    <x v="1"/>
    <s v="Store"/>
    <x v="3"/>
    <s v="Electronics"/>
    <n v="300000"/>
    <n v="10"/>
    <x v="2"/>
    <n v="240000"/>
    <x v="68"/>
    <x v="68"/>
    <x v="68"/>
  </r>
  <r>
    <x v="1882"/>
    <s v="West"/>
    <x v="2"/>
    <x v="1"/>
    <s v="Store"/>
    <x v="9"/>
    <s v="Home Appliances"/>
    <n v="220000"/>
    <n v="4"/>
    <x v="4"/>
    <n v="176000"/>
    <x v="22"/>
    <x v="22"/>
    <x v="22"/>
  </r>
  <r>
    <x v="1883"/>
    <s v="North"/>
    <x v="1"/>
    <x v="1"/>
    <s v="Online"/>
    <x v="0"/>
    <s v="Furniture"/>
    <n v="85000"/>
    <n v="6"/>
    <x v="4"/>
    <n v="68000"/>
    <x v="60"/>
    <x v="60"/>
    <x v="60"/>
  </r>
  <r>
    <x v="1884"/>
    <s v="West"/>
    <x v="2"/>
    <x v="1"/>
    <s v="Store"/>
    <x v="2"/>
    <s v="Home Appliances"/>
    <n v="60000"/>
    <n v="4"/>
    <x v="2"/>
    <n v="48000"/>
    <x v="1"/>
    <x v="1"/>
    <x v="1"/>
  </r>
  <r>
    <x v="1885"/>
    <s v="East"/>
    <x v="0"/>
    <x v="0"/>
    <s v="Store"/>
    <x v="9"/>
    <s v="Home Appliances"/>
    <n v="220000"/>
    <n v="2"/>
    <x v="1"/>
    <n v="176000"/>
    <x v="15"/>
    <x v="15"/>
    <x v="15"/>
  </r>
  <r>
    <x v="1886"/>
    <s v="East"/>
    <x v="3"/>
    <x v="1"/>
    <s v="Online"/>
    <x v="3"/>
    <s v="Electronics"/>
    <n v="300000"/>
    <n v="3"/>
    <x v="0"/>
    <n v="240000"/>
    <x v="48"/>
    <x v="48"/>
    <x v="48"/>
  </r>
  <r>
    <x v="1887"/>
    <s v="South"/>
    <x v="0"/>
    <x v="1"/>
    <s v="Online"/>
    <x v="9"/>
    <s v="Home Appliances"/>
    <n v="220000"/>
    <n v="8"/>
    <x v="5"/>
    <n v="176000"/>
    <x v="42"/>
    <x v="42"/>
    <x v="42"/>
  </r>
  <r>
    <x v="1888"/>
    <s v="West"/>
    <x v="0"/>
    <x v="0"/>
    <s v="Online"/>
    <x v="8"/>
    <s v="Electronics"/>
    <n v="250000"/>
    <n v="8"/>
    <x v="4"/>
    <n v="200000"/>
    <x v="52"/>
    <x v="52"/>
    <x v="52"/>
  </r>
  <r>
    <x v="1889"/>
    <s v="South"/>
    <x v="0"/>
    <x v="0"/>
    <s v="Online"/>
    <x v="0"/>
    <s v="Furniture"/>
    <n v="85000"/>
    <n v="2"/>
    <x v="0"/>
    <n v="68000"/>
    <x v="2"/>
    <x v="2"/>
    <x v="2"/>
  </r>
  <r>
    <x v="1890"/>
    <s v="North"/>
    <x v="2"/>
    <x v="1"/>
    <s v="Store"/>
    <x v="6"/>
    <s v="Electronics"/>
    <n v="150000"/>
    <n v="7"/>
    <x v="4"/>
    <n v="120000"/>
    <x v="16"/>
    <x v="16"/>
    <x v="16"/>
  </r>
  <r>
    <x v="1891"/>
    <s v="South"/>
    <x v="2"/>
    <x v="0"/>
    <s v="Online"/>
    <x v="1"/>
    <s v="Home Appliances"/>
    <n v="30000"/>
    <n v="8"/>
    <x v="2"/>
    <n v="24000"/>
    <x v="1"/>
    <x v="1"/>
    <x v="1"/>
  </r>
  <r>
    <x v="1892"/>
    <s v="West"/>
    <x v="0"/>
    <x v="1"/>
    <s v="Online"/>
    <x v="0"/>
    <s v="Furniture"/>
    <n v="85000"/>
    <n v="2"/>
    <x v="4"/>
    <n v="68000"/>
    <x v="2"/>
    <x v="2"/>
    <x v="2"/>
  </r>
  <r>
    <x v="1893"/>
    <s v="West"/>
    <x v="3"/>
    <x v="0"/>
    <s v="Online"/>
    <x v="4"/>
    <s v="Home Appliances"/>
    <n v="180000"/>
    <n v="5"/>
    <x v="1"/>
    <n v="144000"/>
    <x v="48"/>
    <x v="48"/>
    <x v="48"/>
  </r>
  <r>
    <x v="1894"/>
    <s v="West"/>
    <x v="2"/>
    <x v="0"/>
    <s v="Online"/>
    <x v="0"/>
    <s v="Furniture"/>
    <n v="85000"/>
    <n v="9"/>
    <x v="4"/>
    <n v="68000"/>
    <x v="18"/>
    <x v="18"/>
    <x v="18"/>
  </r>
  <r>
    <x v="1895"/>
    <s v="West"/>
    <x v="3"/>
    <x v="1"/>
    <s v="Online"/>
    <x v="7"/>
    <s v="Electronics"/>
    <n v="420000"/>
    <n v="9"/>
    <x v="1"/>
    <n v="336000"/>
    <x v="12"/>
    <x v="12"/>
    <x v="12"/>
  </r>
  <r>
    <x v="1896"/>
    <s v="North"/>
    <x v="3"/>
    <x v="0"/>
    <s v="Online"/>
    <x v="5"/>
    <s v="Furniture"/>
    <n v="320000"/>
    <n v="5"/>
    <x v="0"/>
    <n v="256000"/>
    <x v="28"/>
    <x v="28"/>
    <x v="28"/>
  </r>
  <r>
    <x v="1897"/>
    <s v="West"/>
    <x v="1"/>
    <x v="0"/>
    <s v="Online"/>
    <x v="5"/>
    <s v="Furniture"/>
    <n v="320000"/>
    <n v="1"/>
    <x v="4"/>
    <n v="256000"/>
    <x v="7"/>
    <x v="7"/>
    <x v="7"/>
  </r>
  <r>
    <x v="1898"/>
    <s v="North"/>
    <x v="2"/>
    <x v="0"/>
    <s v="Online"/>
    <x v="1"/>
    <s v="Home Appliances"/>
    <n v="30000"/>
    <n v="10"/>
    <x v="3"/>
    <n v="24000"/>
    <x v="11"/>
    <x v="11"/>
    <x v="11"/>
  </r>
  <r>
    <x v="1899"/>
    <s v="East"/>
    <x v="0"/>
    <x v="0"/>
    <s v="Store"/>
    <x v="4"/>
    <s v="Home Appliances"/>
    <n v="180000"/>
    <n v="10"/>
    <x v="5"/>
    <n v="144000"/>
    <x v="5"/>
    <x v="5"/>
    <x v="5"/>
  </r>
  <r>
    <x v="1900"/>
    <s v="West"/>
    <x v="2"/>
    <x v="1"/>
    <s v="Online"/>
    <x v="5"/>
    <s v="Furniture"/>
    <n v="320000"/>
    <n v="9"/>
    <x v="2"/>
    <n v="256000"/>
    <x v="8"/>
    <x v="8"/>
    <x v="8"/>
  </r>
  <r>
    <x v="1901"/>
    <s v="West"/>
    <x v="3"/>
    <x v="1"/>
    <s v="Online"/>
    <x v="7"/>
    <s v="Electronics"/>
    <n v="420000"/>
    <n v="2"/>
    <x v="4"/>
    <n v="336000"/>
    <x v="62"/>
    <x v="62"/>
    <x v="62"/>
  </r>
  <r>
    <x v="1902"/>
    <s v="North"/>
    <x v="0"/>
    <x v="0"/>
    <s v="Online"/>
    <x v="3"/>
    <s v="Electronics"/>
    <n v="300000"/>
    <n v="6"/>
    <x v="2"/>
    <n v="240000"/>
    <x v="5"/>
    <x v="5"/>
    <x v="5"/>
  </r>
  <r>
    <x v="1903"/>
    <s v="North"/>
    <x v="2"/>
    <x v="1"/>
    <s v="Store"/>
    <x v="1"/>
    <s v="Home Appliances"/>
    <n v="30000"/>
    <n v="4"/>
    <x v="1"/>
    <n v="24000"/>
    <x v="3"/>
    <x v="3"/>
    <x v="3"/>
  </r>
  <r>
    <x v="1904"/>
    <s v="South"/>
    <x v="3"/>
    <x v="1"/>
    <s v="Store"/>
    <x v="5"/>
    <s v="Furniture"/>
    <n v="320000"/>
    <n v="7"/>
    <x v="2"/>
    <n v="256000"/>
    <x v="10"/>
    <x v="10"/>
    <x v="10"/>
  </r>
  <r>
    <x v="1905"/>
    <s v="North"/>
    <x v="2"/>
    <x v="1"/>
    <s v="Store"/>
    <x v="5"/>
    <s v="Furniture"/>
    <n v="320000"/>
    <n v="1"/>
    <x v="4"/>
    <n v="256000"/>
    <x v="7"/>
    <x v="7"/>
    <x v="7"/>
  </r>
  <r>
    <x v="1906"/>
    <s v="North"/>
    <x v="2"/>
    <x v="1"/>
    <s v="Online"/>
    <x v="3"/>
    <s v="Electronics"/>
    <n v="300000"/>
    <n v="3"/>
    <x v="3"/>
    <n v="240000"/>
    <x v="48"/>
    <x v="48"/>
    <x v="48"/>
  </r>
  <r>
    <x v="1907"/>
    <s v="North"/>
    <x v="1"/>
    <x v="1"/>
    <s v="Online"/>
    <x v="1"/>
    <s v="Home Appliances"/>
    <n v="30000"/>
    <n v="6"/>
    <x v="2"/>
    <n v="24000"/>
    <x v="32"/>
    <x v="32"/>
    <x v="32"/>
  </r>
  <r>
    <x v="1908"/>
    <s v="East"/>
    <x v="2"/>
    <x v="1"/>
    <s v="Store"/>
    <x v="9"/>
    <s v="Home Appliances"/>
    <n v="220000"/>
    <n v="1"/>
    <x v="2"/>
    <n v="176000"/>
    <x v="25"/>
    <x v="25"/>
    <x v="25"/>
  </r>
  <r>
    <x v="1909"/>
    <s v="North"/>
    <x v="3"/>
    <x v="0"/>
    <s v="Online"/>
    <x v="1"/>
    <s v="Home Appliances"/>
    <n v="30000"/>
    <n v="9"/>
    <x v="3"/>
    <n v="24000"/>
    <x v="57"/>
    <x v="57"/>
    <x v="57"/>
  </r>
  <r>
    <x v="1910"/>
    <s v="West"/>
    <x v="0"/>
    <x v="1"/>
    <s v="Online"/>
    <x v="9"/>
    <s v="Home Appliances"/>
    <n v="220000"/>
    <n v="10"/>
    <x v="3"/>
    <n v="176000"/>
    <x v="61"/>
    <x v="61"/>
    <x v="61"/>
  </r>
  <r>
    <x v="1911"/>
    <s v="East"/>
    <x v="2"/>
    <x v="0"/>
    <s v="Online"/>
    <x v="9"/>
    <s v="Home Appliances"/>
    <n v="220000"/>
    <n v="9"/>
    <x v="0"/>
    <n v="176000"/>
    <x v="64"/>
    <x v="64"/>
    <x v="64"/>
  </r>
  <r>
    <x v="1912"/>
    <s v="West"/>
    <x v="3"/>
    <x v="1"/>
    <s v="Online"/>
    <x v="2"/>
    <s v="Home Appliances"/>
    <n v="60000"/>
    <n v="4"/>
    <x v="1"/>
    <n v="48000"/>
    <x v="1"/>
    <x v="1"/>
    <x v="1"/>
  </r>
  <r>
    <x v="1913"/>
    <s v="South"/>
    <x v="2"/>
    <x v="1"/>
    <s v="Store"/>
    <x v="9"/>
    <s v="Home Appliances"/>
    <n v="220000"/>
    <n v="7"/>
    <x v="1"/>
    <n v="176000"/>
    <x v="67"/>
    <x v="67"/>
    <x v="67"/>
  </r>
  <r>
    <x v="1914"/>
    <s v="West"/>
    <x v="2"/>
    <x v="0"/>
    <s v="Store"/>
    <x v="5"/>
    <s v="Furniture"/>
    <n v="320000"/>
    <n v="9"/>
    <x v="2"/>
    <n v="256000"/>
    <x v="8"/>
    <x v="8"/>
    <x v="8"/>
  </r>
  <r>
    <x v="1915"/>
    <s v="West"/>
    <x v="1"/>
    <x v="1"/>
    <s v="Store"/>
    <x v="0"/>
    <s v="Furniture"/>
    <n v="85000"/>
    <n v="5"/>
    <x v="5"/>
    <n v="68000"/>
    <x v="58"/>
    <x v="58"/>
    <x v="58"/>
  </r>
  <r>
    <x v="1916"/>
    <s v="North"/>
    <x v="3"/>
    <x v="0"/>
    <s v="Online"/>
    <x v="8"/>
    <s v="Electronics"/>
    <n v="250000"/>
    <n v="10"/>
    <x v="4"/>
    <n v="200000"/>
    <x v="66"/>
    <x v="66"/>
    <x v="66"/>
  </r>
  <r>
    <x v="1917"/>
    <s v="East"/>
    <x v="3"/>
    <x v="0"/>
    <s v="Store"/>
    <x v="5"/>
    <s v="Furniture"/>
    <n v="320000"/>
    <n v="8"/>
    <x v="2"/>
    <n v="256000"/>
    <x v="72"/>
    <x v="72"/>
    <x v="72"/>
  </r>
  <r>
    <x v="1918"/>
    <s v="North"/>
    <x v="0"/>
    <x v="1"/>
    <s v="Store"/>
    <x v="6"/>
    <s v="Electronics"/>
    <n v="150000"/>
    <n v="7"/>
    <x v="3"/>
    <n v="120000"/>
    <x v="16"/>
    <x v="16"/>
    <x v="16"/>
  </r>
  <r>
    <x v="1919"/>
    <s v="North"/>
    <x v="2"/>
    <x v="0"/>
    <s v="Store"/>
    <x v="4"/>
    <s v="Home Appliances"/>
    <n v="180000"/>
    <n v="8"/>
    <x v="3"/>
    <n v="144000"/>
    <x v="37"/>
    <x v="37"/>
    <x v="37"/>
  </r>
  <r>
    <x v="1920"/>
    <s v="West"/>
    <x v="3"/>
    <x v="0"/>
    <s v="Online"/>
    <x v="5"/>
    <s v="Furniture"/>
    <n v="320000"/>
    <n v="10"/>
    <x v="2"/>
    <n v="256000"/>
    <x v="35"/>
    <x v="35"/>
    <x v="35"/>
  </r>
  <r>
    <x v="1921"/>
    <s v="North"/>
    <x v="0"/>
    <x v="1"/>
    <s v="Store"/>
    <x v="6"/>
    <s v="Electronics"/>
    <n v="150000"/>
    <n v="7"/>
    <x v="5"/>
    <n v="120000"/>
    <x v="16"/>
    <x v="16"/>
    <x v="16"/>
  </r>
  <r>
    <x v="1922"/>
    <s v="South"/>
    <x v="1"/>
    <x v="1"/>
    <s v="Store"/>
    <x v="9"/>
    <s v="Home Appliances"/>
    <n v="220000"/>
    <n v="1"/>
    <x v="1"/>
    <n v="176000"/>
    <x v="25"/>
    <x v="25"/>
    <x v="25"/>
  </r>
  <r>
    <x v="1923"/>
    <s v="North"/>
    <x v="3"/>
    <x v="1"/>
    <s v="Online"/>
    <x v="9"/>
    <s v="Home Appliances"/>
    <n v="220000"/>
    <n v="7"/>
    <x v="1"/>
    <n v="176000"/>
    <x v="67"/>
    <x v="67"/>
    <x v="67"/>
  </r>
  <r>
    <x v="1924"/>
    <s v="South"/>
    <x v="3"/>
    <x v="1"/>
    <s v="Store"/>
    <x v="6"/>
    <s v="Electronics"/>
    <n v="150000"/>
    <n v="6"/>
    <x v="1"/>
    <n v="120000"/>
    <x v="48"/>
    <x v="48"/>
    <x v="48"/>
  </r>
  <r>
    <x v="1925"/>
    <s v="East"/>
    <x v="0"/>
    <x v="0"/>
    <s v="Online"/>
    <x v="3"/>
    <s v="Electronics"/>
    <n v="300000"/>
    <n v="8"/>
    <x v="2"/>
    <n v="240000"/>
    <x v="24"/>
    <x v="24"/>
    <x v="24"/>
  </r>
  <r>
    <x v="1926"/>
    <s v="East"/>
    <x v="3"/>
    <x v="1"/>
    <s v="Store"/>
    <x v="7"/>
    <s v="Electronics"/>
    <n v="420000"/>
    <n v="10"/>
    <x v="5"/>
    <n v="336000"/>
    <x v="20"/>
    <x v="20"/>
    <x v="20"/>
  </r>
  <r>
    <x v="1927"/>
    <s v="North"/>
    <x v="1"/>
    <x v="0"/>
    <s v="Store"/>
    <x v="1"/>
    <s v="Home Appliances"/>
    <n v="30000"/>
    <n v="1"/>
    <x v="1"/>
    <n v="24000"/>
    <x v="75"/>
    <x v="75"/>
    <x v="75"/>
  </r>
  <r>
    <x v="1928"/>
    <s v="East"/>
    <x v="0"/>
    <x v="1"/>
    <s v="Online"/>
    <x v="7"/>
    <s v="Electronics"/>
    <n v="420000"/>
    <n v="7"/>
    <x v="0"/>
    <n v="336000"/>
    <x v="70"/>
    <x v="70"/>
    <x v="70"/>
  </r>
  <r>
    <x v="1929"/>
    <s v="North"/>
    <x v="0"/>
    <x v="1"/>
    <s v="Store"/>
    <x v="4"/>
    <s v="Home Appliances"/>
    <n v="180000"/>
    <n v="6"/>
    <x v="3"/>
    <n v="144000"/>
    <x v="53"/>
    <x v="53"/>
    <x v="53"/>
  </r>
  <r>
    <x v="1930"/>
    <s v="South"/>
    <x v="2"/>
    <x v="0"/>
    <s v="Online"/>
    <x v="1"/>
    <s v="Home Appliances"/>
    <n v="30000"/>
    <n v="10"/>
    <x v="5"/>
    <n v="24000"/>
    <x v="11"/>
    <x v="11"/>
    <x v="11"/>
  </r>
  <r>
    <x v="1931"/>
    <s v="West"/>
    <x v="0"/>
    <x v="0"/>
    <s v="Store"/>
    <x v="9"/>
    <s v="Home Appliances"/>
    <n v="220000"/>
    <n v="1"/>
    <x v="5"/>
    <n v="176000"/>
    <x v="25"/>
    <x v="25"/>
    <x v="25"/>
  </r>
  <r>
    <x v="1932"/>
    <s v="South"/>
    <x v="2"/>
    <x v="0"/>
    <s v="Online"/>
    <x v="5"/>
    <s v="Furniture"/>
    <n v="320000"/>
    <n v="6"/>
    <x v="3"/>
    <n v="256000"/>
    <x v="31"/>
    <x v="31"/>
    <x v="31"/>
  </r>
  <r>
    <x v="1933"/>
    <s v="South"/>
    <x v="3"/>
    <x v="1"/>
    <s v="Store"/>
    <x v="2"/>
    <s v="Home Appliances"/>
    <n v="60000"/>
    <n v="10"/>
    <x v="1"/>
    <n v="48000"/>
    <x v="4"/>
    <x v="4"/>
    <x v="4"/>
  </r>
  <r>
    <x v="1934"/>
    <s v="West"/>
    <x v="3"/>
    <x v="0"/>
    <s v="Online"/>
    <x v="0"/>
    <s v="Furniture"/>
    <n v="85000"/>
    <n v="7"/>
    <x v="5"/>
    <n v="68000"/>
    <x v="30"/>
    <x v="30"/>
    <x v="30"/>
  </r>
  <r>
    <x v="1935"/>
    <s v="East"/>
    <x v="3"/>
    <x v="1"/>
    <s v="Online"/>
    <x v="8"/>
    <s v="Electronics"/>
    <n v="250000"/>
    <n v="1"/>
    <x v="5"/>
    <n v="200000"/>
    <x v="44"/>
    <x v="44"/>
    <x v="44"/>
  </r>
  <r>
    <x v="1936"/>
    <s v="North"/>
    <x v="3"/>
    <x v="1"/>
    <s v="Store"/>
    <x v="9"/>
    <s v="Home Appliances"/>
    <n v="220000"/>
    <n v="8"/>
    <x v="1"/>
    <n v="176000"/>
    <x v="42"/>
    <x v="42"/>
    <x v="42"/>
  </r>
  <r>
    <x v="1937"/>
    <s v="North"/>
    <x v="1"/>
    <x v="0"/>
    <s v="Online"/>
    <x v="8"/>
    <s v="Electronics"/>
    <n v="250000"/>
    <n v="6"/>
    <x v="3"/>
    <n v="200000"/>
    <x v="17"/>
    <x v="17"/>
    <x v="17"/>
  </r>
  <r>
    <x v="1938"/>
    <s v="North"/>
    <x v="3"/>
    <x v="0"/>
    <s v="Online"/>
    <x v="0"/>
    <s v="Furniture"/>
    <n v="85000"/>
    <n v="7"/>
    <x v="3"/>
    <n v="68000"/>
    <x v="30"/>
    <x v="30"/>
    <x v="30"/>
  </r>
  <r>
    <x v="1939"/>
    <s v="South"/>
    <x v="2"/>
    <x v="0"/>
    <s v="Store"/>
    <x v="0"/>
    <s v="Furniture"/>
    <n v="85000"/>
    <n v="4"/>
    <x v="2"/>
    <n v="68000"/>
    <x v="74"/>
    <x v="74"/>
    <x v="74"/>
  </r>
  <r>
    <x v="1940"/>
    <s v="East"/>
    <x v="3"/>
    <x v="1"/>
    <s v="Store"/>
    <x v="7"/>
    <s v="Electronics"/>
    <n v="420000"/>
    <n v="6"/>
    <x v="0"/>
    <n v="336000"/>
    <x v="76"/>
    <x v="76"/>
    <x v="76"/>
  </r>
  <r>
    <x v="1941"/>
    <s v="East"/>
    <x v="0"/>
    <x v="1"/>
    <s v="Store"/>
    <x v="8"/>
    <s v="Electronics"/>
    <n v="250000"/>
    <n v="4"/>
    <x v="2"/>
    <n v="200000"/>
    <x v="14"/>
    <x v="14"/>
    <x v="14"/>
  </r>
  <r>
    <x v="1942"/>
    <s v="West"/>
    <x v="0"/>
    <x v="0"/>
    <s v="Store"/>
    <x v="1"/>
    <s v="Home Appliances"/>
    <n v="30000"/>
    <n v="3"/>
    <x v="4"/>
    <n v="24000"/>
    <x v="33"/>
    <x v="33"/>
    <x v="33"/>
  </r>
  <r>
    <x v="1943"/>
    <s v="North"/>
    <x v="3"/>
    <x v="1"/>
    <s v="Online"/>
    <x v="5"/>
    <s v="Furniture"/>
    <n v="320000"/>
    <n v="9"/>
    <x v="3"/>
    <n v="256000"/>
    <x v="8"/>
    <x v="8"/>
    <x v="8"/>
  </r>
  <r>
    <x v="1944"/>
    <s v="North"/>
    <x v="0"/>
    <x v="0"/>
    <s v="Store"/>
    <x v="9"/>
    <s v="Home Appliances"/>
    <n v="220000"/>
    <n v="7"/>
    <x v="2"/>
    <n v="176000"/>
    <x v="67"/>
    <x v="67"/>
    <x v="67"/>
  </r>
  <r>
    <x v="1945"/>
    <s v="South"/>
    <x v="1"/>
    <x v="1"/>
    <s v="Online"/>
    <x v="6"/>
    <s v="Electronics"/>
    <n v="150000"/>
    <n v="5"/>
    <x v="0"/>
    <n v="120000"/>
    <x v="56"/>
    <x v="56"/>
    <x v="56"/>
  </r>
  <r>
    <x v="1946"/>
    <s v="South"/>
    <x v="0"/>
    <x v="1"/>
    <s v="Store"/>
    <x v="0"/>
    <s v="Furniture"/>
    <n v="85000"/>
    <n v="9"/>
    <x v="3"/>
    <n v="68000"/>
    <x v="18"/>
    <x v="18"/>
    <x v="18"/>
  </r>
  <r>
    <x v="1947"/>
    <s v="North"/>
    <x v="3"/>
    <x v="1"/>
    <s v="Online"/>
    <x v="8"/>
    <s v="Electronics"/>
    <n v="250000"/>
    <n v="10"/>
    <x v="0"/>
    <n v="200000"/>
    <x v="66"/>
    <x v="66"/>
    <x v="66"/>
  </r>
  <r>
    <x v="1948"/>
    <s v="East"/>
    <x v="0"/>
    <x v="1"/>
    <s v="Online"/>
    <x v="0"/>
    <s v="Furniture"/>
    <n v="85000"/>
    <n v="7"/>
    <x v="1"/>
    <n v="68000"/>
    <x v="30"/>
    <x v="30"/>
    <x v="30"/>
  </r>
  <r>
    <x v="1949"/>
    <s v="East"/>
    <x v="1"/>
    <x v="0"/>
    <s v="Online"/>
    <x v="3"/>
    <s v="Electronics"/>
    <n v="300000"/>
    <n v="6"/>
    <x v="4"/>
    <n v="240000"/>
    <x v="5"/>
    <x v="5"/>
    <x v="5"/>
  </r>
  <r>
    <x v="1950"/>
    <s v="West"/>
    <x v="0"/>
    <x v="0"/>
    <s v="Store"/>
    <x v="3"/>
    <s v="Electronics"/>
    <n v="300000"/>
    <n v="10"/>
    <x v="1"/>
    <n v="240000"/>
    <x v="68"/>
    <x v="68"/>
    <x v="68"/>
  </r>
  <r>
    <x v="1951"/>
    <s v="East"/>
    <x v="1"/>
    <x v="1"/>
    <s v="Online"/>
    <x v="4"/>
    <s v="Home Appliances"/>
    <n v="180000"/>
    <n v="1"/>
    <x v="2"/>
    <n v="144000"/>
    <x v="32"/>
    <x v="32"/>
    <x v="32"/>
  </r>
  <r>
    <x v="1952"/>
    <s v="South"/>
    <x v="3"/>
    <x v="0"/>
    <s v="Online"/>
    <x v="6"/>
    <s v="Electronics"/>
    <n v="150000"/>
    <n v="7"/>
    <x v="4"/>
    <n v="120000"/>
    <x v="16"/>
    <x v="16"/>
    <x v="16"/>
  </r>
  <r>
    <x v="1953"/>
    <s v="North"/>
    <x v="0"/>
    <x v="0"/>
    <s v="Online"/>
    <x v="9"/>
    <s v="Home Appliances"/>
    <n v="220000"/>
    <n v="5"/>
    <x v="1"/>
    <n v="176000"/>
    <x v="51"/>
    <x v="51"/>
    <x v="51"/>
  </r>
  <r>
    <x v="1954"/>
    <s v="East"/>
    <x v="0"/>
    <x v="0"/>
    <s v="Online"/>
    <x v="7"/>
    <s v="Electronics"/>
    <n v="420000"/>
    <n v="2"/>
    <x v="4"/>
    <n v="336000"/>
    <x v="62"/>
    <x v="62"/>
    <x v="62"/>
  </r>
  <r>
    <x v="1955"/>
    <s v="West"/>
    <x v="2"/>
    <x v="0"/>
    <s v="Online"/>
    <x v="4"/>
    <s v="Home Appliances"/>
    <n v="180000"/>
    <n v="9"/>
    <x v="3"/>
    <n v="144000"/>
    <x v="27"/>
    <x v="27"/>
    <x v="27"/>
  </r>
  <r>
    <x v="1956"/>
    <s v="North"/>
    <x v="3"/>
    <x v="0"/>
    <s v="Online"/>
    <x v="9"/>
    <s v="Home Appliances"/>
    <n v="220000"/>
    <n v="5"/>
    <x v="3"/>
    <n v="176000"/>
    <x v="51"/>
    <x v="51"/>
    <x v="51"/>
  </r>
  <r>
    <x v="1957"/>
    <s v="North"/>
    <x v="2"/>
    <x v="0"/>
    <s v="Online"/>
    <x v="4"/>
    <s v="Home Appliances"/>
    <n v="180000"/>
    <n v="1"/>
    <x v="5"/>
    <n v="144000"/>
    <x v="32"/>
    <x v="32"/>
    <x v="32"/>
  </r>
  <r>
    <x v="1958"/>
    <s v="East"/>
    <x v="2"/>
    <x v="1"/>
    <s v="Store"/>
    <x v="2"/>
    <s v="Home Appliances"/>
    <n v="60000"/>
    <n v="2"/>
    <x v="5"/>
    <n v="48000"/>
    <x v="3"/>
    <x v="3"/>
    <x v="3"/>
  </r>
  <r>
    <x v="1959"/>
    <s v="North"/>
    <x v="2"/>
    <x v="0"/>
    <s v="Online"/>
    <x v="3"/>
    <s v="Electronics"/>
    <n v="300000"/>
    <n v="5"/>
    <x v="1"/>
    <n v="240000"/>
    <x v="17"/>
    <x v="17"/>
    <x v="17"/>
  </r>
  <r>
    <x v="1960"/>
    <s v="North"/>
    <x v="2"/>
    <x v="0"/>
    <s v="Store"/>
    <x v="3"/>
    <s v="Electronics"/>
    <n v="300000"/>
    <n v="9"/>
    <x v="4"/>
    <n v="240000"/>
    <x v="39"/>
    <x v="39"/>
    <x v="39"/>
  </r>
  <r>
    <x v="1961"/>
    <s v="South"/>
    <x v="3"/>
    <x v="0"/>
    <s v="Online"/>
    <x v="9"/>
    <s v="Home Appliances"/>
    <n v="220000"/>
    <n v="1"/>
    <x v="4"/>
    <n v="176000"/>
    <x v="25"/>
    <x v="25"/>
    <x v="25"/>
  </r>
  <r>
    <x v="1962"/>
    <s v="West"/>
    <x v="3"/>
    <x v="1"/>
    <s v="Store"/>
    <x v="1"/>
    <s v="Home Appliances"/>
    <n v="30000"/>
    <n v="5"/>
    <x v="4"/>
    <n v="24000"/>
    <x v="26"/>
    <x v="26"/>
    <x v="26"/>
  </r>
  <r>
    <x v="1963"/>
    <s v="South"/>
    <x v="0"/>
    <x v="1"/>
    <s v="Online"/>
    <x v="4"/>
    <s v="Home Appliances"/>
    <n v="180000"/>
    <n v="1"/>
    <x v="0"/>
    <n v="144000"/>
    <x v="32"/>
    <x v="32"/>
    <x v="32"/>
  </r>
  <r>
    <x v="1964"/>
    <s v="North"/>
    <x v="2"/>
    <x v="0"/>
    <s v="Online"/>
    <x v="3"/>
    <s v="Electronics"/>
    <n v="300000"/>
    <n v="6"/>
    <x v="4"/>
    <n v="240000"/>
    <x v="5"/>
    <x v="5"/>
    <x v="5"/>
  </r>
  <r>
    <x v="1965"/>
    <s v="West"/>
    <x v="2"/>
    <x v="0"/>
    <s v="Store"/>
    <x v="9"/>
    <s v="Home Appliances"/>
    <n v="220000"/>
    <n v="3"/>
    <x v="5"/>
    <n v="176000"/>
    <x v="49"/>
    <x v="49"/>
    <x v="49"/>
  </r>
  <r>
    <x v="1966"/>
    <s v="North"/>
    <x v="0"/>
    <x v="0"/>
    <s v="Store"/>
    <x v="5"/>
    <s v="Furniture"/>
    <n v="320000"/>
    <n v="5"/>
    <x v="3"/>
    <n v="256000"/>
    <x v="28"/>
    <x v="28"/>
    <x v="28"/>
  </r>
  <r>
    <x v="1967"/>
    <s v="South"/>
    <x v="2"/>
    <x v="0"/>
    <s v="Online"/>
    <x v="6"/>
    <s v="Electronics"/>
    <n v="150000"/>
    <n v="2"/>
    <x v="3"/>
    <n v="120000"/>
    <x v="11"/>
    <x v="11"/>
    <x v="11"/>
  </r>
  <r>
    <x v="1968"/>
    <s v="West"/>
    <x v="0"/>
    <x v="0"/>
    <s v="Online"/>
    <x v="4"/>
    <s v="Home Appliances"/>
    <n v="180000"/>
    <n v="1"/>
    <x v="1"/>
    <n v="144000"/>
    <x v="32"/>
    <x v="32"/>
    <x v="32"/>
  </r>
  <r>
    <x v="1969"/>
    <s v="West"/>
    <x v="1"/>
    <x v="1"/>
    <s v="Store"/>
    <x v="1"/>
    <s v="Home Appliances"/>
    <n v="30000"/>
    <n v="10"/>
    <x v="4"/>
    <n v="24000"/>
    <x v="11"/>
    <x v="11"/>
    <x v="11"/>
  </r>
  <r>
    <x v="1970"/>
    <s v="North"/>
    <x v="1"/>
    <x v="0"/>
    <s v="Store"/>
    <x v="6"/>
    <s v="Electronics"/>
    <n v="150000"/>
    <n v="4"/>
    <x v="1"/>
    <n v="120000"/>
    <x v="4"/>
    <x v="4"/>
    <x v="4"/>
  </r>
  <r>
    <x v="1971"/>
    <s v="North"/>
    <x v="2"/>
    <x v="0"/>
    <s v="Online"/>
    <x v="1"/>
    <s v="Home Appliances"/>
    <n v="30000"/>
    <n v="1"/>
    <x v="1"/>
    <n v="24000"/>
    <x v="75"/>
    <x v="75"/>
    <x v="75"/>
  </r>
  <r>
    <x v="1972"/>
    <s v="North"/>
    <x v="1"/>
    <x v="0"/>
    <s v="Online"/>
    <x v="1"/>
    <s v="Home Appliances"/>
    <n v="30000"/>
    <n v="6"/>
    <x v="3"/>
    <n v="24000"/>
    <x v="32"/>
    <x v="32"/>
    <x v="32"/>
  </r>
  <r>
    <x v="1973"/>
    <s v="South"/>
    <x v="0"/>
    <x v="1"/>
    <s v="Online"/>
    <x v="4"/>
    <s v="Home Appliances"/>
    <n v="180000"/>
    <n v="7"/>
    <x v="0"/>
    <n v="144000"/>
    <x v="55"/>
    <x v="55"/>
    <x v="55"/>
  </r>
  <r>
    <x v="1974"/>
    <s v="South"/>
    <x v="3"/>
    <x v="0"/>
    <s v="Online"/>
    <x v="2"/>
    <s v="Home Appliances"/>
    <n v="60000"/>
    <n v="8"/>
    <x v="5"/>
    <n v="48000"/>
    <x v="47"/>
    <x v="47"/>
    <x v="47"/>
  </r>
  <r>
    <x v="1975"/>
    <s v="South"/>
    <x v="1"/>
    <x v="0"/>
    <s v="Online"/>
    <x v="2"/>
    <s v="Home Appliances"/>
    <n v="60000"/>
    <n v="2"/>
    <x v="4"/>
    <n v="48000"/>
    <x v="3"/>
    <x v="3"/>
    <x v="3"/>
  </r>
  <r>
    <x v="1976"/>
    <s v="South"/>
    <x v="2"/>
    <x v="0"/>
    <s v="Store"/>
    <x v="0"/>
    <s v="Furniture"/>
    <n v="85000"/>
    <n v="1"/>
    <x v="3"/>
    <n v="68000"/>
    <x v="0"/>
    <x v="0"/>
    <x v="0"/>
  </r>
  <r>
    <x v="1977"/>
    <s v="North"/>
    <x v="2"/>
    <x v="1"/>
    <s v="Online"/>
    <x v="1"/>
    <s v="Home Appliances"/>
    <n v="30000"/>
    <n v="8"/>
    <x v="4"/>
    <n v="24000"/>
    <x v="1"/>
    <x v="1"/>
    <x v="1"/>
  </r>
  <r>
    <x v="1978"/>
    <s v="North"/>
    <x v="3"/>
    <x v="0"/>
    <s v="Store"/>
    <x v="2"/>
    <s v="Home Appliances"/>
    <n v="60000"/>
    <n v="10"/>
    <x v="4"/>
    <n v="48000"/>
    <x v="4"/>
    <x v="4"/>
    <x v="4"/>
  </r>
  <r>
    <x v="1979"/>
    <s v="West"/>
    <x v="0"/>
    <x v="1"/>
    <s v="Store"/>
    <x v="6"/>
    <s v="Electronics"/>
    <n v="150000"/>
    <n v="1"/>
    <x v="0"/>
    <n v="120000"/>
    <x v="26"/>
    <x v="26"/>
    <x v="26"/>
  </r>
  <r>
    <x v="1980"/>
    <s v="South"/>
    <x v="0"/>
    <x v="1"/>
    <s v="Store"/>
    <x v="2"/>
    <s v="Home Appliances"/>
    <n v="60000"/>
    <n v="9"/>
    <x v="5"/>
    <n v="48000"/>
    <x v="46"/>
    <x v="46"/>
    <x v="46"/>
  </r>
  <r>
    <x v="1981"/>
    <s v="North"/>
    <x v="3"/>
    <x v="0"/>
    <s v="Online"/>
    <x v="2"/>
    <s v="Home Appliances"/>
    <n v="60000"/>
    <n v="5"/>
    <x v="5"/>
    <n v="48000"/>
    <x v="11"/>
    <x v="11"/>
    <x v="11"/>
  </r>
  <r>
    <x v="1982"/>
    <s v="East"/>
    <x v="0"/>
    <x v="0"/>
    <s v="Store"/>
    <x v="9"/>
    <s v="Home Appliances"/>
    <n v="220000"/>
    <n v="8"/>
    <x v="0"/>
    <n v="176000"/>
    <x v="42"/>
    <x v="42"/>
    <x v="42"/>
  </r>
  <r>
    <x v="1983"/>
    <s v="West"/>
    <x v="0"/>
    <x v="0"/>
    <s v="Store"/>
    <x v="0"/>
    <s v="Furniture"/>
    <n v="85000"/>
    <n v="2"/>
    <x v="4"/>
    <n v="68000"/>
    <x v="2"/>
    <x v="2"/>
    <x v="2"/>
  </r>
  <r>
    <x v="1984"/>
    <s v="South"/>
    <x v="3"/>
    <x v="0"/>
    <s v="Store"/>
    <x v="5"/>
    <s v="Furniture"/>
    <n v="320000"/>
    <n v="7"/>
    <x v="4"/>
    <n v="256000"/>
    <x v="10"/>
    <x v="10"/>
    <x v="10"/>
  </r>
  <r>
    <x v="1985"/>
    <s v="South"/>
    <x v="3"/>
    <x v="0"/>
    <s v="Online"/>
    <x v="8"/>
    <s v="Electronics"/>
    <n v="250000"/>
    <n v="4"/>
    <x v="0"/>
    <n v="200000"/>
    <x v="14"/>
    <x v="14"/>
    <x v="14"/>
  </r>
  <r>
    <x v="1986"/>
    <s v="East"/>
    <x v="0"/>
    <x v="1"/>
    <s v="Store"/>
    <x v="6"/>
    <s v="Electronics"/>
    <n v="150000"/>
    <n v="6"/>
    <x v="1"/>
    <n v="120000"/>
    <x v="48"/>
    <x v="48"/>
    <x v="48"/>
  </r>
  <r>
    <x v="1987"/>
    <s v="North"/>
    <x v="3"/>
    <x v="0"/>
    <s v="Online"/>
    <x v="3"/>
    <s v="Electronics"/>
    <n v="300000"/>
    <n v="8"/>
    <x v="1"/>
    <n v="240000"/>
    <x v="24"/>
    <x v="24"/>
    <x v="24"/>
  </r>
  <r>
    <x v="1988"/>
    <s v="West"/>
    <x v="1"/>
    <x v="0"/>
    <s v="Store"/>
    <x v="3"/>
    <s v="Electronics"/>
    <n v="300000"/>
    <n v="10"/>
    <x v="0"/>
    <n v="240000"/>
    <x v="68"/>
    <x v="68"/>
    <x v="68"/>
  </r>
  <r>
    <x v="1989"/>
    <s v="North"/>
    <x v="2"/>
    <x v="1"/>
    <s v="Store"/>
    <x v="5"/>
    <s v="Furniture"/>
    <n v="320000"/>
    <n v="1"/>
    <x v="2"/>
    <n v="256000"/>
    <x v="7"/>
    <x v="7"/>
    <x v="7"/>
  </r>
  <r>
    <x v="1990"/>
    <s v="South"/>
    <x v="1"/>
    <x v="1"/>
    <s v="Store"/>
    <x v="5"/>
    <s v="Furniture"/>
    <n v="320000"/>
    <n v="3"/>
    <x v="2"/>
    <n v="256000"/>
    <x v="9"/>
    <x v="9"/>
    <x v="9"/>
  </r>
  <r>
    <x v="1991"/>
    <s v="West"/>
    <x v="0"/>
    <x v="1"/>
    <s v="Online"/>
    <x v="6"/>
    <s v="Electronics"/>
    <n v="150000"/>
    <n v="6"/>
    <x v="3"/>
    <n v="120000"/>
    <x v="48"/>
    <x v="48"/>
    <x v="48"/>
  </r>
  <r>
    <x v="1992"/>
    <s v="East"/>
    <x v="1"/>
    <x v="0"/>
    <s v="Online"/>
    <x v="4"/>
    <s v="Home Appliances"/>
    <n v="180000"/>
    <n v="9"/>
    <x v="5"/>
    <n v="144000"/>
    <x v="27"/>
    <x v="27"/>
    <x v="27"/>
  </r>
  <r>
    <x v="1993"/>
    <s v="South"/>
    <x v="3"/>
    <x v="0"/>
    <s v="Online"/>
    <x v="2"/>
    <s v="Home Appliances"/>
    <n v="60000"/>
    <n v="2"/>
    <x v="3"/>
    <n v="48000"/>
    <x v="3"/>
    <x v="3"/>
    <x v="3"/>
  </r>
  <r>
    <x v="1994"/>
    <s v="East"/>
    <x v="2"/>
    <x v="0"/>
    <s v="Store"/>
    <x v="6"/>
    <s v="Electronics"/>
    <n v="150000"/>
    <n v="5"/>
    <x v="3"/>
    <n v="120000"/>
    <x v="56"/>
    <x v="56"/>
    <x v="56"/>
  </r>
  <r>
    <x v="1995"/>
    <s v="East"/>
    <x v="2"/>
    <x v="0"/>
    <s v="Store"/>
    <x v="4"/>
    <s v="Home Appliances"/>
    <n v="180000"/>
    <n v="10"/>
    <x v="3"/>
    <n v="144000"/>
    <x v="5"/>
    <x v="5"/>
    <x v="5"/>
  </r>
  <r>
    <x v="1996"/>
    <s v="West"/>
    <x v="0"/>
    <x v="0"/>
    <s v="Online"/>
    <x v="0"/>
    <s v="Furniture"/>
    <n v="85000"/>
    <n v="7"/>
    <x v="4"/>
    <n v="68000"/>
    <x v="30"/>
    <x v="30"/>
    <x v="30"/>
  </r>
  <r>
    <x v="1997"/>
    <s v="East"/>
    <x v="3"/>
    <x v="1"/>
    <s v="Store"/>
    <x v="7"/>
    <s v="Electronics"/>
    <n v="420000"/>
    <n v="3"/>
    <x v="1"/>
    <n v="336000"/>
    <x v="55"/>
    <x v="55"/>
    <x v="55"/>
  </r>
  <r>
    <x v="1998"/>
    <s v="East"/>
    <x v="3"/>
    <x v="1"/>
    <s v="Online"/>
    <x v="3"/>
    <s v="Electronics"/>
    <n v="300000"/>
    <n v="2"/>
    <x v="4"/>
    <n v="240000"/>
    <x v="4"/>
    <x v="4"/>
    <x v="4"/>
  </r>
  <r>
    <x v="1999"/>
    <s v="East"/>
    <x v="1"/>
    <x v="1"/>
    <s v="Online"/>
    <x v="8"/>
    <s v="Electronics"/>
    <n v="250000"/>
    <n v="3"/>
    <x v="4"/>
    <n v="200000"/>
    <x v="56"/>
    <x v="56"/>
    <x v="56"/>
  </r>
  <r>
    <x v="2000"/>
    <s v="East"/>
    <x v="0"/>
    <x v="0"/>
    <s v="Store"/>
    <x v="6"/>
    <s v="Electronics"/>
    <n v="150000"/>
    <n v="7"/>
    <x v="1"/>
    <n v="120000"/>
    <x v="16"/>
    <x v="16"/>
    <x v="16"/>
  </r>
  <r>
    <x v="2001"/>
    <s v="West"/>
    <x v="0"/>
    <x v="1"/>
    <s v="Online"/>
    <x v="7"/>
    <s v="Electronics"/>
    <n v="420000"/>
    <n v="7"/>
    <x v="3"/>
    <n v="336000"/>
    <x v="70"/>
    <x v="70"/>
    <x v="70"/>
  </r>
  <r>
    <x v="2002"/>
    <s v="South"/>
    <x v="1"/>
    <x v="0"/>
    <s v="Store"/>
    <x v="4"/>
    <s v="Home Appliances"/>
    <n v="180000"/>
    <n v="7"/>
    <x v="2"/>
    <n v="144000"/>
    <x v="55"/>
    <x v="55"/>
    <x v="55"/>
  </r>
  <r>
    <x v="2003"/>
    <s v="West"/>
    <x v="0"/>
    <x v="0"/>
    <s v="Store"/>
    <x v="5"/>
    <s v="Furniture"/>
    <n v="320000"/>
    <n v="2"/>
    <x v="5"/>
    <n v="256000"/>
    <x v="38"/>
    <x v="38"/>
    <x v="38"/>
  </r>
  <r>
    <x v="2004"/>
    <s v="North"/>
    <x v="0"/>
    <x v="1"/>
    <s v="Store"/>
    <x v="5"/>
    <s v="Furniture"/>
    <n v="320000"/>
    <n v="6"/>
    <x v="5"/>
    <n v="256000"/>
    <x v="31"/>
    <x v="31"/>
    <x v="31"/>
  </r>
  <r>
    <x v="2005"/>
    <s v="East"/>
    <x v="2"/>
    <x v="1"/>
    <s v="Online"/>
    <x v="1"/>
    <s v="Home Appliances"/>
    <n v="30000"/>
    <n v="3"/>
    <x v="4"/>
    <n v="24000"/>
    <x v="33"/>
    <x v="33"/>
    <x v="33"/>
  </r>
  <r>
    <x v="2006"/>
    <s v="North"/>
    <x v="0"/>
    <x v="0"/>
    <s v="Online"/>
    <x v="7"/>
    <s v="Electronics"/>
    <n v="420000"/>
    <n v="3"/>
    <x v="0"/>
    <n v="336000"/>
    <x v="55"/>
    <x v="55"/>
    <x v="55"/>
  </r>
  <r>
    <x v="2007"/>
    <s v="South"/>
    <x v="1"/>
    <x v="0"/>
    <s v="Store"/>
    <x v="1"/>
    <s v="Home Appliances"/>
    <n v="30000"/>
    <n v="9"/>
    <x v="3"/>
    <n v="24000"/>
    <x v="57"/>
    <x v="57"/>
    <x v="57"/>
  </r>
  <r>
    <x v="2008"/>
    <s v="East"/>
    <x v="0"/>
    <x v="1"/>
    <s v="Store"/>
    <x v="5"/>
    <s v="Furniture"/>
    <n v="320000"/>
    <n v="4"/>
    <x v="0"/>
    <n v="256000"/>
    <x v="6"/>
    <x v="6"/>
    <x v="6"/>
  </r>
  <r>
    <x v="2009"/>
    <s v="North"/>
    <x v="3"/>
    <x v="1"/>
    <s v="Store"/>
    <x v="6"/>
    <s v="Electronics"/>
    <n v="150000"/>
    <n v="5"/>
    <x v="1"/>
    <n v="120000"/>
    <x v="56"/>
    <x v="56"/>
    <x v="56"/>
  </r>
  <r>
    <x v="2010"/>
    <s v="South"/>
    <x v="0"/>
    <x v="1"/>
    <s v="Store"/>
    <x v="0"/>
    <s v="Furniture"/>
    <n v="85000"/>
    <n v="8"/>
    <x v="3"/>
    <n v="68000"/>
    <x v="69"/>
    <x v="69"/>
    <x v="69"/>
  </r>
  <r>
    <x v="2011"/>
    <s v="North"/>
    <x v="3"/>
    <x v="0"/>
    <s v="Store"/>
    <x v="2"/>
    <s v="Home Appliances"/>
    <n v="60000"/>
    <n v="1"/>
    <x v="0"/>
    <n v="48000"/>
    <x v="41"/>
    <x v="41"/>
    <x v="41"/>
  </r>
  <r>
    <x v="2012"/>
    <s v="South"/>
    <x v="1"/>
    <x v="0"/>
    <s v="Online"/>
    <x v="9"/>
    <s v="Home Appliances"/>
    <n v="220000"/>
    <n v="3"/>
    <x v="2"/>
    <n v="176000"/>
    <x v="49"/>
    <x v="49"/>
    <x v="49"/>
  </r>
  <r>
    <x v="2013"/>
    <s v="West"/>
    <x v="3"/>
    <x v="1"/>
    <s v="Online"/>
    <x v="4"/>
    <s v="Home Appliances"/>
    <n v="180000"/>
    <n v="2"/>
    <x v="4"/>
    <n v="144000"/>
    <x v="50"/>
    <x v="50"/>
    <x v="50"/>
  </r>
  <r>
    <x v="2014"/>
    <s v="South"/>
    <x v="0"/>
    <x v="1"/>
    <s v="Online"/>
    <x v="8"/>
    <s v="Electronics"/>
    <n v="250000"/>
    <n v="9"/>
    <x v="1"/>
    <n v="200000"/>
    <x v="71"/>
    <x v="71"/>
    <x v="71"/>
  </r>
  <r>
    <x v="2015"/>
    <s v="West"/>
    <x v="0"/>
    <x v="1"/>
    <s v="Online"/>
    <x v="3"/>
    <s v="Electronics"/>
    <n v="300000"/>
    <n v="8"/>
    <x v="4"/>
    <n v="240000"/>
    <x v="24"/>
    <x v="24"/>
    <x v="24"/>
  </r>
  <r>
    <x v="2016"/>
    <s v="West"/>
    <x v="1"/>
    <x v="0"/>
    <s v="Online"/>
    <x v="6"/>
    <s v="Electronics"/>
    <n v="150000"/>
    <n v="6"/>
    <x v="0"/>
    <n v="120000"/>
    <x v="48"/>
    <x v="48"/>
    <x v="48"/>
  </r>
  <r>
    <x v="2017"/>
    <s v="North"/>
    <x v="3"/>
    <x v="1"/>
    <s v="Store"/>
    <x v="0"/>
    <s v="Furniture"/>
    <n v="85000"/>
    <n v="9"/>
    <x v="2"/>
    <n v="68000"/>
    <x v="18"/>
    <x v="18"/>
    <x v="18"/>
  </r>
  <r>
    <x v="2018"/>
    <s v="North"/>
    <x v="2"/>
    <x v="1"/>
    <s v="Online"/>
    <x v="2"/>
    <s v="Home Appliances"/>
    <n v="60000"/>
    <n v="3"/>
    <x v="1"/>
    <n v="48000"/>
    <x v="32"/>
    <x v="32"/>
    <x v="32"/>
  </r>
  <r>
    <x v="2019"/>
    <s v="South"/>
    <x v="3"/>
    <x v="0"/>
    <s v="Store"/>
    <x v="7"/>
    <s v="Electronics"/>
    <n v="420000"/>
    <n v="7"/>
    <x v="3"/>
    <n v="336000"/>
    <x v="70"/>
    <x v="70"/>
    <x v="70"/>
  </r>
  <r>
    <x v="2020"/>
    <s v="South"/>
    <x v="0"/>
    <x v="1"/>
    <s v="Online"/>
    <x v="0"/>
    <s v="Furniture"/>
    <n v="85000"/>
    <n v="5"/>
    <x v="1"/>
    <n v="68000"/>
    <x v="58"/>
    <x v="58"/>
    <x v="58"/>
  </r>
  <r>
    <x v="2021"/>
    <s v="East"/>
    <x v="0"/>
    <x v="1"/>
    <s v="Online"/>
    <x v="2"/>
    <s v="Home Appliances"/>
    <n v="60000"/>
    <n v="7"/>
    <x v="1"/>
    <n v="48000"/>
    <x v="40"/>
    <x v="40"/>
    <x v="40"/>
  </r>
  <r>
    <x v="2022"/>
    <s v="East"/>
    <x v="3"/>
    <x v="0"/>
    <s v="Online"/>
    <x v="4"/>
    <s v="Home Appliances"/>
    <n v="180000"/>
    <n v="2"/>
    <x v="3"/>
    <n v="144000"/>
    <x v="50"/>
    <x v="50"/>
    <x v="50"/>
  </r>
  <r>
    <x v="2023"/>
    <s v="West"/>
    <x v="0"/>
    <x v="1"/>
    <s v="Store"/>
    <x v="8"/>
    <s v="Electronics"/>
    <n v="250000"/>
    <n v="3"/>
    <x v="4"/>
    <n v="200000"/>
    <x v="56"/>
    <x v="56"/>
    <x v="56"/>
  </r>
  <r>
    <x v="2024"/>
    <s v="East"/>
    <x v="2"/>
    <x v="1"/>
    <s v="Online"/>
    <x v="4"/>
    <s v="Home Appliances"/>
    <n v="180000"/>
    <n v="6"/>
    <x v="5"/>
    <n v="144000"/>
    <x v="53"/>
    <x v="53"/>
    <x v="53"/>
  </r>
  <r>
    <x v="2025"/>
    <s v="East"/>
    <x v="3"/>
    <x v="0"/>
    <s v="Store"/>
    <x v="0"/>
    <s v="Furniture"/>
    <n v="85000"/>
    <n v="2"/>
    <x v="5"/>
    <n v="68000"/>
    <x v="2"/>
    <x v="2"/>
    <x v="2"/>
  </r>
  <r>
    <x v="2026"/>
    <s v="North"/>
    <x v="3"/>
    <x v="1"/>
    <s v="Store"/>
    <x v="8"/>
    <s v="Electronics"/>
    <n v="250000"/>
    <n v="5"/>
    <x v="2"/>
    <n v="200000"/>
    <x v="21"/>
    <x v="21"/>
    <x v="21"/>
  </r>
  <r>
    <x v="2027"/>
    <s v="West"/>
    <x v="0"/>
    <x v="1"/>
    <s v="Store"/>
    <x v="9"/>
    <s v="Home Appliances"/>
    <n v="220000"/>
    <n v="2"/>
    <x v="4"/>
    <n v="176000"/>
    <x v="15"/>
    <x v="15"/>
    <x v="15"/>
  </r>
  <r>
    <x v="2028"/>
    <s v="South"/>
    <x v="3"/>
    <x v="0"/>
    <s v="Online"/>
    <x v="1"/>
    <s v="Home Appliances"/>
    <n v="30000"/>
    <n v="2"/>
    <x v="1"/>
    <n v="24000"/>
    <x v="41"/>
    <x v="41"/>
    <x v="41"/>
  </r>
  <r>
    <x v="2029"/>
    <s v="East"/>
    <x v="2"/>
    <x v="1"/>
    <s v="Store"/>
    <x v="7"/>
    <s v="Electronics"/>
    <n v="420000"/>
    <n v="10"/>
    <x v="4"/>
    <n v="336000"/>
    <x v="20"/>
    <x v="20"/>
    <x v="20"/>
  </r>
  <r>
    <x v="2030"/>
    <s v="North"/>
    <x v="3"/>
    <x v="1"/>
    <s v="Online"/>
    <x v="9"/>
    <s v="Home Appliances"/>
    <n v="220000"/>
    <n v="2"/>
    <x v="3"/>
    <n v="176000"/>
    <x v="15"/>
    <x v="15"/>
    <x v="15"/>
  </r>
  <r>
    <x v="2031"/>
    <s v="South"/>
    <x v="2"/>
    <x v="1"/>
    <s v="Store"/>
    <x v="9"/>
    <s v="Home Appliances"/>
    <n v="220000"/>
    <n v="10"/>
    <x v="1"/>
    <n v="176000"/>
    <x v="61"/>
    <x v="61"/>
    <x v="61"/>
  </r>
  <r>
    <x v="2032"/>
    <s v="West"/>
    <x v="1"/>
    <x v="1"/>
    <s v="Store"/>
    <x v="5"/>
    <s v="Furniture"/>
    <n v="320000"/>
    <n v="6"/>
    <x v="3"/>
    <n v="256000"/>
    <x v="31"/>
    <x v="31"/>
    <x v="31"/>
  </r>
  <r>
    <x v="2033"/>
    <s v="North"/>
    <x v="0"/>
    <x v="1"/>
    <s v="Store"/>
    <x v="7"/>
    <s v="Electronics"/>
    <n v="420000"/>
    <n v="8"/>
    <x v="3"/>
    <n v="336000"/>
    <x v="19"/>
    <x v="19"/>
    <x v="19"/>
  </r>
  <r>
    <x v="2034"/>
    <s v="East"/>
    <x v="3"/>
    <x v="0"/>
    <s v="Store"/>
    <x v="9"/>
    <s v="Home Appliances"/>
    <n v="220000"/>
    <n v="9"/>
    <x v="3"/>
    <n v="176000"/>
    <x v="64"/>
    <x v="64"/>
    <x v="64"/>
  </r>
  <r>
    <x v="2035"/>
    <s v="North"/>
    <x v="1"/>
    <x v="1"/>
    <s v="Online"/>
    <x v="9"/>
    <s v="Home Appliances"/>
    <n v="220000"/>
    <n v="2"/>
    <x v="5"/>
    <n v="176000"/>
    <x v="15"/>
    <x v="15"/>
    <x v="15"/>
  </r>
  <r>
    <x v="2036"/>
    <s v="South"/>
    <x v="3"/>
    <x v="0"/>
    <s v="Online"/>
    <x v="6"/>
    <s v="Electronics"/>
    <n v="150000"/>
    <n v="4"/>
    <x v="4"/>
    <n v="120000"/>
    <x v="4"/>
    <x v="4"/>
    <x v="4"/>
  </r>
  <r>
    <x v="2037"/>
    <s v="East"/>
    <x v="2"/>
    <x v="0"/>
    <s v="Store"/>
    <x v="3"/>
    <s v="Electronics"/>
    <n v="300000"/>
    <n v="7"/>
    <x v="5"/>
    <n v="240000"/>
    <x v="13"/>
    <x v="13"/>
    <x v="13"/>
  </r>
  <r>
    <x v="2038"/>
    <s v="South"/>
    <x v="1"/>
    <x v="1"/>
    <s v="Online"/>
    <x v="7"/>
    <s v="Electronics"/>
    <n v="420000"/>
    <n v="4"/>
    <x v="5"/>
    <n v="336000"/>
    <x v="45"/>
    <x v="45"/>
    <x v="45"/>
  </r>
  <r>
    <x v="2039"/>
    <s v="West"/>
    <x v="2"/>
    <x v="1"/>
    <s v="Store"/>
    <x v="2"/>
    <s v="Home Appliances"/>
    <n v="60000"/>
    <n v="4"/>
    <x v="4"/>
    <n v="48000"/>
    <x v="1"/>
    <x v="1"/>
    <x v="1"/>
  </r>
  <r>
    <x v="2040"/>
    <s v="North"/>
    <x v="2"/>
    <x v="0"/>
    <s v="Online"/>
    <x v="4"/>
    <s v="Home Appliances"/>
    <n v="180000"/>
    <n v="6"/>
    <x v="0"/>
    <n v="144000"/>
    <x v="53"/>
    <x v="53"/>
    <x v="53"/>
  </r>
  <r>
    <x v="2041"/>
    <s v="South"/>
    <x v="2"/>
    <x v="1"/>
    <s v="Online"/>
    <x v="3"/>
    <s v="Electronics"/>
    <n v="300000"/>
    <n v="8"/>
    <x v="3"/>
    <n v="240000"/>
    <x v="24"/>
    <x v="24"/>
    <x v="24"/>
  </r>
  <r>
    <x v="2042"/>
    <s v="West"/>
    <x v="0"/>
    <x v="0"/>
    <s v="Store"/>
    <x v="5"/>
    <s v="Furniture"/>
    <n v="320000"/>
    <n v="10"/>
    <x v="0"/>
    <n v="256000"/>
    <x v="35"/>
    <x v="35"/>
    <x v="35"/>
  </r>
  <r>
    <x v="2043"/>
    <s v="West"/>
    <x v="1"/>
    <x v="0"/>
    <s v="Store"/>
    <x v="1"/>
    <s v="Home Appliances"/>
    <n v="30000"/>
    <n v="1"/>
    <x v="0"/>
    <n v="24000"/>
    <x v="75"/>
    <x v="75"/>
    <x v="75"/>
  </r>
  <r>
    <x v="2044"/>
    <s v="East"/>
    <x v="1"/>
    <x v="1"/>
    <s v="Store"/>
    <x v="0"/>
    <s v="Furniture"/>
    <n v="85000"/>
    <n v="2"/>
    <x v="3"/>
    <n v="68000"/>
    <x v="2"/>
    <x v="2"/>
    <x v="2"/>
  </r>
  <r>
    <x v="2045"/>
    <s v="West"/>
    <x v="0"/>
    <x v="1"/>
    <s v="Online"/>
    <x v="0"/>
    <s v="Furniture"/>
    <n v="85000"/>
    <n v="5"/>
    <x v="4"/>
    <n v="68000"/>
    <x v="58"/>
    <x v="58"/>
    <x v="58"/>
  </r>
  <r>
    <x v="2046"/>
    <s v="South"/>
    <x v="0"/>
    <x v="0"/>
    <s v="Store"/>
    <x v="8"/>
    <s v="Electronics"/>
    <n v="250000"/>
    <n v="8"/>
    <x v="4"/>
    <n v="200000"/>
    <x v="52"/>
    <x v="52"/>
    <x v="52"/>
  </r>
  <r>
    <x v="2047"/>
    <s v="North"/>
    <x v="2"/>
    <x v="1"/>
    <s v="Online"/>
    <x v="3"/>
    <s v="Electronics"/>
    <n v="300000"/>
    <n v="8"/>
    <x v="3"/>
    <n v="240000"/>
    <x v="24"/>
    <x v="24"/>
    <x v="24"/>
  </r>
  <r>
    <x v="2048"/>
    <s v="West"/>
    <x v="1"/>
    <x v="1"/>
    <s v="Store"/>
    <x v="4"/>
    <s v="Home Appliances"/>
    <n v="180000"/>
    <n v="9"/>
    <x v="2"/>
    <n v="144000"/>
    <x v="27"/>
    <x v="27"/>
    <x v="27"/>
  </r>
  <r>
    <x v="2049"/>
    <s v="North"/>
    <x v="3"/>
    <x v="1"/>
    <s v="Online"/>
    <x v="2"/>
    <s v="Home Appliances"/>
    <n v="60000"/>
    <n v="4"/>
    <x v="3"/>
    <n v="48000"/>
    <x v="1"/>
    <x v="1"/>
    <x v="1"/>
  </r>
  <r>
    <x v="2050"/>
    <s v="South"/>
    <x v="0"/>
    <x v="0"/>
    <s v="Store"/>
    <x v="2"/>
    <s v="Home Appliances"/>
    <n v="60000"/>
    <n v="3"/>
    <x v="3"/>
    <n v="48000"/>
    <x v="32"/>
    <x v="32"/>
    <x v="32"/>
  </r>
  <r>
    <x v="2051"/>
    <s v="South"/>
    <x v="0"/>
    <x v="0"/>
    <s v="Online"/>
    <x v="9"/>
    <s v="Home Appliances"/>
    <n v="220000"/>
    <n v="6"/>
    <x v="4"/>
    <n v="176000"/>
    <x v="36"/>
    <x v="36"/>
    <x v="36"/>
  </r>
  <r>
    <x v="2052"/>
    <s v="East"/>
    <x v="2"/>
    <x v="0"/>
    <s v="Store"/>
    <x v="5"/>
    <s v="Furniture"/>
    <n v="320000"/>
    <n v="9"/>
    <x v="3"/>
    <n v="256000"/>
    <x v="8"/>
    <x v="8"/>
    <x v="8"/>
  </r>
  <r>
    <x v="2053"/>
    <s v="South"/>
    <x v="2"/>
    <x v="0"/>
    <s v="Store"/>
    <x v="7"/>
    <s v="Electronics"/>
    <n v="420000"/>
    <n v="3"/>
    <x v="1"/>
    <n v="336000"/>
    <x v="55"/>
    <x v="55"/>
    <x v="55"/>
  </r>
  <r>
    <x v="2054"/>
    <s v="East"/>
    <x v="3"/>
    <x v="1"/>
    <s v="Store"/>
    <x v="4"/>
    <s v="Home Appliances"/>
    <n v="180000"/>
    <n v="9"/>
    <x v="0"/>
    <n v="144000"/>
    <x v="27"/>
    <x v="27"/>
    <x v="27"/>
  </r>
  <r>
    <x v="2055"/>
    <s v="South"/>
    <x v="3"/>
    <x v="1"/>
    <s v="Store"/>
    <x v="2"/>
    <s v="Home Appliances"/>
    <n v="60000"/>
    <n v="1"/>
    <x v="0"/>
    <n v="48000"/>
    <x v="41"/>
    <x v="41"/>
    <x v="41"/>
  </r>
  <r>
    <x v="2056"/>
    <s v="West"/>
    <x v="2"/>
    <x v="1"/>
    <s v="Store"/>
    <x v="8"/>
    <s v="Electronics"/>
    <n v="250000"/>
    <n v="5"/>
    <x v="3"/>
    <n v="200000"/>
    <x v="21"/>
    <x v="21"/>
    <x v="21"/>
  </r>
  <r>
    <x v="2057"/>
    <s v="West"/>
    <x v="0"/>
    <x v="1"/>
    <s v="Store"/>
    <x v="1"/>
    <s v="Home Appliances"/>
    <n v="30000"/>
    <n v="8"/>
    <x v="0"/>
    <n v="24000"/>
    <x v="1"/>
    <x v="1"/>
    <x v="1"/>
  </r>
  <r>
    <x v="2058"/>
    <s v="North"/>
    <x v="0"/>
    <x v="0"/>
    <s v="Online"/>
    <x v="4"/>
    <s v="Home Appliances"/>
    <n v="180000"/>
    <n v="6"/>
    <x v="0"/>
    <n v="144000"/>
    <x v="53"/>
    <x v="53"/>
    <x v="53"/>
  </r>
  <r>
    <x v="2059"/>
    <s v="East"/>
    <x v="2"/>
    <x v="0"/>
    <s v="Store"/>
    <x v="2"/>
    <s v="Home Appliances"/>
    <n v="60000"/>
    <n v="1"/>
    <x v="2"/>
    <n v="48000"/>
    <x v="41"/>
    <x v="41"/>
    <x v="41"/>
  </r>
  <r>
    <x v="2060"/>
    <s v="East"/>
    <x v="2"/>
    <x v="0"/>
    <s v="Online"/>
    <x v="6"/>
    <s v="Electronics"/>
    <n v="150000"/>
    <n v="5"/>
    <x v="5"/>
    <n v="120000"/>
    <x v="56"/>
    <x v="56"/>
    <x v="56"/>
  </r>
  <r>
    <x v="2061"/>
    <s v="North"/>
    <x v="1"/>
    <x v="1"/>
    <s v="Store"/>
    <x v="0"/>
    <s v="Furniture"/>
    <n v="85000"/>
    <n v="1"/>
    <x v="5"/>
    <n v="68000"/>
    <x v="0"/>
    <x v="0"/>
    <x v="0"/>
  </r>
  <r>
    <x v="2062"/>
    <s v="South"/>
    <x v="1"/>
    <x v="1"/>
    <s v="Store"/>
    <x v="6"/>
    <s v="Electronics"/>
    <n v="150000"/>
    <n v="7"/>
    <x v="3"/>
    <n v="120000"/>
    <x v="16"/>
    <x v="16"/>
    <x v="16"/>
  </r>
  <r>
    <x v="2063"/>
    <s v="North"/>
    <x v="2"/>
    <x v="1"/>
    <s v="Store"/>
    <x v="4"/>
    <s v="Home Appliances"/>
    <n v="180000"/>
    <n v="4"/>
    <x v="0"/>
    <n v="144000"/>
    <x v="65"/>
    <x v="65"/>
    <x v="65"/>
  </r>
  <r>
    <x v="2064"/>
    <s v="North"/>
    <x v="2"/>
    <x v="1"/>
    <s v="Store"/>
    <x v="0"/>
    <s v="Furniture"/>
    <n v="85000"/>
    <n v="8"/>
    <x v="0"/>
    <n v="68000"/>
    <x v="69"/>
    <x v="69"/>
    <x v="69"/>
  </r>
  <r>
    <x v="2065"/>
    <s v="North"/>
    <x v="3"/>
    <x v="1"/>
    <s v="Store"/>
    <x v="5"/>
    <s v="Furniture"/>
    <n v="320000"/>
    <n v="4"/>
    <x v="1"/>
    <n v="256000"/>
    <x v="6"/>
    <x v="6"/>
    <x v="6"/>
  </r>
  <r>
    <x v="2066"/>
    <s v="West"/>
    <x v="2"/>
    <x v="0"/>
    <s v="Store"/>
    <x v="8"/>
    <s v="Electronics"/>
    <n v="250000"/>
    <n v="6"/>
    <x v="3"/>
    <n v="200000"/>
    <x v="17"/>
    <x v="17"/>
    <x v="17"/>
  </r>
  <r>
    <x v="2067"/>
    <s v="West"/>
    <x v="2"/>
    <x v="0"/>
    <s v="Store"/>
    <x v="9"/>
    <s v="Home Appliances"/>
    <n v="220000"/>
    <n v="5"/>
    <x v="2"/>
    <n v="176000"/>
    <x v="51"/>
    <x v="51"/>
    <x v="51"/>
  </r>
  <r>
    <x v="2068"/>
    <s v="South"/>
    <x v="1"/>
    <x v="1"/>
    <s v="Store"/>
    <x v="3"/>
    <s v="Electronics"/>
    <n v="300000"/>
    <n v="8"/>
    <x v="4"/>
    <n v="240000"/>
    <x v="24"/>
    <x v="24"/>
    <x v="24"/>
  </r>
  <r>
    <x v="2069"/>
    <s v="South"/>
    <x v="3"/>
    <x v="0"/>
    <s v="Store"/>
    <x v="2"/>
    <s v="Home Appliances"/>
    <n v="60000"/>
    <n v="10"/>
    <x v="2"/>
    <n v="48000"/>
    <x v="4"/>
    <x v="4"/>
    <x v="4"/>
  </r>
  <r>
    <x v="2070"/>
    <s v="South"/>
    <x v="1"/>
    <x v="0"/>
    <s v="Store"/>
    <x v="4"/>
    <s v="Home Appliances"/>
    <n v="180000"/>
    <n v="6"/>
    <x v="5"/>
    <n v="144000"/>
    <x v="53"/>
    <x v="53"/>
    <x v="53"/>
  </r>
  <r>
    <x v="2071"/>
    <s v="South"/>
    <x v="2"/>
    <x v="1"/>
    <s v="Store"/>
    <x v="2"/>
    <s v="Home Appliances"/>
    <n v="60000"/>
    <n v="3"/>
    <x v="4"/>
    <n v="48000"/>
    <x v="32"/>
    <x v="32"/>
    <x v="32"/>
  </r>
  <r>
    <x v="2072"/>
    <s v="South"/>
    <x v="2"/>
    <x v="0"/>
    <s v="Store"/>
    <x v="1"/>
    <s v="Home Appliances"/>
    <n v="30000"/>
    <n v="4"/>
    <x v="1"/>
    <n v="24000"/>
    <x v="3"/>
    <x v="3"/>
    <x v="3"/>
  </r>
  <r>
    <x v="2073"/>
    <s v="East"/>
    <x v="0"/>
    <x v="1"/>
    <s v="Store"/>
    <x v="2"/>
    <s v="Home Appliances"/>
    <n v="60000"/>
    <n v="4"/>
    <x v="4"/>
    <n v="48000"/>
    <x v="1"/>
    <x v="1"/>
    <x v="1"/>
  </r>
  <r>
    <x v="2074"/>
    <s v="West"/>
    <x v="2"/>
    <x v="1"/>
    <s v="Store"/>
    <x v="4"/>
    <s v="Home Appliances"/>
    <n v="180000"/>
    <n v="5"/>
    <x v="2"/>
    <n v="144000"/>
    <x v="48"/>
    <x v="48"/>
    <x v="48"/>
  </r>
  <r>
    <x v="2075"/>
    <s v="North"/>
    <x v="0"/>
    <x v="0"/>
    <s v="Store"/>
    <x v="0"/>
    <s v="Furniture"/>
    <n v="85000"/>
    <n v="9"/>
    <x v="1"/>
    <n v="68000"/>
    <x v="18"/>
    <x v="18"/>
    <x v="18"/>
  </r>
  <r>
    <x v="2076"/>
    <s v="West"/>
    <x v="3"/>
    <x v="0"/>
    <s v="Store"/>
    <x v="0"/>
    <s v="Furniture"/>
    <n v="85000"/>
    <n v="9"/>
    <x v="4"/>
    <n v="68000"/>
    <x v="18"/>
    <x v="18"/>
    <x v="18"/>
  </r>
  <r>
    <x v="2077"/>
    <s v="North"/>
    <x v="0"/>
    <x v="1"/>
    <s v="Store"/>
    <x v="4"/>
    <s v="Home Appliances"/>
    <n v="180000"/>
    <n v="8"/>
    <x v="5"/>
    <n v="144000"/>
    <x v="37"/>
    <x v="37"/>
    <x v="37"/>
  </r>
  <r>
    <x v="2078"/>
    <s v="North"/>
    <x v="1"/>
    <x v="1"/>
    <s v="Store"/>
    <x v="6"/>
    <s v="Electronics"/>
    <n v="150000"/>
    <n v="2"/>
    <x v="5"/>
    <n v="120000"/>
    <x v="11"/>
    <x v="11"/>
    <x v="11"/>
  </r>
  <r>
    <x v="2079"/>
    <s v="East"/>
    <x v="2"/>
    <x v="1"/>
    <s v="Store"/>
    <x v="1"/>
    <s v="Home Appliances"/>
    <n v="30000"/>
    <n v="3"/>
    <x v="0"/>
    <n v="24000"/>
    <x v="33"/>
    <x v="33"/>
    <x v="33"/>
  </r>
  <r>
    <x v="2080"/>
    <s v="North"/>
    <x v="0"/>
    <x v="1"/>
    <s v="Store"/>
    <x v="1"/>
    <s v="Home Appliances"/>
    <n v="30000"/>
    <n v="5"/>
    <x v="1"/>
    <n v="24000"/>
    <x v="26"/>
    <x v="26"/>
    <x v="26"/>
  </r>
  <r>
    <x v="2081"/>
    <s v="East"/>
    <x v="1"/>
    <x v="1"/>
    <s v="Store"/>
    <x v="1"/>
    <s v="Home Appliances"/>
    <n v="30000"/>
    <n v="7"/>
    <x v="5"/>
    <n v="24000"/>
    <x v="54"/>
    <x v="54"/>
    <x v="54"/>
  </r>
  <r>
    <x v="2082"/>
    <s v="East"/>
    <x v="0"/>
    <x v="0"/>
    <s v="Store"/>
    <x v="4"/>
    <s v="Home Appliances"/>
    <n v="180000"/>
    <n v="4"/>
    <x v="0"/>
    <n v="144000"/>
    <x v="65"/>
    <x v="65"/>
    <x v="65"/>
  </r>
  <r>
    <x v="2083"/>
    <s v="East"/>
    <x v="0"/>
    <x v="1"/>
    <s v="Store"/>
    <x v="4"/>
    <s v="Home Appliances"/>
    <n v="180000"/>
    <n v="1"/>
    <x v="3"/>
    <n v="144000"/>
    <x v="32"/>
    <x v="32"/>
    <x v="32"/>
  </r>
  <r>
    <x v="2084"/>
    <s v="South"/>
    <x v="1"/>
    <x v="0"/>
    <s v="Store"/>
    <x v="2"/>
    <s v="Home Appliances"/>
    <n v="60000"/>
    <n v="10"/>
    <x v="4"/>
    <n v="48000"/>
    <x v="4"/>
    <x v="4"/>
    <x v="4"/>
  </r>
  <r>
    <x v="2085"/>
    <s v="North"/>
    <x v="1"/>
    <x v="0"/>
    <s v="Store"/>
    <x v="8"/>
    <s v="Electronics"/>
    <n v="250000"/>
    <n v="8"/>
    <x v="2"/>
    <n v="200000"/>
    <x v="52"/>
    <x v="52"/>
    <x v="52"/>
  </r>
  <r>
    <x v="2086"/>
    <s v="North"/>
    <x v="2"/>
    <x v="0"/>
    <s v="Store"/>
    <x v="1"/>
    <s v="Home Appliances"/>
    <n v="30000"/>
    <n v="8"/>
    <x v="4"/>
    <n v="24000"/>
    <x v="1"/>
    <x v="1"/>
    <x v="1"/>
  </r>
  <r>
    <x v="2087"/>
    <s v="North"/>
    <x v="0"/>
    <x v="1"/>
    <s v="Online"/>
    <x v="4"/>
    <s v="Home Appliances"/>
    <n v="180000"/>
    <n v="4"/>
    <x v="2"/>
    <n v="144000"/>
    <x v="65"/>
    <x v="65"/>
    <x v="65"/>
  </r>
  <r>
    <x v="2088"/>
    <s v="East"/>
    <x v="1"/>
    <x v="1"/>
    <s v="Online"/>
    <x v="6"/>
    <s v="Electronics"/>
    <n v="150000"/>
    <n v="1"/>
    <x v="2"/>
    <n v="120000"/>
    <x v="26"/>
    <x v="26"/>
    <x v="26"/>
  </r>
  <r>
    <x v="2089"/>
    <s v="North"/>
    <x v="3"/>
    <x v="0"/>
    <s v="Store"/>
    <x v="3"/>
    <s v="Electronics"/>
    <n v="300000"/>
    <n v="3"/>
    <x v="0"/>
    <n v="240000"/>
    <x v="48"/>
    <x v="48"/>
    <x v="48"/>
  </r>
  <r>
    <x v="2090"/>
    <s v="West"/>
    <x v="2"/>
    <x v="0"/>
    <s v="Online"/>
    <x v="5"/>
    <s v="Furniture"/>
    <n v="320000"/>
    <n v="5"/>
    <x v="0"/>
    <n v="256000"/>
    <x v="28"/>
    <x v="28"/>
    <x v="28"/>
  </r>
  <r>
    <x v="2091"/>
    <s v="West"/>
    <x v="3"/>
    <x v="1"/>
    <s v="Online"/>
    <x v="3"/>
    <s v="Electronics"/>
    <n v="300000"/>
    <n v="1"/>
    <x v="1"/>
    <n v="240000"/>
    <x v="11"/>
    <x v="11"/>
    <x v="11"/>
  </r>
  <r>
    <x v="2092"/>
    <s v="West"/>
    <x v="1"/>
    <x v="1"/>
    <s v="Online"/>
    <x v="6"/>
    <s v="Electronics"/>
    <n v="150000"/>
    <n v="4"/>
    <x v="2"/>
    <n v="120000"/>
    <x v="4"/>
    <x v="4"/>
    <x v="4"/>
  </r>
  <r>
    <x v="2093"/>
    <s v="South"/>
    <x v="0"/>
    <x v="1"/>
    <s v="Online"/>
    <x v="8"/>
    <s v="Electronics"/>
    <n v="250000"/>
    <n v="2"/>
    <x v="3"/>
    <n v="200000"/>
    <x v="73"/>
    <x v="73"/>
    <x v="73"/>
  </r>
  <r>
    <x v="2094"/>
    <s v="North"/>
    <x v="1"/>
    <x v="0"/>
    <s v="Store"/>
    <x v="8"/>
    <s v="Electronics"/>
    <n v="250000"/>
    <n v="10"/>
    <x v="4"/>
    <n v="200000"/>
    <x v="66"/>
    <x v="66"/>
    <x v="66"/>
  </r>
  <r>
    <x v="2095"/>
    <s v="South"/>
    <x v="3"/>
    <x v="1"/>
    <s v="Store"/>
    <x v="6"/>
    <s v="Electronics"/>
    <n v="150000"/>
    <n v="2"/>
    <x v="0"/>
    <n v="120000"/>
    <x v="11"/>
    <x v="11"/>
    <x v="11"/>
  </r>
  <r>
    <x v="2096"/>
    <s v="South"/>
    <x v="0"/>
    <x v="0"/>
    <s v="Online"/>
    <x v="8"/>
    <s v="Electronics"/>
    <n v="250000"/>
    <n v="9"/>
    <x v="3"/>
    <n v="200000"/>
    <x v="71"/>
    <x v="71"/>
    <x v="71"/>
  </r>
  <r>
    <x v="2097"/>
    <s v="South"/>
    <x v="0"/>
    <x v="0"/>
    <s v="Online"/>
    <x v="5"/>
    <s v="Furniture"/>
    <n v="320000"/>
    <n v="4"/>
    <x v="1"/>
    <n v="256000"/>
    <x v="6"/>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8AAF28-E3FE-411E-9FEB-49BC7075A8E5}" name="PT_Cogs"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21:J22" firstHeaderRow="1" firstDataRow="1" firstDataCol="0"/>
  <pivotFields count="17">
    <pivotField numFmtId="165"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showAll="0"/>
    <pivotField showAll="0">
      <items count="5">
        <item x="3"/>
        <item x="2"/>
        <item x="1"/>
        <item x="0"/>
        <item t="default"/>
      </items>
    </pivotField>
    <pivotField showAll="0">
      <items count="3">
        <item x="1"/>
        <item x="0"/>
        <item t="default"/>
      </items>
    </pivotField>
    <pivotField showAll="0"/>
    <pivotField showAll="0">
      <items count="11">
        <item x="4"/>
        <item x="1"/>
        <item x="3"/>
        <item x="7"/>
        <item x="2"/>
        <item x="0"/>
        <item x="6"/>
        <item x="9"/>
        <item x="8"/>
        <item x="5"/>
        <item t="default"/>
      </items>
    </pivotField>
    <pivotField showAll="0"/>
    <pivotField showAll="0"/>
    <pivotField showAll="0"/>
    <pivotField showAll="0">
      <items count="7">
        <item x="4"/>
        <item x="0"/>
        <item x="1"/>
        <item x="5"/>
        <item x="2"/>
        <item x="3"/>
        <item t="default"/>
      </items>
    </pivotField>
    <pivotField showAll="0"/>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dataField="1"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h="1" x="0"/>
        <item h="1" x="1"/>
        <item h="1" x="2"/>
        <item h="1" x="3"/>
        <item h="1" x="4"/>
        <item x="5"/>
        <item h="1" x="6"/>
        <item h="1" x="7"/>
        <item t="default"/>
      </items>
    </pivotField>
  </pivotFields>
  <rowItems count="1">
    <i/>
  </rowItems>
  <colItems count="1">
    <i/>
  </colItems>
  <dataFields count="1">
    <dataField name="Sum of COGS" fld="12" baseField="0" baseItem="0"/>
  </dataFields>
  <formats count="7">
    <format dxfId="37">
      <pivotArea type="all" dataOnly="0" outline="0" fieldPosition="0"/>
    </format>
    <format dxfId="38">
      <pivotArea outline="0" collapsedLevelsAreSubtotals="1" fieldPosition="0"/>
    </format>
    <format dxfId="39">
      <pivotArea dataOnly="0" labelOnly="1" outline="0" axis="axisValues" fieldPosition="0"/>
    </format>
    <format dxfId="40">
      <pivotArea type="all" dataOnly="0" outline="0" fieldPosition="0"/>
    </format>
    <format dxfId="41">
      <pivotArea outline="0" collapsedLevelsAreSubtotals="1" fieldPosition="0"/>
    </format>
    <format dxfId="42">
      <pivotArea dataOnly="0" labelOnly="1" outline="0" axis="axisValues" fieldPosition="0"/>
    </format>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DC19F7-CD0C-4D74-B72E-2876D95FE327}" name="PT_Profit_Tot"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21:D22" firstHeaderRow="1" firstDataRow="1" firstDataCol="0"/>
  <pivotFields count="17">
    <pivotField numFmtId="165"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showAll="0"/>
    <pivotField showAll="0">
      <items count="5">
        <item x="3"/>
        <item x="2"/>
        <item x="1"/>
        <item x="0"/>
        <item t="default"/>
      </items>
    </pivotField>
    <pivotField showAll="0">
      <items count="3">
        <item x="1"/>
        <item x="0"/>
        <item t="default"/>
      </items>
    </pivotField>
    <pivotField showAll="0"/>
    <pivotField showAll="0">
      <items count="11">
        <item x="4"/>
        <item x="1"/>
        <item x="3"/>
        <item x="7"/>
        <item x="2"/>
        <item x="0"/>
        <item x="6"/>
        <item x="9"/>
        <item x="8"/>
        <item x="5"/>
        <item t="default"/>
      </items>
    </pivotField>
    <pivotField showAll="0"/>
    <pivotField showAll="0"/>
    <pivotField showAll="0"/>
    <pivotField showAll="0">
      <items count="7">
        <item x="4"/>
        <item x="0"/>
        <item x="1"/>
        <item x="5"/>
        <item x="2"/>
        <item x="3"/>
        <item t="default"/>
      </items>
    </pivotField>
    <pivotField showAll="0"/>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dataField="1"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h="1" x="0"/>
        <item h="1" x="1"/>
        <item h="1" x="2"/>
        <item h="1" x="3"/>
        <item h="1" x="4"/>
        <item x="5"/>
        <item h="1" x="6"/>
        <item h="1" x="7"/>
        <item t="default"/>
      </items>
    </pivotField>
  </pivotFields>
  <rowItems count="1">
    <i/>
  </rowItems>
  <colItems count="1">
    <i/>
  </colItems>
  <dataFields count="1">
    <dataField name="Sum of Profit" fld="13" baseField="0" baseItem="0" numFmtId="174"/>
  </dataFields>
  <formats count="7">
    <format dxfId="45">
      <pivotArea type="all" dataOnly="0" outline="0" fieldPosition="0"/>
    </format>
    <format dxfId="46">
      <pivotArea outline="0" collapsedLevelsAreSubtotals="1" fieldPosition="0"/>
    </format>
    <format dxfId="47">
      <pivotArea dataOnly="0" labelOnly="1" outline="0" axis="axisValues" fieldPosition="0"/>
    </format>
    <format dxfId="48">
      <pivotArea type="all" dataOnly="0" outline="0" fieldPosition="0"/>
    </format>
    <format dxfId="49">
      <pivotArea outline="0" collapsedLevelsAreSubtotals="1" fieldPosition="0"/>
    </format>
    <format dxfId="50">
      <pivotArea dataOnly="0" labelOnly="1" outline="0" axis="axisValues"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39126D-9275-4C0B-8824-66E36893DF83}" name="PT_Monthly_Customer"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J3:Q17" firstHeaderRow="1" firstDataRow="2" firstDataCol="1"/>
  <pivotFields count="17">
    <pivotField dataField="1" numFmtId="165"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showAll="0"/>
    <pivotField showAll="0">
      <items count="5">
        <item x="3"/>
        <item x="2"/>
        <item x="1"/>
        <item x="0"/>
        <item t="default"/>
      </items>
    </pivotField>
    <pivotField showAll="0">
      <items count="3">
        <item x="1"/>
        <item x="0"/>
        <item t="default"/>
      </items>
    </pivotField>
    <pivotField showAll="0"/>
    <pivotField showAll="0">
      <items count="11">
        <item x="4"/>
        <item x="1"/>
        <item x="3"/>
        <item x="7"/>
        <item x="2"/>
        <item x="0"/>
        <item x="6"/>
        <item x="9"/>
        <item x="8"/>
        <item x="5"/>
        <item t="default"/>
      </items>
    </pivotField>
    <pivotField showAll="0"/>
    <pivotField showAll="0"/>
    <pivotField showAll="0"/>
    <pivotField showAll="0">
      <items count="7">
        <item x="4"/>
        <item x="0"/>
        <item x="1"/>
        <item x="5"/>
        <item x="2"/>
        <item x="3"/>
        <item t="default"/>
      </items>
    </pivotField>
    <pivotField showAll="0"/>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sortType="descending">
      <items count="9">
        <item sd="0" x="0"/>
        <item x="1"/>
        <item x="2"/>
        <item x="3"/>
        <item x="4"/>
        <item x="5"/>
        <item x="6"/>
        <item sd="0" x="7"/>
        <item t="default"/>
      </items>
      <autoSortScope>
        <pivotArea dataOnly="0" outline="0" fieldPosition="0">
          <references count="1">
            <reference field="4294967294" count="1" selected="0">
              <x v="0"/>
            </reference>
          </references>
        </pivotArea>
      </autoSortScope>
    </pivotField>
  </pivotFields>
  <rowFields count="1">
    <field x="14"/>
  </rowFields>
  <rowItems count="13">
    <i>
      <x v="1"/>
    </i>
    <i>
      <x v="2"/>
    </i>
    <i>
      <x v="3"/>
    </i>
    <i>
      <x v="4"/>
    </i>
    <i>
      <x v="5"/>
    </i>
    <i>
      <x v="6"/>
    </i>
    <i>
      <x v="7"/>
    </i>
    <i>
      <x v="8"/>
    </i>
    <i>
      <x v="9"/>
    </i>
    <i>
      <x v="10"/>
    </i>
    <i>
      <x v="11"/>
    </i>
    <i>
      <x v="12"/>
    </i>
    <i t="grand">
      <x/>
    </i>
  </rowItems>
  <colFields count="1">
    <field x="16"/>
  </colFields>
  <colItems count="7">
    <i>
      <x v="4"/>
    </i>
    <i>
      <x v="5"/>
    </i>
    <i>
      <x v="2"/>
    </i>
    <i>
      <x v="3"/>
    </i>
    <i>
      <x v="1"/>
    </i>
    <i>
      <x v="6"/>
    </i>
    <i t="grand">
      <x/>
    </i>
  </colItems>
  <dataFields count="1">
    <dataField name="Count of Date" fld="0" subtotal="count" baseField="0" baseItem="0"/>
  </dataFields>
  <formats count="13">
    <format dxfId="51">
      <pivotArea type="all" dataOnly="0" outline="0" fieldPosition="0"/>
    </format>
    <format dxfId="52">
      <pivotArea outline="0" collapsedLevelsAreSubtotals="1" fieldPosition="0"/>
    </format>
    <format dxfId="53">
      <pivotArea field="16" type="button" dataOnly="0" labelOnly="1" outline="0" axis="axisCol" fieldPosition="0"/>
    </format>
    <format dxfId="54">
      <pivotArea dataOnly="0" labelOnly="1" fieldPosition="0">
        <references count="1">
          <reference field="16" count="6">
            <x v="1"/>
            <x v="2"/>
            <x v="3"/>
            <x v="4"/>
            <x v="5"/>
            <x v="6"/>
          </reference>
        </references>
      </pivotArea>
    </format>
    <format dxfId="55">
      <pivotArea dataOnly="0" labelOnly="1" grandRow="1" outline="0" fieldPosition="0"/>
    </format>
    <format dxfId="56">
      <pivotArea dataOnly="0" labelOnly="1" outline="0" axis="axisValues" fieldPosition="0"/>
    </format>
    <format dxfId="57">
      <pivotArea type="all" dataOnly="0" outline="0" fieldPosition="0"/>
    </format>
    <format dxfId="58">
      <pivotArea outline="0" collapsedLevelsAreSubtotals="1" fieldPosition="0"/>
    </format>
    <format dxfId="59">
      <pivotArea field="16" type="button" dataOnly="0" labelOnly="1" outline="0" axis="axisCol" fieldPosition="0"/>
    </format>
    <format dxfId="60">
      <pivotArea dataOnly="0" labelOnly="1" fieldPosition="0">
        <references count="1">
          <reference field="16" count="6">
            <x v="1"/>
            <x v="2"/>
            <x v="3"/>
            <x v="4"/>
            <x v="5"/>
            <x v="6"/>
          </reference>
        </references>
      </pivotArea>
    </format>
    <format dxfId="61">
      <pivotArea dataOnly="0" labelOnly="1" grandRow="1" outline="0" fieldPosition="0"/>
    </format>
    <format dxfId="62">
      <pivotArea dataOnly="0" labelOnly="1" outline="0" axis="axisValues" fieldPosition="0"/>
    </format>
    <format dxfId="63">
      <pivotArea dataOnly="0" labelOnly="1" fieldPosition="0">
        <references count="1">
          <reference field="16" count="1">
            <x v="4"/>
          </reference>
        </references>
      </pivotArea>
    </format>
  </formats>
  <chartFormats count="7">
    <chartFormat chart="6" format="7" series="1">
      <pivotArea type="data" outline="0" fieldPosition="0">
        <references count="2">
          <reference field="4294967294" count="1" selected="0">
            <x v="0"/>
          </reference>
          <reference field="16" count="1" selected="0">
            <x v="5"/>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2">
          <reference field="4294967294" count="1" selected="0">
            <x v="0"/>
          </reference>
          <reference field="16" count="1" selected="0">
            <x v="4"/>
          </reference>
        </references>
      </pivotArea>
    </chartFormat>
    <chartFormat chart="6" format="10" series="1">
      <pivotArea type="data" outline="0" fieldPosition="0">
        <references count="2">
          <reference field="4294967294" count="1" selected="0">
            <x v="0"/>
          </reference>
          <reference field="16" count="1" selected="0">
            <x v="3"/>
          </reference>
        </references>
      </pivotArea>
    </chartFormat>
    <chartFormat chart="6" format="11" series="1">
      <pivotArea type="data" outline="0" fieldPosition="0">
        <references count="2">
          <reference field="4294967294" count="1" selected="0">
            <x v="0"/>
          </reference>
          <reference field="16" count="1" selected="0">
            <x v="1"/>
          </reference>
        </references>
      </pivotArea>
    </chartFormat>
    <chartFormat chart="6" format="12" series="1">
      <pivotArea type="data" outline="0" fieldPosition="0">
        <references count="2">
          <reference field="4294967294" count="1" selected="0">
            <x v="0"/>
          </reference>
          <reference field="16" count="1" selected="0">
            <x v="6"/>
          </reference>
        </references>
      </pivotArea>
    </chartFormat>
    <chartFormat chart="6" format="13"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2D8D0E-A17E-4435-AD21-74874E52820F}" name="PT_City_by_COGS"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G3:H8" firstHeaderRow="1" firstDataRow="1" firstDataCol="1"/>
  <pivotFields count="17">
    <pivotField numFmtId="165"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1">
        <item x="4"/>
        <item x="1"/>
        <item x="3"/>
        <item x="7"/>
        <item x="2"/>
        <item x="0"/>
        <item x="6"/>
        <item x="9"/>
        <item x="8"/>
        <item x="5"/>
        <item t="default"/>
      </items>
    </pivotField>
    <pivotField showAll="0"/>
    <pivotField showAll="0"/>
    <pivotField showAll="0"/>
    <pivotField showAll="0">
      <items count="7">
        <item x="4"/>
        <item x="0"/>
        <item x="1"/>
        <item x="5"/>
        <item x="2"/>
        <item x="3"/>
        <item t="default"/>
      </items>
    </pivotField>
    <pivotField showAll="0"/>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dataField="1"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h="1" x="0"/>
        <item h="1" x="1"/>
        <item h="1" x="2"/>
        <item h="1" x="3"/>
        <item h="1" x="4"/>
        <item x="5"/>
        <item h="1" x="6"/>
        <item h="1" x="7"/>
        <item t="default"/>
      </items>
    </pivotField>
  </pivotFields>
  <rowFields count="1">
    <field x="2"/>
  </rowFields>
  <rowItems count="5">
    <i>
      <x v="2"/>
    </i>
    <i>
      <x v="1"/>
    </i>
    <i>
      <x v="3"/>
    </i>
    <i>
      <x/>
    </i>
    <i t="grand">
      <x/>
    </i>
  </rowItems>
  <colItems count="1">
    <i/>
  </colItems>
  <dataFields count="1">
    <dataField name="Sum of COGS" fld="12" baseField="0" baseItem="0"/>
  </dataFields>
  <formats count="14">
    <format dxfId="12">
      <pivotArea grandRow="1" outline="0" collapsedLevelsAreSubtotals="1" fieldPosition="0"/>
    </format>
    <format dxfId="13">
      <pivotArea collapsedLevelsAreSubtotals="1" fieldPosition="0">
        <references count="1">
          <reference field="2" count="0"/>
        </references>
      </pivotArea>
    </format>
    <format dxfId="14">
      <pivotArea type="all" dataOnly="0" outline="0" fieldPosition="0"/>
    </format>
    <format dxfId="15">
      <pivotArea outline="0" collapsedLevelsAreSubtotals="1" fieldPosition="0"/>
    </format>
    <format dxfId="16">
      <pivotArea field="2" type="button" dataOnly="0" labelOnly="1" outline="0" axis="axisRow" fieldPosition="0"/>
    </format>
    <format dxfId="17">
      <pivotArea dataOnly="0" labelOnly="1" fieldPosition="0">
        <references count="1">
          <reference field="2" count="0"/>
        </references>
      </pivotArea>
    </format>
    <format dxfId="18">
      <pivotArea dataOnly="0" labelOnly="1" grandRow="1" outline="0" fieldPosition="0"/>
    </format>
    <format dxfId="19">
      <pivotArea dataOnly="0" labelOnly="1" outline="0" axis="axisValues" fieldPosition="0"/>
    </format>
    <format dxfId="20">
      <pivotArea type="all" dataOnly="0" outline="0" fieldPosition="0"/>
    </format>
    <format dxfId="21">
      <pivotArea outline="0" collapsedLevelsAreSubtotals="1" fieldPosition="0"/>
    </format>
    <format dxfId="22">
      <pivotArea field="2" type="button" dataOnly="0" labelOnly="1" outline="0" axis="axisRow" fieldPosition="0"/>
    </format>
    <format dxfId="23">
      <pivotArea dataOnly="0" labelOnly="1" fieldPosition="0">
        <references count="1">
          <reference field="2" count="0"/>
        </references>
      </pivotArea>
    </format>
    <format dxfId="24">
      <pivotArea dataOnly="0" labelOnly="1" grandRow="1" outline="0" fieldPosition="0"/>
    </format>
    <format dxfId="25">
      <pivotArea dataOnly="0" labelOnly="1" outline="0" axis="axisValues" fieldPosition="0"/>
    </format>
  </formats>
  <chartFormats count="5">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2"/>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F16D94-FC9C-4C13-BA50-6CDC38E4793C}" name="PT_Rev_by_sales_rep"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D3:E10" firstHeaderRow="1" firstDataRow="1" firstDataCol="1"/>
  <pivotFields count="17">
    <pivotField numFmtId="165"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showAll="0"/>
    <pivotField showAll="0">
      <items count="5">
        <item x="3"/>
        <item x="2"/>
        <item x="1"/>
        <item x="0"/>
        <item t="default"/>
      </items>
    </pivotField>
    <pivotField showAll="0">
      <items count="3">
        <item x="1"/>
        <item x="0"/>
        <item t="default"/>
      </items>
    </pivotField>
    <pivotField showAll="0"/>
    <pivotField showAll="0">
      <items count="11">
        <item x="4"/>
        <item x="1"/>
        <item x="3"/>
        <item x="7"/>
        <item x="2"/>
        <item x="0"/>
        <item x="6"/>
        <item x="9"/>
        <item x="8"/>
        <item x="5"/>
        <item t="default"/>
      </items>
    </pivotField>
    <pivotField showAll="0"/>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h="1" x="0"/>
        <item h="1" x="1"/>
        <item h="1" x="2"/>
        <item h="1" x="3"/>
        <item h="1" x="4"/>
        <item x="5"/>
        <item h="1" x="6"/>
        <item h="1" x="7"/>
        <item t="default"/>
      </items>
    </pivotField>
  </pivotFields>
  <rowFields count="1">
    <field x="9"/>
  </rowFields>
  <rowItems count="7">
    <i>
      <x v="5"/>
    </i>
    <i>
      <x v="4"/>
    </i>
    <i>
      <x v="2"/>
    </i>
    <i>
      <x/>
    </i>
    <i>
      <x v="1"/>
    </i>
    <i>
      <x v="3"/>
    </i>
    <i t="grand">
      <x/>
    </i>
  </rowItems>
  <colItems count="1">
    <i/>
  </colItems>
  <dataFields count="1">
    <dataField name="Sum of Revenue" fld="11" baseField="0" baseItem="0" numFmtId="174"/>
  </dataFields>
  <formats count="12">
    <format dxfId="64">
      <pivotArea type="all" dataOnly="0" outline="0" fieldPosition="0"/>
    </format>
    <format dxfId="65">
      <pivotArea outline="0" collapsedLevelsAreSubtotals="1" fieldPosition="0"/>
    </format>
    <format dxfId="66">
      <pivotArea field="9" type="button" dataOnly="0" labelOnly="1" outline="0" axis="axisRow" fieldPosition="0"/>
    </format>
    <format dxfId="67">
      <pivotArea dataOnly="0" labelOnly="1" fieldPosition="0">
        <references count="1">
          <reference field="9" count="0"/>
        </references>
      </pivotArea>
    </format>
    <format dxfId="68">
      <pivotArea dataOnly="0" labelOnly="1" grandRow="1" outline="0" fieldPosition="0"/>
    </format>
    <format dxfId="69">
      <pivotArea dataOnly="0" labelOnly="1" outline="0" axis="axisValues" fieldPosition="0"/>
    </format>
    <format dxfId="70">
      <pivotArea type="all" dataOnly="0" outline="0" fieldPosition="0"/>
    </format>
    <format dxfId="71">
      <pivotArea outline="0" collapsedLevelsAreSubtotals="1" fieldPosition="0"/>
    </format>
    <format dxfId="72">
      <pivotArea field="9" type="button" dataOnly="0" labelOnly="1" outline="0" axis="axisRow" fieldPosition="0"/>
    </format>
    <format dxfId="73">
      <pivotArea dataOnly="0" labelOnly="1" fieldPosition="0">
        <references count="1">
          <reference field="9" count="0"/>
        </references>
      </pivotArea>
    </format>
    <format dxfId="74">
      <pivotArea dataOnly="0" labelOnly="1" grandRow="1" outline="0" fieldPosition="0"/>
    </format>
    <format dxfId="75">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B8EF7C-42EC-453C-8924-2CAD1D233E7E}" name="PT_profit_by_product"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14" firstHeaderRow="1" firstDataRow="1" firstDataCol="1"/>
  <pivotFields count="17">
    <pivotField numFmtId="165"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showAll="0"/>
    <pivotField showAll="0">
      <items count="5">
        <item x="3"/>
        <item x="2"/>
        <item x="1"/>
        <item x="0"/>
        <item t="default"/>
      </items>
    </pivotField>
    <pivotField showAll="0">
      <items count="3">
        <item x="1"/>
        <item x="0"/>
        <item t="default"/>
      </items>
    </pivotField>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4"/>
        <item x="0"/>
        <item x="1"/>
        <item x="5"/>
        <item x="2"/>
        <item x="3"/>
        <item t="default"/>
      </items>
    </pivotField>
    <pivotField showAll="0"/>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dataField="1"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h="1" x="0"/>
        <item h="1" x="1"/>
        <item h="1" x="2"/>
        <item h="1" x="3"/>
        <item h="1" x="4"/>
        <item x="5"/>
        <item h="1" x="6"/>
        <item h="1" x="7"/>
        <item t="default"/>
      </items>
    </pivotField>
  </pivotFields>
  <rowFields count="1">
    <field x="5"/>
  </rowFields>
  <rowItems count="11">
    <i>
      <x v="3"/>
    </i>
    <i>
      <x v="9"/>
    </i>
    <i>
      <x v="2"/>
    </i>
    <i>
      <x v="8"/>
    </i>
    <i>
      <x v="7"/>
    </i>
    <i>
      <x/>
    </i>
    <i>
      <x v="6"/>
    </i>
    <i>
      <x v="5"/>
    </i>
    <i>
      <x v="4"/>
    </i>
    <i>
      <x v="1"/>
    </i>
    <i t="grand">
      <x/>
    </i>
  </rowItems>
  <colItems count="1">
    <i/>
  </colItems>
  <dataFields count="1">
    <dataField name="Sum of Profit" fld="13" baseField="5" baseItem="0" numFmtId="174"/>
  </dataFields>
  <formats count="11">
    <format dxfId="26">
      <pivotArea type="all" dataOnly="0" outline="0" fieldPosition="0"/>
    </format>
    <format dxfId="27">
      <pivotArea outline="0" collapsedLevelsAreSubtotals="1" fieldPosition="0"/>
    </format>
    <format dxfId="28">
      <pivotArea field="5" type="button" dataOnly="0" labelOnly="1" outline="0" axis="axisRow" fieldPosition="0"/>
    </format>
    <format dxfId="29">
      <pivotArea dataOnly="0" labelOnly="1" fieldPosition="0">
        <references count="1">
          <reference field="5" count="0"/>
        </references>
      </pivotArea>
    </format>
    <format dxfId="30">
      <pivotArea dataOnly="0" labelOnly="1" grandRow="1" outline="0" fieldPosition="0"/>
    </format>
    <format dxfId="31">
      <pivotArea dataOnly="0" labelOnly="1" outline="0" axis="axisValues" fieldPosition="0"/>
    </format>
    <format dxfId="32">
      <pivotArea type="all" dataOnly="0" outline="0" fieldPosition="0"/>
    </format>
    <format dxfId="33">
      <pivotArea outline="0" collapsedLevelsAreSubtotals="1" fieldPosition="0"/>
    </format>
    <format dxfId="34">
      <pivotArea field="5" type="button" dataOnly="0" labelOnly="1" outline="0" axis="axisRow" fieldPosition="0"/>
    </format>
    <format dxfId="35">
      <pivotArea dataOnly="0" labelOnly="1" fieldPosition="0">
        <references count="1">
          <reference field="5" count="0"/>
        </references>
      </pivotArea>
    </format>
    <format dxfId="36">
      <pivotArea dataOnly="0" labelOnly="1" grandRow="1" outline="0"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F40BE8-5C22-4A65-BCEB-2D6A90631884}" name="PT_Qty_count"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1:G22" firstHeaderRow="1" firstDataRow="1" firstDataCol="0"/>
  <pivotFields count="17">
    <pivotField numFmtId="165"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showAll="0"/>
    <pivotField showAll="0">
      <items count="5">
        <item x="3"/>
        <item x="2"/>
        <item x="1"/>
        <item x="0"/>
        <item t="default"/>
      </items>
    </pivotField>
    <pivotField showAll="0">
      <items count="3">
        <item x="1"/>
        <item x="0"/>
        <item t="default"/>
      </items>
    </pivotField>
    <pivotField showAll="0"/>
    <pivotField showAll="0">
      <items count="11">
        <item x="4"/>
        <item x="1"/>
        <item x="3"/>
        <item x="7"/>
        <item x="2"/>
        <item x="0"/>
        <item x="6"/>
        <item x="9"/>
        <item x="8"/>
        <item x="5"/>
        <item t="default"/>
      </items>
    </pivotField>
    <pivotField showAll="0"/>
    <pivotField showAll="0"/>
    <pivotField dataField="1" showAll="0"/>
    <pivotField showAll="0">
      <items count="7">
        <item x="4"/>
        <item x="0"/>
        <item x="1"/>
        <item x="5"/>
        <item x="2"/>
        <item x="3"/>
        <item t="default"/>
      </items>
    </pivotField>
    <pivotField showAll="0"/>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h="1" x="0"/>
        <item h="1" x="1"/>
        <item h="1" x="2"/>
        <item h="1" x="3"/>
        <item h="1" x="4"/>
        <item x="5"/>
        <item h="1" x="6"/>
        <item h="1" x="7"/>
        <item t="default"/>
      </items>
    </pivotField>
  </pivotFields>
  <rowItems count="1">
    <i/>
  </rowItems>
  <colItems count="1">
    <i/>
  </colItems>
  <dataFields count="1">
    <dataField name="Sum of Quantity" fld="8" baseField="0" baseItem="0"/>
  </dataFields>
  <formats count="6">
    <format dxfId="87">
      <pivotArea type="all" dataOnly="0" outline="0" fieldPosition="0"/>
    </format>
    <format dxfId="86">
      <pivotArea outline="0" collapsedLevelsAreSubtotals="1" fieldPosition="0"/>
    </format>
    <format dxfId="85">
      <pivotArea dataOnly="0" labelOnly="1" outline="0" axis="axisValues" fieldPosition="0"/>
    </format>
    <format dxfId="81">
      <pivotArea type="all" dataOnly="0" outline="0" fieldPosition="0"/>
    </format>
    <format dxfId="80">
      <pivotArea outline="0" collapsedLevelsAreSubtotals="1" fieldPosition="0"/>
    </format>
    <format dxfId="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9209DA-9428-4F0C-9555-9A83B465570C}" name="PT_Rev_Tot"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1:A22" firstHeaderRow="1" firstDataRow="1" firstDataCol="0"/>
  <pivotFields count="17">
    <pivotField numFmtId="165" showAll="0">
      <items count="20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t="default"/>
      </items>
    </pivotField>
    <pivotField showAll="0"/>
    <pivotField showAll="0">
      <items count="5">
        <item x="3"/>
        <item x="2"/>
        <item x="1"/>
        <item x="0"/>
        <item t="default"/>
      </items>
    </pivotField>
    <pivotField showAll="0">
      <items count="3">
        <item x="1"/>
        <item x="0"/>
        <item t="default"/>
      </items>
    </pivotField>
    <pivotField showAll="0"/>
    <pivotField showAll="0">
      <items count="11">
        <item x="4"/>
        <item x="1"/>
        <item x="3"/>
        <item x="7"/>
        <item x="2"/>
        <item x="0"/>
        <item x="6"/>
        <item x="9"/>
        <item x="8"/>
        <item x="5"/>
        <item t="default"/>
      </items>
    </pivotField>
    <pivotField showAll="0"/>
    <pivotField showAll="0"/>
    <pivotField showAll="0"/>
    <pivotField showAll="0">
      <items count="7">
        <item x="4"/>
        <item x="0"/>
        <item x="1"/>
        <item x="5"/>
        <item x="2"/>
        <item x="3"/>
        <item t="default"/>
      </items>
    </pivotField>
    <pivotField showAll="0"/>
    <pivotField dataField="1"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h="1" x="0"/>
        <item h="1" x="1"/>
        <item h="1" x="2"/>
        <item h="1" x="3"/>
        <item h="1" x="4"/>
        <item x="5"/>
        <item h="1" x="6"/>
        <item h="1" x="7"/>
        <item t="default"/>
      </items>
    </pivotField>
  </pivotFields>
  <rowItems count="1">
    <i/>
  </rowItems>
  <colItems count="1">
    <i/>
  </colItems>
  <dataFields count="1">
    <dataField name="Sum of Revenue" fld="11" baseField="0" baseItem="0" numFmtId="174"/>
  </dataFields>
  <formats count="6">
    <format dxfId="84">
      <pivotArea type="all" dataOnly="0" outline="0" fieldPosition="0"/>
    </format>
    <format dxfId="83">
      <pivotArea outline="0" collapsedLevelsAreSubtotals="1" fieldPosition="0"/>
    </format>
    <format dxfId="82">
      <pivotArea dataOnly="0" labelOnly="1" outline="0" axis="axisValues"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A92B00-0E26-4A0A-990F-4620EC7DBDCD}" autoFormatId="16" applyNumberFormats="0" applyBorderFormats="0" applyFontFormats="0" applyPatternFormats="0" applyAlignmentFormats="0" applyWidthHeightFormats="0">
  <queryTableRefresh nextId="19">
    <queryTableFields count="18">
      <queryTableField id="1" name="Date" tableColumnId="1"/>
      <queryTableField id="2" name="Region" tableColumnId="2"/>
      <queryTableField id="3" name="City" tableColumnId="3"/>
      <queryTableField id="4" name="Customer Type" tableColumnId="4"/>
      <queryTableField id="5" name="Channel" tableColumnId="5"/>
      <queryTableField id="6" name="Product" tableColumnId="6"/>
      <queryTableField id="7" name="Category" tableColumnId="7"/>
      <queryTableField id="8" name="Unit Price" tableColumnId="8"/>
      <queryTableField id="9" name="Quantity" tableColumnId="9"/>
      <queryTableField id="10" name="Sales Rep" tableColumnId="10"/>
      <queryTableField id="11" name="Cost Price" tableColumnId="11"/>
      <queryTableField id="12" name="Revenue" tableColumnId="12"/>
      <queryTableField id="13" name="COGS" tableColumnId="13"/>
      <queryTableField id="14" name="Profit" tableColumnId="14"/>
      <queryTableField id="15" name="RowKey" tableColumnId="15"/>
      <queryTableField id="16" name="DuplicateFlag" tableColumnId="16"/>
      <queryTableField id="17" name="Date Check" tableColumnId="17"/>
      <queryTableField id="18" name="QuantityCheck"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E5ACF1C-BC48-4450-928C-3EDD701C7A74}" sourceName="Customer Type">
  <pivotTables>
    <pivotTable tabId="3" name="PT_Rev_Tot"/>
    <pivotTable tabId="3" name="PT_Qty_count"/>
    <pivotTable tabId="3" name="PT_Profit_Tot"/>
    <pivotTable tabId="3" name="PT_Cogs"/>
    <pivotTable tabId="3" name="PT_City_by_COGS"/>
    <pivotTable tabId="3" name="PT_Monthly_Customer"/>
    <pivotTable tabId="3" name="PT_profit_by_product"/>
    <pivotTable tabId="3" name="PT_Rev_by_sales_rep"/>
  </pivotTables>
  <data>
    <tabular pivotCacheId="45299907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C6D889F-E608-48E1-B155-EC8EECBAB20E}" sourceName="Product">
  <pivotTables>
    <pivotTable tabId="3" name="PT_City_by_COGS"/>
    <pivotTable tabId="3" name="PT_Rev_Tot"/>
    <pivotTable tabId="3" name="PT_Qty_count"/>
    <pivotTable tabId="3" name="PT_Profit_Tot"/>
    <pivotTable tabId="3" name="PT_Cogs"/>
    <pivotTable tabId="3" name="PT_Monthly_Customer"/>
    <pivotTable tabId="3" name="PT_profit_by_product"/>
    <pivotTable tabId="3" name="PT_Rev_by_sales_rep"/>
  </pivotTables>
  <data>
    <tabular pivotCacheId="452999075">
      <items count="10">
        <i x="4" s="1"/>
        <i x="1" s="1"/>
        <i x="3" s="1"/>
        <i x="7" s="1"/>
        <i x="2" s="1"/>
        <i x="0" s="1"/>
        <i x="6" s="1"/>
        <i x="9" s="1"/>
        <i x="8"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08188D5A-4B29-4FC5-B64C-38B76C249F50}" sourceName="Sales Rep">
  <pivotTables>
    <pivotTable tabId="3" name="PT_City_by_COGS"/>
    <pivotTable tabId="3" name="PT_Rev_Tot"/>
    <pivotTable tabId="3" name="PT_Qty_count"/>
    <pivotTable tabId="3" name="PT_Profit_Tot"/>
    <pivotTable tabId="3" name="PT_Cogs"/>
    <pivotTable tabId="3" name="PT_Monthly_Customer"/>
    <pivotTable tabId="3" name="PT_profit_by_product"/>
    <pivotTable tabId="3" name="PT_Rev_by_sales_rep"/>
  </pivotTables>
  <data>
    <tabular pivotCacheId="452999075">
      <items count="6">
        <i x="4" s="1"/>
        <i x="0" s="1"/>
        <i x="1" s="1"/>
        <i x="5"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9C94E818-696E-46D1-9F9B-32AC7B08DCF8}" cache="Slicer_Customer_Type" caption="Customer Type" lockedPosition="1" rowHeight="241300"/>
  <slicer name="Product" xr10:uid="{A48EA4CE-C61A-4DC5-BFDE-5279DB9C0624}" cache="Slicer_Product" caption="Product" lockedPosition="1" rowHeight="241300"/>
  <slicer name="Sales Rep" xr10:uid="{75E7E99F-5523-43DF-A87B-90276F6AB3CD}" cache="Slicer_Sales_Rep" caption="Sales Rep" lockedPosition="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_Data" displayName="Sales_Data" ref="A1:N2099" totalsRowShown="0">
  <autoFilter ref="A1:N2099" xr:uid="{00000000-000C-0000-FFFF-FFFF00000000}"/>
  <tableColumns count="14">
    <tableColumn id="1" xr3:uid="{00000000-0010-0000-0000-000001000000}" name="Date" dataDxfId="97"/>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CellStyle="Currency"/>
    <tableColumn id="9" xr3:uid="{00000000-0010-0000-0000-000009000000}" name="Quantity"/>
    <tableColumn id="14" xr3:uid="{00000000-0010-0000-0000-00000E000000}" name="Sales Rep"/>
    <tableColumn id="15" xr3:uid="{00000000-0010-0000-0000-00000F000000}" name="Cost Price" dataCellStyle="Currency">
      <calculatedColumnFormula>D2-D2*0.2</calculatedColumnFormula>
    </tableColumn>
    <tableColumn id="10" xr3:uid="{FC62F072-1366-42CD-AB88-A6A1326546F9}" name="Revenue" dataCellStyle="Currency">
      <calculatedColumnFormula>Sales_Data[[#This Row],[Unit Price]]*Sales_Data[[#This Row],[Quantity]]</calculatedColumnFormula>
    </tableColumn>
    <tableColumn id="11" xr3:uid="{3B9BE226-29D3-49DA-AC04-A969F73D029B}" name="COGS" dataCellStyle="Currency">
      <calculatedColumnFormula>Sales_Data[[#This Row],[Cost Price]]*Sales_Data[[#This Row],[Quantity]]</calculatedColumnFormula>
    </tableColumn>
    <tableColumn id="12" xr3:uid="{0A0F237F-926E-4C03-BE10-BFC98DB02406}" name="Profit" dataCellStyle="Currency">
      <calculatedColumnFormula>Sales_Data[[#This Row],[Revenue]]-Sales_Data[[#This Row],[COGS]]</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BB9C75-1873-4E82-A815-877BE790EF96}" name="Sales_Data2_1" displayName="Sales_Data2_1" ref="A1:R2099" tableType="queryTable" totalsRowShown="0">
  <autoFilter ref="A1:R2099" xr:uid="{8ABB9C75-1873-4E82-A815-877BE790EF96}"/>
  <tableColumns count="18">
    <tableColumn id="1" xr3:uid="{D024F062-1E8E-4F9E-889A-7F8C0A0FFBE1}" uniqueName="1" name="Date" queryTableFieldId="1" dataDxfId="11"/>
    <tableColumn id="2" xr3:uid="{3FD864D9-94D7-416E-96CD-7A13AD8961FB}" uniqueName="2" name="Region" queryTableFieldId="2" dataDxfId="10"/>
    <tableColumn id="3" xr3:uid="{CD8D2B67-C4BC-4408-9939-45858130226F}" uniqueName="3" name="City" queryTableFieldId="3" dataDxfId="9"/>
    <tableColumn id="4" xr3:uid="{4FFCC019-AD4A-4157-B46E-827A1B0E5558}" uniqueName="4" name="Customer Type" queryTableFieldId="4" dataDxfId="8"/>
    <tableColumn id="5" xr3:uid="{4BFD2907-B9D4-47DF-BE2C-2ABBE431D74E}" uniqueName="5" name="Channel" queryTableFieldId="5" dataDxfId="7"/>
    <tableColumn id="6" xr3:uid="{340E14A7-8D5B-4B05-AD99-1878C4F804B4}" uniqueName="6" name="Product" queryTableFieldId="6" dataDxfId="6"/>
    <tableColumn id="7" xr3:uid="{F950E2D5-8FBE-4BE3-96EF-7C56F9DEECAE}" uniqueName="7" name="Category" queryTableFieldId="7" dataDxfId="5"/>
    <tableColumn id="8" xr3:uid="{B27AB515-B01E-4C40-A93D-CC3182C2F108}" uniqueName="8" name="Unit Price" queryTableFieldId="8"/>
    <tableColumn id="9" xr3:uid="{08D5D4DD-B35F-49D3-B4E3-757351F3C572}" uniqueName="9" name="Quantity" queryTableFieldId="9"/>
    <tableColumn id="10" xr3:uid="{E8DC5ED4-DEFB-4460-A2CA-7C13DECBB6F6}" uniqueName="10" name="Sales Rep" queryTableFieldId="10" dataDxfId="4"/>
    <tableColumn id="11" xr3:uid="{59A66B5F-3A55-4493-877F-36178929CF02}" uniqueName="11" name="Cost Price" queryTableFieldId="11"/>
    <tableColumn id="12" xr3:uid="{32DB358B-AFE3-4955-943F-EEA23225E3DF}" uniqueName="12" name="Revenue" queryTableFieldId="12"/>
    <tableColumn id="13" xr3:uid="{08772BDD-9AAC-4B11-9F79-191B47327D20}" uniqueName="13" name="COGS" queryTableFieldId="13"/>
    <tableColumn id="14" xr3:uid="{9FC8D81A-7AF3-4E4C-95DC-7ADD3DF89576}" uniqueName="14" name="Profit" queryTableFieldId="14"/>
    <tableColumn id="15" xr3:uid="{6B4A2447-4BA0-4174-93C5-C076FF11787B}" uniqueName="15" name="RowKey" queryTableFieldId="15" dataDxfId="3"/>
    <tableColumn id="16" xr3:uid="{C8DC1045-04F9-471E-B75B-DF1097672256}" uniqueName="16" name="DuplicateFlag" queryTableFieldId="16" dataDxfId="2"/>
    <tableColumn id="17" xr3:uid="{456007DB-AE46-4528-867F-EF8812FB1AA5}" uniqueName="17" name="Date Check" queryTableFieldId="17" dataDxfId="1"/>
    <tableColumn id="18" xr3:uid="{4CEF3AB1-F8B5-416C-8B07-6ADDF7AD97C7}" uniqueName="18" name="QuantityCheck" queryTableFieldId="18"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5DF3B7-5AB5-48B1-B7BC-7C0F22BE69AC}" name="Sales_Data2" displayName="Sales_Data2" ref="A1:R2099" totalsRowShown="0">
  <autoFilter ref="A1:R2099" xr:uid="{00000000-000C-0000-FFFF-FFFF00000000}"/>
  <tableColumns count="18">
    <tableColumn id="1" xr3:uid="{861DE1B4-39B1-49BF-B84C-5022C5B3A5B7}" name="Date" dataDxfId="96"/>
    <tableColumn id="2" xr3:uid="{139FEADD-734F-4717-91CC-D04DC1057E16}" name="Region"/>
    <tableColumn id="3" xr3:uid="{95A6FD1D-864B-4BE5-9708-C00BEA33B16B}" name="City"/>
    <tableColumn id="4" xr3:uid="{C37E0949-5DA9-4064-99B8-FE724002F49F}" name="Customer Type"/>
    <tableColumn id="5" xr3:uid="{673234ED-8F55-42FB-AAA0-92D77E6D460F}" name="Channel"/>
    <tableColumn id="6" xr3:uid="{060A0B67-4AD7-4916-9A53-E990463F66E7}" name="Product"/>
    <tableColumn id="7" xr3:uid="{63AFA0FF-D0BD-447F-B778-A0772048BDC2}" name="Category"/>
    <tableColumn id="8" xr3:uid="{E5EECE2B-1696-4128-B8D6-EF727D867AD2}" name="Unit Price"/>
    <tableColumn id="9" xr3:uid="{A10BBE88-E55D-4710-AED4-260792FDDC9E}" name="Quantity"/>
    <tableColumn id="14" xr3:uid="{268CCEA9-B5F9-498A-AAA3-92226AA78D30}" name="Sales Rep"/>
    <tableColumn id="15" xr3:uid="{73DF8034-61A7-45C3-B7E3-D49B218AC7CA}" name="Cost Price" dataDxfId="95">
      <calculatedColumnFormula>H2-H2*0.2</calculatedColumnFormula>
    </tableColumn>
    <tableColumn id="10" xr3:uid="{BDCD3492-4661-4D39-9F02-440FB37B7419}" name="Revenue" dataDxfId="94">
      <calculatedColumnFormula>Sales_Data2[[#This Row],[Unit Price]]*Sales_Data2[[#This Row],[Quantity]]</calculatedColumnFormula>
    </tableColumn>
    <tableColumn id="11" xr3:uid="{B80D9B48-3462-4181-9FD1-13A5F7EA3BB7}" name="COGS" dataDxfId="93">
      <calculatedColumnFormula>Sales_Data2[[#This Row],[Cost Price]]*Sales_Data2[[#This Row],[Quantity]]</calculatedColumnFormula>
    </tableColumn>
    <tableColumn id="12" xr3:uid="{96AD117A-2C5B-44D6-BE05-A6D0BCA37789}" name="Profit" dataDxfId="92">
      <calculatedColumnFormula>Sales_Data2[[#This Row],[Revenue]]-Sales_Data2[[#This Row],[COGS]]</calculatedColumnFormula>
    </tableColumn>
    <tableColumn id="13" xr3:uid="{A95D15EF-1E5F-42E4-9133-969E41A29C9F}" name="RowKey" dataDxfId="91">
      <calculatedColumnFormula>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calculatedColumnFormula>
    </tableColumn>
    <tableColumn id="16" xr3:uid="{5079B580-F8B1-411C-8D3E-E67BFB3DE454}" name="DuplicateFlag" dataDxfId="90">
      <calculatedColumnFormula>IF(COUNTIF(Sales_Data2[RowKey],Sales_Data2[[#This Row],[RowKey]])&gt;1,"Duplicate","Unique")</calculatedColumnFormula>
    </tableColumn>
    <tableColumn id="17" xr3:uid="{C420A5D1-FF79-4505-923C-3452EEE7D905}" name="Date Check" dataDxfId="89">
      <calculatedColumnFormula>IF(ISNUMBER(Sales_Data2[[#This Row],[Date]]),"OK","Check")</calculatedColumnFormula>
    </tableColumn>
    <tableColumn id="19" xr3:uid="{3B8F509D-DB86-4201-9E75-711483748D17}" name="QuantityCheck" dataDxfId="88">
      <calculatedColumnFormula>IF(ISNUMBER(Sales_Data2[[#This Row],[Quantity]]),"OK","Check")</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7313EDD-A3B5-45E7-8FEB-0963B24E626D}" sourceName="Date">
  <pivotTables>
    <pivotTable tabId="3" name="PT_Profit_Tot"/>
    <pivotTable tabId="3" name="PT_City_by_COGS"/>
    <pivotTable tabId="3" name="PT_Cogs"/>
    <pivotTable tabId="3" name="PT_Monthly_Customer"/>
    <pivotTable tabId="3" name="PT_profit_by_product"/>
    <pivotTable tabId="3" name="PT_Qty_count"/>
    <pivotTable tabId="3" name="PT_Rev_by_sales_rep"/>
    <pivotTable tabId="3" name="PT_Rev_Tot"/>
  </pivotTables>
  <state minimalRefreshVersion="6" lastRefreshVersion="6" pivotCacheId="452999075" filterType="unknown">
    <bounds startDate="2025-01-01T00:00:00" endDate="203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9BE98F1-8C88-47AD-B735-10DB0DF09AFC}" cache="NativeTimeline_Date" caption="Quarters" level="1" selectionLevel="1" scrollPosition="2029-05-11T00:00:00"/>
  <timeline name="Date 1" xr10:uid="{872B2119-BC22-441A-B18A-1B625A876569}" cache="NativeTimeline_Date" caption="Years" level="0" selectionLevel="0" scrollPosition="2028-09-15T00:00:00"/>
  <timeline name="Date 2" xr10:uid="{072A952C-3A00-45AD-A543-2E558909820D}" cache="NativeTimeline_Date" caption="Days" level="3" selectionLevel="3" scrollPosition="2030-06-24T00:00:00"/>
  <timeline name="Date 3" xr10:uid="{4CD7E615-2BCA-46A7-984E-FCAFADBAF43B}" cache="NativeTimeline_Date" caption="Months" level="2" selectionLevel="2" scrollPosition="2030-03-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forms/d/1XlNYHeYal-dyobjPkKfbrCW7qvB8kNe_O7pfYNYinq8/edit?ts=6a2fc4d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90B50-4D18-4D3C-A26A-1388ACCA0BAB}">
  <dimension ref="A1:Y3"/>
  <sheetViews>
    <sheetView showGridLines="0" showRowColHeaders="0" topLeftCell="A4" zoomScale="80" zoomScaleNormal="80" workbookViewId="0">
      <selection activeCell="Y38" sqref="Y38"/>
    </sheetView>
  </sheetViews>
  <sheetFormatPr defaultRowHeight="14.5"/>
  <cols>
    <col min="25" max="25" width="2.81640625" customWidth="1"/>
  </cols>
  <sheetData>
    <row r="1" spans="1:25">
      <c r="A1" s="14"/>
      <c r="B1" s="14"/>
      <c r="C1" s="16" t="s">
        <v>98</v>
      </c>
      <c r="D1" s="16"/>
      <c r="E1" s="16"/>
      <c r="F1" s="16"/>
      <c r="G1" s="16"/>
      <c r="H1" s="16"/>
      <c r="I1" s="16"/>
      <c r="J1" s="16"/>
      <c r="K1" s="16"/>
      <c r="L1" s="16"/>
      <c r="M1" s="16"/>
      <c r="N1" s="16"/>
      <c r="O1" s="16"/>
      <c r="P1" s="16"/>
      <c r="Q1" s="16"/>
      <c r="R1" s="16"/>
      <c r="S1" s="16"/>
      <c r="T1" s="16"/>
      <c r="U1" s="16"/>
      <c r="V1" s="16"/>
      <c r="W1" s="14"/>
      <c r="X1" s="14"/>
      <c r="Y1" s="14"/>
    </row>
    <row r="2" spans="1:25">
      <c r="A2" s="14"/>
      <c r="B2" s="14"/>
      <c r="C2" s="16"/>
      <c r="D2" s="16"/>
      <c r="E2" s="16"/>
      <c r="F2" s="16"/>
      <c r="G2" s="16"/>
      <c r="H2" s="16"/>
      <c r="I2" s="16"/>
      <c r="J2" s="16"/>
      <c r="K2" s="16"/>
      <c r="L2" s="16"/>
      <c r="M2" s="16"/>
      <c r="N2" s="16"/>
      <c r="O2" s="16"/>
      <c r="P2" s="16"/>
      <c r="Q2" s="16"/>
      <c r="R2" s="16"/>
      <c r="S2" s="16"/>
      <c r="T2" s="16"/>
      <c r="U2" s="16"/>
      <c r="V2" s="16"/>
      <c r="W2" s="14"/>
      <c r="X2" s="17" t="s">
        <v>99</v>
      </c>
      <c r="Y2" s="14"/>
    </row>
    <row r="3" spans="1:25">
      <c r="A3" s="14"/>
      <c r="B3" s="14"/>
      <c r="C3" s="16"/>
      <c r="D3" s="16"/>
      <c r="E3" s="16"/>
      <c r="F3" s="16"/>
      <c r="G3" s="16"/>
      <c r="H3" s="16"/>
      <c r="I3" s="16"/>
      <c r="J3" s="16"/>
      <c r="K3" s="16"/>
      <c r="L3" s="16"/>
      <c r="M3" s="16"/>
      <c r="N3" s="16"/>
      <c r="O3" s="16"/>
      <c r="P3" s="16"/>
      <c r="Q3" s="16"/>
      <c r="R3" s="16"/>
      <c r="S3" s="16"/>
      <c r="T3" s="16"/>
      <c r="U3" s="16"/>
      <c r="V3" s="16"/>
      <c r="W3" s="14"/>
      <c r="X3" s="15" t="s">
        <v>100</v>
      </c>
      <c r="Y3" s="14"/>
    </row>
  </sheetData>
  <sheetProtection sheet="1" objects="1" scenarios="1" selectLockedCells="1" pivotTables="0" selectUnlockedCells="1"/>
  <mergeCells count="1">
    <mergeCell ref="C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4115-793B-4A09-92F5-DAD5F8C83BB1}">
  <dimension ref="A3:Q186"/>
  <sheetViews>
    <sheetView zoomScaleNormal="100" workbookViewId="0">
      <selection activeCell="G22" sqref="G22"/>
    </sheetView>
  </sheetViews>
  <sheetFormatPr defaultRowHeight="16"/>
  <cols>
    <col min="1" max="1" width="15.6328125" style="7" bestFit="1" customWidth="1"/>
    <col min="2" max="2" width="12.36328125" style="7" bestFit="1" customWidth="1"/>
    <col min="3" max="3" width="8.7265625" style="7"/>
    <col min="4" max="4" width="12.7265625" style="7" bestFit="1" customWidth="1"/>
    <col min="5" max="5" width="14.90625" style="7" bestFit="1" customWidth="1"/>
    <col min="6" max="6" width="8.7265625" style="7"/>
    <col min="7" max="7" width="12.7265625" style="7" bestFit="1" customWidth="1"/>
    <col min="8" max="8" width="12.1796875" style="7" bestFit="1" customWidth="1"/>
    <col min="9" max="9" width="8.7265625" style="7"/>
    <col min="10" max="10" width="13" style="7" bestFit="1" customWidth="1"/>
    <col min="11" max="11" width="15.6328125" style="7" bestFit="1" customWidth="1"/>
    <col min="12" max="16" width="5.1796875" style="7" bestFit="1" customWidth="1"/>
    <col min="17" max="17" width="11" style="7" bestFit="1" customWidth="1"/>
    <col min="18" max="16384" width="8.7265625" style="7"/>
  </cols>
  <sheetData>
    <row r="3" spans="1:17">
      <c r="A3" s="6" t="s">
        <v>74</v>
      </c>
      <c r="B3" s="7" t="s">
        <v>76</v>
      </c>
      <c r="D3" s="6" t="s">
        <v>74</v>
      </c>
      <c r="E3" s="7" t="s">
        <v>72</v>
      </c>
      <c r="G3" s="6" t="s">
        <v>74</v>
      </c>
      <c r="H3" s="7" t="s">
        <v>77</v>
      </c>
      <c r="J3" s="6" t="s">
        <v>96</v>
      </c>
      <c r="K3" s="6" t="s">
        <v>97</v>
      </c>
    </row>
    <row r="4" spans="1:17">
      <c r="A4" s="8" t="s">
        <v>38</v>
      </c>
      <c r="B4" s="9">
        <v>105336000</v>
      </c>
      <c r="D4" s="8" t="s">
        <v>35</v>
      </c>
      <c r="E4" s="9">
        <v>434805000</v>
      </c>
      <c r="G4" s="8" t="s">
        <v>19</v>
      </c>
      <c r="H4" s="9">
        <v>493812000</v>
      </c>
      <c r="J4" s="6" t="s">
        <v>74</v>
      </c>
      <c r="K4" s="11" t="s">
        <v>81</v>
      </c>
      <c r="L4" s="7" t="s">
        <v>82</v>
      </c>
      <c r="M4" s="7" t="s">
        <v>79</v>
      </c>
      <c r="N4" s="7" t="s">
        <v>80</v>
      </c>
      <c r="O4" s="7" t="s">
        <v>78</v>
      </c>
      <c r="P4" s="7" t="s">
        <v>83</v>
      </c>
      <c r="Q4" s="7" t="s">
        <v>75</v>
      </c>
    </row>
    <row r="5" spans="1:17">
      <c r="A5" s="8" t="s">
        <v>34</v>
      </c>
      <c r="B5" s="9">
        <v>69248000</v>
      </c>
      <c r="D5" s="8" t="s">
        <v>28</v>
      </c>
      <c r="E5" s="9">
        <v>397665000</v>
      </c>
      <c r="G5" s="8" t="s">
        <v>26</v>
      </c>
      <c r="H5" s="9">
        <v>486788000</v>
      </c>
      <c r="J5" s="8" t="s">
        <v>84</v>
      </c>
      <c r="K5" s="10">
        <v>31</v>
      </c>
      <c r="L5" s="10">
        <v>31</v>
      </c>
      <c r="M5" s="10">
        <v>31</v>
      </c>
      <c r="N5" s="10">
        <v>31</v>
      </c>
      <c r="O5" s="10">
        <v>13</v>
      </c>
      <c r="P5" s="10">
        <v>31</v>
      </c>
      <c r="Q5" s="10">
        <v>168</v>
      </c>
    </row>
    <row r="6" spans="1:17">
      <c r="A6" s="8" t="s">
        <v>30</v>
      </c>
      <c r="B6" s="9">
        <v>68640000</v>
      </c>
      <c r="D6" s="8" t="s">
        <v>24</v>
      </c>
      <c r="E6" s="9">
        <v>378660000</v>
      </c>
      <c r="G6" s="8" t="s">
        <v>12</v>
      </c>
      <c r="H6" s="9">
        <v>458784000</v>
      </c>
      <c r="J6" s="8" t="s">
        <v>85</v>
      </c>
      <c r="K6" s="10">
        <v>29</v>
      </c>
      <c r="L6" s="10">
        <v>28</v>
      </c>
      <c r="M6" s="10">
        <v>28</v>
      </c>
      <c r="N6" s="10">
        <v>28</v>
      </c>
      <c r="O6" s="10">
        <v>28</v>
      </c>
      <c r="P6" s="10">
        <v>28</v>
      </c>
      <c r="Q6" s="10">
        <v>169</v>
      </c>
    </row>
    <row r="7" spans="1:17">
      <c r="A7" s="8" t="s">
        <v>40</v>
      </c>
      <c r="B7" s="9">
        <v>51950000</v>
      </c>
      <c r="D7" s="8" t="s">
        <v>37</v>
      </c>
      <c r="E7" s="9">
        <v>378035000</v>
      </c>
      <c r="G7" s="8" t="s">
        <v>32</v>
      </c>
      <c r="H7" s="9">
        <v>423312000</v>
      </c>
      <c r="J7" s="8" t="s">
        <v>86</v>
      </c>
      <c r="K7" s="10">
        <v>31</v>
      </c>
      <c r="L7" s="10">
        <v>31</v>
      </c>
      <c r="M7" s="10">
        <v>31</v>
      </c>
      <c r="N7" s="10">
        <v>31</v>
      </c>
      <c r="O7" s="10">
        <v>31</v>
      </c>
      <c r="P7" s="10">
        <v>31</v>
      </c>
      <c r="Q7" s="10">
        <v>186</v>
      </c>
    </row>
    <row r="8" spans="1:17">
      <c r="A8" s="8" t="s">
        <v>41</v>
      </c>
      <c r="B8" s="9">
        <v>48312000</v>
      </c>
      <c r="D8" s="8" t="s">
        <v>17</v>
      </c>
      <c r="E8" s="9">
        <v>371370000</v>
      </c>
      <c r="G8" s="8" t="s">
        <v>75</v>
      </c>
      <c r="H8" s="9">
        <v>1862696000</v>
      </c>
      <c r="J8" s="8" t="s">
        <v>87</v>
      </c>
      <c r="K8" s="10">
        <v>30</v>
      </c>
      <c r="L8" s="10">
        <v>30</v>
      </c>
      <c r="M8" s="10">
        <v>30</v>
      </c>
      <c r="N8" s="10">
        <v>30</v>
      </c>
      <c r="O8" s="10">
        <v>30</v>
      </c>
      <c r="P8" s="10">
        <v>30</v>
      </c>
      <c r="Q8" s="10">
        <v>180</v>
      </c>
    </row>
    <row r="9" spans="1:17">
      <c r="A9" s="8" t="s">
        <v>33</v>
      </c>
      <c r="B9" s="9">
        <v>44964000</v>
      </c>
      <c r="D9" s="8" t="s">
        <v>39</v>
      </c>
      <c r="E9" s="9">
        <v>367835000</v>
      </c>
      <c r="J9" s="8" t="s">
        <v>88</v>
      </c>
      <c r="K9" s="10">
        <v>31</v>
      </c>
      <c r="L9" s="10">
        <v>31</v>
      </c>
      <c r="M9" s="10">
        <v>31</v>
      </c>
      <c r="N9" s="10">
        <v>31</v>
      </c>
      <c r="O9" s="10">
        <v>31</v>
      </c>
      <c r="P9" s="10">
        <v>31</v>
      </c>
      <c r="Q9" s="10">
        <v>186</v>
      </c>
    </row>
    <row r="10" spans="1:17">
      <c r="A10" s="8" t="s">
        <v>36</v>
      </c>
      <c r="B10" s="9">
        <v>38850000</v>
      </c>
      <c r="D10" s="8" t="s">
        <v>75</v>
      </c>
      <c r="E10" s="9">
        <v>2328370000</v>
      </c>
      <c r="J10" s="8" t="s">
        <v>89</v>
      </c>
      <c r="K10" s="10">
        <v>30</v>
      </c>
      <c r="L10" s="10">
        <v>30</v>
      </c>
      <c r="M10" s="10">
        <v>30</v>
      </c>
      <c r="N10" s="10">
        <v>30</v>
      </c>
      <c r="O10" s="10">
        <v>30</v>
      </c>
      <c r="P10" s="10">
        <v>30</v>
      </c>
      <c r="Q10" s="10">
        <v>180</v>
      </c>
    </row>
    <row r="11" spans="1:17">
      <c r="A11" s="8" t="s">
        <v>15</v>
      </c>
      <c r="B11" s="9">
        <v>18088000</v>
      </c>
      <c r="J11" s="8" t="s">
        <v>90</v>
      </c>
      <c r="K11" s="10">
        <v>31</v>
      </c>
      <c r="L11" s="10">
        <v>31</v>
      </c>
      <c r="M11" s="10">
        <v>31</v>
      </c>
      <c r="N11" s="10">
        <v>31</v>
      </c>
      <c r="O11" s="10">
        <v>31</v>
      </c>
      <c r="P11" s="10">
        <v>31</v>
      </c>
      <c r="Q11" s="10">
        <v>186</v>
      </c>
    </row>
    <row r="12" spans="1:17">
      <c r="A12" s="8" t="s">
        <v>27</v>
      </c>
      <c r="B12" s="9">
        <v>13416000</v>
      </c>
      <c r="J12" s="8" t="s">
        <v>91</v>
      </c>
      <c r="K12" s="10">
        <v>31</v>
      </c>
      <c r="L12" s="10">
        <v>31</v>
      </c>
      <c r="M12" s="10">
        <v>31</v>
      </c>
      <c r="N12" s="10">
        <v>31</v>
      </c>
      <c r="O12" s="10">
        <v>31</v>
      </c>
      <c r="P12" s="10">
        <v>31</v>
      </c>
      <c r="Q12" s="10">
        <v>186</v>
      </c>
    </row>
    <row r="13" spans="1:17">
      <c r="A13" s="8" t="s">
        <v>21</v>
      </c>
      <c r="B13" s="9">
        <v>6870000</v>
      </c>
      <c r="J13" s="8" t="s">
        <v>92</v>
      </c>
      <c r="K13" s="10">
        <v>30</v>
      </c>
      <c r="L13" s="10">
        <v>30</v>
      </c>
      <c r="M13" s="10">
        <v>30</v>
      </c>
      <c r="N13" s="10">
        <v>30</v>
      </c>
      <c r="O13" s="10">
        <v>30</v>
      </c>
      <c r="P13" s="10">
        <v>30</v>
      </c>
      <c r="Q13" s="10">
        <v>180</v>
      </c>
    </row>
    <row r="14" spans="1:17">
      <c r="A14" s="8" t="s">
        <v>75</v>
      </c>
      <c r="B14" s="9">
        <v>465674000</v>
      </c>
      <c r="J14" s="8" t="s">
        <v>93</v>
      </c>
      <c r="K14" s="10">
        <v>31</v>
      </c>
      <c r="L14" s="10">
        <v>31</v>
      </c>
      <c r="M14" s="10">
        <v>31</v>
      </c>
      <c r="N14" s="10">
        <v>31</v>
      </c>
      <c r="O14" s="10">
        <v>31</v>
      </c>
      <c r="P14" s="10">
        <v>17</v>
      </c>
      <c r="Q14" s="10">
        <v>172</v>
      </c>
    </row>
    <row r="15" spans="1:17">
      <c r="J15" s="8" t="s">
        <v>94</v>
      </c>
      <c r="K15" s="10">
        <v>30</v>
      </c>
      <c r="L15" s="10">
        <v>30</v>
      </c>
      <c r="M15" s="10">
        <v>30</v>
      </c>
      <c r="N15" s="10">
        <v>30</v>
      </c>
      <c r="O15" s="10">
        <v>30</v>
      </c>
      <c r="P15" s="10"/>
      <c r="Q15" s="10">
        <v>150</v>
      </c>
    </row>
    <row r="16" spans="1:17">
      <c r="J16" s="8" t="s">
        <v>95</v>
      </c>
      <c r="K16" s="10">
        <v>31</v>
      </c>
      <c r="L16" s="10">
        <v>31</v>
      </c>
      <c r="M16" s="10">
        <v>31</v>
      </c>
      <c r="N16" s="10">
        <v>31</v>
      </c>
      <c r="O16" s="10">
        <v>31</v>
      </c>
      <c r="P16" s="10"/>
      <c r="Q16" s="10">
        <v>155</v>
      </c>
    </row>
    <row r="17" spans="1:17">
      <c r="E17"/>
      <c r="J17" s="8" t="s">
        <v>75</v>
      </c>
      <c r="K17" s="10">
        <v>366</v>
      </c>
      <c r="L17" s="10">
        <v>365</v>
      </c>
      <c r="M17" s="10">
        <v>365</v>
      </c>
      <c r="N17" s="10">
        <v>365</v>
      </c>
      <c r="O17" s="10">
        <v>347</v>
      </c>
      <c r="P17" s="10">
        <v>290</v>
      </c>
      <c r="Q17" s="10">
        <v>2098</v>
      </c>
    </row>
    <row r="18" spans="1:17">
      <c r="E18"/>
      <c r="J18"/>
      <c r="K18"/>
      <c r="L18"/>
      <c r="M18"/>
      <c r="N18"/>
      <c r="O18"/>
      <c r="P18"/>
      <c r="Q18"/>
    </row>
    <row r="19" spans="1:17">
      <c r="J19"/>
      <c r="K19"/>
      <c r="L19"/>
      <c r="M19"/>
      <c r="N19"/>
      <c r="O19"/>
      <c r="P19"/>
      <c r="Q19"/>
    </row>
    <row r="20" spans="1:17">
      <c r="J20"/>
      <c r="K20"/>
      <c r="L20"/>
      <c r="M20"/>
      <c r="N20"/>
      <c r="O20"/>
      <c r="P20"/>
      <c r="Q20"/>
    </row>
    <row r="21" spans="1:17">
      <c r="A21" s="7" t="s">
        <v>72</v>
      </c>
      <c r="D21" s="7" t="s">
        <v>76</v>
      </c>
      <c r="E21"/>
      <c r="G21" s="7" t="s">
        <v>73</v>
      </c>
      <c r="J21" s="7" t="s">
        <v>77</v>
      </c>
      <c r="K21"/>
      <c r="L21"/>
      <c r="M21"/>
      <c r="N21"/>
      <c r="O21"/>
      <c r="P21"/>
      <c r="Q21"/>
    </row>
    <row r="22" spans="1:17">
      <c r="A22" s="9">
        <v>2328370000</v>
      </c>
      <c r="D22" s="9">
        <v>465674000</v>
      </c>
      <c r="E22"/>
      <c r="G22" s="10">
        <v>11488</v>
      </c>
      <c r="J22" s="9">
        <v>1862696000</v>
      </c>
      <c r="K22"/>
      <c r="L22"/>
      <c r="M22"/>
      <c r="N22"/>
      <c r="O22"/>
      <c r="P22"/>
      <c r="Q22"/>
    </row>
    <row r="23" spans="1:17">
      <c r="J23"/>
      <c r="K23"/>
      <c r="L23"/>
      <c r="M23"/>
      <c r="N23"/>
      <c r="O23"/>
      <c r="P23"/>
      <c r="Q23"/>
    </row>
    <row r="24" spans="1:17">
      <c r="J24"/>
      <c r="K24"/>
      <c r="L24"/>
      <c r="M24"/>
      <c r="N24"/>
      <c r="O24"/>
      <c r="P24"/>
      <c r="Q24"/>
    </row>
    <row r="25" spans="1:17">
      <c r="J25"/>
      <c r="K25"/>
      <c r="L25"/>
      <c r="M25"/>
      <c r="N25"/>
      <c r="O25"/>
      <c r="P25"/>
      <c r="Q25"/>
    </row>
    <row r="26" spans="1:17">
      <c r="J26"/>
      <c r="K26"/>
      <c r="L26"/>
      <c r="M26"/>
      <c r="N26"/>
      <c r="O26"/>
      <c r="P26"/>
      <c r="Q26"/>
    </row>
    <row r="27" spans="1:17">
      <c r="J27"/>
      <c r="K27"/>
      <c r="L27"/>
      <c r="M27"/>
      <c r="N27"/>
      <c r="O27"/>
      <c r="P27"/>
      <c r="Q27"/>
    </row>
    <row r="28" spans="1:17">
      <c r="J28"/>
      <c r="K28"/>
      <c r="L28"/>
      <c r="M28"/>
      <c r="N28"/>
      <c r="O28"/>
      <c r="P28"/>
      <c r="Q28"/>
    </row>
    <row r="29" spans="1:17">
      <c r="J29"/>
      <c r="K29"/>
      <c r="L29"/>
      <c r="M29"/>
      <c r="N29"/>
      <c r="O29"/>
      <c r="P29"/>
      <c r="Q29"/>
    </row>
    <row r="30" spans="1:17">
      <c r="J30"/>
      <c r="K30"/>
      <c r="L30"/>
      <c r="M30"/>
      <c r="N30"/>
      <c r="O30"/>
      <c r="P30"/>
      <c r="Q30"/>
    </row>
    <row r="31" spans="1:17">
      <c r="J31"/>
      <c r="K31"/>
      <c r="L31"/>
      <c r="M31"/>
      <c r="N31"/>
      <c r="O31"/>
      <c r="P31"/>
      <c r="Q31"/>
    </row>
    <row r="32" spans="1:17">
      <c r="J32"/>
      <c r="K32"/>
      <c r="L32"/>
      <c r="M32"/>
      <c r="N32"/>
      <c r="O32"/>
      <c r="P32"/>
      <c r="Q32"/>
    </row>
    <row r="33" spans="10:17">
      <c r="J33"/>
      <c r="K33"/>
      <c r="L33"/>
      <c r="M33"/>
      <c r="N33"/>
      <c r="O33"/>
      <c r="P33"/>
      <c r="Q33"/>
    </row>
    <row r="34" spans="10:17">
      <c r="J34"/>
      <c r="K34"/>
      <c r="L34"/>
      <c r="M34"/>
      <c r="N34"/>
      <c r="O34"/>
      <c r="P34"/>
      <c r="Q34"/>
    </row>
    <row r="35" spans="10:17">
      <c r="J35"/>
      <c r="K35"/>
      <c r="L35"/>
      <c r="M35"/>
      <c r="N35"/>
      <c r="O35"/>
      <c r="P35"/>
      <c r="Q35"/>
    </row>
    <row r="36" spans="10:17">
      <c r="J36"/>
      <c r="K36"/>
      <c r="L36"/>
      <c r="M36"/>
      <c r="N36"/>
      <c r="O36"/>
      <c r="P36"/>
      <c r="Q36"/>
    </row>
    <row r="37" spans="10:17">
      <c r="J37"/>
      <c r="K37"/>
      <c r="L37"/>
      <c r="M37"/>
      <c r="N37"/>
      <c r="O37"/>
      <c r="P37"/>
      <c r="Q37"/>
    </row>
    <row r="38" spans="10:17">
      <c r="J38"/>
      <c r="K38"/>
      <c r="L38"/>
      <c r="M38"/>
      <c r="N38"/>
      <c r="O38"/>
      <c r="P38"/>
      <c r="Q38"/>
    </row>
    <row r="39" spans="10:17">
      <c r="J39"/>
      <c r="K39"/>
      <c r="L39"/>
      <c r="M39"/>
      <c r="N39"/>
      <c r="O39"/>
      <c r="P39"/>
      <c r="Q39"/>
    </row>
    <row r="40" spans="10:17">
      <c r="J40"/>
      <c r="K40"/>
      <c r="L40"/>
      <c r="M40"/>
      <c r="N40"/>
      <c r="O40"/>
      <c r="P40"/>
      <c r="Q40"/>
    </row>
    <row r="41" spans="10:17">
      <c r="J41"/>
      <c r="K41"/>
      <c r="L41"/>
      <c r="M41"/>
      <c r="N41"/>
      <c r="O41"/>
      <c r="P41"/>
      <c r="Q41"/>
    </row>
    <row r="42" spans="10:17">
      <c r="J42"/>
      <c r="K42"/>
      <c r="L42"/>
      <c r="M42"/>
      <c r="N42"/>
      <c r="O42"/>
      <c r="P42"/>
      <c r="Q42"/>
    </row>
    <row r="43" spans="10:17">
      <c r="J43"/>
      <c r="K43"/>
      <c r="L43"/>
      <c r="M43"/>
      <c r="N43"/>
      <c r="O43"/>
      <c r="P43"/>
      <c r="Q43"/>
    </row>
    <row r="44" spans="10:17">
      <c r="J44"/>
      <c r="K44"/>
      <c r="L44"/>
      <c r="M44"/>
      <c r="N44"/>
      <c r="O44"/>
      <c r="P44"/>
      <c r="Q44"/>
    </row>
    <row r="45" spans="10:17">
      <c r="J45"/>
      <c r="K45"/>
      <c r="L45"/>
      <c r="M45"/>
      <c r="N45"/>
      <c r="O45"/>
      <c r="P45"/>
      <c r="Q45"/>
    </row>
    <row r="46" spans="10:17">
      <c r="J46"/>
      <c r="K46"/>
      <c r="L46"/>
      <c r="M46"/>
      <c r="N46"/>
      <c r="O46"/>
      <c r="P46"/>
      <c r="Q46"/>
    </row>
    <row r="47" spans="10:17">
      <c r="J47"/>
      <c r="K47"/>
      <c r="L47"/>
      <c r="M47"/>
      <c r="N47"/>
      <c r="O47"/>
      <c r="P47"/>
      <c r="Q47"/>
    </row>
    <row r="48" spans="10:17">
      <c r="J48"/>
      <c r="K48"/>
      <c r="L48"/>
      <c r="M48"/>
      <c r="N48"/>
      <c r="O48"/>
      <c r="P48"/>
      <c r="Q48"/>
    </row>
    <row r="49" spans="10:17">
      <c r="J49"/>
      <c r="K49"/>
      <c r="L49"/>
      <c r="M49"/>
      <c r="N49"/>
      <c r="O49"/>
      <c r="P49"/>
      <c r="Q49"/>
    </row>
    <row r="50" spans="10:17">
      <c r="J50"/>
      <c r="K50"/>
      <c r="L50"/>
      <c r="M50"/>
      <c r="N50"/>
      <c r="O50"/>
      <c r="P50"/>
      <c r="Q50"/>
    </row>
    <row r="51" spans="10:17">
      <c r="J51"/>
      <c r="K51"/>
      <c r="L51"/>
      <c r="M51"/>
      <c r="N51"/>
      <c r="O51"/>
      <c r="P51"/>
      <c r="Q51"/>
    </row>
    <row r="52" spans="10:17">
      <c r="J52"/>
      <c r="K52"/>
      <c r="L52"/>
      <c r="M52"/>
      <c r="N52"/>
      <c r="O52"/>
      <c r="P52"/>
      <c r="Q52"/>
    </row>
    <row r="53" spans="10:17">
      <c r="J53"/>
      <c r="K53"/>
      <c r="L53"/>
      <c r="M53"/>
      <c r="N53"/>
      <c r="O53"/>
      <c r="P53"/>
      <c r="Q53"/>
    </row>
    <row r="54" spans="10:17">
      <c r="J54"/>
      <c r="K54"/>
      <c r="L54"/>
      <c r="M54"/>
      <c r="N54"/>
      <c r="O54"/>
      <c r="P54"/>
      <c r="Q54"/>
    </row>
    <row r="55" spans="10:17">
      <c r="J55"/>
      <c r="K55"/>
      <c r="L55"/>
      <c r="M55"/>
      <c r="N55"/>
      <c r="O55"/>
      <c r="P55"/>
      <c r="Q55"/>
    </row>
    <row r="56" spans="10:17">
      <c r="J56"/>
      <c r="K56"/>
      <c r="L56"/>
      <c r="M56"/>
      <c r="N56"/>
      <c r="O56"/>
      <c r="P56"/>
      <c r="Q56"/>
    </row>
    <row r="57" spans="10:17">
      <c r="J57"/>
      <c r="K57"/>
      <c r="L57"/>
      <c r="M57"/>
      <c r="N57"/>
      <c r="O57"/>
      <c r="P57"/>
      <c r="Q57"/>
    </row>
    <row r="58" spans="10:17">
      <c r="J58"/>
      <c r="K58"/>
      <c r="L58"/>
      <c r="M58"/>
      <c r="N58"/>
      <c r="O58"/>
      <c r="P58"/>
      <c r="Q58"/>
    </row>
    <row r="59" spans="10:17">
      <c r="J59"/>
      <c r="K59"/>
      <c r="L59"/>
      <c r="M59"/>
      <c r="N59"/>
      <c r="O59"/>
      <c r="P59"/>
      <c r="Q59"/>
    </row>
    <row r="60" spans="10:17">
      <c r="J60"/>
      <c r="K60"/>
      <c r="L60"/>
      <c r="M60"/>
      <c r="N60"/>
      <c r="O60"/>
      <c r="P60"/>
      <c r="Q60"/>
    </row>
    <row r="61" spans="10:17">
      <c r="J61"/>
      <c r="K61"/>
      <c r="L61"/>
      <c r="M61"/>
      <c r="N61"/>
      <c r="O61"/>
      <c r="P61"/>
      <c r="Q61"/>
    </row>
    <row r="62" spans="10:17">
      <c r="J62"/>
      <c r="K62"/>
      <c r="L62"/>
      <c r="M62"/>
      <c r="N62"/>
      <c r="O62"/>
      <c r="P62"/>
      <c r="Q62"/>
    </row>
    <row r="63" spans="10:17">
      <c r="J63"/>
      <c r="K63"/>
      <c r="L63"/>
      <c r="M63"/>
      <c r="N63"/>
      <c r="O63"/>
      <c r="P63"/>
      <c r="Q63"/>
    </row>
    <row r="64" spans="10:17">
      <c r="J64"/>
      <c r="K64"/>
      <c r="L64"/>
      <c r="M64"/>
      <c r="N64"/>
      <c r="O64"/>
      <c r="P64"/>
      <c r="Q64"/>
    </row>
    <row r="65" spans="10:17">
      <c r="J65"/>
      <c r="K65"/>
      <c r="L65"/>
      <c r="M65"/>
      <c r="N65"/>
      <c r="O65"/>
      <c r="P65"/>
      <c r="Q65"/>
    </row>
    <row r="66" spans="10:17">
      <c r="J66"/>
      <c r="K66"/>
      <c r="L66"/>
      <c r="M66"/>
      <c r="N66"/>
      <c r="O66"/>
      <c r="P66"/>
      <c r="Q66"/>
    </row>
    <row r="67" spans="10:17">
      <c r="J67"/>
      <c r="K67"/>
      <c r="L67"/>
      <c r="M67"/>
      <c r="N67"/>
      <c r="O67"/>
      <c r="P67"/>
      <c r="Q67"/>
    </row>
    <row r="68" spans="10:17">
      <c r="J68"/>
      <c r="K68"/>
      <c r="L68"/>
      <c r="M68"/>
      <c r="N68"/>
      <c r="O68"/>
      <c r="P68"/>
      <c r="Q68"/>
    </row>
    <row r="69" spans="10:17">
      <c r="J69"/>
      <c r="K69"/>
      <c r="L69"/>
      <c r="M69"/>
      <c r="N69"/>
      <c r="O69"/>
      <c r="P69"/>
      <c r="Q69"/>
    </row>
    <row r="70" spans="10:17">
      <c r="J70"/>
      <c r="K70"/>
      <c r="L70"/>
      <c r="M70"/>
      <c r="N70"/>
      <c r="O70"/>
      <c r="P70"/>
      <c r="Q70"/>
    </row>
    <row r="71" spans="10:17">
      <c r="J71"/>
      <c r="K71"/>
      <c r="L71"/>
      <c r="M71"/>
      <c r="N71"/>
      <c r="O71"/>
      <c r="P71"/>
      <c r="Q71"/>
    </row>
    <row r="72" spans="10:17">
      <c r="J72"/>
      <c r="K72"/>
      <c r="L72"/>
      <c r="M72"/>
      <c r="N72"/>
      <c r="O72"/>
      <c r="P72"/>
      <c r="Q72"/>
    </row>
    <row r="73" spans="10:17">
      <c r="J73"/>
      <c r="K73"/>
      <c r="L73"/>
      <c r="M73"/>
      <c r="N73"/>
      <c r="O73"/>
      <c r="P73"/>
      <c r="Q73"/>
    </row>
    <row r="74" spans="10:17">
      <c r="J74"/>
      <c r="K74"/>
      <c r="L74"/>
      <c r="M74"/>
      <c r="N74"/>
      <c r="O74"/>
      <c r="P74"/>
      <c r="Q74"/>
    </row>
    <row r="75" spans="10:17">
      <c r="J75"/>
      <c r="K75"/>
      <c r="L75"/>
      <c r="M75"/>
      <c r="N75"/>
      <c r="O75"/>
      <c r="P75"/>
      <c r="Q75"/>
    </row>
    <row r="76" spans="10:17">
      <c r="J76"/>
      <c r="K76"/>
      <c r="L76"/>
      <c r="M76"/>
      <c r="N76"/>
      <c r="O76"/>
      <c r="P76"/>
      <c r="Q76"/>
    </row>
    <row r="77" spans="10:17">
      <c r="J77"/>
      <c r="K77"/>
      <c r="L77"/>
      <c r="M77"/>
      <c r="N77"/>
      <c r="O77"/>
      <c r="P77"/>
      <c r="Q77"/>
    </row>
    <row r="78" spans="10:17">
      <c r="J78"/>
      <c r="K78"/>
      <c r="L78"/>
      <c r="M78"/>
      <c r="N78"/>
      <c r="O78"/>
      <c r="P78"/>
      <c r="Q78"/>
    </row>
    <row r="79" spans="10:17">
      <c r="J79"/>
      <c r="K79"/>
      <c r="L79"/>
      <c r="M79"/>
      <c r="N79"/>
      <c r="O79"/>
      <c r="P79"/>
      <c r="Q79"/>
    </row>
    <row r="80" spans="10:17">
      <c r="J80"/>
      <c r="K80"/>
      <c r="L80"/>
      <c r="M80"/>
      <c r="N80"/>
      <c r="O80"/>
      <c r="P80"/>
      <c r="Q80"/>
    </row>
    <row r="81" spans="10:17">
      <c r="J81"/>
      <c r="K81"/>
      <c r="L81"/>
      <c r="M81"/>
      <c r="N81"/>
      <c r="O81"/>
      <c r="P81"/>
      <c r="Q81"/>
    </row>
    <row r="82" spans="10:17">
      <c r="J82"/>
      <c r="K82"/>
      <c r="L82"/>
      <c r="M82"/>
      <c r="N82"/>
      <c r="O82"/>
      <c r="P82"/>
      <c r="Q82"/>
    </row>
    <row r="83" spans="10:17">
      <c r="J83"/>
      <c r="K83"/>
      <c r="L83"/>
      <c r="M83"/>
      <c r="N83"/>
      <c r="O83"/>
      <c r="P83"/>
      <c r="Q83"/>
    </row>
    <row r="84" spans="10:17">
      <c r="J84"/>
      <c r="K84"/>
      <c r="L84"/>
      <c r="M84"/>
      <c r="N84"/>
      <c r="O84"/>
      <c r="P84"/>
      <c r="Q84"/>
    </row>
    <row r="85" spans="10:17">
      <c r="J85"/>
      <c r="K85"/>
      <c r="L85"/>
      <c r="M85"/>
      <c r="N85"/>
      <c r="O85"/>
      <c r="P85"/>
      <c r="Q85"/>
    </row>
    <row r="86" spans="10:17">
      <c r="J86"/>
      <c r="K86"/>
      <c r="L86"/>
      <c r="M86"/>
      <c r="N86"/>
      <c r="O86"/>
      <c r="P86"/>
      <c r="Q86"/>
    </row>
    <row r="87" spans="10:17">
      <c r="J87"/>
      <c r="K87"/>
      <c r="L87"/>
      <c r="M87"/>
      <c r="N87"/>
      <c r="O87"/>
      <c r="P87"/>
      <c r="Q87"/>
    </row>
    <row r="88" spans="10:17">
      <c r="J88"/>
      <c r="K88"/>
      <c r="L88"/>
      <c r="M88"/>
      <c r="N88"/>
      <c r="O88"/>
      <c r="P88"/>
      <c r="Q88"/>
    </row>
    <row r="89" spans="10:17">
      <c r="J89"/>
      <c r="K89"/>
      <c r="L89"/>
      <c r="M89"/>
      <c r="N89"/>
      <c r="O89"/>
      <c r="P89"/>
      <c r="Q89"/>
    </row>
    <row r="90" spans="10:17">
      <c r="J90"/>
      <c r="K90"/>
      <c r="L90"/>
      <c r="M90"/>
      <c r="N90"/>
      <c r="O90"/>
      <c r="P90"/>
      <c r="Q90"/>
    </row>
    <row r="91" spans="10:17">
      <c r="J91"/>
      <c r="K91"/>
      <c r="L91"/>
      <c r="M91"/>
      <c r="N91"/>
      <c r="O91"/>
      <c r="P91"/>
      <c r="Q91"/>
    </row>
    <row r="92" spans="10:17">
      <c r="J92"/>
      <c r="K92"/>
      <c r="L92"/>
      <c r="M92"/>
      <c r="N92"/>
      <c r="O92"/>
      <c r="P92"/>
      <c r="Q92"/>
    </row>
    <row r="93" spans="10:17">
      <c r="J93"/>
      <c r="K93"/>
      <c r="L93"/>
      <c r="M93"/>
      <c r="N93"/>
      <c r="O93"/>
      <c r="P93"/>
      <c r="Q93"/>
    </row>
    <row r="94" spans="10:17">
      <c r="J94"/>
      <c r="K94"/>
      <c r="L94"/>
      <c r="M94"/>
      <c r="N94"/>
      <c r="O94"/>
      <c r="P94"/>
      <c r="Q94"/>
    </row>
    <row r="95" spans="10:17">
      <c r="J95"/>
      <c r="K95"/>
      <c r="L95"/>
      <c r="M95"/>
      <c r="N95"/>
      <c r="O95"/>
      <c r="P95"/>
      <c r="Q95"/>
    </row>
    <row r="96" spans="10:17">
      <c r="J96"/>
      <c r="K96"/>
      <c r="L96"/>
      <c r="M96"/>
      <c r="N96"/>
      <c r="O96"/>
      <c r="P96"/>
      <c r="Q96"/>
    </row>
    <row r="97" spans="10:17">
      <c r="J97"/>
      <c r="K97"/>
      <c r="L97"/>
      <c r="M97"/>
      <c r="N97"/>
      <c r="O97"/>
      <c r="P97"/>
      <c r="Q97"/>
    </row>
    <row r="98" spans="10:17">
      <c r="J98"/>
      <c r="K98"/>
      <c r="L98"/>
      <c r="M98"/>
      <c r="N98"/>
      <c r="O98"/>
      <c r="P98"/>
      <c r="Q98"/>
    </row>
    <row r="99" spans="10:17">
      <c r="J99"/>
      <c r="K99"/>
      <c r="L99"/>
      <c r="M99"/>
      <c r="N99"/>
      <c r="O99"/>
      <c r="P99"/>
      <c r="Q99"/>
    </row>
    <row r="100" spans="10:17">
      <c r="J100"/>
      <c r="K100"/>
      <c r="L100"/>
      <c r="M100"/>
      <c r="N100"/>
      <c r="O100"/>
      <c r="P100"/>
      <c r="Q100"/>
    </row>
    <row r="101" spans="10:17">
      <c r="J101"/>
      <c r="K101"/>
      <c r="L101"/>
      <c r="M101"/>
      <c r="N101"/>
      <c r="O101"/>
      <c r="P101"/>
      <c r="Q101"/>
    </row>
    <row r="102" spans="10:17">
      <c r="J102"/>
      <c r="K102"/>
      <c r="L102"/>
      <c r="M102"/>
      <c r="N102"/>
      <c r="O102"/>
      <c r="P102"/>
      <c r="Q102"/>
    </row>
    <row r="103" spans="10:17">
      <c r="J103"/>
      <c r="K103"/>
      <c r="L103"/>
      <c r="M103"/>
      <c r="N103"/>
      <c r="O103"/>
      <c r="P103"/>
      <c r="Q103"/>
    </row>
    <row r="104" spans="10:17">
      <c r="J104"/>
      <c r="K104"/>
      <c r="L104"/>
      <c r="M104"/>
      <c r="N104"/>
      <c r="O104"/>
      <c r="P104"/>
      <c r="Q104"/>
    </row>
    <row r="105" spans="10:17">
      <c r="J105"/>
      <c r="K105"/>
      <c r="L105"/>
      <c r="M105"/>
      <c r="N105"/>
      <c r="O105"/>
      <c r="P105"/>
      <c r="Q105"/>
    </row>
    <row r="106" spans="10:17">
      <c r="J106"/>
      <c r="K106"/>
      <c r="L106"/>
      <c r="M106"/>
      <c r="N106"/>
      <c r="O106"/>
      <c r="P106"/>
      <c r="Q106"/>
    </row>
    <row r="107" spans="10:17">
      <c r="J107"/>
      <c r="K107"/>
      <c r="L107"/>
      <c r="M107"/>
      <c r="N107"/>
      <c r="O107"/>
      <c r="P107"/>
      <c r="Q107"/>
    </row>
    <row r="108" spans="10:17">
      <c r="J108"/>
      <c r="K108"/>
      <c r="L108"/>
      <c r="M108"/>
      <c r="N108"/>
      <c r="O108"/>
      <c r="P108"/>
      <c r="Q108"/>
    </row>
    <row r="109" spans="10:17">
      <c r="J109"/>
      <c r="K109"/>
      <c r="L109"/>
      <c r="M109"/>
      <c r="N109"/>
      <c r="O109"/>
      <c r="P109"/>
      <c r="Q109"/>
    </row>
    <row r="110" spans="10:17">
      <c r="J110"/>
      <c r="K110"/>
      <c r="L110"/>
      <c r="M110"/>
      <c r="N110"/>
      <c r="O110"/>
      <c r="P110"/>
      <c r="Q110"/>
    </row>
    <row r="111" spans="10:17">
      <c r="J111"/>
      <c r="K111"/>
      <c r="L111"/>
      <c r="M111"/>
      <c r="N111"/>
      <c r="O111"/>
      <c r="P111"/>
      <c r="Q111"/>
    </row>
    <row r="112" spans="10:17">
      <c r="J112"/>
      <c r="K112"/>
      <c r="L112"/>
      <c r="M112"/>
      <c r="N112"/>
      <c r="O112"/>
      <c r="P112"/>
      <c r="Q112"/>
    </row>
    <row r="113" spans="10:17">
      <c r="J113"/>
      <c r="K113"/>
      <c r="L113"/>
      <c r="M113"/>
      <c r="N113"/>
      <c r="O113"/>
      <c r="P113"/>
      <c r="Q113"/>
    </row>
    <row r="114" spans="10:17">
      <c r="J114"/>
      <c r="K114"/>
      <c r="L114"/>
      <c r="M114"/>
      <c r="N114"/>
      <c r="O114"/>
      <c r="P114"/>
      <c r="Q114"/>
    </row>
    <row r="115" spans="10:17">
      <c r="J115"/>
      <c r="K115"/>
      <c r="L115"/>
      <c r="M115"/>
      <c r="N115"/>
      <c r="O115"/>
      <c r="P115"/>
      <c r="Q115"/>
    </row>
    <row r="116" spans="10:17">
      <c r="J116"/>
      <c r="K116"/>
      <c r="L116"/>
      <c r="M116"/>
      <c r="N116"/>
      <c r="O116"/>
      <c r="P116"/>
      <c r="Q116"/>
    </row>
    <row r="117" spans="10:17">
      <c r="J117"/>
      <c r="K117"/>
      <c r="L117"/>
      <c r="M117"/>
      <c r="N117"/>
      <c r="O117"/>
      <c r="P117"/>
      <c r="Q117"/>
    </row>
    <row r="118" spans="10:17">
      <c r="J118"/>
      <c r="K118"/>
      <c r="L118"/>
      <c r="M118"/>
      <c r="N118"/>
      <c r="O118"/>
      <c r="P118"/>
      <c r="Q118"/>
    </row>
    <row r="119" spans="10:17">
      <c r="J119"/>
      <c r="K119"/>
      <c r="L119"/>
      <c r="M119"/>
      <c r="N119"/>
      <c r="O119"/>
      <c r="P119"/>
      <c r="Q119"/>
    </row>
    <row r="120" spans="10:17">
      <c r="J120"/>
      <c r="K120"/>
      <c r="L120"/>
      <c r="M120"/>
      <c r="N120"/>
      <c r="O120"/>
      <c r="P120"/>
      <c r="Q120"/>
    </row>
    <row r="121" spans="10:17">
      <c r="J121"/>
      <c r="K121"/>
      <c r="L121"/>
      <c r="M121"/>
      <c r="N121"/>
      <c r="O121"/>
      <c r="P121"/>
      <c r="Q121"/>
    </row>
    <row r="122" spans="10:17">
      <c r="J122"/>
      <c r="K122"/>
      <c r="L122"/>
      <c r="M122"/>
      <c r="N122"/>
      <c r="O122"/>
      <c r="P122"/>
      <c r="Q122"/>
    </row>
    <row r="123" spans="10:17">
      <c r="J123"/>
      <c r="K123"/>
      <c r="L123"/>
      <c r="M123"/>
      <c r="N123"/>
      <c r="O123"/>
      <c r="P123"/>
      <c r="Q123"/>
    </row>
    <row r="124" spans="10:17">
      <c r="J124"/>
      <c r="K124"/>
      <c r="L124"/>
      <c r="M124"/>
      <c r="N124"/>
      <c r="O124"/>
      <c r="P124"/>
      <c r="Q124"/>
    </row>
    <row r="125" spans="10:17">
      <c r="J125"/>
      <c r="K125"/>
      <c r="L125"/>
      <c r="M125"/>
      <c r="N125"/>
      <c r="O125"/>
      <c r="P125"/>
      <c r="Q125"/>
    </row>
    <row r="126" spans="10:17">
      <c r="J126"/>
      <c r="K126"/>
      <c r="L126"/>
      <c r="M126"/>
      <c r="N126"/>
      <c r="O126"/>
      <c r="P126"/>
      <c r="Q126"/>
    </row>
    <row r="127" spans="10:17">
      <c r="J127"/>
      <c r="K127"/>
      <c r="L127"/>
      <c r="M127"/>
      <c r="N127"/>
      <c r="O127"/>
      <c r="P127"/>
      <c r="Q127"/>
    </row>
    <row r="128" spans="10:17">
      <c r="J128"/>
      <c r="K128"/>
      <c r="L128"/>
      <c r="M128"/>
      <c r="N128"/>
      <c r="O128"/>
      <c r="P128"/>
      <c r="Q128"/>
    </row>
    <row r="129" spans="10:17">
      <c r="J129"/>
      <c r="K129"/>
      <c r="L129"/>
      <c r="M129"/>
      <c r="N129"/>
      <c r="O129"/>
      <c r="P129"/>
      <c r="Q129"/>
    </row>
    <row r="130" spans="10:17">
      <c r="J130"/>
      <c r="K130"/>
      <c r="L130"/>
      <c r="M130"/>
      <c r="N130"/>
      <c r="O130"/>
      <c r="P130"/>
      <c r="Q130"/>
    </row>
    <row r="131" spans="10:17">
      <c r="J131"/>
      <c r="K131"/>
      <c r="L131"/>
      <c r="M131"/>
      <c r="N131"/>
      <c r="O131"/>
      <c r="P131"/>
      <c r="Q131"/>
    </row>
    <row r="132" spans="10:17">
      <c r="J132"/>
      <c r="K132"/>
      <c r="L132"/>
      <c r="M132"/>
      <c r="N132"/>
      <c r="O132"/>
      <c r="P132"/>
      <c r="Q132"/>
    </row>
    <row r="133" spans="10:17">
      <c r="J133"/>
      <c r="K133"/>
      <c r="L133"/>
      <c r="M133"/>
      <c r="N133"/>
      <c r="O133"/>
      <c r="P133"/>
      <c r="Q133"/>
    </row>
    <row r="134" spans="10:17">
      <c r="J134"/>
      <c r="K134"/>
      <c r="L134"/>
      <c r="M134"/>
      <c r="N134"/>
      <c r="O134"/>
      <c r="P134"/>
      <c r="Q134"/>
    </row>
    <row r="135" spans="10:17">
      <c r="J135"/>
      <c r="K135"/>
      <c r="L135"/>
      <c r="M135"/>
      <c r="N135"/>
      <c r="O135"/>
      <c r="P135"/>
      <c r="Q135"/>
    </row>
    <row r="136" spans="10:17">
      <c r="J136"/>
      <c r="K136"/>
      <c r="L136"/>
      <c r="M136"/>
      <c r="N136"/>
      <c r="O136"/>
      <c r="P136"/>
      <c r="Q136"/>
    </row>
    <row r="137" spans="10:17">
      <c r="J137"/>
      <c r="K137"/>
      <c r="L137"/>
      <c r="M137"/>
      <c r="N137"/>
      <c r="O137"/>
      <c r="P137"/>
      <c r="Q137"/>
    </row>
    <row r="138" spans="10:17">
      <c r="J138"/>
      <c r="K138"/>
      <c r="L138"/>
      <c r="M138"/>
      <c r="N138"/>
      <c r="O138"/>
      <c r="P138"/>
      <c r="Q138"/>
    </row>
    <row r="139" spans="10:17">
      <c r="J139"/>
      <c r="K139"/>
      <c r="L139"/>
      <c r="M139"/>
      <c r="N139"/>
      <c r="O139"/>
      <c r="P139"/>
      <c r="Q139"/>
    </row>
    <row r="140" spans="10:17">
      <c r="J140"/>
      <c r="K140"/>
      <c r="L140"/>
      <c r="M140"/>
      <c r="N140"/>
      <c r="O140"/>
      <c r="P140"/>
      <c r="Q140"/>
    </row>
    <row r="141" spans="10:17">
      <c r="J141"/>
      <c r="K141"/>
      <c r="L141"/>
      <c r="M141"/>
      <c r="N141"/>
      <c r="O141"/>
      <c r="P141"/>
      <c r="Q141"/>
    </row>
    <row r="142" spans="10:17">
      <c r="J142"/>
      <c r="K142"/>
      <c r="L142"/>
      <c r="M142"/>
      <c r="N142"/>
      <c r="O142"/>
      <c r="P142"/>
      <c r="Q142"/>
    </row>
    <row r="143" spans="10:17">
      <c r="J143"/>
      <c r="K143"/>
      <c r="L143"/>
      <c r="M143"/>
      <c r="N143"/>
      <c r="O143"/>
      <c r="P143"/>
      <c r="Q143"/>
    </row>
    <row r="144" spans="10:17">
      <c r="J144"/>
      <c r="K144"/>
      <c r="L144"/>
      <c r="M144"/>
      <c r="N144"/>
      <c r="O144"/>
      <c r="P144"/>
      <c r="Q144"/>
    </row>
    <row r="145" spans="10:17">
      <c r="J145"/>
      <c r="K145"/>
      <c r="L145"/>
      <c r="M145"/>
      <c r="N145"/>
      <c r="O145"/>
      <c r="P145"/>
      <c r="Q145"/>
    </row>
    <row r="146" spans="10:17">
      <c r="J146"/>
      <c r="K146"/>
      <c r="L146"/>
      <c r="M146"/>
      <c r="N146"/>
      <c r="O146"/>
      <c r="P146"/>
      <c r="Q146"/>
    </row>
    <row r="147" spans="10:17">
      <c r="J147"/>
      <c r="K147"/>
      <c r="L147"/>
      <c r="M147"/>
      <c r="N147"/>
      <c r="O147"/>
      <c r="P147"/>
      <c r="Q147"/>
    </row>
    <row r="148" spans="10:17">
      <c r="J148"/>
      <c r="K148"/>
      <c r="L148"/>
      <c r="M148"/>
      <c r="N148"/>
      <c r="O148"/>
      <c r="P148"/>
      <c r="Q148"/>
    </row>
    <row r="149" spans="10:17">
      <c r="J149"/>
      <c r="K149"/>
      <c r="L149"/>
      <c r="M149"/>
      <c r="N149"/>
      <c r="O149"/>
      <c r="P149"/>
      <c r="Q149"/>
    </row>
    <row r="150" spans="10:17">
      <c r="J150"/>
      <c r="K150"/>
      <c r="L150"/>
      <c r="M150"/>
      <c r="N150"/>
      <c r="O150"/>
      <c r="P150"/>
      <c r="Q150"/>
    </row>
    <row r="151" spans="10:17">
      <c r="J151"/>
      <c r="K151"/>
      <c r="L151"/>
      <c r="M151"/>
      <c r="N151"/>
      <c r="O151"/>
      <c r="P151"/>
      <c r="Q151"/>
    </row>
    <row r="152" spans="10:17">
      <c r="J152"/>
      <c r="K152"/>
      <c r="L152"/>
      <c r="M152"/>
      <c r="N152"/>
      <c r="O152"/>
      <c r="P152"/>
      <c r="Q152"/>
    </row>
    <row r="153" spans="10:17">
      <c r="J153"/>
      <c r="K153"/>
      <c r="L153"/>
      <c r="M153"/>
      <c r="N153"/>
      <c r="O153"/>
      <c r="P153"/>
      <c r="Q153"/>
    </row>
    <row r="154" spans="10:17">
      <c r="J154"/>
      <c r="K154"/>
      <c r="L154"/>
      <c r="M154"/>
      <c r="N154"/>
      <c r="O154"/>
      <c r="P154"/>
      <c r="Q154"/>
    </row>
    <row r="155" spans="10:17">
      <c r="J155"/>
      <c r="K155"/>
      <c r="L155"/>
      <c r="M155"/>
      <c r="N155"/>
      <c r="O155"/>
      <c r="P155"/>
      <c r="Q155"/>
    </row>
    <row r="156" spans="10:17">
      <c r="J156"/>
      <c r="K156"/>
      <c r="L156"/>
      <c r="M156"/>
      <c r="N156"/>
      <c r="O156"/>
      <c r="P156"/>
      <c r="Q156"/>
    </row>
    <row r="157" spans="10:17">
      <c r="J157"/>
      <c r="K157"/>
      <c r="L157"/>
      <c r="M157"/>
      <c r="N157"/>
      <c r="O157"/>
      <c r="P157"/>
      <c r="Q157"/>
    </row>
    <row r="158" spans="10:17">
      <c r="J158"/>
      <c r="K158"/>
      <c r="L158"/>
      <c r="M158"/>
      <c r="N158"/>
      <c r="O158"/>
      <c r="P158"/>
      <c r="Q158"/>
    </row>
    <row r="159" spans="10:17">
      <c r="J159"/>
      <c r="K159"/>
      <c r="L159"/>
      <c r="M159"/>
      <c r="N159"/>
      <c r="O159"/>
      <c r="P159"/>
      <c r="Q159"/>
    </row>
    <row r="160" spans="10:17">
      <c r="J160"/>
      <c r="K160"/>
      <c r="L160"/>
      <c r="M160"/>
      <c r="N160"/>
      <c r="O160"/>
      <c r="P160"/>
      <c r="Q160"/>
    </row>
    <row r="161" spans="10:17">
      <c r="J161"/>
      <c r="K161"/>
      <c r="L161"/>
      <c r="M161"/>
      <c r="N161"/>
      <c r="O161"/>
      <c r="P161"/>
      <c r="Q161"/>
    </row>
    <row r="162" spans="10:17">
      <c r="J162"/>
      <c r="K162"/>
      <c r="L162"/>
      <c r="M162"/>
      <c r="N162"/>
      <c r="O162"/>
      <c r="P162"/>
      <c r="Q162"/>
    </row>
    <row r="163" spans="10:17">
      <c r="J163"/>
      <c r="K163"/>
      <c r="L163"/>
      <c r="M163"/>
      <c r="N163"/>
      <c r="O163"/>
      <c r="P163"/>
      <c r="Q163"/>
    </row>
    <row r="164" spans="10:17">
      <c r="J164"/>
      <c r="K164"/>
      <c r="L164"/>
      <c r="M164"/>
      <c r="N164"/>
      <c r="O164"/>
      <c r="P164"/>
      <c r="Q164"/>
    </row>
    <row r="165" spans="10:17">
      <c r="J165"/>
      <c r="K165"/>
      <c r="L165"/>
      <c r="M165"/>
      <c r="N165"/>
      <c r="O165"/>
      <c r="P165"/>
      <c r="Q165"/>
    </row>
    <row r="166" spans="10:17">
      <c r="J166"/>
      <c r="K166"/>
      <c r="L166"/>
      <c r="M166"/>
      <c r="N166"/>
      <c r="O166"/>
      <c r="P166"/>
      <c r="Q166"/>
    </row>
    <row r="167" spans="10:17">
      <c r="J167"/>
      <c r="K167"/>
      <c r="L167"/>
      <c r="M167"/>
      <c r="N167"/>
      <c r="O167"/>
      <c r="P167"/>
      <c r="Q167"/>
    </row>
    <row r="168" spans="10:17">
      <c r="J168"/>
      <c r="K168"/>
      <c r="L168"/>
      <c r="M168"/>
      <c r="N168"/>
      <c r="O168"/>
      <c r="P168"/>
      <c r="Q168"/>
    </row>
    <row r="169" spans="10:17">
      <c r="J169"/>
      <c r="K169"/>
      <c r="L169"/>
      <c r="M169"/>
      <c r="N169"/>
      <c r="O169"/>
      <c r="P169"/>
      <c r="Q169"/>
    </row>
    <row r="170" spans="10:17">
      <c r="J170"/>
      <c r="K170"/>
      <c r="L170"/>
      <c r="M170"/>
      <c r="N170"/>
      <c r="O170"/>
      <c r="P170"/>
      <c r="Q170"/>
    </row>
    <row r="171" spans="10:17">
      <c r="J171"/>
      <c r="K171"/>
      <c r="L171"/>
      <c r="M171"/>
      <c r="N171"/>
      <c r="O171"/>
      <c r="P171"/>
      <c r="Q171"/>
    </row>
    <row r="172" spans="10:17">
      <c r="J172"/>
      <c r="K172"/>
      <c r="L172"/>
      <c r="M172"/>
      <c r="N172"/>
      <c r="O172"/>
      <c r="P172"/>
      <c r="Q172"/>
    </row>
    <row r="173" spans="10:17">
      <c r="J173"/>
      <c r="K173"/>
      <c r="L173"/>
      <c r="M173"/>
      <c r="N173"/>
      <c r="O173"/>
      <c r="P173"/>
      <c r="Q173"/>
    </row>
    <row r="174" spans="10:17">
      <c r="J174"/>
      <c r="K174"/>
      <c r="L174"/>
      <c r="M174"/>
      <c r="N174"/>
      <c r="O174"/>
      <c r="P174"/>
      <c r="Q174"/>
    </row>
    <row r="175" spans="10:17">
      <c r="J175"/>
      <c r="K175"/>
      <c r="L175"/>
      <c r="M175"/>
      <c r="N175"/>
      <c r="O175"/>
      <c r="P175"/>
      <c r="Q175"/>
    </row>
    <row r="176" spans="10:17">
      <c r="J176"/>
      <c r="K176"/>
      <c r="L176"/>
      <c r="M176"/>
      <c r="N176"/>
      <c r="O176"/>
      <c r="P176"/>
      <c r="Q176"/>
    </row>
    <row r="177" spans="10:17">
      <c r="J177"/>
      <c r="K177"/>
      <c r="L177"/>
      <c r="M177"/>
      <c r="N177"/>
      <c r="O177"/>
      <c r="P177"/>
      <c r="Q177"/>
    </row>
    <row r="178" spans="10:17">
      <c r="J178"/>
      <c r="K178"/>
      <c r="L178"/>
      <c r="M178"/>
      <c r="N178"/>
      <c r="O178"/>
      <c r="P178"/>
      <c r="Q178"/>
    </row>
    <row r="179" spans="10:17">
      <c r="J179"/>
      <c r="K179"/>
      <c r="L179"/>
      <c r="M179"/>
      <c r="N179"/>
      <c r="O179"/>
      <c r="P179"/>
      <c r="Q179"/>
    </row>
    <row r="180" spans="10:17">
      <c r="J180"/>
      <c r="K180"/>
      <c r="L180"/>
      <c r="M180"/>
      <c r="N180"/>
      <c r="O180"/>
      <c r="P180"/>
      <c r="Q180"/>
    </row>
    <row r="181" spans="10:17">
      <c r="J181"/>
      <c r="K181"/>
      <c r="L181"/>
      <c r="M181"/>
      <c r="N181"/>
      <c r="O181"/>
      <c r="P181"/>
      <c r="Q181"/>
    </row>
    <row r="182" spans="10:17">
      <c r="J182"/>
      <c r="K182"/>
      <c r="L182"/>
      <c r="M182"/>
      <c r="N182"/>
      <c r="O182"/>
      <c r="P182"/>
      <c r="Q182"/>
    </row>
    <row r="183" spans="10:17">
      <c r="J183"/>
      <c r="K183"/>
      <c r="L183"/>
      <c r="M183"/>
      <c r="N183"/>
      <c r="O183"/>
      <c r="P183"/>
      <c r="Q183"/>
    </row>
    <row r="184" spans="10:17">
      <c r="J184"/>
      <c r="K184"/>
      <c r="L184"/>
      <c r="M184"/>
      <c r="N184"/>
      <c r="O184"/>
      <c r="P184"/>
      <c r="Q184"/>
    </row>
    <row r="185" spans="10:17">
      <c r="J185"/>
      <c r="K185"/>
      <c r="L185"/>
      <c r="M185"/>
      <c r="N185"/>
      <c r="O185"/>
      <c r="P185"/>
      <c r="Q185"/>
    </row>
    <row r="186" spans="10:17">
      <c r="J186"/>
      <c r="K186"/>
      <c r="L186"/>
      <c r="M186"/>
      <c r="N186"/>
      <c r="O186"/>
      <c r="P186"/>
      <c r="Q18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99"/>
  <sheetViews>
    <sheetView topLeftCell="C1" workbookViewId="0">
      <selection activeCell="M10" sqref="M10"/>
    </sheetView>
  </sheetViews>
  <sheetFormatPr defaultColWidth="9" defaultRowHeight="14.5"/>
  <cols>
    <col min="1" max="1" width="11.7265625" style="1" bestFit="1" customWidth="1"/>
    <col min="2" max="2" width="10.36328125" customWidth="1"/>
    <col min="3" max="3" width="12.36328125" customWidth="1"/>
    <col min="4" max="4" width="14.81640625" customWidth="1"/>
    <col min="5" max="5" width="13.1796875" customWidth="1"/>
    <col min="6" max="6" width="16.36328125" customWidth="1"/>
    <col min="7" max="7" width="15.90625" customWidth="1"/>
    <col min="8" max="8" width="12.90625" style="12" bestFit="1" customWidth="1"/>
    <col min="9" max="9" width="13.36328125" customWidth="1"/>
    <col min="10" max="10" width="13.08984375" customWidth="1"/>
    <col min="11" max="11" width="12.08984375" style="12" bestFit="1" customWidth="1"/>
    <col min="12" max="13" width="13.6328125" style="12" bestFit="1" customWidth="1"/>
    <col min="14" max="14" width="12.08984375" style="12" bestFit="1" customWidth="1"/>
  </cols>
  <sheetData>
    <row r="1" spans="1:18">
      <c r="A1" s="1" t="s">
        <v>0</v>
      </c>
      <c r="B1" t="s">
        <v>1</v>
      </c>
      <c r="C1" t="s">
        <v>2</v>
      </c>
      <c r="D1" t="s">
        <v>3</v>
      </c>
      <c r="E1" t="s">
        <v>4</v>
      </c>
      <c r="F1" t="s">
        <v>5</v>
      </c>
      <c r="G1" t="s">
        <v>6</v>
      </c>
      <c r="H1" s="12" t="s">
        <v>7</v>
      </c>
      <c r="I1" t="s">
        <v>8</v>
      </c>
      <c r="J1" t="s">
        <v>9</v>
      </c>
      <c r="K1" s="12" t="s">
        <v>10</v>
      </c>
      <c r="L1" s="13" t="s">
        <v>58</v>
      </c>
      <c r="M1" s="13" t="s">
        <v>59</v>
      </c>
      <c r="N1" s="13" t="s">
        <v>66</v>
      </c>
      <c r="O1" s="2"/>
      <c r="Q1" t="s">
        <v>60</v>
      </c>
      <c r="R1" t="s">
        <v>61</v>
      </c>
    </row>
    <row r="2" spans="1:18">
      <c r="A2" s="1">
        <v>45676</v>
      </c>
      <c r="B2" t="s">
        <v>11</v>
      </c>
      <c r="C2" t="s">
        <v>12</v>
      </c>
      <c r="D2" t="s">
        <v>13</v>
      </c>
      <c r="E2" t="s">
        <v>14</v>
      </c>
      <c r="F2" t="s">
        <v>15</v>
      </c>
      <c r="G2" t="s">
        <v>16</v>
      </c>
      <c r="H2" s="12">
        <v>85000</v>
      </c>
      <c r="I2">
        <v>1</v>
      </c>
      <c r="J2" t="s">
        <v>17</v>
      </c>
      <c r="K2" s="12">
        <f t="shared" ref="K2:K65" si="0">H2-H2*0.2</f>
        <v>68000</v>
      </c>
      <c r="L2" s="12">
        <f>Sales_Data[[#This Row],[Unit Price]]*Sales_Data[[#This Row],[Quantity]]</f>
        <v>85000</v>
      </c>
      <c r="M2" s="12">
        <f>Sales_Data[[#This Row],[Cost Price]]*Sales_Data[[#This Row],[Quantity]]</f>
        <v>68000</v>
      </c>
      <c r="N2" s="12">
        <f>Sales_Data[[#This Row],[Revenue]]-Sales_Data[[#This Row],[COGS]]</f>
        <v>17000</v>
      </c>
      <c r="Q2" t="s">
        <v>62</v>
      </c>
      <c r="R2" t="s">
        <v>63</v>
      </c>
    </row>
    <row r="3" spans="1:18">
      <c r="A3" s="1">
        <v>45677</v>
      </c>
      <c r="B3" t="s">
        <v>18</v>
      </c>
      <c r="C3" t="s">
        <v>19</v>
      </c>
      <c r="D3" t="s">
        <v>13</v>
      </c>
      <c r="E3" t="s">
        <v>20</v>
      </c>
      <c r="F3" t="s">
        <v>21</v>
      </c>
      <c r="G3" t="s">
        <v>22</v>
      </c>
      <c r="H3" s="12">
        <v>30000</v>
      </c>
      <c r="I3">
        <v>8</v>
      </c>
      <c r="J3" t="s">
        <v>17</v>
      </c>
      <c r="K3" s="12">
        <f t="shared" si="0"/>
        <v>24000</v>
      </c>
      <c r="L3" s="12">
        <f>Sales_Data[[#This Row],[Unit Price]]*Sales_Data[[#This Row],[Quantity]]</f>
        <v>240000</v>
      </c>
      <c r="M3" s="12">
        <f>Sales_Data[[#This Row],[Cost Price]]*Sales_Data[[#This Row],[Quantity]]</f>
        <v>192000</v>
      </c>
      <c r="N3" s="12">
        <f>Sales_Data[[#This Row],[Revenue]]-Sales_Data[[#This Row],[COGS]]</f>
        <v>48000</v>
      </c>
      <c r="Q3" t="s">
        <v>64</v>
      </c>
      <c r="R3" t="s">
        <v>65</v>
      </c>
    </row>
    <row r="4" spans="1:18">
      <c r="A4" s="1">
        <v>45678</v>
      </c>
      <c r="B4" t="s">
        <v>18</v>
      </c>
      <c r="C4" t="s">
        <v>12</v>
      </c>
      <c r="D4" t="s">
        <v>23</v>
      </c>
      <c r="E4" t="s">
        <v>14</v>
      </c>
      <c r="F4" t="s">
        <v>15</v>
      </c>
      <c r="G4" t="s">
        <v>16</v>
      </c>
      <c r="H4" s="12">
        <v>85000</v>
      </c>
      <c r="I4">
        <v>2</v>
      </c>
      <c r="J4" t="s">
        <v>24</v>
      </c>
      <c r="K4" s="12">
        <f t="shared" si="0"/>
        <v>68000</v>
      </c>
      <c r="L4" s="12">
        <f>Sales_Data[[#This Row],[Unit Price]]*Sales_Data[[#This Row],[Quantity]]</f>
        <v>170000</v>
      </c>
      <c r="M4" s="12">
        <f>Sales_Data[[#This Row],[Cost Price]]*Sales_Data[[#This Row],[Quantity]]</f>
        <v>136000</v>
      </c>
      <c r="N4" s="12">
        <f>Sales_Data[[#This Row],[Revenue]]-Sales_Data[[#This Row],[COGS]]</f>
        <v>34000</v>
      </c>
    </row>
    <row r="5" spans="1:18">
      <c r="A5" s="1">
        <v>45679</v>
      </c>
      <c r="B5" t="s">
        <v>25</v>
      </c>
      <c r="C5" t="s">
        <v>26</v>
      </c>
      <c r="D5" t="s">
        <v>13</v>
      </c>
      <c r="E5" t="s">
        <v>14</v>
      </c>
      <c r="F5" t="s">
        <v>27</v>
      </c>
      <c r="G5" t="s">
        <v>22</v>
      </c>
      <c r="H5" s="12">
        <v>60000</v>
      </c>
      <c r="I5">
        <v>2</v>
      </c>
      <c r="J5" t="s">
        <v>28</v>
      </c>
      <c r="K5" s="12">
        <f t="shared" si="0"/>
        <v>48000</v>
      </c>
      <c r="L5" s="12">
        <f>Sales_Data[[#This Row],[Unit Price]]*Sales_Data[[#This Row],[Quantity]]</f>
        <v>120000</v>
      </c>
      <c r="M5" s="12">
        <f>Sales_Data[[#This Row],[Cost Price]]*Sales_Data[[#This Row],[Quantity]]</f>
        <v>96000</v>
      </c>
      <c r="N5" s="12">
        <f>Sales_Data[[#This Row],[Revenue]]-Sales_Data[[#This Row],[COGS]]</f>
        <v>24000</v>
      </c>
    </row>
    <row r="6" spans="1:18">
      <c r="A6" s="1">
        <v>45680</v>
      </c>
      <c r="B6" t="s">
        <v>29</v>
      </c>
      <c r="C6" t="s">
        <v>26</v>
      </c>
      <c r="D6" t="s">
        <v>23</v>
      </c>
      <c r="E6" t="s">
        <v>14</v>
      </c>
      <c r="F6" t="s">
        <v>30</v>
      </c>
      <c r="G6" t="s">
        <v>31</v>
      </c>
      <c r="H6" s="12">
        <v>300000</v>
      </c>
      <c r="I6">
        <v>2</v>
      </c>
      <c r="J6" t="s">
        <v>17</v>
      </c>
      <c r="K6" s="12">
        <f t="shared" si="0"/>
        <v>240000</v>
      </c>
      <c r="L6" s="12">
        <f>Sales_Data[[#This Row],[Unit Price]]*Sales_Data[[#This Row],[Quantity]]</f>
        <v>600000</v>
      </c>
      <c r="M6" s="12">
        <f>Sales_Data[[#This Row],[Cost Price]]*Sales_Data[[#This Row],[Quantity]]</f>
        <v>480000</v>
      </c>
      <c r="N6" s="12">
        <f>Sales_Data[[#This Row],[Revenue]]-Sales_Data[[#This Row],[COGS]]</f>
        <v>120000</v>
      </c>
    </row>
    <row r="7" spans="1:18">
      <c r="A7" s="1">
        <v>45681</v>
      </c>
      <c r="B7" t="s">
        <v>25</v>
      </c>
      <c r="C7" t="s">
        <v>32</v>
      </c>
      <c r="D7" t="s">
        <v>13</v>
      </c>
      <c r="E7" t="s">
        <v>14</v>
      </c>
      <c r="F7" t="s">
        <v>33</v>
      </c>
      <c r="G7" t="s">
        <v>22</v>
      </c>
      <c r="H7" s="12">
        <v>180000</v>
      </c>
      <c r="I7">
        <v>10</v>
      </c>
      <c r="J7" t="s">
        <v>17</v>
      </c>
      <c r="K7" s="12">
        <f t="shared" si="0"/>
        <v>144000</v>
      </c>
      <c r="L7" s="12">
        <f>Sales_Data[[#This Row],[Unit Price]]*Sales_Data[[#This Row],[Quantity]]</f>
        <v>1800000</v>
      </c>
      <c r="M7" s="12">
        <f>Sales_Data[[#This Row],[Cost Price]]*Sales_Data[[#This Row],[Quantity]]</f>
        <v>1440000</v>
      </c>
      <c r="N7" s="12">
        <f>Sales_Data[[#This Row],[Revenue]]-Sales_Data[[#This Row],[COGS]]</f>
        <v>360000</v>
      </c>
    </row>
    <row r="8" spans="1:18">
      <c r="A8" s="1">
        <v>45682</v>
      </c>
      <c r="B8" t="s">
        <v>25</v>
      </c>
      <c r="C8" t="s">
        <v>32</v>
      </c>
      <c r="D8" t="s">
        <v>23</v>
      </c>
      <c r="E8" t="s">
        <v>14</v>
      </c>
      <c r="F8" t="s">
        <v>34</v>
      </c>
      <c r="G8" t="s">
        <v>16</v>
      </c>
      <c r="H8" s="12">
        <v>320000</v>
      </c>
      <c r="I8">
        <v>4</v>
      </c>
      <c r="J8" t="s">
        <v>28</v>
      </c>
      <c r="K8" s="12">
        <f t="shared" si="0"/>
        <v>256000</v>
      </c>
      <c r="L8" s="12">
        <f>Sales_Data[[#This Row],[Unit Price]]*Sales_Data[[#This Row],[Quantity]]</f>
        <v>1280000</v>
      </c>
      <c r="M8" s="12">
        <f>Sales_Data[[#This Row],[Cost Price]]*Sales_Data[[#This Row],[Quantity]]</f>
        <v>1024000</v>
      </c>
      <c r="N8" s="12">
        <f>Sales_Data[[#This Row],[Revenue]]-Sales_Data[[#This Row],[COGS]]</f>
        <v>256000</v>
      </c>
    </row>
    <row r="9" spans="1:18">
      <c r="A9" s="1">
        <v>45683</v>
      </c>
      <c r="B9" t="s">
        <v>25</v>
      </c>
      <c r="C9" t="s">
        <v>26</v>
      </c>
      <c r="D9" t="s">
        <v>13</v>
      </c>
      <c r="E9" t="s">
        <v>14</v>
      </c>
      <c r="F9" t="s">
        <v>34</v>
      </c>
      <c r="G9" t="s">
        <v>16</v>
      </c>
      <c r="H9" s="12">
        <v>320000</v>
      </c>
      <c r="I9">
        <v>1</v>
      </c>
      <c r="J9" t="s">
        <v>35</v>
      </c>
      <c r="K9" s="12">
        <f t="shared" si="0"/>
        <v>256000</v>
      </c>
      <c r="L9" s="12">
        <f>Sales_Data[[#This Row],[Unit Price]]*Sales_Data[[#This Row],[Quantity]]</f>
        <v>320000</v>
      </c>
      <c r="M9" s="12">
        <f>Sales_Data[[#This Row],[Cost Price]]*Sales_Data[[#This Row],[Quantity]]</f>
        <v>256000</v>
      </c>
      <c r="N9" s="12">
        <f>Sales_Data[[#This Row],[Revenue]]-Sales_Data[[#This Row],[COGS]]</f>
        <v>64000</v>
      </c>
    </row>
    <row r="10" spans="1:18">
      <c r="A10" s="1">
        <v>45684</v>
      </c>
      <c r="B10" t="s">
        <v>18</v>
      </c>
      <c r="C10" t="s">
        <v>19</v>
      </c>
      <c r="D10" t="s">
        <v>13</v>
      </c>
      <c r="E10" t="s">
        <v>20</v>
      </c>
      <c r="F10" t="s">
        <v>34</v>
      </c>
      <c r="G10" t="s">
        <v>16</v>
      </c>
      <c r="H10" s="12">
        <v>320000</v>
      </c>
      <c r="I10">
        <v>9</v>
      </c>
      <c r="J10" t="s">
        <v>28</v>
      </c>
      <c r="K10" s="12">
        <f t="shared" si="0"/>
        <v>256000</v>
      </c>
      <c r="L10" s="12">
        <f>Sales_Data[[#This Row],[Unit Price]]*Sales_Data[[#This Row],[Quantity]]</f>
        <v>2880000</v>
      </c>
      <c r="M10" s="12">
        <f>Sales_Data[[#This Row],[Cost Price]]*Sales_Data[[#This Row],[Quantity]]</f>
        <v>2304000</v>
      </c>
      <c r="N10" s="12">
        <f>Sales_Data[[#This Row],[Revenue]]-Sales_Data[[#This Row],[COGS]]</f>
        <v>576000</v>
      </c>
    </row>
    <row r="11" spans="1:18">
      <c r="A11" s="1">
        <v>45685</v>
      </c>
      <c r="B11" t="s">
        <v>25</v>
      </c>
      <c r="C11" t="s">
        <v>19</v>
      </c>
      <c r="D11" t="s">
        <v>13</v>
      </c>
      <c r="E11" t="s">
        <v>14</v>
      </c>
      <c r="F11" t="s">
        <v>34</v>
      </c>
      <c r="G11" t="s">
        <v>16</v>
      </c>
      <c r="H11" s="12">
        <v>320000</v>
      </c>
      <c r="I11">
        <v>3</v>
      </c>
      <c r="J11" t="s">
        <v>28</v>
      </c>
      <c r="K11" s="12">
        <f t="shared" si="0"/>
        <v>256000</v>
      </c>
      <c r="L11" s="12">
        <f>Sales_Data[[#This Row],[Unit Price]]*Sales_Data[[#This Row],[Quantity]]</f>
        <v>960000</v>
      </c>
      <c r="M11" s="12">
        <f>Sales_Data[[#This Row],[Cost Price]]*Sales_Data[[#This Row],[Quantity]]</f>
        <v>768000</v>
      </c>
      <c r="N11" s="12">
        <f>Sales_Data[[#This Row],[Revenue]]-Sales_Data[[#This Row],[COGS]]</f>
        <v>192000</v>
      </c>
    </row>
    <row r="12" spans="1:18">
      <c r="A12" s="1">
        <v>45686</v>
      </c>
      <c r="B12" t="s">
        <v>25</v>
      </c>
      <c r="C12" t="s">
        <v>12</v>
      </c>
      <c r="D12" t="s">
        <v>13</v>
      </c>
      <c r="E12" t="s">
        <v>14</v>
      </c>
      <c r="F12" t="s">
        <v>36</v>
      </c>
      <c r="G12" t="s">
        <v>31</v>
      </c>
      <c r="H12" s="12">
        <v>150000</v>
      </c>
      <c r="I12">
        <v>4</v>
      </c>
      <c r="J12" t="s">
        <v>35</v>
      </c>
      <c r="K12" s="12">
        <f t="shared" si="0"/>
        <v>120000</v>
      </c>
      <c r="L12" s="12">
        <f>Sales_Data[[#This Row],[Unit Price]]*Sales_Data[[#This Row],[Quantity]]</f>
        <v>600000</v>
      </c>
      <c r="M12" s="12">
        <f>Sales_Data[[#This Row],[Cost Price]]*Sales_Data[[#This Row],[Quantity]]</f>
        <v>480000</v>
      </c>
      <c r="N12" s="12">
        <f>Sales_Data[[#This Row],[Revenue]]-Sales_Data[[#This Row],[COGS]]</f>
        <v>120000</v>
      </c>
    </row>
    <row r="13" spans="1:18">
      <c r="A13" s="1">
        <v>45687</v>
      </c>
      <c r="B13" t="s">
        <v>11</v>
      </c>
      <c r="C13" t="s">
        <v>26</v>
      </c>
      <c r="D13" t="s">
        <v>23</v>
      </c>
      <c r="E13" t="s">
        <v>14</v>
      </c>
      <c r="F13" t="s">
        <v>34</v>
      </c>
      <c r="G13" t="s">
        <v>16</v>
      </c>
      <c r="H13" s="12">
        <v>320000</v>
      </c>
      <c r="I13">
        <v>7</v>
      </c>
      <c r="J13" t="s">
        <v>35</v>
      </c>
      <c r="K13" s="12">
        <f t="shared" si="0"/>
        <v>256000</v>
      </c>
      <c r="L13" s="12">
        <f>Sales_Data[[#This Row],[Unit Price]]*Sales_Data[[#This Row],[Quantity]]</f>
        <v>2240000</v>
      </c>
      <c r="M13" s="12">
        <f>Sales_Data[[#This Row],[Cost Price]]*Sales_Data[[#This Row],[Quantity]]</f>
        <v>1792000</v>
      </c>
      <c r="N13" s="12">
        <f>Sales_Data[[#This Row],[Revenue]]-Sales_Data[[#This Row],[COGS]]</f>
        <v>448000</v>
      </c>
    </row>
    <row r="14" spans="1:18">
      <c r="A14" s="1">
        <v>45688</v>
      </c>
      <c r="B14" t="s">
        <v>25</v>
      </c>
      <c r="C14" t="s">
        <v>12</v>
      </c>
      <c r="D14" t="s">
        <v>13</v>
      </c>
      <c r="E14" t="s">
        <v>20</v>
      </c>
      <c r="F14" t="s">
        <v>36</v>
      </c>
      <c r="G14" t="s">
        <v>31</v>
      </c>
      <c r="H14" s="12">
        <v>150000</v>
      </c>
      <c r="I14">
        <v>2</v>
      </c>
      <c r="J14" t="s">
        <v>37</v>
      </c>
      <c r="K14" s="12">
        <f t="shared" si="0"/>
        <v>120000</v>
      </c>
      <c r="L14" s="12">
        <f>Sales_Data[[#This Row],[Unit Price]]*Sales_Data[[#This Row],[Quantity]]</f>
        <v>300000</v>
      </c>
      <c r="M14" s="12">
        <f>Sales_Data[[#This Row],[Cost Price]]*Sales_Data[[#This Row],[Quantity]]</f>
        <v>240000</v>
      </c>
      <c r="N14" s="12">
        <f>Sales_Data[[#This Row],[Revenue]]-Sales_Data[[#This Row],[COGS]]</f>
        <v>60000</v>
      </c>
    </row>
    <row r="15" spans="1:18">
      <c r="A15" s="1">
        <v>45689</v>
      </c>
      <c r="B15" t="s">
        <v>11</v>
      </c>
      <c r="C15" t="s">
        <v>19</v>
      </c>
      <c r="D15" t="s">
        <v>13</v>
      </c>
      <c r="E15" t="s">
        <v>14</v>
      </c>
      <c r="F15" t="s">
        <v>38</v>
      </c>
      <c r="G15" t="s">
        <v>31</v>
      </c>
      <c r="H15" s="12">
        <v>420000</v>
      </c>
      <c r="I15">
        <v>9</v>
      </c>
      <c r="J15" t="s">
        <v>28</v>
      </c>
      <c r="K15" s="12">
        <f t="shared" si="0"/>
        <v>336000</v>
      </c>
      <c r="L15" s="12">
        <f>Sales_Data[[#This Row],[Unit Price]]*Sales_Data[[#This Row],[Quantity]]</f>
        <v>3780000</v>
      </c>
      <c r="M15" s="12">
        <f>Sales_Data[[#This Row],[Cost Price]]*Sales_Data[[#This Row],[Quantity]]</f>
        <v>3024000</v>
      </c>
      <c r="N15" s="12">
        <f>Sales_Data[[#This Row],[Revenue]]-Sales_Data[[#This Row],[COGS]]</f>
        <v>756000</v>
      </c>
    </row>
    <row r="16" spans="1:18">
      <c r="A16" s="1">
        <v>45690</v>
      </c>
      <c r="B16" t="s">
        <v>29</v>
      </c>
      <c r="C16" t="s">
        <v>19</v>
      </c>
      <c r="D16" t="s">
        <v>13</v>
      </c>
      <c r="E16" t="s">
        <v>14</v>
      </c>
      <c r="F16" t="s">
        <v>38</v>
      </c>
      <c r="G16" t="s">
        <v>31</v>
      </c>
      <c r="H16" s="12">
        <v>420000</v>
      </c>
      <c r="I16">
        <v>5</v>
      </c>
      <c r="J16" t="s">
        <v>39</v>
      </c>
      <c r="K16" s="12">
        <f t="shared" si="0"/>
        <v>336000</v>
      </c>
      <c r="L16" s="12">
        <f>Sales_Data[[#This Row],[Unit Price]]*Sales_Data[[#This Row],[Quantity]]</f>
        <v>2100000</v>
      </c>
      <c r="M16" s="12">
        <f>Sales_Data[[#This Row],[Cost Price]]*Sales_Data[[#This Row],[Quantity]]</f>
        <v>1680000</v>
      </c>
      <c r="N16" s="12">
        <f>Sales_Data[[#This Row],[Revenue]]-Sales_Data[[#This Row],[COGS]]</f>
        <v>420000</v>
      </c>
    </row>
    <row r="17" spans="1:14">
      <c r="A17" s="1">
        <v>45691</v>
      </c>
      <c r="B17" t="s">
        <v>11</v>
      </c>
      <c r="C17" t="s">
        <v>26</v>
      </c>
      <c r="D17" t="s">
        <v>23</v>
      </c>
      <c r="E17" t="s">
        <v>20</v>
      </c>
      <c r="F17" t="s">
        <v>40</v>
      </c>
      <c r="G17" t="s">
        <v>31</v>
      </c>
      <c r="H17" s="12">
        <v>250000</v>
      </c>
      <c r="I17">
        <v>4</v>
      </c>
      <c r="J17" t="s">
        <v>35</v>
      </c>
      <c r="K17" s="12">
        <f t="shared" si="0"/>
        <v>200000</v>
      </c>
      <c r="L17" s="12">
        <f>Sales_Data[[#This Row],[Unit Price]]*Sales_Data[[#This Row],[Quantity]]</f>
        <v>1000000</v>
      </c>
      <c r="M17" s="12">
        <f>Sales_Data[[#This Row],[Cost Price]]*Sales_Data[[#This Row],[Quantity]]</f>
        <v>800000</v>
      </c>
      <c r="N17" s="12">
        <f>Sales_Data[[#This Row],[Revenue]]-Sales_Data[[#This Row],[COGS]]</f>
        <v>200000</v>
      </c>
    </row>
    <row r="18" spans="1:14">
      <c r="A18" s="1">
        <v>45692</v>
      </c>
      <c r="B18" t="s">
        <v>11</v>
      </c>
      <c r="C18" t="s">
        <v>19</v>
      </c>
      <c r="D18" t="s">
        <v>13</v>
      </c>
      <c r="E18" t="s">
        <v>14</v>
      </c>
      <c r="F18" t="s">
        <v>41</v>
      </c>
      <c r="G18" t="s">
        <v>22</v>
      </c>
      <c r="H18" s="12">
        <v>220000</v>
      </c>
      <c r="I18">
        <v>2</v>
      </c>
      <c r="J18" t="s">
        <v>35</v>
      </c>
      <c r="K18" s="12">
        <f t="shared" si="0"/>
        <v>176000</v>
      </c>
      <c r="L18" s="12">
        <f>Sales_Data[[#This Row],[Unit Price]]*Sales_Data[[#This Row],[Quantity]]</f>
        <v>440000</v>
      </c>
      <c r="M18" s="12">
        <f>Sales_Data[[#This Row],[Cost Price]]*Sales_Data[[#This Row],[Quantity]]</f>
        <v>352000</v>
      </c>
      <c r="N18" s="12">
        <f>Sales_Data[[#This Row],[Revenue]]-Sales_Data[[#This Row],[COGS]]</f>
        <v>88000</v>
      </c>
    </row>
    <row r="19" spans="1:14">
      <c r="A19" s="1">
        <v>45693</v>
      </c>
      <c r="B19" t="s">
        <v>18</v>
      </c>
      <c r="C19" t="s">
        <v>26</v>
      </c>
      <c r="D19" t="s">
        <v>13</v>
      </c>
      <c r="E19" t="s">
        <v>20</v>
      </c>
      <c r="F19" t="s">
        <v>36</v>
      </c>
      <c r="G19" t="s">
        <v>31</v>
      </c>
      <c r="H19" s="12">
        <v>150000</v>
      </c>
      <c r="I19">
        <v>7</v>
      </c>
      <c r="J19" t="s">
        <v>28</v>
      </c>
      <c r="K19" s="12">
        <f t="shared" si="0"/>
        <v>120000</v>
      </c>
      <c r="L19" s="12">
        <f>Sales_Data[[#This Row],[Unit Price]]*Sales_Data[[#This Row],[Quantity]]</f>
        <v>1050000</v>
      </c>
      <c r="M19" s="12">
        <f>Sales_Data[[#This Row],[Cost Price]]*Sales_Data[[#This Row],[Quantity]]</f>
        <v>840000</v>
      </c>
      <c r="N19" s="12">
        <f>Sales_Data[[#This Row],[Revenue]]-Sales_Data[[#This Row],[COGS]]</f>
        <v>210000</v>
      </c>
    </row>
    <row r="20" spans="1:14">
      <c r="A20" s="1">
        <v>45694</v>
      </c>
      <c r="B20" t="s">
        <v>25</v>
      </c>
      <c r="C20" t="s">
        <v>32</v>
      </c>
      <c r="D20" t="s">
        <v>23</v>
      </c>
      <c r="E20" t="s">
        <v>20</v>
      </c>
      <c r="F20" t="s">
        <v>30</v>
      </c>
      <c r="G20" t="s">
        <v>31</v>
      </c>
      <c r="H20" s="12">
        <v>300000</v>
      </c>
      <c r="I20">
        <v>5</v>
      </c>
      <c r="J20" t="s">
        <v>35</v>
      </c>
      <c r="K20" s="12">
        <f t="shared" si="0"/>
        <v>240000</v>
      </c>
      <c r="L20" s="12">
        <f>Sales_Data[[#This Row],[Unit Price]]*Sales_Data[[#This Row],[Quantity]]</f>
        <v>1500000</v>
      </c>
      <c r="M20" s="12">
        <f>Sales_Data[[#This Row],[Cost Price]]*Sales_Data[[#This Row],[Quantity]]</f>
        <v>1200000</v>
      </c>
      <c r="N20" s="12">
        <f>Sales_Data[[#This Row],[Revenue]]-Sales_Data[[#This Row],[COGS]]</f>
        <v>300000</v>
      </c>
    </row>
    <row r="21" spans="1:14">
      <c r="A21" s="1">
        <v>45695</v>
      </c>
      <c r="B21" t="s">
        <v>29</v>
      </c>
      <c r="C21" t="s">
        <v>26</v>
      </c>
      <c r="D21" t="s">
        <v>13</v>
      </c>
      <c r="E21" t="s">
        <v>14</v>
      </c>
      <c r="F21" t="s">
        <v>36</v>
      </c>
      <c r="G21" t="s">
        <v>31</v>
      </c>
      <c r="H21" s="12">
        <v>150000</v>
      </c>
      <c r="I21">
        <v>4</v>
      </c>
      <c r="J21" t="s">
        <v>35</v>
      </c>
      <c r="K21" s="12">
        <f t="shared" si="0"/>
        <v>120000</v>
      </c>
      <c r="L21" s="12">
        <f>Sales_Data[[#This Row],[Unit Price]]*Sales_Data[[#This Row],[Quantity]]</f>
        <v>600000</v>
      </c>
      <c r="M21" s="12">
        <f>Sales_Data[[#This Row],[Cost Price]]*Sales_Data[[#This Row],[Quantity]]</f>
        <v>480000</v>
      </c>
      <c r="N21" s="12">
        <f>Sales_Data[[#This Row],[Revenue]]-Sales_Data[[#This Row],[COGS]]</f>
        <v>120000</v>
      </c>
    </row>
    <row r="22" spans="1:14">
      <c r="A22" s="1">
        <v>45696</v>
      </c>
      <c r="B22" t="s">
        <v>29</v>
      </c>
      <c r="C22" t="s">
        <v>26</v>
      </c>
      <c r="D22" t="s">
        <v>23</v>
      </c>
      <c r="E22" t="s">
        <v>20</v>
      </c>
      <c r="F22" t="s">
        <v>15</v>
      </c>
      <c r="G22" t="s">
        <v>16</v>
      </c>
      <c r="H22" s="12">
        <v>85000</v>
      </c>
      <c r="I22">
        <v>1</v>
      </c>
      <c r="J22" t="s">
        <v>39</v>
      </c>
      <c r="K22" s="12">
        <f t="shared" si="0"/>
        <v>68000</v>
      </c>
      <c r="L22" s="12">
        <f>Sales_Data[[#This Row],[Unit Price]]*Sales_Data[[#This Row],[Quantity]]</f>
        <v>85000</v>
      </c>
      <c r="M22" s="12">
        <f>Sales_Data[[#This Row],[Cost Price]]*Sales_Data[[#This Row],[Quantity]]</f>
        <v>68000</v>
      </c>
      <c r="N22" s="12">
        <f>Sales_Data[[#This Row],[Revenue]]-Sales_Data[[#This Row],[COGS]]</f>
        <v>17000</v>
      </c>
    </row>
    <row r="23" spans="1:14">
      <c r="A23" s="1">
        <v>45697</v>
      </c>
      <c r="B23" t="s">
        <v>18</v>
      </c>
      <c r="C23" t="s">
        <v>12</v>
      </c>
      <c r="D23" t="s">
        <v>13</v>
      </c>
      <c r="E23" t="s">
        <v>20</v>
      </c>
      <c r="F23" t="s">
        <v>15</v>
      </c>
      <c r="G23" t="s">
        <v>16</v>
      </c>
      <c r="H23" s="12">
        <v>85000</v>
      </c>
      <c r="I23">
        <v>9</v>
      </c>
      <c r="J23" t="s">
        <v>24</v>
      </c>
      <c r="K23" s="12">
        <f t="shared" si="0"/>
        <v>68000</v>
      </c>
      <c r="L23" s="12">
        <f>Sales_Data[[#This Row],[Unit Price]]*Sales_Data[[#This Row],[Quantity]]</f>
        <v>765000</v>
      </c>
      <c r="M23" s="12">
        <f>Sales_Data[[#This Row],[Cost Price]]*Sales_Data[[#This Row],[Quantity]]</f>
        <v>612000</v>
      </c>
      <c r="N23" s="12">
        <f>Sales_Data[[#This Row],[Revenue]]-Sales_Data[[#This Row],[COGS]]</f>
        <v>153000</v>
      </c>
    </row>
    <row r="24" spans="1:14">
      <c r="A24" s="1">
        <v>45698</v>
      </c>
      <c r="B24" t="s">
        <v>18</v>
      </c>
      <c r="C24" t="s">
        <v>19</v>
      </c>
      <c r="D24" t="s">
        <v>13</v>
      </c>
      <c r="E24" t="s">
        <v>20</v>
      </c>
      <c r="F24" t="s">
        <v>38</v>
      </c>
      <c r="G24" t="s">
        <v>31</v>
      </c>
      <c r="H24" s="12">
        <v>420000</v>
      </c>
      <c r="I24">
        <v>8</v>
      </c>
      <c r="J24" t="s">
        <v>39</v>
      </c>
      <c r="K24" s="12">
        <f t="shared" si="0"/>
        <v>336000</v>
      </c>
      <c r="L24" s="12">
        <f>Sales_Data[[#This Row],[Unit Price]]*Sales_Data[[#This Row],[Quantity]]</f>
        <v>3360000</v>
      </c>
      <c r="M24" s="12">
        <f>Sales_Data[[#This Row],[Cost Price]]*Sales_Data[[#This Row],[Quantity]]</f>
        <v>2688000</v>
      </c>
      <c r="N24" s="12">
        <f>Sales_Data[[#This Row],[Revenue]]-Sales_Data[[#This Row],[COGS]]</f>
        <v>672000</v>
      </c>
    </row>
    <row r="25" spans="1:14">
      <c r="A25" s="1">
        <v>45699</v>
      </c>
      <c r="B25" t="s">
        <v>29</v>
      </c>
      <c r="C25" t="s">
        <v>19</v>
      </c>
      <c r="D25" t="s">
        <v>23</v>
      </c>
      <c r="E25" t="s">
        <v>14</v>
      </c>
      <c r="F25" t="s">
        <v>38</v>
      </c>
      <c r="G25" t="s">
        <v>31</v>
      </c>
      <c r="H25" s="12">
        <v>420000</v>
      </c>
      <c r="I25">
        <v>10</v>
      </c>
      <c r="J25" t="s">
        <v>39</v>
      </c>
      <c r="K25" s="12">
        <f t="shared" si="0"/>
        <v>336000</v>
      </c>
      <c r="L25" s="12">
        <f>Sales_Data[[#This Row],[Unit Price]]*Sales_Data[[#This Row],[Quantity]]</f>
        <v>4200000</v>
      </c>
      <c r="M25" s="12">
        <f>Sales_Data[[#This Row],[Cost Price]]*Sales_Data[[#This Row],[Quantity]]</f>
        <v>3360000</v>
      </c>
      <c r="N25" s="12">
        <f>Sales_Data[[#This Row],[Revenue]]-Sales_Data[[#This Row],[COGS]]</f>
        <v>840000</v>
      </c>
    </row>
    <row r="26" spans="1:14">
      <c r="A26" s="1">
        <v>45700</v>
      </c>
      <c r="B26" t="s">
        <v>18</v>
      </c>
      <c r="C26" t="s">
        <v>12</v>
      </c>
      <c r="D26" t="s">
        <v>13</v>
      </c>
      <c r="E26" t="s">
        <v>20</v>
      </c>
      <c r="F26" t="s">
        <v>40</v>
      </c>
      <c r="G26" t="s">
        <v>31</v>
      </c>
      <c r="H26" s="12">
        <v>250000</v>
      </c>
      <c r="I26">
        <v>5</v>
      </c>
      <c r="J26" t="s">
        <v>37</v>
      </c>
      <c r="K26" s="12">
        <f t="shared" si="0"/>
        <v>200000</v>
      </c>
      <c r="L26" s="12">
        <f>Sales_Data[[#This Row],[Unit Price]]*Sales_Data[[#This Row],[Quantity]]</f>
        <v>1250000</v>
      </c>
      <c r="M26" s="12">
        <f>Sales_Data[[#This Row],[Cost Price]]*Sales_Data[[#This Row],[Quantity]]</f>
        <v>1000000</v>
      </c>
      <c r="N26" s="12">
        <f>Sales_Data[[#This Row],[Revenue]]-Sales_Data[[#This Row],[COGS]]</f>
        <v>250000</v>
      </c>
    </row>
    <row r="27" spans="1:14">
      <c r="A27" s="1">
        <v>45701</v>
      </c>
      <c r="B27" t="s">
        <v>29</v>
      </c>
      <c r="C27" t="s">
        <v>19</v>
      </c>
      <c r="D27" t="s">
        <v>23</v>
      </c>
      <c r="E27" t="s">
        <v>20</v>
      </c>
      <c r="F27" t="s">
        <v>41</v>
      </c>
      <c r="G27" t="s">
        <v>22</v>
      </c>
      <c r="H27" s="12">
        <v>220000</v>
      </c>
      <c r="I27">
        <v>4</v>
      </c>
      <c r="J27" t="s">
        <v>39</v>
      </c>
      <c r="K27" s="12">
        <f t="shared" si="0"/>
        <v>176000</v>
      </c>
      <c r="L27" s="12">
        <f>Sales_Data[[#This Row],[Unit Price]]*Sales_Data[[#This Row],[Quantity]]</f>
        <v>880000</v>
      </c>
      <c r="M27" s="12">
        <f>Sales_Data[[#This Row],[Cost Price]]*Sales_Data[[#This Row],[Quantity]]</f>
        <v>704000</v>
      </c>
      <c r="N27" s="12">
        <f>Sales_Data[[#This Row],[Revenue]]-Sales_Data[[#This Row],[COGS]]</f>
        <v>176000</v>
      </c>
    </row>
    <row r="28" spans="1:14">
      <c r="A28" s="1">
        <v>45702</v>
      </c>
      <c r="B28" t="s">
        <v>11</v>
      </c>
      <c r="C28" t="s">
        <v>32</v>
      </c>
      <c r="D28" t="s">
        <v>23</v>
      </c>
      <c r="E28" t="s">
        <v>14</v>
      </c>
      <c r="F28" t="s">
        <v>36</v>
      </c>
      <c r="G28" t="s">
        <v>31</v>
      </c>
      <c r="H28" s="12">
        <v>150000</v>
      </c>
      <c r="I28">
        <v>7</v>
      </c>
      <c r="J28" t="s">
        <v>28</v>
      </c>
      <c r="K28" s="12">
        <f t="shared" si="0"/>
        <v>120000</v>
      </c>
      <c r="L28" s="12">
        <f>Sales_Data[[#This Row],[Unit Price]]*Sales_Data[[#This Row],[Quantity]]</f>
        <v>1050000</v>
      </c>
      <c r="M28" s="12">
        <f>Sales_Data[[#This Row],[Cost Price]]*Sales_Data[[#This Row],[Quantity]]</f>
        <v>840000</v>
      </c>
      <c r="N28" s="12">
        <f>Sales_Data[[#This Row],[Revenue]]-Sales_Data[[#This Row],[COGS]]</f>
        <v>210000</v>
      </c>
    </row>
    <row r="29" spans="1:14">
      <c r="A29" s="1">
        <v>45703</v>
      </c>
      <c r="B29" t="s">
        <v>25</v>
      </c>
      <c r="C29" t="s">
        <v>26</v>
      </c>
      <c r="D29" t="s">
        <v>13</v>
      </c>
      <c r="E29" t="s">
        <v>14</v>
      </c>
      <c r="F29" t="s">
        <v>15</v>
      </c>
      <c r="G29" t="s">
        <v>16</v>
      </c>
      <c r="H29" s="12">
        <v>85000</v>
      </c>
      <c r="I29">
        <v>3</v>
      </c>
      <c r="J29" t="s">
        <v>35</v>
      </c>
      <c r="K29" s="12">
        <f t="shared" si="0"/>
        <v>68000</v>
      </c>
      <c r="L29" s="12">
        <f>Sales_Data[[#This Row],[Unit Price]]*Sales_Data[[#This Row],[Quantity]]</f>
        <v>255000</v>
      </c>
      <c r="M29" s="12">
        <f>Sales_Data[[#This Row],[Cost Price]]*Sales_Data[[#This Row],[Quantity]]</f>
        <v>204000</v>
      </c>
      <c r="N29" s="12">
        <f>Sales_Data[[#This Row],[Revenue]]-Sales_Data[[#This Row],[COGS]]</f>
        <v>51000</v>
      </c>
    </row>
    <row r="30" spans="1:14">
      <c r="A30" s="1">
        <v>45704</v>
      </c>
      <c r="B30" t="s">
        <v>18</v>
      </c>
      <c r="C30" t="s">
        <v>12</v>
      </c>
      <c r="D30" t="s">
        <v>13</v>
      </c>
      <c r="E30" t="s">
        <v>20</v>
      </c>
      <c r="F30" t="s">
        <v>30</v>
      </c>
      <c r="G30" t="s">
        <v>31</v>
      </c>
      <c r="H30" s="12">
        <v>300000</v>
      </c>
      <c r="I30">
        <v>8</v>
      </c>
      <c r="J30" t="s">
        <v>39</v>
      </c>
      <c r="K30" s="12">
        <f t="shared" si="0"/>
        <v>240000</v>
      </c>
      <c r="L30" s="12">
        <f>Sales_Data[[#This Row],[Unit Price]]*Sales_Data[[#This Row],[Quantity]]</f>
        <v>2400000</v>
      </c>
      <c r="M30" s="12">
        <f>Sales_Data[[#This Row],[Cost Price]]*Sales_Data[[#This Row],[Quantity]]</f>
        <v>1920000</v>
      </c>
      <c r="N30" s="12">
        <f>Sales_Data[[#This Row],[Revenue]]-Sales_Data[[#This Row],[COGS]]</f>
        <v>480000</v>
      </c>
    </row>
    <row r="31" spans="1:14">
      <c r="A31" s="1">
        <v>45705</v>
      </c>
      <c r="B31" t="s">
        <v>11</v>
      </c>
      <c r="C31" t="s">
        <v>19</v>
      </c>
      <c r="D31" t="s">
        <v>23</v>
      </c>
      <c r="E31" t="s">
        <v>14</v>
      </c>
      <c r="F31" t="s">
        <v>41</v>
      </c>
      <c r="G31" t="s">
        <v>22</v>
      </c>
      <c r="H31" s="12">
        <v>220000</v>
      </c>
      <c r="I31">
        <v>1</v>
      </c>
      <c r="J31" t="s">
        <v>24</v>
      </c>
      <c r="K31" s="12">
        <f t="shared" si="0"/>
        <v>176000</v>
      </c>
      <c r="L31" s="12">
        <f>Sales_Data[[#This Row],[Unit Price]]*Sales_Data[[#This Row],[Quantity]]</f>
        <v>220000</v>
      </c>
      <c r="M31" s="12">
        <f>Sales_Data[[#This Row],[Cost Price]]*Sales_Data[[#This Row],[Quantity]]</f>
        <v>176000</v>
      </c>
      <c r="N31" s="12">
        <f>Sales_Data[[#This Row],[Revenue]]-Sales_Data[[#This Row],[COGS]]</f>
        <v>44000</v>
      </c>
    </row>
    <row r="32" spans="1:14">
      <c r="A32" s="1">
        <v>45706</v>
      </c>
      <c r="B32" t="s">
        <v>25</v>
      </c>
      <c r="C32" t="s">
        <v>32</v>
      </c>
      <c r="D32" t="s">
        <v>23</v>
      </c>
      <c r="E32" t="s">
        <v>14</v>
      </c>
      <c r="F32" t="s">
        <v>34</v>
      </c>
      <c r="G32" t="s">
        <v>16</v>
      </c>
      <c r="H32" s="12">
        <v>320000</v>
      </c>
      <c r="I32">
        <v>7</v>
      </c>
      <c r="J32" t="s">
        <v>39</v>
      </c>
      <c r="K32" s="12">
        <f t="shared" si="0"/>
        <v>256000</v>
      </c>
      <c r="L32" s="12">
        <f>Sales_Data[[#This Row],[Unit Price]]*Sales_Data[[#This Row],[Quantity]]</f>
        <v>2240000</v>
      </c>
      <c r="M32" s="12">
        <f>Sales_Data[[#This Row],[Cost Price]]*Sales_Data[[#This Row],[Quantity]]</f>
        <v>1792000</v>
      </c>
      <c r="N32" s="12">
        <f>Sales_Data[[#This Row],[Revenue]]-Sales_Data[[#This Row],[COGS]]</f>
        <v>448000</v>
      </c>
    </row>
    <row r="33" spans="1:14">
      <c r="A33" s="1">
        <v>45707</v>
      </c>
      <c r="B33" t="s">
        <v>11</v>
      </c>
      <c r="C33" t="s">
        <v>32</v>
      </c>
      <c r="D33" t="s">
        <v>13</v>
      </c>
      <c r="E33" t="s">
        <v>20</v>
      </c>
      <c r="F33" t="s">
        <v>36</v>
      </c>
      <c r="G33" t="s">
        <v>31</v>
      </c>
      <c r="H33" s="12">
        <v>150000</v>
      </c>
      <c r="I33">
        <v>1</v>
      </c>
      <c r="J33" t="s">
        <v>17</v>
      </c>
      <c r="K33" s="12">
        <f t="shared" si="0"/>
        <v>120000</v>
      </c>
      <c r="L33" s="12">
        <f>Sales_Data[[#This Row],[Unit Price]]*Sales_Data[[#This Row],[Quantity]]</f>
        <v>150000</v>
      </c>
      <c r="M33" s="12">
        <f>Sales_Data[[#This Row],[Cost Price]]*Sales_Data[[#This Row],[Quantity]]</f>
        <v>120000</v>
      </c>
      <c r="N33" s="12">
        <f>Sales_Data[[#This Row],[Revenue]]-Sales_Data[[#This Row],[COGS]]</f>
        <v>30000</v>
      </c>
    </row>
    <row r="34" spans="1:14">
      <c r="A34" s="1">
        <v>45708</v>
      </c>
      <c r="B34" t="s">
        <v>18</v>
      </c>
      <c r="C34" t="s">
        <v>26</v>
      </c>
      <c r="D34" t="s">
        <v>13</v>
      </c>
      <c r="E34" t="s">
        <v>14</v>
      </c>
      <c r="F34" t="s">
        <v>33</v>
      </c>
      <c r="G34" t="s">
        <v>22</v>
      </c>
      <c r="H34" s="12">
        <v>180000</v>
      </c>
      <c r="I34">
        <v>9</v>
      </c>
      <c r="J34" t="s">
        <v>39</v>
      </c>
      <c r="K34" s="12">
        <f t="shared" si="0"/>
        <v>144000</v>
      </c>
      <c r="L34" s="12">
        <f>Sales_Data[[#This Row],[Unit Price]]*Sales_Data[[#This Row],[Quantity]]</f>
        <v>1620000</v>
      </c>
      <c r="M34" s="12">
        <f>Sales_Data[[#This Row],[Cost Price]]*Sales_Data[[#This Row],[Quantity]]</f>
        <v>1296000</v>
      </c>
      <c r="N34" s="12">
        <f>Sales_Data[[#This Row],[Revenue]]-Sales_Data[[#This Row],[COGS]]</f>
        <v>324000</v>
      </c>
    </row>
    <row r="35" spans="1:14">
      <c r="A35" s="1">
        <v>45709</v>
      </c>
      <c r="B35" t="s">
        <v>25</v>
      </c>
      <c r="C35" t="s">
        <v>26</v>
      </c>
      <c r="D35" t="s">
        <v>13</v>
      </c>
      <c r="E35" t="s">
        <v>14</v>
      </c>
      <c r="F35" t="s">
        <v>34</v>
      </c>
      <c r="G35" t="s">
        <v>16</v>
      </c>
      <c r="H35" s="12">
        <v>320000</v>
      </c>
      <c r="I35">
        <v>5</v>
      </c>
      <c r="J35" t="s">
        <v>39</v>
      </c>
      <c r="K35" s="12">
        <f t="shared" si="0"/>
        <v>256000</v>
      </c>
      <c r="L35" s="12">
        <f>Sales_Data[[#This Row],[Unit Price]]*Sales_Data[[#This Row],[Quantity]]</f>
        <v>1600000</v>
      </c>
      <c r="M35" s="12">
        <f>Sales_Data[[#This Row],[Cost Price]]*Sales_Data[[#This Row],[Quantity]]</f>
        <v>1280000</v>
      </c>
      <c r="N35" s="12">
        <f>Sales_Data[[#This Row],[Revenue]]-Sales_Data[[#This Row],[COGS]]</f>
        <v>320000</v>
      </c>
    </row>
    <row r="36" spans="1:14">
      <c r="A36" s="1">
        <v>45710</v>
      </c>
      <c r="B36" t="s">
        <v>25</v>
      </c>
      <c r="C36" t="s">
        <v>26</v>
      </c>
      <c r="D36" t="s">
        <v>23</v>
      </c>
      <c r="E36" t="s">
        <v>20</v>
      </c>
      <c r="F36" t="s">
        <v>36</v>
      </c>
      <c r="G36" t="s">
        <v>31</v>
      </c>
      <c r="H36" s="12">
        <v>150000</v>
      </c>
      <c r="I36">
        <v>8</v>
      </c>
      <c r="J36" t="s">
        <v>37</v>
      </c>
      <c r="K36" s="12">
        <f t="shared" si="0"/>
        <v>120000</v>
      </c>
      <c r="L36" s="12">
        <f>Sales_Data[[#This Row],[Unit Price]]*Sales_Data[[#This Row],[Quantity]]</f>
        <v>1200000</v>
      </c>
      <c r="M36" s="12">
        <f>Sales_Data[[#This Row],[Cost Price]]*Sales_Data[[#This Row],[Quantity]]</f>
        <v>960000</v>
      </c>
      <c r="N36" s="12">
        <f>Sales_Data[[#This Row],[Revenue]]-Sales_Data[[#This Row],[COGS]]</f>
        <v>240000</v>
      </c>
    </row>
    <row r="37" spans="1:14">
      <c r="A37" s="1">
        <v>45711</v>
      </c>
      <c r="B37" t="s">
        <v>11</v>
      </c>
      <c r="C37" t="s">
        <v>12</v>
      </c>
      <c r="D37" t="s">
        <v>23</v>
      </c>
      <c r="E37" t="s">
        <v>20</v>
      </c>
      <c r="F37" t="s">
        <v>15</v>
      </c>
      <c r="G37" t="s">
        <v>16</v>
      </c>
      <c r="H37" s="12">
        <v>85000</v>
      </c>
      <c r="I37">
        <v>7</v>
      </c>
      <c r="J37" t="s">
        <v>24</v>
      </c>
      <c r="K37" s="12">
        <f t="shared" si="0"/>
        <v>68000</v>
      </c>
      <c r="L37" s="12">
        <f>Sales_Data[[#This Row],[Unit Price]]*Sales_Data[[#This Row],[Quantity]]</f>
        <v>595000</v>
      </c>
      <c r="M37" s="12">
        <f>Sales_Data[[#This Row],[Cost Price]]*Sales_Data[[#This Row],[Quantity]]</f>
        <v>476000</v>
      </c>
      <c r="N37" s="12">
        <f>Sales_Data[[#This Row],[Revenue]]-Sales_Data[[#This Row],[COGS]]</f>
        <v>119000</v>
      </c>
    </row>
    <row r="38" spans="1:14">
      <c r="A38" s="1">
        <v>45712</v>
      </c>
      <c r="B38" t="s">
        <v>25</v>
      </c>
      <c r="C38" t="s">
        <v>32</v>
      </c>
      <c r="D38" t="s">
        <v>23</v>
      </c>
      <c r="E38" t="s">
        <v>14</v>
      </c>
      <c r="F38" t="s">
        <v>34</v>
      </c>
      <c r="G38" t="s">
        <v>16</v>
      </c>
      <c r="H38" s="12">
        <v>320000</v>
      </c>
      <c r="I38">
        <v>6</v>
      </c>
      <c r="J38" t="s">
        <v>24</v>
      </c>
      <c r="K38" s="12">
        <f t="shared" si="0"/>
        <v>256000</v>
      </c>
      <c r="L38" s="12">
        <f>Sales_Data[[#This Row],[Unit Price]]*Sales_Data[[#This Row],[Quantity]]</f>
        <v>1920000</v>
      </c>
      <c r="M38" s="12">
        <f>Sales_Data[[#This Row],[Cost Price]]*Sales_Data[[#This Row],[Quantity]]</f>
        <v>1536000</v>
      </c>
      <c r="N38" s="12">
        <f>Sales_Data[[#This Row],[Revenue]]-Sales_Data[[#This Row],[COGS]]</f>
        <v>384000</v>
      </c>
    </row>
    <row r="39" spans="1:14">
      <c r="A39" s="1">
        <v>45713</v>
      </c>
      <c r="B39" t="s">
        <v>11</v>
      </c>
      <c r="C39" t="s">
        <v>26</v>
      </c>
      <c r="D39" t="s">
        <v>13</v>
      </c>
      <c r="E39" t="s">
        <v>20</v>
      </c>
      <c r="F39" t="s">
        <v>38</v>
      </c>
      <c r="G39" t="s">
        <v>31</v>
      </c>
      <c r="H39" s="12">
        <v>420000</v>
      </c>
      <c r="I39">
        <v>8</v>
      </c>
      <c r="J39" t="s">
        <v>37</v>
      </c>
      <c r="K39" s="12">
        <f t="shared" si="0"/>
        <v>336000</v>
      </c>
      <c r="L39" s="12">
        <f>Sales_Data[[#This Row],[Unit Price]]*Sales_Data[[#This Row],[Quantity]]</f>
        <v>3360000</v>
      </c>
      <c r="M39" s="12">
        <f>Sales_Data[[#This Row],[Cost Price]]*Sales_Data[[#This Row],[Quantity]]</f>
        <v>2688000</v>
      </c>
      <c r="N39" s="12">
        <f>Sales_Data[[#This Row],[Revenue]]-Sales_Data[[#This Row],[COGS]]</f>
        <v>672000</v>
      </c>
    </row>
    <row r="40" spans="1:14">
      <c r="A40" s="1">
        <v>45714</v>
      </c>
      <c r="B40" t="s">
        <v>25</v>
      </c>
      <c r="C40" t="s">
        <v>12</v>
      </c>
      <c r="D40" t="s">
        <v>23</v>
      </c>
      <c r="E40" t="s">
        <v>14</v>
      </c>
      <c r="F40" t="s">
        <v>30</v>
      </c>
      <c r="G40" t="s">
        <v>31</v>
      </c>
      <c r="H40" s="12">
        <v>300000</v>
      </c>
      <c r="I40">
        <v>7</v>
      </c>
      <c r="J40" t="s">
        <v>35</v>
      </c>
      <c r="K40" s="12">
        <f t="shared" si="0"/>
        <v>240000</v>
      </c>
      <c r="L40" s="12">
        <f>Sales_Data[[#This Row],[Unit Price]]*Sales_Data[[#This Row],[Quantity]]</f>
        <v>2100000</v>
      </c>
      <c r="M40" s="12">
        <f>Sales_Data[[#This Row],[Cost Price]]*Sales_Data[[#This Row],[Quantity]]</f>
        <v>1680000</v>
      </c>
      <c r="N40" s="12">
        <f>Sales_Data[[#This Row],[Revenue]]-Sales_Data[[#This Row],[COGS]]</f>
        <v>420000</v>
      </c>
    </row>
    <row r="41" spans="1:14">
      <c r="A41" s="1">
        <v>45715</v>
      </c>
      <c r="B41" t="s">
        <v>11</v>
      </c>
      <c r="C41" t="s">
        <v>12</v>
      </c>
      <c r="D41" t="s">
        <v>13</v>
      </c>
      <c r="E41" t="s">
        <v>14</v>
      </c>
      <c r="F41" t="s">
        <v>21</v>
      </c>
      <c r="G41" t="s">
        <v>22</v>
      </c>
      <c r="H41" s="12">
        <v>30000</v>
      </c>
      <c r="I41">
        <v>6</v>
      </c>
      <c r="J41" t="s">
        <v>24</v>
      </c>
      <c r="K41" s="12">
        <f t="shared" si="0"/>
        <v>24000</v>
      </c>
      <c r="L41" s="12">
        <f>Sales_Data[[#This Row],[Unit Price]]*Sales_Data[[#This Row],[Quantity]]</f>
        <v>180000</v>
      </c>
      <c r="M41" s="12">
        <f>Sales_Data[[#This Row],[Cost Price]]*Sales_Data[[#This Row],[Quantity]]</f>
        <v>144000</v>
      </c>
      <c r="N41" s="12">
        <f>Sales_Data[[#This Row],[Revenue]]-Sales_Data[[#This Row],[COGS]]</f>
        <v>36000</v>
      </c>
    </row>
    <row r="42" spans="1:14">
      <c r="A42" s="1">
        <v>45716</v>
      </c>
      <c r="B42" t="s">
        <v>11</v>
      </c>
      <c r="C42" t="s">
        <v>12</v>
      </c>
      <c r="D42" t="s">
        <v>23</v>
      </c>
      <c r="E42" t="s">
        <v>20</v>
      </c>
      <c r="F42" t="s">
        <v>41</v>
      </c>
      <c r="G42" t="s">
        <v>22</v>
      </c>
      <c r="H42" s="12">
        <v>220000</v>
      </c>
      <c r="I42">
        <v>2</v>
      </c>
      <c r="J42" t="s">
        <v>35</v>
      </c>
      <c r="K42" s="12">
        <f t="shared" si="0"/>
        <v>176000</v>
      </c>
      <c r="L42" s="12">
        <f>Sales_Data[[#This Row],[Unit Price]]*Sales_Data[[#This Row],[Quantity]]</f>
        <v>440000</v>
      </c>
      <c r="M42" s="12">
        <f>Sales_Data[[#This Row],[Cost Price]]*Sales_Data[[#This Row],[Quantity]]</f>
        <v>352000</v>
      </c>
      <c r="N42" s="12">
        <f>Sales_Data[[#This Row],[Revenue]]-Sales_Data[[#This Row],[COGS]]</f>
        <v>88000</v>
      </c>
    </row>
    <row r="43" spans="1:14">
      <c r="A43" s="1">
        <v>45717</v>
      </c>
      <c r="B43" t="s">
        <v>11</v>
      </c>
      <c r="C43" t="s">
        <v>32</v>
      </c>
      <c r="D43" t="s">
        <v>13</v>
      </c>
      <c r="E43" t="s">
        <v>14</v>
      </c>
      <c r="F43" t="s">
        <v>36</v>
      </c>
      <c r="G43" t="s">
        <v>31</v>
      </c>
      <c r="H43" s="12">
        <v>150000</v>
      </c>
      <c r="I43">
        <v>1</v>
      </c>
      <c r="J43" t="s">
        <v>24</v>
      </c>
      <c r="K43" s="12">
        <f t="shared" si="0"/>
        <v>120000</v>
      </c>
      <c r="L43" s="12">
        <f>Sales_Data[[#This Row],[Unit Price]]*Sales_Data[[#This Row],[Quantity]]</f>
        <v>150000</v>
      </c>
      <c r="M43" s="12">
        <f>Sales_Data[[#This Row],[Cost Price]]*Sales_Data[[#This Row],[Quantity]]</f>
        <v>120000</v>
      </c>
      <c r="N43" s="12">
        <f>Sales_Data[[#This Row],[Revenue]]-Sales_Data[[#This Row],[COGS]]</f>
        <v>30000</v>
      </c>
    </row>
    <row r="44" spans="1:14">
      <c r="A44" s="1">
        <v>45718</v>
      </c>
      <c r="B44" t="s">
        <v>29</v>
      </c>
      <c r="C44" t="s">
        <v>19</v>
      </c>
      <c r="D44" t="s">
        <v>13</v>
      </c>
      <c r="E44" t="s">
        <v>20</v>
      </c>
      <c r="F44" t="s">
        <v>34</v>
      </c>
      <c r="G44" t="s">
        <v>16</v>
      </c>
      <c r="H44" s="12">
        <v>320000</v>
      </c>
      <c r="I44">
        <v>1</v>
      </c>
      <c r="J44" t="s">
        <v>39</v>
      </c>
      <c r="K44" s="12">
        <f t="shared" si="0"/>
        <v>256000</v>
      </c>
      <c r="L44" s="12">
        <f>Sales_Data[[#This Row],[Unit Price]]*Sales_Data[[#This Row],[Quantity]]</f>
        <v>320000</v>
      </c>
      <c r="M44" s="12">
        <f>Sales_Data[[#This Row],[Cost Price]]*Sales_Data[[#This Row],[Quantity]]</f>
        <v>256000</v>
      </c>
      <c r="N44" s="12">
        <f>Sales_Data[[#This Row],[Revenue]]-Sales_Data[[#This Row],[COGS]]</f>
        <v>64000</v>
      </c>
    </row>
    <row r="45" spans="1:14">
      <c r="A45" s="1">
        <v>45719</v>
      </c>
      <c r="B45" t="s">
        <v>29</v>
      </c>
      <c r="C45" t="s">
        <v>32</v>
      </c>
      <c r="D45" t="s">
        <v>23</v>
      </c>
      <c r="E45" t="s">
        <v>20</v>
      </c>
      <c r="F45" t="s">
        <v>21</v>
      </c>
      <c r="G45" t="s">
        <v>22</v>
      </c>
      <c r="H45" s="12">
        <v>30000</v>
      </c>
      <c r="I45">
        <v>3</v>
      </c>
      <c r="J45" t="s">
        <v>24</v>
      </c>
      <c r="K45" s="12">
        <f t="shared" si="0"/>
        <v>24000</v>
      </c>
      <c r="L45" s="12">
        <f>Sales_Data[[#This Row],[Unit Price]]*Sales_Data[[#This Row],[Quantity]]</f>
        <v>90000</v>
      </c>
      <c r="M45" s="12">
        <f>Sales_Data[[#This Row],[Cost Price]]*Sales_Data[[#This Row],[Quantity]]</f>
        <v>72000</v>
      </c>
      <c r="N45" s="12">
        <f>Sales_Data[[#This Row],[Revenue]]-Sales_Data[[#This Row],[COGS]]</f>
        <v>18000</v>
      </c>
    </row>
    <row r="46" spans="1:14">
      <c r="A46" s="1">
        <v>45720</v>
      </c>
      <c r="B46" t="s">
        <v>11</v>
      </c>
      <c r="C46" t="s">
        <v>12</v>
      </c>
      <c r="D46" t="s">
        <v>23</v>
      </c>
      <c r="E46" t="s">
        <v>14</v>
      </c>
      <c r="F46" t="s">
        <v>27</v>
      </c>
      <c r="G46" t="s">
        <v>22</v>
      </c>
      <c r="H46" s="12">
        <v>60000</v>
      </c>
      <c r="I46">
        <v>5</v>
      </c>
      <c r="J46" t="s">
        <v>28</v>
      </c>
      <c r="K46" s="12">
        <f t="shared" si="0"/>
        <v>48000</v>
      </c>
      <c r="L46" s="12">
        <f>Sales_Data[[#This Row],[Unit Price]]*Sales_Data[[#This Row],[Quantity]]</f>
        <v>300000</v>
      </c>
      <c r="M46" s="12">
        <f>Sales_Data[[#This Row],[Cost Price]]*Sales_Data[[#This Row],[Quantity]]</f>
        <v>240000</v>
      </c>
      <c r="N46" s="12">
        <f>Sales_Data[[#This Row],[Revenue]]-Sales_Data[[#This Row],[COGS]]</f>
        <v>60000</v>
      </c>
    </row>
    <row r="47" spans="1:14">
      <c r="A47" s="1">
        <v>45721</v>
      </c>
      <c r="B47" t="s">
        <v>18</v>
      </c>
      <c r="C47" t="s">
        <v>26</v>
      </c>
      <c r="D47" t="s">
        <v>23</v>
      </c>
      <c r="E47" t="s">
        <v>14</v>
      </c>
      <c r="F47" t="s">
        <v>36</v>
      </c>
      <c r="G47" t="s">
        <v>31</v>
      </c>
      <c r="H47" s="12">
        <v>150000</v>
      </c>
      <c r="I47">
        <v>3</v>
      </c>
      <c r="J47" t="s">
        <v>28</v>
      </c>
      <c r="K47" s="12">
        <f t="shared" si="0"/>
        <v>120000</v>
      </c>
      <c r="L47" s="12">
        <f>Sales_Data[[#This Row],[Unit Price]]*Sales_Data[[#This Row],[Quantity]]</f>
        <v>450000</v>
      </c>
      <c r="M47" s="12">
        <f>Sales_Data[[#This Row],[Cost Price]]*Sales_Data[[#This Row],[Quantity]]</f>
        <v>360000</v>
      </c>
      <c r="N47" s="12">
        <f>Sales_Data[[#This Row],[Revenue]]-Sales_Data[[#This Row],[COGS]]</f>
        <v>90000</v>
      </c>
    </row>
    <row r="48" spans="1:14">
      <c r="A48" s="1">
        <v>45722</v>
      </c>
      <c r="B48" t="s">
        <v>18</v>
      </c>
      <c r="C48" t="s">
        <v>19</v>
      </c>
      <c r="D48" t="s">
        <v>13</v>
      </c>
      <c r="E48" t="s">
        <v>14</v>
      </c>
      <c r="F48" t="s">
        <v>34</v>
      </c>
      <c r="G48" t="s">
        <v>16</v>
      </c>
      <c r="H48" s="12">
        <v>320000</v>
      </c>
      <c r="I48">
        <v>10</v>
      </c>
      <c r="J48" t="s">
        <v>28</v>
      </c>
      <c r="K48" s="12">
        <f t="shared" si="0"/>
        <v>256000</v>
      </c>
      <c r="L48" s="12">
        <f>Sales_Data[[#This Row],[Unit Price]]*Sales_Data[[#This Row],[Quantity]]</f>
        <v>3200000</v>
      </c>
      <c r="M48" s="12">
        <f>Sales_Data[[#This Row],[Cost Price]]*Sales_Data[[#This Row],[Quantity]]</f>
        <v>2560000</v>
      </c>
      <c r="N48" s="12">
        <f>Sales_Data[[#This Row],[Revenue]]-Sales_Data[[#This Row],[COGS]]</f>
        <v>640000</v>
      </c>
    </row>
    <row r="49" spans="1:14">
      <c r="A49" s="1">
        <v>45723</v>
      </c>
      <c r="B49" t="s">
        <v>18</v>
      </c>
      <c r="C49" t="s">
        <v>12</v>
      </c>
      <c r="D49" t="s">
        <v>23</v>
      </c>
      <c r="E49" t="s">
        <v>14</v>
      </c>
      <c r="F49" t="s">
        <v>41</v>
      </c>
      <c r="G49" t="s">
        <v>22</v>
      </c>
      <c r="H49" s="12">
        <v>220000</v>
      </c>
      <c r="I49">
        <v>6</v>
      </c>
      <c r="J49" t="s">
        <v>17</v>
      </c>
      <c r="K49" s="12">
        <f t="shared" si="0"/>
        <v>176000</v>
      </c>
      <c r="L49" s="12">
        <f>Sales_Data[[#This Row],[Unit Price]]*Sales_Data[[#This Row],[Quantity]]</f>
        <v>1320000</v>
      </c>
      <c r="M49" s="12">
        <f>Sales_Data[[#This Row],[Cost Price]]*Sales_Data[[#This Row],[Quantity]]</f>
        <v>1056000</v>
      </c>
      <c r="N49" s="12">
        <f>Sales_Data[[#This Row],[Revenue]]-Sales_Data[[#This Row],[COGS]]</f>
        <v>264000</v>
      </c>
    </row>
    <row r="50" spans="1:14">
      <c r="A50" s="1">
        <v>45724</v>
      </c>
      <c r="B50" t="s">
        <v>11</v>
      </c>
      <c r="C50" t="s">
        <v>32</v>
      </c>
      <c r="D50" t="s">
        <v>23</v>
      </c>
      <c r="E50" t="s">
        <v>14</v>
      </c>
      <c r="F50" t="s">
        <v>33</v>
      </c>
      <c r="G50" t="s">
        <v>22</v>
      </c>
      <c r="H50" s="12">
        <v>180000</v>
      </c>
      <c r="I50">
        <v>8</v>
      </c>
      <c r="J50" t="s">
        <v>28</v>
      </c>
      <c r="K50" s="12">
        <f t="shared" si="0"/>
        <v>144000</v>
      </c>
      <c r="L50" s="12">
        <f>Sales_Data[[#This Row],[Unit Price]]*Sales_Data[[#This Row],[Quantity]]</f>
        <v>1440000</v>
      </c>
      <c r="M50" s="12">
        <f>Sales_Data[[#This Row],[Cost Price]]*Sales_Data[[#This Row],[Quantity]]</f>
        <v>1152000</v>
      </c>
      <c r="N50" s="12">
        <f>Sales_Data[[#This Row],[Revenue]]-Sales_Data[[#This Row],[COGS]]</f>
        <v>288000</v>
      </c>
    </row>
    <row r="51" spans="1:14">
      <c r="A51" s="1">
        <v>45725</v>
      </c>
      <c r="B51" t="s">
        <v>11</v>
      </c>
      <c r="C51" t="s">
        <v>26</v>
      </c>
      <c r="D51" t="s">
        <v>13</v>
      </c>
      <c r="E51" t="s">
        <v>20</v>
      </c>
      <c r="F51" t="s">
        <v>34</v>
      </c>
      <c r="G51" t="s">
        <v>16</v>
      </c>
      <c r="H51" s="12">
        <v>320000</v>
      </c>
      <c r="I51">
        <v>2</v>
      </c>
      <c r="J51" t="s">
        <v>24</v>
      </c>
      <c r="K51" s="12">
        <f t="shared" si="0"/>
        <v>256000</v>
      </c>
      <c r="L51" s="12">
        <f>Sales_Data[[#This Row],[Unit Price]]*Sales_Data[[#This Row],[Quantity]]</f>
        <v>640000</v>
      </c>
      <c r="M51" s="12">
        <f>Sales_Data[[#This Row],[Cost Price]]*Sales_Data[[#This Row],[Quantity]]</f>
        <v>512000</v>
      </c>
      <c r="N51" s="12">
        <f>Sales_Data[[#This Row],[Revenue]]-Sales_Data[[#This Row],[COGS]]</f>
        <v>128000</v>
      </c>
    </row>
    <row r="52" spans="1:14">
      <c r="A52" s="1">
        <v>45726</v>
      </c>
      <c r="B52" t="s">
        <v>11</v>
      </c>
      <c r="C52" t="s">
        <v>19</v>
      </c>
      <c r="D52" t="s">
        <v>13</v>
      </c>
      <c r="E52" t="s">
        <v>20</v>
      </c>
      <c r="F52" t="s">
        <v>30</v>
      </c>
      <c r="G52" t="s">
        <v>31</v>
      </c>
      <c r="H52" s="12">
        <v>300000</v>
      </c>
      <c r="I52">
        <v>9</v>
      </c>
      <c r="J52" t="s">
        <v>35</v>
      </c>
      <c r="K52" s="12">
        <f t="shared" si="0"/>
        <v>240000</v>
      </c>
      <c r="L52" s="12">
        <f>Sales_Data[[#This Row],[Unit Price]]*Sales_Data[[#This Row],[Quantity]]</f>
        <v>2700000</v>
      </c>
      <c r="M52" s="12">
        <f>Sales_Data[[#This Row],[Cost Price]]*Sales_Data[[#This Row],[Quantity]]</f>
        <v>2160000</v>
      </c>
      <c r="N52" s="12">
        <f>Sales_Data[[#This Row],[Revenue]]-Sales_Data[[#This Row],[COGS]]</f>
        <v>540000</v>
      </c>
    </row>
    <row r="53" spans="1:14">
      <c r="A53" s="1">
        <v>45727</v>
      </c>
      <c r="B53" t="s">
        <v>29</v>
      </c>
      <c r="C53" t="s">
        <v>26</v>
      </c>
      <c r="D53" t="s">
        <v>13</v>
      </c>
      <c r="E53" t="s">
        <v>20</v>
      </c>
      <c r="F53" t="s">
        <v>38</v>
      </c>
      <c r="G53" t="s">
        <v>31</v>
      </c>
      <c r="H53" s="12">
        <v>420000</v>
      </c>
      <c r="I53">
        <v>1</v>
      </c>
      <c r="J53" t="s">
        <v>35</v>
      </c>
      <c r="K53" s="12">
        <f t="shared" si="0"/>
        <v>336000</v>
      </c>
      <c r="L53" s="12">
        <f>Sales_Data[[#This Row],[Unit Price]]*Sales_Data[[#This Row],[Quantity]]</f>
        <v>420000</v>
      </c>
      <c r="M53" s="12">
        <f>Sales_Data[[#This Row],[Cost Price]]*Sales_Data[[#This Row],[Quantity]]</f>
        <v>336000</v>
      </c>
      <c r="N53" s="12">
        <f>Sales_Data[[#This Row],[Revenue]]-Sales_Data[[#This Row],[COGS]]</f>
        <v>84000</v>
      </c>
    </row>
    <row r="54" spans="1:14">
      <c r="A54" s="1">
        <v>45728</v>
      </c>
      <c r="B54" t="s">
        <v>18</v>
      </c>
      <c r="C54" t="s">
        <v>26</v>
      </c>
      <c r="D54" t="s">
        <v>13</v>
      </c>
      <c r="E54" t="s">
        <v>14</v>
      </c>
      <c r="F54" t="s">
        <v>27</v>
      </c>
      <c r="G54" t="s">
        <v>22</v>
      </c>
      <c r="H54" s="12">
        <v>60000</v>
      </c>
      <c r="I54">
        <v>1</v>
      </c>
      <c r="J54" t="s">
        <v>28</v>
      </c>
      <c r="K54" s="12">
        <f t="shared" si="0"/>
        <v>48000</v>
      </c>
      <c r="L54" s="12">
        <f>Sales_Data[[#This Row],[Unit Price]]*Sales_Data[[#This Row],[Quantity]]</f>
        <v>60000</v>
      </c>
      <c r="M54" s="12">
        <f>Sales_Data[[#This Row],[Cost Price]]*Sales_Data[[#This Row],[Quantity]]</f>
        <v>48000</v>
      </c>
      <c r="N54" s="12">
        <f>Sales_Data[[#This Row],[Revenue]]-Sales_Data[[#This Row],[COGS]]</f>
        <v>12000</v>
      </c>
    </row>
    <row r="55" spans="1:14">
      <c r="A55" s="1">
        <v>45729</v>
      </c>
      <c r="B55" t="s">
        <v>18</v>
      </c>
      <c r="C55" t="s">
        <v>19</v>
      </c>
      <c r="D55" t="s">
        <v>23</v>
      </c>
      <c r="E55" t="s">
        <v>20</v>
      </c>
      <c r="F55" t="s">
        <v>30</v>
      </c>
      <c r="G55" t="s">
        <v>31</v>
      </c>
      <c r="H55" s="12">
        <v>300000</v>
      </c>
      <c r="I55">
        <v>9</v>
      </c>
      <c r="J55" t="s">
        <v>35</v>
      </c>
      <c r="K55" s="12">
        <f t="shared" si="0"/>
        <v>240000</v>
      </c>
      <c r="L55" s="12">
        <f>Sales_Data[[#This Row],[Unit Price]]*Sales_Data[[#This Row],[Quantity]]</f>
        <v>2700000</v>
      </c>
      <c r="M55" s="12">
        <f>Sales_Data[[#This Row],[Cost Price]]*Sales_Data[[#This Row],[Quantity]]</f>
        <v>2160000</v>
      </c>
      <c r="N55" s="12">
        <f>Sales_Data[[#This Row],[Revenue]]-Sales_Data[[#This Row],[COGS]]</f>
        <v>540000</v>
      </c>
    </row>
    <row r="56" spans="1:14">
      <c r="A56" s="1">
        <v>45730</v>
      </c>
      <c r="B56" t="s">
        <v>11</v>
      </c>
      <c r="C56" t="s">
        <v>26</v>
      </c>
      <c r="D56" t="s">
        <v>23</v>
      </c>
      <c r="E56" t="s">
        <v>14</v>
      </c>
      <c r="F56" t="s">
        <v>38</v>
      </c>
      <c r="G56" t="s">
        <v>31</v>
      </c>
      <c r="H56" s="12">
        <v>420000</v>
      </c>
      <c r="I56">
        <v>9</v>
      </c>
      <c r="J56" t="s">
        <v>24</v>
      </c>
      <c r="K56" s="12">
        <f t="shared" si="0"/>
        <v>336000</v>
      </c>
      <c r="L56" s="12">
        <f>Sales_Data[[#This Row],[Unit Price]]*Sales_Data[[#This Row],[Quantity]]</f>
        <v>3780000</v>
      </c>
      <c r="M56" s="12">
        <f>Sales_Data[[#This Row],[Cost Price]]*Sales_Data[[#This Row],[Quantity]]</f>
        <v>3024000</v>
      </c>
      <c r="N56" s="12">
        <f>Sales_Data[[#This Row],[Revenue]]-Sales_Data[[#This Row],[COGS]]</f>
        <v>756000</v>
      </c>
    </row>
    <row r="57" spans="1:14">
      <c r="A57" s="1">
        <v>45731</v>
      </c>
      <c r="B57" t="s">
        <v>18</v>
      </c>
      <c r="C57" t="s">
        <v>19</v>
      </c>
      <c r="D57" t="s">
        <v>13</v>
      </c>
      <c r="E57" t="s">
        <v>14</v>
      </c>
      <c r="F57" t="s">
        <v>41</v>
      </c>
      <c r="G57" t="s">
        <v>22</v>
      </c>
      <c r="H57" s="12">
        <v>220000</v>
      </c>
      <c r="I57">
        <v>8</v>
      </c>
      <c r="J57" t="s">
        <v>37</v>
      </c>
      <c r="K57" s="12">
        <f t="shared" si="0"/>
        <v>176000</v>
      </c>
      <c r="L57" s="12">
        <f>Sales_Data[[#This Row],[Unit Price]]*Sales_Data[[#This Row],[Quantity]]</f>
        <v>1760000</v>
      </c>
      <c r="M57" s="12">
        <f>Sales_Data[[#This Row],[Cost Price]]*Sales_Data[[#This Row],[Quantity]]</f>
        <v>1408000</v>
      </c>
      <c r="N57" s="12">
        <f>Sales_Data[[#This Row],[Revenue]]-Sales_Data[[#This Row],[COGS]]</f>
        <v>352000</v>
      </c>
    </row>
    <row r="58" spans="1:14">
      <c r="A58" s="1">
        <v>45732</v>
      </c>
      <c r="B58" t="s">
        <v>25</v>
      </c>
      <c r="C58" t="s">
        <v>12</v>
      </c>
      <c r="D58" t="s">
        <v>13</v>
      </c>
      <c r="E58" t="s">
        <v>14</v>
      </c>
      <c r="F58" t="s">
        <v>15</v>
      </c>
      <c r="G58" t="s">
        <v>16</v>
      </c>
      <c r="H58" s="12">
        <v>85000</v>
      </c>
      <c r="I58">
        <v>10</v>
      </c>
      <c r="J58" t="s">
        <v>35</v>
      </c>
      <c r="K58" s="12">
        <f t="shared" si="0"/>
        <v>68000</v>
      </c>
      <c r="L58" s="12">
        <f>Sales_Data[[#This Row],[Unit Price]]*Sales_Data[[#This Row],[Quantity]]</f>
        <v>850000</v>
      </c>
      <c r="M58" s="12">
        <f>Sales_Data[[#This Row],[Cost Price]]*Sales_Data[[#This Row],[Quantity]]</f>
        <v>680000</v>
      </c>
      <c r="N58" s="12">
        <f>Sales_Data[[#This Row],[Revenue]]-Sales_Data[[#This Row],[COGS]]</f>
        <v>170000</v>
      </c>
    </row>
    <row r="59" spans="1:14">
      <c r="A59" s="1">
        <v>45733</v>
      </c>
      <c r="B59" t="s">
        <v>11</v>
      </c>
      <c r="C59" t="s">
        <v>26</v>
      </c>
      <c r="D59" t="s">
        <v>23</v>
      </c>
      <c r="E59" t="s">
        <v>14</v>
      </c>
      <c r="F59" t="s">
        <v>36</v>
      </c>
      <c r="G59" t="s">
        <v>31</v>
      </c>
      <c r="H59" s="12">
        <v>150000</v>
      </c>
      <c r="I59">
        <v>4</v>
      </c>
      <c r="J59" t="s">
        <v>17</v>
      </c>
      <c r="K59" s="12">
        <f t="shared" si="0"/>
        <v>120000</v>
      </c>
      <c r="L59" s="12">
        <f>Sales_Data[[#This Row],[Unit Price]]*Sales_Data[[#This Row],[Quantity]]</f>
        <v>600000</v>
      </c>
      <c r="M59" s="12">
        <f>Sales_Data[[#This Row],[Cost Price]]*Sales_Data[[#This Row],[Quantity]]</f>
        <v>480000</v>
      </c>
      <c r="N59" s="12">
        <f>Sales_Data[[#This Row],[Revenue]]-Sales_Data[[#This Row],[COGS]]</f>
        <v>120000</v>
      </c>
    </row>
    <row r="60" spans="1:14">
      <c r="A60" s="1">
        <v>45734</v>
      </c>
      <c r="B60" t="s">
        <v>18</v>
      </c>
      <c r="C60" t="s">
        <v>19</v>
      </c>
      <c r="D60" t="s">
        <v>23</v>
      </c>
      <c r="E60" t="s">
        <v>20</v>
      </c>
      <c r="F60" t="s">
        <v>40</v>
      </c>
      <c r="G60" t="s">
        <v>31</v>
      </c>
      <c r="H60" s="12">
        <v>250000</v>
      </c>
      <c r="I60">
        <v>1</v>
      </c>
      <c r="J60" t="s">
        <v>28</v>
      </c>
      <c r="K60" s="12">
        <f t="shared" si="0"/>
        <v>200000</v>
      </c>
      <c r="L60" s="12">
        <f>Sales_Data[[#This Row],[Unit Price]]*Sales_Data[[#This Row],[Quantity]]</f>
        <v>250000</v>
      </c>
      <c r="M60" s="12">
        <f>Sales_Data[[#This Row],[Cost Price]]*Sales_Data[[#This Row],[Quantity]]</f>
        <v>200000</v>
      </c>
      <c r="N60" s="12">
        <f>Sales_Data[[#This Row],[Revenue]]-Sales_Data[[#This Row],[COGS]]</f>
        <v>50000</v>
      </c>
    </row>
    <row r="61" spans="1:14">
      <c r="A61" s="1">
        <v>45735</v>
      </c>
      <c r="B61" t="s">
        <v>25</v>
      </c>
      <c r="C61" t="s">
        <v>19</v>
      </c>
      <c r="D61" t="s">
        <v>13</v>
      </c>
      <c r="E61" t="s">
        <v>14</v>
      </c>
      <c r="F61" t="s">
        <v>21</v>
      </c>
      <c r="G61" t="s">
        <v>22</v>
      </c>
      <c r="H61" s="12">
        <v>30000</v>
      </c>
      <c r="I61">
        <v>10</v>
      </c>
      <c r="J61" t="s">
        <v>28</v>
      </c>
      <c r="K61" s="12">
        <f t="shared" si="0"/>
        <v>24000</v>
      </c>
      <c r="L61" s="12">
        <f>Sales_Data[[#This Row],[Unit Price]]*Sales_Data[[#This Row],[Quantity]]</f>
        <v>300000</v>
      </c>
      <c r="M61" s="12">
        <f>Sales_Data[[#This Row],[Cost Price]]*Sales_Data[[#This Row],[Quantity]]</f>
        <v>240000</v>
      </c>
      <c r="N61" s="12">
        <f>Sales_Data[[#This Row],[Revenue]]-Sales_Data[[#This Row],[COGS]]</f>
        <v>60000</v>
      </c>
    </row>
    <row r="62" spans="1:14">
      <c r="A62" s="1">
        <v>45736</v>
      </c>
      <c r="B62" t="s">
        <v>25</v>
      </c>
      <c r="C62" t="s">
        <v>19</v>
      </c>
      <c r="D62" t="s">
        <v>23</v>
      </c>
      <c r="E62" t="s">
        <v>14</v>
      </c>
      <c r="F62" t="s">
        <v>38</v>
      </c>
      <c r="G62" t="s">
        <v>31</v>
      </c>
      <c r="H62" s="12">
        <v>420000</v>
      </c>
      <c r="I62">
        <v>4</v>
      </c>
      <c r="J62" t="s">
        <v>24</v>
      </c>
      <c r="K62" s="12">
        <f t="shared" si="0"/>
        <v>336000</v>
      </c>
      <c r="L62" s="12">
        <f>Sales_Data[[#This Row],[Unit Price]]*Sales_Data[[#This Row],[Quantity]]</f>
        <v>1680000</v>
      </c>
      <c r="M62" s="12">
        <f>Sales_Data[[#This Row],[Cost Price]]*Sales_Data[[#This Row],[Quantity]]</f>
        <v>1344000</v>
      </c>
      <c r="N62" s="12">
        <f>Sales_Data[[#This Row],[Revenue]]-Sales_Data[[#This Row],[COGS]]</f>
        <v>336000</v>
      </c>
    </row>
    <row r="63" spans="1:14">
      <c r="A63" s="1">
        <v>45737</v>
      </c>
      <c r="B63" t="s">
        <v>18</v>
      </c>
      <c r="C63" t="s">
        <v>19</v>
      </c>
      <c r="D63" t="s">
        <v>13</v>
      </c>
      <c r="E63" t="s">
        <v>20</v>
      </c>
      <c r="F63" t="s">
        <v>15</v>
      </c>
      <c r="G63" t="s">
        <v>16</v>
      </c>
      <c r="H63" s="12">
        <v>85000</v>
      </c>
      <c r="I63">
        <v>2</v>
      </c>
      <c r="J63" t="s">
        <v>35</v>
      </c>
      <c r="K63" s="12">
        <f t="shared" si="0"/>
        <v>68000</v>
      </c>
      <c r="L63" s="12">
        <f>Sales_Data[[#This Row],[Unit Price]]*Sales_Data[[#This Row],[Quantity]]</f>
        <v>170000</v>
      </c>
      <c r="M63" s="12">
        <f>Sales_Data[[#This Row],[Cost Price]]*Sales_Data[[#This Row],[Quantity]]</f>
        <v>136000</v>
      </c>
      <c r="N63" s="12">
        <f>Sales_Data[[#This Row],[Revenue]]-Sales_Data[[#This Row],[COGS]]</f>
        <v>34000</v>
      </c>
    </row>
    <row r="64" spans="1:14">
      <c r="A64" s="1">
        <v>45738</v>
      </c>
      <c r="B64" t="s">
        <v>18</v>
      </c>
      <c r="C64" t="s">
        <v>19</v>
      </c>
      <c r="D64" t="s">
        <v>13</v>
      </c>
      <c r="E64" t="s">
        <v>14</v>
      </c>
      <c r="F64" t="s">
        <v>41</v>
      </c>
      <c r="G64" t="s">
        <v>22</v>
      </c>
      <c r="H64" s="12">
        <v>220000</v>
      </c>
      <c r="I64">
        <v>1</v>
      </c>
      <c r="J64" t="s">
        <v>28</v>
      </c>
      <c r="K64" s="12">
        <f t="shared" si="0"/>
        <v>176000</v>
      </c>
      <c r="L64" s="12">
        <f>Sales_Data[[#This Row],[Unit Price]]*Sales_Data[[#This Row],[Quantity]]</f>
        <v>220000</v>
      </c>
      <c r="M64" s="12">
        <f>Sales_Data[[#This Row],[Cost Price]]*Sales_Data[[#This Row],[Quantity]]</f>
        <v>176000</v>
      </c>
      <c r="N64" s="12">
        <f>Sales_Data[[#This Row],[Revenue]]-Sales_Data[[#This Row],[COGS]]</f>
        <v>44000</v>
      </c>
    </row>
    <row r="65" spans="1:14">
      <c r="A65" s="1">
        <v>45739</v>
      </c>
      <c r="B65" t="s">
        <v>11</v>
      </c>
      <c r="C65" t="s">
        <v>12</v>
      </c>
      <c r="D65" t="s">
        <v>13</v>
      </c>
      <c r="E65" t="s">
        <v>20</v>
      </c>
      <c r="F65" t="s">
        <v>33</v>
      </c>
      <c r="G65" t="s">
        <v>22</v>
      </c>
      <c r="H65" s="12">
        <v>180000</v>
      </c>
      <c r="I65">
        <v>9</v>
      </c>
      <c r="J65" t="s">
        <v>39</v>
      </c>
      <c r="K65" s="12">
        <f t="shared" si="0"/>
        <v>144000</v>
      </c>
      <c r="L65" s="12">
        <f>Sales_Data[[#This Row],[Unit Price]]*Sales_Data[[#This Row],[Quantity]]</f>
        <v>1620000</v>
      </c>
      <c r="M65" s="12">
        <f>Sales_Data[[#This Row],[Cost Price]]*Sales_Data[[#This Row],[Quantity]]</f>
        <v>1296000</v>
      </c>
      <c r="N65" s="12">
        <f>Sales_Data[[#This Row],[Revenue]]-Sales_Data[[#This Row],[COGS]]</f>
        <v>324000</v>
      </c>
    </row>
    <row r="66" spans="1:14">
      <c r="A66" s="1">
        <v>45740</v>
      </c>
      <c r="B66" t="s">
        <v>11</v>
      </c>
      <c r="C66" t="s">
        <v>26</v>
      </c>
      <c r="D66" t="s">
        <v>13</v>
      </c>
      <c r="E66" t="s">
        <v>20</v>
      </c>
      <c r="F66" t="s">
        <v>40</v>
      </c>
      <c r="G66" t="s">
        <v>31</v>
      </c>
      <c r="H66" s="12">
        <v>250000</v>
      </c>
      <c r="I66">
        <v>6</v>
      </c>
      <c r="J66" t="s">
        <v>17</v>
      </c>
      <c r="K66" s="12">
        <f t="shared" ref="K66:K129" si="1">H66-H66*0.2</f>
        <v>200000</v>
      </c>
      <c r="L66" s="12">
        <f>Sales_Data[[#This Row],[Unit Price]]*Sales_Data[[#This Row],[Quantity]]</f>
        <v>1500000</v>
      </c>
      <c r="M66" s="12">
        <f>Sales_Data[[#This Row],[Cost Price]]*Sales_Data[[#This Row],[Quantity]]</f>
        <v>1200000</v>
      </c>
      <c r="N66" s="12">
        <f>Sales_Data[[#This Row],[Revenue]]-Sales_Data[[#This Row],[COGS]]</f>
        <v>300000</v>
      </c>
    </row>
    <row r="67" spans="1:14">
      <c r="A67" s="1">
        <v>45741</v>
      </c>
      <c r="B67" t="s">
        <v>11</v>
      </c>
      <c r="C67" t="s">
        <v>12</v>
      </c>
      <c r="D67" t="s">
        <v>13</v>
      </c>
      <c r="E67" t="s">
        <v>20</v>
      </c>
      <c r="F67" t="s">
        <v>33</v>
      </c>
      <c r="G67" t="s">
        <v>22</v>
      </c>
      <c r="H67" s="12">
        <v>180000</v>
      </c>
      <c r="I67">
        <v>3</v>
      </c>
      <c r="J67" t="s">
        <v>39</v>
      </c>
      <c r="K67" s="12">
        <f t="shared" si="1"/>
        <v>144000</v>
      </c>
      <c r="L67" s="12">
        <f>Sales_Data[[#This Row],[Unit Price]]*Sales_Data[[#This Row],[Quantity]]</f>
        <v>540000</v>
      </c>
      <c r="M67" s="12">
        <f>Sales_Data[[#This Row],[Cost Price]]*Sales_Data[[#This Row],[Quantity]]</f>
        <v>432000</v>
      </c>
      <c r="N67" s="12">
        <f>Sales_Data[[#This Row],[Revenue]]-Sales_Data[[#This Row],[COGS]]</f>
        <v>108000</v>
      </c>
    </row>
    <row r="68" spans="1:14">
      <c r="A68" s="1">
        <v>45742</v>
      </c>
      <c r="B68" t="s">
        <v>25</v>
      </c>
      <c r="C68" t="s">
        <v>12</v>
      </c>
      <c r="D68" t="s">
        <v>23</v>
      </c>
      <c r="E68" t="s">
        <v>14</v>
      </c>
      <c r="F68" t="s">
        <v>27</v>
      </c>
      <c r="G68" t="s">
        <v>22</v>
      </c>
      <c r="H68" s="12">
        <v>60000</v>
      </c>
      <c r="I68">
        <v>8</v>
      </c>
      <c r="J68" t="s">
        <v>35</v>
      </c>
      <c r="K68" s="12">
        <f t="shared" si="1"/>
        <v>48000</v>
      </c>
      <c r="L68" s="12">
        <f>Sales_Data[[#This Row],[Unit Price]]*Sales_Data[[#This Row],[Quantity]]</f>
        <v>480000</v>
      </c>
      <c r="M68" s="12">
        <f>Sales_Data[[#This Row],[Cost Price]]*Sales_Data[[#This Row],[Quantity]]</f>
        <v>384000</v>
      </c>
      <c r="N68" s="12">
        <f>Sales_Data[[#This Row],[Revenue]]-Sales_Data[[#This Row],[COGS]]</f>
        <v>96000</v>
      </c>
    </row>
    <row r="69" spans="1:14">
      <c r="A69" s="1">
        <v>45743</v>
      </c>
      <c r="B69" t="s">
        <v>29</v>
      </c>
      <c r="C69" t="s">
        <v>12</v>
      </c>
      <c r="D69" t="s">
        <v>13</v>
      </c>
      <c r="E69" t="s">
        <v>14</v>
      </c>
      <c r="F69" t="s">
        <v>27</v>
      </c>
      <c r="G69" t="s">
        <v>22</v>
      </c>
      <c r="H69" s="12">
        <v>60000</v>
      </c>
      <c r="I69">
        <v>3</v>
      </c>
      <c r="J69" t="s">
        <v>17</v>
      </c>
      <c r="K69" s="12">
        <f t="shared" si="1"/>
        <v>48000</v>
      </c>
      <c r="L69" s="12">
        <f>Sales_Data[[#This Row],[Unit Price]]*Sales_Data[[#This Row],[Quantity]]</f>
        <v>180000</v>
      </c>
      <c r="M69" s="12">
        <f>Sales_Data[[#This Row],[Cost Price]]*Sales_Data[[#This Row],[Quantity]]</f>
        <v>144000</v>
      </c>
      <c r="N69" s="12">
        <f>Sales_Data[[#This Row],[Revenue]]-Sales_Data[[#This Row],[COGS]]</f>
        <v>36000</v>
      </c>
    </row>
    <row r="70" spans="1:14">
      <c r="A70" s="1">
        <v>45744</v>
      </c>
      <c r="B70" t="s">
        <v>11</v>
      </c>
      <c r="C70" t="s">
        <v>26</v>
      </c>
      <c r="D70" t="s">
        <v>23</v>
      </c>
      <c r="E70" t="s">
        <v>14</v>
      </c>
      <c r="F70" t="s">
        <v>21</v>
      </c>
      <c r="G70" t="s">
        <v>22</v>
      </c>
      <c r="H70" s="12">
        <v>30000</v>
      </c>
      <c r="I70">
        <v>8</v>
      </c>
      <c r="J70" t="s">
        <v>28</v>
      </c>
      <c r="K70" s="12">
        <f t="shared" si="1"/>
        <v>24000</v>
      </c>
      <c r="L70" s="12">
        <f>Sales_Data[[#This Row],[Unit Price]]*Sales_Data[[#This Row],[Quantity]]</f>
        <v>240000</v>
      </c>
      <c r="M70" s="12">
        <f>Sales_Data[[#This Row],[Cost Price]]*Sales_Data[[#This Row],[Quantity]]</f>
        <v>192000</v>
      </c>
      <c r="N70" s="12">
        <f>Sales_Data[[#This Row],[Revenue]]-Sales_Data[[#This Row],[COGS]]</f>
        <v>48000</v>
      </c>
    </row>
    <row r="71" spans="1:14">
      <c r="A71" s="1">
        <v>45745</v>
      </c>
      <c r="B71" t="s">
        <v>25</v>
      </c>
      <c r="C71" t="s">
        <v>19</v>
      </c>
      <c r="D71" t="s">
        <v>13</v>
      </c>
      <c r="E71" t="s">
        <v>20</v>
      </c>
      <c r="F71" t="s">
        <v>27</v>
      </c>
      <c r="G71" t="s">
        <v>22</v>
      </c>
      <c r="H71" s="12">
        <v>60000</v>
      </c>
      <c r="I71">
        <v>4</v>
      </c>
      <c r="J71" t="s">
        <v>39</v>
      </c>
      <c r="K71" s="12">
        <f t="shared" si="1"/>
        <v>48000</v>
      </c>
      <c r="L71" s="12">
        <f>Sales_Data[[#This Row],[Unit Price]]*Sales_Data[[#This Row],[Quantity]]</f>
        <v>240000</v>
      </c>
      <c r="M71" s="12">
        <f>Sales_Data[[#This Row],[Cost Price]]*Sales_Data[[#This Row],[Quantity]]</f>
        <v>192000</v>
      </c>
      <c r="N71" s="12">
        <f>Sales_Data[[#This Row],[Revenue]]-Sales_Data[[#This Row],[COGS]]</f>
        <v>48000</v>
      </c>
    </row>
    <row r="72" spans="1:14">
      <c r="A72" s="1">
        <v>45746</v>
      </c>
      <c r="B72" t="s">
        <v>25</v>
      </c>
      <c r="C72" t="s">
        <v>12</v>
      </c>
      <c r="D72" t="s">
        <v>23</v>
      </c>
      <c r="E72" t="s">
        <v>20</v>
      </c>
      <c r="F72" t="s">
        <v>21</v>
      </c>
      <c r="G72" t="s">
        <v>22</v>
      </c>
      <c r="H72" s="12">
        <v>30000</v>
      </c>
      <c r="I72">
        <v>3</v>
      </c>
      <c r="J72" t="s">
        <v>24</v>
      </c>
      <c r="K72" s="12">
        <f t="shared" si="1"/>
        <v>24000</v>
      </c>
      <c r="L72" s="12">
        <f>Sales_Data[[#This Row],[Unit Price]]*Sales_Data[[#This Row],[Quantity]]</f>
        <v>90000</v>
      </c>
      <c r="M72" s="12">
        <f>Sales_Data[[#This Row],[Cost Price]]*Sales_Data[[#This Row],[Quantity]]</f>
        <v>72000</v>
      </c>
      <c r="N72" s="12">
        <f>Sales_Data[[#This Row],[Revenue]]-Sales_Data[[#This Row],[COGS]]</f>
        <v>18000</v>
      </c>
    </row>
    <row r="73" spans="1:14">
      <c r="A73" s="1">
        <v>45747</v>
      </c>
      <c r="B73" t="s">
        <v>18</v>
      </c>
      <c r="C73" t="s">
        <v>26</v>
      </c>
      <c r="D73" t="s">
        <v>13</v>
      </c>
      <c r="E73" t="s">
        <v>14</v>
      </c>
      <c r="F73" t="s">
        <v>33</v>
      </c>
      <c r="G73" t="s">
        <v>22</v>
      </c>
      <c r="H73" s="12">
        <v>180000</v>
      </c>
      <c r="I73">
        <v>5</v>
      </c>
      <c r="J73" t="s">
        <v>28</v>
      </c>
      <c r="K73" s="12">
        <f t="shared" si="1"/>
        <v>144000</v>
      </c>
      <c r="L73" s="12">
        <f>Sales_Data[[#This Row],[Unit Price]]*Sales_Data[[#This Row],[Quantity]]</f>
        <v>900000</v>
      </c>
      <c r="M73" s="12">
        <f>Sales_Data[[#This Row],[Cost Price]]*Sales_Data[[#This Row],[Quantity]]</f>
        <v>720000</v>
      </c>
      <c r="N73" s="12">
        <f>Sales_Data[[#This Row],[Revenue]]-Sales_Data[[#This Row],[COGS]]</f>
        <v>180000</v>
      </c>
    </row>
    <row r="74" spans="1:14">
      <c r="A74" s="1">
        <v>45748</v>
      </c>
      <c r="B74" t="s">
        <v>29</v>
      </c>
      <c r="C74" t="s">
        <v>12</v>
      </c>
      <c r="D74" t="s">
        <v>13</v>
      </c>
      <c r="E74" t="s">
        <v>20</v>
      </c>
      <c r="F74" t="s">
        <v>41</v>
      </c>
      <c r="G74" t="s">
        <v>22</v>
      </c>
      <c r="H74" s="12">
        <v>220000</v>
      </c>
      <c r="I74">
        <v>3</v>
      </c>
      <c r="J74" t="s">
        <v>39</v>
      </c>
      <c r="K74" s="12">
        <f t="shared" si="1"/>
        <v>176000</v>
      </c>
      <c r="L74" s="12">
        <f>Sales_Data[[#This Row],[Unit Price]]*Sales_Data[[#This Row],[Quantity]]</f>
        <v>660000</v>
      </c>
      <c r="M74" s="12">
        <f>Sales_Data[[#This Row],[Cost Price]]*Sales_Data[[#This Row],[Quantity]]</f>
        <v>528000</v>
      </c>
      <c r="N74" s="12">
        <f>Sales_Data[[#This Row],[Revenue]]-Sales_Data[[#This Row],[COGS]]</f>
        <v>132000</v>
      </c>
    </row>
    <row r="75" spans="1:14">
      <c r="A75" s="1">
        <v>45749</v>
      </c>
      <c r="B75" t="s">
        <v>11</v>
      </c>
      <c r="C75" t="s">
        <v>19</v>
      </c>
      <c r="D75" t="s">
        <v>13</v>
      </c>
      <c r="E75" t="s">
        <v>14</v>
      </c>
      <c r="F75" t="s">
        <v>27</v>
      </c>
      <c r="G75" t="s">
        <v>22</v>
      </c>
      <c r="H75" s="12">
        <v>60000</v>
      </c>
      <c r="I75">
        <v>4</v>
      </c>
      <c r="J75" t="s">
        <v>37</v>
      </c>
      <c r="K75" s="12">
        <f t="shared" si="1"/>
        <v>48000</v>
      </c>
      <c r="L75" s="12">
        <f>Sales_Data[[#This Row],[Unit Price]]*Sales_Data[[#This Row],[Quantity]]</f>
        <v>240000</v>
      </c>
      <c r="M75" s="12">
        <f>Sales_Data[[#This Row],[Cost Price]]*Sales_Data[[#This Row],[Quantity]]</f>
        <v>192000</v>
      </c>
      <c r="N75" s="12">
        <f>Sales_Data[[#This Row],[Revenue]]-Sales_Data[[#This Row],[COGS]]</f>
        <v>48000</v>
      </c>
    </row>
    <row r="76" spans="1:14">
      <c r="A76" s="1">
        <v>45750</v>
      </c>
      <c r="B76" t="s">
        <v>29</v>
      </c>
      <c r="C76" t="s">
        <v>12</v>
      </c>
      <c r="D76" t="s">
        <v>23</v>
      </c>
      <c r="E76" t="s">
        <v>14</v>
      </c>
      <c r="F76" t="s">
        <v>15</v>
      </c>
      <c r="G76" t="s">
        <v>16</v>
      </c>
      <c r="H76" s="12">
        <v>85000</v>
      </c>
      <c r="I76">
        <v>1</v>
      </c>
      <c r="J76" t="s">
        <v>37</v>
      </c>
      <c r="K76" s="12">
        <f t="shared" si="1"/>
        <v>68000</v>
      </c>
      <c r="L76" s="12">
        <f>Sales_Data[[#This Row],[Unit Price]]*Sales_Data[[#This Row],[Quantity]]</f>
        <v>85000</v>
      </c>
      <c r="M76" s="12">
        <f>Sales_Data[[#This Row],[Cost Price]]*Sales_Data[[#This Row],[Quantity]]</f>
        <v>68000</v>
      </c>
      <c r="N76" s="12">
        <f>Sales_Data[[#This Row],[Revenue]]-Sales_Data[[#This Row],[COGS]]</f>
        <v>17000</v>
      </c>
    </row>
    <row r="77" spans="1:14">
      <c r="A77" s="1">
        <v>45751</v>
      </c>
      <c r="B77" t="s">
        <v>18</v>
      </c>
      <c r="C77" t="s">
        <v>12</v>
      </c>
      <c r="D77" t="s">
        <v>13</v>
      </c>
      <c r="E77" t="s">
        <v>14</v>
      </c>
      <c r="F77" t="s">
        <v>21</v>
      </c>
      <c r="G77" t="s">
        <v>22</v>
      </c>
      <c r="H77" s="12">
        <v>30000</v>
      </c>
      <c r="I77">
        <v>5</v>
      </c>
      <c r="J77" t="s">
        <v>24</v>
      </c>
      <c r="K77" s="12">
        <f t="shared" si="1"/>
        <v>24000</v>
      </c>
      <c r="L77" s="12">
        <f>Sales_Data[[#This Row],[Unit Price]]*Sales_Data[[#This Row],[Quantity]]</f>
        <v>150000</v>
      </c>
      <c r="M77" s="12">
        <f>Sales_Data[[#This Row],[Cost Price]]*Sales_Data[[#This Row],[Quantity]]</f>
        <v>120000</v>
      </c>
      <c r="N77" s="12">
        <f>Sales_Data[[#This Row],[Revenue]]-Sales_Data[[#This Row],[COGS]]</f>
        <v>30000</v>
      </c>
    </row>
    <row r="78" spans="1:14">
      <c r="A78" s="1">
        <v>45752</v>
      </c>
      <c r="B78" t="s">
        <v>18</v>
      </c>
      <c r="C78" t="s">
        <v>32</v>
      </c>
      <c r="D78" t="s">
        <v>13</v>
      </c>
      <c r="E78" t="s">
        <v>20</v>
      </c>
      <c r="F78" t="s">
        <v>27</v>
      </c>
      <c r="G78" t="s">
        <v>22</v>
      </c>
      <c r="H78" s="12">
        <v>60000</v>
      </c>
      <c r="I78">
        <v>3</v>
      </c>
      <c r="J78" t="s">
        <v>37</v>
      </c>
      <c r="K78" s="12">
        <f t="shared" si="1"/>
        <v>48000</v>
      </c>
      <c r="L78" s="12">
        <f>Sales_Data[[#This Row],[Unit Price]]*Sales_Data[[#This Row],[Quantity]]</f>
        <v>180000</v>
      </c>
      <c r="M78" s="12">
        <f>Sales_Data[[#This Row],[Cost Price]]*Sales_Data[[#This Row],[Quantity]]</f>
        <v>144000</v>
      </c>
      <c r="N78" s="12">
        <f>Sales_Data[[#This Row],[Revenue]]-Sales_Data[[#This Row],[COGS]]</f>
        <v>36000</v>
      </c>
    </row>
    <row r="79" spans="1:14">
      <c r="A79" s="1">
        <v>45753</v>
      </c>
      <c r="B79" t="s">
        <v>11</v>
      </c>
      <c r="C79" t="s">
        <v>32</v>
      </c>
      <c r="D79" t="s">
        <v>13</v>
      </c>
      <c r="E79" t="s">
        <v>14</v>
      </c>
      <c r="F79" t="s">
        <v>27</v>
      </c>
      <c r="G79" t="s">
        <v>22</v>
      </c>
      <c r="H79" s="12">
        <v>60000</v>
      </c>
      <c r="I79">
        <v>6</v>
      </c>
      <c r="J79" t="s">
        <v>17</v>
      </c>
      <c r="K79" s="12">
        <f t="shared" si="1"/>
        <v>48000</v>
      </c>
      <c r="L79" s="12">
        <f>Sales_Data[[#This Row],[Unit Price]]*Sales_Data[[#This Row],[Quantity]]</f>
        <v>360000</v>
      </c>
      <c r="M79" s="12">
        <f>Sales_Data[[#This Row],[Cost Price]]*Sales_Data[[#This Row],[Quantity]]</f>
        <v>288000</v>
      </c>
      <c r="N79" s="12">
        <f>Sales_Data[[#This Row],[Revenue]]-Sales_Data[[#This Row],[COGS]]</f>
        <v>72000</v>
      </c>
    </row>
    <row r="80" spans="1:14">
      <c r="A80" s="1">
        <v>45754</v>
      </c>
      <c r="B80" t="s">
        <v>25</v>
      </c>
      <c r="C80" t="s">
        <v>26</v>
      </c>
      <c r="D80" t="s">
        <v>23</v>
      </c>
      <c r="E80" t="s">
        <v>14</v>
      </c>
      <c r="F80" t="s">
        <v>30</v>
      </c>
      <c r="G80" t="s">
        <v>31</v>
      </c>
      <c r="H80" s="12">
        <v>300000</v>
      </c>
      <c r="I80">
        <v>2</v>
      </c>
      <c r="J80" t="s">
        <v>17</v>
      </c>
      <c r="K80" s="12">
        <f t="shared" si="1"/>
        <v>240000</v>
      </c>
      <c r="L80" s="12">
        <f>Sales_Data[[#This Row],[Unit Price]]*Sales_Data[[#This Row],[Quantity]]</f>
        <v>600000</v>
      </c>
      <c r="M80" s="12">
        <f>Sales_Data[[#This Row],[Cost Price]]*Sales_Data[[#This Row],[Quantity]]</f>
        <v>480000</v>
      </c>
      <c r="N80" s="12">
        <f>Sales_Data[[#This Row],[Revenue]]-Sales_Data[[#This Row],[COGS]]</f>
        <v>120000</v>
      </c>
    </row>
    <row r="81" spans="1:14">
      <c r="A81" s="1">
        <v>45755</v>
      </c>
      <c r="B81" t="s">
        <v>11</v>
      </c>
      <c r="C81" t="s">
        <v>26</v>
      </c>
      <c r="D81" t="s">
        <v>13</v>
      </c>
      <c r="E81" t="s">
        <v>14</v>
      </c>
      <c r="F81" t="s">
        <v>36</v>
      </c>
      <c r="G81" t="s">
        <v>31</v>
      </c>
      <c r="H81" s="12">
        <v>150000</v>
      </c>
      <c r="I81">
        <v>7</v>
      </c>
      <c r="J81" t="s">
        <v>24</v>
      </c>
      <c r="K81" s="12">
        <f t="shared" si="1"/>
        <v>120000</v>
      </c>
      <c r="L81" s="12">
        <f>Sales_Data[[#This Row],[Unit Price]]*Sales_Data[[#This Row],[Quantity]]</f>
        <v>1050000</v>
      </c>
      <c r="M81" s="12">
        <f>Sales_Data[[#This Row],[Cost Price]]*Sales_Data[[#This Row],[Quantity]]</f>
        <v>840000</v>
      </c>
      <c r="N81" s="12">
        <f>Sales_Data[[#This Row],[Revenue]]-Sales_Data[[#This Row],[COGS]]</f>
        <v>210000</v>
      </c>
    </row>
    <row r="82" spans="1:14">
      <c r="A82" s="1">
        <v>45756</v>
      </c>
      <c r="B82" t="s">
        <v>29</v>
      </c>
      <c r="C82" t="s">
        <v>26</v>
      </c>
      <c r="D82" t="s">
        <v>23</v>
      </c>
      <c r="E82" t="s">
        <v>20</v>
      </c>
      <c r="F82" t="s">
        <v>41</v>
      </c>
      <c r="G82" t="s">
        <v>22</v>
      </c>
      <c r="H82" s="12">
        <v>220000</v>
      </c>
      <c r="I82">
        <v>3</v>
      </c>
      <c r="J82" t="s">
        <v>28</v>
      </c>
      <c r="K82" s="12">
        <f t="shared" si="1"/>
        <v>176000</v>
      </c>
      <c r="L82" s="12">
        <f>Sales_Data[[#This Row],[Unit Price]]*Sales_Data[[#This Row],[Quantity]]</f>
        <v>660000</v>
      </c>
      <c r="M82" s="12">
        <f>Sales_Data[[#This Row],[Cost Price]]*Sales_Data[[#This Row],[Quantity]]</f>
        <v>528000</v>
      </c>
      <c r="N82" s="12">
        <f>Sales_Data[[#This Row],[Revenue]]-Sales_Data[[#This Row],[COGS]]</f>
        <v>132000</v>
      </c>
    </row>
    <row r="83" spans="1:14">
      <c r="A83" s="1">
        <v>45757</v>
      </c>
      <c r="B83" t="s">
        <v>11</v>
      </c>
      <c r="C83" t="s">
        <v>26</v>
      </c>
      <c r="D83" t="s">
        <v>13</v>
      </c>
      <c r="E83" t="s">
        <v>20</v>
      </c>
      <c r="F83" t="s">
        <v>27</v>
      </c>
      <c r="G83" t="s">
        <v>22</v>
      </c>
      <c r="H83" s="12">
        <v>60000</v>
      </c>
      <c r="I83">
        <v>9</v>
      </c>
      <c r="J83" t="s">
        <v>35</v>
      </c>
      <c r="K83" s="12">
        <f t="shared" si="1"/>
        <v>48000</v>
      </c>
      <c r="L83" s="12">
        <f>Sales_Data[[#This Row],[Unit Price]]*Sales_Data[[#This Row],[Quantity]]</f>
        <v>540000</v>
      </c>
      <c r="M83" s="12">
        <f>Sales_Data[[#This Row],[Cost Price]]*Sales_Data[[#This Row],[Quantity]]</f>
        <v>432000</v>
      </c>
      <c r="N83" s="12">
        <f>Sales_Data[[#This Row],[Revenue]]-Sales_Data[[#This Row],[COGS]]</f>
        <v>108000</v>
      </c>
    </row>
    <row r="84" spans="1:14">
      <c r="A84" s="1">
        <v>45758</v>
      </c>
      <c r="B84" t="s">
        <v>11</v>
      </c>
      <c r="C84" t="s">
        <v>19</v>
      </c>
      <c r="D84" t="s">
        <v>23</v>
      </c>
      <c r="E84" t="s">
        <v>20</v>
      </c>
      <c r="F84" t="s">
        <v>34</v>
      </c>
      <c r="G84" t="s">
        <v>16</v>
      </c>
      <c r="H84" s="12">
        <v>320000</v>
      </c>
      <c r="I84">
        <v>2</v>
      </c>
      <c r="J84" t="s">
        <v>28</v>
      </c>
      <c r="K84" s="12">
        <f t="shared" si="1"/>
        <v>256000</v>
      </c>
      <c r="L84" s="12">
        <f>Sales_Data[[#This Row],[Unit Price]]*Sales_Data[[#This Row],[Quantity]]</f>
        <v>640000</v>
      </c>
      <c r="M84" s="12">
        <f>Sales_Data[[#This Row],[Cost Price]]*Sales_Data[[#This Row],[Quantity]]</f>
        <v>512000</v>
      </c>
      <c r="N84" s="12">
        <f>Sales_Data[[#This Row],[Revenue]]-Sales_Data[[#This Row],[COGS]]</f>
        <v>128000</v>
      </c>
    </row>
    <row r="85" spans="1:14">
      <c r="A85" s="1">
        <v>45759</v>
      </c>
      <c r="B85" t="s">
        <v>11</v>
      </c>
      <c r="C85" t="s">
        <v>26</v>
      </c>
      <c r="D85" t="s">
        <v>23</v>
      </c>
      <c r="E85" t="s">
        <v>14</v>
      </c>
      <c r="F85" t="s">
        <v>41</v>
      </c>
      <c r="G85" t="s">
        <v>22</v>
      </c>
      <c r="H85" s="12">
        <v>220000</v>
      </c>
      <c r="I85">
        <v>5</v>
      </c>
      <c r="J85" t="s">
        <v>17</v>
      </c>
      <c r="K85" s="12">
        <f t="shared" si="1"/>
        <v>176000</v>
      </c>
      <c r="L85" s="12">
        <f>Sales_Data[[#This Row],[Unit Price]]*Sales_Data[[#This Row],[Quantity]]</f>
        <v>1100000</v>
      </c>
      <c r="M85" s="12">
        <f>Sales_Data[[#This Row],[Cost Price]]*Sales_Data[[#This Row],[Quantity]]</f>
        <v>880000</v>
      </c>
      <c r="N85" s="12">
        <f>Sales_Data[[#This Row],[Revenue]]-Sales_Data[[#This Row],[COGS]]</f>
        <v>220000</v>
      </c>
    </row>
    <row r="86" spans="1:14">
      <c r="A86" s="1">
        <v>45760</v>
      </c>
      <c r="B86" t="s">
        <v>11</v>
      </c>
      <c r="C86" t="s">
        <v>12</v>
      </c>
      <c r="D86" t="s">
        <v>23</v>
      </c>
      <c r="E86" t="s">
        <v>14</v>
      </c>
      <c r="F86" t="s">
        <v>36</v>
      </c>
      <c r="G86" t="s">
        <v>31</v>
      </c>
      <c r="H86" s="12">
        <v>150000</v>
      </c>
      <c r="I86">
        <v>1</v>
      </c>
      <c r="J86" t="s">
        <v>39</v>
      </c>
      <c r="K86" s="12">
        <f t="shared" si="1"/>
        <v>120000</v>
      </c>
      <c r="L86" s="12">
        <f>Sales_Data[[#This Row],[Unit Price]]*Sales_Data[[#This Row],[Quantity]]</f>
        <v>150000</v>
      </c>
      <c r="M86" s="12">
        <f>Sales_Data[[#This Row],[Cost Price]]*Sales_Data[[#This Row],[Quantity]]</f>
        <v>120000</v>
      </c>
      <c r="N86" s="12">
        <f>Sales_Data[[#This Row],[Revenue]]-Sales_Data[[#This Row],[COGS]]</f>
        <v>30000</v>
      </c>
    </row>
    <row r="87" spans="1:14">
      <c r="A87" s="1">
        <v>45761</v>
      </c>
      <c r="B87" t="s">
        <v>25</v>
      </c>
      <c r="C87" t="s">
        <v>19</v>
      </c>
      <c r="D87" t="s">
        <v>13</v>
      </c>
      <c r="E87" t="s">
        <v>20</v>
      </c>
      <c r="F87" t="s">
        <v>30</v>
      </c>
      <c r="G87" t="s">
        <v>31</v>
      </c>
      <c r="H87" s="12">
        <v>300000</v>
      </c>
      <c r="I87">
        <v>8</v>
      </c>
      <c r="J87" t="s">
        <v>17</v>
      </c>
      <c r="K87" s="12">
        <f t="shared" si="1"/>
        <v>240000</v>
      </c>
      <c r="L87" s="12">
        <f>Sales_Data[[#This Row],[Unit Price]]*Sales_Data[[#This Row],[Quantity]]</f>
        <v>2400000</v>
      </c>
      <c r="M87" s="12">
        <f>Sales_Data[[#This Row],[Cost Price]]*Sales_Data[[#This Row],[Quantity]]</f>
        <v>1920000</v>
      </c>
      <c r="N87" s="12">
        <f>Sales_Data[[#This Row],[Revenue]]-Sales_Data[[#This Row],[COGS]]</f>
        <v>480000</v>
      </c>
    </row>
    <row r="88" spans="1:14">
      <c r="A88" s="1">
        <v>45762</v>
      </c>
      <c r="B88" t="s">
        <v>18</v>
      </c>
      <c r="C88" t="s">
        <v>32</v>
      </c>
      <c r="D88" t="s">
        <v>13</v>
      </c>
      <c r="E88" t="s">
        <v>14</v>
      </c>
      <c r="F88" t="s">
        <v>41</v>
      </c>
      <c r="G88" t="s">
        <v>22</v>
      </c>
      <c r="H88" s="12">
        <v>220000</v>
      </c>
      <c r="I88">
        <v>3</v>
      </c>
      <c r="J88" t="s">
        <v>37</v>
      </c>
      <c r="K88" s="12">
        <f t="shared" si="1"/>
        <v>176000</v>
      </c>
      <c r="L88" s="12">
        <f>Sales_Data[[#This Row],[Unit Price]]*Sales_Data[[#This Row],[Quantity]]</f>
        <v>660000</v>
      </c>
      <c r="M88" s="12">
        <f>Sales_Data[[#This Row],[Cost Price]]*Sales_Data[[#This Row],[Quantity]]</f>
        <v>528000</v>
      </c>
      <c r="N88" s="12">
        <f>Sales_Data[[#This Row],[Revenue]]-Sales_Data[[#This Row],[COGS]]</f>
        <v>132000</v>
      </c>
    </row>
    <row r="89" spans="1:14">
      <c r="A89" s="1">
        <v>45763</v>
      </c>
      <c r="B89" t="s">
        <v>11</v>
      </c>
      <c r="C89" t="s">
        <v>12</v>
      </c>
      <c r="D89" t="s">
        <v>13</v>
      </c>
      <c r="E89" t="s">
        <v>14</v>
      </c>
      <c r="F89" t="s">
        <v>40</v>
      </c>
      <c r="G89" t="s">
        <v>31</v>
      </c>
      <c r="H89" s="12">
        <v>250000</v>
      </c>
      <c r="I89">
        <v>8</v>
      </c>
      <c r="J89" t="s">
        <v>17</v>
      </c>
      <c r="K89" s="12">
        <f t="shared" si="1"/>
        <v>200000</v>
      </c>
      <c r="L89" s="12">
        <f>Sales_Data[[#This Row],[Unit Price]]*Sales_Data[[#This Row],[Quantity]]</f>
        <v>2000000</v>
      </c>
      <c r="M89" s="12">
        <f>Sales_Data[[#This Row],[Cost Price]]*Sales_Data[[#This Row],[Quantity]]</f>
        <v>1600000</v>
      </c>
      <c r="N89" s="12">
        <f>Sales_Data[[#This Row],[Revenue]]-Sales_Data[[#This Row],[COGS]]</f>
        <v>400000</v>
      </c>
    </row>
    <row r="90" spans="1:14">
      <c r="A90" s="1">
        <v>45764</v>
      </c>
      <c r="B90" t="s">
        <v>25</v>
      </c>
      <c r="C90" t="s">
        <v>19</v>
      </c>
      <c r="D90" t="s">
        <v>23</v>
      </c>
      <c r="E90" t="s">
        <v>14</v>
      </c>
      <c r="F90" t="s">
        <v>30</v>
      </c>
      <c r="G90" t="s">
        <v>31</v>
      </c>
      <c r="H90" s="12">
        <v>300000</v>
      </c>
      <c r="I90">
        <v>4</v>
      </c>
      <c r="J90" t="s">
        <v>28</v>
      </c>
      <c r="K90" s="12">
        <f t="shared" si="1"/>
        <v>240000</v>
      </c>
      <c r="L90" s="12">
        <f>Sales_Data[[#This Row],[Unit Price]]*Sales_Data[[#This Row],[Quantity]]</f>
        <v>1200000</v>
      </c>
      <c r="M90" s="12">
        <f>Sales_Data[[#This Row],[Cost Price]]*Sales_Data[[#This Row],[Quantity]]</f>
        <v>960000</v>
      </c>
      <c r="N90" s="12">
        <f>Sales_Data[[#This Row],[Revenue]]-Sales_Data[[#This Row],[COGS]]</f>
        <v>240000</v>
      </c>
    </row>
    <row r="91" spans="1:14">
      <c r="A91" s="1">
        <v>45765</v>
      </c>
      <c r="B91" t="s">
        <v>25</v>
      </c>
      <c r="C91" t="s">
        <v>26</v>
      </c>
      <c r="D91" t="s">
        <v>23</v>
      </c>
      <c r="E91" t="s">
        <v>20</v>
      </c>
      <c r="F91" t="s">
        <v>30</v>
      </c>
      <c r="G91" t="s">
        <v>31</v>
      </c>
      <c r="H91" s="12">
        <v>300000</v>
      </c>
      <c r="I91">
        <v>1</v>
      </c>
      <c r="J91" t="s">
        <v>28</v>
      </c>
      <c r="K91" s="12">
        <f t="shared" si="1"/>
        <v>240000</v>
      </c>
      <c r="L91" s="12">
        <f>Sales_Data[[#This Row],[Unit Price]]*Sales_Data[[#This Row],[Quantity]]</f>
        <v>300000</v>
      </c>
      <c r="M91" s="12">
        <f>Sales_Data[[#This Row],[Cost Price]]*Sales_Data[[#This Row],[Quantity]]</f>
        <v>240000</v>
      </c>
      <c r="N91" s="12">
        <f>Sales_Data[[#This Row],[Revenue]]-Sales_Data[[#This Row],[COGS]]</f>
        <v>60000</v>
      </c>
    </row>
    <row r="92" spans="1:14">
      <c r="A92" s="1">
        <v>45766</v>
      </c>
      <c r="B92" t="s">
        <v>18</v>
      </c>
      <c r="C92" t="s">
        <v>32</v>
      </c>
      <c r="D92" t="s">
        <v>13</v>
      </c>
      <c r="E92" t="s">
        <v>14</v>
      </c>
      <c r="F92" t="s">
        <v>40</v>
      </c>
      <c r="G92" t="s">
        <v>31</v>
      </c>
      <c r="H92" s="12">
        <v>250000</v>
      </c>
      <c r="I92">
        <v>8</v>
      </c>
      <c r="J92" t="s">
        <v>28</v>
      </c>
      <c r="K92" s="12">
        <f t="shared" si="1"/>
        <v>200000</v>
      </c>
      <c r="L92" s="12">
        <f>Sales_Data[[#This Row],[Unit Price]]*Sales_Data[[#This Row],[Quantity]]</f>
        <v>2000000</v>
      </c>
      <c r="M92" s="12">
        <f>Sales_Data[[#This Row],[Cost Price]]*Sales_Data[[#This Row],[Quantity]]</f>
        <v>1600000</v>
      </c>
      <c r="N92" s="12">
        <f>Sales_Data[[#This Row],[Revenue]]-Sales_Data[[#This Row],[COGS]]</f>
        <v>400000</v>
      </c>
    </row>
    <row r="93" spans="1:14">
      <c r="A93" s="1">
        <v>45767</v>
      </c>
      <c r="B93" t="s">
        <v>11</v>
      </c>
      <c r="C93" t="s">
        <v>32</v>
      </c>
      <c r="D93" t="s">
        <v>23</v>
      </c>
      <c r="E93" t="s">
        <v>20</v>
      </c>
      <c r="F93" t="s">
        <v>33</v>
      </c>
      <c r="G93" t="s">
        <v>22</v>
      </c>
      <c r="H93" s="12">
        <v>180000</v>
      </c>
      <c r="I93">
        <v>2</v>
      </c>
      <c r="J93" t="s">
        <v>37</v>
      </c>
      <c r="K93" s="12">
        <f t="shared" si="1"/>
        <v>144000</v>
      </c>
      <c r="L93" s="12">
        <f>Sales_Data[[#This Row],[Unit Price]]*Sales_Data[[#This Row],[Quantity]]</f>
        <v>360000</v>
      </c>
      <c r="M93" s="12">
        <f>Sales_Data[[#This Row],[Cost Price]]*Sales_Data[[#This Row],[Quantity]]</f>
        <v>288000</v>
      </c>
      <c r="N93" s="12">
        <f>Sales_Data[[#This Row],[Revenue]]-Sales_Data[[#This Row],[COGS]]</f>
        <v>72000</v>
      </c>
    </row>
    <row r="94" spans="1:14">
      <c r="A94" s="1">
        <v>45768</v>
      </c>
      <c r="B94" t="s">
        <v>11</v>
      </c>
      <c r="C94" t="s">
        <v>32</v>
      </c>
      <c r="D94" t="s">
        <v>13</v>
      </c>
      <c r="E94" t="s">
        <v>20</v>
      </c>
      <c r="F94" t="s">
        <v>33</v>
      </c>
      <c r="G94" t="s">
        <v>22</v>
      </c>
      <c r="H94" s="12">
        <v>180000</v>
      </c>
      <c r="I94">
        <v>6</v>
      </c>
      <c r="J94" t="s">
        <v>28</v>
      </c>
      <c r="K94" s="12">
        <f t="shared" si="1"/>
        <v>144000</v>
      </c>
      <c r="L94" s="12">
        <f>Sales_Data[[#This Row],[Unit Price]]*Sales_Data[[#This Row],[Quantity]]</f>
        <v>1080000</v>
      </c>
      <c r="M94" s="12">
        <f>Sales_Data[[#This Row],[Cost Price]]*Sales_Data[[#This Row],[Quantity]]</f>
        <v>864000</v>
      </c>
      <c r="N94" s="12">
        <f>Sales_Data[[#This Row],[Revenue]]-Sales_Data[[#This Row],[COGS]]</f>
        <v>216000</v>
      </c>
    </row>
    <row r="95" spans="1:14">
      <c r="A95" s="1">
        <v>45769</v>
      </c>
      <c r="B95" t="s">
        <v>29</v>
      </c>
      <c r="C95" t="s">
        <v>19</v>
      </c>
      <c r="D95" t="s">
        <v>23</v>
      </c>
      <c r="E95" t="s">
        <v>14</v>
      </c>
      <c r="F95" t="s">
        <v>30</v>
      </c>
      <c r="G95" t="s">
        <v>31</v>
      </c>
      <c r="H95" s="12">
        <v>300000</v>
      </c>
      <c r="I95">
        <v>2</v>
      </c>
      <c r="J95" t="s">
        <v>28</v>
      </c>
      <c r="K95" s="12">
        <f t="shared" si="1"/>
        <v>240000</v>
      </c>
      <c r="L95" s="12">
        <f>Sales_Data[[#This Row],[Unit Price]]*Sales_Data[[#This Row],[Quantity]]</f>
        <v>600000</v>
      </c>
      <c r="M95" s="12">
        <f>Sales_Data[[#This Row],[Cost Price]]*Sales_Data[[#This Row],[Quantity]]</f>
        <v>480000</v>
      </c>
      <c r="N95" s="12">
        <f>Sales_Data[[#This Row],[Revenue]]-Sales_Data[[#This Row],[COGS]]</f>
        <v>120000</v>
      </c>
    </row>
    <row r="96" spans="1:14">
      <c r="A96" s="1">
        <v>45770</v>
      </c>
      <c r="B96" t="s">
        <v>18</v>
      </c>
      <c r="C96" t="s">
        <v>12</v>
      </c>
      <c r="D96" t="s">
        <v>23</v>
      </c>
      <c r="E96" t="s">
        <v>20</v>
      </c>
      <c r="F96" t="s">
        <v>36</v>
      </c>
      <c r="G96" t="s">
        <v>31</v>
      </c>
      <c r="H96" s="12">
        <v>150000</v>
      </c>
      <c r="I96">
        <v>6</v>
      </c>
      <c r="J96" t="s">
        <v>17</v>
      </c>
      <c r="K96" s="12">
        <f t="shared" si="1"/>
        <v>120000</v>
      </c>
      <c r="L96" s="12">
        <f>Sales_Data[[#This Row],[Unit Price]]*Sales_Data[[#This Row],[Quantity]]</f>
        <v>900000</v>
      </c>
      <c r="M96" s="12">
        <f>Sales_Data[[#This Row],[Cost Price]]*Sales_Data[[#This Row],[Quantity]]</f>
        <v>720000</v>
      </c>
      <c r="N96" s="12">
        <f>Sales_Data[[#This Row],[Revenue]]-Sales_Data[[#This Row],[COGS]]</f>
        <v>180000</v>
      </c>
    </row>
    <row r="97" spans="1:14">
      <c r="A97" s="1">
        <v>45771</v>
      </c>
      <c r="B97" t="s">
        <v>25</v>
      </c>
      <c r="C97" t="s">
        <v>19</v>
      </c>
      <c r="D97" t="s">
        <v>23</v>
      </c>
      <c r="E97" t="s">
        <v>20</v>
      </c>
      <c r="F97" t="s">
        <v>38</v>
      </c>
      <c r="G97" t="s">
        <v>31</v>
      </c>
      <c r="H97" s="12">
        <v>420000</v>
      </c>
      <c r="I97">
        <v>10</v>
      </c>
      <c r="J97" t="s">
        <v>17</v>
      </c>
      <c r="K97" s="12">
        <f t="shared" si="1"/>
        <v>336000</v>
      </c>
      <c r="L97" s="12">
        <f>Sales_Data[[#This Row],[Unit Price]]*Sales_Data[[#This Row],[Quantity]]</f>
        <v>4200000</v>
      </c>
      <c r="M97" s="12">
        <f>Sales_Data[[#This Row],[Cost Price]]*Sales_Data[[#This Row],[Quantity]]</f>
        <v>3360000</v>
      </c>
      <c r="N97" s="12">
        <f>Sales_Data[[#This Row],[Revenue]]-Sales_Data[[#This Row],[COGS]]</f>
        <v>840000</v>
      </c>
    </row>
    <row r="98" spans="1:14">
      <c r="A98" s="1">
        <v>45772</v>
      </c>
      <c r="B98" t="s">
        <v>18</v>
      </c>
      <c r="C98" t="s">
        <v>26</v>
      </c>
      <c r="D98" t="s">
        <v>13</v>
      </c>
      <c r="E98" t="s">
        <v>14</v>
      </c>
      <c r="F98" t="s">
        <v>38</v>
      </c>
      <c r="G98" t="s">
        <v>31</v>
      </c>
      <c r="H98" s="12">
        <v>420000</v>
      </c>
      <c r="I98">
        <v>8</v>
      </c>
      <c r="J98" t="s">
        <v>28</v>
      </c>
      <c r="K98" s="12">
        <f t="shared" si="1"/>
        <v>336000</v>
      </c>
      <c r="L98" s="12">
        <f>Sales_Data[[#This Row],[Unit Price]]*Sales_Data[[#This Row],[Quantity]]</f>
        <v>3360000</v>
      </c>
      <c r="M98" s="12">
        <f>Sales_Data[[#This Row],[Cost Price]]*Sales_Data[[#This Row],[Quantity]]</f>
        <v>2688000</v>
      </c>
      <c r="N98" s="12">
        <f>Sales_Data[[#This Row],[Revenue]]-Sales_Data[[#This Row],[COGS]]</f>
        <v>672000</v>
      </c>
    </row>
    <row r="99" spans="1:14">
      <c r="A99" s="1">
        <v>45773</v>
      </c>
      <c r="B99" t="s">
        <v>25</v>
      </c>
      <c r="C99" t="s">
        <v>19</v>
      </c>
      <c r="D99" t="s">
        <v>13</v>
      </c>
      <c r="E99" t="s">
        <v>20</v>
      </c>
      <c r="F99" t="s">
        <v>33</v>
      </c>
      <c r="G99" t="s">
        <v>22</v>
      </c>
      <c r="H99" s="12">
        <v>180000</v>
      </c>
      <c r="I99">
        <v>8</v>
      </c>
      <c r="J99" t="s">
        <v>17</v>
      </c>
      <c r="K99" s="12">
        <f t="shared" si="1"/>
        <v>144000</v>
      </c>
      <c r="L99" s="12">
        <f>Sales_Data[[#This Row],[Unit Price]]*Sales_Data[[#This Row],[Quantity]]</f>
        <v>1440000</v>
      </c>
      <c r="M99" s="12">
        <f>Sales_Data[[#This Row],[Cost Price]]*Sales_Data[[#This Row],[Quantity]]</f>
        <v>1152000</v>
      </c>
      <c r="N99" s="12">
        <f>Sales_Data[[#This Row],[Revenue]]-Sales_Data[[#This Row],[COGS]]</f>
        <v>288000</v>
      </c>
    </row>
    <row r="100" spans="1:14">
      <c r="A100" s="1">
        <v>45774</v>
      </c>
      <c r="B100" t="s">
        <v>25</v>
      </c>
      <c r="C100" t="s">
        <v>26</v>
      </c>
      <c r="D100" t="s">
        <v>13</v>
      </c>
      <c r="E100" t="s">
        <v>20</v>
      </c>
      <c r="F100" t="s">
        <v>30</v>
      </c>
      <c r="G100" t="s">
        <v>31</v>
      </c>
      <c r="H100" s="12">
        <v>300000</v>
      </c>
      <c r="I100">
        <v>4</v>
      </c>
      <c r="J100" t="s">
        <v>37</v>
      </c>
      <c r="K100" s="12">
        <f t="shared" si="1"/>
        <v>240000</v>
      </c>
      <c r="L100" s="12">
        <f>Sales_Data[[#This Row],[Unit Price]]*Sales_Data[[#This Row],[Quantity]]</f>
        <v>1200000</v>
      </c>
      <c r="M100" s="12">
        <f>Sales_Data[[#This Row],[Cost Price]]*Sales_Data[[#This Row],[Quantity]]</f>
        <v>960000</v>
      </c>
      <c r="N100" s="12">
        <f>Sales_Data[[#This Row],[Revenue]]-Sales_Data[[#This Row],[COGS]]</f>
        <v>240000</v>
      </c>
    </row>
    <row r="101" spans="1:14">
      <c r="A101" s="1">
        <v>45775</v>
      </c>
      <c r="B101" t="s">
        <v>25</v>
      </c>
      <c r="C101" t="s">
        <v>26</v>
      </c>
      <c r="D101" t="s">
        <v>13</v>
      </c>
      <c r="E101" t="s">
        <v>20</v>
      </c>
      <c r="F101" t="s">
        <v>38</v>
      </c>
      <c r="G101" t="s">
        <v>31</v>
      </c>
      <c r="H101" s="12">
        <v>420000</v>
      </c>
      <c r="I101">
        <v>1</v>
      </c>
      <c r="J101" t="s">
        <v>35</v>
      </c>
      <c r="K101" s="12">
        <f t="shared" si="1"/>
        <v>336000</v>
      </c>
      <c r="L101" s="12">
        <f>Sales_Data[[#This Row],[Unit Price]]*Sales_Data[[#This Row],[Quantity]]</f>
        <v>420000</v>
      </c>
      <c r="M101" s="12">
        <f>Sales_Data[[#This Row],[Cost Price]]*Sales_Data[[#This Row],[Quantity]]</f>
        <v>336000</v>
      </c>
      <c r="N101" s="12">
        <f>Sales_Data[[#This Row],[Revenue]]-Sales_Data[[#This Row],[COGS]]</f>
        <v>84000</v>
      </c>
    </row>
    <row r="102" spans="1:14">
      <c r="A102" s="1">
        <v>45776</v>
      </c>
      <c r="B102" t="s">
        <v>11</v>
      </c>
      <c r="C102" t="s">
        <v>26</v>
      </c>
      <c r="D102" t="s">
        <v>23</v>
      </c>
      <c r="E102" t="s">
        <v>14</v>
      </c>
      <c r="F102" t="s">
        <v>21</v>
      </c>
      <c r="G102" t="s">
        <v>22</v>
      </c>
      <c r="H102" s="12">
        <v>30000</v>
      </c>
      <c r="I102">
        <v>7</v>
      </c>
      <c r="J102" t="s">
        <v>28</v>
      </c>
      <c r="K102" s="12">
        <f t="shared" si="1"/>
        <v>24000</v>
      </c>
      <c r="L102" s="12">
        <f>Sales_Data[[#This Row],[Unit Price]]*Sales_Data[[#This Row],[Quantity]]</f>
        <v>210000</v>
      </c>
      <c r="M102" s="12">
        <f>Sales_Data[[#This Row],[Cost Price]]*Sales_Data[[#This Row],[Quantity]]</f>
        <v>168000</v>
      </c>
      <c r="N102" s="12">
        <f>Sales_Data[[#This Row],[Revenue]]-Sales_Data[[#This Row],[COGS]]</f>
        <v>42000</v>
      </c>
    </row>
    <row r="103" spans="1:14">
      <c r="A103" s="1">
        <v>45777</v>
      </c>
      <c r="B103" t="s">
        <v>25</v>
      </c>
      <c r="C103" t="s">
        <v>12</v>
      </c>
      <c r="D103" t="s">
        <v>13</v>
      </c>
      <c r="E103" t="s">
        <v>14</v>
      </c>
      <c r="F103" t="s">
        <v>38</v>
      </c>
      <c r="G103" t="s">
        <v>31</v>
      </c>
      <c r="H103" s="12">
        <v>420000</v>
      </c>
      <c r="I103">
        <v>3</v>
      </c>
      <c r="J103" t="s">
        <v>28</v>
      </c>
      <c r="K103" s="12">
        <f t="shared" si="1"/>
        <v>336000</v>
      </c>
      <c r="L103" s="12">
        <f>Sales_Data[[#This Row],[Unit Price]]*Sales_Data[[#This Row],[Quantity]]</f>
        <v>1260000</v>
      </c>
      <c r="M103" s="12">
        <f>Sales_Data[[#This Row],[Cost Price]]*Sales_Data[[#This Row],[Quantity]]</f>
        <v>1008000</v>
      </c>
      <c r="N103" s="12">
        <f>Sales_Data[[#This Row],[Revenue]]-Sales_Data[[#This Row],[COGS]]</f>
        <v>252000</v>
      </c>
    </row>
    <row r="104" spans="1:14">
      <c r="A104" s="1">
        <v>45778</v>
      </c>
      <c r="B104" t="s">
        <v>25</v>
      </c>
      <c r="C104" t="s">
        <v>12</v>
      </c>
      <c r="D104" t="s">
        <v>13</v>
      </c>
      <c r="E104" t="s">
        <v>20</v>
      </c>
      <c r="F104" t="s">
        <v>27</v>
      </c>
      <c r="G104" t="s">
        <v>22</v>
      </c>
      <c r="H104" s="12">
        <v>60000</v>
      </c>
      <c r="I104">
        <v>5</v>
      </c>
      <c r="J104" t="s">
        <v>39</v>
      </c>
      <c r="K104" s="12">
        <f t="shared" si="1"/>
        <v>48000</v>
      </c>
      <c r="L104" s="12">
        <f>Sales_Data[[#This Row],[Unit Price]]*Sales_Data[[#This Row],[Quantity]]</f>
        <v>300000</v>
      </c>
      <c r="M104" s="12">
        <f>Sales_Data[[#This Row],[Cost Price]]*Sales_Data[[#This Row],[Quantity]]</f>
        <v>240000</v>
      </c>
      <c r="N104" s="12">
        <f>Sales_Data[[#This Row],[Revenue]]-Sales_Data[[#This Row],[COGS]]</f>
        <v>60000</v>
      </c>
    </row>
    <row r="105" spans="1:14">
      <c r="A105" s="1">
        <v>45779</v>
      </c>
      <c r="B105" t="s">
        <v>11</v>
      </c>
      <c r="C105" t="s">
        <v>32</v>
      </c>
      <c r="D105" t="s">
        <v>23</v>
      </c>
      <c r="E105" t="s">
        <v>14</v>
      </c>
      <c r="F105" t="s">
        <v>30</v>
      </c>
      <c r="G105" t="s">
        <v>31</v>
      </c>
      <c r="H105" s="12">
        <v>300000</v>
      </c>
      <c r="I105">
        <v>9</v>
      </c>
      <c r="J105" t="s">
        <v>39</v>
      </c>
      <c r="K105" s="12">
        <f t="shared" si="1"/>
        <v>240000</v>
      </c>
      <c r="L105" s="12">
        <f>Sales_Data[[#This Row],[Unit Price]]*Sales_Data[[#This Row],[Quantity]]</f>
        <v>2700000</v>
      </c>
      <c r="M105" s="12">
        <f>Sales_Data[[#This Row],[Cost Price]]*Sales_Data[[#This Row],[Quantity]]</f>
        <v>2160000</v>
      </c>
      <c r="N105" s="12">
        <f>Sales_Data[[#This Row],[Revenue]]-Sales_Data[[#This Row],[COGS]]</f>
        <v>540000</v>
      </c>
    </row>
    <row r="106" spans="1:14">
      <c r="A106" s="1">
        <v>45780</v>
      </c>
      <c r="B106" t="s">
        <v>18</v>
      </c>
      <c r="C106" t="s">
        <v>26</v>
      </c>
      <c r="D106" t="s">
        <v>13</v>
      </c>
      <c r="E106" t="s">
        <v>20</v>
      </c>
      <c r="F106" t="s">
        <v>34</v>
      </c>
      <c r="G106" t="s">
        <v>16</v>
      </c>
      <c r="H106" s="12">
        <v>320000</v>
      </c>
      <c r="I106">
        <v>4</v>
      </c>
      <c r="J106" t="s">
        <v>35</v>
      </c>
      <c r="K106" s="12">
        <f t="shared" si="1"/>
        <v>256000</v>
      </c>
      <c r="L106" s="12">
        <f>Sales_Data[[#This Row],[Unit Price]]*Sales_Data[[#This Row],[Quantity]]</f>
        <v>1280000</v>
      </c>
      <c r="M106" s="12">
        <f>Sales_Data[[#This Row],[Cost Price]]*Sales_Data[[#This Row],[Quantity]]</f>
        <v>1024000</v>
      </c>
      <c r="N106" s="12">
        <f>Sales_Data[[#This Row],[Revenue]]-Sales_Data[[#This Row],[COGS]]</f>
        <v>256000</v>
      </c>
    </row>
    <row r="107" spans="1:14">
      <c r="A107" s="1">
        <v>45781</v>
      </c>
      <c r="B107" t="s">
        <v>29</v>
      </c>
      <c r="C107" t="s">
        <v>19</v>
      </c>
      <c r="D107" t="s">
        <v>13</v>
      </c>
      <c r="E107" t="s">
        <v>20</v>
      </c>
      <c r="F107" t="s">
        <v>33</v>
      </c>
      <c r="G107" t="s">
        <v>22</v>
      </c>
      <c r="H107" s="12">
        <v>180000</v>
      </c>
      <c r="I107">
        <v>2</v>
      </c>
      <c r="J107" t="s">
        <v>39</v>
      </c>
      <c r="K107" s="12">
        <f t="shared" si="1"/>
        <v>144000</v>
      </c>
      <c r="L107" s="12">
        <f>Sales_Data[[#This Row],[Unit Price]]*Sales_Data[[#This Row],[Quantity]]</f>
        <v>360000</v>
      </c>
      <c r="M107" s="12">
        <f>Sales_Data[[#This Row],[Cost Price]]*Sales_Data[[#This Row],[Quantity]]</f>
        <v>288000</v>
      </c>
      <c r="N107" s="12">
        <f>Sales_Data[[#This Row],[Revenue]]-Sales_Data[[#This Row],[COGS]]</f>
        <v>72000</v>
      </c>
    </row>
    <row r="108" spans="1:14">
      <c r="A108" s="1">
        <v>45782</v>
      </c>
      <c r="B108" t="s">
        <v>18</v>
      </c>
      <c r="C108" t="s">
        <v>19</v>
      </c>
      <c r="D108" t="s">
        <v>13</v>
      </c>
      <c r="E108" t="s">
        <v>14</v>
      </c>
      <c r="F108" t="s">
        <v>15</v>
      </c>
      <c r="G108" t="s">
        <v>16</v>
      </c>
      <c r="H108" s="12">
        <v>85000</v>
      </c>
      <c r="I108">
        <v>1</v>
      </c>
      <c r="J108" t="s">
        <v>35</v>
      </c>
      <c r="K108" s="12">
        <f t="shared" si="1"/>
        <v>68000</v>
      </c>
      <c r="L108" s="12">
        <f>Sales_Data[[#This Row],[Unit Price]]*Sales_Data[[#This Row],[Quantity]]</f>
        <v>85000</v>
      </c>
      <c r="M108" s="12">
        <f>Sales_Data[[#This Row],[Cost Price]]*Sales_Data[[#This Row],[Quantity]]</f>
        <v>68000</v>
      </c>
      <c r="N108" s="12">
        <f>Sales_Data[[#This Row],[Revenue]]-Sales_Data[[#This Row],[COGS]]</f>
        <v>17000</v>
      </c>
    </row>
    <row r="109" spans="1:14">
      <c r="A109" s="1">
        <v>45783</v>
      </c>
      <c r="B109" t="s">
        <v>29</v>
      </c>
      <c r="C109" t="s">
        <v>26</v>
      </c>
      <c r="D109" t="s">
        <v>23</v>
      </c>
      <c r="E109" t="s">
        <v>20</v>
      </c>
      <c r="F109" t="s">
        <v>34</v>
      </c>
      <c r="G109" t="s">
        <v>16</v>
      </c>
      <c r="H109" s="12">
        <v>320000</v>
      </c>
      <c r="I109">
        <v>7</v>
      </c>
      <c r="J109" t="s">
        <v>35</v>
      </c>
      <c r="K109" s="12">
        <f t="shared" si="1"/>
        <v>256000</v>
      </c>
      <c r="L109" s="12">
        <f>Sales_Data[[#This Row],[Unit Price]]*Sales_Data[[#This Row],[Quantity]]</f>
        <v>2240000</v>
      </c>
      <c r="M109" s="12">
        <f>Sales_Data[[#This Row],[Cost Price]]*Sales_Data[[#This Row],[Quantity]]</f>
        <v>1792000</v>
      </c>
      <c r="N109" s="12">
        <f>Sales_Data[[#This Row],[Revenue]]-Sales_Data[[#This Row],[COGS]]</f>
        <v>448000</v>
      </c>
    </row>
    <row r="110" spans="1:14">
      <c r="A110" s="1">
        <v>45784</v>
      </c>
      <c r="B110" t="s">
        <v>18</v>
      </c>
      <c r="C110" t="s">
        <v>32</v>
      </c>
      <c r="D110" t="s">
        <v>23</v>
      </c>
      <c r="E110" t="s">
        <v>14</v>
      </c>
      <c r="F110" t="s">
        <v>27</v>
      </c>
      <c r="G110" t="s">
        <v>22</v>
      </c>
      <c r="H110" s="12">
        <v>60000</v>
      </c>
      <c r="I110">
        <v>9</v>
      </c>
      <c r="J110" t="s">
        <v>17</v>
      </c>
      <c r="K110" s="12">
        <f t="shared" si="1"/>
        <v>48000</v>
      </c>
      <c r="L110" s="12">
        <f>Sales_Data[[#This Row],[Unit Price]]*Sales_Data[[#This Row],[Quantity]]</f>
        <v>540000</v>
      </c>
      <c r="M110" s="12">
        <f>Sales_Data[[#This Row],[Cost Price]]*Sales_Data[[#This Row],[Quantity]]</f>
        <v>432000</v>
      </c>
      <c r="N110" s="12">
        <f>Sales_Data[[#This Row],[Revenue]]-Sales_Data[[#This Row],[COGS]]</f>
        <v>108000</v>
      </c>
    </row>
    <row r="111" spans="1:14">
      <c r="A111" s="1">
        <v>45785</v>
      </c>
      <c r="B111" t="s">
        <v>29</v>
      </c>
      <c r="C111" t="s">
        <v>32</v>
      </c>
      <c r="D111" t="s">
        <v>23</v>
      </c>
      <c r="E111" t="s">
        <v>20</v>
      </c>
      <c r="F111" t="s">
        <v>15</v>
      </c>
      <c r="G111" t="s">
        <v>16</v>
      </c>
      <c r="H111" s="12">
        <v>85000</v>
      </c>
      <c r="I111">
        <v>1</v>
      </c>
      <c r="J111" t="s">
        <v>24</v>
      </c>
      <c r="K111" s="12">
        <f t="shared" si="1"/>
        <v>68000</v>
      </c>
      <c r="L111" s="12">
        <f>Sales_Data[[#This Row],[Unit Price]]*Sales_Data[[#This Row],[Quantity]]</f>
        <v>85000</v>
      </c>
      <c r="M111" s="12">
        <f>Sales_Data[[#This Row],[Cost Price]]*Sales_Data[[#This Row],[Quantity]]</f>
        <v>68000</v>
      </c>
      <c r="N111" s="12">
        <f>Sales_Data[[#This Row],[Revenue]]-Sales_Data[[#This Row],[COGS]]</f>
        <v>17000</v>
      </c>
    </row>
    <row r="112" spans="1:14">
      <c r="A112" s="1">
        <v>45786</v>
      </c>
      <c r="B112" t="s">
        <v>18</v>
      </c>
      <c r="C112" t="s">
        <v>19</v>
      </c>
      <c r="D112" t="s">
        <v>13</v>
      </c>
      <c r="E112" t="s">
        <v>14</v>
      </c>
      <c r="F112" t="s">
        <v>30</v>
      </c>
      <c r="G112" t="s">
        <v>31</v>
      </c>
      <c r="H112" s="12">
        <v>300000</v>
      </c>
      <c r="I112">
        <v>6</v>
      </c>
      <c r="J112" t="s">
        <v>39</v>
      </c>
      <c r="K112" s="12">
        <f t="shared" si="1"/>
        <v>240000</v>
      </c>
      <c r="L112" s="12">
        <f>Sales_Data[[#This Row],[Unit Price]]*Sales_Data[[#This Row],[Quantity]]</f>
        <v>1800000</v>
      </c>
      <c r="M112" s="12">
        <f>Sales_Data[[#This Row],[Cost Price]]*Sales_Data[[#This Row],[Quantity]]</f>
        <v>1440000</v>
      </c>
      <c r="N112" s="12">
        <f>Sales_Data[[#This Row],[Revenue]]-Sales_Data[[#This Row],[COGS]]</f>
        <v>360000</v>
      </c>
    </row>
    <row r="113" spans="1:14">
      <c r="A113" s="1">
        <v>45787</v>
      </c>
      <c r="B113" t="s">
        <v>29</v>
      </c>
      <c r="C113" t="s">
        <v>19</v>
      </c>
      <c r="D113" t="s">
        <v>23</v>
      </c>
      <c r="E113" t="s">
        <v>14</v>
      </c>
      <c r="F113" t="s">
        <v>21</v>
      </c>
      <c r="G113" t="s">
        <v>22</v>
      </c>
      <c r="H113" s="12">
        <v>30000</v>
      </c>
      <c r="I113">
        <v>5</v>
      </c>
      <c r="J113" t="s">
        <v>17</v>
      </c>
      <c r="K113" s="12">
        <f t="shared" si="1"/>
        <v>24000</v>
      </c>
      <c r="L113" s="12">
        <f>Sales_Data[[#This Row],[Unit Price]]*Sales_Data[[#This Row],[Quantity]]</f>
        <v>150000</v>
      </c>
      <c r="M113" s="12">
        <f>Sales_Data[[#This Row],[Cost Price]]*Sales_Data[[#This Row],[Quantity]]</f>
        <v>120000</v>
      </c>
      <c r="N113" s="12">
        <f>Sales_Data[[#This Row],[Revenue]]-Sales_Data[[#This Row],[COGS]]</f>
        <v>30000</v>
      </c>
    </row>
    <row r="114" spans="1:14">
      <c r="A114" s="1">
        <v>45788</v>
      </c>
      <c r="B114" t="s">
        <v>29</v>
      </c>
      <c r="C114" t="s">
        <v>12</v>
      </c>
      <c r="D114" t="s">
        <v>13</v>
      </c>
      <c r="E114" t="s">
        <v>20</v>
      </c>
      <c r="F114" t="s">
        <v>36</v>
      </c>
      <c r="G114" t="s">
        <v>31</v>
      </c>
      <c r="H114" s="12">
        <v>150000</v>
      </c>
      <c r="I114">
        <v>4</v>
      </c>
      <c r="J114" t="s">
        <v>37</v>
      </c>
      <c r="K114" s="12">
        <f t="shared" si="1"/>
        <v>120000</v>
      </c>
      <c r="L114" s="12">
        <f>Sales_Data[[#This Row],[Unit Price]]*Sales_Data[[#This Row],[Quantity]]</f>
        <v>600000</v>
      </c>
      <c r="M114" s="12">
        <f>Sales_Data[[#This Row],[Cost Price]]*Sales_Data[[#This Row],[Quantity]]</f>
        <v>480000</v>
      </c>
      <c r="N114" s="12">
        <f>Sales_Data[[#This Row],[Revenue]]-Sales_Data[[#This Row],[COGS]]</f>
        <v>120000</v>
      </c>
    </row>
    <row r="115" spans="1:14">
      <c r="A115" s="1">
        <v>45789</v>
      </c>
      <c r="B115" t="s">
        <v>25</v>
      </c>
      <c r="C115" t="s">
        <v>12</v>
      </c>
      <c r="D115" t="s">
        <v>23</v>
      </c>
      <c r="E115" t="s">
        <v>20</v>
      </c>
      <c r="F115" t="s">
        <v>36</v>
      </c>
      <c r="G115" t="s">
        <v>31</v>
      </c>
      <c r="H115" s="12">
        <v>150000</v>
      </c>
      <c r="I115">
        <v>6</v>
      </c>
      <c r="J115" t="s">
        <v>37</v>
      </c>
      <c r="K115" s="12">
        <f t="shared" si="1"/>
        <v>120000</v>
      </c>
      <c r="L115" s="12">
        <f>Sales_Data[[#This Row],[Unit Price]]*Sales_Data[[#This Row],[Quantity]]</f>
        <v>900000</v>
      </c>
      <c r="M115" s="12">
        <f>Sales_Data[[#This Row],[Cost Price]]*Sales_Data[[#This Row],[Quantity]]</f>
        <v>720000</v>
      </c>
      <c r="N115" s="12">
        <f>Sales_Data[[#This Row],[Revenue]]-Sales_Data[[#This Row],[COGS]]</f>
        <v>180000</v>
      </c>
    </row>
    <row r="116" spans="1:14">
      <c r="A116" s="1">
        <v>45790</v>
      </c>
      <c r="B116" t="s">
        <v>29</v>
      </c>
      <c r="C116" t="s">
        <v>19</v>
      </c>
      <c r="D116" t="s">
        <v>23</v>
      </c>
      <c r="E116" t="s">
        <v>20</v>
      </c>
      <c r="F116" t="s">
        <v>36</v>
      </c>
      <c r="G116" t="s">
        <v>31</v>
      </c>
      <c r="H116" s="12">
        <v>150000</v>
      </c>
      <c r="I116">
        <v>8</v>
      </c>
      <c r="J116" t="s">
        <v>37</v>
      </c>
      <c r="K116" s="12">
        <f t="shared" si="1"/>
        <v>120000</v>
      </c>
      <c r="L116" s="12">
        <f>Sales_Data[[#This Row],[Unit Price]]*Sales_Data[[#This Row],[Quantity]]</f>
        <v>1200000</v>
      </c>
      <c r="M116" s="12">
        <f>Sales_Data[[#This Row],[Cost Price]]*Sales_Data[[#This Row],[Quantity]]</f>
        <v>960000</v>
      </c>
      <c r="N116" s="12">
        <f>Sales_Data[[#This Row],[Revenue]]-Sales_Data[[#This Row],[COGS]]</f>
        <v>240000</v>
      </c>
    </row>
    <row r="117" spans="1:14">
      <c r="A117" s="1">
        <v>45791</v>
      </c>
      <c r="B117" t="s">
        <v>25</v>
      </c>
      <c r="C117" t="s">
        <v>19</v>
      </c>
      <c r="D117" t="s">
        <v>13</v>
      </c>
      <c r="E117" t="s">
        <v>20</v>
      </c>
      <c r="F117" t="s">
        <v>21</v>
      </c>
      <c r="G117" t="s">
        <v>22</v>
      </c>
      <c r="H117" s="12">
        <v>30000</v>
      </c>
      <c r="I117">
        <v>6</v>
      </c>
      <c r="J117" t="s">
        <v>17</v>
      </c>
      <c r="K117" s="12">
        <f t="shared" si="1"/>
        <v>24000</v>
      </c>
      <c r="L117" s="12">
        <f>Sales_Data[[#This Row],[Unit Price]]*Sales_Data[[#This Row],[Quantity]]</f>
        <v>180000</v>
      </c>
      <c r="M117" s="12">
        <f>Sales_Data[[#This Row],[Cost Price]]*Sales_Data[[#This Row],[Quantity]]</f>
        <v>144000</v>
      </c>
      <c r="N117" s="12">
        <f>Sales_Data[[#This Row],[Revenue]]-Sales_Data[[#This Row],[COGS]]</f>
        <v>36000</v>
      </c>
    </row>
    <row r="118" spans="1:14">
      <c r="A118" s="1">
        <v>45792</v>
      </c>
      <c r="B118" t="s">
        <v>11</v>
      </c>
      <c r="C118" t="s">
        <v>19</v>
      </c>
      <c r="D118" t="s">
        <v>13</v>
      </c>
      <c r="E118" t="s">
        <v>14</v>
      </c>
      <c r="F118" t="s">
        <v>40</v>
      </c>
      <c r="G118" t="s">
        <v>31</v>
      </c>
      <c r="H118" s="12">
        <v>250000</v>
      </c>
      <c r="I118">
        <v>3</v>
      </c>
      <c r="J118" t="s">
        <v>35</v>
      </c>
      <c r="K118" s="12">
        <f t="shared" si="1"/>
        <v>200000</v>
      </c>
      <c r="L118" s="12">
        <f>Sales_Data[[#This Row],[Unit Price]]*Sales_Data[[#This Row],[Quantity]]</f>
        <v>750000</v>
      </c>
      <c r="M118" s="12">
        <f>Sales_Data[[#This Row],[Cost Price]]*Sales_Data[[#This Row],[Quantity]]</f>
        <v>600000</v>
      </c>
      <c r="N118" s="12">
        <f>Sales_Data[[#This Row],[Revenue]]-Sales_Data[[#This Row],[COGS]]</f>
        <v>150000</v>
      </c>
    </row>
    <row r="119" spans="1:14">
      <c r="A119" s="1">
        <v>45793</v>
      </c>
      <c r="B119" t="s">
        <v>25</v>
      </c>
      <c r="C119" t="s">
        <v>19</v>
      </c>
      <c r="D119" t="s">
        <v>23</v>
      </c>
      <c r="E119" t="s">
        <v>14</v>
      </c>
      <c r="F119" t="s">
        <v>36</v>
      </c>
      <c r="G119" t="s">
        <v>31</v>
      </c>
      <c r="H119" s="12">
        <v>150000</v>
      </c>
      <c r="I119">
        <v>5</v>
      </c>
      <c r="J119" t="s">
        <v>17</v>
      </c>
      <c r="K119" s="12">
        <f t="shared" si="1"/>
        <v>120000</v>
      </c>
      <c r="L119" s="12">
        <f>Sales_Data[[#This Row],[Unit Price]]*Sales_Data[[#This Row],[Quantity]]</f>
        <v>750000</v>
      </c>
      <c r="M119" s="12">
        <f>Sales_Data[[#This Row],[Cost Price]]*Sales_Data[[#This Row],[Quantity]]</f>
        <v>600000</v>
      </c>
      <c r="N119" s="12">
        <f>Sales_Data[[#This Row],[Revenue]]-Sales_Data[[#This Row],[COGS]]</f>
        <v>150000</v>
      </c>
    </row>
    <row r="120" spans="1:14">
      <c r="A120" s="1">
        <v>45794</v>
      </c>
      <c r="B120" t="s">
        <v>11</v>
      </c>
      <c r="C120" t="s">
        <v>19</v>
      </c>
      <c r="D120" t="s">
        <v>13</v>
      </c>
      <c r="E120" t="s">
        <v>14</v>
      </c>
      <c r="F120" t="s">
        <v>41</v>
      </c>
      <c r="G120" t="s">
        <v>22</v>
      </c>
      <c r="H120" s="12">
        <v>220000</v>
      </c>
      <c r="I120">
        <v>1</v>
      </c>
      <c r="J120" t="s">
        <v>37</v>
      </c>
      <c r="K120" s="12">
        <f t="shared" si="1"/>
        <v>176000</v>
      </c>
      <c r="L120" s="12">
        <f>Sales_Data[[#This Row],[Unit Price]]*Sales_Data[[#This Row],[Quantity]]</f>
        <v>220000</v>
      </c>
      <c r="M120" s="12">
        <f>Sales_Data[[#This Row],[Cost Price]]*Sales_Data[[#This Row],[Quantity]]</f>
        <v>176000</v>
      </c>
      <c r="N120" s="12">
        <f>Sales_Data[[#This Row],[Revenue]]-Sales_Data[[#This Row],[COGS]]</f>
        <v>44000</v>
      </c>
    </row>
    <row r="121" spans="1:14">
      <c r="A121" s="1">
        <v>45795</v>
      </c>
      <c r="B121" t="s">
        <v>29</v>
      </c>
      <c r="C121" t="s">
        <v>19</v>
      </c>
      <c r="D121" t="s">
        <v>13</v>
      </c>
      <c r="E121" t="s">
        <v>20</v>
      </c>
      <c r="F121" t="s">
        <v>34</v>
      </c>
      <c r="G121" t="s">
        <v>16</v>
      </c>
      <c r="H121" s="12">
        <v>320000</v>
      </c>
      <c r="I121">
        <v>10</v>
      </c>
      <c r="J121" t="s">
        <v>35</v>
      </c>
      <c r="K121" s="12">
        <f t="shared" si="1"/>
        <v>256000</v>
      </c>
      <c r="L121" s="12">
        <f>Sales_Data[[#This Row],[Unit Price]]*Sales_Data[[#This Row],[Quantity]]</f>
        <v>3200000</v>
      </c>
      <c r="M121" s="12">
        <f>Sales_Data[[#This Row],[Cost Price]]*Sales_Data[[#This Row],[Quantity]]</f>
        <v>2560000</v>
      </c>
      <c r="N121" s="12">
        <f>Sales_Data[[#This Row],[Revenue]]-Sales_Data[[#This Row],[COGS]]</f>
        <v>640000</v>
      </c>
    </row>
    <row r="122" spans="1:14">
      <c r="A122" s="1">
        <v>45796</v>
      </c>
      <c r="B122" t="s">
        <v>25</v>
      </c>
      <c r="C122" t="s">
        <v>12</v>
      </c>
      <c r="D122" t="s">
        <v>23</v>
      </c>
      <c r="E122" t="s">
        <v>20</v>
      </c>
      <c r="F122" t="s">
        <v>27</v>
      </c>
      <c r="G122" t="s">
        <v>22</v>
      </c>
      <c r="H122" s="12">
        <v>60000</v>
      </c>
      <c r="I122">
        <v>5</v>
      </c>
      <c r="J122" t="s">
        <v>24</v>
      </c>
      <c r="K122" s="12">
        <f t="shared" si="1"/>
        <v>48000</v>
      </c>
      <c r="L122" s="12">
        <f>Sales_Data[[#This Row],[Unit Price]]*Sales_Data[[#This Row],[Quantity]]</f>
        <v>300000</v>
      </c>
      <c r="M122" s="12">
        <f>Sales_Data[[#This Row],[Cost Price]]*Sales_Data[[#This Row],[Quantity]]</f>
        <v>240000</v>
      </c>
      <c r="N122" s="12">
        <f>Sales_Data[[#This Row],[Revenue]]-Sales_Data[[#This Row],[COGS]]</f>
        <v>60000</v>
      </c>
    </row>
    <row r="123" spans="1:14">
      <c r="A123" s="1">
        <v>45797</v>
      </c>
      <c r="B123" t="s">
        <v>18</v>
      </c>
      <c r="C123" t="s">
        <v>32</v>
      </c>
      <c r="D123" t="s">
        <v>13</v>
      </c>
      <c r="E123" t="s">
        <v>20</v>
      </c>
      <c r="F123" t="s">
        <v>36</v>
      </c>
      <c r="G123" t="s">
        <v>31</v>
      </c>
      <c r="H123" s="12">
        <v>150000</v>
      </c>
      <c r="I123">
        <v>7</v>
      </c>
      <c r="J123" t="s">
        <v>39</v>
      </c>
      <c r="K123" s="12">
        <f t="shared" si="1"/>
        <v>120000</v>
      </c>
      <c r="L123" s="12">
        <f>Sales_Data[[#This Row],[Unit Price]]*Sales_Data[[#This Row],[Quantity]]</f>
        <v>1050000</v>
      </c>
      <c r="M123" s="12">
        <f>Sales_Data[[#This Row],[Cost Price]]*Sales_Data[[#This Row],[Quantity]]</f>
        <v>840000</v>
      </c>
      <c r="N123" s="12">
        <f>Sales_Data[[#This Row],[Revenue]]-Sales_Data[[#This Row],[COGS]]</f>
        <v>210000</v>
      </c>
    </row>
    <row r="124" spans="1:14">
      <c r="A124" s="1">
        <v>45798</v>
      </c>
      <c r="B124" t="s">
        <v>29</v>
      </c>
      <c r="C124" t="s">
        <v>26</v>
      </c>
      <c r="D124" t="s">
        <v>13</v>
      </c>
      <c r="E124" t="s">
        <v>14</v>
      </c>
      <c r="F124" t="s">
        <v>27</v>
      </c>
      <c r="G124" t="s">
        <v>22</v>
      </c>
      <c r="H124" s="12">
        <v>60000</v>
      </c>
      <c r="I124">
        <v>7</v>
      </c>
      <c r="J124" t="s">
        <v>28</v>
      </c>
      <c r="K124" s="12">
        <f t="shared" si="1"/>
        <v>48000</v>
      </c>
      <c r="L124" s="12">
        <f>Sales_Data[[#This Row],[Unit Price]]*Sales_Data[[#This Row],[Quantity]]</f>
        <v>420000</v>
      </c>
      <c r="M124" s="12">
        <f>Sales_Data[[#This Row],[Cost Price]]*Sales_Data[[#This Row],[Quantity]]</f>
        <v>336000</v>
      </c>
      <c r="N124" s="12">
        <f>Sales_Data[[#This Row],[Revenue]]-Sales_Data[[#This Row],[COGS]]</f>
        <v>84000</v>
      </c>
    </row>
    <row r="125" spans="1:14">
      <c r="A125" s="1">
        <v>45799</v>
      </c>
      <c r="B125" t="s">
        <v>29</v>
      </c>
      <c r="C125" t="s">
        <v>12</v>
      </c>
      <c r="D125" t="s">
        <v>23</v>
      </c>
      <c r="E125" t="s">
        <v>20</v>
      </c>
      <c r="F125" t="s">
        <v>41</v>
      </c>
      <c r="G125" t="s">
        <v>22</v>
      </c>
      <c r="H125" s="12">
        <v>220000</v>
      </c>
      <c r="I125">
        <v>4</v>
      </c>
      <c r="J125" t="s">
        <v>35</v>
      </c>
      <c r="K125" s="12">
        <f t="shared" si="1"/>
        <v>176000</v>
      </c>
      <c r="L125" s="12">
        <f>Sales_Data[[#This Row],[Unit Price]]*Sales_Data[[#This Row],[Quantity]]</f>
        <v>880000</v>
      </c>
      <c r="M125" s="12">
        <f>Sales_Data[[#This Row],[Cost Price]]*Sales_Data[[#This Row],[Quantity]]</f>
        <v>704000</v>
      </c>
      <c r="N125" s="12">
        <f>Sales_Data[[#This Row],[Revenue]]-Sales_Data[[#This Row],[COGS]]</f>
        <v>176000</v>
      </c>
    </row>
    <row r="126" spans="1:14">
      <c r="A126" s="1">
        <v>45800</v>
      </c>
      <c r="B126" t="s">
        <v>18</v>
      </c>
      <c r="C126" t="s">
        <v>26</v>
      </c>
      <c r="D126" t="s">
        <v>23</v>
      </c>
      <c r="E126" t="s">
        <v>20</v>
      </c>
      <c r="F126" t="s">
        <v>40</v>
      </c>
      <c r="G126" t="s">
        <v>31</v>
      </c>
      <c r="H126" s="12">
        <v>250000</v>
      </c>
      <c r="I126">
        <v>6</v>
      </c>
      <c r="J126" t="s">
        <v>24</v>
      </c>
      <c r="K126" s="12">
        <f t="shared" si="1"/>
        <v>200000</v>
      </c>
      <c r="L126" s="12">
        <f>Sales_Data[[#This Row],[Unit Price]]*Sales_Data[[#This Row],[Quantity]]</f>
        <v>1500000</v>
      </c>
      <c r="M126" s="12">
        <f>Sales_Data[[#This Row],[Cost Price]]*Sales_Data[[#This Row],[Quantity]]</f>
        <v>1200000</v>
      </c>
      <c r="N126" s="12">
        <f>Sales_Data[[#This Row],[Revenue]]-Sales_Data[[#This Row],[COGS]]</f>
        <v>300000</v>
      </c>
    </row>
    <row r="127" spans="1:14">
      <c r="A127" s="1">
        <v>45801</v>
      </c>
      <c r="B127" t="s">
        <v>29</v>
      </c>
      <c r="C127" t="s">
        <v>12</v>
      </c>
      <c r="D127" t="s">
        <v>23</v>
      </c>
      <c r="E127" t="s">
        <v>14</v>
      </c>
      <c r="F127" t="s">
        <v>38</v>
      </c>
      <c r="G127" t="s">
        <v>31</v>
      </c>
      <c r="H127" s="12">
        <v>420000</v>
      </c>
      <c r="I127">
        <v>10</v>
      </c>
      <c r="J127" t="s">
        <v>17</v>
      </c>
      <c r="K127" s="12">
        <f t="shared" si="1"/>
        <v>336000</v>
      </c>
      <c r="L127" s="12">
        <f>Sales_Data[[#This Row],[Unit Price]]*Sales_Data[[#This Row],[Quantity]]</f>
        <v>4200000</v>
      </c>
      <c r="M127" s="12">
        <f>Sales_Data[[#This Row],[Cost Price]]*Sales_Data[[#This Row],[Quantity]]</f>
        <v>3360000</v>
      </c>
      <c r="N127" s="12">
        <f>Sales_Data[[#This Row],[Revenue]]-Sales_Data[[#This Row],[COGS]]</f>
        <v>840000</v>
      </c>
    </row>
    <row r="128" spans="1:14">
      <c r="A128" s="1">
        <v>45802</v>
      </c>
      <c r="B128" t="s">
        <v>18</v>
      </c>
      <c r="C128" t="s">
        <v>12</v>
      </c>
      <c r="D128" t="s">
        <v>13</v>
      </c>
      <c r="E128" t="s">
        <v>14</v>
      </c>
      <c r="F128" t="s">
        <v>21</v>
      </c>
      <c r="G128" t="s">
        <v>22</v>
      </c>
      <c r="H128" s="12">
        <v>30000</v>
      </c>
      <c r="I128">
        <v>9</v>
      </c>
      <c r="J128" t="s">
        <v>39</v>
      </c>
      <c r="K128" s="12">
        <f t="shared" si="1"/>
        <v>24000</v>
      </c>
      <c r="L128" s="12">
        <f>Sales_Data[[#This Row],[Unit Price]]*Sales_Data[[#This Row],[Quantity]]</f>
        <v>270000</v>
      </c>
      <c r="M128" s="12">
        <f>Sales_Data[[#This Row],[Cost Price]]*Sales_Data[[#This Row],[Quantity]]</f>
        <v>216000</v>
      </c>
      <c r="N128" s="12">
        <f>Sales_Data[[#This Row],[Revenue]]-Sales_Data[[#This Row],[COGS]]</f>
        <v>54000</v>
      </c>
    </row>
    <row r="129" spans="1:14">
      <c r="A129" s="1">
        <v>45803</v>
      </c>
      <c r="B129" t="s">
        <v>11</v>
      </c>
      <c r="C129" t="s">
        <v>26</v>
      </c>
      <c r="D129" t="s">
        <v>13</v>
      </c>
      <c r="E129" t="s">
        <v>20</v>
      </c>
      <c r="F129" t="s">
        <v>33</v>
      </c>
      <c r="G129" t="s">
        <v>22</v>
      </c>
      <c r="H129" s="12">
        <v>180000</v>
      </c>
      <c r="I129">
        <v>8</v>
      </c>
      <c r="J129" t="s">
        <v>28</v>
      </c>
      <c r="K129" s="12">
        <f t="shared" si="1"/>
        <v>144000</v>
      </c>
      <c r="L129" s="12">
        <f>Sales_Data[[#This Row],[Unit Price]]*Sales_Data[[#This Row],[Quantity]]</f>
        <v>1440000</v>
      </c>
      <c r="M129" s="12">
        <f>Sales_Data[[#This Row],[Cost Price]]*Sales_Data[[#This Row],[Quantity]]</f>
        <v>1152000</v>
      </c>
      <c r="N129" s="12">
        <f>Sales_Data[[#This Row],[Revenue]]-Sales_Data[[#This Row],[COGS]]</f>
        <v>288000</v>
      </c>
    </row>
    <row r="130" spans="1:14">
      <c r="A130" s="1">
        <v>45804</v>
      </c>
      <c r="B130" t="s">
        <v>29</v>
      </c>
      <c r="C130" t="s">
        <v>19</v>
      </c>
      <c r="D130" t="s">
        <v>13</v>
      </c>
      <c r="E130" t="s">
        <v>14</v>
      </c>
      <c r="F130" t="s">
        <v>38</v>
      </c>
      <c r="G130" t="s">
        <v>31</v>
      </c>
      <c r="H130" s="12">
        <v>420000</v>
      </c>
      <c r="I130">
        <v>5</v>
      </c>
      <c r="J130" t="s">
        <v>37</v>
      </c>
      <c r="K130" s="12">
        <f t="shared" ref="K130:K193" si="2">H130-H130*0.2</f>
        <v>336000</v>
      </c>
      <c r="L130" s="12">
        <f>Sales_Data[[#This Row],[Unit Price]]*Sales_Data[[#This Row],[Quantity]]</f>
        <v>2100000</v>
      </c>
      <c r="M130" s="12">
        <f>Sales_Data[[#This Row],[Cost Price]]*Sales_Data[[#This Row],[Quantity]]</f>
        <v>1680000</v>
      </c>
      <c r="N130" s="12">
        <f>Sales_Data[[#This Row],[Revenue]]-Sales_Data[[#This Row],[COGS]]</f>
        <v>420000</v>
      </c>
    </row>
    <row r="131" spans="1:14">
      <c r="A131" s="1">
        <v>45805</v>
      </c>
      <c r="B131" t="s">
        <v>11</v>
      </c>
      <c r="C131" t="s">
        <v>12</v>
      </c>
      <c r="D131" t="s">
        <v>23</v>
      </c>
      <c r="E131" t="s">
        <v>14</v>
      </c>
      <c r="F131" t="s">
        <v>27</v>
      </c>
      <c r="G131" t="s">
        <v>22</v>
      </c>
      <c r="H131" s="12">
        <v>60000</v>
      </c>
      <c r="I131">
        <v>9</v>
      </c>
      <c r="J131" t="s">
        <v>17</v>
      </c>
      <c r="K131" s="12">
        <f t="shared" si="2"/>
        <v>48000</v>
      </c>
      <c r="L131" s="12">
        <f>Sales_Data[[#This Row],[Unit Price]]*Sales_Data[[#This Row],[Quantity]]</f>
        <v>540000</v>
      </c>
      <c r="M131" s="12">
        <f>Sales_Data[[#This Row],[Cost Price]]*Sales_Data[[#This Row],[Quantity]]</f>
        <v>432000</v>
      </c>
      <c r="N131" s="12">
        <f>Sales_Data[[#This Row],[Revenue]]-Sales_Data[[#This Row],[COGS]]</f>
        <v>108000</v>
      </c>
    </row>
    <row r="132" spans="1:14">
      <c r="A132" s="1">
        <v>45806</v>
      </c>
      <c r="B132" t="s">
        <v>25</v>
      </c>
      <c r="C132" t="s">
        <v>26</v>
      </c>
      <c r="D132" t="s">
        <v>23</v>
      </c>
      <c r="E132" t="s">
        <v>20</v>
      </c>
      <c r="F132" t="s">
        <v>15</v>
      </c>
      <c r="G132" t="s">
        <v>16</v>
      </c>
      <c r="H132" s="12">
        <v>85000</v>
      </c>
      <c r="I132">
        <v>5</v>
      </c>
      <c r="J132" t="s">
        <v>24</v>
      </c>
      <c r="K132" s="12">
        <f t="shared" si="2"/>
        <v>68000</v>
      </c>
      <c r="L132" s="12">
        <f>Sales_Data[[#This Row],[Unit Price]]*Sales_Data[[#This Row],[Quantity]]</f>
        <v>425000</v>
      </c>
      <c r="M132" s="12">
        <f>Sales_Data[[#This Row],[Cost Price]]*Sales_Data[[#This Row],[Quantity]]</f>
        <v>340000</v>
      </c>
      <c r="N132" s="12">
        <f>Sales_Data[[#This Row],[Revenue]]-Sales_Data[[#This Row],[COGS]]</f>
        <v>85000</v>
      </c>
    </row>
    <row r="133" spans="1:14">
      <c r="A133" s="1">
        <v>45807</v>
      </c>
      <c r="B133" t="s">
        <v>25</v>
      </c>
      <c r="C133" t="s">
        <v>26</v>
      </c>
      <c r="D133" t="s">
        <v>23</v>
      </c>
      <c r="E133" t="s">
        <v>14</v>
      </c>
      <c r="F133" t="s">
        <v>15</v>
      </c>
      <c r="G133" t="s">
        <v>16</v>
      </c>
      <c r="H133" s="12">
        <v>85000</v>
      </c>
      <c r="I133">
        <v>1</v>
      </c>
      <c r="J133" t="s">
        <v>28</v>
      </c>
      <c r="K133" s="12">
        <f t="shared" si="2"/>
        <v>68000</v>
      </c>
      <c r="L133" s="12">
        <f>Sales_Data[[#This Row],[Unit Price]]*Sales_Data[[#This Row],[Quantity]]</f>
        <v>85000</v>
      </c>
      <c r="M133" s="12">
        <f>Sales_Data[[#This Row],[Cost Price]]*Sales_Data[[#This Row],[Quantity]]</f>
        <v>68000</v>
      </c>
      <c r="N133" s="12">
        <f>Sales_Data[[#This Row],[Revenue]]-Sales_Data[[#This Row],[COGS]]</f>
        <v>17000</v>
      </c>
    </row>
    <row r="134" spans="1:14">
      <c r="A134" s="1">
        <v>45808</v>
      </c>
      <c r="B134" t="s">
        <v>18</v>
      </c>
      <c r="C134" t="s">
        <v>19</v>
      </c>
      <c r="D134" t="s">
        <v>13</v>
      </c>
      <c r="E134" t="s">
        <v>20</v>
      </c>
      <c r="F134" t="s">
        <v>27</v>
      </c>
      <c r="G134" t="s">
        <v>22</v>
      </c>
      <c r="H134" s="12">
        <v>60000</v>
      </c>
      <c r="I134">
        <v>8</v>
      </c>
      <c r="J134" t="s">
        <v>35</v>
      </c>
      <c r="K134" s="12">
        <f t="shared" si="2"/>
        <v>48000</v>
      </c>
      <c r="L134" s="12">
        <f>Sales_Data[[#This Row],[Unit Price]]*Sales_Data[[#This Row],[Quantity]]</f>
        <v>480000</v>
      </c>
      <c r="M134" s="12">
        <f>Sales_Data[[#This Row],[Cost Price]]*Sales_Data[[#This Row],[Quantity]]</f>
        <v>384000</v>
      </c>
      <c r="N134" s="12">
        <f>Sales_Data[[#This Row],[Revenue]]-Sales_Data[[#This Row],[COGS]]</f>
        <v>96000</v>
      </c>
    </row>
    <row r="135" spans="1:14">
      <c r="A135" s="1">
        <v>45809</v>
      </c>
      <c r="B135" t="s">
        <v>11</v>
      </c>
      <c r="C135" t="s">
        <v>26</v>
      </c>
      <c r="D135" t="s">
        <v>23</v>
      </c>
      <c r="E135" t="s">
        <v>14</v>
      </c>
      <c r="F135" t="s">
        <v>36</v>
      </c>
      <c r="G135" t="s">
        <v>31</v>
      </c>
      <c r="H135" s="12">
        <v>150000</v>
      </c>
      <c r="I135">
        <v>5</v>
      </c>
      <c r="J135" t="s">
        <v>37</v>
      </c>
      <c r="K135" s="12">
        <f t="shared" si="2"/>
        <v>120000</v>
      </c>
      <c r="L135" s="12">
        <f>Sales_Data[[#This Row],[Unit Price]]*Sales_Data[[#This Row],[Quantity]]</f>
        <v>750000</v>
      </c>
      <c r="M135" s="12">
        <f>Sales_Data[[#This Row],[Cost Price]]*Sales_Data[[#This Row],[Quantity]]</f>
        <v>600000</v>
      </c>
      <c r="N135" s="12">
        <f>Sales_Data[[#This Row],[Revenue]]-Sales_Data[[#This Row],[COGS]]</f>
        <v>150000</v>
      </c>
    </row>
    <row r="136" spans="1:14">
      <c r="A136" s="1">
        <v>45810</v>
      </c>
      <c r="B136" t="s">
        <v>11</v>
      </c>
      <c r="C136" t="s">
        <v>32</v>
      </c>
      <c r="D136" t="s">
        <v>13</v>
      </c>
      <c r="E136" t="s">
        <v>14</v>
      </c>
      <c r="F136" t="s">
        <v>34</v>
      </c>
      <c r="G136" t="s">
        <v>16</v>
      </c>
      <c r="H136" s="12">
        <v>320000</v>
      </c>
      <c r="I136">
        <v>10</v>
      </c>
      <c r="J136" t="s">
        <v>35</v>
      </c>
      <c r="K136" s="12">
        <f t="shared" si="2"/>
        <v>256000</v>
      </c>
      <c r="L136" s="12">
        <f>Sales_Data[[#This Row],[Unit Price]]*Sales_Data[[#This Row],[Quantity]]</f>
        <v>3200000</v>
      </c>
      <c r="M136" s="12">
        <f>Sales_Data[[#This Row],[Cost Price]]*Sales_Data[[#This Row],[Quantity]]</f>
        <v>2560000</v>
      </c>
      <c r="N136" s="12">
        <f>Sales_Data[[#This Row],[Revenue]]-Sales_Data[[#This Row],[COGS]]</f>
        <v>640000</v>
      </c>
    </row>
    <row r="137" spans="1:14">
      <c r="A137" s="1">
        <v>45811</v>
      </c>
      <c r="B137" t="s">
        <v>11</v>
      </c>
      <c r="C137" t="s">
        <v>32</v>
      </c>
      <c r="D137" t="s">
        <v>23</v>
      </c>
      <c r="E137" t="s">
        <v>14</v>
      </c>
      <c r="F137" t="s">
        <v>40</v>
      </c>
      <c r="G137" t="s">
        <v>31</v>
      </c>
      <c r="H137" s="12">
        <v>250000</v>
      </c>
      <c r="I137">
        <v>6</v>
      </c>
      <c r="J137" t="s">
        <v>39</v>
      </c>
      <c r="K137" s="12">
        <f t="shared" si="2"/>
        <v>200000</v>
      </c>
      <c r="L137" s="12">
        <f>Sales_Data[[#This Row],[Unit Price]]*Sales_Data[[#This Row],[Quantity]]</f>
        <v>1500000</v>
      </c>
      <c r="M137" s="12">
        <f>Sales_Data[[#This Row],[Cost Price]]*Sales_Data[[#This Row],[Quantity]]</f>
        <v>1200000</v>
      </c>
      <c r="N137" s="12">
        <f>Sales_Data[[#This Row],[Revenue]]-Sales_Data[[#This Row],[COGS]]</f>
        <v>300000</v>
      </c>
    </row>
    <row r="138" spans="1:14">
      <c r="A138" s="1">
        <v>45812</v>
      </c>
      <c r="B138" t="s">
        <v>25</v>
      </c>
      <c r="C138" t="s">
        <v>26</v>
      </c>
      <c r="D138" t="s">
        <v>23</v>
      </c>
      <c r="E138" t="s">
        <v>14</v>
      </c>
      <c r="F138" t="s">
        <v>36</v>
      </c>
      <c r="G138" t="s">
        <v>31</v>
      </c>
      <c r="H138" s="12">
        <v>150000</v>
      </c>
      <c r="I138">
        <v>3</v>
      </c>
      <c r="J138" t="s">
        <v>17</v>
      </c>
      <c r="K138" s="12">
        <f t="shared" si="2"/>
        <v>120000</v>
      </c>
      <c r="L138" s="12">
        <f>Sales_Data[[#This Row],[Unit Price]]*Sales_Data[[#This Row],[Quantity]]</f>
        <v>450000</v>
      </c>
      <c r="M138" s="12">
        <f>Sales_Data[[#This Row],[Cost Price]]*Sales_Data[[#This Row],[Quantity]]</f>
        <v>360000</v>
      </c>
      <c r="N138" s="12">
        <f>Sales_Data[[#This Row],[Revenue]]-Sales_Data[[#This Row],[COGS]]</f>
        <v>90000</v>
      </c>
    </row>
    <row r="139" spans="1:14">
      <c r="A139" s="1">
        <v>45813</v>
      </c>
      <c r="B139" t="s">
        <v>11</v>
      </c>
      <c r="C139" t="s">
        <v>19</v>
      </c>
      <c r="D139" t="s">
        <v>23</v>
      </c>
      <c r="E139" t="s">
        <v>14</v>
      </c>
      <c r="F139" t="s">
        <v>27</v>
      </c>
      <c r="G139" t="s">
        <v>22</v>
      </c>
      <c r="H139" s="12">
        <v>60000</v>
      </c>
      <c r="I139">
        <v>10</v>
      </c>
      <c r="J139" t="s">
        <v>37</v>
      </c>
      <c r="K139" s="12">
        <f t="shared" si="2"/>
        <v>48000</v>
      </c>
      <c r="L139" s="12">
        <f>Sales_Data[[#This Row],[Unit Price]]*Sales_Data[[#This Row],[Quantity]]</f>
        <v>600000</v>
      </c>
      <c r="M139" s="12">
        <f>Sales_Data[[#This Row],[Cost Price]]*Sales_Data[[#This Row],[Quantity]]</f>
        <v>480000</v>
      </c>
      <c r="N139" s="12">
        <f>Sales_Data[[#This Row],[Revenue]]-Sales_Data[[#This Row],[COGS]]</f>
        <v>120000</v>
      </c>
    </row>
    <row r="140" spans="1:14">
      <c r="A140" s="1">
        <v>45814</v>
      </c>
      <c r="B140" t="s">
        <v>29</v>
      </c>
      <c r="C140" t="s">
        <v>26</v>
      </c>
      <c r="D140" t="s">
        <v>13</v>
      </c>
      <c r="E140" t="s">
        <v>14</v>
      </c>
      <c r="F140" t="s">
        <v>36</v>
      </c>
      <c r="G140" t="s">
        <v>31</v>
      </c>
      <c r="H140" s="12">
        <v>150000</v>
      </c>
      <c r="I140">
        <v>8</v>
      </c>
      <c r="J140" t="s">
        <v>28</v>
      </c>
      <c r="K140" s="12">
        <f t="shared" si="2"/>
        <v>120000</v>
      </c>
      <c r="L140" s="12">
        <f>Sales_Data[[#This Row],[Unit Price]]*Sales_Data[[#This Row],[Quantity]]</f>
        <v>1200000</v>
      </c>
      <c r="M140" s="12">
        <f>Sales_Data[[#This Row],[Cost Price]]*Sales_Data[[#This Row],[Quantity]]</f>
        <v>960000</v>
      </c>
      <c r="N140" s="12">
        <f>Sales_Data[[#This Row],[Revenue]]-Sales_Data[[#This Row],[COGS]]</f>
        <v>240000</v>
      </c>
    </row>
    <row r="141" spans="1:14">
      <c r="A141" s="1">
        <v>45815</v>
      </c>
      <c r="B141" t="s">
        <v>25</v>
      </c>
      <c r="C141" t="s">
        <v>12</v>
      </c>
      <c r="D141" t="s">
        <v>13</v>
      </c>
      <c r="E141" t="s">
        <v>14</v>
      </c>
      <c r="F141" t="s">
        <v>40</v>
      </c>
      <c r="G141" t="s">
        <v>31</v>
      </c>
      <c r="H141" s="12">
        <v>250000</v>
      </c>
      <c r="I141">
        <v>7</v>
      </c>
      <c r="J141" t="s">
        <v>37</v>
      </c>
      <c r="K141" s="12">
        <f t="shared" si="2"/>
        <v>200000</v>
      </c>
      <c r="L141" s="12">
        <f>Sales_Data[[#This Row],[Unit Price]]*Sales_Data[[#This Row],[Quantity]]</f>
        <v>1750000</v>
      </c>
      <c r="M141" s="12">
        <f>Sales_Data[[#This Row],[Cost Price]]*Sales_Data[[#This Row],[Quantity]]</f>
        <v>1400000</v>
      </c>
      <c r="N141" s="12">
        <f>Sales_Data[[#This Row],[Revenue]]-Sales_Data[[#This Row],[COGS]]</f>
        <v>350000</v>
      </c>
    </row>
    <row r="142" spans="1:14">
      <c r="A142" s="1">
        <v>45816</v>
      </c>
      <c r="B142" t="s">
        <v>25</v>
      </c>
      <c r="C142" t="s">
        <v>32</v>
      </c>
      <c r="D142" t="s">
        <v>23</v>
      </c>
      <c r="E142" t="s">
        <v>14</v>
      </c>
      <c r="F142" t="s">
        <v>15</v>
      </c>
      <c r="G142" t="s">
        <v>16</v>
      </c>
      <c r="H142" s="12">
        <v>85000</v>
      </c>
      <c r="I142">
        <v>6</v>
      </c>
      <c r="J142" t="s">
        <v>35</v>
      </c>
      <c r="K142" s="12">
        <f t="shared" si="2"/>
        <v>68000</v>
      </c>
      <c r="L142" s="12">
        <f>Sales_Data[[#This Row],[Unit Price]]*Sales_Data[[#This Row],[Quantity]]</f>
        <v>510000</v>
      </c>
      <c r="M142" s="12">
        <f>Sales_Data[[#This Row],[Cost Price]]*Sales_Data[[#This Row],[Quantity]]</f>
        <v>408000</v>
      </c>
      <c r="N142" s="12">
        <f>Sales_Data[[#This Row],[Revenue]]-Sales_Data[[#This Row],[COGS]]</f>
        <v>102000</v>
      </c>
    </row>
    <row r="143" spans="1:14">
      <c r="A143" s="1">
        <v>45817</v>
      </c>
      <c r="B143" t="s">
        <v>29</v>
      </c>
      <c r="C143" t="s">
        <v>12</v>
      </c>
      <c r="D143" t="s">
        <v>23</v>
      </c>
      <c r="E143" t="s">
        <v>14</v>
      </c>
      <c r="F143" t="s">
        <v>33</v>
      </c>
      <c r="G143" t="s">
        <v>22</v>
      </c>
      <c r="H143" s="12">
        <v>180000</v>
      </c>
      <c r="I143">
        <v>9</v>
      </c>
      <c r="J143" t="s">
        <v>37</v>
      </c>
      <c r="K143" s="12">
        <f t="shared" si="2"/>
        <v>144000</v>
      </c>
      <c r="L143" s="12">
        <f>Sales_Data[[#This Row],[Unit Price]]*Sales_Data[[#This Row],[Quantity]]</f>
        <v>1620000</v>
      </c>
      <c r="M143" s="12">
        <f>Sales_Data[[#This Row],[Cost Price]]*Sales_Data[[#This Row],[Quantity]]</f>
        <v>1296000</v>
      </c>
      <c r="N143" s="12">
        <f>Sales_Data[[#This Row],[Revenue]]-Sales_Data[[#This Row],[COGS]]</f>
        <v>324000</v>
      </c>
    </row>
    <row r="144" spans="1:14">
      <c r="A144" s="1">
        <v>45818</v>
      </c>
      <c r="B144" t="s">
        <v>11</v>
      </c>
      <c r="C144" t="s">
        <v>32</v>
      </c>
      <c r="D144" t="s">
        <v>23</v>
      </c>
      <c r="E144" t="s">
        <v>14</v>
      </c>
      <c r="F144" t="s">
        <v>21</v>
      </c>
      <c r="G144" t="s">
        <v>22</v>
      </c>
      <c r="H144" s="12">
        <v>30000</v>
      </c>
      <c r="I144">
        <v>8</v>
      </c>
      <c r="J144" t="s">
        <v>37</v>
      </c>
      <c r="K144" s="12">
        <f t="shared" si="2"/>
        <v>24000</v>
      </c>
      <c r="L144" s="12">
        <f>Sales_Data[[#This Row],[Unit Price]]*Sales_Data[[#This Row],[Quantity]]</f>
        <v>240000</v>
      </c>
      <c r="M144" s="12">
        <f>Sales_Data[[#This Row],[Cost Price]]*Sales_Data[[#This Row],[Quantity]]</f>
        <v>192000</v>
      </c>
      <c r="N144" s="12">
        <f>Sales_Data[[#This Row],[Revenue]]-Sales_Data[[#This Row],[COGS]]</f>
        <v>48000</v>
      </c>
    </row>
    <row r="145" spans="1:14">
      <c r="A145" s="1">
        <v>45819</v>
      </c>
      <c r="B145" t="s">
        <v>25</v>
      </c>
      <c r="C145" t="s">
        <v>12</v>
      </c>
      <c r="D145" t="s">
        <v>23</v>
      </c>
      <c r="E145" t="s">
        <v>20</v>
      </c>
      <c r="F145" t="s">
        <v>15</v>
      </c>
      <c r="G145" t="s">
        <v>16</v>
      </c>
      <c r="H145" s="12">
        <v>85000</v>
      </c>
      <c r="I145">
        <v>1</v>
      </c>
      <c r="J145" t="s">
        <v>24</v>
      </c>
      <c r="K145" s="12">
        <f t="shared" si="2"/>
        <v>68000</v>
      </c>
      <c r="L145" s="12">
        <f>Sales_Data[[#This Row],[Unit Price]]*Sales_Data[[#This Row],[Quantity]]</f>
        <v>85000</v>
      </c>
      <c r="M145" s="12">
        <f>Sales_Data[[#This Row],[Cost Price]]*Sales_Data[[#This Row],[Quantity]]</f>
        <v>68000</v>
      </c>
      <c r="N145" s="12">
        <f>Sales_Data[[#This Row],[Revenue]]-Sales_Data[[#This Row],[COGS]]</f>
        <v>17000</v>
      </c>
    </row>
    <row r="146" spans="1:14">
      <c r="A146" s="1">
        <v>45820</v>
      </c>
      <c r="B146" t="s">
        <v>11</v>
      </c>
      <c r="C146" t="s">
        <v>32</v>
      </c>
      <c r="D146" t="s">
        <v>23</v>
      </c>
      <c r="E146" t="s">
        <v>14</v>
      </c>
      <c r="F146" t="s">
        <v>21</v>
      </c>
      <c r="G146" t="s">
        <v>22</v>
      </c>
      <c r="H146" s="12">
        <v>30000</v>
      </c>
      <c r="I146">
        <v>8</v>
      </c>
      <c r="J146" t="s">
        <v>39</v>
      </c>
      <c r="K146" s="12">
        <f t="shared" si="2"/>
        <v>24000</v>
      </c>
      <c r="L146" s="12">
        <f>Sales_Data[[#This Row],[Unit Price]]*Sales_Data[[#This Row],[Quantity]]</f>
        <v>240000</v>
      </c>
      <c r="M146" s="12">
        <f>Sales_Data[[#This Row],[Cost Price]]*Sales_Data[[#This Row],[Quantity]]</f>
        <v>192000</v>
      </c>
      <c r="N146" s="12">
        <f>Sales_Data[[#This Row],[Revenue]]-Sales_Data[[#This Row],[COGS]]</f>
        <v>48000</v>
      </c>
    </row>
    <row r="147" spans="1:14">
      <c r="A147" s="1">
        <v>45821</v>
      </c>
      <c r="B147" t="s">
        <v>29</v>
      </c>
      <c r="C147" t="s">
        <v>26</v>
      </c>
      <c r="D147" t="s">
        <v>13</v>
      </c>
      <c r="E147" t="s">
        <v>14</v>
      </c>
      <c r="F147" t="s">
        <v>34</v>
      </c>
      <c r="G147" t="s">
        <v>16</v>
      </c>
      <c r="H147" s="12">
        <v>320000</v>
      </c>
      <c r="I147">
        <v>2</v>
      </c>
      <c r="J147" t="s">
        <v>37</v>
      </c>
      <c r="K147" s="12">
        <f t="shared" si="2"/>
        <v>256000</v>
      </c>
      <c r="L147" s="12">
        <f>Sales_Data[[#This Row],[Unit Price]]*Sales_Data[[#This Row],[Quantity]]</f>
        <v>640000</v>
      </c>
      <c r="M147" s="12">
        <f>Sales_Data[[#This Row],[Cost Price]]*Sales_Data[[#This Row],[Quantity]]</f>
        <v>512000</v>
      </c>
      <c r="N147" s="12">
        <f>Sales_Data[[#This Row],[Revenue]]-Sales_Data[[#This Row],[COGS]]</f>
        <v>128000</v>
      </c>
    </row>
    <row r="148" spans="1:14">
      <c r="A148" s="1">
        <v>45822</v>
      </c>
      <c r="B148" t="s">
        <v>18</v>
      </c>
      <c r="C148" t="s">
        <v>12</v>
      </c>
      <c r="D148" t="s">
        <v>13</v>
      </c>
      <c r="E148" t="s">
        <v>14</v>
      </c>
      <c r="F148" t="s">
        <v>36</v>
      </c>
      <c r="G148" t="s">
        <v>31</v>
      </c>
      <c r="H148" s="12">
        <v>150000</v>
      </c>
      <c r="I148">
        <v>5</v>
      </c>
      <c r="J148" t="s">
        <v>37</v>
      </c>
      <c r="K148" s="12">
        <f t="shared" si="2"/>
        <v>120000</v>
      </c>
      <c r="L148" s="12">
        <f>Sales_Data[[#This Row],[Unit Price]]*Sales_Data[[#This Row],[Quantity]]</f>
        <v>750000</v>
      </c>
      <c r="M148" s="12">
        <f>Sales_Data[[#This Row],[Cost Price]]*Sales_Data[[#This Row],[Quantity]]</f>
        <v>600000</v>
      </c>
      <c r="N148" s="12">
        <f>Sales_Data[[#This Row],[Revenue]]-Sales_Data[[#This Row],[COGS]]</f>
        <v>150000</v>
      </c>
    </row>
    <row r="149" spans="1:14">
      <c r="A149" s="1">
        <v>45823</v>
      </c>
      <c r="B149" t="s">
        <v>18</v>
      </c>
      <c r="C149" t="s">
        <v>26</v>
      </c>
      <c r="D149" t="s">
        <v>23</v>
      </c>
      <c r="E149" t="s">
        <v>14</v>
      </c>
      <c r="F149" t="s">
        <v>40</v>
      </c>
      <c r="G149" t="s">
        <v>31</v>
      </c>
      <c r="H149" s="12">
        <v>250000</v>
      </c>
      <c r="I149">
        <v>5</v>
      </c>
      <c r="J149" t="s">
        <v>39</v>
      </c>
      <c r="K149" s="12">
        <f t="shared" si="2"/>
        <v>200000</v>
      </c>
      <c r="L149" s="12">
        <f>Sales_Data[[#This Row],[Unit Price]]*Sales_Data[[#This Row],[Quantity]]</f>
        <v>1250000</v>
      </c>
      <c r="M149" s="12">
        <f>Sales_Data[[#This Row],[Cost Price]]*Sales_Data[[#This Row],[Quantity]]</f>
        <v>1000000</v>
      </c>
      <c r="N149" s="12">
        <f>Sales_Data[[#This Row],[Revenue]]-Sales_Data[[#This Row],[COGS]]</f>
        <v>250000</v>
      </c>
    </row>
    <row r="150" spans="1:14">
      <c r="A150" s="1">
        <v>45824</v>
      </c>
      <c r="B150" t="s">
        <v>29</v>
      </c>
      <c r="C150" t="s">
        <v>32</v>
      </c>
      <c r="D150" t="s">
        <v>23</v>
      </c>
      <c r="E150" t="s">
        <v>14</v>
      </c>
      <c r="F150" t="s">
        <v>41</v>
      </c>
      <c r="G150" t="s">
        <v>22</v>
      </c>
      <c r="H150" s="12">
        <v>220000</v>
      </c>
      <c r="I150">
        <v>10</v>
      </c>
      <c r="J150" t="s">
        <v>24</v>
      </c>
      <c r="K150" s="12">
        <f t="shared" si="2"/>
        <v>176000</v>
      </c>
      <c r="L150" s="12">
        <f>Sales_Data[[#This Row],[Unit Price]]*Sales_Data[[#This Row],[Quantity]]</f>
        <v>2200000</v>
      </c>
      <c r="M150" s="12">
        <f>Sales_Data[[#This Row],[Cost Price]]*Sales_Data[[#This Row],[Quantity]]</f>
        <v>1760000</v>
      </c>
      <c r="N150" s="12">
        <f>Sales_Data[[#This Row],[Revenue]]-Sales_Data[[#This Row],[COGS]]</f>
        <v>440000</v>
      </c>
    </row>
    <row r="151" spans="1:14">
      <c r="A151" s="1">
        <v>45825</v>
      </c>
      <c r="B151" t="s">
        <v>29</v>
      </c>
      <c r="C151" t="s">
        <v>26</v>
      </c>
      <c r="D151" t="s">
        <v>23</v>
      </c>
      <c r="E151" t="s">
        <v>14</v>
      </c>
      <c r="F151" t="s">
        <v>27</v>
      </c>
      <c r="G151" t="s">
        <v>22</v>
      </c>
      <c r="H151" s="12">
        <v>60000</v>
      </c>
      <c r="I151">
        <v>2</v>
      </c>
      <c r="J151" t="s">
        <v>35</v>
      </c>
      <c r="K151" s="12">
        <f t="shared" si="2"/>
        <v>48000</v>
      </c>
      <c r="L151" s="12">
        <f>Sales_Data[[#This Row],[Unit Price]]*Sales_Data[[#This Row],[Quantity]]</f>
        <v>120000</v>
      </c>
      <c r="M151" s="12">
        <f>Sales_Data[[#This Row],[Cost Price]]*Sales_Data[[#This Row],[Quantity]]</f>
        <v>96000</v>
      </c>
      <c r="N151" s="12">
        <f>Sales_Data[[#This Row],[Revenue]]-Sales_Data[[#This Row],[COGS]]</f>
        <v>24000</v>
      </c>
    </row>
    <row r="152" spans="1:14">
      <c r="A152" s="1">
        <v>45826</v>
      </c>
      <c r="B152" t="s">
        <v>29</v>
      </c>
      <c r="C152" t="s">
        <v>26</v>
      </c>
      <c r="D152" t="s">
        <v>23</v>
      </c>
      <c r="E152" t="s">
        <v>20</v>
      </c>
      <c r="F152" t="s">
        <v>40</v>
      </c>
      <c r="G152" t="s">
        <v>31</v>
      </c>
      <c r="H152" s="12">
        <v>250000</v>
      </c>
      <c r="I152">
        <v>1</v>
      </c>
      <c r="J152" t="s">
        <v>37</v>
      </c>
      <c r="K152" s="12">
        <f t="shared" si="2"/>
        <v>200000</v>
      </c>
      <c r="L152" s="12">
        <f>Sales_Data[[#This Row],[Unit Price]]*Sales_Data[[#This Row],[Quantity]]</f>
        <v>250000</v>
      </c>
      <c r="M152" s="12">
        <f>Sales_Data[[#This Row],[Cost Price]]*Sales_Data[[#This Row],[Quantity]]</f>
        <v>200000</v>
      </c>
      <c r="N152" s="12">
        <f>Sales_Data[[#This Row],[Revenue]]-Sales_Data[[#This Row],[COGS]]</f>
        <v>50000</v>
      </c>
    </row>
    <row r="153" spans="1:14">
      <c r="A153" s="1">
        <v>45827</v>
      </c>
      <c r="B153" t="s">
        <v>11</v>
      </c>
      <c r="C153" t="s">
        <v>12</v>
      </c>
      <c r="D153" t="s">
        <v>13</v>
      </c>
      <c r="E153" t="s">
        <v>14</v>
      </c>
      <c r="F153" t="s">
        <v>33</v>
      </c>
      <c r="G153" t="s">
        <v>22</v>
      </c>
      <c r="H153" s="12">
        <v>180000</v>
      </c>
      <c r="I153">
        <v>8</v>
      </c>
      <c r="J153" t="s">
        <v>39</v>
      </c>
      <c r="K153" s="12">
        <f t="shared" si="2"/>
        <v>144000</v>
      </c>
      <c r="L153" s="12">
        <f>Sales_Data[[#This Row],[Unit Price]]*Sales_Data[[#This Row],[Quantity]]</f>
        <v>1440000</v>
      </c>
      <c r="M153" s="12">
        <f>Sales_Data[[#This Row],[Cost Price]]*Sales_Data[[#This Row],[Quantity]]</f>
        <v>1152000</v>
      </c>
      <c r="N153" s="12">
        <f>Sales_Data[[#This Row],[Revenue]]-Sales_Data[[#This Row],[COGS]]</f>
        <v>288000</v>
      </c>
    </row>
    <row r="154" spans="1:14">
      <c r="A154" s="1">
        <v>45828</v>
      </c>
      <c r="B154" t="s">
        <v>29</v>
      </c>
      <c r="C154" t="s">
        <v>19</v>
      </c>
      <c r="D154" t="s">
        <v>13</v>
      </c>
      <c r="E154" t="s">
        <v>14</v>
      </c>
      <c r="F154" t="s">
        <v>36</v>
      </c>
      <c r="G154" t="s">
        <v>31</v>
      </c>
      <c r="H154" s="12">
        <v>150000</v>
      </c>
      <c r="I154">
        <v>1</v>
      </c>
      <c r="J154" t="s">
        <v>17</v>
      </c>
      <c r="K154" s="12">
        <f t="shared" si="2"/>
        <v>120000</v>
      </c>
      <c r="L154" s="12">
        <f>Sales_Data[[#This Row],[Unit Price]]*Sales_Data[[#This Row],[Quantity]]</f>
        <v>150000</v>
      </c>
      <c r="M154" s="12">
        <f>Sales_Data[[#This Row],[Cost Price]]*Sales_Data[[#This Row],[Quantity]]</f>
        <v>120000</v>
      </c>
      <c r="N154" s="12">
        <f>Sales_Data[[#This Row],[Revenue]]-Sales_Data[[#This Row],[COGS]]</f>
        <v>30000</v>
      </c>
    </row>
    <row r="155" spans="1:14">
      <c r="A155" s="1">
        <v>45829</v>
      </c>
      <c r="B155" t="s">
        <v>29</v>
      </c>
      <c r="C155" t="s">
        <v>32</v>
      </c>
      <c r="D155" t="s">
        <v>13</v>
      </c>
      <c r="E155" t="s">
        <v>14</v>
      </c>
      <c r="F155" t="s">
        <v>21</v>
      </c>
      <c r="G155" t="s">
        <v>22</v>
      </c>
      <c r="H155" s="12">
        <v>30000</v>
      </c>
      <c r="I155">
        <v>6</v>
      </c>
      <c r="J155" t="s">
        <v>24</v>
      </c>
      <c r="K155" s="12">
        <f t="shared" si="2"/>
        <v>24000</v>
      </c>
      <c r="L155" s="12">
        <f>Sales_Data[[#This Row],[Unit Price]]*Sales_Data[[#This Row],[Quantity]]</f>
        <v>180000</v>
      </c>
      <c r="M155" s="12">
        <f>Sales_Data[[#This Row],[Cost Price]]*Sales_Data[[#This Row],[Quantity]]</f>
        <v>144000</v>
      </c>
      <c r="N155" s="12">
        <f>Sales_Data[[#This Row],[Revenue]]-Sales_Data[[#This Row],[COGS]]</f>
        <v>36000</v>
      </c>
    </row>
    <row r="156" spans="1:14">
      <c r="A156" s="1">
        <v>45830</v>
      </c>
      <c r="B156" t="s">
        <v>11</v>
      </c>
      <c r="C156" t="s">
        <v>12</v>
      </c>
      <c r="D156" t="s">
        <v>23</v>
      </c>
      <c r="E156" t="s">
        <v>14</v>
      </c>
      <c r="F156" t="s">
        <v>41</v>
      </c>
      <c r="G156" t="s">
        <v>22</v>
      </c>
      <c r="H156" s="12">
        <v>220000</v>
      </c>
      <c r="I156">
        <v>10</v>
      </c>
      <c r="J156" t="s">
        <v>39</v>
      </c>
      <c r="K156" s="12">
        <f t="shared" si="2"/>
        <v>176000</v>
      </c>
      <c r="L156" s="12">
        <f>Sales_Data[[#This Row],[Unit Price]]*Sales_Data[[#This Row],[Quantity]]</f>
        <v>2200000</v>
      </c>
      <c r="M156" s="12">
        <f>Sales_Data[[#This Row],[Cost Price]]*Sales_Data[[#This Row],[Quantity]]</f>
        <v>1760000</v>
      </c>
      <c r="N156" s="12">
        <f>Sales_Data[[#This Row],[Revenue]]-Sales_Data[[#This Row],[COGS]]</f>
        <v>440000</v>
      </c>
    </row>
    <row r="157" spans="1:14">
      <c r="A157" s="1">
        <v>45831</v>
      </c>
      <c r="B157" t="s">
        <v>11</v>
      </c>
      <c r="C157" t="s">
        <v>12</v>
      </c>
      <c r="D157" t="s">
        <v>13</v>
      </c>
      <c r="E157" t="s">
        <v>20</v>
      </c>
      <c r="F157" t="s">
        <v>38</v>
      </c>
      <c r="G157" t="s">
        <v>31</v>
      </c>
      <c r="H157" s="12">
        <v>420000</v>
      </c>
      <c r="I157">
        <v>1</v>
      </c>
      <c r="J157" t="s">
        <v>24</v>
      </c>
      <c r="K157" s="12">
        <f t="shared" si="2"/>
        <v>336000</v>
      </c>
      <c r="L157" s="12">
        <f>Sales_Data[[#This Row],[Unit Price]]*Sales_Data[[#This Row],[Quantity]]</f>
        <v>420000</v>
      </c>
      <c r="M157" s="12">
        <f>Sales_Data[[#This Row],[Cost Price]]*Sales_Data[[#This Row],[Quantity]]</f>
        <v>336000</v>
      </c>
      <c r="N157" s="12">
        <f>Sales_Data[[#This Row],[Revenue]]-Sales_Data[[#This Row],[COGS]]</f>
        <v>84000</v>
      </c>
    </row>
    <row r="158" spans="1:14">
      <c r="A158" s="1">
        <v>45832</v>
      </c>
      <c r="B158" t="s">
        <v>11</v>
      </c>
      <c r="C158" t="s">
        <v>19</v>
      </c>
      <c r="D158" t="s">
        <v>23</v>
      </c>
      <c r="E158" t="s">
        <v>20</v>
      </c>
      <c r="F158" t="s">
        <v>30</v>
      </c>
      <c r="G158" t="s">
        <v>31</v>
      </c>
      <c r="H158" s="12">
        <v>300000</v>
      </c>
      <c r="I158">
        <v>8</v>
      </c>
      <c r="J158" t="s">
        <v>24</v>
      </c>
      <c r="K158" s="12">
        <f t="shared" si="2"/>
        <v>240000</v>
      </c>
      <c r="L158" s="12">
        <f>Sales_Data[[#This Row],[Unit Price]]*Sales_Data[[#This Row],[Quantity]]</f>
        <v>2400000</v>
      </c>
      <c r="M158" s="12">
        <f>Sales_Data[[#This Row],[Cost Price]]*Sales_Data[[#This Row],[Quantity]]</f>
        <v>1920000</v>
      </c>
      <c r="N158" s="12">
        <f>Sales_Data[[#This Row],[Revenue]]-Sales_Data[[#This Row],[COGS]]</f>
        <v>480000</v>
      </c>
    </row>
    <row r="159" spans="1:14">
      <c r="A159" s="1">
        <v>45833</v>
      </c>
      <c r="B159" t="s">
        <v>29</v>
      </c>
      <c r="C159" t="s">
        <v>32</v>
      </c>
      <c r="D159" t="s">
        <v>23</v>
      </c>
      <c r="E159" t="s">
        <v>14</v>
      </c>
      <c r="F159" t="s">
        <v>40</v>
      </c>
      <c r="G159" t="s">
        <v>31</v>
      </c>
      <c r="H159" s="12">
        <v>250000</v>
      </c>
      <c r="I159">
        <v>3</v>
      </c>
      <c r="J159" t="s">
        <v>17</v>
      </c>
      <c r="K159" s="12">
        <f t="shared" si="2"/>
        <v>200000</v>
      </c>
      <c r="L159" s="12">
        <f>Sales_Data[[#This Row],[Unit Price]]*Sales_Data[[#This Row],[Quantity]]</f>
        <v>750000</v>
      </c>
      <c r="M159" s="12">
        <f>Sales_Data[[#This Row],[Cost Price]]*Sales_Data[[#This Row],[Quantity]]</f>
        <v>600000</v>
      </c>
      <c r="N159" s="12">
        <f>Sales_Data[[#This Row],[Revenue]]-Sales_Data[[#This Row],[COGS]]</f>
        <v>150000</v>
      </c>
    </row>
    <row r="160" spans="1:14">
      <c r="A160" s="1">
        <v>45834</v>
      </c>
      <c r="B160" t="s">
        <v>11</v>
      </c>
      <c r="C160" t="s">
        <v>32</v>
      </c>
      <c r="D160" t="s">
        <v>23</v>
      </c>
      <c r="E160" t="s">
        <v>14</v>
      </c>
      <c r="F160" t="s">
        <v>30</v>
      </c>
      <c r="G160" t="s">
        <v>31</v>
      </c>
      <c r="H160" s="12">
        <v>300000</v>
      </c>
      <c r="I160">
        <v>4</v>
      </c>
      <c r="J160" t="s">
        <v>35</v>
      </c>
      <c r="K160" s="12">
        <f t="shared" si="2"/>
        <v>240000</v>
      </c>
      <c r="L160" s="12">
        <f>Sales_Data[[#This Row],[Unit Price]]*Sales_Data[[#This Row],[Quantity]]</f>
        <v>1200000</v>
      </c>
      <c r="M160" s="12">
        <f>Sales_Data[[#This Row],[Cost Price]]*Sales_Data[[#This Row],[Quantity]]</f>
        <v>960000</v>
      </c>
      <c r="N160" s="12">
        <f>Sales_Data[[#This Row],[Revenue]]-Sales_Data[[#This Row],[COGS]]</f>
        <v>240000</v>
      </c>
    </row>
    <row r="161" spans="1:14">
      <c r="A161" s="1">
        <v>45835</v>
      </c>
      <c r="B161" t="s">
        <v>11</v>
      </c>
      <c r="C161" t="s">
        <v>26</v>
      </c>
      <c r="D161" t="s">
        <v>13</v>
      </c>
      <c r="E161" t="s">
        <v>14</v>
      </c>
      <c r="F161" t="s">
        <v>36</v>
      </c>
      <c r="G161" t="s">
        <v>31</v>
      </c>
      <c r="H161" s="12">
        <v>150000</v>
      </c>
      <c r="I161">
        <v>6</v>
      </c>
      <c r="J161" t="s">
        <v>35</v>
      </c>
      <c r="K161" s="12">
        <f t="shared" si="2"/>
        <v>120000</v>
      </c>
      <c r="L161" s="12">
        <f>Sales_Data[[#This Row],[Unit Price]]*Sales_Data[[#This Row],[Quantity]]</f>
        <v>900000</v>
      </c>
      <c r="M161" s="12">
        <f>Sales_Data[[#This Row],[Cost Price]]*Sales_Data[[#This Row],[Quantity]]</f>
        <v>720000</v>
      </c>
      <c r="N161" s="12">
        <f>Sales_Data[[#This Row],[Revenue]]-Sales_Data[[#This Row],[COGS]]</f>
        <v>180000</v>
      </c>
    </row>
    <row r="162" spans="1:14">
      <c r="A162" s="1">
        <v>45836</v>
      </c>
      <c r="B162" t="s">
        <v>11</v>
      </c>
      <c r="C162" t="s">
        <v>32</v>
      </c>
      <c r="D162" t="s">
        <v>13</v>
      </c>
      <c r="E162" t="s">
        <v>14</v>
      </c>
      <c r="F162" t="s">
        <v>38</v>
      </c>
      <c r="G162" t="s">
        <v>31</v>
      </c>
      <c r="H162" s="12">
        <v>420000</v>
      </c>
      <c r="I162">
        <v>2</v>
      </c>
      <c r="J162" t="s">
        <v>17</v>
      </c>
      <c r="K162" s="12">
        <f t="shared" si="2"/>
        <v>336000</v>
      </c>
      <c r="L162" s="12">
        <f>Sales_Data[[#This Row],[Unit Price]]*Sales_Data[[#This Row],[Quantity]]</f>
        <v>840000</v>
      </c>
      <c r="M162" s="12">
        <f>Sales_Data[[#This Row],[Cost Price]]*Sales_Data[[#This Row],[Quantity]]</f>
        <v>672000</v>
      </c>
      <c r="N162" s="12">
        <f>Sales_Data[[#This Row],[Revenue]]-Sales_Data[[#This Row],[COGS]]</f>
        <v>168000</v>
      </c>
    </row>
    <row r="163" spans="1:14">
      <c r="A163" s="1">
        <v>45837</v>
      </c>
      <c r="B163" t="s">
        <v>25</v>
      </c>
      <c r="C163" t="s">
        <v>19</v>
      </c>
      <c r="D163" t="s">
        <v>13</v>
      </c>
      <c r="E163" t="s">
        <v>14</v>
      </c>
      <c r="F163" t="s">
        <v>41</v>
      </c>
      <c r="G163" t="s">
        <v>22</v>
      </c>
      <c r="H163" s="12">
        <v>220000</v>
      </c>
      <c r="I163">
        <v>1</v>
      </c>
      <c r="J163" t="s">
        <v>24</v>
      </c>
      <c r="K163" s="12">
        <f t="shared" si="2"/>
        <v>176000</v>
      </c>
      <c r="L163" s="12">
        <f>Sales_Data[[#This Row],[Unit Price]]*Sales_Data[[#This Row],[Quantity]]</f>
        <v>220000</v>
      </c>
      <c r="M163" s="12">
        <f>Sales_Data[[#This Row],[Cost Price]]*Sales_Data[[#This Row],[Quantity]]</f>
        <v>176000</v>
      </c>
      <c r="N163" s="12">
        <f>Sales_Data[[#This Row],[Revenue]]-Sales_Data[[#This Row],[COGS]]</f>
        <v>44000</v>
      </c>
    </row>
    <row r="164" spans="1:14">
      <c r="A164" s="1">
        <v>45838</v>
      </c>
      <c r="B164" t="s">
        <v>25</v>
      </c>
      <c r="C164" t="s">
        <v>32</v>
      </c>
      <c r="D164" t="s">
        <v>13</v>
      </c>
      <c r="E164" t="s">
        <v>20</v>
      </c>
      <c r="F164" t="s">
        <v>41</v>
      </c>
      <c r="G164" t="s">
        <v>22</v>
      </c>
      <c r="H164" s="12">
        <v>220000</v>
      </c>
      <c r="I164">
        <v>8</v>
      </c>
      <c r="J164" t="s">
        <v>37</v>
      </c>
      <c r="K164" s="12">
        <f t="shared" si="2"/>
        <v>176000</v>
      </c>
      <c r="L164" s="12">
        <f>Sales_Data[[#This Row],[Unit Price]]*Sales_Data[[#This Row],[Quantity]]</f>
        <v>1760000</v>
      </c>
      <c r="M164" s="12">
        <f>Sales_Data[[#This Row],[Cost Price]]*Sales_Data[[#This Row],[Quantity]]</f>
        <v>1408000</v>
      </c>
      <c r="N164" s="12">
        <f>Sales_Data[[#This Row],[Revenue]]-Sales_Data[[#This Row],[COGS]]</f>
        <v>352000</v>
      </c>
    </row>
    <row r="165" spans="1:14">
      <c r="A165" s="1">
        <v>45839</v>
      </c>
      <c r="B165" t="s">
        <v>29</v>
      </c>
      <c r="C165" t="s">
        <v>26</v>
      </c>
      <c r="D165" t="s">
        <v>13</v>
      </c>
      <c r="E165" t="s">
        <v>20</v>
      </c>
      <c r="F165" t="s">
        <v>21</v>
      </c>
      <c r="G165" t="s">
        <v>22</v>
      </c>
      <c r="H165" s="12">
        <v>30000</v>
      </c>
      <c r="I165">
        <v>10</v>
      </c>
      <c r="J165" t="s">
        <v>39</v>
      </c>
      <c r="K165" s="12">
        <f t="shared" si="2"/>
        <v>24000</v>
      </c>
      <c r="L165" s="12">
        <f>Sales_Data[[#This Row],[Unit Price]]*Sales_Data[[#This Row],[Quantity]]</f>
        <v>300000</v>
      </c>
      <c r="M165" s="12">
        <f>Sales_Data[[#This Row],[Cost Price]]*Sales_Data[[#This Row],[Quantity]]</f>
        <v>240000</v>
      </c>
      <c r="N165" s="12">
        <f>Sales_Data[[#This Row],[Revenue]]-Sales_Data[[#This Row],[COGS]]</f>
        <v>60000</v>
      </c>
    </row>
    <row r="166" spans="1:14">
      <c r="A166" s="1">
        <v>45840</v>
      </c>
      <c r="B166" t="s">
        <v>29</v>
      </c>
      <c r="C166" t="s">
        <v>19</v>
      </c>
      <c r="D166" t="s">
        <v>23</v>
      </c>
      <c r="E166" t="s">
        <v>14</v>
      </c>
      <c r="F166" t="s">
        <v>21</v>
      </c>
      <c r="G166" t="s">
        <v>22</v>
      </c>
      <c r="H166" s="12">
        <v>30000</v>
      </c>
      <c r="I166">
        <v>4</v>
      </c>
      <c r="J166" t="s">
        <v>39</v>
      </c>
      <c r="K166" s="12">
        <f t="shared" si="2"/>
        <v>24000</v>
      </c>
      <c r="L166" s="12">
        <f>Sales_Data[[#This Row],[Unit Price]]*Sales_Data[[#This Row],[Quantity]]</f>
        <v>120000</v>
      </c>
      <c r="M166" s="12">
        <f>Sales_Data[[#This Row],[Cost Price]]*Sales_Data[[#This Row],[Quantity]]</f>
        <v>96000</v>
      </c>
      <c r="N166" s="12">
        <f>Sales_Data[[#This Row],[Revenue]]-Sales_Data[[#This Row],[COGS]]</f>
        <v>24000</v>
      </c>
    </row>
    <row r="167" spans="1:14">
      <c r="A167" s="1">
        <v>45841</v>
      </c>
      <c r="B167" t="s">
        <v>11</v>
      </c>
      <c r="C167" t="s">
        <v>12</v>
      </c>
      <c r="D167" t="s">
        <v>23</v>
      </c>
      <c r="E167" t="s">
        <v>14</v>
      </c>
      <c r="F167" t="s">
        <v>33</v>
      </c>
      <c r="G167" t="s">
        <v>22</v>
      </c>
      <c r="H167" s="12">
        <v>180000</v>
      </c>
      <c r="I167">
        <v>6</v>
      </c>
      <c r="J167" t="s">
        <v>17</v>
      </c>
      <c r="K167" s="12">
        <f t="shared" si="2"/>
        <v>144000</v>
      </c>
      <c r="L167" s="12">
        <f>Sales_Data[[#This Row],[Unit Price]]*Sales_Data[[#This Row],[Quantity]]</f>
        <v>1080000</v>
      </c>
      <c r="M167" s="12">
        <f>Sales_Data[[#This Row],[Cost Price]]*Sales_Data[[#This Row],[Quantity]]</f>
        <v>864000</v>
      </c>
      <c r="N167" s="12">
        <f>Sales_Data[[#This Row],[Revenue]]-Sales_Data[[#This Row],[COGS]]</f>
        <v>216000</v>
      </c>
    </row>
    <row r="168" spans="1:14">
      <c r="A168" s="1">
        <v>45842</v>
      </c>
      <c r="B168" t="s">
        <v>11</v>
      </c>
      <c r="C168" t="s">
        <v>32</v>
      </c>
      <c r="D168" t="s">
        <v>23</v>
      </c>
      <c r="E168" t="s">
        <v>14</v>
      </c>
      <c r="F168" t="s">
        <v>30</v>
      </c>
      <c r="G168" t="s">
        <v>31</v>
      </c>
      <c r="H168" s="12">
        <v>300000</v>
      </c>
      <c r="I168">
        <v>2</v>
      </c>
      <c r="J168" t="s">
        <v>39</v>
      </c>
      <c r="K168" s="12">
        <f t="shared" si="2"/>
        <v>240000</v>
      </c>
      <c r="L168" s="12">
        <f>Sales_Data[[#This Row],[Unit Price]]*Sales_Data[[#This Row],[Quantity]]</f>
        <v>600000</v>
      </c>
      <c r="M168" s="12">
        <f>Sales_Data[[#This Row],[Cost Price]]*Sales_Data[[#This Row],[Quantity]]</f>
        <v>480000</v>
      </c>
      <c r="N168" s="12">
        <f>Sales_Data[[#This Row],[Revenue]]-Sales_Data[[#This Row],[COGS]]</f>
        <v>120000</v>
      </c>
    </row>
    <row r="169" spans="1:14">
      <c r="A169" s="1">
        <v>45843</v>
      </c>
      <c r="B169" t="s">
        <v>18</v>
      </c>
      <c r="C169" t="s">
        <v>19</v>
      </c>
      <c r="D169" t="s">
        <v>13</v>
      </c>
      <c r="E169" t="s">
        <v>14</v>
      </c>
      <c r="F169" t="s">
        <v>36</v>
      </c>
      <c r="G169" t="s">
        <v>31</v>
      </c>
      <c r="H169" s="12">
        <v>150000</v>
      </c>
      <c r="I169">
        <v>9</v>
      </c>
      <c r="J169" t="s">
        <v>17</v>
      </c>
      <c r="K169" s="12">
        <f t="shared" si="2"/>
        <v>120000</v>
      </c>
      <c r="L169" s="12">
        <f>Sales_Data[[#This Row],[Unit Price]]*Sales_Data[[#This Row],[Quantity]]</f>
        <v>1350000</v>
      </c>
      <c r="M169" s="12">
        <f>Sales_Data[[#This Row],[Cost Price]]*Sales_Data[[#This Row],[Quantity]]</f>
        <v>1080000</v>
      </c>
      <c r="N169" s="12">
        <f>Sales_Data[[#This Row],[Revenue]]-Sales_Data[[#This Row],[COGS]]</f>
        <v>270000</v>
      </c>
    </row>
    <row r="170" spans="1:14">
      <c r="A170" s="1">
        <v>45844</v>
      </c>
      <c r="B170" t="s">
        <v>29</v>
      </c>
      <c r="C170" t="s">
        <v>12</v>
      </c>
      <c r="D170" t="s">
        <v>13</v>
      </c>
      <c r="E170" t="s">
        <v>20</v>
      </c>
      <c r="F170" t="s">
        <v>36</v>
      </c>
      <c r="G170" t="s">
        <v>31</v>
      </c>
      <c r="H170" s="12">
        <v>150000</v>
      </c>
      <c r="I170">
        <v>9</v>
      </c>
      <c r="J170" t="s">
        <v>24</v>
      </c>
      <c r="K170" s="12">
        <f t="shared" si="2"/>
        <v>120000</v>
      </c>
      <c r="L170" s="12">
        <f>Sales_Data[[#This Row],[Unit Price]]*Sales_Data[[#This Row],[Quantity]]</f>
        <v>1350000</v>
      </c>
      <c r="M170" s="12">
        <f>Sales_Data[[#This Row],[Cost Price]]*Sales_Data[[#This Row],[Quantity]]</f>
        <v>1080000</v>
      </c>
      <c r="N170" s="12">
        <f>Sales_Data[[#This Row],[Revenue]]-Sales_Data[[#This Row],[COGS]]</f>
        <v>270000</v>
      </c>
    </row>
    <row r="171" spans="1:14">
      <c r="A171" s="1">
        <v>45845</v>
      </c>
      <c r="B171" t="s">
        <v>11</v>
      </c>
      <c r="C171" t="s">
        <v>12</v>
      </c>
      <c r="D171" t="s">
        <v>13</v>
      </c>
      <c r="E171" t="s">
        <v>14</v>
      </c>
      <c r="F171" t="s">
        <v>21</v>
      </c>
      <c r="G171" t="s">
        <v>22</v>
      </c>
      <c r="H171" s="12">
        <v>30000</v>
      </c>
      <c r="I171">
        <v>4</v>
      </c>
      <c r="J171" t="s">
        <v>17</v>
      </c>
      <c r="K171" s="12">
        <f t="shared" si="2"/>
        <v>24000</v>
      </c>
      <c r="L171" s="12">
        <f>Sales_Data[[#This Row],[Unit Price]]*Sales_Data[[#This Row],[Quantity]]</f>
        <v>120000</v>
      </c>
      <c r="M171" s="12">
        <f>Sales_Data[[#This Row],[Cost Price]]*Sales_Data[[#This Row],[Quantity]]</f>
        <v>96000</v>
      </c>
      <c r="N171" s="12">
        <f>Sales_Data[[#This Row],[Revenue]]-Sales_Data[[#This Row],[COGS]]</f>
        <v>24000</v>
      </c>
    </row>
    <row r="172" spans="1:14">
      <c r="A172" s="1">
        <v>45846</v>
      </c>
      <c r="B172" t="s">
        <v>18</v>
      </c>
      <c r="C172" t="s">
        <v>26</v>
      </c>
      <c r="D172" t="s">
        <v>23</v>
      </c>
      <c r="E172" t="s">
        <v>14</v>
      </c>
      <c r="F172" t="s">
        <v>27</v>
      </c>
      <c r="G172" t="s">
        <v>22</v>
      </c>
      <c r="H172" s="12">
        <v>60000</v>
      </c>
      <c r="I172">
        <v>9</v>
      </c>
      <c r="J172" t="s">
        <v>28</v>
      </c>
      <c r="K172" s="12">
        <f t="shared" si="2"/>
        <v>48000</v>
      </c>
      <c r="L172" s="12">
        <f>Sales_Data[[#This Row],[Unit Price]]*Sales_Data[[#This Row],[Quantity]]</f>
        <v>540000</v>
      </c>
      <c r="M172" s="12">
        <f>Sales_Data[[#This Row],[Cost Price]]*Sales_Data[[#This Row],[Quantity]]</f>
        <v>432000</v>
      </c>
      <c r="N172" s="12">
        <f>Sales_Data[[#This Row],[Revenue]]-Sales_Data[[#This Row],[COGS]]</f>
        <v>108000</v>
      </c>
    </row>
    <row r="173" spans="1:14">
      <c r="A173" s="1">
        <v>45847</v>
      </c>
      <c r="B173" t="s">
        <v>25</v>
      </c>
      <c r="C173" t="s">
        <v>19</v>
      </c>
      <c r="D173" t="s">
        <v>13</v>
      </c>
      <c r="E173" t="s">
        <v>20</v>
      </c>
      <c r="F173" t="s">
        <v>30</v>
      </c>
      <c r="G173" t="s">
        <v>31</v>
      </c>
      <c r="H173" s="12">
        <v>300000</v>
      </c>
      <c r="I173">
        <v>9</v>
      </c>
      <c r="J173" t="s">
        <v>28</v>
      </c>
      <c r="K173" s="12">
        <f t="shared" si="2"/>
        <v>240000</v>
      </c>
      <c r="L173" s="12">
        <f>Sales_Data[[#This Row],[Unit Price]]*Sales_Data[[#This Row],[Quantity]]</f>
        <v>2700000</v>
      </c>
      <c r="M173" s="12">
        <f>Sales_Data[[#This Row],[Cost Price]]*Sales_Data[[#This Row],[Quantity]]</f>
        <v>2160000</v>
      </c>
      <c r="N173" s="12">
        <f>Sales_Data[[#This Row],[Revenue]]-Sales_Data[[#This Row],[COGS]]</f>
        <v>540000</v>
      </c>
    </row>
    <row r="174" spans="1:14">
      <c r="A174" s="1">
        <v>45848</v>
      </c>
      <c r="B174" t="s">
        <v>29</v>
      </c>
      <c r="C174" t="s">
        <v>32</v>
      </c>
      <c r="D174" t="s">
        <v>13</v>
      </c>
      <c r="E174" t="s">
        <v>14</v>
      </c>
      <c r="F174" t="s">
        <v>34</v>
      </c>
      <c r="G174" t="s">
        <v>16</v>
      </c>
      <c r="H174" s="12">
        <v>320000</v>
      </c>
      <c r="I174">
        <v>3</v>
      </c>
      <c r="J174" t="s">
        <v>39</v>
      </c>
      <c r="K174" s="12">
        <f t="shared" si="2"/>
        <v>256000</v>
      </c>
      <c r="L174" s="12">
        <f>Sales_Data[[#This Row],[Unit Price]]*Sales_Data[[#This Row],[Quantity]]</f>
        <v>960000</v>
      </c>
      <c r="M174" s="12">
        <f>Sales_Data[[#This Row],[Cost Price]]*Sales_Data[[#This Row],[Quantity]]</f>
        <v>768000</v>
      </c>
      <c r="N174" s="12">
        <f>Sales_Data[[#This Row],[Revenue]]-Sales_Data[[#This Row],[COGS]]</f>
        <v>192000</v>
      </c>
    </row>
    <row r="175" spans="1:14">
      <c r="A175" s="1">
        <v>45849</v>
      </c>
      <c r="B175" t="s">
        <v>11</v>
      </c>
      <c r="C175" t="s">
        <v>12</v>
      </c>
      <c r="D175" t="s">
        <v>13</v>
      </c>
      <c r="E175" t="s">
        <v>14</v>
      </c>
      <c r="F175" t="s">
        <v>36</v>
      </c>
      <c r="G175" t="s">
        <v>31</v>
      </c>
      <c r="H175" s="12">
        <v>150000</v>
      </c>
      <c r="I175">
        <v>1</v>
      </c>
      <c r="J175" t="s">
        <v>17</v>
      </c>
      <c r="K175" s="12">
        <f t="shared" si="2"/>
        <v>120000</v>
      </c>
      <c r="L175" s="12">
        <f>Sales_Data[[#This Row],[Unit Price]]*Sales_Data[[#This Row],[Quantity]]</f>
        <v>150000</v>
      </c>
      <c r="M175" s="12">
        <f>Sales_Data[[#This Row],[Cost Price]]*Sales_Data[[#This Row],[Quantity]]</f>
        <v>120000</v>
      </c>
      <c r="N175" s="12">
        <f>Sales_Data[[#This Row],[Revenue]]-Sales_Data[[#This Row],[COGS]]</f>
        <v>30000</v>
      </c>
    </row>
    <row r="176" spans="1:14">
      <c r="A176" s="1">
        <v>45850</v>
      </c>
      <c r="B176" t="s">
        <v>29</v>
      </c>
      <c r="C176" t="s">
        <v>19</v>
      </c>
      <c r="D176" t="s">
        <v>23</v>
      </c>
      <c r="E176" t="s">
        <v>14</v>
      </c>
      <c r="F176" t="s">
        <v>30</v>
      </c>
      <c r="G176" t="s">
        <v>31</v>
      </c>
      <c r="H176" s="12">
        <v>300000</v>
      </c>
      <c r="I176">
        <v>9</v>
      </c>
      <c r="J176" t="s">
        <v>28</v>
      </c>
      <c r="K176" s="12">
        <f t="shared" si="2"/>
        <v>240000</v>
      </c>
      <c r="L176" s="12">
        <f>Sales_Data[[#This Row],[Unit Price]]*Sales_Data[[#This Row],[Quantity]]</f>
        <v>2700000</v>
      </c>
      <c r="M176" s="12">
        <f>Sales_Data[[#This Row],[Cost Price]]*Sales_Data[[#This Row],[Quantity]]</f>
        <v>2160000</v>
      </c>
      <c r="N176" s="12">
        <f>Sales_Data[[#This Row],[Revenue]]-Sales_Data[[#This Row],[COGS]]</f>
        <v>540000</v>
      </c>
    </row>
    <row r="177" spans="1:14">
      <c r="A177" s="1">
        <v>45851</v>
      </c>
      <c r="B177" t="s">
        <v>18</v>
      </c>
      <c r="C177" t="s">
        <v>19</v>
      </c>
      <c r="D177" t="s">
        <v>13</v>
      </c>
      <c r="E177" t="s">
        <v>14</v>
      </c>
      <c r="F177" t="s">
        <v>41</v>
      </c>
      <c r="G177" t="s">
        <v>22</v>
      </c>
      <c r="H177" s="12">
        <v>220000</v>
      </c>
      <c r="I177">
        <v>3</v>
      </c>
      <c r="J177" t="s">
        <v>24</v>
      </c>
      <c r="K177" s="12">
        <f t="shared" si="2"/>
        <v>176000</v>
      </c>
      <c r="L177" s="12">
        <f>Sales_Data[[#This Row],[Unit Price]]*Sales_Data[[#This Row],[Quantity]]</f>
        <v>660000</v>
      </c>
      <c r="M177" s="12">
        <f>Sales_Data[[#This Row],[Cost Price]]*Sales_Data[[#This Row],[Quantity]]</f>
        <v>528000</v>
      </c>
      <c r="N177" s="12">
        <f>Sales_Data[[#This Row],[Revenue]]-Sales_Data[[#This Row],[COGS]]</f>
        <v>132000</v>
      </c>
    </row>
    <row r="178" spans="1:14">
      <c r="A178" s="1">
        <v>45852</v>
      </c>
      <c r="B178" t="s">
        <v>11</v>
      </c>
      <c r="C178" t="s">
        <v>26</v>
      </c>
      <c r="D178" t="s">
        <v>23</v>
      </c>
      <c r="E178" t="s">
        <v>14</v>
      </c>
      <c r="F178" t="s">
        <v>41</v>
      </c>
      <c r="G178" t="s">
        <v>22</v>
      </c>
      <c r="H178" s="12">
        <v>220000</v>
      </c>
      <c r="I178">
        <v>9</v>
      </c>
      <c r="J178" t="s">
        <v>39</v>
      </c>
      <c r="K178" s="12">
        <f t="shared" si="2"/>
        <v>176000</v>
      </c>
      <c r="L178" s="12">
        <f>Sales_Data[[#This Row],[Unit Price]]*Sales_Data[[#This Row],[Quantity]]</f>
        <v>1980000</v>
      </c>
      <c r="M178" s="12">
        <f>Sales_Data[[#This Row],[Cost Price]]*Sales_Data[[#This Row],[Quantity]]</f>
        <v>1584000</v>
      </c>
      <c r="N178" s="12">
        <f>Sales_Data[[#This Row],[Revenue]]-Sales_Data[[#This Row],[COGS]]</f>
        <v>396000</v>
      </c>
    </row>
    <row r="179" spans="1:14">
      <c r="A179" s="1">
        <v>45853</v>
      </c>
      <c r="B179" t="s">
        <v>18</v>
      </c>
      <c r="C179" t="s">
        <v>26</v>
      </c>
      <c r="D179" t="s">
        <v>23</v>
      </c>
      <c r="E179" t="s">
        <v>20</v>
      </c>
      <c r="F179" t="s">
        <v>27</v>
      </c>
      <c r="G179" t="s">
        <v>22</v>
      </c>
      <c r="H179" s="12">
        <v>60000</v>
      </c>
      <c r="I179">
        <v>6</v>
      </c>
      <c r="J179" t="s">
        <v>39</v>
      </c>
      <c r="K179" s="12">
        <f t="shared" si="2"/>
        <v>48000</v>
      </c>
      <c r="L179" s="12">
        <f>Sales_Data[[#This Row],[Unit Price]]*Sales_Data[[#This Row],[Quantity]]</f>
        <v>360000</v>
      </c>
      <c r="M179" s="12">
        <f>Sales_Data[[#This Row],[Cost Price]]*Sales_Data[[#This Row],[Quantity]]</f>
        <v>288000</v>
      </c>
      <c r="N179" s="12">
        <f>Sales_Data[[#This Row],[Revenue]]-Sales_Data[[#This Row],[COGS]]</f>
        <v>72000</v>
      </c>
    </row>
    <row r="180" spans="1:14">
      <c r="A180" s="1">
        <v>45854</v>
      </c>
      <c r="B180" t="s">
        <v>29</v>
      </c>
      <c r="C180" t="s">
        <v>26</v>
      </c>
      <c r="D180" t="s">
        <v>13</v>
      </c>
      <c r="E180" t="s">
        <v>20</v>
      </c>
      <c r="F180" t="s">
        <v>21</v>
      </c>
      <c r="G180" t="s">
        <v>22</v>
      </c>
      <c r="H180" s="12">
        <v>30000</v>
      </c>
      <c r="I180">
        <v>10</v>
      </c>
      <c r="J180" t="s">
        <v>35</v>
      </c>
      <c r="K180" s="12">
        <f t="shared" si="2"/>
        <v>24000</v>
      </c>
      <c r="L180" s="12">
        <f>Sales_Data[[#This Row],[Unit Price]]*Sales_Data[[#This Row],[Quantity]]</f>
        <v>300000</v>
      </c>
      <c r="M180" s="12">
        <f>Sales_Data[[#This Row],[Cost Price]]*Sales_Data[[#This Row],[Quantity]]</f>
        <v>240000</v>
      </c>
      <c r="N180" s="12">
        <f>Sales_Data[[#This Row],[Revenue]]-Sales_Data[[#This Row],[COGS]]</f>
        <v>60000</v>
      </c>
    </row>
    <row r="181" spans="1:14">
      <c r="A181" s="1">
        <v>45855</v>
      </c>
      <c r="B181" t="s">
        <v>25</v>
      </c>
      <c r="C181" t="s">
        <v>26</v>
      </c>
      <c r="D181" t="s">
        <v>23</v>
      </c>
      <c r="E181" t="s">
        <v>20</v>
      </c>
      <c r="F181" t="s">
        <v>38</v>
      </c>
      <c r="G181" t="s">
        <v>31</v>
      </c>
      <c r="H181" s="12">
        <v>420000</v>
      </c>
      <c r="I181">
        <v>8</v>
      </c>
      <c r="J181" t="s">
        <v>39</v>
      </c>
      <c r="K181" s="12">
        <f t="shared" si="2"/>
        <v>336000</v>
      </c>
      <c r="L181" s="12">
        <f>Sales_Data[[#This Row],[Unit Price]]*Sales_Data[[#This Row],[Quantity]]</f>
        <v>3360000</v>
      </c>
      <c r="M181" s="12">
        <f>Sales_Data[[#This Row],[Cost Price]]*Sales_Data[[#This Row],[Quantity]]</f>
        <v>2688000</v>
      </c>
      <c r="N181" s="12">
        <f>Sales_Data[[#This Row],[Revenue]]-Sales_Data[[#This Row],[COGS]]</f>
        <v>672000</v>
      </c>
    </row>
    <row r="182" spans="1:14">
      <c r="A182" s="1">
        <v>45856</v>
      </c>
      <c r="B182" t="s">
        <v>25</v>
      </c>
      <c r="C182" t="s">
        <v>26</v>
      </c>
      <c r="D182" t="s">
        <v>23</v>
      </c>
      <c r="E182" t="s">
        <v>14</v>
      </c>
      <c r="F182" t="s">
        <v>27</v>
      </c>
      <c r="G182" t="s">
        <v>22</v>
      </c>
      <c r="H182" s="12">
        <v>60000</v>
      </c>
      <c r="I182">
        <v>9</v>
      </c>
      <c r="J182" t="s">
        <v>17</v>
      </c>
      <c r="K182" s="12">
        <f t="shared" si="2"/>
        <v>48000</v>
      </c>
      <c r="L182" s="12">
        <f>Sales_Data[[#This Row],[Unit Price]]*Sales_Data[[#This Row],[Quantity]]</f>
        <v>540000</v>
      </c>
      <c r="M182" s="12">
        <f>Sales_Data[[#This Row],[Cost Price]]*Sales_Data[[#This Row],[Quantity]]</f>
        <v>432000</v>
      </c>
      <c r="N182" s="12">
        <f>Sales_Data[[#This Row],[Revenue]]-Sales_Data[[#This Row],[COGS]]</f>
        <v>108000</v>
      </c>
    </row>
    <row r="183" spans="1:14">
      <c r="A183" s="1">
        <v>45857</v>
      </c>
      <c r="B183" t="s">
        <v>18</v>
      </c>
      <c r="C183" t="s">
        <v>26</v>
      </c>
      <c r="D183" t="s">
        <v>23</v>
      </c>
      <c r="E183" t="s">
        <v>14</v>
      </c>
      <c r="F183" t="s">
        <v>40</v>
      </c>
      <c r="G183" t="s">
        <v>31</v>
      </c>
      <c r="H183" s="12">
        <v>250000</v>
      </c>
      <c r="I183">
        <v>1</v>
      </c>
      <c r="J183" t="s">
        <v>35</v>
      </c>
      <c r="K183" s="12">
        <f t="shared" si="2"/>
        <v>200000</v>
      </c>
      <c r="L183" s="12">
        <f>Sales_Data[[#This Row],[Unit Price]]*Sales_Data[[#This Row],[Quantity]]</f>
        <v>250000</v>
      </c>
      <c r="M183" s="12">
        <f>Sales_Data[[#This Row],[Cost Price]]*Sales_Data[[#This Row],[Quantity]]</f>
        <v>200000</v>
      </c>
      <c r="N183" s="12">
        <f>Sales_Data[[#This Row],[Revenue]]-Sales_Data[[#This Row],[COGS]]</f>
        <v>50000</v>
      </c>
    </row>
    <row r="184" spans="1:14">
      <c r="A184" s="1">
        <v>45858</v>
      </c>
      <c r="B184" t="s">
        <v>25</v>
      </c>
      <c r="C184" t="s">
        <v>26</v>
      </c>
      <c r="D184" t="s">
        <v>13</v>
      </c>
      <c r="E184" t="s">
        <v>14</v>
      </c>
      <c r="F184" t="s">
        <v>27</v>
      </c>
      <c r="G184" t="s">
        <v>22</v>
      </c>
      <c r="H184" s="12">
        <v>60000</v>
      </c>
      <c r="I184">
        <v>1</v>
      </c>
      <c r="J184" t="s">
        <v>39</v>
      </c>
      <c r="K184" s="12">
        <f t="shared" si="2"/>
        <v>48000</v>
      </c>
      <c r="L184" s="12">
        <f>Sales_Data[[#This Row],[Unit Price]]*Sales_Data[[#This Row],[Quantity]]</f>
        <v>60000</v>
      </c>
      <c r="M184" s="12">
        <f>Sales_Data[[#This Row],[Cost Price]]*Sales_Data[[#This Row],[Quantity]]</f>
        <v>48000</v>
      </c>
      <c r="N184" s="12">
        <f>Sales_Data[[#This Row],[Revenue]]-Sales_Data[[#This Row],[COGS]]</f>
        <v>12000</v>
      </c>
    </row>
    <row r="185" spans="1:14">
      <c r="A185" s="1">
        <v>45859</v>
      </c>
      <c r="B185" t="s">
        <v>25</v>
      </c>
      <c r="C185" t="s">
        <v>32</v>
      </c>
      <c r="D185" t="s">
        <v>13</v>
      </c>
      <c r="E185" t="s">
        <v>14</v>
      </c>
      <c r="F185" t="s">
        <v>38</v>
      </c>
      <c r="G185" t="s">
        <v>31</v>
      </c>
      <c r="H185" s="12">
        <v>420000</v>
      </c>
      <c r="I185">
        <v>8</v>
      </c>
      <c r="J185" t="s">
        <v>39</v>
      </c>
      <c r="K185" s="12">
        <f t="shared" si="2"/>
        <v>336000</v>
      </c>
      <c r="L185" s="12">
        <f>Sales_Data[[#This Row],[Unit Price]]*Sales_Data[[#This Row],[Quantity]]</f>
        <v>3360000</v>
      </c>
      <c r="M185" s="12">
        <f>Sales_Data[[#This Row],[Cost Price]]*Sales_Data[[#This Row],[Quantity]]</f>
        <v>2688000</v>
      </c>
      <c r="N185" s="12">
        <f>Sales_Data[[#This Row],[Revenue]]-Sales_Data[[#This Row],[COGS]]</f>
        <v>672000</v>
      </c>
    </row>
    <row r="186" spans="1:14">
      <c r="A186" s="1">
        <v>45860</v>
      </c>
      <c r="B186" t="s">
        <v>25</v>
      </c>
      <c r="C186" t="s">
        <v>12</v>
      </c>
      <c r="D186" t="s">
        <v>23</v>
      </c>
      <c r="E186" t="s">
        <v>20</v>
      </c>
      <c r="F186" t="s">
        <v>33</v>
      </c>
      <c r="G186" t="s">
        <v>22</v>
      </c>
      <c r="H186" s="12">
        <v>180000</v>
      </c>
      <c r="I186">
        <v>4</v>
      </c>
      <c r="J186" t="s">
        <v>39</v>
      </c>
      <c r="K186" s="12">
        <f t="shared" si="2"/>
        <v>144000</v>
      </c>
      <c r="L186" s="12">
        <f>Sales_Data[[#This Row],[Unit Price]]*Sales_Data[[#This Row],[Quantity]]</f>
        <v>720000</v>
      </c>
      <c r="M186" s="12">
        <f>Sales_Data[[#This Row],[Cost Price]]*Sales_Data[[#This Row],[Quantity]]</f>
        <v>576000</v>
      </c>
      <c r="N186" s="12">
        <f>Sales_Data[[#This Row],[Revenue]]-Sales_Data[[#This Row],[COGS]]</f>
        <v>144000</v>
      </c>
    </row>
    <row r="187" spans="1:14">
      <c r="A187" s="1">
        <v>45861</v>
      </c>
      <c r="B187" t="s">
        <v>18</v>
      </c>
      <c r="C187" t="s">
        <v>26</v>
      </c>
      <c r="D187" t="s">
        <v>13</v>
      </c>
      <c r="E187" t="s">
        <v>20</v>
      </c>
      <c r="F187" t="s">
        <v>33</v>
      </c>
      <c r="G187" t="s">
        <v>22</v>
      </c>
      <c r="H187" s="12">
        <v>180000</v>
      </c>
      <c r="I187">
        <v>7</v>
      </c>
      <c r="J187" t="s">
        <v>39</v>
      </c>
      <c r="K187" s="12">
        <f t="shared" si="2"/>
        <v>144000</v>
      </c>
      <c r="L187" s="12">
        <f>Sales_Data[[#This Row],[Unit Price]]*Sales_Data[[#This Row],[Quantity]]</f>
        <v>1260000</v>
      </c>
      <c r="M187" s="12">
        <f>Sales_Data[[#This Row],[Cost Price]]*Sales_Data[[#This Row],[Quantity]]</f>
        <v>1008000</v>
      </c>
      <c r="N187" s="12">
        <f>Sales_Data[[#This Row],[Revenue]]-Sales_Data[[#This Row],[COGS]]</f>
        <v>252000</v>
      </c>
    </row>
    <row r="188" spans="1:14">
      <c r="A188" s="1">
        <v>45862</v>
      </c>
      <c r="B188" t="s">
        <v>29</v>
      </c>
      <c r="C188" t="s">
        <v>26</v>
      </c>
      <c r="D188" t="s">
        <v>13</v>
      </c>
      <c r="E188" t="s">
        <v>14</v>
      </c>
      <c r="F188" t="s">
        <v>21</v>
      </c>
      <c r="G188" t="s">
        <v>22</v>
      </c>
      <c r="H188" s="12">
        <v>30000</v>
      </c>
      <c r="I188">
        <v>6</v>
      </c>
      <c r="J188" t="s">
        <v>37</v>
      </c>
      <c r="K188" s="12">
        <f t="shared" si="2"/>
        <v>24000</v>
      </c>
      <c r="L188" s="12">
        <f>Sales_Data[[#This Row],[Unit Price]]*Sales_Data[[#This Row],[Quantity]]</f>
        <v>180000</v>
      </c>
      <c r="M188" s="12">
        <f>Sales_Data[[#This Row],[Cost Price]]*Sales_Data[[#This Row],[Quantity]]</f>
        <v>144000</v>
      </c>
      <c r="N188" s="12">
        <f>Sales_Data[[#This Row],[Revenue]]-Sales_Data[[#This Row],[COGS]]</f>
        <v>36000</v>
      </c>
    </row>
    <row r="189" spans="1:14">
      <c r="A189" s="1">
        <v>45863</v>
      </c>
      <c r="B189" t="s">
        <v>18</v>
      </c>
      <c r="C189" t="s">
        <v>12</v>
      </c>
      <c r="D189" t="s">
        <v>13</v>
      </c>
      <c r="E189" t="s">
        <v>14</v>
      </c>
      <c r="F189" t="s">
        <v>33</v>
      </c>
      <c r="G189" t="s">
        <v>22</v>
      </c>
      <c r="H189" s="12">
        <v>180000</v>
      </c>
      <c r="I189">
        <v>4</v>
      </c>
      <c r="J189" t="s">
        <v>24</v>
      </c>
      <c r="K189" s="12">
        <f t="shared" si="2"/>
        <v>144000</v>
      </c>
      <c r="L189" s="12">
        <f>Sales_Data[[#This Row],[Unit Price]]*Sales_Data[[#This Row],[Quantity]]</f>
        <v>720000</v>
      </c>
      <c r="M189" s="12">
        <f>Sales_Data[[#This Row],[Cost Price]]*Sales_Data[[#This Row],[Quantity]]</f>
        <v>576000</v>
      </c>
      <c r="N189" s="12">
        <f>Sales_Data[[#This Row],[Revenue]]-Sales_Data[[#This Row],[COGS]]</f>
        <v>144000</v>
      </c>
    </row>
    <row r="190" spans="1:14">
      <c r="A190" s="1">
        <v>45864</v>
      </c>
      <c r="B190" t="s">
        <v>18</v>
      </c>
      <c r="C190" t="s">
        <v>32</v>
      </c>
      <c r="D190" t="s">
        <v>23</v>
      </c>
      <c r="E190" t="s">
        <v>20</v>
      </c>
      <c r="F190" t="s">
        <v>30</v>
      </c>
      <c r="G190" t="s">
        <v>31</v>
      </c>
      <c r="H190" s="12">
        <v>300000</v>
      </c>
      <c r="I190">
        <v>3</v>
      </c>
      <c r="J190" t="s">
        <v>28</v>
      </c>
      <c r="K190" s="12">
        <f t="shared" si="2"/>
        <v>240000</v>
      </c>
      <c r="L190" s="12">
        <f>Sales_Data[[#This Row],[Unit Price]]*Sales_Data[[#This Row],[Quantity]]</f>
        <v>900000</v>
      </c>
      <c r="M190" s="12">
        <f>Sales_Data[[#This Row],[Cost Price]]*Sales_Data[[#This Row],[Quantity]]</f>
        <v>720000</v>
      </c>
      <c r="N190" s="12">
        <f>Sales_Data[[#This Row],[Revenue]]-Sales_Data[[#This Row],[COGS]]</f>
        <v>180000</v>
      </c>
    </row>
    <row r="191" spans="1:14">
      <c r="A191" s="1">
        <v>45865</v>
      </c>
      <c r="B191" t="s">
        <v>11</v>
      </c>
      <c r="C191" t="s">
        <v>19</v>
      </c>
      <c r="D191" t="s">
        <v>13</v>
      </c>
      <c r="E191" t="s">
        <v>14</v>
      </c>
      <c r="F191" t="s">
        <v>27</v>
      </c>
      <c r="G191" t="s">
        <v>22</v>
      </c>
      <c r="H191" s="12">
        <v>60000</v>
      </c>
      <c r="I191">
        <v>3</v>
      </c>
      <c r="J191" t="s">
        <v>17</v>
      </c>
      <c r="K191" s="12">
        <f t="shared" si="2"/>
        <v>48000</v>
      </c>
      <c r="L191" s="12">
        <f>Sales_Data[[#This Row],[Unit Price]]*Sales_Data[[#This Row],[Quantity]]</f>
        <v>180000</v>
      </c>
      <c r="M191" s="12">
        <f>Sales_Data[[#This Row],[Cost Price]]*Sales_Data[[#This Row],[Quantity]]</f>
        <v>144000</v>
      </c>
      <c r="N191" s="12">
        <f>Sales_Data[[#This Row],[Revenue]]-Sales_Data[[#This Row],[COGS]]</f>
        <v>36000</v>
      </c>
    </row>
    <row r="192" spans="1:14">
      <c r="A192" s="1">
        <v>45866</v>
      </c>
      <c r="B192" t="s">
        <v>18</v>
      </c>
      <c r="C192" t="s">
        <v>12</v>
      </c>
      <c r="D192" t="s">
        <v>23</v>
      </c>
      <c r="E192" t="s">
        <v>14</v>
      </c>
      <c r="F192" t="s">
        <v>41</v>
      </c>
      <c r="G192" t="s">
        <v>22</v>
      </c>
      <c r="H192" s="12">
        <v>220000</v>
      </c>
      <c r="I192">
        <v>1</v>
      </c>
      <c r="J192" t="s">
        <v>28</v>
      </c>
      <c r="K192" s="12">
        <f t="shared" si="2"/>
        <v>176000</v>
      </c>
      <c r="L192" s="12">
        <f>Sales_Data[[#This Row],[Unit Price]]*Sales_Data[[#This Row],[Quantity]]</f>
        <v>220000</v>
      </c>
      <c r="M192" s="12">
        <f>Sales_Data[[#This Row],[Cost Price]]*Sales_Data[[#This Row],[Quantity]]</f>
        <v>176000</v>
      </c>
      <c r="N192" s="12">
        <f>Sales_Data[[#This Row],[Revenue]]-Sales_Data[[#This Row],[COGS]]</f>
        <v>44000</v>
      </c>
    </row>
    <row r="193" spans="1:14">
      <c r="A193" s="1">
        <v>45867</v>
      </c>
      <c r="B193" t="s">
        <v>29</v>
      </c>
      <c r="C193" t="s">
        <v>19</v>
      </c>
      <c r="D193" t="s">
        <v>13</v>
      </c>
      <c r="E193" t="s">
        <v>14</v>
      </c>
      <c r="F193" t="s">
        <v>30</v>
      </c>
      <c r="G193" t="s">
        <v>31</v>
      </c>
      <c r="H193" s="12">
        <v>300000</v>
      </c>
      <c r="I193">
        <v>2</v>
      </c>
      <c r="J193" t="s">
        <v>24</v>
      </c>
      <c r="K193" s="12">
        <f t="shared" si="2"/>
        <v>240000</v>
      </c>
      <c r="L193" s="12">
        <f>Sales_Data[[#This Row],[Unit Price]]*Sales_Data[[#This Row],[Quantity]]</f>
        <v>600000</v>
      </c>
      <c r="M193" s="12">
        <f>Sales_Data[[#This Row],[Cost Price]]*Sales_Data[[#This Row],[Quantity]]</f>
        <v>480000</v>
      </c>
      <c r="N193" s="12">
        <f>Sales_Data[[#This Row],[Revenue]]-Sales_Data[[#This Row],[COGS]]</f>
        <v>120000</v>
      </c>
    </row>
    <row r="194" spans="1:14">
      <c r="A194" s="1">
        <v>45868</v>
      </c>
      <c r="B194" t="s">
        <v>25</v>
      </c>
      <c r="C194" t="s">
        <v>26</v>
      </c>
      <c r="D194" t="s">
        <v>13</v>
      </c>
      <c r="E194" t="s">
        <v>14</v>
      </c>
      <c r="F194" t="s">
        <v>36</v>
      </c>
      <c r="G194" t="s">
        <v>31</v>
      </c>
      <c r="H194" s="12">
        <v>150000</v>
      </c>
      <c r="I194">
        <v>3</v>
      </c>
      <c r="J194" t="s">
        <v>24</v>
      </c>
      <c r="K194" s="12">
        <f t="shared" ref="K194:K257" si="3">H194-H194*0.2</f>
        <v>120000</v>
      </c>
      <c r="L194" s="12">
        <f>Sales_Data[[#This Row],[Unit Price]]*Sales_Data[[#This Row],[Quantity]]</f>
        <v>450000</v>
      </c>
      <c r="M194" s="12">
        <f>Sales_Data[[#This Row],[Cost Price]]*Sales_Data[[#This Row],[Quantity]]</f>
        <v>360000</v>
      </c>
      <c r="N194" s="12">
        <f>Sales_Data[[#This Row],[Revenue]]-Sales_Data[[#This Row],[COGS]]</f>
        <v>90000</v>
      </c>
    </row>
    <row r="195" spans="1:14">
      <c r="A195" s="1">
        <v>45869</v>
      </c>
      <c r="B195" t="s">
        <v>29</v>
      </c>
      <c r="C195" t="s">
        <v>19</v>
      </c>
      <c r="D195" t="s">
        <v>23</v>
      </c>
      <c r="E195" t="s">
        <v>14</v>
      </c>
      <c r="F195" t="s">
        <v>15</v>
      </c>
      <c r="G195" t="s">
        <v>16</v>
      </c>
      <c r="H195" s="12">
        <v>85000</v>
      </c>
      <c r="I195">
        <v>1</v>
      </c>
      <c r="J195" t="s">
        <v>24</v>
      </c>
      <c r="K195" s="12">
        <f t="shared" si="3"/>
        <v>68000</v>
      </c>
      <c r="L195" s="12">
        <f>Sales_Data[[#This Row],[Unit Price]]*Sales_Data[[#This Row],[Quantity]]</f>
        <v>85000</v>
      </c>
      <c r="M195" s="12">
        <f>Sales_Data[[#This Row],[Cost Price]]*Sales_Data[[#This Row],[Quantity]]</f>
        <v>68000</v>
      </c>
      <c r="N195" s="12">
        <f>Sales_Data[[#This Row],[Revenue]]-Sales_Data[[#This Row],[COGS]]</f>
        <v>17000</v>
      </c>
    </row>
    <row r="196" spans="1:14">
      <c r="A196" s="1">
        <v>45870</v>
      </c>
      <c r="B196" t="s">
        <v>25</v>
      </c>
      <c r="C196" t="s">
        <v>19</v>
      </c>
      <c r="D196" t="s">
        <v>13</v>
      </c>
      <c r="E196" t="s">
        <v>20</v>
      </c>
      <c r="F196" t="s">
        <v>21</v>
      </c>
      <c r="G196" t="s">
        <v>22</v>
      </c>
      <c r="H196" s="12">
        <v>30000</v>
      </c>
      <c r="I196">
        <v>6</v>
      </c>
      <c r="J196" t="s">
        <v>17</v>
      </c>
      <c r="K196" s="12">
        <f t="shared" si="3"/>
        <v>24000</v>
      </c>
      <c r="L196" s="12">
        <f>Sales_Data[[#This Row],[Unit Price]]*Sales_Data[[#This Row],[Quantity]]</f>
        <v>180000</v>
      </c>
      <c r="M196" s="12">
        <f>Sales_Data[[#This Row],[Cost Price]]*Sales_Data[[#This Row],[Quantity]]</f>
        <v>144000</v>
      </c>
      <c r="N196" s="12">
        <f>Sales_Data[[#This Row],[Revenue]]-Sales_Data[[#This Row],[COGS]]</f>
        <v>36000</v>
      </c>
    </row>
    <row r="197" spans="1:14">
      <c r="A197" s="1">
        <v>45871</v>
      </c>
      <c r="B197" t="s">
        <v>11</v>
      </c>
      <c r="C197" t="s">
        <v>26</v>
      </c>
      <c r="D197" t="s">
        <v>23</v>
      </c>
      <c r="E197" t="s">
        <v>14</v>
      </c>
      <c r="F197" t="s">
        <v>36</v>
      </c>
      <c r="G197" t="s">
        <v>31</v>
      </c>
      <c r="H197" s="12">
        <v>150000</v>
      </c>
      <c r="I197">
        <v>5</v>
      </c>
      <c r="J197" t="s">
        <v>28</v>
      </c>
      <c r="K197" s="12">
        <f t="shared" si="3"/>
        <v>120000</v>
      </c>
      <c r="L197" s="12">
        <f>Sales_Data[[#This Row],[Unit Price]]*Sales_Data[[#This Row],[Quantity]]</f>
        <v>750000</v>
      </c>
      <c r="M197" s="12">
        <f>Sales_Data[[#This Row],[Cost Price]]*Sales_Data[[#This Row],[Quantity]]</f>
        <v>600000</v>
      </c>
      <c r="N197" s="12">
        <f>Sales_Data[[#This Row],[Revenue]]-Sales_Data[[#This Row],[COGS]]</f>
        <v>150000</v>
      </c>
    </row>
    <row r="198" spans="1:14">
      <c r="A198" s="1">
        <v>45872</v>
      </c>
      <c r="B198" t="s">
        <v>11</v>
      </c>
      <c r="C198" t="s">
        <v>19</v>
      </c>
      <c r="D198" t="s">
        <v>13</v>
      </c>
      <c r="E198" t="s">
        <v>20</v>
      </c>
      <c r="F198" t="s">
        <v>21</v>
      </c>
      <c r="G198" t="s">
        <v>22</v>
      </c>
      <c r="H198" s="12">
        <v>30000</v>
      </c>
      <c r="I198">
        <v>5</v>
      </c>
      <c r="J198" t="s">
        <v>37</v>
      </c>
      <c r="K198" s="12">
        <f t="shared" si="3"/>
        <v>24000</v>
      </c>
      <c r="L198" s="12">
        <f>Sales_Data[[#This Row],[Unit Price]]*Sales_Data[[#This Row],[Quantity]]</f>
        <v>150000</v>
      </c>
      <c r="M198" s="12">
        <f>Sales_Data[[#This Row],[Cost Price]]*Sales_Data[[#This Row],[Quantity]]</f>
        <v>120000</v>
      </c>
      <c r="N198" s="12">
        <f>Sales_Data[[#This Row],[Revenue]]-Sales_Data[[#This Row],[COGS]]</f>
        <v>30000</v>
      </c>
    </row>
    <row r="199" spans="1:14">
      <c r="A199" s="1">
        <v>45873</v>
      </c>
      <c r="B199" t="s">
        <v>18</v>
      </c>
      <c r="C199" t="s">
        <v>19</v>
      </c>
      <c r="D199" t="s">
        <v>13</v>
      </c>
      <c r="E199" t="s">
        <v>20</v>
      </c>
      <c r="F199" t="s">
        <v>33</v>
      </c>
      <c r="G199" t="s">
        <v>22</v>
      </c>
      <c r="H199" s="12">
        <v>180000</v>
      </c>
      <c r="I199">
        <v>9</v>
      </c>
      <c r="J199" t="s">
        <v>39</v>
      </c>
      <c r="K199" s="12">
        <f t="shared" si="3"/>
        <v>144000</v>
      </c>
      <c r="L199" s="12">
        <f>Sales_Data[[#This Row],[Unit Price]]*Sales_Data[[#This Row],[Quantity]]</f>
        <v>1620000</v>
      </c>
      <c r="M199" s="12">
        <f>Sales_Data[[#This Row],[Cost Price]]*Sales_Data[[#This Row],[Quantity]]</f>
        <v>1296000</v>
      </c>
      <c r="N199" s="12">
        <f>Sales_Data[[#This Row],[Revenue]]-Sales_Data[[#This Row],[COGS]]</f>
        <v>324000</v>
      </c>
    </row>
    <row r="200" spans="1:14">
      <c r="A200" s="1">
        <v>45874</v>
      </c>
      <c r="B200" t="s">
        <v>29</v>
      </c>
      <c r="C200" t="s">
        <v>26</v>
      </c>
      <c r="D200" t="s">
        <v>23</v>
      </c>
      <c r="E200" t="s">
        <v>20</v>
      </c>
      <c r="F200" t="s">
        <v>27</v>
      </c>
      <c r="G200" t="s">
        <v>22</v>
      </c>
      <c r="H200" s="12">
        <v>60000</v>
      </c>
      <c r="I200">
        <v>6</v>
      </c>
      <c r="J200" t="s">
        <v>28</v>
      </c>
      <c r="K200" s="12">
        <f t="shared" si="3"/>
        <v>48000</v>
      </c>
      <c r="L200" s="12">
        <f>Sales_Data[[#This Row],[Unit Price]]*Sales_Data[[#This Row],[Quantity]]</f>
        <v>360000</v>
      </c>
      <c r="M200" s="12">
        <f>Sales_Data[[#This Row],[Cost Price]]*Sales_Data[[#This Row],[Quantity]]</f>
        <v>288000</v>
      </c>
      <c r="N200" s="12">
        <f>Sales_Data[[#This Row],[Revenue]]-Sales_Data[[#This Row],[COGS]]</f>
        <v>72000</v>
      </c>
    </row>
    <row r="201" spans="1:14">
      <c r="A201" s="1">
        <v>45875</v>
      </c>
      <c r="B201" t="s">
        <v>29</v>
      </c>
      <c r="C201" t="s">
        <v>19</v>
      </c>
      <c r="D201" t="s">
        <v>13</v>
      </c>
      <c r="E201" t="s">
        <v>20</v>
      </c>
      <c r="F201" t="s">
        <v>40</v>
      </c>
      <c r="G201" t="s">
        <v>31</v>
      </c>
      <c r="H201" s="12">
        <v>250000</v>
      </c>
      <c r="I201">
        <v>10</v>
      </c>
      <c r="J201" t="s">
        <v>24</v>
      </c>
      <c r="K201" s="12">
        <f t="shared" si="3"/>
        <v>200000</v>
      </c>
      <c r="L201" s="12">
        <f>Sales_Data[[#This Row],[Unit Price]]*Sales_Data[[#This Row],[Quantity]]</f>
        <v>2500000</v>
      </c>
      <c r="M201" s="12">
        <f>Sales_Data[[#This Row],[Cost Price]]*Sales_Data[[#This Row],[Quantity]]</f>
        <v>2000000</v>
      </c>
      <c r="N201" s="12">
        <f>Sales_Data[[#This Row],[Revenue]]-Sales_Data[[#This Row],[COGS]]</f>
        <v>500000</v>
      </c>
    </row>
    <row r="202" spans="1:14">
      <c r="A202" s="1">
        <v>45876</v>
      </c>
      <c r="B202" t="s">
        <v>25</v>
      </c>
      <c r="C202" t="s">
        <v>26</v>
      </c>
      <c r="D202" t="s">
        <v>13</v>
      </c>
      <c r="E202" t="s">
        <v>20</v>
      </c>
      <c r="F202" t="s">
        <v>38</v>
      </c>
      <c r="G202" t="s">
        <v>31</v>
      </c>
      <c r="H202" s="12">
        <v>420000</v>
      </c>
      <c r="I202">
        <v>3</v>
      </c>
      <c r="J202" t="s">
        <v>24</v>
      </c>
      <c r="K202" s="12">
        <f t="shared" si="3"/>
        <v>336000</v>
      </c>
      <c r="L202" s="12">
        <f>Sales_Data[[#This Row],[Unit Price]]*Sales_Data[[#This Row],[Quantity]]</f>
        <v>1260000</v>
      </c>
      <c r="M202" s="12">
        <f>Sales_Data[[#This Row],[Cost Price]]*Sales_Data[[#This Row],[Quantity]]</f>
        <v>1008000</v>
      </c>
      <c r="N202" s="12">
        <f>Sales_Data[[#This Row],[Revenue]]-Sales_Data[[#This Row],[COGS]]</f>
        <v>252000</v>
      </c>
    </row>
    <row r="203" spans="1:14">
      <c r="A203" s="1">
        <v>45877</v>
      </c>
      <c r="B203" t="s">
        <v>29</v>
      </c>
      <c r="C203" t="s">
        <v>12</v>
      </c>
      <c r="D203" t="s">
        <v>23</v>
      </c>
      <c r="E203" t="s">
        <v>20</v>
      </c>
      <c r="F203" t="s">
        <v>36</v>
      </c>
      <c r="G203" t="s">
        <v>31</v>
      </c>
      <c r="H203" s="12">
        <v>150000</v>
      </c>
      <c r="I203">
        <v>3</v>
      </c>
      <c r="J203" t="s">
        <v>24</v>
      </c>
      <c r="K203" s="12">
        <f t="shared" si="3"/>
        <v>120000</v>
      </c>
      <c r="L203" s="12">
        <f>Sales_Data[[#This Row],[Unit Price]]*Sales_Data[[#This Row],[Quantity]]</f>
        <v>450000</v>
      </c>
      <c r="M203" s="12">
        <f>Sales_Data[[#This Row],[Cost Price]]*Sales_Data[[#This Row],[Quantity]]</f>
        <v>360000</v>
      </c>
      <c r="N203" s="12">
        <f>Sales_Data[[#This Row],[Revenue]]-Sales_Data[[#This Row],[COGS]]</f>
        <v>90000</v>
      </c>
    </row>
    <row r="204" spans="1:14">
      <c r="A204" s="1">
        <v>45878</v>
      </c>
      <c r="B204" t="s">
        <v>25</v>
      </c>
      <c r="C204" t="s">
        <v>32</v>
      </c>
      <c r="D204" t="s">
        <v>23</v>
      </c>
      <c r="E204" t="s">
        <v>20</v>
      </c>
      <c r="F204" t="s">
        <v>41</v>
      </c>
      <c r="G204" t="s">
        <v>22</v>
      </c>
      <c r="H204" s="12">
        <v>220000</v>
      </c>
      <c r="I204">
        <v>4</v>
      </c>
      <c r="J204" t="s">
        <v>24</v>
      </c>
      <c r="K204" s="12">
        <f t="shared" si="3"/>
        <v>176000</v>
      </c>
      <c r="L204" s="12">
        <f>Sales_Data[[#This Row],[Unit Price]]*Sales_Data[[#This Row],[Quantity]]</f>
        <v>880000</v>
      </c>
      <c r="M204" s="12">
        <f>Sales_Data[[#This Row],[Cost Price]]*Sales_Data[[#This Row],[Quantity]]</f>
        <v>704000</v>
      </c>
      <c r="N204" s="12">
        <f>Sales_Data[[#This Row],[Revenue]]-Sales_Data[[#This Row],[COGS]]</f>
        <v>176000</v>
      </c>
    </row>
    <row r="205" spans="1:14">
      <c r="A205" s="1">
        <v>45879</v>
      </c>
      <c r="B205" t="s">
        <v>25</v>
      </c>
      <c r="C205" t="s">
        <v>19</v>
      </c>
      <c r="D205" t="s">
        <v>23</v>
      </c>
      <c r="E205" t="s">
        <v>20</v>
      </c>
      <c r="F205" t="s">
        <v>15</v>
      </c>
      <c r="G205" t="s">
        <v>16</v>
      </c>
      <c r="H205" s="12">
        <v>85000</v>
      </c>
      <c r="I205">
        <v>10</v>
      </c>
      <c r="J205" t="s">
        <v>24</v>
      </c>
      <c r="K205" s="12">
        <f t="shared" si="3"/>
        <v>68000</v>
      </c>
      <c r="L205" s="12">
        <f>Sales_Data[[#This Row],[Unit Price]]*Sales_Data[[#This Row],[Quantity]]</f>
        <v>850000</v>
      </c>
      <c r="M205" s="12">
        <f>Sales_Data[[#This Row],[Cost Price]]*Sales_Data[[#This Row],[Quantity]]</f>
        <v>680000</v>
      </c>
      <c r="N205" s="12">
        <f>Sales_Data[[#This Row],[Revenue]]-Sales_Data[[#This Row],[COGS]]</f>
        <v>170000</v>
      </c>
    </row>
    <row r="206" spans="1:14">
      <c r="A206" s="1">
        <v>45880</v>
      </c>
      <c r="B206" t="s">
        <v>29</v>
      </c>
      <c r="C206" t="s">
        <v>26</v>
      </c>
      <c r="D206" t="s">
        <v>13</v>
      </c>
      <c r="E206" t="s">
        <v>20</v>
      </c>
      <c r="F206" t="s">
        <v>30</v>
      </c>
      <c r="G206" t="s">
        <v>31</v>
      </c>
      <c r="H206" s="12">
        <v>300000</v>
      </c>
      <c r="I206">
        <v>6</v>
      </c>
      <c r="J206" t="s">
        <v>39</v>
      </c>
      <c r="K206" s="12">
        <f t="shared" si="3"/>
        <v>240000</v>
      </c>
      <c r="L206" s="12">
        <f>Sales_Data[[#This Row],[Unit Price]]*Sales_Data[[#This Row],[Quantity]]</f>
        <v>1800000</v>
      </c>
      <c r="M206" s="12">
        <f>Sales_Data[[#This Row],[Cost Price]]*Sales_Data[[#This Row],[Quantity]]</f>
        <v>1440000</v>
      </c>
      <c r="N206" s="12">
        <f>Sales_Data[[#This Row],[Revenue]]-Sales_Data[[#This Row],[COGS]]</f>
        <v>360000</v>
      </c>
    </row>
    <row r="207" spans="1:14">
      <c r="A207" s="1">
        <v>45881</v>
      </c>
      <c r="B207" t="s">
        <v>11</v>
      </c>
      <c r="C207" t="s">
        <v>12</v>
      </c>
      <c r="D207" t="s">
        <v>13</v>
      </c>
      <c r="E207" t="s">
        <v>14</v>
      </c>
      <c r="F207" t="s">
        <v>30</v>
      </c>
      <c r="G207" t="s">
        <v>31</v>
      </c>
      <c r="H207" s="12">
        <v>300000</v>
      </c>
      <c r="I207">
        <v>8</v>
      </c>
      <c r="J207" t="s">
        <v>37</v>
      </c>
      <c r="K207" s="12">
        <f t="shared" si="3"/>
        <v>240000</v>
      </c>
      <c r="L207" s="12">
        <f>Sales_Data[[#This Row],[Unit Price]]*Sales_Data[[#This Row],[Quantity]]</f>
        <v>2400000</v>
      </c>
      <c r="M207" s="12">
        <f>Sales_Data[[#This Row],[Cost Price]]*Sales_Data[[#This Row],[Quantity]]</f>
        <v>1920000</v>
      </c>
      <c r="N207" s="12">
        <f>Sales_Data[[#This Row],[Revenue]]-Sales_Data[[#This Row],[COGS]]</f>
        <v>480000</v>
      </c>
    </row>
    <row r="208" spans="1:14">
      <c r="A208" s="1">
        <v>45882</v>
      </c>
      <c r="B208" t="s">
        <v>25</v>
      </c>
      <c r="C208" t="s">
        <v>32</v>
      </c>
      <c r="D208" t="s">
        <v>23</v>
      </c>
      <c r="E208" t="s">
        <v>20</v>
      </c>
      <c r="F208" t="s">
        <v>34</v>
      </c>
      <c r="G208" t="s">
        <v>16</v>
      </c>
      <c r="H208" s="12">
        <v>320000</v>
      </c>
      <c r="I208">
        <v>4</v>
      </c>
      <c r="J208" t="s">
        <v>28</v>
      </c>
      <c r="K208" s="12">
        <f t="shared" si="3"/>
        <v>256000</v>
      </c>
      <c r="L208" s="12">
        <f>Sales_Data[[#This Row],[Unit Price]]*Sales_Data[[#This Row],[Quantity]]</f>
        <v>1280000</v>
      </c>
      <c r="M208" s="12">
        <f>Sales_Data[[#This Row],[Cost Price]]*Sales_Data[[#This Row],[Quantity]]</f>
        <v>1024000</v>
      </c>
      <c r="N208" s="12">
        <f>Sales_Data[[#This Row],[Revenue]]-Sales_Data[[#This Row],[COGS]]</f>
        <v>256000</v>
      </c>
    </row>
    <row r="209" spans="1:14">
      <c r="A209" s="1">
        <v>45883</v>
      </c>
      <c r="B209" t="s">
        <v>25</v>
      </c>
      <c r="C209" t="s">
        <v>19</v>
      </c>
      <c r="D209" t="s">
        <v>23</v>
      </c>
      <c r="E209" t="s">
        <v>14</v>
      </c>
      <c r="F209" t="s">
        <v>33</v>
      </c>
      <c r="G209" t="s">
        <v>22</v>
      </c>
      <c r="H209" s="12">
        <v>180000</v>
      </c>
      <c r="I209">
        <v>5</v>
      </c>
      <c r="J209" t="s">
        <v>39</v>
      </c>
      <c r="K209" s="12">
        <f t="shared" si="3"/>
        <v>144000</v>
      </c>
      <c r="L209" s="12">
        <f>Sales_Data[[#This Row],[Unit Price]]*Sales_Data[[#This Row],[Quantity]]</f>
        <v>900000</v>
      </c>
      <c r="M209" s="12">
        <f>Sales_Data[[#This Row],[Cost Price]]*Sales_Data[[#This Row],[Quantity]]</f>
        <v>720000</v>
      </c>
      <c r="N209" s="12">
        <f>Sales_Data[[#This Row],[Revenue]]-Sales_Data[[#This Row],[COGS]]</f>
        <v>180000</v>
      </c>
    </row>
    <row r="210" spans="1:14">
      <c r="A210" s="1">
        <v>45884</v>
      </c>
      <c r="B210" t="s">
        <v>11</v>
      </c>
      <c r="C210" t="s">
        <v>12</v>
      </c>
      <c r="D210" t="s">
        <v>13</v>
      </c>
      <c r="E210" t="s">
        <v>20</v>
      </c>
      <c r="F210" t="s">
        <v>33</v>
      </c>
      <c r="G210" t="s">
        <v>22</v>
      </c>
      <c r="H210" s="12">
        <v>180000</v>
      </c>
      <c r="I210">
        <v>6</v>
      </c>
      <c r="J210" t="s">
        <v>35</v>
      </c>
      <c r="K210" s="12">
        <f t="shared" si="3"/>
        <v>144000</v>
      </c>
      <c r="L210" s="12">
        <f>Sales_Data[[#This Row],[Unit Price]]*Sales_Data[[#This Row],[Quantity]]</f>
        <v>1080000</v>
      </c>
      <c r="M210" s="12">
        <f>Sales_Data[[#This Row],[Cost Price]]*Sales_Data[[#This Row],[Quantity]]</f>
        <v>864000</v>
      </c>
      <c r="N210" s="12">
        <f>Sales_Data[[#This Row],[Revenue]]-Sales_Data[[#This Row],[COGS]]</f>
        <v>216000</v>
      </c>
    </row>
    <row r="211" spans="1:14">
      <c r="A211" s="1">
        <v>45885</v>
      </c>
      <c r="B211" t="s">
        <v>18</v>
      </c>
      <c r="C211" t="s">
        <v>26</v>
      </c>
      <c r="D211" t="s">
        <v>23</v>
      </c>
      <c r="E211" t="s">
        <v>20</v>
      </c>
      <c r="F211" t="s">
        <v>36</v>
      </c>
      <c r="G211" t="s">
        <v>31</v>
      </c>
      <c r="H211" s="12">
        <v>150000</v>
      </c>
      <c r="I211">
        <v>9</v>
      </c>
      <c r="J211" t="s">
        <v>28</v>
      </c>
      <c r="K211" s="12">
        <f t="shared" si="3"/>
        <v>120000</v>
      </c>
      <c r="L211" s="12">
        <f>Sales_Data[[#This Row],[Unit Price]]*Sales_Data[[#This Row],[Quantity]]</f>
        <v>1350000</v>
      </c>
      <c r="M211" s="12">
        <f>Sales_Data[[#This Row],[Cost Price]]*Sales_Data[[#This Row],[Quantity]]</f>
        <v>1080000</v>
      </c>
      <c r="N211" s="12">
        <f>Sales_Data[[#This Row],[Revenue]]-Sales_Data[[#This Row],[COGS]]</f>
        <v>270000</v>
      </c>
    </row>
    <row r="212" spans="1:14">
      <c r="A212" s="1">
        <v>45886</v>
      </c>
      <c r="B212" t="s">
        <v>11</v>
      </c>
      <c r="C212" t="s">
        <v>12</v>
      </c>
      <c r="D212" t="s">
        <v>13</v>
      </c>
      <c r="E212" t="s">
        <v>14</v>
      </c>
      <c r="F212" t="s">
        <v>36</v>
      </c>
      <c r="G212" t="s">
        <v>31</v>
      </c>
      <c r="H212" s="12">
        <v>150000</v>
      </c>
      <c r="I212">
        <v>1</v>
      </c>
      <c r="J212" t="s">
        <v>35</v>
      </c>
      <c r="K212" s="12">
        <f t="shared" si="3"/>
        <v>120000</v>
      </c>
      <c r="L212" s="12">
        <f>Sales_Data[[#This Row],[Unit Price]]*Sales_Data[[#This Row],[Quantity]]</f>
        <v>150000</v>
      </c>
      <c r="M212" s="12">
        <f>Sales_Data[[#This Row],[Cost Price]]*Sales_Data[[#This Row],[Quantity]]</f>
        <v>120000</v>
      </c>
      <c r="N212" s="12">
        <f>Sales_Data[[#This Row],[Revenue]]-Sales_Data[[#This Row],[COGS]]</f>
        <v>30000</v>
      </c>
    </row>
    <row r="213" spans="1:14">
      <c r="A213" s="1">
        <v>45887</v>
      </c>
      <c r="B213" t="s">
        <v>18</v>
      </c>
      <c r="C213" t="s">
        <v>26</v>
      </c>
      <c r="D213" t="s">
        <v>13</v>
      </c>
      <c r="E213" t="s">
        <v>14</v>
      </c>
      <c r="F213" t="s">
        <v>33</v>
      </c>
      <c r="G213" t="s">
        <v>22</v>
      </c>
      <c r="H213" s="12">
        <v>180000</v>
      </c>
      <c r="I213">
        <v>8</v>
      </c>
      <c r="J213" t="s">
        <v>35</v>
      </c>
      <c r="K213" s="12">
        <f t="shared" si="3"/>
        <v>144000</v>
      </c>
      <c r="L213" s="12">
        <f>Sales_Data[[#This Row],[Unit Price]]*Sales_Data[[#This Row],[Quantity]]</f>
        <v>1440000</v>
      </c>
      <c r="M213" s="12">
        <f>Sales_Data[[#This Row],[Cost Price]]*Sales_Data[[#This Row],[Quantity]]</f>
        <v>1152000</v>
      </c>
      <c r="N213" s="12">
        <f>Sales_Data[[#This Row],[Revenue]]-Sales_Data[[#This Row],[COGS]]</f>
        <v>288000</v>
      </c>
    </row>
    <row r="214" spans="1:14">
      <c r="A214" s="1">
        <v>45888</v>
      </c>
      <c r="B214" t="s">
        <v>11</v>
      </c>
      <c r="C214" t="s">
        <v>12</v>
      </c>
      <c r="D214" t="s">
        <v>13</v>
      </c>
      <c r="E214" t="s">
        <v>20</v>
      </c>
      <c r="F214" t="s">
        <v>33</v>
      </c>
      <c r="G214" t="s">
        <v>22</v>
      </c>
      <c r="H214" s="12">
        <v>180000</v>
      </c>
      <c r="I214">
        <v>6</v>
      </c>
      <c r="J214" t="s">
        <v>28</v>
      </c>
      <c r="K214" s="12">
        <f t="shared" si="3"/>
        <v>144000</v>
      </c>
      <c r="L214" s="12">
        <f>Sales_Data[[#This Row],[Unit Price]]*Sales_Data[[#This Row],[Quantity]]</f>
        <v>1080000</v>
      </c>
      <c r="M214" s="12">
        <f>Sales_Data[[#This Row],[Cost Price]]*Sales_Data[[#This Row],[Quantity]]</f>
        <v>864000</v>
      </c>
      <c r="N214" s="12">
        <f>Sales_Data[[#This Row],[Revenue]]-Sales_Data[[#This Row],[COGS]]</f>
        <v>216000</v>
      </c>
    </row>
    <row r="215" spans="1:14">
      <c r="A215" s="1">
        <v>45889</v>
      </c>
      <c r="B215" t="s">
        <v>29</v>
      </c>
      <c r="C215" t="s">
        <v>32</v>
      </c>
      <c r="D215" t="s">
        <v>23</v>
      </c>
      <c r="E215" t="s">
        <v>14</v>
      </c>
      <c r="F215" t="s">
        <v>33</v>
      </c>
      <c r="G215" t="s">
        <v>22</v>
      </c>
      <c r="H215" s="12">
        <v>180000</v>
      </c>
      <c r="I215">
        <v>3</v>
      </c>
      <c r="J215" t="s">
        <v>37</v>
      </c>
      <c r="K215" s="12">
        <f t="shared" si="3"/>
        <v>144000</v>
      </c>
      <c r="L215" s="12">
        <f>Sales_Data[[#This Row],[Unit Price]]*Sales_Data[[#This Row],[Quantity]]</f>
        <v>540000</v>
      </c>
      <c r="M215" s="12">
        <f>Sales_Data[[#This Row],[Cost Price]]*Sales_Data[[#This Row],[Quantity]]</f>
        <v>432000</v>
      </c>
      <c r="N215" s="12">
        <f>Sales_Data[[#This Row],[Revenue]]-Sales_Data[[#This Row],[COGS]]</f>
        <v>108000</v>
      </c>
    </row>
    <row r="216" spans="1:14">
      <c r="A216" s="1">
        <v>45890</v>
      </c>
      <c r="B216" t="s">
        <v>29</v>
      </c>
      <c r="C216" t="s">
        <v>26</v>
      </c>
      <c r="D216" t="s">
        <v>13</v>
      </c>
      <c r="E216" t="s">
        <v>14</v>
      </c>
      <c r="F216" t="s">
        <v>36</v>
      </c>
      <c r="G216" t="s">
        <v>31</v>
      </c>
      <c r="H216" s="12">
        <v>150000</v>
      </c>
      <c r="I216">
        <v>10</v>
      </c>
      <c r="J216" t="s">
        <v>17</v>
      </c>
      <c r="K216" s="12">
        <f t="shared" si="3"/>
        <v>120000</v>
      </c>
      <c r="L216" s="12">
        <f>Sales_Data[[#This Row],[Unit Price]]*Sales_Data[[#This Row],[Quantity]]</f>
        <v>1500000</v>
      </c>
      <c r="M216" s="12">
        <f>Sales_Data[[#This Row],[Cost Price]]*Sales_Data[[#This Row],[Quantity]]</f>
        <v>1200000</v>
      </c>
      <c r="N216" s="12">
        <f>Sales_Data[[#This Row],[Revenue]]-Sales_Data[[#This Row],[COGS]]</f>
        <v>300000</v>
      </c>
    </row>
    <row r="217" spans="1:14">
      <c r="A217" s="1">
        <v>45891</v>
      </c>
      <c r="B217" t="s">
        <v>25</v>
      </c>
      <c r="C217" t="s">
        <v>26</v>
      </c>
      <c r="D217" t="s">
        <v>13</v>
      </c>
      <c r="E217" t="s">
        <v>20</v>
      </c>
      <c r="F217" t="s">
        <v>33</v>
      </c>
      <c r="G217" t="s">
        <v>22</v>
      </c>
      <c r="H217" s="12">
        <v>180000</v>
      </c>
      <c r="I217">
        <v>8</v>
      </c>
      <c r="J217" t="s">
        <v>37</v>
      </c>
      <c r="K217" s="12">
        <f t="shared" si="3"/>
        <v>144000</v>
      </c>
      <c r="L217" s="12">
        <f>Sales_Data[[#This Row],[Unit Price]]*Sales_Data[[#This Row],[Quantity]]</f>
        <v>1440000</v>
      </c>
      <c r="M217" s="12">
        <f>Sales_Data[[#This Row],[Cost Price]]*Sales_Data[[#This Row],[Quantity]]</f>
        <v>1152000</v>
      </c>
      <c r="N217" s="12">
        <f>Sales_Data[[#This Row],[Revenue]]-Sales_Data[[#This Row],[COGS]]</f>
        <v>288000</v>
      </c>
    </row>
    <row r="218" spans="1:14">
      <c r="A218" s="1">
        <v>45892</v>
      </c>
      <c r="B218" t="s">
        <v>11</v>
      </c>
      <c r="C218" t="s">
        <v>26</v>
      </c>
      <c r="D218" t="s">
        <v>13</v>
      </c>
      <c r="E218" t="s">
        <v>20</v>
      </c>
      <c r="F218" t="s">
        <v>30</v>
      </c>
      <c r="G218" t="s">
        <v>31</v>
      </c>
      <c r="H218" s="12">
        <v>300000</v>
      </c>
      <c r="I218">
        <v>8</v>
      </c>
      <c r="J218" t="s">
        <v>28</v>
      </c>
      <c r="K218" s="12">
        <f t="shared" si="3"/>
        <v>240000</v>
      </c>
      <c r="L218" s="12">
        <f>Sales_Data[[#This Row],[Unit Price]]*Sales_Data[[#This Row],[Quantity]]</f>
        <v>2400000</v>
      </c>
      <c r="M218" s="12">
        <f>Sales_Data[[#This Row],[Cost Price]]*Sales_Data[[#This Row],[Quantity]]</f>
        <v>1920000</v>
      </c>
      <c r="N218" s="12">
        <f>Sales_Data[[#This Row],[Revenue]]-Sales_Data[[#This Row],[COGS]]</f>
        <v>480000</v>
      </c>
    </row>
    <row r="219" spans="1:14">
      <c r="A219" s="1">
        <v>45893</v>
      </c>
      <c r="B219" t="s">
        <v>11</v>
      </c>
      <c r="C219" t="s">
        <v>26</v>
      </c>
      <c r="D219" t="s">
        <v>13</v>
      </c>
      <c r="E219" t="s">
        <v>20</v>
      </c>
      <c r="F219" t="s">
        <v>34</v>
      </c>
      <c r="G219" t="s">
        <v>16</v>
      </c>
      <c r="H219" s="12">
        <v>320000</v>
      </c>
      <c r="I219">
        <v>9</v>
      </c>
      <c r="J219" t="s">
        <v>35</v>
      </c>
      <c r="K219" s="12">
        <f t="shared" si="3"/>
        <v>256000</v>
      </c>
      <c r="L219" s="12">
        <f>Sales_Data[[#This Row],[Unit Price]]*Sales_Data[[#This Row],[Quantity]]</f>
        <v>2880000</v>
      </c>
      <c r="M219" s="12">
        <f>Sales_Data[[#This Row],[Cost Price]]*Sales_Data[[#This Row],[Quantity]]</f>
        <v>2304000</v>
      </c>
      <c r="N219" s="12">
        <f>Sales_Data[[#This Row],[Revenue]]-Sales_Data[[#This Row],[COGS]]</f>
        <v>576000</v>
      </c>
    </row>
    <row r="220" spans="1:14">
      <c r="A220" s="1">
        <v>45894</v>
      </c>
      <c r="B220" t="s">
        <v>25</v>
      </c>
      <c r="C220" t="s">
        <v>26</v>
      </c>
      <c r="D220" t="s">
        <v>13</v>
      </c>
      <c r="E220" t="s">
        <v>14</v>
      </c>
      <c r="F220" t="s">
        <v>34</v>
      </c>
      <c r="G220" t="s">
        <v>16</v>
      </c>
      <c r="H220" s="12">
        <v>320000</v>
      </c>
      <c r="I220">
        <v>7</v>
      </c>
      <c r="J220" t="s">
        <v>39</v>
      </c>
      <c r="K220" s="12">
        <f t="shared" si="3"/>
        <v>256000</v>
      </c>
      <c r="L220" s="12">
        <f>Sales_Data[[#This Row],[Unit Price]]*Sales_Data[[#This Row],[Quantity]]</f>
        <v>2240000</v>
      </c>
      <c r="M220" s="12">
        <f>Sales_Data[[#This Row],[Cost Price]]*Sales_Data[[#This Row],[Quantity]]</f>
        <v>1792000</v>
      </c>
      <c r="N220" s="12">
        <f>Sales_Data[[#This Row],[Revenue]]-Sales_Data[[#This Row],[COGS]]</f>
        <v>448000</v>
      </c>
    </row>
    <row r="221" spans="1:14">
      <c r="A221" s="1">
        <v>45895</v>
      </c>
      <c r="B221" t="s">
        <v>18</v>
      </c>
      <c r="C221" t="s">
        <v>32</v>
      </c>
      <c r="D221" t="s">
        <v>13</v>
      </c>
      <c r="E221" t="s">
        <v>14</v>
      </c>
      <c r="F221" t="s">
        <v>36</v>
      </c>
      <c r="G221" t="s">
        <v>31</v>
      </c>
      <c r="H221" s="12">
        <v>150000</v>
      </c>
      <c r="I221">
        <v>7</v>
      </c>
      <c r="J221" t="s">
        <v>24</v>
      </c>
      <c r="K221" s="12">
        <f t="shared" si="3"/>
        <v>120000</v>
      </c>
      <c r="L221" s="12">
        <f>Sales_Data[[#This Row],[Unit Price]]*Sales_Data[[#This Row],[Quantity]]</f>
        <v>1050000</v>
      </c>
      <c r="M221" s="12">
        <f>Sales_Data[[#This Row],[Cost Price]]*Sales_Data[[#This Row],[Quantity]]</f>
        <v>840000</v>
      </c>
      <c r="N221" s="12">
        <f>Sales_Data[[#This Row],[Revenue]]-Sales_Data[[#This Row],[COGS]]</f>
        <v>210000</v>
      </c>
    </row>
    <row r="222" spans="1:14">
      <c r="A222" s="1">
        <v>45896</v>
      </c>
      <c r="B222" t="s">
        <v>18</v>
      </c>
      <c r="C222" t="s">
        <v>32</v>
      </c>
      <c r="D222" t="s">
        <v>13</v>
      </c>
      <c r="E222" t="s">
        <v>20</v>
      </c>
      <c r="F222" t="s">
        <v>41</v>
      </c>
      <c r="G222" t="s">
        <v>22</v>
      </c>
      <c r="H222" s="12">
        <v>220000</v>
      </c>
      <c r="I222">
        <v>6</v>
      </c>
      <c r="J222" t="s">
        <v>39</v>
      </c>
      <c r="K222" s="12">
        <f t="shared" si="3"/>
        <v>176000</v>
      </c>
      <c r="L222" s="12">
        <f>Sales_Data[[#This Row],[Unit Price]]*Sales_Data[[#This Row],[Quantity]]</f>
        <v>1320000</v>
      </c>
      <c r="M222" s="12">
        <f>Sales_Data[[#This Row],[Cost Price]]*Sales_Data[[#This Row],[Quantity]]</f>
        <v>1056000</v>
      </c>
      <c r="N222" s="12">
        <f>Sales_Data[[#This Row],[Revenue]]-Sales_Data[[#This Row],[COGS]]</f>
        <v>264000</v>
      </c>
    </row>
    <row r="223" spans="1:14">
      <c r="A223" s="1">
        <v>45897</v>
      </c>
      <c r="B223" t="s">
        <v>29</v>
      </c>
      <c r="C223" t="s">
        <v>19</v>
      </c>
      <c r="D223" t="s">
        <v>13</v>
      </c>
      <c r="E223" t="s">
        <v>14</v>
      </c>
      <c r="F223" t="s">
        <v>40</v>
      </c>
      <c r="G223" t="s">
        <v>31</v>
      </c>
      <c r="H223" s="12">
        <v>250000</v>
      </c>
      <c r="I223">
        <v>1</v>
      </c>
      <c r="J223" t="s">
        <v>35</v>
      </c>
      <c r="K223" s="12">
        <f t="shared" si="3"/>
        <v>200000</v>
      </c>
      <c r="L223" s="12">
        <f>Sales_Data[[#This Row],[Unit Price]]*Sales_Data[[#This Row],[Quantity]]</f>
        <v>250000</v>
      </c>
      <c r="M223" s="12">
        <f>Sales_Data[[#This Row],[Cost Price]]*Sales_Data[[#This Row],[Quantity]]</f>
        <v>200000</v>
      </c>
      <c r="N223" s="12">
        <f>Sales_Data[[#This Row],[Revenue]]-Sales_Data[[#This Row],[COGS]]</f>
        <v>50000</v>
      </c>
    </row>
    <row r="224" spans="1:14">
      <c r="A224" s="1">
        <v>45898</v>
      </c>
      <c r="B224" t="s">
        <v>11</v>
      </c>
      <c r="C224" t="s">
        <v>19</v>
      </c>
      <c r="D224" t="s">
        <v>13</v>
      </c>
      <c r="E224" t="s">
        <v>14</v>
      </c>
      <c r="F224" t="s">
        <v>27</v>
      </c>
      <c r="G224" t="s">
        <v>22</v>
      </c>
      <c r="H224" s="12">
        <v>60000</v>
      </c>
      <c r="I224">
        <v>4</v>
      </c>
      <c r="J224" t="s">
        <v>24</v>
      </c>
      <c r="K224" s="12">
        <f t="shared" si="3"/>
        <v>48000</v>
      </c>
      <c r="L224" s="12">
        <f>Sales_Data[[#This Row],[Unit Price]]*Sales_Data[[#This Row],[Quantity]]</f>
        <v>240000</v>
      </c>
      <c r="M224" s="12">
        <f>Sales_Data[[#This Row],[Cost Price]]*Sales_Data[[#This Row],[Quantity]]</f>
        <v>192000</v>
      </c>
      <c r="N224" s="12">
        <f>Sales_Data[[#This Row],[Revenue]]-Sales_Data[[#This Row],[COGS]]</f>
        <v>48000</v>
      </c>
    </row>
    <row r="225" spans="1:14">
      <c r="A225" s="1">
        <v>45899</v>
      </c>
      <c r="B225" t="s">
        <v>29</v>
      </c>
      <c r="C225" t="s">
        <v>19</v>
      </c>
      <c r="D225" t="s">
        <v>13</v>
      </c>
      <c r="E225" t="s">
        <v>14</v>
      </c>
      <c r="F225" t="s">
        <v>15</v>
      </c>
      <c r="G225" t="s">
        <v>16</v>
      </c>
      <c r="H225" s="12">
        <v>85000</v>
      </c>
      <c r="I225">
        <v>9</v>
      </c>
      <c r="J225" t="s">
        <v>24</v>
      </c>
      <c r="K225" s="12">
        <f t="shared" si="3"/>
        <v>68000</v>
      </c>
      <c r="L225" s="12">
        <f>Sales_Data[[#This Row],[Unit Price]]*Sales_Data[[#This Row],[Quantity]]</f>
        <v>765000</v>
      </c>
      <c r="M225" s="12">
        <f>Sales_Data[[#This Row],[Cost Price]]*Sales_Data[[#This Row],[Quantity]]</f>
        <v>612000</v>
      </c>
      <c r="N225" s="12">
        <f>Sales_Data[[#This Row],[Revenue]]-Sales_Data[[#This Row],[COGS]]</f>
        <v>153000</v>
      </c>
    </row>
    <row r="226" spans="1:14">
      <c r="A226" s="1">
        <v>45900</v>
      </c>
      <c r="B226" t="s">
        <v>11</v>
      </c>
      <c r="C226" t="s">
        <v>12</v>
      </c>
      <c r="D226" t="s">
        <v>13</v>
      </c>
      <c r="E226" t="s">
        <v>14</v>
      </c>
      <c r="F226" t="s">
        <v>33</v>
      </c>
      <c r="G226" t="s">
        <v>22</v>
      </c>
      <c r="H226" s="12">
        <v>180000</v>
      </c>
      <c r="I226">
        <v>5</v>
      </c>
      <c r="J226" t="s">
        <v>17</v>
      </c>
      <c r="K226" s="12">
        <f t="shared" si="3"/>
        <v>144000</v>
      </c>
      <c r="L226" s="12">
        <f>Sales_Data[[#This Row],[Unit Price]]*Sales_Data[[#This Row],[Quantity]]</f>
        <v>900000</v>
      </c>
      <c r="M226" s="12">
        <f>Sales_Data[[#This Row],[Cost Price]]*Sales_Data[[#This Row],[Quantity]]</f>
        <v>720000</v>
      </c>
      <c r="N226" s="12">
        <f>Sales_Data[[#This Row],[Revenue]]-Sales_Data[[#This Row],[COGS]]</f>
        <v>180000</v>
      </c>
    </row>
    <row r="227" spans="1:14">
      <c r="A227" s="1">
        <v>45901</v>
      </c>
      <c r="B227" t="s">
        <v>11</v>
      </c>
      <c r="C227" t="s">
        <v>19</v>
      </c>
      <c r="D227" t="s">
        <v>13</v>
      </c>
      <c r="E227" t="s">
        <v>20</v>
      </c>
      <c r="F227" t="s">
        <v>36</v>
      </c>
      <c r="G227" t="s">
        <v>31</v>
      </c>
      <c r="H227" s="12">
        <v>150000</v>
      </c>
      <c r="I227">
        <v>4</v>
      </c>
      <c r="J227" t="s">
        <v>17</v>
      </c>
      <c r="K227" s="12">
        <f t="shared" si="3"/>
        <v>120000</v>
      </c>
      <c r="L227" s="12">
        <f>Sales_Data[[#This Row],[Unit Price]]*Sales_Data[[#This Row],[Quantity]]</f>
        <v>600000</v>
      </c>
      <c r="M227" s="12">
        <f>Sales_Data[[#This Row],[Cost Price]]*Sales_Data[[#This Row],[Quantity]]</f>
        <v>480000</v>
      </c>
      <c r="N227" s="12">
        <f>Sales_Data[[#This Row],[Revenue]]-Sales_Data[[#This Row],[COGS]]</f>
        <v>120000</v>
      </c>
    </row>
    <row r="228" spans="1:14">
      <c r="A228" s="1">
        <v>45902</v>
      </c>
      <c r="B228" t="s">
        <v>29</v>
      </c>
      <c r="C228" t="s">
        <v>19</v>
      </c>
      <c r="D228" t="s">
        <v>13</v>
      </c>
      <c r="E228" t="s">
        <v>14</v>
      </c>
      <c r="F228" t="s">
        <v>36</v>
      </c>
      <c r="G228" t="s">
        <v>31</v>
      </c>
      <c r="H228" s="12">
        <v>150000</v>
      </c>
      <c r="I228">
        <v>4</v>
      </c>
      <c r="J228" t="s">
        <v>28</v>
      </c>
      <c r="K228" s="12">
        <f t="shared" si="3"/>
        <v>120000</v>
      </c>
      <c r="L228" s="12">
        <f>Sales_Data[[#This Row],[Unit Price]]*Sales_Data[[#This Row],[Quantity]]</f>
        <v>600000</v>
      </c>
      <c r="M228" s="12">
        <f>Sales_Data[[#This Row],[Cost Price]]*Sales_Data[[#This Row],[Quantity]]</f>
        <v>480000</v>
      </c>
      <c r="N228" s="12">
        <f>Sales_Data[[#This Row],[Revenue]]-Sales_Data[[#This Row],[COGS]]</f>
        <v>120000</v>
      </c>
    </row>
    <row r="229" spans="1:14">
      <c r="A229" s="1">
        <v>45903</v>
      </c>
      <c r="B229" t="s">
        <v>18</v>
      </c>
      <c r="C229" t="s">
        <v>19</v>
      </c>
      <c r="D229" t="s">
        <v>23</v>
      </c>
      <c r="E229" t="s">
        <v>14</v>
      </c>
      <c r="F229" t="s">
        <v>21</v>
      </c>
      <c r="G229" t="s">
        <v>22</v>
      </c>
      <c r="H229" s="12">
        <v>30000</v>
      </c>
      <c r="I229">
        <v>2</v>
      </c>
      <c r="J229" t="s">
        <v>28</v>
      </c>
      <c r="K229" s="12">
        <f t="shared" si="3"/>
        <v>24000</v>
      </c>
      <c r="L229" s="12">
        <f>Sales_Data[[#This Row],[Unit Price]]*Sales_Data[[#This Row],[Quantity]]</f>
        <v>60000</v>
      </c>
      <c r="M229" s="12">
        <f>Sales_Data[[#This Row],[Cost Price]]*Sales_Data[[#This Row],[Quantity]]</f>
        <v>48000</v>
      </c>
      <c r="N229" s="12">
        <f>Sales_Data[[#This Row],[Revenue]]-Sales_Data[[#This Row],[COGS]]</f>
        <v>12000</v>
      </c>
    </row>
    <row r="230" spans="1:14">
      <c r="A230" s="1">
        <v>45904</v>
      </c>
      <c r="B230" t="s">
        <v>25</v>
      </c>
      <c r="C230" t="s">
        <v>32</v>
      </c>
      <c r="D230" t="s">
        <v>23</v>
      </c>
      <c r="E230" t="s">
        <v>14</v>
      </c>
      <c r="F230" t="s">
        <v>33</v>
      </c>
      <c r="G230" t="s">
        <v>22</v>
      </c>
      <c r="H230" s="12">
        <v>180000</v>
      </c>
      <c r="I230">
        <v>6</v>
      </c>
      <c r="J230" t="s">
        <v>37</v>
      </c>
      <c r="K230" s="12">
        <f t="shared" si="3"/>
        <v>144000</v>
      </c>
      <c r="L230" s="12">
        <f>Sales_Data[[#This Row],[Unit Price]]*Sales_Data[[#This Row],[Quantity]]</f>
        <v>1080000</v>
      </c>
      <c r="M230" s="12">
        <f>Sales_Data[[#This Row],[Cost Price]]*Sales_Data[[#This Row],[Quantity]]</f>
        <v>864000</v>
      </c>
      <c r="N230" s="12">
        <f>Sales_Data[[#This Row],[Revenue]]-Sales_Data[[#This Row],[COGS]]</f>
        <v>216000</v>
      </c>
    </row>
    <row r="231" spans="1:14">
      <c r="A231" s="1">
        <v>45905</v>
      </c>
      <c r="B231" t="s">
        <v>29</v>
      </c>
      <c r="C231" t="s">
        <v>26</v>
      </c>
      <c r="D231" t="s">
        <v>23</v>
      </c>
      <c r="E231" t="s">
        <v>20</v>
      </c>
      <c r="F231" t="s">
        <v>27</v>
      </c>
      <c r="G231" t="s">
        <v>22</v>
      </c>
      <c r="H231" s="12">
        <v>60000</v>
      </c>
      <c r="I231">
        <v>9</v>
      </c>
      <c r="J231" t="s">
        <v>39</v>
      </c>
      <c r="K231" s="12">
        <f t="shared" si="3"/>
        <v>48000</v>
      </c>
      <c r="L231" s="12">
        <f>Sales_Data[[#This Row],[Unit Price]]*Sales_Data[[#This Row],[Quantity]]</f>
        <v>540000</v>
      </c>
      <c r="M231" s="12">
        <f>Sales_Data[[#This Row],[Cost Price]]*Sales_Data[[#This Row],[Quantity]]</f>
        <v>432000</v>
      </c>
      <c r="N231" s="12">
        <f>Sales_Data[[#This Row],[Revenue]]-Sales_Data[[#This Row],[COGS]]</f>
        <v>108000</v>
      </c>
    </row>
    <row r="232" spans="1:14">
      <c r="A232" s="1">
        <v>45906</v>
      </c>
      <c r="B232" t="s">
        <v>25</v>
      </c>
      <c r="C232" t="s">
        <v>12</v>
      </c>
      <c r="D232" t="s">
        <v>13</v>
      </c>
      <c r="E232" t="s">
        <v>14</v>
      </c>
      <c r="F232" t="s">
        <v>36</v>
      </c>
      <c r="G232" t="s">
        <v>31</v>
      </c>
      <c r="H232" s="12">
        <v>150000</v>
      </c>
      <c r="I232">
        <v>3</v>
      </c>
      <c r="J232" t="s">
        <v>24</v>
      </c>
      <c r="K232" s="12">
        <f t="shared" si="3"/>
        <v>120000</v>
      </c>
      <c r="L232" s="12">
        <f>Sales_Data[[#This Row],[Unit Price]]*Sales_Data[[#This Row],[Quantity]]</f>
        <v>450000</v>
      </c>
      <c r="M232" s="12">
        <f>Sales_Data[[#This Row],[Cost Price]]*Sales_Data[[#This Row],[Quantity]]</f>
        <v>360000</v>
      </c>
      <c r="N232" s="12">
        <f>Sales_Data[[#This Row],[Revenue]]-Sales_Data[[#This Row],[COGS]]</f>
        <v>90000</v>
      </c>
    </row>
    <row r="233" spans="1:14">
      <c r="A233" s="1">
        <v>45907</v>
      </c>
      <c r="B233" t="s">
        <v>29</v>
      </c>
      <c r="C233" t="s">
        <v>19</v>
      </c>
      <c r="D233" t="s">
        <v>13</v>
      </c>
      <c r="E233" t="s">
        <v>14</v>
      </c>
      <c r="F233" t="s">
        <v>15</v>
      </c>
      <c r="G233" t="s">
        <v>16</v>
      </c>
      <c r="H233" s="12">
        <v>85000</v>
      </c>
      <c r="I233">
        <v>3</v>
      </c>
      <c r="J233" t="s">
        <v>28</v>
      </c>
      <c r="K233" s="12">
        <f t="shared" si="3"/>
        <v>68000</v>
      </c>
      <c r="L233" s="12">
        <f>Sales_Data[[#This Row],[Unit Price]]*Sales_Data[[#This Row],[Quantity]]</f>
        <v>255000</v>
      </c>
      <c r="M233" s="12">
        <f>Sales_Data[[#This Row],[Cost Price]]*Sales_Data[[#This Row],[Quantity]]</f>
        <v>204000</v>
      </c>
      <c r="N233" s="12">
        <f>Sales_Data[[#This Row],[Revenue]]-Sales_Data[[#This Row],[COGS]]</f>
        <v>51000</v>
      </c>
    </row>
    <row r="234" spans="1:14">
      <c r="A234" s="1">
        <v>45908</v>
      </c>
      <c r="B234" t="s">
        <v>18</v>
      </c>
      <c r="C234" t="s">
        <v>12</v>
      </c>
      <c r="D234" t="s">
        <v>23</v>
      </c>
      <c r="E234" t="s">
        <v>20</v>
      </c>
      <c r="F234" t="s">
        <v>21</v>
      </c>
      <c r="G234" t="s">
        <v>22</v>
      </c>
      <c r="H234" s="12">
        <v>30000</v>
      </c>
      <c r="I234">
        <v>3</v>
      </c>
      <c r="J234" t="s">
        <v>35</v>
      </c>
      <c r="K234" s="12">
        <f t="shared" si="3"/>
        <v>24000</v>
      </c>
      <c r="L234" s="12">
        <f>Sales_Data[[#This Row],[Unit Price]]*Sales_Data[[#This Row],[Quantity]]</f>
        <v>90000</v>
      </c>
      <c r="M234" s="12">
        <f>Sales_Data[[#This Row],[Cost Price]]*Sales_Data[[#This Row],[Quantity]]</f>
        <v>72000</v>
      </c>
      <c r="N234" s="12">
        <f>Sales_Data[[#This Row],[Revenue]]-Sales_Data[[#This Row],[COGS]]</f>
        <v>18000</v>
      </c>
    </row>
    <row r="235" spans="1:14">
      <c r="A235" s="1">
        <v>45909</v>
      </c>
      <c r="B235" t="s">
        <v>18</v>
      </c>
      <c r="C235" t="s">
        <v>26</v>
      </c>
      <c r="D235" t="s">
        <v>23</v>
      </c>
      <c r="E235" t="s">
        <v>14</v>
      </c>
      <c r="F235" t="s">
        <v>15</v>
      </c>
      <c r="G235" t="s">
        <v>16</v>
      </c>
      <c r="H235" s="12">
        <v>85000</v>
      </c>
      <c r="I235">
        <v>2</v>
      </c>
      <c r="J235" t="s">
        <v>17</v>
      </c>
      <c r="K235" s="12">
        <f t="shared" si="3"/>
        <v>68000</v>
      </c>
      <c r="L235" s="12">
        <f>Sales_Data[[#This Row],[Unit Price]]*Sales_Data[[#This Row],[Quantity]]</f>
        <v>170000</v>
      </c>
      <c r="M235" s="12">
        <f>Sales_Data[[#This Row],[Cost Price]]*Sales_Data[[#This Row],[Quantity]]</f>
        <v>136000</v>
      </c>
      <c r="N235" s="12">
        <f>Sales_Data[[#This Row],[Revenue]]-Sales_Data[[#This Row],[COGS]]</f>
        <v>34000</v>
      </c>
    </row>
    <row r="236" spans="1:14">
      <c r="A236" s="1">
        <v>45910</v>
      </c>
      <c r="B236" t="s">
        <v>11</v>
      </c>
      <c r="C236" t="s">
        <v>32</v>
      </c>
      <c r="D236" t="s">
        <v>23</v>
      </c>
      <c r="E236" t="s">
        <v>14</v>
      </c>
      <c r="F236" t="s">
        <v>21</v>
      </c>
      <c r="G236" t="s">
        <v>22</v>
      </c>
      <c r="H236" s="12">
        <v>30000</v>
      </c>
      <c r="I236">
        <v>6</v>
      </c>
      <c r="J236" t="s">
        <v>17</v>
      </c>
      <c r="K236" s="12">
        <f t="shared" si="3"/>
        <v>24000</v>
      </c>
      <c r="L236" s="12">
        <f>Sales_Data[[#This Row],[Unit Price]]*Sales_Data[[#This Row],[Quantity]]</f>
        <v>180000</v>
      </c>
      <c r="M236" s="12">
        <f>Sales_Data[[#This Row],[Cost Price]]*Sales_Data[[#This Row],[Quantity]]</f>
        <v>144000</v>
      </c>
      <c r="N236" s="12">
        <f>Sales_Data[[#This Row],[Revenue]]-Sales_Data[[#This Row],[COGS]]</f>
        <v>36000</v>
      </c>
    </row>
    <row r="237" spans="1:14">
      <c r="A237" s="1">
        <v>45911</v>
      </c>
      <c r="B237" t="s">
        <v>11</v>
      </c>
      <c r="C237" t="s">
        <v>32</v>
      </c>
      <c r="D237" t="s">
        <v>23</v>
      </c>
      <c r="E237" t="s">
        <v>14</v>
      </c>
      <c r="F237" t="s">
        <v>34</v>
      </c>
      <c r="G237" t="s">
        <v>16</v>
      </c>
      <c r="H237" s="12">
        <v>320000</v>
      </c>
      <c r="I237">
        <v>1</v>
      </c>
      <c r="J237" t="s">
        <v>17</v>
      </c>
      <c r="K237" s="12">
        <f t="shared" si="3"/>
        <v>256000</v>
      </c>
      <c r="L237" s="12">
        <f>Sales_Data[[#This Row],[Unit Price]]*Sales_Data[[#This Row],[Quantity]]</f>
        <v>320000</v>
      </c>
      <c r="M237" s="12">
        <f>Sales_Data[[#This Row],[Cost Price]]*Sales_Data[[#This Row],[Quantity]]</f>
        <v>256000</v>
      </c>
      <c r="N237" s="12">
        <f>Sales_Data[[#This Row],[Revenue]]-Sales_Data[[#This Row],[COGS]]</f>
        <v>64000</v>
      </c>
    </row>
    <row r="238" spans="1:14">
      <c r="A238" s="1">
        <v>45912</v>
      </c>
      <c r="B238" t="s">
        <v>25</v>
      </c>
      <c r="C238" t="s">
        <v>19</v>
      </c>
      <c r="D238" t="s">
        <v>13</v>
      </c>
      <c r="E238" t="s">
        <v>20</v>
      </c>
      <c r="F238" t="s">
        <v>38</v>
      </c>
      <c r="G238" t="s">
        <v>31</v>
      </c>
      <c r="H238" s="12">
        <v>420000</v>
      </c>
      <c r="I238">
        <v>5</v>
      </c>
      <c r="J238" t="s">
        <v>37</v>
      </c>
      <c r="K238" s="12">
        <f t="shared" si="3"/>
        <v>336000</v>
      </c>
      <c r="L238" s="12">
        <f>Sales_Data[[#This Row],[Unit Price]]*Sales_Data[[#This Row],[Quantity]]</f>
        <v>2100000</v>
      </c>
      <c r="M238" s="12">
        <f>Sales_Data[[#This Row],[Cost Price]]*Sales_Data[[#This Row],[Quantity]]</f>
        <v>1680000</v>
      </c>
      <c r="N238" s="12">
        <f>Sales_Data[[#This Row],[Revenue]]-Sales_Data[[#This Row],[COGS]]</f>
        <v>420000</v>
      </c>
    </row>
    <row r="239" spans="1:14">
      <c r="A239" s="1">
        <v>45913</v>
      </c>
      <c r="B239" t="s">
        <v>11</v>
      </c>
      <c r="C239" t="s">
        <v>32</v>
      </c>
      <c r="D239" t="s">
        <v>13</v>
      </c>
      <c r="E239" t="s">
        <v>20</v>
      </c>
      <c r="F239" t="s">
        <v>21</v>
      </c>
      <c r="G239" t="s">
        <v>22</v>
      </c>
      <c r="H239" s="12">
        <v>30000</v>
      </c>
      <c r="I239">
        <v>9</v>
      </c>
      <c r="J239" t="s">
        <v>39</v>
      </c>
      <c r="K239" s="12">
        <f t="shared" si="3"/>
        <v>24000</v>
      </c>
      <c r="L239" s="12">
        <f>Sales_Data[[#This Row],[Unit Price]]*Sales_Data[[#This Row],[Quantity]]</f>
        <v>270000</v>
      </c>
      <c r="M239" s="12">
        <f>Sales_Data[[#This Row],[Cost Price]]*Sales_Data[[#This Row],[Quantity]]</f>
        <v>216000</v>
      </c>
      <c r="N239" s="12">
        <f>Sales_Data[[#This Row],[Revenue]]-Sales_Data[[#This Row],[COGS]]</f>
        <v>54000</v>
      </c>
    </row>
    <row r="240" spans="1:14">
      <c r="A240" s="1">
        <v>45914</v>
      </c>
      <c r="B240" t="s">
        <v>25</v>
      </c>
      <c r="C240" t="s">
        <v>32</v>
      </c>
      <c r="D240" t="s">
        <v>13</v>
      </c>
      <c r="E240" t="s">
        <v>14</v>
      </c>
      <c r="F240" t="s">
        <v>27</v>
      </c>
      <c r="G240" t="s">
        <v>22</v>
      </c>
      <c r="H240" s="12">
        <v>60000</v>
      </c>
      <c r="I240">
        <v>8</v>
      </c>
      <c r="J240" t="s">
        <v>37</v>
      </c>
      <c r="K240" s="12">
        <f t="shared" si="3"/>
        <v>48000</v>
      </c>
      <c r="L240" s="12">
        <f>Sales_Data[[#This Row],[Unit Price]]*Sales_Data[[#This Row],[Quantity]]</f>
        <v>480000</v>
      </c>
      <c r="M240" s="12">
        <f>Sales_Data[[#This Row],[Cost Price]]*Sales_Data[[#This Row],[Quantity]]</f>
        <v>384000</v>
      </c>
      <c r="N240" s="12">
        <f>Sales_Data[[#This Row],[Revenue]]-Sales_Data[[#This Row],[COGS]]</f>
        <v>96000</v>
      </c>
    </row>
    <row r="241" spans="1:14">
      <c r="A241" s="1">
        <v>45915</v>
      </c>
      <c r="B241" t="s">
        <v>11</v>
      </c>
      <c r="C241" t="s">
        <v>26</v>
      </c>
      <c r="D241" t="s">
        <v>13</v>
      </c>
      <c r="E241" t="s">
        <v>14</v>
      </c>
      <c r="F241" t="s">
        <v>30</v>
      </c>
      <c r="G241" t="s">
        <v>31</v>
      </c>
      <c r="H241" s="12">
        <v>300000</v>
      </c>
      <c r="I241">
        <v>2</v>
      </c>
      <c r="J241" t="s">
        <v>28</v>
      </c>
      <c r="K241" s="12">
        <f t="shared" si="3"/>
        <v>240000</v>
      </c>
      <c r="L241" s="12">
        <f>Sales_Data[[#This Row],[Unit Price]]*Sales_Data[[#This Row],[Quantity]]</f>
        <v>600000</v>
      </c>
      <c r="M241" s="12">
        <f>Sales_Data[[#This Row],[Cost Price]]*Sales_Data[[#This Row],[Quantity]]</f>
        <v>480000</v>
      </c>
      <c r="N241" s="12">
        <f>Sales_Data[[#This Row],[Revenue]]-Sales_Data[[#This Row],[COGS]]</f>
        <v>120000</v>
      </c>
    </row>
    <row r="242" spans="1:14">
      <c r="A242" s="1">
        <v>45916</v>
      </c>
      <c r="B242" t="s">
        <v>25</v>
      </c>
      <c r="C242" t="s">
        <v>12</v>
      </c>
      <c r="D242" t="s">
        <v>13</v>
      </c>
      <c r="E242" t="s">
        <v>14</v>
      </c>
      <c r="F242" t="s">
        <v>41</v>
      </c>
      <c r="G242" t="s">
        <v>22</v>
      </c>
      <c r="H242" s="12">
        <v>220000</v>
      </c>
      <c r="I242">
        <v>7</v>
      </c>
      <c r="J242" t="s">
        <v>28</v>
      </c>
      <c r="K242" s="12">
        <f t="shared" si="3"/>
        <v>176000</v>
      </c>
      <c r="L242" s="12">
        <f>Sales_Data[[#This Row],[Unit Price]]*Sales_Data[[#This Row],[Quantity]]</f>
        <v>1540000</v>
      </c>
      <c r="M242" s="12">
        <f>Sales_Data[[#This Row],[Cost Price]]*Sales_Data[[#This Row],[Quantity]]</f>
        <v>1232000</v>
      </c>
      <c r="N242" s="12">
        <f>Sales_Data[[#This Row],[Revenue]]-Sales_Data[[#This Row],[COGS]]</f>
        <v>308000</v>
      </c>
    </row>
    <row r="243" spans="1:14">
      <c r="A243" s="1">
        <v>45917</v>
      </c>
      <c r="B243" t="s">
        <v>29</v>
      </c>
      <c r="C243" t="s">
        <v>19</v>
      </c>
      <c r="D243" t="s">
        <v>23</v>
      </c>
      <c r="E243" t="s">
        <v>20</v>
      </c>
      <c r="F243" t="s">
        <v>30</v>
      </c>
      <c r="G243" t="s">
        <v>31</v>
      </c>
      <c r="H243" s="12">
        <v>300000</v>
      </c>
      <c r="I243">
        <v>8</v>
      </c>
      <c r="J243" t="s">
        <v>17</v>
      </c>
      <c r="K243" s="12">
        <f t="shared" si="3"/>
        <v>240000</v>
      </c>
      <c r="L243" s="12">
        <f>Sales_Data[[#This Row],[Unit Price]]*Sales_Data[[#This Row],[Quantity]]</f>
        <v>2400000</v>
      </c>
      <c r="M243" s="12">
        <f>Sales_Data[[#This Row],[Cost Price]]*Sales_Data[[#This Row],[Quantity]]</f>
        <v>1920000</v>
      </c>
      <c r="N243" s="12">
        <f>Sales_Data[[#This Row],[Revenue]]-Sales_Data[[#This Row],[COGS]]</f>
        <v>480000</v>
      </c>
    </row>
    <row r="244" spans="1:14">
      <c r="A244" s="1">
        <v>45918</v>
      </c>
      <c r="B244" t="s">
        <v>18</v>
      </c>
      <c r="C244" t="s">
        <v>19</v>
      </c>
      <c r="D244" t="s">
        <v>23</v>
      </c>
      <c r="E244" t="s">
        <v>20</v>
      </c>
      <c r="F244" t="s">
        <v>38</v>
      </c>
      <c r="G244" t="s">
        <v>31</v>
      </c>
      <c r="H244" s="12">
        <v>420000</v>
      </c>
      <c r="I244">
        <v>10</v>
      </c>
      <c r="J244" t="s">
        <v>35</v>
      </c>
      <c r="K244" s="12">
        <f t="shared" si="3"/>
        <v>336000</v>
      </c>
      <c r="L244" s="12">
        <f>Sales_Data[[#This Row],[Unit Price]]*Sales_Data[[#This Row],[Quantity]]</f>
        <v>4200000</v>
      </c>
      <c r="M244" s="12">
        <f>Sales_Data[[#This Row],[Cost Price]]*Sales_Data[[#This Row],[Quantity]]</f>
        <v>3360000</v>
      </c>
      <c r="N244" s="12">
        <f>Sales_Data[[#This Row],[Revenue]]-Sales_Data[[#This Row],[COGS]]</f>
        <v>840000</v>
      </c>
    </row>
    <row r="245" spans="1:14">
      <c r="A245" s="1">
        <v>45919</v>
      </c>
      <c r="B245" t="s">
        <v>18</v>
      </c>
      <c r="C245" t="s">
        <v>32</v>
      </c>
      <c r="D245" t="s">
        <v>23</v>
      </c>
      <c r="E245" t="s">
        <v>14</v>
      </c>
      <c r="F245" t="s">
        <v>30</v>
      </c>
      <c r="G245" t="s">
        <v>31</v>
      </c>
      <c r="H245" s="12">
        <v>300000</v>
      </c>
      <c r="I245">
        <v>2</v>
      </c>
      <c r="J245" t="s">
        <v>35</v>
      </c>
      <c r="K245" s="12">
        <f t="shared" si="3"/>
        <v>240000</v>
      </c>
      <c r="L245" s="12">
        <f>Sales_Data[[#This Row],[Unit Price]]*Sales_Data[[#This Row],[Quantity]]</f>
        <v>600000</v>
      </c>
      <c r="M245" s="12">
        <f>Sales_Data[[#This Row],[Cost Price]]*Sales_Data[[#This Row],[Quantity]]</f>
        <v>480000</v>
      </c>
      <c r="N245" s="12">
        <f>Sales_Data[[#This Row],[Revenue]]-Sales_Data[[#This Row],[COGS]]</f>
        <v>120000</v>
      </c>
    </row>
    <row r="246" spans="1:14">
      <c r="A246" s="1">
        <v>45920</v>
      </c>
      <c r="B246" t="s">
        <v>18</v>
      </c>
      <c r="C246" t="s">
        <v>19</v>
      </c>
      <c r="D246" t="s">
        <v>23</v>
      </c>
      <c r="E246" t="s">
        <v>14</v>
      </c>
      <c r="F246" t="s">
        <v>41</v>
      </c>
      <c r="G246" t="s">
        <v>22</v>
      </c>
      <c r="H246" s="12">
        <v>220000</v>
      </c>
      <c r="I246">
        <v>3</v>
      </c>
      <c r="J246" t="s">
        <v>28</v>
      </c>
      <c r="K246" s="12">
        <f t="shared" si="3"/>
        <v>176000</v>
      </c>
      <c r="L246" s="12">
        <f>Sales_Data[[#This Row],[Unit Price]]*Sales_Data[[#This Row],[Quantity]]</f>
        <v>660000</v>
      </c>
      <c r="M246" s="12">
        <f>Sales_Data[[#This Row],[Cost Price]]*Sales_Data[[#This Row],[Quantity]]</f>
        <v>528000</v>
      </c>
      <c r="N246" s="12">
        <f>Sales_Data[[#This Row],[Revenue]]-Sales_Data[[#This Row],[COGS]]</f>
        <v>132000</v>
      </c>
    </row>
    <row r="247" spans="1:14">
      <c r="A247" s="1">
        <v>45921</v>
      </c>
      <c r="B247" t="s">
        <v>18</v>
      </c>
      <c r="C247" t="s">
        <v>26</v>
      </c>
      <c r="D247" t="s">
        <v>23</v>
      </c>
      <c r="E247" t="s">
        <v>20</v>
      </c>
      <c r="F247" t="s">
        <v>15</v>
      </c>
      <c r="G247" t="s">
        <v>16</v>
      </c>
      <c r="H247" s="12">
        <v>85000</v>
      </c>
      <c r="I247">
        <v>6</v>
      </c>
      <c r="J247" t="s">
        <v>24</v>
      </c>
      <c r="K247" s="12">
        <f t="shared" si="3"/>
        <v>68000</v>
      </c>
      <c r="L247" s="12">
        <f>Sales_Data[[#This Row],[Unit Price]]*Sales_Data[[#This Row],[Quantity]]</f>
        <v>510000</v>
      </c>
      <c r="M247" s="12">
        <f>Sales_Data[[#This Row],[Cost Price]]*Sales_Data[[#This Row],[Quantity]]</f>
        <v>408000</v>
      </c>
      <c r="N247" s="12">
        <f>Sales_Data[[#This Row],[Revenue]]-Sales_Data[[#This Row],[COGS]]</f>
        <v>102000</v>
      </c>
    </row>
    <row r="248" spans="1:14">
      <c r="A248" s="1">
        <v>45922</v>
      </c>
      <c r="B248" t="s">
        <v>29</v>
      </c>
      <c r="C248" t="s">
        <v>32</v>
      </c>
      <c r="D248" t="s">
        <v>23</v>
      </c>
      <c r="E248" t="s">
        <v>14</v>
      </c>
      <c r="F248" t="s">
        <v>34</v>
      </c>
      <c r="G248" t="s">
        <v>16</v>
      </c>
      <c r="H248" s="12">
        <v>320000</v>
      </c>
      <c r="I248">
        <v>10</v>
      </c>
      <c r="J248" t="s">
        <v>39</v>
      </c>
      <c r="K248" s="12">
        <f t="shared" si="3"/>
        <v>256000</v>
      </c>
      <c r="L248" s="12">
        <f>Sales_Data[[#This Row],[Unit Price]]*Sales_Data[[#This Row],[Quantity]]</f>
        <v>3200000</v>
      </c>
      <c r="M248" s="12">
        <f>Sales_Data[[#This Row],[Cost Price]]*Sales_Data[[#This Row],[Quantity]]</f>
        <v>2560000</v>
      </c>
      <c r="N248" s="12">
        <f>Sales_Data[[#This Row],[Revenue]]-Sales_Data[[#This Row],[COGS]]</f>
        <v>640000</v>
      </c>
    </row>
    <row r="249" spans="1:14">
      <c r="A249" s="1">
        <v>45923</v>
      </c>
      <c r="B249" t="s">
        <v>18</v>
      </c>
      <c r="C249" t="s">
        <v>12</v>
      </c>
      <c r="D249" t="s">
        <v>23</v>
      </c>
      <c r="E249" t="s">
        <v>14</v>
      </c>
      <c r="F249" t="s">
        <v>30</v>
      </c>
      <c r="G249" t="s">
        <v>31</v>
      </c>
      <c r="H249" s="12">
        <v>300000</v>
      </c>
      <c r="I249">
        <v>2</v>
      </c>
      <c r="J249" t="s">
        <v>24</v>
      </c>
      <c r="K249" s="12">
        <f t="shared" si="3"/>
        <v>240000</v>
      </c>
      <c r="L249" s="12">
        <f>Sales_Data[[#This Row],[Unit Price]]*Sales_Data[[#This Row],[Quantity]]</f>
        <v>600000</v>
      </c>
      <c r="M249" s="12">
        <f>Sales_Data[[#This Row],[Cost Price]]*Sales_Data[[#This Row],[Quantity]]</f>
        <v>480000</v>
      </c>
      <c r="N249" s="12">
        <f>Sales_Data[[#This Row],[Revenue]]-Sales_Data[[#This Row],[COGS]]</f>
        <v>120000</v>
      </c>
    </row>
    <row r="250" spans="1:14">
      <c r="A250" s="1">
        <v>45924</v>
      </c>
      <c r="B250" t="s">
        <v>25</v>
      </c>
      <c r="C250" t="s">
        <v>12</v>
      </c>
      <c r="D250" t="s">
        <v>23</v>
      </c>
      <c r="E250" t="s">
        <v>20</v>
      </c>
      <c r="F250" t="s">
        <v>21</v>
      </c>
      <c r="G250" t="s">
        <v>22</v>
      </c>
      <c r="H250" s="12">
        <v>30000</v>
      </c>
      <c r="I250">
        <v>6</v>
      </c>
      <c r="J250" t="s">
        <v>39</v>
      </c>
      <c r="K250" s="12">
        <f t="shared" si="3"/>
        <v>24000</v>
      </c>
      <c r="L250" s="12">
        <f>Sales_Data[[#This Row],[Unit Price]]*Sales_Data[[#This Row],[Quantity]]</f>
        <v>180000</v>
      </c>
      <c r="M250" s="12">
        <f>Sales_Data[[#This Row],[Cost Price]]*Sales_Data[[#This Row],[Quantity]]</f>
        <v>144000</v>
      </c>
      <c r="N250" s="12">
        <f>Sales_Data[[#This Row],[Revenue]]-Sales_Data[[#This Row],[COGS]]</f>
        <v>36000</v>
      </c>
    </row>
    <row r="251" spans="1:14">
      <c r="A251" s="1">
        <v>45925</v>
      </c>
      <c r="B251" t="s">
        <v>25</v>
      </c>
      <c r="C251" t="s">
        <v>12</v>
      </c>
      <c r="D251" t="s">
        <v>23</v>
      </c>
      <c r="E251" t="s">
        <v>20</v>
      </c>
      <c r="F251" t="s">
        <v>27</v>
      </c>
      <c r="G251" t="s">
        <v>22</v>
      </c>
      <c r="H251" s="12">
        <v>60000</v>
      </c>
      <c r="I251">
        <v>2</v>
      </c>
      <c r="J251" t="s">
        <v>28</v>
      </c>
      <c r="K251" s="12">
        <f t="shared" si="3"/>
        <v>48000</v>
      </c>
      <c r="L251" s="12">
        <f>Sales_Data[[#This Row],[Unit Price]]*Sales_Data[[#This Row],[Quantity]]</f>
        <v>120000</v>
      </c>
      <c r="M251" s="12">
        <f>Sales_Data[[#This Row],[Cost Price]]*Sales_Data[[#This Row],[Quantity]]</f>
        <v>96000</v>
      </c>
      <c r="N251" s="12">
        <f>Sales_Data[[#This Row],[Revenue]]-Sales_Data[[#This Row],[COGS]]</f>
        <v>24000</v>
      </c>
    </row>
    <row r="252" spans="1:14">
      <c r="A252" s="1">
        <v>45926</v>
      </c>
      <c r="B252" t="s">
        <v>29</v>
      </c>
      <c r="C252" t="s">
        <v>26</v>
      </c>
      <c r="D252" t="s">
        <v>13</v>
      </c>
      <c r="E252" t="s">
        <v>14</v>
      </c>
      <c r="F252" t="s">
        <v>41</v>
      </c>
      <c r="G252" t="s">
        <v>22</v>
      </c>
      <c r="H252" s="12">
        <v>220000</v>
      </c>
      <c r="I252">
        <v>5</v>
      </c>
      <c r="J252" t="s">
        <v>17</v>
      </c>
      <c r="K252" s="12">
        <f t="shared" si="3"/>
        <v>176000</v>
      </c>
      <c r="L252" s="12">
        <f>Sales_Data[[#This Row],[Unit Price]]*Sales_Data[[#This Row],[Quantity]]</f>
        <v>1100000</v>
      </c>
      <c r="M252" s="12">
        <f>Sales_Data[[#This Row],[Cost Price]]*Sales_Data[[#This Row],[Quantity]]</f>
        <v>880000</v>
      </c>
      <c r="N252" s="12">
        <f>Sales_Data[[#This Row],[Revenue]]-Sales_Data[[#This Row],[COGS]]</f>
        <v>220000</v>
      </c>
    </row>
    <row r="253" spans="1:14">
      <c r="A253" s="1">
        <v>45927</v>
      </c>
      <c r="B253" t="s">
        <v>11</v>
      </c>
      <c r="C253" t="s">
        <v>32</v>
      </c>
      <c r="D253" t="s">
        <v>13</v>
      </c>
      <c r="E253" t="s">
        <v>20</v>
      </c>
      <c r="F253" t="s">
        <v>33</v>
      </c>
      <c r="G253" t="s">
        <v>22</v>
      </c>
      <c r="H253" s="12">
        <v>180000</v>
      </c>
      <c r="I253">
        <v>6</v>
      </c>
      <c r="J253" t="s">
        <v>39</v>
      </c>
      <c r="K253" s="12">
        <f t="shared" si="3"/>
        <v>144000</v>
      </c>
      <c r="L253" s="12">
        <f>Sales_Data[[#This Row],[Unit Price]]*Sales_Data[[#This Row],[Quantity]]</f>
        <v>1080000</v>
      </c>
      <c r="M253" s="12">
        <f>Sales_Data[[#This Row],[Cost Price]]*Sales_Data[[#This Row],[Quantity]]</f>
        <v>864000</v>
      </c>
      <c r="N253" s="12">
        <f>Sales_Data[[#This Row],[Revenue]]-Sales_Data[[#This Row],[COGS]]</f>
        <v>216000</v>
      </c>
    </row>
    <row r="254" spans="1:14">
      <c r="A254" s="1">
        <v>45928</v>
      </c>
      <c r="B254" t="s">
        <v>29</v>
      </c>
      <c r="C254" t="s">
        <v>12</v>
      </c>
      <c r="D254" t="s">
        <v>13</v>
      </c>
      <c r="E254" t="s">
        <v>14</v>
      </c>
      <c r="F254" t="s">
        <v>40</v>
      </c>
      <c r="G254" t="s">
        <v>31</v>
      </c>
      <c r="H254" s="12">
        <v>250000</v>
      </c>
      <c r="I254">
        <v>4</v>
      </c>
      <c r="J254" t="s">
        <v>35</v>
      </c>
      <c r="K254" s="12">
        <f t="shared" si="3"/>
        <v>200000</v>
      </c>
      <c r="L254" s="12">
        <f>Sales_Data[[#This Row],[Unit Price]]*Sales_Data[[#This Row],[Quantity]]</f>
        <v>1000000</v>
      </c>
      <c r="M254" s="12">
        <f>Sales_Data[[#This Row],[Cost Price]]*Sales_Data[[#This Row],[Quantity]]</f>
        <v>800000</v>
      </c>
      <c r="N254" s="12">
        <f>Sales_Data[[#This Row],[Revenue]]-Sales_Data[[#This Row],[COGS]]</f>
        <v>200000</v>
      </c>
    </row>
    <row r="255" spans="1:14">
      <c r="A255" s="1">
        <v>45929</v>
      </c>
      <c r="B255" t="s">
        <v>29</v>
      </c>
      <c r="C255" t="s">
        <v>26</v>
      </c>
      <c r="D255" t="s">
        <v>23</v>
      </c>
      <c r="E255" t="s">
        <v>14</v>
      </c>
      <c r="F255" t="s">
        <v>15</v>
      </c>
      <c r="G255" t="s">
        <v>16</v>
      </c>
      <c r="H255" s="12">
        <v>85000</v>
      </c>
      <c r="I255">
        <v>10</v>
      </c>
      <c r="J255" t="s">
        <v>24</v>
      </c>
      <c r="K255" s="12">
        <f t="shared" si="3"/>
        <v>68000</v>
      </c>
      <c r="L255" s="12">
        <f>Sales_Data[[#This Row],[Unit Price]]*Sales_Data[[#This Row],[Quantity]]</f>
        <v>850000</v>
      </c>
      <c r="M255" s="12">
        <f>Sales_Data[[#This Row],[Cost Price]]*Sales_Data[[#This Row],[Quantity]]</f>
        <v>680000</v>
      </c>
      <c r="N255" s="12">
        <f>Sales_Data[[#This Row],[Revenue]]-Sales_Data[[#This Row],[COGS]]</f>
        <v>170000</v>
      </c>
    </row>
    <row r="256" spans="1:14">
      <c r="A256" s="1">
        <v>45930</v>
      </c>
      <c r="B256" t="s">
        <v>11</v>
      </c>
      <c r="C256" t="s">
        <v>19</v>
      </c>
      <c r="D256" t="s">
        <v>13</v>
      </c>
      <c r="E256" t="s">
        <v>14</v>
      </c>
      <c r="F256" t="s">
        <v>30</v>
      </c>
      <c r="G256" t="s">
        <v>31</v>
      </c>
      <c r="H256" s="12">
        <v>300000</v>
      </c>
      <c r="I256">
        <v>6</v>
      </c>
      <c r="J256" t="s">
        <v>24</v>
      </c>
      <c r="K256" s="12">
        <f t="shared" si="3"/>
        <v>240000</v>
      </c>
      <c r="L256" s="12">
        <f>Sales_Data[[#This Row],[Unit Price]]*Sales_Data[[#This Row],[Quantity]]</f>
        <v>1800000</v>
      </c>
      <c r="M256" s="12">
        <f>Sales_Data[[#This Row],[Cost Price]]*Sales_Data[[#This Row],[Quantity]]</f>
        <v>1440000</v>
      </c>
      <c r="N256" s="12">
        <f>Sales_Data[[#This Row],[Revenue]]-Sales_Data[[#This Row],[COGS]]</f>
        <v>360000</v>
      </c>
    </row>
    <row r="257" spans="1:14">
      <c r="A257" s="1">
        <v>45931</v>
      </c>
      <c r="B257" t="s">
        <v>29</v>
      </c>
      <c r="C257" t="s">
        <v>19</v>
      </c>
      <c r="D257" t="s">
        <v>23</v>
      </c>
      <c r="E257" t="s">
        <v>20</v>
      </c>
      <c r="F257" t="s">
        <v>41</v>
      </c>
      <c r="G257" t="s">
        <v>22</v>
      </c>
      <c r="H257" s="12">
        <v>220000</v>
      </c>
      <c r="I257">
        <v>3</v>
      </c>
      <c r="J257" t="s">
        <v>17</v>
      </c>
      <c r="K257" s="12">
        <f t="shared" si="3"/>
        <v>176000</v>
      </c>
      <c r="L257" s="12">
        <f>Sales_Data[[#This Row],[Unit Price]]*Sales_Data[[#This Row],[Quantity]]</f>
        <v>660000</v>
      </c>
      <c r="M257" s="12">
        <f>Sales_Data[[#This Row],[Cost Price]]*Sales_Data[[#This Row],[Quantity]]</f>
        <v>528000</v>
      </c>
      <c r="N257" s="12">
        <f>Sales_Data[[#This Row],[Revenue]]-Sales_Data[[#This Row],[COGS]]</f>
        <v>132000</v>
      </c>
    </row>
    <row r="258" spans="1:14">
      <c r="A258" s="1">
        <v>45932</v>
      </c>
      <c r="B258" t="s">
        <v>29</v>
      </c>
      <c r="C258" t="s">
        <v>26</v>
      </c>
      <c r="D258" t="s">
        <v>13</v>
      </c>
      <c r="E258" t="s">
        <v>20</v>
      </c>
      <c r="F258" t="s">
        <v>21</v>
      </c>
      <c r="G258" t="s">
        <v>22</v>
      </c>
      <c r="H258" s="12">
        <v>30000</v>
      </c>
      <c r="I258">
        <v>8</v>
      </c>
      <c r="J258" t="s">
        <v>39</v>
      </c>
      <c r="K258" s="12">
        <f t="shared" ref="K258:K321" si="4">H258-H258*0.2</f>
        <v>24000</v>
      </c>
      <c r="L258" s="12">
        <f>Sales_Data[[#This Row],[Unit Price]]*Sales_Data[[#This Row],[Quantity]]</f>
        <v>240000</v>
      </c>
      <c r="M258" s="12">
        <f>Sales_Data[[#This Row],[Cost Price]]*Sales_Data[[#This Row],[Quantity]]</f>
        <v>192000</v>
      </c>
      <c r="N258" s="12">
        <f>Sales_Data[[#This Row],[Revenue]]-Sales_Data[[#This Row],[COGS]]</f>
        <v>48000</v>
      </c>
    </row>
    <row r="259" spans="1:14">
      <c r="A259" s="1">
        <v>45933</v>
      </c>
      <c r="B259" t="s">
        <v>29</v>
      </c>
      <c r="C259" t="s">
        <v>12</v>
      </c>
      <c r="D259" t="s">
        <v>23</v>
      </c>
      <c r="E259" t="s">
        <v>14</v>
      </c>
      <c r="F259" t="s">
        <v>15</v>
      </c>
      <c r="G259" t="s">
        <v>16</v>
      </c>
      <c r="H259" s="12">
        <v>85000</v>
      </c>
      <c r="I259">
        <v>2</v>
      </c>
      <c r="J259" t="s">
        <v>17</v>
      </c>
      <c r="K259" s="12">
        <f t="shared" si="4"/>
        <v>68000</v>
      </c>
      <c r="L259" s="12">
        <f>Sales_Data[[#This Row],[Unit Price]]*Sales_Data[[#This Row],[Quantity]]</f>
        <v>170000</v>
      </c>
      <c r="M259" s="12">
        <f>Sales_Data[[#This Row],[Cost Price]]*Sales_Data[[#This Row],[Quantity]]</f>
        <v>136000</v>
      </c>
      <c r="N259" s="12">
        <f>Sales_Data[[#This Row],[Revenue]]-Sales_Data[[#This Row],[COGS]]</f>
        <v>34000</v>
      </c>
    </row>
    <row r="260" spans="1:14">
      <c r="A260" s="1">
        <v>45934</v>
      </c>
      <c r="B260" t="s">
        <v>25</v>
      </c>
      <c r="C260" t="s">
        <v>32</v>
      </c>
      <c r="D260" t="s">
        <v>13</v>
      </c>
      <c r="E260" t="s">
        <v>20</v>
      </c>
      <c r="F260" t="s">
        <v>36</v>
      </c>
      <c r="G260" t="s">
        <v>31</v>
      </c>
      <c r="H260" s="12">
        <v>150000</v>
      </c>
      <c r="I260">
        <v>3</v>
      </c>
      <c r="J260" t="s">
        <v>35</v>
      </c>
      <c r="K260" s="12">
        <f t="shared" si="4"/>
        <v>120000</v>
      </c>
      <c r="L260" s="12">
        <f>Sales_Data[[#This Row],[Unit Price]]*Sales_Data[[#This Row],[Quantity]]</f>
        <v>450000</v>
      </c>
      <c r="M260" s="12">
        <f>Sales_Data[[#This Row],[Cost Price]]*Sales_Data[[#This Row],[Quantity]]</f>
        <v>360000</v>
      </c>
      <c r="N260" s="12">
        <f>Sales_Data[[#This Row],[Revenue]]-Sales_Data[[#This Row],[COGS]]</f>
        <v>90000</v>
      </c>
    </row>
    <row r="261" spans="1:14">
      <c r="A261" s="1">
        <v>45935</v>
      </c>
      <c r="B261" t="s">
        <v>18</v>
      </c>
      <c r="C261" t="s">
        <v>32</v>
      </c>
      <c r="D261" t="s">
        <v>13</v>
      </c>
      <c r="E261" t="s">
        <v>20</v>
      </c>
      <c r="F261" t="s">
        <v>15</v>
      </c>
      <c r="G261" t="s">
        <v>16</v>
      </c>
      <c r="H261" s="12">
        <v>85000</v>
      </c>
      <c r="I261">
        <v>1</v>
      </c>
      <c r="J261" t="s">
        <v>37</v>
      </c>
      <c r="K261" s="12">
        <f t="shared" si="4"/>
        <v>68000</v>
      </c>
      <c r="L261" s="12">
        <f>Sales_Data[[#This Row],[Unit Price]]*Sales_Data[[#This Row],[Quantity]]</f>
        <v>85000</v>
      </c>
      <c r="M261" s="12">
        <f>Sales_Data[[#This Row],[Cost Price]]*Sales_Data[[#This Row],[Quantity]]</f>
        <v>68000</v>
      </c>
      <c r="N261" s="12">
        <f>Sales_Data[[#This Row],[Revenue]]-Sales_Data[[#This Row],[COGS]]</f>
        <v>17000</v>
      </c>
    </row>
    <row r="262" spans="1:14">
      <c r="A262" s="1">
        <v>45936</v>
      </c>
      <c r="B262" t="s">
        <v>25</v>
      </c>
      <c r="C262" t="s">
        <v>12</v>
      </c>
      <c r="D262" t="s">
        <v>23</v>
      </c>
      <c r="E262" t="s">
        <v>20</v>
      </c>
      <c r="F262" t="s">
        <v>40</v>
      </c>
      <c r="G262" t="s">
        <v>31</v>
      </c>
      <c r="H262" s="12">
        <v>250000</v>
      </c>
      <c r="I262">
        <v>3</v>
      </c>
      <c r="J262" t="s">
        <v>39</v>
      </c>
      <c r="K262" s="12">
        <f t="shared" si="4"/>
        <v>200000</v>
      </c>
      <c r="L262" s="12">
        <f>Sales_Data[[#This Row],[Unit Price]]*Sales_Data[[#This Row],[Quantity]]</f>
        <v>750000</v>
      </c>
      <c r="M262" s="12">
        <f>Sales_Data[[#This Row],[Cost Price]]*Sales_Data[[#This Row],[Quantity]]</f>
        <v>600000</v>
      </c>
      <c r="N262" s="12">
        <f>Sales_Data[[#This Row],[Revenue]]-Sales_Data[[#This Row],[COGS]]</f>
        <v>150000</v>
      </c>
    </row>
    <row r="263" spans="1:14">
      <c r="A263" s="1">
        <v>45937</v>
      </c>
      <c r="B263" t="s">
        <v>18</v>
      </c>
      <c r="C263" t="s">
        <v>12</v>
      </c>
      <c r="D263" t="s">
        <v>23</v>
      </c>
      <c r="E263" t="s">
        <v>20</v>
      </c>
      <c r="F263" t="s">
        <v>38</v>
      </c>
      <c r="G263" t="s">
        <v>31</v>
      </c>
      <c r="H263" s="12">
        <v>420000</v>
      </c>
      <c r="I263">
        <v>2</v>
      </c>
      <c r="J263" t="s">
        <v>17</v>
      </c>
      <c r="K263" s="12">
        <f t="shared" si="4"/>
        <v>336000</v>
      </c>
      <c r="L263" s="12">
        <f>Sales_Data[[#This Row],[Unit Price]]*Sales_Data[[#This Row],[Quantity]]</f>
        <v>840000</v>
      </c>
      <c r="M263" s="12">
        <f>Sales_Data[[#This Row],[Cost Price]]*Sales_Data[[#This Row],[Quantity]]</f>
        <v>672000</v>
      </c>
      <c r="N263" s="12">
        <f>Sales_Data[[#This Row],[Revenue]]-Sales_Data[[#This Row],[COGS]]</f>
        <v>168000</v>
      </c>
    </row>
    <row r="264" spans="1:14">
      <c r="A264" s="1">
        <v>45938</v>
      </c>
      <c r="B264" t="s">
        <v>11</v>
      </c>
      <c r="C264" t="s">
        <v>26</v>
      </c>
      <c r="D264" t="s">
        <v>13</v>
      </c>
      <c r="E264" t="s">
        <v>14</v>
      </c>
      <c r="F264" t="s">
        <v>36</v>
      </c>
      <c r="G264" t="s">
        <v>31</v>
      </c>
      <c r="H264" s="12">
        <v>150000</v>
      </c>
      <c r="I264">
        <v>9</v>
      </c>
      <c r="J264" t="s">
        <v>28</v>
      </c>
      <c r="K264" s="12">
        <f t="shared" si="4"/>
        <v>120000</v>
      </c>
      <c r="L264" s="12">
        <f>Sales_Data[[#This Row],[Unit Price]]*Sales_Data[[#This Row],[Quantity]]</f>
        <v>1350000</v>
      </c>
      <c r="M264" s="12">
        <f>Sales_Data[[#This Row],[Cost Price]]*Sales_Data[[#This Row],[Quantity]]</f>
        <v>1080000</v>
      </c>
      <c r="N264" s="12">
        <f>Sales_Data[[#This Row],[Revenue]]-Sales_Data[[#This Row],[COGS]]</f>
        <v>270000</v>
      </c>
    </row>
    <row r="265" spans="1:14">
      <c r="A265" s="1">
        <v>45939</v>
      </c>
      <c r="B265" t="s">
        <v>29</v>
      </c>
      <c r="C265" t="s">
        <v>32</v>
      </c>
      <c r="D265" t="s">
        <v>13</v>
      </c>
      <c r="E265" t="s">
        <v>20</v>
      </c>
      <c r="F265" t="s">
        <v>21</v>
      </c>
      <c r="G265" t="s">
        <v>22</v>
      </c>
      <c r="H265" s="12">
        <v>30000</v>
      </c>
      <c r="I265">
        <v>9</v>
      </c>
      <c r="J265" t="s">
        <v>24</v>
      </c>
      <c r="K265" s="12">
        <f t="shared" si="4"/>
        <v>24000</v>
      </c>
      <c r="L265" s="12">
        <f>Sales_Data[[#This Row],[Unit Price]]*Sales_Data[[#This Row],[Quantity]]</f>
        <v>270000</v>
      </c>
      <c r="M265" s="12">
        <f>Sales_Data[[#This Row],[Cost Price]]*Sales_Data[[#This Row],[Quantity]]</f>
        <v>216000</v>
      </c>
      <c r="N265" s="12">
        <f>Sales_Data[[#This Row],[Revenue]]-Sales_Data[[#This Row],[COGS]]</f>
        <v>54000</v>
      </c>
    </row>
    <row r="266" spans="1:14">
      <c r="A266" s="1">
        <v>45940</v>
      </c>
      <c r="B266" t="s">
        <v>18</v>
      </c>
      <c r="C266" t="s">
        <v>19</v>
      </c>
      <c r="D266" t="s">
        <v>23</v>
      </c>
      <c r="E266" t="s">
        <v>20</v>
      </c>
      <c r="F266" t="s">
        <v>41</v>
      </c>
      <c r="G266" t="s">
        <v>22</v>
      </c>
      <c r="H266" s="12">
        <v>220000</v>
      </c>
      <c r="I266">
        <v>6</v>
      </c>
      <c r="J266" t="s">
        <v>39</v>
      </c>
      <c r="K266" s="12">
        <f t="shared" si="4"/>
        <v>176000</v>
      </c>
      <c r="L266" s="12">
        <f>Sales_Data[[#This Row],[Unit Price]]*Sales_Data[[#This Row],[Quantity]]</f>
        <v>1320000</v>
      </c>
      <c r="M266" s="12">
        <f>Sales_Data[[#This Row],[Cost Price]]*Sales_Data[[#This Row],[Quantity]]</f>
        <v>1056000</v>
      </c>
      <c r="N266" s="12">
        <f>Sales_Data[[#This Row],[Revenue]]-Sales_Data[[#This Row],[COGS]]</f>
        <v>264000</v>
      </c>
    </row>
    <row r="267" spans="1:14">
      <c r="A267" s="1">
        <v>45941</v>
      </c>
      <c r="B267" t="s">
        <v>29</v>
      </c>
      <c r="C267" t="s">
        <v>26</v>
      </c>
      <c r="D267" t="s">
        <v>23</v>
      </c>
      <c r="E267" t="s">
        <v>20</v>
      </c>
      <c r="F267" t="s">
        <v>21</v>
      </c>
      <c r="G267" t="s">
        <v>22</v>
      </c>
      <c r="H267" s="12">
        <v>30000</v>
      </c>
      <c r="I267">
        <v>3</v>
      </c>
      <c r="J267" t="s">
        <v>39</v>
      </c>
      <c r="K267" s="12">
        <f t="shared" si="4"/>
        <v>24000</v>
      </c>
      <c r="L267" s="12">
        <f>Sales_Data[[#This Row],[Unit Price]]*Sales_Data[[#This Row],[Quantity]]</f>
        <v>90000</v>
      </c>
      <c r="M267" s="12">
        <f>Sales_Data[[#This Row],[Cost Price]]*Sales_Data[[#This Row],[Quantity]]</f>
        <v>72000</v>
      </c>
      <c r="N267" s="12">
        <f>Sales_Data[[#This Row],[Revenue]]-Sales_Data[[#This Row],[COGS]]</f>
        <v>18000</v>
      </c>
    </row>
    <row r="268" spans="1:14">
      <c r="A268" s="1">
        <v>45942</v>
      </c>
      <c r="B268" t="s">
        <v>11</v>
      </c>
      <c r="C268" t="s">
        <v>26</v>
      </c>
      <c r="D268" t="s">
        <v>13</v>
      </c>
      <c r="E268" t="s">
        <v>14</v>
      </c>
      <c r="F268" t="s">
        <v>38</v>
      </c>
      <c r="G268" t="s">
        <v>31</v>
      </c>
      <c r="H268" s="12">
        <v>420000</v>
      </c>
      <c r="I268">
        <v>10</v>
      </c>
      <c r="J268" t="s">
        <v>24</v>
      </c>
      <c r="K268" s="12">
        <f t="shared" si="4"/>
        <v>336000</v>
      </c>
      <c r="L268" s="12">
        <f>Sales_Data[[#This Row],[Unit Price]]*Sales_Data[[#This Row],[Quantity]]</f>
        <v>4200000</v>
      </c>
      <c r="M268" s="12">
        <f>Sales_Data[[#This Row],[Cost Price]]*Sales_Data[[#This Row],[Quantity]]</f>
        <v>3360000</v>
      </c>
      <c r="N268" s="12">
        <f>Sales_Data[[#This Row],[Revenue]]-Sales_Data[[#This Row],[COGS]]</f>
        <v>840000</v>
      </c>
    </row>
    <row r="269" spans="1:14">
      <c r="A269" s="1">
        <v>45943</v>
      </c>
      <c r="B269" t="s">
        <v>29</v>
      </c>
      <c r="C269" t="s">
        <v>32</v>
      </c>
      <c r="D269" t="s">
        <v>23</v>
      </c>
      <c r="E269" t="s">
        <v>14</v>
      </c>
      <c r="F269" t="s">
        <v>21</v>
      </c>
      <c r="G269" t="s">
        <v>22</v>
      </c>
      <c r="H269" s="12">
        <v>30000</v>
      </c>
      <c r="I269">
        <v>2</v>
      </c>
      <c r="J269" t="s">
        <v>37</v>
      </c>
      <c r="K269" s="12">
        <f t="shared" si="4"/>
        <v>24000</v>
      </c>
      <c r="L269" s="12">
        <f>Sales_Data[[#This Row],[Unit Price]]*Sales_Data[[#This Row],[Quantity]]</f>
        <v>60000</v>
      </c>
      <c r="M269" s="12">
        <f>Sales_Data[[#This Row],[Cost Price]]*Sales_Data[[#This Row],[Quantity]]</f>
        <v>48000</v>
      </c>
      <c r="N269" s="12">
        <f>Sales_Data[[#This Row],[Revenue]]-Sales_Data[[#This Row],[COGS]]</f>
        <v>12000</v>
      </c>
    </row>
    <row r="270" spans="1:14">
      <c r="A270" s="1">
        <v>45944</v>
      </c>
      <c r="B270" t="s">
        <v>18</v>
      </c>
      <c r="C270" t="s">
        <v>12</v>
      </c>
      <c r="D270" t="s">
        <v>23</v>
      </c>
      <c r="E270" t="s">
        <v>20</v>
      </c>
      <c r="F270" t="s">
        <v>36</v>
      </c>
      <c r="G270" t="s">
        <v>31</v>
      </c>
      <c r="H270" s="12">
        <v>150000</v>
      </c>
      <c r="I270">
        <v>5</v>
      </c>
      <c r="J270" t="s">
        <v>24</v>
      </c>
      <c r="K270" s="12">
        <f t="shared" si="4"/>
        <v>120000</v>
      </c>
      <c r="L270" s="12">
        <f>Sales_Data[[#This Row],[Unit Price]]*Sales_Data[[#This Row],[Quantity]]</f>
        <v>750000</v>
      </c>
      <c r="M270" s="12">
        <f>Sales_Data[[#This Row],[Cost Price]]*Sales_Data[[#This Row],[Quantity]]</f>
        <v>600000</v>
      </c>
      <c r="N270" s="12">
        <f>Sales_Data[[#This Row],[Revenue]]-Sales_Data[[#This Row],[COGS]]</f>
        <v>150000</v>
      </c>
    </row>
    <row r="271" spans="1:14">
      <c r="A271" s="1">
        <v>45945</v>
      </c>
      <c r="B271" t="s">
        <v>25</v>
      </c>
      <c r="C271" t="s">
        <v>32</v>
      </c>
      <c r="D271" t="s">
        <v>13</v>
      </c>
      <c r="E271" t="s">
        <v>20</v>
      </c>
      <c r="F271" t="s">
        <v>36</v>
      </c>
      <c r="G271" t="s">
        <v>31</v>
      </c>
      <c r="H271" s="12">
        <v>150000</v>
      </c>
      <c r="I271">
        <v>10</v>
      </c>
      <c r="J271" t="s">
        <v>37</v>
      </c>
      <c r="K271" s="12">
        <f t="shared" si="4"/>
        <v>120000</v>
      </c>
      <c r="L271" s="12">
        <f>Sales_Data[[#This Row],[Unit Price]]*Sales_Data[[#This Row],[Quantity]]</f>
        <v>1500000</v>
      </c>
      <c r="M271" s="12">
        <f>Sales_Data[[#This Row],[Cost Price]]*Sales_Data[[#This Row],[Quantity]]</f>
        <v>1200000</v>
      </c>
      <c r="N271" s="12">
        <f>Sales_Data[[#This Row],[Revenue]]-Sales_Data[[#This Row],[COGS]]</f>
        <v>300000</v>
      </c>
    </row>
    <row r="272" spans="1:14">
      <c r="A272" s="1">
        <v>45946</v>
      </c>
      <c r="B272" t="s">
        <v>11</v>
      </c>
      <c r="C272" t="s">
        <v>32</v>
      </c>
      <c r="D272" t="s">
        <v>23</v>
      </c>
      <c r="E272" t="s">
        <v>14</v>
      </c>
      <c r="F272" t="s">
        <v>33</v>
      </c>
      <c r="G272" t="s">
        <v>22</v>
      </c>
      <c r="H272" s="12">
        <v>180000</v>
      </c>
      <c r="I272">
        <v>3</v>
      </c>
      <c r="J272" t="s">
        <v>24</v>
      </c>
      <c r="K272" s="12">
        <f t="shared" si="4"/>
        <v>144000</v>
      </c>
      <c r="L272" s="12">
        <f>Sales_Data[[#This Row],[Unit Price]]*Sales_Data[[#This Row],[Quantity]]</f>
        <v>540000</v>
      </c>
      <c r="M272" s="12">
        <f>Sales_Data[[#This Row],[Cost Price]]*Sales_Data[[#This Row],[Quantity]]</f>
        <v>432000</v>
      </c>
      <c r="N272" s="12">
        <f>Sales_Data[[#This Row],[Revenue]]-Sales_Data[[#This Row],[COGS]]</f>
        <v>108000</v>
      </c>
    </row>
    <row r="273" spans="1:14">
      <c r="A273" s="1">
        <v>45947</v>
      </c>
      <c r="B273" t="s">
        <v>18</v>
      </c>
      <c r="C273" t="s">
        <v>26</v>
      </c>
      <c r="D273" t="s">
        <v>23</v>
      </c>
      <c r="E273" t="s">
        <v>14</v>
      </c>
      <c r="F273" t="s">
        <v>21</v>
      </c>
      <c r="G273" t="s">
        <v>22</v>
      </c>
      <c r="H273" s="12">
        <v>30000</v>
      </c>
      <c r="I273">
        <v>10</v>
      </c>
      <c r="J273" t="s">
        <v>28</v>
      </c>
      <c r="K273" s="12">
        <f t="shared" si="4"/>
        <v>24000</v>
      </c>
      <c r="L273" s="12">
        <f>Sales_Data[[#This Row],[Unit Price]]*Sales_Data[[#This Row],[Quantity]]</f>
        <v>300000</v>
      </c>
      <c r="M273" s="12">
        <f>Sales_Data[[#This Row],[Cost Price]]*Sales_Data[[#This Row],[Quantity]]</f>
        <v>240000</v>
      </c>
      <c r="N273" s="12">
        <f>Sales_Data[[#This Row],[Revenue]]-Sales_Data[[#This Row],[COGS]]</f>
        <v>60000</v>
      </c>
    </row>
    <row r="274" spans="1:14">
      <c r="A274" s="1">
        <v>45948</v>
      </c>
      <c r="B274" t="s">
        <v>18</v>
      </c>
      <c r="C274" t="s">
        <v>12</v>
      </c>
      <c r="D274" t="s">
        <v>13</v>
      </c>
      <c r="E274" t="s">
        <v>14</v>
      </c>
      <c r="F274" t="s">
        <v>38</v>
      </c>
      <c r="G274" t="s">
        <v>31</v>
      </c>
      <c r="H274" s="12">
        <v>420000</v>
      </c>
      <c r="I274">
        <v>2</v>
      </c>
      <c r="J274" t="s">
        <v>28</v>
      </c>
      <c r="K274" s="12">
        <f t="shared" si="4"/>
        <v>336000</v>
      </c>
      <c r="L274" s="12">
        <f>Sales_Data[[#This Row],[Unit Price]]*Sales_Data[[#This Row],[Quantity]]</f>
        <v>840000</v>
      </c>
      <c r="M274" s="12">
        <f>Sales_Data[[#This Row],[Cost Price]]*Sales_Data[[#This Row],[Quantity]]</f>
        <v>672000</v>
      </c>
      <c r="N274" s="12">
        <f>Sales_Data[[#This Row],[Revenue]]-Sales_Data[[#This Row],[COGS]]</f>
        <v>168000</v>
      </c>
    </row>
    <row r="275" spans="1:14">
      <c r="A275" s="1">
        <v>45949</v>
      </c>
      <c r="B275" t="s">
        <v>25</v>
      </c>
      <c r="C275" t="s">
        <v>12</v>
      </c>
      <c r="D275" t="s">
        <v>23</v>
      </c>
      <c r="E275" t="s">
        <v>14</v>
      </c>
      <c r="F275" t="s">
        <v>34</v>
      </c>
      <c r="G275" t="s">
        <v>16</v>
      </c>
      <c r="H275" s="12">
        <v>320000</v>
      </c>
      <c r="I275">
        <v>1</v>
      </c>
      <c r="J275" t="s">
        <v>35</v>
      </c>
      <c r="K275" s="12">
        <f t="shared" si="4"/>
        <v>256000</v>
      </c>
      <c r="L275" s="12">
        <f>Sales_Data[[#This Row],[Unit Price]]*Sales_Data[[#This Row],[Quantity]]</f>
        <v>320000</v>
      </c>
      <c r="M275" s="12">
        <f>Sales_Data[[#This Row],[Cost Price]]*Sales_Data[[#This Row],[Quantity]]</f>
        <v>256000</v>
      </c>
      <c r="N275" s="12">
        <f>Sales_Data[[#This Row],[Revenue]]-Sales_Data[[#This Row],[COGS]]</f>
        <v>64000</v>
      </c>
    </row>
    <row r="276" spans="1:14">
      <c r="A276" s="1">
        <v>45950</v>
      </c>
      <c r="B276" t="s">
        <v>29</v>
      </c>
      <c r="C276" t="s">
        <v>19</v>
      </c>
      <c r="D276" t="s">
        <v>13</v>
      </c>
      <c r="E276" t="s">
        <v>14</v>
      </c>
      <c r="F276" t="s">
        <v>36</v>
      </c>
      <c r="G276" t="s">
        <v>31</v>
      </c>
      <c r="H276" s="12">
        <v>150000</v>
      </c>
      <c r="I276">
        <v>2</v>
      </c>
      <c r="J276" t="s">
        <v>28</v>
      </c>
      <c r="K276" s="12">
        <f t="shared" si="4"/>
        <v>120000</v>
      </c>
      <c r="L276" s="12">
        <f>Sales_Data[[#This Row],[Unit Price]]*Sales_Data[[#This Row],[Quantity]]</f>
        <v>300000</v>
      </c>
      <c r="M276" s="12">
        <f>Sales_Data[[#This Row],[Cost Price]]*Sales_Data[[#This Row],[Quantity]]</f>
        <v>240000</v>
      </c>
      <c r="N276" s="12">
        <f>Sales_Data[[#This Row],[Revenue]]-Sales_Data[[#This Row],[COGS]]</f>
        <v>60000</v>
      </c>
    </row>
    <row r="277" spans="1:14">
      <c r="A277" s="1">
        <v>45951</v>
      </c>
      <c r="B277" t="s">
        <v>18</v>
      </c>
      <c r="C277" t="s">
        <v>19</v>
      </c>
      <c r="D277" t="s">
        <v>23</v>
      </c>
      <c r="E277" t="s">
        <v>20</v>
      </c>
      <c r="F277" t="s">
        <v>21</v>
      </c>
      <c r="G277" t="s">
        <v>22</v>
      </c>
      <c r="H277" s="12">
        <v>30000</v>
      </c>
      <c r="I277">
        <v>9</v>
      </c>
      <c r="J277" t="s">
        <v>39</v>
      </c>
      <c r="K277" s="12">
        <f t="shared" si="4"/>
        <v>24000</v>
      </c>
      <c r="L277" s="12">
        <f>Sales_Data[[#This Row],[Unit Price]]*Sales_Data[[#This Row],[Quantity]]</f>
        <v>270000</v>
      </c>
      <c r="M277" s="12">
        <f>Sales_Data[[#This Row],[Cost Price]]*Sales_Data[[#This Row],[Quantity]]</f>
        <v>216000</v>
      </c>
      <c r="N277" s="12">
        <f>Sales_Data[[#This Row],[Revenue]]-Sales_Data[[#This Row],[COGS]]</f>
        <v>54000</v>
      </c>
    </row>
    <row r="278" spans="1:14">
      <c r="A278" s="1">
        <v>45952</v>
      </c>
      <c r="B278" t="s">
        <v>11</v>
      </c>
      <c r="C278" t="s">
        <v>19</v>
      </c>
      <c r="D278" t="s">
        <v>13</v>
      </c>
      <c r="E278" t="s">
        <v>14</v>
      </c>
      <c r="F278" t="s">
        <v>15</v>
      </c>
      <c r="G278" t="s">
        <v>16</v>
      </c>
      <c r="H278" s="12">
        <v>85000</v>
      </c>
      <c r="I278">
        <v>7</v>
      </c>
      <c r="J278" t="s">
        <v>35</v>
      </c>
      <c r="K278" s="12">
        <f t="shared" si="4"/>
        <v>68000</v>
      </c>
      <c r="L278" s="12">
        <f>Sales_Data[[#This Row],[Unit Price]]*Sales_Data[[#This Row],[Quantity]]</f>
        <v>595000</v>
      </c>
      <c r="M278" s="12">
        <f>Sales_Data[[#This Row],[Cost Price]]*Sales_Data[[#This Row],[Quantity]]</f>
        <v>476000</v>
      </c>
      <c r="N278" s="12">
        <f>Sales_Data[[#This Row],[Revenue]]-Sales_Data[[#This Row],[COGS]]</f>
        <v>119000</v>
      </c>
    </row>
    <row r="279" spans="1:14">
      <c r="A279" s="1">
        <v>45953</v>
      </c>
      <c r="B279" t="s">
        <v>29</v>
      </c>
      <c r="C279" t="s">
        <v>12</v>
      </c>
      <c r="D279" t="s">
        <v>23</v>
      </c>
      <c r="E279" t="s">
        <v>14</v>
      </c>
      <c r="F279" t="s">
        <v>36</v>
      </c>
      <c r="G279" t="s">
        <v>31</v>
      </c>
      <c r="H279" s="12">
        <v>150000</v>
      </c>
      <c r="I279">
        <v>5</v>
      </c>
      <c r="J279" t="s">
        <v>24</v>
      </c>
      <c r="K279" s="12">
        <f t="shared" si="4"/>
        <v>120000</v>
      </c>
      <c r="L279" s="12">
        <f>Sales_Data[[#This Row],[Unit Price]]*Sales_Data[[#This Row],[Quantity]]</f>
        <v>750000</v>
      </c>
      <c r="M279" s="12">
        <f>Sales_Data[[#This Row],[Cost Price]]*Sales_Data[[#This Row],[Quantity]]</f>
        <v>600000</v>
      </c>
      <c r="N279" s="12">
        <f>Sales_Data[[#This Row],[Revenue]]-Sales_Data[[#This Row],[COGS]]</f>
        <v>150000</v>
      </c>
    </row>
    <row r="280" spans="1:14">
      <c r="A280" s="1">
        <v>45954</v>
      </c>
      <c r="B280" t="s">
        <v>11</v>
      </c>
      <c r="C280" t="s">
        <v>26</v>
      </c>
      <c r="D280" t="s">
        <v>13</v>
      </c>
      <c r="E280" t="s">
        <v>20</v>
      </c>
      <c r="F280" t="s">
        <v>34</v>
      </c>
      <c r="G280" t="s">
        <v>16</v>
      </c>
      <c r="H280" s="12">
        <v>320000</v>
      </c>
      <c r="I280">
        <v>9</v>
      </c>
      <c r="J280" t="s">
        <v>17</v>
      </c>
      <c r="K280" s="12">
        <f t="shared" si="4"/>
        <v>256000</v>
      </c>
      <c r="L280" s="12">
        <f>Sales_Data[[#This Row],[Unit Price]]*Sales_Data[[#This Row],[Quantity]]</f>
        <v>2880000</v>
      </c>
      <c r="M280" s="12">
        <f>Sales_Data[[#This Row],[Cost Price]]*Sales_Data[[#This Row],[Quantity]]</f>
        <v>2304000</v>
      </c>
      <c r="N280" s="12">
        <f>Sales_Data[[#This Row],[Revenue]]-Sales_Data[[#This Row],[COGS]]</f>
        <v>576000</v>
      </c>
    </row>
    <row r="281" spans="1:14">
      <c r="A281" s="1">
        <v>45955</v>
      </c>
      <c r="B281" t="s">
        <v>29</v>
      </c>
      <c r="C281" t="s">
        <v>19</v>
      </c>
      <c r="D281" t="s">
        <v>13</v>
      </c>
      <c r="E281" t="s">
        <v>14</v>
      </c>
      <c r="F281" t="s">
        <v>34</v>
      </c>
      <c r="G281" t="s">
        <v>16</v>
      </c>
      <c r="H281" s="12">
        <v>320000</v>
      </c>
      <c r="I281">
        <v>10</v>
      </c>
      <c r="J281" t="s">
        <v>35</v>
      </c>
      <c r="K281" s="12">
        <f t="shared" si="4"/>
        <v>256000</v>
      </c>
      <c r="L281" s="12">
        <f>Sales_Data[[#This Row],[Unit Price]]*Sales_Data[[#This Row],[Quantity]]</f>
        <v>3200000</v>
      </c>
      <c r="M281" s="12">
        <f>Sales_Data[[#This Row],[Cost Price]]*Sales_Data[[#This Row],[Quantity]]</f>
        <v>2560000</v>
      </c>
      <c r="N281" s="12">
        <f>Sales_Data[[#This Row],[Revenue]]-Sales_Data[[#This Row],[COGS]]</f>
        <v>640000</v>
      </c>
    </row>
    <row r="282" spans="1:14">
      <c r="A282" s="1">
        <v>45956</v>
      </c>
      <c r="B282" t="s">
        <v>29</v>
      </c>
      <c r="C282" t="s">
        <v>26</v>
      </c>
      <c r="D282" t="s">
        <v>23</v>
      </c>
      <c r="E282" t="s">
        <v>14</v>
      </c>
      <c r="F282" t="s">
        <v>15</v>
      </c>
      <c r="G282" t="s">
        <v>16</v>
      </c>
      <c r="H282" s="12">
        <v>85000</v>
      </c>
      <c r="I282">
        <v>7</v>
      </c>
      <c r="J282" t="s">
        <v>35</v>
      </c>
      <c r="K282" s="12">
        <f t="shared" si="4"/>
        <v>68000</v>
      </c>
      <c r="L282" s="12">
        <f>Sales_Data[[#This Row],[Unit Price]]*Sales_Data[[#This Row],[Quantity]]</f>
        <v>595000</v>
      </c>
      <c r="M282" s="12">
        <f>Sales_Data[[#This Row],[Cost Price]]*Sales_Data[[#This Row],[Quantity]]</f>
        <v>476000</v>
      </c>
      <c r="N282" s="12">
        <f>Sales_Data[[#This Row],[Revenue]]-Sales_Data[[#This Row],[COGS]]</f>
        <v>119000</v>
      </c>
    </row>
    <row r="283" spans="1:14">
      <c r="A283" s="1">
        <v>45957</v>
      </c>
      <c r="B283" t="s">
        <v>25</v>
      </c>
      <c r="C283" t="s">
        <v>26</v>
      </c>
      <c r="D283" t="s">
        <v>13</v>
      </c>
      <c r="E283" t="s">
        <v>14</v>
      </c>
      <c r="F283" t="s">
        <v>27</v>
      </c>
      <c r="G283" t="s">
        <v>22</v>
      </c>
      <c r="H283" s="12">
        <v>60000</v>
      </c>
      <c r="I283">
        <v>4</v>
      </c>
      <c r="J283" t="s">
        <v>35</v>
      </c>
      <c r="K283" s="12">
        <f t="shared" si="4"/>
        <v>48000</v>
      </c>
      <c r="L283" s="12">
        <f>Sales_Data[[#This Row],[Unit Price]]*Sales_Data[[#This Row],[Quantity]]</f>
        <v>240000</v>
      </c>
      <c r="M283" s="12">
        <f>Sales_Data[[#This Row],[Cost Price]]*Sales_Data[[#This Row],[Quantity]]</f>
        <v>192000</v>
      </c>
      <c r="N283" s="12">
        <f>Sales_Data[[#This Row],[Revenue]]-Sales_Data[[#This Row],[COGS]]</f>
        <v>48000</v>
      </c>
    </row>
    <row r="284" spans="1:14">
      <c r="A284" s="1">
        <v>45958</v>
      </c>
      <c r="B284" t="s">
        <v>18</v>
      </c>
      <c r="C284" t="s">
        <v>26</v>
      </c>
      <c r="D284" t="s">
        <v>13</v>
      </c>
      <c r="E284" t="s">
        <v>20</v>
      </c>
      <c r="F284" t="s">
        <v>27</v>
      </c>
      <c r="G284" t="s">
        <v>22</v>
      </c>
      <c r="H284" s="12">
        <v>60000</v>
      </c>
      <c r="I284">
        <v>7</v>
      </c>
      <c r="J284" t="s">
        <v>24</v>
      </c>
      <c r="K284" s="12">
        <f t="shared" si="4"/>
        <v>48000</v>
      </c>
      <c r="L284" s="12">
        <f>Sales_Data[[#This Row],[Unit Price]]*Sales_Data[[#This Row],[Quantity]]</f>
        <v>420000</v>
      </c>
      <c r="M284" s="12">
        <f>Sales_Data[[#This Row],[Cost Price]]*Sales_Data[[#This Row],[Quantity]]</f>
        <v>336000</v>
      </c>
      <c r="N284" s="12">
        <f>Sales_Data[[#This Row],[Revenue]]-Sales_Data[[#This Row],[COGS]]</f>
        <v>84000</v>
      </c>
    </row>
    <row r="285" spans="1:14">
      <c r="A285" s="1">
        <v>45959</v>
      </c>
      <c r="B285" t="s">
        <v>25</v>
      </c>
      <c r="C285" t="s">
        <v>19</v>
      </c>
      <c r="D285" t="s">
        <v>23</v>
      </c>
      <c r="E285" t="s">
        <v>14</v>
      </c>
      <c r="F285" t="s">
        <v>36</v>
      </c>
      <c r="G285" t="s">
        <v>31</v>
      </c>
      <c r="H285" s="12">
        <v>150000</v>
      </c>
      <c r="I285">
        <v>7</v>
      </c>
      <c r="J285" t="s">
        <v>39</v>
      </c>
      <c r="K285" s="12">
        <f t="shared" si="4"/>
        <v>120000</v>
      </c>
      <c r="L285" s="12">
        <f>Sales_Data[[#This Row],[Unit Price]]*Sales_Data[[#This Row],[Quantity]]</f>
        <v>1050000</v>
      </c>
      <c r="M285" s="12">
        <f>Sales_Data[[#This Row],[Cost Price]]*Sales_Data[[#This Row],[Quantity]]</f>
        <v>840000</v>
      </c>
      <c r="N285" s="12">
        <f>Sales_Data[[#This Row],[Revenue]]-Sales_Data[[#This Row],[COGS]]</f>
        <v>210000</v>
      </c>
    </row>
    <row r="286" spans="1:14">
      <c r="A286" s="1">
        <v>45960</v>
      </c>
      <c r="B286" t="s">
        <v>11</v>
      </c>
      <c r="C286" t="s">
        <v>19</v>
      </c>
      <c r="D286" t="s">
        <v>13</v>
      </c>
      <c r="E286" t="s">
        <v>14</v>
      </c>
      <c r="F286" t="s">
        <v>15</v>
      </c>
      <c r="G286" t="s">
        <v>16</v>
      </c>
      <c r="H286" s="12">
        <v>85000</v>
      </c>
      <c r="I286">
        <v>3</v>
      </c>
      <c r="J286" t="s">
        <v>24</v>
      </c>
      <c r="K286" s="12">
        <f t="shared" si="4"/>
        <v>68000</v>
      </c>
      <c r="L286" s="12">
        <f>Sales_Data[[#This Row],[Unit Price]]*Sales_Data[[#This Row],[Quantity]]</f>
        <v>255000</v>
      </c>
      <c r="M286" s="12">
        <f>Sales_Data[[#This Row],[Cost Price]]*Sales_Data[[#This Row],[Quantity]]</f>
        <v>204000</v>
      </c>
      <c r="N286" s="12">
        <f>Sales_Data[[#This Row],[Revenue]]-Sales_Data[[#This Row],[COGS]]</f>
        <v>51000</v>
      </c>
    </row>
    <row r="287" spans="1:14">
      <c r="A287" s="1">
        <v>45961</v>
      </c>
      <c r="B287" t="s">
        <v>25</v>
      </c>
      <c r="C287" t="s">
        <v>32</v>
      </c>
      <c r="D287" t="s">
        <v>13</v>
      </c>
      <c r="E287" t="s">
        <v>14</v>
      </c>
      <c r="F287" t="s">
        <v>15</v>
      </c>
      <c r="G287" t="s">
        <v>16</v>
      </c>
      <c r="H287" s="12">
        <v>85000</v>
      </c>
      <c r="I287">
        <v>10</v>
      </c>
      <c r="J287" t="s">
        <v>28</v>
      </c>
      <c r="K287" s="12">
        <f t="shared" si="4"/>
        <v>68000</v>
      </c>
      <c r="L287" s="12">
        <f>Sales_Data[[#This Row],[Unit Price]]*Sales_Data[[#This Row],[Quantity]]</f>
        <v>850000</v>
      </c>
      <c r="M287" s="12">
        <f>Sales_Data[[#This Row],[Cost Price]]*Sales_Data[[#This Row],[Quantity]]</f>
        <v>680000</v>
      </c>
      <c r="N287" s="12">
        <f>Sales_Data[[#This Row],[Revenue]]-Sales_Data[[#This Row],[COGS]]</f>
        <v>170000</v>
      </c>
    </row>
    <row r="288" spans="1:14">
      <c r="A288" s="1">
        <v>45962</v>
      </c>
      <c r="B288" t="s">
        <v>18</v>
      </c>
      <c r="C288" t="s">
        <v>19</v>
      </c>
      <c r="D288" t="s">
        <v>23</v>
      </c>
      <c r="E288" t="s">
        <v>20</v>
      </c>
      <c r="F288" t="s">
        <v>30</v>
      </c>
      <c r="G288" t="s">
        <v>31</v>
      </c>
      <c r="H288" s="12">
        <v>300000</v>
      </c>
      <c r="I288">
        <v>10</v>
      </c>
      <c r="J288" t="s">
        <v>24</v>
      </c>
      <c r="K288" s="12">
        <f t="shared" si="4"/>
        <v>240000</v>
      </c>
      <c r="L288" s="12">
        <f>Sales_Data[[#This Row],[Unit Price]]*Sales_Data[[#This Row],[Quantity]]</f>
        <v>3000000</v>
      </c>
      <c r="M288" s="12">
        <f>Sales_Data[[#This Row],[Cost Price]]*Sales_Data[[#This Row],[Quantity]]</f>
        <v>2400000</v>
      </c>
      <c r="N288" s="12">
        <f>Sales_Data[[#This Row],[Revenue]]-Sales_Data[[#This Row],[COGS]]</f>
        <v>600000</v>
      </c>
    </row>
    <row r="289" spans="1:14">
      <c r="A289" s="1">
        <v>45963</v>
      </c>
      <c r="B289" t="s">
        <v>25</v>
      </c>
      <c r="C289" t="s">
        <v>32</v>
      </c>
      <c r="D289" t="s">
        <v>13</v>
      </c>
      <c r="E289" t="s">
        <v>20</v>
      </c>
      <c r="F289" t="s">
        <v>27</v>
      </c>
      <c r="G289" t="s">
        <v>22</v>
      </c>
      <c r="H289" s="12">
        <v>60000</v>
      </c>
      <c r="I289">
        <v>3</v>
      </c>
      <c r="J289" t="s">
        <v>17</v>
      </c>
      <c r="K289" s="12">
        <f t="shared" si="4"/>
        <v>48000</v>
      </c>
      <c r="L289" s="12">
        <f>Sales_Data[[#This Row],[Unit Price]]*Sales_Data[[#This Row],[Quantity]]</f>
        <v>180000</v>
      </c>
      <c r="M289" s="12">
        <f>Sales_Data[[#This Row],[Cost Price]]*Sales_Data[[#This Row],[Quantity]]</f>
        <v>144000</v>
      </c>
      <c r="N289" s="12">
        <f>Sales_Data[[#This Row],[Revenue]]-Sales_Data[[#This Row],[COGS]]</f>
        <v>36000</v>
      </c>
    </row>
    <row r="290" spans="1:14">
      <c r="A290" s="1">
        <v>45964</v>
      </c>
      <c r="B290" t="s">
        <v>18</v>
      </c>
      <c r="C290" t="s">
        <v>12</v>
      </c>
      <c r="D290" t="s">
        <v>23</v>
      </c>
      <c r="E290" t="s">
        <v>14</v>
      </c>
      <c r="F290" t="s">
        <v>27</v>
      </c>
      <c r="G290" t="s">
        <v>22</v>
      </c>
      <c r="H290" s="12">
        <v>60000</v>
      </c>
      <c r="I290">
        <v>3</v>
      </c>
      <c r="J290" t="s">
        <v>24</v>
      </c>
      <c r="K290" s="12">
        <f t="shared" si="4"/>
        <v>48000</v>
      </c>
      <c r="L290" s="12">
        <f>Sales_Data[[#This Row],[Unit Price]]*Sales_Data[[#This Row],[Quantity]]</f>
        <v>180000</v>
      </c>
      <c r="M290" s="12">
        <f>Sales_Data[[#This Row],[Cost Price]]*Sales_Data[[#This Row],[Quantity]]</f>
        <v>144000</v>
      </c>
      <c r="N290" s="12">
        <f>Sales_Data[[#This Row],[Revenue]]-Sales_Data[[#This Row],[COGS]]</f>
        <v>36000</v>
      </c>
    </row>
    <row r="291" spans="1:14">
      <c r="A291" s="1">
        <v>45965</v>
      </c>
      <c r="B291" t="s">
        <v>11</v>
      </c>
      <c r="C291" t="s">
        <v>19</v>
      </c>
      <c r="D291" t="s">
        <v>13</v>
      </c>
      <c r="E291" t="s">
        <v>14</v>
      </c>
      <c r="F291" t="s">
        <v>15</v>
      </c>
      <c r="G291" t="s">
        <v>16</v>
      </c>
      <c r="H291" s="12">
        <v>85000</v>
      </c>
      <c r="I291">
        <v>6</v>
      </c>
      <c r="J291" t="s">
        <v>24</v>
      </c>
      <c r="K291" s="12">
        <f t="shared" si="4"/>
        <v>68000</v>
      </c>
      <c r="L291" s="12">
        <f>Sales_Data[[#This Row],[Unit Price]]*Sales_Data[[#This Row],[Quantity]]</f>
        <v>510000</v>
      </c>
      <c r="M291" s="12">
        <f>Sales_Data[[#This Row],[Cost Price]]*Sales_Data[[#This Row],[Quantity]]</f>
        <v>408000</v>
      </c>
      <c r="N291" s="12">
        <f>Sales_Data[[#This Row],[Revenue]]-Sales_Data[[#This Row],[COGS]]</f>
        <v>102000</v>
      </c>
    </row>
    <row r="292" spans="1:14">
      <c r="A292" s="1">
        <v>45966</v>
      </c>
      <c r="B292" t="s">
        <v>18</v>
      </c>
      <c r="C292" t="s">
        <v>26</v>
      </c>
      <c r="D292" t="s">
        <v>23</v>
      </c>
      <c r="E292" t="s">
        <v>20</v>
      </c>
      <c r="F292" t="s">
        <v>38</v>
      </c>
      <c r="G292" t="s">
        <v>31</v>
      </c>
      <c r="H292" s="12">
        <v>420000</v>
      </c>
      <c r="I292">
        <v>2</v>
      </c>
      <c r="J292" t="s">
        <v>37</v>
      </c>
      <c r="K292" s="12">
        <f t="shared" si="4"/>
        <v>336000</v>
      </c>
      <c r="L292" s="12">
        <f>Sales_Data[[#This Row],[Unit Price]]*Sales_Data[[#This Row],[Quantity]]</f>
        <v>840000</v>
      </c>
      <c r="M292" s="12">
        <f>Sales_Data[[#This Row],[Cost Price]]*Sales_Data[[#This Row],[Quantity]]</f>
        <v>672000</v>
      </c>
      <c r="N292" s="12">
        <f>Sales_Data[[#This Row],[Revenue]]-Sales_Data[[#This Row],[COGS]]</f>
        <v>168000</v>
      </c>
    </row>
    <row r="293" spans="1:14">
      <c r="A293" s="1">
        <v>45967</v>
      </c>
      <c r="B293" t="s">
        <v>29</v>
      </c>
      <c r="C293" t="s">
        <v>32</v>
      </c>
      <c r="D293" t="s">
        <v>13</v>
      </c>
      <c r="E293" t="s">
        <v>20</v>
      </c>
      <c r="F293" t="s">
        <v>40</v>
      </c>
      <c r="G293" t="s">
        <v>31</v>
      </c>
      <c r="H293" s="12">
        <v>250000</v>
      </c>
      <c r="I293">
        <v>6</v>
      </c>
      <c r="J293" t="s">
        <v>39</v>
      </c>
      <c r="K293" s="12">
        <f t="shared" si="4"/>
        <v>200000</v>
      </c>
      <c r="L293" s="12">
        <f>Sales_Data[[#This Row],[Unit Price]]*Sales_Data[[#This Row],[Quantity]]</f>
        <v>1500000</v>
      </c>
      <c r="M293" s="12">
        <f>Sales_Data[[#This Row],[Cost Price]]*Sales_Data[[#This Row],[Quantity]]</f>
        <v>1200000</v>
      </c>
      <c r="N293" s="12">
        <f>Sales_Data[[#This Row],[Revenue]]-Sales_Data[[#This Row],[COGS]]</f>
        <v>300000</v>
      </c>
    </row>
    <row r="294" spans="1:14">
      <c r="A294" s="1">
        <v>45968</v>
      </c>
      <c r="B294" t="s">
        <v>29</v>
      </c>
      <c r="C294" t="s">
        <v>12</v>
      </c>
      <c r="D294" t="s">
        <v>13</v>
      </c>
      <c r="E294" t="s">
        <v>14</v>
      </c>
      <c r="F294" t="s">
        <v>36</v>
      </c>
      <c r="G294" t="s">
        <v>31</v>
      </c>
      <c r="H294" s="12">
        <v>150000</v>
      </c>
      <c r="I294">
        <v>8</v>
      </c>
      <c r="J294" t="s">
        <v>24</v>
      </c>
      <c r="K294" s="12">
        <f t="shared" si="4"/>
        <v>120000</v>
      </c>
      <c r="L294" s="12">
        <f>Sales_Data[[#This Row],[Unit Price]]*Sales_Data[[#This Row],[Quantity]]</f>
        <v>1200000</v>
      </c>
      <c r="M294" s="12">
        <f>Sales_Data[[#This Row],[Cost Price]]*Sales_Data[[#This Row],[Quantity]]</f>
        <v>960000</v>
      </c>
      <c r="N294" s="12">
        <f>Sales_Data[[#This Row],[Revenue]]-Sales_Data[[#This Row],[COGS]]</f>
        <v>240000</v>
      </c>
    </row>
    <row r="295" spans="1:14">
      <c r="A295" s="1">
        <v>45969</v>
      </c>
      <c r="B295" t="s">
        <v>18</v>
      </c>
      <c r="C295" t="s">
        <v>26</v>
      </c>
      <c r="D295" t="s">
        <v>23</v>
      </c>
      <c r="E295" t="s">
        <v>14</v>
      </c>
      <c r="F295" t="s">
        <v>36</v>
      </c>
      <c r="G295" t="s">
        <v>31</v>
      </c>
      <c r="H295" s="12">
        <v>150000</v>
      </c>
      <c r="I295">
        <v>10</v>
      </c>
      <c r="J295" t="s">
        <v>24</v>
      </c>
      <c r="K295" s="12">
        <f t="shared" si="4"/>
        <v>120000</v>
      </c>
      <c r="L295" s="12">
        <f>Sales_Data[[#This Row],[Unit Price]]*Sales_Data[[#This Row],[Quantity]]</f>
        <v>1500000</v>
      </c>
      <c r="M295" s="12">
        <f>Sales_Data[[#This Row],[Cost Price]]*Sales_Data[[#This Row],[Quantity]]</f>
        <v>1200000</v>
      </c>
      <c r="N295" s="12">
        <f>Sales_Data[[#This Row],[Revenue]]-Sales_Data[[#This Row],[COGS]]</f>
        <v>300000</v>
      </c>
    </row>
    <row r="296" spans="1:14">
      <c r="A296" s="1">
        <v>45970</v>
      </c>
      <c r="B296" t="s">
        <v>18</v>
      </c>
      <c r="C296" t="s">
        <v>26</v>
      </c>
      <c r="D296" t="s">
        <v>13</v>
      </c>
      <c r="E296" t="s">
        <v>14</v>
      </c>
      <c r="F296" t="s">
        <v>40</v>
      </c>
      <c r="G296" t="s">
        <v>31</v>
      </c>
      <c r="H296" s="12">
        <v>250000</v>
      </c>
      <c r="I296">
        <v>5</v>
      </c>
      <c r="J296" t="s">
        <v>39</v>
      </c>
      <c r="K296" s="12">
        <f t="shared" si="4"/>
        <v>200000</v>
      </c>
      <c r="L296" s="12">
        <f>Sales_Data[[#This Row],[Unit Price]]*Sales_Data[[#This Row],[Quantity]]</f>
        <v>1250000</v>
      </c>
      <c r="M296" s="12">
        <f>Sales_Data[[#This Row],[Cost Price]]*Sales_Data[[#This Row],[Quantity]]</f>
        <v>1000000</v>
      </c>
      <c r="N296" s="12">
        <f>Sales_Data[[#This Row],[Revenue]]-Sales_Data[[#This Row],[COGS]]</f>
        <v>250000</v>
      </c>
    </row>
    <row r="297" spans="1:14">
      <c r="A297" s="1">
        <v>45971</v>
      </c>
      <c r="B297" t="s">
        <v>11</v>
      </c>
      <c r="C297" t="s">
        <v>26</v>
      </c>
      <c r="D297" t="s">
        <v>13</v>
      </c>
      <c r="E297" t="s">
        <v>20</v>
      </c>
      <c r="F297" t="s">
        <v>34</v>
      </c>
      <c r="G297" t="s">
        <v>16</v>
      </c>
      <c r="H297" s="12">
        <v>320000</v>
      </c>
      <c r="I297">
        <v>9</v>
      </c>
      <c r="J297" t="s">
        <v>17</v>
      </c>
      <c r="K297" s="12">
        <f t="shared" si="4"/>
        <v>256000</v>
      </c>
      <c r="L297" s="12">
        <f>Sales_Data[[#This Row],[Unit Price]]*Sales_Data[[#This Row],[Quantity]]</f>
        <v>2880000</v>
      </c>
      <c r="M297" s="12">
        <f>Sales_Data[[#This Row],[Cost Price]]*Sales_Data[[#This Row],[Quantity]]</f>
        <v>2304000</v>
      </c>
      <c r="N297" s="12">
        <f>Sales_Data[[#This Row],[Revenue]]-Sales_Data[[#This Row],[COGS]]</f>
        <v>576000</v>
      </c>
    </row>
    <row r="298" spans="1:14">
      <c r="A298" s="1">
        <v>45972</v>
      </c>
      <c r="B298" t="s">
        <v>11</v>
      </c>
      <c r="C298" t="s">
        <v>12</v>
      </c>
      <c r="D298" t="s">
        <v>23</v>
      </c>
      <c r="E298" t="s">
        <v>20</v>
      </c>
      <c r="F298" t="s">
        <v>33</v>
      </c>
      <c r="G298" t="s">
        <v>22</v>
      </c>
      <c r="H298" s="12">
        <v>180000</v>
      </c>
      <c r="I298">
        <v>10</v>
      </c>
      <c r="J298" t="s">
        <v>39</v>
      </c>
      <c r="K298" s="12">
        <f t="shared" si="4"/>
        <v>144000</v>
      </c>
      <c r="L298" s="12">
        <f>Sales_Data[[#This Row],[Unit Price]]*Sales_Data[[#This Row],[Quantity]]</f>
        <v>1800000</v>
      </c>
      <c r="M298" s="12">
        <f>Sales_Data[[#This Row],[Cost Price]]*Sales_Data[[#This Row],[Quantity]]</f>
        <v>1440000</v>
      </c>
      <c r="N298" s="12">
        <f>Sales_Data[[#This Row],[Revenue]]-Sales_Data[[#This Row],[COGS]]</f>
        <v>360000</v>
      </c>
    </row>
    <row r="299" spans="1:14">
      <c r="A299" s="1">
        <v>45973</v>
      </c>
      <c r="B299" t="s">
        <v>11</v>
      </c>
      <c r="C299" t="s">
        <v>26</v>
      </c>
      <c r="D299" t="s">
        <v>23</v>
      </c>
      <c r="E299" t="s">
        <v>20</v>
      </c>
      <c r="F299" t="s">
        <v>27</v>
      </c>
      <c r="G299" t="s">
        <v>22</v>
      </c>
      <c r="H299" s="12">
        <v>60000</v>
      </c>
      <c r="I299">
        <v>6</v>
      </c>
      <c r="J299" t="s">
        <v>37</v>
      </c>
      <c r="K299" s="12">
        <f t="shared" si="4"/>
        <v>48000</v>
      </c>
      <c r="L299" s="12">
        <f>Sales_Data[[#This Row],[Unit Price]]*Sales_Data[[#This Row],[Quantity]]</f>
        <v>360000</v>
      </c>
      <c r="M299" s="12">
        <f>Sales_Data[[#This Row],[Cost Price]]*Sales_Data[[#This Row],[Quantity]]</f>
        <v>288000</v>
      </c>
      <c r="N299" s="12">
        <f>Sales_Data[[#This Row],[Revenue]]-Sales_Data[[#This Row],[COGS]]</f>
        <v>72000</v>
      </c>
    </row>
    <row r="300" spans="1:14">
      <c r="A300" s="1">
        <v>45974</v>
      </c>
      <c r="B300" t="s">
        <v>11</v>
      </c>
      <c r="C300" t="s">
        <v>26</v>
      </c>
      <c r="D300" t="s">
        <v>23</v>
      </c>
      <c r="E300" t="s">
        <v>14</v>
      </c>
      <c r="F300" t="s">
        <v>36</v>
      </c>
      <c r="G300" t="s">
        <v>31</v>
      </c>
      <c r="H300" s="12">
        <v>150000</v>
      </c>
      <c r="I300">
        <v>10</v>
      </c>
      <c r="J300" t="s">
        <v>28</v>
      </c>
      <c r="K300" s="12">
        <f t="shared" si="4"/>
        <v>120000</v>
      </c>
      <c r="L300" s="12">
        <f>Sales_Data[[#This Row],[Unit Price]]*Sales_Data[[#This Row],[Quantity]]</f>
        <v>1500000</v>
      </c>
      <c r="M300" s="12">
        <f>Sales_Data[[#This Row],[Cost Price]]*Sales_Data[[#This Row],[Quantity]]</f>
        <v>1200000</v>
      </c>
      <c r="N300" s="12">
        <f>Sales_Data[[#This Row],[Revenue]]-Sales_Data[[#This Row],[COGS]]</f>
        <v>300000</v>
      </c>
    </row>
    <row r="301" spans="1:14">
      <c r="A301" s="1">
        <v>45975</v>
      </c>
      <c r="B301" t="s">
        <v>18</v>
      </c>
      <c r="C301" t="s">
        <v>12</v>
      </c>
      <c r="D301" t="s">
        <v>13</v>
      </c>
      <c r="E301" t="s">
        <v>14</v>
      </c>
      <c r="F301" t="s">
        <v>40</v>
      </c>
      <c r="G301" t="s">
        <v>31</v>
      </c>
      <c r="H301" s="12">
        <v>250000</v>
      </c>
      <c r="I301">
        <v>5</v>
      </c>
      <c r="J301" t="s">
        <v>37</v>
      </c>
      <c r="K301" s="12">
        <f t="shared" si="4"/>
        <v>200000</v>
      </c>
      <c r="L301" s="12">
        <f>Sales_Data[[#This Row],[Unit Price]]*Sales_Data[[#This Row],[Quantity]]</f>
        <v>1250000</v>
      </c>
      <c r="M301" s="12">
        <f>Sales_Data[[#This Row],[Cost Price]]*Sales_Data[[#This Row],[Quantity]]</f>
        <v>1000000</v>
      </c>
      <c r="N301" s="12">
        <f>Sales_Data[[#This Row],[Revenue]]-Sales_Data[[#This Row],[COGS]]</f>
        <v>250000</v>
      </c>
    </row>
    <row r="302" spans="1:14">
      <c r="A302" s="1">
        <v>45976</v>
      </c>
      <c r="B302" t="s">
        <v>11</v>
      </c>
      <c r="C302" t="s">
        <v>26</v>
      </c>
      <c r="D302" t="s">
        <v>13</v>
      </c>
      <c r="E302" t="s">
        <v>14</v>
      </c>
      <c r="F302" t="s">
        <v>33</v>
      </c>
      <c r="G302" t="s">
        <v>22</v>
      </c>
      <c r="H302" s="12">
        <v>180000</v>
      </c>
      <c r="I302">
        <v>3</v>
      </c>
      <c r="J302" t="s">
        <v>17</v>
      </c>
      <c r="K302" s="12">
        <f t="shared" si="4"/>
        <v>144000</v>
      </c>
      <c r="L302" s="12">
        <f>Sales_Data[[#This Row],[Unit Price]]*Sales_Data[[#This Row],[Quantity]]</f>
        <v>540000</v>
      </c>
      <c r="M302" s="12">
        <f>Sales_Data[[#This Row],[Cost Price]]*Sales_Data[[#This Row],[Quantity]]</f>
        <v>432000</v>
      </c>
      <c r="N302" s="12">
        <f>Sales_Data[[#This Row],[Revenue]]-Sales_Data[[#This Row],[COGS]]</f>
        <v>108000</v>
      </c>
    </row>
    <row r="303" spans="1:14">
      <c r="A303" s="1">
        <v>45977</v>
      </c>
      <c r="B303" t="s">
        <v>11</v>
      </c>
      <c r="C303" t="s">
        <v>26</v>
      </c>
      <c r="D303" t="s">
        <v>23</v>
      </c>
      <c r="E303" t="s">
        <v>20</v>
      </c>
      <c r="F303" t="s">
        <v>34</v>
      </c>
      <c r="G303" t="s">
        <v>16</v>
      </c>
      <c r="H303" s="12">
        <v>320000</v>
      </c>
      <c r="I303">
        <v>5</v>
      </c>
      <c r="J303" t="s">
        <v>37</v>
      </c>
      <c r="K303" s="12">
        <f t="shared" si="4"/>
        <v>256000</v>
      </c>
      <c r="L303" s="12">
        <f>Sales_Data[[#This Row],[Unit Price]]*Sales_Data[[#This Row],[Quantity]]</f>
        <v>1600000</v>
      </c>
      <c r="M303" s="12">
        <f>Sales_Data[[#This Row],[Cost Price]]*Sales_Data[[#This Row],[Quantity]]</f>
        <v>1280000</v>
      </c>
      <c r="N303" s="12">
        <f>Sales_Data[[#This Row],[Revenue]]-Sales_Data[[#This Row],[COGS]]</f>
        <v>320000</v>
      </c>
    </row>
    <row r="304" spans="1:14">
      <c r="A304" s="1">
        <v>45978</v>
      </c>
      <c r="B304" t="s">
        <v>25</v>
      </c>
      <c r="C304" t="s">
        <v>12</v>
      </c>
      <c r="D304" t="s">
        <v>13</v>
      </c>
      <c r="E304" t="s">
        <v>20</v>
      </c>
      <c r="F304" t="s">
        <v>34</v>
      </c>
      <c r="G304" t="s">
        <v>16</v>
      </c>
      <c r="H304" s="12">
        <v>320000</v>
      </c>
      <c r="I304">
        <v>10</v>
      </c>
      <c r="J304" t="s">
        <v>24</v>
      </c>
      <c r="K304" s="12">
        <f t="shared" si="4"/>
        <v>256000</v>
      </c>
      <c r="L304" s="12">
        <f>Sales_Data[[#This Row],[Unit Price]]*Sales_Data[[#This Row],[Quantity]]</f>
        <v>3200000</v>
      </c>
      <c r="M304" s="12">
        <f>Sales_Data[[#This Row],[Cost Price]]*Sales_Data[[#This Row],[Quantity]]</f>
        <v>2560000</v>
      </c>
      <c r="N304" s="12">
        <f>Sales_Data[[#This Row],[Revenue]]-Sales_Data[[#This Row],[COGS]]</f>
        <v>640000</v>
      </c>
    </row>
    <row r="305" spans="1:14">
      <c r="A305" s="1">
        <v>45979</v>
      </c>
      <c r="B305" t="s">
        <v>18</v>
      </c>
      <c r="C305" t="s">
        <v>12</v>
      </c>
      <c r="D305" t="s">
        <v>23</v>
      </c>
      <c r="E305" t="s">
        <v>14</v>
      </c>
      <c r="F305" t="s">
        <v>21</v>
      </c>
      <c r="G305" t="s">
        <v>22</v>
      </c>
      <c r="H305" s="12">
        <v>30000</v>
      </c>
      <c r="I305">
        <v>5</v>
      </c>
      <c r="J305" t="s">
        <v>17</v>
      </c>
      <c r="K305" s="12">
        <f t="shared" si="4"/>
        <v>24000</v>
      </c>
      <c r="L305" s="12">
        <f>Sales_Data[[#This Row],[Unit Price]]*Sales_Data[[#This Row],[Quantity]]</f>
        <v>150000</v>
      </c>
      <c r="M305" s="12">
        <f>Sales_Data[[#This Row],[Cost Price]]*Sales_Data[[#This Row],[Quantity]]</f>
        <v>120000</v>
      </c>
      <c r="N305" s="12">
        <f>Sales_Data[[#This Row],[Revenue]]-Sales_Data[[#This Row],[COGS]]</f>
        <v>30000</v>
      </c>
    </row>
    <row r="306" spans="1:14">
      <c r="A306" s="1">
        <v>45980</v>
      </c>
      <c r="B306" t="s">
        <v>29</v>
      </c>
      <c r="C306" t="s">
        <v>12</v>
      </c>
      <c r="D306" t="s">
        <v>23</v>
      </c>
      <c r="E306" t="s">
        <v>20</v>
      </c>
      <c r="F306" t="s">
        <v>38</v>
      </c>
      <c r="G306" t="s">
        <v>31</v>
      </c>
      <c r="H306" s="12">
        <v>420000</v>
      </c>
      <c r="I306">
        <v>3</v>
      </c>
      <c r="J306" t="s">
        <v>17</v>
      </c>
      <c r="K306" s="12">
        <f t="shared" si="4"/>
        <v>336000</v>
      </c>
      <c r="L306" s="12">
        <f>Sales_Data[[#This Row],[Unit Price]]*Sales_Data[[#This Row],[Quantity]]</f>
        <v>1260000</v>
      </c>
      <c r="M306" s="12">
        <f>Sales_Data[[#This Row],[Cost Price]]*Sales_Data[[#This Row],[Quantity]]</f>
        <v>1008000</v>
      </c>
      <c r="N306" s="12">
        <f>Sales_Data[[#This Row],[Revenue]]-Sales_Data[[#This Row],[COGS]]</f>
        <v>252000</v>
      </c>
    </row>
    <row r="307" spans="1:14">
      <c r="A307" s="1">
        <v>45981</v>
      </c>
      <c r="B307" t="s">
        <v>18</v>
      </c>
      <c r="C307" t="s">
        <v>26</v>
      </c>
      <c r="D307" t="s">
        <v>13</v>
      </c>
      <c r="E307" t="s">
        <v>14</v>
      </c>
      <c r="F307" t="s">
        <v>21</v>
      </c>
      <c r="G307" t="s">
        <v>22</v>
      </c>
      <c r="H307" s="12">
        <v>30000</v>
      </c>
      <c r="I307">
        <v>4</v>
      </c>
      <c r="J307" t="s">
        <v>35</v>
      </c>
      <c r="K307" s="12">
        <f t="shared" si="4"/>
        <v>24000</v>
      </c>
      <c r="L307" s="12">
        <f>Sales_Data[[#This Row],[Unit Price]]*Sales_Data[[#This Row],[Quantity]]</f>
        <v>120000</v>
      </c>
      <c r="M307" s="12">
        <f>Sales_Data[[#This Row],[Cost Price]]*Sales_Data[[#This Row],[Quantity]]</f>
        <v>96000</v>
      </c>
      <c r="N307" s="12">
        <f>Sales_Data[[#This Row],[Revenue]]-Sales_Data[[#This Row],[COGS]]</f>
        <v>24000</v>
      </c>
    </row>
    <row r="308" spans="1:14">
      <c r="A308" s="1">
        <v>45982</v>
      </c>
      <c r="B308" t="s">
        <v>18</v>
      </c>
      <c r="C308" t="s">
        <v>12</v>
      </c>
      <c r="D308" t="s">
        <v>13</v>
      </c>
      <c r="E308" t="s">
        <v>14</v>
      </c>
      <c r="F308" t="s">
        <v>33</v>
      </c>
      <c r="G308" t="s">
        <v>22</v>
      </c>
      <c r="H308" s="12">
        <v>180000</v>
      </c>
      <c r="I308">
        <v>4</v>
      </c>
      <c r="J308" t="s">
        <v>17</v>
      </c>
      <c r="K308" s="12">
        <f t="shared" si="4"/>
        <v>144000</v>
      </c>
      <c r="L308" s="12">
        <f>Sales_Data[[#This Row],[Unit Price]]*Sales_Data[[#This Row],[Quantity]]</f>
        <v>720000</v>
      </c>
      <c r="M308" s="12">
        <f>Sales_Data[[#This Row],[Cost Price]]*Sales_Data[[#This Row],[Quantity]]</f>
        <v>576000</v>
      </c>
      <c r="N308" s="12">
        <f>Sales_Data[[#This Row],[Revenue]]-Sales_Data[[#This Row],[COGS]]</f>
        <v>144000</v>
      </c>
    </row>
    <row r="309" spans="1:14">
      <c r="A309" s="1">
        <v>45983</v>
      </c>
      <c r="B309" t="s">
        <v>18</v>
      </c>
      <c r="C309" t="s">
        <v>19</v>
      </c>
      <c r="D309" t="s">
        <v>13</v>
      </c>
      <c r="E309" t="s">
        <v>14</v>
      </c>
      <c r="F309" t="s">
        <v>40</v>
      </c>
      <c r="G309" t="s">
        <v>31</v>
      </c>
      <c r="H309" s="12">
        <v>250000</v>
      </c>
      <c r="I309">
        <v>5</v>
      </c>
      <c r="J309" t="s">
        <v>39</v>
      </c>
      <c r="K309" s="12">
        <f t="shared" si="4"/>
        <v>200000</v>
      </c>
      <c r="L309" s="12">
        <f>Sales_Data[[#This Row],[Unit Price]]*Sales_Data[[#This Row],[Quantity]]</f>
        <v>1250000</v>
      </c>
      <c r="M309" s="12">
        <f>Sales_Data[[#This Row],[Cost Price]]*Sales_Data[[#This Row],[Quantity]]</f>
        <v>1000000</v>
      </c>
      <c r="N309" s="12">
        <f>Sales_Data[[#This Row],[Revenue]]-Sales_Data[[#This Row],[COGS]]</f>
        <v>250000</v>
      </c>
    </row>
    <row r="310" spans="1:14">
      <c r="A310" s="1">
        <v>45984</v>
      </c>
      <c r="B310" t="s">
        <v>11</v>
      </c>
      <c r="C310" t="s">
        <v>32</v>
      </c>
      <c r="D310" t="s">
        <v>23</v>
      </c>
      <c r="E310" t="s">
        <v>20</v>
      </c>
      <c r="F310" t="s">
        <v>33</v>
      </c>
      <c r="G310" t="s">
        <v>22</v>
      </c>
      <c r="H310" s="12">
        <v>180000</v>
      </c>
      <c r="I310">
        <v>3</v>
      </c>
      <c r="J310" t="s">
        <v>35</v>
      </c>
      <c r="K310" s="12">
        <f t="shared" si="4"/>
        <v>144000</v>
      </c>
      <c r="L310" s="12">
        <f>Sales_Data[[#This Row],[Unit Price]]*Sales_Data[[#This Row],[Quantity]]</f>
        <v>540000</v>
      </c>
      <c r="M310" s="12">
        <f>Sales_Data[[#This Row],[Cost Price]]*Sales_Data[[#This Row],[Quantity]]</f>
        <v>432000</v>
      </c>
      <c r="N310" s="12">
        <f>Sales_Data[[#This Row],[Revenue]]-Sales_Data[[#This Row],[COGS]]</f>
        <v>108000</v>
      </c>
    </row>
    <row r="311" spans="1:14">
      <c r="A311" s="1">
        <v>45985</v>
      </c>
      <c r="B311" t="s">
        <v>18</v>
      </c>
      <c r="C311" t="s">
        <v>12</v>
      </c>
      <c r="D311" t="s">
        <v>13</v>
      </c>
      <c r="E311" t="s">
        <v>14</v>
      </c>
      <c r="F311" t="s">
        <v>30</v>
      </c>
      <c r="G311" t="s">
        <v>31</v>
      </c>
      <c r="H311" s="12">
        <v>300000</v>
      </c>
      <c r="I311">
        <v>5</v>
      </c>
      <c r="J311" t="s">
        <v>39</v>
      </c>
      <c r="K311" s="12">
        <f t="shared" si="4"/>
        <v>240000</v>
      </c>
      <c r="L311" s="12">
        <f>Sales_Data[[#This Row],[Unit Price]]*Sales_Data[[#This Row],[Quantity]]</f>
        <v>1500000</v>
      </c>
      <c r="M311" s="12">
        <f>Sales_Data[[#This Row],[Cost Price]]*Sales_Data[[#This Row],[Quantity]]</f>
        <v>1200000</v>
      </c>
      <c r="N311" s="12">
        <f>Sales_Data[[#This Row],[Revenue]]-Sales_Data[[#This Row],[COGS]]</f>
        <v>300000</v>
      </c>
    </row>
    <row r="312" spans="1:14">
      <c r="A312" s="1">
        <v>45986</v>
      </c>
      <c r="B312" t="s">
        <v>11</v>
      </c>
      <c r="C312" t="s">
        <v>26</v>
      </c>
      <c r="D312" t="s">
        <v>13</v>
      </c>
      <c r="E312" t="s">
        <v>20</v>
      </c>
      <c r="F312" t="s">
        <v>15</v>
      </c>
      <c r="G312" t="s">
        <v>16</v>
      </c>
      <c r="H312" s="12">
        <v>85000</v>
      </c>
      <c r="I312">
        <v>8</v>
      </c>
      <c r="J312" t="s">
        <v>35</v>
      </c>
      <c r="K312" s="12">
        <f t="shared" si="4"/>
        <v>68000</v>
      </c>
      <c r="L312" s="12">
        <f>Sales_Data[[#This Row],[Unit Price]]*Sales_Data[[#This Row],[Quantity]]</f>
        <v>680000</v>
      </c>
      <c r="M312" s="12">
        <f>Sales_Data[[#This Row],[Cost Price]]*Sales_Data[[#This Row],[Quantity]]</f>
        <v>544000</v>
      </c>
      <c r="N312" s="12">
        <f>Sales_Data[[#This Row],[Revenue]]-Sales_Data[[#This Row],[COGS]]</f>
        <v>136000</v>
      </c>
    </row>
    <row r="313" spans="1:14">
      <c r="A313" s="1">
        <v>45987</v>
      </c>
      <c r="B313" t="s">
        <v>18</v>
      </c>
      <c r="C313" t="s">
        <v>19</v>
      </c>
      <c r="D313" t="s">
        <v>23</v>
      </c>
      <c r="E313" t="s">
        <v>14</v>
      </c>
      <c r="F313" t="s">
        <v>33</v>
      </c>
      <c r="G313" t="s">
        <v>22</v>
      </c>
      <c r="H313" s="12">
        <v>180000</v>
      </c>
      <c r="I313">
        <v>6</v>
      </c>
      <c r="J313" t="s">
        <v>39</v>
      </c>
      <c r="K313" s="12">
        <f t="shared" si="4"/>
        <v>144000</v>
      </c>
      <c r="L313" s="12">
        <f>Sales_Data[[#This Row],[Unit Price]]*Sales_Data[[#This Row],[Quantity]]</f>
        <v>1080000</v>
      </c>
      <c r="M313" s="12">
        <f>Sales_Data[[#This Row],[Cost Price]]*Sales_Data[[#This Row],[Quantity]]</f>
        <v>864000</v>
      </c>
      <c r="N313" s="12">
        <f>Sales_Data[[#This Row],[Revenue]]-Sales_Data[[#This Row],[COGS]]</f>
        <v>216000</v>
      </c>
    </row>
    <row r="314" spans="1:14">
      <c r="A314" s="1">
        <v>45988</v>
      </c>
      <c r="B314" t="s">
        <v>18</v>
      </c>
      <c r="C314" t="s">
        <v>19</v>
      </c>
      <c r="D314" t="s">
        <v>23</v>
      </c>
      <c r="E314" t="s">
        <v>14</v>
      </c>
      <c r="F314" t="s">
        <v>38</v>
      </c>
      <c r="G314" t="s">
        <v>31</v>
      </c>
      <c r="H314" s="12">
        <v>420000</v>
      </c>
      <c r="I314">
        <v>7</v>
      </c>
      <c r="J314" t="s">
        <v>37</v>
      </c>
      <c r="K314" s="12">
        <f t="shared" si="4"/>
        <v>336000</v>
      </c>
      <c r="L314" s="12">
        <f>Sales_Data[[#This Row],[Unit Price]]*Sales_Data[[#This Row],[Quantity]]</f>
        <v>2940000</v>
      </c>
      <c r="M314" s="12">
        <f>Sales_Data[[#This Row],[Cost Price]]*Sales_Data[[#This Row],[Quantity]]</f>
        <v>2352000</v>
      </c>
      <c r="N314" s="12">
        <f>Sales_Data[[#This Row],[Revenue]]-Sales_Data[[#This Row],[COGS]]</f>
        <v>588000</v>
      </c>
    </row>
    <row r="315" spans="1:14">
      <c r="A315" s="1">
        <v>45989</v>
      </c>
      <c r="B315" t="s">
        <v>25</v>
      </c>
      <c r="C315" t="s">
        <v>26</v>
      </c>
      <c r="D315" t="s">
        <v>23</v>
      </c>
      <c r="E315" t="s">
        <v>14</v>
      </c>
      <c r="F315" t="s">
        <v>36</v>
      </c>
      <c r="G315" t="s">
        <v>31</v>
      </c>
      <c r="H315" s="12">
        <v>150000</v>
      </c>
      <c r="I315">
        <v>8</v>
      </c>
      <c r="J315" t="s">
        <v>17</v>
      </c>
      <c r="K315" s="12">
        <f t="shared" si="4"/>
        <v>120000</v>
      </c>
      <c r="L315" s="12">
        <f>Sales_Data[[#This Row],[Unit Price]]*Sales_Data[[#This Row],[Quantity]]</f>
        <v>1200000</v>
      </c>
      <c r="M315" s="12">
        <f>Sales_Data[[#This Row],[Cost Price]]*Sales_Data[[#This Row],[Quantity]]</f>
        <v>960000</v>
      </c>
      <c r="N315" s="12">
        <f>Sales_Data[[#This Row],[Revenue]]-Sales_Data[[#This Row],[COGS]]</f>
        <v>240000</v>
      </c>
    </row>
    <row r="316" spans="1:14">
      <c r="A316" s="1">
        <v>45990</v>
      </c>
      <c r="B316" t="s">
        <v>18</v>
      </c>
      <c r="C316" t="s">
        <v>26</v>
      </c>
      <c r="D316" t="s">
        <v>13</v>
      </c>
      <c r="E316" t="s">
        <v>14</v>
      </c>
      <c r="F316" t="s">
        <v>15</v>
      </c>
      <c r="G316" t="s">
        <v>16</v>
      </c>
      <c r="H316" s="12">
        <v>85000</v>
      </c>
      <c r="I316">
        <v>6</v>
      </c>
      <c r="J316" t="s">
        <v>37</v>
      </c>
      <c r="K316" s="12">
        <f t="shared" si="4"/>
        <v>68000</v>
      </c>
      <c r="L316" s="12">
        <f>Sales_Data[[#This Row],[Unit Price]]*Sales_Data[[#This Row],[Quantity]]</f>
        <v>510000</v>
      </c>
      <c r="M316" s="12">
        <f>Sales_Data[[#This Row],[Cost Price]]*Sales_Data[[#This Row],[Quantity]]</f>
        <v>408000</v>
      </c>
      <c r="N316" s="12">
        <f>Sales_Data[[#This Row],[Revenue]]-Sales_Data[[#This Row],[COGS]]</f>
        <v>102000</v>
      </c>
    </row>
    <row r="317" spans="1:14">
      <c r="A317" s="1">
        <v>45991</v>
      </c>
      <c r="B317" t="s">
        <v>25</v>
      </c>
      <c r="C317" t="s">
        <v>12</v>
      </c>
      <c r="D317" t="s">
        <v>13</v>
      </c>
      <c r="E317" t="s">
        <v>20</v>
      </c>
      <c r="F317" t="s">
        <v>33</v>
      </c>
      <c r="G317" t="s">
        <v>22</v>
      </c>
      <c r="H317" s="12">
        <v>180000</v>
      </c>
      <c r="I317">
        <v>9</v>
      </c>
      <c r="J317" t="s">
        <v>28</v>
      </c>
      <c r="K317" s="12">
        <f t="shared" si="4"/>
        <v>144000</v>
      </c>
      <c r="L317" s="12">
        <f>Sales_Data[[#This Row],[Unit Price]]*Sales_Data[[#This Row],[Quantity]]</f>
        <v>1620000</v>
      </c>
      <c r="M317" s="12">
        <f>Sales_Data[[#This Row],[Cost Price]]*Sales_Data[[#This Row],[Quantity]]</f>
        <v>1296000</v>
      </c>
      <c r="N317" s="12">
        <f>Sales_Data[[#This Row],[Revenue]]-Sales_Data[[#This Row],[COGS]]</f>
        <v>324000</v>
      </c>
    </row>
    <row r="318" spans="1:14">
      <c r="A318" s="1">
        <v>45992</v>
      </c>
      <c r="B318" t="s">
        <v>11</v>
      </c>
      <c r="C318" t="s">
        <v>26</v>
      </c>
      <c r="D318" t="s">
        <v>23</v>
      </c>
      <c r="E318" t="s">
        <v>14</v>
      </c>
      <c r="F318" t="s">
        <v>40</v>
      </c>
      <c r="G318" t="s">
        <v>31</v>
      </c>
      <c r="H318" s="12">
        <v>250000</v>
      </c>
      <c r="I318">
        <v>5</v>
      </c>
      <c r="J318" t="s">
        <v>37</v>
      </c>
      <c r="K318" s="12">
        <f t="shared" si="4"/>
        <v>200000</v>
      </c>
      <c r="L318" s="12">
        <f>Sales_Data[[#This Row],[Unit Price]]*Sales_Data[[#This Row],[Quantity]]</f>
        <v>1250000</v>
      </c>
      <c r="M318" s="12">
        <f>Sales_Data[[#This Row],[Cost Price]]*Sales_Data[[#This Row],[Quantity]]</f>
        <v>1000000</v>
      </c>
      <c r="N318" s="12">
        <f>Sales_Data[[#This Row],[Revenue]]-Sales_Data[[#This Row],[COGS]]</f>
        <v>250000</v>
      </c>
    </row>
    <row r="319" spans="1:14">
      <c r="A319" s="1">
        <v>45993</v>
      </c>
      <c r="B319" t="s">
        <v>29</v>
      </c>
      <c r="C319" t="s">
        <v>26</v>
      </c>
      <c r="D319" t="s">
        <v>13</v>
      </c>
      <c r="E319" t="s">
        <v>20</v>
      </c>
      <c r="F319" t="s">
        <v>34</v>
      </c>
      <c r="G319" t="s">
        <v>16</v>
      </c>
      <c r="H319" s="12">
        <v>320000</v>
      </c>
      <c r="I319">
        <v>9</v>
      </c>
      <c r="J319" t="s">
        <v>28</v>
      </c>
      <c r="K319" s="12">
        <f t="shared" si="4"/>
        <v>256000</v>
      </c>
      <c r="L319" s="12">
        <f>Sales_Data[[#This Row],[Unit Price]]*Sales_Data[[#This Row],[Quantity]]</f>
        <v>2880000</v>
      </c>
      <c r="M319" s="12">
        <f>Sales_Data[[#This Row],[Cost Price]]*Sales_Data[[#This Row],[Quantity]]</f>
        <v>2304000</v>
      </c>
      <c r="N319" s="12">
        <f>Sales_Data[[#This Row],[Revenue]]-Sales_Data[[#This Row],[COGS]]</f>
        <v>576000</v>
      </c>
    </row>
    <row r="320" spans="1:14">
      <c r="A320" s="1">
        <v>45994</v>
      </c>
      <c r="B320" t="s">
        <v>29</v>
      </c>
      <c r="C320" t="s">
        <v>19</v>
      </c>
      <c r="D320" t="s">
        <v>23</v>
      </c>
      <c r="E320" t="s">
        <v>20</v>
      </c>
      <c r="F320" t="s">
        <v>36</v>
      </c>
      <c r="G320" t="s">
        <v>31</v>
      </c>
      <c r="H320" s="12">
        <v>150000</v>
      </c>
      <c r="I320">
        <v>7</v>
      </c>
      <c r="J320" t="s">
        <v>24</v>
      </c>
      <c r="K320" s="12">
        <f t="shared" si="4"/>
        <v>120000</v>
      </c>
      <c r="L320" s="12">
        <f>Sales_Data[[#This Row],[Unit Price]]*Sales_Data[[#This Row],[Quantity]]</f>
        <v>1050000</v>
      </c>
      <c r="M320" s="12">
        <f>Sales_Data[[#This Row],[Cost Price]]*Sales_Data[[#This Row],[Quantity]]</f>
        <v>840000</v>
      </c>
      <c r="N320" s="12">
        <f>Sales_Data[[#This Row],[Revenue]]-Sales_Data[[#This Row],[COGS]]</f>
        <v>210000</v>
      </c>
    </row>
    <row r="321" spans="1:14">
      <c r="A321" s="1">
        <v>45995</v>
      </c>
      <c r="B321" t="s">
        <v>18</v>
      </c>
      <c r="C321" t="s">
        <v>12</v>
      </c>
      <c r="D321" t="s">
        <v>13</v>
      </c>
      <c r="E321" t="s">
        <v>14</v>
      </c>
      <c r="F321" t="s">
        <v>38</v>
      </c>
      <c r="G321" t="s">
        <v>31</v>
      </c>
      <c r="H321" s="12">
        <v>420000</v>
      </c>
      <c r="I321">
        <v>9</v>
      </c>
      <c r="J321" t="s">
        <v>37</v>
      </c>
      <c r="K321" s="12">
        <f t="shared" si="4"/>
        <v>336000</v>
      </c>
      <c r="L321" s="12">
        <f>Sales_Data[[#This Row],[Unit Price]]*Sales_Data[[#This Row],[Quantity]]</f>
        <v>3780000</v>
      </c>
      <c r="M321" s="12">
        <f>Sales_Data[[#This Row],[Cost Price]]*Sales_Data[[#This Row],[Quantity]]</f>
        <v>3024000</v>
      </c>
      <c r="N321" s="12">
        <f>Sales_Data[[#This Row],[Revenue]]-Sales_Data[[#This Row],[COGS]]</f>
        <v>756000</v>
      </c>
    </row>
    <row r="322" spans="1:14">
      <c r="A322" s="1">
        <v>45996</v>
      </c>
      <c r="B322" t="s">
        <v>25</v>
      </c>
      <c r="C322" t="s">
        <v>19</v>
      </c>
      <c r="D322" t="s">
        <v>23</v>
      </c>
      <c r="E322" t="s">
        <v>20</v>
      </c>
      <c r="F322" t="s">
        <v>27</v>
      </c>
      <c r="G322" t="s">
        <v>22</v>
      </c>
      <c r="H322" s="12">
        <v>60000</v>
      </c>
      <c r="I322">
        <v>4</v>
      </c>
      <c r="J322" t="s">
        <v>24</v>
      </c>
      <c r="K322" s="12">
        <f t="shared" ref="K322:K385" si="5">H322-H322*0.2</f>
        <v>48000</v>
      </c>
      <c r="L322" s="12">
        <f>Sales_Data[[#This Row],[Unit Price]]*Sales_Data[[#This Row],[Quantity]]</f>
        <v>240000</v>
      </c>
      <c r="M322" s="12">
        <f>Sales_Data[[#This Row],[Cost Price]]*Sales_Data[[#This Row],[Quantity]]</f>
        <v>192000</v>
      </c>
      <c r="N322" s="12">
        <f>Sales_Data[[#This Row],[Revenue]]-Sales_Data[[#This Row],[COGS]]</f>
        <v>48000</v>
      </c>
    </row>
    <row r="323" spans="1:14">
      <c r="A323" s="1">
        <v>45997</v>
      </c>
      <c r="B323" t="s">
        <v>11</v>
      </c>
      <c r="C323" t="s">
        <v>26</v>
      </c>
      <c r="D323" t="s">
        <v>13</v>
      </c>
      <c r="E323" t="s">
        <v>20</v>
      </c>
      <c r="F323" t="s">
        <v>40</v>
      </c>
      <c r="G323" t="s">
        <v>31</v>
      </c>
      <c r="H323" s="12">
        <v>250000</v>
      </c>
      <c r="I323">
        <v>5</v>
      </c>
      <c r="J323" t="s">
        <v>24</v>
      </c>
      <c r="K323" s="12">
        <f t="shared" si="5"/>
        <v>200000</v>
      </c>
      <c r="L323" s="12">
        <f>Sales_Data[[#This Row],[Unit Price]]*Sales_Data[[#This Row],[Quantity]]</f>
        <v>1250000</v>
      </c>
      <c r="M323" s="12">
        <f>Sales_Data[[#This Row],[Cost Price]]*Sales_Data[[#This Row],[Quantity]]</f>
        <v>1000000</v>
      </c>
      <c r="N323" s="12">
        <f>Sales_Data[[#This Row],[Revenue]]-Sales_Data[[#This Row],[COGS]]</f>
        <v>250000</v>
      </c>
    </row>
    <row r="324" spans="1:14">
      <c r="A324" s="1">
        <v>45998</v>
      </c>
      <c r="B324" t="s">
        <v>11</v>
      </c>
      <c r="C324" t="s">
        <v>26</v>
      </c>
      <c r="D324" t="s">
        <v>23</v>
      </c>
      <c r="E324" t="s">
        <v>14</v>
      </c>
      <c r="F324" t="s">
        <v>30</v>
      </c>
      <c r="G324" t="s">
        <v>31</v>
      </c>
      <c r="H324" s="12">
        <v>300000</v>
      </c>
      <c r="I324">
        <v>8</v>
      </c>
      <c r="J324" t="s">
        <v>35</v>
      </c>
      <c r="K324" s="12">
        <f t="shared" si="5"/>
        <v>240000</v>
      </c>
      <c r="L324" s="12">
        <f>Sales_Data[[#This Row],[Unit Price]]*Sales_Data[[#This Row],[Quantity]]</f>
        <v>2400000</v>
      </c>
      <c r="M324" s="12">
        <f>Sales_Data[[#This Row],[Cost Price]]*Sales_Data[[#This Row],[Quantity]]</f>
        <v>1920000</v>
      </c>
      <c r="N324" s="12">
        <f>Sales_Data[[#This Row],[Revenue]]-Sales_Data[[#This Row],[COGS]]</f>
        <v>480000</v>
      </c>
    </row>
    <row r="325" spans="1:14">
      <c r="A325" s="1">
        <v>45999</v>
      </c>
      <c r="B325" t="s">
        <v>11</v>
      </c>
      <c r="C325" t="s">
        <v>26</v>
      </c>
      <c r="D325" t="s">
        <v>23</v>
      </c>
      <c r="E325" t="s">
        <v>14</v>
      </c>
      <c r="F325" t="s">
        <v>38</v>
      </c>
      <c r="G325" t="s">
        <v>31</v>
      </c>
      <c r="H325" s="12">
        <v>420000</v>
      </c>
      <c r="I325">
        <v>4</v>
      </c>
      <c r="J325" t="s">
        <v>39</v>
      </c>
      <c r="K325" s="12">
        <f t="shared" si="5"/>
        <v>336000</v>
      </c>
      <c r="L325" s="12">
        <f>Sales_Data[[#This Row],[Unit Price]]*Sales_Data[[#This Row],[Quantity]]</f>
        <v>1680000</v>
      </c>
      <c r="M325" s="12">
        <f>Sales_Data[[#This Row],[Cost Price]]*Sales_Data[[#This Row],[Quantity]]</f>
        <v>1344000</v>
      </c>
      <c r="N325" s="12">
        <f>Sales_Data[[#This Row],[Revenue]]-Sales_Data[[#This Row],[COGS]]</f>
        <v>336000</v>
      </c>
    </row>
    <row r="326" spans="1:14">
      <c r="A326" s="1">
        <v>46000</v>
      </c>
      <c r="B326" t="s">
        <v>11</v>
      </c>
      <c r="C326" t="s">
        <v>26</v>
      </c>
      <c r="D326" t="s">
        <v>23</v>
      </c>
      <c r="E326" t="s">
        <v>20</v>
      </c>
      <c r="F326" t="s">
        <v>21</v>
      </c>
      <c r="G326" t="s">
        <v>22</v>
      </c>
      <c r="H326" s="12">
        <v>30000</v>
      </c>
      <c r="I326">
        <v>4</v>
      </c>
      <c r="J326" t="s">
        <v>24</v>
      </c>
      <c r="K326" s="12">
        <f t="shared" si="5"/>
        <v>24000</v>
      </c>
      <c r="L326" s="12">
        <f>Sales_Data[[#This Row],[Unit Price]]*Sales_Data[[#This Row],[Quantity]]</f>
        <v>120000</v>
      </c>
      <c r="M326" s="12">
        <f>Sales_Data[[#This Row],[Cost Price]]*Sales_Data[[#This Row],[Quantity]]</f>
        <v>96000</v>
      </c>
      <c r="N326" s="12">
        <f>Sales_Data[[#This Row],[Revenue]]-Sales_Data[[#This Row],[COGS]]</f>
        <v>24000</v>
      </c>
    </row>
    <row r="327" spans="1:14">
      <c r="A327" s="1">
        <v>46001</v>
      </c>
      <c r="B327" t="s">
        <v>18</v>
      </c>
      <c r="C327" t="s">
        <v>32</v>
      </c>
      <c r="D327" t="s">
        <v>13</v>
      </c>
      <c r="E327" t="s">
        <v>14</v>
      </c>
      <c r="F327" t="s">
        <v>34</v>
      </c>
      <c r="G327" t="s">
        <v>16</v>
      </c>
      <c r="H327" s="12">
        <v>320000</v>
      </c>
      <c r="I327">
        <v>7</v>
      </c>
      <c r="J327" t="s">
        <v>24</v>
      </c>
      <c r="K327" s="12">
        <f t="shared" si="5"/>
        <v>256000</v>
      </c>
      <c r="L327" s="12">
        <f>Sales_Data[[#This Row],[Unit Price]]*Sales_Data[[#This Row],[Quantity]]</f>
        <v>2240000</v>
      </c>
      <c r="M327" s="12">
        <f>Sales_Data[[#This Row],[Cost Price]]*Sales_Data[[#This Row],[Quantity]]</f>
        <v>1792000</v>
      </c>
      <c r="N327" s="12">
        <f>Sales_Data[[#This Row],[Revenue]]-Sales_Data[[#This Row],[COGS]]</f>
        <v>448000</v>
      </c>
    </row>
    <row r="328" spans="1:14">
      <c r="A328" s="1">
        <v>46002</v>
      </c>
      <c r="B328" t="s">
        <v>25</v>
      </c>
      <c r="C328" t="s">
        <v>19</v>
      </c>
      <c r="D328" t="s">
        <v>13</v>
      </c>
      <c r="E328" t="s">
        <v>14</v>
      </c>
      <c r="F328" t="s">
        <v>36</v>
      </c>
      <c r="G328" t="s">
        <v>31</v>
      </c>
      <c r="H328" s="12">
        <v>150000</v>
      </c>
      <c r="I328">
        <v>8</v>
      </c>
      <c r="J328" t="s">
        <v>37</v>
      </c>
      <c r="K328" s="12">
        <f t="shared" si="5"/>
        <v>120000</v>
      </c>
      <c r="L328" s="12">
        <f>Sales_Data[[#This Row],[Unit Price]]*Sales_Data[[#This Row],[Quantity]]</f>
        <v>1200000</v>
      </c>
      <c r="M328" s="12">
        <f>Sales_Data[[#This Row],[Cost Price]]*Sales_Data[[#This Row],[Quantity]]</f>
        <v>960000</v>
      </c>
      <c r="N328" s="12">
        <f>Sales_Data[[#This Row],[Revenue]]-Sales_Data[[#This Row],[COGS]]</f>
        <v>240000</v>
      </c>
    </row>
    <row r="329" spans="1:14">
      <c r="A329" s="1">
        <v>46003</v>
      </c>
      <c r="B329" t="s">
        <v>11</v>
      </c>
      <c r="C329" t="s">
        <v>19</v>
      </c>
      <c r="D329" t="s">
        <v>13</v>
      </c>
      <c r="E329" t="s">
        <v>20</v>
      </c>
      <c r="F329" t="s">
        <v>27</v>
      </c>
      <c r="G329" t="s">
        <v>22</v>
      </c>
      <c r="H329" s="12">
        <v>60000</v>
      </c>
      <c r="I329">
        <v>7</v>
      </c>
      <c r="J329" t="s">
        <v>28</v>
      </c>
      <c r="K329" s="12">
        <f t="shared" si="5"/>
        <v>48000</v>
      </c>
      <c r="L329" s="12">
        <f>Sales_Data[[#This Row],[Unit Price]]*Sales_Data[[#This Row],[Quantity]]</f>
        <v>420000</v>
      </c>
      <c r="M329" s="12">
        <f>Sales_Data[[#This Row],[Cost Price]]*Sales_Data[[#This Row],[Quantity]]</f>
        <v>336000</v>
      </c>
      <c r="N329" s="12">
        <f>Sales_Data[[#This Row],[Revenue]]-Sales_Data[[#This Row],[COGS]]</f>
        <v>84000</v>
      </c>
    </row>
    <row r="330" spans="1:14">
      <c r="A330" s="1">
        <v>46004</v>
      </c>
      <c r="B330" t="s">
        <v>25</v>
      </c>
      <c r="C330" t="s">
        <v>26</v>
      </c>
      <c r="D330" t="s">
        <v>13</v>
      </c>
      <c r="E330" t="s">
        <v>14</v>
      </c>
      <c r="F330" t="s">
        <v>33</v>
      </c>
      <c r="G330" t="s">
        <v>22</v>
      </c>
      <c r="H330" s="12">
        <v>180000</v>
      </c>
      <c r="I330">
        <v>4</v>
      </c>
      <c r="J330" t="s">
        <v>24</v>
      </c>
      <c r="K330" s="12">
        <f t="shared" si="5"/>
        <v>144000</v>
      </c>
      <c r="L330" s="12">
        <f>Sales_Data[[#This Row],[Unit Price]]*Sales_Data[[#This Row],[Quantity]]</f>
        <v>720000</v>
      </c>
      <c r="M330" s="12">
        <f>Sales_Data[[#This Row],[Cost Price]]*Sales_Data[[#This Row],[Quantity]]</f>
        <v>576000</v>
      </c>
      <c r="N330" s="12">
        <f>Sales_Data[[#This Row],[Revenue]]-Sales_Data[[#This Row],[COGS]]</f>
        <v>144000</v>
      </c>
    </row>
    <row r="331" spans="1:14">
      <c r="A331" s="1">
        <v>46005</v>
      </c>
      <c r="B331" t="s">
        <v>11</v>
      </c>
      <c r="C331" t="s">
        <v>26</v>
      </c>
      <c r="D331" t="s">
        <v>23</v>
      </c>
      <c r="E331" t="s">
        <v>20</v>
      </c>
      <c r="F331" t="s">
        <v>38</v>
      </c>
      <c r="G331" t="s">
        <v>31</v>
      </c>
      <c r="H331" s="12">
        <v>420000</v>
      </c>
      <c r="I331">
        <v>8</v>
      </c>
      <c r="J331" t="s">
        <v>37</v>
      </c>
      <c r="K331" s="12">
        <f t="shared" si="5"/>
        <v>336000</v>
      </c>
      <c r="L331" s="12">
        <f>Sales_Data[[#This Row],[Unit Price]]*Sales_Data[[#This Row],[Quantity]]</f>
        <v>3360000</v>
      </c>
      <c r="M331" s="12">
        <f>Sales_Data[[#This Row],[Cost Price]]*Sales_Data[[#This Row],[Quantity]]</f>
        <v>2688000</v>
      </c>
      <c r="N331" s="12">
        <f>Sales_Data[[#This Row],[Revenue]]-Sales_Data[[#This Row],[COGS]]</f>
        <v>672000</v>
      </c>
    </row>
    <row r="332" spans="1:14">
      <c r="A332" s="1">
        <v>46006</v>
      </c>
      <c r="B332" t="s">
        <v>11</v>
      </c>
      <c r="C332" t="s">
        <v>26</v>
      </c>
      <c r="D332" t="s">
        <v>13</v>
      </c>
      <c r="E332" t="s">
        <v>20</v>
      </c>
      <c r="F332" t="s">
        <v>30</v>
      </c>
      <c r="G332" t="s">
        <v>31</v>
      </c>
      <c r="H332" s="12">
        <v>300000</v>
      </c>
      <c r="I332">
        <v>2</v>
      </c>
      <c r="J332" t="s">
        <v>39</v>
      </c>
      <c r="K332" s="12">
        <f t="shared" si="5"/>
        <v>240000</v>
      </c>
      <c r="L332" s="12">
        <f>Sales_Data[[#This Row],[Unit Price]]*Sales_Data[[#This Row],[Quantity]]</f>
        <v>600000</v>
      </c>
      <c r="M332" s="12">
        <f>Sales_Data[[#This Row],[Cost Price]]*Sales_Data[[#This Row],[Quantity]]</f>
        <v>480000</v>
      </c>
      <c r="N332" s="12">
        <f>Sales_Data[[#This Row],[Revenue]]-Sales_Data[[#This Row],[COGS]]</f>
        <v>120000</v>
      </c>
    </row>
    <row r="333" spans="1:14">
      <c r="A333" s="1">
        <v>46007</v>
      </c>
      <c r="B333" t="s">
        <v>25</v>
      </c>
      <c r="C333" t="s">
        <v>19</v>
      </c>
      <c r="D333" t="s">
        <v>23</v>
      </c>
      <c r="E333" t="s">
        <v>14</v>
      </c>
      <c r="F333" t="s">
        <v>38</v>
      </c>
      <c r="G333" t="s">
        <v>31</v>
      </c>
      <c r="H333" s="12">
        <v>420000</v>
      </c>
      <c r="I333">
        <v>3</v>
      </c>
      <c r="J333" t="s">
        <v>37</v>
      </c>
      <c r="K333" s="12">
        <f t="shared" si="5"/>
        <v>336000</v>
      </c>
      <c r="L333" s="12">
        <f>Sales_Data[[#This Row],[Unit Price]]*Sales_Data[[#This Row],[Quantity]]</f>
        <v>1260000</v>
      </c>
      <c r="M333" s="12">
        <f>Sales_Data[[#This Row],[Cost Price]]*Sales_Data[[#This Row],[Quantity]]</f>
        <v>1008000</v>
      </c>
      <c r="N333" s="12">
        <f>Sales_Data[[#This Row],[Revenue]]-Sales_Data[[#This Row],[COGS]]</f>
        <v>252000</v>
      </c>
    </row>
    <row r="334" spans="1:14">
      <c r="A334" s="1">
        <v>46008</v>
      </c>
      <c r="B334" t="s">
        <v>29</v>
      </c>
      <c r="C334" t="s">
        <v>26</v>
      </c>
      <c r="D334" t="s">
        <v>13</v>
      </c>
      <c r="E334" t="s">
        <v>14</v>
      </c>
      <c r="F334" t="s">
        <v>15</v>
      </c>
      <c r="G334" t="s">
        <v>16</v>
      </c>
      <c r="H334" s="12">
        <v>85000</v>
      </c>
      <c r="I334">
        <v>3</v>
      </c>
      <c r="J334" t="s">
        <v>28</v>
      </c>
      <c r="K334" s="12">
        <f t="shared" si="5"/>
        <v>68000</v>
      </c>
      <c r="L334" s="12">
        <f>Sales_Data[[#This Row],[Unit Price]]*Sales_Data[[#This Row],[Quantity]]</f>
        <v>255000</v>
      </c>
      <c r="M334" s="12">
        <f>Sales_Data[[#This Row],[Cost Price]]*Sales_Data[[#This Row],[Quantity]]</f>
        <v>204000</v>
      </c>
      <c r="N334" s="12">
        <f>Sales_Data[[#This Row],[Revenue]]-Sales_Data[[#This Row],[COGS]]</f>
        <v>51000</v>
      </c>
    </row>
    <row r="335" spans="1:14">
      <c r="A335" s="1">
        <v>46009</v>
      </c>
      <c r="B335" t="s">
        <v>11</v>
      </c>
      <c r="C335" t="s">
        <v>32</v>
      </c>
      <c r="D335" t="s">
        <v>23</v>
      </c>
      <c r="E335" t="s">
        <v>20</v>
      </c>
      <c r="F335" t="s">
        <v>27</v>
      </c>
      <c r="G335" t="s">
        <v>22</v>
      </c>
      <c r="H335" s="12">
        <v>60000</v>
      </c>
      <c r="I335">
        <v>8</v>
      </c>
      <c r="J335" t="s">
        <v>24</v>
      </c>
      <c r="K335" s="12">
        <f t="shared" si="5"/>
        <v>48000</v>
      </c>
      <c r="L335" s="12">
        <f>Sales_Data[[#This Row],[Unit Price]]*Sales_Data[[#This Row],[Quantity]]</f>
        <v>480000</v>
      </c>
      <c r="M335" s="12">
        <f>Sales_Data[[#This Row],[Cost Price]]*Sales_Data[[#This Row],[Quantity]]</f>
        <v>384000</v>
      </c>
      <c r="N335" s="12">
        <f>Sales_Data[[#This Row],[Revenue]]-Sales_Data[[#This Row],[COGS]]</f>
        <v>96000</v>
      </c>
    </row>
    <row r="336" spans="1:14">
      <c r="A336" s="1">
        <v>46010</v>
      </c>
      <c r="B336" t="s">
        <v>11</v>
      </c>
      <c r="C336" t="s">
        <v>19</v>
      </c>
      <c r="D336" t="s">
        <v>23</v>
      </c>
      <c r="E336" t="s">
        <v>20</v>
      </c>
      <c r="F336" t="s">
        <v>33</v>
      </c>
      <c r="G336" t="s">
        <v>22</v>
      </c>
      <c r="H336" s="12">
        <v>180000</v>
      </c>
      <c r="I336">
        <v>10</v>
      </c>
      <c r="J336" t="s">
        <v>35</v>
      </c>
      <c r="K336" s="12">
        <f t="shared" si="5"/>
        <v>144000</v>
      </c>
      <c r="L336" s="12">
        <f>Sales_Data[[#This Row],[Unit Price]]*Sales_Data[[#This Row],[Quantity]]</f>
        <v>1800000</v>
      </c>
      <c r="M336" s="12">
        <f>Sales_Data[[#This Row],[Cost Price]]*Sales_Data[[#This Row],[Quantity]]</f>
        <v>1440000</v>
      </c>
      <c r="N336" s="12">
        <f>Sales_Data[[#This Row],[Revenue]]-Sales_Data[[#This Row],[COGS]]</f>
        <v>360000</v>
      </c>
    </row>
    <row r="337" spans="1:14">
      <c r="A337" s="1">
        <v>46011</v>
      </c>
      <c r="B337" t="s">
        <v>18</v>
      </c>
      <c r="C337" t="s">
        <v>32</v>
      </c>
      <c r="D337" t="s">
        <v>23</v>
      </c>
      <c r="E337" t="s">
        <v>14</v>
      </c>
      <c r="F337" t="s">
        <v>33</v>
      </c>
      <c r="G337" t="s">
        <v>22</v>
      </c>
      <c r="H337" s="12">
        <v>180000</v>
      </c>
      <c r="I337">
        <v>7</v>
      </c>
      <c r="J337" t="s">
        <v>17</v>
      </c>
      <c r="K337" s="12">
        <f t="shared" si="5"/>
        <v>144000</v>
      </c>
      <c r="L337" s="12">
        <f>Sales_Data[[#This Row],[Unit Price]]*Sales_Data[[#This Row],[Quantity]]</f>
        <v>1260000</v>
      </c>
      <c r="M337" s="12">
        <f>Sales_Data[[#This Row],[Cost Price]]*Sales_Data[[#This Row],[Quantity]]</f>
        <v>1008000</v>
      </c>
      <c r="N337" s="12">
        <f>Sales_Data[[#This Row],[Revenue]]-Sales_Data[[#This Row],[COGS]]</f>
        <v>252000</v>
      </c>
    </row>
    <row r="338" spans="1:14">
      <c r="A338" s="1">
        <v>46012</v>
      </c>
      <c r="B338" t="s">
        <v>18</v>
      </c>
      <c r="C338" t="s">
        <v>32</v>
      </c>
      <c r="D338" t="s">
        <v>13</v>
      </c>
      <c r="E338" t="s">
        <v>20</v>
      </c>
      <c r="F338" t="s">
        <v>21</v>
      </c>
      <c r="G338" t="s">
        <v>22</v>
      </c>
      <c r="H338" s="12">
        <v>30000</v>
      </c>
      <c r="I338">
        <v>3</v>
      </c>
      <c r="J338" t="s">
        <v>28</v>
      </c>
      <c r="K338" s="12">
        <f t="shared" si="5"/>
        <v>24000</v>
      </c>
      <c r="L338" s="12">
        <f>Sales_Data[[#This Row],[Unit Price]]*Sales_Data[[#This Row],[Quantity]]</f>
        <v>90000</v>
      </c>
      <c r="M338" s="12">
        <f>Sales_Data[[#This Row],[Cost Price]]*Sales_Data[[#This Row],[Quantity]]</f>
        <v>72000</v>
      </c>
      <c r="N338" s="12">
        <f>Sales_Data[[#This Row],[Revenue]]-Sales_Data[[#This Row],[COGS]]</f>
        <v>18000</v>
      </c>
    </row>
    <row r="339" spans="1:14">
      <c r="A339" s="1">
        <v>46013</v>
      </c>
      <c r="B339" t="s">
        <v>29</v>
      </c>
      <c r="C339" t="s">
        <v>12</v>
      </c>
      <c r="D339" t="s">
        <v>23</v>
      </c>
      <c r="E339" t="s">
        <v>20</v>
      </c>
      <c r="F339" t="s">
        <v>21</v>
      </c>
      <c r="G339" t="s">
        <v>22</v>
      </c>
      <c r="H339" s="12">
        <v>30000</v>
      </c>
      <c r="I339">
        <v>6</v>
      </c>
      <c r="J339" t="s">
        <v>24</v>
      </c>
      <c r="K339" s="12">
        <f t="shared" si="5"/>
        <v>24000</v>
      </c>
      <c r="L339" s="12">
        <f>Sales_Data[[#This Row],[Unit Price]]*Sales_Data[[#This Row],[Quantity]]</f>
        <v>180000</v>
      </c>
      <c r="M339" s="12">
        <f>Sales_Data[[#This Row],[Cost Price]]*Sales_Data[[#This Row],[Quantity]]</f>
        <v>144000</v>
      </c>
      <c r="N339" s="12">
        <f>Sales_Data[[#This Row],[Revenue]]-Sales_Data[[#This Row],[COGS]]</f>
        <v>36000</v>
      </c>
    </row>
    <row r="340" spans="1:14">
      <c r="A340" s="1">
        <v>46014</v>
      </c>
      <c r="B340" t="s">
        <v>29</v>
      </c>
      <c r="C340" t="s">
        <v>19</v>
      </c>
      <c r="D340" t="s">
        <v>23</v>
      </c>
      <c r="E340" t="s">
        <v>14</v>
      </c>
      <c r="F340" t="s">
        <v>38</v>
      </c>
      <c r="G340" t="s">
        <v>31</v>
      </c>
      <c r="H340" s="12">
        <v>420000</v>
      </c>
      <c r="I340">
        <v>4</v>
      </c>
      <c r="J340" t="s">
        <v>37</v>
      </c>
      <c r="K340" s="12">
        <f t="shared" si="5"/>
        <v>336000</v>
      </c>
      <c r="L340" s="12">
        <f>Sales_Data[[#This Row],[Unit Price]]*Sales_Data[[#This Row],[Quantity]]</f>
        <v>1680000</v>
      </c>
      <c r="M340" s="12">
        <f>Sales_Data[[#This Row],[Cost Price]]*Sales_Data[[#This Row],[Quantity]]</f>
        <v>1344000</v>
      </c>
      <c r="N340" s="12">
        <f>Sales_Data[[#This Row],[Revenue]]-Sales_Data[[#This Row],[COGS]]</f>
        <v>336000</v>
      </c>
    </row>
    <row r="341" spans="1:14">
      <c r="A341" s="1">
        <v>46015</v>
      </c>
      <c r="B341" t="s">
        <v>18</v>
      </c>
      <c r="C341" t="s">
        <v>26</v>
      </c>
      <c r="D341" t="s">
        <v>13</v>
      </c>
      <c r="E341" t="s">
        <v>14</v>
      </c>
      <c r="F341" t="s">
        <v>41</v>
      </c>
      <c r="G341" t="s">
        <v>22</v>
      </c>
      <c r="H341" s="12">
        <v>220000</v>
      </c>
      <c r="I341">
        <v>8</v>
      </c>
      <c r="J341" t="s">
        <v>39</v>
      </c>
      <c r="K341" s="12">
        <f t="shared" si="5"/>
        <v>176000</v>
      </c>
      <c r="L341" s="12">
        <f>Sales_Data[[#This Row],[Unit Price]]*Sales_Data[[#This Row],[Quantity]]</f>
        <v>1760000</v>
      </c>
      <c r="M341" s="12">
        <f>Sales_Data[[#This Row],[Cost Price]]*Sales_Data[[#This Row],[Quantity]]</f>
        <v>1408000</v>
      </c>
      <c r="N341" s="12">
        <f>Sales_Data[[#This Row],[Revenue]]-Sales_Data[[#This Row],[COGS]]</f>
        <v>352000</v>
      </c>
    </row>
    <row r="342" spans="1:14">
      <c r="A342" s="1">
        <v>46016</v>
      </c>
      <c r="B342" t="s">
        <v>29</v>
      </c>
      <c r="C342" t="s">
        <v>19</v>
      </c>
      <c r="D342" t="s">
        <v>23</v>
      </c>
      <c r="E342" t="s">
        <v>20</v>
      </c>
      <c r="F342" t="s">
        <v>15</v>
      </c>
      <c r="G342" t="s">
        <v>16</v>
      </c>
      <c r="H342" s="12">
        <v>85000</v>
      </c>
      <c r="I342">
        <v>5</v>
      </c>
      <c r="J342" t="s">
        <v>17</v>
      </c>
      <c r="K342" s="12">
        <f t="shared" si="5"/>
        <v>68000</v>
      </c>
      <c r="L342" s="12">
        <f>Sales_Data[[#This Row],[Unit Price]]*Sales_Data[[#This Row],[Quantity]]</f>
        <v>425000</v>
      </c>
      <c r="M342" s="12">
        <f>Sales_Data[[#This Row],[Cost Price]]*Sales_Data[[#This Row],[Quantity]]</f>
        <v>340000</v>
      </c>
      <c r="N342" s="12">
        <f>Sales_Data[[#This Row],[Revenue]]-Sales_Data[[#This Row],[COGS]]</f>
        <v>85000</v>
      </c>
    </row>
    <row r="343" spans="1:14">
      <c r="A343" s="1">
        <v>46017</v>
      </c>
      <c r="B343" t="s">
        <v>11</v>
      </c>
      <c r="C343" t="s">
        <v>19</v>
      </c>
      <c r="D343" t="s">
        <v>13</v>
      </c>
      <c r="E343" t="s">
        <v>14</v>
      </c>
      <c r="F343" t="s">
        <v>34</v>
      </c>
      <c r="G343" t="s">
        <v>16</v>
      </c>
      <c r="H343" s="12">
        <v>320000</v>
      </c>
      <c r="I343">
        <v>7</v>
      </c>
      <c r="J343" t="s">
        <v>28</v>
      </c>
      <c r="K343" s="12">
        <f t="shared" si="5"/>
        <v>256000</v>
      </c>
      <c r="L343" s="12">
        <f>Sales_Data[[#This Row],[Unit Price]]*Sales_Data[[#This Row],[Quantity]]</f>
        <v>2240000</v>
      </c>
      <c r="M343" s="12">
        <f>Sales_Data[[#This Row],[Cost Price]]*Sales_Data[[#This Row],[Quantity]]</f>
        <v>1792000</v>
      </c>
      <c r="N343" s="12">
        <f>Sales_Data[[#This Row],[Revenue]]-Sales_Data[[#This Row],[COGS]]</f>
        <v>448000</v>
      </c>
    </row>
    <row r="344" spans="1:14">
      <c r="A344" s="1">
        <v>46018</v>
      </c>
      <c r="B344" t="s">
        <v>25</v>
      </c>
      <c r="C344" t="s">
        <v>19</v>
      </c>
      <c r="D344" t="s">
        <v>23</v>
      </c>
      <c r="E344" t="s">
        <v>20</v>
      </c>
      <c r="F344" t="s">
        <v>33</v>
      </c>
      <c r="G344" t="s">
        <v>22</v>
      </c>
      <c r="H344" s="12">
        <v>180000</v>
      </c>
      <c r="I344">
        <v>6</v>
      </c>
      <c r="J344" t="s">
        <v>17</v>
      </c>
      <c r="K344" s="12">
        <f t="shared" si="5"/>
        <v>144000</v>
      </c>
      <c r="L344" s="12">
        <f>Sales_Data[[#This Row],[Unit Price]]*Sales_Data[[#This Row],[Quantity]]</f>
        <v>1080000</v>
      </c>
      <c r="M344" s="12">
        <f>Sales_Data[[#This Row],[Cost Price]]*Sales_Data[[#This Row],[Quantity]]</f>
        <v>864000</v>
      </c>
      <c r="N344" s="12">
        <f>Sales_Data[[#This Row],[Revenue]]-Sales_Data[[#This Row],[COGS]]</f>
        <v>216000</v>
      </c>
    </row>
    <row r="345" spans="1:14">
      <c r="A345" s="1">
        <v>46019</v>
      </c>
      <c r="B345" t="s">
        <v>18</v>
      </c>
      <c r="C345" t="s">
        <v>32</v>
      </c>
      <c r="D345" t="s">
        <v>23</v>
      </c>
      <c r="E345" t="s">
        <v>14</v>
      </c>
      <c r="F345" t="s">
        <v>27</v>
      </c>
      <c r="G345" t="s">
        <v>22</v>
      </c>
      <c r="H345" s="12">
        <v>60000</v>
      </c>
      <c r="I345">
        <v>2</v>
      </c>
      <c r="J345" t="s">
        <v>37</v>
      </c>
      <c r="K345" s="12">
        <f t="shared" si="5"/>
        <v>48000</v>
      </c>
      <c r="L345" s="12">
        <f>Sales_Data[[#This Row],[Unit Price]]*Sales_Data[[#This Row],[Quantity]]</f>
        <v>120000</v>
      </c>
      <c r="M345" s="12">
        <f>Sales_Data[[#This Row],[Cost Price]]*Sales_Data[[#This Row],[Quantity]]</f>
        <v>96000</v>
      </c>
      <c r="N345" s="12">
        <f>Sales_Data[[#This Row],[Revenue]]-Sales_Data[[#This Row],[COGS]]</f>
        <v>24000</v>
      </c>
    </row>
    <row r="346" spans="1:14">
      <c r="A346" s="1">
        <v>46020</v>
      </c>
      <c r="B346" t="s">
        <v>11</v>
      </c>
      <c r="C346" t="s">
        <v>32</v>
      </c>
      <c r="D346" t="s">
        <v>23</v>
      </c>
      <c r="E346" t="s">
        <v>20</v>
      </c>
      <c r="F346" t="s">
        <v>33</v>
      </c>
      <c r="G346" t="s">
        <v>22</v>
      </c>
      <c r="H346" s="12">
        <v>180000</v>
      </c>
      <c r="I346">
        <v>5</v>
      </c>
      <c r="J346" t="s">
        <v>24</v>
      </c>
      <c r="K346" s="12">
        <f t="shared" si="5"/>
        <v>144000</v>
      </c>
      <c r="L346" s="12">
        <f>Sales_Data[[#This Row],[Unit Price]]*Sales_Data[[#This Row],[Quantity]]</f>
        <v>900000</v>
      </c>
      <c r="M346" s="12">
        <f>Sales_Data[[#This Row],[Cost Price]]*Sales_Data[[#This Row],[Quantity]]</f>
        <v>720000</v>
      </c>
      <c r="N346" s="12">
        <f>Sales_Data[[#This Row],[Revenue]]-Sales_Data[[#This Row],[COGS]]</f>
        <v>180000</v>
      </c>
    </row>
    <row r="347" spans="1:14">
      <c r="A347" s="1">
        <v>46021</v>
      </c>
      <c r="B347" t="s">
        <v>18</v>
      </c>
      <c r="C347" t="s">
        <v>32</v>
      </c>
      <c r="D347" t="s">
        <v>23</v>
      </c>
      <c r="E347" t="s">
        <v>20</v>
      </c>
      <c r="F347" t="s">
        <v>36</v>
      </c>
      <c r="G347" t="s">
        <v>31</v>
      </c>
      <c r="H347" s="12">
        <v>150000</v>
      </c>
      <c r="I347">
        <v>6</v>
      </c>
      <c r="J347" t="s">
        <v>37</v>
      </c>
      <c r="K347" s="12">
        <f t="shared" si="5"/>
        <v>120000</v>
      </c>
      <c r="L347" s="12">
        <f>Sales_Data[[#This Row],[Unit Price]]*Sales_Data[[#This Row],[Quantity]]</f>
        <v>900000</v>
      </c>
      <c r="M347" s="12">
        <f>Sales_Data[[#This Row],[Cost Price]]*Sales_Data[[#This Row],[Quantity]]</f>
        <v>720000</v>
      </c>
      <c r="N347" s="12">
        <f>Sales_Data[[#This Row],[Revenue]]-Sales_Data[[#This Row],[COGS]]</f>
        <v>180000</v>
      </c>
    </row>
    <row r="348" spans="1:14">
      <c r="A348" s="1">
        <v>46022</v>
      </c>
      <c r="B348" t="s">
        <v>18</v>
      </c>
      <c r="C348" t="s">
        <v>12</v>
      </c>
      <c r="D348" t="s">
        <v>23</v>
      </c>
      <c r="E348" t="s">
        <v>20</v>
      </c>
      <c r="F348" t="s">
        <v>21</v>
      </c>
      <c r="G348" t="s">
        <v>22</v>
      </c>
      <c r="H348" s="12">
        <v>30000</v>
      </c>
      <c r="I348">
        <v>2</v>
      </c>
      <c r="J348" t="s">
        <v>37</v>
      </c>
      <c r="K348" s="12">
        <f t="shared" si="5"/>
        <v>24000</v>
      </c>
      <c r="L348" s="12">
        <f>Sales_Data[[#This Row],[Unit Price]]*Sales_Data[[#This Row],[Quantity]]</f>
        <v>60000</v>
      </c>
      <c r="M348" s="12">
        <f>Sales_Data[[#This Row],[Cost Price]]*Sales_Data[[#This Row],[Quantity]]</f>
        <v>48000</v>
      </c>
      <c r="N348" s="12">
        <f>Sales_Data[[#This Row],[Revenue]]-Sales_Data[[#This Row],[COGS]]</f>
        <v>12000</v>
      </c>
    </row>
    <row r="349" spans="1:14">
      <c r="A349" s="1">
        <v>46023</v>
      </c>
      <c r="B349" t="s">
        <v>29</v>
      </c>
      <c r="C349" t="s">
        <v>12</v>
      </c>
      <c r="D349" t="s">
        <v>13</v>
      </c>
      <c r="E349" t="s">
        <v>14</v>
      </c>
      <c r="F349" t="s">
        <v>40</v>
      </c>
      <c r="G349" t="s">
        <v>31</v>
      </c>
      <c r="H349" s="12">
        <v>250000</v>
      </c>
      <c r="I349">
        <v>9</v>
      </c>
      <c r="J349" t="s">
        <v>37</v>
      </c>
      <c r="K349" s="12">
        <f t="shared" si="5"/>
        <v>200000</v>
      </c>
      <c r="L349" s="12">
        <f>Sales_Data[[#This Row],[Unit Price]]*Sales_Data[[#This Row],[Quantity]]</f>
        <v>2250000</v>
      </c>
      <c r="M349" s="12">
        <f>Sales_Data[[#This Row],[Cost Price]]*Sales_Data[[#This Row],[Quantity]]</f>
        <v>1800000</v>
      </c>
      <c r="N349" s="12">
        <f>Sales_Data[[#This Row],[Revenue]]-Sales_Data[[#This Row],[COGS]]</f>
        <v>450000</v>
      </c>
    </row>
    <row r="350" spans="1:14">
      <c r="A350" s="1">
        <v>46024</v>
      </c>
      <c r="B350" t="s">
        <v>11</v>
      </c>
      <c r="C350" t="s">
        <v>26</v>
      </c>
      <c r="D350" t="s">
        <v>13</v>
      </c>
      <c r="E350" t="s">
        <v>20</v>
      </c>
      <c r="F350" t="s">
        <v>27</v>
      </c>
      <c r="G350" t="s">
        <v>22</v>
      </c>
      <c r="H350" s="12">
        <v>60000</v>
      </c>
      <c r="I350">
        <v>4</v>
      </c>
      <c r="J350" t="s">
        <v>24</v>
      </c>
      <c r="K350" s="12">
        <f t="shared" si="5"/>
        <v>48000</v>
      </c>
      <c r="L350" s="12">
        <f>Sales_Data[[#This Row],[Unit Price]]*Sales_Data[[#This Row],[Quantity]]</f>
        <v>240000</v>
      </c>
      <c r="M350" s="12">
        <f>Sales_Data[[#This Row],[Cost Price]]*Sales_Data[[#This Row],[Quantity]]</f>
        <v>192000</v>
      </c>
      <c r="N350" s="12">
        <f>Sales_Data[[#This Row],[Revenue]]-Sales_Data[[#This Row],[COGS]]</f>
        <v>48000</v>
      </c>
    </row>
    <row r="351" spans="1:14">
      <c r="A351" s="1">
        <v>46025</v>
      </c>
      <c r="B351" t="s">
        <v>18</v>
      </c>
      <c r="C351" t="s">
        <v>12</v>
      </c>
      <c r="D351" t="s">
        <v>13</v>
      </c>
      <c r="E351" t="s">
        <v>14</v>
      </c>
      <c r="F351" t="s">
        <v>36</v>
      </c>
      <c r="G351" t="s">
        <v>31</v>
      </c>
      <c r="H351" s="12">
        <v>150000</v>
      </c>
      <c r="I351">
        <v>9</v>
      </c>
      <c r="J351" t="s">
        <v>37</v>
      </c>
      <c r="K351" s="12">
        <f t="shared" si="5"/>
        <v>120000</v>
      </c>
      <c r="L351" s="12">
        <f>Sales_Data[[#This Row],[Unit Price]]*Sales_Data[[#This Row],[Quantity]]</f>
        <v>1350000</v>
      </c>
      <c r="M351" s="12">
        <f>Sales_Data[[#This Row],[Cost Price]]*Sales_Data[[#This Row],[Quantity]]</f>
        <v>1080000</v>
      </c>
      <c r="N351" s="12">
        <f>Sales_Data[[#This Row],[Revenue]]-Sales_Data[[#This Row],[COGS]]</f>
        <v>270000</v>
      </c>
    </row>
    <row r="352" spans="1:14">
      <c r="A352" s="1">
        <v>46026</v>
      </c>
      <c r="B352" t="s">
        <v>29</v>
      </c>
      <c r="C352" t="s">
        <v>19</v>
      </c>
      <c r="D352" t="s">
        <v>23</v>
      </c>
      <c r="E352" t="s">
        <v>20</v>
      </c>
      <c r="F352" t="s">
        <v>33</v>
      </c>
      <c r="G352" t="s">
        <v>22</v>
      </c>
      <c r="H352" s="12">
        <v>180000</v>
      </c>
      <c r="I352">
        <v>3</v>
      </c>
      <c r="J352" t="s">
        <v>17</v>
      </c>
      <c r="K352" s="12">
        <f t="shared" si="5"/>
        <v>144000</v>
      </c>
      <c r="L352" s="12">
        <f>Sales_Data[[#This Row],[Unit Price]]*Sales_Data[[#This Row],[Quantity]]</f>
        <v>540000</v>
      </c>
      <c r="M352" s="12">
        <f>Sales_Data[[#This Row],[Cost Price]]*Sales_Data[[#This Row],[Quantity]]</f>
        <v>432000</v>
      </c>
      <c r="N352" s="12">
        <f>Sales_Data[[#This Row],[Revenue]]-Sales_Data[[#This Row],[COGS]]</f>
        <v>108000</v>
      </c>
    </row>
    <row r="353" spans="1:14">
      <c r="A353" s="1">
        <v>46027</v>
      </c>
      <c r="B353" t="s">
        <v>11</v>
      </c>
      <c r="C353" t="s">
        <v>12</v>
      </c>
      <c r="D353" t="s">
        <v>13</v>
      </c>
      <c r="E353" t="s">
        <v>14</v>
      </c>
      <c r="F353" t="s">
        <v>33</v>
      </c>
      <c r="G353" t="s">
        <v>22</v>
      </c>
      <c r="H353" s="12">
        <v>180000</v>
      </c>
      <c r="I353">
        <v>10</v>
      </c>
      <c r="J353" t="s">
        <v>17</v>
      </c>
      <c r="K353" s="12">
        <f t="shared" si="5"/>
        <v>144000</v>
      </c>
      <c r="L353" s="12">
        <f>Sales_Data[[#This Row],[Unit Price]]*Sales_Data[[#This Row],[Quantity]]</f>
        <v>1800000</v>
      </c>
      <c r="M353" s="12">
        <f>Sales_Data[[#This Row],[Cost Price]]*Sales_Data[[#This Row],[Quantity]]</f>
        <v>1440000</v>
      </c>
      <c r="N353" s="12">
        <f>Sales_Data[[#This Row],[Revenue]]-Sales_Data[[#This Row],[COGS]]</f>
        <v>360000</v>
      </c>
    </row>
    <row r="354" spans="1:14">
      <c r="A354" s="1">
        <v>46028</v>
      </c>
      <c r="B354" t="s">
        <v>18</v>
      </c>
      <c r="C354" t="s">
        <v>19</v>
      </c>
      <c r="D354" t="s">
        <v>13</v>
      </c>
      <c r="E354" t="s">
        <v>14</v>
      </c>
      <c r="F354" t="s">
        <v>41</v>
      </c>
      <c r="G354" t="s">
        <v>22</v>
      </c>
      <c r="H354" s="12">
        <v>220000</v>
      </c>
      <c r="I354">
        <v>2</v>
      </c>
      <c r="J354" t="s">
        <v>17</v>
      </c>
      <c r="K354" s="12">
        <f t="shared" si="5"/>
        <v>176000</v>
      </c>
      <c r="L354" s="12">
        <f>Sales_Data[[#This Row],[Unit Price]]*Sales_Data[[#This Row],[Quantity]]</f>
        <v>440000</v>
      </c>
      <c r="M354" s="12">
        <f>Sales_Data[[#This Row],[Cost Price]]*Sales_Data[[#This Row],[Quantity]]</f>
        <v>352000</v>
      </c>
      <c r="N354" s="12">
        <f>Sales_Data[[#This Row],[Revenue]]-Sales_Data[[#This Row],[COGS]]</f>
        <v>88000</v>
      </c>
    </row>
    <row r="355" spans="1:14">
      <c r="A355" s="1">
        <v>46029</v>
      </c>
      <c r="B355" t="s">
        <v>29</v>
      </c>
      <c r="C355" t="s">
        <v>12</v>
      </c>
      <c r="D355" t="s">
        <v>23</v>
      </c>
      <c r="E355" t="s">
        <v>14</v>
      </c>
      <c r="F355" t="s">
        <v>38</v>
      </c>
      <c r="G355" t="s">
        <v>31</v>
      </c>
      <c r="H355" s="12">
        <v>420000</v>
      </c>
      <c r="I355">
        <v>10</v>
      </c>
      <c r="J355" t="s">
        <v>28</v>
      </c>
      <c r="K355" s="12">
        <f t="shared" si="5"/>
        <v>336000</v>
      </c>
      <c r="L355" s="12">
        <f>Sales_Data[[#This Row],[Unit Price]]*Sales_Data[[#This Row],[Quantity]]</f>
        <v>4200000</v>
      </c>
      <c r="M355" s="12">
        <f>Sales_Data[[#This Row],[Cost Price]]*Sales_Data[[#This Row],[Quantity]]</f>
        <v>3360000</v>
      </c>
      <c r="N355" s="12">
        <f>Sales_Data[[#This Row],[Revenue]]-Sales_Data[[#This Row],[COGS]]</f>
        <v>840000</v>
      </c>
    </row>
    <row r="356" spans="1:14">
      <c r="A356" s="1">
        <v>46030</v>
      </c>
      <c r="B356" t="s">
        <v>11</v>
      </c>
      <c r="C356" t="s">
        <v>12</v>
      </c>
      <c r="D356" t="s">
        <v>13</v>
      </c>
      <c r="E356" t="s">
        <v>20</v>
      </c>
      <c r="F356" t="s">
        <v>21</v>
      </c>
      <c r="G356" t="s">
        <v>22</v>
      </c>
      <c r="H356" s="12">
        <v>30000</v>
      </c>
      <c r="I356">
        <v>9</v>
      </c>
      <c r="J356" t="s">
        <v>39</v>
      </c>
      <c r="K356" s="12">
        <f t="shared" si="5"/>
        <v>24000</v>
      </c>
      <c r="L356" s="12">
        <f>Sales_Data[[#This Row],[Unit Price]]*Sales_Data[[#This Row],[Quantity]]</f>
        <v>270000</v>
      </c>
      <c r="M356" s="12">
        <f>Sales_Data[[#This Row],[Cost Price]]*Sales_Data[[#This Row],[Quantity]]</f>
        <v>216000</v>
      </c>
      <c r="N356" s="12">
        <f>Sales_Data[[#This Row],[Revenue]]-Sales_Data[[#This Row],[COGS]]</f>
        <v>54000</v>
      </c>
    </row>
    <row r="357" spans="1:14">
      <c r="A357" s="1">
        <v>46031</v>
      </c>
      <c r="B357" t="s">
        <v>11</v>
      </c>
      <c r="C357" t="s">
        <v>32</v>
      </c>
      <c r="D357" t="s">
        <v>23</v>
      </c>
      <c r="E357" t="s">
        <v>14</v>
      </c>
      <c r="F357" t="s">
        <v>34</v>
      </c>
      <c r="G357" t="s">
        <v>16</v>
      </c>
      <c r="H357" s="12">
        <v>320000</v>
      </c>
      <c r="I357">
        <v>6</v>
      </c>
      <c r="J357" t="s">
        <v>35</v>
      </c>
      <c r="K357" s="12">
        <f t="shared" si="5"/>
        <v>256000</v>
      </c>
      <c r="L357" s="12">
        <f>Sales_Data[[#This Row],[Unit Price]]*Sales_Data[[#This Row],[Quantity]]</f>
        <v>1920000</v>
      </c>
      <c r="M357" s="12">
        <f>Sales_Data[[#This Row],[Cost Price]]*Sales_Data[[#This Row],[Quantity]]</f>
        <v>1536000</v>
      </c>
      <c r="N357" s="12">
        <f>Sales_Data[[#This Row],[Revenue]]-Sales_Data[[#This Row],[COGS]]</f>
        <v>384000</v>
      </c>
    </row>
    <row r="358" spans="1:14">
      <c r="A358" s="1">
        <v>46032</v>
      </c>
      <c r="B358" t="s">
        <v>11</v>
      </c>
      <c r="C358" t="s">
        <v>32</v>
      </c>
      <c r="D358" t="s">
        <v>13</v>
      </c>
      <c r="E358" t="s">
        <v>20</v>
      </c>
      <c r="F358" t="s">
        <v>38</v>
      </c>
      <c r="G358" t="s">
        <v>31</v>
      </c>
      <c r="H358" s="12">
        <v>420000</v>
      </c>
      <c r="I358">
        <v>2</v>
      </c>
      <c r="J358" t="s">
        <v>39</v>
      </c>
      <c r="K358" s="12">
        <f t="shared" si="5"/>
        <v>336000</v>
      </c>
      <c r="L358" s="12">
        <f>Sales_Data[[#This Row],[Unit Price]]*Sales_Data[[#This Row],[Quantity]]</f>
        <v>840000</v>
      </c>
      <c r="M358" s="12">
        <f>Sales_Data[[#This Row],[Cost Price]]*Sales_Data[[#This Row],[Quantity]]</f>
        <v>672000</v>
      </c>
      <c r="N358" s="12">
        <f>Sales_Data[[#This Row],[Revenue]]-Sales_Data[[#This Row],[COGS]]</f>
        <v>168000</v>
      </c>
    </row>
    <row r="359" spans="1:14">
      <c r="A359" s="1">
        <v>46033</v>
      </c>
      <c r="B359" t="s">
        <v>25</v>
      </c>
      <c r="C359" t="s">
        <v>26</v>
      </c>
      <c r="D359" t="s">
        <v>23</v>
      </c>
      <c r="E359" t="s">
        <v>14</v>
      </c>
      <c r="F359" t="s">
        <v>34</v>
      </c>
      <c r="G359" t="s">
        <v>16</v>
      </c>
      <c r="H359" s="12">
        <v>320000</v>
      </c>
      <c r="I359">
        <v>10</v>
      </c>
      <c r="J359" t="s">
        <v>35</v>
      </c>
      <c r="K359" s="12">
        <f t="shared" si="5"/>
        <v>256000</v>
      </c>
      <c r="L359" s="12">
        <f>Sales_Data[[#This Row],[Unit Price]]*Sales_Data[[#This Row],[Quantity]]</f>
        <v>3200000</v>
      </c>
      <c r="M359" s="12">
        <f>Sales_Data[[#This Row],[Cost Price]]*Sales_Data[[#This Row],[Quantity]]</f>
        <v>2560000</v>
      </c>
      <c r="N359" s="12">
        <f>Sales_Data[[#This Row],[Revenue]]-Sales_Data[[#This Row],[COGS]]</f>
        <v>640000</v>
      </c>
    </row>
    <row r="360" spans="1:14">
      <c r="A360" s="1">
        <v>46034</v>
      </c>
      <c r="B360" t="s">
        <v>18</v>
      </c>
      <c r="C360" t="s">
        <v>26</v>
      </c>
      <c r="D360" t="s">
        <v>23</v>
      </c>
      <c r="E360" t="s">
        <v>20</v>
      </c>
      <c r="F360" t="s">
        <v>30</v>
      </c>
      <c r="G360" t="s">
        <v>31</v>
      </c>
      <c r="H360" s="12">
        <v>300000</v>
      </c>
      <c r="I360">
        <v>8</v>
      </c>
      <c r="J360" t="s">
        <v>39</v>
      </c>
      <c r="K360" s="12">
        <f t="shared" si="5"/>
        <v>240000</v>
      </c>
      <c r="L360" s="12">
        <f>Sales_Data[[#This Row],[Unit Price]]*Sales_Data[[#This Row],[Quantity]]</f>
        <v>2400000</v>
      </c>
      <c r="M360" s="12">
        <f>Sales_Data[[#This Row],[Cost Price]]*Sales_Data[[#This Row],[Quantity]]</f>
        <v>1920000</v>
      </c>
      <c r="N360" s="12">
        <f>Sales_Data[[#This Row],[Revenue]]-Sales_Data[[#This Row],[COGS]]</f>
        <v>480000</v>
      </c>
    </row>
    <row r="361" spans="1:14">
      <c r="A361" s="1">
        <v>46035</v>
      </c>
      <c r="B361" t="s">
        <v>18</v>
      </c>
      <c r="C361" t="s">
        <v>12</v>
      </c>
      <c r="D361" t="s">
        <v>23</v>
      </c>
      <c r="E361" t="s">
        <v>14</v>
      </c>
      <c r="F361" t="s">
        <v>27</v>
      </c>
      <c r="G361" t="s">
        <v>22</v>
      </c>
      <c r="H361" s="12">
        <v>60000</v>
      </c>
      <c r="I361">
        <v>1</v>
      </c>
      <c r="J361" t="s">
        <v>24</v>
      </c>
      <c r="K361" s="12">
        <f t="shared" si="5"/>
        <v>48000</v>
      </c>
      <c r="L361" s="12">
        <f>Sales_Data[[#This Row],[Unit Price]]*Sales_Data[[#This Row],[Quantity]]</f>
        <v>60000</v>
      </c>
      <c r="M361" s="12">
        <f>Sales_Data[[#This Row],[Cost Price]]*Sales_Data[[#This Row],[Quantity]]</f>
        <v>48000</v>
      </c>
      <c r="N361" s="12">
        <f>Sales_Data[[#This Row],[Revenue]]-Sales_Data[[#This Row],[COGS]]</f>
        <v>12000</v>
      </c>
    </row>
    <row r="362" spans="1:14">
      <c r="A362" s="1">
        <v>46036</v>
      </c>
      <c r="B362" t="s">
        <v>25</v>
      </c>
      <c r="C362" t="s">
        <v>19</v>
      </c>
      <c r="D362" t="s">
        <v>23</v>
      </c>
      <c r="E362" t="s">
        <v>14</v>
      </c>
      <c r="F362" t="s">
        <v>15</v>
      </c>
      <c r="G362" t="s">
        <v>16</v>
      </c>
      <c r="H362" s="12">
        <v>85000</v>
      </c>
      <c r="I362">
        <v>3</v>
      </c>
      <c r="J362" t="s">
        <v>24</v>
      </c>
      <c r="K362" s="12">
        <f t="shared" si="5"/>
        <v>68000</v>
      </c>
      <c r="L362" s="12">
        <f>Sales_Data[[#This Row],[Unit Price]]*Sales_Data[[#This Row],[Quantity]]</f>
        <v>255000</v>
      </c>
      <c r="M362" s="12">
        <f>Sales_Data[[#This Row],[Cost Price]]*Sales_Data[[#This Row],[Quantity]]</f>
        <v>204000</v>
      </c>
      <c r="N362" s="12">
        <f>Sales_Data[[#This Row],[Revenue]]-Sales_Data[[#This Row],[COGS]]</f>
        <v>51000</v>
      </c>
    </row>
    <row r="363" spans="1:14">
      <c r="A363" s="1">
        <v>46037</v>
      </c>
      <c r="B363" t="s">
        <v>18</v>
      </c>
      <c r="C363" t="s">
        <v>26</v>
      </c>
      <c r="D363" t="s">
        <v>23</v>
      </c>
      <c r="E363" t="s">
        <v>20</v>
      </c>
      <c r="F363" t="s">
        <v>21</v>
      </c>
      <c r="G363" t="s">
        <v>22</v>
      </c>
      <c r="H363" s="12">
        <v>30000</v>
      </c>
      <c r="I363">
        <v>10</v>
      </c>
      <c r="J363" t="s">
        <v>17</v>
      </c>
      <c r="K363" s="12">
        <f t="shared" si="5"/>
        <v>24000</v>
      </c>
      <c r="L363" s="12">
        <f>Sales_Data[[#This Row],[Unit Price]]*Sales_Data[[#This Row],[Quantity]]</f>
        <v>300000</v>
      </c>
      <c r="M363" s="12">
        <f>Sales_Data[[#This Row],[Cost Price]]*Sales_Data[[#This Row],[Quantity]]</f>
        <v>240000</v>
      </c>
      <c r="N363" s="12">
        <f>Sales_Data[[#This Row],[Revenue]]-Sales_Data[[#This Row],[COGS]]</f>
        <v>60000</v>
      </c>
    </row>
    <row r="364" spans="1:14">
      <c r="A364" s="1">
        <v>46038</v>
      </c>
      <c r="B364" t="s">
        <v>18</v>
      </c>
      <c r="C364" t="s">
        <v>26</v>
      </c>
      <c r="D364" t="s">
        <v>23</v>
      </c>
      <c r="E364" t="s">
        <v>14</v>
      </c>
      <c r="F364" t="s">
        <v>21</v>
      </c>
      <c r="G364" t="s">
        <v>22</v>
      </c>
      <c r="H364" s="12">
        <v>30000</v>
      </c>
      <c r="I364">
        <v>4</v>
      </c>
      <c r="J364" t="s">
        <v>35</v>
      </c>
      <c r="K364" s="12">
        <f t="shared" si="5"/>
        <v>24000</v>
      </c>
      <c r="L364" s="12">
        <f>Sales_Data[[#This Row],[Unit Price]]*Sales_Data[[#This Row],[Quantity]]</f>
        <v>120000</v>
      </c>
      <c r="M364" s="12">
        <f>Sales_Data[[#This Row],[Cost Price]]*Sales_Data[[#This Row],[Quantity]]</f>
        <v>96000</v>
      </c>
      <c r="N364" s="12">
        <f>Sales_Data[[#This Row],[Revenue]]-Sales_Data[[#This Row],[COGS]]</f>
        <v>24000</v>
      </c>
    </row>
    <row r="365" spans="1:14">
      <c r="A365" s="1">
        <v>46039</v>
      </c>
      <c r="B365" t="s">
        <v>25</v>
      </c>
      <c r="C365" t="s">
        <v>32</v>
      </c>
      <c r="D365" t="s">
        <v>23</v>
      </c>
      <c r="E365" t="s">
        <v>20</v>
      </c>
      <c r="F365" t="s">
        <v>36</v>
      </c>
      <c r="G365" t="s">
        <v>31</v>
      </c>
      <c r="H365" s="12">
        <v>150000</v>
      </c>
      <c r="I365">
        <v>3</v>
      </c>
      <c r="J365" t="s">
        <v>24</v>
      </c>
      <c r="K365" s="12">
        <f t="shared" si="5"/>
        <v>120000</v>
      </c>
      <c r="L365" s="12">
        <f>Sales_Data[[#This Row],[Unit Price]]*Sales_Data[[#This Row],[Quantity]]</f>
        <v>450000</v>
      </c>
      <c r="M365" s="12">
        <f>Sales_Data[[#This Row],[Cost Price]]*Sales_Data[[#This Row],[Quantity]]</f>
        <v>360000</v>
      </c>
      <c r="N365" s="12">
        <f>Sales_Data[[#This Row],[Revenue]]-Sales_Data[[#This Row],[COGS]]</f>
        <v>90000</v>
      </c>
    </row>
    <row r="366" spans="1:14">
      <c r="A366" s="1">
        <v>46040</v>
      </c>
      <c r="B366" t="s">
        <v>11</v>
      </c>
      <c r="C366" t="s">
        <v>12</v>
      </c>
      <c r="D366" t="s">
        <v>23</v>
      </c>
      <c r="E366" t="s">
        <v>14</v>
      </c>
      <c r="F366" t="s">
        <v>36</v>
      </c>
      <c r="G366" t="s">
        <v>31</v>
      </c>
      <c r="H366" s="12">
        <v>150000</v>
      </c>
      <c r="I366">
        <v>3</v>
      </c>
      <c r="J366" t="s">
        <v>17</v>
      </c>
      <c r="K366" s="12">
        <f t="shared" si="5"/>
        <v>120000</v>
      </c>
      <c r="L366" s="12">
        <f>Sales_Data[[#This Row],[Unit Price]]*Sales_Data[[#This Row],[Quantity]]</f>
        <v>450000</v>
      </c>
      <c r="M366" s="12">
        <f>Sales_Data[[#This Row],[Cost Price]]*Sales_Data[[#This Row],[Quantity]]</f>
        <v>360000</v>
      </c>
      <c r="N366" s="12">
        <f>Sales_Data[[#This Row],[Revenue]]-Sales_Data[[#This Row],[COGS]]</f>
        <v>90000</v>
      </c>
    </row>
    <row r="367" spans="1:14">
      <c r="A367" s="1">
        <v>46041</v>
      </c>
      <c r="B367" t="s">
        <v>18</v>
      </c>
      <c r="C367" t="s">
        <v>26</v>
      </c>
      <c r="D367" t="s">
        <v>23</v>
      </c>
      <c r="E367" t="s">
        <v>20</v>
      </c>
      <c r="F367" t="s">
        <v>15</v>
      </c>
      <c r="G367" t="s">
        <v>16</v>
      </c>
      <c r="H367" s="12">
        <v>85000</v>
      </c>
      <c r="I367">
        <v>8</v>
      </c>
      <c r="J367" t="s">
        <v>17</v>
      </c>
      <c r="K367" s="12">
        <f t="shared" si="5"/>
        <v>68000</v>
      </c>
      <c r="L367" s="12">
        <f>Sales_Data[[#This Row],[Unit Price]]*Sales_Data[[#This Row],[Quantity]]</f>
        <v>680000</v>
      </c>
      <c r="M367" s="12">
        <f>Sales_Data[[#This Row],[Cost Price]]*Sales_Data[[#This Row],[Quantity]]</f>
        <v>544000</v>
      </c>
      <c r="N367" s="12">
        <f>Sales_Data[[#This Row],[Revenue]]-Sales_Data[[#This Row],[COGS]]</f>
        <v>136000</v>
      </c>
    </row>
    <row r="368" spans="1:14">
      <c r="A368" s="1">
        <v>46042</v>
      </c>
      <c r="B368" t="s">
        <v>25</v>
      </c>
      <c r="C368" t="s">
        <v>26</v>
      </c>
      <c r="D368" t="s">
        <v>23</v>
      </c>
      <c r="E368" t="s">
        <v>14</v>
      </c>
      <c r="F368" t="s">
        <v>38</v>
      </c>
      <c r="G368" t="s">
        <v>31</v>
      </c>
      <c r="H368" s="12">
        <v>420000</v>
      </c>
      <c r="I368">
        <v>7</v>
      </c>
      <c r="J368" t="s">
        <v>17</v>
      </c>
      <c r="K368" s="12">
        <f t="shared" si="5"/>
        <v>336000</v>
      </c>
      <c r="L368" s="12">
        <f>Sales_Data[[#This Row],[Unit Price]]*Sales_Data[[#This Row],[Quantity]]</f>
        <v>2940000</v>
      </c>
      <c r="M368" s="12">
        <f>Sales_Data[[#This Row],[Cost Price]]*Sales_Data[[#This Row],[Quantity]]</f>
        <v>2352000</v>
      </c>
      <c r="N368" s="12">
        <f>Sales_Data[[#This Row],[Revenue]]-Sales_Data[[#This Row],[COGS]]</f>
        <v>588000</v>
      </c>
    </row>
    <row r="369" spans="1:14">
      <c r="A369" s="1">
        <v>46043</v>
      </c>
      <c r="B369" t="s">
        <v>18</v>
      </c>
      <c r="C369" t="s">
        <v>32</v>
      </c>
      <c r="D369" t="s">
        <v>23</v>
      </c>
      <c r="E369" t="s">
        <v>20</v>
      </c>
      <c r="F369" t="s">
        <v>36</v>
      </c>
      <c r="G369" t="s">
        <v>31</v>
      </c>
      <c r="H369" s="12">
        <v>150000</v>
      </c>
      <c r="I369">
        <v>3</v>
      </c>
      <c r="J369" t="s">
        <v>24</v>
      </c>
      <c r="K369" s="12">
        <f t="shared" si="5"/>
        <v>120000</v>
      </c>
      <c r="L369" s="12">
        <f>Sales_Data[[#This Row],[Unit Price]]*Sales_Data[[#This Row],[Quantity]]</f>
        <v>450000</v>
      </c>
      <c r="M369" s="12">
        <f>Sales_Data[[#This Row],[Cost Price]]*Sales_Data[[#This Row],[Quantity]]</f>
        <v>360000</v>
      </c>
      <c r="N369" s="12">
        <f>Sales_Data[[#This Row],[Revenue]]-Sales_Data[[#This Row],[COGS]]</f>
        <v>90000</v>
      </c>
    </row>
    <row r="370" spans="1:14">
      <c r="A370" s="1">
        <v>46044</v>
      </c>
      <c r="B370" t="s">
        <v>11</v>
      </c>
      <c r="C370" t="s">
        <v>32</v>
      </c>
      <c r="D370" t="s">
        <v>23</v>
      </c>
      <c r="E370" t="s">
        <v>20</v>
      </c>
      <c r="F370" t="s">
        <v>34</v>
      </c>
      <c r="G370" t="s">
        <v>16</v>
      </c>
      <c r="H370" s="12">
        <v>320000</v>
      </c>
      <c r="I370">
        <v>1</v>
      </c>
      <c r="J370" t="s">
        <v>28</v>
      </c>
      <c r="K370" s="12">
        <f t="shared" si="5"/>
        <v>256000</v>
      </c>
      <c r="L370" s="12">
        <f>Sales_Data[[#This Row],[Unit Price]]*Sales_Data[[#This Row],[Quantity]]</f>
        <v>320000</v>
      </c>
      <c r="M370" s="12">
        <f>Sales_Data[[#This Row],[Cost Price]]*Sales_Data[[#This Row],[Quantity]]</f>
        <v>256000</v>
      </c>
      <c r="N370" s="12">
        <f>Sales_Data[[#This Row],[Revenue]]-Sales_Data[[#This Row],[COGS]]</f>
        <v>64000</v>
      </c>
    </row>
    <row r="371" spans="1:14">
      <c r="A371" s="1">
        <v>46045</v>
      </c>
      <c r="B371" t="s">
        <v>18</v>
      </c>
      <c r="C371" t="s">
        <v>32</v>
      </c>
      <c r="D371" t="s">
        <v>23</v>
      </c>
      <c r="E371" t="s">
        <v>14</v>
      </c>
      <c r="F371" t="s">
        <v>33</v>
      </c>
      <c r="G371" t="s">
        <v>22</v>
      </c>
      <c r="H371" s="12">
        <v>180000</v>
      </c>
      <c r="I371">
        <v>5</v>
      </c>
      <c r="J371" t="s">
        <v>17</v>
      </c>
      <c r="K371" s="12">
        <f t="shared" si="5"/>
        <v>144000</v>
      </c>
      <c r="L371" s="12">
        <f>Sales_Data[[#This Row],[Unit Price]]*Sales_Data[[#This Row],[Quantity]]</f>
        <v>900000</v>
      </c>
      <c r="M371" s="12">
        <f>Sales_Data[[#This Row],[Cost Price]]*Sales_Data[[#This Row],[Quantity]]</f>
        <v>720000</v>
      </c>
      <c r="N371" s="12">
        <f>Sales_Data[[#This Row],[Revenue]]-Sales_Data[[#This Row],[COGS]]</f>
        <v>180000</v>
      </c>
    </row>
    <row r="372" spans="1:14">
      <c r="A372" s="1">
        <v>46046</v>
      </c>
      <c r="B372" t="s">
        <v>29</v>
      </c>
      <c r="C372" t="s">
        <v>26</v>
      </c>
      <c r="D372" t="s">
        <v>23</v>
      </c>
      <c r="E372" t="s">
        <v>20</v>
      </c>
      <c r="F372" t="s">
        <v>30</v>
      </c>
      <c r="G372" t="s">
        <v>31</v>
      </c>
      <c r="H372" s="12">
        <v>300000</v>
      </c>
      <c r="I372">
        <v>1</v>
      </c>
      <c r="J372" t="s">
        <v>28</v>
      </c>
      <c r="K372" s="12">
        <f t="shared" si="5"/>
        <v>240000</v>
      </c>
      <c r="L372" s="12">
        <f>Sales_Data[[#This Row],[Unit Price]]*Sales_Data[[#This Row],[Quantity]]</f>
        <v>300000</v>
      </c>
      <c r="M372" s="12">
        <f>Sales_Data[[#This Row],[Cost Price]]*Sales_Data[[#This Row],[Quantity]]</f>
        <v>240000</v>
      </c>
      <c r="N372" s="12">
        <f>Sales_Data[[#This Row],[Revenue]]-Sales_Data[[#This Row],[COGS]]</f>
        <v>60000</v>
      </c>
    </row>
    <row r="373" spans="1:14">
      <c r="A373" s="1">
        <v>46047</v>
      </c>
      <c r="B373" t="s">
        <v>18</v>
      </c>
      <c r="C373" t="s">
        <v>12</v>
      </c>
      <c r="D373" t="s">
        <v>23</v>
      </c>
      <c r="E373" t="s">
        <v>14</v>
      </c>
      <c r="F373" t="s">
        <v>33</v>
      </c>
      <c r="G373" t="s">
        <v>22</v>
      </c>
      <c r="H373" s="12">
        <v>180000</v>
      </c>
      <c r="I373">
        <v>8</v>
      </c>
      <c r="J373" t="s">
        <v>37</v>
      </c>
      <c r="K373" s="12">
        <f t="shared" si="5"/>
        <v>144000</v>
      </c>
      <c r="L373" s="12">
        <f>Sales_Data[[#This Row],[Unit Price]]*Sales_Data[[#This Row],[Quantity]]</f>
        <v>1440000</v>
      </c>
      <c r="M373" s="12">
        <f>Sales_Data[[#This Row],[Cost Price]]*Sales_Data[[#This Row],[Quantity]]</f>
        <v>1152000</v>
      </c>
      <c r="N373" s="12">
        <f>Sales_Data[[#This Row],[Revenue]]-Sales_Data[[#This Row],[COGS]]</f>
        <v>288000</v>
      </c>
    </row>
    <row r="374" spans="1:14">
      <c r="A374" s="1">
        <v>46048</v>
      </c>
      <c r="B374" t="s">
        <v>25</v>
      </c>
      <c r="C374" t="s">
        <v>26</v>
      </c>
      <c r="D374" t="s">
        <v>23</v>
      </c>
      <c r="E374" t="s">
        <v>14</v>
      </c>
      <c r="F374" t="s">
        <v>33</v>
      </c>
      <c r="G374" t="s">
        <v>22</v>
      </c>
      <c r="H374" s="12">
        <v>180000</v>
      </c>
      <c r="I374">
        <v>3</v>
      </c>
      <c r="J374" t="s">
        <v>35</v>
      </c>
      <c r="K374" s="12">
        <f t="shared" si="5"/>
        <v>144000</v>
      </c>
      <c r="L374" s="12">
        <f>Sales_Data[[#This Row],[Unit Price]]*Sales_Data[[#This Row],[Quantity]]</f>
        <v>540000</v>
      </c>
      <c r="M374" s="12">
        <f>Sales_Data[[#This Row],[Cost Price]]*Sales_Data[[#This Row],[Quantity]]</f>
        <v>432000</v>
      </c>
      <c r="N374" s="12">
        <f>Sales_Data[[#This Row],[Revenue]]-Sales_Data[[#This Row],[COGS]]</f>
        <v>108000</v>
      </c>
    </row>
    <row r="375" spans="1:14">
      <c r="A375" s="1">
        <v>46049</v>
      </c>
      <c r="B375" t="s">
        <v>11</v>
      </c>
      <c r="C375" t="s">
        <v>32</v>
      </c>
      <c r="D375" t="s">
        <v>23</v>
      </c>
      <c r="E375" t="s">
        <v>20</v>
      </c>
      <c r="F375" t="s">
        <v>34</v>
      </c>
      <c r="G375" t="s">
        <v>16</v>
      </c>
      <c r="H375" s="12">
        <v>320000</v>
      </c>
      <c r="I375">
        <v>6</v>
      </c>
      <c r="J375" t="s">
        <v>39</v>
      </c>
      <c r="K375" s="12">
        <f t="shared" si="5"/>
        <v>256000</v>
      </c>
      <c r="L375" s="12">
        <f>Sales_Data[[#This Row],[Unit Price]]*Sales_Data[[#This Row],[Quantity]]</f>
        <v>1920000</v>
      </c>
      <c r="M375" s="12">
        <f>Sales_Data[[#This Row],[Cost Price]]*Sales_Data[[#This Row],[Quantity]]</f>
        <v>1536000</v>
      </c>
      <c r="N375" s="12">
        <f>Sales_Data[[#This Row],[Revenue]]-Sales_Data[[#This Row],[COGS]]</f>
        <v>384000</v>
      </c>
    </row>
    <row r="376" spans="1:14">
      <c r="A376" s="1">
        <v>46050</v>
      </c>
      <c r="B376" t="s">
        <v>11</v>
      </c>
      <c r="C376" t="s">
        <v>32</v>
      </c>
      <c r="D376" t="s">
        <v>23</v>
      </c>
      <c r="E376" t="s">
        <v>20</v>
      </c>
      <c r="F376" t="s">
        <v>27</v>
      </c>
      <c r="G376" t="s">
        <v>22</v>
      </c>
      <c r="H376" s="12">
        <v>60000</v>
      </c>
      <c r="I376">
        <v>10</v>
      </c>
      <c r="J376" t="s">
        <v>17</v>
      </c>
      <c r="K376" s="12">
        <f t="shared" si="5"/>
        <v>48000</v>
      </c>
      <c r="L376" s="12">
        <f>Sales_Data[[#This Row],[Unit Price]]*Sales_Data[[#This Row],[Quantity]]</f>
        <v>600000</v>
      </c>
      <c r="M376" s="12">
        <f>Sales_Data[[#This Row],[Cost Price]]*Sales_Data[[#This Row],[Quantity]]</f>
        <v>480000</v>
      </c>
      <c r="N376" s="12">
        <f>Sales_Data[[#This Row],[Revenue]]-Sales_Data[[#This Row],[COGS]]</f>
        <v>120000</v>
      </c>
    </row>
    <row r="377" spans="1:14">
      <c r="A377" s="1">
        <v>46051</v>
      </c>
      <c r="B377" t="s">
        <v>25</v>
      </c>
      <c r="C377" t="s">
        <v>19</v>
      </c>
      <c r="D377" t="s">
        <v>23</v>
      </c>
      <c r="E377" t="s">
        <v>20</v>
      </c>
      <c r="F377" t="s">
        <v>30</v>
      </c>
      <c r="G377" t="s">
        <v>31</v>
      </c>
      <c r="H377" s="12">
        <v>300000</v>
      </c>
      <c r="I377">
        <v>1</v>
      </c>
      <c r="J377" t="s">
        <v>37</v>
      </c>
      <c r="K377" s="12">
        <f t="shared" si="5"/>
        <v>240000</v>
      </c>
      <c r="L377" s="12">
        <f>Sales_Data[[#This Row],[Unit Price]]*Sales_Data[[#This Row],[Quantity]]</f>
        <v>300000</v>
      </c>
      <c r="M377" s="12">
        <f>Sales_Data[[#This Row],[Cost Price]]*Sales_Data[[#This Row],[Quantity]]</f>
        <v>240000</v>
      </c>
      <c r="N377" s="12">
        <f>Sales_Data[[#This Row],[Revenue]]-Sales_Data[[#This Row],[COGS]]</f>
        <v>60000</v>
      </c>
    </row>
    <row r="378" spans="1:14">
      <c r="A378" s="1">
        <v>46052</v>
      </c>
      <c r="B378" t="s">
        <v>11</v>
      </c>
      <c r="C378" t="s">
        <v>19</v>
      </c>
      <c r="D378" t="s">
        <v>23</v>
      </c>
      <c r="E378" t="s">
        <v>14</v>
      </c>
      <c r="F378" t="s">
        <v>33</v>
      </c>
      <c r="G378" t="s">
        <v>22</v>
      </c>
      <c r="H378" s="12">
        <v>180000</v>
      </c>
      <c r="I378">
        <v>1</v>
      </c>
      <c r="J378" t="s">
        <v>24</v>
      </c>
      <c r="K378" s="12">
        <f t="shared" si="5"/>
        <v>144000</v>
      </c>
      <c r="L378" s="12">
        <f>Sales_Data[[#This Row],[Unit Price]]*Sales_Data[[#This Row],[Quantity]]</f>
        <v>180000</v>
      </c>
      <c r="M378" s="12">
        <f>Sales_Data[[#This Row],[Cost Price]]*Sales_Data[[#This Row],[Quantity]]</f>
        <v>144000</v>
      </c>
      <c r="N378" s="12">
        <f>Sales_Data[[#This Row],[Revenue]]-Sales_Data[[#This Row],[COGS]]</f>
        <v>36000</v>
      </c>
    </row>
    <row r="379" spans="1:14">
      <c r="A379" s="1">
        <v>46053</v>
      </c>
      <c r="B379" t="s">
        <v>18</v>
      </c>
      <c r="C379" t="s">
        <v>19</v>
      </c>
      <c r="D379" t="s">
        <v>13</v>
      </c>
      <c r="E379" t="s">
        <v>20</v>
      </c>
      <c r="F379" t="s">
        <v>41</v>
      </c>
      <c r="G379" t="s">
        <v>22</v>
      </c>
      <c r="H379" s="12">
        <v>220000</v>
      </c>
      <c r="I379">
        <v>8</v>
      </c>
      <c r="J379" t="s">
        <v>37</v>
      </c>
      <c r="K379" s="12">
        <f t="shared" si="5"/>
        <v>176000</v>
      </c>
      <c r="L379" s="12">
        <f>Sales_Data[[#This Row],[Unit Price]]*Sales_Data[[#This Row],[Quantity]]</f>
        <v>1760000</v>
      </c>
      <c r="M379" s="12">
        <f>Sales_Data[[#This Row],[Cost Price]]*Sales_Data[[#This Row],[Quantity]]</f>
        <v>1408000</v>
      </c>
      <c r="N379" s="12">
        <f>Sales_Data[[#This Row],[Revenue]]-Sales_Data[[#This Row],[COGS]]</f>
        <v>352000</v>
      </c>
    </row>
    <row r="380" spans="1:14">
      <c r="A380" s="1">
        <v>46054</v>
      </c>
      <c r="B380" t="s">
        <v>29</v>
      </c>
      <c r="C380" t="s">
        <v>19</v>
      </c>
      <c r="D380" t="s">
        <v>23</v>
      </c>
      <c r="E380" t="s">
        <v>20</v>
      </c>
      <c r="F380" t="s">
        <v>15</v>
      </c>
      <c r="G380" t="s">
        <v>16</v>
      </c>
      <c r="H380" s="12">
        <v>85000</v>
      </c>
      <c r="I380">
        <v>7</v>
      </c>
      <c r="J380" t="s">
        <v>28</v>
      </c>
      <c r="K380" s="12">
        <f t="shared" si="5"/>
        <v>68000</v>
      </c>
      <c r="L380" s="12">
        <f>Sales_Data[[#This Row],[Unit Price]]*Sales_Data[[#This Row],[Quantity]]</f>
        <v>595000</v>
      </c>
      <c r="M380" s="12">
        <f>Sales_Data[[#This Row],[Cost Price]]*Sales_Data[[#This Row],[Quantity]]</f>
        <v>476000</v>
      </c>
      <c r="N380" s="12">
        <f>Sales_Data[[#This Row],[Revenue]]-Sales_Data[[#This Row],[COGS]]</f>
        <v>119000</v>
      </c>
    </row>
    <row r="381" spans="1:14">
      <c r="A381" s="1">
        <v>46055</v>
      </c>
      <c r="B381" t="s">
        <v>11</v>
      </c>
      <c r="C381" t="s">
        <v>12</v>
      </c>
      <c r="D381" t="s">
        <v>13</v>
      </c>
      <c r="E381" t="s">
        <v>20</v>
      </c>
      <c r="F381" t="s">
        <v>33</v>
      </c>
      <c r="G381" t="s">
        <v>22</v>
      </c>
      <c r="H381" s="12">
        <v>180000</v>
      </c>
      <c r="I381">
        <v>9</v>
      </c>
      <c r="J381" t="s">
        <v>39</v>
      </c>
      <c r="K381" s="12">
        <f t="shared" si="5"/>
        <v>144000</v>
      </c>
      <c r="L381" s="12">
        <f>Sales_Data[[#This Row],[Unit Price]]*Sales_Data[[#This Row],[Quantity]]</f>
        <v>1620000</v>
      </c>
      <c r="M381" s="12">
        <f>Sales_Data[[#This Row],[Cost Price]]*Sales_Data[[#This Row],[Quantity]]</f>
        <v>1296000</v>
      </c>
      <c r="N381" s="12">
        <f>Sales_Data[[#This Row],[Revenue]]-Sales_Data[[#This Row],[COGS]]</f>
        <v>324000</v>
      </c>
    </row>
    <row r="382" spans="1:14">
      <c r="A382" s="1">
        <v>46056</v>
      </c>
      <c r="B382" t="s">
        <v>29</v>
      </c>
      <c r="C382" t="s">
        <v>12</v>
      </c>
      <c r="D382" t="s">
        <v>23</v>
      </c>
      <c r="E382" t="s">
        <v>14</v>
      </c>
      <c r="F382" t="s">
        <v>34</v>
      </c>
      <c r="G382" t="s">
        <v>16</v>
      </c>
      <c r="H382" s="12">
        <v>320000</v>
      </c>
      <c r="I382">
        <v>3</v>
      </c>
      <c r="J382" t="s">
        <v>35</v>
      </c>
      <c r="K382" s="12">
        <f t="shared" si="5"/>
        <v>256000</v>
      </c>
      <c r="L382" s="12">
        <f>Sales_Data[[#This Row],[Unit Price]]*Sales_Data[[#This Row],[Quantity]]</f>
        <v>960000</v>
      </c>
      <c r="M382" s="12">
        <f>Sales_Data[[#This Row],[Cost Price]]*Sales_Data[[#This Row],[Quantity]]</f>
        <v>768000</v>
      </c>
      <c r="N382" s="12">
        <f>Sales_Data[[#This Row],[Revenue]]-Sales_Data[[#This Row],[COGS]]</f>
        <v>192000</v>
      </c>
    </row>
    <row r="383" spans="1:14">
      <c r="A383" s="1">
        <v>46057</v>
      </c>
      <c r="B383" t="s">
        <v>29</v>
      </c>
      <c r="C383" t="s">
        <v>12</v>
      </c>
      <c r="D383" t="s">
        <v>23</v>
      </c>
      <c r="E383" t="s">
        <v>14</v>
      </c>
      <c r="F383" t="s">
        <v>36</v>
      </c>
      <c r="G383" t="s">
        <v>31</v>
      </c>
      <c r="H383" s="12">
        <v>150000</v>
      </c>
      <c r="I383">
        <v>4</v>
      </c>
      <c r="J383" t="s">
        <v>17</v>
      </c>
      <c r="K383" s="12">
        <f t="shared" si="5"/>
        <v>120000</v>
      </c>
      <c r="L383" s="12">
        <f>Sales_Data[[#This Row],[Unit Price]]*Sales_Data[[#This Row],[Quantity]]</f>
        <v>600000</v>
      </c>
      <c r="M383" s="12">
        <f>Sales_Data[[#This Row],[Cost Price]]*Sales_Data[[#This Row],[Quantity]]</f>
        <v>480000</v>
      </c>
      <c r="N383" s="12">
        <f>Sales_Data[[#This Row],[Revenue]]-Sales_Data[[#This Row],[COGS]]</f>
        <v>120000</v>
      </c>
    </row>
    <row r="384" spans="1:14">
      <c r="A384" s="1">
        <v>46058</v>
      </c>
      <c r="B384" t="s">
        <v>18</v>
      </c>
      <c r="C384" t="s">
        <v>19</v>
      </c>
      <c r="D384" t="s">
        <v>13</v>
      </c>
      <c r="E384" t="s">
        <v>14</v>
      </c>
      <c r="F384" t="s">
        <v>41</v>
      </c>
      <c r="G384" t="s">
        <v>22</v>
      </c>
      <c r="H384" s="12">
        <v>220000</v>
      </c>
      <c r="I384">
        <v>10</v>
      </c>
      <c r="J384" t="s">
        <v>39</v>
      </c>
      <c r="K384" s="12">
        <f t="shared" si="5"/>
        <v>176000</v>
      </c>
      <c r="L384" s="12">
        <f>Sales_Data[[#This Row],[Unit Price]]*Sales_Data[[#This Row],[Quantity]]</f>
        <v>2200000</v>
      </c>
      <c r="M384" s="12">
        <f>Sales_Data[[#This Row],[Cost Price]]*Sales_Data[[#This Row],[Quantity]]</f>
        <v>1760000</v>
      </c>
      <c r="N384" s="12">
        <f>Sales_Data[[#This Row],[Revenue]]-Sales_Data[[#This Row],[COGS]]</f>
        <v>440000</v>
      </c>
    </row>
    <row r="385" spans="1:14">
      <c r="A385" s="1">
        <v>46059</v>
      </c>
      <c r="B385" t="s">
        <v>25</v>
      </c>
      <c r="C385" t="s">
        <v>12</v>
      </c>
      <c r="D385" t="s">
        <v>23</v>
      </c>
      <c r="E385" t="s">
        <v>14</v>
      </c>
      <c r="F385" t="s">
        <v>36</v>
      </c>
      <c r="G385" t="s">
        <v>31</v>
      </c>
      <c r="H385" s="12">
        <v>150000</v>
      </c>
      <c r="I385">
        <v>6</v>
      </c>
      <c r="J385" t="s">
        <v>17</v>
      </c>
      <c r="K385" s="12">
        <f t="shared" si="5"/>
        <v>120000</v>
      </c>
      <c r="L385" s="12">
        <f>Sales_Data[[#This Row],[Unit Price]]*Sales_Data[[#This Row],[Quantity]]</f>
        <v>900000</v>
      </c>
      <c r="M385" s="12">
        <f>Sales_Data[[#This Row],[Cost Price]]*Sales_Data[[#This Row],[Quantity]]</f>
        <v>720000</v>
      </c>
      <c r="N385" s="12">
        <f>Sales_Data[[#This Row],[Revenue]]-Sales_Data[[#This Row],[COGS]]</f>
        <v>180000</v>
      </c>
    </row>
    <row r="386" spans="1:14">
      <c r="A386" s="1">
        <v>46060</v>
      </c>
      <c r="B386" t="s">
        <v>11</v>
      </c>
      <c r="C386" t="s">
        <v>19</v>
      </c>
      <c r="D386" t="s">
        <v>23</v>
      </c>
      <c r="E386" t="s">
        <v>20</v>
      </c>
      <c r="F386" t="s">
        <v>33</v>
      </c>
      <c r="G386" t="s">
        <v>22</v>
      </c>
      <c r="H386" s="12">
        <v>180000</v>
      </c>
      <c r="I386">
        <v>1</v>
      </c>
      <c r="J386" t="s">
        <v>28</v>
      </c>
      <c r="K386" s="12">
        <f t="shared" ref="K386:K449" si="6">H386-H386*0.2</f>
        <v>144000</v>
      </c>
      <c r="L386" s="12">
        <f>Sales_Data[[#This Row],[Unit Price]]*Sales_Data[[#This Row],[Quantity]]</f>
        <v>180000</v>
      </c>
      <c r="M386" s="12">
        <f>Sales_Data[[#This Row],[Cost Price]]*Sales_Data[[#This Row],[Quantity]]</f>
        <v>144000</v>
      </c>
      <c r="N386" s="12">
        <f>Sales_Data[[#This Row],[Revenue]]-Sales_Data[[#This Row],[COGS]]</f>
        <v>36000</v>
      </c>
    </row>
    <row r="387" spans="1:14">
      <c r="A387" s="1">
        <v>46061</v>
      </c>
      <c r="B387" t="s">
        <v>18</v>
      </c>
      <c r="C387" t="s">
        <v>26</v>
      </c>
      <c r="D387" t="s">
        <v>13</v>
      </c>
      <c r="E387" t="s">
        <v>14</v>
      </c>
      <c r="F387" t="s">
        <v>21</v>
      </c>
      <c r="G387" t="s">
        <v>22</v>
      </c>
      <c r="H387" s="12">
        <v>30000</v>
      </c>
      <c r="I387">
        <v>2</v>
      </c>
      <c r="J387" t="s">
        <v>35</v>
      </c>
      <c r="K387" s="12">
        <f t="shared" si="6"/>
        <v>24000</v>
      </c>
      <c r="L387" s="12">
        <f>Sales_Data[[#This Row],[Unit Price]]*Sales_Data[[#This Row],[Quantity]]</f>
        <v>60000</v>
      </c>
      <c r="M387" s="12">
        <f>Sales_Data[[#This Row],[Cost Price]]*Sales_Data[[#This Row],[Quantity]]</f>
        <v>48000</v>
      </c>
      <c r="N387" s="12">
        <f>Sales_Data[[#This Row],[Revenue]]-Sales_Data[[#This Row],[COGS]]</f>
        <v>12000</v>
      </c>
    </row>
    <row r="388" spans="1:14">
      <c r="A388" s="1">
        <v>46062</v>
      </c>
      <c r="B388" t="s">
        <v>29</v>
      </c>
      <c r="C388" t="s">
        <v>32</v>
      </c>
      <c r="D388" t="s">
        <v>23</v>
      </c>
      <c r="E388" t="s">
        <v>14</v>
      </c>
      <c r="F388" t="s">
        <v>34</v>
      </c>
      <c r="G388" t="s">
        <v>16</v>
      </c>
      <c r="H388" s="12">
        <v>320000</v>
      </c>
      <c r="I388">
        <v>7</v>
      </c>
      <c r="J388" t="s">
        <v>17</v>
      </c>
      <c r="K388" s="12">
        <f t="shared" si="6"/>
        <v>256000</v>
      </c>
      <c r="L388" s="12">
        <f>Sales_Data[[#This Row],[Unit Price]]*Sales_Data[[#This Row],[Quantity]]</f>
        <v>2240000</v>
      </c>
      <c r="M388" s="12">
        <f>Sales_Data[[#This Row],[Cost Price]]*Sales_Data[[#This Row],[Quantity]]</f>
        <v>1792000</v>
      </c>
      <c r="N388" s="12">
        <f>Sales_Data[[#This Row],[Revenue]]-Sales_Data[[#This Row],[COGS]]</f>
        <v>448000</v>
      </c>
    </row>
    <row r="389" spans="1:14">
      <c r="A389" s="1">
        <v>46063</v>
      </c>
      <c r="B389" t="s">
        <v>29</v>
      </c>
      <c r="C389" t="s">
        <v>26</v>
      </c>
      <c r="D389" t="s">
        <v>13</v>
      </c>
      <c r="E389" t="s">
        <v>20</v>
      </c>
      <c r="F389" t="s">
        <v>15</v>
      </c>
      <c r="G389" t="s">
        <v>16</v>
      </c>
      <c r="H389" s="12">
        <v>85000</v>
      </c>
      <c r="I389">
        <v>10</v>
      </c>
      <c r="J389" t="s">
        <v>24</v>
      </c>
      <c r="K389" s="12">
        <f t="shared" si="6"/>
        <v>68000</v>
      </c>
      <c r="L389" s="12">
        <f>Sales_Data[[#This Row],[Unit Price]]*Sales_Data[[#This Row],[Quantity]]</f>
        <v>850000</v>
      </c>
      <c r="M389" s="12">
        <f>Sales_Data[[#This Row],[Cost Price]]*Sales_Data[[#This Row],[Quantity]]</f>
        <v>680000</v>
      </c>
      <c r="N389" s="12">
        <f>Sales_Data[[#This Row],[Revenue]]-Sales_Data[[#This Row],[COGS]]</f>
        <v>170000</v>
      </c>
    </row>
    <row r="390" spans="1:14">
      <c r="A390" s="1">
        <v>46064</v>
      </c>
      <c r="B390" t="s">
        <v>18</v>
      </c>
      <c r="C390" t="s">
        <v>12</v>
      </c>
      <c r="D390" t="s">
        <v>23</v>
      </c>
      <c r="E390" t="s">
        <v>14</v>
      </c>
      <c r="F390" t="s">
        <v>33</v>
      </c>
      <c r="G390" t="s">
        <v>22</v>
      </c>
      <c r="H390" s="12">
        <v>180000</v>
      </c>
      <c r="I390">
        <v>7</v>
      </c>
      <c r="J390" t="s">
        <v>28</v>
      </c>
      <c r="K390" s="12">
        <f t="shared" si="6"/>
        <v>144000</v>
      </c>
      <c r="L390" s="12">
        <f>Sales_Data[[#This Row],[Unit Price]]*Sales_Data[[#This Row],[Quantity]]</f>
        <v>1260000</v>
      </c>
      <c r="M390" s="12">
        <f>Sales_Data[[#This Row],[Cost Price]]*Sales_Data[[#This Row],[Quantity]]</f>
        <v>1008000</v>
      </c>
      <c r="N390" s="12">
        <f>Sales_Data[[#This Row],[Revenue]]-Sales_Data[[#This Row],[COGS]]</f>
        <v>252000</v>
      </c>
    </row>
    <row r="391" spans="1:14">
      <c r="A391" s="1">
        <v>46065</v>
      </c>
      <c r="B391" t="s">
        <v>25</v>
      </c>
      <c r="C391" t="s">
        <v>19</v>
      </c>
      <c r="D391" t="s">
        <v>13</v>
      </c>
      <c r="E391" t="s">
        <v>14</v>
      </c>
      <c r="F391" t="s">
        <v>38</v>
      </c>
      <c r="G391" t="s">
        <v>31</v>
      </c>
      <c r="H391" s="12">
        <v>420000</v>
      </c>
      <c r="I391">
        <v>5</v>
      </c>
      <c r="J391" t="s">
        <v>35</v>
      </c>
      <c r="K391" s="12">
        <f t="shared" si="6"/>
        <v>336000</v>
      </c>
      <c r="L391" s="12">
        <f>Sales_Data[[#This Row],[Unit Price]]*Sales_Data[[#This Row],[Quantity]]</f>
        <v>2100000</v>
      </c>
      <c r="M391" s="12">
        <f>Sales_Data[[#This Row],[Cost Price]]*Sales_Data[[#This Row],[Quantity]]</f>
        <v>1680000</v>
      </c>
      <c r="N391" s="12">
        <f>Sales_Data[[#This Row],[Revenue]]-Sales_Data[[#This Row],[COGS]]</f>
        <v>420000</v>
      </c>
    </row>
    <row r="392" spans="1:14">
      <c r="A392" s="1">
        <v>46066</v>
      </c>
      <c r="B392" t="s">
        <v>25</v>
      </c>
      <c r="C392" t="s">
        <v>32</v>
      </c>
      <c r="D392" t="s">
        <v>23</v>
      </c>
      <c r="E392" t="s">
        <v>20</v>
      </c>
      <c r="F392" t="s">
        <v>34</v>
      </c>
      <c r="G392" t="s">
        <v>16</v>
      </c>
      <c r="H392" s="12">
        <v>320000</v>
      </c>
      <c r="I392">
        <v>8</v>
      </c>
      <c r="J392" t="s">
        <v>24</v>
      </c>
      <c r="K392" s="12">
        <f t="shared" si="6"/>
        <v>256000</v>
      </c>
      <c r="L392" s="12">
        <f>Sales_Data[[#This Row],[Unit Price]]*Sales_Data[[#This Row],[Quantity]]</f>
        <v>2560000</v>
      </c>
      <c r="M392" s="12">
        <f>Sales_Data[[#This Row],[Cost Price]]*Sales_Data[[#This Row],[Quantity]]</f>
        <v>2048000</v>
      </c>
      <c r="N392" s="12">
        <f>Sales_Data[[#This Row],[Revenue]]-Sales_Data[[#This Row],[COGS]]</f>
        <v>512000</v>
      </c>
    </row>
    <row r="393" spans="1:14">
      <c r="A393" s="1">
        <v>46067</v>
      </c>
      <c r="B393" t="s">
        <v>18</v>
      </c>
      <c r="C393" t="s">
        <v>26</v>
      </c>
      <c r="D393" t="s">
        <v>23</v>
      </c>
      <c r="E393" t="s">
        <v>20</v>
      </c>
      <c r="F393" t="s">
        <v>33</v>
      </c>
      <c r="G393" t="s">
        <v>22</v>
      </c>
      <c r="H393" s="12">
        <v>180000</v>
      </c>
      <c r="I393">
        <v>5</v>
      </c>
      <c r="J393" t="s">
        <v>28</v>
      </c>
      <c r="K393" s="12">
        <f t="shared" si="6"/>
        <v>144000</v>
      </c>
      <c r="L393" s="12">
        <f>Sales_Data[[#This Row],[Unit Price]]*Sales_Data[[#This Row],[Quantity]]</f>
        <v>900000</v>
      </c>
      <c r="M393" s="12">
        <f>Sales_Data[[#This Row],[Cost Price]]*Sales_Data[[#This Row],[Quantity]]</f>
        <v>720000</v>
      </c>
      <c r="N393" s="12">
        <f>Sales_Data[[#This Row],[Revenue]]-Sales_Data[[#This Row],[COGS]]</f>
        <v>180000</v>
      </c>
    </row>
    <row r="394" spans="1:14">
      <c r="A394" s="1">
        <v>46068</v>
      </c>
      <c r="B394" t="s">
        <v>29</v>
      </c>
      <c r="C394" t="s">
        <v>12</v>
      </c>
      <c r="D394" t="s">
        <v>23</v>
      </c>
      <c r="E394" t="s">
        <v>20</v>
      </c>
      <c r="F394" t="s">
        <v>38</v>
      </c>
      <c r="G394" t="s">
        <v>31</v>
      </c>
      <c r="H394" s="12">
        <v>420000</v>
      </c>
      <c r="I394">
        <v>2</v>
      </c>
      <c r="J394" t="s">
        <v>17</v>
      </c>
      <c r="K394" s="12">
        <f t="shared" si="6"/>
        <v>336000</v>
      </c>
      <c r="L394" s="12">
        <f>Sales_Data[[#This Row],[Unit Price]]*Sales_Data[[#This Row],[Quantity]]</f>
        <v>840000</v>
      </c>
      <c r="M394" s="12">
        <f>Sales_Data[[#This Row],[Cost Price]]*Sales_Data[[#This Row],[Quantity]]</f>
        <v>672000</v>
      </c>
      <c r="N394" s="12">
        <f>Sales_Data[[#This Row],[Revenue]]-Sales_Data[[#This Row],[COGS]]</f>
        <v>168000</v>
      </c>
    </row>
    <row r="395" spans="1:14">
      <c r="A395" s="1">
        <v>46069</v>
      </c>
      <c r="B395" t="s">
        <v>29</v>
      </c>
      <c r="C395" t="s">
        <v>26</v>
      </c>
      <c r="D395" t="s">
        <v>13</v>
      </c>
      <c r="E395" t="s">
        <v>14</v>
      </c>
      <c r="F395" t="s">
        <v>30</v>
      </c>
      <c r="G395" t="s">
        <v>31</v>
      </c>
      <c r="H395" s="12">
        <v>300000</v>
      </c>
      <c r="I395">
        <v>8</v>
      </c>
      <c r="J395" t="s">
        <v>24</v>
      </c>
      <c r="K395" s="12">
        <f t="shared" si="6"/>
        <v>240000</v>
      </c>
      <c r="L395" s="12">
        <f>Sales_Data[[#This Row],[Unit Price]]*Sales_Data[[#This Row],[Quantity]]</f>
        <v>2400000</v>
      </c>
      <c r="M395" s="12">
        <f>Sales_Data[[#This Row],[Cost Price]]*Sales_Data[[#This Row],[Quantity]]</f>
        <v>1920000</v>
      </c>
      <c r="N395" s="12">
        <f>Sales_Data[[#This Row],[Revenue]]-Sales_Data[[#This Row],[COGS]]</f>
        <v>480000</v>
      </c>
    </row>
    <row r="396" spans="1:14">
      <c r="A396" s="1">
        <v>46070</v>
      </c>
      <c r="B396" t="s">
        <v>18</v>
      </c>
      <c r="C396" t="s">
        <v>26</v>
      </c>
      <c r="D396" t="s">
        <v>13</v>
      </c>
      <c r="E396" t="s">
        <v>14</v>
      </c>
      <c r="F396" t="s">
        <v>34</v>
      </c>
      <c r="G396" t="s">
        <v>16</v>
      </c>
      <c r="H396" s="12">
        <v>320000</v>
      </c>
      <c r="I396">
        <v>1</v>
      </c>
      <c r="J396" t="s">
        <v>24</v>
      </c>
      <c r="K396" s="12">
        <f t="shared" si="6"/>
        <v>256000</v>
      </c>
      <c r="L396" s="12">
        <f>Sales_Data[[#This Row],[Unit Price]]*Sales_Data[[#This Row],[Quantity]]</f>
        <v>320000</v>
      </c>
      <c r="M396" s="12">
        <f>Sales_Data[[#This Row],[Cost Price]]*Sales_Data[[#This Row],[Quantity]]</f>
        <v>256000</v>
      </c>
      <c r="N396" s="12">
        <f>Sales_Data[[#This Row],[Revenue]]-Sales_Data[[#This Row],[COGS]]</f>
        <v>64000</v>
      </c>
    </row>
    <row r="397" spans="1:14">
      <c r="A397" s="1">
        <v>46071</v>
      </c>
      <c r="B397" t="s">
        <v>18</v>
      </c>
      <c r="C397" t="s">
        <v>26</v>
      </c>
      <c r="D397" t="s">
        <v>13</v>
      </c>
      <c r="E397" t="s">
        <v>14</v>
      </c>
      <c r="F397" t="s">
        <v>38</v>
      </c>
      <c r="G397" t="s">
        <v>31</v>
      </c>
      <c r="H397" s="12">
        <v>420000</v>
      </c>
      <c r="I397">
        <v>9</v>
      </c>
      <c r="J397" t="s">
        <v>17</v>
      </c>
      <c r="K397" s="12">
        <f t="shared" si="6"/>
        <v>336000</v>
      </c>
      <c r="L397" s="12">
        <f>Sales_Data[[#This Row],[Unit Price]]*Sales_Data[[#This Row],[Quantity]]</f>
        <v>3780000</v>
      </c>
      <c r="M397" s="12">
        <f>Sales_Data[[#This Row],[Cost Price]]*Sales_Data[[#This Row],[Quantity]]</f>
        <v>3024000</v>
      </c>
      <c r="N397" s="12">
        <f>Sales_Data[[#This Row],[Revenue]]-Sales_Data[[#This Row],[COGS]]</f>
        <v>756000</v>
      </c>
    </row>
    <row r="398" spans="1:14">
      <c r="A398" s="1">
        <v>46072</v>
      </c>
      <c r="B398" t="s">
        <v>18</v>
      </c>
      <c r="C398" t="s">
        <v>32</v>
      </c>
      <c r="D398" t="s">
        <v>23</v>
      </c>
      <c r="E398" t="s">
        <v>20</v>
      </c>
      <c r="F398" t="s">
        <v>15</v>
      </c>
      <c r="G398" t="s">
        <v>16</v>
      </c>
      <c r="H398" s="12">
        <v>85000</v>
      </c>
      <c r="I398">
        <v>8</v>
      </c>
      <c r="J398" t="s">
        <v>39</v>
      </c>
      <c r="K398" s="12">
        <f t="shared" si="6"/>
        <v>68000</v>
      </c>
      <c r="L398" s="12">
        <f>Sales_Data[[#This Row],[Unit Price]]*Sales_Data[[#This Row],[Quantity]]</f>
        <v>680000</v>
      </c>
      <c r="M398" s="12">
        <f>Sales_Data[[#This Row],[Cost Price]]*Sales_Data[[#This Row],[Quantity]]</f>
        <v>544000</v>
      </c>
      <c r="N398" s="12">
        <f>Sales_Data[[#This Row],[Revenue]]-Sales_Data[[#This Row],[COGS]]</f>
        <v>136000</v>
      </c>
    </row>
    <row r="399" spans="1:14">
      <c r="A399" s="1">
        <v>46073</v>
      </c>
      <c r="B399" t="s">
        <v>29</v>
      </c>
      <c r="C399" t="s">
        <v>12</v>
      </c>
      <c r="D399" t="s">
        <v>23</v>
      </c>
      <c r="E399" t="s">
        <v>20</v>
      </c>
      <c r="F399" t="s">
        <v>38</v>
      </c>
      <c r="G399" t="s">
        <v>31</v>
      </c>
      <c r="H399" s="12">
        <v>420000</v>
      </c>
      <c r="I399">
        <v>10</v>
      </c>
      <c r="J399" t="s">
        <v>35</v>
      </c>
      <c r="K399" s="12">
        <f t="shared" si="6"/>
        <v>336000</v>
      </c>
      <c r="L399" s="12">
        <f>Sales_Data[[#This Row],[Unit Price]]*Sales_Data[[#This Row],[Quantity]]</f>
        <v>4200000</v>
      </c>
      <c r="M399" s="12">
        <f>Sales_Data[[#This Row],[Cost Price]]*Sales_Data[[#This Row],[Quantity]]</f>
        <v>3360000</v>
      </c>
      <c r="N399" s="12">
        <f>Sales_Data[[#This Row],[Revenue]]-Sales_Data[[#This Row],[COGS]]</f>
        <v>840000</v>
      </c>
    </row>
    <row r="400" spans="1:14">
      <c r="A400" s="1">
        <v>46074</v>
      </c>
      <c r="B400" t="s">
        <v>18</v>
      </c>
      <c r="C400" t="s">
        <v>12</v>
      </c>
      <c r="D400" t="s">
        <v>13</v>
      </c>
      <c r="E400" t="s">
        <v>20</v>
      </c>
      <c r="F400" t="s">
        <v>40</v>
      </c>
      <c r="G400" t="s">
        <v>31</v>
      </c>
      <c r="H400" s="12">
        <v>250000</v>
      </c>
      <c r="I400">
        <v>1</v>
      </c>
      <c r="J400" t="s">
        <v>35</v>
      </c>
      <c r="K400" s="12">
        <f t="shared" si="6"/>
        <v>200000</v>
      </c>
      <c r="L400" s="12">
        <f>Sales_Data[[#This Row],[Unit Price]]*Sales_Data[[#This Row],[Quantity]]</f>
        <v>250000</v>
      </c>
      <c r="M400" s="12">
        <f>Sales_Data[[#This Row],[Cost Price]]*Sales_Data[[#This Row],[Quantity]]</f>
        <v>200000</v>
      </c>
      <c r="N400" s="12">
        <f>Sales_Data[[#This Row],[Revenue]]-Sales_Data[[#This Row],[COGS]]</f>
        <v>50000</v>
      </c>
    </row>
    <row r="401" spans="1:14">
      <c r="A401" s="1">
        <v>46075</v>
      </c>
      <c r="B401" t="s">
        <v>18</v>
      </c>
      <c r="C401" t="s">
        <v>32</v>
      </c>
      <c r="D401" t="s">
        <v>23</v>
      </c>
      <c r="E401" t="s">
        <v>14</v>
      </c>
      <c r="F401" t="s">
        <v>41</v>
      </c>
      <c r="G401" t="s">
        <v>22</v>
      </c>
      <c r="H401" s="12">
        <v>220000</v>
      </c>
      <c r="I401">
        <v>5</v>
      </c>
      <c r="J401" t="s">
        <v>39</v>
      </c>
      <c r="K401" s="12">
        <f t="shared" si="6"/>
        <v>176000</v>
      </c>
      <c r="L401" s="12">
        <f>Sales_Data[[#This Row],[Unit Price]]*Sales_Data[[#This Row],[Quantity]]</f>
        <v>1100000</v>
      </c>
      <c r="M401" s="12">
        <f>Sales_Data[[#This Row],[Cost Price]]*Sales_Data[[#This Row],[Quantity]]</f>
        <v>880000</v>
      </c>
      <c r="N401" s="12">
        <f>Sales_Data[[#This Row],[Revenue]]-Sales_Data[[#This Row],[COGS]]</f>
        <v>220000</v>
      </c>
    </row>
    <row r="402" spans="1:14">
      <c r="A402" s="1">
        <v>46076</v>
      </c>
      <c r="B402" t="s">
        <v>29</v>
      </c>
      <c r="C402" t="s">
        <v>19</v>
      </c>
      <c r="D402" t="s">
        <v>13</v>
      </c>
      <c r="E402" t="s">
        <v>14</v>
      </c>
      <c r="F402" t="s">
        <v>30</v>
      </c>
      <c r="G402" t="s">
        <v>31</v>
      </c>
      <c r="H402" s="12">
        <v>300000</v>
      </c>
      <c r="I402">
        <v>1</v>
      </c>
      <c r="J402" t="s">
        <v>17</v>
      </c>
      <c r="K402" s="12">
        <f t="shared" si="6"/>
        <v>240000</v>
      </c>
      <c r="L402" s="12">
        <f>Sales_Data[[#This Row],[Unit Price]]*Sales_Data[[#This Row],[Quantity]]</f>
        <v>300000</v>
      </c>
      <c r="M402" s="12">
        <f>Sales_Data[[#This Row],[Cost Price]]*Sales_Data[[#This Row],[Quantity]]</f>
        <v>240000</v>
      </c>
      <c r="N402" s="12">
        <f>Sales_Data[[#This Row],[Revenue]]-Sales_Data[[#This Row],[COGS]]</f>
        <v>60000</v>
      </c>
    </row>
    <row r="403" spans="1:14">
      <c r="A403" s="1">
        <v>46077</v>
      </c>
      <c r="B403" t="s">
        <v>29</v>
      </c>
      <c r="C403" t="s">
        <v>26</v>
      </c>
      <c r="D403" t="s">
        <v>23</v>
      </c>
      <c r="E403" t="s">
        <v>20</v>
      </c>
      <c r="F403" t="s">
        <v>27</v>
      </c>
      <c r="G403" t="s">
        <v>22</v>
      </c>
      <c r="H403" s="12">
        <v>60000</v>
      </c>
      <c r="I403">
        <v>6</v>
      </c>
      <c r="J403" t="s">
        <v>37</v>
      </c>
      <c r="K403" s="12">
        <f t="shared" si="6"/>
        <v>48000</v>
      </c>
      <c r="L403" s="12">
        <f>Sales_Data[[#This Row],[Unit Price]]*Sales_Data[[#This Row],[Quantity]]</f>
        <v>360000</v>
      </c>
      <c r="M403" s="12">
        <f>Sales_Data[[#This Row],[Cost Price]]*Sales_Data[[#This Row],[Quantity]]</f>
        <v>288000</v>
      </c>
      <c r="N403" s="12">
        <f>Sales_Data[[#This Row],[Revenue]]-Sales_Data[[#This Row],[COGS]]</f>
        <v>72000</v>
      </c>
    </row>
    <row r="404" spans="1:14">
      <c r="A404" s="1">
        <v>46078</v>
      </c>
      <c r="B404" t="s">
        <v>25</v>
      </c>
      <c r="C404" t="s">
        <v>32</v>
      </c>
      <c r="D404" t="s">
        <v>13</v>
      </c>
      <c r="E404" t="s">
        <v>14</v>
      </c>
      <c r="F404" t="s">
        <v>27</v>
      </c>
      <c r="G404" t="s">
        <v>22</v>
      </c>
      <c r="H404" s="12">
        <v>60000</v>
      </c>
      <c r="I404">
        <v>8</v>
      </c>
      <c r="J404" t="s">
        <v>24</v>
      </c>
      <c r="K404" s="12">
        <f t="shared" si="6"/>
        <v>48000</v>
      </c>
      <c r="L404" s="12">
        <f>Sales_Data[[#This Row],[Unit Price]]*Sales_Data[[#This Row],[Quantity]]</f>
        <v>480000</v>
      </c>
      <c r="M404" s="12">
        <f>Sales_Data[[#This Row],[Cost Price]]*Sales_Data[[#This Row],[Quantity]]</f>
        <v>384000</v>
      </c>
      <c r="N404" s="12">
        <f>Sales_Data[[#This Row],[Revenue]]-Sales_Data[[#This Row],[COGS]]</f>
        <v>96000</v>
      </c>
    </row>
    <row r="405" spans="1:14">
      <c r="A405" s="1">
        <v>46079</v>
      </c>
      <c r="B405" t="s">
        <v>25</v>
      </c>
      <c r="C405" t="s">
        <v>26</v>
      </c>
      <c r="D405" t="s">
        <v>13</v>
      </c>
      <c r="E405" t="s">
        <v>20</v>
      </c>
      <c r="F405" t="s">
        <v>41</v>
      </c>
      <c r="G405" t="s">
        <v>22</v>
      </c>
      <c r="H405" s="12">
        <v>220000</v>
      </c>
      <c r="I405">
        <v>3</v>
      </c>
      <c r="J405" t="s">
        <v>37</v>
      </c>
      <c r="K405" s="12">
        <f t="shared" si="6"/>
        <v>176000</v>
      </c>
      <c r="L405" s="12">
        <f>Sales_Data[[#This Row],[Unit Price]]*Sales_Data[[#This Row],[Quantity]]</f>
        <v>660000</v>
      </c>
      <c r="M405" s="12">
        <f>Sales_Data[[#This Row],[Cost Price]]*Sales_Data[[#This Row],[Quantity]]</f>
        <v>528000</v>
      </c>
      <c r="N405" s="12">
        <f>Sales_Data[[#This Row],[Revenue]]-Sales_Data[[#This Row],[COGS]]</f>
        <v>132000</v>
      </c>
    </row>
    <row r="406" spans="1:14">
      <c r="A406" s="1">
        <v>46080</v>
      </c>
      <c r="B406" t="s">
        <v>29</v>
      </c>
      <c r="C406" t="s">
        <v>32</v>
      </c>
      <c r="D406" t="s">
        <v>13</v>
      </c>
      <c r="E406" t="s">
        <v>14</v>
      </c>
      <c r="F406" t="s">
        <v>27</v>
      </c>
      <c r="G406" t="s">
        <v>22</v>
      </c>
      <c r="H406" s="12">
        <v>60000</v>
      </c>
      <c r="I406">
        <v>1</v>
      </c>
      <c r="J406" t="s">
        <v>35</v>
      </c>
      <c r="K406" s="12">
        <f t="shared" si="6"/>
        <v>48000</v>
      </c>
      <c r="L406" s="12">
        <f>Sales_Data[[#This Row],[Unit Price]]*Sales_Data[[#This Row],[Quantity]]</f>
        <v>60000</v>
      </c>
      <c r="M406" s="12">
        <f>Sales_Data[[#This Row],[Cost Price]]*Sales_Data[[#This Row],[Quantity]]</f>
        <v>48000</v>
      </c>
      <c r="N406" s="12">
        <f>Sales_Data[[#This Row],[Revenue]]-Sales_Data[[#This Row],[COGS]]</f>
        <v>12000</v>
      </c>
    </row>
    <row r="407" spans="1:14">
      <c r="A407" s="1">
        <v>46081</v>
      </c>
      <c r="B407" t="s">
        <v>18</v>
      </c>
      <c r="C407" t="s">
        <v>19</v>
      </c>
      <c r="D407" t="s">
        <v>23</v>
      </c>
      <c r="E407" t="s">
        <v>14</v>
      </c>
      <c r="F407" t="s">
        <v>36</v>
      </c>
      <c r="G407" t="s">
        <v>31</v>
      </c>
      <c r="H407" s="12">
        <v>150000</v>
      </c>
      <c r="I407">
        <v>1</v>
      </c>
      <c r="J407" t="s">
        <v>28</v>
      </c>
      <c r="K407" s="12">
        <f t="shared" si="6"/>
        <v>120000</v>
      </c>
      <c r="L407" s="12">
        <f>Sales_Data[[#This Row],[Unit Price]]*Sales_Data[[#This Row],[Quantity]]</f>
        <v>150000</v>
      </c>
      <c r="M407" s="12">
        <f>Sales_Data[[#This Row],[Cost Price]]*Sales_Data[[#This Row],[Quantity]]</f>
        <v>120000</v>
      </c>
      <c r="N407" s="12">
        <f>Sales_Data[[#This Row],[Revenue]]-Sales_Data[[#This Row],[COGS]]</f>
        <v>30000</v>
      </c>
    </row>
    <row r="408" spans="1:14">
      <c r="A408" s="1">
        <v>46082</v>
      </c>
      <c r="B408" t="s">
        <v>11</v>
      </c>
      <c r="C408" t="s">
        <v>26</v>
      </c>
      <c r="D408" t="s">
        <v>23</v>
      </c>
      <c r="E408" t="s">
        <v>14</v>
      </c>
      <c r="F408" t="s">
        <v>34</v>
      </c>
      <c r="G408" t="s">
        <v>16</v>
      </c>
      <c r="H408" s="12">
        <v>320000</v>
      </c>
      <c r="I408">
        <v>7</v>
      </c>
      <c r="J408" t="s">
        <v>39</v>
      </c>
      <c r="K408" s="12">
        <f t="shared" si="6"/>
        <v>256000</v>
      </c>
      <c r="L408" s="12">
        <f>Sales_Data[[#This Row],[Unit Price]]*Sales_Data[[#This Row],[Quantity]]</f>
        <v>2240000</v>
      </c>
      <c r="M408" s="12">
        <f>Sales_Data[[#This Row],[Cost Price]]*Sales_Data[[#This Row],[Quantity]]</f>
        <v>1792000</v>
      </c>
      <c r="N408" s="12">
        <f>Sales_Data[[#This Row],[Revenue]]-Sales_Data[[#This Row],[COGS]]</f>
        <v>448000</v>
      </c>
    </row>
    <row r="409" spans="1:14">
      <c r="A409" s="1">
        <v>46083</v>
      </c>
      <c r="B409" t="s">
        <v>25</v>
      </c>
      <c r="C409" t="s">
        <v>26</v>
      </c>
      <c r="D409" t="s">
        <v>13</v>
      </c>
      <c r="E409" t="s">
        <v>20</v>
      </c>
      <c r="F409" t="s">
        <v>15</v>
      </c>
      <c r="G409" t="s">
        <v>16</v>
      </c>
      <c r="H409" s="12">
        <v>85000</v>
      </c>
      <c r="I409">
        <v>10</v>
      </c>
      <c r="J409" t="s">
        <v>28</v>
      </c>
      <c r="K409" s="12">
        <f t="shared" si="6"/>
        <v>68000</v>
      </c>
      <c r="L409" s="12">
        <f>Sales_Data[[#This Row],[Unit Price]]*Sales_Data[[#This Row],[Quantity]]</f>
        <v>850000</v>
      </c>
      <c r="M409" s="12">
        <f>Sales_Data[[#This Row],[Cost Price]]*Sales_Data[[#This Row],[Quantity]]</f>
        <v>680000</v>
      </c>
      <c r="N409" s="12">
        <f>Sales_Data[[#This Row],[Revenue]]-Sales_Data[[#This Row],[COGS]]</f>
        <v>170000</v>
      </c>
    </row>
    <row r="410" spans="1:14">
      <c r="A410" s="1">
        <v>46084</v>
      </c>
      <c r="B410" t="s">
        <v>11</v>
      </c>
      <c r="C410" t="s">
        <v>12</v>
      </c>
      <c r="D410" t="s">
        <v>23</v>
      </c>
      <c r="E410" t="s">
        <v>14</v>
      </c>
      <c r="F410" t="s">
        <v>36</v>
      </c>
      <c r="G410" t="s">
        <v>31</v>
      </c>
      <c r="H410" s="12">
        <v>150000</v>
      </c>
      <c r="I410">
        <v>10</v>
      </c>
      <c r="J410" t="s">
        <v>17</v>
      </c>
      <c r="K410" s="12">
        <f t="shared" si="6"/>
        <v>120000</v>
      </c>
      <c r="L410" s="12">
        <f>Sales_Data[[#This Row],[Unit Price]]*Sales_Data[[#This Row],[Quantity]]</f>
        <v>1500000</v>
      </c>
      <c r="M410" s="12">
        <f>Sales_Data[[#This Row],[Cost Price]]*Sales_Data[[#This Row],[Quantity]]</f>
        <v>1200000</v>
      </c>
      <c r="N410" s="12">
        <f>Sales_Data[[#This Row],[Revenue]]-Sales_Data[[#This Row],[COGS]]</f>
        <v>300000</v>
      </c>
    </row>
    <row r="411" spans="1:14">
      <c r="A411" s="1">
        <v>46085</v>
      </c>
      <c r="B411" t="s">
        <v>25</v>
      </c>
      <c r="C411" t="s">
        <v>19</v>
      </c>
      <c r="D411" t="s">
        <v>23</v>
      </c>
      <c r="E411" t="s">
        <v>14</v>
      </c>
      <c r="F411" t="s">
        <v>27</v>
      </c>
      <c r="G411" t="s">
        <v>22</v>
      </c>
      <c r="H411" s="12">
        <v>60000</v>
      </c>
      <c r="I411">
        <v>2</v>
      </c>
      <c r="J411" t="s">
        <v>28</v>
      </c>
      <c r="K411" s="12">
        <f t="shared" si="6"/>
        <v>48000</v>
      </c>
      <c r="L411" s="12">
        <f>Sales_Data[[#This Row],[Unit Price]]*Sales_Data[[#This Row],[Quantity]]</f>
        <v>120000</v>
      </c>
      <c r="M411" s="12">
        <f>Sales_Data[[#This Row],[Cost Price]]*Sales_Data[[#This Row],[Quantity]]</f>
        <v>96000</v>
      </c>
      <c r="N411" s="12">
        <f>Sales_Data[[#This Row],[Revenue]]-Sales_Data[[#This Row],[COGS]]</f>
        <v>24000</v>
      </c>
    </row>
    <row r="412" spans="1:14">
      <c r="A412" s="1">
        <v>46086</v>
      </c>
      <c r="B412" t="s">
        <v>29</v>
      </c>
      <c r="C412" t="s">
        <v>32</v>
      </c>
      <c r="D412" t="s">
        <v>23</v>
      </c>
      <c r="E412" t="s">
        <v>14</v>
      </c>
      <c r="F412" t="s">
        <v>30</v>
      </c>
      <c r="G412" t="s">
        <v>31</v>
      </c>
      <c r="H412" s="12">
        <v>300000</v>
      </c>
      <c r="I412">
        <v>6</v>
      </c>
      <c r="J412" t="s">
        <v>17</v>
      </c>
      <c r="K412" s="12">
        <f t="shared" si="6"/>
        <v>240000</v>
      </c>
      <c r="L412" s="12">
        <f>Sales_Data[[#This Row],[Unit Price]]*Sales_Data[[#This Row],[Quantity]]</f>
        <v>1800000</v>
      </c>
      <c r="M412" s="12">
        <f>Sales_Data[[#This Row],[Cost Price]]*Sales_Data[[#This Row],[Quantity]]</f>
        <v>1440000</v>
      </c>
      <c r="N412" s="12">
        <f>Sales_Data[[#This Row],[Revenue]]-Sales_Data[[#This Row],[COGS]]</f>
        <v>360000</v>
      </c>
    </row>
    <row r="413" spans="1:14">
      <c r="A413" s="1">
        <v>46087</v>
      </c>
      <c r="B413" t="s">
        <v>18</v>
      </c>
      <c r="C413" t="s">
        <v>26</v>
      </c>
      <c r="D413" t="s">
        <v>13</v>
      </c>
      <c r="E413" t="s">
        <v>14</v>
      </c>
      <c r="F413" t="s">
        <v>36</v>
      </c>
      <c r="G413" t="s">
        <v>31</v>
      </c>
      <c r="H413" s="12">
        <v>150000</v>
      </c>
      <c r="I413">
        <v>3</v>
      </c>
      <c r="J413" t="s">
        <v>37</v>
      </c>
      <c r="K413" s="12">
        <f t="shared" si="6"/>
        <v>120000</v>
      </c>
      <c r="L413" s="12">
        <f>Sales_Data[[#This Row],[Unit Price]]*Sales_Data[[#This Row],[Quantity]]</f>
        <v>450000</v>
      </c>
      <c r="M413" s="12">
        <f>Sales_Data[[#This Row],[Cost Price]]*Sales_Data[[#This Row],[Quantity]]</f>
        <v>360000</v>
      </c>
      <c r="N413" s="12">
        <f>Sales_Data[[#This Row],[Revenue]]-Sales_Data[[#This Row],[COGS]]</f>
        <v>90000</v>
      </c>
    </row>
    <row r="414" spans="1:14">
      <c r="A414" s="1">
        <v>46088</v>
      </c>
      <c r="B414" t="s">
        <v>11</v>
      </c>
      <c r="C414" t="s">
        <v>12</v>
      </c>
      <c r="D414" t="s">
        <v>23</v>
      </c>
      <c r="E414" t="s">
        <v>14</v>
      </c>
      <c r="F414" t="s">
        <v>21</v>
      </c>
      <c r="G414" t="s">
        <v>22</v>
      </c>
      <c r="H414" s="12">
        <v>30000</v>
      </c>
      <c r="I414">
        <v>2</v>
      </c>
      <c r="J414" t="s">
        <v>24</v>
      </c>
      <c r="K414" s="12">
        <f t="shared" si="6"/>
        <v>24000</v>
      </c>
      <c r="L414" s="12">
        <f>Sales_Data[[#This Row],[Unit Price]]*Sales_Data[[#This Row],[Quantity]]</f>
        <v>60000</v>
      </c>
      <c r="M414" s="12">
        <f>Sales_Data[[#This Row],[Cost Price]]*Sales_Data[[#This Row],[Quantity]]</f>
        <v>48000</v>
      </c>
      <c r="N414" s="12">
        <f>Sales_Data[[#This Row],[Revenue]]-Sales_Data[[#This Row],[COGS]]</f>
        <v>12000</v>
      </c>
    </row>
    <row r="415" spans="1:14">
      <c r="A415" s="1">
        <v>46089</v>
      </c>
      <c r="B415" t="s">
        <v>18</v>
      </c>
      <c r="C415" t="s">
        <v>19</v>
      </c>
      <c r="D415" t="s">
        <v>13</v>
      </c>
      <c r="E415" t="s">
        <v>14</v>
      </c>
      <c r="F415" t="s">
        <v>33</v>
      </c>
      <c r="G415" t="s">
        <v>22</v>
      </c>
      <c r="H415" s="12">
        <v>180000</v>
      </c>
      <c r="I415">
        <v>2</v>
      </c>
      <c r="J415" t="s">
        <v>37</v>
      </c>
      <c r="K415" s="12">
        <f t="shared" si="6"/>
        <v>144000</v>
      </c>
      <c r="L415" s="12">
        <f>Sales_Data[[#This Row],[Unit Price]]*Sales_Data[[#This Row],[Quantity]]</f>
        <v>360000</v>
      </c>
      <c r="M415" s="12">
        <f>Sales_Data[[#This Row],[Cost Price]]*Sales_Data[[#This Row],[Quantity]]</f>
        <v>288000</v>
      </c>
      <c r="N415" s="12">
        <f>Sales_Data[[#This Row],[Revenue]]-Sales_Data[[#This Row],[COGS]]</f>
        <v>72000</v>
      </c>
    </row>
    <row r="416" spans="1:14">
      <c r="A416" s="1">
        <v>46090</v>
      </c>
      <c r="B416" t="s">
        <v>11</v>
      </c>
      <c r="C416" t="s">
        <v>26</v>
      </c>
      <c r="D416" t="s">
        <v>23</v>
      </c>
      <c r="E416" t="s">
        <v>14</v>
      </c>
      <c r="F416" t="s">
        <v>34</v>
      </c>
      <c r="G416" t="s">
        <v>16</v>
      </c>
      <c r="H416" s="12">
        <v>320000</v>
      </c>
      <c r="I416">
        <v>3</v>
      </c>
      <c r="J416" t="s">
        <v>28</v>
      </c>
      <c r="K416" s="12">
        <f t="shared" si="6"/>
        <v>256000</v>
      </c>
      <c r="L416" s="12">
        <f>Sales_Data[[#This Row],[Unit Price]]*Sales_Data[[#This Row],[Quantity]]</f>
        <v>960000</v>
      </c>
      <c r="M416" s="12">
        <f>Sales_Data[[#This Row],[Cost Price]]*Sales_Data[[#This Row],[Quantity]]</f>
        <v>768000</v>
      </c>
      <c r="N416" s="12">
        <f>Sales_Data[[#This Row],[Revenue]]-Sales_Data[[#This Row],[COGS]]</f>
        <v>192000</v>
      </c>
    </row>
    <row r="417" spans="1:14">
      <c r="A417" s="1">
        <v>46091</v>
      </c>
      <c r="B417" t="s">
        <v>25</v>
      </c>
      <c r="C417" t="s">
        <v>26</v>
      </c>
      <c r="D417" t="s">
        <v>23</v>
      </c>
      <c r="E417" t="s">
        <v>20</v>
      </c>
      <c r="F417" t="s">
        <v>21</v>
      </c>
      <c r="G417" t="s">
        <v>22</v>
      </c>
      <c r="H417" s="12">
        <v>30000</v>
      </c>
      <c r="I417">
        <v>3</v>
      </c>
      <c r="J417" t="s">
        <v>37</v>
      </c>
      <c r="K417" s="12">
        <f t="shared" si="6"/>
        <v>24000</v>
      </c>
      <c r="L417" s="12">
        <f>Sales_Data[[#This Row],[Unit Price]]*Sales_Data[[#This Row],[Quantity]]</f>
        <v>90000</v>
      </c>
      <c r="M417" s="12">
        <f>Sales_Data[[#This Row],[Cost Price]]*Sales_Data[[#This Row],[Quantity]]</f>
        <v>72000</v>
      </c>
      <c r="N417" s="12">
        <f>Sales_Data[[#This Row],[Revenue]]-Sales_Data[[#This Row],[COGS]]</f>
        <v>18000</v>
      </c>
    </row>
    <row r="418" spans="1:14">
      <c r="A418" s="1">
        <v>46092</v>
      </c>
      <c r="B418" t="s">
        <v>11</v>
      </c>
      <c r="C418" t="s">
        <v>32</v>
      </c>
      <c r="D418" t="s">
        <v>13</v>
      </c>
      <c r="E418" t="s">
        <v>20</v>
      </c>
      <c r="F418" t="s">
        <v>15</v>
      </c>
      <c r="G418" t="s">
        <v>16</v>
      </c>
      <c r="H418" s="12">
        <v>85000</v>
      </c>
      <c r="I418">
        <v>3</v>
      </c>
      <c r="J418" t="s">
        <v>35</v>
      </c>
      <c r="K418" s="12">
        <f t="shared" si="6"/>
        <v>68000</v>
      </c>
      <c r="L418" s="12">
        <f>Sales_Data[[#This Row],[Unit Price]]*Sales_Data[[#This Row],[Quantity]]</f>
        <v>255000</v>
      </c>
      <c r="M418" s="12">
        <f>Sales_Data[[#This Row],[Cost Price]]*Sales_Data[[#This Row],[Quantity]]</f>
        <v>204000</v>
      </c>
      <c r="N418" s="12">
        <f>Sales_Data[[#This Row],[Revenue]]-Sales_Data[[#This Row],[COGS]]</f>
        <v>51000</v>
      </c>
    </row>
    <row r="419" spans="1:14">
      <c r="A419" s="1">
        <v>46093</v>
      </c>
      <c r="B419" t="s">
        <v>29</v>
      </c>
      <c r="C419" t="s">
        <v>26</v>
      </c>
      <c r="D419" t="s">
        <v>13</v>
      </c>
      <c r="E419" t="s">
        <v>20</v>
      </c>
      <c r="F419" t="s">
        <v>15</v>
      </c>
      <c r="G419" t="s">
        <v>16</v>
      </c>
      <c r="H419" s="12">
        <v>85000</v>
      </c>
      <c r="I419">
        <v>10</v>
      </c>
      <c r="J419" t="s">
        <v>37</v>
      </c>
      <c r="K419" s="12">
        <f t="shared" si="6"/>
        <v>68000</v>
      </c>
      <c r="L419" s="12">
        <f>Sales_Data[[#This Row],[Unit Price]]*Sales_Data[[#This Row],[Quantity]]</f>
        <v>850000</v>
      </c>
      <c r="M419" s="12">
        <f>Sales_Data[[#This Row],[Cost Price]]*Sales_Data[[#This Row],[Quantity]]</f>
        <v>680000</v>
      </c>
      <c r="N419" s="12">
        <f>Sales_Data[[#This Row],[Revenue]]-Sales_Data[[#This Row],[COGS]]</f>
        <v>170000</v>
      </c>
    </row>
    <row r="420" spans="1:14">
      <c r="A420" s="1">
        <v>46094</v>
      </c>
      <c r="B420" t="s">
        <v>18</v>
      </c>
      <c r="C420" t="s">
        <v>12</v>
      </c>
      <c r="D420" t="s">
        <v>23</v>
      </c>
      <c r="E420" t="s">
        <v>20</v>
      </c>
      <c r="F420" t="s">
        <v>33</v>
      </c>
      <c r="G420" t="s">
        <v>22</v>
      </c>
      <c r="H420" s="12">
        <v>180000</v>
      </c>
      <c r="I420">
        <v>10</v>
      </c>
      <c r="J420" t="s">
        <v>17</v>
      </c>
      <c r="K420" s="12">
        <f t="shared" si="6"/>
        <v>144000</v>
      </c>
      <c r="L420" s="12">
        <f>Sales_Data[[#This Row],[Unit Price]]*Sales_Data[[#This Row],[Quantity]]</f>
        <v>1800000</v>
      </c>
      <c r="M420" s="12">
        <f>Sales_Data[[#This Row],[Cost Price]]*Sales_Data[[#This Row],[Quantity]]</f>
        <v>1440000</v>
      </c>
      <c r="N420" s="12">
        <f>Sales_Data[[#This Row],[Revenue]]-Sales_Data[[#This Row],[COGS]]</f>
        <v>360000</v>
      </c>
    </row>
    <row r="421" spans="1:14">
      <c r="A421" s="1">
        <v>46095</v>
      </c>
      <c r="B421" t="s">
        <v>11</v>
      </c>
      <c r="C421" t="s">
        <v>19</v>
      </c>
      <c r="D421" t="s">
        <v>13</v>
      </c>
      <c r="E421" t="s">
        <v>20</v>
      </c>
      <c r="F421" t="s">
        <v>41</v>
      </c>
      <c r="G421" t="s">
        <v>22</v>
      </c>
      <c r="H421" s="12">
        <v>220000</v>
      </c>
      <c r="I421">
        <v>9</v>
      </c>
      <c r="J421" t="s">
        <v>28</v>
      </c>
      <c r="K421" s="12">
        <f t="shared" si="6"/>
        <v>176000</v>
      </c>
      <c r="L421" s="12">
        <f>Sales_Data[[#This Row],[Unit Price]]*Sales_Data[[#This Row],[Quantity]]</f>
        <v>1980000</v>
      </c>
      <c r="M421" s="12">
        <f>Sales_Data[[#This Row],[Cost Price]]*Sales_Data[[#This Row],[Quantity]]</f>
        <v>1584000</v>
      </c>
      <c r="N421" s="12">
        <f>Sales_Data[[#This Row],[Revenue]]-Sales_Data[[#This Row],[COGS]]</f>
        <v>396000</v>
      </c>
    </row>
    <row r="422" spans="1:14">
      <c r="A422" s="1">
        <v>46096</v>
      </c>
      <c r="B422" t="s">
        <v>11</v>
      </c>
      <c r="C422" t="s">
        <v>32</v>
      </c>
      <c r="D422" t="s">
        <v>23</v>
      </c>
      <c r="E422" t="s">
        <v>20</v>
      </c>
      <c r="F422" t="s">
        <v>38</v>
      </c>
      <c r="G422" t="s">
        <v>31</v>
      </c>
      <c r="H422" s="12">
        <v>420000</v>
      </c>
      <c r="I422">
        <v>9</v>
      </c>
      <c r="J422" t="s">
        <v>28</v>
      </c>
      <c r="K422" s="12">
        <f t="shared" si="6"/>
        <v>336000</v>
      </c>
      <c r="L422" s="12">
        <f>Sales_Data[[#This Row],[Unit Price]]*Sales_Data[[#This Row],[Quantity]]</f>
        <v>3780000</v>
      </c>
      <c r="M422" s="12">
        <f>Sales_Data[[#This Row],[Cost Price]]*Sales_Data[[#This Row],[Quantity]]</f>
        <v>3024000</v>
      </c>
      <c r="N422" s="12">
        <f>Sales_Data[[#This Row],[Revenue]]-Sales_Data[[#This Row],[COGS]]</f>
        <v>756000</v>
      </c>
    </row>
    <row r="423" spans="1:14">
      <c r="A423" s="1">
        <v>46097</v>
      </c>
      <c r="B423" t="s">
        <v>18</v>
      </c>
      <c r="C423" t="s">
        <v>12</v>
      </c>
      <c r="D423" t="s">
        <v>23</v>
      </c>
      <c r="E423" t="s">
        <v>14</v>
      </c>
      <c r="F423" t="s">
        <v>33</v>
      </c>
      <c r="G423" t="s">
        <v>22</v>
      </c>
      <c r="H423" s="12">
        <v>180000</v>
      </c>
      <c r="I423">
        <v>2</v>
      </c>
      <c r="J423" t="s">
        <v>37</v>
      </c>
      <c r="K423" s="12">
        <f t="shared" si="6"/>
        <v>144000</v>
      </c>
      <c r="L423" s="12">
        <f>Sales_Data[[#This Row],[Unit Price]]*Sales_Data[[#This Row],[Quantity]]</f>
        <v>360000</v>
      </c>
      <c r="M423" s="12">
        <f>Sales_Data[[#This Row],[Cost Price]]*Sales_Data[[#This Row],[Quantity]]</f>
        <v>288000</v>
      </c>
      <c r="N423" s="12">
        <f>Sales_Data[[#This Row],[Revenue]]-Sales_Data[[#This Row],[COGS]]</f>
        <v>72000</v>
      </c>
    </row>
    <row r="424" spans="1:14">
      <c r="A424" s="1">
        <v>46098</v>
      </c>
      <c r="B424" t="s">
        <v>11</v>
      </c>
      <c r="C424" t="s">
        <v>19</v>
      </c>
      <c r="D424" t="s">
        <v>23</v>
      </c>
      <c r="E424" t="s">
        <v>14</v>
      </c>
      <c r="F424" t="s">
        <v>30</v>
      </c>
      <c r="G424" t="s">
        <v>31</v>
      </c>
      <c r="H424" s="12">
        <v>300000</v>
      </c>
      <c r="I424">
        <v>3</v>
      </c>
      <c r="J424" t="s">
        <v>24</v>
      </c>
      <c r="K424" s="12">
        <f t="shared" si="6"/>
        <v>240000</v>
      </c>
      <c r="L424" s="12">
        <f>Sales_Data[[#This Row],[Unit Price]]*Sales_Data[[#This Row],[Quantity]]</f>
        <v>900000</v>
      </c>
      <c r="M424" s="12">
        <f>Sales_Data[[#This Row],[Cost Price]]*Sales_Data[[#This Row],[Quantity]]</f>
        <v>720000</v>
      </c>
      <c r="N424" s="12">
        <f>Sales_Data[[#This Row],[Revenue]]-Sales_Data[[#This Row],[COGS]]</f>
        <v>180000</v>
      </c>
    </row>
    <row r="425" spans="1:14">
      <c r="A425" s="1">
        <v>46099</v>
      </c>
      <c r="B425" t="s">
        <v>29</v>
      </c>
      <c r="C425" t="s">
        <v>26</v>
      </c>
      <c r="D425" t="s">
        <v>23</v>
      </c>
      <c r="E425" t="s">
        <v>14</v>
      </c>
      <c r="F425" t="s">
        <v>33</v>
      </c>
      <c r="G425" t="s">
        <v>22</v>
      </c>
      <c r="H425" s="12">
        <v>180000</v>
      </c>
      <c r="I425">
        <v>1</v>
      </c>
      <c r="J425" t="s">
        <v>39</v>
      </c>
      <c r="K425" s="12">
        <f t="shared" si="6"/>
        <v>144000</v>
      </c>
      <c r="L425" s="12">
        <f>Sales_Data[[#This Row],[Unit Price]]*Sales_Data[[#This Row],[Quantity]]</f>
        <v>180000</v>
      </c>
      <c r="M425" s="12">
        <f>Sales_Data[[#This Row],[Cost Price]]*Sales_Data[[#This Row],[Quantity]]</f>
        <v>144000</v>
      </c>
      <c r="N425" s="12">
        <f>Sales_Data[[#This Row],[Revenue]]-Sales_Data[[#This Row],[COGS]]</f>
        <v>36000</v>
      </c>
    </row>
    <row r="426" spans="1:14">
      <c r="A426" s="1">
        <v>46100</v>
      </c>
      <c r="B426" t="s">
        <v>29</v>
      </c>
      <c r="C426" t="s">
        <v>19</v>
      </c>
      <c r="D426" t="s">
        <v>13</v>
      </c>
      <c r="E426" t="s">
        <v>20</v>
      </c>
      <c r="F426" t="s">
        <v>34</v>
      </c>
      <c r="G426" t="s">
        <v>16</v>
      </c>
      <c r="H426" s="12">
        <v>320000</v>
      </c>
      <c r="I426">
        <v>9</v>
      </c>
      <c r="J426" t="s">
        <v>35</v>
      </c>
      <c r="K426" s="12">
        <f t="shared" si="6"/>
        <v>256000</v>
      </c>
      <c r="L426" s="12">
        <f>Sales_Data[[#This Row],[Unit Price]]*Sales_Data[[#This Row],[Quantity]]</f>
        <v>2880000</v>
      </c>
      <c r="M426" s="12">
        <f>Sales_Data[[#This Row],[Cost Price]]*Sales_Data[[#This Row],[Quantity]]</f>
        <v>2304000</v>
      </c>
      <c r="N426" s="12">
        <f>Sales_Data[[#This Row],[Revenue]]-Sales_Data[[#This Row],[COGS]]</f>
        <v>576000</v>
      </c>
    </row>
    <row r="427" spans="1:14">
      <c r="A427" s="1">
        <v>46101</v>
      </c>
      <c r="B427" t="s">
        <v>29</v>
      </c>
      <c r="C427" t="s">
        <v>12</v>
      </c>
      <c r="D427" t="s">
        <v>13</v>
      </c>
      <c r="E427" t="s">
        <v>14</v>
      </c>
      <c r="F427" t="s">
        <v>34</v>
      </c>
      <c r="G427" t="s">
        <v>16</v>
      </c>
      <c r="H427" s="12">
        <v>320000</v>
      </c>
      <c r="I427">
        <v>5</v>
      </c>
      <c r="J427" t="s">
        <v>24</v>
      </c>
      <c r="K427" s="12">
        <f t="shared" si="6"/>
        <v>256000</v>
      </c>
      <c r="L427" s="12">
        <f>Sales_Data[[#This Row],[Unit Price]]*Sales_Data[[#This Row],[Quantity]]</f>
        <v>1600000</v>
      </c>
      <c r="M427" s="12">
        <f>Sales_Data[[#This Row],[Cost Price]]*Sales_Data[[#This Row],[Quantity]]</f>
        <v>1280000</v>
      </c>
      <c r="N427" s="12">
        <f>Sales_Data[[#This Row],[Revenue]]-Sales_Data[[#This Row],[COGS]]</f>
        <v>320000</v>
      </c>
    </row>
    <row r="428" spans="1:14">
      <c r="A428" s="1">
        <v>46102</v>
      </c>
      <c r="B428" t="s">
        <v>29</v>
      </c>
      <c r="C428" t="s">
        <v>32</v>
      </c>
      <c r="D428" t="s">
        <v>13</v>
      </c>
      <c r="E428" t="s">
        <v>14</v>
      </c>
      <c r="F428" t="s">
        <v>27</v>
      </c>
      <c r="G428" t="s">
        <v>22</v>
      </c>
      <c r="H428" s="12">
        <v>60000</v>
      </c>
      <c r="I428">
        <v>8</v>
      </c>
      <c r="J428" t="s">
        <v>39</v>
      </c>
      <c r="K428" s="12">
        <f t="shared" si="6"/>
        <v>48000</v>
      </c>
      <c r="L428" s="12">
        <f>Sales_Data[[#This Row],[Unit Price]]*Sales_Data[[#This Row],[Quantity]]</f>
        <v>480000</v>
      </c>
      <c r="M428" s="12">
        <f>Sales_Data[[#This Row],[Cost Price]]*Sales_Data[[#This Row],[Quantity]]</f>
        <v>384000</v>
      </c>
      <c r="N428" s="12">
        <f>Sales_Data[[#This Row],[Revenue]]-Sales_Data[[#This Row],[COGS]]</f>
        <v>96000</v>
      </c>
    </row>
    <row r="429" spans="1:14">
      <c r="A429" s="1">
        <v>46103</v>
      </c>
      <c r="B429" t="s">
        <v>25</v>
      </c>
      <c r="C429" t="s">
        <v>12</v>
      </c>
      <c r="D429" t="s">
        <v>23</v>
      </c>
      <c r="E429" t="s">
        <v>14</v>
      </c>
      <c r="F429" t="s">
        <v>15</v>
      </c>
      <c r="G429" t="s">
        <v>16</v>
      </c>
      <c r="H429" s="12">
        <v>85000</v>
      </c>
      <c r="I429">
        <v>8</v>
      </c>
      <c r="J429" t="s">
        <v>24</v>
      </c>
      <c r="K429" s="12">
        <f t="shared" si="6"/>
        <v>68000</v>
      </c>
      <c r="L429" s="12">
        <f>Sales_Data[[#This Row],[Unit Price]]*Sales_Data[[#This Row],[Quantity]]</f>
        <v>680000</v>
      </c>
      <c r="M429" s="12">
        <f>Sales_Data[[#This Row],[Cost Price]]*Sales_Data[[#This Row],[Quantity]]</f>
        <v>544000</v>
      </c>
      <c r="N429" s="12">
        <f>Sales_Data[[#This Row],[Revenue]]-Sales_Data[[#This Row],[COGS]]</f>
        <v>136000</v>
      </c>
    </row>
    <row r="430" spans="1:14">
      <c r="A430" s="1">
        <v>46104</v>
      </c>
      <c r="B430" t="s">
        <v>18</v>
      </c>
      <c r="C430" t="s">
        <v>12</v>
      </c>
      <c r="D430" t="s">
        <v>13</v>
      </c>
      <c r="E430" t="s">
        <v>20</v>
      </c>
      <c r="F430" t="s">
        <v>34</v>
      </c>
      <c r="G430" t="s">
        <v>16</v>
      </c>
      <c r="H430" s="12">
        <v>320000</v>
      </c>
      <c r="I430">
        <v>5</v>
      </c>
      <c r="J430" t="s">
        <v>24</v>
      </c>
      <c r="K430" s="12">
        <f t="shared" si="6"/>
        <v>256000</v>
      </c>
      <c r="L430" s="12">
        <f>Sales_Data[[#This Row],[Unit Price]]*Sales_Data[[#This Row],[Quantity]]</f>
        <v>1600000</v>
      </c>
      <c r="M430" s="12">
        <f>Sales_Data[[#This Row],[Cost Price]]*Sales_Data[[#This Row],[Quantity]]</f>
        <v>1280000</v>
      </c>
      <c r="N430" s="12">
        <f>Sales_Data[[#This Row],[Revenue]]-Sales_Data[[#This Row],[COGS]]</f>
        <v>320000</v>
      </c>
    </row>
    <row r="431" spans="1:14">
      <c r="A431" s="1">
        <v>46105</v>
      </c>
      <c r="B431" t="s">
        <v>29</v>
      </c>
      <c r="C431" t="s">
        <v>26</v>
      </c>
      <c r="D431" t="s">
        <v>23</v>
      </c>
      <c r="E431" t="s">
        <v>14</v>
      </c>
      <c r="F431" t="s">
        <v>36</v>
      </c>
      <c r="G431" t="s">
        <v>31</v>
      </c>
      <c r="H431" s="12">
        <v>150000</v>
      </c>
      <c r="I431">
        <v>3</v>
      </c>
      <c r="J431" t="s">
        <v>37</v>
      </c>
      <c r="K431" s="12">
        <f t="shared" si="6"/>
        <v>120000</v>
      </c>
      <c r="L431" s="12">
        <f>Sales_Data[[#This Row],[Unit Price]]*Sales_Data[[#This Row],[Quantity]]</f>
        <v>450000</v>
      </c>
      <c r="M431" s="12">
        <f>Sales_Data[[#This Row],[Cost Price]]*Sales_Data[[#This Row],[Quantity]]</f>
        <v>360000</v>
      </c>
      <c r="N431" s="12">
        <f>Sales_Data[[#This Row],[Revenue]]-Sales_Data[[#This Row],[COGS]]</f>
        <v>90000</v>
      </c>
    </row>
    <row r="432" spans="1:14">
      <c r="A432" s="1">
        <v>46106</v>
      </c>
      <c r="B432" t="s">
        <v>29</v>
      </c>
      <c r="C432" t="s">
        <v>26</v>
      </c>
      <c r="D432" t="s">
        <v>13</v>
      </c>
      <c r="E432" t="s">
        <v>20</v>
      </c>
      <c r="F432" t="s">
        <v>36</v>
      </c>
      <c r="G432" t="s">
        <v>31</v>
      </c>
      <c r="H432" s="12">
        <v>150000</v>
      </c>
      <c r="I432">
        <v>1</v>
      </c>
      <c r="J432" t="s">
        <v>17</v>
      </c>
      <c r="K432" s="12">
        <f t="shared" si="6"/>
        <v>120000</v>
      </c>
      <c r="L432" s="12">
        <f>Sales_Data[[#This Row],[Unit Price]]*Sales_Data[[#This Row],[Quantity]]</f>
        <v>150000</v>
      </c>
      <c r="M432" s="12">
        <f>Sales_Data[[#This Row],[Cost Price]]*Sales_Data[[#This Row],[Quantity]]</f>
        <v>120000</v>
      </c>
      <c r="N432" s="12">
        <f>Sales_Data[[#This Row],[Revenue]]-Sales_Data[[#This Row],[COGS]]</f>
        <v>30000</v>
      </c>
    </row>
    <row r="433" spans="1:14">
      <c r="A433" s="1">
        <v>46107</v>
      </c>
      <c r="B433" t="s">
        <v>25</v>
      </c>
      <c r="C433" t="s">
        <v>26</v>
      </c>
      <c r="D433" t="s">
        <v>23</v>
      </c>
      <c r="E433" t="s">
        <v>14</v>
      </c>
      <c r="F433" t="s">
        <v>27</v>
      </c>
      <c r="G433" t="s">
        <v>22</v>
      </c>
      <c r="H433" s="12">
        <v>60000</v>
      </c>
      <c r="I433">
        <v>7</v>
      </c>
      <c r="J433" t="s">
        <v>24</v>
      </c>
      <c r="K433" s="12">
        <f t="shared" si="6"/>
        <v>48000</v>
      </c>
      <c r="L433" s="12">
        <f>Sales_Data[[#This Row],[Unit Price]]*Sales_Data[[#This Row],[Quantity]]</f>
        <v>420000</v>
      </c>
      <c r="M433" s="12">
        <f>Sales_Data[[#This Row],[Cost Price]]*Sales_Data[[#This Row],[Quantity]]</f>
        <v>336000</v>
      </c>
      <c r="N433" s="12">
        <f>Sales_Data[[#This Row],[Revenue]]-Sales_Data[[#This Row],[COGS]]</f>
        <v>84000</v>
      </c>
    </row>
    <row r="434" spans="1:14">
      <c r="A434" s="1">
        <v>46108</v>
      </c>
      <c r="B434" t="s">
        <v>11</v>
      </c>
      <c r="C434" t="s">
        <v>12</v>
      </c>
      <c r="D434" t="s">
        <v>13</v>
      </c>
      <c r="E434" t="s">
        <v>14</v>
      </c>
      <c r="F434" t="s">
        <v>33</v>
      </c>
      <c r="G434" t="s">
        <v>22</v>
      </c>
      <c r="H434" s="12">
        <v>180000</v>
      </c>
      <c r="I434">
        <v>1</v>
      </c>
      <c r="J434" t="s">
        <v>24</v>
      </c>
      <c r="K434" s="12">
        <f t="shared" si="6"/>
        <v>144000</v>
      </c>
      <c r="L434" s="12">
        <f>Sales_Data[[#This Row],[Unit Price]]*Sales_Data[[#This Row],[Quantity]]</f>
        <v>180000</v>
      </c>
      <c r="M434" s="12">
        <f>Sales_Data[[#This Row],[Cost Price]]*Sales_Data[[#This Row],[Quantity]]</f>
        <v>144000</v>
      </c>
      <c r="N434" s="12">
        <f>Sales_Data[[#This Row],[Revenue]]-Sales_Data[[#This Row],[COGS]]</f>
        <v>36000</v>
      </c>
    </row>
    <row r="435" spans="1:14">
      <c r="A435" s="1">
        <v>46109</v>
      </c>
      <c r="B435" t="s">
        <v>25</v>
      </c>
      <c r="C435" t="s">
        <v>12</v>
      </c>
      <c r="D435" t="s">
        <v>23</v>
      </c>
      <c r="E435" t="s">
        <v>14</v>
      </c>
      <c r="F435" t="s">
        <v>33</v>
      </c>
      <c r="G435" t="s">
        <v>22</v>
      </c>
      <c r="H435" s="12">
        <v>180000</v>
      </c>
      <c r="I435">
        <v>1</v>
      </c>
      <c r="J435" t="s">
        <v>35</v>
      </c>
      <c r="K435" s="12">
        <f t="shared" si="6"/>
        <v>144000</v>
      </c>
      <c r="L435" s="12">
        <f>Sales_Data[[#This Row],[Unit Price]]*Sales_Data[[#This Row],[Quantity]]</f>
        <v>180000</v>
      </c>
      <c r="M435" s="12">
        <f>Sales_Data[[#This Row],[Cost Price]]*Sales_Data[[#This Row],[Quantity]]</f>
        <v>144000</v>
      </c>
      <c r="N435" s="12">
        <f>Sales_Data[[#This Row],[Revenue]]-Sales_Data[[#This Row],[COGS]]</f>
        <v>36000</v>
      </c>
    </row>
    <row r="436" spans="1:14">
      <c r="A436" s="1">
        <v>46110</v>
      </c>
      <c r="B436" t="s">
        <v>25</v>
      </c>
      <c r="C436" t="s">
        <v>12</v>
      </c>
      <c r="D436" t="s">
        <v>13</v>
      </c>
      <c r="E436" t="s">
        <v>20</v>
      </c>
      <c r="F436" t="s">
        <v>40</v>
      </c>
      <c r="G436" t="s">
        <v>31</v>
      </c>
      <c r="H436" s="12">
        <v>250000</v>
      </c>
      <c r="I436">
        <v>9</v>
      </c>
      <c r="J436" t="s">
        <v>17</v>
      </c>
      <c r="K436" s="12">
        <f t="shared" si="6"/>
        <v>200000</v>
      </c>
      <c r="L436" s="12">
        <f>Sales_Data[[#This Row],[Unit Price]]*Sales_Data[[#This Row],[Quantity]]</f>
        <v>2250000</v>
      </c>
      <c r="M436" s="12">
        <f>Sales_Data[[#This Row],[Cost Price]]*Sales_Data[[#This Row],[Quantity]]</f>
        <v>1800000</v>
      </c>
      <c r="N436" s="12">
        <f>Sales_Data[[#This Row],[Revenue]]-Sales_Data[[#This Row],[COGS]]</f>
        <v>450000</v>
      </c>
    </row>
    <row r="437" spans="1:14">
      <c r="A437" s="1">
        <v>46111</v>
      </c>
      <c r="B437" t="s">
        <v>11</v>
      </c>
      <c r="C437" t="s">
        <v>26</v>
      </c>
      <c r="D437" t="s">
        <v>23</v>
      </c>
      <c r="E437" t="s">
        <v>14</v>
      </c>
      <c r="F437" t="s">
        <v>34</v>
      </c>
      <c r="G437" t="s">
        <v>16</v>
      </c>
      <c r="H437" s="12">
        <v>320000</v>
      </c>
      <c r="I437">
        <v>1</v>
      </c>
      <c r="J437" t="s">
        <v>24</v>
      </c>
      <c r="K437" s="12">
        <f t="shared" si="6"/>
        <v>256000</v>
      </c>
      <c r="L437" s="12">
        <f>Sales_Data[[#This Row],[Unit Price]]*Sales_Data[[#This Row],[Quantity]]</f>
        <v>320000</v>
      </c>
      <c r="M437" s="12">
        <f>Sales_Data[[#This Row],[Cost Price]]*Sales_Data[[#This Row],[Quantity]]</f>
        <v>256000</v>
      </c>
      <c r="N437" s="12">
        <f>Sales_Data[[#This Row],[Revenue]]-Sales_Data[[#This Row],[COGS]]</f>
        <v>64000</v>
      </c>
    </row>
    <row r="438" spans="1:14">
      <c r="A438" s="1">
        <v>46112</v>
      </c>
      <c r="B438" t="s">
        <v>25</v>
      </c>
      <c r="C438" t="s">
        <v>19</v>
      </c>
      <c r="D438" t="s">
        <v>13</v>
      </c>
      <c r="E438" t="s">
        <v>20</v>
      </c>
      <c r="F438" t="s">
        <v>33</v>
      </c>
      <c r="G438" t="s">
        <v>22</v>
      </c>
      <c r="H438" s="12">
        <v>180000</v>
      </c>
      <c r="I438">
        <v>10</v>
      </c>
      <c r="J438" t="s">
        <v>17</v>
      </c>
      <c r="K438" s="12">
        <f t="shared" si="6"/>
        <v>144000</v>
      </c>
      <c r="L438" s="12">
        <f>Sales_Data[[#This Row],[Unit Price]]*Sales_Data[[#This Row],[Quantity]]</f>
        <v>1800000</v>
      </c>
      <c r="M438" s="12">
        <f>Sales_Data[[#This Row],[Cost Price]]*Sales_Data[[#This Row],[Quantity]]</f>
        <v>1440000</v>
      </c>
      <c r="N438" s="12">
        <f>Sales_Data[[#This Row],[Revenue]]-Sales_Data[[#This Row],[COGS]]</f>
        <v>360000</v>
      </c>
    </row>
    <row r="439" spans="1:14">
      <c r="A439" s="1">
        <v>46113</v>
      </c>
      <c r="B439" t="s">
        <v>18</v>
      </c>
      <c r="C439" t="s">
        <v>26</v>
      </c>
      <c r="D439" t="s">
        <v>13</v>
      </c>
      <c r="E439" t="s">
        <v>20</v>
      </c>
      <c r="F439" t="s">
        <v>30</v>
      </c>
      <c r="G439" t="s">
        <v>31</v>
      </c>
      <c r="H439" s="12">
        <v>300000</v>
      </c>
      <c r="I439">
        <v>10</v>
      </c>
      <c r="J439" t="s">
        <v>35</v>
      </c>
      <c r="K439" s="12">
        <f t="shared" si="6"/>
        <v>240000</v>
      </c>
      <c r="L439" s="12">
        <f>Sales_Data[[#This Row],[Unit Price]]*Sales_Data[[#This Row],[Quantity]]</f>
        <v>3000000</v>
      </c>
      <c r="M439" s="12">
        <f>Sales_Data[[#This Row],[Cost Price]]*Sales_Data[[#This Row],[Quantity]]</f>
        <v>2400000</v>
      </c>
      <c r="N439" s="12">
        <f>Sales_Data[[#This Row],[Revenue]]-Sales_Data[[#This Row],[COGS]]</f>
        <v>600000</v>
      </c>
    </row>
    <row r="440" spans="1:14">
      <c r="A440" s="1">
        <v>46114</v>
      </c>
      <c r="B440" t="s">
        <v>25</v>
      </c>
      <c r="C440" t="s">
        <v>12</v>
      </c>
      <c r="D440" t="s">
        <v>13</v>
      </c>
      <c r="E440" t="s">
        <v>14</v>
      </c>
      <c r="F440" t="s">
        <v>38</v>
      </c>
      <c r="G440" t="s">
        <v>31</v>
      </c>
      <c r="H440" s="12">
        <v>420000</v>
      </c>
      <c r="I440">
        <v>4</v>
      </c>
      <c r="J440" t="s">
        <v>37</v>
      </c>
      <c r="K440" s="12">
        <f t="shared" si="6"/>
        <v>336000</v>
      </c>
      <c r="L440" s="12">
        <f>Sales_Data[[#This Row],[Unit Price]]*Sales_Data[[#This Row],[Quantity]]</f>
        <v>1680000</v>
      </c>
      <c r="M440" s="12">
        <f>Sales_Data[[#This Row],[Cost Price]]*Sales_Data[[#This Row],[Quantity]]</f>
        <v>1344000</v>
      </c>
      <c r="N440" s="12">
        <f>Sales_Data[[#This Row],[Revenue]]-Sales_Data[[#This Row],[COGS]]</f>
        <v>336000</v>
      </c>
    </row>
    <row r="441" spans="1:14">
      <c r="A441" s="1">
        <v>46115</v>
      </c>
      <c r="B441" t="s">
        <v>11</v>
      </c>
      <c r="C441" t="s">
        <v>12</v>
      </c>
      <c r="D441" t="s">
        <v>23</v>
      </c>
      <c r="E441" t="s">
        <v>20</v>
      </c>
      <c r="F441" t="s">
        <v>21</v>
      </c>
      <c r="G441" t="s">
        <v>22</v>
      </c>
      <c r="H441" s="12">
        <v>30000</v>
      </c>
      <c r="I441">
        <v>4</v>
      </c>
      <c r="J441" t="s">
        <v>28</v>
      </c>
      <c r="K441" s="12">
        <f t="shared" si="6"/>
        <v>24000</v>
      </c>
      <c r="L441" s="12">
        <f>Sales_Data[[#This Row],[Unit Price]]*Sales_Data[[#This Row],[Quantity]]</f>
        <v>120000</v>
      </c>
      <c r="M441" s="12">
        <f>Sales_Data[[#This Row],[Cost Price]]*Sales_Data[[#This Row],[Quantity]]</f>
        <v>96000</v>
      </c>
      <c r="N441" s="12">
        <f>Sales_Data[[#This Row],[Revenue]]-Sales_Data[[#This Row],[COGS]]</f>
        <v>24000</v>
      </c>
    </row>
    <row r="442" spans="1:14">
      <c r="A442" s="1">
        <v>46116</v>
      </c>
      <c r="B442" t="s">
        <v>29</v>
      </c>
      <c r="C442" t="s">
        <v>26</v>
      </c>
      <c r="D442" t="s">
        <v>13</v>
      </c>
      <c r="E442" t="s">
        <v>14</v>
      </c>
      <c r="F442" t="s">
        <v>21</v>
      </c>
      <c r="G442" t="s">
        <v>22</v>
      </c>
      <c r="H442" s="12">
        <v>30000</v>
      </c>
      <c r="I442">
        <v>10</v>
      </c>
      <c r="J442" t="s">
        <v>35</v>
      </c>
      <c r="K442" s="12">
        <f t="shared" si="6"/>
        <v>24000</v>
      </c>
      <c r="L442" s="12">
        <f>Sales_Data[[#This Row],[Unit Price]]*Sales_Data[[#This Row],[Quantity]]</f>
        <v>300000</v>
      </c>
      <c r="M442" s="12">
        <f>Sales_Data[[#This Row],[Cost Price]]*Sales_Data[[#This Row],[Quantity]]</f>
        <v>240000</v>
      </c>
      <c r="N442" s="12">
        <f>Sales_Data[[#This Row],[Revenue]]-Sales_Data[[#This Row],[COGS]]</f>
        <v>60000</v>
      </c>
    </row>
    <row r="443" spans="1:14">
      <c r="A443" s="1">
        <v>46117</v>
      </c>
      <c r="B443" t="s">
        <v>25</v>
      </c>
      <c r="C443" t="s">
        <v>12</v>
      </c>
      <c r="D443" t="s">
        <v>23</v>
      </c>
      <c r="E443" t="s">
        <v>20</v>
      </c>
      <c r="F443" t="s">
        <v>27</v>
      </c>
      <c r="G443" t="s">
        <v>22</v>
      </c>
      <c r="H443" s="12">
        <v>60000</v>
      </c>
      <c r="I443">
        <v>7</v>
      </c>
      <c r="J443" t="s">
        <v>17</v>
      </c>
      <c r="K443" s="12">
        <f t="shared" si="6"/>
        <v>48000</v>
      </c>
      <c r="L443" s="12">
        <f>Sales_Data[[#This Row],[Unit Price]]*Sales_Data[[#This Row],[Quantity]]</f>
        <v>420000</v>
      </c>
      <c r="M443" s="12">
        <f>Sales_Data[[#This Row],[Cost Price]]*Sales_Data[[#This Row],[Quantity]]</f>
        <v>336000</v>
      </c>
      <c r="N443" s="12">
        <f>Sales_Data[[#This Row],[Revenue]]-Sales_Data[[#This Row],[COGS]]</f>
        <v>84000</v>
      </c>
    </row>
    <row r="444" spans="1:14">
      <c r="A444" s="1">
        <v>46118</v>
      </c>
      <c r="B444" t="s">
        <v>29</v>
      </c>
      <c r="C444" t="s">
        <v>12</v>
      </c>
      <c r="D444" t="s">
        <v>23</v>
      </c>
      <c r="E444" t="s">
        <v>20</v>
      </c>
      <c r="F444" t="s">
        <v>33</v>
      </c>
      <c r="G444" t="s">
        <v>22</v>
      </c>
      <c r="H444" s="12">
        <v>180000</v>
      </c>
      <c r="I444">
        <v>4</v>
      </c>
      <c r="J444" t="s">
        <v>39</v>
      </c>
      <c r="K444" s="12">
        <f t="shared" si="6"/>
        <v>144000</v>
      </c>
      <c r="L444" s="12">
        <f>Sales_Data[[#This Row],[Unit Price]]*Sales_Data[[#This Row],[Quantity]]</f>
        <v>720000</v>
      </c>
      <c r="M444" s="12">
        <f>Sales_Data[[#This Row],[Cost Price]]*Sales_Data[[#This Row],[Quantity]]</f>
        <v>576000</v>
      </c>
      <c r="N444" s="12">
        <f>Sales_Data[[#This Row],[Revenue]]-Sales_Data[[#This Row],[COGS]]</f>
        <v>144000</v>
      </c>
    </row>
    <row r="445" spans="1:14">
      <c r="A445" s="1">
        <v>46119</v>
      </c>
      <c r="B445" t="s">
        <v>11</v>
      </c>
      <c r="C445" t="s">
        <v>32</v>
      </c>
      <c r="D445" t="s">
        <v>13</v>
      </c>
      <c r="E445" t="s">
        <v>20</v>
      </c>
      <c r="F445" t="s">
        <v>21</v>
      </c>
      <c r="G445" t="s">
        <v>22</v>
      </c>
      <c r="H445" s="12">
        <v>30000</v>
      </c>
      <c r="I445">
        <v>7</v>
      </c>
      <c r="J445" t="s">
        <v>35</v>
      </c>
      <c r="K445" s="12">
        <f t="shared" si="6"/>
        <v>24000</v>
      </c>
      <c r="L445" s="12">
        <f>Sales_Data[[#This Row],[Unit Price]]*Sales_Data[[#This Row],[Quantity]]</f>
        <v>210000</v>
      </c>
      <c r="M445" s="12">
        <f>Sales_Data[[#This Row],[Cost Price]]*Sales_Data[[#This Row],[Quantity]]</f>
        <v>168000</v>
      </c>
      <c r="N445" s="12">
        <f>Sales_Data[[#This Row],[Revenue]]-Sales_Data[[#This Row],[COGS]]</f>
        <v>42000</v>
      </c>
    </row>
    <row r="446" spans="1:14">
      <c r="A446" s="1">
        <v>46120</v>
      </c>
      <c r="B446" t="s">
        <v>25</v>
      </c>
      <c r="C446" t="s">
        <v>19</v>
      </c>
      <c r="D446" t="s">
        <v>23</v>
      </c>
      <c r="E446" t="s">
        <v>20</v>
      </c>
      <c r="F446" t="s">
        <v>38</v>
      </c>
      <c r="G446" t="s">
        <v>31</v>
      </c>
      <c r="H446" s="12">
        <v>420000</v>
      </c>
      <c r="I446">
        <v>10</v>
      </c>
      <c r="J446" t="s">
        <v>17</v>
      </c>
      <c r="K446" s="12">
        <f t="shared" si="6"/>
        <v>336000</v>
      </c>
      <c r="L446" s="12">
        <f>Sales_Data[[#This Row],[Unit Price]]*Sales_Data[[#This Row],[Quantity]]</f>
        <v>4200000</v>
      </c>
      <c r="M446" s="12">
        <f>Sales_Data[[#This Row],[Cost Price]]*Sales_Data[[#This Row],[Quantity]]</f>
        <v>3360000</v>
      </c>
      <c r="N446" s="12">
        <f>Sales_Data[[#This Row],[Revenue]]-Sales_Data[[#This Row],[COGS]]</f>
        <v>840000</v>
      </c>
    </row>
    <row r="447" spans="1:14">
      <c r="A447" s="1">
        <v>46121</v>
      </c>
      <c r="B447" t="s">
        <v>18</v>
      </c>
      <c r="C447" t="s">
        <v>12</v>
      </c>
      <c r="D447" t="s">
        <v>23</v>
      </c>
      <c r="E447" t="s">
        <v>14</v>
      </c>
      <c r="F447" t="s">
        <v>38</v>
      </c>
      <c r="G447" t="s">
        <v>31</v>
      </c>
      <c r="H447" s="12">
        <v>420000</v>
      </c>
      <c r="I447">
        <v>7</v>
      </c>
      <c r="J447" t="s">
        <v>35</v>
      </c>
      <c r="K447" s="12">
        <f t="shared" si="6"/>
        <v>336000</v>
      </c>
      <c r="L447" s="12">
        <f>Sales_Data[[#This Row],[Unit Price]]*Sales_Data[[#This Row],[Quantity]]</f>
        <v>2940000</v>
      </c>
      <c r="M447" s="12">
        <f>Sales_Data[[#This Row],[Cost Price]]*Sales_Data[[#This Row],[Quantity]]</f>
        <v>2352000</v>
      </c>
      <c r="N447" s="12">
        <f>Sales_Data[[#This Row],[Revenue]]-Sales_Data[[#This Row],[COGS]]</f>
        <v>588000</v>
      </c>
    </row>
    <row r="448" spans="1:14">
      <c r="A448" s="1">
        <v>46122</v>
      </c>
      <c r="B448" t="s">
        <v>25</v>
      </c>
      <c r="C448" t="s">
        <v>26</v>
      </c>
      <c r="D448" t="s">
        <v>13</v>
      </c>
      <c r="E448" t="s">
        <v>20</v>
      </c>
      <c r="F448" t="s">
        <v>40</v>
      </c>
      <c r="G448" t="s">
        <v>31</v>
      </c>
      <c r="H448" s="12">
        <v>250000</v>
      </c>
      <c r="I448">
        <v>5</v>
      </c>
      <c r="J448" t="s">
        <v>24</v>
      </c>
      <c r="K448" s="12">
        <f t="shared" si="6"/>
        <v>200000</v>
      </c>
      <c r="L448" s="12">
        <f>Sales_Data[[#This Row],[Unit Price]]*Sales_Data[[#This Row],[Quantity]]</f>
        <v>1250000</v>
      </c>
      <c r="M448" s="12">
        <f>Sales_Data[[#This Row],[Cost Price]]*Sales_Data[[#This Row],[Quantity]]</f>
        <v>1000000</v>
      </c>
      <c r="N448" s="12">
        <f>Sales_Data[[#This Row],[Revenue]]-Sales_Data[[#This Row],[COGS]]</f>
        <v>250000</v>
      </c>
    </row>
    <row r="449" spans="1:14">
      <c r="A449" s="1">
        <v>46123</v>
      </c>
      <c r="B449" t="s">
        <v>11</v>
      </c>
      <c r="C449" t="s">
        <v>32</v>
      </c>
      <c r="D449" t="s">
        <v>23</v>
      </c>
      <c r="E449" t="s">
        <v>14</v>
      </c>
      <c r="F449" t="s">
        <v>38</v>
      </c>
      <c r="G449" t="s">
        <v>31</v>
      </c>
      <c r="H449" s="12">
        <v>420000</v>
      </c>
      <c r="I449">
        <v>5</v>
      </c>
      <c r="J449" t="s">
        <v>28</v>
      </c>
      <c r="K449" s="12">
        <f t="shared" si="6"/>
        <v>336000</v>
      </c>
      <c r="L449" s="12">
        <f>Sales_Data[[#This Row],[Unit Price]]*Sales_Data[[#This Row],[Quantity]]</f>
        <v>2100000</v>
      </c>
      <c r="M449" s="12">
        <f>Sales_Data[[#This Row],[Cost Price]]*Sales_Data[[#This Row],[Quantity]]</f>
        <v>1680000</v>
      </c>
      <c r="N449" s="12">
        <f>Sales_Data[[#This Row],[Revenue]]-Sales_Data[[#This Row],[COGS]]</f>
        <v>420000</v>
      </c>
    </row>
    <row r="450" spans="1:14">
      <c r="A450" s="1">
        <v>46124</v>
      </c>
      <c r="B450" t="s">
        <v>18</v>
      </c>
      <c r="C450" t="s">
        <v>26</v>
      </c>
      <c r="D450" t="s">
        <v>23</v>
      </c>
      <c r="E450" t="s">
        <v>20</v>
      </c>
      <c r="F450" t="s">
        <v>34</v>
      </c>
      <c r="G450" t="s">
        <v>16</v>
      </c>
      <c r="H450" s="12">
        <v>320000</v>
      </c>
      <c r="I450">
        <v>2</v>
      </c>
      <c r="J450" t="s">
        <v>28</v>
      </c>
      <c r="K450" s="12">
        <f t="shared" ref="K450:K513" si="7">H450-H450*0.2</f>
        <v>256000</v>
      </c>
      <c r="L450" s="12">
        <f>Sales_Data[[#This Row],[Unit Price]]*Sales_Data[[#This Row],[Quantity]]</f>
        <v>640000</v>
      </c>
      <c r="M450" s="12">
        <f>Sales_Data[[#This Row],[Cost Price]]*Sales_Data[[#This Row],[Quantity]]</f>
        <v>512000</v>
      </c>
      <c r="N450" s="12">
        <f>Sales_Data[[#This Row],[Revenue]]-Sales_Data[[#This Row],[COGS]]</f>
        <v>128000</v>
      </c>
    </row>
    <row r="451" spans="1:14">
      <c r="A451" s="1">
        <v>46125</v>
      </c>
      <c r="B451" t="s">
        <v>29</v>
      </c>
      <c r="C451" t="s">
        <v>12</v>
      </c>
      <c r="D451" t="s">
        <v>13</v>
      </c>
      <c r="E451" t="s">
        <v>20</v>
      </c>
      <c r="F451" t="s">
        <v>30</v>
      </c>
      <c r="G451" t="s">
        <v>31</v>
      </c>
      <c r="H451" s="12">
        <v>300000</v>
      </c>
      <c r="I451">
        <v>10</v>
      </c>
      <c r="J451" t="s">
        <v>37</v>
      </c>
      <c r="K451" s="12">
        <f t="shared" si="7"/>
        <v>240000</v>
      </c>
      <c r="L451" s="12">
        <f>Sales_Data[[#This Row],[Unit Price]]*Sales_Data[[#This Row],[Quantity]]</f>
        <v>3000000</v>
      </c>
      <c r="M451" s="12">
        <f>Sales_Data[[#This Row],[Cost Price]]*Sales_Data[[#This Row],[Quantity]]</f>
        <v>2400000</v>
      </c>
      <c r="N451" s="12">
        <f>Sales_Data[[#This Row],[Revenue]]-Sales_Data[[#This Row],[COGS]]</f>
        <v>600000</v>
      </c>
    </row>
    <row r="452" spans="1:14">
      <c r="A452" s="1">
        <v>46126</v>
      </c>
      <c r="B452" t="s">
        <v>18</v>
      </c>
      <c r="C452" t="s">
        <v>12</v>
      </c>
      <c r="D452" t="s">
        <v>13</v>
      </c>
      <c r="E452" t="s">
        <v>14</v>
      </c>
      <c r="F452" t="s">
        <v>40</v>
      </c>
      <c r="G452" t="s">
        <v>31</v>
      </c>
      <c r="H452" s="12">
        <v>250000</v>
      </c>
      <c r="I452">
        <v>5</v>
      </c>
      <c r="J452" t="s">
        <v>37</v>
      </c>
      <c r="K452" s="12">
        <f t="shared" si="7"/>
        <v>200000</v>
      </c>
      <c r="L452" s="12">
        <f>Sales_Data[[#This Row],[Unit Price]]*Sales_Data[[#This Row],[Quantity]]</f>
        <v>1250000</v>
      </c>
      <c r="M452" s="12">
        <f>Sales_Data[[#This Row],[Cost Price]]*Sales_Data[[#This Row],[Quantity]]</f>
        <v>1000000</v>
      </c>
      <c r="N452" s="12">
        <f>Sales_Data[[#This Row],[Revenue]]-Sales_Data[[#This Row],[COGS]]</f>
        <v>250000</v>
      </c>
    </row>
    <row r="453" spans="1:14">
      <c r="A453" s="1">
        <v>46127</v>
      </c>
      <c r="B453" t="s">
        <v>25</v>
      </c>
      <c r="C453" t="s">
        <v>26</v>
      </c>
      <c r="D453" t="s">
        <v>23</v>
      </c>
      <c r="E453" t="s">
        <v>20</v>
      </c>
      <c r="F453" t="s">
        <v>40</v>
      </c>
      <c r="G453" t="s">
        <v>31</v>
      </c>
      <c r="H453" s="12">
        <v>250000</v>
      </c>
      <c r="I453">
        <v>2</v>
      </c>
      <c r="J453" t="s">
        <v>24</v>
      </c>
      <c r="K453" s="12">
        <f t="shared" si="7"/>
        <v>200000</v>
      </c>
      <c r="L453" s="12">
        <f>Sales_Data[[#This Row],[Unit Price]]*Sales_Data[[#This Row],[Quantity]]</f>
        <v>500000</v>
      </c>
      <c r="M453" s="12">
        <f>Sales_Data[[#This Row],[Cost Price]]*Sales_Data[[#This Row],[Quantity]]</f>
        <v>400000</v>
      </c>
      <c r="N453" s="12">
        <f>Sales_Data[[#This Row],[Revenue]]-Sales_Data[[#This Row],[COGS]]</f>
        <v>100000</v>
      </c>
    </row>
    <row r="454" spans="1:14">
      <c r="A454" s="1">
        <v>46128</v>
      </c>
      <c r="B454" t="s">
        <v>29</v>
      </c>
      <c r="C454" t="s">
        <v>19</v>
      </c>
      <c r="D454" t="s">
        <v>13</v>
      </c>
      <c r="E454" t="s">
        <v>20</v>
      </c>
      <c r="F454" t="s">
        <v>33</v>
      </c>
      <c r="G454" t="s">
        <v>22</v>
      </c>
      <c r="H454" s="12">
        <v>180000</v>
      </c>
      <c r="I454">
        <v>1</v>
      </c>
      <c r="J454" t="s">
        <v>17</v>
      </c>
      <c r="K454" s="12">
        <f t="shared" si="7"/>
        <v>144000</v>
      </c>
      <c r="L454" s="12">
        <f>Sales_Data[[#This Row],[Unit Price]]*Sales_Data[[#This Row],[Quantity]]</f>
        <v>180000</v>
      </c>
      <c r="M454" s="12">
        <f>Sales_Data[[#This Row],[Cost Price]]*Sales_Data[[#This Row],[Quantity]]</f>
        <v>144000</v>
      </c>
      <c r="N454" s="12">
        <f>Sales_Data[[#This Row],[Revenue]]-Sales_Data[[#This Row],[COGS]]</f>
        <v>36000</v>
      </c>
    </row>
    <row r="455" spans="1:14">
      <c r="A455" s="1">
        <v>46129</v>
      </c>
      <c r="B455" t="s">
        <v>18</v>
      </c>
      <c r="C455" t="s">
        <v>19</v>
      </c>
      <c r="D455" t="s">
        <v>13</v>
      </c>
      <c r="E455" t="s">
        <v>20</v>
      </c>
      <c r="F455" t="s">
        <v>34</v>
      </c>
      <c r="G455" t="s">
        <v>16</v>
      </c>
      <c r="H455" s="12">
        <v>320000</v>
      </c>
      <c r="I455">
        <v>10</v>
      </c>
      <c r="J455" t="s">
        <v>35</v>
      </c>
      <c r="K455" s="12">
        <f t="shared" si="7"/>
        <v>256000</v>
      </c>
      <c r="L455" s="12">
        <f>Sales_Data[[#This Row],[Unit Price]]*Sales_Data[[#This Row],[Quantity]]</f>
        <v>3200000</v>
      </c>
      <c r="M455" s="12">
        <f>Sales_Data[[#This Row],[Cost Price]]*Sales_Data[[#This Row],[Quantity]]</f>
        <v>2560000</v>
      </c>
      <c r="N455" s="12">
        <f>Sales_Data[[#This Row],[Revenue]]-Sales_Data[[#This Row],[COGS]]</f>
        <v>640000</v>
      </c>
    </row>
    <row r="456" spans="1:14">
      <c r="A456" s="1">
        <v>46130</v>
      </c>
      <c r="B456" t="s">
        <v>25</v>
      </c>
      <c r="C456" t="s">
        <v>26</v>
      </c>
      <c r="D456" t="s">
        <v>23</v>
      </c>
      <c r="E456" t="s">
        <v>20</v>
      </c>
      <c r="F456" t="s">
        <v>36</v>
      </c>
      <c r="G456" t="s">
        <v>31</v>
      </c>
      <c r="H456" s="12">
        <v>150000</v>
      </c>
      <c r="I456">
        <v>2</v>
      </c>
      <c r="J456" t="s">
        <v>17</v>
      </c>
      <c r="K456" s="12">
        <f t="shared" si="7"/>
        <v>120000</v>
      </c>
      <c r="L456" s="12">
        <f>Sales_Data[[#This Row],[Unit Price]]*Sales_Data[[#This Row],[Quantity]]</f>
        <v>300000</v>
      </c>
      <c r="M456" s="12">
        <f>Sales_Data[[#This Row],[Cost Price]]*Sales_Data[[#This Row],[Quantity]]</f>
        <v>240000</v>
      </c>
      <c r="N456" s="12">
        <f>Sales_Data[[#This Row],[Revenue]]-Sales_Data[[#This Row],[COGS]]</f>
        <v>60000</v>
      </c>
    </row>
    <row r="457" spans="1:14">
      <c r="A457" s="1">
        <v>46131</v>
      </c>
      <c r="B457" t="s">
        <v>18</v>
      </c>
      <c r="C457" t="s">
        <v>19</v>
      </c>
      <c r="D457" t="s">
        <v>13</v>
      </c>
      <c r="E457" t="s">
        <v>20</v>
      </c>
      <c r="F457" t="s">
        <v>33</v>
      </c>
      <c r="G457" t="s">
        <v>22</v>
      </c>
      <c r="H457" s="12">
        <v>180000</v>
      </c>
      <c r="I457">
        <v>10</v>
      </c>
      <c r="J457" t="s">
        <v>28</v>
      </c>
      <c r="K457" s="12">
        <f t="shared" si="7"/>
        <v>144000</v>
      </c>
      <c r="L457" s="12">
        <f>Sales_Data[[#This Row],[Unit Price]]*Sales_Data[[#This Row],[Quantity]]</f>
        <v>1800000</v>
      </c>
      <c r="M457" s="12">
        <f>Sales_Data[[#This Row],[Cost Price]]*Sales_Data[[#This Row],[Quantity]]</f>
        <v>1440000</v>
      </c>
      <c r="N457" s="12">
        <f>Sales_Data[[#This Row],[Revenue]]-Sales_Data[[#This Row],[COGS]]</f>
        <v>360000</v>
      </c>
    </row>
    <row r="458" spans="1:14">
      <c r="A458" s="1">
        <v>46132</v>
      </c>
      <c r="B458" t="s">
        <v>11</v>
      </c>
      <c r="C458" t="s">
        <v>19</v>
      </c>
      <c r="D458" t="s">
        <v>13</v>
      </c>
      <c r="E458" t="s">
        <v>14</v>
      </c>
      <c r="F458" t="s">
        <v>36</v>
      </c>
      <c r="G458" t="s">
        <v>31</v>
      </c>
      <c r="H458" s="12">
        <v>150000</v>
      </c>
      <c r="I458">
        <v>2</v>
      </c>
      <c r="J458" t="s">
        <v>28</v>
      </c>
      <c r="K458" s="12">
        <f t="shared" si="7"/>
        <v>120000</v>
      </c>
      <c r="L458" s="12">
        <f>Sales_Data[[#This Row],[Unit Price]]*Sales_Data[[#This Row],[Quantity]]</f>
        <v>300000</v>
      </c>
      <c r="M458" s="12">
        <f>Sales_Data[[#This Row],[Cost Price]]*Sales_Data[[#This Row],[Quantity]]</f>
        <v>240000</v>
      </c>
      <c r="N458" s="12">
        <f>Sales_Data[[#This Row],[Revenue]]-Sales_Data[[#This Row],[COGS]]</f>
        <v>60000</v>
      </c>
    </row>
    <row r="459" spans="1:14">
      <c r="A459" s="1">
        <v>46133</v>
      </c>
      <c r="B459" t="s">
        <v>25</v>
      </c>
      <c r="C459" t="s">
        <v>26</v>
      </c>
      <c r="D459" t="s">
        <v>23</v>
      </c>
      <c r="E459" t="s">
        <v>20</v>
      </c>
      <c r="F459" t="s">
        <v>27</v>
      </c>
      <c r="G459" t="s">
        <v>22</v>
      </c>
      <c r="H459" s="12">
        <v>60000</v>
      </c>
      <c r="I459">
        <v>10</v>
      </c>
      <c r="J459" t="s">
        <v>28</v>
      </c>
      <c r="K459" s="12">
        <f t="shared" si="7"/>
        <v>48000</v>
      </c>
      <c r="L459" s="12">
        <f>Sales_Data[[#This Row],[Unit Price]]*Sales_Data[[#This Row],[Quantity]]</f>
        <v>600000</v>
      </c>
      <c r="M459" s="12">
        <f>Sales_Data[[#This Row],[Cost Price]]*Sales_Data[[#This Row],[Quantity]]</f>
        <v>480000</v>
      </c>
      <c r="N459" s="12">
        <f>Sales_Data[[#This Row],[Revenue]]-Sales_Data[[#This Row],[COGS]]</f>
        <v>120000</v>
      </c>
    </row>
    <row r="460" spans="1:14">
      <c r="A460" s="1">
        <v>46134</v>
      </c>
      <c r="B460" t="s">
        <v>11</v>
      </c>
      <c r="C460" t="s">
        <v>32</v>
      </c>
      <c r="D460" t="s">
        <v>23</v>
      </c>
      <c r="E460" t="s">
        <v>14</v>
      </c>
      <c r="F460" t="s">
        <v>41</v>
      </c>
      <c r="G460" t="s">
        <v>22</v>
      </c>
      <c r="H460" s="12">
        <v>220000</v>
      </c>
      <c r="I460">
        <v>4</v>
      </c>
      <c r="J460" t="s">
        <v>35</v>
      </c>
      <c r="K460" s="12">
        <f t="shared" si="7"/>
        <v>176000</v>
      </c>
      <c r="L460" s="12">
        <f>Sales_Data[[#This Row],[Unit Price]]*Sales_Data[[#This Row],[Quantity]]</f>
        <v>880000</v>
      </c>
      <c r="M460" s="12">
        <f>Sales_Data[[#This Row],[Cost Price]]*Sales_Data[[#This Row],[Quantity]]</f>
        <v>704000</v>
      </c>
      <c r="N460" s="12">
        <f>Sales_Data[[#This Row],[Revenue]]-Sales_Data[[#This Row],[COGS]]</f>
        <v>176000</v>
      </c>
    </row>
    <row r="461" spans="1:14">
      <c r="A461" s="1">
        <v>46135</v>
      </c>
      <c r="B461" t="s">
        <v>25</v>
      </c>
      <c r="C461" t="s">
        <v>19</v>
      </c>
      <c r="D461" t="s">
        <v>13</v>
      </c>
      <c r="E461" t="s">
        <v>14</v>
      </c>
      <c r="F461" t="s">
        <v>27</v>
      </c>
      <c r="G461" t="s">
        <v>22</v>
      </c>
      <c r="H461" s="12">
        <v>60000</v>
      </c>
      <c r="I461">
        <v>5</v>
      </c>
      <c r="J461" t="s">
        <v>35</v>
      </c>
      <c r="K461" s="12">
        <f t="shared" si="7"/>
        <v>48000</v>
      </c>
      <c r="L461" s="12">
        <f>Sales_Data[[#This Row],[Unit Price]]*Sales_Data[[#This Row],[Quantity]]</f>
        <v>300000</v>
      </c>
      <c r="M461" s="12">
        <f>Sales_Data[[#This Row],[Cost Price]]*Sales_Data[[#This Row],[Quantity]]</f>
        <v>240000</v>
      </c>
      <c r="N461" s="12">
        <f>Sales_Data[[#This Row],[Revenue]]-Sales_Data[[#This Row],[COGS]]</f>
        <v>60000</v>
      </c>
    </row>
    <row r="462" spans="1:14">
      <c r="A462" s="1">
        <v>46136</v>
      </c>
      <c r="B462" t="s">
        <v>25</v>
      </c>
      <c r="C462" t="s">
        <v>32</v>
      </c>
      <c r="D462" t="s">
        <v>23</v>
      </c>
      <c r="E462" t="s">
        <v>14</v>
      </c>
      <c r="F462" t="s">
        <v>40</v>
      </c>
      <c r="G462" t="s">
        <v>31</v>
      </c>
      <c r="H462" s="12">
        <v>250000</v>
      </c>
      <c r="I462">
        <v>3</v>
      </c>
      <c r="J462" t="s">
        <v>24</v>
      </c>
      <c r="K462" s="12">
        <f t="shared" si="7"/>
        <v>200000</v>
      </c>
      <c r="L462" s="12">
        <f>Sales_Data[[#This Row],[Unit Price]]*Sales_Data[[#This Row],[Quantity]]</f>
        <v>750000</v>
      </c>
      <c r="M462" s="12">
        <f>Sales_Data[[#This Row],[Cost Price]]*Sales_Data[[#This Row],[Quantity]]</f>
        <v>600000</v>
      </c>
      <c r="N462" s="12">
        <f>Sales_Data[[#This Row],[Revenue]]-Sales_Data[[#This Row],[COGS]]</f>
        <v>150000</v>
      </c>
    </row>
    <row r="463" spans="1:14">
      <c r="A463" s="1">
        <v>46137</v>
      </c>
      <c r="B463" t="s">
        <v>25</v>
      </c>
      <c r="C463" t="s">
        <v>19</v>
      </c>
      <c r="D463" t="s">
        <v>23</v>
      </c>
      <c r="E463" t="s">
        <v>20</v>
      </c>
      <c r="F463" t="s">
        <v>36</v>
      </c>
      <c r="G463" t="s">
        <v>31</v>
      </c>
      <c r="H463" s="12">
        <v>150000</v>
      </c>
      <c r="I463">
        <v>1</v>
      </c>
      <c r="J463" t="s">
        <v>37</v>
      </c>
      <c r="K463" s="12">
        <f t="shared" si="7"/>
        <v>120000</v>
      </c>
      <c r="L463" s="12">
        <f>Sales_Data[[#This Row],[Unit Price]]*Sales_Data[[#This Row],[Quantity]]</f>
        <v>150000</v>
      </c>
      <c r="M463" s="12">
        <f>Sales_Data[[#This Row],[Cost Price]]*Sales_Data[[#This Row],[Quantity]]</f>
        <v>120000</v>
      </c>
      <c r="N463" s="12">
        <f>Sales_Data[[#This Row],[Revenue]]-Sales_Data[[#This Row],[COGS]]</f>
        <v>30000</v>
      </c>
    </row>
    <row r="464" spans="1:14">
      <c r="A464" s="1">
        <v>46138</v>
      </c>
      <c r="B464" t="s">
        <v>29</v>
      </c>
      <c r="C464" t="s">
        <v>32</v>
      </c>
      <c r="D464" t="s">
        <v>23</v>
      </c>
      <c r="E464" t="s">
        <v>20</v>
      </c>
      <c r="F464" t="s">
        <v>41</v>
      </c>
      <c r="G464" t="s">
        <v>22</v>
      </c>
      <c r="H464" s="12">
        <v>220000</v>
      </c>
      <c r="I464">
        <v>1</v>
      </c>
      <c r="J464" t="s">
        <v>24</v>
      </c>
      <c r="K464" s="12">
        <f t="shared" si="7"/>
        <v>176000</v>
      </c>
      <c r="L464" s="12">
        <f>Sales_Data[[#This Row],[Unit Price]]*Sales_Data[[#This Row],[Quantity]]</f>
        <v>220000</v>
      </c>
      <c r="M464" s="12">
        <f>Sales_Data[[#This Row],[Cost Price]]*Sales_Data[[#This Row],[Quantity]]</f>
        <v>176000</v>
      </c>
      <c r="N464" s="12">
        <f>Sales_Data[[#This Row],[Revenue]]-Sales_Data[[#This Row],[COGS]]</f>
        <v>44000</v>
      </c>
    </row>
    <row r="465" spans="1:14">
      <c r="A465" s="1">
        <v>46139</v>
      </c>
      <c r="B465" t="s">
        <v>18</v>
      </c>
      <c r="C465" t="s">
        <v>26</v>
      </c>
      <c r="D465" t="s">
        <v>13</v>
      </c>
      <c r="E465" t="s">
        <v>20</v>
      </c>
      <c r="F465" t="s">
        <v>40</v>
      </c>
      <c r="G465" t="s">
        <v>31</v>
      </c>
      <c r="H465" s="12">
        <v>250000</v>
      </c>
      <c r="I465">
        <v>6</v>
      </c>
      <c r="J465" t="s">
        <v>37</v>
      </c>
      <c r="K465" s="12">
        <f t="shared" si="7"/>
        <v>200000</v>
      </c>
      <c r="L465" s="12">
        <f>Sales_Data[[#This Row],[Unit Price]]*Sales_Data[[#This Row],[Quantity]]</f>
        <v>1500000</v>
      </c>
      <c r="M465" s="12">
        <f>Sales_Data[[#This Row],[Cost Price]]*Sales_Data[[#This Row],[Quantity]]</f>
        <v>1200000</v>
      </c>
      <c r="N465" s="12">
        <f>Sales_Data[[#This Row],[Revenue]]-Sales_Data[[#This Row],[COGS]]</f>
        <v>300000</v>
      </c>
    </row>
    <row r="466" spans="1:14">
      <c r="A466" s="1">
        <v>46140</v>
      </c>
      <c r="B466" t="s">
        <v>11</v>
      </c>
      <c r="C466" t="s">
        <v>32</v>
      </c>
      <c r="D466" t="s">
        <v>13</v>
      </c>
      <c r="E466" t="s">
        <v>20</v>
      </c>
      <c r="F466" t="s">
        <v>41</v>
      </c>
      <c r="G466" t="s">
        <v>22</v>
      </c>
      <c r="H466" s="12">
        <v>220000</v>
      </c>
      <c r="I466">
        <v>10</v>
      </c>
      <c r="J466" t="s">
        <v>35</v>
      </c>
      <c r="K466" s="12">
        <f t="shared" si="7"/>
        <v>176000</v>
      </c>
      <c r="L466" s="12">
        <f>Sales_Data[[#This Row],[Unit Price]]*Sales_Data[[#This Row],[Quantity]]</f>
        <v>2200000</v>
      </c>
      <c r="M466" s="12">
        <f>Sales_Data[[#This Row],[Cost Price]]*Sales_Data[[#This Row],[Quantity]]</f>
        <v>1760000</v>
      </c>
      <c r="N466" s="12">
        <f>Sales_Data[[#This Row],[Revenue]]-Sales_Data[[#This Row],[COGS]]</f>
        <v>440000</v>
      </c>
    </row>
    <row r="467" spans="1:14">
      <c r="A467" s="1">
        <v>46141</v>
      </c>
      <c r="B467" t="s">
        <v>18</v>
      </c>
      <c r="C467" t="s">
        <v>12</v>
      </c>
      <c r="D467" t="s">
        <v>13</v>
      </c>
      <c r="E467" t="s">
        <v>20</v>
      </c>
      <c r="F467" t="s">
        <v>33</v>
      </c>
      <c r="G467" t="s">
        <v>22</v>
      </c>
      <c r="H467" s="12">
        <v>180000</v>
      </c>
      <c r="I467">
        <v>10</v>
      </c>
      <c r="J467" t="s">
        <v>24</v>
      </c>
      <c r="K467" s="12">
        <f t="shared" si="7"/>
        <v>144000</v>
      </c>
      <c r="L467" s="12">
        <f>Sales_Data[[#This Row],[Unit Price]]*Sales_Data[[#This Row],[Quantity]]</f>
        <v>1800000</v>
      </c>
      <c r="M467" s="12">
        <f>Sales_Data[[#This Row],[Cost Price]]*Sales_Data[[#This Row],[Quantity]]</f>
        <v>1440000</v>
      </c>
      <c r="N467" s="12">
        <f>Sales_Data[[#This Row],[Revenue]]-Sales_Data[[#This Row],[COGS]]</f>
        <v>360000</v>
      </c>
    </row>
    <row r="468" spans="1:14">
      <c r="A468" s="1">
        <v>46142</v>
      </c>
      <c r="B468" t="s">
        <v>11</v>
      </c>
      <c r="C468" t="s">
        <v>12</v>
      </c>
      <c r="D468" t="s">
        <v>23</v>
      </c>
      <c r="E468" t="s">
        <v>14</v>
      </c>
      <c r="F468" t="s">
        <v>27</v>
      </c>
      <c r="G468" t="s">
        <v>22</v>
      </c>
      <c r="H468" s="12">
        <v>60000</v>
      </c>
      <c r="I468">
        <v>6</v>
      </c>
      <c r="J468" t="s">
        <v>39</v>
      </c>
      <c r="K468" s="12">
        <f t="shared" si="7"/>
        <v>48000</v>
      </c>
      <c r="L468" s="12">
        <f>Sales_Data[[#This Row],[Unit Price]]*Sales_Data[[#This Row],[Quantity]]</f>
        <v>360000</v>
      </c>
      <c r="M468" s="12">
        <f>Sales_Data[[#This Row],[Cost Price]]*Sales_Data[[#This Row],[Quantity]]</f>
        <v>288000</v>
      </c>
      <c r="N468" s="12">
        <f>Sales_Data[[#This Row],[Revenue]]-Sales_Data[[#This Row],[COGS]]</f>
        <v>72000</v>
      </c>
    </row>
    <row r="469" spans="1:14">
      <c r="A469" s="1">
        <v>46143</v>
      </c>
      <c r="B469" t="s">
        <v>29</v>
      </c>
      <c r="C469" t="s">
        <v>26</v>
      </c>
      <c r="D469" t="s">
        <v>13</v>
      </c>
      <c r="E469" t="s">
        <v>20</v>
      </c>
      <c r="F469" t="s">
        <v>41</v>
      </c>
      <c r="G469" t="s">
        <v>22</v>
      </c>
      <c r="H469" s="12">
        <v>220000</v>
      </c>
      <c r="I469">
        <v>4</v>
      </c>
      <c r="J469" t="s">
        <v>24</v>
      </c>
      <c r="K469" s="12">
        <f t="shared" si="7"/>
        <v>176000</v>
      </c>
      <c r="L469" s="12">
        <f>Sales_Data[[#This Row],[Unit Price]]*Sales_Data[[#This Row],[Quantity]]</f>
        <v>880000</v>
      </c>
      <c r="M469" s="12">
        <f>Sales_Data[[#This Row],[Cost Price]]*Sales_Data[[#This Row],[Quantity]]</f>
        <v>704000</v>
      </c>
      <c r="N469" s="12">
        <f>Sales_Data[[#This Row],[Revenue]]-Sales_Data[[#This Row],[COGS]]</f>
        <v>176000</v>
      </c>
    </row>
    <row r="470" spans="1:14">
      <c r="A470" s="1">
        <v>46144</v>
      </c>
      <c r="B470" t="s">
        <v>25</v>
      </c>
      <c r="C470" t="s">
        <v>32</v>
      </c>
      <c r="D470" t="s">
        <v>23</v>
      </c>
      <c r="E470" t="s">
        <v>14</v>
      </c>
      <c r="F470" t="s">
        <v>36</v>
      </c>
      <c r="G470" t="s">
        <v>31</v>
      </c>
      <c r="H470" s="12">
        <v>150000</v>
      </c>
      <c r="I470">
        <v>1</v>
      </c>
      <c r="J470" t="s">
        <v>24</v>
      </c>
      <c r="K470" s="12">
        <f t="shared" si="7"/>
        <v>120000</v>
      </c>
      <c r="L470" s="12">
        <f>Sales_Data[[#This Row],[Unit Price]]*Sales_Data[[#This Row],[Quantity]]</f>
        <v>150000</v>
      </c>
      <c r="M470" s="12">
        <f>Sales_Data[[#This Row],[Cost Price]]*Sales_Data[[#This Row],[Quantity]]</f>
        <v>120000</v>
      </c>
      <c r="N470" s="12">
        <f>Sales_Data[[#This Row],[Revenue]]-Sales_Data[[#This Row],[COGS]]</f>
        <v>30000</v>
      </c>
    </row>
    <row r="471" spans="1:14">
      <c r="A471" s="1">
        <v>46145</v>
      </c>
      <c r="B471" t="s">
        <v>25</v>
      </c>
      <c r="C471" t="s">
        <v>26</v>
      </c>
      <c r="D471" t="s">
        <v>13</v>
      </c>
      <c r="E471" t="s">
        <v>20</v>
      </c>
      <c r="F471" t="s">
        <v>33</v>
      </c>
      <c r="G471" t="s">
        <v>22</v>
      </c>
      <c r="H471" s="12">
        <v>180000</v>
      </c>
      <c r="I471">
        <v>1</v>
      </c>
      <c r="J471" t="s">
        <v>28</v>
      </c>
      <c r="K471" s="12">
        <f t="shared" si="7"/>
        <v>144000</v>
      </c>
      <c r="L471" s="12">
        <f>Sales_Data[[#This Row],[Unit Price]]*Sales_Data[[#This Row],[Quantity]]</f>
        <v>180000</v>
      </c>
      <c r="M471" s="12">
        <f>Sales_Data[[#This Row],[Cost Price]]*Sales_Data[[#This Row],[Quantity]]</f>
        <v>144000</v>
      </c>
      <c r="N471" s="12">
        <f>Sales_Data[[#This Row],[Revenue]]-Sales_Data[[#This Row],[COGS]]</f>
        <v>36000</v>
      </c>
    </row>
    <row r="472" spans="1:14">
      <c r="A472" s="1">
        <v>46146</v>
      </c>
      <c r="B472" t="s">
        <v>18</v>
      </c>
      <c r="C472" t="s">
        <v>32</v>
      </c>
      <c r="D472" t="s">
        <v>23</v>
      </c>
      <c r="E472" t="s">
        <v>20</v>
      </c>
      <c r="F472" t="s">
        <v>41</v>
      </c>
      <c r="G472" t="s">
        <v>22</v>
      </c>
      <c r="H472" s="12">
        <v>220000</v>
      </c>
      <c r="I472">
        <v>8</v>
      </c>
      <c r="J472" t="s">
        <v>28</v>
      </c>
      <c r="K472" s="12">
        <f t="shared" si="7"/>
        <v>176000</v>
      </c>
      <c r="L472" s="12">
        <f>Sales_Data[[#This Row],[Unit Price]]*Sales_Data[[#This Row],[Quantity]]</f>
        <v>1760000</v>
      </c>
      <c r="M472" s="12">
        <f>Sales_Data[[#This Row],[Cost Price]]*Sales_Data[[#This Row],[Quantity]]</f>
        <v>1408000</v>
      </c>
      <c r="N472" s="12">
        <f>Sales_Data[[#This Row],[Revenue]]-Sales_Data[[#This Row],[COGS]]</f>
        <v>352000</v>
      </c>
    </row>
    <row r="473" spans="1:14">
      <c r="A473" s="1">
        <v>46147</v>
      </c>
      <c r="B473" t="s">
        <v>11</v>
      </c>
      <c r="C473" t="s">
        <v>19</v>
      </c>
      <c r="D473" t="s">
        <v>13</v>
      </c>
      <c r="E473" t="s">
        <v>20</v>
      </c>
      <c r="F473" t="s">
        <v>40</v>
      </c>
      <c r="G473" t="s">
        <v>31</v>
      </c>
      <c r="H473" s="12">
        <v>250000</v>
      </c>
      <c r="I473">
        <v>3</v>
      </c>
      <c r="J473" t="s">
        <v>24</v>
      </c>
      <c r="K473" s="12">
        <f t="shared" si="7"/>
        <v>200000</v>
      </c>
      <c r="L473" s="12">
        <f>Sales_Data[[#This Row],[Unit Price]]*Sales_Data[[#This Row],[Quantity]]</f>
        <v>750000</v>
      </c>
      <c r="M473" s="12">
        <f>Sales_Data[[#This Row],[Cost Price]]*Sales_Data[[#This Row],[Quantity]]</f>
        <v>600000</v>
      </c>
      <c r="N473" s="12">
        <f>Sales_Data[[#This Row],[Revenue]]-Sales_Data[[#This Row],[COGS]]</f>
        <v>150000</v>
      </c>
    </row>
    <row r="474" spans="1:14">
      <c r="A474" s="1">
        <v>46148</v>
      </c>
      <c r="B474" t="s">
        <v>29</v>
      </c>
      <c r="C474" t="s">
        <v>19</v>
      </c>
      <c r="D474" t="s">
        <v>23</v>
      </c>
      <c r="E474" t="s">
        <v>20</v>
      </c>
      <c r="F474" t="s">
        <v>27</v>
      </c>
      <c r="G474" t="s">
        <v>22</v>
      </c>
      <c r="H474" s="12">
        <v>60000</v>
      </c>
      <c r="I474">
        <v>1</v>
      </c>
      <c r="J474" t="s">
        <v>35</v>
      </c>
      <c r="K474" s="12">
        <f t="shared" si="7"/>
        <v>48000</v>
      </c>
      <c r="L474" s="12">
        <f>Sales_Data[[#This Row],[Unit Price]]*Sales_Data[[#This Row],[Quantity]]</f>
        <v>60000</v>
      </c>
      <c r="M474" s="12">
        <f>Sales_Data[[#This Row],[Cost Price]]*Sales_Data[[#This Row],[Quantity]]</f>
        <v>48000</v>
      </c>
      <c r="N474" s="12">
        <f>Sales_Data[[#This Row],[Revenue]]-Sales_Data[[#This Row],[COGS]]</f>
        <v>12000</v>
      </c>
    </row>
    <row r="475" spans="1:14">
      <c r="A475" s="1">
        <v>46149</v>
      </c>
      <c r="B475" t="s">
        <v>18</v>
      </c>
      <c r="C475" t="s">
        <v>32</v>
      </c>
      <c r="D475" t="s">
        <v>13</v>
      </c>
      <c r="E475" t="s">
        <v>20</v>
      </c>
      <c r="F475" t="s">
        <v>34</v>
      </c>
      <c r="G475" t="s">
        <v>16</v>
      </c>
      <c r="H475" s="12">
        <v>320000</v>
      </c>
      <c r="I475">
        <v>4</v>
      </c>
      <c r="J475" t="s">
        <v>17</v>
      </c>
      <c r="K475" s="12">
        <f t="shared" si="7"/>
        <v>256000</v>
      </c>
      <c r="L475" s="12">
        <f>Sales_Data[[#This Row],[Unit Price]]*Sales_Data[[#This Row],[Quantity]]</f>
        <v>1280000</v>
      </c>
      <c r="M475" s="12">
        <f>Sales_Data[[#This Row],[Cost Price]]*Sales_Data[[#This Row],[Quantity]]</f>
        <v>1024000</v>
      </c>
      <c r="N475" s="12">
        <f>Sales_Data[[#This Row],[Revenue]]-Sales_Data[[#This Row],[COGS]]</f>
        <v>256000</v>
      </c>
    </row>
    <row r="476" spans="1:14">
      <c r="A476" s="1">
        <v>46150</v>
      </c>
      <c r="B476" t="s">
        <v>25</v>
      </c>
      <c r="C476" t="s">
        <v>26</v>
      </c>
      <c r="D476" t="s">
        <v>23</v>
      </c>
      <c r="E476" t="s">
        <v>20</v>
      </c>
      <c r="F476" t="s">
        <v>38</v>
      </c>
      <c r="G476" t="s">
        <v>31</v>
      </c>
      <c r="H476" s="12">
        <v>420000</v>
      </c>
      <c r="I476">
        <v>8</v>
      </c>
      <c r="J476" t="s">
        <v>24</v>
      </c>
      <c r="K476" s="12">
        <f t="shared" si="7"/>
        <v>336000</v>
      </c>
      <c r="L476" s="12">
        <f>Sales_Data[[#This Row],[Unit Price]]*Sales_Data[[#This Row],[Quantity]]</f>
        <v>3360000</v>
      </c>
      <c r="M476" s="12">
        <f>Sales_Data[[#This Row],[Cost Price]]*Sales_Data[[#This Row],[Quantity]]</f>
        <v>2688000</v>
      </c>
      <c r="N476" s="12">
        <f>Sales_Data[[#This Row],[Revenue]]-Sales_Data[[#This Row],[COGS]]</f>
        <v>672000</v>
      </c>
    </row>
    <row r="477" spans="1:14">
      <c r="A477" s="1">
        <v>46151</v>
      </c>
      <c r="B477" t="s">
        <v>25</v>
      </c>
      <c r="C477" t="s">
        <v>19</v>
      </c>
      <c r="D477" t="s">
        <v>23</v>
      </c>
      <c r="E477" t="s">
        <v>20</v>
      </c>
      <c r="F477" t="s">
        <v>38</v>
      </c>
      <c r="G477" t="s">
        <v>31</v>
      </c>
      <c r="H477" s="12">
        <v>420000</v>
      </c>
      <c r="I477">
        <v>8</v>
      </c>
      <c r="J477" t="s">
        <v>35</v>
      </c>
      <c r="K477" s="12">
        <f t="shared" si="7"/>
        <v>336000</v>
      </c>
      <c r="L477" s="12">
        <f>Sales_Data[[#This Row],[Unit Price]]*Sales_Data[[#This Row],[Quantity]]</f>
        <v>3360000</v>
      </c>
      <c r="M477" s="12">
        <f>Sales_Data[[#This Row],[Cost Price]]*Sales_Data[[#This Row],[Quantity]]</f>
        <v>2688000</v>
      </c>
      <c r="N477" s="12">
        <f>Sales_Data[[#This Row],[Revenue]]-Sales_Data[[#This Row],[COGS]]</f>
        <v>672000</v>
      </c>
    </row>
    <row r="478" spans="1:14">
      <c r="A478" s="1">
        <v>46152</v>
      </c>
      <c r="B478" t="s">
        <v>29</v>
      </c>
      <c r="C478" t="s">
        <v>19</v>
      </c>
      <c r="D478" t="s">
        <v>13</v>
      </c>
      <c r="E478" t="s">
        <v>20</v>
      </c>
      <c r="F478" t="s">
        <v>27</v>
      </c>
      <c r="G478" t="s">
        <v>22</v>
      </c>
      <c r="H478" s="12">
        <v>60000</v>
      </c>
      <c r="I478">
        <v>1</v>
      </c>
      <c r="J478" t="s">
        <v>39</v>
      </c>
      <c r="K478" s="12">
        <f t="shared" si="7"/>
        <v>48000</v>
      </c>
      <c r="L478" s="12">
        <f>Sales_Data[[#This Row],[Unit Price]]*Sales_Data[[#This Row],[Quantity]]</f>
        <v>60000</v>
      </c>
      <c r="M478" s="12">
        <f>Sales_Data[[#This Row],[Cost Price]]*Sales_Data[[#This Row],[Quantity]]</f>
        <v>48000</v>
      </c>
      <c r="N478" s="12">
        <f>Sales_Data[[#This Row],[Revenue]]-Sales_Data[[#This Row],[COGS]]</f>
        <v>12000</v>
      </c>
    </row>
    <row r="479" spans="1:14">
      <c r="A479" s="1">
        <v>46153</v>
      </c>
      <c r="B479" t="s">
        <v>18</v>
      </c>
      <c r="C479" t="s">
        <v>12</v>
      </c>
      <c r="D479" t="s">
        <v>23</v>
      </c>
      <c r="E479" t="s">
        <v>20</v>
      </c>
      <c r="F479" t="s">
        <v>33</v>
      </c>
      <c r="G479" t="s">
        <v>22</v>
      </c>
      <c r="H479" s="12">
        <v>180000</v>
      </c>
      <c r="I479">
        <v>8</v>
      </c>
      <c r="J479" t="s">
        <v>24</v>
      </c>
      <c r="K479" s="12">
        <f t="shared" si="7"/>
        <v>144000</v>
      </c>
      <c r="L479" s="12">
        <f>Sales_Data[[#This Row],[Unit Price]]*Sales_Data[[#This Row],[Quantity]]</f>
        <v>1440000</v>
      </c>
      <c r="M479" s="12">
        <f>Sales_Data[[#This Row],[Cost Price]]*Sales_Data[[#This Row],[Quantity]]</f>
        <v>1152000</v>
      </c>
      <c r="N479" s="12">
        <f>Sales_Data[[#This Row],[Revenue]]-Sales_Data[[#This Row],[COGS]]</f>
        <v>288000</v>
      </c>
    </row>
    <row r="480" spans="1:14">
      <c r="A480" s="1">
        <v>46154</v>
      </c>
      <c r="B480" t="s">
        <v>11</v>
      </c>
      <c r="C480" t="s">
        <v>19</v>
      </c>
      <c r="D480" t="s">
        <v>23</v>
      </c>
      <c r="E480" t="s">
        <v>20</v>
      </c>
      <c r="F480" t="s">
        <v>33</v>
      </c>
      <c r="G480" t="s">
        <v>22</v>
      </c>
      <c r="H480" s="12">
        <v>180000</v>
      </c>
      <c r="I480">
        <v>2</v>
      </c>
      <c r="J480" t="s">
        <v>24</v>
      </c>
      <c r="K480" s="12">
        <f t="shared" si="7"/>
        <v>144000</v>
      </c>
      <c r="L480" s="12">
        <f>Sales_Data[[#This Row],[Unit Price]]*Sales_Data[[#This Row],[Quantity]]</f>
        <v>360000</v>
      </c>
      <c r="M480" s="12">
        <f>Sales_Data[[#This Row],[Cost Price]]*Sales_Data[[#This Row],[Quantity]]</f>
        <v>288000</v>
      </c>
      <c r="N480" s="12">
        <f>Sales_Data[[#This Row],[Revenue]]-Sales_Data[[#This Row],[COGS]]</f>
        <v>72000</v>
      </c>
    </row>
    <row r="481" spans="1:14">
      <c r="A481" s="1">
        <v>46155</v>
      </c>
      <c r="B481" t="s">
        <v>25</v>
      </c>
      <c r="C481" t="s">
        <v>19</v>
      </c>
      <c r="D481" t="s">
        <v>23</v>
      </c>
      <c r="E481" t="s">
        <v>14</v>
      </c>
      <c r="F481" t="s">
        <v>30</v>
      </c>
      <c r="G481" t="s">
        <v>31</v>
      </c>
      <c r="H481" s="12">
        <v>300000</v>
      </c>
      <c r="I481">
        <v>7</v>
      </c>
      <c r="J481" t="s">
        <v>35</v>
      </c>
      <c r="K481" s="12">
        <f t="shared" si="7"/>
        <v>240000</v>
      </c>
      <c r="L481" s="12">
        <f>Sales_Data[[#This Row],[Unit Price]]*Sales_Data[[#This Row],[Quantity]]</f>
        <v>2100000</v>
      </c>
      <c r="M481" s="12">
        <f>Sales_Data[[#This Row],[Cost Price]]*Sales_Data[[#This Row],[Quantity]]</f>
        <v>1680000</v>
      </c>
      <c r="N481" s="12">
        <f>Sales_Data[[#This Row],[Revenue]]-Sales_Data[[#This Row],[COGS]]</f>
        <v>420000</v>
      </c>
    </row>
    <row r="482" spans="1:14">
      <c r="A482" s="1">
        <v>46156</v>
      </c>
      <c r="B482" t="s">
        <v>11</v>
      </c>
      <c r="C482" t="s">
        <v>26</v>
      </c>
      <c r="D482" t="s">
        <v>13</v>
      </c>
      <c r="E482" t="s">
        <v>14</v>
      </c>
      <c r="F482" t="s">
        <v>40</v>
      </c>
      <c r="G482" t="s">
        <v>31</v>
      </c>
      <c r="H482" s="12">
        <v>250000</v>
      </c>
      <c r="I482">
        <v>6</v>
      </c>
      <c r="J482" t="s">
        <v>35</v>
      </c>
      <c r="K482" s="12">
        <f t="shared" si="7"/>
        <v>200000</v>
      </c>
      <c r="L482" s="12">
        <f>Sales_Data[[#This Row],[Unit Price]]*Sales_Data[[#This Row],[Quantity]]</f>
        <v>1500000</v>
      </c>
      <c r="M482" s="12">
        <f>Sales_Data[[#This Row],[Cost Price]]*Sales_Data[[#This Row],[Quantity]]</f>
        <v>1200000</v>
      </c>
      <c r="N482" s="12">
        <f>Sales_Data[[#This Row],[Revenue]]-Sales_Data[[#This Row],[COGS]]</f>
        <v>300000</v>
      </c>
    </row>
    <row r="483" spans="1:14">
      <c r="A483" s="1">
        <v>46157</v>
      </c>
      <c r="B483" t="s">
        <v>29</v>
      </c>
      <c r="C483" t="s">
        <v>26</v>
      </c>
      <c r="D483" t="s">
        <v>13</v>
      </c>
      <c r="E483" t="s">
        <v>20</v>
      </c>
      <c r="F483" t="s">
        <v>36</v>
      </c>
      <c r="G483" t="s">
        <v>31</v>
      </c>
      <c r="H483" s="12">
        <v>150000</v>
      </c>
      <c r="I483">
        <v>5</v>
      </c>
      <c r="J483" t="s">
        <v>24</v>
      </c>
      <c r="K483" s="12">
        <f t="shared" si="7"/>
        <v>120000</v>
      </c>
      <c r="L483" s="12">
        <f>Sales_Data[[#This Row],[Unit Price]]*Sales_Data[[#This Row],[Quantity]]</f>
        <v>750000</v>
      </c>
      <c r="M483" s="12">
        <f>Sales_Data[[#This Row],[Cost Price]]*Sales_Data[[#This Row],[Quantity]]</f>
        <v>600000</v>
      </c>
      <c r="N483" s="12">
        <f>Sales_Data[[#This Row],[Revenue]]-Sales_Data[[#This Row],[COGS]]</f>
        <v>150000</v>
      </c>
    </row>
    <row r="484" spans="1:14">
      <c r="A484" s="1">
        <v>46158</v>
      </c>
      <c r="B484" t="s">
        <v>11</v>
      </c>
      <c r="C484" t="s">
        <v>32</v>
      </c>
      <c r="D484" t="s">
        <v>13</v>
      </c>
      <c r="E484" t="s">
        <v>14</v>
      </c>
      <c r="F484" t="s">
        <v>15</v>
      </c>
      <c r="G484" t="s">
        <v>16</v>
      </c>
      <c r="H484" s="12">
        <v>85000</v>
      </c>
      <c r="I484">
        <v>10</v>
      </c>
      <c r="J484" t="s">
        <v>24</v>
      </c>
      <c r="K484" s="12">
        <f t="shared" si="7"/>
        <v>68000</v>
      </c>
      <c r="L484" s="12">
        <f>Sales_Data[[#This Row],[Unit Price]]*Sales_Data[[#This Row],[Quantity]]</f>
        <v>850000</v>
      </c>
      <c r="M484" s="12">
        <f>Sales_Data[[#This Row],[Cost Price]]*Sales_Data[[#This Row],[Quantity]]</f>
        <v>680000</v>
      </c>
      <c r="N484" s="12">
        <f>Sales_Data[[#This Row],[Revenue]]-Sales_Data[[#This Row],[COGS]]</f>
        <v>170000</v>
      </c>
    </row>
    <row r="485" spans="1:14">
      <c r="A485" s="1">
        <v>46159</v>
      </c>
      <c r="B485" t="s">
        <v>29</v>
      </c>
      <c r="C485" t="s">
        <v>32</v>
      </c>
      <c r="D485" t="s">
        <v>13</v>
      </c>
      <c r="E485" t="s">
        <v>14</v>
      </c>
      <c r="F485" t="s">
        <v>15</v>
      </c>
      <c r="G485" t="s">
        <v>16</v>
      </c>
      <c r="H485" s="12">
        <v>85000</v>
      </c>
      <c r="I485">
        <v>8</v>
      </c>
      <c r="J485" t="s">
        <v>35</v>
      </c>
      <c r="K485" s="12">
        <f t="shared" si="7"/>
        <v>68000</v>
      </c>
      <c r="L485" s="12">
        <f>Sales_Data[[#This Row],[Unit Price]]*Sales_Data[[#This Row],[Quantity]]</f>
        <v>680000</v>
      </c>
      <c r="M485" s="12">
        <f>Sales_Data[[#This Row],[Cost Price]]*Sales_Data[[#This Row],[Quantity]]</f>
        <v>544000</v>
      </c>
      <c r="N485" s="12">
        <f>Sales_Data[[#This Row],[Revenue]]-Sales_Data[[#This Row],[COGS]]</f>
        <v>136000</v>
      </c>
    </row>
    <row r="486" spans="1:14">
      <c r="A486" s="1">
        <v>46160</v>
      </c>
      <c r="B486" t="s">
        <v>25</v>
      </c>
      <c r="C486" t="s">
        <v>12</v>
      </c>
      <c r="D486" t="s">
        <v>13</v>
      </c>
      <c r="E486" t="s">
        <v>14</v>
      </c>
      <c r="F486" t="s">
        <v>15</v>
      </c>
      <c r="G486" t="s">
        <v>16</v>
      </c>
      <c r="H486" s="12">
        <v>85000</v>
      </c>
      <c r="I486">
        <v>2</v>
      </c>
      <c r="J486" t="s">
        <v>28</v>
      </c>
      <c r="K486" s="12">
        <f t="shared" si="7"/>
        <v>68000</v>
      </c>
      <c r="L486" s="12">
        <f>Sales_Data[[#This Row],[Unit Price]]*Sales_Data[[#This Row],[Quantity]]</f>
        <v>170000</v>
      </c>
      <c r="M486" s="12">
        <f>Sales_Data[[#This Row],[Cost Price]]*Sales_Data[[#This Row],[Quantity]]</f>
        <v>136000</v>
      </c>
      <c r="N486" s="12">
        <f>Sales_Data[[#This Row],[Revenue]]-Sales_Data[[#This Row],[COGS]]</f>
        <v>34000</v>
      </c>
    </row>
    <row r="487" spans="1:14">
      <c r="A487" s="1">
        <v>46161</v>
      </c>
      <c r="B487" t="s">
        <v>11</v>
      </c>
      <c r="C487" t="s">
        <v>32</v>
      </c>
      <c r="D487" t="s">
        <v>13</v>
      </c>
      <c r="E487" t="s">
        <v>14</v>
      </c>
      <c r="F487" t="s">
        <v>40</v>
      </c>
      <c r="G487" t="s">
        <v>31</v>
      </c>
      <c r="H487" s="12">
        <v>250000</v>
      </c>
      <c r="I487">
        <v>4</v>
      </c>
      <c r="J487" t="s">
        <v>17</v>
      </c>
      <c r="K487" s="12">
        <f t="shared" si="7"/>
        <v>200000</v>
      </c>
      <c r="L487" s="12">
        <f>Sales_Data[[#This Row],[Unit Price]]*Sales_Data[[#This Row],[Quantity]]</f>
        <v>1000000</v>
      </c>
      <c r="M487" s="12">
        <f>Sales_Data[[#This Row],[Cost Price]]*Sales_Data[[#This Row],[Quantity]]</f>
        <v>800000</v>
      </c>
      <c r="N487" s="12">
        <f>Sales_Data[[#This Row],[Revenue]]-Sales_Data[[#This Row],[COGS]]</f>
        <v>200000</v>
      </c>
    </row>
    <row r="488" spans="1:14">
      <c r="A488" s="1">
        <v>46162</v>
      </c>
      <c r="B488" t="s">
        <v>25</v>
      </c>
      <c r="C488" t="s">
        <v>12</v>
      </c>
      <c r="D488" t="s">
        <v>13</v>
      </c>
      <c r="E488" t="s">
        <v>14</v>
      </c>
      <c r="F488" t="s">
        <v>36</v>
      </c>
      <c r="G488" t="s">
        <v>31</v>
      </c>
      <c r="H488" s="12">
        <v>150000</v>
      </c>
      <c r="I488">
        <v>6</v>
      </c>
      <c r="J488" t="s">
        <v>39</v>
      </c>
      <c r="K488" s="12">
        <f t="shared" si="7"/>
        <v>120000</v>
      </c>
      <c r="L488" s="12">
        <f>Sales_Data[[#This Row],[Unit Price]]*Sales_Data[[#This Row],[Quantity]]</f>
        <v>900000</v>
      </c>
      <c r="M488" s="12">
        <f>Sales_Data[[#This Row],[Cost Price]]*Sales_Data[[#This Row],[Quantity]]</f>
        <v>720000</v>
      </c>
      <c r="N488" s="12">
        <f>Sales_Data[[#This Row],[Revenue]]-Sales_Data[[#This Row],[COGS]]</f>
        <v>180000</v>
      </c>
    </row>
    <row r="489" spans="1:14">
      <c r="A489" s="1">
        <v>46163</v>
      </c>
      <c r="B489" t="s">
        <v>25</v>
      </c>
      <c r="C489" t="s">
        <v>32</v>
      </c>
      <c r="D489" t="s">
        <v>23</v>
      </c>
      <c r="E489" t="s">
        <v>20</v>
      </c>
      <c r="F489" t="s">
        <v>33</v>
      </c>
      <c r="G489" t="s">
        <v>22</v>
      </c>
      <c r="H489" s="12">
        <v>180000</v>
      </c>
      <c r="I489">
        <v>10</v>
      </c>
      <c r="J489" t="s">
        <v>37</v>
      </c>
      <c r="K489" s="12">
        <f t="shared" si="7"/>
        <v>144000</v>
      </c>
      <c r="L489" s="12">
        <f>Sales_Data[[#This Row],[Unit Price]]*Sales_Data[[#This Row],[Quantity]]</f>
        <v>1800000</v>
      </c>
      <c r="M489" s="12">
        <f>Sales_Data[[#This Row],[Cost Price]]*Sales_Data[[#This Row],[Quantity]]</f>
        <v>1440000</v>
      </c>
      <c r="N489" s="12">
        <f>Sales_Data[[#This Row],[Revenue]]-Sales_Data[[#This Row],[COGS]]</f>
        <v>360000</v>
      </c>
    </row>
    <row r="490" spans="1:14">
      <c r="A490" s="1">
        <v>46164</v>
      </c>
      <c r="B490" t="s">
        <v>25</v>
      </c>
      <c r="C490" t="s">
        <v>32</v>
      </c>
      <c r="D490" t="s">
        <v>13</v>
      </c>
      <c r="E490" t="s">
        <v>14</v>
      </c>
      <c r="F490" t="s">
        <v>36</v>
      </c>
      <c r="G490" t="s">
        <v>31</v>
      </c>
      <c r="H490" s="12">
        <v>150000</v>
      </c>
      <c r="I490">
        <v>8</v>
      </c>
      <c r="J490" t="s">
        <v>17</v>
      </c>
      <c r="K490" s="12">
        <f t="shared" si="7"/>
        <v>120000</v>
      </c>
      <c r="L490" s="12">
        <f>Sales_Data[[#This Row],[Unit Price]]*Sales_Data[[#This Row],[Quantity]]</f>
        <v>1200000</v>
      </c>
      <c r="M490" s="12">
        <f>Sales_Data[[#This Row],[Cost Price]]*Sales_Data[[#This Row],[Quantity]]</f>
        <v>960000</v>
      </c>
      <c r="N490" s="12">
        <f>Sales_Data[[#This Row],[Revenue]]-Sales_Data[[#This Row],[COGS]]</f>
        <v>240000</v>
      </c>
    </row>
    <row r="491" spans="1:14">
      <c r="A491" s="1">
        <v>46165</v>
      </c>
      <c r="B491" t="s">
        <v>25</v>
      </c>
      <c r="C491" t="s">
        <v>19</v>
      </c>
      <c r="D491" t="s">
        <v>13</v>
      </c>
      <c r="E491" t="s">
        <v>14</v>
      </c>
      <c r="F491" t="s">
        <v>33</v>
      </c>
      <c r="G491" t="s">
        <v>22</v>
      </c>
      <c r="H491" s="12">
        <v>180000</v>
      </c>
      <c r="I491">
        <v>8</v>
      </c>
      <c r="J491" t="s">
        <v>24</v>
      </c>
      <c r="K491" s="12">
        <f t="shared" si="7"/>
        <v>144000</v>
      </c>
      <c r="L491" s="12">
        <f>Sales_Data[[#This Row],[Unit Price]]*Sales_Data[[#This Row],[Quantity]]</f>
        <v>1440000</v>
      </c>
      <c r="M491" s="12">
        <f>Sales_Data[[#This Row],[Cost Price]]*Sales_Data[[#This Row],[Quantity]]</f>
        <v>1152000</v>
      </c>
      <c r="N491" s="12">
        <f>Sales_Data[[#This Row],[Revenue]]-Sales_Data[[#This Row],[COGS]]</f>
        <v>288000</v>
      </c>
    </row>
    <row r="492" spans="1:14">
      <c r="A492" s="1">
        <v>46166</v>
      </c>
      <c r="B492" t="s">
        <v>18</v>
      </c>
      <c r="C492" t="s">
        <v>26</v>
      </c>
      <c r="D492" t="s">
        <v>23</v>
      </c>
      <c r="E492" t="s">
        <v>14</v>
      </c>
      <c r="F492" t="s">
        <v>36</v>
      </c>
      <c r="G492" t="s">
        <v>31</v>
      </c>
      <c r="H492" s="12">
        <v>150000</v>
      </c>
      <c r="I492">
        <v>6</v>
      </c>
      <c r="J492" t="s">
        <v>35</v>
      </c>
      <c r="K492" s="12">
        <f t="shared" si="7"/>
        <v>120000</v>
      </c>
      <c r="L492" s="12">
        <f>Sales_Data[[#This Row],[Unit Price]]*Sales_Data[[#This Row],[Quantity]]</f>
        <v>900000</v>
      </c>
      <c r="M492" s="12">
        <f>Sales_Data[[#This Row],[Cost Price]]*Sales_Data[[#This Row],[Quantity]]</f>
        <v>720000</v>
      </c>
      <c r="N492" s="12">
        <f>Sales_Data[[#This Row],[Revenue]]-Sales_Data[[#This Row],[COGS]]</f>
        <v>180000</v>
      </c>
    </row>
    <row r="493" spans="1:14">
      <c r="A493" s="1">
        <v>46167</v>
      </c>
      <c r="B493" t="s">
        <v>25</v>
      </c>
      <c r="C493" t="s">
        <v>32</v>
      </c>
      <c r="D493" t="s">
        <v>23</v>
      </c>
      <c r="E493" t="s">
        <v>20</v>
      </c>
      <c r="F493" t="s">
        <v>36</v>
      </c>
      <c r="G493" t="s">
        <v>31</v>
      </c>
      <c r="H493" s="12">
        <v>150000</v>
      </c>
      <c r="I493">
        <v>4</v>
      </c>
      <c r="J493" t="s">
        <v>39</v>
      </c>
      <c r="K493" s="12">
        <f t="shared" si="7"/>
        <v>120000</v>
      </c>
      <c r="L493" s="12">
        <f>Sales_Data[[#This Row],[Unit Price]]*Sales_Data[[#This Row],[Quantity]]</f>
        <v>600000</v>
      </c>
      <c r="M493" s="12">
        <f>Sales_Data[[#This Row],[Cost Price]]*Sales_Data[[#This Row],[Quantity]]</f>
        <v>480000</v>
      </c>
      <c r="N493" s="12">
        <f>Sales_Data[[#This Row],[Revenue]]-Sales_Data[[#This Row],[COGS]]</f>
        <v>120000</v>
      </c>
    </row>
    <row r="494" spans="1:14">
      <c r="A494" s="1">
        <v>46168</v>
      </c>
      <c r="B494" t="s">
        <v>11</v>
      </c>
      <c r="C494" t="s">
        <v>19</v>
      </c>
      <c r="D494" t="s">
        <v>13</v>
      </c>
      <c r="E494" t="s">
        <v>14</v>
      </c>
      <c r="F494" t="s">
        <v>33</v>
      </c>
      <c r="G494" t="s">
        <v>22</v>
      </c>
      <c r="H494" s="12">
        <v>180000</v>
      </c>
      <c r="I494">
        <v>1</v>
      </c>
      <c r="J494" t="s">
        <v>35</v>
      </c>
      <c r="K494" s="12">
        <f t="shared" si="7"/>
        <v>144000</v>
      </c>
      <c r="L494" s="12">
        <f>Sales_Data[[#This Row],[Unit Price]]*Sales_Data[[#This Row],[Quantity]]</f>
        <v>180000</v>
      </c>
      <c r="M494" s="12">
        <f>Sales_Data[[#This Row],[Cost Price]]*Sales_Data[[#This Row],[Quantity]]</f>
        <v>144000</v>
      </c>
      <c r="N494" s="12">
        <f>Sales_Data[[#This Row],[Revenue]]-Sales_Data[[#This Row],[COGS]]</f>
        <v>36000</v>
      </c>
    </row>
    <row r="495" spans="1:14">
      <c r="A495" s="1">
        <v>46169</v>
      </c>
      <c r="B495" t="s">
        <v>29</v>
      </c>
      <c r="C495" t="s">
        <v>19</v>
      </c>
      <c r="D495" t="s">
        <v>13</v>
      </c>
      <c r="E495" t="s">
        <v>14</v>
      </c>
      <c r="F495" t="s">
        <v>40</v>
      </c>
      <c r="G495" t="s">
        <v>31</v>
      </c>
      <c r="H495" s="12">
        <v>250000</v>
      </c>
      <c r="I495">
        <v>6</v>
      </c>
      <c r="J495" t="s">
        <v>39</v>
      </c>
      <c r="K495" s="12">
        <f t="shared" si="7"/>
        <v>200000</v>
      </c>
      <c r="L495" s="12">
        <f>Sales_Data[[#This Row],[Unit Price]]*Sales_Data[[#This Row],[Quantity]]</f>
        <v>1500000</v>
      </c>
      <c r="M495" s="12">
        <f>Sales_Data[[#This Row],[Cost Price]]*Sales_Data[[#This Row],[Quantity]]</f>
        <v>1200000</v>
      </c>
      <c r="N495" s="12">
        <f>Sales_Data[[#This Row],[Revenue]]-Sales_Data[[#This Row],[COGS]]</f>
        <v>300000</v>
      </c>
    </row>
    <row r="496" spans="1:14">
      <c r="A496" s="1">
        <v>46170</v>
      </c>
      <c r="B496" t="s">
        <v>25</v>
      </c>
      <c r="C496" t="s">
        <v>12</v>
      </c>
      <c r="D496" t="s">
        <v>13</v>
      </c>
      <c r="E496" t="s">
        <v>14</v>
      </c>
      <c r="F496" t="s">
        <v>27</v>
      </c>
      <c r="G496" t="s">
        <v>22</v>
      </c>
      <c r="H496" s="12">
        <v>60000</v>
      </c>
      <c r="I496">
        <v>6</v>
      </c>
      <c r="J496" t="s">
        <v>24</v>
      </c>
      <c r="K496" s="12">
        <f t="shared" si="7"/>
        <v>48000</v>
      </c>
      <c r="L496" s="12">
        <f>Sales_Data[[#This Row],[Unit Price]]*Sales_Data[[#This Row],[Quantity]]</f>
        <v>360000</v>
      </c>
      <c r="M496" s="12">
        <f>Sales_Data[[#This Row],[Cost Price]]*Sales_Data[[#This Row],[Quantity]]</f>
        <v>288000</v>
      </c>
      <c r="N496" s="12">
        <f>Sales_Data[[#This Row],[Revenue]]-Sales_Data[[#This Row],[COGS]]</f>
        <v>72000</v>
      </c>
    </row>
    <row r="497" spans="1:14">
      <c r="A497" s="1">
        <v>46171</v>
      </c>
      <c r="B497" t="s">
        <v>29</v>
      </c>
      <c r="C497" t="s">
        <v>32</v>
      </c>
      <c r="D497" t="s">
        <v>23</v>
      </c>
      <c r="E497" t="s">
        <v>20</v>
      </c>
      <c r="F497" t="s">
        <v>36</v>
      </c>
      <c r="G497" t="s">
        <v>31</v>
      </c>
      <c r="H497" s="12">
        <v>150000</v>
      </c>
      <c r="I497">
        <v>2</v>
      </c>
      <c r="J497" t="s">
        <v>24</v>
      </c>
      <c r="K497" s="12">
        <f t="shared" si="7"/>
        <v>120000</v>
      </c>
      <c r="L497" s="12">
        <f>Sales_Data[[#This Row],[Unit Price]]*Sales_Data[[#This Row],[Quantity]]</f>
        <v>300000</v>
      </c>
      <c r="M497" s="12">
        <f>Sales_Data[[#This Row],[Cost Price]]*Sales_Data[[#This Row],[Quantity]]</f>
        <v>240000</v>
      </c>
      <c r="N497" s="12">
        <f>Sales_Data[[#This Row],[Revenue]]-Sales_Data[[#This Row],[COGS]]</f>
        <v>60000</v>
      </c>
    </row>
    <row r="498" spans="1:14">
      <c r="A498" s="1">
        <v>46172</v>
      </c>
      <c r="B498" t="s">
        <v>18</v>
      </c>
      <c r="C498" t="s">
        <v>26</v>
      </c>
      <c r="D498" t="s">
        <v>23</v>
      </c>
      <c r="E498" t="s">
        <v>14</v>
      </c>
      <c r="F498" t="s">
        <v>15</v>
      </c>
      <c r="G498" t="s">
        <v>16</v>
      </c>
      <c r="H498" s="12">
        <v>85000</v>
      </c>
      <c r="I498">
        <v>2</v>
      </c>
      <c r="J498" t="s">
        <v>17</v>
      </c>
      <c r="K498" s="12">
        <f t="shared" si="7"/>
        <v>68000</v>
      </c>
      <c r="L498" s="12">
        <f>Sales_Data[[#This Row],[Unit Price]]*Sales_Data[[#This Row],[Quantity]]</f>
        <v>170000</v>
      </c>
      <c r="M498" s="12">
        <f>Sales_Data[[#This Row],[Cost Price]]*Sales_Data[[#This Row],[Quantity]]</f>
        <v>136000</v>
      </c>
      <c r="N498" s="12">
        <f>Sales_Data[[#This Row],[Revenue]]-Sales_Data[[#This Row],[COGS]]</f>
        <v>34000</v>
      </c>
    </row>
    <row r="499" spans="1:14">
      <c r="A499" s="1">
        <v>46173</v>
      </c>
      <c r="B499" t="s">
        <v>25</v>
      </c>
      <c r="C499" t="s">
        <v>19</v>
      </c>
      <c r="D499" t="s">
        <v>13</v>
      </c>
      <c r="E499" t="s">
        <v>20</v>
      </c>
      <c r="F499" t="s">
        <v>30</v>
      </c>
      <c r="G499" t="s">
        <v>31</v>
      </c>
      <c r="H499" s="12">
        <v>300000</v>
      </c>
      <c r="I499">
        <v>5</v>
      </c>
      <c r="J499" t="s">
        <v>35</v>
      </c>
      <c r="K499" s="12">
        <f t="shared" si="7"/>
        <v>240000</v>
      </c>
      <c r="L499" s="12">
        <f>Sales_Data[[#This Row],[Unit Price]]*Sales_Data[[#This Row],[Quantity]]</f>
        <v>1500000</v>
      </c>
      <c r="M499" s="12">
        <f>Sales_Data[[#This Row],[Cost Price]]*Sales_Data[[#This Row],[Quantity]]</f>
        <v>1200000</v>
      </c>
      <c r="N499" s="12">
        <f>Sales_Data[[#This Row],[Revenue]]-Sales_Data[[#This Row],[COGS]]</f>
        <v>300000</v>
      </c>
    </row>
    <row r="500" spans="1:14">
      <c r="A500" s="1">
        <v>46174</v>
      </c>
      <c r="B500" t="s">
        <v>18</v>
      </c>
      <c r="C500" t="s">
        <v>26</v>
      </c>
      <c r="D500" t="s">
        <v>23</v>
      </c>
      <c r="E500" t="s">
        <v>14</v>
      </c>
      <c r="F500" t="s">
        <v>38</v>
      </c>
      <c r="G500" t="s">
        <v>31</v>
      </c>
      <c r="H500" s="12">
        <v>420000</v>
      </c>
      <c r="I500">
        <v>10</v>
      </c>
      <c r="J500" t="s">
        <v>35</v>
      </c>
      <c r="K500" s="12">
        <f t="shared" si="7"/>
        <v>336000</v>
      </c>
      <c r="L500" s="12">
        <f>Sales_Data[[#This Row],[Unit Price]]*Sales_Data[[#This Row],[Quantity]]</f>
        <v>4200000</v>
      </c>
      <c r="M500" s="12">
        <f>Sales_Data[[#This Row],[Cost Price]]*Sales_Data[[#This Row],[Quantity]]</f>
        <v>3360000</v>
      </c>
      <c r="N500" s="12">
        <f>Sales_Data[[#This Row],[Revenue]]-Sales_Data[[#This Row],[COGS]]</f>
        <v>840000</v>
      </c>
    </row>
    <row r="501" spans="1:14">
      <c r="A501" s="1">
        <v>46175</v>
      </c>
      <c r="B501" t="s">
        <v>11</v>
      </c>
      <c r="C501" t="s">
        <v>32</v>
      </c>
      <c r="D501" t="s">
        <v>23</v>
      </c>
      <c r="E501" t="s">
        <v>14</v>
      </c>
      <c r="F501" t="s">
        <v>33</v>
      </c>
      <c r="G501" t="s">
        <v>22</v>
      </c>
      <c r="H501" s="12">
        <v>180000</v>
      </c>
      <c r="I501">
        <v>6</v>
      </c>
      <c r="J501" t="s">
        <v>24</v>
      </c>
      <c r="K501" s="12">
        <f t="shared" si="7"/>
        <v>144000</v>
      </c>
      <c r="L501" s="12">
        <f>Sales_Data[[#This Row],[Unit Price]]*Sales_Data[[#This Row],[Quantity]]</f>
        <v>1080000</v>
      </c>
      <c r="M501" s="12">
        <f>Sales_Data[[#This Row],[Cost Price]]*Sales_Data[[#This Row],[Quantity]]</f>
        <v>864000</v>
      </c>
      <c r="N501" s="12">
        <f>Sales_Data[[#This Row],[Revenue]]-Sales_Data[[#This Row],[COGS]]</f>
        <v>216000</v>
      </c>
    </row>
    <row r="502" spans="1:14">
      <c r="A502" s="1">
        <v>46176</v>
      </c>
      <c r="B502" t="s">
        <v>18</v>
      </c>
      <c r="C502" t="s">
        <v>32</v>
      </c>
      <c r="D502" t="s">
        <v>13</v>
      </c>
      <c r="E502" t="s">
        <v>20</v>
      </c>
      <c r="F502" t="s">
        <v>15</v>
      </c>
      <c r="G502" t="s">
        <v>16</v>
      </c>
      <c r="H502" s="12">
        <v>85000</v>
      </c>
      <c r="I502">
        <v>4</v>
      </c>
      <c r="J502" t="s">
        <v>35</v>
      </c>
      <c r="K502" s="12">
        <f t="shared" si="7"/>
        <v>68000</v>
      </c>
      <c r="L502" s="12">
        <f>Sales_Data[[#This Row],[Unit Price]]*Sales_Data[[#This Row],[Quantity]]</f>
        <v>340000</v>
      </c>
      <c r="M502" s="12">
        <f>Sales_Data[[#This Row],[Cost Price]]*Sales_Data[[#This Row],[Quantity]]</f>
        <v>272000</v>
      </c>
      <c r="N502" s="12">
        <f>Sales_Data[[#This Row],[Revenue]]-Sales_Data[[#This Row],[COGS]]</f>
        <v>68000</v>
      </c>
    </row>
    <row r="503" spans="1:14">
      <c r="A503" s="1">
        <v>46177</v>
      </c>
      <c r="B503" t="s">
        <v>29</v>
      </c>
      <c r="C503" t="s">
        <v>26</v>
      </c>
      <c r="D503" t="s">
        <v>23</v>
      </c>
      <c r="E503" t="s">
        <v>14</v>
      </c>
      <c r="F503" t="s">
        <v>30</v>
      </c>
      <c r="G503" t="s">
        <v>31</v>
      </c>
      <c r="H503" s="12">
        <v>300000</v>
      </c>
      <c r="I503">
        <v>4</v>
      </c>
      <c r="J503" t="s">
        <v>37</v>
      </c>
      <c r="K503" s="12">
        <f t="shared" si="7"/>
        <v>240000</v>
      </c>
      <c r="L503" s="12">
        <f>Sales_Data[[#This Row],[Unit Price]]*Sales_Data[[#This Row],[Quantity]]</f>
        <v>1200000</v>
      </c>
      <c r="M503" s="12">
        <f>Sales_Data[[#This Row],[Cost Price]]*Sales_Data[[#This Row],[Quantity]]</f>
        <v>960000</v>
      </c>
      <c r="N503" s="12">
        <f>Sales_Data[[#This Row],[Revenue]]-Sales_Data[[#This Row],[COGS]]</f>
        <v>240000</v>
      </c>
    </row>
    <row r="504" spans="1:14">
      <c r="A504" s="1">
        <v>46178</v>
      </c>
      <c r="B504" t="s">
        <v>25</v>
      </c>
      <c r="C504" t="s">
        <v>32</v>
      </c>
      <c r="D504" t="s">
        <v>13</v>
      </c>
      <c r="E504" t="s">
        <v>14</v>
      </c>
      <c r="F504" t="s">
        <v>15</v>
      </c>
      <c r="G504" t="s">
        <v>16</v>
      </c>
      <c r="H504" s="12">
        <v>85000</v>
      </c>
      <c r="I504">
        <v>3</v>
      </c>
      <c r="J504" t="s">
        <v>35</v>
      </c>
      <c r="K504" s="12">
        <f t="shared" si="7"/>
        <v>68000</v>
      </c>
      <c r="L504" s="12">
        <f>Sales_Data[[#This Row],[Unit Price]]*Sales_Data[[#This Row],[Quantity]]</f>
        <v>255000</v>
      </c>
      <c r="M504" s="12">
        <f>Sales_Data[[#This Row],[Cost Price]]*Sales_Data[[#This Row],[Quantity]]</f>
        <v>204000</v>
      </c>
      <c r="N504" s="12">
        <f>Sales_Data[[#This Row],[Revenue]]-Sales_Data[[#This Row],[COGS]]</f>
        <v>51000</v>
      </c>
    </row>
    <row r="505" spans="1:14">
      <c r="A505" s="1">
        <v>46179</v>
      </c>
      <c r="B505" t="s">
        <v>29</v>
      </c>
      <c r="C505" t="s">
        <v>12</v>
      </c>
      <c r="D505" t="s">
        <v>13</v>
      </c>
      <c r="E505" t="s">
        <v>20</v>
      </c>
      <c r="F505" t="s">
        <v>41</v>
      </c>
      <c r="G505" t="s">
        <v>22</v>
      </c>
      <c r="H505" s="12">
        <v>220000</v>
      </c>
      <c r="I505">
        <v>9</v>
      </c>
      <c r="J505" t="s">
        <v>37</v>
      </c>
      <c r="K505" s="12">
        <f t="shared" si="7"/>
        <v>176000</v>
      </c>
      <c r="L505" s="12">
        <f>Sales_Data[[#This Row],[Unit Price]]*Sales_Data[[#This Row],[Quantity]]</f>
        <v>1980000</v>
      </c>
      <c r="M505" s="12">
        <f>Sales_Data[[#This Row],[Cost Price]]*Sales_Data[[#This Row],[Quantity]]</f>
        <v>1584000</v>
      </c>
      <c r="N505" s="12">
        <f>Sales_Data[[#This Row],[Revenue]]-Sales_Data[[#This Row],[COGS]]</f>
        <v>396000</v>
      </c>
    </row>
    <row r="506" spans="1:14">
      <c r="A506" s="1">
        <v>46180</v>
      </c>
      <c r="B506" t="s">
        <v>11</v>
      </c>
      <c r="C506" t="s">
        <v>26</v>
      </c>
      <c r="D506" t="s">
        <v>23</v>
      </c>
      <c r="E506" t="s">
        <v>14</v>
      </c>
      <c r="F506" t="s">
        <v>33</v>
      </c>
      <c r="G506" t="s">
        <v>22</v>
      </c>
      <c r="H506" s="12">
        <v>180000</v>
      </c>
      <c r="I506">
        <v>3</v>
      </c>
      <c r="J506" t="s">
        <v>35</v>
      </c>
      <c r="K506" s="12">
        <f t="shared" si="7"/>
        <v>144000</v>
      </c>
      <c r="L506" s="12">
        <f>Sales_Data[[#This Row],[Unit Price]]*Sales_Data[[#This Row],[Quantity]]</f>
        <v>540000</v>
      </c>
      <c r="M506" s="12">
        <f>Sales_Data[[#This Row],[Cost Price]]*Sales_Data[[#This Row],[Quantity]]</f>
        <v>432000</v>
      </c>
      <c r="N506" s="12">
        <f>Sales_Data[[#This Row],[Revenue]]-Sales_Data[[#This Row],[COGS]]</f>
        <v>108000</v>
      </c>
    </row>
    <row r="507" spans="1:14">
      <c r="A507" s="1">
        <v>46181</v>
      </c>
      <c r="B507" t="s">
        <v>18</v>
      </c>
      <c r="C507" t="s">
        <v>19</v>
      </c>
      <c r="D507" t="s">
        <v>23</v>
      </c>
      <c r="E507" t="s">
        <v>20</v>
      </c>
      <c r="F507" t="s">
        <v>30</v>
      </c>
      <c r="G507" t="s">
        <v>31</v>
      </c>
      <c r="H507" s="12">
        <v>300000</v>
      </c>
      <c r="I507">
        <v>9</v>
      </c>
      <c r="J507" t="s">
        <v>24</v>
      </c>
      <c r="K507" s="12">
        <f t="shared" si="7"/>
        <v>240000</v>
      </c>
      <c r="L507" s="12">
        <f>Sales_Data[[#This Row],[Unit Price]]*Sales_Data[[#This Row],[Quantity]]</f>
        <v>2700000</v>
      </c>
      <c r="M507" s="12">
        <f>Sales_Data[[#This Row],[Cost Price]]*Sales_Data[[#This Row],[Quantity]]</f>
        <v>2160000</v>
      </c>
      <c r="N507" s="12">
        <f>Sales_Data[[#This Row],[Revenue]]-Sales_Data[[#This Row],[COGS]]</f>
        <v>540000</v>
      </c>
    </row>
    <row r="508" spans="1:14">
      <c r="A508" s="1">
        <v>46182</v>
      </c>
      <c r="B508" t="s">
        <v>29</v>
      </c>
      <c r="C508" t="s">
        <v>12</v>
      </c>
      <c r="D508" t="s">
        <v>23</v>
      </c>
      <c r="E508" t="s">
        <v>20</v>
      </c>
      <c r="F508" t="s">
        <v>36</v>
      </c>
      <c r="G508" t="s">
        <v>31</v>
      </c>
      <c r="H508" s="12">
        <v>150000</v>
      </c>
      <c r="I508">
        <v>4</v>
      </c>
      <c r="J508" t="s">
        <v>28</v>
      </c>
      <c r="K508" s="12">
        <f t="shared" si="7"/>
        <v>120000</v>
      </c>
      <c r="L508" s="12">
        <f>Sales_Data[[#This Row],[Unit Price]]*Sales_Data[[#This Row],[Quantity]]</f>
        <v>600000</v>
      </c>
      <c r="M508" s="12">
        <f>Sales_Data[[#This Row],[Cost Price]]*Sales_Data[[#This Row],[Quantity]]</f>
        <v>480000</v>
      </c>
      <c r="N508" s="12">
        <f>Sales_Data[[#This Row],[Revenue]]-Sales_Data[[#This Row],[COGS]]</f>
        <v>120000</v>
      </c>
    </row>
    <row r="509" spans="1:14">
      <c r="A509" s="1">
        <v>46183</v>
      </c>
      <c r="B509" t="s">
        <v>18</v>
      </c>
      <c r="C509" t="s">
        <v>32</v>
      </c>
      <c r="D509" t="s">
        <v>23</v>
      </c>
      <c r="E509" t="s">
        <v>20</v>
      </c>
      <c r="F509" t="s">
        <v>34</v>
      </c>
      <c r="G509" t="s">
        <v>16</v>
      </c>
      <c r="H509" s="12">
        <v>320000</v>
      </c>
      <c r="I509">
        <v>8</v>
      </c>
      <c r="J509" t="s">
        <v>37</v>
      </c>
      <c r="K509" s="12">
        <f t="shared" si="7"/>
        <v>256000</v>
      </c>
      <c r="L509" s="12">
        <f>Sales_Data[[#This Row],[Unit Price]]*Sales_Data[[#This Row],[Quantity]]</f>
        <v>2560000</v>
      </c>
      <c r="M509" s="12">
        <f>Sales_Data[[#This Row],[Cost Price]]*Sales_Data[[#This Row],[Quantity]]</f>
        <v>2048000</v>
      </c>
      <c r="N509" s="12">
        <f>Sales_Data[[#This Row],[Revenue]]-Sales_Data[[#This Row],[COGS]]</f>
        <v>512000</v>
      </c>
    </row>
    <row r="510" spans="1:14">
      <c r="A510" s="1">
        <v>46184</v>
      </c>
      <c r="B510" t="s">
        <v>29</v>
      </c>
      <c r="C510" t="s">
        <v>32</v>
      </c>
      <c r="D510" t="s">
        <v>13</v>
      </c>
      <c r="E510" t="s">
        <v>14</v>
      </c>
      <c r="F510" t="s">
        <v>34</v>
      </c>
      <c r="G510" t="s">
        <v>16</v>
      </c>
      <c r="H510" s="12">
        <v>320000</v>
      </c>
      <c r="I510">
        <v>7</v>
      </c>
      <c r="J510" t="s">
        <v>39</v>
      </c>
      <c r="K510" s="12">
        <f t="shared" si="7"/>
        <v>256000</v>
      </c>
      <c r="L510" s="12">
        <f>Sales_Data[[#This Row],[Unit Price]]*Sales_Data[[#This Row],[Quantity]]</f>
        <v>2240000</v>
      </c>
      <c r="M510" s="12">
        <f>Sales_Data[[#This Row],[Cost Price]]*Sales_Data[[#This Row],[Quantity]]</f>
        <v>1792000</v>
      </c>
      <c r="N510" s="12">
        <f>Sales_Data[[#This Row],[Revenue]]-Sales_Data[[#This Row],[COGS]]</f>
        <v>448000</v>
      </c>
    </row>
    <row r="511" spans="1:14">
      <c r="A511" s="1">
        <v>46185</v>
      </c>
      <c r="B511" t="s">
        <v>18</v>
      </c>
      <c r="C511" t="s">
        <v>32</v>
      </c>
      <c r="D511" t="s">
        <v>13</v>
      </c>
      <c r="E511" t="s">
        <v>20</v>
      </c>
      <c r="F511" t="s">
        <v>41</v>
      </c>
      <c r="G511" t="s">
        <v>22</v>
      </c>
      <c r="H511" s="12">
        <v>220000</v>
      </c>
      <c r="I511">
        <v>10</v>
      </c>
      <c r="J511" t="s">
        <v>28</v>
      </c>
      <c r="K511" s="12">
        <f t="shared" si="7"/>
        <v>176000</v>
      </c>
      <c r="L511" s="12">
        <f>Sales_Data[[#This Row],[Unit Price]]*Sales_Data[[#This Row],[Quantity]]</f>
        <v>2200000</v>
      </c>
      <c r="M511" s="12">
        <f>Sales_Data[[#This Row],[Cost Price]]*Sales_Data[[#This Row],[Quantity]]</f>
        <v>1760000</v>
      </c>
      <c r="N511" s="12">
        <f>Sales_Data[[#This Row],[Revenue]]-Sales_Data[[#This Row],[COGS]]</f>
        <v>440000</v>
      </c>
    </row>
    <row r="512" spans="1:14">
      <c r="A512" s="1">
        <v>46186</v>
      </c>
      <c r="B512" t="s">
        <v>25</v>
      </c>
      <c r="C512" t="s">
        <v>19</v>
      </c>
      <c r="D512" t="s">
        <v>13</v>
      </c>
      <c r="E512" t="s">
        <v>20</v>
      </c>
      <c r="F512" t="s">
        <v>21</v>
      </c>
      <c r="G512" t="s">
        <v>22</v>
      </c>
      <c r="H512" s="12">
        <v>30000</v>
      </c>
      <c r="I512">
        <v>7</v>
      </c>
      <c r="J512" t="s">
        <v>28</v>
      </c>
      <c r="K512" s="12">
        <f t="shared" si="7"/>
        <v>24000</v>
      </c>
      <c r="L512" s="12">
        <f>Sales_Data[[#This Row],[Unit Price]]*Sales_Data[[#This Row],[Quantity]]</f>
        <v>210000</v>
      </c>
      <c r="M512" s="12">
        <f>Sales_Data[[#This Row],[Cost Price]]*Sales_Data[[#This Row],[Quantity]]</f>
        <v>168000</v>
      </c>
      <c r="N512" s="12">
        <f>Sales_Data[[#This Row],[Revenue]]-Sales_Data[[#This Row],[COGS]]</f>
        <v>42000</v>
      </c>
    </row>
    <row r="513" spans="1:14">
      <c r="A513" s="1">
        <v>46187</v>
      </c>
      <c r="B513" t="s">
        <v>18</v>
      </c>
      <c r="C513" t="s">
        <v>26</v>
      </c>
      <c r="D513" t="s">
        <v>13</v>
      </c>
      <c r="E513" t="s">
        <v>14</v>
      </c>
      <c r="F513" t="s">
        <v>34</v>
      </c>
      <c r="G513" t="s">
        <v>16</v>
      </c>
      <c r="H513" s="12">
        <v>320000</v>
      </c>
      <c r="I513">
        <v>2</v>
      </c>
      <c r="J513" t="s">
        <v>28</v>
      </c>
      <c r="K513" s="12">
        <f t="shared" si="7"/>
        <v>256000</v>
      </c>
      <c r="L513" s="12">
        <f>Sales_Data[[#This Row],[Unit Price]]*Sales_Data[[#This Row],[Quantity]]</f>
        <v>640000</v>
      </c>
      <c r="M513" s="12">
        <f>Sales_Data[[#This Row],[Cost Price]]*Sales_Data[[#This Row],[Quantity]]</f>
        <v>512000</v>
      </c>
      <c r="N513" s="12">
        <f>Sales_Data[[#This Row],[Revenue]]-Sales_Data[[#This Row],[COGS]]</f>
        <v>128000</v>
      </c>
    </row>
    <row r="514" spans="1:14">
      <c r="A514" s="1">
        <v>46188</v>
      </c>
      <c r="B514" t="s">
        <v>29</v>
      </c>
      <c r="C514" t="s">
        <v>26</v>
      </c>
      <c r="D514" t="s">
        <v>23</v>
      </c>
      <c r="E514" t="s">
        <v>20</v>
      </c>
      <c r="F514" t="s">
        <v>30</v>
      </c>
      <c r="G514" t="s">
        <v>31</v>
      </c>
      <c r="H514" s="12">
        <v>300000</v>
      </c>
      <c r="I514">
        <v>3</v>
      </c>
      <c r="J514" t="s">
        <v>37</v>
      </c>
      <c r="K514" s="12">
        <f t="shared" ref="K514:K577" si="8">H514-H514*0.2</f>
        <v>240000</v>
      </c>
      <c r="L514" s="12">
        <f>Sales_Data[[#This Row],[Unit Price]]*Sales_Data[[#This Row],[Quantity]]</f>
        <v>900000</v>
      </c>
      <c r="M514" s="12">
        <f>Sales_Data[[#This Row],[Cost Price]]*Sales_Data[[#This Row],[Quantity]]</f>
        <v>720000</v>
      </c>
      <c r="N514" s="12">
        <f>Sales_Data[[#This Row],[Revenue]]-Sales_Data[[#This Row],[COGS]]</f>
        <v>180000</v>
      </c>
    </row>
    <row r="515" spans="1:14">
      <c r="A515" s="1">
        <v>46189</v>
      </c>
      <c r="B515" t="s">
        <v>25</v>
      </c>
      <c r="C515" t="s">
        <v>12</v>
      </c>
      <c r="D515" t="s">
        <v>13</v>
      </c>
      <c r="E515" t="s">
        <v>14</v>
      </c>
      <c r="F515" t="s">
        <v>30</v>
      </c>
      <c r="G515" t="s">
        <v>31</v>
      </c>
      <c r="H515" s="12">
        <v>300000</v>
      </c>
      <c r="I515">
        <v>3</v>
      </c>
      <c r="J515" t="s">
        <v>28</v>
      </c>
      <c r="K515" s="12">
        <f t="shared" si="8"/>
        <v>240000</v>
      </c>
      <c r="L515" s="12">
        <f>Sales_Data[[#This Row],[Unit Price]]*Sales_Data[[#This Row],[Quantity]]</f>
        <v>900000</v>
      </c>
      <c r="M515" s="12">
        <f>Sales_Data[[#This Row],[Cost Price]]*Sales_Data[[#This Row],[Quantity]]</f>
        <v>720000</v>
      </c>
      <c r="N515" s="12">
        <f>Sales_Data[[#This Row],[Revenue]]-Sales_Data[[#This Row],[COGS]]</f>
        <v>180000</v>
      </c>
    </row>
    <row r="516" spans="1:14">
      <c r="A516" s="1">
        <v>46190</v>
      </c>
      <c r="B516" t="s">
        <v>25</v>
      </c>
      <c r="C516" t="s">
        <v>32</v>
      </c>
      <c r="D516" t="s">
        <v>13</v>
      </c>
      <c r="E516" t="s">
        <v>20</v>
      </c>
      <c r="F516" t="s">
        <v>36</v>
      </c>
      <c r="G516" t="s">
        <v>31</v>
      </c>
      <c r="H516" s="12">
        <v>150000</v>
      </c>
      <c r="I516">
        <v>10</v>
      </c>
      <c r="J516" t="s">
        <v>28</v>
      </c>
      <c r="K516" s="12">
        <f t="shared" si="8"/>
        <v>120000</v>
      </c>
      <c r="L516" s="12">
        <f>Sales_Data[[#This Row],[Unit Price]]*Sales_Data[[#This Row],[Quantity]]</f>
        <v>1500000</v>
      </c>
      <c r="M516" s="12">
        <f>Sales_Data[[#This Row],[Cost Price]]*Sales_Data[[#This Row],[Quantity]]</f>
        <v>1200000</v>
      </c>
      <c r="N516" s="12">
        <f>Sales_Data[[#This Row],[Revenue]]-Sales_Data[[#This Row],[COGS]]</f>
        <v>300000</v>
      </c>
    </row>
    <row r="517" spans="1:14">
      <c r="A517" s="1">
        <v>46191</v>
      </c>
      <c r="B517" t="s">
        <v>25</v>
      </c>
      <c r="C517" t="s">
        <v>19</v>
      </c>
      <c r="D517" t="s">
        <v>23</v>
      </c>
      <c r="E517" t="s">
        <v>20</v>
      </c>
      <c r="F517" t="s">
        <v>21</v>
      </c>
      <c r="G517" t="s">
        <v>22</v>
      </c>
      <c r="H517" s="12">
        <v>30000</v>
      </c>
      <c r="I517">
        <v>7</v>
      </c>
      <c r="J517" t="s">
        <v>35</v>
      </c>
      <c r="K517" s="12">
        <f t="shared" si="8"/>
        <v>24000</v>
      </c>
      <c r="L517" s="12">
        <f>Sales_Data[[#This Row],[Unit Price]]*Sales_Data[[#This Row],[Quantity]]</f>
        <v>210000</v>
      </c>
      <c r="M517" s="12">
        <f>Sales_Data[[#This Row],[Cost Price]]*Sales_Data[[#This Row],[Quantity]]</f>
        <v>168000</v>
      </c>
      <c r="N517" s="12">
        <f>Sales_Data[[#This Row],[Revenue]]-Sales_Data[[#This Row],[COGS]]</f>
        <v>42000</v>
      </c>
    </row>
    <row r="518" spans="1:14">
      <c r="A518" s="1">
        <v>46192</v>
      </c>
      <c r="B518" t="s">
        <v>11</v>
      </c>
      <c r="C518" t="s">
        <v>12</v>
      </c>
      <c r="D518" t="s">
        <v>13</v>
      </c>
      <c r="E518" t="s">
        <v>14</v>
      </c>
      <c r="F518" t="s">
        <v>27</v>
      </c>
      <c r="G518" t="s">
        <v>22</v>
      </c>
      <c r="H518" s="12">
        <v>60000</v>
      </c>
      <c r="I518">
        <v>2</v>
      </c>
      <c r="J518" t="s">
        <v>37</v>
      </c>
      <c r="K518" s="12">
        <f t="shared" si="8"/>
        <v>48000</v>
      </c>
      <c r="L518" s="12">
        <f>Sales_Data[[#This Row],[Unit Price]]*Sales_Data[[#This Row],[Quantity]]</f>
        <v>120000</v>
      </c>
      <c r="M518" s="12">
        <f>Sales_Data[[#This Row],[Cost Price]]*Sales_Data[[#This Row],[Quantity]]</f>
        <v>96000</v>
      </c>
      <c r="N518" s="12">
        <f>Sales_Data[[#This Row],[Revenue]]-Sales_Data[[#This Row],[COGS]]</f>
        <v>24000</v>
      </c>
    </row>
    <row r="519" spans="1:14">
      <c r="A519" s="1">
        <v>46193</v>
      </c>
      <c r="B519" t="s">
        <v>18</v>
      </c>
      <c r="C519" t="s">
        <v>19</v>
      </c>
      <c r="D519" t="s">
        <v>13</v>
      </c>
      <c r="E519" t="s">
        <v>14</v>
      </c>
      <c r="F519" t="s">
        <v>30</v>
      </c>
      <c r="G519" t="s">
        <v>31</v>
      </c>
      <c r="H519" s="12">
        <v>300000</v>
      </c>
      <c r="I519">
        <v>8</v>
      </c>
      <c r="J519" t="s">
        <v>17</v>
      </c>
      <c r="K519" s="12">
        <f t="shared" si="8"/>
        <v>240000</v>
      </c>
      <c r="L519" s="12">
        <f>Sales_Data[[#This Row],[Unit Price]]*Sales_Data[[#This Row],[Quantity]]</f>
        <v>2400000</v>
      </c>
      <c r="M519" s="12">
        <f>Sales_Data[[#This Row],[Cost Price]]*Sales_Data[[#This Row],[Quantity]]</f>
        <v>1920000</v>
      </c>
      <c r="N519" s="12">
        <f>Sales_Data[[#This Row],[Revenue]]-Sales_Data[[#This Row],[COGS]]</f>
        <v>480000</v>
      </c>
    </row>
    <row r="520" spans="1:14">
      <c r="A520" s="1">
        <v>46194</v>
      </c>
      <c r="B520" t="s">
        <v>29</v>
      </c>
      <c r="C520" t="s">
        <v>19</v>
      </c>
      <c r="D520" t="s">
        <v>23</v>
      </c>
      <c r="E520" t="s">
        <v>20</v>
      </c>
      <c r="F520" t="s">
        <v>21</v>
      </c>
      <c r="G520" t="s">
        <v>22</v>
      </c>
      <c r="H520" s="12">
        <v>30000</v>
      </c>
      <c r="I520">
        <v>6</v>
      </c>
      <c r="J520" t="s">
        <v>28</v>
      </c>
      <c r="K520" s="12">
        <f t="shared" si="8"/>
        <v>24000</v>
      </c>
      <c r="L520" s="12">
        <f>Sales_Data[[#This Row],[Unit Price]]*Sales_Data[[#This Row],[Quantity]]</f>
        <v>180000</v>
      </c>
      <c r="M520" s="12">
        <f>Sales_Data[[#This Row],[Cost Price]]*Sales_Data[[#This Row],[Quantity]]</f>
        <v>144000</v>
      </c>
      <c r="N520" s="12">
        <f>Sales_Data[[#This Row],[Revenue]]-Sales_Data[[#This Row],[COGS]]</f>
        <v>36000</v>
      </c>
    </row>
    <row r="521" spans="1:14">
      <c r="A521" s="1">
        <v>46195</v>
      </c>
      <c r="B521" t="s">
        <v>11</v>
      </c>
      <c r="C521" t="s">
        <v>19</v>
      </c>
      <c r="D521" t="s">
        <v>23</v>
      </c>
      <c r="E521" t="s">
        <v>14</v>
      </c>
      <c r="F521" t="s">
        <v>40</v>
      </c>
      <c r="G521" t="s">
        <v>31</v>
      </c>
      <c r="H521" s="12">
        <v>250000</v>
      </c>
      <c r="I521">
        <v>6</v>
      </c>
      <c r="J521" t="s">
        <v>24</v>
      </c>
      <c r="K521" s="12">
        <f t="shared" si="8"/>
        <v>200000</v>
      </c>
      <c r="L521" s="12">
        <f>Sales_Data[[#This Row],[Unit Price]]*Sales_Data[[#This Row],[Quantity]]</f>
        <v>1500000</v>
      </c>
      <c r="M521" s="12">
        <f>Sales_Data[[#This Row],[Cost Price]]*Sales_Data[[#This Row],[Quantity]]</f>
        <v>1200000</v>
      </c>
      <c r="N521" s="12">
        <f>Sales_Data[[#This Row],[Revenue]]-Sales_Data[[#This Row],[COGS]]</f>
        <v>300000</v>
      </c>
    </row>
    <row r="522" spans="1:14">
      <c r="A522" s="1">
        <v>46196</v>
      </c>
      <c r="B522" t="s">
        <v>18</v>
      </c>
      <c r="C522" t="s">
        <v>32</v>
      </c>
      <c r="D522" t="s">
        <v>13</v>
      </c>
      <c r="E522" t="s">
        <v>14</v>
      </c>
      <c r="F522" t="s">
        <v>38</v>
      </c>
      <c r="G522" t="s">
        <v>31</v>
      </c>
      <c r="H522" s="12">
        <v>420000</v>
      </c>
      <c r="I522">
        <v>10</v>
      </c>
      <c r="J522" t="s">
        <v>35</v>
      </c>
      <c r="K522" s="12">
        <f t="shared" si="8"/>
        <v>336000</v>
      </c>
      <c r="L522" s="12">
        <f>Sales_Data[[#This Row],[Unit Price]]*Sales_Data[[#This Row],[Quantity]]</f>
        <v>4200000</v>
      </c>
      <c r="M522" s="12">
        <f>Sales_Data[[#This Row],[Cost Price]]*Sales_Data[[#This Row],[Quantity]]</f>
        <v>3360000</v>
      </c>
      <c r="N522" s="12">
        <f>Sales_Data[[#This Row],[Revenue]]-Sales_Data[[#This Row],[COGS]]</f>
        <v>840000</v>
      </c>
    </row>
    <row r="523" spans="1:14">
      <c r="A523" s="1">
        <v>46197</v>
      </c>
      <c r="B523" t="s">
        <v>25</v>
      </c>
      <c r="C523" t="s">
        <v>32</v>
      </c>
      <c r="D523" t="s">
        <v>13</v>
      </c>
      <c r="E523" t="s">
        <v>14</v>
      </c>
      <c r="F523" t="s">
        <v>27</v>
      </c>
      <c r="G523" t="s">
        <v>22</v>
      </c>
      <c r="H523" s="12">
        <v>60000</v>
      </c>
      <c r="I523">
        <v>9</v>
      </c>
      <c r="J523" t="s">
        <v>39</v>
      </c>
      <c r="K523" s="12">
        <f t="shared" si="8"/>
        <v>48000</v>
      </c>
      <c r="L523" s="12">
        <f>Sales_Data[[#This Row],[Unit Price]]*Sales_Data[[#This Row],[Quantity]]</f>
        <v>540000</v>
      </c>
      <c r="M523" s="12">
        <f>Sales_Data[[#This Row],[Cost Price]]*Sales_Data[[#This Row],[Quantity]]</f>
        <v>432000</v>
      </c>
      <c r="N523" s="12">
        <f>Sales_Data[[#This Row],[Revenue]]-Sales_Data[[#This Row],[COGS]]</f>
        <v>108000</v>
      </c>
    </row>
    <row r="524" spans="1:14">
      <c r="A524" s="1">
        <v>46198</v>
      </c>
      <c r="B524" t="s">
        <v>18</v>
      </c>
      <c r="C524" t="s">
        <v>26</v>
      </c>
      <c r="D524" t="s">
        <v>23</v>
      </c>
      <c r="E524" t="s">
        <v>20</v>
      </c>
      <c r="F524" t="s">
        <v>33</v>
      </c>
      <c r="G524" t="s">
        <v>22</v>
      </c>
      <c r="H524" s="12">
        <v>180000</v>
      </c>
      <c r="I524">
        <v>4</v>
      </c>
      <c r="J524" t="s">
        <v>17</v>
      </c>
      <c r="K524" s="12">
        <f t="shared" si="8"/>
        <v>144000</v>
      </c>
      <c r="L524" s="12">
        <f>Sales_Data[[#This Row],[Unit Price]]*Sales_Data[[#This Row],[Quantity]]</f>
        <v>720000</v>
      </c>
      <c r="M524" s="12">
        <f>Sales_Data[[#This Row],[Cost Price]]*Sales_Data[[#This Row],[Quantity]]</f>
        <v>576000</v>
      </c>
      <c r="N524" s="12">
        <f>Sales_Data[[#This Row],[Revenue]]-Sales_Data[[#This Row],[COGS]]</f>
        <v>144000</v>
      </c>
    </row>
    <row r="525" spans="1:14">
      <c r="A525" s="1">
        <v>46199</v>
      </c>
      <c r="B525" t="s">
        <v>29</v>
      </c>
      <c r="C525" t="s">
        <v>26</v>
      </c>
      <c r="D525" t="s">
        <v>13</v>
      </c>
      <c r="E525" t="s">
        <v>20</v>
      </c>
      <c r="F525" t="s">
        <v>33</v>
      </c>
      <c r="G525" t="s">
        <v>22</v>
      </c>
      <c r="H525" s="12">
        <v>180000</v>
      </c>
      <c r="I525">
        <v>10</v>
      </c>
      <c r="J525" t="s">
        <v>17</v>
      </c>
      <c r="K525" s="12">
        <f t="shared" si="8"/>
        <v>144000</v>
      </c>
      <c r="L525" s="12">
        <f>Sales_Data[[#This Row],[Unit Price]]*Sales_Data[[#This Row],[Quantity]]</f>
        <v>1800000</v>
      </c>
      <c r="M525" s="12">
        <f>Sales_Data[[#This Row],[Cost Price]]*Sales_Data[[#This Row],[Quantity]]</f>
        <v>1440000</v>
      </c>
      <c r="N525" s="12">
        <f>Sales_Data[[#This Row],[Revenue]]-Sales_Data[[#This Row],[COGS]]</f>
        <v>360000</v>
      </c>
    </row>
    <row r="526" spans="1:14">
      <c r="A526" s="1">
        <v>46200</v>
      </c>
      <c r="B526" t="s">
        <v>29</v>
      </c>
      <c r="C526" t="s">
        <v>19</v>
      </c>
      <c r="D526" t="s">
        <v>23</v>
      </c>
      <c r="E526" t="s">
        <v>14</v>
      </c>
      <c r="F526" t="s">
        <v>21</v>
      </c>
      <c r="G526" t="s">
        <v>22</v>
      </c>
      <c r="H526" s="12">
        <v>30000</v>
      </c>
      <c r="I526">
        <v>1</v>
      </c>
      <c r="J526" t="s">
        <v>37</v>
      </c>
      <c r="K526" s="12">
        <f t="shared" si="8"/>
        <v>24000</v>
      </c>
      <c r="L526" s="12">
        <f>Sales_Data[[#This Row],[Unit Price]]*Sales_Data[[#This Row],[Quantity]]</f>
        <v>30000</v>
      </c>
      <c r="M526" s="12">
        <f>Sales_Data[[#This Row],[Cost Price]]*Sales_Data[[#This Row],[Quantity]]</f>
        <v>24000</v>
      </c>
      <c r="N526" s="12">
        <f>Sales_Data[[#This Row],[Revenue]]-Sales_Data[[#This Row],[COGS]]</f>
        <v>6000</v>
      </c>
    </row>
    <row r="527" spans="1:14">
      <c r="A527" s="1">
        <v>46201</v>
      </c>
      <c r="B527" t="s">
        <v>18</v>
      </c>
      <c r="C527" t="s">
        <v>26</v>
      </c>
      <c r="D527" t="s">
        <v>13</v>
      </c>
      <c r="E527" t="s">
        <v>20</v>
      </c>
      <c r="F527" t="s">
        <v>38</v>
      </c>
      <c r="G527" t="s">
        <v>31</v>
      </c>
      <c r="H527" s="12">
        <v>420000</v>
      </c>
      <c r="I527">
        <v>3</v>
      </c>
      <c r="J527" t="s">
        <v>35</v>
      </c>
      <c r="K527" s="12">
        <f t="shared" si="8"/>
        <v>336000</v>
      </c>
      <c r="L527" s="12">
        <f>Sales_Data[[#This Row],[Unit Price]]*Sales_Data[[#This Row],[Quantity]]</f>
        <v>1260000</v>
      </c>
      <c r="M527" s="12">
        <f>Sales_Data[[#This Row],[Cost Price]]*Sales_Data[[#This Row],[Quantity]]</f>
        <v>1008000</v>
      </c>
      <c r="N527" s="12">
        <f>Sales_Data[[#This Row],[Revenue]]-Sales_Data[[#This Row],[COGS]]</f>
        <v>252000</v>
      </c>
    </row>
    <row r="528" spans="1:14">
      <c r="A528" s="1">
        <v>46202</v>
      </c>
      <c r="B528" t="s">
        <v>18</v>
      </c>
      <c r="C528" t="s">
        <v>12</v>
      </c>
      <c r="D528" t="s">
        <v>13</v>
      </c>
      <c r="E528" t="s">
        <v>20</v>
      </c>
      <c r="F528" t="s">
        <v>21</v>
      </c>
      <c r="G528" t="s">
        <v>22</v>
      </c>
      <c r="H528" s="12">
        <v>30000</v>
      </c>
      <c r="I528">
        <v>8</v>
      </c>
      <c r="J528" t="s">
        <v>35</v>
      </c>
      <c r="K528" s="12">
        <f t="shared" si="8"/>
        <v>24000</v>
      </c>
      <c r="L528" s="12">
        <f>Sales_Data[[#This Row],[Unit Price]]*Sales_Data[[#This Row],[Quantity]]</f>
        <v>240000</v>
      </c>
      <c r="M528" s="12">
        <f>Sales_Data[[#This Row],[Cost Price]]*Sales_Data[[#This Row],[Quantity]]</f>
        <v>192000</v>
      </c>
      <c r="N528" s="12">
        <f>Sales_Data[[#This Row],[Revenue]]-Sales_Data[[#This Row],[COGS]]</f>
        <v>48000</v>
      </c>
    </row>
    <row r="529" spans="1:14">
      <c r="A529" s="1">
        <v>46203</v>
      </c>
      <c r="B529" t="s">
        <v>25</v>
      </c>
      <c r="C529" t="s">
        <v>32</v>
      </c>
      <c r="D529" t="s">
        <v>23</v>
      </c>
      <c r="E529" t="s">
        <v>14</v>
      </c>
      <c r="F529" t="s">
        <v>34</v>
      </c>
      <c r="G529" t="s">
        <v>16</v>
      </c>
      <c r="H529" s="12">
        <v>320000</v>
      </c>
      <c r="I529">
        <v>2</v>
      </c>
      <c r="J529" t="s">
        <v>28</v>
      </c>
      <c r="K529" s="12">
        <f t="shared" si="8"/>
        <v>256000</v>
      </c>
      <c r="L529" s="12">
        <f>Sales_Data[[#This Row],[Unit Price]]*Sales_Data[[#This Row],[Quantity]]</f>
        <v>640000</v>
      </c>
      <c r="M529" s="12">
        <f>Sales_Data[[#This Row],[Cost Price]]*Sales_Data[[#This Row],[Quantity]]</f>
        <v>512000</v>
      </c>
      <c r="N529" s="12">
        <f>Sales_Data[[#This Row],[Revenue]]-Sales_Data[[#This Row],[COGS]]</f>
        <v>128000</v>
      </c>
    </row>
    <row r="530" spans="1:14">
      <c r="A530" s="1">
        <v>46204</v>
      </c>
      <c r="B530" t="s">
        <v>11</v>
      </c>
      <c r="C530" t="s">
        <v>19</v>
      </c>
      <c r="D530" t="s">
        <v>23</v>
      </c>
      <c r="E530" t="s">
        <v>20</v>
      </c>
      <c r="F530" t="s">
        <v>36</v>
      </c>
      <c r="G530" t="s">
        <v>31</v>
      </c>
      <c r="H530" s="12">
        <v>150000</v>
      </c>
      <c r="I530">
        <v>10</v>
      </c>
      <c r="J530" t="s">
        <v>28</v>
      </c>
      <c r="K530" s="12">
        <f t="shared" si="8"/>
        <v>120000</v>
      </c>
      <c r="L530" s="12">
        <f>Sales_Data[[#This Row],[Unit Price]]*Sales_Data[[#This Row],[Quantity]]</f>
        <v>1500000</v>
      </c>
      <c r="M530" s="12">
        <f>Sales_Data[[#This Row],[Cost Price]]*Sales_Data[[#This Row],[Quantity]]</f>
        <v>1200000</v>
      </c>
      <c r="N530" s="12">
        <f>Sales_Data[[#This Row],[Revenue]]-Sales_Data[[#This Row],[COGS]]</f>
        <v>300000</v>
      </c>
    </row>
    <row r="531" spans="1:14">
      <c r="A531" s="1">
        <v>46205</v>
      </c>
      <c r="B531" t="s">
        <v>29</v>
      </c>
      <c r="C531" t="s">
        <v>26</v>
      </c>
      <c r="D531" t="s">
        <v>23</v>
      </c>
      <c r="E531" t="s">
        <v>14</v>
      </c>
      <c r="F531" t="s">
        <v>40</v>
      </c>
      <c r="G531" t="s">
        <v>31</v>
      </c>
      <c r="H531" s="12">
        <v>250000</v>
      </c>
      <c r="I531">
        <v>9</v>
      </c>
      <c r="J531" t="s">
        <v>24</v>
      </c>
      <c r="K531" s="12">
        <f t="shared" si="8"/>
        <v>200000</v>
      </c>
      <c r="L531" s="12">
        <f>Sales_Data[[#This Row],[Unit Price]]*Sales_Data[[#This Row],[Quantity]]</f>
        <v>2250000</v>
      </c>
      <c r="M531" s="12">
        <f>Sales_Data[[#This Row],[Cost Price]]*Sales_Data[[#This Row],[Quantity]]</f>
        <v>1800000</v>
      </c>
      <c r="N531" s="12">
        <f>Sales_Data[[#This Row],[Revenue]]-Sales_Data[[#This Row],[COGS]]</f>
        <v>450000</v>
      </c>
    </row>
    <row r="532" spans="1:14">
      <c r="A532" s="1">
        <v>46206</v>
      </c>
      <c r="B532" t="s">
        <v>25</v>
      </c>
      <c r="C532" t="s">
        <v>26</v>
      </c>
      <c r="D532" t="s">
        <v>23</v>
      </c>
      <c r="E532" t="s">
        <v>20</v>
      </c>
      <c r="F532" t="s">
        <v>41</v>
      </c>
      <c r="G532" t="s">
        <v>22</v>
      </c>
      <c r="H532" s="12">
        <v>220000</v>
      </c>
      <c r="I532">
        <v>5</v>
      </c>
      <c r="J532" t="s">
        <v>24</v>
      </c>
      <c r="K532" s="12">
        <f t="shared" si="8"/>
        <v>176000</v>
      </c>
      <c r="L532" s="12">
        <f>Sales_Data[[#This Row],[Unit Price]]*Sales_Data[[#This Row],[Quantity]]</f>
        <v>1100000</v>
      </c>
      <c r="M532" s="12">
        <f>Sales_Data[[#This Row],[Cost Price]]*Sales_Data[[#This Row],[Quantity]]</f>
        <v>880000</v>
      </c>
      <c r="N532" s="12">
        <f>Sales_Data[[#This Row],[Revenue]]-Sales_Data[[#This Row],[COGS]]</f>
        <v>220000</v>
      </c>
    </row>
    <row r="533" spans="1:14">
      <c r="A533" s="1">
        <v>46207</v>
      </c>
      <c r="B533" t="s">
        <v>11</v>
      </c>
      <c r="C533" t="s">
        <v>26</v>
      </c>
      <c r="D533" t="s">
        <v>13</v>
      </c>
      <c r="E533" t="s">
        <v>20</v>
      </c>
      <c r="F533" t="s">
        <v>36</v>
      </c>
      <c r="G533" t="s">
        <v>31</v>
      </c>
      <c r="H533" s="12">
        <v>150000</v>
      </c>
      <c r="I533">
        <v>5</v>
      </c>
      <c r="J533" t="s">
        <v>17</v>
      </c>
      <c r="K533" s="12">
        <f t="shared" si="8"/>
        <v>120000</v>
      </c>
      <c r="L533" s="12">
        <f>Sales_Data[[#This Row],[Unit Price]]*Sales_Data[[#This Row],[Quantity]]</f>
        <v>750000</v>
      </c>
      <c r="M533" s="12">
        <f>Sales_Data[[#This Row],[Cost Price]]*Sales_Data[[#This Row],[Quantity]]</f>
        <v>600000</v>
      </c>
      <c r="N533" s="12">
        <f>Sales_Data[[#This Row],[Revenue]]-Sales_Data[[#This Row],[COGS]]</f>
        <v>150000</v>
      </c>
    </row>
    <row r="534" spans="1:14">
      <c r="A534" s="1">
        <v>46208</v>
      </c>
      <c r="B534" t="s">
        <v>18</v>
      </c>
      <c r="C534" t="s">
        <v>32</v>
      </c>
      <c r="D534" t="s">
        <v>23</v>
      </c>
      <c r="E534" t="s">
        <v>20</v>
      </c>
      <c r="F534" t="s">
        <v>41</v>
      </c>
      <c r="G534" t="s">
        <v>22</v>
      </c>
      <c r="H534" s="12">
        <v>220000</v>
      </c>
      <c r="I534">
        <v>8</v>
      </c>
      <c r="J534" t="s">
        <v>37</v>
      </c>
      <c r="K534" s="12">
        <f t="shared" si="8"/>
        <v>176000</v>
      </c>
      <c r="L534" s="12">
        <f>Sales_Data[[#This Row],[Unit Price]]*Sales_Data[[#This Row],[Quantity]]</f>
        <v>1760000</v>
      </c>
      <c r="M534" s="12">
        <f>Sales_Data[[#This Row],[Cost Price]]*Sales_Data[[#This Row],[Quantity]]</f>
        <v>1408000</v>
      </c>
      <c r="N534" s="12">
        <f>Sales_Data[[#This Row],[Revenue]]-Sales_Data[[#This Row],[COGS]]</f>
        <v>352000</v>
      </c>
    </row>
    <row r="535" spans="1:14">
      <c r="A535" s="1">
        <v>46209</v>
      </c>
      <c r="B535" t="s">
        <v>18</v>
      </c>
      <c r="C535" t="s">
        <v>19</v>
      </c>
      <c r="D535" t="s">
        <v>13</v>
      </c>
      <c r="E535" t="s">
        <v>14</v>
      </c>
      <c r="F535" t="s">
        <v>15</v>
      </c>
      <c r="G535" t="s">
        <v>16</v>
      </c>
      <c r="H535" s="12">
        <v>85000</v>
      </c>
      <c r="I535">
        <v>4</v>
      </c>
      <c r="J535" t="s">
        <v>35</v>
      </c>
      <c r="K535" s="12">
        <f t="shared" si="8"/>
        <v>68000</v>
      </c>
      <c r="L535" s="12">
        <f>Sales_Data[[#This Row],[Unit Price]]*Sales_Data[[#This Row],[Quantity]]</f>
        <v>340000</v>
      </c>
      <c r="M535" s="12">
        <f>Sales_Data[[#This Row],[Cost Price]]*Sales_Data[[#This Row],[Quantity]]</f>
        <v>272000</v>
      </c>
      <c r="N535" s="12">
        <f>Sales_Data[[#This Row],[Revenue]]-Sales_Data[[#This Row],[COGS]]</f>
        <v>68000</v>
      </c>
    </row>
    <row r="536" spans="1:14">
      <c r="A536" s="1">
        <v>46210</v>
      </c>
      <c r="B536" t="s">
        <v>25</v>
      </c>
      <c r="C536" t="s">
        <v>26</v>
      </c>
      <c r="D536" t="s">
        <v>13</v>
      </c>
      <c r="E536" t="s">
        <v>14</v>
      </c>
      <c r="F536" t="s">
        <v>34</v>
      </c>
      <c r="G536" t="s">
        <v>16</v>
      </c>
      <c r="H536" s="12">
        <v>320000</v>
      </c>
      <c r="I536">
        <v>4</v>
      </c>
      <c r="J536" t="s">
        <v>35</v>
      </c>
      <c r="K536" s="12">
        <f t="shared" si="8"/>
        <v>256000</v>
      </c>
      <c r="L536" s="12">
        <f>Sales_Data[[#This Row],[Unit Price]]*Sales_Data[[#This Row],[Quantity]]</f>
        <v>1280000</v>
      </c>
      <c r="M536" s="12">
        <f>Sales_Data[[#This Row],[Cost Price]]*Sales_Data[[#This Row],[Quantity]]</f>
        <v>1024000</v>
      </c>
      <c r="N536" s="12">
        <f>Sales_Data[[#This Row],[Revenue]]-Sales_Data[[#This Row],[COGS]]</f>
        <v>256000</v>
      </c>
    </row>
    <row r="537" spans="1:14">
      <c r="A537" s="1">
        <v>46211</v>
      </c>
      <c r="B537" t="s">
        <v>18</v>
      </c>
      <c r="C537" t="s">
        <v>26</v>
      </c>
      <c r="D537" t="s">
        <v>23</v>
      </c>
      <c r="E537" t="s">
        <v>14</v>
      </c>
      <c r="F537" t="s">
        <v>40</v>
      </c>
      <c r="G537" t="s">
        <v>31</v>
      </c>
      <c r="H537" s="12">
        <v>250000</v>
      </c>
      <c r="I537">
        <v>2</v>
      </c>
      <c r="J537" t="s">
        <v>24</v>
      </c>
      <c r="K537" s="12">
        <f t="shared" si="8"/>
        <v>200000</v>
      </c>
      <c r="L537" s="12">
        <f>Sales_Data[[#This Row],[Unit Price]]*Sales_Data[[#This Row],[Quantity]]</f>
        <v>500000</v>
      </c>
      <c r="M537" s="12">
        <f>Sales_Data[[#This Row],[Cost Price]]*Sales_Data[[#This Row],[Quantity]]</f>
        <v>400000</v>
      </c>
      <c r="N537" s="12">
        <f>Sales_Data[[#This Row],[Revenue]]-Sales_Data[[#This Row],[COGS]]</f>
        <v>100000</v>
      </c>
    </row>
    <row r="538" spans="1:14">
      <c r="A538" s="1">
        <v>46212</v>
      </c>
      <c r="B538" t="s">
        <v>18</v>
      </c>
      <c r="C538" t="s">
        <v>12</v>
      </c>
      <c r="D538" t="s">
        <v>13</v>
      </c>
      <c r="E538" t="s">
        <v>14</v>
      </c>
      <c r="F538" t="s">
        <v>30</v>
      </c>
      <c r="G538" t="s">
        <v>31</v>
      </c>
      <c r="H538" s="12">
        <v>300000</v>
      </c>
      <c r="I538">
        <v>5</v>
      </c>
      <c r="J538" t="s">
        <v>24</v>
      </c>
      <c r="K538" s="12">
        <f t="shared" si="8"/>
        <v>240000</v>
      </c>
      <c r="L538" s="12">
        <f>Sales_Data[[#This Row],[Unit Price]]*Sales_Data[[#This Row],[Quantity]]</f>
        <v>1500000</v>
      </c>
      <c r="M538" s="12">
        <f>Sales_Data[[#This Row],[Cost Price]]*Sales_Data[[#This Row],[Quantity]]</f>
        <v>1200000</v>
      </c>
      <c r="N538" s="12">
        <f>Sales_Data[[#This Row],[Revenue]]-Sales_Data[[#This Row],[COGS]]</f>
        <v>300000</v>
      </c>
    </row>
    <row r="539" spans="1:14">
      <c r="A539" s="1">
        <v>46213</v>
      </c>
      <c r="B539" t="s">
        <v>18</v>
      </c>
      <c r="C539" t="s">
        <v>26</v>
      </c>
      <c r="D539" t="s">
        <v>13</v>
      </c>
      <c r="E539" t="s">
        <v>14</v>
      </c>
      <c r="F539" t="s">
        <v>27</v>
      </c>
      <c r="G539" t="s">
        <v>22</v>
      </c>
      <c r="H539" s="12">
        <v>60000</v>
      </c>
      <c r="I539">
        <v>9</v>
      </c>
      <c r="J539" t="s">
        <v>28</v>
      </c>
      <c r="K539" s="12">
        <f t="shared" si="8"/>
        <v>48000</v>
      </c>
      <c r="L539" s="12">
        <f>Sales_Data[[#This Row],[Unit Price]]*Sales_Data[[#This Row],[Quantity]]</f>
        <v>540000</v>
      </c>
      <c r="M539" s="12">
        <f>Sales_Data[[#This Row],[Cost Price]]*Sales_Data[[#This Row],[Quantity]]</f>
        <v>432000</v>
      </c>
      <c r="N539" s="12">
        <f>Sales_Data[[#This Row],[Revenue]]-Sales_Data[[#This Row],[COGS]]</f>
        <v>108000</v>
      </c>
    </row>
    <row r="540" spans="1:14">
      <c r="A540" s="1">
        <v>46214</v>
      </c>
      <c r="B540" t="s">
        <v>18</v>
      </c>
      <c r="C540" t="s">
        <v>26</v>
      </c>
      <c r="D540" t="s">
        <v>23</v>
      </c>
      <c r="E540" t="s">
        <v>14</v>
      </c>
      <c r="F540" t="s">
        <v>36</v>
      </c>
      <c r="G540" t="s">
        <v>31</v>
      </c>
      <c r="H540" s="12">
        <v>150000</v>
      </c>
      <c r="I540">
        <v>6</v>
      </c>
      <c r="J540" t="s">
        <v>28</v>
      </c>
      <c r="K540" s="12">
        <f t="shared" si="8"/>
        <v>120000</v>
      </c>
      <c r="L540" s="12">
        <f>Sales_Data[[#This Row],[Unit Price]]*Sales_Data[[#This Row],[Quantity]]</f>
        <v>900000</v>
      </c>
      <c r="M540" s="12">
        <f>Sales_Data[[#This Row],[Cost Price]]*Sales_Data[[#This Row],[Quantity]]</f>
        <v>720000</v>
      </c>
      <c r="N540" s="12">
        <f>Sales_Data[[#This Row],[Revenue]]-Sales_Data[[#This Row],[COGS]]</f>
        <v>180000</v>
      </c>
    </row>
    <row r="541" spans="1:14">
      <c r="A541" s="1">
        <v>46215</v>
      </c>
      <c r="B541" t="s">
        <v>25</v>
      </c>
      <c r="C541" t="s">
        <v>26</v>
      </c>
      <c r="D541" t="s">
        <v>23</v>
      </c>
      <c r="E541" t="s">
        <v>20</v>
      </c>
      <c r="F541" t="s">
        <v>15</v>
      </c>
      <c r="G541" t="s">
        <v>16</v>
      </c>
      <c r="H541" s="12">
        <v>85000</v>
      </c>
      <c r="I541">
        <v>3</v>
      </c>
      <c r="J541" t="s">
        <v>35</v>
      </c>
      <c r="K541" s="12">
        <f t="shared" si="8"/>
        <v>68000</v>
      </c>
      <c r="L541" s="12">
        <f>Sales_Data[[#This Row],[Unit Price]]*Sales_Data[[#This Row],[Quantity]]</f>
        <v>255000</v>
      </c>
      <c r="M541" s="12">
        <f>Sales_Data[[#This Row],[Cost Price]]*Sales_Data[[#This Row],[Quantity]]</f>
        <v>204000</v>
      </c>
      <c r="N541" s="12">
        <f>Sales_Data[[#This Row],[Revenue]]-Sales_Data[[#This Row],[COGS]]</f>
        <v>51000</v>
      </c>
    </row>
    <row r="542" spans="1:14">
      <c r="A542" s="1">
        <v>46216</v>
      </c>
      <c r="B542" t="s">
        <v>25</v>
      </c>
      <c r="C542" t="s">
        <v>19</v>
      </c>
      <c r="D542" t="s">
        <v>23</v>
      </c>
      <c r="E542" t="s">
        <v>20</v>
      </c>
      <c r="F542" t="s">
        <v>34</v>
      </c>
      <c r="G542" t="s">
        <v>16</v>
      </c>
      <c r="H542" s="12">
        <v>320000</v>
      </c>
      <c r="I542">
        <v>8</v>
      </c>
      <c r="J542" t="s">
        <v>28</v>
      </c>
      <c r="K542" s="12">
        <f t="shared" si="8"/>
        <v>256000</v>
      </c>
      <c r="L542" s="12">
        <f>Sales_Data[[#This Row],[Unit Price]]*Sales_Data[[#This Row],[Quantity]]</f>
        <v>2560000</v>
      </c>
      <c r="M542" s="12">
        <f>Sales_Data[[#This Row],[Cost Price]]*Sales_Data[[#This Row],[Quantity]]</f>
        <v>2048000</v>
      </c>
      <c r="N542" s="12">
        <f>Sales_Data[[#This Row],[Revenue]]-Sales_Data[[#This Row],[COGS]]</f>
        <v>512000</v>
      </c>
    </row>
    <row r="543" spans="1:14">
      <c r="A543" s="1">
        <v>46217</v>
      </c>
      <c r="B543" t="s">
        <v>18</v>
      </c>
      <c r="C543" t="s">
        <v>12</v>
      </c>
      <c r="D543" t="s">
        <v>23</v>
      </c>
      <c r="E543" t="s">
        <v>14</v>
      </c>
      <c r="F543" t="s">
        <v>40</v>
      </c>
      <c r="G543" t="s">
        <v>31</v>
      </c>
      <c r="H543" s="12">
        <v>250000</v>
      </c>
      <c r="I543">
        <v>1</v>
      </c>
      <c r="J543" t="s">
        <v>35</v>
      </c>
      <c r="K543" s="12">
        <f t="shared" si="8"/>
        <v>200000</v>
      </c>
      <c r="L543" s="12">
        <f>Sales_Data[[#This Row],[Unit Price]]*Sales_Data[[#This Row],[Quantity]]</f>
        <v>250000</v>
      </c>
      <c r="M543" s="12">
        <f>Sales_Data[[#This Row],[Cost Price]]*Sales_Data[[#This Row],[Quantity]]</f>
        <v>200000</v>
      </c>
      <c r="N543" s="12">
        <f>Sales_Data[[#This Row],[Revenue]]-Sales_Data[[#This Row],[COGS]]</f>
        <v>50000</v>
      </c>
    </row>
    <row r="544" spans="1:14">
      <c r="A544" s="1">
        <v>46218</v>
      </c>
      <c r="B544" t="s">
        <v>11</v>
      </c>
      <c r="C544" t="s">
        <v>19</v>
      </c>
      <c r="D544" t="s">
        <v>23</v>
      </c>
      <c r="E544" t="s">
        <v>20</v>
      </c>
      <c r="F544" t="s">
        <v>33</v>
      </c>
      <c r="G544" t="s">
        <v>22</v>
      </c>
      <c r="H544" s="12">
        <v>180000</v>
      </c>
      <c r="I544">
        <v>4</v>
      </c>
      <c r="J544" t="s">
        <v>17</v>
      </c>
      <c r="K544" s="12">
        <f t="shared" si="8"/>
        <v>144000</v>
      </c>
      <c r="L544" s="12">
        <f>Sales_Data[[#This Row],[Unit Price]]*Sales_Data[[#This Row],[Quantity]]</f>
        <v>720000</v>
      </c>
      <c r="M544" s="12">
        <f>Sales_Data[[#This Row],[Cost Price]]*Sales_Data[[#This Row],[Quantity]]</f>
        <v>576000</v>
      </c>
      <c r="N544" s="12">
        <f>Sales_Data[[#This Row],[Revenue]]-Sales_Data[[#This Row],[COGS]]</f>
        <v>144000</v>
      </c>
    </row>
    <row r="545" spans="1:14">
      <c r="A545" s="1">
        <v>46219</v>
      </c>
      <c r="B545" t="s">
        <v>18</v>
      </c>
      <c r="C545" t="s">
        <v>26</v>
      </c>
      <c r="D545" t="s">
        <v>13</v>
      </c>
      <c r="E545" t="s">
        <v>14</v>
      </c>
      <c r="F545" t="s">
        <v>27</v>
      </c>
      <c r="G545" t="s">
        <v>22</v>
      </c>
      <c r="H545" s="12">
        <v>60000</v>
      </c>
      <c r="I545">
        <v>6</v>
      </c>
      <c r="J545" t="s">
        <v>39</v>
      </c>
      <c r="K545" s="12">
        <f t="shared" si="8"/>
        <v>48000</v>
      </c>
      <c r="L545" s="12">
        <f>Sales_Data[[#This Row],[Unit Price]]*Sales_Data[[#This Row],[Quantity]]</f>
        <v>360000</v>
      </c>
      <c r="M545" s="12">
        <f>Sales_Data[[#This Row],[Cost Price]]*Sales_Data[[#This Row],[Quantity]]</f>
        <v>288000</v>
      </c>
      <c r="N545" s="12">
        <f>Sales_Data[[#This Row],[Revenue]]-Sales_Data[[#This Row],[COGS]]</f>
        <v>72000</v>
      </c>
    </row>
    <row r="546" spans="1:14">
      <c r="A546" s="1">
        <v>46220</v>
      </c>
      <c r="B546" t="s">
        <v>29</v>
      </c>
      <c r="C546" t="s">
        <v>32</v>
      </c>
      <c r="D546" t="s">
        <v>13</v>
      </c>
      <c r="E546" t="s">
        <v>20</v>
      </c>
      <c r="F546" t="s">
        <v>33</v>
      </c>
      <c r="G546" t="s">
        <v>22</v>
      </c>
      <c r="H546" s="12">
        <v>180000</v>
      </c>
      <c r="I546">
        <v>7</v>
      </c>
      <c r="J546" t="s">
        <v>17</v>
      </c>
      <c r="K546" s="12">
        <f t="shared" si="8"/>
        <v>144000</v>
      </c>
      <c r="L546" s="12">
        <f>Sales_Data[[#This Row],[Unit Price]]*Sales_Data[[#This Row],[Quantity]]</f>
        <v>1260000</v>
      </c>
      <c r="M546" s="12">
        <f>Sales_Data[[#This Row],[Cost Price]]*Sales_Data[[#This Row],[Quantity]]</f>
        <v>1008000</v>
      </c>
      <c r="N546" s="12">
        <f>Sales_Data[[#This Row],[Revenue]]-Sales_Data[[#This Row],[COGS]]</f>
        <v>252000</v>
      </c>
    </row>
    <row r="547" spans="1:14">
      <c r="A547" s="1">
        <v>46221</v>
      </c>
      <c r="B547" t="s">
        <v>29</v>
      </c>
      <c r="C547" t="s">
        <v>19</v>
      </c>
      <c r="D547" t="s">
        <v>13</v>
      </c>
      <c r="E547" t="s">
        <v>14</v>
      </c>
      <c r="F547" t="s">
        <v>36</v>
      </c>
      <c r="G547" t="s">
        <v>31</v>
      </c>
      <c r="H547" s="12">
        <v>150000</v>
      </c>
      <c r="I547">
        <v>10</v>
      </c>
      <c r="J547" t="s">
        <v>37</v>
      </c>
      <c r="K547" s="12">
        <f t="shared" si="8"/>
        <v>120000</v>
      </c>
      <c r="L547" s="12">
        <f>Sales_Data[[#This Row],[Unit Price]]*Sales_Data[[#This Row],[Quantity]]</f>
        <v>1500000</v>
      </c>
      <c r="M547" s="12">
        <f>Sales_Data[[#This Row],[Cost Price]]*Sales_Data[[#This Row],[Quantity]]</f>
        <v>1200000</v>
      </c>
      <c r="N547" s="12">
        <f>Sales_Data[[#This Row],[Revenue]]-Sales_Data[[#This Row],[COGS]]</f>
        <v>300000</v>
      </c>
    </row>
    <row r="548" spans="1:14">
      <c r="A548" s="1">
        <v>46222</v>
      </c>
      <c r="B548" t="s">
        <v>18</v>
      </c>
      <c r="C548" t="s">
        <v>26</v>
      </c>
      <c r="D548" t="s">
        <v>13</v>
      </c>
      <c r="E548" t="s">
        <v>20</v>
      </c>
      <c r="F548" t="s">
        <v>34</v>
      </c>
      <c r="G548" t="s">
        <v>16</v>
      </c>
      <c r="H548" s="12">
        <v>320000</v>
      </c>
      <c r="I548">
        <v>5</v>
      </c>
      <c r="J548" t="s">
        <v>37</v>
      </c>
      <c r="K548" s="12">
        <f t="shared" si="8"/>
        <v>256000</v>
      </c>
      <c r="L548" s="12">
        <f>Sales_Data[[#This Row],[Unit Price]]*Sales_Data[[#This Row],[Quantity]]</f>
        <v>1600000</v>
      </c>
      <c r="M548" s="12">
        <f>Sales_Data[[#This Row],[Cost Price]]*Sales_Data[[#This Row],[Quantity]]</f>
        <v>1280000</v>
      </c>
      <c r="N548" s="12">
        <f>Sales_Data[[#This Row],[Revenue]]-Sales_Data[[#This Row],[COGS]]</f>
        <v>320000</v>
      </c>
    </row>
    <row r="549" spans="1:14">
      <c r="A549" s="1">
        <v>46223</v>
      </c>
      <c r="B549" t="s">
        <v>11</v>
      </c>
      <c r="C549" t="s">
        <v>12</v>
      </c>
      <c r="D549" t="s">
        <v>23</v>
      </c>
      <c r="E549" t="s">
        <v>20</v>
      </c>
      <c r="F549" t="s">
        <v>36</v>
      </c>
      <c r="G549" t="s">
        <v>31</v>
      </c>
      <c r="H549" s="12">
        <v>150000</v>
      </c>
      <c r="I549">
        <v>7</v>
      </c>
      <c r="J549" t="s">
        <v>24</v>
      </c>
      <c r="K549" s="12">
        <f t="shared" si="8"/>
        <v>120000</v>
      </c>
      <c r="L549" s="12">
        <f>Sales_Data[[#This Row],[Unit Price]]*Sales_Data[[#This Row],[Quantity]]</f>
        <v>1050000</v>
      </c>
      <c r="M549" s="12">
        <f>Sales_Data[[#This Row],[Cost Price]]*Sales_Data[[#This Row],[Quantity]]</f>
        <v>840000</v>
      </c>
      <c r="N549" s="12">
        <f>Sales_Data[[#This Row],[Revenue]]-Sales_Data[[#This Row],[COGS]]</f>
        <v>210000</v>
      </c>
    </row>
    <row r="550" spans="1:14">
      <c r="A550" s="1">
        <v>46224</v>
      </c>
      <c r="B550" t="s">
        <v>18</v>
      </c>
      <c r="C550" t="s">
        <v>12</v>
      </c>
      <c r="D550" t="s">
        <v>23</v>
      </c>
      <c r="E550" t="s">
        <v>14</v>
      </c>
      <c r="F550" t="s">
        <v>36</v>
      </c>
      <c r="G550" t="s">
        <v>31</v>
      </c>
      <c r="H550" s="12">
        <v>150000</v>
      </c>
      <c r="I550">
        <v>4</v>
      </c>
      <c r="J550" t="s">
        <v>37</v>
      </c>
      <c r="K550" s="12">
        <f t="shared" si="8"/>
        <v>120000</v>
      </c>
      <c r="L550" s="12">
        <f>Sales_Data[[#This Row],[Unit Price]]*Sales_Data[[#This Row],[Quantity]]</f>
        <v>600000</v>
      </c>
      <c r="M550" s="12">
        <f>Sales_Data[[#This Row],[Cost Price]]*Sales_Data[[#This Row],[Quantity]]</f>
        <v>480000</v>
      </c>
      <c r="N550" s="12">
        <f>Sales_Data[[#This Row],[Revenue]]-Sales_Data[[#This Row],[COGS]]</f>
        <v>120000</v>
      </c>
    </row>
    <row r="551" spans="1:14">
      <c r="A551" s="1">
        <v>46225</v>
      </c>
      <c r="B551" t="s">
        <v>29</v>
      </c>
      <c r="C551" t="s">
        <v>26</v>
      </c>
      <c r="D551" t="s">
        <v>23</v>
      </c>
      <c r="E551" t="s">
        <v>14</v>
      </c>
      <c r="F551" t="s">
        <v>30</v>
      </c>
      <c r="G551" t="s">
        <v>31</v>
      </c>
      <c r="H551" s="12">
        <v>300000</v>
      </c>
      <c r="I551">
        <v>6</v>
      </c>
      <c r="J551" t="s">
        <v>28</v>
      </c>
      <c r="K551" s="12">
        <f t="shared" si="8"/>
        <v>240000</v>
      </c>
      <c r="L551" s="12">
        <f>Sales_Data[[#This Row],[Unit Price]]*Sales_Data[[#This Row],[Quantity]]</f>
        <v>1800000</v>
      </c>
      <c r="M551" s="12">
        <f>Sales_Data[[#This Row],[Cost Price]]*Sales_Data[[#This Row],[Quantity]]</f>
        <v>1440000</v>
      </c>
      <c r="N551" s="12">
        <f>Sales_Data[[#This Row],[Revenue]]-Sales_Data[[#This Row],[COGS]]</f>
        <v>360000</v>
      </c>
    </row>
    <row r="552" spans="1:14">
      <c r="A552" s="1">
        <v>46226</v>
      </c>
      <c r="B552" t="s">
        <v>29</v>
      </c>
      <c r="C552" t="s">
        <v>12</v>
      </c>
      <c r="D552" t="s">
        <v>13</v>
      </c>
      <c r="E552" t="s">
        <v>20</v>
      </c>
      <c r="F552" t="s">
        <v>34</v>
      </c>
      <c r="G552" t="s">
        <v>16</v>
      </c>
      <c r="H552" s="12">
        <v>320000</v>
      </c>
      <c r="I552">
        <v>4</v>
      </c>
      <c r="J552" t="s">
        <v>28</v>
      </c>
      <c r="K552" s="12">
        <f t="shared" si="8"/>
        <v>256000</v>
      </c>
      <c r="L552" s="12">
        <f>Sales_Data[[#This Row],[Unit Price]]*Sales_Data[[#This Row],[Quantity]]</f>
        <v>1280000</v>
      </c>
      <c r="M552" s="12">
        <f>Sales_Data[[#This Row],[Cost Price]]*Sales_Data[[#This Row],[Quantity]]</f>
        <v>1024000</v>
      </c>
      <c r="N552" s="12">
        <f>Sales_Data[[#This Row],[Revenue]]-Sales_Data[[#This Row],[COGS]]</f>
        <v>256000</v>
      </c>
    </row>
    <row r="553" spans="1:14">
      <c r="A553" s="1">
        <v>46227</v>
      </c>
      <c r="B553" t="s">
        <v>25</v>
      </c>
      <c r="C553" t="s">
        <v>19</v>
      </c>
      <c r="D553" t="s">
        <v>23</v>
      </c>
      <c r="E553" t="s">
        <v>14</v>
      </c>
      <c r="F553" t="s">
        <v>21</v>
      </c>
      <c r="G553" t="s">
        <v>22</v>
      </c>
      <c r="H553" s="12">
        <v>30000</v>
      </c>
      <c r="I553">
        <v>4</v>
      </c>
      <c r="J553" t="s">
        <v>24</v>
      </c>
      <c r="K553" s="12">
        <f t="shared" si="8"/>
        <v>24000</v>
      </c>
      <c r="L553" s="12">
        <f>Sales_Data[[#This Row],[Unit Price]]*Sales_Data[[#This Row],[Quantity]]</f>
        <v>120000</v>
      </c>
      <c r="M553" s="12">
        <f>Sales_Data[[#This Row],[Cost Price]]*Sales_Data[[#This Row],[Quantity]]</f>
        <v>96000</v>
      </c>
      <c r="N553" s="12">
        <f>Sales_Data[[#This Row],[Revenue]]-Sales_Data[[#This Row],[COGS]]</f>
        <v>24000</v>
      </c>
    </row>
    <row r="554" spans="1:14">
      <c r="A554" s="1">
        <v>46228</v>
      </c>
      <c r="B554" t="s">
        <v>18</v>
      </c>
      <c r="C554" t="s">
        <v>26</v>
      </c>
      <c r="D554" t="s">
        <v>23</v>
      </c>
      <c r="E554" t="s">
        <v>14</v>
      </c>
      <c r="F554" t="s">
        <v>36</v>
      </c>
      <c r="G554" t="s">
        <v>31</v>
      </c>
      <c r="H554" s="12">
        <v>150000</v>
      </c>
      <c r="I554">
        <v>8</v>
      </c>
      <c r="J554" t="s">
        <v>39</v>
      </c>
      <c r="K554" s="12">
        <f t="shared" si="8"/>
        <v>120000</v>
      </c>
      <c r="L554" s="12">
        <f>Sales_Data[[#This Row],[Unit Price]]*Sales_Data[[#This Row],[Quantity]]</f>
        <v>1200000</v>
      </c>
      <c r="M554" s="12">
        <f>Sales_Data[[#This Row],[Cost Price]]*Sales_Data[[#This Row],[Quantity]]</f>
        <v>960000</v>
      </c>
      <c r="N554" s="12">
        <f>Sales_Data[[#This Row],[Revenue]]-Sales_Data[[#This Row],[COGS]]</f>
        <v>240000</v>
      </c>
    </row>
    <row r="555" spans="1:14">
      <c r="A555" s="1">
        <v>46229</v>
      </c>
      <c r="B555" t="s">
        <v>25</v>
      </c>
      <c r="C555" t="s">
        <v>19</v>
      </c>
      <c r="D555" t="s">
        <v>13</v>
      </c>
      <c r="E555" t="s">
        <v>20</v>
      </c>
      <c r="F555" t="s">
        <v>40</v>
      </c>
      <c r="G555" t="s">
        <v>31</v>
      </c>
      <c r="H555" s="12">
        <v>250000</v>
      </c>
      <c r="I555">
        <v>8</v>
      </c>
      <c r="J555" t="s">
        <v>37</v>
      </c>
      <c r="K555" s="12">
        <f t="shared" si="8"/>
        <v>200000</v>
      </c>
      <c r="L555" s="12">
        <f>Sales_Data[[#This Row],[Unit Price]]*Sales_Data[[#This Row],[Quantity]]</f>
        <v>2000000</v>
      </c>
      <c r="M555" s="12">
        <f>Sales_Data[[#This Row],[Cost Price]]*Sales_Data[[#This Row],[Quantity]]</f>
        <v>1600000</v>
      </c>
      <c r="N555" s="12">
        <f>Sales_Data[[#This Row],[Revenue]]-Sales_Data[[#This Row],[COGS]]</f>
        <v>400000</v>
      </c>
    </row>
    <row r="556" spans="1:14">
      <c r="A556" s="1">
        <v>46230</v>
      </c>
      <c r="B556" t="s">
        <v>29</v>
      </c>
      <c r="C556" t="s">
        <v>19</v>
      </c>
      <c r="D556" t="s">
        <v>23</v>
      </c>
      <c r="E556" t="s">
        <v>14</v>
      </c>
      <c r="F556" t="s">
        <v>21</v>
      </c>
      <c r="G556" t="s">
        <v>22</v>
      </c>
      <c r="H556" s="12">
        <v>30000</v>
      </c>
      <c r="I556">
        <v>4</v>
      </c>
      <c r="J556" t="s">
        <v>39</v>
      </c>
      <c r="K556" s="12">
        <f t="shared" si="8"/>
        <v>24000</v>
      </c>
      <c r="L556" s="12">
        <f>Sales_Data[[#This Row],[Unit Price]]*Sales_Data[[#This Row],[Quantity]]</f>
        <v>120000</v>
      </c>
      <c r="M556" s="12">
        <f>Sales_Data[[#This Row],[Cost Price]]*Sales_Data[[#This Row],[Quantity]]</f>
        <v>96000</v>
      </c>
      <c r="N556" s="12">
        <f>Sales_Data[[#This Row],[Revenue]]-Sales_Data[[#This Row],[COGS]]</f>
        <v>24000</v>
      </c>
    </row>
    <row r="557" spans="1:14">
      <c r="A557" s="1">
        <v>46231</v>
      </c>
      <c r="B557" t="s">
        <v>25</v>
      </c>
      <c r="C557" t="s">
        <v>12</v>
      </c>
      <c r="D557" t="s">
        <v>23</v>
      </c>
      <c r="E557" t="s">
        <v>14</v>
      </c>
      <c r="F557" t="s">
        <v>38</v>
      </c>
      <c r="G557" t="s">
        <v>31</v>
      </c>
      <c r="H557" s="12">
        <v>420000</v>
      </c>
      <c r="I557">
        <v>2</v>
      </c>
      <c r="J557" t="s">
        <v>37</v>
      </c>
      <c r="K557" s="12">
        <f t="shared" si="8"/>
        <v>336000</v>
      </c>
      <c r="L557" s="12">
        <f>Sales_Data[[#This Row],[Unit Price]]*Sales_Data[[#This Row],[Quantity]]</f>
        <v>840000</v>
      </c>
      <c r="M557" s="12">
        <f>Sales_Data[[#This Row],[Cost Price]]*Sales_Data[[#This Row],[Quantity]]</f>
        <v>672000</v>
      </c>
      <c r="N557" s="12">
        <f>Sales_Data[[#This Row],[Revenue]]-Sales_Data[[#This Row],[COGS]]</f>
        <v>168000</v>
      </c>
    </row>
    <row r="558" spans="1:14">
      <c r="A558" s="1">
        <v>46232</v>
      </c>
      <c r="B558" t="s">
        <v>25</v>
      </c>
      <c r="C558" t="s">
        <v>12</v>
      </c>
      <c r="D558" t="s">
        <v>23</v>
      </c>
      <c r="E558" t="s">
        <v>20</v>
      </c>
      <c r="F558" t="s">
        <v>21</v>
      </c>
      <c r="G558" t="s">
        <v>22</v>
      </c>
      <c r="H558" s="12">
        <v>30000</v>
      </c>
      <c r="I558">
        <v>6</v>
      </c>
      <c r="J558" t="s">
        <v>37</v>
      </c>
      <c r="K558" s="12">
        <f t="shared" si="8"/>
        <v>24000</v>
      </c>
      <c r="L558" s="12">
        <f>Sales_Data[[#This Row],[Unit Price]]*Sales_Data[[#This Row],[Quantity]]</f>
        <v>180000</v>
      </c>
      <c r="M558" s="12">
        <f>Sales_Data[[#This Row],[Cost Price]]*Sales_Data[[#This Row],[Quantity]]</f>
        <v>144000</v>
      </c>
      <c r="N558" s="12">
        <f>Sales_Data[[#This Row],[Revenue]]-Sales_Data[[#This Row],[COGS]]</f>
        <v>36000</v>
      </c>
    </row>
    <row r="559" spans="1:14">
      <c r="A559" s="1">
        <v>46233</v>
      </c>
      <c r="B559" t="s">
        <v>29</v>
      </c>
      <c r="C559" t="s">
        <v>32</v>
      </c>
      <c r="D559" t="s">
        <v>23</v>
      </c>
      <c r="E559" t="s">
        <v>14</v>
      </c>
      <c r="F559" t="s">
        <v>41</v>
      </c>
      <c r="G559" t="s">
        <v>22</v>
      </c>
      <c r="H559" s="12">
        <v>220000</v>
      </c>
      <c r="I559">
        <v>2</v>
      </c>
      <c r="J559" t="s">
        <v>35</v>
      </c>
      <c r="K559" s="12">
        <f t="shared" si="8"/>
        <v>176000</v>
      </c>
      <c r="L559" s="12">
        <f>Sales_Data[[#This Row],[Unit Price]]*Sales_Data[[#This Row],[Quantity]]</f>
        <v>440000</v>
      </c>
      <c r="M559" s="12">
        <f>Sales_Data[[#This Row],[Cost Price]]*Sales_Data[[#This Row],[Quantity]]</f>
        <v>352000</v>
      </c>
      <c r="N559" s="12">
        <f>Sales_Data[[#This Row],[Revenue]]-Sales_Data[[#This Row],[COGS]]</f>
        <v>88000</v>
      </c>
    </row>
    <row r="560" spans="1:14">
      <c r="A560" s="1">
        <v>46234</v>
      </c>
      <c r="B560" t="s">
        <v>25</v>
      </c>
      <c r="C560" t="s">
        <v>12</v>
      </c>
      <c r="D560" t="s">
        <v>13</v>
      </c>
      <c r="E560" t="s">
        <v>14</v>
      </c>
      <c r="F560" t="s">
        <v>30</v>
      </c>
      <c r="G560" t="s">
        <v>31</v>
      </c>
      <c r="H560" s="12">
        <v>300000</v>
      </c>
      <c r="I560">
        <v>4</v>
      </c>
      <c r="J560" t="s">
        <v>35</v>
      </c>
      <c r="K560" s="12">
        <f t="shared" si="8"/>
        <v>240000</v>
      </c>
      <c r="L560" s="12">
        <f>Sales_Data[[#This Row],[Unit Price]]*Sales_Data[[#This Row],[Quantity]]</f>
        <v>1200000</v>
      </c>
      <c r="M560" s="12">
        <f>Sales_Data[[#This Row],[Cost Price]]*Sales_Data[[#This Row],[Quantity]]</f>
        <v>960000</v>
      </c>
      <c r="N560" s="12">
        <f>Sales_Data[[#This Row],[Revenue]]-Sales_Data[[#This Row],[COGS]]</f>
        <v>240000</v>
      </c>
    </row>
    <row r="561" spans="1:14">
      <c r="A561" s="1">
        <v>46235</v>
      </c>
      <c r="B561" t="s">
        <v>25</v>
      </c>
      <c r="C561" t="s">
        <v>12</v>
      </c>
      <c r="D561" t="s">
        <v>23</v>
      </c>
      <c r="E561" t="s">
        <v>14</v>
      </c>
      <c r="F561" t="s">
        <v>38</v>
      </c>
      <c r="G561" t="s">
        <v>31</v>
      </c>
      <c r="H561" s="12">
        <v>420000</v>
      </c>
      <c r="I561">
        <v>8</v>
      </c>
      <c r="J561" t="s">
        <v>17</v>
      </c>
      <c r="K561" s="12">
        <f t="shared" si="8"/>
        <v>336000</v>
      </c>
      <c r="L561" s="12">
        <f>Sales_Data[[#This Row],[Unit Price]]*Sales_Data[[#This Row],[Quantity]]</f>
        <v>3360000</v>
      </c>
      <c r="M561" s="12">
        <f>Sales_Data[[#This Row],[Cost Price]]*Sales_Data[[#This Row],[Quantity]]</f>
        <v>2688000</v>
      </c>
      <c r="N561" s="12">
        <f>Sales_Data[[#This Row],[Revenue]]-Sales_Data[[#This Row],[COGS]]</f>
        <v>672000</v>
      </c>
    </row>
    <row r="562" spans="1:14">
      <c r="A562" s="1">
        <v>46236</v>
      </c>
      <c r="B562" t="s">
        <v>18</v>
      </c>
      <c r="C562" t="s">
        <v>12</v>
      </c>
      <c r="D562" t="s">
        <v>13</v>
      </c>
      <c r="E562" t="s">
        <v>14</v>
      </c>
      <c r="F562" t="s">
        <v>34</v>
      </c>
      <c r="G562" t="s">
        <v>16</v>
      </c>
      <c r="H562" s="12">
        <v>320000</v>
      </c>
      <c r="I562">
        <v>4</v>
      </c>
      <c r="J562" t="s">
        <v>35</v>
      </c>
      <c r="K562" s="12">
        <f t="shared" si="8"/>
        <v>256000</v>
      </c>
      <c r="L562" s="12">
        <f>Sales_Data[[#This Row],[Unit Price]]*Sales_Data[[#This Row],[Quantity]]</f>
        <v>1280000</v>
      </c>
      <c r="M562" s="12">
        <f>Sales_Data[[#This Row],[Cost Price]]*Sales_Data[[#This Row],[Quantity]]</f>
        <v>1024000</v>
      </c>
      <c r="N562" s="12">
        <f>Sales_Data[[#This Row],[Revenue]]-Sales_Data[[#This Row],[COGS]]</f>
        <v>256000</v>
      </c>
    </row>
    <row r="563" spans="1:14">
      <c r="A563" s="1">
        <v>46237</v>
      </c>
      <c r="B563" t="s">
        <v>11</v>
      </c>
      <c r="C563" t="s">
        <v>12</v>
      </c>
      <c r="D563" t="s">
        <v>23</v>
      </c>
      <c r="E563" t="s">
        <v>20</v>
      </c>
      <c r="F563" t="s">
        <v>40</v>
      </c>
      <c r="G563" t="s">
        <v>31</v>
      </c>
      <c r="H563" s="12">
        <v>250000</v>
      </c>
      <c r="I563">
        <v>8</v>
      </c>
      <c r="J563" t="s">
        <v>24</v>
      </c>
      <c r="K563" s="12">
        <f t="shared" si="8"/>
        <v>200000</v>
      </c>
      <c r="L563" s="12">
        <f>Sales_Data[[#This Row],[Unit Price]]*Sales_Data[[#This Row],[Quantity]]</f>
        <v>2000000</v>
      </c>
      <c r="M563" s="12">
        <f>Sales_Data[[#This Row],[Cost Price]]*Sales_Data[[#This Row],[Quantity]]</f>
        <v>1600000</v>
      </c>
      <c r="N563" s="12">
        <f>Sales_Data[[#This Row],[Revenue]]-Sales_Data[[#This Row],[COGS]]</f>
        <v>400000</v>
      </c>
    </row>
    <row r="564" spans="1:14">
      <c r="A564" s="1">
        <v>46238</v>
      </c>
      <c r="B564" t="s">
        <v>18</v>
      </c>
      <c r="C564" t="s">
        <v>19</v>
      </c>
      <c r="D564" t="s">
        <v>13</v>
      </c>
      <c r="E564" t="s">
        <v>20</v>
      </c>
      <c r="F564" t="s">
        <v>34</v>
      </c>
      <c r="G564" t="s">
        <v>16</v>
      </c>
      <c r="H564" s="12">
        <v>320000</v>
      </c>
      <c r="I564">
        <v>7</v>
      </c>
      <c r="J564" t="s">
        <v>39</v>
      </c>
      <c r="K564" s="12">
        <f t="shared" si="8"/>
        <v>256000</v>
      </c>
      <c r="L564" s="12">
        <f>Sales_Data[[#This Row],[Unit Price]]*Sales_Data[[#This Row],[Quantity]]</f>
        <v>2240000</v>
      </c>
      <c r="M564" s="12">
        <f>Sales_Data[[#This Row],[Cost Price]]*Sales_Data[[#This Row],[Quantity]]</f>
        <v>1792000</v>
      </c>
      <c r="N564" s="12">
        <f>Sales_Data[[#This Row],[Revenue]]-Sales_Data[[#This Row],[COGS]]</f>
        <v>448000</v>
      </c>
    </row>
    <row r="565" spans="1:14">
      <c r="A565" s="1">
        <v>46239</v>
      </c>
      <c r="B565" t="s">
        <v>11</v>
      </c>
      <c r="C565" t="s">
        <v>19</v>
      </c>
      <c r="D565" t="s">
        <v>23</v>
      </c>
      <c r="E565" t="s">
        <v>20</v>
      </c>
      <c r="F565" t="s">
        <v>30</v>
      </c>
      <c r="G565" t="s">
        <v>31</v>
      </c>
      <c r="H565" s="12">
        <v>300000</v>
      </c>
      <c r="I565">
        <v>6</v>
      </c>
      <c r="J565" t="s">
        <v>24</v>
      </c>
      <c r="K565" s="12">
        <f t="shared" si="8"/>
        <v>240000</v>
      </c>
      <c r="L565" s="12">
        <f>Sales_Data[[#This Row],[Unit Price]]*Sales_Data[[#This Row],[Quantity]]</f>
        <v>1800000</v>
      </c>
      <c r="M565" s="12">
        <f>Sales_Data[[#This Row],[Cost Price]]*Sales_Data[[#This Row],[Quantity]]</f>
        <v>1440000</v>
      </c>
      <c r="N565" s="12">
        <f>Sales_Data[[#This Row],[Revenue]]-Sales_Data[[#This Row],[COGS]]</f>
        <v>360000</v>
      </c>
    </row>
    <row r="566" spans="1:14">
      <c r="A566" s="1">
        <v>46240</v>
      </c>
      <c r="B566" t="s">
        <v>29</v>
      </c>
      <c r="C566" t="s">
        <v>32</v>
      </c>
      <c r="D566" t="s">
        <v>23</v>
      </c>
      <c r="E566" t="s">
        <v>20</v>
      </c>
      <c r="F566" t="s">
        <v>33</v>
      </c>
      <c r="G566" t="s">
        <v>22</v>
      </c>
      <c r="H566" s="12">
        <v>180000</v>
      </c>
      <c r="I566">
        <v>4</v>
      </c>
      <c r="J566" t="s">
        <v>17</v>
      </c>
      <c r="K566" s="12">
        <f t="shared" si="8"/>
        <v>144000</v>
      </c>
      <c r="L566" s="12">
        <f>Sales_Data[[#This Row],[Unit Price]]*Sales_Data[[#This Row],[Quantity]]</f>
        <v>720000</v>
      </c>
      <c r="M566" s="12">
        <f>Sales_Data[[#This Row],[Cost Price]]*Sales_Data[[#This Row],[Quantity]]</f>
        <v>576000</v>
      </c>
      <c r="N566" s="12">
        <f>Sales_Data[[#This Row],[Revenue]]-Sales_Data[[#This Row],[COGS]]</f>
        <v>144000</v>
      </c>
    </row>
    <row r="567" spans="1:14">
      <c r="A567" s="1">
        <v>46241</v>
      </c>
      <c r="B567" t="s">
        <v>11</v>
      </c>
      <c r="C567" t="s">
        <v>12</v>
      </c>
      <c r="D567" t="s">
        <v>23</v>
      </c>
      <c r="E567" t="s">
        <v>14</v>
      </c>
      <c r="F567" t="s">
        <v>40</v>
      </c>
      <c r="G567" t="s">
        <v>31</v>
      </c>
      <c r="H567" s="12">
        <v>250000</v>
      </c>
      <c r="I567">
        <v>6</v>
      </c>
      <c r="J567" t="s">
        <v>35</v>
      </c>
      <c r="K567" s="12">
        <f t="shared" si="8"/>
        <v>200000</v>
      </c>
      <c r="L567" s="12">
        <f>Sales_Data[[#This Row],[Unit Price]]*Sales_Data[[#This Row],[Quantity]]</f>
        <v>1500000</v>
      </c>
      <c r="M567" s="12">
        <f>Sales_Data[[#This Row],[Cost Price]]*Sales_Data[[#This Row],[Quantity]]</f>
        <v>1200000</v>
      </c>
      <c r="N567" s="12">
        <f>Sales_Data[[#This Row],[Revenue]]-Sales_Data[[#This Row],[COGS]]</f>
        <v>300000</v>
      </c>
    </row>
    <row r="568" spans="1:14">
      <c r="A568" s="1">
        <v>46242</v>
      </c>
      <c r="B568" t="s">
        <v>11</v>
      </c>
      <c r="C568" t="s">
        <v>26</v>
      </c>
      <c r="D568" t="s">
        <v>23</v>
      </c>
      <c r="E568" t="s">
        <v>14</v>
      </c>
      <c r="F568" t="s">
        <v>40</v>
      </c>
      <c r="G568" t="s">
        <v>31</v>
      </c>
      <c r="H568" s="12">
        <v>250000</v>
      </c>
      <c r="I568">
        <v>7</v>
      </c>
      <c r="J568" t="s">
        <v>35</v>
      </c>
      <c r="K568" s="12">
        <f t="shared" si="8"/>
        <v>200000</v>
      </c>
      <c r="L568" s="12">
        <f>Sales_Data[[#This Row],[Unit Price]]*Sales_Data[[#This Row],[Quantity]]</f>
        <v>1750000</v>
      </c>
      <c r="M568" s="12">
        <f>Sales_Data[[#This Row],[Cost Price]]*Sales_Data[[#This Row],[Quantity]]</f>
        <v>1400000</v>
      </c>
      <c r="N568" s="12">
        <f>Sales_Data[[#This Row],[Revenue]]-Sales_Data[[#This Row],[COGS]]</f>
        <v>350000</v>
      </c>
    </row>
    <row r="569" spans="1:14">
      <c r="A569" s="1">
        <v>46243</v>
      </c>
      <c r="B569" t="s">
        <v>18</v>
      </c>
      <c r="C569" t="s">
        <v>19</v>
      </c>
      <c r="D569" t="s">
        <v>13</v>
      </c>
      <c r="E569" t="s">
        <v>20</v>
      </c>
      <c r="F569" t="s">
        <v>38</v>
      </c>
      <c r="G569" t="s">
        <v>31</v>
      </c>
      <c r="H569" s="12">
        <v>420000</v>
      </c>
      <c r="I569">
        <v>2</v>
      </c>
      <c r="J569" t="s">
        <v>17</v>
      </c>
      <c r="K569" s="12">
        <f t="shared" si="8"/>
        <v>336000</v>
      </c>
      <c r="L569" s="12">
        <f>Sales_Data[[#This Row],[Unit Price]]*Sales_Data[[#This Row],[Quantity]]</f>
        <v>840000</v>
      </c>
      <c r="M569" s="12">
        <f>Sales_Data[[#This Row],[Cost Price]]*Sales_Data[[#This Row],[Quantity]]</f>
        <v>672000</v>
      </c>
      <c r="N569" s="12">
        <f>Sales_Data[[#This Row],[Revenue]]-Sales_Data[[#This Row],[COGS]]</f>
        <v>168000</v>
      </c>
    </row>
    <row r="570" spans="1:14">
      <c r="A570" s="1">
        <v>46244</v>
      </c>
      <c r="B570" t="s">
        <v>25</v>
      </c>
      <c r="C570" t="s">
        <v>19</v>
      </c>
      <c r="D570" t="s">
        <v>23</v>
      </c>
      <c r="E570" t="s">
        <v>14</v>
      </c>
      <c r="F570" t="s">
        <v>36</v>
      </c>
      <c r="G570" t="s">
        <v>31</v>
      </c>
      <c r="H570" s="12">
        <v>150000</v>
      </c>
      <c r="I570">
        <v>2</v>
      </c>
      <c r="J570" t="s">
        <v>24</v>
      </c>
      <c r="K570" s="12">
        <f t="shared" si="8"/>
        <v>120000</v>
      </c>
      <c r="L570" s="12">
        <f>Sales_Data[[#This Row],[Unit Price]]*Sales_Data[[#This Row],[Quantity]]</f>
        <v>300000</v>
      </c>
      <c r="M570" s="12">
        <f>Sales_Data[[#This Row],[Cost Price]]*Sales_Data[[#This Row],[Quantity]]</f>
        <v>240000</v>
      </c>
      <c r="N570" s="12">
        <f>Sales_Data[[#This Row],[Revenue]]-Sales_Data[[#This Row],[COGS]]</f>
        <v>60000</v>
      </c>
    </row>
    <row r="571" spans="1:14">
      <c r="A571" s="1">
        <v>46245</v>
      </c>
      <c r="B571" t="s">
        <v>29</v>
      </c>
      <c r="C571" t="s">
        <v>19</v>
      </c>
      <c r="D571" t="s">
        <v>13</v>
      </c>
      <c r="E571" t="s">
        <v>14</v>
      </c>
      <c r="F571" t="s">
        <v>41</v>
      </c>
      <c r="G571" t="s">
        <v>22</v>
      </c>
      <c r="H571" s="12">
        <v>220000</v>
      </c>
      <c r="I571">
        <v>8</v>
      </c>
      <c r="J571" t="s">
        <v>39</v>
      </c>
      <c r="K571" s="12">
        <f t="shared" si="8"/>
        <v>176000</v>
      </c>
      <c r="L571" s="12">
        <f>Sales_Data[[#This Row],[Unit Price]]*Sales_Data[[#This Row],[Quantity]]</f>
        <v>1760000</v>
      </c>
      <c r="M571" s="12">
        <f>Sales_Data[[#This Row],[Cost Price]]*Sales_Data[[#This Row],[Quantity]]</f>
        <v>1408000</v>
      </c>
      <c r="N571" s="12">
        <f>Sales_Data[[#This Row],[Revenue]]-Sales_Data[[#This Row],[COGS]]</f>
        <v>352000</v>
      </c>
    </row>
    <row r="572" spans="1:14">
      <c r="A572" s="1">
        <v>46246</v>
      </c>
      <c r="B572" t="s">
        <v>18</v>
      </c>
      <c r="C572" t="s">
        <v>12</v>
      </c>
      <c r="D572" t="s">
        <v>13</v>
      </c>
      <c r="E572" t="s">
        <v>20</v>
      </c>
      <c r="F572" t="s">
        <v>36</v>
      </c>
      <c r="G572" t="s">
        <v>31</v>
      </c>
      <c r="H572" s="12">
        <v>150000</v>
      </c>
      <c r="I572">
        <v>2</v>
      </c>
      <c r="J572" t="s">
        <v>28</v>
      </c>
      <c r="K572" s="12">
        <f t="shared" si="8"/>
        <v>120000</v>
      </c>
      <c r="L572" s="12">
        <f>Sales_Data[[#This Row],[Unit Price]]*Sales_Data[[#This Row],[Quantity]]</f>
        <v>300000</v>
      </c>
      <c r="M572" s="12">
        <f>Sales_Data[[#This Row],[Cost Price]]*Sales_Data[[#This Row],[Quantity]]</f>
        <v>240000</v>
      </c>
      <c r="N572" s="12">
        <f>Sales_Data[[#This Row],[Revenue]]-Sales_Data[[#This Row],[COGS]]</f>
        <v>60000</v>
      </c>
    </row>
    <row r="573" spans="1:14">
      <c r="A573" s="1">
        <v>46247</v>
      </c>
      <c r="B573" t="s">
        <v>18</v>
      </c>
      <c r="C573" t="s">
        <v>19</v>
      </c>
      <c r="D573" t="s">
        <v>23</v>
      </c>
      <c r="E573" t="s">
        <v>14</v>
      </c>
      <c r="F573" t="s">
        <v>21</v>
      </c>
      <c r="G573" t="s">
        <v>22</v>
      </c>
      <c r="H573" s="12">
        <v>30000</v>
      </c>
      <c r="I573">
        <v>1</v>
      </c>
      <c r="J573" t="s">
        <v>35</v>
      </c>
      <c r="K573" s="12">
        <f t="shared" si="8"/>
        <v>24000</v>
      </c>
      <c r="L573" s="12">
        <f>Sales_Data[[#This Row],[Unit Price]]*Sales_Data[[#This Row],[Quantity]]</f>
        <v>30000</v>
      </c>
      <c r="M573" s="12">
        <f>Sales_Data[[#This Row],[Cost Price]]*Sales_Data[[#This Row],[Quantity]]</f>
        <v>24000</v>
      </c>
      <c r="N573" s="12">
        <f>Sales_Data[[#This Row],[Revenue]]-Sales_Data[[#This Row],[COGS]]</f>
        <v>6000</v>
      </c>
    </row>
    <row r="574" spans="1:14">
      <c r="A574" s="1">
        <v>46248</v>
      </c>
      <c r="B574" t="s">
        <v>18</v>
      </c>
      <c r="C574" t="s">
        <v>12</v>
      </c>
      <c r="D574" t="s">
        <v>13</v>
      </c>
      <c r="E574" t="s">
        <v>20</v>
      </c>
      <c r="F574" t="s">
        <v>33</v>
      </c>
      <c r="G574" t="s">
        <v>22</v>
      </c>
      <c r="H574" s="12">
        <v>180000</v>
      </c>
      <c r="I574">
        <v>5</v>
      </c>
      <c r="J574" t="s">
        <v>17</v>
      </c>
      <c r="K574" s="12">
        <f t="shared" si="8"/>
        <v>144000</v>
      </c>
      <c r="L574" s="12">
        <f>Sales_Data[[#This Row],[Unit Price]]*Sales_Data[[#This Row],[Quantity]]</f>
        <v>900000</v>
      </c>
      <c r="M574" s="12">
        <f>Sales_Data[[#This Row],[Cost Price]]*Sales_Data[[#This Row],[Quantity]]</f>
        <v>720000</v>
      </c>
      <c r="N574" s="12">
        <f>Sales_Data[[#This Row],[Revenue]]-Sales_Data[[#This Row],[COGS]]</f>
        <v>180000</v>
      </c>
    </row>
    <row r="575" spans="1:14">
      <c r="A575" s="1">
        <v>46249</v>
      </c>
      <c r="B575" t="s">
        <v>11</v>
      </c>
      <c r="C575" t="s">
        <v>26</v>
      </c>
      <c r="D575" t="s">
        <v>23</v>
      </c>
      <c r="E575" t="s">
        <v>20</v>
      </c>
      <c r="F575" t="s">
        <v>36</v>
      </c>
      <c r="G575" t="s">
        <v>31</v>
      </c>
      <c r="H575" s="12">
        <v>150000</v>
      </c>
      <c r="I575">
        <v>9</v>
      </c>
      <c r="J575" t="s">
        <v>37</v>
      </c>
      <c r="K575" s="12">
        <f t="shared" si="8"/>
        <v>120000</v>
      </c>
      <c r="L575" s="12">
        <f>Sales_Data[[#This Row],[Unit Price]]*Sales_Data[[#This Row],[Quantity]]</f>
        <v>1350000</v>
      </c>
      <c r="M575" s="12">
        <f>Sales_Data[[#This Row],[Cost Price]]*Sales_Data[[#This Row],[Quantity]]</f>
        <v>1080000</v>
      </c>
      <c r="N575" s="12">
        <f>Sales_Data[[#This Row],[Revenue]]-Sales_Data[[#This Row],[COGS]]</f>
        <v>270000</v>
      </c>
    </row>
    <row r="576" spans="1:14">
      <c r="A576" s="1">
        <v>46250</v>
      </c>
      <c r="B576" t="s">
        <v>25</v>
      </c>
      <c r="C576" t="s">
        <v>19</v>
      </c>
      <c r="D576" t="s">
        <v>23</v>
      </c>
      <c r="E576" t="s">
        <v>20</v>
      </c>
      <c r="F576" t="s">
        <v>36</v>
      </c>
      <c r="G576" t="s">
        <v>31</v>
      </c>
      <c r="H576" s="12">
        <v>150000</v>
      </c>
      <c r="I576">
        <v>5</v>
      </c>
      <c r="J576" t="s">
        <v>37</v>
      </c>
      <c r="K576" s="12">
        <f t="shared" si="8"/>
        <v>120000</v>
      </c>
      <c r="L576" s="12">
        <f>Sales_Data[[#This Row],[Unit Price]]*Sales_Data[[#This Row],[Quantity]]</f>
        <v>750000</v>
      </c>
      <c r="M576" s="12">
        <f>Sales_Data[[#This Row],[Cost Price]]*Sales_Data[[#This Row],[Quantity]]</f>
        <v>600000</v>
      </c>
      <c r="N576" s="12">
        <f>Sales_Data[[#This Row],[Revenue]]-Sales_Data[[#This Row],[COGS]]</f>
        <v>150000</v>
      </c>
    </row>
    <row r="577" spans="1:14">
      <c r="A577" s="1">
        <v>46251</v>
      </c>
      <c r="B577" t="s">
        <v>25</v>
      </c>
      <c r="C577" t="s">
        <v>12</v>
      </c>
      <c r="D577" t="s">
        <v>13</v>
      </c>
      <c r="E577" t="s">
        <v>14</v>
      </c>
      <c r="F577" t="s">
        <v>41</v>
      </c>
      <c r="G577" t="s">
        <v>22</v>
      </c>
      <c r="H577" s="12">
        <v>220000</v>
      </c>
      <c r="I577">
        <v>4</v>
      </c>
      <c r="J577" t="s">
        <v>39</v>
      </c>
      <c r="K577" s="12">
        <f t="shared" si="8"/>
        <v>176000</v>
      </c>
      <c r="L577" s="12">
        <f>Sales_Data[[#This Row],[Unit Price]]*Sales_Data[[#This Row],[Quantity]]</f>
        <v>880000</v>
      </c>
      <c r="M577" s="12">
        <f>Sales_Data[[#This Row],[Cost Price]]*Sales_Data[[#This Row],[Quantity]]</f>
        <v>704000</v>
      </c>
      <c r="N577" s="12">
        <f>Sales_Data[[#This Row],[Revenue]]-Sales_Data[[#This Row],[COGS]]</f>
        <v>176000</v>
      </c>
    </row>
    <row r="578" spans="1:14">
      <c r="A578" s="1">
        <v>46252</v>
      </c>
      <c r="B578" t="s">
        <v>11</v>
      </c>
      <c r="C578" t="s">
        <v>26</v>
      </c>
      <c r="D578" t="s">
        <v>13</v>
      </c>
      <c r="E578" t="s">
        <v>14</v>
      </c>
      <c r="F578" t="s">
        <v>34</v>
      </c>
      <c r="G578" t="s">
        <v>16</v>
      </c>
      <c r="H578" s="12">
        <v>320000</v>
      </c>
      <c r="I578">
        <v>4</v>
      </c>
      <c r="J578" t="s">
        <v>17</v>
      </c>
      <c r="K578" s="12">
        <f t="shared" ref="K578:K641" si="9">H578-H578*0.2</f>
        <v>256000</v>
      </c>
      <c r="L578" s="12">
        <f>Sales_Data[[#This Row],[Unit Price]]*Sales_Data[[#This Row],[Quantity]]</f>
        <v>1280000</v>
      </c>
      <c r="M578" s="12">
        <f>Sales_Data[[#This Row],[Cost Price]]*Sales_Data[[#This Row],[Quantity]]</f>
        <v>1024000</v>
      </c>
      <c r="N578" s="12">
        <f>Sales_Data[[#This Row],[Revenue]]-Sales_Data[[#This Row],[COGS]]</f>
        <v>256000</v>
      </c>
    </row>
    <row r="579" spans="1:14">
      <c r="A579" s="1">
        <v>46253</v>
      </c>
      <c r="B579" t="s">
        <v>11</v>
      </c>
      <c r="C579" t="s">
        <v>32</v>
      </c>
      <c r="D579" t="s">
        <v>23</v>
      </c>
      <c r="E579" t="s">
        <v>20</v>
      </c>
      <c r="F579" t="s">
        <v>34</v>
      </c>
      <c r="G579" t="s">
        <v>16</v>
      </c>
      <c r="H579" s="12">
        <v>320000</v>
      </c>
      <c r="I579">
        <v>8</v>
      </c>
      <c r="J579" t="s">
        <v>17</v>
      </c>
      <c r="K579" s="12">
        <f t="shared" si="9"/>
        <v>256000</v>
      </c>
      <c r="L579" s="12">
        <f>Sales_Data[[#This Row],[Unit Price]]*Sales_Data[[#This Row],[Quantity]]</f>
        <v>2560000</v>
      </c>
      <c r="M579" s="12">
        <f>Sales_Data[[#This Row],[Cost Price]]*Sales_Data[[#This Row],[Quantity]]</f>
        <v>2048000</v>
      </c>
      <c r="N579" s="12">
        <f>Sales_Data[[#This Row],[Revenue]]-Sales_Data[[#This Row],[COGS]]</f>
        <v>512000</v>
      </c>
    </row>
    <row r="580" spans="1:14">
      <c r="A580" s="1">
        <v>46254</v>
      </c>
      <c r="B580" t="s">
        <v>29</v>
      </c>
      <c r="C580" t="s">
        <v>32</v>
      </c>
      <c r="D580" t="s">
        <v>13</v>
      </c>
      <c r="E580" t="s">
        <v>14</v>
      </c>
      <c r="F580" t="s">
        <v>27</v>
      </c>
      <c r="G580" t="s">
        <v>22</v>
      </c>
      <c r="H580" s="12">
        <v>60000</v>
      </c>
      <c r="I580">
        <v>9</v>
      </c>
      <c r="J580" t="s">
        <v>17</v>
      </c>
      <c r="K580" s="12">
        <f t="shared" si="9"/>
        <v>48000</v>
      </c>
      <c r="L580" s="12">
        <f>Sales_Data[[#This Row],[Unit Price]]*Sales_Data[[#This Row],[Quantity]]</f>
        <v>540000</v>
      </c>
      <c r="M580" s="12">
        <f>Sales_Data[[#This Row],[Cost Price]]*Sales_Data[[#This Row],[Quantity]]</f>
        <v>432000</v>
      </c>
      <c r="N580" s="12">
        <f>Sales_Data[[#This Row],[Revenue]]-Sales_Data[[#This Row],[COGS]]</f>
        <v>108000</v>
      </c>
    </row>
    <row r="581" spans="1:14">
      <c r="A581" s="1">
        <v>46255</v>
      </c>
      <c r="B581" t="s">
        <v>18</v>
      </c>
      <c r="C581" t="s">
        <v>19</v>
      </c>
      <c r="D581" t="s">
        <v>13</v>
      </c>
      <c r="E581" t="s">
        <v>20</v>
      </c>
      <c r="F581" t="s">
        <v>30</v>
      </c>
      <c r="G581" t="s">
        <v>31</v>
      </c>
      <c r="H581" s="12">
        <v>300000</v>
      </c>
      <c r="I581">
        <v>10</v>
      </c>
      <c r="J581" t="s">
        <v>17</v>
      </c>
      <c r="K581" s="12">
        <f t="shared" si="9"/>
        <v>240000</v>
      </c>
      <c r="L581" s="12">
        <f>Sales_Data[[#This Row],[Unit Price]]*Sales_Data[[#This Row],[Quantity]]</f>
        <v>3000000</v>
      </c>
      <c r="M581" s="12">
        <f>Sales_Data[[#This Row],[Cost Price]]*Sales_Data[[#This Row],[Quantity]]</f>
        <v>2400000</v>
      </c>
      <c r="N581" s="12">
        <f>Sales_Data[[#This Row],[Revenue]]-Sales_Data[[#This Row],[COGS]]</f>
        <v>600000</v>
      </c>
    </row>
    <row r="582" spans="1:14">
      <c r="A582" s="1">
        <v>46256</v>
      </c>
      <c r="B582" t="s">
        <v>29</v>
      </c>
      <c r="C582" t="s">
        <v>19</v>
      </c>
      <c r="D582" t="s">
        <v>23</v>
      </c>
      <c r="E582" t="s">
        <v>14</v>
      </c>
      <c r="F582" t="s">
        <v>36</v>
      </c>
      <c r="G582" t="s">
        <v>31</v>
      </c>
      <c r="H582" s="12">
        <v>150000</v>
      </c>
      <c r="I582">
        <v>6</v>
      </c>
      <c r="J582" t="s">
        <v>35</v>
      </c>
      <c r="K582" s="12">
        <f t="shared" si="9"/>
        <v>120000</v>
      </c>
      <c r="L582" s="12">
        <f>Sales_Data[[#This Row],[Unit Price]]*Sales_Data[[#This Row],[Quantity]]</f>
        <v>900000</v>
      </c>
      <c r="M582" s="12">
        <f>Sales_Data[[#This Row],[Cost Price]]*Sales_Data[[#This Row],[Quantity]]</f>
        <v>720000</v>
      </c>
      <c r="N582" s="12">
        <f>Sales_Data[[#This Row],[Revenue]]-Sales_Data[[#This Row],[COGS]]</f>
        <v>180000</v>
      </c>
    </row>
    <row r="583" spans="1:14">
      <c r="A583" s="1">
        <v>46257</v>
      </c>
      <c r="B583" t="s">
        <v>25</v>
      </c>
      <c r="C583" t="s">
        <v>26</v>
      </c>
      <c r="D583" t="s">
        <v>23</v>
      </c>
      <c r="E583" t="s">
        <v>14</v>
      </c>
      <c r="F583" t="s">
        <v>33</v>
      </c>
      <c r="G583" t="s">
        <v>22</v>
      </c>
      <c r="H583" s="12">
        <v>180000</v>
      </c>
      <c r="I583">
        <v>8</v>
      </c>
      <c r="J583" t="s">
        <v>37</v>
      </c>
      <c r="K583" s="12">
        <f t="shared" si="9"/>
        <v>144000</v>
      </c>
      <c r="L583" s="12">
        <f>Sales_Data[[#This Row],[Unit Price]]*Sales_Data[[#This Row],[Quantity]]</f>
        <v>1440000</v>
      </c>
      <c r="M583" s="12">
        <f>Sales_Data[[#This Row],[Cost Price]]*Sales_Data[[#This Row],[Quantity]]</f>
        <v>1152000</v>
      </c>
      <c r="N583" s="12">
        <f>Sales_Data[[#This Row],[Revenue]]-Sales_Data[[#This Row],[COGS]]</f>
        <v>288000</v>
      </c>
    </row>
    <row r="584" spans="1:14">
      <c r="A584" s="1">
        <v>46258</v>
      </c>
      <c r="B584" t="s">
        <v>18</v>
      </c>
      <c r="C584" t="s">
        <v>12</v>
      </c>
      <c r="D584" t="s">
        <v>13</v>
      </c>
      <c r="E584" t="s">
        <v>14</v>
      </c>
      <c r="F584" t="s">
        <v>27</v>
      </c>
      <c r="G584" t="s">
        <v>22</v>
      </c>
      <c r="H584" s="12">
        <v>60000</v>
      </c>
      <c r="I584">
        <v>7</v>
      </c>
      <c r="J584" t="s">
        <v>39</v>
      </c>
      <c r="K584" s="12">
        <f t="shared" si="9"/>
        <v>48000</v>
      </c>
      <c r="L584" s="12">
        <f>Sales_Data[[#This Row],[Unit Price]]*Sales_Data[[#This Row],[Quantity]]</f>
        <v>420000</v>
      </c>
      <c r="M584" s="12">
        <f>Sales_Data[[#This Row],[Cost Price]]*Sales_Data[[#This Row],[Quantity]]</f>
        <v>336000</v>
      </c>
      <c r="N584" s="12">
        <f>Sales_Data[[#This Row],[Revenue]]-Sales_Data[[#This Row],[COGS]]</f>
        <v>84000</v>
      </c>
    </row>
    <row r="585" spans="1:14">
      <c r="A585" s="1">
        <v>46259</v>
      </c>
      <c r="B585" t="s">
        <v>18</v>
      </c>
      <c r="C585" t="s">
        <v>19</v>
      </c>
      <c r="D585" t="s">
        <v>13</v>
      </c>
      <c r="E585" t="s">
        <v>20</v>
      </c>
      <c r="F585" t="s">
        <v>36</v>
      </c>
      <c r="G585" t="s">
        <v>31</v>
      </c>
      <c r="H585" s="12">
        <v>150000</v>
      </c>
      <c r="I585">
        <v>9</v>
      </c>
      <c r="J585" t="s">
        <v>17</v>
      </c>
      <c r="K585" s="12">
        <f t="shared" si="9"/>
        <v>120000</v>
      </c>
      <c r="L585" s="12">
        <f>Sales_Data[[#This Row],[Unit Price]]*Sales_Data[[#This Row],[Quantity]]</f>
        <v>1350000</v>
      </c>
      <c r="M585" s="12">
        <f>Sales_Data[[#This Row],[Cost Price]]*Sales_Data[[#This Row],[Quantity]]</f>
        <v>1080000</v>
      </c>
      <c r="N585" s="12">
        <f>Sales_Data[[#This Row],[Revenue]]-Sales_Data[[#This Row],[COGS]]</f>
        <v>270000</v>
      </c>
    </row>
    <row r="586" spans="1:14">
      <c r="A586" s="1">
        <v>46260</v>
      </c>
      <c r="B586" t="s">
        <v>18</v>
      </c>
      <c r="C586" t="s">
        <v>19</v>
      </c>
      <c r="D586" t="s">
        <v>13</v>
      </c>
      <c r="E586" t="s">
        <v>20</v>
      </c>
      <c r="F586" t="s">
        <v>33</v>
      </c>
      <c r="G586" t="s">
        <v>22</v>
      </c>
      <c r="H586" s="12">
        <v>180000</v>
      </c>
      <c r="I586">
        <v>4</v>
      </c>
      <c r="J586" t="s">
        <v>35</v>
      </c>
      <c r="K586" s="12">
        <f t="shared" si="9"/>
        <v>144000</v>
      </c>
      <c r="L586" s="12">
        <f>Sales_Data[[#This Row],[Unit Price]]*Sales_Data[[#This Row],[Quantity]]</f>
        <v>720000</v>
      </c>
      <c r="M586" s="12">
        <f>Sales_Data[[#This Row],[Cost Price]]*Sales_Data[[#This Row],[Quantity]]</f>
        <v>576000</v>
      </c>
      <c r="N586" s="12">
        <f>Sales_Data[[#This Row],[Revenue]]-Sales_Data[[#This Row],[COGS]]</f>
        <v>144000</v>
      </c>
    </row>
    <row r="587" spans="1:14">
      <c r="A587" s="1">
        <v>46261</v>
      </c>
      <c r="B587" t="s">
        <v>11</v>
      </c>
      <c r="C587" t="s">
        <v>32</v>
      </c>
      <c r="D587" t="s">
        <v>13</v>
      </c>
      <c r="E587" t="s">
        <v>20</v>
      </c>
      <c r="F587" t="s">
        <v>33</v>
      </c>
      <c r="G587" t="s">
        <v>22</v>
      </c>
      <c r="H587" s="12">
        <v>180000</v>
      </c>
      <c r="I587">
        <v>1</v>
      </c>
      <c r="J587" t="s">
        <v>37</v>
      </c>
      <c r="K587" s="12">
        <f t="shared" si="9"/>
        <v>144000</v>
      </c>
      <c r="L587" s="12">
        <f>Sales_Data[[#This Row],[Unit Price]]*Sales_Data[[#This Row],[Quantity]]</f>
        <v>180000</v>
      </c>
      <c r="M587" s="12">
        <f>Sales_Data[[#This Row],[Cost Price]]*Sales_Data[[#This Row],[Quantity]]</f>
        <v>144000</v>
      </c>
      <c r="N587" s="12">
        <f>Sales_Data[[#This Row],[Revenue]]-Sales_Data[[#This Row],[COGS]]</f>
        <v>36000</v>
      </c>
    </row>
    <row r="588" spans="1:14">
      <c r="A588" s="1">
        <v>46262</v>
      </c>
      <c r="B588" t="s">
        <v>11</v>
      </c>
      <c r="C588" t="s">
        <v>12</v>
      </c>
      <c r="D588" t="s">
        <v>13</v>
      </c>
      <c r="E588" t="s">
        <v>14</v>
      </c>
      <c r="F588" t="s">
        <v>27</v>
      </c>
      <c r="G588" t="s">
        <v>22</v>
      </c>
      <c r="H588" s="12">
        <v>60000</v>
      </c>
      <c r="I588">
        <v>6</v>
      </c>
      <c r="J588" t="s">
        <v>37</v>
      </c>
      <c r="K588" s="12">
        <f t="shared" si="9"/>
        <v>48000</v>
      </c>
      <c r="L588" s="12">
        <f>Sales_Data[[#This Row],[Unit Price]]*Sales_Data[[#This Row],[Quantity]]</f>
        <v>360000</v>
      </c>
      <c r="M588" s="12">
        <f>Sales_Data[[#This Row],[Cost Price]]*Sales_Data[[#This Row],[Quantity]]</f>
        <v>288000</v>
      </c>
      <c r="N588" s="12">
        <f>Sales_Data[[#This Row],[Revenue]]-Sales_Data[[#This Row],[COGS]]</f>
        <v>72000</v>
      </c>
    </row>
    <row r="589" spans="1:14">
      <c r="A589" s="1">
        <v>46263</v>
      </c>
      <c r="B589" t="s">
        <v>18</v>
      </c>
      <c r="C589" t="s">
        <v>26</v>
      </c>
      <c r="D589" t="s">
        <v>23</v>
      </c>
      <c r="E589" t="s">
        <v>20</v>
      </c>
      <c r="F589" t="s">
        <v>34</v>
      </c>
      <c r="G589" t="s">
        <v>16</v>
      </c>
      <c r="H589" s="12">
        <v>320000</v>
      </c>
      <c r="I589">
        <v>8</v>
      </c>
      <c r="J589" t="s">
        <v>35</v>
      </c>
      <c r="K589" s="12">
        <f t="shared" si="9"/>
        <v>256000</v>
      </c>
      <c r="L589" s="12">
        <f>Sales_Data[[#This Row],[Unit Price]]*Sales_Data[[#This Row],[Quantity]]</f>
        <v>2560000</v>
      </c>
      <c r="M589" s="12">
        <f>Sales_Data[[#This Row],[Cost Price]]*Sales_Data[[#This Row],[Quantity]]</f>
        <v>2048000</v>
      </c>
      <c r="N589" s="12">
        <f>Sales_Data[[#This Row],[Revenue]]-Sales_Data[[#This Row],[COGS]]</f>
        <v>512000</v>
      </c>
    </row>
    <row r="590" spans="1:14">
      <c r="A590" s="1">
        <v>46264</v>
      </c>
      <c r="B590" t="s">
        <v>18</v>
      </c>
      <c r="C590" t="s">
        <v>26</v>
      </c>
      <c r="D590" t="s">
        <v>13</v>
      </c>
      <c r="E590" t="s">
        <v>14</v>
      </c>
      <c r="F590" t="s">
        <v>33</v>
      </c>
      <c r="G590" t="s">
        <v>22</v>
      </c>
      <c r="H590" s="12">
        <v>180000</v>
      </c>
      <c r="I590">
        <v>6</v>
      </c>
      <c r="J590" t="s">
        <v>37</v>
      </c>
      <c r="K590" s="12">
        <f t="shared" si="9"/>
        <v>144000</v>
      </c>
      <c r="L590" s="12">
        <f>Sales_Data[[#This Row],[Unit Price]]*Sales_Data[[#This Row],[Quantity]]</f>
        <v>1080000</v>
      </c>
      <c r="M590" s="12">
        <f>Sales_Data[[#This Row],[Cost Price]]*Sales_Data[[#This Row],[Quantity]]</f>
        <v>864000</v>
      </c>
      <c r="N590" s="12">
        <f>Sales_Data[[#This Row],[Revenue]]-Sales_Data[[#This Row],[COGS]]</f>
        <v>216000</v>
      </c>
    </row>
    <row r="591" spans="1:14">
      <c r="A591" s="1">
        <v>46265</v>
      </c>
      <c r="B591" t="s">
        <v>25</v>
      </c>
      <c r="C591" t="s">
        <v>19</v>
      </c>
      <c r="D591" t="s">
        <v>23</v>
      </c>
      <c r="E591" t="s">
        <v>14</v>
      </c>
      <c r="F591" t="s">
        <v>27</v>
      </c>
      <c r="G591" t="s">
        <v>22</v>
      </c>
      <c r="H591" s="12">
        <v>60000</v>
      </c>
      <c r="I591">
        <v>8</v>
      </c>
      <c r="J591" t="s">
        <v>24</v>
      </c>
      <c r="K591" s="12">
        <f t="shared" si="9"/>
        <v>48000</v>
      </c>
      <c r="L591" s="12">
        <f>Sales_Data[[#This Row],[Unit Price]]*Sales_Data[[#This Row],[Quantity]]</f>
        <v>480000</v>
      </c>
      <c r="M591" s="12">
        <f>Sales_Data[[#This Row],[Cost Price]]*Sales_Data[[#This Row],[Quantity]]</f>
        <v>384000</v>
      </c>
      <c r="N591" s="12">
        <f>Sales_Data[[#This Row],[Revenue]]-Sales_Data[[#This Row],[COGS]]</f>
        <v>96000</v>
      </c>
    </row>
    <row r="592" spans="1:14">
      <c r="A592" s="1">
        <v>46266</v>
      </c>
      <c r="B592" t="s">
        <v>18</v>
      </c>
      <c r="C592" t="s">
        <v>19</v>
      </c>
      <c r="D592" t="s">
        <v>23</v>
      </c>
      <c r="E592" t="s">
        <v>14</v>
      </c>
      <c r="F592" t="s">
        <v>38</v>
      </c>
      <c r="G592" t="s">
        <v>31</v>
      </c>
      <c r="H592" s="12">
        <v>420000</v>
      </c>
      <c r="I592">
        <v>3</v>
      </c>
      <c r="J592" t="s">
        <v>17</v>
      </c>
      <c r="K592" s="12">
        <f t="shared" si="9"/>
        <v>336000</v>
      </c>
      <c r="L592" s="12">
        <f>Sales_Data[[#This Row],[Unit Price]]*Sales_Data[[#This Row],[Quantity]]</f>
        <v>1260000</v>
      </c>
      <c r="M592" s="12">
        <f>Sales_Data[[#This Row],[Cost Price]]*Sales_Data[[#This Row],[Quantity]]</f>
        <v>1008000</v>
      </c>
      <c r="N592" s="12">
        <f>Sales_Data[[#This Row],[Revenue]]-Sales_Data[[#This Row],[COGS]]</f>
        <v>252000</v>
      </c>
    </row>
    <row r="593" spans="1:14">
      <c r="A593" s="1">
        <v>46267</v>
      </c>
      <c r="B593" t="s">
        <v>25</v>
      </c>
      <c r="C593" t="s">
        <v>26</v>
      </c>
      <c r="D593" t="s">
        <v>23</v>
      </c>
      <c r="E593" t="s">
        <v>14</v>
      </c>
      <c r="F593" t="s">
        <v>41</v>
      </c>
      <c r="G593" t="s">
        <v>22</v>
      </c>
      <c r="H593" s="12">
        <v>220000</v>
      </c>
      <c r="I593">
        <v>5</v>
      </c>
      <c r="J593" t="s">
        <v>24</v>
      </c>
      <c r="K593" s="12">
        <f t="shared" si="9"/>
        <v>176000</v>
      </c>
      <c r="L593" s="12">
        <f>Sales_Data[[#This Row],[Unit Price]]*Sales_Data[[#This Row],[Quantity]]</f>
        <v>1100000</v>
      </c>
      <c r="M593" s="12">
        <f>Sales_Data[[#This Row],[Cost Price]]*Sales_Data[[#This Row],[Quantity]]</f>
        <v>880000</v>
      </c>
      <c r="N593" s="12">
        <f>Sales_Data[[#This Row],[Revenue]]-Sales_Data[[#This Row],[COGS]]</f>
        <v>220000</v>
      </c>
    </row>
    <row r="594" spans="1:14">
      <c r="A594" s="1">
        <v>46268</v>
      </c>
      <c r="B594" t="s">
        <v>11</v>
      </c>
      <c r="C594" t="s">
        <v>32</v>
      </c>
      <c r="D594" t="s">
        <v>13</v>
      </c>
      <c r="E594" t="s">
        <v>14</v>
      </c>
      <c r="F594" t="s">
        <v>27</v>
      </c>
      <c r="G594" t="s">
        <v>22</v>
      </c>
      <c r="H594" s="12">
        <v>60000</v>
      </c>
      <c r="I594">
        <v>6</v>
      </c>
      <c r="J594" t="s">
        <v>17</v>
      </c>
      <c r="K594" s="12">
        <f t="shared" si="9"/>
        <v>48000</v>
      </c>
      <c r="L594" s="12">
        <f>Sales_Data[[#This Row],[Unit Price]]*Sales_Data[[#This Row],[Quantity]]</f>
        <v>360000</v>
      </c>
      <c r="M594" s="12">
        <f>Sales_Data[[#This Row],[Cost Price]]*Sales_Data[[#This Row],[Quantity]]</f>
        <v>288000</v>
      </c>
      <c r="N594" s="12">
        <f>Sales_Data[[#This Row],[Revenue]]-Sales_Data[[#This Row],[COGS]]</f>
        <v>72000</v>
      </c>
    </row>
    <row r="595" spans="1:14">
      <c r="A595" s="1">
        <v>46269</v>
      </c>
      <c r="B595" t="s">
        <v>11</v>
      </c>
      <c r="C595" t="s">
        <v>32</v>
      </c>
      <c r="D595" t="s">
        <v>13</v>
      </c>
      <c r="E595" t="s">
        <v>20</v>
      </c>
      <c r="F595" t="s">
        <v>27</v>
      </c>
      <c r="G595" t="s">
        <v>22</v>
      </c>
      <c r="H595" s="12">
        <v>60000</v>
      </c>
      <c r="I595">
        <v>8</v>
      </c>
      <c r="J595" t="s">
        <v>39</v>
      </c>
      <c r="K595" s="12">
        <f t="shared" si="9"/>
        <v>48000</v>
      </c>
      <c r="L595" s="12">
        <f>Sales_Data[[#This Row],[Unit Price]]*Sales_Data[[#This Row],[Quantity]]</f>
        <v>480000</v>
      </c>
      <c r="M595" s="12">
        <f>Sales_Data[[#This Row],[Cost Price]]*Sales_Data[[#This Row],[Quantity]]</f>
        <v>384000</v>
      </c>
      <c r="N595" s="12">
        <f>Sales_Data[[#This Row],[Revenue]]-Sales_Data[[#This Row],[COGS]]</f>
        <v>96000</v>
      </c>
    </row>
    <row r="596" spans="1:14">
      <c r="A596" s="1">
        <v>46270</v>
      </c>
      <c r="B596" t="s">
        <v>11</v>
      </c>
      <c r="C596" t="s">
        <v>19</v>
      </c>
      <c r="D596" t="s">
        <v>23</v>
      </c>
      <c r="E596" t="s">
        <v>14</v>
      </c>
      <c r="F596" t="s">
        <v>21</v>
      </c>
      <c r="G596" t="s">
        <v>22</v>
      </c>
      <c r="H596" s="12">
        <v>30000</v>
      </c>
      <c r="I596">
        <v>2</v>
      </c>
      <c r="J596" t="s">
        <v>17</v>
      </c>
      <c r="K596" s="12">
        <f t="shared" si="9"/>
        <v>24000</v>
      </c>
      <c r="L596" s="12">
        <f>Sales_Data[[#This Row],[Unit Price]]*Sales_Data[[#This Row],[Quantity]]</f>
        <v>60000</v>
      </c>
      <c r="M596" s="12">
        <f>Sales_Data[[#This Row],[Cost Price]]*Sales_Data[[#This Row],[Quantity]]</f>
        <v>48000</v>
      </c>
      <c r="N596" s="12">
        <f>Sales_Data[[#This Row],[Revenue]]-Sales_Data[[#This Row],[COGS]]</f>
        <v>12000</v>
      </c>
    </row>
    <row r="597" spans="1:14">
      <c r="A597" s="1">
        <v>46271</v>
      </c>
      <c r="B597" t="s">
        <v>18</v>
      </c>
      <c r="C597" t="s">
        <v>12</v>
      </c>
      <c r="D597" t="s">
        <v>23</v>
      </c>
      <c r="E597" t="s">
        <v>20</v>
      </c>
      <c r="F597" t="s">
        <v>30</v>
      </c>
      <c r="G597" t="s">
        <v>31</v>
      </c>
      <c r="H597" s="12">
        <v>300000</v>
      </c>
      <c r="I597">
        <v>3</v>
      </c>
      <c r="J597" t="s">
        <v>35</v>
      </c>
      <c r="K597" s="12">
        <f t="shared" si="9"/>
        <v>240000</v>
      </c>
      <c r="L597" s="12">
        <f>Sales_Data[[#This Row],[Unit Price]]*Sales_Data[[#This Row],[Quantity]]</f>
        <v>900000</v>
      </c>
      <c r="M597" s="12">
        <f>Sales_Data[[#This Row],[Cost Price]]*Sales_Data[[#This Row],[Quantity]]</f>
        <v>720000</v>
      </c>
      <c r="N597" s="12">
        <f>Sales_Data[[#This Row],[Revenue]]-Sales_Data[[#This Row],[COGS]]</f>
        <v>180000</v>
      </c>
    </row>
    <row r="598" spans="1:14">
      <c r="A598" s="1">
        <v>46272</v>
      </c>
      <c r="B598" t="s">
        <v>29</v>
      </c>
      <c r="C598" t="s">
        <v>19</v>
      </c>
      <c r="D598" t="s">
        <v>23</v>
      </c>
      <c r="E598" t="s">
        <v>20</v>
      </c>
      <c r="F598" t="s">
        <v>40</v>
      </c>
      <c r="G598" t="s">
        <v>31</v>
      </c>
      <c r="H598" s="12">
        <v>250000</v>
      </c>
      <c r="I598">
        <v>3</v>
      </c>
      <c r="J598" t="s">
        <v>24</v>
      </c>
      <c r="K598" s="12">
        <f t="shared" si="9"/>
        <v>200000</v>
      </c>
      <c r="L598" s="12">
        <f>Sales_Data[[#This Row],[Unit Price]]*Sales_Data[[#This Row],[Quantity]]</f>
        <v>750000</v>
      </c>
      <c r="M598" s="12">
        <f>Sales_Data[[#This Row],[Cost Price]]*Sales_Data[[#This Row],[Quantity]]</f>
        <v>600000</v>
      </c>
      <c r="N598" s="12">
        <f>Sales_Data[[#This Row],[Revenue]]-Sales_Data[[#This Row],[COGS]]</f>
        <v>150000</v>
      </c>
    </row>
    <row r="599" spans="1:14">
      <c r="A599" s="1">
        <v>46273</v>
      </c>
      <c r="B599" t="s">
        <v>29</v>
      </c>
      <c r="C599" t="s">
        <v>19</v>
      </c>
      <c r="D599" t="s">
        <v>23</v>
      </c>
      <c r="E599" t="s">
        <v>20</v>
      </c>
      <c r="F599" t="s">
        <v>38</v>
      </c>
      <c r="G599" t="s">
        <v>31</v>
      </c>
      <c r="H599" s="12">
        <v>420000</v>
      </c>
      <c r="I599">
        <v>1</v>
      </c>
      <c r="J599" t="s">
        <v>24</v>
      </c>
      <c r="K599" s="12">
        <f t="shared" si="9"/>
        <v>336000</v>
      </c>
      <c r="L599" s="12">
        <f>Sales_Data[[#This Row],[Unit Price]]*Sales_Data[[#This Row],[Quantity]]</f>
        <v>420000</v>
      </c>
      <c r="M599" s="12">
        <f>Sales_Data[[#This Row],[Cost Price]]*Sales_Data[[#This Row],[Quantity]]</f>
        <v>336000</v>
      </c>
      <c r="N599" s="12">
        <f>Sales_Data[[#This Row],[Revenue]]-Sales_Data[[#This Row],[COGS]]</f>
        <v>84000</v>
      </c>
    </row>
    <row r="600" spans="1:14">
      <c r="A600" s="1">
        <v>46274</v>
      </c>
      <c r="B600" t="s">
        <v>25</v>
      </c>
      <c r="C600" t="s">
        <v>12</v>
      </c>
      <c r="D600" t="s">
        <v>23</v>
      </c>
      <c r="E600" t="s">
        <v>20</v>
      </c>
      <c r="F600" t="s">
        <v>21</v>
      </c>
      <c r="G600" t="s">
        <v>22</v>
      </c>
      <c r="H600" s="12">
        <v>30000</v>
      </c>
      <c r="I600">
        <v>1</v>
      </c>
      <c r="J600" t="s">
        <v>35</v>
      </c>
      <c r="K600" s="12">
        <f t="shared" si="9"/>
        <v>24000</v>
      </c>
      <c r="L600" s="12">
        <f>Sales_Data[[#This Row],[Unit Price]]*Sales_Data[[#This Row],[Quantity]]</f>
        <v>30000</v>
      </c>
      <c r="M600" s="12">
        <f>Sales_Data[[#This Row],[Cost Price]]*Sales_Data[[#This Row],[Quantity]]</f>
        <v>24000</v>
      </c>
      <c r="N600" s="12">
        <f>Sales_Data[[#This Row],[Revenue]]-Sales_Data[[#This Row],[COGS]]</f>
        <v>6000</v>
      </c>
    </row>
    <row r="601" spans="1:14">
      <c r="A601" s="1">
        <v>46275</v>
      </c>
      <c r="B601" t="s">
        <v>25</v>
      </c>
      <c r="C601" t="s">
        <v>26</v>
      </c>
      <c r="D601" t="s">
        <v>13</v>
      </c>
      <c r="E601" t="s">
        <v>14</v>
      </c>
      <c r="F601" t="s">
        <v>21</v>
      </c>
      <c r="G601" t="s">
        <v>22</v>
      </c>
      <c r="H601" s="12">
        <v>30000</v>
      </c>
      <c r="I601">
        <v>8</v>
      </c>
      <c r="J601" t="s">
        <v>37</v>
      </c>
      <c r="K601" s="12">
        <f t="shared" si="9"/>
        <v>24000</v>
      </c>
      <c r="L601" s="12">
        <f>Sales_Data[[#This Row],[Unit Price]]*Sales_Data[[#This Row],[Quantity]]</f>
        <v>240000</v>
      </c>
      <c r="M601" s="12">
        <f>Sales_Data[[#This Row],[Cost Price]]*Sales_Data[[#This Row],[Quantity]]</f>
        <v>192000</v>
      </c>
      <c r="N601" s="12">
        <f>Sales_Data[[#This Row],[Revenue]]-Sales_Data[[#This Row],[COGS]]</f>
        <v>48000</v>
      </c>
    </row>
    <row r="602" spans="1:14">
      <c r="A602" s="1">
        <v>46276</v>
      </c>
      <c r="B602" t="s">
        <v>29</v>
      </c>
      <c r="C602" t="s">
        <v>12</v>
      </c>
      <c r="D602" t="s">
        <v>23</v>
      </c>
      <c r="E602" t="s">
        <v>14</v>
      </c>
      <c r="F602" t="s">
        <v>40</v>
      </c>
      <c r="G602" t="s">
        <v>31</v>
      </c>
      <c r="H602" s="12">
        <v>250000</v>
      </c>
      <c r="I602">
        <v>10</v>
      </c>
      <c r="J602" t="s">
        <v>37</v>
      </c>
      <c r="K602" s="12">
        <f t="shared" si="9"/>
        <v>200000</v>
      </c>
      <c r="L602" s="12">
        <f>Sales_Data[[#This Row],[Unit Price]]*Sales_Data[[#This Row],[Quantity]]</f>
        <v>2500000</v>
      </c>
      <c r="M602" s="12">
        <f>Sales_Data[[#This Row],[Cost Price]]*Sales_Data[[#This Row],[Quantity]]</f>
        <v>2000000</v>
      </c>
      <c r="N602" s="12">
        <f>Sales_Data[[#This Row],[Revenue]]-Sales_Data[[#This Row],[COGS]]</f>
        <v>500000</v>
      </c>
    </row>
    <row r="603" spans="1:14">
      <c r="A603" s="1">
        <v>46277</v>
      </c>
      <c r="B603" t="s">
        <v>29</v>
      </c>
      <c r="C603" t="s">
        <v>26</v>
      </c>
      <c r="D603" t="s">
        <v>23</v>
      </c>
      <c r="E603" t="s">
        <v>20</v>
      </c>
      <c r="F603" t="s">
        <v>36</v>
      </c>
      <c r="G603" t="s">
        <v>31</v>
      </c>
      <c r="H603" s="12">
        <v>150000</v>
      </c>
      <c r="I603">
        <v>10</v>
      </c>
      <c r="J603" t="s">
        <v>24</v>
      </c>
      <c r="K603" s="12">
        <f t="shared" si="9"/>
        <v>120000</v>
      </c>
      <c r="L603" s="12">
        <f>Sales_Data[[#This Row],[Unit Price]]*Sales_Data[[#This Row],[Quantity]]</f>
        <v>1500000</v>
      </c>
      <c r="M603" s="12">
        <f>Sales_Data[[#This Row],[Cost Price]]*Sales_Data[[#This Row],[Quantity]]</f>
        <v>1200000</v>
      </c>
      <c r="N603" s="12">
        <f>Sales_Data[[#This Row],[Revenue]]-Sales_Data[[#This Row],[COGS]]</f>
        <v>300000</v>
      </c>
    </row>
    <row r="604" spans="1:14">
      <c r="A604" s="1">
        <v>46278</v>
      </c>
      <c r="B604" t="s">
        <v>18</v>
      </c>
      <c r="C604" t="s">
        <v>32</v>
      </c>
      <c r="D604" t="s">
        <v>13</v>
      </c>
      <c r="E604" t="s">
        <v>20</v>
      </c>
      <c r="F604" t="s">
        <v>40</v>
      </c>
      <c r="G604" t="s">
        <v>31</v>
      </c>
      <c r="H604" s="12">
        <v>250000</v>
      </c>
      <c r="I604">
        <v>8</v>
      </c>
      <c r="J604" t="s">
        <v>17</v>
      </c>
      <c r="K604" s="12">
        <f t="shared" si="9"/>
        <v>200000</v>
      </c>
      <c r="L604" s="12">
        <f>Sales_Data[[#This Row],[Unit Price]]*Sales_Data[[#This Row],[Quantity]]</f>
        <v>2000000</v>
      </c>
      <c r="M604" s="12">
        <f>Sales_Data[[#This Row],[Cost Price]]*Sales_Data[[#This Row],[Quantity]]</f>
        <v>1600000</v>
      </c>
      <c r="N604" s="12">
        <f>Sales_Data[[#This Row],[Revenue]]-Sales_Data[[#This Row],[COGS]]</f>
        <v>400000</v>
      </c>
    </row>
    <row r="605" spans="1:14">
      <c r="A605" s="1">
        <v>46279</v>
      </c>
      <c r="B605" t="s">
        <v>29</v>
      </c>
      <c r="C605" t="s">
        <v>26</v>
      </c>
      <c r="D605" t="s">
        <v>13</v>
      </c>
      <c r="E605" t="s">
        <v>20</v>
      </c>
      <c r="F605" t="s">
        <v>40</v>
      </c>
      <c r="G605" t="s">
        <v>31</v>
      </c>
      <c r="H605" s="12">
        <v>250000</v>
      </c>
      <c r="I605">
        <v>9</v>
      </c>
      <c r="J605" t="s">
        <v>39</v>
      </c>
      <c r="K605" s="12">
        <f t="shared" si="9"/>
        <v>200000</v>
      </c>
      <c r="L605" s="12">
        <f>Sales_Data[[#This Row],[Unit Price]]*Sales_Data[[#This Row],[Quantity]]</f>
        <v>2250000</v>
      </c>
      <c r="M605" s="12">
        <f>Sales_Data[[#This Row],[Cost Price]]*Sales_Data[[#This Row],[Quantity]]</f>
        <v>1800000</v>
      </c>
      <c r="N605" s="12">
        <f>Sales_Data[[#This Row],[Revenue]]-Sales_Data[[#This Row],[COGS]]</f>
        <v>450000</v>
      </c>
    </row>
    <row r="606" spans="1:14">
      <c r="A606" s="1">
        <v>46280</v>
      </c>
      <c r="B606" t="s">
        <v>29</v>
      </c>
      <c r="C606" t="s">
        <v>32</v>
      </c>
      <c r="D606" t="s">
        <v>13</v>
      </c>
      <c r="E606" t="s">
        <v>20</v>
      </c>
      <c r="F606" t="s">
        <v>38</v>
      </c>
      <c r="G606" t="s">
        <v>31</v>
      </c>
      <c r="H606" s="12">
        <v>420000</v>
      </c>
      <c r="I606">
        <v>10</v>
      </c>
      <c r="J606" t="s">
        <v>28</v>
      </c>
      <c r="K606" s="12">
        <f t="shared" si="9"/>
        <v>336000</v>
      </c>
      <c r="L606" s="12">
        <f>Sales_Data[[#This Row],[Unit Price]]*Sales_Data[[#This Row],[Quantity]]</f>
        <v>4200000</v>
      </c>
      <c r="M606" s="12">
        <f>Sales_Data[[#This Row],[Cost Price]]*Sales_Data[[#This Row],[Quantity]]</f>
        <v>3360000</v>
      </c>
      <c r="N606" s="12">
        <f>Sales_Data[[#This Row],[Revenue]]-Sales_Data[[#This Row],[COGS]]</f>
        <v>840000</v>
      </c>
    </row>
    <row r="607" spans="1:14">
      <c r="A607" s="1">
        <v>46281</v>
      </c>
      <c r="B607" t="s">
        <v>11</v>
      </c>
      <c r="C607" t="s">
        <v>19</v>
      </c>
      <c r="D607" t="s">
        <v>23</v>
      </c>
      <c r="E607" t="s">
        <v>14</v>
      </c>
      <c r="F607" t="s">
        <v>15</v>
      </c>
      <c r="G607" t="s">
        <v>16</v>
      </c>
      <c r="H607" s="12">
        <v>85000</v>
      </c>
      <c r="I607">
        <v>4</v>
      </c>
      <c r="J607" t="s">
        <v>24</v>
      </c>
      <c r="K607" s="12">
        <f t="shared" si="9"/>
        <v>68000</v>
      </c>
      <c r="L607" s="12">
        <f>Sales_Data[[#This Row],[Unit Price]]*Sales_Data[[#This Row],[Quantity]]</f>
        <v>340000</v>
      </c>
      <c r="M607" s="12">
        <f>Sales_Data[[#This Row],[Cost Price]]*Sales_Data[[#This Row],[Quantity]]</f>
        <v>272000</v>
      </c>
      <c r="N607" s="12">
        <f>Sales_Data[[#This Row],[Revenue]]-Sales_Data[[#This Row],[COGS]]</f>
        <v>68000</v>
      </c>
    </row>
    <row r="608" spans="1:14">
      <c r="A608" s="1">
        <v>46282</v>
      </c>
      <c r="B608" t="s">
        <v>18</v>
      </c>
      <c r="C608" t="s">
        <v>19</v>
      </c>
      <c r="D608" t="s">
        <v>13</v>
      </c>
      <c r="E608" t="s">
        <v>14</v>
      </c>
      <c r="F608" t="s">
        <v>33</v>
      </c>
      <c r="G608" t="s">
        <v>22</v>
      </c>
      <c r="H608" s="12">
        <v>180000</v>
      </c>
      <c r="I608">
        <v>1</v>
      </c>
      <c r="J608" t="s">
        <v>39</v>
      </c>
      <c r="K608" s="12">
        <f t="shared" si="9"/>
        <v>144000</v>
      </c>
      <c r="L608" s="12">
        <f>Sales_Data[[#This Row],[Unit Price]]*Sales_Data[[#This Row],[Quantity]]</f>
        <v>180000</v>
      </c>
      <c r="M608" s="12">
        <f>Sales_Data[[#This Row],[Cost Price]]*Sales_Data[[#This Row],[Quantity]]</f>
        <v>144000</v>
      </c>
      <c r="N608" s="12">
        <f>Sales_Data[[#This Row],[Revenue]]-Sales_Data[[#This Row],[COGS]]</f>
        <v>36000</v>
      </c>
    </row>
    <row r="609" spans="1:14">
      <c r="A609" s="1">
        <v>46283</v>
      </c>
      <c r="B609" t="s">
        <v>25</v>
      </c>
      <c r="C609" t="s">
        <v>19</v>
      </c>
      <c r="D609" t="s">
        <v>13</v>
      </c>
      <c r="E609" t="s">
        <v>20</v>
      </c>
      <c r="F609" t="s">
        <v>33</v>
      </c>
      <c r="G609" t="s">
        <v>22</v>
      </c>
      <c r="H609" s="12">
        <v>180000</v>
      </c>
      <c r="I609">
        <v>9</v>
      </c>
      <c r="J609" t="s">
        <v>35</v>
      </c>
      <c r="K609" s="12">
        <f t="shared" si="9"/>
        <v>144000</v>
      </c>
      <c r="L609" s="12">
        <f>Sales_Data[[#This Row],[Unit Price]]*Sales_Data[[#This Row],[Quantity]]</f>
        <v>1620000</v>
      </c>
      <c r="M609" s="12">
        <f>Sales_Data[[#This Row],[Cost Price]]*Sales_Data[[#This Row],[Quantity]]</f>
        <v>1296000</v>
      </c>
      <c r="N609" s="12">
        <f>Sales_Data[[#This Row],[Revenue]]-Sales_Data[[#This Row],[COGS]]</f>
        <v>324000</v>
      </c>
    </row>
    <row r="610" spans="1:14">
      <c r="A610" s="1">
        <v>46284</v>
      </c>
      <c r="B610" t="s">
        <v>18</v>
      </c>
      <c r="C610" t="s">
        <v>26</v>
      </c>
      <c r="D610" t="s">
        <v>23</v>
      </c>
      <c r="E610" t="s">
        <v>20</v>
      </c>
      <c r="F610" t="s">
        <v>36</v>
      </c>
      <c r="G610" t="s">
        <v>31</v>
      </c>
      <c r="H610" s="12">
        <v>150000</v>
      </c>
      <c r="I610">
        <v>10</v>
      </c>
      <c r="J610" t="s">
        <v>28</v>
      </c>
      <c r="K610" s="12">
        <f t="shared" si="9"/>
        <v>120000</v>
      </c>
      <c r="L610" s="12">
        <f>Sales_Data[[#This Row],[Unit Price]]*Sales_Data[[#This Row],[Quantity]]</f>
        <v>1500000</v>
      </c>
      <c r="M610" s="12">
        <f>Sales_Data[[#This Row],[Cost Price]]*Sales_Data[[#This Row],[Quantity]]</f>
        <v>1200000</v>
      </c>
      <c r="N610" s="12">
        <f>Sales_Data[[#This Row],[Revenue]]-Sales_Data[[#This Row],[COGS]]</f>
        <v>300000</v>
      </c>
    </row>
    <row r="611" spans="1:14">
      <c r="A611" s="1">
        <v>46285</v>
      </c>
      <c r="B611" t="s">
        <v>18</v>
      </c>
      <c r="C611" t="s">
        <v>32</v>
      </c>
      <c r="D611" t="s">
        <v>23</v>
      </c>
      <c r="E611" t="s">
        <v>20</v>
      </c>
      <c r="F611" t="s">
        <v>30</v>
      </c>
      <c r="G611" t="s">
        <v>31</v>
      </c>
      <c r="H611" s="12">
        <v>300000</v>
      </c>
      <c r="I611">
        <v>1</v>
      </c>
      <c r="J611" t="s">
        <v>28</v>
      </c>
      <c r="K611" s="12">
        <f t="shared" si="9"/>
        <v>240000</v>
      </c>
      <c r="L611" s="12">
        <f>Sales_Data[[#This Row],[Unit Price]]*Sales_Data[[#This Row],[Quantity]]</f>
        <v>300000</v>
      </c>
      <c r="M611" s="12">
        <f>Sales_Data[[#This Row],[Cost Price]]*Sales_Data[[#This Row],[Quantity]]</f>
        <v>240000</v>
      </c>
      <c r="N611" s="12">
        <f>Sales_Data[[#This Row],[Revenue]]-Sales_Data[[#This Row],[COGS]]</f>
        <v>60000</v>
      </c>
    </row>
    <row r="612" spans="1:14">
      <c r="A612" s="1">
        <v>46286</v>
      </c>
      <c r="B612" t="s">
        <v>25</v>
      </c>
      <c r="C612" t="s">
        <v>32</v>
      </c>
      <c r="D612" t="s">
        <v>13</v>
      </c>
      <c r="E612" t="s">
        <v>14</v>
      </c>
      <c r="F612" t="s">
        <v>36</v>
      </c>
      <c r="G612" t="s">
        <v>31</v>
      </c>
      <c r="H612" s="12">
        <v>150000</v>
      </c>
      <c r="I612">
        <v>8</v>
      </c>
      <c r="J612" t="s">
        <v>17</v>
      </c>
      <c r="K612" s="12">
        <f t="shared" si="9"/>
        <v>120000</v>
      </c>
      <c r="L612" s="12">
        <f>Sales_Data[[#This Row],[Unit Price]]*Sales_Data[[#This Row],[Quantity]]</f>
        <v>1200000</v>
      </c>
      <c r="M612" s="12">
        <f>Sales_Data[[#This Row],[Cost Price]]*Sales_Data[[#This Row],[Quantity]]</f>
        <v>960000</v>
      </c>
      <c r="N612" s="12">
        <f>Sales_Data[[#This Row],[Revenue]]-Sales_Data[[#This Row],[COGS]]</f>
        <v>240000</v>
      </c>
    </row>
    <row r="613" spans="1:14">
      <c r="A613" s="1">
        <v>46287</v>
      </c>
      <c r="B613" t="s">
        <v>11</v>
      </c>
      <c r="C613" t="s">
        <v>32</v>
      </c>
      <c r="D613" t="s">
        <v>13</v>
      </c>
      <c r="E613" t="s">
        <v>20</v>
      </c>
      <c r="F613" t="s">
        <v>36</v>
      </c>
      <c r="G613" t="s">
        <v>31</v>
      </c>
      <c r="H613" s="12">
        <v>150000</v>
      </c>
      <c r="I613">
        <v>3</v>
      </c>
      <c r="J613" t="s">
        <v>35</v>
      </c>
      <c r="K613" s="12">
        <f t="shared" si="9"/>
        <v>120000</v>
      </c>
      <c r="L613" s="12">
        <f>Sales_Data[[#This Row],[Unit Price]]*Sales_Data[[#This Row],[Quantity]]</f>
        <v>450000</v>
      </c>
      <c r="M613" s="12">
        <f>Sales_Data[[#This Row],[Cost Price]]*Sales_Data[[#This Row],[Quantity]]</f>
        <v>360000</v>
      </c>
      <c r="N613" s="12">
        <f>Sales_Data[[#This Row],[Revenue]]-Sales_Data[[#This Row],[COGS]]</f>
        <v>90000</v>
      </c>
    </row>
    <row r="614" spans="1:14">
      <c r="A614" s="1">
        <v>46288</v>
      </c>
      <c r="B614" t="s">
        <v>29</v>
      </c>
      <c r="C614" t="s">
        <v>32</v>
      </c>
      <c r="D614" t="s">
        <v>13</v>
      </c>
      <c r="E614" t="s">
        <v>20</v>
      </c>
      <c r="F614" t="s">
        <v>34</v>
      </c>
      <c r="G614" t="s">
        <v>16</v>
      </c>
      <c r="H614" s="12">
        <v>320000</v>
      </c>
      <c r="I614">
        <v>3</v>
      </c>
      <c r="J614" t="s">
        <v>17</v>
      </c>
      <c r="K614" s="12">
        <f t="shared" si="9"/>
        <v>256000</v>
      </c>
      <c r="L614" s="12">
        <f>Sales_Data[[#This Row],[Unit Price]]*Sales_Data[[#This Row],[Quantity]]</f>
        <v>960000</v>
      </c>
      <c r="M614" s="12">
        <f>Sales_Data[[#This Row],[Cost Price]]*Sales_Data[[#This Row],[Quantity]]</f>
        <v>768000</v>
      </c>
      <c r="N614" s="12">
        <f>Sales_Data[[#This Row],[Revenue]]-Sales_Data[[#This Row],[COGS]]</f>
        <v>192000</v>
      </c>
    </row>
    <row r="615" spans="1:14">
      <c r="A615" s="1">
        <v>46289</v>
      </c>
      <c r="B615" t="s">
        <v>25</v>
      </c>
      <c r="C615" t="s">
        <v>26</v>
      </c>
      <c r="D615" t="s">
        <v>13</v>
      </c>
      <c r="E615" t="s">
        <v>14</v>
      </c>
      <c r="F615" t="s">
        <v>33</v>
      </c>
      <c r="G615" t="s">
        <v>22</v>
      </c>
      <c r="H615" s="12">
        <v>180000</v>
      </c>
      <c r="I615">
        <v>8</v>
      </c>
      <c r="J615" t="s">
        <v>17</v>
      </c>
      <c r="K615" s="12">
        <f t="shared" si="9"/>
        <v>144000</v>
      </c>
      <c r="L615" s="12">
        <f>Sales_Data[[#This Row],[Unit Price]]*Sales_Data[[#This Row],[Quantity]]</f>
        <v>1440000</v>
      </c>
      <c r="M615" s="12">
        <f>Sales_Data[[#This Row],[Cost Price]]*Sales_Data[[#This Row],[Quantity]]</f>
        <v>1152000</v>
      </c>
      <c r="N615" s="12">
        <f>Sales_Data[[#This Row],[Revenue]]-Sales_Data[[#This Row],[COGS]]</f>
        <v>288000</v>
      </c>
    </row>
    <row r="616" spans="1:14">
      <c r="A616" s="1">
        <v>46290</v>
      </c>
      <c r="B616" t="s">
        <v>25</v>
      </c>
      <c r="C616" t="s">
        <v>26</v>
      </c>
      <c r="D616" t="s">
        <v>13</v>
      </c>
      <c r="E616" t="s">
        <v>20</v>
      </c>
      <c r="F616" t="s">
        <v>33</v>
      </c>
      <c r="G616" t="s">
        <v>22</v>
      </c>
      <c r="H616" s="12">
        <v>180000</v>
      </c>
      <c r="I616">
        <v>1</v>
      </c>
      <c r="J616" t="s">
        <v>24</v>
      </c>
      <c r="K616" s="12">
        <f t="shared" si="9"/>
        <v>144000</v>
      </c>
      <c r="L616" s="12">
        <f>Sales_Data[[#This Row],[Unit Price]]*Sales_Data[[#This Row],[Quantity]]</f>
        <v>180000</v>
      </c>
      <c r="M616" s="12">
        <f>Sales_Data[[#This Row],[Cost Price]]*Sales_Data[[#This Row],[Quantity]]</f>
        <v>144000</v>
      </c>
      <c r="N616" s="12">
        <f>Sales_Data[[#This Row],[Revenue]]-Sales_Data[[#This Row],[COGS]]</f>
        <v>36000</v>
      </c>
    </row>
    <row r="617" spans="1:14">
      <c r="A617" s="1">
        <v>46291</v>
      </c>
      <c r="B617" t="s">
        <v>11</v>
      </c>
      <c r="C617" t="s">
        <v>19</v>
      </c>
      <c r="D617" t="s">
        <v>13</v>
      </c>
      <c r="E617" t="s">
        <v>20</v>
      </c>
      <c r="F617" t="s">
        <v>27</v>
      </c>
      <c r="G617" t="s">
        <v>22</v>
      </c>
      <c r="H617" s="12">
        <v>60000</v>
      </c>
      <c r="I617">
        <v>7</v>
      </c>
      <c r="J617" t="s">
        <v>37</v>
      </c>
      <c r="K617" s="12">
        <f t="shared" si="9"/>
        <v>48000</v>
      </c>
      <c r="L617" s="12">
        <f>Sales_Data[[#This Row],[Unit Price]]*Sales_Data[[#This Row],[Quantity]]</f>
        <v>420000</v>
      </c>
      <c r="M617" s="12">
        <f>Sales_Data[[#This Row],[Cost Price]]*Sales_Data[[#This Row],[Quantity]]</f>
        <v>336000</v>
      </c>
      <c r="N617" s="12">
        <f>Sales_Data[[#This Row],[Revenue]]-Sales_Data[[#This Row],[COGS]]</f>
        <v>84000</v>
      </c>
    </row>
    <row r="618" spans="1:14">
      <c r="A618" s="1">
        <v>46292</v>
      </c>
      <c r="B618" t="s">
        <v>18</v>
      </c>
      <c r="C618" t="s">
        <v>26</v>
      </c>
      <c r="D618" t="s">
        <v>23</v>
      </c>
      <c r="E618" t="s">
        <v>20</v>
      </c>
      <c r="F618" t="s">
        <v>34</v>
      </c>
      <c r="G618" t="s">
        <v>16</v>
      </c>
      <c r="H618" s="12">
        <v>320000</v>
      </c>
      <c r="I618">
        <v>7</v>
      </c>
      <c r="J618" t="s">
        <v>24</v>
      </c>
      <c r="K618" s="12">
        <f t="shared" si="9"/>
        <v>256000</v>
      </c>
      <c r="L618" s="12">
        <f>Sales_Data[[#This Row],[Unit Price]]*Sales_Data[[#This Row],[Quantity]]</f>
        <v>2240000</v>
      </c>
      <c r="M618" s="12">
        <f>Sales_Data[[#This Row],[Cost Price]]*Sales_Data[[#This Row],[Quantity]]</f>
        <v>1792000</v>
      </c>
      <c r="N618" s="12">
        <f>Sales_Data[[#This Row],[Revenue]]-Sales_Data[[#This Row],[COGS]]</f>
        <v>448000</v>
      </c>
    </row>
    <row r="619" spans="1:14">
      <c r="A619" s="1">
        <v>46293</v>
      </c>
      <c r="B619" t="s">
        <v>25</v>
      </c>
      <c r="C619" t="s">
        <v>19</v>
      </c>
      <c r="D619" t="s">
        <v>23</v>
      </c>
      <c r="E619" t="s">
        <v>14</v>
      </c>
      <c r="F619" t="s">
        <v>15</v>
      </c>
      <c r="G619" t="s">
        <v>16</v>
      </c>
      <c r="H619" s="12">
        <v>85000</v>
      </c>
      <c r="I619">
        <v>9</v>
      </c>
      <c r="J619" t="s">
        <v>24</v>
      </c>
      <c r="K619" s="12">
        <f t="shared" si="9"/>
        <v>68000</v>
      </c>
      <c r="L619" s="12">
        <f>Sales_Data[[#This Row],[Unit Price]]*Sales_Data[[#This Row],[Quantity]]</f>
        <v>765000</v>
      </c>
      <c r="M619" s="12">
        <f>Sales_Data[[#This Row],[Cost Price]]*Sales_Data[[#This Row],[Quantity]]</f>
        <v>612000</v>
      </c>
      <c r="N619" s="12">
        <f>Sales_Data[[#This Row],[Revenue]]-Sales_Data[[#This Row],[COGS]]</f>
        <v>153000</v>
      </c>
    </row>
    <row r="620" spans="1:14">
      <c r="A620" s="1">
        <v>46294</v>
      </c>
      <c r="B620" t="s">
        <v>11</v>
      </c>
      <c r="C620" t="s">
        <v>19</v>
      </c>
      <c r="D620" t="s">
        <v>13</v>
      </c>
      <c r="E620" t="s">
        <v>14</v>
      </c>
      <c r="F620" t="s">
        <v>34</v>
      </c>
      <c r="G620" t="s">
        <v>16</v>
      </c>
      <c r="H620" s="12">
        <v>320000</v>
      </c>
      <c r="I620">
        <v>3</v>
      </c>
      <c r="J620" t="s">
        <v>37</v>
      </c>
      <c r="K620" s="12">
        <f t="shared" si="9"/>
        <v>256000</v>
      </c>
      <c r="L620" s="12">
        <f>Sales_Data[[#This Row],[Unit Price]]*Sales_Data[[#This Row],[Quantity]]</f>
        <v>960000</v>
      </c>
      <c r="M620" s="12">
        <f>Sales_Data[[#This Row],[Cost Price]]*Sales_Data[[#This Row],[Quantity]]</f>
        <v>768000</v>
      </c>
      <c r="N620" s="12">
        <f>Sales_Data[[#This Row],[Revenue]]-Sales_Data[[#This Row],[COGS]]</f>
        <v>192000</v>
      </c>
    </row>
    <row r="621" spans="1:14">
      <c r="A621" s="1">
        <v>46295</v>
      </c>
      <c r="B621" t="s">
        <v>25</v>
      </c>
      <c r="C621" t="s">
        <v>32</v>
      </c>
      <c r="D621" t="s">
        <v>13</v>
      </c>
      <c r="E621" t="s">
        <v>14</v>
      </c>
      <c r="F621" t="s">
        <v>41</v>
      </c>
      <c r="G621" t="s">
        <v>22</v>
      </c>
      <c r="H621" s="12">
        <v>220000</v>
      </c>
      <c r="I621">
        <v>4</v>
      </c>
      <c r="J621" t="s">
        <v>37</v>
      </c>
      <c r="K621" s="12">
        <f t="shared" si="9"/>
        <v>176000</v>
      </c>
      <c r="L621" s="12">
        <f>Sales_Data[[#This Row],[Unit Price]]*Sales_Data[[#This Row],[Quantity]]</f>
        <v>880000</v>
      </c>
      <c r="M621" s="12">
        <f>Sales_Data[[#This Row],[Cost Price]]*Sales_Data[[#This Row],[Quantity]]</f>
        <v>704000</v>
      </c>
      <c r="N621" s="12">
        <f>Sales_Data[[#This Row],[Revenue]]-Sales_Data[[#This Row],[COGS]]</f>
        <v>176000</v>
      </c>
    </row>
    <row r="622" spans="1:14">
      <c r="A622" s="1">
        <v>46296</v>
      </c>
      <c r="B622" t="s">
        <v>18</v>
      </c>
      <c r="C622" t="s">
        <v>26</v>
      </c>
      <c r="D622" t="s">
        <v>23</v>
      </c>
      <c r="E622" t="s">
        <v>14</v>
      </c>
      <c r="F622" t="s">
        <v>34</v>
      </c>
      <c r="G622" t="s">
        <v>16</v>
      </c>
      <c r="H622" s="12">
        <v>320000</v>
      </c>
      <c r="I622">
        <v>7</v>
      </c>
      <c r="J622" t="s">
        <v>35</v>
      </c>
      <c r="K622" s="12">
        <f t="shared" si="9"/>
        <v>256000</v>
      </c>
      <c r="L622" s="12">
        <f>Sales_Data[[#This Row],[Unit Price]]*Sales_Data[[#This Row],[Quantity]]</f>
        <v>2240000</v>
      </c>
      <c r="M622" s="12">
        <f>Sales_Data[[#This Row],[Cost Price]]*Sales_Data[[#This Row],[Quantity]]</f>
        <v>1792000</v>
      </c>
      <c r="N622" s="12">
        <f>Sales_Data[[#This Row],[Revenue]]-Sales_Data[[#This Row],[COGS]]</f>
        <v>448000</v>
      </c>
    </row>
    <row r="623" spans="1:14">
      <c r="A623" s="1">
        <v>46297</v>
      </c>
      <c r="B623" t="s">
        <v>18</v>
      </c>
      <c r="C623" t="s">
        <v>12</v>
      </c>
      <c r="D623" t="s">
        <v>23</v>
      </c>
      <c r="E623" t="s">
        <v>14</v>
      </c>
      <c r="F623" t="s">
        <v>40</v>
      </c>
      <c r="G623" t="s">
        <v>31</v>
      </c>
      <c r="H623" s="12">
        <v>250000</v>
      </c>
      <c r="I623">
        <v>1</v>
      </c>
      <c r="J623" t="s">
        <v>28</v>
      </c>
      <c r="K623" s="12">
        <f t="shared" si="9"/>
        <v>200000</v>
      </c>
      <c r="L623" s="12">
        <f>Sales_Data[[#This Row],[Unit Price]]*Sales_Data[[#This Row],[Quantity]]</f>
        <v>250000</v>
      </c>
      <c r="M623" s="12">
        <f>Sales_Data[[#This Row],[Cost Price]]*Sales_Data[[#This Row],[Quantity]]</f>
        <v>200000</v>
      </c>
      <c r="N623" s="12">
        <f>Sales_Data[[#This Row],[Revenue]]-Sales_Data[[#This Row],[COGS]]</f>
        <v>50000</v>
      </c>
    </row>
    <row r="624" spans="1:14">
      <c r="A624" s="1">
        <v>46298</v>
      </c>
      <c r="B624" t="s">
        <v>18</v>
      </c>
      <c r="C624" t="s">
        <v>26</v>
      </c>
      <c r="D624" t="s">
        <v>13</v>
      </c>
      <c r="E624" t="s">
        <v>20</v>
      </c>
      <c r="F624" t="s">
        <v>21</v>
      </c>
      <c r="G624" t="s">
        <v>22</v>
      </c>
      <c r="H624" s="12">
        <v>30000</v>
      </c>
      <c r="I624">
        <v>5</v>
      </c>
      <c r="J624" t="s">
        <v>28</v>
      </c>
      <c r="K624" s="12">
        <f t="shared" si="9"/>
        <v>24000</v>
      </c>
      <c r="L624" s="12">
        <f>Sales_Data[[#This Row],[Unit Price]]*Sales_Data[[#This Row],[Quantity]]</f>
        <v>150000</v>
      </c>
      <c r="M624" s="12">
        <f>Sales_Data[[#This Row],[Cost Price]]*Sales_Data[[#This Row],[Quantity]]</f>
        <v>120000</v>
      </c>
      <c r="N624" s="12">
        <f>Sales_Data[[#This Row],[Revenue]]-Sales_Data[[#This Row],[COGS]]</f>
        <v>30000</v>
      </c>
    </row>
    <row r="625" spans="1:14">
      <c r="A625" s="1">
        <v>46299</v>
      </c>
      <c r="B625" t="s">
        <v>25</v>
      </c>
      <c r="C625" t="s">
        <v>26</v>
      </c>
      <c r="D625" t="s">
        <v>23</v>
      </c>
      <c r="E625" t="s">
        <v>14</v>
      </c>
      <c r="F625" t="s">
        <v>41</v>
      </c>
      <c r="G625" t="s">
        <v>22</v>
      </c>
      <c r="H625" s="12">
        <v>220000</v>
      </c>
      <c r="I625">
        <v>5</v>
      </c>
      <c r="J625" t="s">
        <v>24</v>
      </c>
      <c r="K625" s="12">
        <f t="shared" si="9"/>
        <v>176000</v>
      </c>
      <c r="L625" s="12">
        <f>Sales_Data[[#This Row],[Unit Price]]*Sales_Data[[#This Row],[Quantity]]</f>
        <v>1100000</v>
      </c>
      <c r="M625" s="12">
        <f>Sales_Data[[#This Row],[Cost Price]]*Sales_Data[[#This Row],[Quantity]]</f>
        <v>880000</v>
      </c>
      <c r="N625" s="12">
        <f>Sales_Data[[#This Row],[Revenue]]-Sales_Data[[#This Row],[COGS]]</f>
        <v>220000</v>
      </c>
    </row>
    <row r="626" spans="1:14">
      <c r="A626" s="1">
        <v>46300</v>
      </c>
      <c r="B626" t="s">
        <v>29</v>
      </c>
      <c r="C626" t="s">
        <v>26</v>
      </c>
      <c r="D626" t="s">
        <v>23</v>
      </c>
      <c r="E626" t="s">
        <v>20</v>
      </c>
      <c r="F626" t="s">
        <v>40</v>
      </c>
      <c r="G626" t="s">
        <v>31</v>
      </c>
      <c r="H626" s="12">
        <v>250000</v>
      </c>
      <c r="I626">
        <v>4</v>
      </c>
      <c r="J626" t="s">
        <v>35</v>
      </c>
      <c r="K626" s="12">
        <f t="shared" si="9"/>
        <v>200000</v>
      </c>
      <c r="L626" s="12">
        <f>Sales_Data[[#This Row],[Unit Price]]*Sales_Data[[#This Row],[Quantity]]</f>
        <v>1000000</v>
      </c>
      <c r="M626" s="12">
        <f>Sales_Data[[#This Row],[Cost Price]]*Sales_Data[[#This Row],[Quantity]]</f>
        <v>800000</v>
      </c>
      <c r="N626" s="12">
        <f>Sales_Data[[#This Row],[Revenue]]-Sales_Data[[#This Row],[COGS]]</f>
        <v>200000</v>
      </c>
    </row>
    <row r="627" spans="1:14">
      <c r="A627" s="1">
        <v>46301</v>
      </c>
      <c r="B627" t="s">
        <v>29</v>
      </c>
      <c r="C627" t="s">
        <v>12</v>
      </c>
      <c r="D627" t="s">
        <v>13</v>
      </c>
      <c r="E627" t="s">
        <v>20</v>
      </c>
      <c r="F627" t="s">
        <v>33</v>
      </c>
      <c r="G627" t="s">
        <v>22</v>
      </c>
      <c r="H627" s="12">
        <v>180000</v>
      </c>
      <c r="I627">
        <v>4</v>
      </c>
      <c r="J627" t="s">
        <v>17</v>
      </c>
      <c r="K627" s="12">
        <f t="shared" si="9"/>
        <v>144000</v>
      </c>
      <c r="L627" s="12">
        <f>Sales_Data[[#This Row],[Unit Price]]*Sales_Data[[#This Row],[Quantity]]</f>
        <v>720000</v>
      </c>
      <c r="M627" s="12">
        <f>Sales_Data[[#This Row],[Cost Price]]*Sales_Data[[#This Row],[Quantity]]</f>
        <v>576000</v>
      </c>
      <c r="N627" s="12">
        <f>Sales_Data[[#This Row],[Revenue]]-Sales_Data[[#This Row],[COGS]]</f>
        <v>144000</v>
      </c>
    </row>
    <row r="628" spans="1:14">
      <c r="A628" s="1">
        <v>46302</v>
      </c>
      <c r="B628" t="s">
        <v>25</v>
      </c>
      <c r="C628" t="s">
        <v>12</v>
      </c>
      <c r="D628" t="s">
        <v>23</v>
      </c>
      <c r="E628" t="s">
        <v>20</v>
      </c>
      <c r="F628" t="s">
        <v>27</v>
      </c>
      <c r="G628" t="s">
        <v>22</v>
      </c>
      <c r="H628" s="12">
        <v>60000</v>
      </c>
      <c r="I628">
        <v>10</v>
      </c>
      <c r="J628" t="s">
        <v>24</v>
      </c>
      <c r="K628" s="12">
        <f t="shared" si="9"/>
        <v>48000</v>
      </c>
      <c r="L628" s="12">
        <f>Sales_Data[[#This Row],[Unit Price]]*Sales_Data[[#This Row],[Quantity]]</f>
        <v>600000</v>
      </c>
      <c r="M628" s="12">
        <f>Sales_Data[[#This Row],[Cost Price]]*Sales_Data[[#This Row],[Quantity]]</f>
        <v>480000</v>
      </c>
      <c r="N628" s="12">
        <f>Sales_Data[[#This Row],[Revenue]]-Sales_Data[[#This Row],[COGS]]</f>
        <v>120000</v>
      </c>
    </row>
    <row r="629" spans="1:14">
      <c r="A629" s="1">
        <v>46303</v>
      </c>
      <c r="B629" t="s">
        <v>18</v>
      </c>
      <c r="C629" t="s">
        <v>26</v>
      </c>
      <c r="D629" t="s">
        <v>13</v>
      </c>
      <c r="E629" t="s">
        <v>14</v>
      </c>
      <c r="F629" t="s">
        <v>34</v>
      </c>
      <c r="G629" t="s">
        <v>16</v>
      </c>
      <c r="H629" s="12">
        <v>320000</v>
      </c>
      <c r="I629">
        <v>10</v>
      </c>
      <c r="J629" t="s">
        <v>17</v>
      </c>
      <c r="K629" s="12">
        <f t="shared" si="9"/>
        <v>256000</v>
      </c>
      <c r="L629" s="12">
        <f>Sales_Data[[#This Row],[Unit Price]]*Sales_Data[[#This Row],[Quantity]]</f>
        <v>3200000</v>
      </c>
      <c r="M629" s="12">
        <f>Sales_Data[[#This Row],[Cost Price]]*Sales_Data[[#This Row],[Quantity]]</f>
        <v>2560000</v>
      </c>
      <c r="N629" s="12">
        <f>Sales_Data[[#This Row],[Revenue]]-Sales_Data[[#This Row],[COGS]]</f>
        <v>640000</v>
      </c>
    </row>
    <row r="630" spans="1:14">
      <c r="A630" s="1">
        <v>46304</v>
      </c>
      <c r="B630" t="s">
        <v>18</v>
      </c>
      <c r="C630" t="s">
        <v>26</v>
      </c>
      <c r="D630" t="s">
        <v>13</v>
      </c>
      <c r="E630" t="s">
        <v>20</v>
      </c>
      <c r="F630" t="s">
        <v>36</v>
      </c>
      <c r="G630" t="s">
        <v>31</v>
      </c>
      <c r="H630" s="12">
        <v>150000</v>
      </c>
      <c r="I630">
        <v>4</v>
      </c>
      <c r="J630" t="s">
        <v>28</v>
      </c>
      <c r="K630" s="12">
        <f t="shared" si="9"/>
        <v>120000</v>
      </c>
      <c r="L630" s="12">
        <f>Sales_Data[[#This Row],[Unit Price]]*Sales_Data[[#This Row],[Quantity]]</f>
        <v>600000</v>
      </c>
      <c r="M630" s="12">
        <f>Sales_Data[[#This Row],[Cost Price]]*Sales_Data[[#This Row],[Quantity]]</f>
        <v>480000</v>
      </c>
      <c r="N630" s="12">
        <f>Sales_Data[[#This Row],[Revenue]]-Sales_Data[[#This Row],[COGS]]</f>
        <v>120000</v>
      </c>
    </row>
    <row r="631" spans="1:14">
      <c r="A631" s="1">
        <v>46305</v>
      </c>
      <c r="B631" t="s">
        <v>11</v>
      </c>
      <c r="C631" t="s">
        <v>12</v>
      </c>
      <c r="D631" t="s">
        <v>23</v>
      </c>
      <c r="E631" t="s">
        <v>20</v>
      </c>
      <c r="F631" t="s">
        <v>34</v>
      </c>
      <c r="G631" t="s">
        <v>16</v>
      </c>
      <c r="H631" s="12">
        <v>320000</v>
      </c>
      <c r="I631">
        <v>4</v>
      </c>
      <c r="J631" t="s">
        <v>17</v>
      </c>
      <c r="K631" s="12">
        <f t="shared" si="9"/>
        <v>256000</v>
      </c>
      <c r="L631" s="12">
        <f>Sales_Data[[#This Row],[Unit Price]]*Sales_Data[[#This Row],[Quantity]]</f>
        <v>1280000</v>
      </c>
      <c r="M631" s="12">
        <f>Sales_Data[[#This Row],[Cost Price]]*Sales_Data[[#This Row],[Quantity]]</f>
        <v>1024000</v>
      </c>
      <c r="N631" s="12">
        <f>Sales_Data[[#This Row],[Revenue]]-Sales_Data[[#This Row],[COGS]]</f>
        <v>256000</v>
      </c>
    </row>
    <row r="632" spans="1:14">
      <c r="A632" s="1">
        <v>46306</v>
      </c>
      <c r="B632" t="s">
        <v>25</v>
      </c>
      <c r="C632" t="s">
        <v>19</v>
      </c>
      <c r="D632" t="s">
        <v>23</v>
      </c>
      <c r="E632" t="s">
        <v>14</v>
      </c>
      <c r="F632" t="s">
        <v>30</v>
      </c>
      <c r="G632" t="s">
        <v>31</v>
      </c>
      <c r="H632" s="12">
        <v>300000</v>
      </c>
      <c r="I632">
        <v>7</v>
      </c>
      <c r="J632" t="s">
        <v>37</v>
      </c>
      <c r="K632" s="12">
        <f t="shared" si="9"/>
        <v>240000</v>
      </c>
      <c r="L632" s="12">
        <f>Sales_Data[[#This Row],[Unit Price]]*Sales_Data[[#This Row],[Quantity]]</f>
        <v>2100000</v>
      </c>
      <c r="M632" s="12">
        <f>Sales_Data[[#This Row],[Cost Price]]*Sales_Data[[#This Row],[Quantity]]</f>
        <v>1680000</v>
      </c>
      <c r="N632" s="12">
        <f>Sales_Data[[#This Row],[Revenue]]-Sales_Data[[#This Row],[COGS]]</f>
        <v>420000</v>
      </c>
    </row>
    <row r="633" spans="1:14">
      <c r="A633" s="1">
        <v>46307</v>
      </c>
      <c r="B633" t="s">
        <v>29</v>
      </c>
      <c r="C633" t="s">
        <v>12</v>
      </c>
      <c r="D633" t="s">
        <v>23</v>
      </c>
      <c r="E633" t="s">
        <v>20</v>
      </c>
      <c r="F633" t="s">
        <v>36</v>
      </c>
      <c r="G633" t="s">
        <v>31</v>
      </c>
      <c r="H633" s="12">
        <v>150000</v>
      </c>
      <c r="I633">
        <v>10</v>
      </c>
      <c r="J633" t="s">
        <v>17</v>
      </c>
      <c r="K633" s="12">
        <f t="shared" si="9"/>
        <v>120000</v>
      </c>
      <c r="L633" s="12">
        <f>Sales_Data[[#This Row],[Unit Price]]*Sales_Data[[#This Row],[Quantity]]</f>
        <v>1500000</v>
      </c>
      <c r="M633" s="12">
        <f>Sales_Data[[#This Row],[Cost Price]]*Sales_Data[[#This Row],[Quantity]]</f>
        <v>1200000</v>
      </c>
      <c r="N633" s="12">
        <f>Sales_Data[[#This Row],[Revenue]]-Sales_Data[[#This Row],[COGS]]</f>
        <v>300000</v>
      </c>
    </row>
    <row r="634" spans="1:14">
      <c r="A634" s="1">
        <v>46308</v>
      </c>
      <c r="B634" t="s">
        <v>25</v>
      </c>
      <c r="C634" t="s">
        <v>19</v>
      </c>
      <c r="D634" t="s">
        <v>23</v>
      </c>
      <c r="E634" t="s">
        <v>14</v>
      </c>
      <c r="F634" t="s">
        <v>41</v>
      </c>
      <c r="G634" t="s">
        <v>22</v>
      </c>
      <c r="H634" s="12">
        <v>220000</v>
      </c>
      <c r="I634">
        <v>9</v>
      </c>
      <c r="J634" t="s">
        <v>17</v>
      </c>
      <c r="K634" s="12">
        <f t="shared" si="9"/>
        <v>176000</v>
      </c>
      <c r="L634" s="12">
        <f>Sales_Data[[#This Row],[Unit Price]]*Sales_Data[[#This Row],[Quantity]]</f>
        <v>1980000</v>
      </c>
      <c r="M634" s="12">
        <f>Sales_Data[[#This Row],[Cost Price]]*Sales_Data[[#This Row],[Quantity]]</f>
        <v>1584000</v>
      </c>
      <c r="N634" s="12">
        <f>Sales_Data[[#This Row],[Revenue]]-Sales_Data[[#This Row],[COGS]]</f>
        <v>396000</v>
      </c>
    </row>
    <row r="635" spans="1:14">
      <c r="A635" s="1">
        <v>46309</v>
      </c>
      <c r="B635" t="s">
        <v>11</v>
      </c>
      <c r="C635" t="s">
        <v>32</v>
      </c>
      <c r="D635" t="s">
        <v>23</v>
      </c>
      <c r="E635" t="s">
        <v>20</v>
      </c>
      <c r="F635" t="s">
        <v>15</v>
      </c>
      <c r="G635" t="s">
        <v>16</v>
      </c>
      <c r="H635" s="12">
        <v>85000</v>
      </c>
      <c r="I635">
        <v>4</v>
      </c>
      <c r="J635" t="s">
        <v>28</v>
      </c>
      <c r="K635" s="12">
        <f t="shared" si="9"/>
        <v>68000</v>
      </c>
      <c r="L635" s="12">
        <f>Sales_Data[[#This Row],[Unit Price]]*Sales_Data[[#This Row],[Quantity]]</f>
        <v>340000</v>
      </c>
      <c r="M635" s="12">
        <f>Sales_Data[[#This Row],[Cost Price]]*Sales_Data[[#This Row],[Quantity]]</f>
        <v>272000</v>
      </c>
      <c r="N635" s="12">
        <f>Sales_Data[[#This Row],[Revenue]]-Sales_Data[[#This Row],[COGS]]</f>
        <v>68000</v>
      </c>
    </row>
    <row r="636" spans="1:14">
      <c r="A636" s="1">
        <v>46310</v>
      </c>
      <c r="B636" t="s">
        <v>25</v>
      </c>
      <c r="C636" t="s">
        <v>26</v>
      </c>
      <c r="D636" t="s">
        <v>23</v>
      </c>
      <c r="E636" t="s">
        <v>14</v>
      </c>
      <c r="F636" t="s">
        <v>34</v>
      </c>
      <c r="G636" t="s">
        <v>16</v>
      </c>
      <c r="H636" s="12">
        <v>320000</v>
      </c>
      <c r="I636">
        <v>1</v>
      </c>
      <c r="J636" t="s">
        <v>39</v>
      </c>
      <c r="K636" s="12">
        <f t="shared" si="9"/>
        <v>256000</v>
      </c>
      <c r="L636" s="12">
        <f>Sales_Data[[#This Row],[Unit Price]]*Sales_Data[[#This Row],[Quantity]]</f>
        <v>320000</v>
      </c>
      <c r="M636" s="12">
        <f>Sales_Data[[#This Row],[Cost Price]]*Sales_Data[[#This Row],[Quantity]]</f>
        <v>256000</v>
      </c>
      <c r="N636" s="12">
        <f>Sales_Data[[#This Row],[Revenue]]-Sales_Data[[#This Row],[COGS]]</f>
        <v>64000</v>
      </c>
    </row>
    <row r="637" spans="1:14">
      <c r="A637" s="1">
        <v>46311</v>
      </c>
      <c r="B637" t="s">
        <v>18</v>
      </c>
      <c r="C637" t="s">
        <v>32</v>
      </c>
      <c r="D637" t="s">
        <v>23</v>
      </c>
      <c r="E637" t="s">
        <v>20</v>
      </c>
      <c r="F637" t="s">
        <v>38</v>
      </c>
      <c r="G637" t="s">
        <v>31</v>
      </c>
      <c r="H637" s="12">
        <v>420000</v>
      </c>
      <c r="I637">
        <v>1</v>
      </c>
      <c r="J637" t="s">
        <v>35</v>
      </c>
      <c r="K637" s="12">
        <f t="shared" si="9"/>
        <v>336000</v>
      </c>
      <c r="L637" s="12">
        <f>Sales_Data[[#This Row],[Unit Price]]*Sales_Data[[#This Row],[Quantity]]</f>
        <v>420000</v>
      </c>
      <c r="M637" s="12">
        <f>Sales_Data[[#This Row],[Cost Price]]*Sales_Data[[#This Row],[Quantity]]</f>
        <v>336000</v>
      </c>
      <c r="N637" s="12">
        <f>Sales_Data[[#This Row],[Revenue]]-Sales_Data[[#This Row],[COGS]]</f>
        <v>84000</v>
      </c>
    </row>
    <row r="638" spans="1:14">
      <c r="A638" s="1">
        <v>46312</v>
      </c>
      <c r="B638" t="s">
        <v>25</v>
      </c>
      <c r="C638" t="s">
        <v>26</v>
      </c>
      <c r="D638" t="s">
        <v>23</v>
      </c>
      <c r="E638" t="s">
        <v>20</v>
      </c>
      <c r="F638" t="s">
        <v>38</v>
      </c>
      <c r="G638" t="s">
        <v>31</v>
      </c>
      <c r="H638" s="12">
        <v>420000</v>
      </c>
      <c r="I638">
        <v>6</v>
      </c>
      <c r="J638" t="s">
        <v>24</v>
      </c>
      <c r="K638" s="12">
        <f t="shared" si="9"/>
        <v>336000</v>
      </c>
      <c r="L638" s="12">
        <f>Sales_Data[[#This Row],[Unit Price]]*Sales_Data[[#This Row],[Quantity]]</f>
        <v>2520000</v>
      </c>
      <c r="M638" s="12">
        <f>Sales_Data[[#This Row],[Cost Price]]*Sales_Data[[#This Row],[Quantity]]</f>
        <v>2016000</v>
      </c>
      <c r="N638" s="12">
        <f>Sales_Data[[#This Row],[Revenue]]-Sales_Data[[#This Row],[COGS]]</f>
        <v>504000</v>
      </c>
    </row>
    <row r="639" spans="1:14">
      <c r="A639" s="1">
        <v>46313</v>
      </c>
      <c r="B639" t="s">
        <v>29</v>
      </c>
      <c r="C639" t="s">
        <v>19</v>
      </c>
      <c r="D639" t="s">
        <v>23</v>
      </c>
      <c r="E639" t="s">
        <v>14</v>
      </c>
      <c r="F639" t="s">
        <v>27</v>
      </c>
      <c r="G639" t="s">
        <v>22</v>
      </c>
      <c r="H639" s="12">
        <v>60000</v>
      </c>
      <c r="I639">
        <v>8</v>
      </c>
      <c r="J639" t="s">
        <v>37</v>
      </c>
      <c r="K639" s="12">
        <f t="shared" si="9"/>
        <v>48000</v>
      </c>
      <c r="L639" s="12">
        <f>Sales_Data[[#This Row],[Unit Price]]*Sales_Data[[#This Row],[Quantity]]</f>
        <v>480000</v>
      </c>
      <c r="M639" s="12">
        <f>Sales_Data[[#This Row],[Cost Price]]*Sales_Data[[#This Row],[Quantity]]</f>
        <v>384000</v>
      </c>
      <c r="N639" s="12">
        <f>Sales_Data[[#This Row],[Revenue]]-Sales_Data[[#This Row],[COGS]]</f>
        <v>96000</v>
      </c>
    </row>
    <row r="640" spans="1:14">
      <c r="A640" s="1">
        <v>46314</v>
      </c>
      <c r="B640" t="s">
        <v>18</v>
      </c>
      <c r="C640" t="s">
        <v>12</v>
      </c>
      <c r="D640" t="s">
        <v>23</v>
      </c>
      <c r="E640" t="s">
        <v>20</v>
      </c>
      <c r="F640" t="s">
        <v>41</v>
      </c>
      <c r="G640" t="s">
        <v>22</v>
      </c>
      <c r="H640" s="12">
        <v>220000</v>
      </c>
      <c r="I640">
        <v>7</v>
      </c>
      <c r="J640" t="s">
        <v>17</v>
      </c>
      <c r="K640" s="12">
        <f t="shared" si="9"/>
        <v>176000</v>
      </c>
      <c r="L640" s="12">
        <f>Sales_Data[[#This Row],[Unit Price]]*Sales_Data[[#This Row],[Quantity]]</f>
        <v>1540000</v>
      </c>
      <c r="M640" s="12">
        <f>Sales_Data[[#This Row],[Cost Price]]*Sales_Data[[#This Row],[Quantity]]</f>
        <v>1232000</v>
      </c>
      <c r="N640" s="12">
        <f>Sales_Data[[#This Row],[Revenue]]-Sales_Data[[#This Row],[COGS]]</f>
        <v>308000</v>
      </c>
    </row>
    <row r="641" spans="1:14">
      <c r="A641" s="1">
        <v>46315</v>
      </c>
      <c r="B641" t="s">
        <v>25</v>
      </c>
      <c r="C641" t="s">
        <v>12</v>
      </c>
      <c r="D641" t="s">
        <v>23</v>
      </c>
      <c r="E641" t="s">
        <v>14</v>
      </c>
      <c r="F641" t="s">
        <v>34</v>
      </c>
      <c r="G641" t="s">
        <v>16</v>
      </c>
      <c r="H641" s="12">
        <v>320000</v>
      </c>
      <c r="I641">
        <v>9</v>
      </c>
      <c r="J641" t="s">
        <v>35</v>
      </c>
      <c r="K641" s="12">
        <f t="shared" si="9"/>
        <v>256000</v>
      </c>
      <c r="L641" s="12">
        <f>Sales_Data[[#This Row],[Unit Price]]*Sales_Data[[#This Row],[Quantity]]</f>
        <v>2880000</v>
      </c>
      <c r="M641" s="12">
        <f>Sales_Data[[#This Row],[Cost Price]]*Sales_Data[[#This Row],[Quantity]]</f>
        <v>2304000</v>
      </c>
      <c r="N641" s="12">
        <f>Sales_Data[[#This Row],[Revenue]]-Sales_Data[[#This Row],[COGS]]</f>
        <v>576000</v>
      </c>
    </row>
    <row r="642" spans="1:14">
      <c r="A642" s="1">
        <v>46316</v>
      </c>
      <c r="B642" t="s">
        <v>11</v>
      </c>
      <c r="C642" t="s">
        <v>32</v>
      </c>
      <c r="D642" t="s">
        <v>23</v>
      </c>
      <c r="E642" t="s">
        <v>20</v>
      </c>
      <c r="F642" t="s">
        <v>30</v>
      </c>
      <c r="G642" t="s">
        <v>31</v>
      </c>
      <c r="H642" s="12">
        <v>300000</v>
      </c>
      <c r="I642">
        <v>2</v>
      </c>
      <c r="J642" t="s">
        <v>37</v>
      </c>
      <c r="K642" s="12">
        <f t="shared" ref="K642:K705" si="10">H642-H642*0.2</f>
        <v>240000</v>
      </c>
      <c r="L642" s="12">
        <f>Sales_Data[[#This Row],[Unit Price]]*Sales_Data[[#This Row],[Quantity]]</f>
        <v>600000</v>
      </c>
      <c r="M642" s="12">
        <f>Sales_Data[[#This Row],[Cost Price]]*Sales_Data[[#This Row],[Quantity]]</f>
        <v>480000</v>
      </c>
      <c r="N642" s="12">
        <f>Sales_Data[[#This Row],[Revenue]]-Sales_Data[[#This Row],[COGS]]</f>
        <v>120000</v>
      </c>
    </row>
    <row r="643" spans="1:14">
      <c r="A643" s="1">
        <v>46317</v>
      </c>
      <c r="B643" t="s">
        <v>25</v>
      </c>
      <c r="C643" t="s">
        <v>12</v>
      </c>
      <c r="D643" t="s">
        <v>23</v>
      </c>
      <c r="E643" t="s">
        <v>14</v>
      </c>
      <c r="F643" t="s">
        <v>40</v>
      </c>
      <c r="G643" t="s">
        <v>31</v>
      </c>
      <c r="H643" s="12">
        <v>250000</v>
      </c>
      <c r="I643">
        <v>4</v>
      </c>
      <c r="J643" t="s">
        <v>37</v>
      </c>
      <c r="K643" s="12">
        <f t="shared" si="10"/>
        <v>200000</v>
      </c>
      <c r="L643" s="12">
        <f>Sales_Data[[#This Row],[Unit Price]]*Sales_Data[[#This Row],[Quantity]]</f>
        <v>1000000</v>
      </c>
      <c r="M643" s="12">
        <f>Sales_Data[[#This Row],[Cost Price]]*Sales_Data[[#This Row],[Quantity]]</f>
        <v>800000</v>
      </c>
      <c r="N643" s="12">
        <f>Sales_Data[[#This Row],[Revenue]]-Sales_Data[[#This Row],[COGS]]</f>
        <v>200000</v>
      </c>
    </row>
    <row r="644" spans="1:14">
      <c r="A644" s="1">
        <v>46318</v>
      </c>
      <c r="B644" t="s">
        <v>29</v>
      </c>
      <c r="C644" t="s">
        <v>19</v>
      </c>
      <c r="D644" t="s">
        <v>13</v>
      </c>
      <c r="E644" t="s">
        <v>14</v>
      </c>
      <c r="F644" t="s">
        <v>21</v>
      </c>
      <c r="G644" t="s">
        <v>22</v>
      </c>
      <c r="H644" s="12">
        <v>30000</v>
      </c>
      <c r="I644">
        <v>4</v>
      </c>
      <c r="J644" t="s">
        <v>37</v>
      </c>
      <c r="K644" s="12">
        <f t="shared" si="10"/>
        <v>24000</v>
      </c>
      <c r="L644" s="12">
        <f>Sales_Data[[#This Row],[Unit Price]]*Sales_Data[[#This Row],[Quantity]]</f>
        <v>120000</v>
      </c>
      <c r="M644" s="12">
        <f>Sales_Data[[#This Row],[Cost Price]]*Sales_Data[[#This Row],[Quantity]]</f>
        <v>96000</v>
      </c>
      <c r="N644" s="12">
        <f>Sales_Data[[#This Row],[Revenue]]-Sales_Data[[#This Row],[COGS]]</f>
        <v>24000</v>
      </c>
    </row>
    <row r="645" spans="1:14">
      <c r="A645" s="1">
        <v>46319</v>
      </c>
      <c r="B645" t="s">
        <v>11</v>
      </c>
      <c r="C645" t="s">
        <v>19</v>
      </c>
      <c r="D645" t="s">
        <v>13</v>
      </c>
      <c r="E645" t="s">
        <v>20</v>
      </c>
      <c r="F645" t="s">
        <v>41</v>
      </c>
      <c r="G645" t="s">
        <v>22</v>
      </c>
      <c r="H645" s="12">
        <v>220000</v>
      </c>
      <c r="I645">
        <v>4</v>
      </c>
      <c r="J645" t="s">
        <v>17</v>
      </c>
      <c r="K645" s="12">
        <f t="shared" si="10"/>
        <v>176000</v>
      </c>
      <c r="L645" s="12">
        <f>Sales_Data[[#This Row],[Unit Price]]*Sales_Data[[#This Row],[Quantity]]</f>
        <v>880000</v>
      </c>
      <c r="M645" s="12">
        <f>Sales_Data[[#This Row],[Cost Price]]*Sales_Data[[#This Row],[Quantity]]</f>
        <v>704000</v>
      </c>
      <c r="N645" s="12">
        <f>Sales_Data[[#This Row],[Revenue]]-Sales_Data[[#This Row],[COGS]]</f>
        <v>176000</v>
      </c>
    </row>
    <row r="646" spans="1:14">
      <c r="A646" s="1">
        <v>46320</v>
      </c>
      <c r="B646" t="s">
        <v>29</v>
      </c>
      <c r="C646" t="s">
        <v>32</v>
      </c>
      <c r="D646" t="s">
        <v>13</v>
      </c>
      <c r="E646" t="s">
        <v>20</v>
      </c>
      <c r="F646" t="s">
        <v>30</v>
      </c>
      <c r="G646" t="s">
        <v>31</v>
      </c>
      <c r="H646" s="12">
        <v>300000</v>
      </c>
      <c r="I646">
        <v>2</v>
      </c>
      <c r="J646" t="s">
        <v>37</v>
      </c>
      <c r="K646" s="12">
        <f t="shared" si="10"/>
        <v>240000</v>
      </c>
      <c r="L646" s="12">
        <f>Sales_Data[[#This Row],[Unit Price]]*Sales_Data[[#This Row],[Quantity]]</f>
        <v>600000</v>
      </c>
      <c r="M646" s="12">
        <f>Sales_Data[[#This Row],[Cost Price]]*Sales_Data[[#This Row],[Quantity]]</f>
        <v>480000</v>
      </c>
      <c r="N646" s="12">
        <f>Sales_Data[[#This Row],[Revenue]]-Sales_Data[[#This Row],[COGS]]</f>
        <v>120000</v>
      </c>
    </row>
    <row r="647" spans="1:14">
      <c r="A647" s="1">
        <v>46321</v>
      </c>
      <c r="B647" t="s">
        <v>25</v>
      </c>
      <c r="C647" t="s">
        <v>19</v>
      </c>
      <c r="D647" t="s">
        <v>13</v>
      </c>
      <c r="E647" t="s">
        <v>14</v>
      </c>
      <c r="F647" t="s">
        <v>34</v>
      </c>
      <c r="G647" t="s">
        <v>16</v>
      </c>
      <c r="H647" s="12">
        <v>320000</v>
      </c>
      <c r="I647">
        <v>7</v>
      </c>
      <c r="J647" t="s">
        <v>24</v>
      </c>
      <c r="K647" s="12">
        <f t="shared" si="10"/>
        <v>256000</v>
      </c>
      <c r="L647" s="12">
        <f>Sales_Data[[#This Row],[Unit Price]]*Sales_Data[[#This Row],[Quantity]]</f>
        <v>2240000</v>
      </c>
      <c r="M647" s="12">
        <f>Sales_Data[[#This Row],[Cost Price]]*Sales_Data[[#This Row],[Quantity]]</f>
        <v>1792000</v>
      </c>
      <c r="N647" s="12">
        <f>Sales_Data[[#This Row],[Revenue]]-Sales_Data[[#This Row],[COGS]]</f>
        <v>448000</v>
      </c>
    </row>
    <row r="648" spans="1:14">
      <c r="A648" s="1">
        <v>46322</v>
      </c>
      <c r="B648" t="s">
        <v>18</v>
      </c>
      <c r="C648" t="s">
        <v>32</v>
      </c>
      <c r="D648" t="s">
        <v>23</v>
      </c>
      <c r="E648" t="s">
        <v>14</v>
      </c>
      <c r="F648" t="s">
        <v>27</v>
      </c>
      <c r="G648" t="s">
        <v>22</v>
      </c>
      <c r="H648" s="12">
        <v>60000</v>
      </c>
      <c r="I648">
        <v>5</v>
      </c>
      <c r="J648" t="s">
        <v>28</v>
      </c>
      <c r="K648" s="12">
        <f t="shared" si="10"/>
        <v>48000</v>
      </c>
      <c r="L648" s="12">
        <f>Sales_Data[[#This Row],[Unit Price]]*Sales_Data[[#This Row],[Quantity]]</f>
        <v>300000</v>
      </c>
      <c r="M648" s="12">
        <f>Sales_Data[[#This Row],[Cost Price]]*Sales_Data[[#This Row],[Quantity]]</f>
        <v>240000</v>
      </c>
      <c r="N648" s="12">
        <f>Sales_Data[[#This Row],[Revenue]]-Sales_Data[[#This Row],[COGS]]</f>
        <v>60000</v>
      </c>
    </row>
    <row r="649" spans="1:14">
      <c r="A649" s="1">
        <v>46323</v>
      </c>
      <c r="B649" t="s">
        <v>25</v>
      </c>
      <c r="C649" t="s">
        <v>26</v>
      </c>
      <c r="D649" t="s">
        <v>13</v>
      </c>
      <c r="E649" t="s">
        <v>14</v>
      </c>
      <c r="F649" t="s">
        <v>15</v>
      </c>
      <c r="G649" t="s">
        <v>16</v>
      </c>
      <c r="H649" s="12">
        <v>85000</v>
      </c>
      <c r="I649">
        <v>7</v>
      </c>
      <c r="J649" t="s">
        <v>35</v>
      </c>
      <c r="K649" s="12">
        <f t="shared" si="10"/>
        <v>68000</v>
      </c>
      <c r="L649" s="12">
        <f>Sales_Data[[#This Row],[Unit Price]]*Sales_Data[[#This Row],[Quantity]]</f>
        <v>595000</v>
      </c>
      <c r="M649" s="12">
        <f>Sales_Data[[#This Row],[Cost Price]]*Sales_Data[[#This Row],[Quantity]]</f>
        <v>476000</v>
      </c>
      <c r="N649" s="12">
        <f>Sales_Data[[#This Row],[Revenue]]-Sales_Data[[#This Row],[COGS]]</f>
        <v>119000</v>
      </c>
    </row>
    <row r="650" spans="1:14">
      <c r="A650" s="1">
        <v>46324</v>
      </c>
      <c r="B650" t="s">
        <v>11</v>
      </c>
      <c r="C650" t="s">
        <v>19</v>
      </c>
      <c r="D650" t="s">
        <v>13</v>
      </c>
      <c r="E650" t="s">
        <v>20</v>
      </c>
      <c r="F650" t="s">
        <v>30</v>
      </c>
      <c r="G650" t="s">
        <v>31</v>
      </c>
      <c r="H650" s="12">
        <v>300000</v>
      </c>
      <c r="I650">
        <v>6</v>
      </c>
      <c r="J650" t="s">
        <v>39</v>
      </c>
      <c r="K650" s="12">
        <f t="shared" si="10"/>
        <v>240000</v>
      </c>
      <c r="L650" s="12">
        <f>Sales_Data[[#This Row],[Unit Price]]*Sales_Data[[#This Row],[Quantity]]</f>
        <v>1800000</v>
      </c>
      <c r="M650" s="12">
        <f>Sales_Data[[#This Row],[Cost Price]]*Sales_Data[[#This Row],[Quantity]]</f>
        <v>1440000</v>
      </c>
      <c r="N650" s="12">
        <f>Sales_Data[[#This Row],[Revenue]]-Sales_Data[[#This Row],[COGS]]</f>
        <v>360000</v>
      </c>
    </row>
    <row r="651" spans="1:14">
      <c r="A651" s="1">
        <v>46325</v>
      </c>
      <c r="B651" t="s">
        <v>18</v>
      </c>
      <c r="C651" t="s">
        <v>26</v>
      </c>
      <c r="D651" t="s">
        <v>23</v>
      </c>
      <c r="E651" t="s">
        <v>14</v>
      </c>
      <c r="F651" t="s">
        <v>33</v>
      </c>
      <c r="G651" t="s">
        <v>22</v>
      </c>
      <c r="H651" s="12">
        <v>180000</v>
      </c>
      <c r="I651">
        <v>5</v>
      </c>
      <c r="J651" t="s">
        <v>28</v>
      </c>
      <c r="K651" s="12">
        <f t="shared" si="10"/>
        <v>144000</v>
      </c>
      <c r="L651" s="12">
        <f>Sales_Data[[#This Row],[Unit Price]]*Sales_Data[[#This Row],[Quantity]]</f>
        <v>900000</v>
      </c>
      <c r="M651" s="12">
        <f>Sales_Data[[#This Row],[Cost Price]]*Sales_Data[[#This Row],[Quantity]]</f>
        <v>720000</v>
      </c>
      <c r="N651" s="12">
        <f>Sales_Data[[#This Row],[Revenue]]-Sales_Data[[#This Row],[COGS]]</f>
        <v>180000</v>
      </c>
    </row>
    <row r="652" spans="1:14">
      <c r="A652" s="1">
        <v>46326</v>
      </c>
      <c r="B652" t="s">
        <v>18</v>
      </c>
      <c r="C652" t="s">
        <v>19</v>
      </c>
      <c r="D652" t="s">
        <v>23</v>
      </c>
      <c r="E652" t="s">
        <v>20</v>
      </c>
      <c r="F652" t="s">
        <v>30</v>
      </c>
      <c r="G652" t="s">
        <v>31</v>
      </c>
      <c r="H652" s="12">
        <v>300000</v>
      </c>
      <c r="I652">
        <v>1</v>
      </c>
      <c r="J652" t="s">
        <v>37</v>
      </c>
      <c r="K652" s="12">
        <f t="shared" si="10"/>
        <v>240000</v>
      </c>
      <c r="L652" s="12">
        <f>Sales_Data[[#This Row],[Unit Price]]*Sales_Data[[#This Row],[Quantity]]</f>
        <v>300000</v>
      </c>
      <c r="M652" s="12">
        <f>Sales_Data[[#This Row],[Cost Price]]*Sales_Data[[#This Row],[Quantity]]</f>
        <v>240000</v>
      </c>
      <c r="N652" s="12">
        <f>Sales_Data[[#This Row],[Revenue]]-Sales_Data[[#This Row],[COGS]]</f>
        <v>60000</v>
      </c>
    </row>
    <row r="653" spans="1:14">
      <c r="A653" s="1">
        <v>46327</v>
      </c>
      <c r="B653" t="s">
        <v>11</v>
      </c>
      <c r="C653" t="s">
        <v>12</v>
      </c>
      <c r="D653" t="s">
        <v>13</v>
      </c>
      <c r="E653" t="s">
        <v>20</v>
      </c>
      <c r="F653" t="s">
        <v>27</v>
      </c>
      <c r="G653" t="s">
        <v>22</v>
      </c>
      <c r="H653" s="12">
        <v>60000</v>
      </c>
      <c r="I653">
        <v>7</v>
      </c>
      <c r="J653" t="s">
        <v>24</v>
      </c>
      <c r="K653" s="12">
        <f t="shared" si="10"/>
        <v>48000</v>
      </c>
      <c r="L653" s="12">
        <f>Sales_Data[[#This Row],[Unit Price]]*Sales_Data[[#This Row],[Quantity]]</f>
        <v>420000</v>
      </c>
      <c r="M653" s="12">
        <f>Sales_Data[[#This Row],[Cost Price]]*Sales_Data[[#This Row],[Quantity]]</f>
        <v>336000</v>
      </c>
      <c r="N653" s="12">
        <f>Sales_Data[[#This Row],[Revenue]]-Sales_Data[[#This Row],[COGS]]</f>
        <v>84000</v>
      </c>
    </row>
    <row r="654" spans="1:14">
      <c r="A654" s="1">
        <v>46328</v>
      </c>
      <c r="B654" t="s">
        <v>25</v>
      </c>
      <c r="C654" t="s">
        <v>26</v>
      </c>
      <c r="D654" t="s">
        <v>13</v>
      </c>
      <c r="E654" t="s">
        <v>14</v>
      </c>
      <c r="F654" t="s">
        <v>21</v>
      </c>
      <c r="G654" t="s">
        <v>22</v>
      </c>
      <c r="H654" s="12">
        <v>30000</v>
      </c>
      <c r="I654">
        <v>8</v>
      </c>
      <c r="J654" t="s">
        <v>28</v>
      </c>
      <c r="K654" s="12">
        <f t="shared" si="10"/>
        <v>24000</v>
      </c>
      <c r="L654" s="12">
        <f>Sales_Data[[#This Row],[Unit Price]]*Sales_Data[[#This Row],[Quantity]]</f>
        <v>240000</v>
      </c>
      <c r="M654" s="12">
        <f>Sales_Data[[#This Row],[Cost Price]]*Sales_Data[[#This Row],[Quantity]]</f>
        <v>192000</v>
      </c>
      <c r="N654" s="12">
        <f>Sales_Data[[#This Row],[Revenue]]-Sales_Data[[#This Row],[COGS]]</f>
        <v>48000</v>
      </c>
    </row>
    <row r="655" spans="1:14">
      <c r="A655" s="1">
        <v>46329</v>
      </c>
      <c r="B655" t="s">
        <v>11</v>
      </c>
      <c r="C655" t="s">
        <v>19</v>
      </c>
      <c r="D655" t="s">
        <v>23</v>
      </c>
      <c r="E655" t="s">
        <v>14</v>
      </c>
      <c r="F655" t="s">
        <v>41</v>
      </c>
      <c r="G655" t="s">
        <v>22</v>
      </c>
      <c r="H655" s="12">
        <v>220000</v>
      </c>
      <c r="I655">
        <v>3</v>
      </c>
      <c r="J655" t="s">
        <v>35</v>
      </c>
      <c r="K655" s="12">
        <f t="shared" si="10"/>
        <v>176000</v>
      </c>
      <c r="L655" s="12">
        <f>Sales_Data[[#This Row],[Unit Price]]*Sales_Data[[#This Row],[Quantity]]</f>
        <v>660000</v>
      </c>
      <c r="M655" s="12">
        <f>Sales_Data[[#This Row],[Cost Price]]*Sales_Data[[#This Row],[Quantity]]</f>
        <v>528000</v>
      </c>
      <c r="N655" s="12">
        <f>Sales_Data[[#This Row],[Revenue]]-Sales_Data[[#This Row],[COGS]]</f>
        <v>132000</v>
      </c>
    </row>
    <row r="656" spans="1:14">
      <c r="A656" s="1">
        <v>46330</v>
      </c>
      <c r="B656" t="s">
        <v>25</v>
      </c>
      <c r="C656" t="s">
        <v>19</v>
      </c>
      <c r="D656" t="s">
        <v>23</v>
      </c>
      <c r="E656" t="s">
        <v>14</v>
      </c>
      <c r="F656" t="s">
        <v>41</v>
      </c>
      <c r="G656" t="s">
        <v>22</v>
      </c>
      <c r="H656" s="12">
        <v>220000</v>
      </c>
      <c r="I656">
        <v>7</v>
      </c>
      <c r="J656" t="s">
        <v>35</v>
      </c>
      <c r="K656" s="12">
        <f t="shared" si="10"/>
        <v>176000</v>
      </c>
      <c r="L656" s="12">
        <f>Sales_Data[[#This Row],[Unit Price]]*Sales_Data[[#This Row],[Quantity]]</f>
        <v>1540000</v>
      </c>
      <c r="M656" s="12">
        <f>Sales_Data[[#This Row],[Cost Price]]*Sales_Data[[#This Row],[Quantity]]</f>
        <v>1232000</v>
      </c>
      <c r="N656" s="12">
        <f>Sales_Data[[#This Row],[Revenue]]-Sales_Data[[#This Row],[COGS]]</f>
        <v>308000</v>
      </c>
    </row>
    <row r="657" spans="1:14">
      <c r="A657" s="1">
        <v>46331</v>
      </c>
      <c r="B657" t="s">
        <v>29</v>
      </c>
      <c r="C657" t="s">
        <v>12</v>
      </c>
      <c r="D657" t="s">
        <v>13</v>
      </c>
      <c r="E657" t="s">
        <v>20</v>
      </c>
      <c r="F657" t="s">
        <v>33</v>
      </c>
      <c r="G657" t="s">
        <v>22</v>
      </c>
      <c r="H657" s="12">
        <v>180000</v>
      </c>
      <c r="I657">
        <v>2</v>
      </c>
      <c r="J657" t="s">
        <v>24</v>
      </c>
      <c r="K657" s="12">
        <f t="shared" si="10"/>
        <v>144000</v>
      </c>
      <c r="L657" s="12">
        <f>Sales_Data[[#This Row],[Unit Price]]*Sales_Data[[#This Row],[Quantity]]</f>
        <v>360000</v>
      </c>
      <c r="M657" s="12">
        <f>Sales_Data[[#This Row],[Cost Price]]*Sales_Data[[#This Row],[Quantity]]</f>
        <v>288000</v>
      </c>
      <c r="N657" s="12">
        <f>Sales_Data[[#This Row],[Revenue]]-Sales_Data[[#This Row],[COGS]]</f>
        <v>72000</v>
      </c>
    </row>
    <row r="658" spans="1:14">
      <c r="A658" s="1">
        <v>46332</v>
      </c>
      <c r="B658" t="s">
        <v>11</v>
      </c>
      <c r="C658" t="s">
        <v>26</v>
      </c>
      <c r="D658" t="s">
        <v>13</v>
      </c>
      <c r="E658" t="s">
        <v>20</v>
      </c>
      <c r="F658" t="s">
        <v>27</v>
      </c>
      <c r="G658" t="s">
        <v>22</v>
      </c>
      <c r="H658" s="12">
        <v>60000</v>
      </c>
      <c r="I658">
        <v>8</v>
      </c>
      <c r="J658" t="s">
        <v>37</v>
      </c>
      <c r="K658" s="12">
        <f t="shared" si="10"/>
        <v>48000</v>
      </c>
      <c r="L658" s="12">
        <f>Sales_Data[[#This Row],[Unit Price]]*Sales_Data[[#This Row],[Quantity]]</f>
        <v>480000</v>
      </c>
      <c r="M658" s="12">
        <f>Sales_Data[[#This Row],[Cost Price]]*Sales_Data[[#This Row],[Quantity]]</f>
        <v>384000</v>
      </c>
      <c r="N658" s="12">
        <f>Sales_Data[[#This Row],[Revenue]]-Sales_Data[[#This Row],[COGS]]</f>
        <v>96000</v>
      </c>
    </row>
    <row r="659" spans="1:14">
      <c r="A659" s="1">
        <v>46333</v>
      </c>
      <c r="B659" t="s">
        <v>29</v>
      </c>
      <c r="C659" t="s">
        <v>19</v>
      </c>
      <c r="D659" t="s">
        <v>13</v>
      </c>
      <c r="E659" t="s">
        <v>14</v>
      </c>
      <c r="F659" t="s">
        <v>21</v>
      </c>
      <c r="G659" t="s">
        <v>22</v>
      </c>
      <c r="H659" s="12">
        <v>30000</v>
      </c>
      <c r="I659">
        <v>2</v>
      </c>
      <c r="J659" t="s">
        <v>35</v>
      </c>
      <c r="K659" s="12">
        <f t="shared" si="10"/>
        <v>24000</v>
      </c>
      <c r="L659" s="12">
        <f>Sales_Data[[#This Row],[Unit Price]]*Sales_Data[[#This Row],[Quantity]]</f>
        <v>60000</v>
      </c>
      <c r="M659" s="12">
        <f>Sales_Data[[#This Row],[Cost Price]]*Sales_Data[[#This Row],[Quantity]]</f>
        <v>48000</v>
      </c>
      <c r="N659" s="12">
        <f>Sales_Data[[#This Row],[Revenue]]-Sales_Data[[#This Row],[COGS]]</f>
        <v>12000</v>
      </c>
    </row>
    <row r="660" spans="1:14">
      <c r="A660" s="1">
        <v>46334</v>
      </c>
      <c r="B660" t="s">
        <v>29</v>
      </c>
      <c r="C660" t="s">
        <v>19</v>
      </c>
      <c r="D660" t="s">
        <v>23</v>
      </c>
      <c r="E660" t="s">
        <v>14</v>
      </c>
      <c r="F660" t="s">
        <v>36</v>
      </c>
      <c r="G660" t="s">
        <v>31</v>
      </c>
      <c r="H660" s="12">
        <v>150000</v>
      </c>
      <c r="I660">
        <v>5</v>
      </c>
      <c r="J660" t="s">
        <v>35</v>
      </c>
      <c r="K660" s="12">
        <f t="shared" si="10"/>
        <v>120000</v>
      </c>
      <c r="L660" s="12">
        <f>Sales_Data[[#This Row],[Unit Price]]*Sales_Data[[#This Row],[Quantity]]</f>
        <v>750000</v>
      </c>
      <c r="M660" s="12">
        <f>Sales_Data[[#This Row],[Cost Price]]*Sales_Data[[#This Row],[Quantity]]</f>
        <v>600000</v>
      </c>
      <c r="N660" s="12">
        <f>Sales_Data[[#This Row],[Revenue]]-Sales_Data[[#This Row],[COGS]]</f>
        <v>150000</v>
      </c>
    </row>
    <row r="661" spans="1:14">
      <c r="A661" s="1">
        <v>46335</v>
      </c>
      <c r="B661" t="s">
        <v>11</v>
      </c>
      <c r="C661" t="s">
        <v>19</v>
      </c>
      <c r="D661" t="s">
        <v>23</v>
      </c>
      <c r="E661" t="s">
        <v>20</v>
      </c>
      <c r="F661" t="s">
        <v>40</v>
      </c>
      <c r="G661" t="s">
        <v>31</v>
      </c>
      <c r="H661" s="12">
        <v>250000</v>
      </c>
      <c r="I661">
        <v>5</v>
      </c>
      <c r="J661" t="s">
        <v>35</v>
      </c>
      <c r="K661" s="12">
        <f t="shared" si="10"/>
        <v>200000</v>
      </c>
      <c r="L661" s="12">
        <f>Sales_Data[[#This Row],[Unit Price]]*Sales_Data[[#This Row],[Quantity]]</f>
        <v>1250000</v>
      </c>
      <c r="M661" s="12">
        <f>Sales_Data[[#This Row],[Cost Price]]*Sales_Data[[#This Row],[Quantity]]</f>
        <v>1000000</v>
      </c>
      <c r="N661" s="12">
        <f>Sales_Data[[#This Row],[Revenue]]-Sales_Data[[#This Row],[COGS]]</f>
        <v>250000</v>
      </c>
    </row>
    <row r="662" spans="1:14">
      <c r="A662" s="1">
        <v>46336</v>
      </c>
      <c r="B662" t="s">
        <v>25</v>
      </c>
      <c r="C662" t="s">
        <v>12</v>
      </c>
      <c r="D662" t="s">
        <v>23</v>
      </c>
      <c r="E662" t="s">
        <v>14</v>
      </c>
      <c r="F662" t="s">
        <v>15</v>
      </c>
      <c r="G662" t="s">
        <v>16</v>
      </c>
      <c r="H662" s="12">
        <v>85000</v>
      </c>
      <c r="I662">
        <v>4</v>
      </c>
      <c r="J662" t="s">
        <v>24</v>
      </c>
      <c r="K662" s="12">
        <f t="shared" si="10"/>
        <v>68000</v>
      </c>
      <c r="L662" s="12">
        <f>Sales_Data[[#This Row],[Unit Price]]*Sales_Data[[#This Row],[Quantity]]</f>
        <v>340000</v>
      </c>
      <c r="M662" s="12">
        <f>Sales_Data[[#This Row],[Cost Price]]*Sales_Data[[#This Row],[Quantity]]</f>
        <v>272000</v>
      </c>
      <c r="N662" s="12">
        <f>Sales_Data[[#This Row],[Revenue]]-Sales_Data[[#This Row],[COGS]]</f>
        <v>68000</v>
      </c>
    </row>
    <row r="663" spans="1:14">
      <c r="A663" s="1">
        <v>46337</v>
      </c>
      <c r="B663" t="s">
        <v>11</v>
      </c>
      <c r="C663" t="s">
        <v>26</v>
      </c>
      <c r="D663" t="s">
        <v>13</v>
      </c>
      <c r="E663" t="s">
        <v>20</v>
      </c>
      <c r="F663" t="s">
        <v>30</v>
      </c>
      <c r="G663" t="s">
        <v>31</v>
      </c>
      <c r="H663" s="12">
        <v>300000</v>
      </c>
      <c r="I663">
        <v>10</v>
      </c>
      <c r="J663" t="s">
        <v>24</v>
      </c>
      <c r="K663" s="12">
        <f t="shared" si="10"/>
        <v>240000</v>
      </c>
      <c r="L663" s="12">
        <f>Sales_Data[[#This Row],[Unit Price]]*Sales_Data[[#This Row],[Quantity]]</f>
        <v>3000000</v>
      </c>
      <c r="M663" s="12">
        <f>Sales_Data[[#This Row],[Cost Price]]*Sales_Data[[#This Row],[Quantity]]</f>
        <v>2400000</v>
      </c>
      <c r="N663" s="12">
        <f>Sales_Data[[#This Row],[Revenue]]-Sales_Data[[#This Row],[COGS]]</f>
        <v>600000</v>
      </c>
    </row>
    <row r="664" spans="1:14">
      <c r="A664" s="1">
        <v>46338</v>
      </c>
      <c r="B664" t="s">
        <v>25</v>
      </c>
      <c r="C664" t="s">
        <v>12</v>
      </c>
      <c r="D664" t="s">
        <v>23</v>
      </c>
      <c r="E664" t="s">
        <v>14</v>
      </c>
      <c r="F664" t="s">
        <v>40</v>
      </c>
      <c r="G664" t="s">
        <v>31</v>
      </c>
      <c r="H664" s="12">
        <v>250000</v>
      </c>
      <c r="I664">
        <v>8</v>
      </c>
      <c r="J664" t="s">
        <v>39</v>
      </c>
      <c r="K664" s="12">
        <f t="shared" si="10"/>
        <v>200000</v>
      </c>
      <c r="L664" s="12">
        <f>Sales_Data[[#This Row],[Unit Price]]*Sales_Data[[#This Row],[Quantity]]</f>
        <v>2000000</v>
      </c>
      <c r="M664" s="12">
        <f>Sales_Data[[#This Row],[Cost Price]]*Sales_Data[[#This Row],[Quantity]]</f>
        <v>1600000</v>
      </c>
      <c r="N664" s="12">
        <f>Sales_Data[[#This Row],[Revenue]]-Sales_Data[[#This Row],[COGS]]</f>
        <v>400000</v>
      </c>
    </row>
    <row r="665" spans="1:14">
      <c r="A665" s="1">
        <v>46339</v>
      </c>
      <c r="B665" t="s">
        <v>11</v>
      </c>
      <c r="C665" t="s">
        <v>19</v>
      </c>
      <c r="D665" t="s">
        <v>13</v>
      </c>
      <c r="E665" t="s">
        <v>20</v>
      </c>
      <c r="F665" t="s">
        <v>34</v>
      </c>
      <c r="G665" t="s">
        <v>16</v>
      </c>
      <c r="H665" s="12">
        <v>320000</v>
      </c>
      <c r="I665">
        <v>4</v>
      </c>
      <c r="J665" t="s">
        <v>39</v>
      </c>
      <c r="K665" s="12">
        <f t="shared" si="10"/>
        <v>256000</v>
      </c>
      <c r="L665" s="12">
        <f>Sales_Data[[#This Row],[Unit Price]]*Sales_Data[[#This Row],[Quantity]]</f>
        <v>1280000</v>
      </c>
      <c r="M665" s="12">
        <f>Sales_Data[[#This Row],[Cost Price]]*Sales_Data[[#This Row],[Quantity]]</f>
        <v>1024000</v>
      </c>
      <c r="N665" s="12">
        <f>Sales_Data[[#This Row],[Revenue]]-Sales_Data[[#This Row],[COGS]]</f>
        <v>256000</v>
      </c>
    </row>
    <row r="666" spans="1:14">
      <c r="A666" s="1">
        <v>46340</v>
      </c>
      <c r="B666" t="s">
        <v>29</v>
      </c>
      <c r="C666" t="s">
        <v>19</v>
      </c>
      <c r="D666" t="s">
        <v>23</v>
      </c>
      <c r="E666" t="s">
        <v>20</v>
      </c>
      <c r="F666" t="s">
        <v>21</v>
      </c>
      <c r="G666" t="s">
        <v>22</v>
      </c>
      <c r="H666" s="12">
        <v>30000</v>
      </c>
      <c r="I666">
        <v>10</v>
      </c>
      <c r="J666" t="s">
        <v>28</v>
      </c>
      <c r="K666" s="12">
        <f t="shared" si="10"/>
        <v>24000</v>
      </c>
      <c r="L666" s="12">
        <f>Sales_Data[[#This Row],[Unit Price]]*Sales_Data[[#This Row],[Quantity]]</f>
        <v>300000</v>
      </c>
      <c r="M666" s="12">
        <f>Sales_Data[[#This Row],[Cost Price]]*Sales_Data[[#This Row],[Quantity]]</f>
        <v>240000</v>
      </c>
      <c r="N666" s="12">
        <f>Sales_Data[[#This Row],[Revenue]]-Sales_Data[[#This Row],[COGS]]</f>
        <v>60000</v>
      </c>
    </row>
    <row r="667" spans="1:14">
      <c r="A667" s="1">
        <v>46341</v>
      </c>
      <c r="B667" t="s">
        <v>29</v>
      </c>
      <c r="C667" t="s">
        <v>12</v>
      </c>
      <c r="D667" t="s">
        <v>23</v>
      </c>
      <c r="E667" t="s">
        <v>14</v>
      </c>
      <c r="F667" t="s">
        <v>40</v>
      </c>
      <c r="G667" t="s">
        <v>31</v>
      </c>
      <c r="H667" s="12">
        <v>250000</v>
      </c>
      <c r="I667">
        <v>4</v>
      </c>
      <c r="J667" t="s">
        <v>37</v>
      </c>
      <c r="K667" s="12">
        <f t="shared" si="10"/>
        <v>200000</v>
      </c>
      <c r="L667" s="12">
        <f>Sales_Data[[#This Row],[Unit Price]]*Sales_Data[[#This Row],[Quantity]]</f>
        <v>1000000</v>
      </c>
      <c r="M667" s="12">
        <f>Sales_Data[[#This Row],[Cost Price]]*Sales_Data[[#This Row],[Quantity]]</f>
        <v>800000</v>
      </c>
      <c r="N667" s="12">
        <f>Sales_Data[[#This Row],[Revenue]]-Sales_Data[[#This Row],[COGS]]</f>
        <v>200000</v>
      </c>
    </row>
    <row r="668" spans="1:14">
      <c r="A668" s="1">
        <v>46342</v>
      </c>
      <c r="B668" t="s">
        <v>18</v>
      </c>
      <c r="C668" t="s">
        <v>12</v>
      </c>
      <c r="D668" t="s">
        <v>23</v>
      </c>
      <c r="E668" t="s">
        <v>14</v>
      </c>
      <c r="F668" t="s">
        <v>34</v>
      </c>
      <c r="G668" t="s">
        <v>16</v>
      </c>
      <c r="H668" s="12">
        <v>320000</v>
      </c>
      <c r="I668">
        <v>5</v>
      </c>
      <c r="J668" t="s">
        <v>28</v>
      </c>
      <c r="K668" s="12">
        <f t="shared" si="10"/>
        <v>256000</v>
      </c>
      <c r="L668" s="12">
        <f>Sales_Data[[#This Row],[Unit Price]]*Sales_Data[[#This Row],[Quantity]]</f>
        <v>1600000</v>
      </c>
      <c r="M668" s="12">
        <f>Sales_Data[[#This Row],[Cost Price]]*Sales_Data[[#This Row],[Quantity]]</f>
        <v>1280000</v>
      </c>
      <c r="N668" s="12">
        <f>Sales_Data[[#This Row],[Revenue]]-Sales_Data[[#This Row],[COGS]]</f>
        <v>320000</v>
      </c>
    </row>
    <row r="669" spans="1:14">
      <c r="A669" s="1">
        <v>46343</v>
      </c>
      <c r="B669" t="s">
        <v>18</v>
      </c>
      <c r="C669" t="s">
        <v>19</v>
      </c>
      <c r="D669" t="s">
        <v>13</v>
      </c>
      <c r="E669" t="s">
        <v>20</v>
      </c>
      <c r="F669" t="s">
        <v>34</v>
      </c>
      <c r="G669" t="s">
        <v>16</v>
      </c>
      <c r="H669" s="12">
        <v>320000</v>
      </c>
      <c r="I669">
        <v>9</v>
      </c>
      <c r="J669" t="s">
        <v>39</v>
      </c>
      <c r="K669" s="12">
        <f t="shared" si="10"/>
        <v>256000</v>
      </c>
      <c r="L669" s="12">
        <f>Sales_Data[[#This Row],[Unit Price]]*Sales_Data[[#This Row],[Quantity]]</f>
        <v>2880000</v>
      </c>
      <c r="M669" s="12">
        <f>Sales_Data[[#This Row],[Cost Price]]*Sales_Data[[#This Row],[Quantity]]</f>
        <v>2304000</v>
      </c>
      <c r="N669" s="12">
        <f>Sales_Data[[#This Row],[Revenue]]-Sales_Data[[#This Row],[COGS]]</f>
        <v>576000</v>
      </c>
    </row>
    <row r="670" spans="1:14">
      <c r="A670" s="1">
        <v>46344</v>
      </c>
      <c r="B670" t="s">
        <v>18</v>
      </c>
      <c r="C670" t="s">
        <v>19</v>
      </c>
      <c r="D670" t="s">
        <v>13</v>
      </c>
      <c r="E670" t="s">
        <v>14</v>
      </c>
      <c r="F670" t="s">
        <v>33</v>
      </c>
      <c r="G670" t="s">
        <v>22</v>
      </c>
      <c r="H670" s="12">
        <v>180000</v>
      </c>
      <c r="I670">
        <v>1</v>
      </c>
      <c r="J670" t="s">
        <v>37</v>
      </c>
      <c r="K670" s="12">
        <f t="shared" si="10"/>
        <v>144000</v>
      </c>
      <c r="L670" s="12">
        <f>Sales_Data[[#This Row],[Unit Price]]*Sales_Data[[#This Row],[Quantity]]</f>
        <v>180000</v>
      </c>
      <c r="M670" s="12">
        <f>Sales_Data[[#This Row],[Cost Price]]*Sales_Data[[#This Row],[Quantity]]</f>
        <v>144000</v>
      </c>
      <c r="N670" s="12">
        <f>Sales_Data[[#This Row],[Revenue]]-Sales_Data[[#This Row],[COGS]]</f>
        <v>36000</v>
      </c>
    </row>
    <row r="671" spans="1:14">
      <c r="A671" s="1">
        <v>46345</v>
      </c>
      <c r="B671" t="s">
        <v>25</v>
      </c>
      <c r="C671" t="s">
        <v>12</v>
      </c>
      <c r="D671" t="s">
        <v>13</v>
      </c>
      <c r="E671" t="s">
        <v>14</v>
      </c>
      <c r="F671" t="s">
        <v>21</v>
      </c>
      <c r="G671" t="s">
        <v>22</v>
      </c>
      <c r="H671" s="12">
        <v>30000</v>
      </c>
      <c r="I671">
        <v>7</v>
      </c>
      <c r="J671" t="s">
        <v>28</v>
      </c>
      <c r="K671" s="12">
        <f t="shared" si="10"/>
        <v>24000</v>
      </c>
      <c r="L671" s="12">
        <f>Sales_Data[[#This Row],[Unit Price]]*Sales_Data[[#This Row],[Quantity]]</f>
        <v>210000</v>
      </c>
      <c r="M671" s="12">
        <f>Sales_Data[[#This Row],[Cost Price]]*Sales_Data[[#This Row],[Quantity]]</f>
        <v>168000</v>
      </c>
      <c r="N671" s="12">
        <f>Sales_Data[[#This Row],[Revenue]]-Sales_Data[[#This Row],[COGS]]</f>
        <v>42000</v>
      </c>
    </row>
    <row r="672" spans="1:14">
      <c r="A672" s="1">
        <v>46346</v>
      </c>
      <c r="B672" t="s">
        <v>29</v>
      </c>
      <c r="C672" t="s">
        <v>32</v>
      </c>
      <c r="D672" t="s">
        <v>23</v>
      </c>
      <c r="E672" t="s">
        <v>20</v>
      </c>
      <c r="F672" t="s">
        <v>41</v>
      </c>
      <c r="G672" t="s">
        <v>22</v>
      </c>
      <c r="H672" s="12">
        <v>220000</v>
      </c>
      <c r="I672">
        <v>5</v>
      </c>
      <c r="J672" t="s">
        <v>35</v>
      </c>
      <c r="K672" s="12">
        <f t="shared" si="10"/>
        <v>176000</v>
      </c>
      <c r="L672" s="12">
        <f>Sales_Data[[#This Row],[Unit Price]]*Sales_Data[[#This Row],[Quantity]]</f>
        <v>1100000</v>
      </c>
      <c r="M672" s="12">
        <f>Sales_Data[[#This Row],[Cost Price]]*Sales_Data[[#This Row],[Quantity]]</f>
        <v>880000</v>
      </c>
      <c r="N672" s="12">
        <f>Sales_Data[[#This Row],[Revenue]]-Sales_Data[[#This Row],[COGS]]</f>
        <v>220000</v>
      </c>
    </row>
    <row r="673" spans="1:14">
      <c r="A673" s="1">
        <v>46347</v>
      </c>
      <c r="B673" t="s">
        <v>29</v>
      </c>
      <c r="C673" t="s">
        <v>32</v>
      </c>
      <c r="D673" t="s">
        <v>23</v>
      </c>
      <c r="E673" t="s">
        <v>14</v>
      </c>
      <c r="F673" t="s">
        <v>33</v>
      </c>
      <c r="G673" t="s">
        <v>22</v>
      </c>
      <c r="H673" s="12">
        <v>180000</v>
      </c>
      <c r="I673">
        <v>4</v>
      </c>
      <c r="J673" t="s">
        <v>39</v>
      </c>
      <c r="K673" s="12">
        <f t="shared" si="10"/>
        <v>144000</v>
      </c>
      <c r="L673" s="12">
        <f>Sales_Data[[#This Row],[Unit Price]]*Sales_Data[[#This Row],[Quantity]]</f>
        <v>720000</v>
      </c>
      <c r="M673" s="12">
        <f>Sales_Data[[#This Row],[Cost Price]]*Sales_Data[[#This Row],[Quantity]]</f>
        <v>576000</v>
      </c>
      <c r="N673" s="12">
        <f>Sales_Data[[#This Row],[Revenue]]-Sales_Data[[#This Row],[COGS]]</f>
        <v>144000</v>
      </c>
    </row>
    <row r="674" spans="1:14">
      <c r="A674" s="1">
        <v>46348</v>
      </c>
      <c r="B674" t="s">
        <v>25</v>
      </c>
      <c r="C674" t="s">
        <v>12</v>
      </c>
      <c r="D674" t="s">
        <v>23</v>
      </c>
      <c r="E674" t="s">
        <v>14</v>
      </c>
      <c r="F674" t="s">
        <v>33</v>
      </c>
      <c r="G674" t="s">
        <v>22</v>
      </c>
      <c r="H674" s="12">
        <v>180000</v>
      </c>
      <c r="I674">
        <v>2</v>
      </c>
      <c r="J674" t="s">
        <v>28</v>
      </c>
      <c r="K674" s="12">
        <f t="shared" si="10"/>
        <v>144000</v>
      </c>
      <c r="L674" s="12">
        <f>Sales_Data[[#This Row],[Unit Price]]*Sales_Data[[#This Row],[Quantity]]</f>
        <v>360000</v>
      </c>
      <c r="M674" s="12">
        <f>Sales_Data[[#This Row],[Cost Price]]*Sales_Data[[#This Row],[Quantity]]</f>
        <v>288000</v>
      </c>
      <c r="N674" s="12">
        <f>Sales_Data[[#This Row],[Revenue]]-Sales_Data[[#This Row],[COGS]]</f>
        <v>72000</v>
      </c>
    </row>
    <row r="675" spans="1:14">
      <c r="A675" s="1">
        <v>46349</v>
      </c>
      <c r="B675" t="s">
        <v>11</v>
      </c>
      <c r="C675" t="s">
        <v>26</v>
      </c>
      <c r="D675" t="s">
        <v>23</v>
      </c>
      <c r="E675" t="s">
        <v>14</v>
      </c>
      <c r="F675" t="s">
        <v>41</v>
      </c>
      <c r="G675" t="s">
        <v>22</v>
      </c>
      <c r="H675" s="12">
        <v>220000</v>
      </c>
      <c r="I675">
        <v>2</v>
      </c>
      <c r="J675" t="s">
        <v>37</v>
      </c>
      <c r="K675" s="12">
        <f t="shared" si="10"/>
        <v>176000</v>
      </c>
      <c r="L675" s="12">
        <f>Sales_Data[[#This Row],[Unit Price]]*Sales_Data[[#This Row],[Quantity]]</f>
        <v>440000</v>
      </c>
      <c r="M675" s="12">
        <f>Sales_Data[[#This Row],[Cost Price]]*Sales_Data[[#This Row],[Quantity]]</f>
        <v>352000</v>
      </c>
      <c r="N675" s="12">
        <f>Sales_Data[[#This Row],[Revenue]]-Sales_Data[[#This Row],[COGS]]</f>
        <v>88000</v>
      </c>
    </row>
    <row r="676" spans="1:14">
      <c r="A676" s="1">
        <v>46350</v>
      </c>
      <c r="B676" t="s">
        <v>11</v>
      </c>
      <c r="C676" t="s">
        <v>19</v>
      </c>
      <c r="D676" t="s">
        <v>23</v>
      </c>
      <c r="E676" t="s">
        <v>20</v>
      </c>
      <c r="F676" t="s">
        <v>27</v>
      </c>
      <c r="G676" t="s">
        <v>22</v>
      </c>
      <c r="H676" s="12">
        <v>60000</v>
      </c>
      <c r="I676">
        <v>10</v>
      </c>
      <c r="J676" t="s">
        <v>37</v>
      </c>
      <c r="K676" s="12">
        <f t="shared" si="10"/>
        <v>48000</v>
      </c>
      <c r="L676" s="12">
        <f>Sales_Data[[#This Row],[Unit Price]]*Sales_Data[[#This Row],[Quantity]]</f>
        <v>600000</v>
      </c>
      <c r="M676" s="12">
        <f>Sales_Data[[#This Row],[Cost Price]]*Sales_Data[[#This Row],[Quantity]]</f>
        <v>480000</v>
      </c>
      <c r="N676" s="12">
        <f>Sales_Data[[#This Row],[Revenue]]-Sales_Data[[#This Row],[COGS]]</f>
        <v>120000</v>
      </c>
    </row>
    <row r="677" spans="1:14">
      <c r="A677" s="1">
        <v>46351</v>
      </c>
      <c r="B677" t="s">
        <v>29</v>
      </c>
      <c r="C677" t="s">
        <v>12</v>
      </c>
      <c r="D677" t="s">
        <v>13</v>
      </c>
      <c r="E677" t="s">
        <v>20</v>
      </c>
      <c r="F677" t="s">
        <v>21</v>
      </c>
      <c r="G677" t="s">
        <v>22</v>
      </c>
      <c r="H677" s="12">
        <v>30000</v>
      </c>
      <c r="I677">
        <v>2</v>
      </c>
      <c r="J677" t="s">
        <v>39</v>
      </c>
      <c r="K677" s="12">
        <f t="shared" si="10"/>
        <v>24000</v>
      </c>
      <c r="L677" s="12">
        <f>Sales_Data[[#This Row],[Unit Price]]*Sales_Data[[#This Row],[Quantity]]</f>
        <v>60000</v>
      </c>
      <c r="M677" s="12">
        <f>Sales_Data[[#This Row],[Cost Price]]*Sales_Data[[#This Row],[Quantity]]</f>
        <v>48000</v>
      </c>
      <c r="N677" s="12">
        <f>Sales_Data[[#This Row],[Revenue]]-Sales_Data[[#This Row],[COGS]]</f>
        <v>12000</v>
      </c>
    </row>
    <row r="678" spans="1:14">
      <c r="A678" s="1">
        <v>46352</v>
      </c>
      <c r="B678" t="s">
        <v>18</v>
      </c>
      <c r="C678" t="s">
        <v>19</v>
      </c>
      <c r="D678" t="s">
        <v>23</v>
      </c>
      <c r="E678" t="s">
        <v>14</v>
      </c>
      <c r="F678" t="s">
        <v>30</v>
      </c>
      <c r="G678" t="s">
        <v>31</v>
      </c>
      <c r="H678" s="12">
        <v>300000</v>
      </c>
      <c r="I678">
        <v>3</v>
      </c>
      <c r="J678" t="s">
        <v>24</v>
      </c>
      <c r="K678" s="12">
        <f t="shared" si="10"/>
        <v>240000</v>
      </c>
      <c r="L678" s="12">
        <f>Sales_Data[[#This Row],[Unit Price]]*Sales_Data[[#This Row],[Quantity]]</f>
        <v>900000</v>
      </c>
      <c r="M678" s="12">
        <f>Sales_Data[[#This Row],[Cost Price]]*Sales_Data[[#This Row],[Quantity]]</f>
        <v>720000</v>
      </c>
      <c r="N678" s="12">
        <f>Sales_Data[[#This Row],[Revenue]]-Sales_Data[[#This Row],[COGS]]</f>
        <v>180000</v>
      </c>
    </row>
    <row r="679" spans="1:14">
      <c r="A679" s="1">
        <v>46353</v>
      </c>
      <c r="B679" t="s">
        <v>25</v>
      </c>
      <c r="C679" t="s">
        <v>26</v>
      </c>
      <c r="D679" t="s">
        <v>13</v>
      </c>
      <c r="E679" t="s">
        <v>20</v>
      </c>
      <c r="F679" t="s">
        <v>21</v>
      </c>
      <c r="G679" t="s">
        <v>22</v>
      </c>
      <c r="H679" s="12">
        <v>30000</v>
      </c>
      <c r="I679">
        <v>8</v>
      </c>
      <c r="J679" t="s">
        <v>17</v>
      </c>
      <c r="K679" s="12">
        <f t="shared" si="10"/>
        <v>24000</v>
      </c>
      <c r="L679" s="12">
        <f>Sales_Data[[#This Row],[Unit Price]]*Sales_Data[[#This Row],[Quantity]]</f>
        <v>240000</v>
      </c>
      <c r="M679" s="12">
        <f>Sales_Data[[#This Row],[Cost Price]]*Sales_Data[[#This Row],[Quantity]]</f>
        <v>192000</v>
      </c>
      <c r="N679" s="12">
        <f>Sales_Data[[#This Row],[Revenue]]-Sales_Data[[#This Row],[COGS]]</f>
        <v>48000</v>
      </c>
    </row>
    <row r="680" spans="1:14">
      <c r="A680" s="1">
        <v>46354</v>
      </c>
      <c r="B680" t="s">
        <v>29</v>
      </c>
      <c r="C680" t="s">
        <v>12</v>
      </c>
      <c r="D680" t="s">
        <v>13</v>
      </c>
      <c r="E680" t="s">
        <v>14</v>
      </c>
      <c r="F680" t="s">
        <v>30</v>
      </c>
      <c r="G680" t="s">
        <v>31</v>
      </c>
      <c r="H680" s="12">
        <v>300000</v>
      </c>
      <c r="I680">
        <v>7</v>
      </c>
      <c r="J680" t="s">
        <v>17</v>
      </c>
      <c r="K680" s="12">
        <f t="shared" si="10"/>
        <v>240000</v>
      </c>
      <c r="L680" s="12">
        <f>Sales_Data[[#This Row],[Unit Price]]*Sales_Data[[#This Row],[Quantity]]</f>
        <v>2100000</v>
      </c>
      <c r="M680" s="12">
        <f>Sales_Data[[#This Row],[Cost Price]]*Sales_Data[[#This Row],[Quantity]]</f>
        <v>1680000</v>
      </c>
      <c r="N680" s="12">
        <f>Sales_Data[[#This Row],[Revenue]]-Sales_Data[[#This Row],[COGS]]</f>
        <v>420000</v>
      </c>
    </row>
    <row r="681" spans="1:14">
      <c r="A681" s="1">
        <v>46355</v>
      </c>
      <c r="B681" t="s">
        <v>18</v>
      </c>
      <c r="C681" t="s">
        <v>12</v>
      </c>
      <c r="D681" t="s">
        <v>13</v>
      </c>
      <c r="E681" t="s">
        <v>14</v>
      </c>
      <c r="F681" t="s">
        <v>21</v>
      </c>
      <c r="G681" t="s">
        <v>22</v>
      </c>
      <c r="H681" s="12">
        <v>30000</v>
      </c>
      <c r="I681">
        <v>2</v>
      </c>
      <c r="J681" t="s">
        <v>35</v>
      </c>
      <c r="K681" s="12">
        <f t="shared" si="10"/>
        <v>24000</v>
      </c>
      <c r="L681" s="12">
        <f>Sales_Data[[#This Row],[Unit Price]]*Sales_Data[[#This Row],[Quantity]]</f>
        <v>60000</v>
      </c>
      <c r="M681" s="12">
        <f>Sales_Data[[#This Row],[Cost Price]]*Sales_Data[[#This Row],[Quantity]]</f>
        <v>48000</v>
      </c>
      <c r="N681" s="12">
        <f>Sales_Data[[#This Row],[Revenue]]-Sales_Data[[#This Row],[COGS]]</f>
        <v>12000</v>
      </c>
    </row>
    <row r="682" spans="1:14">
      <c r="A682" s="1">
        <v>46356</v>
      </c>
      <c r="B682" t="s">
        <v>18</v>
      </c>
      <c r="C682" t="s">
        <v>12</v>
      </c>
      <c r="D682" t="s">
        <v>23</v>
      </c>
      <c r="E682" t="s">
        <v>20</v>
      </c>
      <c r="F682" t="s">
        <v>41</v>
      </c>
      <c r="G682" t="s">
        <v>22</v>
      </c>
      <c r="H682" s="12">
        <v>220000</v>
      </c>
      <c r="I682">
        <v>8</v>
      </c>
      <c r="J682" t="s">
        <v>28</v>
      </c>
      <c r="K682" s="12">
        <f t="shared" si="10"/>
        <v>176000</v>
      </c>
      <c r="L682" s="12">
        <f>Sales_Data[[#This Row],[Unit Price]]*Sales_Data[[#This Row],[Quantity]]</f>
        <v>1760000</v>
      </c>
      <c r="M682" s="12">
        <f>Sales_Data[[#This Row],[Cost Price]]*Sales_Data[[#This Row],[Quantity]]</f>
        <v>1408000</v>
      </c>
      <c r="N682" s="12">
        <f>Sales_Data[[#This Row],[Revenue]]-Sales_Data[[#This Row],[COGS]]</f>
        <v>352000</v>
      </c>
    </row>
    <row r="683" spans="1:14">
      <c r="A683" s="1">
        <v>46357</v>
      </c>
      <c r="B683" t="s">
        <v>11</v>
      </c>
      <c r="C683" t="s">
        <v>26</v>
      </c>
      <c r="D683" t="s">
        <v>13</v>
      </c>
      <c r="E683" t="s">
        <v>14</v>
      </c>
      <c r="F683" t="s">
        <v>27</v>
      </c>
      <c r="G683" t="s">
        <v>22</v>
      </c>
      <c r="H683" s="12">
        <v>60000</v>
      </c>
      <c r="I683">
        <v>1</v>
      </c>
      <c r="J683" t="s">
        <v>17</v>
      </c>
      <c r="K683" s="12">
        <f t="shared" si="10"/>
        <v>48000</v>
      </c>
      <c r="L683" s="12">
        <f>Sales_Data[[#This Row],[Unit Price]]*Sales_Data[[#This Row],[Quantity]]</f>
        <v>60000</v>
      </c>
      <c r="M683" s="12">
        <f>Sales_Data[[#This Row],[Cost Price]]*Sales_Data[[#This Row],[Quantity]]</f>
        <v>48000</v>
      </c>
      <c r="N683" s="12">
        <f>Sales_Data[[#This Row],[Revenue]]-Sales_Data[[#This Row],[COGS]]</f>
        <v>12000</v>
      </c>
    </row>
    <row r="684" spans="1:14">
      <c r="A684" s="1">
        <v>46358</v>
      </c>
      <c r="B684" t="s">
        <v>25</v>
      </c>
      <c r="C684" t="s">
        <v>26</v>
      </c>
      <c r="D684" t="s">
        <v>23</v>
      </c>
      <c r="E684" t="s">
        <v>14</v>
      </c>
      <c r="F684" t="s">
        <v>15</v>
      </c>
      <c r="G684" t="s">
        <v>16</v>
      </c>
      <c r="H684" s="12">
        <v>85000</v>
      </c>
      <c r="I684">
        <v>9</v>
      </c>
      <c r="J684" t="s">
        <v>37</v>
      </c>
      <c r="K684" s="12">
        <f t="shared" si="10"/>
        <v>68000</v>
      </c>
      <c r="L684" s="12">
        <f>Sales_Data[[#This Row],[Unit Price]]*Sales_Data[[#This Row],[Quantity]]</f>
        <v>765000</v>
      </c>
      <c r="M684" s="12">
        <f>Sales_Data[[#This Row],[Cost Price]]*Sales_Data[[#This Row],[Quantity]]</f>
        <v>612000</v>
      </c>
      <c r="N684" s="12">
        <f>Sales_Data[[#This Row],[Revenue]]-Sales_Data[[#This Row],[COGS]]</f>
        <v>153000</v>
      </c>
    </row>
    <row r="685" spans="1:14">
      <c r="A685" s="1">
        <v>46359</v>
      </c>
      <c r="B685" t="s">
        <v>18</v>
      </c>
      <c r="C685" t="s">
        <v>19</v>
      </c>
      <c r="D685" t="s">
        <v>13</v>
      </c>
      <c r="E685" t="s">
        <v>20</v>
      </c>
      <c r="F685" t="s">
        <v>15</v>
      </c>
      <c r="G685" t="s">
        <v>16</v>
      </c>
      <c r="H685" s="12">
        <v>85000</v>
      </c>
      <c r="I685">
        <v>4</v>
      </c>
      <c r="J685" t="s">
        <v>35</v>
      </c>
      <c r="K685" s="12">
        <f t="shared" si="10"/>
        <v>68000</v>
      </c>
      <c r="L685" s="12">
        <f>Sales_Data[[#This Row],[Unit Price]]*Sales_Data[[#This Row],[Quantity]]</f>
        <v>340000</v>
      </c>
      <c r="M685" s="12">
        <f>Sales_Data[[#This Row],[Cost Price]]*Sales_Data[[#This Row],[Quantity]]</f>
        <v>272000</v>
      </c>
      <c r="N685" s="12">
        <f>Sales_Data[[#This Row],[Revenue]]-Sales_Data[[#This Row],[COGS]]</f>
        <v>68000</v>
      </c>
    </row>
    <row r="686" spans="1:14">
      <c r="A686" s="1">
        <v>46360</v>
      </c>
      <c r="B686" t="s">
        <v>18</v>
      </c>
      <c r="C686" t="s">
        <v>32</v>
      </c>
      <c r="D686" t="s">
        <v>23</v>
      </c>
      <c r="E686" t="s">
        <v>20</v>
      </c>
      <c r="F686" t="s">
        <v>33</v>
      </c>
      <c r="G686" t="s">
        <v>22</v>
      </c>
      <c r="H686" s="12">
        <v>180000</v>
      </c>
      <c r="I686">
        <v>6</v>
      </c>
      <c r="J686" t="s">
        <v>17</v>
      </c>
      <c r="K686" s="12">
        <f t="shared" si="10"/>
        <v>144000</v>
      </c>
      <c r="L686" s="12">
        <f>Sales_Data[[#This Row],[Unit Price]]*Sales_Data[[#This Row],[Quantity]]</f>
        <v>1080000</v>
      </c>
      <c r="M686" s="12">
        <f>Sales_Data[[#This Row],[Cost Price]]*Sales_Data[[#This Row],[Quantity]]</f>
        <v>864000</v>
      </c>
      <c r="N686" s="12">
        <f>Sales_Data[[#This Row],[Revenue]]-Sales_Data[[#This Row],[COGS]]</f>
        <v>216000</v>
      </c>
    </row>
    <row r="687" spans="1:14">
      <c r="A687" s="1">
        <v>46361</v>
      </c>
      <c r="B687" t="s">
        <v>11</v>
      </c>
      <c r="C687" t="s">
        <v>32</v>
      </c>
      <c r="D687" t="s">
        <v>13</v>
      </c>
      <c r="E687" t="s">
        <v>14</v>
      </c>
      <c r="F687" t="s">
        <v>33</v>
      </c>
      <c r="G687" t="s">
        <v>22</v>
      </c>
      <c r="H687" s="12">
        <v>180000</v>
      </c>
      <c r="I687">
        <v>2</v>
      </c>
      <c r="J687" t="s">
        <v>39</v>
      </c>
      <c r="K687" s="12">
        <f t="shared" si="10"/>
        <v>144000</v>
      </c>
      <c r="L687" s="12">
        <f>Sales_Data[[#This Row],[Unit Price]]*Sales_Data[[#This Row],[Quantity]]</f>
        <v>360000</v>
      </c>
      <c r="M687" s="12">
        <f>Sales_Data[[#This Row],[Cost Price]]*Sales_Data[[#This Row],[Quantity]]</f>
        <v>288000</v>
      </c>
      <c r="N687" s="12">
        <f>Sales_Data[[#This Row],[Revenue]]-Sales_Data[[#This Row],[COGS]]</f>
        <v>72000</v>
      </c>
    </row>
    <row r="688" spans="1:14">
      <c r="A688" s="1">
        <v>46362</v>
      </c>
      <c r="B688" t="s">
        <v>29</v>
      </c>
      <c r="C688" t="s">
        <v>12</v>
      </c>
      <c r="D688" t="s">
        <v>13</v>
      </c>
      <c r="E688" t="s">
        <v>14</v>
      </c>
      <c r="F688" t="s">
        <v>27</v>
      </c>
      <c r="G688" t="s">
        <v>22</v>
      </c>
      <c r="H688" s="12">
        <v>60000</v>
      </c>
      <c r="I688">
        <v>8</v>
      </c>
      <c r="J688" t="s">
        <v>28</v>
      </c>
      <c r="K688" s="12">
        <f t="shared" si="10"/>
        <v>48000</v>
      </c>
      <c r="L688" s="12">
        <f>Sales_Data[[#This Row],[Unit Price]]*Sales_Data[[#This Row],[Quantity]]</f>
        <v>480000</v>
      </c>
      <c r="M688" s="12">
        <f>Sales_Data[[#This Row],[Cost Price]]*Sales_Data[[#This Row],[Quantity]]</f>
        <v>384000</v>
      </c>
      <c r="N688" s="12">
        <f>Sales_Data[[#This Row],[Revenue]]-Sales_Data[[#This Row],[COGS]]</f>
        <v>96000</v>
      </c>
    </row>
    <row r="689" spans="1:14">
      <c r="A689" s="1">
        <v>46363</v>
      </c>
      <c r="B689" t="s">
        <v>29</v>
      </c>
      <c r="C689" t="s">
        <v>32</v>
      </c>
      <c r="D689" t="s">
        <v>13</v>
      </c>
      <c r="E689" t="s">
        <v>14</v>
      </c>
      <c r="F689" t="s">
        <v>34</v>
      </c>
      <c r="G689" t="s">
        <v>16</v>
      </c>
      <c r="H689" s="12">
        <v>320000</v>
      </c>
      <c r="I689">
        <v>4</v>
      </c>
      <c r="J689" t="s">
        <v>35</v>
      </c>
      <c r="K689" s="12">
        <f t="shared" si="10"/>
        <v>256000</v>
      </c>
      <c r="L689" s="12">
        <f>Sales_Data[[#This Row],[Unit Price]]*Sales_Data[[#This Row],[Quantity]]</f>
        <v>1280000</v>
      </c>
      <c r="M689" s="12">
        <f>Sales_Data[[#This Row],[Cost Price]]*Sales_Data[[#This Row],[Quantity]]</f>
        <v>1024000</v>
      </c>
      <c r="N689" s="12">
        <f>Sales_Data[[#This Row],[Revenue]]-Sales_Data[[#This Row],[COGS]]</f>
        <v>256000</v>
      </c>
    </row>
    <row r="690" spans="1:14">
      <c r="A690" s="1">
        <v>46364</v>
      </c>
      <c r="B690" t="s">
        <v>18</v>
      </c>
      <c r="C690" t="s">
        <v>19</v>
      </c>
      <c r="D690" t="s">
        <v>23</v>
      </c>
      <c r="E690" t="s">
        <v>14</v>
      </c>
      <c r="F690" t="s">
        <v>33</v>
      </c>
      <c r="G690" t="s">
        <v>22</v>
      </c>
      <c r="H690" s="12">
        <v>180000</v>
      </c>
      <c r="I690">
        <v>3</v>
      </c>
      <c r="J690" t="s">
        <v>24</v>
      </c>
      <c r="K690" s="12">
        <f t="shared" si="10"/>
        <v>144000</v>
      </c>
      <c r="L690" s="12">
        <f>Sales_Data[[#This Row],[Unit Price]]*Sales_Data[[#This Row],[Quantity]]</f>
        <v>540000</v>
      </c>
      <c r="M690" s="12">
        <f>Sales_Data[[#This Row],[Cost Price]]*Sales_Data[[#This Row],[Quantity]]</f>
        <v>432000</v>
      </c>
      <c r="N690" s="12">
        <f>Sales_Data[[#This Row],[Revenue]]-Sales_Data[[#This Row],[COGS]]</f>
        <v>108000</v>
      </c>
    </row>
    <row r="691" spans="1:14">
      <c r="A691" s="1">
        <v>46365</v>
      </c>
      <c r="B691" t="s">
        <v>18</v>
      </c>
      <c r="C691" t="s">
        <v>12</v>
      </c>
      <c r="D691" t="s">
        <v>13</v>
      </c>
      <c r="E691" t="s">
        <v>20</v>
      </c>
      <c r="F691" t="s">
        <v>36</v>
      </c>
      <c r="G691" t="s">
        <v>31</v>
      </c>
      <c r="H691" s="12">
        <v>150000</v>
      </c>
      <c r="I691">
        <v>9</v>
      </c>
      <c r="J691" t="s">
        <v>28</v>
      </c>
      <c r="K691" s="12">
        <f t="shared" si="10"/>
        <v>120000</v>
      </c>
      <c r="L691" s="12">
        <f>Sales_Data[[#This Row],[Unit Price]]*Sales_Data[[#This Row],[Quantity]]</f>
        <v>1350000</v>
      </c>
      <c r="M691" s="12">
        <f>Sales_Data[[#This Row],[Cost Price]]*Sales_Data[[#This Row],[Quantity]]</f>
        <v>1080000</v>
      </c>
      <c r="N691" s="12">
        <f>Sales_Data[[#This Row],[Revenue]]-Sales_Data[[#This Row],[COGS]]</f>
        <v>270000</v>
      </c>
    </row>
    <row r="692" spans="1:14">
      <c r="A692" s="1">
        <v>46366</v>
      </c>
      <c r="B692" t="s">
        <v>18</v>
      </c>
      <c r="C692" t="s">
        <v>19</v>
      </c>
      <c r="D692" t="s">
        <v>23</v>
      </c>
      <c r="E692" t="s">
        <v>20</v>
      </c>
      <c r="F692" t="s">
        <v>15</v>
      </c>
      <c r="G692" t="s">
        <v>16</v>
      </c>
      <c r="H692" s="12">
        <v>85000</v>
      </c>
      <c r="I692">
        <v>4</v>
      </c>
      <c r="J692" t="s">
        <v>17</v>
      </c>
      <c r="K692" s="12">
        <f t="shared" si="10"/>
        <v>68000</v>
      </c>
      <c r="L692" s="12">
        <f>Sales_Data[[#This Row],[Unit Price]]*Sales_Data[[#This Row],[Quantity]]</f>
        <v>340000</v>
      </c>
      <c r="M692" s="12">
        <f>Sales_Data[[#This Row],[Cost Price]]*Sales_Data[[#This Row],[Quantity]]</f>
        <v>272000</v>
      </c>
      <c r="N692" s="12">
        <f>Sales_Data[[#This Row],[Revenue]]-Sales_Data[[#This Row],[COGS]]</f>
        <v>68000</v>
      </c>
    </row>
    <row r="693" spans="1:14">
      <c r="A693" s="1">
        <v>46367</v>
      </c>
      <c r="B693" t="s">
        <v>25</v>
      </c>
      <c r="C693" t="s">
        <v>26</v>
      </c>
      <c r="D693" t="s">
        <v>13</v>
      </c>
      <c r="E693" t="s">
        <v>14</v>
      </c>
      <c r="F693" t="s">
        <v>41</v>
      </c>
      <c r="G693" t="s">
        <v>22</v>
      </c>
      <c r="H693" s="12">
        <v>220000</v>
      </c>
      <c r="I693">
        <v>4</v>
      </c>
      <c r="J693" t="s">
        <v>17</v>
      </c>
      <c r="K693" s="12">
        <f t="shared" si="10"/>
        <v>176000</v>
      </c>
      <c r="L693" s="12">
        <f>Sales_Data[[#This Row],[Unit Price]]*Sales_Data[[#This Row],[Quantity]]</f>
        <v>880000</v>
      </c>
      <c r="M693" s="12">
        <f>Sales_Data[[#This Row],[Cost Price]]*Sales_Data[[#This Row],[Quantity]]</f>
        <v>704000</v>
      </c>
      <c r="N693" s="12">
        <f>Sales_Data[[#This Row],[Revenue]]-Sales_Data[[#This Row],[COGS]]</f>
        <v>176000</v>
      </c>
    </row>
    <row r="694" spans="1:14">
      <c r="A694" s="1">
        <v>46368</v>
      </c>
      <c r="B694" t="s">
        <v>29</v>
      </c>
      <c r="C694" t="s">
        <v>12</v>
      </c>
      <c r="D694" t="s">
        <v>13</v>
      </c>
      <c r="E694" t="s">
        <v>14</v>
      </c>
      <c r="F694" t="s">
        <v>21</v>
      </c>
      <c r="G694" t="s">
        <v>22</v>
      </c>
      <c r="H694" s="12">
        <v>30000</v>
      </c>
      <c r="I694">
        <v>8</v>
      </c>
      <c r="J694" t="s">
        <v>37</v>
      </c>
      <c r="K694" s="12">
        <f t="shared" si="10"/>
        <v>24000</v>
      </c>
      <c r="L694" s="12">
        <f>Sales_Data[[#This Row],[Unit Price]]*Sales_Data[[#This Row],[Quantity]]</f>
        <v>240000</v>
      </c>
      <c r="M694" s="12">
        <f>Sales_Data[[#This Row],[Cost Price]]*Sales_Data[[#This Row],[Quantity]]</f>
        <v>192000</v>
      </c>
      <c r="N694" s="12">
        <f>Sales_Data[[#This Row],[Revenue]]-Sales_Data[[#This Row],[COGS]]</f>
        <v>48000</v>
      </c>
    </row>
    <row r="695" spans="1:14">
      <c r="A695" s="1">
        <v>46369</v>
      </c>
      <c r="B695" t="s">
        <v>25</v>
      </c>
      <c r="C695" t="s">
        <v>12</v>
      </c>
      <c r="D695" t="s">
        <v>13</v>
      </c>
      <c r="E695" t="s">
        <v>14</v>
      </c>
      <c r="F695" t="s">
        <v>15</v>
      </c>
      <c r="G695" t="s">
        <v>16</v>
      </c>
      <c r="H695" s="12">
        <v>85000</v>
      </c>
      <c r="I695">
        <v>4</v>
      </c>
      <c r="J695" t="s">
        <v>17</v>
      </c>
      <c r="K695" s="12">
        <f t="shared" si="10"/>
        <v>68000</v>
      </c>
      <c r="L695" s="12">
        <f>Sales_Data[[#This Row],[Unit Price]]*Sales_Data[[#This Row],[Quantity]]</f>
        <v>340000</v>
      </c>
      <c r="M695" s="12">
        <f>Sales_Data[[#This Row],[Cost Price]]*Sales_Data[[#This Row],[Quantity]]</f>
        <v>272000</v>
      </c>
      <c r="N695" s="12">
        <f>Sales_Data[[#This Row],[Revenue]]-Sales_Data[[#This Row],[COGS]]</f>
        <v>68000</v>
      </c>
    </row>
    <row r="696" spans="1:14">
      <c r="A696" s="1">
        <v>46370</v>
      </c>
      <c r="B696" t="s">
        <v>29</v>
      </c>
      <c r="C696" t="s">
        <v>12</v>
      </c>
      <c r="D696" t="s">
        <v>13</v>
      </c>
      <c r="E696" t="s">
        <v>14</v>
      </c>
      <c r="F696" t="s">
        <v>30</v>
      </c>
      <c r="G696" t="s">
        <v>31</v>
      </c>
      <c r="H696" s="12">
        <v>300000</v>
      </c>
      <c r="I696">
        <v>2</v>
      </c>
      <c r="J696" t="s">
        <v>28</v>
      </c>
      <c r="K696" s="12">
        <f t="shared" si="10"/>
        <v>240000</v>
      </c>
      <c r="L696" s="12">
        <f>Sales_Data[[#This Row],[Unit Price]]*Sales_Data[[#This Row],[Quantity]]</f>
        <v>600000</v>
      </c>
      <c r="M696" s="12">
        <f>Sales_Data[[#This Row],[Cost Price]]*Sales_Data[[#This Row],[Quantity]]</f>
        <v>480000</v>
      </c>
      <c r="N696" s="12">
        <f>Sales_Data[[#This Row],[Revenue]]-Sales_Data[[#This Row],[COGS]]</f>
        <v>120000</v>
      </c>
    </row>
    <row r="697" spans="1:14">
      <c r="A697" s="1">
        <v>46371</v>
      </c>
      <c r="B697" t="s">
        <v>11</v>
      </c>
      <c r="C697" t="s">
        <v>26</v>
      </c>
      <c r="D697" t="s">
        <v>23</v>
      </c>
      <c r="E697" t="s">
        <v>20</v>
      </c>
      <c r="F697" t="s">
        <v>15</v>
      </c>
      <c r="G697" t="s">
        <v>16</v>
      </c>
      <c r="H697" s="12">
        <v>85000</v>
      </c>
      <c r="I697">
        <v>2</v>
      </c>
      <c r="J697" t="s">
        <v>37</v>
      </c>
      <c r="K697" s="12">
        <f t="shared" si="10"/>
        <v>68000</v>
      </c>
      <c r="L697" s="12">
        <f>Sales_Data[[#This Row],[Unit Price]]*Sales_Data[[#This Row],[Quantity]]</f>
        <v>170000</v>
      </c>
      <c r="M697" s="12">
        <f>Sales_Data[[#This Row],[Cost Price]]*Sales_Data[[#This Row],[Quantity]]</f>
        <v>136000</v>
      </c>
      <c r="N697" s="12">
        <f>Sales_Data[[#This Row],[Revenue]]-Sales_Data[[#This Row],[COGS]]</f>
        <v>34000</v>
      </c>
    </row>
    <row r="698" spans="1:14">
      <c r="A698" s="1">
        <v>46372</v>
      </c>
      <c r="B698" t="s">
        <v>11</v>
      </c>
      <c r="C698" t="s">
        <v>12</v>
      </c>
      <c r="D698" t="s">
        <v>23</v>
      </c>
      <c r="E698" t="s">
        <v>14</v>
      </c>
      <c r="F698" t="s">
        <v>38</v>
      </c>
      <c r="G698" t="s">
        <v>31</v>
      </c>
      <c r="H698" s="12">
        <v>420000</v>
      </c>
      <c r="I698">
        <v>5</v>
      </c>
      <c r="J698" t="s">
        <v>17</v>
      </c>
      <c r="K698" s="12">
        <f t="shared" si="10"/>
        <v>336000</v>
      </c>
      <c r="L698" s="12">
        <f>Sales_Data[[#This Row],[Unit Price]]*Sales_Data[[#This Row],[Quantity]]</f>
        <v>2100000</v>
      </c>
      <c r="M698" s="12">
        <f>Sales_Data[[#This Row],[Cost Price]]*Sales_Data[[#This Row],[Quantity]]</f>
        <v>1680000</v>
      </c>
      <c r="N698" s="12">
        <f>Sales_Data[[#This Row],[Revenue]]-Sales_Data[[#This Row],[COGS]]</f>
        <v>420000</v>
      </c>
    </row>
    <row r="699" spans="1:14">
      <c r="A699" s="1">
        <v>46373</v>
      </c>
      <c r="B699" t="s">
        <v>25</v>
      </c>
      <c r="C699" t="s">
        <v>26</v>
      </c>
      <c r="D699" t="s">
        <v>23</v>
      </c>
      <c r="E699" t="s">
        <v>14</v>
      </c>
      <c r="F699" t="s">
        <v>30</v>
      </c>
      <c r="G699" t="s">
        <v>31</v>
      </c>
      <c r="H699" s="12">
        <v>300000</v>
      </c>
      <c r="I699">
        <v>8</v>
      </c>
      <c r="J699" t="s">
        <v>24</v>
      </c>
      <c r="K699" s="12">
        <f t="shared" si="10"/>
        <v>240000</v>
      </c>
      <c r="L699" s="12">
        <f>Sales_Data[[#This Row],[Unit Price]]*Sales_Data[[#This Row],[Quantity]]</f>
        <v>2400000</v>
      </c>
      <c r="M699" s="12">
        <f>Sales_Data[[#This Row],[Cost Price]]*Sales_Data[[#This Row],[Quantity]]</f>
        <v>1920000</v>
      </c>
      <c r="N699" s="12">
        <f>Sales_Data[[#This Row],[Revenue]]-Sales_Data[[#This Row],[COGS]]</f>
        <v>480000</v>
      </c>
    </row>
    <row r="700" spans="1:14">
      <c r="A700" s="1">
        <v>46374</v>
      </c>
      <c r="B700" t="s">
        <v>11</v>
      </c>
      <c r="C700" t="s">
        <v>19</v>
      </c>
      <c r="D700" t="s">
        <v>23</v>
      </c>
      <c r="E700" t="s">
        <v>20</v>
      </c>
      <c r="F700" t="s">
        <v>27</v>
      </c>
      <c r="G700" t="s">
        <v>22</v>
      </c>
      <c r="H700" s="12">
        <v>60000</v>
      </c>
      <c r="I700">
        <v>1</v>
      </c>
      <c r="J700" t="s">
        <v>17</v>
      </c>
      <c r="K700" s="12">
        <f t="shared" si="10"/>
        <v>48000</v>
      </c>
      <c r="L700" s="12">
        <f>Sales_Data[[#This Row],[Unit Price]]*Sales_Data[[#This Row],[Quantity]]</f>
        <v>60000</v>
      </c>
      <c r="M700" s="12">
        <f>Sales_Data[[#This Row],[Cost Price]]*Sales_Data[[#This Row],[Quantity]]</f>
        <v>48000</v>
      </c>
      <c r="N700" s="12">
        <f>Sales_Data[[#This Row],[Revenue]]-Sales_Data[[#This Row],[COGS]]</f>
        <v>12000</v>
      </c>
    </row>
    <row r="701" spans="1:14">
      <c r="A701" s="1">
        <v>46375</v>
      </c>
      <c r="B701" t="s">
        <v>11</v>
      </c>
      <c r="C701" t="s">
        <v>26</v>
      </c>
      <c r="D701" t="s">
        <v>13</v>
      </c>
      <c r="E701" t="s">
        <v>14</v>
      </c>
      <c r="F701" t="s">
        <v>40</v>
      </c>
      <c r="G701" t="s">
        <v>31</v>
      </c>
      <c r="H701" s="12">
        <v>250000</v>
      </c>
      <c r="I701">
        <v>8</v>
      </c>
      <c r="J701" t="s">
        <v>17</v>
      </c>
      <c r="K701" s="12">
        <f t="shared" si="10"/>
        <v>200000</v>
      </c>
      <c r="L701" s="12">
        <f>Sales_Data[[#This Row],[Unit Price]]*Sales_Data[[#This Row],[Quantity]]</f>
        <v>2000000</v>
      </c>
      <c r="M701" s="12">
        <f>Sales_Data[[#This Row],[Cost Price]]*Sales_Data[[#This Row],[Quantity]]</f>
        <v>1600000</v>
      </c>
      <c r="N701" s="12">
        <f>Sales_Data[[#This Row],[Revenue]]-Sales_Data[[#This Row],[COGS]]</f>
        <v>400000</v>
      </c>
    </row>
    <row r="702" spans="1:14">
      <c r="A702" s="1">
        <v>46376</v>
      </c>
      <c r="B702" t="s">
        <v>11</v>
      </c>
      <c r="C702" t="s">
        <v>19</v>
      </c>
      <c r="D702" t="s">
        <v>23</v>
      </c>
      <c r="E702" t="s">
        <v>14</v>
      </c>
      <c r="F702" t="s">
        <v>30</v>
      </c>
      <c r="G702" t="s">
        <v>31</v>
      </c>
      <c r="H702" s="12">
        <v>300000</v>
      </c>
      <c r="I702">
        <v>4</v>
      </c>
      <c r="J702" t="s">
        <v>17</v>
      </c>
      <c r="K702" s="12">
        <f t="shared" si="10"/>
        <v>240000</v>
      </c>
      <c r="L702" s="12">
        <f>Sales_Data[[#This Row],[Unit Price]]*Sales_Data[[#This Row],[Quantity]]</f>
        <v>1200000</v>
      </c>
      <c r="M702" s="12">
        <f>Sales_Data[[#This Row],[Cost Price]]*Sales_Data[[#This Row],[Quantity]]</f>
        <v>960000</v>
      </c>
      <c r="N702" s="12">
        <f>Sales_Data[[#This Row],[Revenue]]-Sales_Data[[#This Row],[COGS]]</f>
        <v>240000</v>
      </c>
    </row>
    <row r="703" spans="1:14">
      <c r="A703" s="1">
        <v>46377</v>
      </c>
      <c r="B703" t="s">
        <v>18</v>
      </c>
      <c r="C703" t="s">
        <v>26</v>
      </c>
      <c r="D703" t="s">
        <v>23</v>
      </c>
      <c r="E703" t="s">
        <v>14</v>
      </c>
      <c r="F703" t="s">
        <v>30</v>
      </c>
      <c r="G703" t="s">
        <v>31</v>
      </c>
      <c r="H703" s="12">
        <v>300000</v>
      </c>
      <c r="I703">
        <v>10</v>
      </c>
      <c r="J703" t="s">
        <v>37</v>
      </c>
      <c r="K703" s="12">
        <f t="shared" si="10"/>
        <v>240000</v>
      </c>
      <c r="L703" s="12">
        <f>Sales_Data[[#This Row],[Unit Price]]*Sales_Data[[#This Row],[Quantity]]</f>
        <v>3000000</v>
      </c>
      <c r="M703" s="12">
        <f>Sales_Data[[#This Row],[Cost Price]]*Sales_Data[[#This Row],[Quantity]]</f>
        <v>2400000</v>
      </c>
      <c r="N703" s="12">
        <f>Sales_Data[[#This Row],[Revenue]]-Sales_Data[[#This Row],[COGS]]</f>
        <v>600000</v>
      </c>
    </row>
    <row r="704" spans="1:14">
      <c r="A704" s="1">
        <v>46378</v>
      </c>
      <c r="B704" t="s">
        <v>25</v>
      </c>
      <c r="C704" t="s">
        <v>19</v>
      </c>
      <c r="D704" t="s">
        <v>13</v>
      </c>
      <c r="E704" t="s">
        <v>14</v>
      </c>
      <c r="F704" t="s">
        <v>30</v>
      </c>
      <c r="G704" t="s">
        <v>31</v>
      </c>
      <c r="H704" s="12">
        <v>300000</v>
      </c>
      <c r="I704">
        <v>2</v>
      </c>
      <c r="J704" t="s">
        <v>39</v>
      </c>
      <c r="K704" s="12">
        <f t="shared" si="10"/>
        <v>240000</v>
      </c>
      <c r="L704" s="12">
        <f>Sales_Data[[#This Row],[Unit Price]]*Sales_Data[[#This Row],[Quantity]]</f>
        <v>600000</v>
      </c>
      <c r="M704" s="12">
        <f>Sales_Data[[#This Row],[Cost Price]]*Sales_Data[[#This Row],[Quantity]]</f>
        <v>480000</v>
      </c>
      <c r="N704" s="12">
        <f>Sales_Data[[#This Row],[Revenue]]-Sales_Data[[#This Row],[COGS]]</f>
        <v>120000</v>
      </c>
    </row>
    <row r="705" spans="1:14">
      <c r="A705" s="1">
        <v>46379</v>
      </c>
      <c r="B705" t="s">
        <v>11</v>
      </c>
      <c r="C705" t="s">
        <v>32</v>
      </c>
      <c r="D705" t="s">
        <v>13</v>
      </c>
      <c r="E705" t="s">
        <v>20</v>
      </c>
      <c r="F705" t="s">
        <v>15</v>
      </c>
      <c r="G705" t="s">
        <v>16</v>
      </c>
      <c r="H705" s="12">
        <v>85000</v>
      </c>
      <c r="I705">
        <v>2</v>
      </c>
      <c r="J705" t="s">
        <v>35</v>
      </c>
      <c r="K705" s="12">
        <f t="shared" si="10"/>
        <v>68000</v>
      </c>
      <c r="L705" s="12">
        <f>Sales_Data[[#This Row],[Unit Price]]*Sales_Data[[#This Row],[Quantity]]</f>
        <v>170000</v>
      </c>
      <c r="M705" s="12">
        <f>Sales_Data[[#This Row],[Cost Price]]*Sales_Data[[#This Row],[Quantity]]</f>
        <v>136000</v>
      </c>
      <c r="N705" s="12">
        <f>Sales_Data[[#This Row],[Revenue]]-Sales_Data[[#This Row],[COGS]]</f>
        <v>34000</v>
      </c>
    </row>
    <row r="706" spans="1:14">
      <c r="A706" s="1">
        <v>46380</v>
      </c>
      <c r="B706" t="s">
        <v>29</v>
      </c>
      <c r="C706" t="s">
        <v>19</v>
      </c>
      <c r="D706" t="s">
        <v>13</v>
      </c>
      <c r="E706" t="s">
        <v>14</v>
      </c>
      <c r="F706" t="s">
        <v>34</v>
      </c>
      <c r="G706" t="s">
        <v>16</v>
      </c>
      <c r="H706" s="12">
        <v>320000</v>
      </c>
      <c r="I706">
        <v>3</v>
      </c>
      <c r="J706" t="s">
        <v>28</v>
      </c>
      <c r="K706" s="12">
        <f t="shared" ref="K706:K769" si="11">H706-H706*0.2</f>
        <v>256000</v>
      </c>
      <c r="L706" s="12">
        <f>Sales_Data[[#This Row],[Unit Price]]*Sales_Data[[#This Row],[Quantity]]</f>
        <v>960000</v>
      </c>
      <c r="M706" s="12">
        <f>Sales_Data[[#This Row],[Cost Price]]*Sales_Data[[#This Row],[Quantity]]</f>
        <v>768000</v>
      </c>
      <c r="N706" s="12">
        <f>Sales_Data[[#This Row],[Revenue]]-Sales_Data[[#This Row],[COGS]]</f>
        <v>192000</v>
      </c>
    </row>
    <row r="707" spans="1:14">
      <c r="A707" s="1">
        <v>46381</v>
      </c>
      <c r="B707" t="s">
        <v>11</v>
      </c>
      <c r="C707" t="s">
        <v>26</v>
      </c>
      <c r="D707" t="s">
        <v>13</v>
      </c>
      <c r="E707" t="s">
        <v>20</v>
      </c>
      <c r="F707" t="s">
        <v>36</v>
      </c>
      <c r="G707" t="s">
        <v>31</v>
      </c>
      <c r="H707" s="12">
        <v>150000</v>
      </c>
      <c r="I707">
        <v>4</v>
      </c>
      <c r="J707" t="s">
        <v>17</v>
      </c>
      <c r="K707" s="12">
        <f t="shared" si="11"/>
        <v>120000</v>
      </c>
      <c r="L707" s="12">
        <f>Sales_Data[[#This Row],[Unit Price]]*Sales_Data[[#This Row],[Quantity]]</f>
        <v>600000</v>
      </c>
      <c r="M707" s="12">
        <f>Sales_Data[[#This Row],[Cost Price]]*Sales_Data[[#This Row],[Quantity]]</f>
        <v>480000</v>
      </c>
      <c r="N707" s="12">
        <f>Sales_Data[[#This Row],[Revenue]]-Sales_Data[[#This Row],[COGS]]</f>
        <v>120000</v>
      </c>
    </row>
    <row r="708" spans="1:14">
      <c r="A708" s="1">
        <v>46382</v>
      </c>
      <c r="B708" t="s">
        <v>11</v>
      </c>
      <c r="C708" t="s">
        <v>26</v>
      </c>
      <c r="D708" t="s">
        <v>23</v>
      </c>
      <c r="E708" t="s">
        <v>20</v>
      </c>
      <c r="F708" t="s">
        <v>27</v>
      </c>
      <c r="G708" t="s">
        <v>22</v>
      </c>
      <c r="H708" s="12">
        <v>60000</v>
      </c>
      <c r="I708">
        <v>8</v>
      </c>
      <c r="J708" t="s">
        <v>28</v>
      </c>
      <c r="K708" s="12">
        <f t="shared" si="11"/>
        <v>48000</v>
      </c>
      <c r="L708" s="12">
        <f>Sales_Data[[#This Row],[Unit Price]]*Sales_Data[[#This Row],[Quantity]]</f>
        <v>480000</v>
      </c>
      <c r="M708" s="12">
        <f>Sales_Data[[#This Row],[Cost Price]]*Sales_Data[[#This Row],[Quantity]]</f>
        <v>384000</v>
      </c>
      <c r="N708" s="12">
        <f>Sales_Data[[#This Row],[Revenue]]-Sales_Data[[#This Row],[COGS]]</f>
        <v>96000</v>
      </c>
    </row>
    <row r="709" spans="1:14">
      <c r="A709" s="1">
        <v>46383</v>
      </c>
      <c r="B709" t="s">
        <v>29</v>
      </c>
      <c r="C709" t="s">
        <v>12</v>
      </c>
      <c r="D709" t="s">
        <v>23</v>
      </c>
      <c r="E709" t="s">
        <v>20</v>
      </c>
      <c r="F709" t="s">
        <v>15</v>
      </c>
      <c r="G709" t="s">
        <v>16</v>
      </c>
      <c r="H709" s="12">
        <v>85000</v>
      </c>
      <c r="I709">
        <v>2</v>
      </c>
      <c r="J709" t="s">
        <v>17</v>
      </c>
      <c r="K709" s="12">
        <f t="shared" si="11"/>
        <v>68000</v>
      </c>
      <c r="L709" s="12">
        <f>Sales_Data[[#This Row],[Unit Price]]*Sales_Data[[#This Row],[Quantity]]</f>
        <v>170000</v>
      </c>
      <c r="M709" s="12">
        <f>Sales_Data[[#This Row],[Cost Price]]*Sales_Data[[#This Row],[Quantity]]</f>
        <v>136000</v>
      </c>
      <c r="N709" s="12">
        <f>Sales_Data[[#This Row],[Revenue]]-Sales_Data[[#This Row],[COGS]]</f>
        <v>34000</v>
      </c>
    </row>
    <row r="710" spans="1:14">
      <c r="A710" s="1">
        <v>46384</v>
      </c>
      <c r="B710" t="s">
        <v>29</v>
      </c>
      <c r="C710" t="s">
        <v>19</v>
      </c>
      <c r="D710" t="s">
        <v>23</v>
      </c>
      <c r="E710" t="s">
        <v>20</v>
      </c>
      <c r="F710" t="s">
        <v>30</v>
      </c>
      <c r="G710" t="s">
        <v>31</v>
      </c>
      <c r="H710" s="12">
        <v>300000</v>
      </c>
      <c r="I710">
        <v>8</v>
      </c>
      <c r="J710" t="s">
        <v>24</v>
      </c>
      <c r="K710" s="12">
        <f t="shared" si="11"/>
        <v>240000</v>
      </c>
      <c r="L710" s="12">
        <f>Sales_Data[[#This Row],[Unit Price]]*Sales_Data[[#This Row],[Quantity]]</f>
        <v>2400000</v>
      </c>
      <c r="M710" s="12">
        <f>Sales_Data[[#This Row],[Cost Price]]*Sales_Data[[#This Row],[Quantity]]</f>
        <v>1920000</v>
      </c>
      <c r="N710" s="12">
        <f>Sales_Data[[#This Row],[Revenue]]-Sales_Data[[#This Row],[COGS]]</f>
        <v>480000</v>
      </c>
    </row>
    <row r="711" spans="1:14">
      <c r="A711" s="1">
        <v>46385</v>
      </c>
      <c r="B711" t="s">
        <v>29</v>
      </c>
      <c r="C711" t="s">
        <v>12</v>
      </c>
      <c r="D711" t="s">
        <v>13</v>
      </c>
      <c r="E711" t="s">
        <v>14</v>
      </c>
      <c r="F711" t="s">
        <v>34</v>
      </c>
      <c r="G711" t="s">
        <v>16</v>
      </c>
      <c r="H711" s="12">
        <v>320000</v>
      </c>
      <c r="I711">
        <v>5</v>
      </c>
      <c r="J711" t="s">
        <v>37</v>
      </c>
      <c r="K711" s="12">
        <f t="shared" si="11"/>
        <v>256000</v>
      </c>
      <c r="L711" s="12">
        <f>Sales_Data[[#This Row],[Unit Price]]*Sales_Data[[#This Row],[Quantity]]</f>
        <v>1600000</v>
      </c>
      <c r="M711" s="12">
        <f>Sales_Data[[#This Row],[Cost Price]]*Sales_Data[[#This Row],[Quantity]]</f>
        <v>1280000</v>
      </c>
      <c r="N711" s="12">
        <f>Sales_Data[[#This Row],[Revenue]]-Sales_Data[[#This Row],[COGS]]</f>
        <v>320000</v>
      </c>
    </row>
    <row r="712" spans="1:14">
      <c r="A712" s="1">
        <v>46386</v>
      </c>
      <c r="B712" t="s">
        <v>11</v>
      </c>
      <c r="C712" t="s">
        <v>19</v>
      </c>
      <c r="D712" t="s">
        <v>23</v>
      </c>
      <c r="E712" t="s">
        <v>20</v>
      </c>
      <c r="F712" t="s">
        <v>21</v>
      </c>
      <c r="G712" t="s">
        <v>22</v>
      </c>
      <c r="H712" s="12">
        <v>30000</v>
      </c>
      <c r="I712">
        <v>3</v>
      </c>
      <c r="J712" t="s">
        <v>24</v>
      </c>
      <c r="K712" s="12">
        <f t="shared" si="11"/>
        <v>24000</v>
      </c>
      <c r="L712" s="12">
        <f>Sales_Data[[#This Row],[Unit Price]]*Sales_Data[[#This Row],[Quantity]]</f>
        <v>90000</v>
      </c>
      <c r="M712" s="12">
        <f>Sales_Data[[#This Row],[Cost Price]]*Sales_Data[[#This Row],[Quantity]]</f>
        <v>72000</v>
      </c>
      <c r="N712" s="12">
        <f>Sales_Data[[#This Row],[Revenue]]-Sales_Data[[#This Row],[COGS]]</f>
        <v>18000</v>
      </c>
    </row>
    <row r="713" spans="1:14">
      <c r="A713" s="1">
        <v>46387</v>
      </c>
      <c r="B713" t="s">
        <v>25</v>
      </c>
      <c r="C713" t="s">
        <v>12</v>
      </c>
      <c r="D713" t="s">
        <v>13</v>
      </c>
      <c r="E713" t="s">
        <v>20</v>
      </c>
      <c r="F713" t="s">
        <v>21</v>
      </c>
      <c r="G713" t="s">
        <v>22</v>
      </c>
      <c r="H713" s="12">
        <v>30000</v>
      </c>
      <c r="I713">
        <v>1</v>
      </c>
      <c r="J713" t="s">
        <v>24</v>
      </c>
      <c r="K713" s="12">
        <f t="shared" si="11"/>
        <v>24000</v>
      </c>
      <c r="L713" s="12">
        <f>Sales_Data[[#This Row],[Unit Price]]*Sales_Data[[#This Row],[Quantity]]</f>
        <v>30000</v>
      </c>
      <c r="M713" s="12">
        <f>Sales_Data[[#This Row],[Cost Price]]*Sales_Data[[#This Row],[Quantity]]</f>
        <v>24000</v>
      </c>
      <c r="N713" s="12">
        <f>Sales_Data[[#This Row],[Revenue]]-Sales_Data[[#This Row],[COGS]]</f>
        <v>6000</v>
      </c>
    </row>
    <row r="714" spans="1:14">
      <c r="A714" s="1">
        <v>46388</v>
      </c>
      <c r="B714" t="s">
        <v>25</v>
      </c>
      <c r="C714" t="s">
        <v>32</v>
      </c>
      <c r="D714" t="s">
        <v>23</v>
      </c>
      <c r="E714" t="s">
        <v>20</v>
      </c>
      <c r="F714" t="s">
        <v>36</v>
      </c>
      <c r="G714" t="s">
        <v>31</v>
      </c>
      <c r="H714" s="12">
        <v>150000</v>
      </c>
      <c r="I714">
        <v>3</v>
      </c>
      <c r="J714" t="s">
        <v>24</v>
      </c>
      <c r="K714" s="12">
        <f t="shared" si="11"/>
        <v>120000</v>
      </c>
      <c r="L714" s="12">
        <f>Sales_Data[[#This Row],[Unit Price]]*Sales_Data[[#This Row],[Quantity]]</f>
        <v>450000</v>
      </c>
      <c r="M714" s="12">
        <f>Sales_Data[[#This Row],[Cost Price]]*Sales_Data[[#This Row],[Quantity]]</f>
        <v>360000</v>
      </c>
      <c r="N714" s="12">
        <f>Sales_Data[[#This Row],[Revenue]]-Sales_Data[[#This Row],[COGS]]</f>
        <v>90000</v>
      </c>
    </row>
    <row r="715" spans="1:14">
      <c r="A715" s="1">
        <v>46389</v>
      </c>
      <c r="B715" t="s">
        <v>25</v>
      </c>
      <c r="C715" t="s">
        <v>26</v>
      </c>
      <c r="D715" t="s">
        <v>13</v>
      </c>
      <c r="E715" t="s">
        <v>14</v>
      </c>
      <c r="F715" t="s">
        <v>21</v>
      </c>
      <c r="G715" t="s">
        <v>22</v>
      </c>
      <c r="H715" s="12">
        <v>30000</v>
      </c>
      <c r="I715">
        <v>5</v>
      </c>
      <c r="J715" t="s">
        <v>35</v>
      </c>
      <c r="K715" s="12">
        <f t="shared" si="11"/>
        <v>24000</v>
      </c>
      <c r="L715" s="12">
        <f>Sales_Data[[#This Row],[Unit Price]]*Sales_Data[[#This Row],[Quantity]]</f>
        <v>150000</v>
      </c>
      <c r="M715" s="12">
        <f>Sales_Data[[#This Row],[Cost Price]]*Sales_Data[[#This Row],[Quantity]]</f>
        <v>120000</v>
      </c>
      <c r="N715" s="12">
        <f>Sales_Data[[#This Row],[Revenue]]-Sales_Data[[#This Row],[COGS]]</f>
        <v>30000</v>
      </c>
    </row>
    <row r="716" spans="1:14">
      <c r="A716" s="1">
        <v>46390</v>
      </c>
      <c r="B716" t="s">
        <v>29</v>
      </c>
      <c r="C716" t="s">
        <v>32</v>
      </c>
      <c r="D716" t="s">
        <v>23</v>
      </c>
      <c r="E716" t="s">
        <v>20</v>
      </c>
      <c r="F716" t="s">
        <v>33</v>
      </c>
      <c r="G716" t="s">
        <v>22</v>
      </c>
      <c r="H716" s="12">
        <v>180000</v>
      </c>
      <c r="I716">
        <v>4</v>
      </c>
      <c r="J716" t="s">
        <v>24</v>
      </c>
      <c r="K716" s="12">
        <f t="shared" si="11"/>
        <v>144000</v>
      </c>
      <c r="L716" s="12">
        <f>Sales_Data[[#This Row],[Unit Price]]*Sales_Data[[#This Row],[Quantity]]</f>
        <v>720000</v>
      </c>
      <c r="M716" s="12">
        <f>Sales_Data[[#This Row],[Cost Price]]*Sales_Data[[#This Row],[Quantity]]</f>
        <v>576000</v>
      </c>
      <c r="N716" s="12">
        <f>Sales_Data[[#This Row],[Revenue]]-Sales_Data[[#This Row],[COGS]]</f>
        <v>144000</v>
      </c>
    </row>
    <row r="717" spans="1:14">
      <c r="A717" s="1">
        <v>46391</v>
      </c>
      <c r="B717" t="s">
        <v>25</v>
      </c>
      <c r="C717" t="s">
        <v>26</v>
      </c>
      <c r="D717" t="s">
        <v>23</v>
      </c>
      <c r="E717" t="s">
        <v>20</v>
      </c>
      <c r="F717" t="s">
        <v>33</v>
      </c>
      <c r="G717" t="s">
        <v>22</v>
      </c>
      <c r="H717" s="12">
        <v>180000</v>
      </c>
      <c r="I717">
        <v>3</v>
      </c>
      <c r="J717" t="s">
        <v>39</v>
      </c>
      <c r="K717" s="12">
        <f t="shared" si="11"/>
        <v>144000</v>
      </c>
      <c r="L717" s="12">
        <f>Sales_Data[[#This Row],[Unit Price]]*Sales_Data[[#This Row],[Quantity]]</f>
        <v>540000</v>
      </c>
      <c r="M717" s="12">
        <f>Sales_Data[[#This Row],[Cost Price]]*Sales_Data[[#This Row],[Quantity]]</f>
        <v>432000</v>
      </c>
      <c r="N717" s="12">
        <f>Sales_Data[[#This Row],[Revenue]]-Sales_Data[[#This Row],[COGS]]</f>
        <v>108000</v>
      </c>
    </row>
    <row r="718" spans="1:14">
      <c r="A718" s="1">
        <v>46392</v>
      </c>
      <c r="B718" t="s">
        <v>18</v>
      </c>
      <c r="C718" t="s">
        <v>19</v>
      </c>
      <c r="D718" t="s">
        <v>23</v>
      </c>
      <c r="E718" t="s">
        <v>20</v>
      </c>
      <c r="F718" t="s">
        <v>30</v>
      </c>
      <c r="G718" t="s">
        <v>31</v>
      </c>
      <c r="H718" s="12">
        <v>300000</v>
      </c>
      <c r="I718">
        <v>8</v>
      </c>
      <c r="J718" t="s">
        <v>17</v>
      </c>
      <c r="K718" s="12">
        <f t="shared" si="11"/>
        <v>240000</v>
      </c>
      <c r="L718" s="12">
        <f>Sales_Data[[#This Row],[Unit Price]]*Sales_Data[[#This Row],[Quantity]]</f>
        <v>2400000</v>
      </c>
      <c r="M718" s="12">
        <f>Sales_Data[[#This Row],[Cost Price]]*Sales_Data[[#This Row],[Quantity]]</f>
        <v>1920000</v>
      </c>
      <c r="N718" s="12">
        <f>Sales_Data[[#This Row],[Revenue]]-Sales_Data[[#This Row],[COGS]]</f>
        <v>480000</v>
      </c>
    </row>
    <row r="719" spans="1:14">
      <c r="A719" s="1">
        <v>46393</v>
      </c>
      <c r="B719" t="s">
        <v>18</v>
      </c>
      <c r="C719" t="s">
        <v>32</v>
      </c>
      <c r="D719" t="s">
        <v>23</v>
      </c>
      <c r="E719" t="s">
        <v>14</v>
      </c>
      <c r="F719" t="s">
        <v>15</v>
      </c>
      <c r="G719" t="s">
        <v>16</v>
      </c>
      <c r="H719" s="12">
        <v>85000</v>
      </c>
      <c r="I719">
        <v>8</v>
      </c>
      <c r="J719" t="s">
        <v>24</v>
      </c>
      <c r="K719" s="12">
        <f t="shared" si="11"/>
        <v>68000</v>
      </c>
      <c r="L719" s="12">
        <f>Sales_Data[[#This Row],[Unit Price]]*Sales_Data[[#This Row],[Quantity]]</f>
        <v>680000</v>
      </c>
      <c r="M719" s="12">
        <f>Sales_Data[[#This Row],[Cost Price]]*Sales_Data[[#This Row],[Quantity]]</f>
        <v>544000</v>
      </c>
      <c r="N719" s="12">
        <f>Sales_Data[[#This Row],[Revenue]]-Sales_Data[[#This Row],[COGS]]</f>
        <v>136000</v>
      </c>
    </row>
    <row r="720" spans="1:14">
      <c r="A720" s="1">
        <v>46394</v>
      </c>
      <c r="B720" t="s">
        <v>29</v>
      </c>
      <c r="C720" t="s">
        <v>19</v>
      </c>
      <c r="D720" t="s">
        <v>13</v>
      </c>
      <c r="E720" t="s">
        <v>20</v>
      </c>
      <c r="F720" t="s">
        <v>33</v>
      </c>
      <c r="G720" t="s">
        <v>22</v>
      </c>
      <c r="H720" s="12">
        <v>180000</v>
      </c>
      <c r="I720">
        <v>1</v>
      </c>
      <c r="J720" t="s">
        <v>17</v>
      </c>
      <c r="K720" s="12">
        <f t="shared" si="11"/>
        <v>144000</v>
      </c>
      <c r="L720" s="12">
        <f>Sales_Data[[#This Row],[Unit Price]]*Sales_Data[[#This Row],[Quantity]]</f>
        <v>180000</v>
      </c>
      <c r="M720" s="12">
        <f>Sales_Data[[#This Row],[Cost Price]]*Sales_Data[[#This Row],[Quantity]]</f>
        <v>144000</v>
      </c>
      <c r="N720" s="12">
        <f>Sales_Data[[#This Row],[Revenue]]-Sales_Data[[#This Row],[COGS]]</f>
        <v>36000</v>
      </c>
    </row>
    <row r="721" spans="1:14">
      <c r="A721" s="1">
        <v>46395</v>
      </c>
      <c r="B721" t="s">
        <v>25</v>
      </c>
      <c r="C721" t="s">
        <v>12</v>
      </c>
      <c r="D721" t="s">
        <v>23</v>
      </c>
      <c r="E721" t="s">
        <v>14</v>
      </c>
      <c r="F721" t="s">
        <v>38</v>
      </c>
      <c r="G721" t="s">
        <v>31</v>
      </c>
      <c r="H721" s="12">
        <v>420000</v>
      </c>
      <c r="I721">
        <v>6</v>
      </c>
      <c r="J721" t="s">
        <v>24</v>
      </c>
      <c r="K721" s="12">
        <f t="shared" si="11"/>
        <v>336000</v>
      </c>
      <c r="L721" s="12">
        <f>Sales_Data[[#This Row],[Unit Price]]*Sales_Data[[#This Row],[Quantity]]</f>
        <v>2520000</v>
      </c>
      <c r="M721" s="12">
        <f>Sales_Data[[#This Row],[Cost Price]]*Sales_Data[[#This Row],[Quantity]]</f>
        <v>2016000</v>
      </c>
      <c r="N721" s="12">
        <f>Sales_Data[[#This Row],[Revenue]]-Sales_Data[[#This Row],[COGS]]</f>
        <v>504000</v>
      </c>
    </row>
    <row r="722" spans="1:14">
      <c r="A722" s="1">
        <v>46396</v>
      </c>
      <c r="B722" t="s">
        <v>11</v>
      </c>
      <c r="C722" t="s">
        <v>32</v>
      </c>
      <c r="D722" t="s">
        <v>13</v>
      </c>
      <c r="E722" t="s">
        <v>20</v>
      </c>
      <c r="F722" t="s">
        <v>38</v>
      </c>
      <c r="G722" t="s">
        <v>31</v>
      </c>
      <c r="H722" s="12">
        <v>420000</v>
      </c>
      <c r="I722">
        <v>4</v>
      </c>
      <c r="J722" t="s">
        <v>37</v>
      </c>
      <c r="K722" s="12">
        <f t="shared" si="11"/>
        <v>336000</v>
      </c>
      <c r="L722" s="12">
        <f>Sales_Data[[#This Row],[Unit Price]]*Sales_Data[[#This Row],[Quantity]]</f>
        <v>1680000</v>
      </c>
      <c r="M722" s="12">
        <f>Sales_Data[[#This Row],[Cost Price]]*Sales_Data[[#This Row],[Quantity]]</f>
        <v>1344000</v>
      </c>
      <c r="N722" s="12">
        <f>Sales_Data[[#This Row],[Revenue]]-Sales_Data[[#This Row],[COGS]]</f>
        <v>336000</v>
      </c>
    </row>
    <row r="723" spans="1:14">
      <c r="A723" s="1">
        <v>46397</v>
      </c>
      <c r="B723" t="s">
        <v>18</v>
      </c>
      <c r="C723" t="s">
        <v>32</v>
      </c>
      <c r="D723" t="s">
        <v>23</v>
      </c>
      <c r="E723" t="s">
        <v>20</v>
      </c>
      <c r="F723" t="s">
        <v>33</v>
      </c>
      <c r="G723" t="s">
        <v>22</v>
      </c>
      <c r="H723" s="12">
        <v>180000</v>
      </c>
      <c r="I723">
        <v>3</v>
      </c>
      <c r="J723" t="s">
        <v>24</v>
      </c>
      <c r="K723" s="12">
        <f t="shared" si="11"/>
        <v>144000</v>
      </c>
      <c r="L723" s="12">
        <f>Sales_Data[[#This Row],[Unit Price]]*Sales_Data[[#This Row],[Quantity]]</f>
        <v>540000</v>
      </c>
      <c r="M723" s="12">
        <f>Sales_Data[[#This Row],[Cost Price]]*Sales_Data[[#This Row],[Quantity]]</f>
        <v>432000</v>
      </c>
      <c r="N723" s="12">
        <f>Sales_Data[[#This Row],[Revenue]]-Sales_Data[[#This Row],[COGS]]</f>
        <v>108000</v>
      </c>
    </row>
    <row r="724" spans="1:14">
      <c r="A724" s="1">
        <v>46398</v>
      </c>
      <c r="B724" t="s">
        <v>25</v>
      </c>
      <c r="C724" t="s">
        <v>19</v>
      </c>
      <c r="D724" t="s">
        <v>13</v>
      </c>
      <c r="E724" t="s">
        <v>14</v>
      </c>
      <c r="F724" t="s">
        <v>27</v>
      </c>
      <c r="G724" t="s">
        <v>22</v>
      </c>
      <c r="H724" s="12">
        <v>60000</v>
      </c>
      <c r="I724">
        <v>3</v>
      </c>
      <c r="J724" t="s">
        <v>24</v>
      </c>
      <c r="K724" s="12">
        <f t="shared" si="11"/>
        <v>48000</v>
      </c>
      <c r="L724" s="12">
        <f>Sales_Data[[#This Row],[Unit Price]]*Sales_Data[[#This Row],[Quantity]]</f>
        <v>180000</v>
      </c>
      <c r="M724" s="12">
        <f>Sales_Data[[#This Row],[Cost Price]]*Sales_Data[[#This Row],[Quantity]]</f>
        <v>144000</v>
      </c>
      <c r="N724" s="12">
        <f>Sales_Data[[#This Row],[Revenue]]-Sales_Data[[#This Row],[COGS]]</f>
        <v>36000</v>
      </c>
    </row>
    <row r="725" spans="1:14">
      <c r="A725" s="1">
        <v>46399</v>
      </c>
      <c r="B725" t="s">
        <v>18</v>
      </c>
      <c r="C725" t="s">
        <v>32</v>
      </c>
      <c r="D725" t="s">
        <v>13</v>
      </c>
      <c r="E725" t="s">
        <v>20</v>
      </c>
      <c r="F725" t="s">
        <v>36</v>
      </c>
      <c r="G725" t="s">
        <v>31</v>
      </c>
      <c r="H725" s="12">
        <v>150000</v>
      </c>
      <c r="I725">
        <v>1</v>
      </c>
      <c r="J725" t="s">
        <v>28</v>
      </c>
      <c r="K725" s="12">
        <f t="shared" si="11"/>
        <v>120000</v>
      </c>
      <c r="L725" s="12">
        <f>Sales_Data[[#This Row],[Unit Price]]*Sales_Data[[#This Row],[Quantity]]</f>
        <v>150000</v>
      </c>
      <c r="M725" s="12">
        <f>Sales_Data[[#This Row],[Cost Price]]*Sales_Data[[#This Row],[Quantity]]</f>
        <v>120000</v>
      </c>
      <c r="N725" s="12">
        <f>Sales_Data[[#This Row],[Revenue]]-Sales_Data[[#This Row],[COGS]]</f>
        <v>30000</v>
      </c>
    </row>
    <row r="726" spans="1:14">
      <c r="A726" s="1">
        <v>46400</v>
      </c>
      <c r="B726" t="s">
        <v>25</v>
      </c>
      <c r="C726" t="s">
        <v>12</v>
      </c>
      <c r="D726" t="s">
        <v>23</v>
      </c>
      <c r="E726" t="s">
        <v>14</v>
      </c>
      <c r="F726" t="s">
        <v>38</v>
      </c>
      <c r="G726" t="s">
        <v>31</v>
      </c>
      <c r="H726" s="12">
        <v>420000</v>
      </c>
      <c r="I726">
        <v>4</v>
      </c>
      <c r="J726" t="s">
        <v>24</v>
      </c>
      <c r="K726" s="12">
        <f t="shared" si="11"/>
        <v>336000</v>
      </c>
      <c r="L726" s="12">
        <f>Sales_Data[[#This Row],[Unit Price]]*Sales_Data[[#This Row],[Quantity]]</f>
        <v>1680000</v>
      </c>
      <c r="M726" s="12">
        <f>Sales_Data[[#This Row],[Cost Price]]*Sales_Data[[#This Row],[Quantity]]</f>
        <v>1344000</v>
      </c>
      <c r="N726" s="12">
        <f>Sales_Data[[#This Row],[Revenue]]-Sales_Data[[#This Row],[COGS]]</f>
        <v>336000</v>
      </c>
    </row>
    <row r="727" spans="1:14">
      <c r="A727" s="1">
        <v>46401</v>
      </c>
      <c r="B727" t="s">
        <v>29</v>
      </c>
      <c r="C727" t="s">
        <v>19</v>
      </c>
      <c r="D727" t="s">
        <v>23</v>
      </c>
      <c r="E727" t="s">
        <v>14</v>
      </c>
      <c r="F727" t="s">
        <v>40</v>
      </c>
      <c r="G727" t="s">
        <v>31</v>
      </c>
      <c r="H727" s="12">
        <v>250000</v>
      </c>
      <c r="I727">
        <v>6</v>
      </c>
      <c r="J727" t="s">
        <v>28</v>
      </c>
      <c r="K727" s="12">
        <f t="shared" si="11"/>
        <v>200000</v>
      </c>
      <c r="L727" s="12">
        <f>Sales_Data[[#This Row],[Unit Price]]*Sales_Data[[#This Row],[Quantity]]</f>
        <v>1500000</v>
      </c>
      <c r="M727" s="12">
        <f>Sales_Data[[#This Row],[Cost Price]]*Sales_Data[[#This Row],[Quantity]]</f>
        <v>1200000</v>
      </c>
      <c r="N727" s="12">
        <f>Sales_Data[[#This Row],[Revenue]]-Sales_Data[[#This Row],[COGS]]</f>
        <v>300000</v>
      </c>
    </row>
    <row r="728" spans="1:14">
      <c r="A728" s="1">
        <v>46402</v>
      </c>
      <c r="B728" t="s">
        <v>25</v>
      </c>
      <c r="C728" t="s">
        <v>12</v>
      </c>
      <c r="D728" t="s">
        <v>23</v>
      </c>
      <c r="E728" t="s">
        <v>20</v>
      </c>
      <c r="F728" t="s">
        <v>34</v>
      </c>
      <c r="G728" t="s">
        <v>16</v>
      </c>
      <c r="H728" s="12">
        <v>320000</v>
      </c>
      <c r="I728">
        <v>1</v>
      </c>
      <c r="J728" t="s">
        <v>35</v>
      </c>
      <c r="K728" s="12">
        <f t="shared" si="11"/>
        <v>256000</v>
      </c>
      <c r="L728" s="12">
        <f>Sales_Data[[#This Row],[Unit Price]]*Sales_Data[[#This Row],[Quantity]]</f>
        <v>320000</v>
      </c>
      <c r="M728" s="12">
        <f>Sales_Data[[#This Row],[Cost Price]]*Sales_Data[[#This Row],[Quantity]]</f>
        <v>256000</v>
      </c>
      <c r="N728" s="12">
        <f>Sales_Data[[#This Row],[Revenue]]-Sales_Data[[#This Row],[COGS]]</f>
        <v>64000</v>
      </c>
    </row>
    <row r="729" spans="1:14">
      <c r="A729" s="1">
        <v>46403</v>
      </c>
      <c r="B729" t="s">
        <v>29</v>
      </c>
      <c r="C729" t="s">
        <v>32</v>
      </c>
      <c r="D729" t="s">
        <v>23</v>
      </c>
      <c r="E729" t="s">
        <v>20</v>
      </c>
      <c r="F729" t="s">
        <v>41</v>
      </c>
      <c r="G729" t="s">
        <v>22</v>
      </c>
      <c r="H729" s="12">
        <v>220000</v>
      </c>
      <c r="I729">
        <v>10</v>
      </c>
      <c r="J729" t="s">
        <v>39</v>
      </c>
      <c r="K729" s="12">
        <f t="shared" si="11"/>
        <v>176000</v>
      </c>
      <c r="L729" s="12">
        <f>Sales_Data[[#This Row],[Unit Price]]*Sales_Data[[#This Row],[Quantity]]</f>
        <v>2200000</v>
      </c>
      <c r="M729" s="12">
        <f>Sales_Data[[#This Row],[Cost Price]]*Sales_Data[[#This Row],[Quantity]]</f>
        <v>1760000</v>
      </c>
      <c r="N729" s="12">
        <f>Sales_Data[[#This Row],[Revenue]]-Sales_Data[[#This Row],[COGS]]</f>
        <v>440000</v>
      </c>
    </row>
    <row r="730" spans="1:14">
      <c r="A730" s="1">
        <v>46404</v>
      </c>
      <c r="B730" t="s">
        <v>29</v>
      </c>
      <c r="C730" t="s">
        <v>19</v>
      </c>
      <c r="D730" t="s">
        <v>13</v>
      </c>
      <c r="E730" t="s">
        <v>14</v>
      </c>
      <c r="F730" t="s">
        <v>41</v>
      </c>
      <c r="G730" t="s">
        <v>22</v>
      </c>
      <c r="H730" s="12">
        <v>220000</v>
      </c>
      <c r="I730">
        <v>5</v>
      </c>
      <c r="J730" t="s">
        <v>24</v>
      </c>
      <c r="K730" s="12">
        <f t="shared" si="11"/>
        <v>176000</v>
      </c>
      <c r="L730" s="12">
        <f>Sales_Data[[#This Row],[Unit Price]]*Sales_Data[[#This Row],[Quantity]]</f>
        <v>1100000</v>
      </c>
      <c r="M730" s="12">
        <f>Sales_Data[[#This Row],[Cost Price]]*Sales_Data[[#This Row],[Quantity]]</f>
        <v>880000</v>
      </c>
      <c r="N730" s="12">
        <f>Sales_Data[[#This Row],[Revenue]]-Sales_Data[[#This Row],[COGS]]</f>
        <v>220000</v>
      </c>
    </row>
    <row r="731" spans="1:14">
      <c r="A731" s="1">
        <v>46405</v>
      </c>
      <c r="B731" t="s">
        <v>25</v>
      </c>
      <c r="C731" t="s">
        <v>26</v>
      </c>
      <c r="D731" t="s">
        <v>23</v>
      </c>
      <c r="E731" t="s">
        <v>20</v>
      </c>
      <c r="F731" t="s">
        <v>41</v>
      </c>
      <c r="G731" t="s">
        <v>22</v>
      </c>
      <c r="H731" s="12">
        <v>220000</v>
      </c>
      <c r="I731">
        <v>8</v>
      </c>
      <c r="J731" t="s">
        <v>39</v>
      </c>
      <c r="K731" s="12">
        <f t="shared" si="11"/>
        <v>176000</v>
      </c>
      <c r="L731" s="12">
        <f>Sales_Data[[#This Row],[Unit Price]]*Sales_Data[[#This Row],[Quantity]]</f>
        <v>1760000</v>
      </c>
      <c r="M731" s="12">
        <f>Sales_Data[[#This Row],[Cost Price]]*Sales_Data[[#This Row],[Quantity]]</f>
        <v>1408000</v>
      </c>
      <c r="N731" s="12">
        <f>Sales_Data[[#This Row],[Revenue]]-Sales_Data[[#This Row],[COGS]]</f>
        <v>352000</v>
      </c>
    </row>
    <row r="732" spans="1:14">
      <c r="A732" s="1">
        <v>46406</v>
      </c>
      <c r="B732" t="s">
        <v>18</v>
      </c>
      <c r="C732" t="s">
        <v>12</v>
      </c>
      <c r="D732" t="s">
        <v>13</v>
      </c>
      <c r="E732" t="s">
        <v>14</v>
      </c>
      <c r="F732" t="s">
        <v>41</v>
      </c>
      <c r="G732" t="s">
        <v>22</v>
      </c>
      <c r="H732" s="12">
        <v>220000</v>
      </c>
      <c r="I732">
        <v>9</v>
      </c>
      <c r="J732" t="s">
        <v>28</v>
      </c>
      <c r="K732" s="12">
        <f t="shared" si="11"/>
        <v>176000</v>
      </c>
      <c r="L732" s="12">
        <f>Sales_Data[[#This Row],[Unit Price]]*Sales_Data[[#This Row],[Quantity]]</f>
        <v>1980000</v>
      </c>
      <c r="M732" s="12">
        <f>Sales_Data[[#This Row],[Cost Price]]*Sales_Data[[#This Row],[Quantity]]</f>
        <v>1584000</v>
      </c>
      <c r="N732" s="12">
        <f>Sales_Data[[#This Row],[Revenue]]-Sales_Data[[#This Row],[COGS]]</f>
        <v>396000</v>
      </c>
    </row>
    <row r="733" spans="1:14">
      <c r="A733" s="1">
        <v>46407</v>
      </c>
      <c r="B733" t="s">
        <v>29</v>
      </c>
      <c r="C733" t="s">
        <v>26</v>
      </c>
      <c r="D733" t="s">
        <v>23</v>
      </c>
      <c r="E733" t="s">
        <v>14</v>
      </c>
      <c r="F733" t="s">
        <v>30</v>
      </c>
      <c r="G733" t="s">
        <v>31</v>
      </c>
      <c r="H733" s="12">
        <v>300000</v>
      </c>
      <c r="I733">
        <v>7</v>
      </c>
      <c r="J733" t="s">
        <v>39</v>
      </c>
      <c r="K733" s="12">
        <f t="shared" si="11"/>
        <v>240000</v>
      </c>
      <c r="L733" s="12">
        <f>Sales_Data[[#This Row],[Unit Price]]*Sales_Data[[#This Row],[Quantity]]</f>
        <v>2100000</v>
      </c>
      <c r="M733" s="12">
        <f>Sales_Data[[#This Row],[Cost Price]]*Sales_Data[[#This Row],[Quantity]]</f>
        <v>1680000</v>
      </c>
      <c r="N733" s="12">
        <f>Sales_Data[[#This Row],[Revenue]]-Sales_Data[[#This Row],[COGS]]</f>
        <v>420000</v>
      </c>
    </row>
    <row r="734" spans="1:14">
      <c r="A734" s="1">
        <v>46408</v>
      </c>
      <c r="B734" t="s">
        <v>11</v>
      </c>
      <c r="C734" t="s">
        <v>32</v>
      </c>
      <c r="D734" t="s">
        <v>13</v>
      </c>
      <c r="E734" t="s">
        <v>14</v>
      </c>
      <c r="F734" t="s">
        <v>38</v>
      </c>
      <c r="G734" t="s">
        <v>31</v>
      </c>
      <c r="H734" s="12">
        <v>420000</v>
      </c>
      <c r="I734">
        <v>1</v>
      </c>
      <c r="J734" t="s">
        <v>28</v>
      </c>
      <c r="K734" s="12">
        <f t="shared" si="11"/>
        <v>336000</v>
      </c>
      <c r="L734" s="12">
        <f>Sales_Data[[#This Row],[Unit Price]]*Sales_Data[[#This Row],[Quantity]]</f>
        <v>420000</v>
      </c>
      <c r="M734" s="12">
        <f>Sales_Data[[#This Row],[Cost Price]]*Sales_Data[[#This Row],[Quantity]]</f>
        <v>336000</v>
      </c>
      <c r="N734" s="12">
        <f>Sales_Data[[#This Row],[Revenue]]-Sales_Data[[#This Row],[COGS]]</f>
        <v>84000</v>
      </c>
    </row>
    <row r="735" spans="1:14">
      <c r="A735" s="1">
        <v>46409</v>
      </c>
      <c r="B735" t="s">
        <v>11</v>
      </c>
      <c r="C735" t="s">
        <v>19</v>
      </c>
      <c r="D735" t="s">
        <v>23</v>
      </c>
      <c r="E735" t="s">
        <v>20</v>
      </c>
      <c r="F735" t="s">
        <v>33</v>
      </c>
      <c r="G735" t="s">
        <v>22</v>
      </c>
      <c r="H735" s="12">
        <v>180000</v>
      </c>
      <c r="I735">
        <v>6</v>
      </c>
      <c r="J735" t="s">
        <v>28</v>
      </c>
      <c r="K735" s="12">
        <f t="shared" si="11"/>
        <v>144000</v>
      </c>
      <c r="L735" s="12">
        <f>Sales_Data[[#This Row],[Unit Price]]*Sales_Data[[#This Row],[Quantity]]</f>
        <v>1080000</v>
      </c>
      <c r="M735" s="12">
        <f>Sales_Data[[#This Row],[Cost Price]]*Sales_Data[[#This Row],[Quantity]]</f>
        <v>864000</v>
      </c>
      <c r="N735" s="12">
        <f>Sales_Data[[#This Row],[Revenue]]-Sales_Data[[#This Row],[COGS]]</f>
        <v>216000</v>
      </c>
    </row>
    <row r="736" spans="1:14">
      <c r="A736" s="1">
        <v>46410</v>
      </c>
      <c r="B736" t="s">
        <v>29</v>
      </c>
      <c r="C736" t="s">
        <v>12</v>
      </c>
      <c r="D736" t="s">
        <v>13</v>
      </c>
      <c r="E736" t="s">
        <v>14</v>
      </c>
      <c r="F736" t="s">
        <v>40</v>
      </c>
      <c r="G736" t="s">
        <v>31</v>
      </c>
      <c r="H736" s="12">
        <v>250000</v>
      </c>
      <c r="I736">
        <v>3</v>
      </c>
      <c r="J736" t="s">
        <v>28</v>
      </c>
      <c r="K736" s="12">
        <f t="shared" si="11"/>
        <v>200000</v>
      </c>
      <c r="L736" s="12">
        <f>Sales_Data[[#This Row],[Unit Price]]*Sales_Data[[#This Row],[Quantity]]</f>
        <v>750000</v>
      </c>
      <c r="M736" s="12">
        <f>Sales_Data[[#This Row],[Cost Price]]*Sales_Data[[#This Row],[Quantity]]</f>
        <v>600000</v>
      </c>
      <c r="N736" s="12">
        <f>Sales_Data[[#This Row],[Revenue]]-Sales_Data[[#This Row],[COGS]]</f>
        <v>150000</v>
      </c>
    </row>
    <row r="737" spans="1:14">
      <c r="A737" s="1">
        <v>46411</v>
      </c>
      <c r="B737" t="s">
        <v>29</v>
      </c>
      <c r="C737" t="s">
        <v>32</v>
      </c>
      <c r="D737" t="s">
        <v>13</v>
      </c>
      <c r="E737" t="s">
        <v>14</v>
      </c>
      <c r="F737" t="s">
        <v>34</v>
      </c>
      <c r="G737" t="s">
        <v>16</v>
      </c>
      <c r="H737" s="12">
        <v>320000</v>
      </c>
      <c r="I737">
        <v>2</v>
      </c>
      <c r="J737" t="s">
        <v>17</v>
      </c>
      <c r="K737" s="12">
        <f t="shared" si="11"/>
        <v>256000</v>
      </c>
      <c r="L737" s="12">
        <f>Sales_Data[[#This Row],[Unit Price]]*Sales_Data[[#This Row],[Quantity]]</f>
        <v>640000</v>
      </c>
      <c r="M737" s="12">
        <f>Sales_Data[[#This Row],[Cost Price]]*Sales_Data[[#This Row],[Quantity]]</f>
        <v>512000</v>
      </c>
      <c r="N737" s="12">
        <f>Sales_Data[[#This Row],[Revenue]]-Sales_Data[[#This Row],[COGS]]</f>
        <v>128000</v>
      </c>
    </row>
    <row r="738" spans="1:14">
      <c r="A738" s="1">
        <v>46412</v>
      </c>
      <c r="B738" t="s">
        <v>18</v>
      </c>
      <c r="C738" t="s">
        <v>19</v>
      </c>
      <c r="D738" t="s">
        <v>23</v>
      </c>
      <c r="E738" t="s">
        <v>14</v>
      </c>
      <c r="F738" t="s">
        <v>27</v>
      </c>
      <c r="G738" t="s">
        <v>22</v>
      </c>
      <c r="H738" s="12">
        <v>60000</v>
      </c>
      <c r="I738">
        <v>3</v>
      </c>
      <c r="J738" t="s">
        <v>24</v>
      </c>
      <c r="K738" s="12">
        <f t="shared" si="11"/>
        <v>48000</v>
      </c>
      <c r="L738" s="12">
        <f>Sales_Data[[#This Row],[Unit Price]]*Sales_Data[[#This Row],[Quantity]]</f>
        <v>180000</v>
      </c>
      <c r="M738" s="12">
        <f>Sales_Data[[#This Row],[Cost Price]]*Sales_Data[[#This Row],[Quantity]]</f>
        <v>144000</v>
      </c>
      <c r="N738" s="12">
        <f>Sales_Data[[#This Row],[Revenue]]-Sales_Data[[#This Row],[COGS]]</f>
        <v>36000</v>
      </c>
    </row>
    <row r="739" spans="1:14">
      <c r="A739" s="1">
        <v>46413</v>
      </c>
      <c r="B739" t="s">
        <v>25</v>
      </c>
      <c r="C739" t="s">
        <v>32</v>
      </c>
      <c r="D739" t="s">
        <v>23</v>
      </c>
      <c r="E739" t="s">
        <v>20</v>
      </c>
      <c r="F739" t="s">
        <v>21</v>
      </c>
      <c r="G739" t="s">
        <v>22</v>
      </c>
      <c r="H739" s="12">
        <v>30000</v>
      </c>
      <c r="I739">
        <v>9</v>
      </c>
      <c r="J739" t="s">
        <v>24</v>
      </c>
      <c r="K739" s="12">
        <f t="shared" si="11"/>
        <v>24000</v>
      </c>
      <c r="L739" s="12">
        <f>Sales_Data[[#This Row],[Unit Price]]*Sales_Data[[#This Row],[Quantity]]</f>
        <v>270000</v>
      </c>
      <c r="M739" s="12">
        <f>Sales_Data[[#This Row],[Cost Price]]*Sales_Data[[#This Row],[Quantity]]</f>
        <v>216000</v>
      </c>
      <c r="N739" s="12">
        <f>Sales_Data[[#This Row],[Revenue]]-Sales_Data[[#This Row],[COGS]]</f>
        <v>54000</v>
      </c>
    </row>
    <row r="740" spans="1:14">
      <c r="A740" s="1">
        <v>46414</v>
      </c>
      <c r="B740" t="s">
        <v>18</v>
      </c>
      <c r="C740" t="s">
        <v>26</v>
      </c>
      <c r="D740" t="s">
        <v>23</v>
      </c>
      <c r="E740" t="s">
        <v>20</v>
      </c>
      <c r="F740" t="s">
        <v>33</v>
      </c>
      <c r="G740" t="s">
        <v>22</v>
      </c>
      <c r="H740" s="12">
        <v>180000</v>
      </c>
      <c r="I740">
        <v>6</v>
      </c>
      <c r="J740" t="s">
        <v>24</v>
      </c>
      <c r="K740" s="12">
        <f t="shared" si="11"/>
        <v>144000</v>
      </c>
      <c r="L740" s="12">
        <f>Sales_Data[[#This Row],[Unit Price]]*Sales_Data[[#This Row],[Quantity]]</f>
        <v>1080000</v>
      </c>
      <c r="M740" s="12">
        <f>Sales_Data[[#This Row],[Cost Price]]*Sales_Data[[#This Row],[Quantity]]</f>
        <v>864000</v>
      </c>
      <c r="N740" s="12">
        <f>Sales_Data[[#This Row],[Revenue]]-Sales_Data[[#This Row],[COGS]]</f>
        <v>216000</v>
      </c>
    </row>
    <row r="741" spans="1:14">
      <c r="A741" s="1">
        <v>46415</v>
      </c>
      <c r="B741" t="s">
        <v>25</v>
      </c>
      <c r="C741" t="s">
        <v>26</v>
      </c>
      <c r="D741" t="s">
        <v>23</v>
      </c>
      <c r="E741" t="s">
        <v>14</v>
      </c>
      <c r="F741" t="s">
        <v>27</v>
      </c>
      <c r="G741" t="s">
        <v>22</v>
      </c>
      <c r="H741" s="12">
        <v>60000</v>
      </c>
      <c r="I741">
        <v>8</v>
      </c>
      <c r="J741" t="s">
        <v>37</v>
      </c>
      <c r="K741" s="12">
        <f t="shared" si="11"/>
        <v>48000</v>
      </c>
      <c r="L741" s="12">
        <f>Sales_Data[[#This Row],[Unit Price]]*Sales_Data[[#This Row],[Quantity]]</f>
        <v>480000</v>
      </c>
      <c r="M741" s="12">
        <f>Sales_Data[[#This Row],[Cost Price]]*Sales_Data[[#This Row],[Quantity]]</f>
        <v>384000</v>
      </c>
      <c r="N741" s="12">
        <f>Sales_Data[[#This Row],[Revenue]]-Sales_Data[[#This Row],[COGS]]</f>
        <v>96000</v>
      </c>
    </row>
    <row r="742" spans="1:14">
      <c r="A742" s="1">
        <v>46416</v>
      </c>
      <c r="B742" t="s">
        <v>25</v>
      </c>
      <c r="C742" t="s">
        <v>26</v>
      </c>
      <c r="D742" t="s">
        <v>23</v>
      </c>
      <c r="E742" t="s">
        <v>14</v>
      </c>
      <c r="F742" t="s">
        <v>27</v>
      </c>
      <c r="G742" t="s">
        <v>22</v>
      </c>
      <c r="H742" s="12">
        <v>60000</v>
      </c>
      <c r="I742">
        <v>8</v>
      </c>
      <c r="J742" t="s">
        <v>39</v>
      </c>
      <c r="K742" s="12">
        <f t="shared" si="11"/>
        <v>48000</v>
      </c>
      <c r="L742" s="12">
        <f>Sales_Data[[#This Row],[Unit Price]]*Sales_Data[[#This Row],[Quantity]]</f>
        <v>480000</v>
      </c>
      <c r="M742" s="12">
        <f>Sales_Data[[#This Row],[Cost Price]]*Sales_Data[[#This Row],[Quantity]]</f>
        <v>384000</v>
      </c>
      <c r="N742" s="12">
        <f>Sales_Data[[#This Row],[Revenue]]-Sales_Data[[#This Row],[COGS]]</f>
        <v>96000</v>
      </c>
    </row>
    <row r="743" spans="1:14">
      <c r="A743" s="1">
        <v>46417</v>
      </c>
      <c r="B743" t="s">
        <v>25</v>
      </c>
      <c r="C743" t="s">
        <v>26</v>
      </c>
      <c r="D743" t="s">
        <v>23</v>
      </c>
      <c r="E743" t="s">
        <v>20</v>
      </c>
      <c r="F743" t="s">
        <v>40</v>
      </c>
      <c r="G743" t="s">
        <v>31</v>
      </c>
      <c r="H743" s="12">
        <v>250000</v>
      </c>
      <c r="I743">
        <v>3</v>
      </c>
      <c r="J743" t="s">
        <v>35</v>
      </c>
      <c r="K743" s="12">
        <f t="shared" si="11"/>
        <v>200000</v>
      </c>
      <c r="L743" s="12">
        <f>Sales_Data[[#This Row],[Unit Price]]*Sales_Data[[#This Row],[Quantity]]</f>
        <v>750000</v>
      </c>
      <c r="M743" s="12">
        <f>Sales_Data[[#This Row],[Cost Price]]*Sales_Data[[#This Row],[Quantity]]</f>
        <v>600000</v>
      </c>
      <c r="N743" s="12">
        <f>Sales_Data[[#This Row],[Revenue]]-Sales_Data[[#This Row],[COGS]]</f>
        <v>150000</v>
      </c>
    </row>
    <row r="744" spans="1:14">
      <c r="A744" s="1">
        <v>46418</v>
      </c>
      <c r="B744" t="s">
        <v>29</v>
      </c>
      <c r="C744" t="s">
        <v>26</v>
      </c>
      <c r="D744" t="s">
        <v>23</v>
      </c>
      <c r="E744" t="s">
        <v>20</v>
      </c>
      <c r="F744" t="s">
        <v>15</v>
      </c>
      <c r="G744" t="s">
        <v>16</v>
      </c>
      <c r="H744" s="12">
        <v>85000</v>
      </c>
      <c r="I744">
        <v>6</v>
      </c>
      <c r="J744" t="s">
        <v>37</v>
      </c>
      <c r="K744" s="12">
        <f t="shared" si="11"/>
        <v>68000</v>
      </c>
      <c r="L744" s="12">
        <f>Sales_Data[[#This Row],[Unit Price]]*Sales_Data[[#This Row],[Quantity]]</f>
        <v>510000</v>
      </c>
      <c r="M744" s="12">
        <f>Sales_Data[[#This Row],[Cost Price]]*Sales_Data[[#This Row],[Quantity]]</f>
        <v>408000</v>
      </c>
      <c r="N744" s="12">
        <f>Sales_Data[[#This Row],[Revenue]]-Sales_Data[[#This Row],[COGS]]</f>
        <v>102000</v>
      </c>
    </row>
    <row r="745" spans="1:14">
      <c r="A745" s="1">
        <v>46419</v>
      </c>
      <c r="B745" t="s">
        <v>18</v>
      </c>
      <c r="C745" t="s">
        <v>32</v>
      </c>
      <c r="D745" t="s">
        <v>23</v>
      </c>
      <c r="E745" t="s">
        <v>14</v>
      </c>
      <c r="F745" t="s">
        <v>41</v>
      </c>
      <c r="G745" t="s">
        <v>22</v>
      </c>
      <c r="H745" s="12">
        <v>220000</v>
      </c>
      <c r="I745">
        <v>9</v>
      </c>
      <c r="J745" t="s">
        <v>28</v>
      </c>
      <c r="K745" s="12">
        <f t="shared" si="11"/>
        <v>176000</v>
      </c>
      <c r="L745" s="12">
        <f>Sales_Data[[#This Row],[Unit Price]]*Sales_Data[[#This Row],[Quantity]]</f>
        <v>1980000</v>
      </c>
      <c r="M745" s="12">
        <f>Sales_Data[[#This Row],[Cost Price]]*Sales_Data[[#This Row],[Quantity]]</f>
        <v>1584000</v>
      </c>
      <c r="N745" s="12">
        <f>Sales_Data[[#This Row],[Revenue]]-Sales_Data[[#This Row],[COGS]]</f>
        <v>396000</v>
      </c>
    </row>
    <row r="746" spans="1:14">
      <c r="A746" s="1">
        <v>46420</v>
      </c>
      <c r="B746" t="s">
        <v>29</v>
      </c>
      <c r="C746" t="s">
        <v>32</v>
      </c>
      <c r="D746" t="s">
        <v>23</v>
      </c>
      <c r="E746" t="s">
        <v>20</v>
      </c>
      <c r="F746" t="s">
        <v>40</v>
      </c>
      <c r="G746" t="s">
        <v>31</v>
      </c>
      <c r="H746" s="12">
        <v>250000</v>
      </c>
      <c r="I746">
        <v>4</v>
      </c>
      <c r="J746" t="s">
        <v>28</v>
      </c>
      <c r="K746" s="12">
        <f t="shared" si="11"/>
        <v>200000</v>
      </c>
      <c r="L746" s="12">
        <f>Sales_Data[[#This Row],[Unit Price]]*Sales_Data[[#This Row],[Quantity]]</f>
        <v>1000000</v>
      </c>
      <c r="M746" s="12">
        <f>Sales_Data[[#This Row],[Cost Price]]*Sales_Data[[#This Row],[Quantity]]</f>
        <v>800000</v>
      </c>
      <c r="N746" s="12">
        <f>Sales_Data[[#This Row],[Revenue]]-Sales_Data[[#This Row],[COGS]]</f>
        <v>200000</v>
      </c>
    </row>
    <row r="747" spans="1:14">
      <c r="A747" s="1">
        <v>46421</v>
      </c>
      <c r="B747" t="s">
        <v>25</v>
      </c>
      <c r="C747" t="s">
        <v>26</v>
      </c>
      <c r="D747" t="s">
        <v>23</v>
      </c>
      <c r="E747" t="s">
        <v>20</v>
      </c>
      <c r="F747" t="s">
        <v>40</v>
      </c>
      <c r="G747" t="s">
        <v>31</v>
      </c>
      <c r="H747" s="12">
        <v>250000</v>
      </c>
      <c r="I747">
        <v>3</v>
      </c>
      <c r="J747" t="s">
        <v>17</v>
      </c>
      <c r="K747" s="12">
        <f t="shared" si="11"/>
        <v>200000</v>
      </c>
      <c r="L747" s="12">
        <f>Sales_Data[[#This Row],[Unit Price]]*Sales_Data[[#This Row],[Quantity]]</f>
        <v>750000</v>
      </c>
      <c r="M747" s="12">
        <f>Sales_Data[[#This Row],[Cost Price]]*Sales_Data[[#This Row],[Quantity]]</f>
        <v>600000</v>
      </c>
      <c r="N747" s="12">
        <f>Sales_Data[[#This Row],[Revenue]]-Sales_Data[[#This Row],[COGS]]</f>
        <v>150000</v>
      </c>
    </row>
    <row r="748" spans="1:14">
      <c r="A748" s="1">
        <v>46422</v>
      </c>
      <c r="B748" t="s">
        <v>25</v>
      </c>
      <c r="C748" t="s">
        <v>32</v>
      </c>
      <c r="D748" t="s">
        <v>23</v>
      </c>
      <c r="E748" t="s">
        <v>20</v>
      </c>
      <c r="F748" t="s">
        <v>21</v>
      </c>
      <c r="G748" t="s">
        <v>22</v>
      </c>
      <c r="H748" s="12">
        <v>30000</v>
      </c>
      <c r="I748">
        <v>10</v>
      </c>
      <c r="J748" t="s">
        <v>17</v>
      </c>
      <c r="K748" s="12">
        <f t="shared" si="11"/>
        <v>24000</v>
      </c>
      <c r="L748" s="12">
        <f>Sales_Data[[#This Row],[Unit Price]]*Sales_Data[[#This Row],[Quantity]]</f>
        <v>300000</v>
      </c>
      <c r="M748" s="12">
        <f>Sales_Data[[#This Row],[Cost Price]]*Sales_Data[[#This Row],[Quantity]]</f>
        <v>240000</v>
      </c>
      <c r="N748" s="12">
        <f>Sales_Data[[#This Row],[Revenue]]-Sales_Data[[#This Row],[COGS]]</f>
        <v>60000</v>
      </c>
    </row>
    <row r="749" spans="1:14">
      <c r="A749" s="1">
        <v>46423</v>
      </c>
      <c r="B749" t="s">
        <v>29</v>
      </c>
      <c r="C749" t="s">
        <v>26</v>
      </c>
      <c r="D749" t="s">
        <v>23</v>
      </c>
      <c r="E749" t="s">
        <v>20</v>
      </c>
      <c r="F749" t="s">
        <v>30</v>
      </c>
      <c r="G749" t="s">
        <v>31</v>
      </c>
      <c r="H749" s="12">
        <v>300000</v>
      </c>
      <c r="I749">
        <v>4</v>
      </c>
      <c r="J749" t="s">
        <v>39</v>
      </c>
      <c r="K749" s="12">
        <f t="shared" si="11"/>
        <v>240000</v>
      </c>
      <c r="L749" s="12">
        <f>Sales_Data[[#This Row],[Unit Price]]*Sales_Data[[#This Row],[Quantity]]</f>
        <v>1200000</v>
      </c>
      <c r="M749" s="12">
        <f>Sales_Data[[#This Row],[Cost Price]]*Sales_Data[[#This Row],[Quantity]]</f>
        <v>960000</v>
      </c>
      <c r="N749" s="12">
        <f>Sales_Data[[#This Row],[Revenue]]-Sales_Data[[#This Row],[COGS]]</f>
        <v>240000</v>
      </c>
    </row>
    <row r="750" spans="1:14">
      <c r="A750" s="1">
        <v>46424</v>
      </c>
      <c r="B750" t="s">
        <v>25</v>
      </c>
      <c r="C750" t="s">
        <v>12</v>
      </c>
      <c r="D750" t="s">
        <v>23</v>
      </c>
      <c r="E750" t="s">
        <v>20</v>
      </c>
      <c r="F750" t="s">
        <v>34</v>
      </c>
      <c r="G750" t="s">
        <v>16</v>
      </c>
      <c r="H750" s="12">
        <v>320000</v>
      </c>
      <c r="I750">
        <v>2</v>
      </c>
      <c r="J750" t="s">
        <v>35</v>
      </c>
      <c r="K750" s="12">
        <f t="shared" si="11"/>
        <v>256000</v>
      </c>
      <c r="L750" s="12">
        <f>Sales_Data[[#This Row],[Unit Price]]*Sales_Data[[#This Row],[Quantity]]</f>
        <v>640000</v>
      </c>
      <c r="M750" s="12">
        <f>Sales_Data[[#This Row],[Cost Price]]*Sales_Data[[#This Row],[Quantity]]</f>
        <v>512000</v>
      </c>
      <c r="N750" s="12">
        <f>Sales_Data[[#This Row],[Revenue]]-Sales_Data[[#This Row],[COGS]]</f>
        <v>128000</v>
      </c>
    </row>
    <row r="751" spans="1:14">
      <c r="A751" s="1">
        <v>46425</v>
      </c>
      <c r="B751" t="s">
        <v>25</v>
      </c>
      <c r="C751" t="s">
        <v>32</v>
      </c>
      <c r="D751" t="s">
        <v>23</v>
      </c>
      <c r="E751" t="s">
        <v>20</v>
      </c>
      <c r="F751" t="s">
        <v>38</v>
      </c>
      <c r="G751" t="s">
        <v>31</v>
      </c>
      <c r="H751" s="12">
        <v>420000</v>
      </c>
      <c r="I751">
        <v>8</v>
      </c>
      <c r="J751" t="s">
        <v>39</v>
      </c>
      <c r="K751" s="12">
        <f t="shared" si="11"/>
        <v>336000</v>
      </c>
      <c r="L751" s="12">
        <f>Sales_Data[[#This Row],[Unit Price]]*Sales_Data[[#This Row],[Quantity]]</f>
        <v>3360000</v>
      </c>
      <c r="M751" s="12">
        <f>Sales_Data[[#This Row],[Cost Price]]*Sales_Data[[#This Row],[Quantity]]</f>
        <v>2688000</v>
      </c>
      <c r="N751" s="12">
        <f>Sales_Data[[#This Row],[Revenue]]-Sales_Data[[#This Row],[COGS]]</f>
        <v>672000</v>
      </c>
    </row>
    <row r="752" spans="1:14">
      <c r="A752" s="1">
        <v>46426</v>
      </c>
      <c r="B752" t="s">
        <v>25</v>
      </c>
      <c r="C752" t="s">
        <v>32</v>
      </c>
      <c r="D752" t="s">
        <v>23</v>
      </c>
      <c r="E752" t="s">
        <v>20</v>
      </c>
      <c r="F752" t="s">
        <v>21</v>
      </c>
      <c r="G752" t="s">
        <v>22</v>
      </c>
      <c r="H752" s="12">
        <v>30000</v>
      </c>
      <c r="I752">
        <v>2</v>
      </c>
      <c r="J752" t="s">
        <v>24</v>
      </c>
      <c r="K752" s="12">
        <f t="shared" si="11"/>
        <v>24000</v>
      </c>
      <c r="L752" s="12">
        <f>Sales_Data[[#This Row],[Unit Price]]*Sales_Data[[#This Row],[Quantity]]</f>
        <v>60000</v>
      </c>
      <c r="M752" s="12">
        <f>Sales_Data[[#This Row],[Cost Price]]*Sales_Data[[#This Row],[Quantity]]</f>
        <v>48000</v>
      </c>
      <c r="N752" s="12">
        <f>Sales_Data[[#This Row],[Revenue]]-Sales_Data[[#This Row],[COGS]]</f>
        <v>12000</v>
      </c>
    </row>
    <row r="753" spans="1:14">
      <c r="A753" s="1">
        <v>46427</v>
      </c>
      <c r="B753" t="s">
        <v>29</v>
      </c>
      <c r="C753" t="s">
        <v>32</v>
      </c>
      <c r="D753" t="s">
        <v>23</v>
      </c>
      <c r="E753" t="s">
        <v>20</v>
      </c>
      <c r="F753" t="s">
        <v>36</v>
      </c>
      <c r="G753" t="s">
        <v>31</v>
      </c>
      <c r="H753" s="12">
        <v>150000</v>
      </c>
      <c r="I753">
        <v>3</v>
      </c>
      <c r="J753" t="s">
        <v>17</v>
      </c>
      <c r="K753" s="12">
        <f t="shared" si="11"/>
        <v>120000</v>
      </c>
      <c r="L753" s="12">
        <f>Sales_Data[[#This Row],[Unit Price]]*Sales_Data[[#This Row],[Quantity]]</f>
        <v>450000</v>
      </c>
      <c r="M753" s="12">
        <f>Sales_Data[[#This Row],[Cost Price]]*Sales_Data[[#This Row],[Quantity]]</f>
        <v>360000</v>
      </c>
      <c r="N753" s="12">
        <f>Sales_Data[[#This Row],[Revenue]]-Sales_Data[[#This Row],[COGS]]</f>
        <v>90000</v>
      </c>
    </row>
    <row r="754" spans="1:14">
      <c r="A754" s="1">
        <v>46428</v>
      </c>
      <c r="B754" t="s">
        <v>25</v>
      </c>
      <c r="C754" t="s">
        <v>19</v>
      </c>
      <c r="D754" t="s">
        <v>23</v>
      </c>
      <c r="E754" t="s">
        <v>20</v>
      </c>
      <c r="F754" t="s">
        <v>41</v>
      </c>
      <c r="G754" t="s">
        <v>22</v>
      </c>
      <c r="H754" s="12">
        <v>220000</v>
      </c>
      <c r="I754">
        <v>6</v>
      </c>
      <c r="J754" t="s">
        <v>24</v>
      </c>
      <c r="K754" s="12">
        <f t="shared" si="11"/>
        <v>176000</v>
      </c>
      <c r="L754" s="12">
        <f>Sales_Data[[#This Row],[Unit Price]]*Sales_Data[[#This Row],[Quantity]]</f>
        <v>1320000</v>
      </c>
      <c r="M754" s="12">
        <f>Sales_Data[[#This Row],[Cost Price]]*Sales_Data[[#This Row],[Quantity]]</f>
        <v>1056000</v>
      </c>
      <c r="N754" s="12">
        <f>Sales_Data[[#This Row],[Revenue]]-Sales_Data[[#This Row],[COGS]]</f>
        <v>264000</v>
      </c>
    </row>
    <row r="755" spans="1:14">
      <c r="A755" s="1">
        <v>46429</v>
      </c>
      <c r="B755" t="s">
        <v>11</v>
      </c>
      <c r="C755" t="s">
        <v>12</v>
      </c>
      <c r="D755" t="s">
        <v>23</v>
      </c>
      <c r="E755" t="s">
        <v>14</v>
      </c>
      <c r="F755" t="s">
        <v>27</v>
      </c>
      <c r="G755" t="s">
        <v>22</v>
      </c>
      <c r="H755" s="12">
        <v>60000</v>
      </c>
      <c r="I755">
        <v>7</v>
      </c>
      <c r="J755" t="s">
        <v>35</v>
      </c>
      <c r="K755" s="12">
        <f t="shared" si="11"/>
        <v>48000</v>
      </c>
      <c r="L755" s="12">
        <f>Sales_Data[[#This Row],[Unit Price]]*Sales_Data[[#This Row],[Quantity]]</f>
        <v>420000</v>
      </c>
      <c r="M755" s="12">
        <f>Sales_Data[[#This Row],[Cost Price]]*Sales_Data[[#This Row],[Quantity]]</f>
        <v>336000</v>
      </c>
      <c r="N755" s="12">
        <f>Sales_Data[[#This Row],[Revenue]]-Sales_Data[[#This Row],[COGS]]</f>
        <v>84000</v>
      </c>
    </row>
    <row r="756" spans="1:14">
      <c r="A756" s="1">
        <v>46430</v>
      </c>
      <c r="B756" t="s">
        <v>25</v>
      </c>
      <c r="C756" t="s">
        <v>12</v>
      </c>
      <c r="D756" t="s">
        <v>13</v>
      </c>
      <c r="E756" t="s">
        <v>14</v>
      </c>
      <c r="F756" t="s">
        <v>15</v>
      </c>
      <c r="G756" t="s">
        <v>16</v>
      </c>
      <c r="H756" s="12">
        <v>85000</v>
      </c>
      <c r="I756">
        <v>7</v>
      </c>
      <c r="J756" t="s">
        <v>35</v>
      </c>
      <c r="K756" s="12">
        <f t="shared" si="11"/>
        <v>68000</v>
      </c>
      <c r="L756" s="12">
        <f>Sales_Data[[#This Row],[Unit Price]]*Sales_Data[[#This Row],[Quantity]]</f>
        <v>595000</v>
      </c>
      <c r="M756" s="12">
        <f>Sales_Data[[#This Row],[Cost Price]]*Sales_Data[[#This Row],[Quantity]]</f>
        <v>476000</v>
      </c>
      <c r="N756" s="12">
        <f>Sales_Data[[#This Row],[Revenue]]-Sales_Data[[#This Row],[COGS]]</f>
        <v>119000</v>
      </c>
    </row>
    <row r="757" spans="1:14">
      <c r="A757" s="1">
        <v>46431</v>
      </c>
      <c r="B757" t="s">
        <v>11</v>
      </c>
      <c r="C757" t="s">
        <v>19</v>
      </c>
      <c r="D757" t="s">
        <v>13</v>
      </c>
      <c r="E757" t="s">
        <v>14</v>
      </c>
      <c r="F757" t="s">
        <v>38</v>
      </c>
      <c r="G757" t="s">
        <v>31</v>
      </c>
      <c r="H757" s="12">
        <v>420000</v>
      </c>
      <c r="I757">
        <v>6</v>
      </c>
      <c r="J757" t="s">
        <v>17</v>
      </c>
      <c r="K757" s="12">
        <f t="shared" si="11"/>
        <v>336000</v>
      </c>
      <c r="L757" s="12">
        <f>Sales_Data[[#This Row],[Unit Price]]*Sales_Data[[#This Row],[Quantity]]</f>
        <v>2520000</v>
      </c>
      <c r="M757" s="12">
        <f>Sales_Data[[#This Row],[Cost Price]]*Sales_Data[[#This Row],[Quantity]]</f>
        <v>2016000</v>
      </c>
      <c r="N757" s="12">
        <f>Sales_Data[[#This Row],[Revenue]]-Sales_Data[[#This Row],[COGS]]</f>
        <v>504000</v>
      </c>
    </row>
    <row r="758" spans="1:14">
      <c r="A758" s="1">
        <v>46432</v>
      </c>
      <c r="B758" t="s">
        <v>11</v>
      </c>
      <c r="C758" t="s">
        <v>12</v>
      </c>
      <c r="D758" t="s">
        <v>13</v>
      </c>
      <c r="E758" t="s">
        <v>20</v>
      </c>
      <c r="F758" t="s">
        <v>30</v>
      </c>
      <c r="G758" t="s">
        <v>31</v>
      </c>
      <c r="H758" s="12">
        <v>300000</v>
      </c>
      <c r="I758">
        <v>3</v>
      </c>
      <c r="J758" t="s">
        <v>28</v>
      </c>
      <c r="K758" s="12">
        <f t="shared" si="11"/>
        <v>240000</v>
      </c>
      <c r="L758" s="12">
        <f>Sales_Data[[#This Row],[Unit Price]]*Sales_Data[[#This Row],[Quantity]]</f>
        <v>900000</v>
      </c>
      <c r="M758" s="12">
        <f>Sales_Data[[#This Row],[Cost Price]]*Sales_Data[[#This Row],[Quantity]]</f>
        <v>720000</v>
      </c>
      <c r="N758" s="12">
        <f>Sales_Data[[#This Row],[Revenue]]-Sales_Data[[#This Row],[COGS]]</f>
        <v>180000</v>
      </c>
    </row>
    <row r="759" spans="1:14">
      <c r="A759" s="1">
        <v>46433</v>
      </c>
      <c r="B759" t="s">
        <v>29</v>
      </c>
      <c r="C759" t="s">
        <v>32</v>
      </c>
      <c r="D759" t="s">
        <v>13</v>
      </c>
      <c r="E759" t="s">
        <v>14</v>
      </c>
      <c r="F759" t="s">
        <v>41</v>
      </c>
      <c r="G759" t="s">
        <v>22</v>
      </c>
      <c r="H759" s="12">
        <v>220000</v>
      </c>
      <c r="I759">
        <v>10</v>
      </c>
      <c r="J759" t="s">
        <v>17</v>
      </c>
      <c r="K759" s="12">
        <f t="shared" si="11"/>
        <v>176000</v>
      </c>
      <c r="L759" s="12">
        <f>Sales_Data[[#This Row],[Unit Price]]*Sales_Data[[#This Row],[Quantity]]</f>
        <v>2200000</v>
      </c>
      <c r="M759" s="12">
        <f>Sales_Data[[#This Row],[Cost Price]]*Sales_Data[[#This Row],[Quantity]]</f>
        <v>1760000</v>
      </c>
      <c r="N759" s="12">
        <f>Sales_Data[[#This Row],[Revenue]]-Sales_Data[[#This Row],[COGS]]</f>
        <v>440000</v>
      </c>
    </row>
    <row r="760" spans="1:14">
      <c r="A760" s="1">
        <v>46434</v>
      </c>
      <c r="B760" t="s">
        <v>29</v>
      </c>
      <c r="C760" t="s">
        <v>12</v>
      </c>
      <c r="D760" t="s">
        <v>23</v>
      </c>
      <c r="E760" t="s">
        <v>20</v>
      </c>
      <c r="F760" t="s">
        <v>15</v>
      </c>
      <c r="G760" t="s">
        <v>16</v>
      </c>
      <c r="H760" s="12">
        <v>85000</v>
      </c>
      <c r="I760">
        <v>4</v>
      </c>
      <c r="J760" t="s">
        <v>35</v>
      </c>
      <c r="K760" s="12">
        <f t="shared" si="11"/>
        <v>68000</v>
      </c>
      <c r="L760" s="12">
        <f>Sales_Data[[#This Row],[Unit Price]]*Sales_Data[[#This Row],[Quantity]]</f>
        <v>340000</v>
      </c>
      <c r="M760" s="12">
        <f>Sales_Data[[#This Row],[Cost Price]]*Sales_Data[[#This Row],[Quantity]]</f>
        <v>272000</v>
      </c>
      <c r="N760" s="12">
        <f>Sales_Data[[#This Row],[Revenue]]-Sales_Data[[#This Row],[COGS]]</f>
        <v>68000</v>
      </c>
    </row>
    <row r="761" spans="1:14">
      <c r="A761" s="1">
        <v>46435</v>
      </c>
      <c r="B761" t="s">
        <v>29</v>
      </c>
      <c r="C761" t="s">
        <v>19</v>
      </c>
      <c r="D761" t="s">
        <v>13</v>
      </c>
      <c r="E761" t="s">
        <v>20</v>
      </c>
      <c r="F761" t="s">
        <v>34</v>
      </c>
      <c r="G761" t="s">
        <v>16</v>
      </c>
      <c r="H761" s="12">
        <v>320000</v>
      </c>
      <c r="I761">
        <v>4</v>
      </c>
      <c r="J761" t="s">
        <v>39</v>
      </c>
      <c r="K761" s="12">
        <f t="shared" si="11"/>
        <v>256000</v>
      </c>
      <c r="L761" s="12">
        <f>Sales_Data[[#This Row],[Unit Price]]*Sales_Data[[#This Row],[Quantity]]</f>
        <v>1280000</v>
      </c>
      <c r="M761" s="12">
        <f>Sales_Data[[#This Row],[Cost Price]]*Sales_Data[[#This Row],[Quantity]]</f>
        <v>1024000</v>
      </c>
      <c r="N761" s="12">
        <f>Sales_Data[[#This Row],[Revenue]]-Sales_Data[[#This Row],[COGS]]</f>
        <v>256000</v>
      </c>
    </row>
    <row r="762" spans="1:14">
      <c r="A762" s="1">
        <v>46436</v>
      </c>
      <c r="B762" t="s">
        <v>25</v>
      </c>
      <c r="C762" t="s">
        <v>32</v>
      </c>
      <c r="D762" t="s">
        <v>13</v>
      </c>
      <c r="E762" t="s">
        <v>20</v>
      </c>
      <c r="F762" t="s">
        <v>36</v>
      </c>
      <c r="G762" t="s">
        <v>31</v>
      </c>
      <c r="H762" s="12">
        <v>150000</v>
      </c>
      <c r="I762">
        <v>6</v>
      </c>
      <c r="J762" t="s">
        <v>39</v>
      </c>
      <c r="K762" s="12">
        <f t="shared" si="11"/>
        <v>120000</v>
      </c>
      <c r="L762" s="12">
        <f>Sales_Data[[#This Row],[Unit Price]]*Sales_Data[[#This Row],[Quantity]]</f>
        <v>900000</v>
      </c>
      <c r="M762" s="12">
        <f>Sales_Data[[#This Row],[Cost Price]]*Sales_Data[[#This Row],[Quantity]]</f>
        <v>720000</v>
      </c>
      <c r="N762" s="12">
        <f>Sales_Data[[#This Row],[Revenue]]-Sales_Data[[#This Row],[COGS]]</f>
        <v>180000</v>
      </c>
    </row>
    <row r="763" spans="1:14">
      <c r="A763" s="1">
        <v>46437</v>
      </c>
      <c r="B763" t="s">
        <v>11</v>
      </c>
      <c r="C763" t="s">
        <v>19</v>
      </c>
      <c r="D763" t="s">
        <v>13</v>
      </c>
      <c r="E763" t="s">
        <v>20</v>
      </c>
      <c r="F763" t="s">
        <v>34</v>
      </c>
      <c r="G763" t="s">
        <v>16</v>
      </c>
      <c r="H763" s="12">
        <v>320000</v>
      </c>
      <c r="I763">
        <v>2</v>
      </c>
      <c r="J763" t="s">
        <v>39</v>
      </c>
      <c r="K763" s="12">
        <f t="shared" si="11"/>
        <v>256000</v>
      </c>
      <c r="L763" s="12">
        <f>Sales_Data[[#This Row],[Unit Price]]*Sales_Data[[#This Row],[Quantity]]</f>
        <v>640000</v>
      </c>
      <c r="M763" s="12">
        <f>Sales_Data[[#This Row],[Cost Price]]*Sales_Data[[#This Row],[Quantity]]</f>
        <v>512000</v>
      </c>
      <c r="N763" s="12">
        <f>Sales_Data[[#This Row],[Revenue]]-Sales_Data[[#This Row],[COGS]]</f>
        <v>128000</v>
      </c>
    </row>
    <row r="764" spans="1:14">
      <c r="A764" s="1">
        <v>46438</v>
      </c>
      <c r="B764" t="s">
        <v>29</v>
      </c>
      <c r="C764" t="s">
        <v>26</v>
      </c>
      <c r="D764" t="s">
        <v>13</v>
      </c>
      <c r="E764" t="s">
        <v>14</v>
      </c>
      <c r="F764" t="s">
        <v>34</v>
      </c>
      <c r="G764" t="s">
        <v>16</v>
      </c>
      <c r="H764" s="12">
        <v>320000</v>
      </c>
      <c r="I764">
        <v>10</v>
      </c>
      <c r="J764" t="s">
        <v>39</v>
      </c>
      <c r="K764" s="12">
        <f t="shared" si="11"/>
        <v>256000</v>
      </c>
      <c r="L764" s="12">
        <f>Sales_Data[[#This Row],[Unit Price]]*Sales_Data[[#This Row],[Quantity]]</f>
        <v>3200000</v>
      </c>
      <c r="M764" s="12">
        <f>Sales_Data[[#This Row],[Cost Price]]*Sales_Data[[#This Row],[Quantity]]</f>
        <v>2560000</v>
      </c>
      <c r="N764" s="12">
        <f>Sales_Data[[#This Row],[Revenue]]-Sales_Data[[#This Row],[COGS]]</f>
        <v>640000</v>
      </c>
    </row>
    <row r="765" spans="1:14">
      <c r="A765" s="1">
        <v>46439</v>
      </c>
      <c r="B765" t="s">
        <v>25</v>
      </c>
      <c r="C765" t="s">
        <v>19</v>
      </c>
      <c r="D765" t="s">
        <v>23</v>
      </c>
      <c r="E765" t="s">
        <v>14</v>
      </c>
      <c r="F765" t="s">
        <v>38</v>
      </c>
      <c r="G765" t="s">
        <v>31</v>
      </c>
      <c r="H765" s="12">
        <v>420000</v>
      </c>
      <c r="I765">
        <v>8</v>
      </c>
      <c r="J765" t="s">
        <v>17</v>
      </c>
      <c r="K765" s="12">
        <f t="shared" si="11"/>
        <v>336000</v>
      </c>
      <c r="L765" s="12">
        <f>Sales_Data[[#This Row],[Unit Price]]*Sales_Data[[#This Row],[Quantity]]</f>
        <v>3360000</v>
      </c>
      <c r="M765" s="12">
        <f>Sales_Data[[#This Row],[Cost Price]]*Sales_Data[[#This Row],[Quantity]]</f>
        <v>2688000</v>
      </c>
      <c r="N765" s="12">
        <f>Sales_Data[[#This Row],[Revenue]]-Sales_Data[[#This Row],[COGS]]</f>
        <v>672000</v>
      </c>
    </row>
    <row r="766" spans="1:14">
      <c r="A766" s="1">
        <v>46440</v>
      </c>
      <c r="B766" t="s">
        <v>29</v>
      </c>
      <c r="C766" t="s">
        <v>12</v>
      </c>
      <c r="D766" t="s">
        <v>23</v>
      </c>
      <c r="E766" t="s">
        <v>14</v>
      </c>
      <c r="F766" t="s">
        <v>36</v>
      </c>
      <c r="G766" t="s">
        <v>31</v>
      </c>
      <c r="H766" s="12">
        <v>150000</v>
      </c>
      <c r="I766">
        <v>5</v>
      </c>
      <c r="J766" t="s">
        <v>37</v>
      </c>
      <c r="K766" s="12">
        <f t="shared" si="11"/>
        <v>120000</v>
      </c>
      <c r="L766" s="12">
        <f>Sales_Data[[#This Row],[Unit Price]]*Sales_Data[[#This Row],[Quantity]]</f>
        <v>750000</v>
      </c>
      <c r="M766" s="12">
        <f>Sales_Data[[#This Row],[Cost Price]]*Sales_Data[[#This Row],[Quantity]]</f>
        <v>600000</v>
      </c>
      <c r="N766" s="12">
        <f>Sales_Data[[#This Row],[Revenue]]-Sales_Data[[#This Row],[COGS]]</f>
        <v>150000</v>
      </c>
    </row>
    <row r="767" spans="1:14">
      <c r="A767" s="1">
        <v>46441</v>
      </c>
      <c r="B767" t="s">
        <v>11</v>
      </c>
      <c r="C767" t="s">
        <v>26</v>
      </c>
      <c r="D767" t="s">
        <v>23</v>
      </c>
      <c r="E767" t="s">
        <v>20</v>
      </c>
      <c r="F767" t="s">
        <v>15</v>
      </c>
      <c r="G767" t="s">
        <v>16</v>
      </c>
      <c r="H767" s="12">
        <v>85000</v>
      </c>
      <c r="I767">
        <v>1</v>
      </c>
      <c r="J767" t="s">
        <v>37</v>
      </c>
      <c r="K767" s="12">
        <f t="shared" si="11"/>
        <v>68000</v>
      </c>
      <c r="L767" s="12">
        <f>Sales_Data[[#This Row],[Unit Price]]*Sales_Data[[#This Row],[Quantity]]</f>
        <v>85000</v>
      </c>
      <c r="M767" s="12">
        <f>Sales_Data[[#This Row],[Cost Price]]*Sales_Data[[#This Row],[Quantity]]</f>
        <v>68000</v>
      </c>
      <c r="N767" s="12">
        <f>Sales_Data[[#This Row],[Revenue]]-Sales_Data[[#This Row],[COGS]]</f>
        <v>17000</v>
      </c>
    </row>
    <row r="768" spans="1:14">
      <c r="A768" s="1">
        <v>46442</v>
      </c>
      <c r="B768" t="s">
        <v>18</v>
      </c>
      <c r="C768" t="s">
        <v>32</v>
      </c>
      <c r="D768" t="s">
        <v>23</v>
      </c>
      <c r="E768" t="s">
        <v>20</v>
      </c>
      <c r="F768" t="s">
        <v>38</v>
      </c>
      <c r="G768" t="s">
        <v>31</v>
      </c>
      <c r="H768" s="12">
        <v>420000</v>
      </c>
      <c r="I768">
        <v>2</v>
      </c>
      <c r="J768" t="s">
        <v>39</v>
      </c>
      <c r="K768" s="12">
        <f t="shared" si="11"/>
        <v>336000</v>
      </c>
      <c r="L768" s="12">
        <f>Sales_Data[[#This Row],[Unit Price]]*Sales_Data[[#This Row],[Quantity]]</f>
        <v>840000</v>
      </c>
      <c r="M768" s="12">
        <f>Sales_Data[[#This Row],[Cost Price]]*Sales_Data[[#This Row],[Quantity]]</f>
        <v>672000</v>
      </c>
      <c r="N768" s="12">
        <f>Sales_Data[[#This Row],[Revenue]]-Sales_Data[[#This Row],[COGS]]</f>
        <v>168000</v>
      </c>
    </row>
    <row r="769" spans="1:14">
      <c r="A769" s="1">
        <v>46443</v>
      </c>
      <c r="B769" t="s">
        <v>18</v>
      </c>
      <c r="C769" t="s">
        <v>32</v>
      </c>
      <c r="D769" t="s">
        <v>13</v>
      </c>
      <c r="E769" t="s">
        <v>20</v>
      </c>
      <c r="F769" t="s">
        <v>33</v>
      </c>
      <c r="G769" t="s">
        <v>22</v>
      </c>
      <c r="H769" s="12">
        <v>180000</v>
      </c>
      <c r="I769">
        <v>6</v>
      </c>
      <c r="J769" t="s">
        <v>39</v>
      </c>
      <c r="K769" s="12">
        <f t="shared" si="11"/>
        <v>144000</v>
      </c>
      <c r="L769" s="12">
        <f>Sales_Data[[#This Row],[Unit Price]]*Sales_Data[[#This Row],[Quantity]]</f>
        <v>1080000</v>
      </c>
      <c r="M769" s="12">
        <f>Sales_Data[[#This Row],[Cost Price]]*Sales_Data[[#This Row],[Quantity]]</f>
        <v>864000</v>
      </c>
      <c r="N769" s="12">
        <f>Sales_Data[[#This Row],[Revenue]]-Sales_Data[[#This Row],[COGS]]</f>
        <v>216000</v>
      </c>
    </row>
    <row r="770" spans="1:14">
      <c r="A770" s="1">
        <v>46444</v>
      </c>
      <c r="B770" t="s">
        <v>18</v>
      </c>
      <c r="C770" t="s">
        <v>12</v>
      </c>
      <c r="D770" t="s">
        <v>13</v>
      </c>
      <c r="E770" t="s">
        <v>20</v>
      </c>
      <c r="F770" t="s">
        <v>41</v>
      </c>
      <c r="G770" t="s">
        <v>22</v>
      </c>
      <c r="H770" s="12">
        <v>220000</v>
      </c>
      <c r="I770">
        <v>7</v>
      </c>
      <c r="J770" t="s">
        <v>17</v>
      </c>
      <c r="K770" s="12">
        <f t="shared" ref="K770:K833" si="12">H770-H770*0.2</f>
        <v>176000</v>
      </c>
      <c r="L770" s="12">
        <f>Sales_Data[[#This Row],[Unit Price]]*Sales_Data[[#This Row],[Quantity]]</f>
        <v>1540000</v>
      </c>
      <c r="M770" s="12">
        <f>Sales_Data[[#This Row],[Cost Price]]*Sales_Data[[#This Row],[Quantity]]</f>
        <v>1232000</v>
      </c>
      <c r="N770" s="12">
        <f>Sales_Data[[#This Row],[Revenue]]-Sales_Data[[#This Row],[COGS]]</f>
        <v>308000</v>
      </c>
    </row>
    <row r="771" spans="1:14">
      <c r="A771" s="1">
        <v>46445</v>
      </c>
      <c r="B771" t="s">
        <v>18</v>
      </c>
      <c r="C771" t="s">
        <v>12</v>
      </c>
      <c r="D771" t="s">
        <v>13</v>
      </c>
      <c r="E771" t="s">
        <v>14</v>
      </c>
      <c r="F771" t="s">
        <v>41</v>
      </c>
      <c r="G771" t="s">
        <v>22</v>
      </c>
      <c r="H771" s="12">
        <v>220000</v>
      </c>
      <c r="I771">
        <v>5</v>
      </c>
      <c r="J771" t="s">
        <v>24</v>
      </c>
      <c r="K771" s="12">
        <f t="shared" si="12"/>
        <v>176000</v>
      </c>
      <c r="L771" s="12">
        <f>Sales_Data[[#This Row],[Unit Price]]*Sales_Data[[#This Row],[Quantity]]</f>
        <v>1100000</v>
      </c>
      <c r="M771" s="12">
        <f>Sales_Data[[#This Row],[Cost Price]]*Sales_Data[[#This Row],[Quantity]]</f>
        <v>880000</v>
      </c>
      <c r="N771" s="12">
        <f>Sales_Data[[#This Row],[Revenue]]-Sales_Data[[#This Row],[COGS]]</f>
        <v>220000</v>
      </c>
    </row>
    <row r="772" spans="1:14">
      <c r="A772" s="1">
        <v>46446</v>
      </c>
      <c r="B772" t="s">
        <v>29</v>
      </c>
      <c r="C772" t="s">
        <v>12</v>
      </c>
      <c r="D772" t="s">
        <v>13</v>
      </c>
      <c r="E772" t="s">
        <v>20</v>
      </c>
      <c r="F772" t="s">
        <v>30</v>
      </c>
      <c r="G772" t="s">
        <v>31</v>
      </c>
      <c r="H772" s="12">
        <v>300000</v>
      </c>
      <c r="I772">
        <v>6</v>
      </c>
      <c r="J772" t="s">
        <v>28</v>
      </c>
      <c r="K772" s="12">
        <f t="shared" si="12"/>
        <v>240000</v>
      </c>
      <c r="L772" s="12">
        <f>Sales_Data[[#This Row],[Unit Price]]*Sales_Data[[#This Row],[Quantity]]</f>
        <v>1800000</v>
      </c>
      <c r="M772" s="12">
        <f>Sales_Data[[#This Row],[Cost Price]]*Sales_Data[[#This Row],[Quantity]]</f>
        <v>1440000</v>
      </c>
      <c r="N772" s="12">
        <f>Sales_Data[[#This Row],[Revenue]]-Sales_Data[[#This Row],[COGS]]</f>
        <v>360000</v>
      </c>
    </row>
    <row r="773" spans="1:14">
      <c r="A773" s="1">
        <v>46447</v>
      </c>
      <c r="B773" t="s">
        <v>11</v>
      </c>
      <c r="C773" t="s">
        <v>26</v>
      </c>
      <c r="D773" t="s">
        <v>13</v>
      </c>
      <c r="E773" t="s">
        <v>20</v>
      </c>
      <c r="F773" t="s">
        <v>40</v>
      </c>
      <c r="G773" t="s">
        <v>31</v>
      </c>
      <c r="H773" s="12">
        <v>250000</v>
      </c>
      <c r="I773">
        <v>4</v>
      </c>
      <c r="J773" t="s">
        <v>28</v>
      </c>
      <c r="K773" s="12">
        <f t="shared" si="12"/>
        <v>200000</v>
      </c>
      <c r="L773" s="12">
        <f>Sales_Data[[#This Row],[Unit Price]]*Sales_Data[[#This Row],[Quantity]]</f>
        <v>1000000</v>
      </c>
      <c r="M773" s="12">
        <f>Sales_Data[[#This Row],[Cost Price]]*Sales_Data[[#This Row],[Quantity]]</f>
        <v>800000</v>
      </c>
      <c r="N773" s="12">
        <f>Sales_Data[[#This Row],[Revenue]]-Sales_Data[[#This Row],[COGS]]</f>
        <v>200000</v>
      </c>
    </row>
    <row r="774" spans="1:14">
      <c r="A774" s="1">
        <v>46448</v>
      </c>
      <c r="B774" t="s">
        <v>29</v>
      </c>
      <c r="C774" t="s">
        <v>19</v>
      </c>
      <c r="D774" t="s">
        <v>23</v>
      </c>
      <c r="E774" t="s">
        <v>14</v>
      </c>
      <c r="F774" t="s">
        <v>34</v>
      </c>
      <c r="G774" t="s">
        <v>16</v>
      </c>
      <c r="H774" s="12">
        <v>320000</v>
      </c>
      <c r="I774">
        <v>5</v>
      </c>
      <c r="J774" t="s">
        <v>24</v>
      </c>
      <c r="K774" s="12">
        <f t="shared" si="12"/>
        <v>256000</v>
      </c>
      <c r="L774" s="12">
        <f>Sales_Data[[#This Row],[Unit Price]]*Sales_Data[[#This Row],[Quantity]]</f>
        <v>1600000</v>
      </c>
      <c r="M774" s="12">
        <f>Sales_Data[[#This Row],[Cost Price]]*Sales_Data[[#This Row],[Quantity]]</f>
        <v>1280000</v>
      </c>
      <c r="N774" s="12">
        <f>Sales_Data[[#This Row],[Revenue]]-Sales_Data[[#This Row],[COGS]]</f>
        <v>320000</v>
      </c>
    </row>
    <row r="775" spans="1:14">
      <c r="A775" s="1">
        <v>46449</v>
      </c>
      <c r="B775" t="s">
        <v>29</v>
      </c>
      <c r="C775" t="s">
        <v>12</v>
      </c>
      <c r="D775" t="s">
        <v>13</v>
      </c>
      <c r="E775" t="s">
        <v>20</v>
      </c>
      <c r="F775" t="s">
        <v>30</v>
      </c>
      <c r="G775" t="s">
        <v>31</v>
      </c>
      <c r="H775" s="12">
        <v>300000</v>
      </c>
      <c r="I775">
        <v>10</v>
      </c>
      <c r="J775" t="s">
        <v>39</v>
      </c>
      <c r="K775" s="12">
        <f t="shared" si="12"/>
        <v>240000</v>
      </c>
      <c r="L775" s="12">
        <f>Sales_Data[[#This Row],[Unit Price]]*Sales_Data[[#This Row],[Quantity]]</f>
        <v>3000000</v>
      </c>
      <c r="M775" s="12">
        <f>Sales_Data[[#This Row],[Cost Price]]*Sales_Data[[#This Row],[Quantity]]</f>
        <v>2400000</v>
      </c>
      <c r="N775" s="12">
        <f>Sales_Data[[#This Row],[Revenue]]-Sales_Data[[#This Row],[COGS]]</f>
        <v>600000</v>
      </c>
    </row>
    <row r="776" spans="1:14">
      <c r="A776" s="1">
        <v>46450</v>
      </c>
      <c r="B776" t="s">
        <v>29</v>
      </c>
      <c r="C776" t="s">
        <v>12</v>
      </c>
      <c r="D776" t="s">
        <v>13</v>
      </c>
      <c r="E776" t="s">
        <v>20</v>
      </c>
      <c r="F776" t="s">
        <v>27</v>
      </c>
      <c r="G776" t="s">
        <v>22</v>
      </c>
      <c r="H776" s="12">
        <v>60000</v>
      </c>
      <c r="I776">
        <v>5</v>
      </c>
      <c r="J776" t="s">
        <v>37</v>
      </c>
      <c r="K776" s="12">
        <f t="shared" si="12"/>
        <v>48000</v>
      </c>
      <c r="L776" s="12">
        <f>Sales_Data[[#This Row],[Unit Price]]*Sales_Data[[#This Row],[Quantity]]</f>
        <v>300000</v>
      </c>
      <c r="M776" s="12">
        <f>Sales_Data[[#This Row],[Cost Price]]*Sales_Data[[#This Row],[Quantity]]</f>
        <v>240000</v>
      </c>
      <c r="N776" s="12">
        <f>Sales_Data[[#This Row],[Revenue]]-Sales_Data[[#This Row],[COGS]]</f>
        <v>60000</v>
      </c>
    </row>
    <row r="777" spans="1:14">
      <c r="A777" s="1">
        <v>46451</v>
      </c>
      <c r="B777" t="s">
        <v>29</v>
      </c>
      <c r="C777" t="s">
        <v>26</v>
      </c>
      <c r="D777" t="s">
        <v>13</v>
      </c>
      <c r="E777" t="s">
        <v>14</v>
      </c>
      <c r="F777" t="s">
        <v>38</v>
      </c>
      <c r="G777" t="s">
        <v>31</v>
      </c>
      <c r="H777" s="12">
        <v>420000</v>
      </c>
      <c r="I777">
        <v>8</v>
      </c>
      <c r="J777" t="s">
        <v>35</v>
      </c>
      <c r="K777" s="12">
        <f t="shared" si="12"/>
        <v>336000</v>
      </c>
      <c r="L777" s="12">
        <f>Sales_Data[[#This Row],[Unit Price]]*Sales_Data[[#This Row],[Quantity]]</f>
        <v>3360000</v>
      </c>
      <c r="M777" s="12">
        <f>Sales_Data[[#This Row],[Cost Price]]*Sales_Data[[#This Row],[Quantity]]</f>
        <v>2688000</v>
      </c>
      <c r="N777" s="12">
        <f>Sales_Data[[#This Row],[Revenue]]-Sales_Data[[#This Row],[COGS]]</f>
        <v>672000</v>
      </c>
    </row>
    <row r="778" spans="1:14">
      <c r="A778" s="1">
        <v>46452</v>
      </c>
      <c r="B778" t="s">
        <v>11</v>
      </c>
      <c r="C778" t="s">
        <v>32</v>
      </c>
      <c r="D778" t="s">
        <v>23</v>
      </c>
      <c r="E778" t="s">
        <v>14</v>
      </c>
      <c r="F778" t="s">
        <v>30</v>
      </c>
      <c r="G778" t="s">
        <v>31</v>
      </c>
      <c r="H778" s="12">
        <v>300000</v>
      </c>
      <c r="I778">
        <v>1</v>
      </c>
      <c r="J778" t="s">
        <v>24</v>
      </c>
      <c r="K778" s="12">
        <f t="shared" si="12"/>
        <v>240000</v>
      </c>
      <c r="L778" s="12">
        <f>Sales_Data[[#This Row],[Unit Price]]*Sales_Data[[#This Row],[Quantity]]</f>
        <v>300000</v>
      </c>
      <c r="M778" s="12">
        <f>Sales_Data[[#This Row],[Cost Price]]*Sales_Data[[#This Row],[Quantity]]</f>
        <v>240000</v>
      </c>
      <c r="N778" s="12">
        <f>Sales_Data[[#This Row],[Revenue]]-Sales_Data[[#This Row],[COGS]]</f>
        <v>60000</v>
      </c>
    </row>
    <row r="779" spans="1:14">
      <c r="A779" s="1">
        <v>46453</v>
      </c>
      <c r="B779" t="s">
        <v>11</v>
      </c>
      <c r="C779" t="s">
        <v>26</v>
      </c>
      <c r="D779" t="s">
        <v>23</v>
      </c>
      <c r="E779" t="s">
        <v>20</v>
      </c>
      <c r="F779" t="s">
        <v>38</v>
      </c>
      <c r="G779" t="s">
        <v>31</v>
      </c>
      <c r="H779" s="12">
        <v>420000</v>
      </c>
      <c r="I779">
        <v>2</v>
      </c>
      <c r="J779" t="s">
        <v>37</v>
      </c>
      <c r="K779" s="12">
        <f t="shared" si="12"/>
        <v>336000</v>
      </c>
      <c r="L779" s="12">
        <f>Sales_Data[[#This Row],[Unit Price]]*Sales_Data[[#This Row],[Quantity]]</f>
        <v>840000</v>
      </c>
      <c r="M779" s="12">
        <f>Sales_Data[[#This Row],[Cost Price]]*Sales_Data[[#This Row],[Quantity]]</f>
        <v>672000</v>
      </c>
      <c r="N779" s="12">
        <f>Sales_Data[[#This Row],[Revenue]]-Sales_Data[[#This Row],[COGS]]</f>
        <v>168000</v>
      </c>
    </row>
    <row r="780" spans="1:14">
      <c r="A780" s="1">
        <v>46454</v>
      </c>
      <c r="B780" t="s">
        <v>25</v>
      </c>
      <c r="C780" t="s">
        <v>19</v>
      </c>
      <c r="D780" t="s">
        <v>23</v>
      </c>
      <c r="E780" t="s">
        <v>14</v>
      </c>
      <c r="F780" t="s">
        <v>38</v>
      </c>
      <c r="G780" t="s">
        <v>31</v>
      </c>
      <c r="H780" s="12">
        <v>420000</v>
      </c>
      <c r="I780">
        <v>7</v>
      </c>
      <c r="J780" t="s">
        <v>35</v>
      </c>
      <c r="K780" s="12">
        <f t="shared" si="12"/>
        <v>336000</v>
      </c>
      <c r="L780" s="12">
        <f>Sales_Data[[#This Row],[Unit Price]]*Sales_Data[[#This Row],[Quantity]]</f>
        <v>2940000</v>
      </c>
      <c r="M780" s="12">
        <f>Sales_Data[[#This Row],[Cost Price]]*Sales_Data[[#This Row],[Quantity]]</f>
        <v>2352000</v>
      </c>
      <c r="N780" s="12">
        <f>Sales_Data[[#This Row],[Revenue]]-Sales_Data[[#This Row],[COGS]]</f>
        <v>588000</v>
      </c>
    </row>
    <row r="781" spans="1:14">
      <c r="A781" s="1">
        <v>46455</v>
      </c>
      <c r="B781" t="s">
        <v>11</v>
      </c>
      <c r="C781" t="s">
        <v>26</v>
      </c>
      <c r="D781" t="s">
        <v>23</v>
      </c>
      <c r="E781" t="s">
        <v>14</v>
      </c>
      <c r="F781" t="s">
        <v>33</v>
      </c>
      <c r="G781" t="s">
        <v>22</v>
      </c>
      <c r="H781" s="12">
        <v>180000</v>
      </c>
      <c r="I781">
        <v>8</v>
      </c>
      <c r="J781" t="s">
        <v>28</v>
      </c>
      <c r="K781" s="12">
        <f t="shared" si="12"/>
        <v>144000</v>
      </c>
      <c r="L781" s="12">
        <f>Sales_Data[[#This Row],[Unit Price]]*Sales_Data[[#This Row],[Quantity]]</f>
        <v>1440000</v>
      </c>
      <c r="M781" s="12">
        <f>Sales_Data[[#This Row],[Cost Price]]*Sales_Data[[#This Row],[Quantity]]</f>
        <v>1152000</v>
      </c>
      <c r="N781" s="12">
        <f>Sales_Data[[#This Row],[Revenue]]-Sales_Data[[#This Row],[COGS]]</f>
        <v>288000</v>
      </c>
    </row>
    <row r="782" spans="1:14">
      <c r="A782" s="1">
        <v>46456</v>
      </c>
      <c r="B782" t="s">
        <v>11</v>
      </c>
      <c r="C782" t="s">
        <v>26</v>
      </c>
      <c r="D782" t="s">
        <v>13</v>
      </c>
      <c r="E782" t="s">
        <v>14</v>
      </c>
      <c r="F782" t="s">
        <v>27</v>
      </c>
      <c r="G782" t="s">
        <v>22</v>
      </c>
      <c r="H782" s="12">
        <v>60000</v>
      </c>
      <c r="I782">
        <v>7</v>
      </c>
      <c r="J782" t="s">
        <v>28</v>
      </c>
      <c r="K782" s="12">
        <f t="shared" si="12"/>
        <v>48000</v>
      </c>
      <c r="L782" s="12">
        <f>Sales_Data[[#This Row],[Unit Price]]*Sales_Data[[#This Row],[Quantity]]</f>
        <v>420000</v>
      </c>
      <c r="M782" s="12">
        <f>Sales_Data[[#This Row],[Cost Price]]*Sales_Data[[#This Row],[Quantity]]</f>
        <v>336000</v>
      </c>
      <c r="N782" s="12">
        <f>Sales_Data[[#This Row],[Revenue]]-Sales_Data[[#This Row],[COGS]]</f>
        <v>84000</v>
      </c>
    </row>
    <row r="783" spans="1:14">
      <c r="A783" s="1">
        <v>46457</v>
      </c>
      <c r="B783" t="s">
        <v>18</v>
      </c>
      <c r="C783" t="s">
        <v>19</v>
      </c>
      <c r="D783" t="s">
        <v>23</v>
      </c>
      <c r="E783" t="s">
        <v>14</v>
      </c>
      <c r="F783" t="s">
        <v>38</v>
      </c>
      <c r="G783" t="s">
        <v>31</v>
      </c>
      <c r="H783" s="12">
        <v>420000</v>
      </c>
      <c r="I783">
        <v>7</v>
      </c>
      <c r="J783" t="s">
        <v>28</v>
      </c>
      <c r="K783" s="12">
        <f t="shared" si="12"/>
        <v>336000</v>
      </c>
      <c r="L783" s="12">
        <f>Sales_Data[[#This Row],[Unit Price]]*Sales_Data[[#This Row],[Quantity]]</f>
        <v>2940000</v>
      </c>
      <c r="M783" s="12">
        <f>Sales_Data[[#This Row],[Cost Price]]*Sales_Data[[#This Row],[Quantity]]</f>
        <v>2352000</v>
      </c>
      <c r="N783" s="12">
        <f>Sales_Data[[#This Row],[Revenue]]-Sales_Data[[#This Row],[COGS]]</f>
        <v>588000</v>
      </c>
    </row>
    <row r="784" spans="1:14">
      <c r="A784" s="1">
        <v>46458</v>
      </c>
      <c r="B784" t="s">
        <v>18</v>
      </c>
      <c r="C784" t="s">
        <v>12</v>
      </c>
      <c r="D784" t="s">
        <v>13</v>
      </c>
      <c r="E784" t="s">
        <v>14</v>
      </c>
      <c r="F784" t="s">
        <v>33</v>
      </c>
      <c r="G784" t="s">
        <v>22</v>
      </c>
      <c r="H784" s="12">
        <v>180000</v>
      </c>
      <c r="I784">
        <v>5</v>
      </c>
      <c r="J784" t="s">
        <v>39</v>
      </c>
      <c r="K784" s="12">
        <f t="shared" si="12"/>
        <v>144000</v>
      </c>
      <c r="L784" s="12">
        <f>Sales_Data[[#This Row],[Unit Price]]*Sales_Data[[#This Row],[Quantity]]</f>
        <v>900000</v>
      </c>
      <c r="M784" s="12">
        <f>Sales_Data[[#This Row],[Cost Price]]*Sales_Data[[#This Row],[Quantity]]</f>
        <v>720000</v>
      </c>
      <c r="N784" s="12">
        <f>Sales_Data[[#This Row],[Revenue]]-Sales_Data[[#This Row],[COGS]]</f>
        <v>180000</v>
      </c>
    </row>
    <row r="785" spans="1:14">
      <c r="A785" s="1">
        <v>46459</v>
      </c>
      <c r="B785" t="s">
        <v>18</v>
      </c>
      <c r="C785" t="s">
        <v>26</v>
      </c>
      <c r="D785" t="s">
        <v>23</v>
      </c>
      <c r="E785" t="s">
        <v>20</v>
      </c>
      <c r="F785" t="s">
        <v>38</v>
      </c>
      <c r="G785" t="s">
        <v>31</v>
      </c>
      <c r="H785" s="12">
        <v>420000</v>
      </c>
      <c r="I785">
        <v>9</v>
      </c>
      <c r="J785" t="s">
        <v>39</v>
      </c>
      <c r="K785" s="12">
        <f t="shared" si="12"/>
        <v>336000</v>
      </c>
      <c r="L785" s="12">
        <f>Sales_Data[[#This Row],[Unit Price]]*Sales_Data[[#This Row],[Quantity]]</f>
        <v>3780000</v>
      </c>
      <c r="M785" s="12">
        <f>Sales_Data[[#This Row],[Cost Price]]*Sales_Data[[#This Row],[Quantity]]</f>
        <v>3024000</v>
      </c>
      <c r="N785" s="12">
        <f>Sales_Data[[#This Row],[Revenue]]-Sales_Data[[#This Row],[COGS]]</f>
        <v>756000</v>
      </c>
    </row>
    <row r="786" spans="1:14">
      <c r="A786" s="1">
        <v>46460</v>
      </c>
      <c r="B786" t="s">
        <v>18</v>
      </c>
      <c r="C786" t="s">
        <v>26</v>
      </c>
      <c r="D786" t="s">
        <v>23</v>
      </c>
      <c r="E786" t="s">
        <v>20</v>
      </c>
      <c r="F786" t="s">
        <v>30</v>
      </c>
      <c r="G786" t="s">
        <v>31</v>
      </c>
      <c r="H786" s="12">
        <v>300000</v>
      </c>
      <c r="I786">
        <v>7</v>
      </c>
      <c r="J786" t="s">
        <v>35</v>
      </c>
      <c r="K786" s="12">
        <f t="shared" si="12"/>
        <v>240000</v>
      </c>
      <c r="L786" s="12">
        <f>Sales_Data[[#This Row],[Unit Price]]*Sales_Data[[#This Row],[Quantity]]</f>
        <v>2100000</v>
      </c>
      <c r="M786" s="12">
        <f>Sales_Data[[#This Row],[Cost Price]]*Sales_Data[[#This Row],[Quantity]]</f>
        <v>1680000</v>
      </c>
      <c r="N786" s="12">
        <f>Sales_Data[[#This Row],[Revenue]]-Sales_Data[[#This Row],[COGS]]</f>
        <v>420000</v>
      </c>
    </row>
    <row r="787" spans="1:14">
      <c r="A787" s="1">
        <v>46461</v>
      </c>
      <c r="B787" t="s">
        <v>11</v>
      </c>
      <c r="C787" t="s">
        <v>32</v>
      </c>
      <c r="D787" t="s">
        <v>13</v>
      </c>
      <c r="E787" t="s">
        <v>20</v>
      </c>
      <c r="F787" t="s">
        <v>36</v>
      </c>
      <c r="G787" t="s">
        <v>31</v>
      </c>
      <c r="H787" s="12">
        <v>150000</v>
      </c>
      <c r="I787">
        <v>3</v>
      </c>
      <c r="J787" t="s">
        <v>24</v>
      </c>
      <c r="K787" s="12">
        <f t="shared" si="12"/>
        <v>120000</v>
      </c>
      <c r="L787" s="12">
        <f>Sales_Data[[#This Row],[Unit Price]]*Sales_Data[[#This Row],[Quantity]]</f>
        <v>450000</v>
      </c>
      <c r="M787" s="12">
        <f>Sales_Data[[#This Row],[Cost Price]]*Sales_Data[[#This Row],[Quantity]]</f>
        <v>360000</v>
      </c>
      <c r="N787" s="12">
        <f>Sales_Data[[#This Row],[Revenue]]-Sales_Data[[#This Row],[COGS]]</f>
        <v>90000</v>
      </c>
    </row>
    <row r="788" spans="1:14">
      <c r="A788" s="1">
        <v>46462</v>
      </c>
      <c r="B788" t="s">
        <v>11</v>
      </c>
      <c r="C788" t="s">
        <v>19</v>
      </c>
      <c r="D788" t="s">
        <v>13</v>
      </c>
      <c r="E788" t="s">
        <v>20</v>
      </c>
      <c r="F788" t="s">
        <v>30</v>
      </c>
      <c r="G788" t="s">
        <v>31</v>
      </c>
      <c r="H788" s="12">
        <v>300000</v>
      </c>
      <c r="I788">
        <v>10</v>
      </c>
      <c r="J788" t="s">
        <v>39</v>
      </c>
      <c r="K788" s="12">
        <f t="shared" si="12"/>
        <v>240000</v>
      </c>
      <c r="L788" s="12">
        <f>Sales_Data[[#This Row],[Unit Price]]*Sales_Data[[#This Row],[Quantity]]</f>
        <v>3000000</v>
      </c>
      <c r="M788" s="12">
        <f>Sales_Data[[#This Row],[Cost Price]]*Sales_Data[[#This Row],[Quantity]]</f>
        <v>2400000</v>
      </c>
      <c r="N788" s="12">
        <f>Sales_Data[[#This Row],[Revenue]]-Sales_Data[[#This Row],[COGS]]</f>
        <v>600000</v>
      </c>
    </row>
    <row r="789" spans="1:14">
      <c r="A789" s="1">
        <v>46463</v>
      </c>
      <c r="B789" t="s">
        <v>18</v>
      </c>
      <c r="C789" t="s">
        <v>12</v>
      </c>
      <c r="D789" t="s">
        <v>13</v>
      </c>
      <c r="E789" t="s">
        <v>14</v>
      </c>
      <c r="F789" t="s">
        <v>38</v>
      </c>
      <c r="G789" t="s">
        <v>31</v>
      </c>
      <c r="H789" s="12">
        <v>420000</v>
      </c>
      <c r="I789">
        <v>8</v>
      </c>
      <c r="J789" t="s">
        <v>39</v>
      </c>
      <c r="K789" s="12">
        <f t="shared" si="12"/>
        <v>336000</v>
      </c>
      <c r="L789" s="12">
        <f>Sales_Data[[#This Row],[Unit Price]]*Sales_Data[[#This Row],[Quantity]]</f>
        <v>3360000</v>
      </c>
      <c r="M789" s="12">
        <f>Sales_Data[[#This Row],[Cost Price]]*Sales_Data[[#This Row],[Quantity]]</f>
        <v>2688000</v>
      </c>
      <c r="N789" s="12">
        <f>Sales_Data[[#This Row],[Revenue]]-Sales_Data[[#This Row],[COGS]]</f>
        <v>672000</v>
      </c>
    </row>
    <row r="790" spans="1:14">
      <c r="A790" s="1">
        <v>46464</v>
      </c>
      <c r="B790" t="s">
        <v>11</v>
      </c>
      <c r="C790" t="s">
        <v>26</v>
      </c>
      <c r="D790" t="s">
        <v>23</v>
      </c>
      <c r="E790" t="s">
        <v>20</v>
      </c>
      <c r="F790" t="s">
        <v>41</v>
      </c>
      <c r="G790" t="s">
        <v>22</v>
      </c>
      <c r="H790" s="12">
        <v>220000</v>
      </c>
      <c r="I790">
        <v>2</v>
      </c>
      <c r="J790" t="s">
        <v>28</v>
      </c>
      <c r="K790" s="12">
        <f t="shared" si="12"/>
        <v>176000</v>
      </c>
      <c r="L790" s="12">
        <f>Sales_Data[[#This Row],[Unit Price]]*Sales_Data[[#This Row],[Quantity]]</f>
        <v>440000</v>
      </c>
      <c r="M790" s="12">
        <f>Sales_Data[[#This Row],[Cost Price]]*Sales_Data[[#This Row],[Quantity]]</f>
        <v>352000</v>
      </c>
      <c r="N790" s="12">
        <f>Sales_Data[[#This Row],[Revenue]]-Sales_Data[[#This Row],[COGS]]</f>
        <v>88000</v>
      </c>
    </row>
    <row r="791" spans="1:14">
      <c r="A791" s="1">
        <v>46465</v>
      </c>
      <c r="B791" t="s">
        <v>11</v>
      </c>
      <c r="C791" t="s">
        <v>32</v>
      </c>
      <c r="D791" t="s">
        <v>13</v>
      </c>
      <c r="E791" t="s">
        <v>14</v>
      </c>
      <c r="F791" t="s">
        <v>36</v>
      </c>
      <c r="G791" t="s">
        <v>31</v>
      </c>
      <c r="H791" s="12">
        <v>150000</v>
      </c>
      <c r="I791">
        <v>4</v>
      </c>
      <c r="J791" t="s">
        <v>17</v>
      </c>
      <c r="K791" s="12">
        <f t="shared" si="12"/>
        <v>120000</v>
      </c>
      <c r="L791" s="12">
        <f>Sales_Data[[#This Row],[Unit Price]]*Sales_Data[[#This Row],[Quantity]]</f>
        <v>600000</v>
      </c>
      <c r="M791" s="12">
        <f>Sales_Data[[#This Row],[Cost Price]]*Sales_Data[[#This Row],[Quantity]]</f>
        <v>480000</v>
      </c>
      <c r="N791" s="12">
        <f>Sales_Data[[#This Row],[Revenue]]-Sales_Data[[#This Row],[COGS]]</f>
        <v>120000</v>
      </c>
    </row>
    <row r="792" spans="1:14">
      <c r="A792" s="1">
        <v>46466</v>
      </c>
      <c r="B792" t="s">
        <v>11</v>
      </c>
      <c r="C792" t="s">
        <v>19</v>
      </c>
      <c r="D792" t="s">
        <v>13</v>
      </c>
      <c r="E792" t="s">
        <v>14</v>
      </c>
      <c r="F792" t="s">
        <v>21</v>
      </c>
      <c r="G792" t="s">
        <v>22</v>
      </c>
      <c r="H792" s="12">
        <v>30000</v>
      </c>
      <c r="I792">
        <v>8</v>
      </c>
      <c r="J792" t="s">
        <v>35</v>
      </c>
      <c r="K792" s="12">
        <f t="shared" si="12"/>
        <v>24000</v>
      </c>
      <c r="L792" s="12">
        <f>Sales_Data[[#This Row],[Unit Price]]*Sales_Data[[#This Row],[Quantity]]</f>
        <v>240000</v>
      </c>
      <c r="M792" s="12">
        <f>Sales_Data[[#This Row],[Cost Price]]*Sales_Data[[#This Row],[Quantity]]</f>
        <v>192000</v>
      </c>
      <c r="N792" s="12">
        <f>Sales_Data[[#This Row],[Revenue]]-Sales_Data[[#This Row],[COGS]]</f>
        <v>48000</v>
      </c>
    </row>
    <row r="793" spans="1:14">
      <c r="A793" s="1">
        <v>46467</v>
      </c>
      <c r="B793" t="s">
        <v>11</v>
      </c>
      <c r="C793" t="s">
        <v>26</v>
      </c>
      <c r="D793" t="s">
        <v>23</v>
      </c>
      <c r="E793" t="s">
        <v>20</v>
      </c>
      <c r="F793" t="s">
        <v>38</v>
      </c>
      <c r="G793" t="s">
        <v>31</v>
      </c>
      <c r="H793" s="12">
        <v>420000</v>
      </c>
      <c r="I793">
        <v>3</v>
      </c>
      <c r="J793" t="s">
        <v>37</v>
      </c>
      <c r="K793" s="12">
        <f t="shared" si="12"/>
        <v>336000</v>
      </c>
      <c r="L793" s="12">
        <f>Sales_Data[[#This Row],[Unit Price]]*Sales_Data[[#This Row],[Quantity]]</f>
        <v>1260000</v>
      </c>
      <c r="M793" s="12">
        <f>Sales_Data[[#This Row],[Cost Price]]*Sales_Data[[#This Row],[Quantity]]</f>
        <v>1008000</v>
      </c>
      <c r="N793" s="12">
        <f>Sales_Data[[#This Row],[Revenue]]-Sales_Data[[#This Row],[COGS]]</f>
        <v>252000</v>
      </c>
    </row>
    <row r="794" spans="1:14">
      <c r="A794" s="1">
        <v>46468</v>
      </c>
      <c r="B794" t="s">
        <v>11</v>
      </c>
      <c r="C794" t="s">
        <v>12</v>
      </c>
      <c r="D794" t="s">
        <v>23</v>
      </c>
      <c r="E794" t="s">
        <v>20</v>
      </c>
      <c r="F794" t="s">
        <v>30</v>
      </c>
      <c r="G794" t="s">
        <v>31</v>
      </c>
      <c r="H794" s="12">
        <v>300000</v>
      </c>
      <c r="I794">
        <v>4</v>
      </c>
      <c r="J794" t="s">
        <v>39</v>
      </c>
      <c r="K794" s="12">
        <f t="shared" si="12"/>
        <v>240000</v>
      </c>
      <c r="L794" s="12">
        <f>Sales_Data[[#This Row],[Unit Price]]*Sales_Data[[#This Row],[Quantity]]</f>
        <v>1200000</v>
      </c>
      <c r="M794" s="12">
        <f>Sales_Data[[#This Row],[Cost Price]]*Sales_Data[[#This Row],[Quantity]]</f>
        <v>960000</v>
      </c>
      <c r="N794" s="12">
        <f>Sales_Data[[#This Row],[Revenue]]-Sales_Data[[#This Row],[COGS]]</f>
        <v>240000</v>
      </c>
    </row>
    <row r="795" spans="1:14">
      <c r="A795" s="1">
        <v>46469</v>
      </c>
      <c r="B795" t="s">
        <v>11</v>
      </c>
      <c r="C795" t="s">
        <v>19</v>
      </c>
      <c r="D795" t="s">
        <v>13</v>
      </c>
      <c r="E795" t="s">
        <v>14</v>
      </c>
      <c r="F795" t="s">
        <v>40</v>
      </c>
      <c r="G795" t="s">
        <v>31</v>
      </c>
      <c r="H795" s="12">
        <v>250000</v>
      </c>
      <c r="I795">
        <v>6</v>
      </c>
      <c r="J795" t="s">
        <v>24</v>
      </c>
      <c r="K795" s="12">
        <f t="shared" si="12"/>
        <v>200000</v>
      </c>
      <c r="L795" s="12">
        <f>Sales_Data[[#This Row],[Unit Price]]*Sales_Data[[#This Row],[Quantity]]</f>
        <v>1500000</v>
      </c>
      <c r="M795" s="12">
        <f>Sales_Data[[#This Row],[Cost Price]]*Sales_Data[[#This Row],[Quantity]]</f>
        <v>1200000</v>
      </c>
      <c r="N795" s="12">
        <f>Sales_Data[[#This Row],[Revenue]]-Sales_Data[[#This Row],[COGS]]</f>
        <v>300000</v>
      </c>
    </row>
    <row r="796" spans="1:14">
      <c r="A796" s="1">
        <v>46470</v>
      </c>
      <c r="B796" t="s">
        <v>11</v>
      </c>
      <c r="C796" t="s">
        <v>26</v>
      </c>
      <c r="D796" t="s">
        <v>23</v>
      </c>
      <c r="E796" t="s">
        <v>20</v>
      </c>
      <c r="F796" t="s">
        <v>34</v>
      </c>
      <c r="G796" t="s">
        <v>16</v>
      </c>
      <c r="H796" s="12">
        <v>320000</v>
      </c>
      <c r="I796">
        <v>6</v>
      </c>
      <c r="J796" t="s">
        <v>35</v>
      </c>
      <c r="K796" s="12">
        <f t="shared" si="12"/>
        <v>256000</v>
      </c>
      <c r="L796" s="12">
        <f>Sales_Data[[#This Row],[Unit Price]]*Sales_Data[[#This Row],[Quantity]]</f>
        <v>1920000</v>
      </c>
      <c r="M796" s="12">
        <f>Sales_Data[[#This Row],[Cost Price]]*Sales_Data[[#This Row],[Quantity]]</f>
        <v>1536000</v>
      </c>
      <c r="N796" s="12">
        <f>Sales_Data[[#This Row],[Revenue]]-Sales_Data[[#This Row],[COGS]]</f>
        <v>384000</v>
      </c>
    </row>
    <row r="797" spans="1:14">
      <c r="A797" s="1">
        <v>46471</v>
      </c>
      <c r="B797" t="s">
        <v>11</v>
      </c>
      <c r="C797" t="s">
        <v>26</v>
      </c>
      <c r="D797" t="s">
        <v>13</v>
      </c>
      <c r="E797" t="s">
        <v>14</v>
      </c>
      <c r="F797" t="s">
        <v>33</v>
      </c>
      <c r="G797" t="s">
        <v>22</v>
      </c>
      <c r="H797" s="12">
        <v>180000</v>
      </c>
      <c r="I797">
        <v>5</v>
      </c>
      <c r="J797" t="s">
        <v>35</v>
      </c>
      <c r="K797" s="12">
        <f t="shared" si="12"/>
        <v>144000</v>
      </c>
      <c r="L797" s="12">
        <f>Sales_Data[[#This Row],[Unit Price]]*Sales_Data[[#This Row],[Quantity]]</f>
        <v>900000</v>
      </c>
      <c r="M797" s="12">
        <f>Sales_Data[[#This Row],[Cost Price]]*Sales_Data[[#This Row],[Quantity]]</f>
        <v>720000</v>
      </c>
      <c r="N797" s="12">
        <f>Sales_Data[[#This Row],[Revenue]]-Sales_Data[[#This Row],[COGS]]</f>
        <v>180000</v>
      </c>
    </row>
    <row r="798" spans="1:14">
      <c r="A798" s="1">
        <v>46472</v>
      </c>
      <c r="B798" t="s">
        <v>11</v>
      </c>
      <c r="C798" t="s">
        <v>12</v>
      </c>
      <c r="D798" t="s">
        <v>13</v>
      </c>
      <c r="E798" t="s">
        <v>14</v>
      </c>
      <c r="F798" t="s">
        <v>36</v>
      </c>
      <c r="G798" t="s">
        <v>31</v>
      </c>
      <c r="H798" s="12">
        <v>150000</v>
      </c>
      <c r="I798">
        <v>1</v>
      </c>
      <c r="J798" t="s">
        <v>28</v>
      </c>
      <c r="K798" s="12">
        <f t="shared" si="12"/>
        <v>120000</v>
      </c>
      <c r="L798" s="12">
        <f>Sales_Data[[#This Row],[Unit Price]]*Sales_Data[[#This Row],[Quantity]]</f>
        <v>150000</v>
      </c>
      <c r="M798" s="12">
        <f>Sales_Data[[#This Row],[Cost Price]]*Sales_Data[[#This Row],[Quantity]]</f>
        <v>120000</v>
      </c>
      <c r="N798" s="12">
        <f>Sales_Data[[#This Row],[Revenue]]-Sales_Data[[#This Row],[COGS]]</f>
        <v>30000</v>
      </c>
    </row>
    <row r="799" spans="1:14">
      <c r="A799" s="1">
        <v>46473</v>
      </c>
      <c r="B799" t="s">
        <v>11</v>
      </c>
      <c r="C799" t="s">
        <v>12</v>
      </c>
      <c r="D799" t="s">
        <v>13</v>
      </c>
      <c r="E799" t="s">
        <v>20</v>
      </c>
      <c r="F799" t="s">
        <v>27</v>
      </c>
      <c r="G799" t="s">
        <v>22</v>
      </c>
      <c r="H799" s="12">
        <v>60000</v>
      </c>
      <c r="I799">
        <v>3</v>
      </c>
      <c r="J799" t="s">
        <v>39</v>
      </c>
      <c r="K799" s="12">
        <f t="shared" si="12"/>
        <v>48000</v>
      </c>
      <c r="L799" s="12">
        <f>Sales_Data[[#This Row],[Unit Price]]*Sales_Data[[#This Row],[Quantity]]</f>
        <v>180000</v>
      </c>
      <c r="M799" s="12">
        <f>Sales_Data[[#This Row],[Cost Price]]*Sales_Data[[#This Row],[Quantity]]</f>
        <v>144000</v>
      </c>
      <c r="N799" s="12">
        <f>Sales_Data[[#This Row],[Revenue]]-Sales_Data[[#This Row],[COGS]]</f>
        <v>36000</v>
      </c>
    </row>
    <row r="800" spans="1:14">
      <c r="A800" s="1">
        <v>46474</v>
      </c>
      <c r="B800" t="s">
        <v>18</v>
      </c>
      <c r="C800" t="s">
        <v>32</v>
      </c>
      <c r="D800" t="s">
        <v>23</v>
      </c>
      <c r="E800" t="s">
        <v>14</v>
      </c>
      <c r="F800" t="s">
        <v>15</v>
      </c>
      <c r="G800" t="s">
        <v>16</v>
      </c>
      <c r="H800" s="12">
        <v>85000</v>
      </c>
      <c r="I800">
        <v>10</v>
      </c>
      <c r="J800" t="s">
        <v>24</v>
      </c>
      <c r="K800" s="12">
        <f t="shared" si="12"/>
        <v>68000</v>
      </c>
      <c r="L800" s="12">
        <f>Sales_Data[[#This Row],[Unit Price]]*Sales_Data[[#This Row],[Quantity]]</f>
        <v>850000</v>
      </c>
      <c r="M800" s="12">
        <f>Sales_Data[[#This Row],[Cost Price]]*Sales_Data[[#This Row],[Quantity]]</f>
        <v>680000</v>
      </c>
      <c r="N800" s="12">
        <f>Sales_Data[[#This Row],[Revenue]]-Sales_Data[[#This Row],[COGS]]</f>
        <v>170000</v>
      </c>
    </row>
    <row r="801" spans="1:14">
      <c r="A801" s="1">
        <v>46475</v>
      </c>
      <c r="B801" t="s">
        <v>11</v>
      </c>
      <c r="C801" t="s">
        <v>32</v>
      </c>
      <c r="D801" t="s">
        <v>23</v>
      </c>
      <c r="E801" t="s">
        <v>20</v>
      </c>
      <c r="F801" t="s">
        <v>36</v>
      </c>
      <c r="G801" t="s">
        <v>31</v>
      </c>
      <c r="H801" s="12">
        <v>150000</v>
      </c>
      <c r="I801">
        <v>3</v>
      </c>
      <c r="J801" t="s">
        <v>37</v>
      </c>
      <c r="K801" s="12">
        <f t="shared" si="12"/>
        <v>120000</v>
      </c>
      <c r="L801" s="12">
        <f>Sales_Data[[#This Row],[Unit Price]]*Sales_Data[[#This Row],[Quantity]]</f>
        <v>450000</v>
      </c>
      <c r="M801" s="12">
        <f>Sales_Data[[#This Row],[Cost Price]]*Sales_Data[[#This Row],[Quantity]]</f>
        <v>360000</v>
      </c>
      <c r="N801" s="12">
        <f>Sales_Data[[#This Row],[Revenue]]-Sales_Data[[#This Row],[COGS]]</f>
        <v>90000</v>
      </c>
    </row>
    <row r="802" spans="1:14">
      <c r="A802" s="1">
        <v>46476</v>
      </c>
      <c r="B802" t="s">
        <v>25</v>
      </c>
      <c r="C802" t="s">
        <v>12</v>
      </c>
      <c r="D802" t="s">
        <v>23</v>
      </c>
      <c r="E802" t="s">
        <v>20</v>
      </c>
      <c r="F802" t="s">
        <v>38</v>
      </c>
      <c r="G802" t="s">
        <v>31</v>
      </c>
      <c r="H802" s="12">
        <v>420000</v>
      </c>
      <c r="I802">
        <v>9</v>
      </c>
      <c r="J802" t="s">
        <v>37</v>
      </c>
      <c r="K802" s="12">
        <f t="shared" si="12"/>
        <v>336000</v>
      </c>
      <c r="L802" s="12">
        <f>Sales_Data[[#This Row],[Unit Price]]*Sales_Data[[#This Row],[Quantity]]</f>
        <v>3780000</v>
      </c>
      <c r="M802" s="12">
        <f>Sales_Data[[#This Row],[Cost Price]]*Sales_Data[[#This Row],[Quantity]]</f>
        <v>3024000</v>
      </c>
      <c r="N802" s="12">
        <f>Sales_Data[[#This Row],[Revenue]]-Sales_Data[[#This Row],[COGS]]</f>
        <v>756000</v>
      </c>
    </row>
    <row r="803" spans="1:14">
      <c r="A803" s="1">
        <v>46477</v>
      </c>
      <c r="B803" t="s">
        <v>25</v>
      </c>
      <c r="C803" t="s">
        <v>32</v>
      </c>
      <c r="D803" t="s">
        <v>13</v>
      </c>
      <c r="E803" t="s">
        <v>20</v>
      </c>
      <c r="F803" t="s">
        <v>41</v>
      </c>
      <c r="G803" t="s">
        <v>22</v>
      </c>
      <c r="H803" s="12">
        <v>220000</v>
      </c>
      <c r="I803">
        <v>1</v>
      </c>
      <c r="J803" t="s">
        <v>35</v>
      </c>
      <c r="K803" s="12">
        <f t="shared" si="12"/>
        <v>176000</v>
      </c>
      <c r="L803" s="12">
        <f>Sales_Data[[#This Row],[Unit Price]]*Sales_Data[[#This Row],[Quantity]]</f>
        <v>220000</v>
      </c>
      <c r="M803" s="12">
        <f>Sales_Data[[#This Row],[Cost Price]]*Sales_Data[[#This Row],[Quantity]]</f>
        <v>176000</v>
      </c>
      <c r="N803" s="12">
        <f>Sales_Data[[#This Row],[Revenue]]-Sales_Data[[#This Row],[COGS]]</f>
        <v>44000</v>
      </c>
    </row>
    <row r="804" spans="1:14">
      <c r="A804" s="1">
        <v>46478</v>
      </c>
      <c r="B804" t="s">
        <v>18</v>
      </c>
      <c r="C804" t="s">
        <v>32</v>
      </c>
      <c r="D804" t="s">
        <v>23</v>
      </c>
      <c r="E804" t="s">
        <v>14</v>
      </c>
      <c r="F804" t="s">
        <v>15</v>
      </c>
      <c r="G804" t="s">
        <v>16</v>
      </c>
      <c r="H804" s="12">
        <v>85000</v>
      </c>
      <c r="I804">
        <v>4</v>
      </c>
      <c r="J804" t="s">
        <v>24</v>
      </c>
      <c r="K804" s="12">
        <f t="shared" si="12"/>
        <v>68000</v>
      </c>
      <c r="L804" s="12">
        <f>Sales_Data[[#This Row],[Unit Price]]*Sales_Data[[#This Row],[Quantity]]</f>
        <v>340000</v>
      </c>
      <c r="M804" s="12">
        <f>Sales_Data[[#This Row],[Cost Price]]*Sales_Data[[#This Row],[Quantity]]</f>
        <v>272000</v>
      </c>
      <c r="N804" s="12">
        <f>Sales_Data[[#This Row],[Revenue]]-Sales_Data[[#This Row],[COGS]]</f>
        <v>68000</v>
      </c>
    </row>
    <row r="805" spans="1:14">
      <c r="A805" s="1">
        <v>46479</v>
      </c>
      <c r="B805" t="s">
        <v>11</v>
      </c>
      <c r="C805" t="s">
        <v>12</v>
      </c>
      <c r="D805" t="s">
        <v>13</v>
      </c>
      <c r="E805" t="s">
        <v>14</v>
      </c>
      <c r="F805" t="s">
        <v>38</v>
      </c>
      <c r="G805" t="s">
        <v>31</v>
      </c>
      <c r="H805" s="12">
        <v>420000</v>
      </c>
      <c r="I805">
        <v>6</v>
      </c>
      <c r="J805" t="s">
        <v>37</v>
      </c>
      <c r="K805" s="12">
        <f t="shared" si="12"/>
        <v>336000</v>
      </c>
      <c r="L805" s="12">
        <f>Sales_Data[[#This Row],[Unit Price]]*Sales_Data[[#This Row],[Quantity]]</f>
        <v>2520000</v>
      </c>
      <c r="M805" s="12">
        <f>Sales_Data[[#This Row],[Cost Price]]*Sales_Data[[#This Row],[Quantity]]</f>
        <v>2016000</v>
      </c>
      <c r="N805" s="12">
        <f>Sales_Data[[#This Row],[Revenue]]-Sales_Data[[#This Row],[COGS]]</f>
        <v>504000</v>
      </c>
    </row>
    <row r="806" spans="1:14">
      <c r="A806" s="1">
        <v>46480</v>
      </c>
      <c r="B806" t="s">
        <v>29</v>
      </c>
      <c r="C806" t="s">
        <v>32</v>
      </c>
      <c r="D806" t="s">
        <v>23</v>
      </c>
      <c r="E806" t="s">
        <v>14</v>
      </c>
      <c r="F806" t="s">
        <v>38</v>
      </c>
      <c r="G806" t="s">
        <v>31</v>
      </c>
      <c r="H806" s="12">
        <v>420000</v>
      </c>
      <c r="I806">
        <v>6</v>
      </c>
      <c r="J806" t="s">
        <v>28</v>
      </c>
      <c r="K806" s="12">
        <f t="shared" si="12"/>
        <v>336000</v>
      </c>
      <c r="L806" s="12">
        <f>Sales_Data[[#This Row],[Unit Price]]*Sales_Data[[#This Row],[Quantity]]</f>
        <v>2520000</v>
      </c>
      <c r="M806" s="12">
        <f>Sales_Data[[#This Row],[Cost Price]]*Sales_Data[[#This Row],[Quantity]]</f>
        <v>2016000</v>
      </c>
      <c r="N806" s="12">
        <f>Sales_Data[[#This Row],[Revenue]]-Sales_Data[[#This Row],[COGS]]</f>
        <v>504000</v>
      </c>
    </row>
    <row r="807" spans="1:14">
      <c r="A807" s="1">
        <v>46481</v>
      </c>
      <c r="B807" t="s">
        <v>18</v>
      </c>
      <c r="C807" t="s">
        <v>12</v>
      </c>
      <c r="D807" t="s">
        <v>13</v>
      </c>
      <c r="E807" t="s">
        <v>14</v>
      </c>
      <c r="F807" t="s">
        <v>30</v>
      </c>
      <c r="G807" t="s">
        <v>31</v>
      </c>
      <c r="H807" s="12">
        <v>300000</v>
      </c>
      <c r="I807">
        <v>10</v>
      </c>
      <c r="J807" t="s">
        <v>35</v>
      </c>
      <c r="K807" s="12">
        <f t="shared" si="12"/>
        <v>240000</v>
      </c>
      <c r="L807" s="12">
        <f>Sales_Data[[#This Row],[Unit Price]]*Sales_Data[[#This Row],[Quantity]]</f>
        <v>3000000</v>
      </c>
      <c r="M807" s="12">
        <f>Sales_Data[[#This Row],[Cost Price]]*Sales_Data[[#This Row],[Quantity]]</f>
        <v>2400000</v>
      </c>
      <c r="N807" s="12">
        <f>Sales_Data[[#This Row],[Revenue]]-Sales_Data[[#This Row],[COGS]]</f>
        <v>600000</v>
      </c>
    </row>
    <row r="808" spans="1:14">
      <c r="A808" s="1">
        <v>46482</v>
      </c>
      <c r="B808" t="s">
        <v>25</v>
      </c>
      <c r="C808" t="s">
        <v>19</v>
      </c>
      <c r="D808" t="s">
        <v>13</v>
      </c>
      <c r="E808" t="s">
        <v>20</v>
      </c>
      <c r="F808" t="s">
        <v>41</v>
      </c>
      <c r="G808" t="s">
        <v>22</v>
      </c>
      <c r="H808" s="12">
        <v>220000</v>
      </c>
      <c r="I808">
        <v>4</v>
      </c>
      <c r="J808" t="s">
        <v>28</v>
      </c>
      <c r="K808" s="12">
        <f t="shared" si="12"/>
        <v>176000</v>
      </c>
      <c r="L808" s="12">
        <f>Sales_Data[[#This Row],[Unit Price]]*Sales_Data[[#This Row],[Quantity]]</f>
        <v>880000</v>
      </c>
      <c r="M808" s="12">
        <f>Sales_Data[[#This Row],[Cost Price]]*Sales_Data[[#This Row],[Quantity]]</f>
        <v>704000</v>
      </c>
      <c r="N808" s="12">
        <f>Sales_Data[[#This Row],[Revenue]]-Sales_Data[[#This Row],[COGS]]</f>
        <v>176000</v>
      </c>
    </row>
    <row r="809" spans="1:14">
      <c r="A809" s="1">
        <v>46483</v>
      </c>
      <c r="B809" t="s">
        <v>11</v>
      </c>
      <c r="C809" t="s">
        <v>32</v>
      </c>
      <c r="D809" t="s">
        <v>13</v>
      </c>
      <c r="E809" t="s">
        <v>20</v>
      </c>
      <c r="F809" t="s">
        <v>33</v>
      </c>
      <c r="G809" t="s">
        <v>22</v>
      </c>
      <c r="H809" s="12">
        <v>180000</v>
      </c>
      <c r="I809">
        <v>8</v>
      </c>
      <c r="J809" t="s">
        <v>37</v>
      </c>
      <c r="K809" s="12">
        <f t="shared" si="12"/>
        <v>144000</v>
      </c>
      <c r="L809" s="12">
        <f>Sales_Data[[#This Row],[Unit Price]]*Sales_Data[[#This Row],[Quantity]]</f>
        <v>1440000</v>
      </c>
      <c r="M809" s="12">
        <f>Sales_Data[[#This Row],[Cost Price]]*Sales_Data[[#This Row],[Quantity]]</f>
        <v>1152000</v>
      </c>
      <c r="N809" s="12">
        <f>Sales_Data[[#This Row],[Revenue]]-Sales_Data[[#This Row],[COGS]]</f>
        <v>288000</v>
      </c>
    </row>
    <row r="810" spans="1:14">
      <c r="A810" s="1">
        <v>46484</v>
      </c>
      <c r="B810" t="s">
        <v>11</v>
      </c>
      <c r="C810" t="s">
        <v>32</v>
      </c>
      <c r="D810" t="s">
        <v>13</v>
      </c>
      <c r="E810" t="s">
        <v>14</v>
      </c>
      <c r="F810" t="s">
        <v>40</v>
      </c>
      <c r="G810" t="s">
        <v>31</v>
      </c>
      <c r="H810" s="12">
        <v>250000</v>
      </c>
      <c r="I810">
        <v>3</v>
      </c>
      <c r="J810" t="s">
        <v>17</v>
      </c>
      <c r="K810" s="12">
        <f t="shared" si="12"/>
        <v>200000</v>
      </c>
      <c r="L810" s="12">
        <f>Sales_Data[[#This Row],[Unit Price]]*Sales_Data[[#This Row],[Quantity]]</f>
        <v>750000</v>
      </c>
      <c r="M810" s="12">
        <f>Sales_Data[[#This Row],[Cost Price]]*Sales_Data[[#This Row],[Quantity]]</f>
        <v>600000</v>
      </c>
      <c r="N810" s="12">
        <f>Sales_Data[[#This Row],[Revenue]]-Sales_Data[[#This Row],[COGS]]</f>
        <v>150000</v>
      </c>
    </row>
    <row r="811" spans="1:14">
      <c r="A811" s="1">
        <v>46485</v>
      </c>
      <c r="B811" t="s">
        <v>29</v>
      </c>
      <c r="C811" t="s">
        <v>26</v>
      </c>
      <c r="D811" t="s">
        <v>23</v>
      </c>
      <c r="E811" t="s">
        <v>14</v>
      </c>
      <c r="F811" t="s">
        <v>30</v>
      </c>
      <c r="G811" t="s">
        <v>31</v>
      </c>
      <c r="H811" s="12">
        <v>300000</v>
      </c>
      <c r="I811">
        <v>7</v>
      </c>
      <c r="J811" t="s">
        <v>17</v>
      </c>
      <c r="K811" s="12">
        <f t="shared" si="12"/>
        <v>240000</v>
      </c>
      <c r="L811" s="12">
        <f>Sales_Data[[#This Row],[Unit Price]]*Sales_Data[[#This Row],[Quantity]]</f>
        <v>2100000</v>
      </c>
      <c r="M811" s="12">
        <f>Sales_Data[[#This Row],[Cost Price]]*Sales_Data[[#This Row],[Quantity]]</f>
        <v>1680000</v>
      </c>
      <c r="N811" s="12">
        <f>Sales_Data[[#This Row],[Revenue]]-Sales_Data[[#This Row],[COGS]]</f>
        <v>420000</v>
      </c>
    </row>
    <row r="812" spans="1:14">
      <c r="A812" s="1">
        <v>46486</v>
      </c>
      <c r="B812" t="s">
        <v>29</v>
      </c>
      <c r="C812" t="s">
        <v>32</v>
      </c>
      <c r="D812" t="s">
        <v>13</v>
      </c>
      <c r="E812" t="s">
        <v>20</v>
      </c>
      <c r="F812" t="s">
        <v>30</v>
      </c>
      <c r="G812" t="s">
        <v>31</v>
      </c>
      <c r="H812" s="12">
        <v>300000</v>
      </c>
      <c r="I812">
        <v>7</v>
      </c>
      <c r="J812" t="s">
        <v>39</v>
      </c>
      <c r="K812" s="12">
        <f t="shared" si="12"/>
        <v>240000</v>
      </c>
      <c r="L812" s="12">
        <f>Sales_Data[[#This Row],[Unit Price]]*Sales_Data[[#This Row],[Quantity]]</f>
        <v>2100000</v>
      </c>
      <c r="M812" s="12">
        <f>Sales_Data[[#This Row],[Cost Price]]*Sales_Data[[#This Row],[Quantity]]</f>
        <v>1680000</v>
      </c>
      <c r="N812" s="12">
        <f>Sales_Data[[#This Row],[Revenue]]-Sales_Data[[#This Row],[COGS]]</f>
        <v>420000</v>
      </c>
    </row>
    <row r="813" spans="1:14">
      <c r="A813" s="1">
        <v>46487</v>
      </c>
      <c r="B813" t="s">
        <v>29</v>
      </c>
      <c r="C813" t="s">
        <v>32</v>
      </c>
      <c r="D813" t="s">
        <v>23</v>
      </c>
      <c r="E813" t="s">
        <v>20</v>
      </c>
      <c r="F813" t="s">
        <v>40</v>
      </c>
      <c r="G813" t="s">
        <v>31</v>
      </c>
      <c r="H813" s="12">
        <v>250000</v>
      </c>
      <c r="I813">
        <v>1</v>
      </c>
      <c r="J813" t="s">
        <v>37</v>
      </c>
      <c r="K813" s="12">
        <f t="shared" si="12"/>
        <v>200000</v>
      </c>
      <c r="L813" s="12">
        <f>Sales_Data[[#This Row],[Unit Price]]*Sales_Data[[#This Row],[Quantity]]</f>
        <v>250000</v>
      </c>
      <c r="M813" s="12">
        <f>Sales_Data[[#This Row],[Cost Price]]*Sales_Data[[#This Row],[Quantity]]</f>
        <v>200000</v>
      </c>
      <c r="N813" s="12">
        <f>Sales_Data[[#This Row],[Revenue]]-Sales_Data[[#This Row],[COGS]]</f>
        <v>50000</v>
      </c>
    </row>
    <row r="814" spans="1:14">
      <c r="A814" s="1">
        <v>46488</v>
      </c>
      <c r="B814" t="s">
        <v>11</v>
      </c>
      <c r="C814" t="s">
        <v>19</v>
      </c>
      <c r="D814" t="s">
        <v>23</v>
      </c>
      <c r="E814" t="s">
        <v>14</v>
      </c>
      <c r="F814" t="s">
        <v>30</v>
      </c>
      <c r="G814" t="s">
        <v>31</v>
      </c>
      <c r="H814" s="12">
        <v>300000</v>
      </c>
      <c r="I814">
        <v>3</v>
      </c>
      <c r="J814" t="s">
        <v>35</v>
      </c>
      <c r="K814" s="12">
        <f t="shared" si="12"/>
        <v>240000</v>
      </c>
      <c r="L814" s="12">
        <f>Sales_Data[[#This Row],[Unit Price]]*Sales_Data[[#This Row],[Quantity]]</f>
        <v>900000</v>
      </c>
      <c r="M814" s="12">
        <f>Sales_Data[[#This Row],[Cost Price]]*Sales_Data[[#This Row],[Quantity]]</f>
        <v>720000</v>
      </c>
      <c r="N814" s="12">
        <f>Sales_Data[[#This Row],[Revenue]]-Sales_Data[[#This Row],[COGS]]</f>
        <v>180000</v>
      </c>
    </row>
    <row r="815" spans="1:14">
      <c r="A815" s="1">
        <v>46489</v>
      </c>
      <c r="B815" t="s">
        <v>25</v>
      </c>
      <c r="C815" t="s">
        <v>12</v>
      </c>
      <c r="D815" t="s">
        <v>13</v>
      </c>
      <c r="E815" t="s">
        <v>14</v>
      </c>
      <c r="F815" t="s">
        <v>38</v>
      </c>
      <c r="G815" t="s">
        <v>31</v>
      </c>
      <c r="H815" s="12">
        <v>420000</v>
      </c>
      <c r="I815">
        <v>10</v>
      </c>
      <c r="J815" t="s">
        <v>28</v>
      </c>
      <c r="K815" s="12">
        <f t="shared" si="12"/>
        <v>336000</v>
      </c>
      <c r="L815" s="12">
        <f>Sales_Data[[#This Row],[Unit Price]]*Sales_Data[[#This Row],[Quantity]]</f>
        <v>4200000</v>
      </c>
      <c r="M815" s="12">
        <f>Sales_Data[[#This Row],[Cost Price]]*Sales_Data[[#This Row],[Quantity]]</f>
        <v>3360000</v>
      </c>
      <c r="N815" s="12">
        <f>Sales_Data[[#This Row],[Revenue]]-Sales_Data[[#This Row],[COGS]]</f>
        <v>840000</v>
      </c>
    </row>
    <row r="816" spans="1:14">
      <c r="A816" s="1">
        <v>46490</v>
      </c>
      <c r="B816" t="s">
        <v>29</v>
      </c>
      <c r="C816" t="s">
        <v>26</v>
      </c>
      <c r="D816" t="s">
        <v>23</v>
      </c>
      <c r="E816" t="s">
        <v>14</v>
      </c>
      <c r="F816" t="s">
        <v>27</v>
      </c>
      <c r="G816" t="s">
        <v>22</v>
      </c>
      <c r="H816" s="12">
        <v>60000</v>
      </c>
      <c r="I816">
        <v>9</v>
      </c>
      <c r="J816" t="s">
        <v>35</v>
      </c>
      <c r="K816" s="12">
        <f t="shared" si="12"/>
        <v>48000</v>
      </c>
      <c r="L816" s="12">
        <f>Sales_Data[[#This Row],[Unit Price]]*Sales_Data[[#This Row],[Quantity]]</f>
        <v>540000</v>
      </c>
      <c r="M816" s="12">
        <f>Sales_Data[[#This Row],[Cost Price]]*Sales_Data[[#This Row],[Quantity]]</f>
        <v>432000</v>
      </c>
      <c r="N816" s="12">
        <f>Sales_Data[[#This Row],[Revenue]]-Sales_Data[[#This Row],[COGS]]</f>
        <v>108000</v>
      </c>
    </row>
    <row r="817" spans="1:14">
      <c r="A817" s="1">
        <v>46491</v>
      </c>
      <c r="B817" t="s">
        <v>11</v>
      </c>
      <c r="C817" t="s">
        <v>12</v>
      </c>
      <c r="D817" t="s">
        <v>13</v>
      </c>
      <c r="E817" t="s">
        <v>14</v>
      </c>
      <c r="F817" t="s">
        <v>40</v>
      </c>
      <c r="G817" t="s">
        <v>31</v>
      </c>
      <c r="H817" s="12">
        <v>250000</v>
      </c>
      <c r="I817">
        <v>4</v>
      </c>
      <c r="J817" t="s">
        <v>28</v>
      </c>
      <c r="K817" s="12">
        <f t="shared" si="12"/>
        <v>200000</v>
      </c>
      <c r="L817" s="12">
        <f>Sales_Data[[#This Row],[Unit Price]]*Sales_Data[[#This Row],[Quantity]]</f>
        <v>1000000</v>
      </c>
      <c r="M817" s="12">
        <f>Sales_Data[[#This Row],[Cost Price]]*Sales_Data[[#This Row],[Quantity]]</f>
        <v>800000</v>
      </c>
      <c r="N817" s="12">
        <f>Sales_Data[[#This Row],[Revenue]]-Sales_Data[[#This Row],[COGS]]</f>
        <v>200000</v>
      </c>
    </row>
    <row r="818" spans="1:14">
      <c r="A818" s="1">
        <v>46492</v>
      </c>
      <c r="B818" t="s">
        <v>18</v>
      </c>
      <c r="C818" t="s">
        <v>26</v>
      </c>
      <c r="D818" t="s">
        <v>13</v>
      </c>
      <c r="E818" t="s">
        <v>14</v>
      </c>
      <c r="F818" t="s">
        <v>40</v>
      </c>
      <c r="G818" t="s">
        <v>31</v>
      </c>
      <c r="H818" s="12">
        <v>250000</v>
      </c>
      <c r="I818">
        <v>3</v>
      </c>
      <c r="J818" t="s">
        <v>37</v>
      </c>
      <c r="K818" s="12">
        <f t="shared" si="12"/>
        <v>200000</v>
      </c>
      <c r="L818" s="12">
        <f>Sales_Data[[#This Row],[Unit Price]]*Sales_Data[[#This Row],[Quantity]]</f>
        <v>750000</v>
      </c>
      <c r="M818" s="12">
        <f>Sales_Data[[#This Row],[Cost Price]]*Sales_Data[[#This Row],[Quantity]]</f>
        <v>600000</v>
      </c>
      <c r="N818" s="12">
        <f>Sales_Data[[#This Row],[Revenue]]-Sales_Data[[#This Row],[COGS]]</f>
        <v>150000</v>
      </c>
    </row>
    <row r="819" spans="1:14">
      <c r="A819" s="1">
        <v>46493</v>
      </c>
      <c r="B819" t="s">
        <v>11</v>
      </c>
      <c r="C819" t="s">
        <v>32</v>
      </c>
      <c r="D819" t="s">
        <v>13</v>
      </c>
      <c r="E819" t="s">
        <v>20</v>
      </c>
      <c r="F819" t="s">
        <v>27</v>
      </c>
      <c r="G819" t="s">
        <v>22</v>
      </c>
      <c r="H819" s="12">
        <v>60000</v>
      </c>
      <c r="I819">
        <v>3</v>
      </c>
      <c r="J819" t="s">
        <v>17</v>
      </c>
      <c r="K819" s="12">
        <f t="shared" si="12"/>
        <v>48000</v>
      </c>
      <c r="L819" s="12">
        <f>Sales_Data[[#This Row],[Unit Price]]*Sales_Data[[#This Row],[Quantity]]</f>
        <v>180000</v>
      </c>
      <c r="M819" s="12">
        <f>Sales_Data[[#This Row],[Cost Price]]*Sales_Data[[#This Row],[Quantity]]</f>
        <v>144000</v>
      </c>
      <c r="N819" s="12">
        <f>Sales_Data[[#This Row],[Revenue]]-Sales_Data[[#This Row],[COGS]]</f>
        <v>36000</v>
      </c>
    </row>
    <row r="820" spans="1:14">
      <c r="A820" s="1">
        <v>46494</v>
      </c>
      <c r="B820" t="s">
        <v>11</v>
      </c>
      <c r="C820" t="s">
        <v>19</v>
      </c>
      <c r="D820" t="s">
        <v>23</v>
      </c>
      <c r="E820" t="s">
        <v>14</v>
      </c>
      <c r="F820" t="s">
        <v>34</v>
      </c>
      <c r="G820" t="s">
        <v>16</v>
      </c>
      <c r="H820" s="12">
        <v>320000</v>
      </c>
      <c r="I820">
        <v>1</v>
      </c>
      <c r="J820" t="s">
        <v>24</v>
      </c>
      <c r="K820" s="12">
        <f t="shared" si="12"/>
        <v>256000</v>
      </c>
      <c r="L820" s="12">
        <f>Sales_Data[[#This Row],[Unit Price]]*Sales_Data[[#This Row],[Quantity]]</f>
        <v>320000</v>
      </c>
      <c r="M820" s="12">
        <f>Sales_Data[[#This Row],[Cost Price]]*Sales_Data[[#This Row],[Quantity]]</f>
        <v>256000</v>
      </c>
      <c r="N820" s="12">
        <f>Sales_Data[[#This Row],[Revenue]]-Sales_Data[[#This Row],[COGS]]</f>
        <v>64000</v>
      </c>
    </row>
    <row r="821" spans="1:14">
      <c r="A821" s="1">
        <v>46495</v>
      </c>
      <c r="B821" t="s">
        <v>29</v>
      </c>
      <c r="C821" t="s">
        <v>32</v>
      </c>
      <c r="D821" t="s">
        <v>23</v>
      </c>
      <c r="E821" t="s">
        <v>20</v>
      </c>
      <c r="F821" t="s">
        <v>27</v>
      </c>
      <c r="G821" t="s">
        <v>22</v>
      </c>
      <c r="H821" s="12">
        <v>60000</v>
      </c>
      <c r="I821">
        <v>8</v>
      </c>
      <c r="J821" t="s">
        <v>24</v>
      </c>
      <c r="K821" s="12">
        <f t="shared" si="12"/>
        <v>48000</v>
      </c>
      <c r="L821" s="12">
        <f>Sales_Data[[#This Row],[Unit Price]]*Sales_Data[[#This Row],[Quantity]]</f>
        <v>480000</v>
      </c>
      <c r="M821" s="12">
        <f>Sales_Data[[#This Row],[Cost Price]]*Sales_Data[[#This Row],[Quantity]]</f>
        <v>384000</v>
      </c>
      <c r="N821" s="12">
        <f>Sales_Data[[#This Row],[Revenue]]-Sales_Data[[#This Row],[COGS]]</f>
        <v>96000</v>
      </c>
    </row>
    <row r="822" spans="1:14">
      <c r="A822" s="1">
        <v>46496</v>
      </c>
      <c r="B822" t="s">
        <v>18</v>
      </c>
      <c r="C822" t="s">
        <v>26</v>
      </c>
      <c r="D822" t="s">
        <v>23</v>
      </c>
      <c r="E822" t="s">
        <v>20</v>
      </c>
      <c r="F822" t="s">
        <v>40</v>
      </c>
      <c r="G822" t="s">
        <v>31</v>
      </c>
      <c r="H822" s="12">
        <v>250000</v>
      </c>
      <c r="I822">
        <v>5</v>
      </c>
      <c r="J822" t="s">
        <v>35</v>
      </c>
      <c r="K822" s="12">
        <f t="shared" si="12"/>
        <v>200000</v>
      </c>
      <c r="L822" s="12">
        <f>Sales_Data[[#This Row],[Unit Price]]*Sales_Data[[#This Row],[Quantity]]</f>
        <v>1250000</v>
      </c>
      <c r="M822" s="12">
        <f>Sales_Data[[#This Row],[Cost Price]]*Sales_Data[[#This Row],[Quantity]]</f>
        <v>1000000</v>
      </c>
      <c r="N822" s="12">
        <f>Sales_Data[[#This Row],[Revenue]]-Sales_Data[[#This Row],[COGS]]</f>
        <v>250000</v>
      </c>
    </row>
    <row r="823" spans="1:14">
      <c r="A823" s="1">
        <v>46497</v>
      </c>
      <c r="B823" t="s">
        <v>11</v>
      </c>
      <c r="C823" t="s">
        <v>12</v>
      </c>
      <c r="D823" t="s">
        <v>23</v>
      </c>
      <c r="E823" t="s">
        <v>20</v>
      </c>
      <c r="F823" t="s">
        <v>34</v>
      </c>
      <c r="G823" t="s">
        <v>16</v>
      </c>
      <c r="H823" s="12">
        <v>320000</v>
      </c>
      <c r="I823">
        <v>2</v>
      </c>
      <c r="J823" t="s">
        <v>39</v>
      </c>
      <c r="K823" s="12">
        <f t="shared" si="12"/>
        <v>256000</v>
      </c>
      <c r="L823" s="12">
        <f>Sales_Data[[#This Row],[Unit Price]]*Sales_Data[[#This Row],[Quantity]]</f>
        <v>640000</v>
      </c>
      <c r="M823" s="12">
        <f>Sales_Data[[#This Row],[Cost Price]]*Sales_Data[[#This Row],[Quantity]]</f>
        <v>512000</v>
      </c>
      <c r="N823" s="12">
        <f>Sales_Data[[#This Row],[Revenue]]-Sales_Data[[#This Row],[COGS]]</f>
        <v>128000</v>
      </c>
    </row>
    <row r="824" spans="1:14">
      <c r="A824" s="1">
        <v>46498</v>
      </c>
      <c r="B824" t="s">
        <v>25</v>
      </c>
      <c r="C824" t="s">
        <v>26</v>
      </c>
      <c r="D824" t="s">
        <v>23</v>
      </c>
      <c r="E824" t="s">
        <v>14</v>
      </c>
      <c r="F824" t="s">
        <v>41</v>
      </c>
      <c r="G824" t="s">
        <v>22</v>
      </c>
      <c r="H824" s="12">
        <v>220000</v>
      </c>
      <c r="I824">
        <v>5</v>
      </c>
      <c r="J824" t="s">
        <v>24</v>
      </c>
      <c r="K824" s="12">
        <f t="shared" si="12"/>
        <v>176000</v>
      </c>
      <c r="L824" s="12">
        <f>Sales_Data[[#This Row],[Unit Price]]*Sales_Data[[#This Row],[Quantity]]</f>
        <v>1100000</v>
      </c>
      <c r="M824" s="12">
        <f>Sales_Data[[#This Row],[Cost Price]]*Sales_Data[[#This Row],[Quantity]]</f>
        <v>880000</v>
      </c>
      <c r="N824" s="12">
        <f>Sales_Data[[#This Row],[Revenue]]-Sales_Data[[#This Row],[COGS]]</f>
        <v>220000</v>
      </c>
    </row>
    <row r="825" spans="1:14">
      <c r="A825" s="1">
        <v>46499</v>
      </c>
      <c r="B825" t="s">
        <v>11</v>
      </c>
      <c r="C825" t="s">
        <v>19</v>
      </c>
      <c r="D825" t="s">
        <v>23</v>
      </c>
      <c r="E825" t="s">
        <v>20</v>
      </c>
      <c r="F825" t="s">
        <v>40</v>
      </c>
      <c r="G825" t="s">
        <v>31</v>
      </c>
      <c r="H825" s="12">
        <v>250000</v>
      </c>
      <c r="I825">
        <v>3</v>
      </c>
      <c r="J825" t="s">
        <v>17</v>
      </c>
      <c r="K825" s="12">
        <f t="shared" si="12"/>
        <v>200000</v>
      </c>
      <c r="L825" s="12">
        <f>Sales_Data[[#This Row],[Unit Price]]*Sales_Data[[#This Row],[Quantity]]</f>
        <v>750000</v>
      </c>
      <c r="M825" s="12">
        <f>Sales_Data[[#This Row],[Cost Price]]*Sales_Data[[#This Row],[Quantity]]</f>
        <v>600000</v>
      </c>
      <c r="N825" s="12">
        <f>Sales_Data[[#This Row],[Revenue]]-Sales_Data[[#This Row],[COGS]]</f>
        <v>150000</v>
      </c>
    </row>
    <row r="826" spans="1:14">
      <c r="A826" s="1">
        <v>46500</v>
      </c>
      <c r="B826" t="s">
        <v>11</v>
      </c>
      <c r="C826" t="s">
        <v>26</v>
      </c>
      <c r="D826" t="s">
        <v>13</v>
      </c>
      <c r="E826" t="s">
        <v>20</v>
      </c>
      <c r="F826" t="s">
        <v>15</v>
      </c>
      <c r="G826" t="s">
        <v>16</v>
      </c>
      <c r="H826" s="12">
        <v>85000</v>
      </c>
      <c r="I826">
        <v>10</v>
      </c>
      <c r="J826" t="s">
        <v>28</v>
      </c>
      <c r="K826" s="12">
        <f t="shared" si="12"/>
        <v>68000</v>
      </c>
      <c r="L826" s="12">
        <f>Sales_Data[[#This Row],[Unit Price]]*Sales_Data[[#This Row],[Quantity]]</f>
        <v>850000</v>
      </c>
      <c r="M826" s="12">
        <f>Sales_Data[[#This Row],[Cost Price]]*Sales_Data[[#This Row],[Quantity]]</f>
        <v>680000</v>
      </c>
      <c r="N826" s="12">
        <f>Sales_Data[[#This Row],[Revenue]]-Sales_Data[[#This Row],[COGS]]</f>
        <v>170000</v>
      </c>
    </row>
    <row r="827" spans="1:14">
      <c r="A827" s="1">
        <v>46501</v>
      </c>
      <c r="B827" t="s">
        <v>25</v>
      </c>
      <c r="C827" t="s">
        <v>12</v>
      </c>
      <c r="D827" t="s">
        <v>13</v>
      </c>
      <c r="E827" t="s">
        <v>20</v>
      </c>
      <c r="F827" t="s">
        <v>38</v>
      </c>
      <c r="G827" t="s">
        <v>31</v>
      </c>
      <c r="H827" s="12">
        <v>420000</v>
      </c>
      <c r="I827">
        <v>6</v>
      </c>
      <c r="J827" t="s">
        <v>35</v>
      </c>
      <c r="K827" s="12">
        <f t="shared" si="12"/>
        <v>336000</v>
      </c>
      <c r="L827" s="12">
        <f>Sales_Data[[#This Row],[Unit Price]]*Sales_Data[[#This Row],[Quantity]]</f>
        <v>2520000</v>
      </c>
      <c r="M827" s="12">
        <f>Sales_Data[[#This Row],[Cost Price]]*Sales_Data[[#This Row],[Quantity]]</f>
        <v>2016000</v>
      </c>
      <c r="N827" s="12">
        <f>Sales_Data[[#This Row],[Revenue]]-Sales_Data[[#This Row],[COGS]]</f>
        <v>504000</v>
      </c>
    </row>
    <row r="828" spans="1:14">
      <c r="A828" s="1">
        <v>46502</v>
      </c>
      <c r="B828" t="s">
        <v>29</v>
      </c>
      <c r="C828" t="s">
        <v>19</v>
      </c>
      <c r="D828" t="s">
        <v>13</v>
      </c>
      <c r="E828" t="s">
        <v>20</v>
      </c>
      <c r="F828" t="s">
        <v>36</v>
      </c>
      <c r="G828" t="s">
        <v>31</v>
      </c>
      <c r="H828" s="12">
        <v>150000</v>
      </c>
      <c r="I828">
        <v>5</v>
      </c>
      <c r="J828" t="s">
        <v>24</v>
      </c>
      <c r="K828" s="12">
        <f t="shared" si="12"/>
        <v>120000</v>
      </c>
      <c r="L828" s="12">
        <f>Sales_Data[[#This Row],[Unit Price]]*Sales_Data[[#This Row],[Quantity]]</f>
        <v>750000</v>
      </c>
      <c r="M828" s="12">
        <f>Sales_Data[[#This Row],[Cost Price]]*Sales_Data[[#This Row],[Quantity]]</f>
        <v>600000</v>
      </c>
      <c r="N828" s="12">
        <f>Sales_Data[[#This Row],[Revenue]]-Sales_Data[[#This Row],[COGS]]</f>
        <v>150000</v>
      </c>
    </row>
    <row r="829" spans="1:14">
      <c r="A829" s="1">
        <v>46503</v>
      </c>
      <c r="B829" t="s">
        <v>29</v>
      </c>
      <c r="C829" t="s">
        <v>12</v>
      </c>
      <c r="D829" t="s">
        <v>13</v>
      </c>
      <c r="E829" t="s">
        <v>20</v>
      </c>
      <c r="F829" t="s">
        <v>34</v>
      </c>
      <c r="G829" t="s">
        <v>16</v>
      </c>
      <c r="H829" s="12">
        <v>320000</v>
      </c>
      <c r="I829">
        <v>3</v>
      </c>
      <c r="J829" t="s">
        <v>37</v>
      </c>
      <c r="K829" s="12">
        <f t="shared" si="12"/>
        <v>256000</v>
      </c>
      <c r="L829" s="12">
        <f>Sales_Data[[#This Row],[Unit Price]]*Sales_Data[[#This Row],[Quantity]]</f>
        <v>960000</v>
      </c>
      <c r="M829" s="12">
        <f>Sales_Data[[#This Row],[Cost Price]]*Sales_Data[[#This Row],[Quantity]]</f>
        <v>768000</v>
      </c>
      <c r="N829" s="12">
        <f>Sales_Data[[#This Row],[Revenue]]-Sales_Data[[#This Row],[COGS]]</f>
        <v>192000</v>
      </c>
    </row>
    <row r="830" spans="1:14">
      <c r="A830" s="1">
        <v>46504</v>
      </c>
      <c r="B830" t="s">
        <v>29</v>
      </c>
      <c r="C830" t="s">
        <v>32</v>
      </c>
      <c r="D830" t="s">
        <v>23</v>
      </c>
      <c r="E830" t="s">
        <v>14</v>
      </c>
      <c r="F830" t="s">
        <v>21</v>
      </c>
      <c r="G830" t="s">
        <v>22</v>
      </c>
      <c r="H830" s="12">
        <v>30000</v>
      </c>
      <c r="I830">
        <v>1</v>
      </c>
      <c r="J830" t="s">
        <v>35</v>
      </c>
      <c r="K830" s="12">
        <f t="shared" si="12"/>
        <v>24000</v>
      </c>
      <c r="L830" s="12">
        <f>Sales_Data[[#This Row],[Unit Price]]*Sales_Data[[#This Row],[Quantity]]</f>
        <v>30000</v>
      </c>
      <c r="M830" s="12">
        <f>Sales_Data[[#This Row],[Cost Price]]*Sales_Data[[#This Row],[Quantity]]</f>
        <v>24000</v>
      </c>
      <c r="N830" s="12">
        <f>Sales_Data[[#This Row],[Revenue]]-Sales_Data[[#This Row],[COGS]]</f>
        <v>6000</v>
      </c>
    </row>
    <row r="831" spans="1:14">
      <c r="A831" s="1">
        <v>46505</v>
      </c>
      <c r="B831" t="s">
        <v>11</v>
      </c>
      <c r="C831" t="s">
        <v>26</v>
      </c>
      <c r="D831" t="s">
        <v>13</v>
      </c>
      <c r="E831" t="s">
        <v>14</v>
      </c>
      <c r="F831" t="s">
        <v>33</v>
      </c>
      <c r="G831" t="s">
        <v>22</v>
      </c>
      <c r="H831" s="12">
        <v>180000</v>
      </c>
      <c r="I831">
        <v>10</v>
      </c>
      <c r="J831" t="s">
        <v>35</v>
      </c>
      <c r="K831" s="12">
        <f t="shared" si="12"/>
        <v>144000</v>
      </c>
      <c r="L831" s="12">
        <f>Sales_Data[[#This Row],[Unit Price]]*Sales_Data[[#This Row],[Quantity]]</f>
        <v>1800000</v>
      </c>
      <c r="M831" s="12">
        <f>Sales_Data[[#This Row],[Cost Price]]*Sales_Data[[#This Row],[Quantity]]</f>
        <v>1440000</v>
      </c>
      <c r="N831" s="12">
        <f>Sales_Data[[#This Row],[Revenue]]-Sales_Data[[#This Row],[COGS]]</f>
        <v>360000</v>
      </c>
    </row>
    <row r="832" spans="1:14">
      <c r="A832" s="1">
        <v>46506</v>
      </c>
      <c r="B832" t="s">
        <v>25</v>
      </c>
      <c r="C832" t="s">
        <v>12</v>
      </c>
      <c r="D832" t="s">
        <v>23</v>
      </c>
      <c r="E832" t="s">
        <v>20</v>
      </c>
      <c r="F832" t="s">
        <v>33</v>
      </c>
      <c r="G832" t="s">
        <v>22</v>
      </c>
      <c r="H832" s="12">
        <v>180000</v>
      </c>
      <c r="I832">
        <v>3</v>
      </c>
      <c r="J832" t="s">
        <v>17</v>
      </c>
      <c r="K832" s="12">
        <f t="shared" si="12"/>
        <v>144000</v>
      </c>
      <c r="L832" s="12">
        <f>Sales_Data[[#This Row],[Unit Price]]*Sales_Data[[#This Row],[Quantity]]</f>
        <v>540000</v>
      </c>
      <c r="M832" s="12">
        <f>Sales_Data[[#This Row],[Cost Price]]*Sales_Data[[#This Row],[Quantity]]</f>
        <v>432000</v>
      </c>
      <c r="N832" s="12">
        <f>Sales_Data[[#This Row],[Revenue]]-Sales_Data[[#This Row],[COGS]]</f>
        <v>108000</v>
      </c>
    </row>
    <row r="833" spans="1:14">
      <c r="A833" s="1">
        <v>46507</v>
      </c>
      <c r="B833" t="s">
        <v>18</v>
      </c>
      <c r="C833" t="s">
        <v>12</v>
      </c>
      <c r="D833" t="s">
        <v>23</v>
      </c>
      <c r="E833" t="s">
        <v>14</v>
      </c>
      <c r="F833" t="s">
        <v>38</v>
      </c>
      <c r="G833" t="s">
        <v>31</v>
      </c>
      <c r="H833" s="12">
        <v>420000</v>
      </c>
      <c r="I833">
        <v>3</v>
      </c>
      <c r="J833" t="s">
        <v>24</v>
      </c>
      <c r="K833" s="12">
        <f t="shared" si="12"/>
        <v>336000</v>
      </c>
      <c r="L833" s="12">
        <f>Sales_Data[[#This Row],[Unit Price]]*Sales_Data[[#This Row],[Quantity]]</f>
        <v>1260000</v>
      </c>
      <c r="M833" s="12">
        <f>Sales_Data[[#This Row],[Cost Price]]*Sales_Data[[#This Row],[Quantity]]</f>
        <v>1008000</v>
      </c>
      <c r="N833" s="12">
        <f>Sales_Data[[#This Row],[Revenue]]-Sales_Data[[#This Row],[COGS]]</f>
        <v>252000</v>
      </c>
    </row>
    <row r="834" spans="1:14">
      <c r="A834" s="1">
        <v>46508</v>
      </c>
      <c r="B834" t="s">
        <v>18</v>
      </c>
      <c r="C834" t="s">
        <v>19</v>
      </c>
      <c r="D834" t="s">
        <v>13</v>
      </c>
      <c r="E834" t="s">
        <v>14</v>
      </c>
      <c r="F834" t="s">
        <v>41</v>
      </c>
      <c r="G834" t="s">
        <v>22</v>
      </c>
      <c r="H834" s="12">
        <v>220000</v>
      </c>
      <c r="I834">
        <v>6</v>
      </c>
      <c r="J834" t="s">
        <v>37</v>
      </c>
      <c r="K834" s="12">
        <f t="shared" ref="K834:K897" si="13">H834-H834*0.2</f>
        <v>176000</v>
      </c>
      <c r="L834" s="12">
        <f>Sales_Data[[#This Row],[Unit Price]]*Sales_Data[[#This Row],[Quantity]]</f>
        <v>1320000</v>
      </c>
      <c r="M834" s="12">
        <f>Sales_Data[[#This Row],[Cost Price]]*Sales_Data[[#This Row],[Quantity]]</f>
        <v>1056000</v>
      </c>
      <c r="N834" s="12">
        <f>Sales_Data[[#This Row],[Revenue]]-Sales_Data[[#This Row],[COGS]]</f>
        <v>264000</v>
      </c>
    </row>
    <row r="835" spans="1:14">
      <c r="A835" s="1">
        <v>46509</v>
      </c>
      <c r="B835" t="s">
        <v>25</v>
      </c>
      <c r="C835" t="s">
        <v>26</v>
      </c>
      <c r="D835" t="s">
        <v>13</v>
      </c>
      <c r="E835" t="s">
        <v>14</v>
      </c>
      <c r="F835" t="s">
        <v>27</v>
      </c>
      <c r="G835" t="s">
        <v>22</v>
      </c>
      <c r="H835" s="12">
        <v>60000</v>
      </c>
      <c r="I835">
        <v>10</v>
      </c>
      <c r="J835" t="s">
        <v>35</v>
      </c>
      <c r="K835" s="12">
        <f t="shared" si="13"/>
        <v>48000</v>
      </c>
      <c r="L835" s="12">
        <f>Sales_Data[[#This Row],[Unit Price]]*Sales_Data[[#This Row],[Quantity]]</f>
        <v>600000</v>
      </c>
      <c r="M835" s="12">
        <f>Sales_Data[[#This Row],[Cost Price]]*Sales_Data[[#This Row],[Quantity]]</f>
        <v>480000</v>
      </c>
      <c r="N835" s="12">
        <f>Sales_Data[[#This Row],[Revenue]]-Sales_Data[[#This Row],[COGS]]</f>
        <v>120000</v>
      </c>
    </row>
    <row r="836" spans="1:14">
      <c r="A836" s="1">
        <v>46510</v>
      </c>
      <c r="B836" t="s">
        <v>25</v>
      </c>
      <c r="C836" t="s">
        <v>19</v>
      </c>
      <c r="D836" t="s">
        <v>13</v>
      </c>
      <c r="E836" t="s">
        <v>20</v>
      </c>
      <c r="F836" t="s">
        <v>33</v>
      </c>
      <c r="G836" t="s">
        <v>22</v>
      </c>
      <c r="H836" s="12">
        <v>180000</v>
      </c>
      <c r="I836">
        <v>10</v>
      </c>
      <c r="J836" t="s">
        <v>28</v>
      </c>
      <c r="K836" s="12">
        <f t="shared" si="13"/>
        <v>144000</v>
      </c>
      <c r="L836" s="12">
        <f>Sales_Data[[#This Row],[Unit Price]]*Sales_Data[[#This Row],[Quantity]]</f>
        <v>1800000</v>
      </c>
      <c r="M836" s="12">
        <f>Sales_Data[[#This Row],[Cost Price]]*Sales_Data[[#This Row],[Quantity]]</f>
        <v>1440000</v>
      </c>
      <c r="N836" s="12">
        <f>Sales_Data[[#This Row],[Revenue]]-Sales_Data[[#This Row],[COGS]]</f>
        <v>360000</v>
      </c>
    </row>
    <row r="837" spans="1:14">
      <c r="A837" s="1">
        <v>46511</v>
      </c>
      <c r="B837" t="s">
        <v>18</v>
      </c>
      <c r="C837" t="s">
        <v>12</v>
      </c>
      <c r="D837" t="s">
        <v>23</v>
      </c>
      <c r="E837" t="s">
        <v>20</v>
      </c>
      <c r="F837" t="s">
        <v>41</v>
      </c>
      <c r="G837" t="s">
        <v>22</v>
      </c>
      <c r="H837" s="12">
        <v>220000</v>
      </c>
      <c r="I837">
        <v>4</v>
      </c>
      <c r="J837" t="s">
        <v>24</v>
      </c>
      <c r="K837" s="12">
        <f t="shared" si="13"/>
        <v>176000</v>
      </c>
      <c r="L837" s="12">
        <f>Sales_Data[[#This Row],[Unit Price]]*Sales_Data[[#This Row],[Quantity]]</f>
        <v>880000</v>
      </c>
      <c r="M837" s="12">
        <f>Sales_Data[[#This Row],[Cost Price]]*Sales_Data[[#This Row],[Quantity]]</f>
        <v>704000</v>
      </c>
      <c r="N837" s="12">
        <f>Sales_Data[[#This Row],[Revenue]]-Sales_Data[[#This Row],[COGS]]</f>
        <v>176000</v>
      </c>
    </row>
    <row r="838" spans="1:14">
      <c r="A838" s="1">
        <v>46512</v>
      </c>
      <c r="B838" t="s">
        <v>25</v>
      </c>
      <c r="C838" t="s">
        <v>32</v>
      </c>
      <c r="D838" t="s">
        <v>23</v>
      </c>
      <c r="E838" t="s">
        <v>20</v>
      </c>
      <c r="F838" t="s">
        <v>40</v>
      </c>
      <c r="G838" t="s">
        <v>31</v>
      </c>
      <c r="H838" s="12">
        <v>250000</v>
      </c>
      <c r="I838">
        <v>4</v>
      </c>
      <c r="J838" t="s">
        <v>35</v>
      </c>
      <c r="K838" s="12">
        <f t="shared" si="13"/>
        <v>200000</v>
      </c>
      <c r="L838" s="12">
        <f>Sales_Data[[#This Row],[Unit Price]]*Sales_Data[[#This Row],[Quantity]]</f>
        <v>1000000</v>
      </c>
      <c r="M838" s="12">
        <f>Sales_Data[[#This Row],[Cost Price]]*Sales_Data[[#This Row],[Quantity]]</f>
        <v>800000</v>
      </c>
      <c r="N838" s="12">
        <f>Sales_Data[[#This Row],[Revenue]]-Sales_Data[[#This Row],[COGS]]</f>
        <v>200000</v>
      </c>
    </row>
    <row r="839" spans="1:14">
      <c r="A839" s="1">
        <v>46513</v>
      </c>
      <c r="B839" t="s">
        <v>25</v>
      </c>
      <c r="C839" t="s">
        <v>19</v>
      </c>
      <c r="D839" t="s">
        <v>23</v>
      </c>
      <c r="E839" t="s">
        <v>20</v>
      </c>
      <c r="F839" t="s">
        <v>21</v>
      </c>
      <c r="G839" t="s">
        <v>22</v>
      </c>
      <c r="H839" s="12">
        <v>30000</v>
      </c>
      <c r="I839">
        <v>2</v>
      </c>
      <c r="J839" t="s">
        <v>39</v>
      </c>
      <c r="K839" s="12">
        <f t="shared" si="13"/>
        <v>24000</v>
      </c>
      <c r="L839" s="12">
        <f>Sales_Data[[#This Row],[Unit Price]]*Sales_Data[[#This Row],[Quantity]]</f>
        <v>60000</v>
      </c>
      <c r="M839" s="12">
        <f>Sales_Data[[#This Row],[Cost Price]]*Sales_Data[[#This Row],[Quantity]]</f>
        <v>48000</v>
      </c>
      <c r="N839" s="12">
        <f>Sales_Data[[#This Row],[Revenue]]-Sales_Data[[#This Row],[COGS]]</f>
        <v>12000</v>
      </c>
    </row>
    <row r="840" spans="1:14">
      <c r="A840" s="1">
        <v>46514</v>
      </c>
      <c r="B840" t="s">
        <v>11</v>
      </c>
      <c r="C840" t="s">
        <v>26</v>
      </c>
      <c r="D840" t="s">
        <v>13</v>
      </c>
      <c r="E840" t="s">
        <v>20</v>
      </c>
      <c r="F840" t="s">
        <v>33</v>
      </c>
      <c r="G840" t="s">
        <v>22</v>
      </c>
      <c r="H840" s="12">
        <v>180000</v>
      </c>
      <c r="I840">
        <v>6</v>
      </c>
      <c r="J840" t="s">
        <v>28</v>
      </c>
      <c r="K840" s="12">
        <f t="shared" si="13"/>
        <v>144000</v>
      </c>
      <c r="L840" s="12">
        <f>Sales_Data[[#This Row],[Unit Price]]*Sales_Data[[#This Row],[Quantity]]</f>
        <v>1080000</v>
      </c>
      <c r="M840" s="12">
        <f>Sales_Data[[#This Row],[Cost Price]]*Sales_Data[[#This Row],[Quantity]]</f>
        <v>864000</v>
      </c>
      <c r="N840" s="12">
        <f>Sales_Data[[#This Row],[Revenue]]-Sales_Data[[#This Row],[COGS]]</f>
        <v>216000</v>
      </c>
    </row>
    <row r="841" spans="1:14">
      <c r="A841" s="1">
        <v>46515</v>
      </c>
      <c r="B841" t="s">
        <v>25</v>
      </c>
      <c r="C841" t="s">
        <v>32</v>
      </c>
      <c r="D841" t="s">
        <v>23</v>
      </c>
      <c r="E841" t="s">
        <v>20</v>
      </c>
      <c r="F841" t="s">
        <v>33</v>
      </c>
      <c r="G841" t="s">
        <v>22</v>
      </c>
      <c r="H841" s="12">
        <v>180000</v>
      </c>
      <c r="I841">
        <v>8</v>
      </c>
      <c r="J841" t="s">
        <v>39</v>
      </c>
      <c r="K841" s="12">
        <f t="shared" si="13"/>
        <v>144000</v>
      </c>
      <c r="L841" s="12">
        <f>Sales_Data[[#This Row],[Unit Price]]*Sales_Data[[#This Row],[Quantity]]</f>
        <v>1440000</v>
      </c>
      <c r="M841" s="12">
        <f>Sales_Data[[#This Row],[Cost Price]]*Sales_Data[[#This Row],[Quantity]]</f>
        <v>1152000</v>
      </c>
      <c r="N841" s="12">
        <f>Sales_Data[[#This Row],[Revenue]]-Sales_Data[[#This Row],[COGS]]</f>
        <v>288000</v>
      </c>
    </row>
    <row r="842" spans="1:14">
      <c r="A842" s="1">
        <v>46516</v>
      </c>
      <c r="B842" t="s">
        <v>11</v>
      </c>
      <c r="C842" t="s">
        <v>19</v>
      </c>
      <c r="D842" t="s">
        <v>23</v>
      </c>
      <c r="E842" t="s">
        <v>20</v>
      </c>
      <c r="F842" t="s">
        <v>38</v>
      </c>
      <c r="G842" t="s">
        <v>31</v>
      </c>
      <c r="H842" s="12">
        <v>420000</v>
      </c>
      <c r="I842">
        <v>3</v>
      </c>
      <c r="J842" t="s">
        <v>17</v>
      </c>
      <c r="K842" s="12">
        <f t="shared" si="13"/>
        <v>336000</v>
      </c>
      <c r="L842" s="12">
        <f>Sales_Data[[#This Row],[Unit Price]]*Sales_Data[[#This Row],[Quantity]]</f>
        <v>1260000</v>
      </c>
      <c r="M842" s="12">
        <f>Sales_Data[[#This Row],[Cost Price]]*Sales_Data[[#This Row],[Quantity]]</f>
        <v>1008000</v>
      </c>
      <c r="N842" s="12">
        <f>Sales_Data[[#This Row],[Revenue]]-Sales_Data[[#This Row],[COGS]]</f>
        <v>252000</v>
      </c>
    </row>
    <row r="843" spans="1:14">
      <c r="A843" s="1">
        <v>46517</v>
      </c>
      <c r="B843" t="s">
        <v>29</v>
      </c>
      <c r="C843" t="s">
        <v>26</v>
      </c>
      <c r="D843" t="s">
        <v>23</v>
      </c>
      <c r="E843" t="s">
        <v>14</v>
      </c>
      <c r="F843" t="s">
        <v>21</v>
      </c>
      <c r="G843" t="s">
        <v>22</v>
      </c>
      <c r="H843" s="12">
        <v>30000</v>
      </c>
      <c r="I843">
        <v>10</v>
      </c>
      <c r="J843" t="s">
        <v>28</v>
      </c>
      <c r="K843" s="12">
        <f t="shared" si="13"/>
        <v>24000</v>
      </c>
      <c r="L843" s="12">
        <f>Sales_Data[[#This Row],[Unit Price]]*Sales_Data[[#This Row],[Quantity]]</f>
        <v>300000</v>
      </c>
      <c r="M843" s="12">
        <f>Sales_Data[[#This Row],[Cost Price]]*Sales_Data[[#This Row],[Quantity]]</f>
        <v>240000</v>
      </c>
      <c r="N843" s="12">
        <f>Sales_Data[[#This Row],[Revenue]]-Sales_Data[[#This Row],[COGS]]</f>
        <v>60000</v>
      </c>
    </row>
    <row r="844" spans="1:14">
      <c r="A844" s="1">
        <v>46518</v>
      </c>
      <c r="B844" t="s">
        <v>18</v>
      </c>
      <c r="C844" t="s">
        <v>26</v>
      </c>
      <c r="D844" t="s">
        <v>23</v>
      </c>
      <c r="E844" t="s">
        <v>14</v>
      </c>
      <c r="F844" t="s">
        <v>15</v>
      </c>
      <c r="G844" t="s">
        <v>16</v>
      </c>
      <c r="H844" s="12">
        <v>85000</v>
      </c>
      <c r="I844">
        <v>7</v>
      </c>
      <c r="J844" t="s">
        <v>39</v>
      </c>
      <c r="K844" s="12">
        <f t="shared" si="13"/>
        <v>68000</v>
      </c>
      <c r="L844" s="12">
        <f>Sales_Data[[#This Row],[Unit Price]]*Sales_Data[[#This Row],[Quantity]]</f>
        <v>595000</v>
      </c>
      <c r="M844" s="12">
        <f>Sales_Data[[#This Row],[Cost Price]]*Sales_Data[[#This Row],[Quantity]]</f>
        <v>476000</v>
      </c>
      <c r="N844" s="12">
        <f>Sales_Data[[#This Row],[Revenue]]-Sales_Data[[#This Row],[COGS]]</f>
        <v>119000</v>
      </c>
    </row>
    <row r="845" spans="1:14">
      <c r="A845" s="1">
        <v>46519</v>
      </c>
      <c r="B845" t="s">
        <v>11</v>
      </c>
      <c r="C845" t="s">
        <v>12</v>
      </c>
      <c r="D845" t="s">
        <v>13</v>
      </c>
      <c r="E845" t="s">
        <v>20</v>
      </c>
      <c r="F845" t="s">
        <v>21</v>
      </c>
      <c r="G845" t="s">
        <v>22</v>
      </c>
      <c r="H845" s="12">
        <v>30000</v>
      </c>
      <c r="I845">
        <v>5</v>
      </c>
      <c r="J845" t="s">
        <v>17</v>
      </c>
      <c r="K845" s="12">
        <f t="shared" si="13"/>
        <v>24000</v>
      </c>
      <c r="L845" s="12">
        <f>Sales_Data[[#This Row],[Unit Price]]*Sales_Data[[#This Row],[Quantity]]</f>
        <v>150000</v>
      </c>
      <c r="M845" s="12">
        <f>Sales_Data[[#This Row],[Cost Price]]*Sales_Data[[#This Row],[Quantity]]</f>
        <v>120000</v>
      </c>
      <c r="N845" s="12">
        <f>Sales_Data[[#This Row],[Revenue]]-Sales_Data[[#This Row],[COGS]]</f>
        <v>30000</v>
      </c>
    </row>
    <row r="846" spans="1:14">
      <c r="A846" s="1">
        <v>46520</v>
      </c>
      <c r="B846" t="s">
        <v>29</v>
      </c>
      <c r="C846" t="s">
        <v>12</v>
      </c>
      <c r="D846" t="s">
        <v>13</v>
      </c>
      <c r="E846" t="s">
        <v>20</v>
      </c>
      <c r="F846" t="s">
        <v>30</v>
      </c>
      <c r="G846" t="s">
        <v>31</v>
      </c>
      <c r="H846" s="12">
        <v>300000</v>
      </c>
      <c r="I846">
        <v>5</v>
      </c>
      <c r="J846" t="s">
        <v>39</v>
      </c>
      <c r="K846" s="12">
        <f t="shared" si="13"/>
        <v>240000</v>
      </c>
      <c r="L846" s="12">
        <f>Sales_Data[[#This Row],[Unit Price]]*Sales_Data[[#This Row],[Quantity]]</f>
        <v>1500000</v>
      </c>
      <c r="M846" s="12">
        <f>Sales_Data[[#This Row],[Cost Price]]*Sales_Data[[#This Row],[Quantity]]</f>
        <v>1200000</v>
      </c>
      <c r="N846" s="12">
        <f>Sales_Data[[#This Row],[Revenue]]-Sales_Data[[#This Row],[COGS]]</f>
        <v>300000</v>
      </c>
    </row>
    <row r="847" spans="1:14">
      <c r="A847" s="1">
        <v>46521</v>
      </c>
      <c r="B847" t="s">
        <v>11</v>
      </c>
      <c r="C847" t="s">
        <v>26</v>
      </c>
      <c r="D847" t="s">
        <v>23</v>
      </c>
      <c r="E847" t="s">
        <v>20</v>
      </c>
      <c r="F847" t="s">
        <v>15</v>
      </c>
      <c r="G847" t="s">
        <v>16</v>
      </c>
      <c r="H847" s="12">
        <v>85000</v>
      </c>
      <c r="I847">
        <v>8</v>
      </c>
      <c r="J847" t="s">
        <v>28</v>
      </c>
      <c r="K847" s="12">
        <f t="shared" si="13"/>
        <v>68000</v>
      </c>
      <c r="L847" s="12">
        <f>Sales_Data[[#This Row],[Unit Price]]*Sales_Data[[#This Row],[Quantity]]</f>
        <v>680000</v>
      </c>
      <c r="M847" s="12">
        <f>Sales_Data[[#This Row],[Cost Price]]*Sales_Data[[#This Row],[Quantity]]</f>
        <v>544000</v>
      </c>
      <c r="N847" s="12">
        <f>Sales_Data[[#This Row],[Revenue]]-Sales_Data[[#This Row],[COGS]]</f>
        <v>136000</v>
      </c>
    </row>
    <row r="848" spans="1:14">
      <c r="A848" s="1">
        <v>46522</v>
      </c>
      <c r="B848" t="s">
        <v>25</v>
      </c>
      <c r="C848" t="s">
        <v>32</v>
      </c>
      <c r="D848" t="s">
        <v>23</v>
      </c>
      <c r="E848" t="s">
        <v>20</v>
      </c>
      <c r="F848" t="s">
        <v>41</v>
      </c>
      <c r="G848" t="s">
        <v>22</v>
      </c>
      <c r="H848" s="12">
        <v>220000</v>
      </c>
      <c r="I848">
        <v>7</v>
      </c>
      <c r="J848" t="s">
        <v>24</v>
      </c>
      <c r="K848" s="12">
        <f t="shared" si="13"/>
        <v>176000</v>
      </c>
      <c r="L848" s="12">
        <f>Sales_Data[[#This Row],[Unit Price]]*Sales_Data[[#This Row],[Quantity]]</f>
        <v>1540000</v>
      </c>
      <c r="M848" s="12">
        <f>Sales_Data[[#This Row],[Cost Price]]*Sales_Data[[#This Row],[Quantity]]</f>
        <v>1232000</v>
      </c>
      <c r="N848" s="12">
        <f>Sales_Data[[#This Row],[Revenue]]-Sales_Data[[#This Row],[COGS]]</f>
        <v>308000</v>
      </c>
    </row>
    <row r="849" spans="1:14">
      <c r="A849" s="1">
        <v>46523</v>
      </c>
      <c r="B849" t="s">
        <v>29</v>
      </c>
      <c r="C849" t="s">
        <v>19</v>
      </c>
      <c r="D849" t="s">
        <v>13</v>
      </c>
      <c r="E849" t="s">
        <v>14</v>
      </c>
      <c r="F849" t="s">
        <v>15</v>
      </c>
      <c r="G849" t="s">
        <v>16</v>
      </c>
      <c r="H849" s="12">
        <v>85000</v>
      </c>
      <c r="I849">
        <v>8</v>
      </c>
      <c r="J849" t="s">
        <v>24</v>
      </c>
      <c r="K849" s="12">
        <f t="shared" si="13"/>
        <v>68000</v>
      </c>
      <c r="L849" s="12">
        <f>Sales_Data[[#This Row],[Unit Price]]*Sales_Data[[#This Row],[Quantity]]</f>
        <v>680000</v>
      </c>
      <c r="M849" s="12">
        <f>Sales_Data[[#This Row],[Cost Price]]*Sales_Data[[#This Row],[Quantity]]</f>
        <v>544000</v>
      </c>
      <c r="N849" s="12">
        <f>Sales_Data[[#This Row],[Revenue]]-Sales_Data[[#This Row],[COGS]]</f>
        <v>136000</v>
      </c>
    </row>
    <row r="850" spans="1:14">
      <c r="A850" s="1">
        <v>46524</v>
      </c>
      <c r="B850" t="s">
        <v>18</v>
      </c>
      <c r="C850" t="s">
        <v>32</v>
      </c>
      <c r="D850" t="s">
        <v>23</v>
      </c>
      <c r="E850" t="s">
        <v>14</v>
      </c>
      <c r="F850" t="s">
        <v>36</v>
      </c>
      <c r="G850" t="s">
        <v>31</v>
      </c>
      <c r="H850" s="12">
        <v>150000</v>
      </c>
      <c r="I850">
        <v>5</v>
      </c>
      <c r="J850" t="s">
        <v>35</v>
      </c>
      <c r="K850" s="12">
        <f t="shared" si="13"/>
        <v>120000</v>
      </c>
      <c r="L850" s="12">
        <f>Sales_Data[[#This Row],[Unit Price]]*Sales_Data[[#This Row],[Quantity]]</f>
        <v>750000</v>
      </c>
      <c r="M850" s="12">
        <f>Sales_Data[[#This Row],[Cost Price]]*Sales_Data[[#This Row],[Quantity]]</f>
        <v>600000</v>
      </c>
      <c r="N850" s="12">
        <f>Sales_Data[[#This Row],[Revenue]]-Sales_Data[[#This Row],[COGS]]</f>
        <v>150000</v>
      </c>
    </row>
    <row r="851" spans="1:14">
      <c r="A851" s="1">
        <v>46525</v>
      </c>
      <c r="B851" t="s">
        <v>18</v>
      </c>
      <c r="C851" t="s">
        <v>12</v>
      </c>
      <c r="D851" t="s">
        <v>13</v>
      </c>
      <c r="E851" t="s">
        <v>20</v>
      </c>
      <c r="F851" t="s">
        <v>27</v>
      </c>
      <c r="G851" t="s">
        <v>22</v>
      </c>
      <c r="H851" s="12">
        <v>60000</v>
      </c>
      <c r="I851">
        <v>10</v>
      </c>
      <c r="J851" t="s">
        <v>24</v>
      </c>
      <c r="K851" s="12">
        <f t="shared" si="13"/>
        <v>48000</v>
      </c>
      <c r="L851" s="12">
        <f>Sales_Data[[#This Row],[Unit Price]]*Sales_Data[[#This Row],[Quantity]]</f>
        <v>600000</v>
      </c>
      <c r="M851" s="12">
        <f>Sales_Data[[#This Row],[Cost Price]]*Sales_Data[[#This Row],[Quantity]]</f>
        <v>480000</v>
      </c>
      <c r="N851" s="12">
        <f>Sales_Data[[#This Row],[Revenue]]-Sales_Data[[#This Row],[COGS]]</f>
        <v>120000</v>
      </c>
    </row>
    <row r="852" spans="1:14">
      <c r="A852" s="1">
        <v>46526</v>
      </c>
      <c r="B852" t="s">
        <v>11</v>
      </c>
      <c r="C852" t="s">
        <v>26</v>
      </c>
      <c r="D852" t="s">
        <v>23</v>
      </c>
      <c r="E852" t="s">
        <v>14</v>
      </c>
      <c r="F852" t="s">
        <v>41</v>
      </c>
      <c r="G852" t="s">
        <v>22</v>
      </c>
      <c r="H852" s="12">
        <v>220000</v>
      </c>
      <c r="I852">
        <v>1</v>
      </c>
      <c r="J852" t="s">
        <v>17</v>
      </c>
      <c r="K852" s="12">
        <f t="shared" si="13"/>
        <v>176000</v>
      </c>
      <c r="L852" s="12">
        <f>Sales_Data[[#This Row],[Unit Price]]*Sales_Data[[#This Row],[Quantity]]</f>
        <v>220000</v>
      </c>
      <c r="M852" s="12">
        <f>Sales_Data[[#This Row],[Cost Price]]*Sales_Data[[#This Row],[Quantity]]</f>
        <v>176000</v>
      </c>
      <c r="N852" s="12">
        <f>Sales_Data[[#This Row],[Revenue]]-Sales_Data[[#This Row],[COGS]]</f>
        <v>44000</v>
      </c>
    </row>
    <row r="853" spans="1:14">
      <c r="A853" s="1">
        <v>46527</v>
      </c>
      <c r="B853" t="s">
        <v>29</v>
      </c>
      <c r="C853" t="s">
        <v>19</v>
      </c>
      <c r="D853" t="s">
        <v>23</v>
      </c>
      <c r="E853" t="s">
        <v>14</v>
      </c>
      <c r="F853" t="s">
        <v>21</v>
      </c>
      <c r="G853" t="s">
        <v>22</v>
      </c>
      <c r="H853" s="12">
        <v>30000</v>
      </c>
      <c r="I853">
        <v>3</v>
      </c>
      <c r="J853" t="s">
        <v>28</v>
      </c>
      <c r="K853" s="12">
        <f t="shared" si="13"/>
        <v>24000</v>
      </c>
      <c r="L853" s="12">
        <f>Sales_Data[[#This Row],[Unit Price]]*Sales_Data[[#This Row],[Quantity]]</f>
        <v>90000</v>
      </c>
      <c r="M853" s="12">
        <f>Sales_Data[[#This Row],[Cost Price]]*Sales_Data[[#This Row],[Quantity]]</f>
        <v>72000</v>
      </c>
      <c r="N853" s="12">
        <f>Sales_Data[[#This Row],[Revenue]]-Sales_Data[[#This Row],[COGS]]</f>
        <v>18000</v>
      </c>
    </row>
    <row r="854" spans="1:14">
      <c r="A854" s="1">
        <v>46528</v>
      </c>
      <c r="B854" t="s">
        <v>25</v>
      </c>
      <c r="C854" t="s">
        <v>19</v>
      </c>
      <c r="D854" t="s">
        <v>23</v>
      </c>
      <c r="E854" t="s">
        <v>14</v>
      </c>
      <c r="F854" t="s">
        <v>38</v>
      </c>
      <c r="G854" t="s">
        <v>31</v>
      </c>
      <c r="H854" s="12">
        <v>420000</v>
      </c>
      <c r="I854">
        <v>1</v>
      </c>
      <c r="J854" t="s">
        <v>35</v>
      </c>
      <c r="K854" s="12">
        <f t="shared" si="13"/>
        <v>336000</v>
      </c>
      <c r="L854" s="12">
        <f>Sales_Data[[#This Row],[Unit Price]]*Sales_Data[[#This Row],[Quantity]]</f>
        <v>420000</v>
      </c>
      <c r="M854" s="12">
        <f>Sales_Data[[#This Row],[Cost Price]]*Sales_Data[[#This Row],[Quantity]]</f>
        <v>336000</v>
      </c>
      <c r="N854" s="12">
        <f>Sales_Data[[#This Row],[Revenue]]-Sales_Data[[#This Row],[COGS]]</f>
        <v>84000</v>
      </c>
    </row>
    <row r="855" spans="1:14">
      <c r="A855" s="1">
        <v>46529</v>
      </c>
      <c r="B855" t="s">
        <v>18</v>
      </c>
      <c r="C855" t="s">
        <v>12</v>
      </c>
      <c r="D855" t="s">
        <v>13</v>
      </c>
      <c r="E855" t="s">
        <v>20</v>
      </c>
      <c r="F855" t="s">
        <v>21</v>
      </c>
      <c r="G855" t="s">
        <v>22</v>
      </c>
      <c r="H855" s="12">
        <v>30000</v>
      </c>
      <c r="I855">
        <v>5</v>
      </c>
      <c r="J855" t="s">
        <v>39</v>
      </c>
      <c r="K855" s="12">
        <f t="shared" si="13"/>
        <v>24000</v>
      </c>
      <c r="L855" s="12">
        <f>Sales_Data[[#This Row],[Unit Price]]*Sales_Data[[#This Row],[Quantity]]</f>
        <v>150000</v>
      </c>
      <c r="M855" s="12">
        <f>Sales_Data[[#This Row],[Cost Price]]*Sales_Data[[#This Row],[Quantity]]</f>
        <v>120000</v>
      </c>
      <c r="N855" s="12">
        <f>Sales_Data[[#This Row],[Revenue]]-Sales_Data[[#This Row],[COGS]]</f>
        <v>30000</v>
      </c>
    </row>
    <row r="856" spans="1:14">
      <c r="A856" s="1">
        <v>46530</v>
      </c>
      <c r="B856" t="s">
        <v>18</v>
      </c>
      <c r="C856" t="s">
        <v>32</v>
      </c>
      <c r="D856" t="s">
        <v>23</v>
      </c>
      <c r="E856" t="s">
        <v>14</v>
      </c>
      <c r="F856" t="s">
        <v>38</v>
      </c>
      <c r="G856" t="s">
        <v>31</v>
      </c>
      <c r="H856" s="12">
        <v>420000</v>
      </c>
      <c r="I856">
        <v>7</v>
      </c>
      <c r="J856" t="s">
        <v>17</v>
      </c>
      <c r="K856" s="12">
        <f t="shared" si="13"/>
        <v>336000</v>
      </c>
      <c r="L856" s="12">
        <f>Sales_Data[[#This Row],[Unit Price]]*Sales_Data[[#This Row],[Quantity]]</f>
        <v>2940000</v>
      </c>
      <c r="M856" s="12">
        <f>Sales_Data[[#This Row],[Cost Price]]*Sales_Data[[#This Row],[Quantity]]</f>
        <v>2352000</v>
      </c>
      <c r="N856" s="12">
        <f>Sales_Data[[#This Row],[Revenue]]-Sales_Data[[#This Row],[COGS]]</f>
        <v>588000</v>
      </c>
    </row>
    <row r="857" spans="1:14">
      <c r="A857" s="1">
        <v>46531</v>
      </c>
      <c r="B857" t="s">
        <v>25</v>
      </c>
      <c r="C857" t="s">
        <v>19</v>
      </c>
      <c r="D857" t="s">
        <v>13</v>
      </c>
      <c r="E857" t="s">
        <v>20</v>
      </c>
      <c r="F857" t="s">
        <v>33</v>
      </c>
      <c r="G857" t="s">
        <v>22</v>
      </c>
      <c r="H857" s="12">
        <v>180000</v>
      </c>
      <c r="I857">
        <v>8</v>
      </c>
      <c r="J857" t="s">
        <v>37</v>
      </c>
      <c r="K857" s="12">
        <f t="shared" si="13"/>
        <v>144000</v>
      </c>
      <c r="L857" s="12">
        <f>Sales_Data[[#This Row],[Unit Price]]*Sales_Data[[#This Row],[Quantity]]</f>
        <v>1440000</v>
      </c>
      <c r="M857" s="12">
        <f>Sales_Data[[#This Row],[Cost Price]]*Sales_Data[[#This Row],[Quantity]]</f>
        <v>1152000</v>
      </c>
      <c r="N857" s="12">
        <f>Sales_Data[[#This Row],[Revenue]]-Sales_Data[[#This Row],[COGS]]</f>
        <v>288000</v>
      </c>
    </row>
    <row r="858" spans="1:14">
      <c r="A858" s="1">
        <v>46532</v>
      </c>
      <c r="B858" t="s">
        <v>11</v>
      </c>
      <c r="C858" t="s">
        <v>32</v>
      </c>
      <c r="D858" t="s">
        <v>23</v>
      </c>
      <c r="E858" t="s">
        <v>20</v>
      </c>
      <c r="F858" t="s">
        <v>41</v>
      </c>
      <c r="G858" t="s">
        <v>22</v>
      </c>
      <c r="H858" s="12">
        <v>220000</v>
      </c>
      <c r="I858">
        <v>3</v>
      </c>
      <c r="J858" t="s">
        <v>28</v>
      </c>
      <c r="K858" s="12">
        <f t="shared" si="13"/>
        <v>176000</v>
      </c>
      <c r="L858" s="12">
        <f>Sales_Data[[#This Row],[Unit Price]]*Sales_Data[[#This Row],[Quantity]]</f>
        <v>660000</v>
      </c>
      <c r="M858" s="12">
        <f>Sales_Data[[#This Row],[Cost Price]]*Sales_Data[[#This Row],[Quantity]]</f>
        <v>528000</v>
      </c>
      <c r="N858" s="12">
        <f>Sales_Data[[#This Row],[Revenue]]-Sales_Data[[#This Row],[COGS]]</f>
        <v>132000</v>
      </c>
    </row>
    <row r="859" spans="1:14">
      <c r="A859" s="1">
        <v>46533</v>
      </c>
      <c r="B859" t="s">
        <v>18</v>
      </c>
      <c r="C859" t="s">
        <v>32</v>
      </c>
      <c r="D859" t="s">
        <v>13</v>
      </c>
      <c r="E859" t="s">
        <v>14</v>
      </c>
      <c r="F859" t="s">
        <v>38</v>
      </c>
      <c r="G859" t="s">
        <v>31</v>
      </c>
      <c r="H859" s="12">
        <v>420000</v>
      </c>
      <c r="I859">
        <v>3</v>
      </c>
      <c r="J859" t="s">
        <v>17</v>
      </c>
      <c r="K859" s="12">
        <f t="shared" si="13"/>
        <v>336000</v>
      </c>
      <c r="L859" s="12">
        <f>Sales_Data[[#This Row],[Unit Price]]*Sales_Data[[#This Row],[Quantity]]</f>
        <v>1260000</v>
      </c>
      <c r="M859" s="12">
        <f>Sales_Data[[#This Row],[Cost Price]]*Sales_Data[[#This Row],[Quantity]]</f>
        <v>1008000</v>
      </c>
      <c r="N859" s="12">
        <f>Sales_Data[[#This Row],[Revenue]]-Sales_Data[[#This Row],[COGS]]</f>
        <v>252000</v>
      </c>
    </row>
    <row r="860" spans="1:14">
      <c r="A860" s="1">
        <v>46534</v>
      </c>
      <c r="B860" t="s">
        <v>18</v>
      </c>
      <c r="C860" t="s">
        <v>26</v>
      </c>
      <c r="D860" t="s">
        <v>13</v>
      </c>
      <c r="E860" t="s">
        <v>14</v>
      </c>
      <c r="F860" t="s">
        <v>33</v>
      </c>
      <c r="G860" t="s">
        <v>22</v>
      </c>
      <c r="H860" s="12">
        <v>180000</v>
      </c>
      <c r="I860">
        <v>5</v>
      </c>
      <c r="J860" t="s">
        <v>39</v>
      </c>
      <c r="K860" s="12">
        <f t="shared" si="13"/>
        <v>144000</v>
      </c>
      <c r="L860" s="12">
        <f>Sales_Data[[#This Row],[Unit Price]]*Sales_Data[[#This Row],[Quantity]]</f>
        <v>900000</v>
      </c>
      <c r="M860" s="12">
        <f>Sales_Data[[#This Row],[Cost Price]]*Sales_Data[[#This Row],[Quantity]]</f>
        <v>720000</v>
      </c>
      <c r="N860" s="12">
        <f>Sales_Data[[#This Row],[Revenue]]-Sales_Data[[#This Row],[COGS]]</f>
        <v>180000</v>
      </c>
    </row>
    <row r="861" spans="1:14">
      <c r="A861" s="1">
        <v>46535</v>
      </c>
      <c r="B861" t="s">
        <v>11</v>
      </c>
      <c r="C861" t="s">
        <v>26</v>
      </c>
      <c r="D861" t="s">
        <v>23</v>
      </c>
      <c r="E861" t="s">
        <v>14</v>
      </c>
      <c r="F861" t="s">
        <v>41</v>
      </c>
      <c r="G861" t="s">
        <v>22</v>
      </c>
      <c r="H861" s="12">
        <v>220000</v>
      </c>
      <c r="I861">
        <v>5</v>
      </c>
      <c r="J861" t="s">
        <v>28</v>
      </c>
      <c r="K861" s="12">
        <f t="shared" si="13"/>
        <v>176000</v>
      </c>
      <c r="L861" s="12">
        <f>Sales_Data[[#This Row],[Unit Price]]*Sales_Data[[#This Row],[Quantity]]</f>
        <v>1100000</v>
      </c>
      <c r="M861" s="12">
        <f>Sales_Data[[#This Row],[Cost Price]]*Sales_Data[[#This Row],[Quantity]]</f>
        <v>880000</v>
      </c>
      <c r="N861" s="12">
        <f>Sales_Data[[#This Row],[Revenue]]-Sales_Data[[#This Row],[COGS]]</f>
        <v>220000</v>
      </c>
    </row>
    <row r="862" spans="1:14">
      <c r="A862" s="1">
        <v>46536</v>
      </c>
      <c r="B862" t="s">
        <v>29</v>
      </c>
      <c r="C862" t="s">
        <v>32</v>
      </c>
      <c r="D862" t="s">
        <v>23</v>
      </c>
      <c r="E862" t="s">
        <v>14</v>
      </c>
      <c r="F862" t="s">
        <v>40</v>
      </c>
      <c r="G862" t="s">
        <v>31</v>
      </c>
      <c r="H862" s="12">
        <v>250000</v>
      </c>
      <c r="I862">
        <v>2</v>
      </c>
      <c r="J862" t="s">
        <v>35</v>
      </c>
      <c r="K862" s="12">
        <f t="shared" si="13"/>
        <v>200000</v>
      </c>
      <c r="L862" s="12">
        <f>Sales_Data[[#This Row],[Unit Price]]*Sales_Data[[#This Row],[Quantity]]</f>
        <v>500000</v>
      </c>
      <c r="M862" s="12">
        <f>Sales_Data[[#This Row],[Cost Price]]*Sales_Data[[#This Row],[Quantity]]</f>
        <v>400000</v>
      </c>
      <c r="N862" s="12">
        <f>Sales_Data[[#This Row],[Revenue]]-Sales_Data[[#This Row],[COGS]]</f>
        <v>100000</v>
      </c>
    </row>
    <row r="863" spans="1:14">
      <c r="A863" s="1">
        <v>46537</v>
      </c>
      <c r="B863" t="s">
        <v>18</v>
      </c>
      <c r="C863" t="s">
        <v>26</v>
      </c>
      <c r="D863" t="s">
        <v>23</v>
      </c>
      <c r="E863" t="s">
        <v>14</v>
      </c>
      <c r="F863" t="s">
        <v>38</v>
      </c>
      <c r="G863" t="s">
        <v>31</v>
      </c>
      <c r="H863" s="12">
        <v>420000</v>
      </c>
      <c r="I863">
        <v>3</v>
      </c>
      <c r="J863" t="s">
        <v>35</v>
      </c>
      <c r="K863" s="12">
        <f t="shared" si="13"/>
        <v>336000</v>
      </c>
      <c r="L863" s="12">
        <f>Sales_Data[[#This Row],[Unit Price]]*Sales_Data[[#This Row],[Quantity]]</f>
        <v>1260000</v>
      </c>
      <c r="M863" s="12">
        <f>Sales_Data[[#This Row],[Cost Price]]*Sales_Data[[#This Row],[Quantity]]</f>
        <v>1008000</v>
      </c>
      <c r="N863" s="12">
        <f>Sales_Data[[#This Row],[Revenue]]-Sales_Data[[#This Row],[COGS]]</f>
        <v>252000</v>
      </c>
    </row>
    <row r="864" spans="1:14">
      <c r="A864" s="1">
        <v>46538</v>
      </c>
      <c r="B864" t="s">
        <v>18</v>
      </c>
      <c r="C864" t="s">
        <v>19</v>
      </c>
      <c r="D864" t="s">
        <v>23</v>
      </c>
      <c r="E864" t="s">
        <v>14</v>
      </c>
      <c r="F864" t="s">
        <v>38</v>
      </c>
      <c r="G864" t="s">
        <v>31</v>
      </c>
      <c r="H864" s="12">
        <v>420000</v>
      </c>
      <c r="I864">
        <v>8</v>
      </c>
      <c r="J864" t="s">
        <v>28</v>
      </c>
      <c r="K864" s="12">
        <f t="shared" si="13"/>
        <v>336000</v>
      </c>
      <c r="L864" s="12">
        <f>Sales_Data[[#This Row],[Unit Price]]*Sales_Data[[#This Row],[Quantity]]</f>
        <v>3360000</v>
      </c>
      <c r="M864" s="12">
        <f>Sales_Data[[#This Row],[Cost Price]]*Sales_Data[[#This Row],[Quantity]]</f>
        <v>2688000</v>
      </c>
      <c r="N864" s="12">
        <f>Sales_Data[[#This Row],[Revenue]]-Sales_Data[[#This Row],[COGS]]</f>
        <v>672000</v>
      </c>
    </row>
    <row r="865" spans="1:14">
      <c r="A865" s="1">
        <v>46539</v>
      </c>
      <c r="B865" t="s">
        <v>18</v>
      </c>
      <c r="C865" t="s">
        <v>12</v>
      </c>
      <c r="D865" t="s">
        <v>23</v>
      </c>
      <c r="E865" t="s">
        <v>14</v>
      </c>
      <c r="F865" t="s">
        <v>38</v>
      </c>
      <c r="G865" t="s">
        <v>31</v>
      </c>
      <c r="H865" s="12">
        <v>420000</v>
      </c>
      <c r="I865">
        <v>7</v>
      </c>
      <c r="J865" t="s">
        <v>17</v>
      </c>
      <c r="K865" s="12">
        <f t="shared" si="13"/>
        <v>336000</v>
      </c>
      <c r="L865" s="12">
        <f>Sales_Data[[#This Row],[Unit Price]]*Sales_Data[[#This Row],[Quantity]]</f>
        <v>2940000</v>
      </c>
      <c r="M865" s="12">
        <f>Sales_Data[[#This Row],[Cost Price]]*Sales_Data[[#This Row],[Quantity]]</f>
        <v>2352000</v>
      </c>
      <c r="N865" s="12">
        <f>Sales_Data[[#This Row],[Revenue]]-Sales_Data[[#This Row],[COGS]]</f>
        <v>588000</v>
      </c>
    </row>
    <row r="866" spans="1:14">
      <c r="A866" s="1">
        <v>46540</v>
      </c>
      <c r="B866" t="s">
        <v>11</v>
      </c>
      <c r="C866" t="s">
        <v>26</v>
      </c>
      <c r="D866" t="s">
        <v>23</v>
      </c>
      <c r="E866" t="s">
        <v>14</v>
      </c>
      <c r="F866" t="s">
        <v>34</v>
      </c>
      <c r="G866" t="s">
        <v>16</v>
      </c>
      <c r="H866" s="12">
        <v>320000</v>
      </c>
      <c r="I866">
        <v>6</v>
      </c>
      <c r="J866" t="s">
        <v>28</v>
      </c>
      <c r="K866" s="12">
        <f t="shared" si="13"/>
        <v>256000</v>
      </c>
      <c r="L866" s="12">
        <f>Sales_Data[[#This Row],[Unit Price]]*Sales_Data[[#This Row],[Quantity]]</f>
        <v>1920000</v>
      </c>
      <c r="M866" s="12">
        <f>Sales_Data[[#This Row],[Cost Price]]*Sales_Data[[#This Row],[Quantity]]</f>
        <v>1536000</v>
      </c>
      <c r="N866" s="12">
        <f>Sales_Data[[#This Row],[Revenue]]-Sales_Data[[#This Row],[COGS]]</f>
        <v>384000</v>
      </c>
    </row>
    <row r="867" spans="1:14">
      <c r="A867" s="1">
        <v>46541</v>
      </c>
      <c r="B867" t="s">
        <v>29</v>
      </c>
      <c r="C867" t="s">
        <v>26</v>
      </c>
      <c r="D867" t="s">
        <v>23</v>
      </c>
      <c r="E867" t="s">
        <v>14</v>
      </c>
      <c r="F867" t="s">
        <v>27</v>
      </c>
      <c r="G867" t="s">
        <v>22</v>
      </c>
      <c r="H867" s="12">
        <v>60000</v>
      </c>
      <c r="I867">
        <v>3</v>
      </c>
      <c r="J867" t="s">
        <v>28</v>
      </c>
      <c r="K867" s="12">
        <f t="shared" si="13"/>
        <v>48000</v>
      </c>
      <c r="L867" s="12">
        <f>Sales_Data[[#This Row],[Unit Price]]*Sales_Data[[#This Row],[Quantity]]</f>
        <v>180000</v>
      </c>
      <c r="M867" s="12">
        <f>Sales_Data[[#This Row],[Cost Price]]*Sales_Data[[#This Row],[Quantity]]</f>
        <v>144000</v>
      </c>
      <c r="N867" s="12">
        <f>Sales_Data[[#This Row],[Revenue]]-Sales_Data[[#This Row],[COGS]]</f>
        <v>36000</v>
      </c>
    </row>
    <row r="868" spans="1:14">
      <c r="A868" s="1">
        <v>46542</v>
      </c>
      <c r="B868" t="s">
        <v>11</v>
      </c>
      <c r="C868" t="s">
        <v>12</v>
      </c>
      <c r="D868" t="s">
        <v>23</v>
      </c>
      <c r="E868" t="s">
        <v>20</v>
      </c>
      <c r="F868" t="s">
        <v>15</v>
      </c>
      <c r="G868" t="s">
        <v>16</v>
      </c>
      <c r="H868" s="12">
        <v>85000</v>
      </c>
      <c r="I868">
        <v>8</v>
      </c>
      <c r="J868" t="s">
        <v>17</v>
      </c>
      <c r="K868" s="12">
        <f t="shared" si="13"/>
        <v>68000</v>
      </c>
      <c r="L868" s="12">
        <f>Sales_Data[[#This Row],[Unit Price]]*Sales_Data[[#This Row],[Quantity]]</f>
        <v>680000</v>
      </c>
      <c r="M868" s="12">
        <f>Sales_Data[[#This Row],[Cost Price]]*Sales_Data[[#This Row],[Quantity]]</f>
        <v>544000</v>
      </c>
      <c r="N868" s="12">
        <f>Sales_Data[[#This Row],[Revenue]]-Sales_Data[[#This Row],[COGS]]</f>
        <v>136000</v>
      </c>
    </row>
    <row r="869" spans="1:14">
      <c r="A869" s="1">
        <v>46543</v>
      </c>
      <c r="B869" t="s">
        <v>11</v>
      </c>
      <c r="C869" t="s">
        <v>12</v>
      </c>
      <c r="D869" t="s">
        <v>23</v>
      </c>
      <c r="E869" t="s">
        <v>20</v>
      </c>
      <c r="F869" t="s">
        <v>33</v>
      </c>
      <c r="G869" t="s">
        <v>22</v>
      </c>
      <c r="H869" s="12">
        <v>180000</v>
      </c>
      <c r="I869">
        <v>9</v>
      </c>
      <c r="J869" t="s">
        <v>35</v>
      </c>
      <c r="K869" s="12">
        <f t="shared" si="13"/>
        <v>144000</v>
      </c>
      <c r="L869" s="12">
        <f>Sales_Data[[#This Row],[Unit Price]]*Sales_Data[[#This Row],[Quantity]]</f>
        <v>1620000</v>
      </c>
      <c r="M869" s="12">
        <f>Sales_Data[[#This Row],[Cost Price]]*Sales_Data[[#This Row],[Quantity]]</f>
        <v>1296000</v>
      </c>
      <c r="N869" s="12">
        <f>Sales_Data[[#This Row],[Revenue]]-Sales_Data[[#This Row],[COGS]]</f>
        <v>324000</v>
      </c>
    </row>
    <row r="870" spans="1:14">
      <c r="A870" s="1">
        <v>46544</v>
      </c>
      <c r="B870" t="s">
        <v>11</v>
      </c>
      <c r="C870" t="s">
        <v>26</v>
      </c>
      <c r="D870" t="s">
        <v>23</v>
      </c>
      <c r="E870" t="s">
        <v>20</v>
      </c>
      <c r="F870" t="s">
        <v>41</v>
      </c>
      <c r="G870" t="s">
        <v>22</v>
      </c>
      <c r="H870" s="12">
        <v>220000</v>
      </c>
      <c r="I870">
        <v>5</v>
      </c>
      <c r="J870" t="s">
        <v>35</v>
      </c>
      <c r="K870" s="12">
        <f t="shared" si="13"/>
        <v>176000</v>
      </c>
      <c r="L870" s="12">
        <f>Sales_Data[[#This Row],[Unit Price]]*Sales_Data[[#This Row],[Quantity]]</f>
        <v>1100000</v>
      </c>
      <c r="M870" s="12">
        <f>Sales_Data[[#This Row],[Cost Price]]*Sales_Data[[#This Row],[Quantity]]</f>
        <v>880000</v>
      </c>
      <c r="N870" s="12">
        <f>Sales_Data[[#This Row],[Revenue]]-Sales_Data[[#This Row],[COGS]]</f>
        <v>220000</v>
      </c>
    </row>
    <row r="871" spans="1:14">
      <c r="A871" s="1">
        <v>46545</v>
      </c>
      <c r="B871" t="s">
        <v>25</v>
      </c>
      <c r="C871" t="s">
        <v>26</v>
      </c>
      <c r="D871" t="s">
        <v>23</v>
      </c>
      <c r="E871" t="s">
        <v>20</v>
      </c>
      <c r="F871" t="s">
        <v>33</v>
      </c>
      <c r="G871" t="s">
        <v>22</v>
      </c>
      <c r="H871" s="12">
        <v>180000</v>
      </c>
      <c r="I871">
        <v>5</v>
      </c>
      <c r="J871" t="s">
        <v>35</v>
      </c>
      <c r="K871" s="12">
        <f t="shared" si="13"/>
        <v>144000</v>
      </c>
      <c r="L871" s="12">
        <f>Sales_Data[[#This Row],[Unit Price]]*Sales_Data[[#This Row],[Quantity]]</f>
        <v>900000</v>
      </c>
      <c r="M871" s="12">
        <f>Sales_Data[[#This Row],[Cost Price]]*Sales_Data[[#This Row],[Quantity]]</f>
        <v>720000</v>
      </c>
      <c r="N871" s="12">
        <f>Sales_Data[[#This Row],[Revenue]]-Sales_Data[[#This Row],[COGS]]</f>
        <v>180000</v>
      </c>
    </row>
    <row r="872" spans="1:14">
      <c r="A872" s="1">
        <v>46546</v>
      </c>
      <c r="B872" t="s">
        <v>11</v>
      </c>
      <c r="C872" t="s">
        <v>19</v>
      </c>
      <c r="D872" t="s">
        <v>23</v>
      </c>
      <c r="E872" t="s">
        <v>14</v>
      </c>
      <c r="F872" t="s">
        <v>27</v>
      </c>
      <c r="G872" t="s">
        <v>22</v>
      </c>
      <c r="H872" s="12">
        <v>60000</v>
      </c>
      <c r="I872">
        <v>7</v>
      </c>
      <c r="J872" t="s">
        <v>17</v>
      </c>
      <c r="K872" s="12">
        <f t="shared" si="13"/>
        <v>48000</v>
      </c>
      <c r="L872" s="12">
        <f>Sales_Data[[#This Row],[Unit Price]]*Sales_Data[[#This Row],[Quantity]]</f>
        <v>420000</v>
      </c>
      <c r="M872" s="12">
        <f>Sales_Data[[#This Row],[Cost Price]]*Sales_Data[[#This Row],[Quantity]]</f>
        <v>336000</v>
      </c>
      <c r="N872" s="12">
        <f>Sales_Data[[#This Row],[Revenue]]-Sales_Data[[#This Row],[COGS]]</f>
        <v>84000</v>
      </c>
    </row>
    <row r="873" spans="1:14">
      <c r="A873" s="1">
        <v>46547</v>
      </c>
      <c r="B873" t="s">
        <v>25</v>
      </c>
      <c r="C873" t="s">
        <v>26</v>
      </c>
      <c r="D873" t="s">
        <v>23</v>
      </c>
      <c r="E873" t="s">
        <v>20</v>
      </c>
      <c r="F873" t="s">
        <v>36</v>
      </c>
      <c r="G873" t="s">
        <v>31</v>
      </c>
      <c r="H873" s="12">
        <v>150000</v>
      </c>
      <c r="I873">
        <v>7</v>
      </c>
      <c r="J873" t="s">
        <v>35</v>
      </c>
      <c r="K873" s="12">
        <f t="shared" si="13"/>
        <v>120000</v>
      </c>
      <c r="L873" s="12">
        <f>Sales_Data[[#This Row],[Unit Price]]*Sales_Data[[#This Row],[Quantity]]</f>
        <v>1050000</v>
      </c>
      <c r="M873" s="12">
        <f>Sales_Data[[#This Row],[Cost Price]]*Sales_Data[[#This Row],[Quantity]]</f>
        <v>840000</v>
      </c>
      <c r="N873" s="12">
        <f>Sales_Data[[#This Row],[Revenue]]-Sales_Data[[#This Row],[COGS]]</f>
        <v>210000</v>
      </c>
    </row>
    <row r="874" spans="1:14">
      <c r="A874" s="1">
        <v>46548</v>
      </c>
      <c r="B874" t="s">
        <v>18</v>
      </c>
      <c r="C874" t="s">
        <v>12</v>
      </c>
      <c r="D874" t="s">
        <v>23</v>
      </c>
      <c r="E874" t="s">
        <v>20</v>
      </c>
      <c r="F874" t="s">
        <v>21</v>
      </c>
      <c r="G874" t="s">
        <v>22</v>
      </c>
      <c r="H874" s="12">
        <v>30000</v>
      </c>
      <c r="I874">
        <v>4</v>
      </c>
      <c r="J874" t="s">
        <v>37</v>
      </c>
      <c r="K874" s="12">
        <f t="shared" si="13"/>
        <v>24000</v>
      </c>
      <c r="L874" s="12">
        <f>Sales_Data[[#This Row],[Unit Price]]*Sales_Data[[#This Row],[Quantity]]</f>
        <v>120000</v>
      </c>
      <c r="M874" s="12">
        <f>Sales_Data[[#This Row],[Cost Price]]*Sales_Data[[#This Row],[Quantity]]</f>
        <v>96000</v>
      </c>
      <c r="N874" s="12">
        <f>Sales_Data[[#This Row],[Revenue]]-Sales_Data[[#This Row],[COGS]]</f>
        <v>24000</v>
      </c>
    </row>
    <row r="875" spans="1:14">
      <c r="A875" s="1">
        <v>46549</v>
      </c>
      <c r="B875" t="s">
        <v>11</v>
      </c>
      <c r="C875" t="s">
        <v>32</v>
      </c>
      <c r="D875" t="s">
        <v>23</v>
      </c>
      <c r="E875" t="s">
        <v>20</v>
      </c>
      <c r="F875" t="s">
        <v>38</v>
      </c>
      <c r="G875" t="s">
        <v>31</v>
      </c>
      <c r="H875" s="12">
        <v>420000</v>
      </c>
      <c r="I875">
        <v>1</v>
      </c>
      <c r="J875" t="s">
        <v>37</v>
      </c>
      <c r="K875" s="12">
        <f t="shared" si="13"/>
        <v>336000</v>
      </c>
      <c r="L875" s="12">
        <f>Sales_Data[[#This Row],[Unit Price]]*Sales_Data[[#This Row],[Quantity]]</f>
        <v>420000</v>
      </c>
      <c r="M875" s="12">
        <f>Sales_Data[[#This Row],[Cost Price]]*Sales_Data[[#This Row],[Quantity]]</f>
        <v>336000</v>
      </c>
      <c r="N875" s="12">
        <f>Sales_Data[[#This Row],[Revenue]]-Sales_Data[[#This Row],[COGS]]</f>
        <v>84000</v>
      </c>
    </row>
    <row r="876" spans="1:14">
      <c r="A876" s="1">
        <v>46550</v>
      </c>
      <c r="B876" t="s">
        <v>11</v>
      </c>
      <c r="C876" t="s">
        <v>26</v>
      </c>
      <c r="D876" t="s">
        <v>23</v>
      </c>
      <c r="E876" t="s">
        <v>20</v>
      </c>
      <c r="F876" t="s">
        <v>38</v>
      </c>
      <c r="G876" t="s">
        <v>31</v>
      </c>
      <c r="H876" s="12">
        <v>420000</v>
      </c>
      <c r="I876">
        <v>4</v>
      </c>
      <c r="J876" t="s">
        <v>35</v>
      </c>
      <c r="K876" s="12">
        <f t="shared" si="13"/>
        <v>336000</v>
      </c>
      <c r="L876" s="12">
        <f>Sales_Data[[#This Row],[Unit Price]]*Sales_Data[[#This Row],[Quantity]]</f>
        <v>1680000</v>
      </c>
      <c r="M876" s="12">
        <f>Sales_Data[[#This Row],[Cost Price]]*Sales_Data[[#This Row],[Quantity]]</f>
        <v>1344000</v>
      </c>
      <c r="N876" s="12">
        <f>Sales_Data[[#This Row],[Revenue]]-Sales_Data[[#This Row],[COGS]]</f>
        <v>336000</v>
      </c>
    </row>
    <row r="877" spans="1:14">
      <c r="A877" s="1">
        <v>46551</v>
      </c>
      <c r="B877" t="s">
        <v>29</v>
      </c>
      <c r="C877" t="s">
        <v>26</v>
      </c>
      <c r="D877" t="s">
        <v>23</v>
      </c>
      <c r="E877" t="s">
        <v>14</v>
      </c>
      <c r="F877" t="s">
        <v>15</v>
      </c>
      <c r="G877" t="s">
        <v>16</v>
      </c>
      <c r="H877" s="12">
        <v>85000</v>
      </c>
      <c r="I877">
        <v>4</v>
      </c>
      <c r="J877" t="s">
        <v>35</v>
      </c>
      <c r="K877" s="12">
        <f t="shared" si="13"/>
        <v>68000</v>
      </c>
      <c r="L877" s="12">
        <f>Sales_Data[[#This Row],[Unit Price]]*Sales_Data[[#This Row],[Quantity]]</f>
        <v>340000</v>
      </c>
      <c r="M877" s="12">
        <f>Sales_Data[[#This Row],[Cost Price]]*Sales_Data[[#This Row],[Quantity]]</f>
        <v>272000</v>
      </c>
      <c r="N877" s="12">
        <f>Sales_Data[[#This Row],[Revenue]]-Sales_Data[[#This Row],[COGS]]</f>
        <v>68000</v>
      </c>
    </row>
    <row r="878" spans="1:14">
      <c r="A878" s="1">
        <v>46552</v>
      </c>
      <c r="B878" t="s">
        <v>11</v>
      </c>
      <c r="C878" t="s">
        <v>19</v>
      </c>
      <c r="D878" t="s">
        <v>23</v>
      </c>
      <c r="E878" t="s">
        <v>20</v>
      </c>
      <c r="F878" t="s">
        <v>34</v>
      </c>
      <c r="G878" t="s">
        <v>16</v>
      </c>
      <c r="H878" s="12">
        <v>320000</v>
      </c>
      <c r="I878">
        <v>5</v>
      </c>
      <c r="J878" t="s">
        <v>28</v>
      </c>
      <c r="K878" s="12">
        <f t="shared" si="13"/>
        <v>256000</v>
      </c>
      <c r="L878" s="12">
        <f>Sales_Data[[#This Row],[Unit Price]]*Sales_Data[[#This Row],[Quantity]]</f>
        <v>1600000</v>
      </c>
      <c r="M878" s="12">
        <f>Sales_Data[[#This Row],[Cost Price]]*Sales_Data[[#This Row],[Quantity]]</f>
        <v>1280000</v>
      </c>
      <c r="N878" s="12">
        <f>Sales_Data[[#This Row],[Revenue]]-Sales_Data[[#This Row],[COGS]]</f>
        <v>320000</v>
      </c>
    </row>
    <row r="879" spans="1:14">
      <c r="A879" s="1">
        <v>46553</v>
      </c>
      <c r="B879" t="s">
        <v>18</v>
      </c>
      <c r="C879" t="s">
        <v>12</v>
      </c>
      <c r="D879" t="s">
        <v>23</v>
      </c>
      <c r="E879" t="s">
        <v>20</v>
      </c>
      <c r="F879" t="s">
        <v>15</v>
      </c>
      <c r="G879" t="s">
        <v>16</v>
      </c>
      <c r="H879" s="12">
        <v>85000</v>
      </c>
      <c r="I879">
        <v>4</v>
      </c>
      <c r="J879" t="s">
        <v>28</v>
      </c>
      <c r="K879" s="12">
        <f t="shared" si="13"/>
        <v>68000</v>
      </c>
      <c r="L879" s="12">
        <f>Sales_Data[[#This Row],[Unit Price]]*Sales_Data[[#This Row],[Quantity]]</f>
        <v>340000</v>
      </c>
      <c r="M879" s="12">
        <f>Sales_Data[[#This Row],[Cost Price]]*Sales_Data[[#This Row],[Quantity]]</f>
        <v>272000</v>
      </c>
      <c r="N879" s="12">
        <f>Sales_Data[[#This Row],[Revenue]]-Sales_Data[[#This Row],[COGS]]</f>
        <v>68000</v>
      </c>
    </row>
    <row r="880" spans="1:14">
      <c r="A880" s="1">
        <v>46554</v>
      </c>
      <c r="B880" t="s">
        <v>11</v>
      </c>
      <c r="C880" t="s">
        <v>12</v>
      </c>
      <c r="D880" t="s">
        <v>23</v>
      </c>
      <c r="E880" t="s">
        <v>20</v>
      </c>
      <c r="F880" t="s">
        <v>38</v>
      </c>
      <c r="G880" t="s">
        <v>31</v>
      </c>
      <c r="H880" s="12">
        <v>420000</v>
      </c>
      <c r="I880">
        <v>7</v>
      </c>
      <c r="J880" t="s">
        <v>39</v>
      </c>
      <c r="K880" s="12">
        <f t="shared" si="13"/>
        <v>336000</v>
      </c>
      <c r="L880" s="12">
        <f>Sales_Data[[#This Row],[Unit Price]]*Sales_Data[[#This Row],[Quantity]]</f>
        <v>2940000</v>
      </c>
      <c r="M880" s="12">
        <f>Sales_Data[[#This Row],[Cost Price]]*Sales_Data[[#This Row],[Quantity]]</f>
        <v>2352000</v>
      </c>
      <c r="N880" s="12">
        <f>Sales_Data[[#This Row],[Revenue]]-Sales_Data[[#This Row],[COGS]]</f>
        <v>588000</v>
      </c>
    </row>
    <row r="881" spans="1:14">
      <c r="A881" s="1">
        <v>46555</v>
      </c>
      <c r="B881" t="s">
        <v>11</v>
      </c>
      <c r="C881" t="s">
        <v>26</v>
      </c>
      <c r="D881" t="s">
        <v>23</v>
      </c>
      <c r="E881" t="s">
        <v>14</v>
      </c>
      <c r="F881" t="s">
        <v>21</v>
      </c>
      <c r="G881" t="s">
        <v>22</v>
      </c>
      <c r="H881" s="12">
        <v>30000</v>
      </c>
      <c r="I881">
        <v>10</v>
      </c>
      <c r="J881" t="s">
        <v>28</v>
      </c>
      <c r="K881" s="12">
        <f t="shared" si="13"/>
        <v>24000</v>
      </c>
      <c r="L881" s="12">
        <f>Sales_Data[[#This Row],[Unit Price]]*Sales_Data[[#This Row],[Quantity]]</f>
        <v>300000</v>
      </c>
      <c r="M881" s="12">
        <f>Sales_Data[[#This Row],[Cost Price]]*Sales_Data[[#This Row],[Quantity]]</f>
        <v>240000</v>
      </c>
      <c r="N881" s="12">
        <f>Sales_Data[[#This Row],[Revenue]]-Sales_Data[[#This Row],[COGS]]</f>
        <v>60000</v>
      </c>
    </row>
    <row r="882" spans="1:14">
      <c r="A882" s="1">
        <v>46556</v>
      </c>
      <c r="B882" t="s">
        <v>11</v>
      </c>
      <c r="C882" t="s">
        <v>26</v>
      </c>
      <c r="D882" t="s">
        <v>23</v>
      </c>
      <c r="E882" t="s">
        <v>14</v>
      </c>
      <c r="F882" t="s">
        <v>36</v>
      </c>
      <c r="G882" t="s">
        <v>31</v>
      </c>
      <c r="H882" s="12">
        <v>150000</v>
      </c>
      <c r="I882">
        <v>10</v>
      </c>
      <c r="J882" t="s">
        <v>28</v>
      </c>
      <c r="K882" s="12">
        <f t="shared" si="13"/>
        <v>120000</v>
      </c>
      <c r="L882" s="12">
        <f>Sales_Data[[#This Row],[Unit Price]]*Sales_Data[[#This Row],[Quantity]]</f>
        <v>1500000</v>
      </c>
      <c r="M882" s="12">
        <f>Sales_Data[[#This Row],[Cost Price]]*Sales_Data[[#This Row],[Quantity]]</f>
        <v>1200000</v>
      </c>
      <c r="N882" s="12">
        <f>Sales_Data[[#This Row],[Revenue]]-Sales_Data[[#This Row],[COGS]]</f>
        <v>300000</v>
      </c>
    </row>
    <row r="883" spans="1:14">
      <c r="A883" s="1">
        <v>46557</v>
      </c>
      <c r="B883" t="s">
        <v>25</v>
      </c>
      <c r="C883" t="s">
        <v>12</v>
      </c>
      <c r="D883" t="s">
        <v>23</v>
      </c>
      <c r="E883" t="s">
        <v>20</v>
      </c>
      <c r="F883" t="s">
        <v>40</v>
      </c>
      <c r="G883" t="s">
        <v>31</v>
      </c>
      <c r="H883" s="12">
        <v>250000</v>
      </c>
      <c r="I883">
        <v>4</v>
      </c>
      <c r="J883" t="s">
        <v>37</v>
      </c>
      <c r="K883" s="12">
        <f t="shared" si="13"/>
        <v>200000</v>
      </c>
      <c r="L883" s="12">
        <f>Sales_Data[[#This Row],[Unit Price]]*Sales_Data[[#This Row],[Quantity]]</f>
        <v>1000000</v>
      </c>
      <c r="M883" s="12">
        <f>Sales_Data[[#This Row],[Cost Price]]*Sales_Data[[#This Row],[Quantity]]</f>
        <v>800000</v>
      </c>
      <c r="N883" s="12">
        <f>Sales_Data[[#This Row],[Revenue]]-Sales_Data[[#This Row],[COGS]]</f>
        <v>200000</v>
      </c>
    </row>
    <row r="884" spans="1:14">
      <c r="A884" s="1">
        <v>46558</v>
      </c>
      <c r="B884" t="s">
        <v>18</v>
      </c>
      <c r="C884" t="s">
        <v>32</v>
      </c>
      <c r="D884" t="s">
        <v>13</v>
      </c>
      <c r="E884" t="s">
        <v>14</v>
      </c>
      <c r="F884" t="s">
        <v>41</v>
      </c>
      <c r="G884" t="s">
        <v>22</v>
      </c>
      <c r="H884" s="12">
        <v>220000</v>
      </c>
      <c r="I884">
        <v>6</v>
      </c>
      <c r="J884" t="s">
        <v>37</v>
      </c>
      <c r="K884" s="12">
        <f t="shared" si="13"/>
        <v>176000</v>
      </c>
      <c r="L884" s="12">
        <f>Sales_Data[[#This Row],[Unit Price]]*Sales_Data[[#This Row],[Quantity]]</f>
        <v>1320000</v>
      </c>
      <c r="M884" s="12">
        <f>Sales_Data[[#This Row],[Cost Price]]*Sales_Data[[#This Row],[Quantity]]</f>
        <v>1056000</v>
      </c>
      <c r="N884" s="12">
        <f>Sales_Data[[#This Row],[Revenue]]-Sales_Data[[#This Row],[COGS]]</f>
        <v>264000</v>
      </c>
    </row>
    <row r="885" spans="1:14">
      <c r="A885" s="1">
        <v>46559</v>
      </c>
      <c r="B885" t="s">
        <v>29</v>
      </c>
      <c r="C885" t="s">
        <v>12</v>
      </c>
      <c r="D885" t="s">
        <v>13</v>
      </c>
      <c r="E885" t="s">
        <v>20</v>
      </c>
      <c r="F885" t="s">
        <v>36</v>
      </c>
      <c r="G885" t="s">
        <v>31</v>
      </c>
      <c r="H885" s="12">
        <v>150000</v>
      </c>
      <c r="I885">
        <v>10</v>
      </c>
      <c r="J885" t="s">
        <v>24</v>
      </c>
      <c r="K885" s="12">
        <f t="shared" si="13"/>
        <v>120000</v>
      </c>
      <c r="L885" s="12">
        <f>Sales_Data[[#This Row],[Unit Price]]*Sales_Data[[#This Row],[Quantity]]</f>
        <v>1500000</v>
      </c>
      <c r="M885" s="12">
        <f>Sales_Data[[#This Row],[Cost Price]]*Sales_Data[[#This Row],[Quantity]]</f>
        <v>1200000</v>
      </c>
      <c r="N885" s="12">
        <f>Sales_Data[[#This Row],[Revenue]]-Sales_Data[[#This Row],[COGS]]</f>
        <v>300000</v>
      </c>
    </row>
    <row r="886" spans="1:14">
      <c r="A886" s="1">
        <v>46560</v>
      </c>
      <c r="B886" t="s">
        <v>18</v>
      </c>
      <c r="C886" t="s">
        <v>26</v>
      </c>
      <c r="D886" t="s">
        <v>13</v>
      </c>
      <c r="E886" t="s">
        <v>14</v>
      </c>
      <c r="F886" t="s">
        <v>36</v>
      </c>
      <c r="G886" t="s">
        <v>31</v>
      </c>
      <c r="H886" s="12">
        <v>150000</v>
      </c>
      <c r="I886">
        <v>2</v>
      </c>
      <c r="J886" t="s">
        <v>28</v>
      </c>
      <c r="K886" s="12">
        <f t="shared" si="13"/>
        <v>120000</v>
      </c>
      <c r="L886" s="12">
        <f>Sales_Data[[#This Row],[Unit Price]]*Sales_Data[[#This Row],[Quantity]]</f>
        <v>300000</v>
      </c>
      <c r="M886" s="12">
        <f>Sales_Data[[#This Row],[Cost Price]]*Sales_Data[[#This Row],[Quantity]]</f>
        <v>240000</v>
      </c>
      <c r="N886" s="12">
        <f>Sales_Data[[#This Row],[Revenue]]-Sales_Data[[#This Row],[COGS]]</f>
        <v>60000</v>
      </c>
    </row>
    <row r="887" spans="1:14">
      <c r="A887" s="1">
        <v>46561</v>
      </c>
      <c r="B887" t="s">
        <v>11</v>
      </c>
      <c r="C887" t="s">
        <v>12</v>
      </c>
      <c r="D887" t="s">
        <v>13</v>
      </c>
      <c r="E887" t="s">
        <v>14</v>
      </c>
      <c r="F887" t="s">
        <v>40</v>
      </c>
      <c r="G887" t="s">
        <v>31</v>
      </c>
      <c r="H887" s="12">
        <v>250000</v>
      </c>
      <c r="I887">
        <v>4</v>
      </c>
      <c r="J887" t="s">
        <v>35</v>
      </c>
      <c r="K887" s="12">
        <f t="shared" si="13"/>
        <v>200000</v>
      </c>
      <c r="L887" s="12">
        <f>Sales_Data[[#This Row],[Unit Price]]*Sales_Data[[#This Row],[Quantity]]</f>
        <v>1000000</v>
      </c>
      <c r="M887" s="12">
        <f>Sales_Data[[#This Row],[Cost Price]]*Sales_Data[[#This Row],[Quantity]]</f>
        <v>800000</v>
      </c>
      <c r="N887" s="12">
        <f>Sales_Data[[#This Row],[Revenue]]-Sales_Data[[#This Row],[COGS]]</f>
        <v>200000</v>
      </c>
    </row>
    <row r="888" spans="1:14">
      <c r="A888" s="1">
        <v>46562</v>
      </c>
      <c r="B888" t="s">
        <v>18</v>
      </c>
      <c r="C888" t="s">
        <v>12</v>
      </c>
      <c r="D888" t="s">
        <v>13</v>
      </c>
      <c r="E888" t="s">
        <v>20</v>
      </c>
      <c r="F888" t="s">
        <v>36</v>
      </c>
      <c r="G888" t="s">
        <v>31</v>
      </c>
      <c r="H888" s="12">
        <v>150000</v>
      </c>
      <c r="I888">
        <v>9</v>
      </c>
      <c r="J888" t="s">
        <v>24</v>
      </c>
      <c r="K888" s="12">
        <f t="shared" si="13"/>
        <v>120000</v>
      </c>
      <c r="L888" s="12">
        <f>Sales_Data[[#This Row],[Unit Price]]*Sales_Data[[#This Row],[Quantity]]</f>
        <v>1350000</v>
      </c>
      <c r="M888" s="12">
        <f>Sales_Data[[#This Row],[Cost Price]]*Sales_Data[[#This Row],[Quantity]]</f>
        <v>1080000</v>
      </c>
      <c r="N888" s="12">
        <f>Sales_Data[[#This Row],[Revenue]]-Sales_Data[[#This Row],[COGS]]</f>
        <v>270000</v>
      </c>
    </row>
    <row r="889" spans="1:14">
      <c r="A889" s="1">
        <v>46563</v>
      </c>
      <c r="B889" t="s">
        <v>29</v>
      </c>
      <c r="C889" t="s">
        <v>26</v>
      </c>
      <c r="D889" t="s">
        <v>13</v>
      </c>
      <c r="E889" t="s">
        <v>20</v>
      </c>
      <c r="F889" t="s">
        <v>38</v>
      </c>
      <c r="G889" t="s">
        <v>31</v>
      </c>
      <c r="H889" s="12">
        <v>420000</v>
      </c>
      <c r="I889">
        <v>7</v>
      </c>
      <c r="J889" t="s">
        <v>35</v>
      </c>
      <c r="K889" s="12">
        <f t="shared" si="13"/>
        <v>336000</v>
      </c>
      <c r="L889" s="12">
        <f>Sales_Data[[#This Row],[Unit Price]]*Sales_Data[[#This Row],[Quantity]]</f>
        <v>2940000</v>
      </c>
      <c r="M889" s="12">
        <f>Sales_Data[[#This Row],[Cost Price]]*Sales_Data[[#This Row],[Quantity]]</f>
        <v>2352000</v>
      </c>
      <c r="N889" s="12">
        <f>Sales_Data[[#This Row],[Revenue]]-Sales_Data[[#This Row],[COGS]]</f>
        <v>588000</v>
      </c>
    </row>
    <row r="890" spans="1:14">
      <c r="A890" s="1">
        <v>46564</v>
      </c>
      <c r="B890" t="s">
        <v>18</v>
      </c>
      <c r="C890" t="s">
        <v>19</v>
      </c>
      <c r="D890" t="s">
        <v>13</v>
      </c>
      <c r="E890" t="s">
        <v>14</v>
      </c>
      <c r="F890" t="s">
        <v>15</v>
      </c>
      <c r="G890" t="s">
        <v>16</v>
      </c>
      <c r="H890" s="12">
        <v>85000</v>
      </c>
      <c r="I890">
        <v>2</v>
      </c>
      <c r="J890" t="s">
        <v>17</v>
      </c>
      <c r="K890" s="12">
        <f t="shared" si="13"/>
        <v>68000</v>
      </c>
      <c r="L890" s="12">
        <f>Sales_Data[[#This Row],[Unit Price]]*Sales_Data[[#This Row],[Quantity]]</f>
        <v>170000</v>
      </c>
      <c r="M890" s="12">
        <f>Sales_Data[[#This Row],[Cost Price]]*Sales_Data[[#This Row],[Quantity]]</f>
        <v>136000</v>
      </c>
      <c r="N890" s="12">
        <f>Sales_Data[[#This Row],[Revenue]]-Sales_Data[[#This Row],[COGS]]</f>
        <v>34000</v>
      </c>
    </row>
    <row r="891" spans="1:14">
      <c r="A891" s="1">
        <v>46565</v>
      </c>
      <c r="B891" t="s">
        <v>25</v>
      </c>
      <c r="C891" t="s">
        <v>19</v>
      </c>
      <c r="D891" t="s">
        <v>23</v>
      </c>
      <c r="E891" t="s">
        <v>20</v>
      </c>
      <c r="F891" t="s">
        <v>15</v>
      </c>
      <c r="G891" t="s">
        <v>16</v>
      </c>
      <c r="H891" s="12">
        <v>85000</v>
      </c>
      <c r="I891">
        <v>1</v>
      </c>
      <c r="J891" t="s">
        <v>35</v>
      </c>
      <c r="K891" s="12">
        <f t="shared" si="13"/>
        <v>68000</v>
      </c>
      <c r="L891" s="12">
        <f>Sales_Data[[#This Row],[Unit Price]]*Sales_Data[[#This Row],[Quantity]]</f>
        <v>85000</v>
      </c>
      <c r="M891" s="12">
        <f>Sales_Data[[#This Row],[Cost Price]]*Sales_Data[[#This Row],[Quantity]]</f>
        <v>68000</v>
      </c>
      <c r="N891" s="12">
        <f>Sales_Data[[#This Row],[Revenue]]-Sales_Data[[#This Row],[COGS]]</f>
        <v>17000</v>
      </c>
    </row>
    <row r="892" spans="1:14">
      <c r="A892" s="1">
        <v>46566</v>
      </c>
      <c r="B892" t="s">
        <v>25</v>
      </c>
      <c r="C892" t="s">
        <v>26</v>
      </c>
      <c r="D892" t="s">
        <v>13</v>
      </c>
      <c r="E892" t="s">
        <v>20</v>
      </c>
      <c r="F892" t="s">
        <v>38</v>
      </c>
      <c r="G892" t="s">
        <v>31</v>
      </c>
      <c r="H892" s="12">
        <v>420000</v>
      </c>
      <c r="I892">
        <v>9</v>
      </c>
      <c r="J892" t="s">
        <v>17</v>
      </c>
      <c r="K892" s="12">
        <f t="shared" si="13"/>
        <v>336000</v>
      </c>
      <c r="L892" s="12">
        <f>Sales_Data[[#This Row],[Unit Price]]*Sales_Data[[#This Row],[Quantity]]</f>
        <v>3780000</v>
      </c>
      <c r="M892" s="12">
        <f>Sales_Data[[#This Row],[Cost Price]]*Sales_Data[[#This Row],[Quantity]]</f>
        <v>3024000</v>
      </c>
      <c r="N892" s="12">
        <f>Sales_Data[[#This Row],[Revenue]]-Sales_Data[[#This Row],[COGS]]</f>
        <v>756000</v>
      </c>
    </row>
    <row r="893" spans="1:14">
      <c r="A893" s="1">
        <v>46567</v>
      </c>
      <c r="B893" t="s">
        <v>29</v>
      </c>
      <c r="C893" t="s">
        <v>19</v>
      </c>
      <c r="D893" t="s">
        <v>13</v>
      </c>
      <c r="E893" t="s">
        <v>20</v>
      </c>
      <c r="F893" t="s">
        <v>41</v>
      </c>
      <c r="G893" t="s">
        <v>22</v>
      </c>
      <c r="H893" s="12">
        <v>220000</v>
      </c>
      <c r="I893">
        <v>2</v>
      </c>
      <c r="J893" t="s">
        <v>39</v>
      </c>
      <c r="K893" s="12">
        <f t="shared" si="13"/>
        <v>176000</v>
      </c>
      <c r="L893" s="12">
        <f>Sales_Data[[#This Row],[Unit Price]]*Sales_Data[[#This Row],[Quantity]]</f>
        <v>440000</v>
      </c>
      <c r="M893" s="12">
        <f>Sales_Data[[#This Row],[Cost Price]]*Sales_Data[[#This Row],[Quantity]]</f>
        <v>352000</v>
      </c>
      <c r="N893" s="12">
        <f>Sales_Data[[#This Row],[Revenue]]-Sales_Data[[#This Row],[COGS]]</f>
        <v>88000</v>
      </c>
    </row>
    <row r="894" spans="1:14">
      <c r="A894" s="1">
        <v>46568</v>
      </c>
      <c r="B894" t="s">
        <v>11</v>
      </c>
      <c r="C894" t="s">
        <v>26</v>
      </c>
      <c r="D894" t="s">
        <v>23</v>
      </c>
      <c r="E894" t="s">
        <v>20</v>
      </c>
      <c r="F894" t="s">
        <v>41</v>
      </c>
      <c r="G894" t="s">
        <v>22</v>
      </c>
      <c r="H894" s="12">
        <v>220000</v>
      </c>
      <c r="I894">
        <v>8</v>
      </c>
      <c r="J894" t="s">
        <v>37</v>
      </c>
      <c r="K894" s="12">
        <f t="shared" si="13"/>
        <v>176000</v>
      </c>
      <c r="L894" s="12">
        <f>Sales_Data[[#This Row],[Unit Price]]*Sales_Data[[#This Row],[Quantity]]</f>
        <v>1760000</v>
      </c>
      <c r="M894" s="12">
        <f>Sales_Data[[#This Row],[Cost Price]]*Sales_Data[[#This Row],[Quantity]]</f>
        <v>1408000</v>
      </c>
      <c r="N894" s="12">
        <f>Sales_Data[[#This Row],[Revenue]]-Sales_Data[[#This Row],[COGS]]</f>
        <v>352000</v>
      </c>
    </row>
    <row r="895" spans="1:14">
      <c r="A895" s="1">
        <v>46569</v>
      </c>
      <c r="B895" t="s">
        <v>29</v>
      </c>
      <c r="C895" t="s">
        <v>12</v>
      </c>
      <c r="D895" t="s">
        <v>23</v>
      </c>
      <c r="E895" t="s">
        <v>14</v>
      </c>
      <c r="F895" t="s">
        <v>21</v>
      </c>
      <c r="G895" t="s">
        <v>22</v>
      </c>
      <c r="H895" s="12">
        <v>30000</v>
      </c>
      <c r="I895">
        <v>9</v>
      </c>
      <c r="J895" t="s">
        <v>17</v>
      </c>
      <c r="K895" s="12">
        <f t="shared" si="13"/>
        <v>24000</v>
      </c>
      <c r="L895" s="12">
        <f>Sales_Data[[#This Row],[Unit Price]]*Sales_Data[[#This Row],[Quantity]]</f>
        <v>270000</v>
      </c>
      <c r="M895" s="12">
        <f>Sales_Data[[#This Row],[Cost Price]]*Sales_Data[[#This Row],[Quantity]]</f>
        <v>216000</v>
      </c>
      <c r="N895" s="12">
        <f>Sales_Data[[#This Row],[Revenue]]-Sales_Data[[#This Row],[COGS]]</f>
        <v>54000</v>
      </c>
    </row>
    <row r="896" spans="1:14">
      <c r="A896" s="1">
        <v>46570</v>
      </c>
      <c r="B896" t="s">
        <v>29</v>
      </c>
      <c r="C896" t="s">
        <v>32</v>
      </c>
      <c r="D896" t="s">
        <v>23</v>
      </c>
      <c r="E896" t="s">
        <v>14</v>
      </c>
      <c r="F896" t="s">
        <v>34</v>
      </c>
      <c r="G896" t="s">
        <v>16</v>
      </c>
      <c r="H896" s="12">
        <v>320000</v>
      </c>
      <c r="I896">
        <v>3</v>
      </c>
      <c r="J896" t="s">
        <v>37</v>
      </c>
      <c r="K896" s="12">
        <f t="shared" si="13"/>
        <v>256000</v>
      </c>
      <c r="L896" s="12">
        <f>Sales_Data[[#This Row],[Unit Price]]*Sales_Data[[#This Row],[Quantity]]</f>
        <v>960000</v>
      </c>
      <c r="M896" s="12">
        <f>Sales_Data[[#This Row],[Cost Price]]*Sales_Data[[#This Row],[Quantity]]</f>
        <v>768000</v>
      </c>
      <c r="N896" s="12">
        <f>Sales_Data[[#This Row],[Revenue]]-Sales_Data[[#This Row],[COGS]]</f>
        <v>192000</v>
      </c>
    </row>
    <row r="897" spans="1:14">
      <c r="A897" s="1">
        <v>46571</v>
      </c>
      <c r="B897" t="s">
        <v>29</v>
      </c>
      <c r="C897" t="s">
        <v>12</v>
      </c>
      <c r="D897" t="s">
        <v>13</v>
      </c>
      <c r="E897" t="s">
        <v>14</v>
      </c>
      <c r="F897" t="s">
        <v>21</v>
      </c>
      <c r="G897" t="s">
        <v>22</v>
      </c>
      <c r="H897" s="12">
        <v>30000</v>
      </c>
      <c r="I897">
        <v>6</v>
      </c>
      <c r="J897" t="s">
        <v>35</v>
      </c>
      <c r="K897" s="12">
        <f t="shared" si="13"/>
        <v>24000</v>
      </c>
      <c r="L897" s="12">
        <f>Sales_Data[[#This Row],[Unit Price]]*Sales_Data[[#This Row],[Quantity]]</f>
        <v>180000</v>
      </c>
      <c r="M897" s="12">
        <f>Sales_Data[[#This Row],[Cost Price]]*Sales_Data[[#This Row],[Quantity]]</f>
        <v>144000</v>
      </c>
      <c r="N897" s="12">
        <f>Sales_Data[[#This Row],[Revenue]]-Sales_Data[[#This Row],[COGS]]</f>
        <v>36000</v>
      </c>
    </row>
    <row r="898" spans="1:14">
      <c r="A898" s="1">
        <v>46572</v>
      </c>
      <c r="B898" t="s">
        <v>29</v>
      </c>
      <c r="C898" t="s">
        <v>26</v>
      </c>
      <c r="D898" t="s">
        <v>23</v>
      </c>
      <c r="E898" t="s">
        <v>14</v>
      </c>
      <c r="F898" t="s">
        <v>27</v>
      </c>
      <c r="G898" t="s">
        <v>22</v>
      </c>
      <c r="H898" s="12">
        <v>60000</v>
      </c>
      <c r="I898">
        <v>7</v>
      </c>
      <c r="J898" t="s">
        <v>28</v>
      </c>
      <c r="K898" s="12">
        <f t="shared" ref="K898:K961" si="14">H898-H898*0.2</f>
        <v>48000</v>
      </c>
      <c r="L898" s="12">
        <f>Sales_Data[[#This Row],[Unit Price]]*Sales_Data[[#This Row],[Quantity]]</f>
        <v>420000</v>
      </c>
      <c r="M898" s="12">
        <f>Sales_Data[[#This Row],[Cost Price]]*Sales_Data[[#This Row],[Quantity]]</f>
        <v>336000</v>
      </c>
      <c r="N898" s="12">
        <f>Sales_Data[[#This Row],[Revenue]]-Sales_Data[[#This Row],[COGS]]</f>
        <v>84000</v>
      </c>
    </row>
    <row r="899" spans="1:14">
      <c r="A899" s="1">
        <v>46573</v>
      </c>
      <c r="B899" t="s">
        <v>25</v>
      </c>
      <c r="C899" t="s">
        <v>26</v>
      </c>
      <c r="D899" t="s">
        <v>13</v>
      </c>
      <c r="E899" t="s">
        <v>14</v>
      </c>
      <c r="F899" t="s">
        <v>33</v>
      </c>
      <c r="G899" t="s">
        <v>22</v>
      </c>
      <c r="H899" s="12">
        <v>180000</v>
      </c>
      <c r="I899">
        <v>2</v>
      </c>
      <c r="J899" t="s">
        <v>35</v>
      </c>
      <c r="K899" s="12">
        <f t="shared" si="14"/>
        <v>144000</v>
      </c>
      <c r="L899" s="12">
        <f>Sales_Data[[#This Row],[Unit Price]]*Sales_Data[[#This Row],[Quantity]]</f>
        <v>360000</v>
      </c>
      <c r="M899" s="12">
        <f>Sales_Data[[#This Row],[Cost Price]]*Sales_Data[[#This Row],[Quantity]]</f>
        <v>288000</v>
      </c>
      <c r="N899" s="12">
        <f>Sales_Data[[#This Row],[Revenue]]-Sales_Data[[#This Row],[COGS]]</f>
        <v>72000</v>
      </c>
    </row>
    <row r="900" spans="1:14">
      <c r="A900" s="1">
        <v>46574</v>
      </c>
      <c r="B900" t="s">
        <v>18</v>
      </c>
      <c r="C900" t="s">
        <v>32</v>
      </c>
      <c r="D900" t="s">
        <v>23</v>
      </c>
      <c r="E900" t="s">
        <v>20</v>
      </c>
      <c r="F900" t="s">
        <v>21</v>
      </c>
      <c r="G900" t="s">
        <v>22</v>
      </c>
      <c r="H900" s="12">
        <v>30000</v>
      </c>
      <c r="I900">
        <v>5</v>
      </c>
      <c r="J900" t="s">
        <v>17</v>
      </c>
      <c r="K900" s="12">
        <f t="shared" si="14"/>
        <v>24000</v>
      </c>
      <c r="L900" s="12">
        <f>Sales_Data[[#This Row],[Unit Price]]*Sales_Data[[#This Row],[Quantity]]</f>
        <v>150000</v>
      </c>
      <c r="M900" s="12">
        <f>Sales_Data[[#This Row],[Cost Price]]*Sales_Data[[#This Row],[Quantity]]</f>
        <v>120000</v>
      </c>
      <c r="N900" s="12">
        <f>Sales_Data[[#This Row],[Revenue]]-Sales_Data[[#This Row],[COGS]]</f>
        <v>30000</v>
      </c>
    </row>
    <row r="901" spans="1:14">
      <c r="A901" s="1">
        <v>46575</v>
      </c>
      <c r="B901" t="s">
        <v>11</v>
      </c>
      <c r="C901" t="s">
        <v>19</v>
      </c>
      <c r="D901" t="s">
        <v>23</v>
      </c>
      <c r="E901" t="s">
        <v>20</v>
      </c>
      <c r="F901" t="s">
        <v>36</v>
      </c>
      <c r="G901" t="s">
        <v>31</v>
      </c>
      <c r="H901" s="12">
        <v>150000</v>
      </c>
      <c r="I901">
        <v>2</v>
      </c>
      <c r="J901" t="s">
        <v>37</v>
      </c>
      <c r="K901" s="12">
        <f t="shared" si="14"/>
        <v>120000</v>
      </c>
      <c r="L901" s="12">
        <f>Sales_Data[[#This Row],[Unit Price]]*Sales_Data[[#This Row],[Quantity]]</f>
        <v>300000</v>
      </c>
      <c r="M901" s="12">
        <f>Sales_Data[[#This Row],[Cost Price]]*Sales_Data[[#This Row],[Quantity]]</f>
        <v>240000</v>
      </c>
      <c r="N901" s="12">
        <f>Sales_Data[[#This Row],[Revenue]]-Sales_Data[[#This Row],[COGS]]</f>
        <v>60000</v>
      </c>
    </row>
    <row r="902" spans="1:14">
      <c r="A902" s="1">
        <v>46576</v>
      </c>
      <c r="B902" t="s">
        <v>25</v>
      </c>
      <c r="C902" t="s">
        <v>12</v>
      </c>
      <c r="D902" t="s">
        <v>13</v>
      </c>
      <c r="E902" t="s">
        <v>14</v>
      </c>
      <c r="F902" t="s">
        <v>21</v>
      </c>
      <c r="G902" t="s">
        <v>22</v>
      </c>
      <c r="H902" s="12">
        <v>30000</v>
      </c>
      <c r="I902">
        <v>9</v>
      </c>
      <c r="J902" t="s">
        <v>39</v>
      </c>
      <c r="K902" s="12">
        <f t="shared" si="14"/>
        <v>24000</v>
      </c>
      <c r="L902" s="12">
        <f>Sales_Data[[#This Row],[Unit Price]]*Sales_Data[[#This Row],[Quantity]]</f>
        <v>270000</v>
      </c>
      <c r="M902" s="12">
        <f>Sales_Data[[#This Row],[Cost Price]]*Sales_Data[[#This Row],[Quantity]]</f>
        <v>216000</v>
      </c>
      <c r="N902" s="12">
        <f>Sales_Data[[#This Row],[Revenue]]-Sales_Data[[#This Row],[COGS]]</f>
        <v>54000</v>
      </c>
    </row>
    <row r="903" spans="1:14">
      <c r="A903" s="1">
        <v>46577</v>
      </c>
      <c r="B903" t="s">
        <v>25</v>
      </c>
      <c r="C903" t="s">
        <v>26</v>
      </c>
      <c r="D903" t="s">
        <v>23</v>
      </c>
      <c r="E903" t="s">
        <v>14</v>
      </c>
      <c r="F903" t="s">
        <v>36</v>
      </c>
      <c r="G903" t="s">
        <v>31</v>
      </c>
      <c r="H903" s="12">
        <v>150000</v>
      </c>
      <c r="I903">
        <v>5</v>
      </c>
      <c r="J903" t="s">
        <v>35</v>
      </c>
      <c r="K903" s="12">
        <f t="shared" si="14"/>
        <v>120000</v>
      </c>
      <c r="L903" s="12">
        <f>Sales_Data[[#This Row],[Unit Price]]*Sales_Data[[#This Row],[Quantity]]</f>
        <v>750000</v>
      </c>
      <c r="M903" s="12">
        <f>Sales_Data[[#This Row],[Cost Price]]*Sales_Data[[#This Row],[Quantity]]</f>
        <v>600000</v>
      </c>
      <c r="N903" s="12">
        <f>Sales_Data[[#This Row],[Revenue]]-Sales_Data[[#This Row],[COGS]]</f>
        <v>150000</v>
      </c>
    </row>
    <row r="904" spans="1:14">
      <c r="A904" s="1">
        <v>46578</v>
      </c>
      <c r="B904" t="s">
        <v>25</v>
      </c>
      <c r="C904" t="s">
        <v>26</v>
      </c>
      <c r="D904" t="s">
        <v>13</v>
      </c>
      <c r="E904" t="s">
        <v>20</v>
      </c>
      <c r="F904" t="s">
        <v>27</v>
      </c>
      <c r="G904" t="s">
        <v>22</v>
      </c>
      <c r="H904" s="12">
        <v>60000</v>
      </c>
      <c r="I904">
        <v>8</v>
      </c>
      <c r="J904" t="s">
        <v>39</v>
      </c>
      <c r="K904" s="12">
        <f t="shared" si="14"/>
        <v>48000</v>
      </c>
      <c r="L904" s="12">
        <f>Sales_Data[[#This Row],[Unit Price]]*Sales_Data[[#This Row],[Quantity]]</f>
        <v>480000</v>
      </c>
      <c r="M904" s="12">
        <f>Sales_Data[[#This Row],[Cost Price]]*Sales_Data[[#This Row],[Quantity]]</f>
        <v>384000</v>
      </c>
      <c r="N904" s="12">
        <f>Sales_Data[[#This Row],[Revenue]]-Sales_Data[[#This Row],[COGS]]</f>
        <v>96000</v>
      </c>
    </row>
    <row r="905" spans="1:14">
      <c r="A905" s="1">
        <v>46579</v>
      </c>
      <c r="B905" t="s">
        <v>18</v>
      </c>
      <c r="C905" t="s">
        <v>19</v>
      </c>
      <c r="D905" t="s">
        <v>13</v>
      </c>
      <c r="E905" t="s">
        <v>14</v>
      </c>
      <c r="F905" t="s">
        <v>36</v>
      </c>
      <c r="G905" t="s">
        <v>31</v>
      </c>
      <c r="H905" s="12">
        <v>150000</v>
      </c>
      <c r="I905">
        <v>8</v>
      </c>
      <c r="J905" t="s">
        <v>37</v>
      </c>
      <c r="K905" s="12">
        <f t="shared" si="14"/>
        <v>120000</v>
      </c>
      <c r="L905" s="12">
        <f>Sales_Data[[#This Row],[Unit Price]]*Sales_Data[[#This Row],[Quantity]]</f>
        <v>1200000</v>
      </c>
      <c r="M905" s="12">
        <f>Sales_Data[[#This Row],[Cost Price]]*Sales_Data[[#This Row],[Quantity]]</f>
        <v>960000</v>
      </c>
      <c r="N905" s="12">
        <f>Sales_Data[[#This Row],[Revenue]]-Sales_Data[[#This Row],[COGS]]</f>
        <v>240000</v>
      </c>
    </row>
    <row r="906" spans="1:14">
      <c r="A906" s="1">
        <v>46580</v>
      </c>
      <c r="B906" t="s">
        <v>18</v>
      </c>
      <c r="C906" t="s">
        <v>26</v>
      </c>
      <c r="D906" t="s">
        <v>13</v>
      </c>
      <c r="E906" t="s">
        <v>20</v>
      </c>
      <c r="F906" t="s">
        <v>15</v>
      </c>
      <c r="G906" t="s">
        <v>16</v>
      </c>
      <c r="H906" s="12">
        <v>85000</v>
      </c>
      <c r="I906">
        <v>3</v>
      </c>
      <c r="J906" t="s">
        <v>39</v>
      </c>
      <c r="K906" s="12">
        <f t="shared" si="14"/>
        <v>68000</v>
      </c>
      <c r="L906" s="12">
        <f>Sales_Data[[#This Row],[Unit Price]]*Sales_Data[[#This Row],[Quantity]]</f>
        <v>255000</v>
      </c>
      <c r="M906" s="12">
        <f>Sales_Data[[#This Row],[Cost Price]]*Sales_Data[[#This Row],[Quantity]]</f>
        <v>204000</v>
      </c>
      <c r="N906" s="12">
        <f>Sales_Data[[#This Row],[Revenue]]-Sales_Data[[#This Row],[COGS]]</f>
        <v>51000</v>
      </c>
    </row>
    <row r="907" spans="1:14">
      <c r="A907" s="1">
        <v>46581</v>
      </c>
      <c r="B907" t="s">
        <v>25</v>
      </c>
      <c r="C907" t="s">
        <v>12</v>
      </c>
      <c r="D907" t="s">
        <v>23</v>
      </c>
      <c r="E907" t="s">
        <v>14</v>
      </c>
      <c r="F907" t="s">
        <v>33</v>
      </c>
      <c r="G907" t="s">
        <v>22</v>
      </c>
      <c r="H907" s="12">
        <v>180000</v>
      </c>
      <c r="I907">
        <v>4</v>
      </c>
      <c r="J907" t="s">
        <v>37</v>
      </c>
      <c r="K907" s="12">
        <f t="shared" si="14"/>
        <v>144000</v>
      </c>
      <c r="L907" s="12">
        <f>Sales_Data[[#This Row],[Unit Price]]*Sales_Data[[#This Row],[Quantity]]</f>
        <v>720000</v>
      </c>
      <c r="M907" s="12">
        <f>Sales_Data[[#This Row],[Cost Price]]*Sales_Data[[#This Row],[Quantity]]</f>
        <v>576000</v>
      </c>
      <c r="N907" s="12">
        <f>Sales_Data[[#This Row],[Revenue]]-Sales_Data[[#This Row],[COGS]]</f>
        <v>144000</v>
      </c>
    </row>
    <row r="908" spans="1:14">
      <c r="A908" s="1">
        <v>46582</v>
      </c>
      <c r="B908" t="s">
        <v>29</v>
      </c>
      <c r="C908" t="s">
        <v>12</v>
      </c>
      <c r="D908" t="s">
        <v>13</v>
      </c>
      <c r="E908" t="s">
        <v>14</v>
      </c>
      <c r="F908" t="s">
        <v>38</v>
      </c>
      <c r="G908" t="s">
        <v>31</v>
      </c>
      <c r="H908" s="12">
        <v>420000</v>
      </c>
      <c r="I908">
        <v>7</v>
      </c>
      <c r="J908" t="s">
        <v>24</v>
      </c>
      <c r="K908" s="12">
        <f t="shared" si="14"/>
        <v>336000</v>
      </c>
      <c r="L908" s="12">
        <f>Sales_Data[[#This Row],[Unit Price]]*Sales_Data[[#This Row],[Quantity]]</f>
        <v>2940000</v>
      </c>
      <c r="M908" s="12">
        <f>Sales_Data[[#This Row],[Cost Price]]*Sales_Data[[#This Row],[Quantity]]</f>
        <v>2352000</v>
      </c>
      <c r="N908" s="12">
        <f>Sales_Data[[#This Row],[Revenue]]-Sales_Data[[#This Row],[COGS]]</f>
        <v>588000</v>
      </c>
    </row>
    <row r="909" spans="1:14">
      <c r="A909" s="1">
        <v>46583</v>
      </c>
      <c r="B909" t="s">
        <v>18</v>
      </c>
      <c r="C909" t="s">
        <v>19</v>
      </c>
      <c r="D909" t="s">
        <v>13</v>
      </c>
      <c r="E909" t="s">
        <v>20</v>
      </c>
      <c r="F909" t="s">
        <v>27</v>
      </c>
      <c r="G909" t="s">
        <v>22</v>
      </c>
      <c r="H909" s="12">
        <v>60000</v>
      </c>
      <c r="I909">
        <v>8</v>
      </c>
      <c r="J909" t="s">
        <v>24</v>
      </c>
      <c r="K909" s="12">
        <f t="shared" si="14"/>
        <v>48000</v>
      </c>
      <c r="L909" s="12">
        <f>Sales_Data[[#This Row],[Unit Price]]*Sales_Data[[#This Row],[Quantity]]</f>
        <v>480000</v>
      </c>
      <c r="M909" s="12">
        <f>Sales_Data[[#This Row],[Cost Price]]*Sales_Data[[#This Row],[Quantity]]</f>
        <v>384000</v>
      </c>
      <c r="N909" s="12">
        <f>Sales_Data[[#This Row],[Revenue]]-Sales_Data[[#This Row],[COGS]]</f>
        <v>96000</v>
      </c>
    </row>
    <row r="910" spans="1:14">
      <c r="A910" s="1">
        <v>46584</v>
      </c>
      <c r="B910" t="s">
        <v>25</v>
      </c>
      <c r="C910" t="s">
        <v>26</v>
      </c>
      <c r="D910" t="s">
        <v>13</v>
      </c>
      <c r="E910" t="s">
        <v>20</v>
      </c>
      <c r="F910" t="s">
        <v>30</v>
      </c>
      <c r="G910" t="s">
        <v>31</v>
      </c>
      <c r="H910" s="12">
        <v>300000</v>
      </c>
      <c r="I910">
        <v>1</v>
      </c>
      <c r="J910" t="s">
        <v>35</v>
      </c>
      <c r="K910" s="12">
        <f t="shared" si="14"/>
        <v>240000</v>
      </c>
      <c r="L910" s="12">
        <f>Sales_Data[[#This Row],[Unit Price]]*Sales_Data[[#This Row],[Quantity]]</f>
        <v>300000</v>
      </c>
      <c r="M910" s="12">
        <f>Sales_Data[[#This Row],[Cost Price]]*Sales_Data[[#This Row],[Quantity]]</f>
        <v>240000</v>
      </c>
      <c r="N910" s="12">
        <f>Sales_Data[[#This Row],[Revenue]]-Sales_Data[[#This Row],[COGS]]</f>
        <v>60000</v>
      </c>
    </row>
    <row r="911" spans="1:14">
      <c r="A911" s="1">
        <v>46585</v>
      </c>
      <c r="B911" t="s">
        <v>18</v>
      </c>
      <c r="C911" t="s">
        <v>26</v>
      </c>
      <c r="D911" t="s">
        <v>13</v>
      </c>
      <c r="E911" t="s">
        <v>14</v>
      </c>
      <c r="F911" t="s">
        <v>21</v>
      </c>
      <c r="G911" t="s">
        <v>22</v>
      </c>
      <c r="H911" s="12">
        <v>30000</v>
      </c>
      <c r="I911">
        <v>6</v>
      </c>
      <c r="J911" t="s">
        <v>35</v>
      </c>
      <c r="K911" s="12">
        <f t="shared" si="14"/>
        <v>24000</v>
      </c>
      <c r="L911" s="12">
        <f>Sales_Data[[#This Row],[Unit Price]]*Sales_Data[[#This Row],[Quantity]]</f>
        <v>180000</v>
      </c>
      <c r="M911" s="12">
        <f>Sales_Data[[#This Row],[Cost Price]]*Sales_Data[[#This Row],[Quantity]]</f>
        <v>144000</v>
      </c>
      <c r="N911" s="12">
        <f>Sales_Data[[#This Row],[Revenue]]-Sales_Data[[#This Row],[COGS]]</f>
        <v>36000</v>
      </c>
    </row>
    <row r="912" spans="1:14">
      <c r="A912" s="1">
        <v>46586</v>
      </c>
      <c r="B912" t="s">
        <v>29</v>
      </c>
      <c r="C912" t="s">
        <v>19</v>
      </c>
      <c r="D912" t="s">
        <v>23</v>
      </c>
      <c r="E912" t="s">
        <v>20</v>
      </c>
      <c r="F912" t="s">
        <v>40</v>
      </c>
      <c r="G912" t="s">
        <v>31</v>
      </c>
      <c r="H912" s="12">
        <v>250000</v>
      </c>
      <c r="I912">
        <v>9</v>
      </c>
      <c r="J912" t="s">
        <v>37</v>
      </c>
      <c r="K912" s="12">
        <f t="shared" si="14"/>
        <v>200000</v>
      </c>
      <c r="L912" s="12">
        <f>Sales_Data[[#This Row],[Unit Price]]*Sales_Data[[#This Row],[Quantity]]</f>
        <v>2250000</v>
      </c>
      <c r="M912" s="12">
        <f>Sales_Data[[#This Row],[Cost Price]]*Sales_Data[[#This Row],[Quantity]]</f>
        <v>1800000</v>
      </c>
      <c r="N912" s="12">
        <f>Sales_Data[[#This Row],[Revenue]]-Sales_Data[[#This Row],[COGS]]</f>
        <v>450000</v>
      </c>
    </row>
    <row r="913" spans="1:14">
      <c r="A913" s="1">
        <v>46587</v>
      </c>
      <c r="B913" t="s">
        <v>18</v>
      </c>
      <c r="C913" t="s">
        <v>26</v>
      </c>
      <c r="D913" t="s">
        <v>23</v>
      </c>
      <c r="E913" t="s">
        <v>20</v>
      </c>
      <c r="F913" t="s">
        <v>38</v>
      </c>
      <c r="G913" t="s">
        <v>31</v>
      </c>
      <c r="H913" s="12">
        <v>420000</v>
      </c>
      <c r="I913">
        <v>9</v>
      </c>
      <c r="J913" t="s">
        <v>35</v>
      </c>
      <c r="K913" s="12">
        <f t="shared" si="14"/>
        <v>336000</v>
      </c>
      <c r="L913" s="12">
        <f>Sales_Data[[#This Row],[Unit Price]]*Sales_Data[[#This Row],[Quantity]]</f>
        <v>3780000</v>
      </c>
      <c r="M913" s="12">
        <f>Sales_Data[[#This Row],[Cost Price]]*Sales_Data[[#This Row],[Quantity]]</f>
        <v>3024000</v>
      </c>
      <c r="N913" s="12">
        <f>Sales_Data[[#This Row],[Revenue]]-Sales_Data[[#This Row],[COGS]]</f>
        <v>756000</v>
      </c>
    </row>
    <row r="914" spans="1:14">
      <c r="A914" s="1">
        <v>46588</v>
      </c>
      <c r="B914" t="s">
        <v>18</v>
      </c>
      <c r="C914" t="s">
        <v>26</v>
      </c>
      <c r="D914" t="s">
        <v>23</v>
      </c>
      <c r="E914" t="s">
        <v>20</v>
      </c>
      <c r="F914" t="s">
        <v>36</v>
      </c>
      <c r="G914" t="s">
        <v>31</v>
      </c>
      <c r="H914" s="12">
        <v>150000</v>
      </c>
      <c r="I914">
        <v>9</v>
      </c>
      <c r="J914" t="s">
        <v>35</v>
      </c>
      <c r="K914" s="12">
        <f t="shared" si="14"/>
        <v>120000</v>
      </c>
      <c r="L914" s="12">
        <f>Sales_Data[[#This Row],[Unit Price]]*Sales_Data[[#This Row],[Quantity]]</f>
        <v>1350000</v>
      </c>
      <c r="M914" s="12">
        <f>Sales_Data[[#This Row],[Cost Price]]*Sales_Data[[#This Row],[Quantity]]</f>
        <v>1080000</v>
      </c>
      <c r="N914" s="12">
        <f>Sales_Data[[#This Row],[Revenue]]-Sales_Data[[#This Row],[COGS]]</f>
        <v>270000</v>
      </c>
    </row>
    <row r="915" spans="1:14">
      <c r="A915" s="1">
        <v>46589</v>
      </c>
      <c r="B915" t="s">
        <v>18</v>
      </c>
      <c r="C915" t="s">
        <v>19</v>
      </c>
      <c r="D915" t="s">
        <v>23</v>
      </c>
      <c r="E915" t="s">
        <v>14</v>
      </c>
      <c r="F915" t="s">
        <v>30</v>
      </c>
      <c r="G915" t="s">
        <v>31</v>
      </c>
      <c r="H915" s="12">
        <v>300000</v>
      </c>
      <c r="I915">
        <v>5</v>
      </c>
      <c r="J915" t="s">
        <v>39</v>
      </c>
      <c r="K915" s="12">
        <f t="shared" si="14"/>
        <v>240000</v>
      </c>
      <c r="L915" s="12">
        <f>Sales_Data[[#This Row],[Unit Price]]*Sales_Data[[#This Row],[Quantity]]</f>
        <v>1500000</v>
      </c>
      <c r="M915" s="12">
        <f>Sales_Data[[#This Row],[Cost Price]]*Sales_Data[[#This Row],[Quantity]]</f>
        <v>1200000</v>
      </c>
      <c r="N915" s="12">
        <f>Sales_Data[[#This Row],[Revenue]]-Sales_Data[[#This Row],[COGS]]</f>
        <v>300000</v>
      </c>
    </row>
    <row r="916" spans="1:14">
      <c r="A916" s="1">
        <v>46590</v>
      </c>
      <c r="B916" t="s">
        <v>29</v>
      </c>
      <c r="C916" t="s">
        <v>32</v>
      </c>
      <c r="D916" t="s">
        <v>13</v>
      </c>
      <c r="E916" t="s">
        <v>14</v>
      </c>
      <c r="F916" t="s">
        <v>21</v>
      </c>
      <c r="G916" t="s">
        <v>22</v>
      </c>
      <c r="H916" s="12">
        <v>30000</v>
      </c>
      <c r="I916">
        <v>4</v>
      </c>
      <c r="J916" t="s">
        <v>35</v>
      </c>
      <c r="K916" s="12">
        <f t="shared" si="14"/>
        <v>24000</v>
      </c>
      <c r="L916" s="12">
        <f>Sales_Data[[#This Row],[Unit Price]]*Sales_Data[[#This Row],[Quantity]]</f>
        <v>120000</v>
      </c>
      <c r="M916" s="12">
        <f>Sales_Data[[#This Row],[Cost Price]]*Sales_Data[[#This Row],[Quantity]]</f>
        <v>96000</v>
      </c>
      <c r="N916" s="12">
        <f>Sales_Data[[#This Row],[Revenue]]-Sales_Data[[#This Row],[COGS]]</f>
        <v>24000</v>
      </c>
    </row>
    <row r="917" spans="1:14">
      <c r="A917" s="1">
        <v>46591</v>
      </c>
      <c r="B917" t="s">
        <v>11</v>
      </c>
      <c r="C917" t="s">
        <v>32</v>
      </c>
      <c r="D917" t="s">
        <v>13</v>
      </c>
      <c r="E917" t="s">
        <v>20</v>
      </c>
      <c r="F917" t="s">
        <v>38</v>
      </c>
      <c r="G917" t="s">
        <v>31</v>
      </c>
      <c r="H917" s="12">
        <v>420000</v>
      </c>
      <c r="I917">
        <v>7</v>
      </c>
      <c r="J917" t="s">
        <v>39</v>
      </c>
      <c r="K917" s="12">
        <f t="shared" si="14"/>
        <v>336000</v>
      </c>
      <c r="L917" s="12">
        <f>Sales_Data[[#This Row],[Unit Price]]*Sales_Data[[#This Row],[Quantity]]</f>
        <v>2940000</v>
      </c>
      <c r="M917" s="12">
        <f>Sales_Data[[#This Row],[Cost Price]]*Sales_Data[[#This Row],[Quantity]]</f>
        <v>2352000</v>
      </c>
      <c r="N917" s="12">
        <f>Sales_Data[[#This Row],[Revenue]]-Sales_Data[[#This Row],[COGS]]</f>
        <v>588000</v>
      </c>
    </row>
    <row r="918" spans="1:14">
      <c r="A918" s="1">
        <v>46592</v>
      </c>
      <c r="B918" t="s">
        <v>18</v>
      </c>
      <c r="C918" t="s">
        <v>19</v>
      </c>
      <c r="D918" t="s">
        <v>23</v>
      </c>
      <c r="E918" t="s">
        <v>20</v>
      </c>
      <c r="F918" t="s">
        <v>34</v>
      </c>
      <c r="G918" t="s">
        <v>16</v>
      </c>
      <c r="H918" s="12">
        <v>320000</v>
      </c>
      <c r="I918">
        <v>6</v>
      </c>
      <c r="J918" t="s">
        <v>35</v>
      </c>
      <c r="K918" s="12">
        <f t="shared" si="14"/>
        <v>256000</v>
      </c>
      <c r="L918" s="12">
        <f>Sales_Data[[#This Row],[Unit Price]]*Sales_Data[[#This Row],[Quantity]]</f>
        <v>1920000</v>
      </c>
      <c r="M918" s="12">
        <f>Sales_Data[[#This Row],[Cost Price]]*Sales_Data[[#This Row],[Quantity]]</f>
        <v>1536000</v>
      </c>
      <c r="N918" s="12">
        <f>Sales_Data[[#This Row],[Revenue]]-Sales_Data[[#This Row],[COGS]]</f>
        <v>384000</v>
      </c>
    </row>
    <row r="919" spans="1:14">
      <c r="A919" s="1">
        <v>46593</v>
      </c>
      <c r="B919" t="s">
        <v>25</v>
      </c>
      <c r="C919" t="s">
        <v>32</v>
      </c>
      <c r="D919" t="s">
        <v>13</v>
      </c>
      <c r="E919" t="s">
        <v>14</v>
      </c>
      <c r="F919" t="s">
        <v>15</v>
      </c>
      <c r="G919" t="s">
        <v>16</v>
      </c>
      <c r="H919" s="12">
        <v>85000</v>
      </c>
      <c r="I919">
        <v>2</v>
      </c>
      <c r="J919" t="s">
        <v>39</v>
      </c>
      <c r="K919" s="12">
        <f t="shared" si="14"/>
        <v>68000</v>
      </c>
      <c r="L919" s="12">
        <f>Sales_Data[[#This Row],[Unit Price]]*Sales_Data[[#This Row],[Quantity]]</f>
        <v>170000</v>
      </c>
      <c r="M919" s="12">
        <f>Sales_Data[[#This Row],[Cost Price]]*Sales_Data[[#This Row],[Quantity]]</f>
        <v>136000</v>
      </c>
      <c r="N919" s="12">
        <f>Sales_Data[[#This Row],[Revenue]]-Sales_Data[[#This Row],[COGS]]</f>
        <v>34000</v>
      </c>
    </row>
    <row r="920" spans="1:14">
      <c r="A920" s="1">
        <v>46594</v>
      </c>
      <c r="B920" t="s">
        <v>11</v>
      </c>
      <c r="C920" t="s">
        <v>19</v>
      </c>
      <c r="D920" t="s">
        <v>13</v>
      </c>
      <c r="E920" t="s">
        <v>14</v>
      </c>
      <c r="F920" t="s">
        <v>36</v>
      </c>
      <c r="G920" t="s">
        <v>31</v>
      </c>
      <c r="H920" s="12">
        <v>150000</v>
      </c>
      <c r="I920">
        <v>1</v>
      </c>
      <c r="J920" t="s">
        <v>39</v>
      </c>
      <c r="K920" s="12">
        <f t="shared" si="14"/>
        <v>120000</v>
      </c>
      <c r="L920" s="12">
        <f>Sales_Data[[#This Row],[Unit Price]]*Sales_Data[[#This Row],[Quantity]]</f>
        <v>150000</v>
      </c>
      <c r="M920" s="12">
        <f>Sales_Data[[#This Row],[Cost Price]]*Sales_Data[[#This Row],[Quantity]]</f>
        <v>120000</v>
      </c>
      <c r="N920" s="12">
        <f>Sales_Data[[#This Row],[Revenue]]-Sales_Data[[#This Row],[COGS]]</f>
        <v>30000</v>
      </c>
    </row>
    <row r="921" spans="1:14">
      <c r="A921" s="1">
        <v>46595</v>
      </c>
      <c r="B921" t="s">
        <v>11</v>
      </c>
      <c r="C921" t="s">
        <v>12</v>
      </c>
      <c r="D921" t="s">
        <v>23</v>
      </c>
      <c r="E921" t="s">
        <v>20</v>
      </c>
      <c r="F921" t="s">
        <v>15</v>
      </c>
      <c r="G921" t="s">
        <v>16</v>
      </c>
      <c r="H921" s="12">
        <v>85000</v>
      </c>
      <c r="I921">
        <v>2</v>
      </c>
      <c r="J921" t="s">
        <v>37</v>
      </c>
      <c r="K921" s="12">
        <f t="shared" si="14"/>
        <v>68000</v>
      </c>
      <c r="L921" s="12">
        <f>Sales_Data[[#This Row],[Unit Price]]*Sales_Data[[#This Row],[Quantity]]</f>
        <v>170000</v>
      </c>
      <c r="M921" s="12">
        <f>Sales_Data[[#This Row],[Cost Price]]*Sales_Data[[#This Row],[Quantity]]</f>
        <v>136000</v>
      </c>
      <c r="N921" s="12">
        <f>Sales_Data[[#This Row],[Revenue]]-Sales_Data[[#This Row],[COGS]]</f>
        <v>34000</v>
      </c>
    </row>
    <row r="922" spans="1:14">
      <c r="A922" s="1">
        <v>46596</v>
      </c>
      <c r="B922" t="s">
        <v>11</v>
      </c>
      <c r="C922" t="s">
        <v>32</v>
      </c>
      <c r="D922" t="s">
        <v>23</v>
      </c>
      <c r="E922" t="s">
        <v>14</v>
      </c>
      <c r="F922" t="s">
        <v>15</v>
      </c>
      <c r="G922" t="s">
        <v>16</v>
      </c>
      <c r="H922" s="12">
        <v>85000</v>
      </c>
      <c r="I922">
        <v>1</v>
      </c>
      <c r="J922" t="s">
        <v>28</v>
      </c>
      <c r="K922" s="12">
        <f t="shared" si="14"/>
        <v>68000</v>
      </c>
      <c r="L922" s="12">
        <f>Sales_Data[[#This Row],[Unit Price]]*Sales_Data[[#This Row],[Quantity]]</f>
        <v>85000</v>
      </c>
      <c r="M922" s="12">
        <f>Sales_Data[[#This Row],[Cost Price]]*Sales_Data[[#This Row],[Quantity]]</f>
        <v>68000</v>
      </c>
      <c r="N922" s="12">
        <f>Sales_Data[[#This Row],[Revenue]]-Sales_Data[[#This Row],[COGS]]</f>
        <v>17000</v>
      </c>
    </row>
    <row r="923" spans="1:14">
      <c r="A923" s="1">
        <v>46597</v>
      </c>
      <c r="B923" t="s">
        <v>29</v>
      </c>
      <c r="C923" t="s">
        <v>26</v>
      </c>
      <c r="D923" t="s">
        <v>13</v>
      </c>
      <c r="E923" t="s">
        <v>14</v>
      </c>
      <c r="F923" t="s">
        <v>33</v>
      </c>
      <c r="G923" t="s">
        <v>22</v>
      </c>
      <c r="H923" s="12">
        <v>180000</v>
      </c>
      <c r="I923">
        <v>4</v>
      </c>
      <c r="J923" t="s">
        <v>39</v>
      </c>
      <c r="K923" s="12">
        <f t="shared" si="14"/>
        <v>144000</v>
      </c>
      <c r="L923" s="12">
        <f>Sales_Data[[#This Row],[Unit Price]]*Sales_Data[[#This Row],[Quantity]]</f>
        <v>720000</v>
      </c>
      <c r="M923" s="12">
        <f>Sales_Data[[#This Row],[Cost Price]]*Sales_Data[[#This Row],[Quantity]]</f>
        <v>576000</v>
      </c>
      <c r="N923" s="12">
        <f>Sales_Data[[#This Row],[Revenue]]-Sales_Data[[#This Row],[COGS]]</f>
        <v>144000</v>
      </c>
    </row>
    <row r="924" spans="1:14">
      <c r="A924" s="1">
        <v>46598</v>
      </c>
      <c r="B924" t="s">
        <v>18</v>
      </c>
      <c r="C924" t="s">
        <v>12</v>
      </c>
      <c r="D924" t="s">
        <v>23</v>
      </c>
      <c r="E924" t="s">
        <v>14</v>
      </c>
      <c r="F924" t="s">
        <v>38</v>
      </c>
      <c r="G924" t="s">
        <v>31</v>
      </c>
      <c r="H924" s="12">
        <v>420000</v>
      </c>
      <c r="I924">
        <v>8</v>
      </c>
      <c r="J924" t="s">
        <v>24</v>
      </c>
      <c r="K924" s="12">
        <f t="shared" si="14"/>
        <v>336000</v>
      </c>
      <c r="L924" s="12">
        <f>Sales_Data[[#This Row],[Unit Price]]*Sales_Data[[#This Row],[Quantity]]</f>
        <v>3360000</v>
      </c>
      <c r="M924" s="12">
        <f>Sales_Data[[#This Row],[Cost Price]]*Sales_Data[[#This Row],[Quantity]]</f>
        <v>2688000</v>
      </c>
      <c r="N924" s="12">
        <f>Sales_Data[[#This Row],[Revenue]]-Sales_Data[[#This Row],[COGS]]</f>
        <v>672000</v>
      </c>
    </row>
    <row r="925" spans="1:14">
      <c r="A925" s="1">
        <v>46599</v>
      </c>
      <c r="B925" t="s">
        <v>11</v>
      </c>
      <c r="C925" t="s">
        <v>26</v>
      </c>
      <c r="D925" t="s">
        <v>23</v>
      </c>
      <c r="E925" t="s">
        <v>20</v>
      </c>
      <c r="F925" t="s">
        <v>33</v>
      </c>
      <c r="G925" t="s">
        <v>22</v>
      </c>
      <c r="H925" s="12">
        <v>180000</v>
      </c>
      <c r="I925">
        <v>9</v>
      </c>
      <c r="J925" t="s">
        <v>24</v>
      </c>
      <c r="K925" s="12">
        <f t="shared" si="14"/>
        <v>144000</v>
      </c>
      <c r="L925" s="12">
        <f>Sales_Data[[#This Row],[Unit Price]]*Sales_Data[[#This Row],[Quantity]]</f>
        <v>1620000</v>
      </c>
      <c r="M925" s="12">
        <f>Sales_Data[[#This Row],[Cost Price]]*Sales_Data[[#This Row],[Quantity]]</f>
        <v>1296000</v>
      </c>
      <c r="N925" s="12">
        <f>Sales_Data[[#This Row],[Revenue]]-Sales_Data[[#This Row],[COGS]]</f>
        <v>324000</v>
      </c>
    </row>
    <row r="926" spans="1:14">
      <c r="A926" s="1">
        <v>46600</v>
      </c>
      <c r="B926" t="s">
        <v>29</v>
      </c>
      <c r="C926" t="s">
        <v>19</v>
      </c>
      <c r="D926" t="s">
        <v>23</v>
      </c>
      <c r="E926" t="s">
        <v>20</v>
      </c>
      <c r="F926" t="s">
        <v>30</v>
      </c>
      <c r="G926" t="s">
        <v>31</v>
      </c>
      <c r="H926" s="12">
        <v>300000</v>
      </c>
      <c r="I926">
        <v>5</v>
      </c>
      <c r="J926" t="s">
        <v>39</v>
      </c>
      <c r="K926" s="12">
        <f t="shared" si="14"/>
        <v>240000</v>
      </c>
      <c r="L926" s="12">
        <f>Sales_Data[[#This Row],[Unit Price]]*Sales_Data[[#This Row],[Quantity]]</f>
        <v>1500000</v>
      </c>
      <c r="M926" s="12">
        <f>Sales_Data[[#This Row],[Cost Price]]*Sales_Data[[#This Row],[Quantity]]</f>
        <v>1200000</v>
      </c>
      <c r="N926" s="12">
        <f>Sales_Data[[#This Row],[Revenue]]-Sales_Data[[#This Row],[COGS]]</f>
        <v>300000</v>
      </c>
    </row>
    <row r="927" spans="1:14">
      <c r="A927" s="1">
        <v>46601</v>
      </c>
      <c r="B927" t="s">
        <v>11</v>
      </c>
      <c r="C927" t="s">
        <v>26</v>
      </c>
      <c r="D927" t="s">
        <v>23</v>
      </c>
      <c r="E927" t="s">
        <v>20</v>
      </c>
      <c r="F927" t="s">
        <v>27</v>
      </c>
      <c r="G927" t="s">
        <v>22</v>
      </c>
      <c r="H927" s="12">
        <v>60000</v>
      </c>
      <c r="I927">
        <v>4</v>
      </c>
      <c r="J927" t="s">
        <v>37</v>
      </c>
      <c r="K927" s="12">
        <f t="shared" si="14"/>
        <v>48000</v>
      </c>
      <c r="L927" s="12">
        <f>Sales_Data[[#This Row],[Unit Price]]*Sales_Data[[#This Row],[Quantity]]</f>
        <v>240000</v>
      </c>
      <c r="M927" s="12">
        <f>Sales_Data[[#This Row],[Cost Price]]*Sales_Data[[#This Row],[Quantity]]</f>
        <v>192000</v>
      </c>
      <c r="N927" s="12">
        <f>Sales_Data[[#This Row],[Revenue]]-Sales_Data[[#This Row],[COGS]]</f>
        <v>48000</v>
      </c>
    </row>
    <row r="928" spans="1:14">
      <c r="A928" s="1">
        <v>46602</v>
      </c>
      <c r="B928" t="s">
        <v>18</v>
      </c>
      <c r="C928" t="s">
        <v>19</v>
      </c>
      <c r="D928" t="s">
        <v>23</v>
      </c>
      <c r="E928" t="s">
        <v>14</v>
      </c>
      <c r="F928" t="s">
        <v>40</v>
      </c>
      <c r="G928" t="s">
        <v>31</v>
      </c>
      <c r="H928" s="12">
        <v>250000</v>
      </c>
      <c r="I928">
        <v>4</v>
      </c>
      <c r="J928" t="s">
        <v>37</v>
      </c>
      <c r="K928" s="12">
        <f t="shared" si="14"/>
        <v>200000</v>
      </c>
      <c r="L928" s="12">
        <f>Sales_Data[[#This Row],[Unit Price]]*Sales_Data[[#This Row],[Quantity]]</f>
        <v>1000000</v>
      </c>
      <c r="M928" s="12">
        <f>Sales_Data[[#This Row],[Cost Price]]*Sales_Data[[#This Row],[Quantity]]</f>
        <v>800000</v>
      </c>
      <c r="N928" s="12">
        <f>Sales_Data[[#This Row],[Revenue]]-Sales_Data[[#This Row],[COGS]]</f>
        <v>200000</v>
      </c>
    </row>
    <row r="929" spans="1:14">
      <c r="A929" s="1">
        <v>46603</v>
      </c>
      <c r="B929" t="s">
        <v>29</v>
      </c>
      <c r="C929" t="s">
        <v>12</v>
      </c>
      <c r="D929" t="s">
        <v>13</v>
      </c>
      <c r="E929" t="s">
        <v>20</v>
      </c>
      <c r="F929" t="s">
        <v>41</v>
      </c>
      <c r="G929" t="s">
        <v>22</v>
      </c>
      <c r="H929" s="12">
        <v>220000</v>
      </c>
      <c r="I929">
        <v>6</v>
      </c>
      <c r="J929" t="s">
        <v>39</v>
      </c>
      <c r="K929" s="12">
        <f t="shared" si="14"/>
        <v>176000</v>
      </c>
      <c r="L929" s="12">
        <f>Sales_Data[[#This Row],[Unit Price]]*Sales_Data[[#This Row],[Quantity]]</f>
        <v>1320000</v>
      </c>
      <c r="M929" s="12">
        <f>Sales_Data[[#This Row],[Cost Price]]*Sales_Data[[#This Row],[Quantity]]</f>
        <v>1056000</v>
      </c>
      <c r="N929" s="12">
        <f>Sales_Data[[#This Row],[Revenue]]-Sales_Data[[#This Row],[COGS]]</f>
        <v>264000</v>
      </c>
    </row>
    <row r="930" spans="1:14">
      <c r="A930" s="1">
        <v>46604</v>
      </c>
      <c r="B930" t="s">
        <v>18</v>
      </c>
      <c r="C930" t="s">
        <v>19</v>
      </c>
      <c r="D930" t="s">
        <v>23</v>
      </c>
      <c r="E930" t="s">
        <v>14</v>
      </c>
      <c r="F930" t="s">
        <v>30</v>
      </c>
      <c r="G930" t="s">
        <v>31</v>
      </c>
      <c r="H930" s="12">
        <v>300000</v>
      </c>
      <c r="I930">
        <v>7</v>
      </c>
      <c r="J930" t="s">
        <v>28</v>
      </c>
      <c r="K930" s="12">
        <f t="shared" si="14"/>
        <v>240000</v>
      </c>
      <c r="L930" s="12">
        <f>Sales_Data[[#This Row],[Unit Price]]*Sales_Data[[#This Row],[Quantity]]</f>
        <v>2100000</v>
      </c>
      <c r="M930" s="12">
        <f>Sales_Data[[#This Row],[Cost Price]]*Sales_Data[[#This Row],[Quantity]]</f>
        <v>1680000</v>
      </c>
      <c r="N930" s="12">
        <f>Sales_Data[[#This Row],[Revenue]]-Sales_Data[[#This Row],[COGS]]</f>
        <v>420000</v>
      </c>
    </row>
    <row r="931" spans="1:14">
      <c r="A931" s="1">
        <v>46605</v>
      </c>
      <c r="B931" t="s">
        <v>25</v>
      </c>
      <c r="C931" t="s">
        <v>19</v>
      </c>
      <c r="D931" t="s">
        <v>13</v>
      </c>
      <c r="E931" t="s">
        <v>14</v>
      </c>
      <c r="F931" t="s">
        <v>38</v>
      </c>
      <c r="G931" t="s">
        <v>31</v>
      </c>
      <c r="H931" s="12">
        <v>420000</v>
      </c>
      <c r="I931">
        <v>10</v>
      </c>
      <c r="J931" t="s">
        <v>28</v>
      </c>
      <c r="K931" s="12">
        <f t="shared" si="14"/>
        <v>336000</v>
      </c>
      <c r="L931" s="12">
        <f>Sales_Data[[#This Row],[Unit Price]]*Sales_Data[[#This Row],[Quantity]]</f>
        <v>4200000</v>
      </c>
      <c r="M931" s="12">
        <f>Sales_Data[[#This Row],[Cost Price]]*Sales_Data[[#This Row],[Quantity]]</f>
        <v>3360000</v>
      </c>
      <c r="N931" s="12">
        <f>Sales_Data[[#This Row],[Revenue]]-Sales_Data[[#This Row],[COGS]]</f>
        <v>840000</v>
      </c>
    </row>
    <row r="932" spans="1:14">
      <c r="A932" s="1">
        <v>46606</v>
      </c>
      <c r="B932" t="s">
        <v>11</v>
      </c>
      <c r="C932" t="s">
        <v>19</v>
      </c>
      <c r="D932" t="s">
        <v>23</v>
      </c>
      <c r="E932" t="s">
        <v>20</v>
      </c>
      <c r="F932" t="s">
        <v>21</v>
      </c>
      <c r="G932" t="s">
        <v>22</v>
      </c>
      <c r="H932" s="12">
        <v>30000</v>
      </c>
      <c r="I932">
        <v>7</v>
      </c>
      <c r="J932" t="s">
        <v>28</v>
      </c>
      <c r="K932" s="12">
        <f t="shared" si="14"/>
        <v>24000</v>
      </c>
      <c r="L932" s="12">
        <f>Sales_Data[[#This Row],[Unit Price]]*Sales_Data[[#This Row],[Quantity]]</f>
        <v>210000</v>
      </c>
      <c r="M932" s="12">
        <f>Sales_Data[[#This Row],[Cost Price]]*Sales_Data[[#This Row],[Quantity]]</f>
        <v>168000</v>
      </c>
      <c r="N932" s="12">
        <f>Sales_Data[[#This Row],[Revenue]]-Sales_Data[[#This Row],[COGS]]</f>
        <v>42000</v>
      </c>
    </row>
    <row r="933" spans="1:14">
      <c r="A933" s="1">
        <v>46607</v>
      </c>
      <c r="B933" t="s">
        <v>29</v>
      </c>
      <c r="C933" t="s">
        <v>19</v>
      </c>
      <c r="D933" t="s">
        <v>23</v>
      </c>
      <c r="E933" t="s">
        <v>14</v>
      </c>
      <c r="F933" t="s">
        <v>41</v>
      </c>
      <c r="G933" t="s">
        <v>22</v>
      </c>
      <c r="H933" s="12">
        <v>220000</v>
      </c>
      <c r="I933">
        <v>8</v>
      </c>
      <c r="J933" t="s">
        <v>37</v>
      </c>
      <c r="K933" s="12">
        <f t="shared" si="14"/>
        <v>176000</v>
      </c>
      <c r="L933" s="12">
        <f>Sales_Data[[#This Row],[Unit Price]]*Sales_Data[[#This Row],[Quantity]]</f>
        <v>1760000</v>
      </c>
      <c r="M933" s="12">
        <f>Sales_Data[[#This Row],[Cost Price]]*Sales_Data[[#This Row],[Quantity]]</f>
        <v>1408000</v>
      </c>
      <c r="N933" s="12">
        <f>Sales_Data[[#This Row],[Revenue]]-Sales_Data[[#This Row],[COGS]]</f>
        <v>352000</v>
      </c>
    </row>
    <row r="934" spans="1:14">
      <c r="A934" s="1">
        <v>46608</v>
      </c>
      <c r="B934" t="s">
        <v>25</v>
      </c>
      <c r="C934" t="s">
        <v>32</v>
      </c>
      <c r="D934" t="s">
        <v>13</v>
      </c>
      <c r="E934" t="s">
        <v>20</v>
      </c>
      <c r="F934" t="s">
        <v>34</v>
      </c>
      <c r="G934" t="s">
        <v>16</v>
      </c>
      <c r="H934" s="12">
        <v>320000</v>
      </c>
      <c r="I934">
        <v>9</v>
      </c>
      <c r="J934" t="s">
        <v>24</v>
      </c>
      <c r="K934" s="12">
        <f t="shared" si="14"/>
        <v>256000</v>
      </c>
      <c r="L934" s="12">
        <f>Sales_Data[[#This Row],[Unit Price]]*Sales_Data[[#This Row],[Quantity]]</f>
        <v>2880000</v>
      </c>
      <c r="M934" s="12">
        <f>Sales_Data[[#This Row],[Cost Price]]*Sales_Data[[#This Row],[Quantity]]</f>
        <v>2304000</v>
      </c>
      <c r="N934" s="12">
        <f>Sales_Data[[#This Row],[Revenue]]-Sales_Data[[#This Row],[COGS]]</f>
        <v>576000</v>
      </c>
    </row>
    <row r="935" spans="1:14">
      <c r="A935" s="1">
        <v>46609</v>
      </c>
      <c r="B935" t="s">
        <v>18</v>
      </c>
      <c r="C935" t="s">
        <v>26</v>
      </c>
      <c r="D935" t="s">
        <v>23</v>
      </c>
      <c r="E935" t="s">
        <v>20</v>
      </c>
      <c r="F935" t="s">
        <v>33</v>
      </c>
      <c r="G935" t="s">
        <v>22</v>
      </c>
      <c r="H935" s="12">
        <v>180000</v>
      </c>
      <c r="I935">
        <v>8</v>
      </c>
      <c r="J935" t="s">
        <v>28</v>
      </c>
      <c r="K935" s="12">
        <f t="shared" si="14"/>
        <v>144000</v>
      </c>
      <c r="L935" s="12">
        <f>Sales_Data[[#This Row],[Unit Price]]*Sales_Data[[#This Row],[Quantity]]</f>
        <v>1440000</v>
      </c>
      <c r="M935" s="12">
        <f>Sales_Data[[#This Row],[Cost Price]]*Sales_Data[[#This Row],[Quantity]]</f>
        <v>1152000</v>
      </c>
      <c r="N935" s="12">
        <f>Sales_Data[[#This Row],[Revenue]]-Sales_Data[[#This Row],[COGS]]</f>
        <v>288000</v>
      </c>
    </row>
    <row r="936" spans="1:14">
      <c r="A936" s="1">
        <v>46610</v>
      </c>
      <c r="B936" t="s">
        <v>29</v>
      </c>
      <c r="C936" t="s">
        <v>12</v>
      </c>
      <c r="D936" t="s">
        <v>13</v>
      </c>
      <c r="E936" t="s">
        <v>14</v>
      </c>
      <c r="F936" t="s">
        <v>21</v>
      </c>
      <c r="G936" t="s">
        <v>22</v>
      </c>
      <c r="H936" s="12">
        <v>30000</v>
      </c>
      <c r="I936">
        <v>5</v>
      </c>
      <c r="J936" t="s">
        <v>35</v>
      </c>
      <c r="K936" s="12">
        <f t="shared" si="14"/>
        <v>24000</v>
      </c>
      <c r="L936" s="12">
        <f>Sales_Data[[#This Row],[Unit Price]]*Sales_Data[[#This Row],[Quantity]]</f>
        <v>150000</v>
      </c>
      <c r="M936" s="12">
        <f>Sales_Data[[#This Row],[Cost Price]]*Sales_Data[[#This Row],[Quantity]]</f>
        <v>120000</v>
      </c>
      <c r="N936" s="12">
        <f>Sales_Data[[#This Row],[Revenue]]-Sales_Data[[#This Row],[COGS]]</f>
        <v>30000</v>
      </c>
    </row>
    <row r="937" spans="1:14">
      <c r="A937" s="1">
        <v>46611</v>
      </c>
      <c r="B937" t="s">
        <v>25</v>
      </c>
      <c r="C937" t="s">
        <v>26</v>
      </c>
      <c r="D937" t="s">
        <v>13</v>
      </c>
      <c r="E937" t="s">
        <v>20</v>
      </c>
      <c r="F937" t="s">
        <v>34</v>
      </c>
      <c r="G937" t="s">
        <v>16</v>
      </c>
      <c r="H937" s="12">
        <v>320000</v>
      </c>
      <c r="I937">
        <v>8</v>
      </c>
      <c r="J937" t="s">
        <v>28</v>
      </c>
      <c r="K937" s="12">
        <f t="shared" si="14"/>
        <v>256000</v>
      </c>
      <c r="L937" s="12">
        <f>Sales_Data[[#This Row],[Unit Price]]*Sales_Data[[#This Row],[Quantity]]</f>
        <v>2560000</v>
      </c>
      <c r="M937" s="12">
        <f>Sales_Data[[#This Row],[Cost Price]]*Sales_Data[[#This Row],[Quantity]]</f>
        <v>2048000</v>
      </c>
      <c r="N937" s="12">
        <f>Sales_Data[[#This Row],[Revenue]]-Sales_Data[[#This Row],[COGS]]</f>
        <v>512000</v>
      </c>
    </row>
    <row r="938" spans="1:14">
      <c r="A938" s="1">
        <v>46612</v>
      </c>
      <c r="B938" t="s">
        <v>29</v>
      </c>
      <c r="C938" t="s">
        <v>19</v>
      </c>
      <c r="D938" t="s">
        <v>13</v>
      </c>
      <c r="E938" t="s">
        <v>20</v>
      </c>
      <c r="F938" t="s">
        <v>34</v>
      </c>
      <c r="G938" t="s">
        <v>16</v>
      </c>
      <c r="H938" s="12">
        <v>320000</v>
      </c>
      <c r="I938">
        <v>8</v>
      </c>
      <c r="J938" t="s">
        <v>24</v>
      </c>
      <c r="K938" s="12">
        <f t="shared" si="14"/>
        <v>256000</v>
      </c>
      <c r="L938" s="12">
        <f>Sales_Data[[#This Row],[Unit Price]]*Sales_Data[[#This Row],[Quantity]]</f>
        <v>2560000</v>
      </c>
      <c r="M938" s="12">
        <f>Sales_Data[[#This Row],[Cost Price]]*Sales_Data[[#This Row],[Quantity]]</f>
        <v>2048000</v>
      </c>
      <c r="N938" s="12">
        <f>Sales_Data[[#This Row],[Revenue]]-Sales_Data[[#This Row],[COGS]]</f>
        <v>512000</v>
      </c>
    </row>
    <row r="939" spans="1:14">
      <c r="A939" s="1">
        <v>46613</v>
      </c>
      <c r="B939" t="s">
        <v>18</v>
      </c>
      <c r="C939" t="s">
        <v>26</v>
      </c>
      <c r="D939" t="s">
        <v>23</v>
      </c>
      <c r="E939" t="s">
        <v>20</v>
      </c>
      <c r="F939" t="s">
        <v>21</v>
      </c>
      <c r="G939" t="s">
        <v>22</v>
      </c>
      <c r="H939" s="12">
        <v>30000</v>
      </c>
      <c r="I939">
        <v>4</v>
      </c>
      <c r="J939" t="s">
        <v>28</v>
      </c>
      <c r="K939" s="12">
        <f t="shared" si="14"/>
        <v>24000</v>
      </c>
      <c r="L939" s="12">
        <f>Sales_Data[[#This Row],[Unit Price]]*Sales_Data[[#This Row],[Quantity]]</f>
        <v>120000</v>
      </c>
      <c r="M939" s="12">
        <f>Sales_Data[[#This Row],[Cost Price]]*Sales_Data[[#This Row],[Quantity]]</f>
        <v>96000</v>
      </c>
      <c r="N939" s="12">
        <f>Sales_Data[[#This Row],[Revenue]]-Sales_Data[[#This Row],[COGS]]</f>
        <v>24000</v>
      </c>
    </row>
    <row r="940" spans="1:14">
      <c r="A940" s="1">
        <v>46614</v>
      </c>
      <c r="B940" t="s">
        <v>11</v>
      </c>
      <c r="C940" t="s">
        <v>32</v>
      </c>
      <c r="D940" t="s">
        <v>13</v>
      </c>
      <c r="E940" t="s">
        <v>20</v>
      </c>
      <c r="F940" t="s">
        <v>33</v>
      </c>
      <c r="G940" t="s">
        <v>22</v>
      </c>
      <c r="H940" s="12">
        <v>180000</v>
      </c>
      <c r="I940">
        <v>3</v>
      </c>
      <c r="J940" t="s">
        <v>35</v>
      </c>
      <c r="K940" s="12">
        <f t="shared" si="14"/>
        <v>144000</v>
      </c>
      <c r="L940" s="12">
        <f>Sales_Data[[#This Row],[Unit Price]]*Sales_Data[[#This Row],[Quantity]]</f>
        <v>540000</v>
      </c>
      <c r="M940" s="12">
        <f>Sales_Data[[#This Row],[Cost Price]]*Sales_Data[[#This Row],[Quantity]]</f>
        <v>432000</v>
      </c>
      <c r="N940" s="12">
        <f>Sales_Data[[#This Row],[Revenue]]-Sales_Data[[#This Row],[COGS]]</f>
        <v>108000</v>
      </c>
    </row>
    <row r="941" spans="1:14">
      <c r="A941" s="1">
        <v>46615</v>
      </c>
      <c r="B941" t="s">
        <v>29</v>
      </c>
      <c r="C941" t="s">
        <v>26</v>
      </c>
      <c r="D941" t="s">
        <v>13</v>
      </c>
      <c r="E941" t="s">
        <v>14</v>
      </c>
      <c r="F941" t="s">
        <v>33</v>
      </c>
      <c r="G941" t="s">
        <v>22</v>
      </c>
      <c r="H941" s="12">
        <v>180000</v>
      </c>
      <c r="I941">
        <v>9</v>
      </c>
      <c r="J941" t="s">
        <v>35</v>
      </c>
      <c r="K941" s="12">
        <f t="shared" si="14"/>
        <v>144000</v>
      </c>
      <c r="L941" s="12">
        <f>Sales_Data[[#This Row],[Unit Price]]*Sales_Data[[#This Row],[Quantity]]</f>
        <v>1620000</v>
      </c>
      <c r="M941" s="12">
        <f>Sales_Data[[#This Row],[Cost Price]]*Sales_Data[[#This Row],[Quantity]]</f>
        <v>1296000</v>
      </c>
      <c r="N941" s="12">
        <f>Sales_Data[[#This Row],[Revenue]]-Sales_Data[[#This Row],[COGS]]</f>
        <v>324000</v>
      </c>
    </row>
    <row r="942" spans="1:14">
      <c r="A942" s="1">
        <v>46616</v>
      </c>
      <c r="B942" t="s">
        <v>29</v>
      </c>
      <c r="C942" t="s">
        <v>19</v>
      </c>
      <c r="D942" t="s">
        <v>23</v>
      </c>
      <c r="E942" t="s">
        <v>20</v>
      </c>
      <c r="F942" t="s">
        <v>33</v>
      </c>
      <c r="G942" t="s">
        <v>22</v>
      </c>
      <c r="H942" s="12">
        <v>180000</v>
      </c>
      <c r="I942">
        <v>1</v>
      </c>
      <c r="J942" t="s">
        <v>28</v>
      </c>
      <c r="K942" s="12">
        <f t="shared" si="14"/>
        <v>144000</v>
      </c>
      <c r="L942" s="12">
        <f>Sales_Data[[#This Row],[Unit Price]]*Sales_Data[[#This Row],[Quantity]]</f>
        <v>180000</v>
      </c>
      <c r="M942" s="12">
        <f>Sales_Data[[#This Row],[Cost Price]]*Sales_Data[[#This Row],[Quantity]]</f>
        <v>144000</v>
      </c>
      <c r="N942" s="12">
        <f>Sales_Data[[#This Row],[Revenue]]-Sales_Data[[#This Row],[COGS]]</f>
        <v>36000</v>
      </c>
    </row>
    <row r="943" spans="1:14">
      <c r="A943" s="1">
        <v>46617</v>
      </c>
      <c r="B943" t="s">
        <v>11</v>
      </c>
      <c r="C943" t="s">
        <v>32</v>
      </c>
      <c r="D943" t="s">
        <v>23</v>
      </c>
      <c r="E943" t="s">
        <v>14</v>
      </c>
      <c r="F943" t="s">
        <v>41</v>
      </c>
      <c r="G943" t="s">
        <v>22</v>
      </c>
      <c r="H943" s="12">
        <v>220000</v>
      </c>
      <c r="I943">
        <v>6</v>
      </c>
      <c r="J943" t="s">
        <v>24</v>
      </c>
      <c r="K943" s="12">
        <f t="shared" si="14"/>
        <v>176000</v>
      </c>
      <c r="L943" s="12">
        <f>Sales_Data[[#This Row],[Unit Price]]*Sales_Data[[#This Row],[Quantity]]</f>
        <v>1320000</v>
      </c>
      <c r="M943" s="12">
        <f>Sales_Data[[#This Row],[Cost Price]]*Sales_Data[[#This Row],[Quantity]]</f>
        <v>1056000</v>
      </c>
      <c r="N943" s="12">
        <f>Sales_Data[[#This Row],[Revenue]]-Sales_Data[[#This Row],[COGS]]</f>
        <v>264000</v>
      </c>
    </row>
    <row r="944" spans="1:14">
      <c r="A944" s="1">
        <v>46618</v>
      </c>
      <c r="B944" t="s">
        <v>18</v>
      </c>
      <c r="C944" t="s">
        <v>19</v>
      </c>
      <c r="D944" t="s">
        <v>13</v>
      </c>
      <c r="E944" t="s">
        <v>14</v>
      </c>
      <c r="F944" t="s">
        <v>30</v>
      </c>
      <c r="G944" t="s">
        <v>31</v>
      </c>
      <c r="H944" s="12">
        <v>300000</v>
      </c>
      <c r="I944">
        <v>3</v>
      </c>
      <c r="J944" t="s">
        <v>24</v>
      </c>
      <c r="K944" s="12">
        <f t="shared" si="14"/>
        <v>240000</v>
      </c>
      <c r="L944" s="12">
        <f>Sales_Data[[#This Row],[Unit Price]]*Sales_Data[[#This Row],[Quantity]]</f>
        <v>900000</v>
      </c>
      <c r="M944" s="12">
        <f>Sales_Data[[#This Row],[Cost Price]]*Sales_Data[[#This Row],[Quantity]]</f>
        <v>720000</v>
      </c>
      <c r="N944" s="12">
        <f>Sales_Data[[#This Row],[Revenue]]-Sales_Data[[#This Row],[COGS]]</f>
        <v>180000</v>
      </c>
    </row>
    <row r="945" spans="1:14">
      <c r="A945" s="1">
        <v>46619</v>
      </c>
      <c r="B945" t="s">
        <v>25</v>
      </c>
      <c r="C945" t="s">
        <v>19</v>
      </c>
      <c r="D945" t="s">
        <v>23</v>
      </c>
      <c r="E945" t="s">
        <v>20</v>
      </c>
      <c r="F945" t="s">
        <v>34</v>
      </c>
      <c r="G945" t="s">
        <v>16</v>
      </c>
      <c r="H945" s="12">
        <v>320000</v>
      </c>
      <c r="I945">
        <v>1</v>
      </c>
      <c r="J945" t="s">
        <v>35</v>
      </c>
      <c r="K945" s="12">
        <f t="shared" si="14"/>
        <v>256000</v>
      </c>
      <c r="L945" s="12">
        <f>Sales_Data[[#This Row],[Unit Price]]*Sales_Data[[#This Row],[Quantity]]</f>
        <v>320000</v>
      </c>
      <c r="M945" s="12">
        <f>Sales_Data[[#This Row],[Cost Price]]*Sales_Data[[#This Row],[Quantity]]</f>
        <v>256000</v>
      </c>
      <c r="N945" s="12">
        <f>Sales_Data[[#This Row],[Revenue]]-Sales_Data[[#This Row],[COGS]]</f>
        <v>64000</v>
      </c>
    </row>
    <row r="946" spans="1:14">
      <c r="A946" s="1">
        <v>46620</v>
      </c>
      <c r="B946" t="s">
        <v>25</v>
      </c>
      <c r="C946" t="s">
        <v>12</v>
      </c>
      <c r="D946" t="s">
        <v>23</v>
      </c>
      <c r="E946" t="s">
        <v>20</v>
      </c>
      <c r="F946" t="s">
        <v>36</v>
      </c>
      <c r="G946" t="s">
        <v>31</v>
      </c>
      <c r="H946" s="12">
        <v>150000</v>
      </c>
      <c r="I946">
        <v>6</v>
      </c>
      <c r="J946" t="s">
        <v>35</v>
      </c>
      <c r="K946" s="12">
        <f t="shared" si="14"/>
        <v>120000</v>
      </c>
      <c r="L946" s="12">
        <f>Sales_Data[[#This Row],[Unit Price]]*Sales_Data[[#This Row],[Quantity]]</f>
        <v>900000</v>
      </c>
      <c r="M946" s="12">
        <f>Sales_Data[[#This Row],[Cost Price]]*Sales_Data[[#This Row],[Quantity]]</f>
        <v>720000</v>
      </c>
      <c r="N946" s="12">
        <f>Sales_Data[[#This Row],[Revenue]]-Sales_Data[[#This Row],[COGS]]</f>
        <v>180000</v>
      </c>
    </row>
    <row r="947" spans="1:14">
      <c r="A947" s="1">
        <v>46621</v>
      </c>
      <c r="B947" t="s">
        <v>18</v>
      </c>
      <c r="C947" t="s">
        <v>19</v>
      </c>
      <c r="D947" t="s">
        <v>23</v>
      </c>
      <c r="E947" t="s">
        <v>20</v>
      </c>
      <c r="F947" t="s">
        <v>41</v>
      </c>
      <c r="G947" t="s">
        <v>22</v>
      </c>
      <c r="H947" s="12">
        <v>220000</v>
      </c>
      <c r="I947">
        <v>7</v>
      </c>
      <c r="J947" t="s">
        <v>24</v>
      </c>
      <c r="K947" s="12">
        <f t="shared" si="14"/>
        <v>176000</v>
      </c>
      <c r="L947" s="12">
        <f>Sales_Data[[#This Row],[Unit Price]]*Sales_Data[[#This Row],[Quantity]]</f>
        <v>1540000</v>
      </c>
      <c r="M947" s="12">
        <f>Sales_Data[[#This Row],[Cost Price]]*Sales_Data[[#This Row],[Quantity]]</f>
        <v>1232000</v>
      </c>
      <c r="N947" s="12">
        <f>Sales_Data[[#This Row],[Revenue]]-Sales_Data[[#This Row],[COGS]]</f>
        <v>308000</v>
      </c>
    </row>
    <row r="948" spans="1:14">
      <c r="A948" s="1">
        <v>46622</v>
      </c>
      <c r="B948" t="s">
        <v>11</v>
      </c>
      <c r="C948" t="s">
        <v>19</v>
      </c>
      <c r="D948" t="s">
        <v>13</v>
      </c>
      <c r="E948" t="s">
        <v>14</v>
      </c>
      <c r="F948" t="s">
        <v>41</v>
      </c>
      <c r="G948" t="s">
        <v>22</v>
      </c>
      <c r="H948" s="12">
        <v>220000</v>
      </c>
      <c r="I948">
        <v>1</v>
      </c>
      <c r="J948" t="s">
        <v>28</v>
      </c>
      <c r="K948" s="12">
        <f t="shared" si="14"/>
        <v>176000</v>
      </c>
      <c r="L948" s="12">
        <f>Sales_Data[[#This Row],[Unit Price]]*Sales_Data[[#This Row],[Quantity]]</f>
        <v>220000</v>
      </c>
      <c r="M948" s="12">
        <f>Sales_Data[[#This Row],[Cost Price]]*Sales_Data[[#This Row],[Quantity]]</f>
        <v>176000</v>
      </c>
      <c r="N948" s="12">
        <f>Sales_Data[[#This Row],[Revenue]]-Sales_Data[[#This Row],[COGS]]</f>
        <v>44000</v>
      </c>
    </row>
    <row r="949" spans="1:14">
      <c r="A949" s="1">
        <v>46623</v>
      </c>
      <c r="B949" t="s">
        <v>18</v>
      </c>
      <c r="C949" t="s">
        <v>12</v>
      </c>
      <c r="D949" t="s">
        <v>13</v>
      </c>
      <c r="E949" t="s">
        <v>14</v>
      </c>
      <c r="F949" t="s">
        <v>15</v>
      </c>
      <c r="G949" t="s">
        <v>16</v>
      </c>
      <c r="H949" s="12">
        <v>85000</v>
      </c>
      <c r="I949">
        <v>4</v>
      </c>
      <c r="J949" t="s">
        <v>35</v>
      </c>
      <c r="K949" s="12">
        <f t="shared" si="14"/>
        <v>68000</v>
      </c>
      <c r="L949" s="12">
        <f>Sales_Data[[#This Row],[Unit Price]]*Sales_Data[[#This Row],[Quantity]]</f>
        <v>340000</v>
      </c>
      <c r="M949" s="12">
        <f>Sales_Data[[#This Row],[Cost Price]]*Sales_Data[[#This Row],[Quantity]]</f>
        <v>272000</v>
      </c>
      <c r="N949" s="12">
        <f>Sales_Data[[#This Row],[Revenue]]-Sales_Data[[#This Row],[COGS]]</f>
        <v>68000</v>
      </c>
    </row>
    <row r="950" spans="1:14">
      <c r="A950" s="1">
        <v>46624</v>
      </c>
      <c r="B950" t="s">
        <v>11</v>
      </c>
      <c r="C950" t="s">
        <v>32</v>
      </c>
      <c r="D950" t="s">
        <v>23</v>
      </c>
      <c r="E950" t="s">
        <v>14</v>
      </c>
      <c r="F950" t="s">
        <v>40</v>
      </c>
      <c r="G950" t="s">
        <v>31</v>
      </c>
      <c r="H950" s="12">
        <v>250000</v>
      </c>
      <c r="I950">
        <v>10</v>
      </c>
      <c r="J950" t="s">
        <v>35</v>
      </c>
      <c r="K950" s="12">
        <f t="shared" si="14"/>
        <v>200000</v>
      </c>
      <c r="L950" s="12">
        <f>Sales_Data[[#This Row],[Unit Price]]*Sales_Data[[#This Row],[Quantity]]</f>
        <v>2500000</v>
      </c>
      <c r="M950" s="12">
        <f>Sales_Data[[#This Row],[Cost Price]]*Sales_Data[[#This Row],[Quantity]]</f>
        <v>2000000</v>
      </c>
      <c r="N950" s="12">
        <f>Sales_Data[[#This Row],[Revenue]]-Sales_Data[[#This Row],[COGS]]</f>
        <v>500000</v>
      </c>
    </row>
    <row r="951" spans="1:14">
      <c r="A951" s="1">
        <v>46625</v>
      </c>
      <c r="B951" t="s">
        <v>29</v>
      </c>
      <c r="C951" t="s">
        <v>32</v>
      </c>
      <c r="D951" t="s">
        <v>13</v>
      </c>
      <c r="E951" t="s">
        <v>20</v>
      </c>
      <c r="F951" t="s">
        <v>34</v>
      </c>
      <c r="G951" t="s">
        <v>16</v>
      </c>
      <c r="H951" s="12">
        <v>320000</v>
      </c>
      <c r="I951">
        <v>1</v>
      </c>
      <c r="J951" t="s">
        <v>37</v>
      </c>
      <c r="K951" s="12">
        <f t="shared" si="14"/>
        <v>256000</v>
      </c>
      <c r="L951" s="12">
        <f>Sales_Data[[#This Row],[Unit Price]]*Sales_Data[[#This Row],[Quantity]]</f>
        <v>320000</v>
      </c>
      <c r="M951" s="12">
        <f>Sales_Data[[#This Row],[Cost Price]]*Sales_Data[[#This Row],[Quantity]]</f>
        <v>256000</v>
      </c>
      <c r="N951" s="12">
        <f>Sales_Data[[#This Row],[Revenue]]-Sales_Data[[#This Row],[COGS]]</f>
        <v>64000</v>
      </c>
    </row>
    <row r="952" spans="1:14">
      <c r="A952" s="1">
        <v>46626</v>
      </c>
      <c r="B952" t="s">
        <v>11</v>
      </c>
      <c r="C952" t="s">
        <v>12</v>
      </c>
      <c r="D952" t="s">
        <v>23</v>
      </c>
      <c r="E952" t="s">
        <v>20</v>
      </c>
      <c r="F952" t="s">
        <v>27</v>
      </c>
      <c r="G952" t="s">
        <v>22</v>
      </c>
      <c r="H952" s="12">
        <v>60000</v>
      </c>
      <c r="I952">
        <v>8</v>
      </c>
      <c r="J952" t="s">
        <v>24</v>
      </c>
      <c r="K952" s="12">
        <f t="shared" si="14"/>
        <v>48000</v>
      </c>
      <c r="L952" s="12">
        <f>Sales_Data[[#This Row],[Unit Price]]*Sales_Data[[#This Row],[Quantity]]</f>
        <v>480000</v>
      </c>
      <c r="M952" s="12">
        <f>Sales_Data[[#This Row],[Cost Price]]*Sales_Data[[#This Row],[Quantity]]</f>
        <v>384000</v>
      </c>
      <c r="N952" s="12">
        <f>Sales_Data[[#This Row],[Revenue]]-Sales_Data[[#This Row],[COGS]]</f>
        <v>96000</v>
      </c>
    </row>
    <row r="953" spans="1:14">
      <c r="A953" s="1">
        <v>46627</v>
      </c>
      <c r="B953" t="s">
        <v>29</v>
      </c>
      <c r="C953" t="s">
        <v>32</v>
      </c>
      <c r="D953" t="s">
        <v>13</v>
      </c>
      <c r="E953" t="s">
        <v>20</v>
      </c>
      <c r="F953" t="s">
        <v>38</v>
      </c>
      <c r="G953" t="s">
        <v>31</v>
      </c>
      <c r="H953" s="12">
        <v>420000</v>
      </c>
      <c r="I953">
        <v>2</v>
      </c>
      <c r="J953" t="s">
        <v>37</v>
      </c>
      <c r="K953" s="12">
        <f t="shared" si="14"/>
        <v>336000</v>
      </c>
      <c r="L953" s="12">
        <f>Sales_Data[[#This Row],[Unit Price]]*Sales_Data[[#This Row],[Quantity]]</f>
        <v>840000</v>
      </c>
      <c r="M953" s="12">
        <f>Sales_Data[[#This Row],[Cost Price]]*Sales_Data[[#This Row],[Quantity]]</f>
        <v>672000</v>
      </c>
      <c r="N953" s="12">
        <f>Sales_Data[[#This Row],[Revenue]]-Sales_Data[[#This Row],[COGS]]</f>
        <v>168000</v>
      </c>
    </row>
    <row r="954" spans="1:14">
      <c r="A954" s="1">
        <v>46628</v>
      </c>
      <c r="B954" t="s">
        <v>29</v>
      </c>
      <c r="C954" t="s">
        <v>26</v>
      </c>
      <c r="D954" t="s">
        <v>23</v>
      </c>
      <c r="E954" t="s">
        <v>14</v>
      </c>
      <c r="F954" t="s">
        <v>40</v>
      </c>
      <c r="G954" t="s">
        <v>31</v>
      </c>
      <c r="H954" s="12">
        <v>250000</v>
      </c>
      <c r="I954">
        <v>2</v>
      </c>
      <c r="J954" t="s">
        <v>17</v>
      </c>
      <c r="K954" s="12">
        <f t="shared" si="14"/>
        <v>200000</v>
      </c>
      <c r="L954" s="12">
        <f>Sales_Data[[#This Row],[Unit Price]]*Sales_Data[[#This Row],[Quantity]]</f>
        <v>500000</v>
      </c>
      <c r="M954" s="12">
        <f>Sales_Data[[#This Row],[Cost Price]]*Sales_Data[[#This Row],[Quantity]]</f>
        <v>400000</v>
      </c>
      <c r="N954" s="12">
        <f>Sales_Data[[#This Row],[Revenue]]-Sales_Data[[#This Row],[COGS]]</f>
        <v>100000</v>
      </c>
    </row>
    <row r="955" spans="1:14">
      <c r="A955" s="1">
        <v>46629</v>
      </c>
      <c r="B955" t="s">
        <v>11</v>
      </c>
      <c r="C955" t="s">
        <v>19</v>
      </c>
      <c r="D955" t="s">
        <v>13</v>
      </c>
      <c r="E955" t="s">
        <v>20</v>
      </c>
      <c r="F955" t="s">
        <v>41</v>
      </c>
      <c r="G955" t="s">
        <v>22</v>
      </c>
      <c r="H955" s="12">
        <v>220000</v>
      </c>
      <c r="I955">
        <v>6</v>
      </c>
      <c r="J955" t="s">
        <v>39</v>
      </c>
      <c r="K955" s="12">
        <f t="shared" si="14"/>
        <v>176000</v>
      </c>
      <c r="L955" s="12">
        <f>Sales_Data[[#This Row],[Unit Price]]*Sales_Data[[#This Row],[Quantity]]</f>
        <v>1320000</v>
      </c>
      <c r="M955" s="12">
        <f>Sales_Data[[#This Row],[Cost Price]]*Sales_Data[[#This Row],[Quantity]]</f>
        <v>1056000</v>
      </c>
      <c r="N955" s="12">
        <f>Sales_Data[[#This Row],[Revenue]]-Sales_Data[[#This Row],[COGS]]</f>
        <v>264000</v>
      </c>
    </row>
    <row r="956" spans="1:14">
      <c r="A956" s="1">
        <v>46630</v>
      </c>
      <c r="B956" t="s">
        <v>29</v>
      </c>
      <c r="C956" t="s">
        <v>19</v>
      </c>
      <c r="D956" t="s">
        <v>23</v>
      </c>
      <c r="E956" t="s">
        <v>20</v>
      </c>
      <c r="F956" t="s">
        <v>27</v>
      </c>
      <c r="G956" t="s">
        <v>22</v>
      </c>
      <c r="H956" s="12">
        <v>60000</v>
      </c>
      <c r="I956">
        <v>1</v>
      </c>
      <c r="J956" t="s">
        <v>35</v>
      </c>
      <c r="K956" s="12">
        <f t="shared" si="14"/>
        <v>48000</v>
      </c>
      <c r="L956" s="12">
        <f>Sales_Data[[#This Row],[Unit Price]]*Sales_Data[[#This Row],[Quantity]]</f>
        <v>60000</v>
      </c>
      <c r="M956" s="12">
        <f>Sales_Data[[#This Row],[Cost Price]]*Sales_Data[[#This Row],[Quantity]]</f>
        <v>48000</v>
      </c>
      <c r="N956" s="12">
        <f>Sales_Data[[#This Row],[Revenue]]-Sales_Data[[#This Row],[COGS]]</f>
        <v>12000</v>
      </c>
    </row>
    <row r="957" spans="1:14">
      <c r="A957" s="1">
        <v>46631</v>
      </c>
      <c r="B957" t="s">
        <v>11</v>
      </c>
      <c r="C957" t="s">
        <v>12</v>
      </c>
      <c r="D957" t="s">
        <v>13</v>
      </c>
      <c r="E957" t="s">
        <v>20</v>
      </c>
      <c r="F957" t="s">
        <v>15</v>
      </c>
      <c r="G957" t="s">
        <v>16</v>
      </c>
      <c r="H957" s="12">
        <v>85000</v>
      </c>
      <c r="I957">
        <v>9</v>
      </c>
      <c r="J957" t="s">
        <v>39</v>
      </c>
      <c r="K957" s="12">
        <f t="shared" si="14"/>
        <v>68000</v>
      </c>
      <c r="L957" s="12">
        <f>Sales_Data[[#This Row],[Unit Price]]*Sales_Data[[#This Row],[Quantity]]</f>
        <v>765000</v>
      </c>
      <c r="M957" s="12">
        <f>Sales_Data[[#This Row],[Cost Price]]*Sales_Data[[#This Row],[Quantity]]</f>
        <v>612000</v>
      </c>
      <c r="N957" s="12">
        <f>Sales_Data[[#This Row],[Revenue]]-Sales_Data[[#This Row],[COGS]]</f>
        <v>153000</v>
      </c>
    </row>
    <row r="958" spans="1:14">
      <c r="A958" s="1">
        <v>46632</v>
      </c>
      <c r="B958" t="s">
        <v>25</v>
      </c>
      <c r="C958" t="s">
        <v>19</v>
      </c>
      <c r="D958" t="s">
        <v>13</v>
      </c>
      <c r="E958" t="s">
        <v>20</v>
      </c>
      <c r="F958" t="s">
        <v>27</v>
      </c>
      <c r="G958" t="s">
        <v>22</v>
      </c>
      <c r="H958" s="12">
        <v>60000</v>
      </c>
      <c r="I958">
        <v>9</v>
      </c>
      <c r="J958" t="s">
        <v>37</v>
      </c>
      <c r="K958" s="12">
        <f t="shared" si="14"/>
        <v>48000</v>
      </c>
      <c r="L958" s="12">
        <f>Sales_Data[[#This Row],[Unit Price]]*Sales_Data[[#This Row],[Quantity]]</f>
        <v>540000</v>
      </c>
      <c r="M958" s="12">
        <f>Sales_Data[[#This Row],[Cost Price]]*Sales_Data[[#This Row],[Quantity]]</f>
        <v>432000</v>
      </c>
      <c r="N958" s="12">
        <f>Sales_Data[[#This Row],[Revenue]]-Sales_Data[[#This Row],[COGS]]</f>
        <v>108000</v>
      </c>
    </row>
    <row r="959" spans="1:14">
      <c r="A959" s="1">
        <v>46633</v>
      </c>
      <c r="B959" t="s">
        <v>18</v>
      </c>
      <c r="C959" t="s">
        <v>26</v>
      </c>
      <c r="D959" t="s">
        <v>23</v>
      </c>
      <c r="E959" t="s">
        <v>20</v>
      </c>
      <c r="F959" t="s">
        <v>15</v>
      </c>
      <c r="G959" t="s">
        <v>16</v>
      </c>
      <c r="H959" s="12">
        <v>85000</v>
      </c>
      <c r="I959">
        <v>7</v>
      </c>
      <c r="J959" t="s">
        <v>24</v>
      </c>
      <c r="K959" s="12">
        <f t="shared" si="14"/>
        <v>68000</v>
      </c>
      <c r="L959" s="12">
        <f>Sales_Data[[#This Row],[Unit Price]]*Sales_Data[[#This Row],[Quantity]]</f>
        <v>595000</v>
      </c>
      <c r="M959" s="12">
        <f>Sales_Data[[#This Row],[Cost Price]]*Sales_Data[[#This Row],[Quantity]]</f>
        <v>476000</v>
      </c>
      <c r="N959" s="12">
        <f>Sales_Data[[#This Row],[Revenue]]-Sales_Data[[#This Row],[COGS]]</f>
        <v>119000</v>
      </c>
    </row>
    <row r="960" spans="1:14">
      <c r="A960" s="1">
        <v>46634</v>
      </c>
      <c r="B960" t="s">
        <v>25</v>
      </c>
      <c r="C960" t="s">
        <v>32</v>
      </c>
      <c r="D960" t="s">
        <v>13</v>
      </c>
      <c r="E960" t="s">
        <v>14</v>
      </c>
      <c r="F960" t="s">
        <v>34</v>
      </c>
      <c r="G960" t="s">
        <v>16</v>
      </c>
      <c r="H960" s="12">
        <v>320000</v>
      </c>
      <c r="I960">
        <v>4</v>
      </c>
      <c r="J960" t="s">
        <v>28</v>
      </c>
      <c r="K960" s="12">
        <f t="shared" si="14"/>
        <v>256000</v>
      </c>
      <c r="L960" s="12">
        <f>Sales_Data[[#This Row],[Unit Price]]*Sales_Data[[#This Row],[Quantity]]</f>
        <v>1280000</v>
      </c>
      <c r="M960" s="12">
        <f>Sales_Data[[#This Row],[Cost Price]]*Sales_Data[[#This Row],[Quantity]]</f>
        <v>1024000</v>
      </c>
      <c r="N960" s="12">
        <f>Sales_Data[[#This Row],[Revenue]]-Sales_Data[[#This Row],[COGS]]</f>
        <v>256000</v>
      </c>
    </row>
    <row r="961" spans="1:14">
      <c r="A961" s="1">
        <v>46635</v>
      </c>
      <c r="B961" t="s">
        <v>25</v>
      </c>
      <c r="C961" t="s">
        <v>32</v>
      </c>
      <c r="D961" t="s">
        <v>23</v>
      </c>
      <c r="E961" t="s">
        <v>14</v>
      </c>
      <c r="F961" t="s">
        <v>40</v>
      </c>
      <c r="G961" t="s">
        <v>31</v>
      </c>
      <c r="H961" s="12">
        <v>250000</v>
      </c>
      <c r="I961">
        <v>4</v>
      </c>
      <c r="J961" t="s">
        <v>35</v>
      </c>
      <c r="K961" s="12">
        <f t="shared" si="14"/>
        <v>200000</v>
      </c>
      <c r="L961" s="12">
        <f>Sales_Data[[#This Row],[Unit Price]]*Sales_Data[[#This Row],[Quantity]]</f>
        <v>1000000</v>
      </c>
      <c r="M961" s="12">
        <f>Sales_Data[[#This Row],[Cost Price]]*Sales_Data[[#This Row],[Quantity]]</f>
        <v>800000</v>
      </c>
      <c r="N961" s="12">
        <f>Sales_Data[[#This Row],[Revenue]]-Sales_Data[[#This Row],[COGS]]</f>
        <v>200000</v>
      </c>
    </row>
    <row r="962" spans="1:14">
      <c r="A962" s="1">
        <v>46636</v>
      </c>
      <c r="B962" t="s">
        <v>18</v>
      </c>
      <c r="C962" t="s">
        <v>26</v>
      </c>
      <c r="D962" t="s">
        <v>23</v>
      </c>
      <c r="E962" t="s">
        <v>14</v>
      </c>
      <c r="F962" t="s">
        <v>27</v>
      </c>
      <c r="G962" t="s">
        <v>22</v>
      </c>
      <c r="H962" s="12">
        <v>60000</v>
      </c>
      <c r="I962">
        <v>8</v>
      </c>
      <c r="J962" t="s">
        <v>24</v>
      </c>
      <c r="K962" s="12">
        <f t="shared" ref="K962:K1025" si="15">H962-H962*0.2</f>
        <v>48000</v>
      </c>
      <c r="L962" s="12">
        <f>Sales_Data[[#This Row],[Unit Price]]*Sales_Data[[#This Row],[Quantity]]</f>
        <v>480000</v>
      </c>
      <c r="M962" s="12">
        <f>Sales_Data[[#This Row],[Cost Price]]*Sales_Data[[#This Row],[Quantity]]</f>
        <v>384000</v>
      </c>
      <c r="N962" s="12">
        <f>Sales_Data[[#This Row],[Revenue]]-Sales_Data[[#This Row],[COGS]]</f>
        <v>96000</v>
      </c>
    </row>
    <row r="963" spans="1:14">
      <c r="A963" s="1">
        <v>46637</v>
      </c>
      <c r="B963" t="s">
        <v>11</v>
      </c>
      <c r="C963" t="s">
        <v>26</v>
      </c>
      <c r="D963" t="s">
        <v>23</v>
      </c>
      <c r="E963" t="s">
        <v>14</v>
      </c>
      <c r="F963" t="s">
        <v>38</v>
      </c>
      <c r="G963" t="s">
        <v>31</v>
      </c>
      <c r="H963" s="12">
        <v>420000</v>
      </c>
      <c r="I963">
        <v>2</v>
      </c>
      <c r="J963" t="s">
        <v>39</v>
      </c>
      <c r="K963" s="12">
        <f t="shared" si="15"/>
        <v>336000</v>
      </c>
      <c r="L963" s="12">
        <f>Sales_Data[[#This Row],[Unit Price]]*Sales_Data[[#This Row],[Quantity]]</f>
        <v>840000</v>
      </c>
      <c r="M963" s="12">
        <f>Sales_Data[[#This Row],[Cost Price]]*Sales_Data[[#This Row],[Quantity]]</f>
        <v>672000</v>
      </c>
      <c r="N963" s="12">
        <f>Sales_Data[[#This Row],[Revenue]]-Sales_Data[[#This Row],[COGS]]</f>
        <v>168000</v>
      </c>
    </row>
    <row r="964" spans="1:14">
      <c r="A964" s="1">
        <v>46638</v>
      </c>
      <c r="B964" t="s">
        <v>18</v>
      </c>
      <c r="C964" t="s">
        <v>32</v>
      </c>
      <c r="D964" t="s">
        <v>23</v>
      </c>
      <c r="E964" t="s">
        <v>20</v>
      </c>
      <c r="F964" t="s">
        <v>36</v>
      </c>
      <c r="G964" t="s">
        <v>31</v>
      </c>
      <c r="H964" s="12">
        <v>150000</v>
      </c>
      <c r="I964">
        <v>1</v>
      </c>
      <c r="J964" t="s">
        <v>35</v>
      </c>
      <c r="K964" s="12">
        <f t="shared" si="15"/>
        <v>120000</v>
      </c>
      <c r="L964" s="12">
        <f>Sales_Data[[#This Row],[Unit Price]]*Sales_Data[[#This Row],[Quantity]]</f>
        <v>150000</v>
      </c>
      <c r="M964" s="12">
        <f>Sales_Data[[#This Row],[Cost Price]]*Sales_Data[[#This Row],[Quantity]]</f>
        <v>120000</v>
      </c>
      <c r="N964" s="12">
        <f>Sales_Data[[#This Row],[Revenue]]-Sales_Data[[#This Row],[COGS]]</f>
        <v>30000</v>
      </c>
    </row>
    <row r="965" spans="1:14">
      <c r="A965" s="1">
        <v>46639</v>
      </c>
      <c r="B965" t="s">
        <v>25</v>
      </c>
      <c r="C965" t="s">
        <v>19</v>
      </c>
      <c r="D965" t="s">
        <v>13</v>
      </c>
      <c r="E965" t="s">
        <v>14</v>
      </c>
      <c r="F965" t="s">
        <v>40</v>
      </c>
      <c r="G965" t="s">
        <v>31</v>
      </c>
      <c r="H965" s="12">
        <v>250000</v>
      </c>
      <c r="I965">
        <v>8</v>
      </c>
      <c r="J965" t="s">
        <v>37</v>
      </c>
      <c r="K965" s="12">
        <f t="shared" si="15"/>
        <v>200000</v>
      </c>
      <c r="L965" s="12">
        <f>Sales_Data[[#This Row],[Unit Price]]*Sales_Data[[#This Row],[Quantity]]</f>
        <v>2000000</v>
      </c>
      <c r="M965" s="12">
        <f>Sales_Data[[#This Row],[Cost Price]]*Sales_Data[[#This Row],[Quantity]]</f>
        <v>1600000</v>
      </c>
      <c r="N965" s="12">
        <f>Sales_Data[[#This Row],[Revenue]]-Sales_Data[[#This Row],[COGS]]</f>
        <v>400000</v>
      </c>
    </row>
    <row r="966" spans="1:14">
      <c r="A966" s="1">
        <v>46640</v>
      </c>
      <c r="B966" t="s">
        <v>11</v>
      </c>
      <c r="C966" t="s">
        <v>32</v>
      </c>
      <c r="D966" t="s">
        <v>13</v>
      </c>
      <c r="E966" t="s">
        <v>14</v>
      </c>
      <c r="F966" t="s">
        <v>30</v>
      </c>
      <c r="G966" t="s">
        <v>31</v>
      </c>
      <c r="H966" s="12">
        <v>300000</v>
      </c>
      <c r="I966">
        <v>10</v>
      </c>
      <c r="J966" t="s">
        <v>39</v>
      </c>
      <c r="K966" s="12">
        <f t="shared" si="15"/>
        <v>240000</v>
      </c>
      <c r="L966" s="12">
        <f>Sales_Data[[#This Row],[Unit Price]]*Sales_Data[[#This Row],[Quantity]]</f>
        <v>3000000</v>
      </c>
      <c r="M966" s="12">
        <f>Sales_Data[[#This Row],[Cost Price]]*Sales_Data[[#This Row],[Quantity]]</f>
        <v>2400000</v>
      </c>
      <c r="N966" s="12">
        <f>Sales_Data[[#This Row],[Revenue]]-Sales_Data[[#This Row],[COGS]]</f>
        <v>600000</v>
      </c>
    </row>
    <row r="967" spans="1:14">
      <c r="A967" s="1">
        <v>46641</v>
      </c>
      <c r="B967" t="s">
        <v>18</v>
      </c>
      <c r="C967" t="s">
        <v>19</v>
      </c>
      <c r="D967" t="s">
        <v>23</v>
      </c>
      <c r="E967" t="s">
        <v>20</v>
      </c>
      <c r="F967" t="s">
        <v>27</v>
      </c>
      <c r="G967" t="s">
        <v>22</v>
      </c>
      <c r="H967" s="12">
        <v>60000</v>
      </c>
      <c r="I967">
        <v>3</v>
      </c>
      <c r="J967" t="s">
        <v>24</v>
      </c>
      <c r="K967" s="12">
        <f t="shared" si="15"/>
        <v>48000</v>
      </c>
      <c r="L967" s="12">
        <f>Sales_Data[[#This Row],[Unit Price]]*Sales_Data[[#This Row],[Quantity]]</f>
        <v>180000</v>
      </c>
      <c r="M967" s="12">
        <f>Sales_Data[[#This Row],[Cost Price]]*Sales_Data[[#This Row],[Quantity]]</f>
        <v>144000</v>
      </c>
      <c r="N967" s="12">
        <f>Sales_Data[[#This Row],[Revenue]]-Sales_Data[[#This Row],[COGS]]</f>
        <v>36000</v>
      </c>
    </row>
    <row r="968" spans="1:14">
      <c r="A968" s="1">
        <v>46642</v>
      </c>
      <c r="B968" t="s">
        <v>11</v>
      </c>
      <c r="C968" t="s">
        <v>32</v>
      </c>
      <c r="D968" t="s">
        <v>23</v>
      </c>
      <c r="E968" t="s">
        <v>14</v>
      </c>
      <c r="F968" t="s">
        <v>15</v>
      </c>
      <c r="G968" t="s">
        <v>16</v>
      </c>
      <c r="H968" s="12">
        <v>85000</v>
      </c>
      <c r="I968">
        <v>1</v>
      </c>
      <c r="J968" t="s">
        <v>24</v>
      </c>
      <c r="K968" s="12">
        <f t="shared" si="15"/>
        <v>68000</v>
      </c>
      <c r="L968" s="12">
        <f>Sales_Data[[#This Row],[Unit Price]]*Sales_Data[[#This Row],[Quantity]]</f>
        <v>85000</v>
      </c>
      <c r="M968" s="12">
        <f>Sales_Data[[#This Row],[Cost Price]]*Sales_Data[[#This Row],[Quantity]]</f>
        <v>68000</v>
      </c>
      <c r="N968" s="12">
        <f>Sales_Data[[#This Row],[Revenue]]-Sales_Data[[#This Row],[COGS]]</f>
        <v>17000</v>
      </c>
    </row>
    <row r="969" spans="1:14">
      <c r="A969" s="1">
        <v>46643</v>
      </c>
      <c r="B969" t="s">
        <v>18</v>
      </c>
      <c r="C969" t="s">
        <v>19</v>
      </c>
      <c r="D969" t="s">
        <v>23</v>
      </c>
      <c r="E969" t="s">
        <v>14</v>
      </c>
      <c r="F969" t="s">
        <v>33</v>
      </c>
      <c r="G969" t="s">
        <v>22</v>
      </c>
      <c r="H969" s="12">
        <v>180000</v>
      </c>
      <c r="I969">
        <v>7</v>
      </c>
      <c r="J969" t="s">
        <v>17</v>
      </c>
      <c r="K969" s="12">
        <f t="shared" si="15"/>
        <v>144000</v>
      </c>
      <c r="L969" s="12">
        <f>Sales_Data[[#This Row],[Unit Price]]*Sales_Data[[#This Row],[Quantity]]</f>
        <v>1260000</v>
      </c>
      <c r="M969" s="12">
        <f>Sales_Data[[#This Row],[Cost Price]]*Sales_Data[[#This Row],[Quantity]]</f>
        <v>1008000</v>
      </c>
      <c r="N969" s="12">
        <f>Sales_Data[[#This Row],[Revenue]]-Sales_Data[[#This Row],[COGS]]</f>
        <v>252000</v>
      </c>
    </row>
    <row r="970" spans="1:14">
      <c r="A970" s="1">
        <v>46644</v>
      </c>
      <c r="B970" t="s">
        <v>18</v>
      </c>
      <c r="C970" t="s">
        <v>26</v>
      </c>
      <c r="D970" t="s">
        <v>23</v>
      </c>
      <c r="E970" t="s">
        <v>14</v>
      </c>
      <c r="F970" t="s">
        <v>40</v>
      </c>
      <c r="G970" t="s">
        <v>31</v>
      </c>
      <c r="H970" s="12">
        <v>250000</v>
      </c>
      <c r="I970">
        <v>6</v>
      </c>
      <c r="J970" t="s">
        <v>28</v>
      </c>
      <c r="K970" s="12">
        <f t="shared" si="15"/>
        <v>200000</v>
      </c>
      <c r="L970" s="12">
        <f>Sales_Data[[#This Row],[Unit Price]]*Sales_Data[[#This Row],[Quantity]]</f>
        <v>1500000</v>
      </c>
      <c r="M970" s="12">
        <f>Sales_Data[[#This Row],[Cost Price]]*Sales_Data[[#This Row],[Quantity]]</f>
        <v>1200000</v>
      </c>
      <c r="N970" s="12">
        <f>Sales_Data[[#This Row],[Revenue]]-Sales_Data[[#This Row],[COGS]]</f>
        <v>300000</v>
      </c>
    </row>
    <row r="971" spans="1:14">
      <c r="A971" s="1">
        <v>46645</v>
      </c>
      <c r="B971" t="s">
        <v>11</v>
      </c>
      <c r="C971" t="s">
        <v>12</v>
      </c>
      <c r="D971" t="s">
        <v>23</v>
      </c>
      <c r="E971" t="s">
        <v>14</v>
      </c>
      <c r="F971" t="s">
        <v>38</v>
      </c>
      <c r="G971" t="s">
        <v>31</v>
      </c>
      <c r="H971" s="12">
        <v>420000</v>
      </c>
      <c r="I971">
        <v>3</v>
      </c>
      <c r="J971" t="s">
        <v>17</v>
      </c>
      <c r="K971" s="12">
        <f t="shared" si="15"/>
        <v>336000</v>
      </c>
      <c r="L971" s="12">
        <f>Sales_Data[[#This Row],[Unit Price]]*Sales_Data[[#This Row],[Quantity]]</f>
        <v>1260000</v>
      </c>
      <c r="M971" s="12">
        <f>Sales_Data[[#This Row],[Cost Price]]*Sales_Data[[#This Row],[Quantity]]</f>
        <v>1008000</v>
      </c>
      <c r="N971" s="12">
        <f>Sales_Data[[#This Row],[Revenue]]-Sales_Data[[#This Row],[COGS]]</f>
        <v>252000</v>
      </c>
    </row>
    <row r="972" spans="1:14">
      <c r="A972" s="1">
        <v>46646</v>
      </c>
      <c r="B972" t="s">
        <v>11</v>
      </c>
      <c r="C972" t="s">
        <v>12</v>
      </c>
      <c r="D972" t="s">
        <v>13</v>
      </c>
      <c r="E972" t="s">
        <v>14</v>
      </c>
      <c r="F972" t="s">
        <v>21</v>
      </c>
      <c r="G972" t="s">
        <v>22</v>
      </c>
      <c r="H972" s="12">
        <v>30000</v>
      </c>
      <c r="I972">
        <v>1</v>
      </c>
      <c r="J972" t="s">
        <v>28</v>
      </c>
      <c r="K972" s="12">
        <f t="shared" si="15"/>
        <v>24000</v>
      </c>
      <c r="L972" s="12">
        <f>Sales_Data[[#This Row],[Unit Price]]*Sales_Data[[#This Row],[Quantity]]</f>
        <v>30000</v>
      </c>
      <c r="M972" s="12">
        <f>Sales_Data[[#This Row],[Cost Price]]*Sales_Data[[#This Row],[Quantity]]</f>
        <v>24000</v>
      </c>
      <c r="N972" s="12">
        <f>Sales_Data[[#This Row],[Revenue]]-Sales_Data[[#This Row],[COGS]]</f>
        <v>6000</v>
      </c>
    </row>
    <row r="973" spans="1:14">
      <c r="A973" s="1">
        <v>46647</v>
      </c>
      <c r="B973" t="s">
        <v>29</v>
      </c>
      <c r="C973" t="s">
        <v>12</v>
      </c>
      <c r="D973" t="s">
        <v>23</v>
      </c>
      <c r="E973" t="s">
        <v>20</v>
      </c>
      <c r="F973" t="s">
        <v>40</v>
      </c>
      <c r="G973" t="s">
        <v>31</v>
      </c>
      <c r="H973" s="12">
        <v>250000</v>
      </c>
      <c r="I973">
        <v>3</v>
      </c>
      <c r="J973" t="s">
        <v>17</v>
      </c>
      <c r="K973" s="12">
        <f t="shared" si="15"/>
        <v>200000</v>
      </c>
      <c r="L973" s="12">
        <f>Sales_Data[[#This Row],[Unit Price]]*Sales_Data[[#This Row],[Quantity]]</f>
        <v>750000</v>
      </c>
      <c r="M973" s="12">
        <f>Sales_Data[[#This Row],[Cost Price]]*Sales_Data[[#This Row],[Quantity]]</f>
        <v>600000</v>
      </c>
      <c r="N973" s="12">
        <f>Sales_Data[[#This Row],[Revenue]]-Sales_Data[[#This Row],[COGS]]</f>
        <v>150000</v>
      </c>
    </row>
    <row r="974" spans="1:14">
      <c r="A974" s="1">
        <v>46648</v>
      </c>
      <c r="B974" t="s">
        <v>18</v>
      </c>
      <c r="C974" t="s">
        <v>26</v>
      </c>
      <c r="D974" t="s">
        <v>13</v>
      </c>
      <c r="E974" t="s">
        <v>14</v>
      </c>
      <c r="F974" t="s">
        <v>34</v>
      </c>
      <c r="G974" t="s">
        <v>16</v>
      </c>
      <c r="H974" s="12">
        <v>320000</v>
      </c>
      <c r="I974">
        <v>10</v>
      </c>
      <c r="J974" t="s">
        <v>17</v>
      </c>
      <c r="K974" s="12">
        <f t="shared" si="15"/>
        <v>256000</v>
      </c>
      <c r="L974" s="12">
        <f>Sales_Data[[#This Row],[Unit Price]]*Sales_Data[[#This Row],[Quantity]]</f>
        <v>3200000</v>
      </c>
      <c r="M974" s="12">
        <f>Sales_Data[[#This Row],[Cost Price]]*Sales_Data[[#This Row],[Quantity]]</f>
        <v>2560000</v>
      </c>
      <c r="N974" s="12">
        <f>Sales_Data[[#This Row],[Revenue]]-Sales_Data[[#This Row],[COGS]]</f>
        <v>640000</v>
      </c>
    </row>
    <row r="975" spans="1:14">
      <c r="A975" s="1">
        <v>46649</v>
      </c>
      <c r="B975" t="s">
        <v>11</v>
      </c>
      <c r="C975" t="s">
        <v>12</v>
      </c>
      <c r="D975" t="s">
        <v>13</v>
      </c>
      <c r="E975" t="s">
        <v>20</v>
      </c>
      <c r="F975" t="s">
        <v>40</v>
      </c>
      <c r="G975" t="s">
        <v>31</v>
      </c>
      <c r="H975" s="12">
        <v>250000</v>
      </c>
      <c r="I975">
        <v>7</v>
      </c>
      <c r="J975" t="s">
        <v>24</v>
      </c>
      <c r="K975" s="12">
        <f t="shared" si="15"/>
        <v>200000</v>
      </c>
      <c r="L975" s="12">
        <f>Sales_Data[[#This Row],[Unit Price]]*Sales_Data[[#This Row],[Quantity]]</f>
        <v>1750000</v>
      </c>
      <c r="M975" s="12">
        <f>Sales_Data[[#This Row],[Cost Price]]*Sales_Data[[#This Row],[Quantity]]</f>
        <v>1400000</v>
      </c>
      <c r="N975" s="12">
        <f>Sales_Data[[#This Row],[Revenue]]-Sales_Data[[#This Row],[COGS]]</f>
        <v>350000</v>
      </c>
    </row>
    <row r="976" spans="1:14">
      <c r="A976" s="1">
        <v>46650</v>
      </c>
      <c r="B976" t="s">
        <v>29</v>
      </c>
      <c r="C976" t="s">
        <v>19</v>
      </c>
      <c r="D976" t="s">
        <v>23</v>
      </c>
      <c r="E976" t="s">
        <v>14</v>
      </c>
      <c r="F976" t="s">
        <v>34</v>
      </c>
      <c r="G976" t="s">
        <v>16</v>
      </c>
      <c r="H976" s="12">
        <v>320000</v>
      </c>
      <c r="I976">
        <v>2</v>
      </c>
      <c r="J976" t="s">
        <v>28</v>
      </c>
      <c r="K976" s="12">
        <f t="shared" si="15"/>
        <v>256000</v>
      </c>
      <c r="L976" s="12">
        <f>Sales_Data[[#This Row],[Unit Price]]*Sales_Data[[#This Row],[Quantity]]</f>
        <v>640000</v>
      </c>
      <c r="M976" s="12">
        <f>Sales_Data[[#This Row],[Cost Price]]*Sales_Data[[#This Row],[Quantity]]</f>
        <v>512000</v>
      </c>
      <c r="N976" s="12">
        <f>Sales_Data[[#This Row],[Revenue]]-Sales_Data[[#This Row],[COGS]]</f>
        <v>128000</v>
      </c>
    </row>
    <row r="977" spans="1:14">
      <c r="A977" s="1">
        <v>46651</v>
      </c>
      <c r="B977" t="s">
        <v>29</v>
      </c>
      <c r="C977" t="s">
        <v>12</v>
      </c>
      <c r="D977" t="s">
        <v>23</v>
      </c>
      <c r="E977" t="s">
        <v>20</v>
      </c>
      <c r="F977" t="s">
        <v>41</v>
      </c>
      <c r="G977" t="s">
        <v>22</v>
      </c>
      <c r="H977" s="12">
        <v>220000</v>
      </c>
      <c r="I977">
        <v>5</v>
      </c>
      <c r="J977" t="s">
        <v>35</v>
      </c>
      <c r="K977" s="12">
        <f t="shared" si="15"/>
        <v>176000</v>
      </c>
      <c r="L977" s="12">
        <f>Sales_Data[[#This Row],[Unit Price]]*Sales_Data[[#This Row],[Quantity]]</f>
        <v>1100000</v>
      </c>
      <c r="M977" s="12">
        <f>Sales_Data[[#This Row],[Cost Price]]*Sales_Data[[#This Row],[Quantity]]</f>
        <v>880000</v>
      </c>
      <c r="N977" s="12">
        <f>Sales_Data[[#This Row],[Revenue]]-Sales_Data[[#This Row],[COGS]]</f>
        <v>220000</v>
      </c>
    </row>
    <row r="978" spans="1:14">
      <c r="A978" s="1">
        <v>46652</v>
      </c>
      <c r="B978" t="s">
        <v>29</v>
      </c>
      <c r="C978" t="s">
        <v>32</v>
      </c>
      <c r="D978" t="s">
        <v>23</v>
      </c>
      <c r="E978" t="s">
        <v>20</v>
      </c>
      <c r="F978" t="s">
        <v>38</v>
      </c>
      <c r="G978" t="s">
        <v>31</v>
      </c>
      <c r="H978" s="12">
        <v>420000</v>
      </c>
      <c r="I978">
        <v>3</v>
      </c>
      <c r="J978" t="s">
        <v>35</v>
      </c>
      <c r="K978" s="12">
        <f t="shared" si="15"/>
        <v>336000</v>
      </c>
      <c r="L978" s="12">
        <f>Sales_Data[[#This Row],[Unit Price]]*Sales_Data[[#This Row],[Quantity]]</f>
        <v>1260000</v>
      </c>
      <c r="M978" s="12">
        <f>Sales_Data[[#This Row],[Cost Price]]*Sales_Data[[#This Row],[Quantity]]</f>
        <v>1008000</v>
      </c>
      <c r="N978" s="12">
        <f>Sales_Data[[#This Row],[Revenue]]-Sales_Data[[#This Row],[COGS]]</f>
        <v>252000</v>
      </c>
    </row>
    <row r="979" spans="1:14">
      <c r="A979" s="1">
        <v>46653</v>
      </c>
      <c r="B979" t="s">
        <v>29</v>
      </c>
      <c r="C979" t="s">
        <v>19</v>
      </c>
      <c r="D979" t="s">
        <v>23</v>
      </c>
      <c r="E979" t="s">
        <v>14</v>
      </c>
      <c r="F979" t="s">
        <v>41</v>
      </c>
      <c r="G979" t="s">
        <v>22</v>
      </c>
      <c r="H979" s="12">
        <v>220000</v>
      </c>
      <c r="I979">
        <v>3</v>
      </c>
      <c r="J979" t="s">
        <v>28</v>
      </c>
      <c r="K979" s="12">
        <f t="shared" si="15"/>
        <v>176000</v>
      </c>
      <c r="L979" s="12">
        <f>Sales_Data[[#This Row],[Unit Price]]*Sales_Data[[#This Row],[Quantity]]</f>
        <v>660000</v>
      </c>
      <c r="M979" s="12">
        <f>Sales_Data[[#This Row],[Cost Price]]*Sales_Data[[#This Row],[Quantity]]</f>
        <v>528000</v>
      </c>
      <c r="N979" s="12">
        <f>Sales_Data[[#This Row],[Revenue]]-Sales_Data[[#This Row],[COGS]]</f>
        <v>132000</v>
      </c>
    </row>
    <row r="980" spans="1:14">
      <c r="A980" s="1">
        <v>46654</v>
      </c>
      <c r="B980" t="s">
        <v>25</v>
      </c>
      <c r="C980" t="s">
        <v>12</v>
      </c>
      <c r="D980" t="s">
        <v>23</v>
      </c>
      <c r="E980" t="s">
        <v>14</v>
      </c>
      <c r="F980" t="s">
        <v>34</v>
      </c>
      <c r="G980" t="s">
        <v>16</v>
      </c>
      <c r="H980" s="12">
        <v>320000</v>
      </c>
      <c r="I980">
        <v>5</v>
      </c>
      <c r="J980" t="s">
        <v>24</v>
      </c>
      <c r="K980" s="12">
        <f t="shared" si="15"/>
        <v>256000</v>
      </c>
      <c r="L980" s="12">
        <f>Sales_Data[[#This Row],[Unit Price]]*Sales_Data[[#This Row],[Quantity]]</f>
        <v>1600000</v>
      </c>
      <c r="M980" s="12">
        <f>Sales_Data[[#This Row],[Cost Price]]*Sales_Data[[#This Row],[Quantity]]</f>
        <v>1280000</v>
      </c>
      <c r="N980" s="12">
        <f>Sales_Data[[#This Row],[Revenue]]-Sales_Data[[#This Row],[COGS]]</f>
        <v>320000</v>
      </c>
    </row>
    <row r="981" spans="1:14">
      <c r="A981" s="1">
        <v>46655</v>
      </c>
      <c r="B981" t="s">
        <v>18</v>
      </c>
      <c r="C981" t="s">
        <v>26</v>
      </c>
      <c r="D981" t="s">
        <v>13</v>
      </c>
      <c r="E981" t="s">
        <v>20</v>
      </c>
      <c r="F981" t="s">
        <v>15</v>
      </c>
      <c r="G981" t="s">
        <v>16</v>
      </c>
      <c r="H981" s="12">
        <v>85000</v>
      </c>
      <c r="I981">
        <v>8</v>
      </c>
      <c r="J981" t="s">
        <v>17</v>
      </c>
      <c r="K981" s="12">
        <f t="shared" si="15"/>
        <v>68000</v>
      </c>
      <c r="L981" s="12">
        <f>Sales_Data[[#This Row],[Unit Price]]*Sales_Data[[#This Row],[Quantity]]</f>
        <v>680000</v>
      </c>
      <c r="M981" s="12">
        <f>Sales_Data[[#This Row],[Cost Price]]*Sales_Data[[#This Row],[Quantity]]</f>
        <v>544000</v>
      </c>
      <c r="N981" s="12">
        <f>Sales_Data[[#This Row],[Revenue]]-Sales_Data[[#This Row],[COGS]]</f>
        <v>136000</v>
      </c>
    </row>
    <row r="982" spans="1:14">
      <c r="A982" s="1">
        <v>46656</v>
      </c>
      <c r="B982" t="s">
        <v>18</v>
      </c>
      <c r="C982" t="s">
        <v>32</v>
      </c>
      <c r="D982" t="s">
        <v>23</v>
      </c>
      <c r="E982" t="s">
        <v>20</v>
      </c>
      <c r="F982" t="s">
        <v>36</v>
      </c>
      <c r="G982" t="s">
        <v>31</v>
      </c>
      <c r="H982" s="12">
        <v>150000</v>
      </c>
      <c r="I982">
        <v>9</v>
      </c>
      <c r="J982" t="s">
        <v>39</v>
      </c>
      <c r="K982" s="12">
        <f t="shared" si="15"/>
        <v>120000</v>
      </c>
      <c r="L982" s="12">
        <f>Sales_Data[[#This Row],[Unit Price]]*Sales_Data[[#This Row],[Quantity]]</f>
        <v>1350000</v>
      </c>
      <c r="M982" s="12">
        <f>Sales_Data[[#This Row],[Cost Price]]*Sales_Data[[#This Row],[Quantity]]</f>
        <v>1080000</v>
      </c>
      <c r="N982" s="12">
        <f>Sales_Data[[#This Row],[Revenue]]-Sales_Data[[#This Row],[COGS]]</f>
        <v>270000</v>
      </c>
    </row>
    <row r="983" spans="1:14">
      <c r="A983" s="1">
        <v>46657</v>
      </c>
      <c r="B983" t="s">
        <v>11</v>
      </c>
      <c r="C983" t="s">
        <v>12</v>
      </c>
      <c r="D983" t="s">
        <v>23</v>
      </c>
      <c r="E983" t="s">
        <v>14</v>
      </c>
      <c r="F983" t="s">
        <v>40</v>
      </c>
      <c r="G983" t="s">
        <v>31</v>
      </c>
      <c r="H983" s="12">
        <v>250000</v>
      </c>
      <c r="I983">
        <v>4</v>
      </c>
      <c r="J983" t="s">
        <v>35</v>
      </c>
      <c r="K983" s="12">
        <f t="shared" si="15"/>
        <v>200000</v>
      </c>
      <c r="L983" s="12">
        <f>Sales_Data[[#This Row],[Unit Price]]*Sales_Data[[#This Row],[Quantity]]</f>
        <v>1000000</v>
      </c>
      <c r="M983" s="12">
        <f>Sales_Data[[#This Row],[Cost Price]]*Sales_Data[[#This Row],[Quantity]]</f>
        <v>800000</v>
      </c>
      <c r="N983" s="12">
        <f>Sales_Data[[#This Row],[Revenue]]-Sales_Data[[#This Row],[COGS]]</f>
        <v>200000</v>
      </c>
    </row>
    <row r="984" spans="1:14">
      <c r="A984" s="1">
        <v>46658</v>
      </c>
      <c r="B984" t="s">
        <v>29</v>
      </c>
      <c r="C984" t="s">
        <v>19</v>
      </c>
      <c r="D984" t="s">
        <v>13</v>
      </c>
      <c r="E984" t="s">
        <v>20</v>
      </c>
      <c r="F984" t="s">
        <v>41</v>
      </c>
      <c r="G984" t="s">
        <v>22</v>
      </c>
      <c r="H984" s="12">
        <v>220000</v>
      </c>
      <c r="I984">
        <v>4</v>
      </c>
      <c r="J984" t="s">
        <v>35</v>
      </c>
      <c r="K984" s="12">
        <f t="shared" si="15"/>
        <v>176000</v>
      </c>
      <c r="L984" s="12">
        <f>Sales_Data[[#This Row],[Unit Price]]*Sales_Data[[#This Row],[Quantity]]</f>
        <v>880000</v>
      </c>
      <c r="M984" s="12">
        <f>Sales_Data[[#This Row],[Cost Price]]*Sales_Data[[#This Row],[Quantity]]</f>
        <v>704000</v>
      </c>
      <c r="N984" s="12">
        <f>Sales_Data[[#This Row],[Revenue]]-Sales_Data[[#This Row],[COGS]]</f>
        <v>176000</v>
      </c>
    </row>
    <row r="985" spans="1:14">
      <c r="A985" s="1">
        <v>46659</v>
      </c>
      <c r="B985" t="s">
        <v>29</v>
      </c>
      <c r="C985" t="s">
        <v>12</v>
      </c>
      <c r="D985" t="s">
        <v>23</v>
      </c>
      <c r="E985" t="s">
        <v>20</v>
      </c>
      <c r="F985" t="s">
        <v>15</v>
      </c>
      <c r="G985" t="s">
        <v>16</v>
      </c>
      <c r="H985" s="12">
        <v>85000</v>
      </c>
      <c r="I985">
        <v>2</v>
      </c>
      <c r="J985" t="s">
        <v>17</v>
      </c>
      <c r="K985" s="12">
        <f t="shared" si="15"/>
        <v>68000</v>
      </c>
      <c r="L985" s="12">
        <f>Sales_Data[[#This Row],[Unit Price]]*Sales_Data[[#This Row],[Quantity]]</f>
        <v>170000</v>
      </c>
      <c r="M985" s="12">
        <f>Sales_Data[[#This Row],[Cost Price]]*Sales_Data[[#This Row],[Quantity]]</f>
        <v>136000</v>
      </c>
      <c r="N985" s="12">
        <f>Sales_Data[[#This Row],[Revenue]]-Sales_Data[[#This Row],[COGS]]</f>
        <v>34000</v>
      </c>
    </row>
    <row r="986" spans="1:14">
      <c r="A986" s="1">
        <v>46660</v>
      </c>
      <c r="B986" t="s">
        <v>18</v>
      </c>
      <c r="C986" t="s">
        <v>12</v>
      </c>
      <c r="D986" t="s">
        <v>13</v>
      </c>
      <c r="E986" t="s">
        <v>14</v>
      </c>
      <c r="F986" t="s">
        <v>40</v>
      </c>
      <c r="G986" t="s">
        <v>31</v>
      </c>
      <c r="H986" s="12">
        <v>250000</v>
      </c>
      <c r="I986">
        <v>3</v>
      </c>
      <c r="J986" t="s">
        <v>35</v>
      </c>
      <c r="K986" s="12">
        <f t="shared" si="15"/>
        <v>200000</v>
      </c>
      <c r="L986" s="12">
        <f>Sales_Data[[#This Row],[Unit Price]]*Sales_Data[[#This Row],[Quantity]]</f>
        <v>750000</v>
      </c>
      <c r="M986" s="12">
        <f>Sales_Data[[#This Row],[Cost Price]]*Sales_Data[[#This Row],[Quantity]]</f>
        <v>600000</v>
      </c>
      <c r="N986" s="12">
        <f>Sales_Data[[#This Row],[Revenue]]-Sales_Data[[#This Row],[COGS]]</f>
        <v>150000</v>
      </c>
    </row>
    <row r="987" spans="1:14">
      <c r="A987" s="1">
        <v>46661</v>
      </c>
      <c r="B987" t="s">
        <v>29</v>
      </c>
      <c r="C987" t="s">
        <v>26</v>
      </c>
      <c r="D987" t="s">
        <v>23</v>
      </c>
      <c r="E987" t="s">
        <v>14</v>
      </c>
      <c r="F987" t="s">
        <v>36</v>
      </c>
      <c r="G987" t="s">
        <v>31</v>
      </c>
      <c r="H987" s="12">
        <v>150000</v>
      </c>
      <c r="I987">
        <v>4</v>
      </c>
      <c r="J987" t="s">
        <v>35</v>
      </c>
      <c r="K987" s="12">
        <f t="shared" si="15"/>
        <v>120000</v>
      </c>
      <c r="L987" s="12">
        <f>Sales_Data[[#This Row],[Unit Price]]*Sales_Data[[#This Row],[Quantity]]</f>
        <v>600000</v>
      </c>
      <c r="M987" s="12">
        <f>Sales_Data[[#This Row],[Cost Price]]*Sales_Data[[#This Row],[Quantity]]</f>
        <v>480000</v>
      </c>
      <c r="N987" s="12">
        <f>Sales_Data[[#This Row],[Revenue]]-Sales_Data[[#This Row],[COGS]]</f>
        <v>120000</v>
      </c>
    </row>
    <row r="988" spans="1:14">
      <c r="A988" s="1">
        <v>46662</v>
      </c>
      <c r="B988" t="s">
        <v>29</v>
      </c>
      <c r="C988" t="s">
        <v>12</v>
      </c>
      <c r="D988" t="s">
        <v>13</v>
      </c>
      <c r="E988" t="s">
        <v>14</v>
      </c>
      <c r="F988" t="s">
        <v>15</v>
      </c>
      <c r="G988" t="s">
        <v>16</v>
      </c>
      <c r="H988" s="12">
        <v>85000</v>
      </c>
      <c r="I988">
        <v>2</v>
      </c>
      <c r="J988" t="s">
        <v>17</v>
      </c>
      <c r="K988" s="12">
        <f t="shared" si="15"/>
        <v>68000</v>
      </c>
      <c r="L988" s="12">
        <f>Sales_Data[[#This Row],[Unit Price]]*Sales_Data[[#This Row],[Quantity]]</f>
        <v>170000</v>
      </c>
      <c r="M988" s="12">
        <f>Sales_Data[[#This Row],[Cost Price]]*Sales_Data[[#This Row],[Quantity]]</f>
        <v>136000</v>
      </c>
      <c r="N988" s="12">
        <f>Sales_Data[[#This Row],[Revenue]]-Sales_Data[[#This Row],[COGS]]</f>
        <v>34000</v>
      </c>
    </row>
    <row r="989" spans="1:14">
      <c r="A989" s="1">
        <v>46663</v>
      </c>
      <c r="B989" t="s">
        <v>11</v>
      </c>
      <c r="C989" t="s">
        <v>26</v>
      </c>
      <c r="D989" t="s">
        <v>23</v>
      </c>
      <c r="E989" t="s">
        <v>20</v>
      </c>
      <c r="F989" t="s">
        <v>36</v>
      </c>
      <c r="G989" t="s">
        <v>31</v>
      </c>
      <c r="H989" s="12">
        <v>150000</v>
      </c>
      <c r="I989">
        <v>4</v>
      </c>
      <c r="J989" t="s">
        <v>28</v>
      </c>
      <c r="K989" s="12">
        <f t="shared" si="15"/>
        <v>120000</v>
      </c>
      <c r="L989" s="12">
        <f>Sales_Data[[#This Row],[Unit Price]]*Sales_Data[[#This Row],[Quantity]]</f>
        <v>600000</v>
      </c>
      <c r="M989" s="12">
        <f>Sales_Data[[#This Row],[Cost Price]]*Sales_Data[[#This Row],[Quantity]]</f>
        <v>480000</v>
      </c>
      <c r="N989" s="12">
        <f>Sales_Data[[#This Row],[Revenue]]-Sales_Data[[#This Row],[COGS]]</f>
        <v>120000</v>
      </c>
    </row>
    <row r="990" spans="1:14">
      <c r="A990" s="1">
        <v>46664</v>
      </c>
      <c r="B990" t="s">
        <v>29</v>
      </c>
      <c r="C990" t="s">
        <v>12</v>
      </c>
      <c r="D990" t="s">
        <v>13</v>
      </c>
      <c r="E990" t="s">
        <v>14</v>
      </c>
      <c r="F990" t="s">
        <v>36</v>
      </c>
      <c r="G990" t="s">
        <v>31</v>
      </c>
      <c r="H990" s="12">
        <v>150000</v>
      </c>
      <c r="I990">
        <v>3</v>
      </c>
      <c r="J990" t="s">
        <v>24</v>
      </c>
      <c r="K990" s="12">
        <f t="shared" si="15"/>
        <v>120000</v>
      </c>
      <c r="L990" s="12">
        <f>Sales_Data[[#This Row],[Unit Price]]*Sales_Data[[#This Row],[Quantity]]</f>
        <v>450000</v>
      </c>
      <c r="M990" s="12">
        <f>Sales_Data[[#This Row],[Cost Price]]*Sales_Data[[#This Row],[Quantity]]</f>
        <v>360000</v>
      </c>
      <c r="N990" s="12">
        <f>Sales_Data[[#This Row],[Revenue]]-Sales_Data[[#This Row],[COGS]]</f>
        <v>90000</v>
      </c>
    </row>
    <row r="991" spans="1:14">
      <c r="A991" s="1">
        <v>46665</v>
      </c>
      <c r="B991" t="s">
        <v>29</v>
      </c>
      <c r="C991" t="s">
        <v>12</v>
      </c>
      <c r="D991" t="s">
        <v>23</v>
      </c>
      <c r="E991" t="s">
        <v>14</v>
      </c>
      <c r="F991" t="s">
        <v>21</v>
      </c>
      <c r="G991" t="s">
        <v>22</v>
      </c>
      <c r="H991" s="12">
        <v>30000</v>
      </c>
      <c r="I991">
        <v>3</v>
      </c>
      <c r="J991" t="s">
        <v>24</v>
      </c>
      <c r="K991" s="12">
        <f t="shared" si="15"/>
        <v>24000</v>
      </c>
      <c r="L991" s="12">
        <f>Sales_Data[[#This Row],[Unit Price]]*Sales_Data[[#This Row],[Quantity]]</f>
        <v>90000</v>
      </c>
      <c r="M991" s="12">
        <f>Sales_Data[[#This Row],[Cost Price]]*Sales_Data[[#This Row],[Quantity]]</f>
        <v>72000</v>
      </c>
      <c r="N991" s="12">
        <f>Sales_Data[[#This Row],[Revenue]]-Sales_Data[[#This Row],[COGS]]</f>
        <v>18000</v>
      </c>
    </row>
    <row r="992" spans="1:14">
      <c r="A992" s="1">
        <v>46666</v>
      </c>
      <c r="B992" t="s">
        <v>29</v>
      </c>
      <c r="C992" t="s">
        <v>19</v>
      </c>
      <c r="D992" t="s">
        <v>23</v>
      </c>
      <c r="E992" t="s">
        <v>20</v>
      </c>
      <c r="F992" t="s">
        <v>34</v>
      </c>
      <c r="G992" t="s">
        <v>16</v>
      </c>
      <c r="H992" s="12">
        <v>320000</v>
      </c>
      <c r="I992">
        <v>5</v>
      </c>
      <c r="J992" t="s">
        <v>39</v>
      </c>
      <c r="K992" s="12">
        <f t="shared" si="15"/>
        <v>256000</v>
      </c>
      <c r="L992" s="12">
        <f>Sales_Data[[#This Row],[Unit Price]]*Sales_Data[[#This Row],[Quantity]]</f>
        <v>1600000</v>
      </c>
      <c r="M992" s="12">
        <f>Sales_Data[[#This Row],[Cost Price]]*Sales_Data[[#This Row],[Quantity]]</f>
        <v>1280000</v>
      </c>
      <c r="N992" s="12">
        <f>Sales_Data[[#This Row],[Revenue]]-Sales_Data[[#This Row],[COGS]]</f>
        <v>320000</v>
      </c>
    </row>
    <row r="993" spans="1:14">
      <c r="A993" s="1">
        <v>46667</v>
      </c>
      <c r="B993" t="s">
        <v>18</v>
      </c>
      <c r="C993" t="s">
        <v>32</v>
      </c>
      <c r="D993" t="s">
        <v>23</v>
      </c>
      <c r="E993" t="s">
        <v>14</v>
      </c>
      <c r="F993" t="s">
        <v>40</v>
      </c>
      <c r="G993" t="s">
        <v>31</v>
      </c>
      <c r="H993" s="12">
        <v>250000</v>
      </c>
      <c r="I993">
        <v>3</v>
      </c>
      <c r="J993" t="s">
        <v>17</v>
      </c>
      <c r="K993" s="12">
        <f t="shared" si="15"/>
        <v>200000</v>
      </c>
      <c r="L993" s="12">
        <f>Sales_Data[[#This Row],[Unit Price]]*Sales_Data[[#This Row],[Quantity]]</f>
        <v>750000</v>
      </c>
      <c r="M993" s="12">
        <f>Sales_Data[[#This Row],[Cost Price]]*Sales_Data[[#This Row],[Quantity]]</f>
        <v>600000</v>
      </c>
      <c r="N993" s="12">
        <f>Sales_Data[[#This Row],[Revenue]]-Sales_Data[[#This Row],[COGS]]</f>
        <v>150000</v>
      </c>
    </row>
    <row r="994" spans="1:14">
      <c r="A994" s="1">
        <v>46668</v>
      </c>
      <c r="B994" t="s">
        <v>18</v>
      </c>
      <c r="C994" t="s">
        <v>26</v>
      </c>
      <c r="D994" t="s">
        <v>23</v>
      </c>
      <c r="E994" t="s">
        <v>20</v>
      </c>
      <c r="F994" t="s">
        <v>27</v>
      </c>
      <c r="G994" t="s">
        <v>22</v>
      </c>
      <c r="H994" s="12">
        <v>60000</v>
      </c>
      <c r="I994">
        <v>10</v>
      </c>
      <c r="J994" t="s">
        <v>39</v>
      </c>
      <c r="K994" s="12">
        <f t="shared" si="15"/>
        <v>48000</v>
      </c>
      <c r="L994" s="12">
        <f>Sales_Data[[#This Row],[Unit Price]]*Sales_Data[[#This Row],[Quantity]]</f>
        <v>600000</v>
      </c>
      <c r="M994" s="12">
        <f>Sales_Data[[#This Row],[Cost Price]]*Sales_Data[[#This Row],[Quantity]]</f>
        <v>480000</v>
      </c>
      <c r="N994" s="12">
        <f>Sales_Data[[#This Row],[Revenue]]-Sales_Data[[#This Row],[COGS]]</f>
        <v>120000</v>
      </c>
    </row>
    <row r="995" spans="1:14">
      <c r="A995" s="1">
        <v>46669</v>
      </c>
      <c r="B995" t="s">
        <v>29</v>
      </c>
      <c r="C995" t="s">
        <v>12</v>
      </c>
      <c r="D995" t="s">
        <v>13</v>
      </c>
      <c r="E995" t="s">
        <v>20</v>
      </c>
      <c r="F995" t="s">
        <v>27</v>
      </c>
      <c r="G995" t="s">
        <v>22</v>
      </c>
      <c r="H995" s="12">
        <v>60000</v>
      </c>
      <c r="I995">
        <v>3</v>
      </c>
      <c r="J995" t="s">
        <v>37</v>
      </c>
      <c r="K995" s="12">
        <f t="shared" si="15"/>
        <v>48000</v>
      </c>
      <c r="L995" s="12">
        <f>Sales_Data[[#This Row],[Unit Price]]*Sales_Data[[#This Row],[Quantity]]</f>
        <v>180000</v>
      </c>
      <c r="M995" s="12">
        <f>Sales_Data[[#This Row],[Cost Price]]*Sales_Data[[#This Row],[Quantity]]</f>
        <v>144000</v>
      </c>
      <c r="N995" s="12">
        <f>Sales_Data[[#This Row],[Revenue]]-Sales_Data[[#This Row],[COGS]]</f>
        <v>36000</v>
      </c>
    </row>
    <row r="996" spans="1:14">
      <c r="A996" s="1">
        <v>46670</v>
      </c>
      <c r="B996" t="s">
        <v>18</v>
      </c>
      <c r="C996" t="s">
        <v>19</v>
      </c>
      <c r="D996" t="s">
        <v>23</v>
      </c>
      <c r="E996" t="s">
        <v>20</v>
      </c>
      <c r="F996" t="s">
        <v>15</v>
      </c>
      <c r="G996" t="s">
        <v>16</v>
      </c>
      <c r="H996" s="12">
        <v>85000</v>
      </c>
      <c r="I996">
        <v>9</v>
      </c>
      <c r="J996" t="s">
        <v>35</v>
      </c>
      <c r="K996" s="12">
        <f t="shared" si="15"/>
        <v>68000</v>
      </c>
      <c r="L996" s="12">
        <f>Sales_Data[[#This Row],[Unit Price]]*Sales_Data[[#This Row],[Quantity]]</f>
        <v>765000</v>
      </c>
      <c r="M996" s="12">
        <f>Sales_Data[[#This Row],[Cost Price]]*Sales_Data[[#This Row],[Quantity]]</f>
        <v>612000</v>
      </c>
      <c r="N996" s="12">
        <f>Sales_Data[[#This Row],[Revenue]]-Sales_Data[[#This Row],[COGS]]</f>
        <v>153000</v>
      </c>
    </row>
    <row r="997" spans="1:14">
      <c r="A997" s="1">
        <v>46671</v>
      </c>
      <c r="B997" t="s">
        <v>18</v>
      </c>
      <c r="C997" t="s">
        <v>32</v>
      </c>
      <c r="D997" t="s">
        <v>23</v>
      </c>
      <c r="E997" t="s">
        <v>20</v>
      </c>
      <c r="F997" t="s">
        <v>38</v>
      </c>
      <c r="G997" t="s">
        <v>31</v>
      </c>
      <c r="H997" s="12">
        <v>420000</v>
      </c>
      <c r="I997">
        <v>4</v>
      </c>
      <c r="J997" t="s">
        <v>35</v>
      </c>
      <c r="K997" s="12">
        <f t="shared" si="15"/>
        <v>336000</v>
      </c>
      <c r="L997" s="12">
        <f>Sales_Data[[#This Row],[Unit Price]]*Sales_Data[[#This Row],[Quantity]]</f>
        <v>1680000</v>
      </c>
      <c r="M997" s="12">
        <f>Sales_Data[[#This Row],[Cost Price]]*Sales_Data[[#This Row],[Quantity]]</f>
        <v>1344000</v>
      </c>
      <c r="N997" s="12">
        <f>Sales_Data[[#This Row],[Revenue]]-Sales_Data[[#This Row],[COGS]]</f>
        <v>336000</v>
      </c>
    </row>
    <row r="998" spans="1:14">
      <c r="A998" s="1">
        <v>46672</v>
      </c>
      <c r="B998" t="s">
        <v>29</v>
      </c>
      <c r="C998" t="s">
        <v>26</v>
      </c>
      <c r="D998" t="s">
        <v>23</v>
      </c>
      <c r="E998" t="s">
        <v>14</v>
      </c>
      <c r="F998" t="s">
        <v>36</v>
      </c>
      <c r="G998" t="s">
        <v>31</v>
      </c>
      <c r="H998" s="12">
        <v>150000</v>
      </c>
      <c r="I998">
        <v>6</v>
      </c>
      <c r="J998" t="s">
        <v>37</v>
      </c>
      <c r="K998" s="12">
        <f t="shared" si="15"/>
        <v>120000</v>
      </c>
      <c r="L998" s="12">
        <f>Sales_Data[[#This Row],[Unit Price]]*Sales_Data[[#This Row],[Quantity]]</f>
        <v>900000</v>
      </c>
      <c r="M998" s="12">
        <f>Sales_Data[[#This Row],[Cost Price]]*Sales_Data[[#This Row],[Quantity]]</f>
        <v>720000</v>
      </c>
      <c r="N998" s="12">
        <f>Sales_Data[[#This Row],[Revenue]]-Sales_Data[[#This Row],[COGS]]</f>
        <v>180000</v>
      </c>
    </row>
    <row r="999" spans="1:14">
      <c r="A999" s="1">
        <v>46673</v>
      </c>
      <c r="B999" t="s">
        <v>29</v>
      </c>
      <c r="C999" t="s">
        <v>26</v>
      </c>
      <c r="D999" t="s">
        <v>23</v>
      </c>
      <c r="E999" t="s">
        <v>14</v>
      </c>
      <c r="F999" t="s">
        <v>34</v>
      </c>
      <c r="G999" t="s">
        <v>16</v>
      </c>
      <c r="H999" s="12">
        <v>320000</v>
      </c>
      <c r="I999">
        <v>3</v>
      </c>
      <c r="J999" t="s">
        <v>35</v>
      </c>
      <c r="K999" s="12">
        <f t="shared" si="15"/>
        <v>256000</v>
      </c>
      <c r="L999" s="12">
        <f>Sales_Data[[#This Row],[Unit Price]]*Sales_Data[[#This Row],[Quantity]]</f>
        <v>960000</v>
      </c>
      <c r="M999" s="12">
        <f>Sales_Data[[#This Row],[Cost Price]]*Sales_Data[[#This Row],[Quantity]]</f>
        <v>768000</v>
      </c>
      <c r="N999" s="12">
        <f>Sales_Data[[#This Row],[Revenue]]-Sales_Data[[#This Row],[COGS]]</f>
        <v>192000</v>
      </c>
    </row>
    <row r="1000" spans="1:14">
      <c r="A1000" s="1">
        <v>46674</v>
      </c>
      <c r="B1000" t="s">
        <v>25</v>
      </c>
      <c r="C1000" t="s">
        <v>32</v>
      </c>
      <c r="D1000" t="s">
        <v>13</v>
      </c>
      <c r="E1000" t="s">
        <v>20</v>
      </c>
      <c r="F1000" t="s">
        <v>30</v>
      </c>
      <c r="G1000" t="s">
        <v>31</v>
      </c>
      <c r="H1000" s="12">
        <v>300000</v>
      </c>
      <c r="I1000">
        <v>2</v>
      </c>
      <c r="J1000" t="s">
        <v>17</v>
      </c>
      <c r="K1000" s="12">
        <f t="shared" si="15"/>
        <v>240000</v>
      </c>
      <c r="L1000" s="12">
        <f>Sales_Data[[#This Row],[Unit Price]]*Sales_Data[[#This Row],[Quantity]]</f>
        <v>600000</v>
      </c>
      <c r="M1000" s="12">
        <f>Sales_Data[[#This Row],[Cost Price]]*Sales_Data[[#This Row],[Quantity]]</f>
        <v>480000</v>
      </c>
      <c r="N1000" s="12">
        <f>Sales_Data[[#This Row],[Revenue]]-Sales_Data[[#This Row],[COGS]]</f>
        <v>120000</v>
      </c>
    </row>
    <row r="1001" spans="1:14">
      <c r="A1001" s="1">
        <v>46675</v>
      </c>
      <c r="B1001" t="s">
        <v>18</v>
      </c>
      <c r="C1001" t="s">
        <v>26</v>
      </c>
      <c r="D1001" t="s">
        <v>23</v>
      </c>
      <c r="E1001" t="s">
        <v>14</v>
      </c>
      <c r="F1001" t="s">
        <v>36</v>
      </c>
      <c r="G1001" t="s">
        <v>31</v>
      </c>
      <c r="H1001" s="12">
        <v>150000</v>
      </c>
      <c r="I1001">
        <v>10</v>
      </c>
      <c r="J1001" t="s">
        <v>37</v>
      </c>
      <c r="K1001" s="12">
        <f t="shared" si="15"/>
        <v>120000</v>
      </c>
      <c r="L1001" s="12">
        <f>Sales_Data[[#This Row],[Unit Price]]*Sales_Data[[#This Row],[Quantity]]</f>
        <v>1500000</v>
      </c>
      <c r="M1001" s="12">
        <f>Sales_Data[[#This Row],[Cost Price]]*Sales_Data[[#This Row],[Quantity]]</f>
        <v>1200000</v>
      </c>
      <c r="N1001" s="12">
        <f>Sales_Data[[#This Row],[Revenue]]-Sales_Data[[#This Row],[COGS]]</f>
        <v>300000</v>
      </c>
    </row>
    <row r="1002" spans="1:14">
      <c r="A1002" s="1">
        <v>46676</v>
      </c>
      <c r="B1002" t="s">
        <v>18</v>
      </c>
      <c r="C1002" t="s">
        <v>32</v>
      </c>
      <c r="D1002" t="s">
        <v>13</v>
      </c>
      <c r="E1002" t="s">
        <v>20</v>
      </c>
      <c r="F1002" t="s">
        <v>38</v>
      </c>
      <c r="G1002" t="s">
        <v>31</v>
      </c>
      <c r="H1002" s="12">
        <v>420000</v>
      </c>
      <c r="I1002">
        <v>10</v>
      </c>
      <c r="J1002" t="s">
        <v>28</v>
      </c>
      <c r="K1002" s="12">
        <f t="shared" si="15"/>
        <v>336000</v>
      </c>
      <c r="L1002" s="12">
        <f>Sales_Data[[#This Row],[Unit Price]]*Sales_Data[[#This Row],[Quantity]]</f>
        <v>4200000</v>
      </c>
      <c r="M1002" s="12">
        <f>Sales_Data[[#This Row],[Cost Price]]*Sales_Data[[#This Row],[Quantity]]</f>
        <v>3360000</v>
      </c>
      <c r="N1002" s="12">
        <f>Sales_Data[[#This Row],[Revenue]]-Sales_Data[[#This Row],[COGS]]</f>
        <v>840000</v>
      </c>
    </row>
    <row r="1003" spans="1:14">
      <c r="A1003" s="1">
        <v>46677</v>
      </c>
      <c r="B1003" t="s">
        <v>29</v>
      </c>
      <c r="C1003" t="s">
        <v>32</v>
      </c>
      <c r="D1003" t="s">
        <v>23</v>
      </c>
      <c r="E1003" t="s">
        <v>20</v>
      </c>
      <c r="F1003" t="s">
        <v>33</v>
      </c>
      <c r="G1003" t="s">
        <v>22</v>
      </c>
      <c r="H1003" s="12">
        <v>180000</v>
      </c>
      <c r="I1003">
        <v>5</v>
      </c>
      <c r="J1003" t="s">
        <v>37</v>
      </c>
      <c r="K1003" s="12">
        <f t="shared" si="15"/>
        <v>144000</v>
      </c>
      <c r="L1003" s="12">
        <f>Sales_Data[[#This Row],[Unit Price]]*Sales_Data[[#This Row],[Quantity]]</f>
        <v>900000</v>
      </c>
      <c r="M1003" s="12">
        <f>Sales_Data[[#This Row],[Cost Price]]*Sales_Data[[#This Row],[Quantity]]</f>
        <v>720000</v>
      </c>
      <c r="N1003" s="12">
        <f>Sales_Data[[#This Row],[Revenue]]-Sales_Data[[#This Row],[COGS]]</f>
        <v>180000</v>
      </c>
    </row>
    <row r="1004" spans="1:14">
      <c r="A1004" s="1">
        <v>46678</v>
      </c>
      <c r="B1004" t="s">
        <v>18</v>
      </c>
      <c r="C1004" t="s">
        <v>32</v>
      </c>
      <c r="D1004" t="s">
        <v>23</v>
      </c>
      <c r="E1004" t="s">
        <v>20</v>
      </c>
      <c r="F1004" t="s">
        <v>40</v>
      </c>
      <c r="G1004" t="s">
        <v>31</v>
      </c>
      <c r="H1004" s="12">
        <v>250000</v>
      </c>
      <c r="I1004">
        <v>7</v>
      </c>
      <c r="J1004" t="s">
        <v>28</v>
      </c>
      <c r="K1004" s="12">
        <f t="shared" si="15"/>
        <v>200000</v>
      </c>
      <c r="L1004" s="12">
        <f>Sales_Data[[#This Row],[Unit Price]]*Sales_Data[[#This Row],[Quantity]]</f>
        <v>1750000</v>
      </c>
      <c r="M1004" s="12">
        <f>Sales_Data[[#This Row],[Cost Price]]*Sales_Data[[#This Row],[Quantity]]</f>
        <v>1400000</v>
      </c>
      <c r="N1004" s="12">
        <f>Sales_Data[[#This Row],[Revenue]]-Sales_Data[[#This Row],[COGS]]</f>
        <v>350000</v>
      </c>
    </row>
    <row r="1005" spans="1:14">
      <c r="A1005" s="1">
        <v>46679</v>
      </c>
      <c r="B1005" t="s">
        <v>11</v>
      </c>
      <c r="C1005" t="s">
        <v>19</v>
      </c>
      <c r="D1005" t="s">
        <v>13</v>
      </c>
      <c r="E1005" t="s">
        <v>20</v>
      </c>
      <c r="F1005" t="s">
        <v>34</v>
      </c>
      <c r="G1005" t="s">
        <v>16</v>
      </c>
      <c r="H1005" s="12">
        <v>320000</v>
      </c>
      <c r="I1005">
        <v>4</v>
      </c>
      <c r="J1005" t="s">
        <v>24</v>
      </c>
      <c r="K1005" s="12">
        <f t="shared" si="15"/>
        <v>256000</v>
      </c>
      <c r="L1005" s="12">
        <f>Sales_Data[[#This Row],[Unit Price]]*Sales_Data[[#This Row],[Quantity]]</f>
        <v>1280000</v>
      </c>
      <c r="M1005" s="12">
        <f>Sales_Data[[#This Row],[Cost Price]]*Sales_Data[[#This Row],[Quantity]]</f>
        <v>1024000</v>
      </c>
      <c r="N1005" s="12">
        <f>Sales_Data[[#This Row],[Revenue]]-Sales_Data[[#This Row],[COGS]]</f>
        <v>256000</v>
      </c>
    </row>
    <row r="1006" spans="1:14">
      <c r="A1006" s="1">
        <v>46680</v>
      </c>
      <c r="B1006" t="s">
        <v>18</v>
      </c>
      <c r="C1006" t="s">
        <v>19</v>
      </c>
      <c r="D1006" t="s">
        <v>13</v>
      </c>
      <c r="E1006" t="s">
        <v>14</v>
      </c>
      <c r="F1006" t="s">
        <v>21</v>
      </c>
      <c r="G1006" t="s">
        <v>22</v>
      </c>
      <c r="H1006" s="12">
        <v>30000</v>
      </c>
      <c r="I1006">
        <v>2</v>
      </c>
      <c r="J1006" t="s">
        <v>17</v>
      </c>
      <c r="K1006" s="12">
        <f t="shared" si="15"/>
        <v>24000</v>
      </c>
      <c r="L1006" s="12">
        <f>Sales_Data[[#This Row],[Unit Price]]*Sales_Data[[#This Row],[Quantity]]</f>
        <v>60000</v>
      </c>
      <c r="M1006" s="12">
        <f>Sales_Data[[#This Row],[Cost Price]]*Sales_Data[[#This Row],[Quantity]]</f>
        <v>48000</v>
      </c>
      <c r="N1006" s="12">
        <f>Sales_Data[[#This Row],[Revenue]]-Sales_Data[[#This Row],[COGS]]</f>
        <v>12000</v>
      </c>
    </row>
    <row r="1007" spans="1:14">
      <c r="A1007" s="1">
        <v>46681</v>
      </c>
      <c r="B1007" t="s">
        <v>29</v>
      </c>
      <c r="C1007" t="s">
        <v>32</v>
      </c>
      <c r="D1007" t="s">
        <v>13</v>
      </c>
      <c r="E1007" t="s">
        <v>14</v>
      </c>
      <c r="F1007" t="s">
        <v>36</v>
      </c>
      <c r="G1007" t="s">
        <v>31</v>
      </c>
      <c r="H1007" s="12">
        <v>150000</v>
      </c>
      <c r="I1007">
        <v>4</v>
      </c>
      <c r="J1007" t="s">
        <v>17</v>
      </c>
      <c r="K1007" s="12">
        <f t="shared" si="15"/>
        <v>120000</v>
      </c>
      <c r="L1007" s="12">
        <f>Sales_Data[[#This Row],[Unit Price]]*Sales_Data[[#This Row],[Quantity]]</f>
        <v>600000</v>
      </c>
      <c r="M1007" s="12">
        <f>Sales_Data[[#This Row],[Cost Price]]*Sales_Data[[#This Row],[Quantity]]</f>
        <v>480000</v>
      </c>
      <c r="N1007" s="12">
        <f>Sales_Data[[#This Row],[Revenue]]-Sales_Data[[#This Row],[COGS]]</f>
        <v>120000</v>
      </c>
    </row>
    <row r="1008" spans="1:14">
      <c r="A1008" s="1">
        <v>46682</v>
      </c>
      <c r="B1008" t="s">
        <v>29</v>
      </c>
      <c r="C1008" t="s">
        <v>26</v>
      </c>
      <c r="D1008" t="s">
        <v>23</v>
      </c>
      <c r="E1008" t="s">
        <v>20</v>
      </c>
      <c r="F1008" t="s">
        <v>27</v>
      </c>
      <c r="G1008" t="s">
        <v>22</v>
      </c>
      <c r="H1008" s="12">
        <v>60000</v>
      </c>
      <c r="I1008">
        <v>4</v>
      </c>
      <c r="J1008" t="s">
        <v>28</v>
      </c>
      <c r="K1008" s="12">
        <f t="shared" si="15"/>
        <v>48000</v>
      </c>
      <c r="L1008" s="12">
        <f>Sales_Data[[#This Row],[Unit Price]]*Sales_Data[[#This Row],[Quantity]]</f>
        <v>240000</v>
      </c>
      <c r="M1008" s="12">
        <f>Sales_Data[[#This Row],[Cost Price]]*Sales_Data[[#This Row],[Quantity]]</f>
        <v>192000</v>
      </c>
      <c r="N1008" s="12">
        <f>Sales_Data[[#This Row],[Revenue]]-Sales_Data[[#This Row],[COGS]]</f>
        <v>48000</v>
      </c>
    </row>
    <row r="1009" spans="1:14">
      <c r="A1009" s="1">
        <v>46683</v>
      </c>
      <c r="B1009" t="s">
        <v>18</v>
      </c>
      <c r="C1009" t="s">
        <v>32</v>
      </c>
      <c r="D1009" t="s">
        <v>13</v>
      </c>
      <c r="E1009" t="s">
        <v>20</v>
      </c>
      <c r="F1009" t="s">
        <v>34</v>
      </c>
      <c r="G1009" t="s">
        <v>16</v>
      </c>
      <c r="H1009" s="12">
        <v>320000</v>
      </c>
      <c r="I1009">
        <v>4</v>
      </c>
      <c r="J1009" t="s">
        <v>37</v>
      </c>
      <c r="K1009" s="12">
        <f t="shared" si="15"/>
        <v>256000</v>
      </c>
      <c r="L1009" s="12">
        <f>Sales_Data[[#This Row],[Unit Price]]*Sales_Data[[#This Row],[Quantity]]</f>
        <v>1280000</v>
      </c>
      <c r="M1009" s="12">
        <f>Sales_Data[[#This Row],[Cost Price]]*Sales_Data[[#This Row],[Quantity]]</f>
        <v>1024000</v>
      </c>
      <c r="N1009" s="12">
        <f>Sales_Data[[#This Row],[Revenue]]-Sales_Data[[#This Row],[COGS]]</f>
        <v>256000</v>
      </c>
    </row>
    <row r="1010" spans="1:14">
      <c r="A1010" s="1">
        <v>46684</v>
      </c>
      <c r="B1010" t="s">
        <v>29</v>
      </c>
      <c r="C1010" t="s">
        <v>19</v>
      </c>
      <c r="D1010" t="s">
        <v>13</v>
      </c>
      <c r="E1010" t="s">
        <v>14</v>
      </c>
      <c r="F1010" t="s">
        <v>27</v>
      </c>
      <c r="G1010" t="s">
        <v>22</v>
      </c>
      <c r="H1010" s="12">
        <v>60000</v>
      </c>
      <c r="I1010">
        <v>2</v>
      </c>
      <c r="J1010" t="s">
        <v>24</v>
      </c>
      <c r="K1010" s="12">
        <f t="shared" si="15"/>
        <v>48000</v>
      </c>
      <c r="L1010" s="12">
        <f>Sales_Data[[#This Row],[Unit Price]]*Sales_Data[[#This Row],[Quantity]]</f>
        <v>120000</v>
      </c>
      <c r="M1010" s="12">
        <f>Sales_Data[[#This Row],[Cost Price]]*Sales_Data[[#This Row],[Quantity]]</f>
        <v>96000</v>
      </c>
      <c r="N1010" s="12">
        <f>Sales_Data[[#This Row],[Revenue]]-Sales_Data[[#This Row],[COGS]]</f>
        <v>24000</v>
      </c>
    </row>
    <row r="1011" spans="1:14">
      <c r="A1011" s="1">
        <v>46685</v>
      </c>
      <c r="B1011" t="s">
        <v>11</v>
      </c>
      <c r="C1011" t="s">
        <v>12</v>
      </c>
      <c r="D1011" t="s">
        <v>23</v>
      </c>
      <c r="E1011" t="s">
        <v>14</v>
      </c>
      <c r="F1011" t="s">
        <v>21</v>
      </c>
      <c r="G1011" t="s">
        <v>22</v>
      </c>
      <c r="H1011" s="12">
        <v>30000</v>
      </c>
      <c r="I1011">
        <v>7</v>
      </c>
      <c r="J1011" t="s">
        <v>35</v>
      </c>
      <c r="K1011" s="12">
        <f t="shared" si="15"/>
        <v>24000</v>
      </c>
      <c r="L1011" s="12">
        <f>Sales_Data[[#This Row],[Unit Price]]*Sales_Data[[#This Row],[Quantity]]</f>
        <v>210000</v>
      </c>
      <c r="M1011" s="12">
        <f>Sales_Data[[#This Row],[Cost Price]]*Sales_Data[[#This Row],[Quantity]]</f>
        <v>168000</v>
      </c>
      <c r="N1011" s="12">
        <f>Sales_Data[[#This Row],[Revenue]]-Sales_Data[[#This Row],[COGS]]</f>
        <v>42000</v>
      </c>
    </row>
    <row r="1012" spans="1:14">
      <c r="A1012" s="1">
        <v>46686</v>
      </c>
      <c r="B1012" t="s">
        <v>18</v>
      </c>
      <c r="C1012" t="s">
        <v>12</v>
      </c>
      <c r="D1012" t="s">
        <v>13</v>
      </c>
      <c r="E1012" t="s">
        <v>20</v>
      </c>
      <c r="F1012" t="s">
        <v>40</v>
      </c>
      <c r="G1012" t="s">
        <v>31</v>
      </c>
      <c r="H1012" s="12">
        <v>250000</v>
      </c>
      <c r="I1012">
        <v>6</v>
      </c>
      <c r="J1012" t="s">
        <v>35</v>
      </c>
      <c r="K1012" s="12">
        <f t="shared" si="15"/>
        <v>200000</v>
      </c>
      <c r="L1012" s="12">
        <f>Sales_Data[[#This Row],[Unit Price]]*Sales_Data[[#This Row],[Quantity]]</f>
        <v>1500000</v>
      </c>
      <c r="M1012" s="12">
        <f>Sales_Data[[#This Row],[Cost Price]]*Sales_Data[[#This Row],[Quantity]]</f>
        <v>1200000</v>
      </c>
      <c r="N1012" s="12">
        <f>Sales_Data[[#This Row],[Revenue]]-Sales_Data[[#This Row],[COGS]]</f>
        <v>300000</v>
      </c>
    </row>
    <row r="1013" spans="1:14">
      <c r="A1013" s="1">
        <v>46687</v>
      </c>
      <c r="B1013" t="s">
        <v>29</v>
      </c>
      <c r="C1013" t="s">
        <v>26</v>
      </c>
      <c r="D1013" t="s">
        <v>13</v>
      </c>
      <c r="E1013" t="s">
        <v>14</v>
      </c>
      <c r="F1013" t="s">
        <v>41</v>
      </c>
      <c r="G1013" t="s">
        <v>22</v>
      </c>
      <c r="H1013" s="12">
        <v>220000</v>
      </c>
      <c r="I1013">
        <v>9</v>
      </c>
      <c r="J1013" t="s">
        <v>17</v>
      </c>
      <c r="K1013" s="12">
        <f t="shared" si="15"/>
        <v>176000</v>
      </c>
      <c r="L1013" s="12">
        <f>Sales_Data[[#This Row],[Unit Price]]*Sales_Data[[#This Row],[Quantity]]</f>
        <v>1980000</v>
      </c>
      <c r="M1013" s="12">
        <f>Sales_Data[[#This Row],[Cost Price]]*Sales_Data[[#This Row],[Quantity]]</f>
        <v>1584000</v>
      </c>
      <c r="N1013" s="12">
        <f>Sales_Data[[#This Row],[Revenue]]-Sales_Data[[#This Row],[COGS]]</f>
        <v>396000</v>
      </c>
    </row>
    <row r="1014" spans="1:14">
      <c r="A1014" s="1">
        <v>46688</v>
      </c>
      <c r="B1014" t="s">
        <v>18</v>
      </c>
      <c r="C1014" t="s">
        <v>26</v>
      </c>
      <c r="D1014" t="s">
        <v>23</v>
      </c>
      <c r="E1014" t="s">
        <v>14</v>
      </c>
      <c r="F1014" t="s">
        <v>30</v>
      </c>
      <c r="G1014" t="s">
        <v>31</v>
      </c>
      <c r="H1014" s="12">
        <v>300000</v>
      </c>
      <c r="I1014">
        <v>2</v>
      </c>
      <c r="J1014" t="s">
        <v>24</v>
      </c>
      <c r="K1014" s="12">
        <f t="shared" si="15"/>
        <v>240000</v>
      </c>
      <c r="L1014" s="12">
        <f>Sales_Data[[#This Row],[Unit Price]]*Sales_Data[[#This Row],[Quantity]]</f>
        <v>600000</v>
      </c>
      <c r="M1014" s="12">
        <f>Sales_Data[[#This Row],[Cost Price]]*Sales_Data[[#This Row],[Quantity]]</f>
        <v>480000</v>
      </c>
      <c r="N1014" s="12">
        <f>Sales_Data[[#This Row],[Revenue]]-Sales_Data[[#This Row],[COGS]]</f>
        <v>120000</v>
      </c>
    </row>
    <row r="1015" spans="1:14">
      <c r="A1015" s="1">
        <v>46689</v>
      </c>
      <c r="B1015" t="s">
        <v>11</v>
      </c>
      <c r="C1015" t="s">
        <v>26</v>
      </c>
      <c r="D1015" t="s">
        <v>13</v>
      </c>
      <c r="E1015" t="s">
        <v>20</v>
      </c>
      <c r="F1015" t="s">
        <v>38</v>
      </c>
      <c r="G1015" t="s">
        <v>31</v>
      </c>
      <c r="H1015" s="12">
        <v>420000</v>
      </c>
      <c r="I1015">
        <v>2</v>
      </c>
      <c r="J1015" t="s">
        <v>24</v>
      </c>
      <c r="K1015" s="12">
        <f t="shared" si="15"/>
        <v>336000</v>
      </c>
      <c r="L1015" s="12">
        <f>Sales_Data[[#This Row],[Unit Price]]*Sales_Data[[#This Row],[Quantity]]</f>
        <v>840000</v>
      </c>
      <c r="M1015" s="12">
        <f>Sales_Data[[#This Row],[Cost Price]]*Sales_Data[[#This Row],[Quantity]]</f>
        <v>672000</v>
      </c>
      <c r="N1015" s="12">
        <f>Sales_Data[[#This Row],[Revenue]]-Sales_Data[[#This Row],[COGS]]</f>
        <v>168000</v>
      </c>
    </row>
    <row r="1016" spans="1:14">
      <c r="A1016" s="1">
        <v>46690</v>
      </c>
      <c r="B1016" t="s">
        <v>25</v>
      </c>
      <c r="C1016" t="s">
        <v>19</v>
      </c>
      <c r="D1016" t="s">
        <v>13</v>
      </c>
      <c r="E1016" t="s">
        <v>20</v>
      </c>
      <c r="F1016" t="s">
        <v>41</v>
      </c>
      <c r="G1016" t="s">
        <v>22</v>
      </c>
      <c r="H1016" s="12">
        <v>220000</v>
      </c>
      <c r="I1016">
        <v>3</v>
      </c>
      <c r="J1016" t="s">
        <v>35</v>
      </c>
      <c r="K1016" s="12">
        <f t="shared" si="15"/>
        <v>176000</v>
      </c>
      <c r="L1016" s="12">
        <f>Sales_Data[[#This Row],[Unit Price]]*Sales_Data[[#This Row],[Quantity]]</f>
        <v>660000</v>
      </c>
      <c r="M1016" s="12">
        <f>Sales_Data[[#This Row],[Cost Price]]*Sales_Data[[#This Row],[Quantity]]</f>
        <v>528000</v>
      </c>
      <c r="N1016" s="12">
        <f>Sales_Data[[#This Row],[Revenue]]-Sales_Data[[#This Row],[COGS]]</f>
        <v>132000</v>
      </c>
    </row>
    <row r="1017" spans="1:14">
      <c r="A1017" s="1">
        <v>46691</v>
      </c>
      <c r="B1017" t="s">
        <v>25</v>
      </c>
      <c r="C1017" t="s">
        <v>12</v>
      </c>
      <c r="D1017" t="s">
        <v>23</v>
      </c>
      <c r="E1017" t="s">
        <v>14</v>
      </c>
      <c r="F1017" t="s">
        <v>41</v>
      </c>
      <c r="G1017" t="s">
        <v>22</v>
      </c>
      <c r="H1017" s="12">
        <v>220000</v>
      </c>
      <c r="I1017">
        <v>10</v>
      </c>
      <c r="J1017" t="s">
        <v>35</v>
      </c>
      <c r="K1017" s="12">
        <f t="shared" si="15"/>
        <v>176000</v>
      </c>
      <c r="L1017" s="12">
        <f>Sales_Data[[#This Row],[Unit Price]]*Sales_Data[[#This Row],[Quantity]]</f>
        <v>2200000</v>
      </c>
      <c r="M1017" s="12">
        <f>Sales_Data[[#This Row],[Cost Price]]*Sales_Data[[#This Row],[Quantity]]</f>
        <v>1760000</v>
      </c>
      <c r="N1017" s="12">
        <f>Sales_Data[[#This Row],[Revenue]]-Sales_Data[[#This Row],[COGS]]</f>
        <v>440000</v>
      </c>
    </row>
    <row r="1018" spans="1:14">
      <c r="A1018" s="1">
        <v>46692</v>
      </c>
      <c r="B1018" t="s">
        <v>25</v>
      </c>
      <c r="C1018" t="s">
        <v>32</v>
      </c>
      <c r="D1018" t="s">
        <v>23</v>
      </c>
      <c r="E1018" t="s">
        <v>20</v>
      </c>
      <c r="F1018" t="s">
        <v>40</v>
      </c>
      <c r="G1018" t="s">
        <v>31</v>
      </c>
      <c r="H1018" s="12">
        <v>250000</v>
      </c>
      <c r="I1018">
        <v>8</v>
      </c>
      <c r="J1018" t="s">
        <v>17</v>
      </c>
      <c r="K1018" s="12">
        <f t="shared" si="15"/>
        <v>200000</v>
      </c>
      <c r="L1018" s="12">
        <f>Sales_Data[[#This Row],[Unit Price]]*Sales_Data[[#This Row],[Quantity]]</f>
        <v>2000000</v>
      </c>
      <c r="M1018" s="12">
        <f>Sales_Data[[#This Row],[Cost Price]]*Sales_Data[[#This Row],[Quantity]]</f>
        <v>1600000</v>
      </c>
      <c r="N1018" s="12">
        <f>Sales_Data[[#This Row],[Revenue]]-Sales_Data[[#This Row],[COGS]]</f>
        <v>400000</v>
      </c>
    </row>
    <row r="1019" spans="1:14">
      <c r="A1019" s="1">
        <v>46693</v>
      </c>
      <c r="B1019" t="s">
        <v>18</v>
      </c>
      <c r="C1019" t="s">
        <v>32</v>
      </c>
      <c r="D1019" t="s">
        <v>13</v>
      </c>
      <c r="E1019" t="s">
        <v>14</v>
      </c>
      <c r="F1019" t="s">
        <v>27</v>
      </c>
      <c r="G1019" t="s">
        <v>22</v>
      </c>
      <c r="H1019" s="12">
        <v>60000</v>
      </c>
      <c r="I1019">
        <v>6</v>
      </c>
      <c r="J1019" t="s">
        <v>28</v>
      </c>
      <c r="K1019" s="12">
        <f t="shared" si="15"/>
        <v>48000</v>
      </c>
      <c r="L1019" s="12">
        <f>Sales_Data[[#This Row],[Unit Price]]*Sales_Data[[#This Row],[Quantity]]</f>
        <v>360000</v>
      </c>
      <c r="M1019" s="12">
        <f>Sales_Data[[#This Row],[Cost Price]]*Sales_Data[[#This Row],[Quantity]]</f>
        <v>288000</v>
      </c>
      <c r="N1019" s="12">
        <f>Sales_Data[[#This Row],[Revenue]]-Sales_Data[[#This Row],[COGS]]</f>
        <v>72000</v>
      </c>
    </row>
    <row r="1020" spans="1:14">
      <c r="A1020" s="1">
        <v>46694</v>
      </c>
      <c r="B1020" t="s">
        <v>18</v>
      </c>
      <c r="C1020" t="s">
        <v>19</v>
      </c>
      <c r="D1020" t="s">
        <v>13</v>
      </c>
      <c r="E1020" t="s">
        <v>14</v>
      </c>
      <c r="F1020" t="s">
        <v>34</v>
      </c>
      <c r="G1020" t="s">
        <v>16</v>
      </c>
      <c r="H1020" s="12">
        <v>320000</v>
      </c>
      <c r="I1020">
        <v>4</v>
      </c>
      <c r="J1020" t="s">
        <v>39</v>
      </c>
      <c r="K1020" s="12">
        <f t="shared" si="15"/>
        <v>256000</v>
      </c>
      <c r="L1020" s="12">
        <f>Sales_Data[[#This Row],[Unit Price]]*Sales_Data[[#This Row],[Quantity]]</f>
        <v>1280000</v>
      </c>
      <c r="M1020" s="12">
        <f>Sales_Data[[#This Row],[Cost Price]]*Sales_Data[[#This Row],[Quantity]]</f>
        <v>1024000</v>
      </c>
      <c r="N1020" s="12">
        <f>Sales_Data[[#This Row],[Revenue]]-Sales_Data[[#This Row],[COGS]]</f>
        <v>256000</v>
      </c>
    </row>
    <row r="1021" spans="1:14">
      <c r="A1021" s="1">
        <v>46695</v>
      </c>
      <c r="B1021" t="s">
        <v>18</v>
      </c>
      <c r="C1021" t="s">
        <v>12</v>
      </c>
      <c r="D1021" t="s">
        <v>13</v>
      </c>
      <c r="E1021" t="s">
        <v>20</v>
      </c>
      <c r="F1021" t="s">
        <v>33</v>
      </c>
      <c r="G1021" t="s">
        <v>22</v>
      </c>
      <c r="H1021" s="12">
        <v>180000</v>
      </c>
      <c r="I1021">
        <v>7</v>
      </c>
      <c r="J1021" t="s">
        <v>39</v>
      </c>
      <c r="K1021" s="12">
        <f t="shared" si="15"/>
        <v>144000</v>
      </c>
      <c r="L1021" s="12">
        <f>Sales_Data[[#This Row],[Unit Price]]*Sales_Data[[#This Row],[Quantity]]</f>
        <v>1260000</v>
      </c>
      <c r="M1021" s="12">
        <f>Sales_Data[[#This Row],[Cost Price]]*Sales_Data[[#This Row],[Quantity]]</f>
        <v>1008000</v>
      </c>
      <c r="N1021" s="12">
        <f>Sales_Data[[#This Row],[Revenue]]-Sales_Data[[#This Row],[COGS]]</f>
        <v>252000</v>
      </c>
    </row>
    <row r="1022" spans="1:14">
      <c r="A1022" s="1">
        <v>46696</v>
      </c>
      <c r="B1022" t="s">
        <v>18</v>
      </c>
      <c r="C1022" t="s">
        <v>12</v>
      </c>
      <c r="D1022" t="s">
        <v>13</v>
      </c>
      <c r="E1022" t="s">
        <v>14</v>
      </c>
      <c r="F1022" t="s">
        <v>27</v>
      </c>
      <c r="G1022" t="s">
        <v>22</v>
      </c>
      <c r="H1022" s="12">
        <v>60000</v>
      </c>
      <c r="I1022">
        <v>7</v>
      </c>
      <c r="J1022" t="s">
        <v>17</v>
      </c>
      <c r="K1022" s="12">
        <f t="shared" si="15"/>
        <v>48000</v>
      </c>
      <c r="L1022" s="12">
        <f>Sales_Data[[#This Row],[Unit Price]]*Sales_Data[[#This Row],[Quantity]]</f>
        <v>420000</v>
      </c>
      <c r="M1022" s="12">
        <f>Sales_Data[[#This Row],[Cost Price]]*Sales_Data[[#This Row],[Quantity]]</f>
        <v>336000</v>
      </c>
      <c r="N1022" s="12">
        <f>Sales_Data[[#This Row],[Revenue]]-Sales_Data[[#This Row],[COGS]]</f>
        <v>84000</v>
      </c>
    </row>
    <row r="1023" spans="1:14">
      <c r="A1023" s="1">
        <v>46697</v>
      </c>
      <c r="B1023" t="s">
        <v>25</v>
      </c>
      <c r="C1023" t="s">
        <v>32</v>
      </c>
      <c r="D1023" t="s">
        <v>13</v>
      </c>
      <c r="E1023" t="s">
        <v>14</v>
      </c>
      <c r="F1023" t="s">
        <v>33</v>
      </c>
      <c r="G1023" t="s">
        <v>22</v>
      </c>
      <c r="H1023" s="12">
        <v>180000</v>
      </c>
      <c r="I1023">
        <v>9</v>
      </c>
      <c r="J1023" t="s">
        <v>24</v>
      </c>
      <c r="K1023" s="12">
        <f t="shared" si="15"/>
        <v>144000</v>
      </c>
      <c r="L1023" s="12">
        <f>Sales_Data[[#This Row],[Unit Price]]*Sales_Data[[#This Row],[Quantity]]</f>
        <v>1620000</v>
      </c>
      <c r="M1023" s="12">
        <f>Sales_Data[[#This Row],[Cost Price]]*Sales_Data[[#This Row],[Quantity]]</f>
        <v>1296000</v>
      </c>
      <c r="N1023" s="12">
        <f>Sales_Data[[#This Row],[Revenue]]-Sales_Data[[#This Row],[COGS]]</f>
        <v>324000</v>
      </c>
    </row>
    <row r="1024" spans="1:14">
      <c r="A1024" s="1">
        <v>46698</v>
      </c>
      <c r="B1024" t="s">
        <v>29</v>
      </c>
      <c r="C1024" t="s">
        <v>12</v>
      </c>
      <c r="D1024" t="s">
        <v>23</v>
      </c>
      <c r="E1024" t="s">
        <v>14</v>
      </c>
      <c r="F1024" t="s">
        <v>21</v>
      </c>
      <c r="G1024" t="s">
        <v>22</v>
      </c>
      <c r="H1024" s="12">
        <v>30000</v>
      </c>
      <c r="I1024">
        <v>6</v>
      </c>
      <c r="J1024" t="s">
        <v>24</v>
      </c>
      <c r="K1024" s="12">
        <f t="shared" si="15"/>
        <v>24000</v>
      </c>
      <c r="L1024" s="12">
        <f>Sales_Data[[#This Row],[Unit Price]]*Sales_Data[[#This Row],[Quantity]]</f>
        <v>180000</v>
      </c>
      <c r="M1024" s="12">
        <f>Sales_Data[[#This Row],[Cost Price]]*Sales_Data[[#This Row],[Quantity]]</f>
        <v>144000</v>
      </c>
      <c r="N1024" s="12">
        <f>Sales_Data[[#This Row],[Revenue]]-Sales_Data[[#This Row],[COGS]]</f>
        <v>36000</v>
      </c>
    </row>
    <row r="1025" spans="1:14">
      <c r="A1025" s="1">
        <v>46699</v>
      </c>
      <c r="B1025" t="s">
        <v>25</v>
      </c>
      <c r="C1025" t="s">
        <v>19</v>
      </c>
      <c r="D1025" t="s">
        <v>13</v>
      </c>
      <c r="E1025" t="s">
        <v>14</v>
      </c>
      <c r="F1025" t="s">
        <v>30</v>
      </c>
      <c r="G1025" t="s">
        <v>31</v>
      </c>
      <c r="H1025" s="12">
        <v>300000</v>
      </c>
      <c r="I1025">
        <v>10</v>
      </c>
      <c r="J1025" t="s">
        <v>37</v>
      </c>
      <c r="K1025" s="12">
        <f t="shared" si="15"/>
        <v>240000</v>
      </c>
      <c r="L1025" s="12">
        <f>Sales_Data[[#This Row],[Unit Price]]*Sales_Data[[#This Row],[Quantity]]</f>
        <v>3000000</v>
      </c>
      <c r="M1025" s="12">
        <f>Sales_Data[[#This Row],[Cost Price]]*Sales_Data[[#This Row],[Quantity]]</f>
        <v>2400000</v>
      </c>
      <c r="N1025" s="12">
        <f>Sales_Data[[#This Row],[Revenue]]-Sales_Data[[#This Row],[COGS]]</f>
        <v>600000</v>
      </c>
    </row>
    <row r="1026" spans="1:14">
      <c r="A1026" s="1">
        <v>46700</v>
      </c>
      <c r="B1026" t="s">
        <v>25</v>
      </c>
      <c r="C1026" t="s">
        <v>32</v>
      </c>
      <c r="D1026" t="s">
        <v>23</v>
      </c>
      <c r="E1026" t="s">
        <v>14</v>
      </c>
      <c r="F1026" t="s">
        <v>21</v>
      </c>
      <c r="G1026" t="s">
        <v>22</v>
      </c>
      <c r="H1026" s="12">
        <v>30000</v>
      </c>
      <c r="I1026">
        <v>2</v>
      </c>
      <c r="J1026" t="s">
        <v>28</v>
      </c>
      <c r="K1026" s="12">
        <f t="shared" ref="K1026:K1089" si="16">H1026-H1026*0.2</f>
        <v>24000</v>
      </c>
      <c r="L1026" s="12">
        <f>Sales_Data[[#This Row],[Unit Price]]*Sales_Data[[#This Row],[Quantity]]</f>
        <v>60000</v>
      </c>
      <c r="M1026" s="12">
        <f>Sales_Data[[#This Row],[Cost Price]]*Sales_Data[[#This Row],[Quantity]]</f>
        <v>48000</v>
      </c>
      <c r="N1026" s="12">
        <f>Sales_Data[[#This Row],[Revenue]]-Sales_Data[[#This Row],[COGS]]</f>
        <v>12000</v>
      </c>
    </row>
    <row r="1027" spans="1:14">
      <c r="A1027" s="1">
        <v>46701</v>
      </c>
      <c r="B1027" t="s">
        <v>18</v>
      </c>
      <c r="C1027" t="s">
        <v>26</v>
      </c>
      <c r="D1027" t="s">
        <v>23</v>
      </c>
      <c r="E1027" t="s">
        <v>14</v>
      </c>
      <c r="F1027" t="s">
        <v>21</v>
      </c>
      <c r="G1027" t="s">
        <v>22</v>
      </c>
      <c r="H1027" s="12">
        <v>30000</v>
      </c>
      <c r="I1027">
        <v>8</v>
      </c>
      <c r="J1027" t="s">
        <v>39</v>
      </c>
      <c r="K1027" s="12">
        <f t="shared" si="16"/>
        <v>24000</v>
      </c>
      <c r="L1027" s="12">
        <f>Sales_Data[[#This Row],[Unit Price]]*Sales_Data[[#This Row],[Quantity]]</f>
        <v>240000</v>
      </c>
      <c r="M1027" s="12">
        <f>Sales_Data[[#This Row],[Cost Price]]*Sales_Data[[#This Row],[Quantity]]</f>
        <v>192000</v>
      </c>
      <c r="N1027" s="12">
        <f>Sales_Data[[#This Row],[Revenue]]-Sales_Data[[#This Row],[COGS]]</f>
        <v>48000</v>
      </c>
    </row>
    <row r="1028" spans="1:14">
      <c r="A1028" s="1">
        <v>46702</v>
      </c>
      <c r="B1028" t="s">
        <v>25</v>
      </c>
      <c r="C1028" t="s">
        <v>26</v>
      </c>
      <c r="D1028" t="s">
        <v>23</v>
      </c>
      <c r="E1028" t="s">
        <v>20</v>
      </c>
      <c r="F1028" t="s">
        <v>21</v>
      </c>
      <c r="G1028" t="s">
        <v>22</v>
      </c>
      <c r="H1028" s="12">
        <v>30000</v>
      </c>
      <c r="I1028">
        <v>9</v>
      </c>
      <c r="J1028" t="s">
        <v>28</v>
      </c>
      <c r="K1028" s="12">
        <f t="shared" si="16"/>
        <v>24000</v>
      </c>
      <c r="L1028" s="12">
        <f>Sales_Data[[#This Row],[Unit Price]]*Sales_Data[[#This Row],[Quantity]]</f>
        <v>270000</v>
      </c>
      <c r="M1028" s="12">
        <f>Sales_Data[[#This Row],[Cost Price]]*Sales_Data[[#This Row],[Quantity]]</f>
        <v>216000</v>
      </c>
      <c r="N1028" s="12">
        <f>Sales_Data[[#This Row],[Revenue]]-Sales_Data[[#This Row],[COGS]]</f>
        <v>54000</v>
      </c>
    </row>
    <row r="1029" spans="1:14">
      <c r="A1029" s="1">
        <v>46703</v>
      </c>
      <c r="B1029" t="s">
        <v>29</v>
      </c>
      <c r="C1029" t="s">
        <v>12</v>
      </c>
      <c r="D1029" t="s">
        <v>13</v>
      </c>
      <c r="E1029" t="s">
        <v>20</v>
      </c>
      <c r="F1029" t="s">
        <v>41</v>
      </c>
      <c r="G1029" t="s">
        <v>22</v>
      </c>
      <c r="H1029" s="12">
        <v>220000</v>
      </c>
      <c r="I1029">
        <v>2</v>
      </c>
      <c r="J1029" t="s">
        <v>39</v>
      </c>
      <c r="K1029" s="12">
        <f t="shared" si="16"/>
        <v>176000</v>
      </c>
      <c r="L1029" s="12">
        <f>Sales_Data[[#This Row],[Unit Price]]*Sales_Data[[#This Row],[Quantity]]</f>
        <v>440000</v>
      </c>
      <c r="M1029" s="12">
        <f>Sales_Data[[#This Row],[Cost Price]]*Sales_Data[[#This Row],[Quantity]]</f>
        <v>352000</v>
      </c>
      <c r="N1029" s="12">
        <f>Sales_Data[[#This Row],[Revenue]]-Sales_Data[[#This Row],[COGS]]</f>
        <v>88000</v>
      </c>
    </row>
    <row r="1030" spans="1:14">
      <c r="A1030" s="1">
        <v>46704</v>
      </c>
      <c r="B1030" t="s">
        <v>25</v>
      </c>
      <c r="C1030" t="s">
        <v>26</v>
      </c>
      <c r="D1030" t="s">
        <v>13</v>
      </c>
      <c r="E1030" t="s">
        <v>20</v>
      </c>
      <c r="F1030" t="s">
        <v>41</v>
      </c>
      <c r="G1030" t="s">
        <v>22</v>
      </c>
      <c r="H1030" s="12">
        <v>220000</v>
      </c>
      <c r="I1030">
        <v>3</v>
      </c>
      <c r="J1030" t="s">
        <v>39</v>
      </c>
      <c r="K1030" s="12">
        <f t="shared" si="16"/>
        <v>176000</v>
      </c>
      <c r="L1030" s="12">
        <f>Sales_Data[[#This Row],[Unit Price]]*Sales_Data[[#This Row],[Quantity]]</f>
        <v>660000</v>
      </c>
      <c r="M1030" s="12">
        <f>Sales_Data[[#This Row],[Cost Price]]*Sales_Data[[#This Row],[Quantity]]</f>
        <v>528000</v>
      </c>
      <c r="N1030" s="12">
        <f>Sales_Data[[#This Row],[Revenue]]-Sales_Data[[#This Row],[COGS]]</f>
        <v>132000</v>
      </c>
    </row>
    <row r="1031" spans="1:14">
      <c r="A1031" s="1">
        <v>46705</v>
      </c>
      <c r="B1031" t="s">
        <v>25</v>
      </c>
      <c r="C1031" t="s">
        <v>32</v>
      </c>
      <c r="D1031" t="s">
        <v>13</v>
      </c>
      <c r="E1031" t="s">
        <v>20</v>
      </c>
      <c r="F1031" t="s">
        <v>15</v>
      </c>
      <c r="G1031" t="s">
        <v>16</v>
      </c>
      <c r="H1031" s="12">
        <v>85000</v>
      </c>
      <c r="I1031">
        <v>3</v>
      </c>
      <c r="J1031" t="s">
        <v>24</v>
      </c>
      <c r="K1031" s="12">
        <f t="shared" si="16"/>
        <v>68000</v>
      </c>
      <c r="L1031" s="12">
        <f>Sales_Data[[#This Row],[Unit Price]]*Sales_Data[[#This Row],[Quantity]]</f>
        <v>255000</v>
      </c>
      <c r="M1031" s="12">
        <f>Sales_Data[[#This Row],[Cost Price]]*Sales_Data[[#This Row],[Quantity]]</f>
        <v>204000</v>
      </c>
      <c r="N1031" s="12">
        <f>Sales_Data[[#This Row],[Revenue]]-Sales_Data[[#This Row],[COGS]]</f>
        <v>51000</v>
      </c>
    </row>
    <row r="1032" spans="1:14">
      <c r="A1032" s="1">
        <v>46706</v>
      </c>
      <c r="B1032" t="s">
        <v>11</v>
      </c>
      <c r="C1032" t="s">
        <v>19</v>
      </c>
      <c r="D1032" t="s">
        <v>23</v>
      </c>
      <c r="E1032" t="s">
        <v>14</v>
      </c>
      <c r="F1032" t="s">
        <v>27</v>
      </c>
      <c r="G1032" t="s">
        <v>22</v>
      </c>
      <c r="H1032" s="12">
        <v>60000</v>
      </c>
      <c r="I1032">
        <v>3</v>
      </c>
      <c r="J1032" t="s">
        <v>35</v>
      </c>
      <c r="K1032" s="12">
        <f t="shared" si="16"/>
        <v>48000</v>
      </c>
      <c r="L1032" s="12">
        <f>Sales_Data[[#This Row],[Unit Price]]*Sales_Data[[#This Row],[Quantity]]</f>
        <v>180000</v>
      </c>
      <c r="M1032" s="12">
        <f>Sales_Data[[#This Row],[Cost Price]]*Sales_Data[[#This Row],[Quantity]]</f>
        <v>144000</v>
      </c>
      <c r="N1032" s="12">
        <f>Sales_Data[[#This Row],[Revenue]]-Sales_Data[[#This Row],[COGS]]</f>
        <v>36000</v>
      </c>
    </row>
    <row r="1033" spans="1:14">
      <c r="A1033" s="1">
        <v>46707</v>
      </c>
      <c r="B1033" t="s">
        <v>11</v>
      </c>
      <c r="C1033" t="s">
        <v>26</v>
      </c>
      <c r="D1033" t="s">
        <v>23</v>
      </c>
      <c r="E1033" t="s">
        <v>20</v>
      </c>
      <c r="F1033" t="s">
        <v>41</v>
      </c>
      <c r="G1033" t="s">
        <v>22</v>
      </c>
      <c r="H1033" s="12">
        <v>220000</v>
      </c>
      <c r="I1033">
        <v>3</v>
      </c>
      <c r="J1033" t="s">
        <v>39</v>
      </c>
      <c r="K1033" s="12">
        <f t="shared" si="16"/>
        <v>176000</v>
      </c>
      <c r="L1033" s="12">
        <f>Sales_Data[[#This Row],[Unit Price]]*Sales_Data[[#This Row],[Quantity]]</f>
        <v>660000</v>
      </c>
      <c r="M1033" s="12">
        <f>Sales_Data[[#This Row],[Cost Price]]*Sales_Data[[#This Row],[Quantity]]</f>
        <v>528000</v>
      </c>
      <c r="N1033" s="12">
        <f>Sales_Data[[#This Row],[Revenue]]-Sales_Data[[#This Row],[COGS]]</f>
        <v>132000</v>
      </c>
    </row>
    <row r="1034" spans="1:14">
      <c r="A1034" s="1">
        <v>46708</v>
      </c>
      <c r="B1034" t="s">
        <v>11</v>
      </c>
      <c r="C1034" t="s">
        <v>12</v>
      </c>
      <c r="D1034" t="s">
        <v>13</v>
      </c>
      <c r="E1034" t="s">
        <v>20</v>
      </c>
      <c r="F1034" t="s">
        <v>21</v>
      </c>
      <c r="G1034" t="s">
        <v>22</v>
      </c>
      <c r="H1034" s="12">
        <v>30000</v>
      </c>
      <c r="I1034">
        <v>1</v>
      </c>
      <c r="J1034" t="s">
        <v>17</v>
      </c>
      <c r="K1034" s="12">
        <f t="shared" si="16"/>
        <v>24000</v>
      </c>
      <c r="L1034" s="12">
        <f>Sales_Data[[#This Row],[Unit Price]]*Sales_Data[[#This Row],[Quantity]]</f>
        <v>30000</v>
      </c>
      <c r="M1034" s="12">
        <f>Sales_Data[[#This Row],[Cost Price]]*Sales_Data[[#This Row],[Quantity]]</f>
        <v>24000</v>
      </c>
      <c r="N1034" s="12">
        <f>Sales_Data[[#This Row],[Revenue]]-Sales_Data[[#This Row],[COGS]]</f>
        <v>6000</v>
      </c>
    </row>
    <row r="1035" spans="1:14">
      <c r="A1035" s="1">
        <v>46709</v>
      </c>
      <c r="B1035" t="s">
        <v>18</v>
      </c>
      <c r="C1035" t="s">
        <v>32</v>
      </c>
      <c r="D1035" t="s">
        <v>23</v>
      </c>
      <c r="E1035" t="s">
        <v>20</v>
      </c>
      <c r="F1035" t="s">
        <v>38</v>
      </c>
      <c r="G1035" t="s">
        <v>31</v>
      </c>
      <c r="H1035" s="12">
        <v>420000</v>
      </c>
      <c r="I1035">
        <v>1</v>
      </c>
      <c r="J1035" t="s">
        <v>39</v>
      </c>
      <c r="K1035" s="12">
        <f t="shared" si="16"/>
        <v>336000</v>
      </c>
      <c r="L1035" s="12">
        <f>Sales_Data[[#This Row],[Unit Price]]*Sales_Data[[#This Row],[Quantity]]</f>
        <v>420000</v>
      </c>
      <c r="M1035" s="12">
        <f>Sales_Data[[#This Row],[Cost Price]]*Sales_Data[[#This Row],[Quantity]]</f>
        <v>336000</v>
      </c>
      <c r="N1035" s="12">
        <f>Sales_Data[[#This Row],[Revenue]]-Sales_Data[[#This Row],[COGS]]</f>
        <v>84000</v>
      </c>
    </row>
    <row r="1036" spans="1:14">
      <c r="A1036" s="1">
        <v>46710</v>
      </c>
      <c r="B1036" t="s">
        <v>11</v>
      </c>
      <c r="C1036" t="s">
        <v>19</v>
      </c>
      <c r="D1036" t="s">
        <v>13</v>
      </c>
      <c r="E1036" t="s">
        <v>20</v>
      </c>
      <c r="F1036" t="s">
        <v>41</v>
      </c>
      <c r="G1036" t="s">
        <v>22</v>
      </c>
      <c r="H1036" s="12">
        <v>220000</v>
      </c>
      <c r="I1036">
        <v>10</v>
      </c>
      <c r="J1036" t="s">
        <v>24</v>
      </c>
      <c r="K1036" s="12">
        <f t="shared" si="16"/>
        <v>176000</v>
      </c>
      <c r="L1036" s="12">
        <f>Sales_Data[[#This Row],[Unit Price]]*Sales_Data[[#This Row],[Quantity]]</f>
        <v>2200000</v>
      </c>
      <c r="M1036" s="12">
        <f>Sales_Data[[#This Row],[Cost Price]]*Sales_Data[[#This Row],[Quantity]]</f>
        <v>1760000</v>
      </c>
      <c r="N1036" s="12">
        <f>Sales_Data[[#This Row],[Revenue]]-Sales_Data[[#This Row],[COGS]]</f>
        <v>440000</v>
      </c>
    </row>
    <row r="1037" spans="1:14">
      <c r="A1037" s="1">
        <v>46711</v>
      </c>
      <c r="B1037" t="s">
        <v>25</v>
      </c>
      <c r="C1037" t="s">
        <v>26</v>
      </c>
      <c r="D1037" t="s">
        <v>23</v>
      </c>
      <c r="E1037" t="s">
        <v>20</v>
      </c>
      <c r="F1037" t="s">
        <v>33</v>
      </c>
      <c r="G1037" t="s">
        <v>22</v>
      </c>
      <c r="H1037" s="12">
        <v>180000</v>
      </c>
      <c r="I1037">
        <v>10</v>
      </c>
      <c r="J1037" t="s">
        <v>39</v>
      </c>
      <c r="K1037" s="12">
        <f t="shared" si="16"/>
        <v>144000</v>
      </c>
      <c r="L1037" s="12">
        <f>Sales_Data[[#This Row],[Unit Price]]*Sales_Data[[#This Row],[Quantity]]</f>
        <v>1800000</v>
      </c>
      <c r="M1037" s="12">
        <f>Sales_Data[[#This Row],[Cost Price]]*Sales_Data[[#This Row],[Quantity]]</f>
        <v>1440000</v>
      </c>
      <c r="N1037" s="12">
        <f>Sales_Data[[#This Row],[Revenue]]-Sales_Data[[#This Row],[COGS]]</f>
        <v>360000</v>
      </c>
    </row>
    <row r="1038" spans="1:14">
      <c r="A1038" s="1">
        <v>46712</v>
      </c>
      <c r="B1038" t="s">
        <v>25</v>
      </c>
      <c r="C1038" t="s">
        <v>12</v>
      </c>
      <c r="D1038" t="s">
        <v>13</v>
      </c>
      <c r="E1038" t="s">
        <v>14</v>
      </c>
      <c r="F1038" t="s">
        <v>38</v>
      </c>
      <c r="G1038" t="s">
        <v>31</v>
      </c>
      <c r="H1038" s="12">
        <v>420000</v>
      </c>
      <c r="I1038">
        <v>3</v>
      </c>
      <c r="J1038" t="s">
        <v>37</v>
      </c>
      <c r="K1038" s="12">
        <f t="shared" si="16"/>
        <v>336000</v>
      </c>
      <c r="L1038" s="12">
        <f>Sales_Data[[#This Row],[Unit Price]]*Sales_Data[[#This Row],[Quantity]]</f>
        <v>1260000</v>
      </c>
      <c r="M1038" s="12">
        <f>Sales_Data[[#This Row],[Cost Price]]*Sales_Data[[#This Row],[Quantity]]</f>
        <v>1008000</v>
      </c>
      <c r="N1038" s="12">
        <f>Sales_Data[[#This Row],[Revenue]]-Sales_Data[[#This Row],[COGS]]</f>
        <v>252000</v>
      </c>
    </row>
    <row r="1039" spans="1:14">
      <c r="A1039" s="1">
        <v>46713</v>
      </c>
      <c r="B1039" t="s">
        <v>11</v>
      </c>
      <c r="C1039" t="s">
        <v>32</v>
      </c>
      <c r="D1039" t="s">
        <v>23</v>
      </c>
      <c r="E1039" t="s">
        <v>14</v>
      </c>
      <c r="F1039" t="s">
        <v>15</v>
      </c>
      <c r="G1039" t="s">
        <v>16</v>
      </c>
      <c r="H1039" s="12">
        <v>85000</v>
      </c>
      <c r="I1039">
        <v>4</v>
      </c>
      <c r="J1039" t="s">
        <v>28</v>
      </c>
      <c r="K1039" s="12">
        <f t="shared" si="16"/>
        <v>68000</v>
      </c>
      <c r="L1039" s="12">
        <f>Sales_Data[[#This Row],[Unit Price]]*Sales_Data[[#This Row],[Quantity]]</f>
        <v>340000</v>
      </c>
      <c r="M1039" s="12">
        <f>Sales_Data[[#This Row],[Cost Price]]*Sales_Data[[#This Row],[Quantity]]</f>
        <v>272000</v>
      </c>
      <c r="N1039" s="12">
        <f>Sales_Data[[#This Row],[Revenue]]-Sales_Data[[#This Row],[COGS]]</f>
        <v>68000</v>
      </c>
    </row>
    <row r="1040" spans="1:14">
      <c r="A1040" s="1">
        <v>46714</v>
      </c>
      <c r="B1040" t="s">
        <v>25</v>
      </c>
      <c r="C1040" t="s">
        <v>26</v>
      </c>
      <c r="D1040" t="s">
        <v>23</v>
      </c>
      <c r="E1040" t="s">
        <v>14</v>
      </c>
      <c r="F1040" t="s">
        <v>34</v>
      </c>
      <c r="G1040" t="s">
        <v>16</v>
      </c>
      <c r="H1040" s="12">
        <v>320000</v>
      </c>
      <c r="I1040">
        <v>4</v>
      </c>
      <c r="J1040" t="s">
        <v>35</v>
      </c>
      <c r="K1040" s="12">
        <f t="shared" si="16"/>
        <v>256000</v>
      </c>
      <c r="L1040" s="12">
        <f>Sales_Data[[#This Row],[Unit Price]]*Sales_Data[[#This Row],[Quantity]]</f>
        <v>1280000</v>
      </c>
      <c r="M1040" s="12">
        <f>Sales_Data[[#This Row],[Cost Price]]*Sales_Data[[#This Row],[Quantity]]</f>
        <v>1024000</v>
      </c>
      <c r="N1040" s="12">
        <f>Sales_Data[[#This Row],[Revenue]]-Sales_Data[[#This Row],[COGS]]</f>
        <v>256000</v>
      </c>
    </row>
    <row r="1041" spans="1:14">
      <c r="A1041" s="1">
        <v>46715</v>
      </c>
      <c r="B1041" t="s">
        <v>11</v>
      </c>
      <c r="C1041" t="s">
        <v>32</v>
      </c>
      <c r="D1041" t="s">
        <v>13</v>
      </c>
      <c r="E1041" t="s">
        <v>20</v>
      </c>
      <c r="F1041" t="s">
        <v>41</v>
      </c>
      <c r="G1041" t="s">
        <v>22</v>
      </c>
      <c r="H1041" s="12">
        <v>220000</v>
      </c>
      <c r="I1041">
        <v>1</v>
      </c>
      <c r="J1041" t="s">
        <v>37</v>
      </c>
      <c r="K1041" s="12">
        <f t="shared" si="16"/>
        <v>176000</v>
      </c>
      <c r="L1041" s="12">
        <f>Sales_Data[[#This Row],[Unit Price]]*Sales_Data[[#This Row],[Quantity]]</f>
        <v>220000</v>
      </c>
      <c r="M1041" s="12">
        <f>Sales_Data[[#This Row],[Cost Price]]*Sales_Data[[#This Row],[Quantity]]</f>
        <v>176000</v>
      </c>
      <c r="N1041" s="12">
        <f>Sales_Data[[#This Row],[Revenue]]-Sales_Data[[#This Row],[COGS]]</f>
        <v>44000</v>
      </c>
    </row>
    <row r="1042" spans="1:14">
      <c r="A1042" s="1">
        <v>46716</v>
      </c>
      <c r="B1042" t="s">
        <v>25</v>
      </c>
      <c r="C1042" t="s">
        <v>19</v>
      </c>
      <c r="D1042" t="s">
        <v>23</v>
      </c>
      <c r="E1042" t="s">
        <v>20</v>
      </c>
      <c r="F1042" t="s">
        <v>15</v>
      </c>
      <c r="G1042" t="s">
        <v>16</v>
      </c>
      <c r="H1042" s="12">
        <v>85000</v>
      </c>
      <c r="I1042">
        <v>1</v>
      </c>
      <c r="J1042" t="s">
        <v>24</v>
      </c>
      <c r="K1042" s="12">
        <f t="shared" si="16"/>
        <v>68000</v>
      </c>
      <c r="L1042" s="12">
        <f>Sales_Data[[#This Row],[Unit Price]]*Sales_Data[[#This Row],[Quantity]]</f>
        <v>85000</v>
      </c>
      <c r="M1042" s="12">
        <f>Sales_Data[[#This Row],[Cost Price]]*Sales_Data[[#This Row],[Quantity]]</f>
        <v>68000</v>
      </c>
      <c r="N1042" s="12">
        <f>Sales_Data[[#This Row],[Revenue]]-Sales_Data[[#This Row],[COGS]]</f>
        <v>17000</v>
      </c>
    </row>
    <row r="1043" spans="1:14">
      <c r="A1043" s="1">
        <v>46717</v>
      </c>
      <c r="B1043" t="s">
        <v>11</v>
      </c>
      <c r="C1043" t="s">
        <v>32</v>
      </c>
      <c r="D1043" t="s">
        <v>13</v>
      </c>
      <c r="E1043" t="s">
        <v>14</v>
      </c>
      <c r="F1043" t="s">
        <v>36</v>
      </c>
      <c r="G1043" t="s">
        <v>31</v>
      </c>
      <c r="H1043" s="12">
        <v>150000</v>
      </c>
      <c r="I1043">
        <v>8</v>
      </c>
      <c r="J1043" t="s">
        <v>39</v>
      </c>
      <c r="K1043" s="12">
        <f t="shared" si="16"/>
        <v>120000</v>
      </c>
      <c r="L1043" s="12">
        <f>Sales_Data[[#This Row],[Unit Price]]*Sales_Data[[#This Row],[Quantity]]</f>
        <v>1200000</v>
      </c>
      <c r="M1043" s="12">
        <f>Sales_Data[[#This Row],[Cost Price]]*Sales_Data[[#This Row],[Quantity]]</f>
        <v>960000</v>
      </c>
      <c r="N1043" s="12">
        <f>Sales_Data[[#This Row],[Revenue]]-Sales_Data[[#This Row],[COGS]]</f>
        <v>240000</v>
      </c>
    </row>
    <row r="1044" spans="1:14">
      <c r="A1044" s="1">
        <v>46718</v>
      </c>
      <c r="B1044" t="s">
        <v>29</v>
      </c>
      <c r="C1044" t="s">
        <v>19</v>
      </c>
      <c r="D1044" t="s">
        <v>23</v>
      </c>
      <c r="E1044" t="s">
        <v>14</v>
      </c>
      <c r="F1044" t="s">
        <v>36</v>
      </c>
      <c r="G1044" t="s">
        <v>31</v>
      </c>
      <c r="H1044" s="12">
        <v>150000</v>
      </c>
      <c r="I1044">
        <v>9</v>
      </c>
      <c r="J1044" t="s">
        <v>17</v>
      </c>
      <c r="K1044" s="12">
        <f t="shared" si="16"/>
        <v>120000</v>
      </c>
      <c r="L1044" s="12">
        <f>Sales_Data[[#This Row],[Unit Price]]*Sales_Data[[#This Row],[Quantity]]</f>
        <v>1350000</v>
      </c>
      <c r="M1044" s="12">
        <f>Sales_Data[[#This Row],[Cost Price]]*Sales_Data[[#This Row],[Quantity]]</f>
        <v>1080000</v>
      </c>
      <c r="N1044" s="12">
        <f>Sales_Data[[#This Row],[Revenue]]-Sales_Data[[#This Row],[COGS]]</f>
        <v>270000</v>
      </c>
    </row>
    <row r="1045" spans="1:14">
      <c r="A1045" s="1">
        <v>46719</v>
      </c>
      <c r="B1045" t="s">
        <v>11</v>
      </c>
      <c r="C1045" t="s">
        <v>19</v>
      </c>
      <c r="D1045" t="s">
        <v>23</v>
      </c>
      <c r="E1045" t="s">
        <v>14</v>
      </c>
      <c r="F1045" t="s">
        <v>30</v>
      </c>
      <c r="G1045" t="s">
        <v>31</v>
      </c>
      <c r="H1045" s="12">
        <v>300000</v>
      </c>
      <c r="I1045">
        <v>3</v>
      </c>
      <c r="J1045" t="s">
        <v>17</v>
      </c>
      <c r="K1045" s="12">
        <f t="shared" si="16"/>
        <v>240000</v>
      </c>
      <c r="L1045" s="12">
        <f>Sales_Data[[#This Row],[Unit Price]]*Sales_Data[[#This Row],[Quantity]]</f>
        <v>900000</v>
      </c>
      <c r="M1045" s="12">
        <f>Sales_Data[[#This Row],[Cost Price]]*Sales_Data[[#This Row],[Quantity]]</f>
        <v>720000</v>
      </c>
      <c r="N1045" s="12">
        <f>Sales_Data[[#This Row],[Revenue]]-Sales_Data[[#This Row],[COGS]]</f>
        <v>180000</v>
      </c>
    </row>
    <row r="1046" spans="1:14">
      <c r="A1046" s="1">
        <v>46720</v>
      </c>
      <c r="B1046" t="s">
        <v>29</v>
      </c>
      <c r="C1046" t="s">
        <v>32</v>
      </c>
      <c r="D1046" t="s">
        <v>23</v>
      </c>
      <c r="E1046" t="s">
        <v>14</v>
      </c>
      <c r="F1046" t="s">
        <v>36</v>
      </c>
      <c r="G1046" t="s">
        <v>31</v>
      </c>
      <c r="H1046" s="12">
        <v>150000</v>
      </c>
      <c r="I1046">
        <v>10</v>
      </c>
      <c r="J1046" t="s">
        <v>35</v>
      </c>
      <c r="K1046" s="12">
        <f t="shared" si="16"/>
        <v>120000</v>
      </c>
      <c r="L1046" s="12">
        <f>Sales_Data[[#This Row],[Unit Price]]*Sales_Data[[#This Row],[Quantity]]</f>
        <v>1500000</v>
      </c>
      <c r="M1046" s="12">
        <f>Sales_Data[[#This Row],[Cost Price]]*Sales_Data[[#This Row],[Quantity]]</f>
        <v>1200000</v>
      </c>
      <c r="N1046" s="12">
        <f>Sales_Data[[#This Row],[Revenue]]-Sales_Data[[#This Row],[COGS]]</f>
        <v>300000</v>
      </c>
    </row>
    <row r="1047" spans="1:14">
      <c r="A1047" s="1">
        <v>46721</v>
      </c>
      <c r="B1047" t="s">
        <v>11</v>
      </c>
      <c r="C1047" t="s">
        <v>32</v>
      </c>
      <c r="D1047" t="s">
        <v>13</v>
      </c>
      <c r="E1047" t="s">
        <v>20</v>
      </c>
      <c r="F1047" t="s">
        <v>15</v>
      </c>
      <c r="G1047" t="s">
        <v>16</v>
      </c>
      <c r="H1047" s="12">
        <v>85000</v>
      </c>
      <c r="I1047">
        <v>2</v>
      </c>
      <c r="J1047" t="s">
        <v>35</v>
      </c>
      <c r="K1047" s="12">
        <f t="shared" si="16"/>
        <v>68000</v>
      </c>
      <c r="L1047" s="12">
        <f>Sales_Data[[#This Row],[Unit Price]]*Sales_Data[[#This Row],[Quantity]]</f>
        <v>170000</v>
      </c>
      <c r="M1047" s="12">
        <f>Sales_Data[[#This Row],[Cost Price]]*Sales_Data[[#This Row],[Quantity]]</f>
        <v>136000</v>
      </c>
      <c r="N1047" s="12">
        <f>Sales_Data[[#This Row],[Revenue]]-Sales_Data[[#This Row],[COGS]]</f>
        <v>34000</v>
      </c>
    </row>
    <row r="1048" spans="1:14">
      <c r="A1048" s="1">
        <v>46722</v>
      </c>
      <c r="B1048" t="s">
        <v>18</v>
      </c>
      <c r="C1048" t="s">
        <v>12</v>
      </c>
      <c r="D1048" t="s">
        <v>23</v>
      </c>
      <c r="E1048" t="s">
        <v>20</v>
      </c>
      <c r="F1048" t="s">
        <v>38</v>
      </c>
      <c r="G1048" t="s">
        <v>31</v>
      </c>
      <c r="H1048" s="12">
        <v>420000</v>
      </c>
      <c r="I1048">
        <v>9</v>
      </c>
      <c r="J1048" t="s">
        <v>24</v>
      </c>
      <c r="K1048" s="12">
        <f t="shared" si="16"/>
        <v>336000</v>
      </c>
      <c r="L1048" s="12">
        <f>Sales_Data[[#This Row],[Unit Price]]*Sales_Data[[#This Row],[Quantity]]</f>
        <v>3780000</v>
      </c>
      <c r="M1048" s="12">
        <f>Sales_Data[[#This Row],[Cost Price]]*Sales_Data[[#This Row],[Quantity]]</f>
        <v>3024000</v>
      </c>
      <c r="N1048" s="12">
        <f>Sales_Data[[#This Row],[Revenue]]-Sales_Data[[#This Row],[COGS]]</f>
        <v>756000</v>
      </c>
    </row>
    <row r="1049" spans="1:14">
      <c r="A1049" s="1">
        <v>46723</v>
      </c>
      <c r="B1049" t="s">
        <v>11</v>
      </c>
      <c r="C1049" t="s">
        <v>19</v>
      </c>
      <c r="D1049" t="s">
        <v>23</v>
      </c>
      <c r="E1049" t="s">
        <v>14</v>
      </c>
      <c r="F1049" t="s">
        <v>30</v>
      </c>
      <c r="G1049" t="s">
        <v>31</v>
      </c>
      <c r="H1049" s="12">
        <v>300000</v>
      </c>
      <c r="I1049">
        <v>2</v>
      </c>
      <c r="J1049" t="s">
        <v>39</v>
      </c>
      <c r="K1049" s="12">
        <f t="shared" si="16"/>
        <v>240000</v>
      </c>
      <c r="L1049" s="12">
        <f>Sales_Data[[#This Row],[Unit Price]]*Sales_Data[[#This Row],[Quantity]]</f>
        <v>600000</v>
      </c>
      <c r="M1049" s="12">
        <f>Sales_Data[[#This Row],[Cost Price]]*Sales_Data[[#This Row],[Quantity]]</f>
        <v>480000</v>
      </c>
      <c r="N1049" s="12">
        <f>Sales_Data[[#This Row],[Revenue]]-Sales_Data[[#This Row],[COGS]]</f>
        <v>120000</v>
      </c>
    </row>
    <row r="1050" spans="1:14">
      <c r="A1050" s="1">
        <v>46724</v>
      </c>
      <c r="B1050" t="s">
        <v>18</v>
      </c>
      <c r="C1050" t="s">
        <v>26</v>
      </c>
      <c r="D1050" t="s">
        <v>23</v>
      </c>
      <c r="E1050" t="s">
        <v>14</v>
      </c>
      <c r="F1050" t="s">
        <v>36</v>
      </c>
      <c r="G1050" t="s">
        <v>31</v>
      </c>
      <c r="H1050" s="12">
        <v>150000</v>
      </c>
      <c r="I1050">
        <v>4</v>
      </c>
      <c r="J1050" t="s">
        <v>37</v>
      </c>
      <c r="K1050" s="12">
        <f t="shared" si="16"/>
        <v>120000</v>
      </c>
      <c r="L1050" s="12">
        <f>Sales_Data[[#This Row],[Unit Price]]*Sales_Data[[#This Row],[Quantity]]</f>
        <v>600000</v>
      </c>
      <c r="M1050" s="12">
        <f>Sales_Data[[#This Row],[Cost Price]]*Sales_Data[[#This Row],[Quantity]]</f>
        <v>480000</v>
      </c>
      <c r="N1050" s="12">
        <f>Sales_Data[[#This Row],[Revenue]]-Sales_Data[[#This Row],[COGS]]</f>
        <v>120000</v>
      </c>
    </row>
    <row r="1051" spans="1:14">
      <c r="A1051" s="1">
        <v>46725</v>
      </c>
      <c r="B1051" t="s">
        <v>18</v>
      </c>
      <c r="C1051" t="s">
        <v>19</v>
      </c>
      <c r="D1051" t="s">
        <v>13</v>
      </c>
      <c r="E1051" t="s">
        <v>14</v>
      </c>
      <c r="F1051" t="s">
        <v>38</v>
      </c>
      <c r="G1051" t="s">
        <v>31</v>
      </c>
      <c r="H1051" s="12">
        <v>420000</v>
      </c>
      <c r="I1051">
        <v>9</v>
      </c>
      <c r="J1051" t="s">
        <v>24</v>
      </c>
      <c r="K1051" s="12">
        <f t="shared" si="16"/>
        <v>336000</v>
      </c>
      <c r="L1051" s="12">
        <f>Sales_Data[[#This Row],[Unit Price]]*Sales_Data[[#This Row],[Quantity]]</f>
        <v>3780000</v>
      </c>
      <c r="M1051" s="12">
        <f>Sales_Data[[#This Row],[Cost Price]]*Sales_Data[[#This Row],[Quantity]]</f>
        <v>3024000</v>
      </c>
      <c r="N1051" s="12">
        <f>Sales_Data[[#This Row],[Revenue]]-Sales_Data[[#This Row],[COGS]]</f>
        <v>756000</v>
      </c>
    </row>
    <row r="1052" spans="1:14">
      <c r="A1052" s="1">
        <v>46726</v>
      </c>
      <c r="B1052" t="s">
        <v>29</v>
      </c>
      <c r="C1052" t="s">
        <v>26</v>
      </c>
      <c r="D1052" t="s">
        <v>13</v>
      </c>
      <c r="E1052" t="s">
        <v>20</v>
      </c>
      <c r="F1052" t="s">
        <v>40</v>
      </c>
      <c r="G1052" t="s">
        <v>31</v>
      </c>
      <c r="H1052" s="12">
        <v>250000</v>
      </c>
      <c r="I1052">
        <v>5</v>
      </c>
      <c r="J1052" t="s">
        <v>24</v>
      </c>
      <c r="K1052" s="12">
        <f t="shared" si="16"/>
        <v>200000</v>
      </c>
      <c r="L1052" s="12">
        <f>Sales_Data[[#This Row],[Unit Price]]*Sales_Data[[#This Row],[Quantity]]</f>
        <v>1250000</v>
      </c>
      <c r="M1052" s="12">
        <f>Sales_Data[[#This Row],[Cost Price]]*Sales_Data[[#This Row],[Quantity]]</f>
        <v>1000000</v>
      </c>
      <c r="N1052" s="12">
        <f>Sales_Data[[#This Row],[Revenue]]-Sales_Data[[#This Row],[COGS]]</f>
        <v>250000</v>
      </c>
    </row>
    <row r="1053" spans="1:14">
      <c r="A1053" s="1">
        <v>46727</v>
      </c>
      <c r="B1053" t="s">
        <v>29</v>
      </c>
      <c r="C1053" t="s">
        <v>32</v>
      </c>
      <c r="D1053" t="s">
        <v>23</v>
      </c>
      <c r="E1053" t="s">
        <v>14</v>
      </c>
      <c r="F1053" t="s">
        <v>21</v>
      </c>
      <c r="G1053" t="s">
        <v>22</v>
      </c>
      <c r="H1053" s="12">
        <v>30000</v>
      </c>
      <c r="I1053">
        <v>10</v>
      </c>
      <c r="J1053" t="s">
        <v>37</v>
      </c>
      <c r="K1053" s="12">
        <f t="shared" si="16"/>
        <v>24000</v>
      </c>
      <c r="L1053" s="12">
        <f>Sales_Data[[#This Row],[Unit Price]]*Sales_Data[[#This Row],[Quantity]]</f>
        <v>300000</v>
      </c>
      <c r="M1053" s="12">
        <f>Sales_Data[[#This Row],[Cost Price]]*Sales_Data[[#This Row],[Quantity]]</f>
        <v>240000</v>
      </c>
      <c r="N1053" s="12">
        <f>Sales_Data[[#This Row],[Revenue]]-Sales_Data[[#This Row],[COGS]]</f>
        <v>60000</v>
      </c>
    </row>
    <row r="1054" spans="1:14">
      <c r="A1054" s="1">
        <v>46728</v>
      </c>
      <c r="B1054" t="s">
        <v>25</v>
      </c>
      <c r="C1054" t="s">
        <v>26</v>
      </c>
      <c r="D1054" t="s">
        <v>13</v>
      </c>
      <c r="E1054" t="s">
        <v>20</v>
      </c>
      <c r="F1054" t="s">
        <v>38</v>
      </c>
      <c r="G1054" t="s">
        <v>31</v>
      </c>
      <c r="H1054" s="12">
        <v>420000</v>
      </c>
      <c r="I1054">
        <v>3</v>
      </c>
      <c r="J1054" t="s">
        <v>17</v>
      </c>
      <c r="K1054" s="12">
        <f t="shared" si="16"/>
        <v>336000</v>
      </c>
      <c r="L1054" s="12">
        <f>Sales_Data[[#This Row],[Unit Price]]*Sales_Data[[#This Row],[Quantity]]</f>
        <v>1260000</v>
      </c>
      <c r="M1054" s="12">
        <f>Sales_Data[[#This Row],[Cost Price]]*Sales_Data[[#This Row],[Quantity]]</f>
        <v>1008000</v>
      </c>
      <c r="N1054" s="12">
        <f>Sales_Data[[#This Row],[Revenue]]-Sales_Data[[#This Row],[COGS]]</f>
        <v>252000</v>
      </c>
    </row>
    <row r="1055" spans="1:14">
      <c r="A1055" s="1">
        <v>46729</v>
      </c>
      <c r="B1055" t="s">
        <v>25</v>
      </c>
      <c r="C1055" t="s">
        <v>32</v>
      </c>
      <c r="D1055" t="s">
        <v>13</v>
      </c>
      <c r="E1055" t="s">
        <v>14</v>
      </c>
      <c r="F1055" t="s">
        <v>34</v>
      </c>
      <c r="G1055" t="s">
        <v>16</v>
      </c>
      <c r="H1055" s="12">
        <v>320000</v>
      </c>
      <c r="I1055">
        <v>8</v>
      </c>
      <c r="J1055" t="s">
        <v>37</v>
      </c>
      <c r="K1055" s="12">
        <f t="shared" si="16"/>
        <v>256000</v>
      </c>
      <c r="L1055" s="12">
        <f>Sales_Data[[#This Row],[Unit Price]]*Sales_Data[[#This Row],[Quantity]]</f>
        <v>2560000</v>
      </c>
      <c r="M1055" s="12">
        <f>Sales_Data[[#This Row],[Cost Price]]*Sales_Data[[#This Row],[Quantity]]</f>
        <v>2048000</v>
      </c>
      <c r="N1055" s="12">
        <f>Sales_Data[[#This Row],[Revenue]]-Sales_Data[[#This Row],[COGS]]</f>
        <v>512000</v>
      </c>
    </row>
    <row r="1056" spans="1:14">
      <c r="A1056" s="1">
        <v>46730</v>
      </c>
      <c r="B1056" t="s">
        <v>29</v>
      </c>
      <c r="C1056" t="s">
        <v>19</v>
      </c>
      <c r="D1056" t="s">
        <v>23</v>
      </c>
      <c r="E1056" t="s">
        <v>14</v>
      </c>
      <c r="F1056" t="s">
        <v>38</v>
      </c>
      <c r="G1056" t="s">
        <v>31</v>
      </c>
      <c r="H1056" s="12">
        <v>420000</v>
      </c>
      <c r="I1056">
        <v>8</v>
      </c>
      <c r="J1056" t="s">
        <v>37</v>
      </c>
      <c r="K1056" s="12">
        <f t="shared" si="16"/>
        <v>336000</v>
      </c>
      <c r="L1056" s="12">
        <f>Sales_Data[[#This Row],[Unit Price]]*Sales_Data[[#This Row],[Quantity]]</f>
        <v>3360000</v>
      </c>
      <c r="M1056" s="12">
        <f>Sales_Data[[#This Row],[Cost Price]]*Sales_Data[[#This Row],[Quantity]]</f>
        <v>2688000</v>
      </c>
      <c r="N1056" s="12">
        <f>Sales_Data[[#This Row],[Revenue]]-Sales_Data[[#This Row],[COGS]]</f>
        <v>672000</v>
      </c>
    </row>
    <row r="1057" spans="1:14">
      <c r="A1057" s="1">
        <v>46731</v>
      </c>
      <c r="B1057" t="s">
        <v>25</v>
      </c>
      <c r="C1057" t="s">
        <v>26</v>
      </c>
      <c r="D1057" t="s">
        <v>23</v>
      </c>
      <c r="E1057" t="s">
        <v>14</v>
      </c>
      <c r="F1057" t="s">
        <v>36</v>
      </c>
      <c r="G1057" t="s">
        <v>31</v>
      </c>
      <c r="H1057" s="12">
        <v>150000</v>
      </c>
      <c r="I1057">
        <v>1</v>
      </c>
      <c r="J1057" t="s">
        <v>37</v>
      </c>
      <c r="K1057" s="12">
        <f t="shared" si="16"/>
        <v>120000</v>
      </c>
      <c r="L1057" s="12">
        <f>Sales_Data[[#This Row],[Unit Price]]*Sales_Data[[#This Row],[Quantity]]</f>
        <v>150000</v>
      </c>
      <c r="M1057" s="12">
        <f>Sales_Data[[#This Row],[Cost Price]]*Sales_Data[[#This Row],[Quantity]]</f>
        <v>120000</v>
      </c>
      <c r="N1057" s="12">
        <f>Sales_Data[[#This Row],[Revenue]]-Sales_Data[[#This Row],[COGS]]</f>
        <v>30000</v>
      </c>
    </row>
    <row r="1058" spans="1:14">
      <c r="A1058" s="1">
        <v>46732</v>
      </c>
      <c r="B1058" t="s">
        <v>25</v>
      </c>
      <c r="C1058" t="s">
        <v>19</v>
      </c>
      <c r="D1058" t="s">
        <v>13</v>
      </c>
      <c r="E1058" t="s">
        <v>14</v>
      </c>
      <c r="F1058" t="s">
        <v>27</v>
      </c>
      <c r="G1058" t="s">
        <v>22</v>
      </c>
      <c r="H1058" s="12">
        <v>60000</v>
      </c>
      <c r="I1058">
        <v>7</v>
      </c>
      <c r="J1058" t="s">
        <v>35</v>
      </c>
      <c r="K1058" s="12">
        <f t="shared" si="16"/>
        <v>48000</v>
      </c>
      <c r="L1058" s="12">
        <f>Sales_Data[[#This Row],[Unit Price]]*Sales_Data[[#This Row],[Quantity]]</f>
        <v>420000</v>
      </c>
      <c r="M1058" s="12">
        <f>Sales_Data[[#This Row],[Cost Price]]*Sales_Data[[#This Row],[Quantity]]</f>
        <v>336000</v>
      </c>
      <c r="N1058" s="12">
        <f>Sales_Data[[#This Row],[Revenue]]-Sales_Data[[#This Row],[COGS]]</f>
        <v>84000</v>
      </c>
    </row>
    <row r="1059" spans="1:14">
      <c r="A1059" s="1">
        <v>46733</v>
      </c>
      <c r="B1059" t="s">
        <v>25</v>
      </c>
      <c r="C1059" t="s">
        <v>19</v>
      </c>
      <c r="D1059" t="s">
        <v>13</v>
      </c>
      <c r="E1059" t="s">
        <v>20</v>
      </c>
      <c r="F1059" t="s">
        <v>38</v>
      </c>
      <c r="G1059" t="s">
        <v>31</v>
      </c>
      <c r="H1059" s="12">
        <v>420000</v>
      </c>
      <c r="I1059">
        <v>9</v>
      </c>
      <c r="J1059" t="s">
        <v>37</v>
      </c>
      <c r="K1059" s="12">
        <f t="shared" si="16"/>
        <v>336000</v>
      </c>
      <c r="L1059" s="12">
        <f>Sales_Data[[#This Row],[Unit Price]]*Sales_Data[[#This Row],[Quantity]]</f>
        <v>3780000</v>
      </c>
      <c r="M1059" s="12">
        <f>Sales_Data[[#This Row],[Cost Price]]*Sales_Data[[#This Row],[Quantity]]</f>
        <v>3024000</v>
      </c>
      <c r="N1059" s="12">
        <f>Sales_Data[[#This Row],[Revenue]]-Sales_Data[[#This Row],[COGS]]</f>
        <v>756000</v>
      </c>
    </row>
    <row r="1060" spans="1:14">
      <c r="A1060" s="1">
        <v>46734</v>
      </c>
      <c r="B1060" t="s">
        <v>18</v>
      </c>
      <c r="C1060" t="s">
        <v>26</v>
      </c>
      <c r="D1060" t="s">
        <v>23</v>
      </c>
      <c r="E1060" t="s">
        <v>20</v>
      </c>
      <c r="F1060" t="s">
        <v>38</v>
      </c>
      <c r="G1060" t="s">
        <v>31</v>
      </c>
      <c r="H1060" s="12">
        <v>420000</v>
      </c>
      <c r="I1060">
        <v>6</v>
      </c>
      <c r="J1060" t="s">
        <v>24</v>
      </c>
      <c r="K1060" s="12">
        <f t="shared" si="16"/>
        <v>336000</v>
      </c>
      <c r="L1060" s="12">
        <f>Sales_Data[[#This Row],[Unit Price]]*Sales_Data[[#This Row],[Quantity]]</f>
        <v>2520000</v>
      </c>
      <c r="M1060" s="12">
        <f>Sales_Data[[#This Row],[Cost Price]]*Sales_Data[[#This Row],[Quantity]]</f>
        <v>2016000</v>
      </c>
      <c r="N1060" s="12">
        <f>Sales_Data[[#This Row],[Revenue]]-Sales_Data[[#This Row],[COGS]]</f>
        <v>504000</v>
      </c>
    </row>
    <row r="1061" spans="1:14">
      <c r="A1061" s="1">
        <v>46735</v>
      </c>
      <c r="B1061" t="s">
        <v>18</v>
      </c>
      <c r="C1061" t="s">
        <v>12</v>
      </c>
      <c r="D1061" t="s">
        <v>13</v>
      </c>
      <c r="E1061" t="s">
        <v>14</v>
      </c>
      <c r="F1061" t="s">
        <v>30</v>
      </c>
      <c r="G1061" t="s">
        <v>31</v>
      </c>
      <c r="H1061" s="12">
        <v>300000</v>
      </c>
      <c r="I1061">
        <v>9</v>
      </c>
      <c r="J1061" t="s">
        <v>37</v>
      </c>
      <c r="K1061" s="12">
        <f t="shared" si="16"/>
        <v>240000</v>
      </c>
      <c r="L1061" s="12">
        <f>Sales_Data[[#This Row],[Unit Price]]*Sales_Data[[#This Row],[Quantity]]</f>
        <v>2700000</v>
      </c>
      <c r="M1061" s="12">
        <f>Sales_Data[[#This Row],[Cost Price]]*Sales_Data[[#This Row],[Quantity]]</f>
        <v>2160000</v>
      </c>
      <c r="N1061" s="12">
        <f>Sales_Data[[#This Row],[Revenue]]-Sales_Data[[#This Row],[COGS]]</f>
        <v>540000</v>
      </c>
    </row>
    <row r="1062" spans="1:14">
      <c r="A1062" s="1">
        <v>46736</v>
      </c>
      <c r="B1062" t="s">
        <v>29</v>
      </c>
      <c r="C1062" t="s">
        <v>12</v>
      </c>
      <c r="D1062" t="s">
        <v>23</v>
      </c>
      <c r="E1062" t="s">
        <v>14</v>
      </c>
      <c r="F1062" t="s">
        <v>33</v>
      </c>
      <c r="G1062" t="s">
        <v>22</v>
      </c>
      <c r="H1062" s="12">
        <v>180000</v>
      </c>
      <c r="I1062">
        <v>5</v>
      </c>
      <c r="J1062" t="s">
        <v>39</v>
      </c>
      <c r="K1062" s="12">
        <f t="shared" si="16"/>
        <v>144000</v>
      </c>
      <c r="L1062" s="12">
        <f>Sales_Data[[#This Row],[Unit Price]]*Sales_Data[[#This Row],[Quantity]]</f>
        <v>900000</v>
      </c>
      <c r="M1062" s="12">
        <f>Sales_Data[[#This Row],[Cost Price]]*Sales_Data[[#This Row],[Quantity]]</f>
        <v>720000</v>
      </c>
      <c r="N1062" s="12">
        <f>Sales_Data[[#This Row],[Revenue]]-Sales_Data[[#This Row],[COGS]]</f>
        <v>180000</v>
      </c>
    </row>
    <row r="1063" spans="1:14">
      <c r="A1063" s="1">
        <v>46737</v>
      </c>
      <c r="B1063" t="s">
        <v>25</v>
      </c>
      <c r="C1063" t="s">
        <v>26</v>
      </c>
      <c r="D1063" t="s">
        <v>13</v>
      </c>
      <c r="E1063" t="s">
        <v>20</v>
      </c>
      <c r="F1063" t="s">
        <v>36</v>
      </c>
      <c r="G1063" t="s">
        <v>31</v>
      </c>
      <c r="H1063" s="12">
        <v>150000</v>
      </c>
      <c r="I1063">
        <v>5</v>
      </c>
      <c r="J1063" t="s">
        <v>28</v>
      </c>
      <c r="K1063" s="12">
        <f t="shared" si="16"/>
        <v>120000</v>
      </c>
      <c r="L1063" s="12">
        <f>Sales_Data[[#This Row],[Unit Price]]*Sales_Data[[#This Row],[Quantity]]</f>
        <v>750000</v>
      </c>
      <c r="M1063" s="12">
        <f>Sales_Data[[#This Row],[Cost Price]]*Sales_Data[[#This Row],[Quantity]]</f>
        <v>600000</v>
      </c>
      <c r="N1063" s="12">
        <f>Sales_Data[[#This Row],[Revenue]]-Sales_Data[[#This Row],[COGS]]</f>
        <v>150000</v>
      </c>
    </row>
    <row r="1064" spans="1:14">
      <c r="A1064" s="1">
        <v>46738</v>
      </c>
      <c r="B1064" t="s">
        <v>18</v>
      </c>
      <c r="C1064" t="s">
        <v>12</v>
      </c>
      <c r="D1064" t="s">
        <v>13</v>
      </c>
      <c r="E1064" t="s">
        <v>14</v>
      </c>
      <c r="F1064" t="s">
        <v>15</v>
      </c>
      <c r="G1064" t="s">
        <v>16</v>
      </c>
      <c r="H1064" s="12">
        <v>85000</v>
      </c>
      <c r="I1064">
        <v>9</v>
      </c>
      <c r="J1064" t="s">
        <v>28</v>
      </c>
      <c r="K1064" s="12">
        <f t="shared" si="16"/>
        <v>68000</v>
      </c>
      <c r="L1064" s="12">
        <f>Sales_Data[[#This Row],[Unit Price]]*Sales_Data[[#This Row],[Quantity]]</f>
        <v>765000</v>
      </c>
      <c r="M1064" s="12">
        <f>Sales_Data[[#This Row],[Cost Price]]*Sales_Data[[#This Row],[Quantity]]</f>
        <v>612000</v>
      </c>
      <c r="N1064" s="12">
        <f>Sales_Data[[#This Row],[Revenue]]-Sales_Data[[#This Row],[COGS]]</f>
        <v>153000</v>
      </c>
    </row>
    <row r="1065" spans="1:14">
      <c r="A1065" s="1">
        <v>46739</v>
      </c>
      <c r="B1065" t="s">
        <v>11</v>
      </c>
      <c r="C1065" t="s">
        <v>32</v>
      </c>
      <c r="D1065" t="s">
        <v>23</v>
      </c>
      <c r="E1065" t="s">
        <v>14</v>
      </c>
      <c r="F1065" t="s">
        <v>38</v>
      </c>
      <c r="G1065" t="s">
        <v>31</v>
      </c>
      <c r="H1065" s="12">
        <v>420000</v>
      </c>
      <c r="I1065">
        <v>5</v>
      </c>
      <c r="J1065" t="s">
        <v>39</v>
      </c>
      <c r="K1065" s="12">
        <f t="shared" si="16"/>
        <v>336000</v>
      </c>
      <c r="L1065" s="12">
        <f>Sales_Data[[#This Row],[Unit Price]]*Sales_Data[[#This Row],[Quantity]]</f>
        <v>2100000</v>
      </c>
      <c r="M1065" s="12">
        <f>Sales_Data[[#This Row],[Cost Price]]*Sales_Data[[#This Row],[Quantity]]</f>
        <v>1680000</v>
      </c>
      <c r="N1065" s="12">
        <f>Sales_Data[[#This Row],[Revenue]]-Sales_Data[[#This Row],[COGS]]</f>
        <v>420000</v>
      </c>
    </row>
    <row r="1066" spans="1:14">
      <c r="A1066" s="1">
        <v>46740</v>
      </c>
      <c r="B1066" t="s">
        <v>18</v>
      </c>
      <c r="C1066" t="s">
        <v>19</v>
      </c>
      <c r="D1066" t="s">
        <v>13</v>
      </c>
      <c r="E1066" t="s">
        <v>20</v>
      </c>
      <c r="F1066" t="s">
        <v>34</v>
      </c>
      <c r="G1066" t="s">
        <v>16</v>
      </c>
      <c r="H1066" s="12">
        <v>320000</v>
      </c>
      <c r="I1066">
        <v>4</v>
      </c>
      <c r="J1066" t="s">
        <v>28</v>
      </c>
      <c r="K1066" s="12">
        <f t="shared" si="16"/>
        <v>256000</v>
      </c>
      <c r="L1066" s="12">
        <f>Sales_Data[[#This Row],[Unit Price]]*Sales_Data[[#This Row],[Quantity]]</f>
        <v>1280000</v>
      </c>
      <c r="M1066" s="12">
        <f>Sales_Data[[#This Row],[Cost Price]]*Sales_Data[[#This Row],[Quantity]]</f>
        <v>1024000</v>
      </c>
      <c r="N1066" s="12">
        <f>Sales_Data[[#This Row],[Revenue]]-Sales_Data[[#This Row],[COGS]]</f>
        <v>256000</v>
      </c>
    </row>
    <row r="1067" spans="1:14">
      <c r="A1067" s="1">
        <v>46741</v>
      </c>
      <c r="B1067" t="s">
        <v>18</v>
      </c>
      <c r="C1067" t="s">
        <v>19</v>
      </c>
      <c r="D1067" t="s">
        <v>23</v>
      </c>
      <c r="E1067" t="s">
        <v>14</v>
      </c>
      <c r="F1067" t="s">
        <v>21</v>
      </c>
      <c r="G1067" t="s">
        <v>22</v>
      </c>
      <c r="H1067" s="12">
        <v>30000</v>
      </c>
      <c r="I1067">
        <v>4</v>
      </c>
      <c r="J1067" t="s">
        <v>28</v>
      </c>
      <c r="K1067" s="12">
        <f t="shared" si="16"/>
        <v>24000</v>
      </c>
      <c r="L1067" s="12">
        <f>Sales_Data[[#This Row],[Unit Price]]*Sales_Data[[#This Row],[Quantity]]</f>
        <v>120000</v>
      </c>
      <c r="M1067" s="12">
        <f>Sales_Data[[#This Row],[Cost Price]]*Sales_Data[[#This Row],[Quantity]]</f>
        <v>96000</v>
      </c>
      <c r="N1067" s="12">
        <f>Sales_Data[[#This Row],[Revenue]]-Sales_Data[[#This Row],[COGS]]</f>
        <v>24000</v>
      </c>
    </row>
    <row r="1068" spans="1:14">
      <c r="A1068" s="1">
        <v>46742</v>
      </c>
      <c r="B1068" t="s">
        <v>25</v>
      </c>
      <c r="C1068" t="s">
        <v>32</v>
      </c>
      <c r="D1068" t="s">
        <v>23</v>
      </c>
      <c r="E1068" t="s">
        <v>20</v>
      </c>
      <c r="F1068" t="s">
        <v>36</v>
      </c>
      <c r="G1068" t="s">
        <v>31</v>
      </c>
      <c r="H1068" s="12">
        <v>150000</v>
      </c>
      <c r="I1068">
        <v>3</v>
      </c>
      <c r="J1068" t="s">
        <v>37</v>
      </c>
      <c r="K1068" s="12">
        <f t="shared" si="16"/>
        <v>120000</v>
      </c>
      <c r="L1068" s="12">
        <f>Sales_Data[[#This Row],[Unit Price]]*Sales_Data[[#This Row],[Quantity]]</f>
        <v>450000</v>
      </c>
      <c r="M1068" s="12">
        <f>Sales_Data[[#This Row],[Cost Price]]*Sales_Data[[#This Row],[Quantity]]</f>
        <v>360000</v>
      </c>
      <c r="N1068" s="12">
        <f>Sales_Data[[#This Row],[Revenue]]-Sales_Data[[#This Row],[COGS]]</f>
        <v>90000</v>
      </c>
    </row>
    <row r="1069" spans="1:14">
      <c r="A1069" s="1">
        <v>46743</v>
      </c>
      <c r="B1069" t="s">
        <v>11</v>
      </c>
      <c r="C1069" t="s">
        <v>19</v>
      </c>
      <c r="D1069" t="s">
        <v>13</v>
      </c>
      <c r="E1069" t="s">
        <v>14</v>
      </c>
      <c r="F1069" t="s">
        <v>41</v>
      </c>
      <c r="G1069" t="s">
        <v>22</v>
      </c>
      <c r="H1069" s="12">
        <v>220000</v>
      </c>
      <c r="I1069">
        <v>7</v>
      </c>
      <c r="J1069" t="s">
        <v>17</v>
      </c>
      <c r="K1069" s="12">
        <f t="shared" si="16"/>
        <v>176000</v>
      </c>
      <c r="L1069" s="12">
        <f>Sales_Data[[#This Row],[Unit Price]]*Sales_Data[[#This Row],[Quantity]]</f>
        <v>1540000</v>
      </c>
      <c r="M1069" s="12">
        <f>Sales_Data[[#This Row],[Cost Price]]*Sales_Data[[#This Row],[Quantity]]</f>
        <v>1232000</v>
      </c>
      <c r="N1069" s="12">
        <f>Sales_Data[[#This Row],[Revenue]]-Sales_Data[[#This Row],[COGS]]</f>
        <v>308000</v>
      </c>
    </row>
    <row r="1070" spans="1:14">
      <c r="A1070" s="1">
        <v>46744</v>
      </c>
      <c r="B1070" t="s">
        <v>18</v>
      </c>
      <c r="C1070" t="s">
        <v>12</v>
      </c>
      <c r="D1070" t="s">
        <v>13</v>
      </c>
      <c r="E1070" t="s">
        <v>20</v>
      </c>
      <c r="F1070" t="s">
        <v>33</v>
      </c>
      <c r="G1070" t="s">
        <v>22</v>
      </c>
      <c r="H1070" s="12">
        <v>180000</v>
      </c>
      <c r="I1070">
        <v>10</v>
      </c>
      <c r="J1070" t="s">
        <v>35</v>
      </c>
      <c r="K1070" s="12">
        <f t="shared" si="16"/>
        <v>144000</v>
      </c>
      <c r="L1070" s="12">
        <f>Sales_Data[[#This Row],[Unit Price]]*Sales_Data[[#This Row],[Quantity]]</f>
        <v>1800000</v>
      </c>
      <c r="M1070" s="12">
        <f>Sales_Data[[#This Row],[Cost Price]]*Sales_Data[[#This Row],[Quantity]]</f>
        <v>1440000</v>
      </c>
      <c r="N1070" s="12">
        <f>Sales_Data[[#This Row],[Revenue]]-Sales_Data[[#This Row],[COGS]]</f>
        <v>360000</v>
      </c>
    </row>
    <row r="1071" spans="1:14">
      <c r="A1071" s="1">
        <v>46745</v>
      </c>
      <c r="B1071" t="s">
        <v>11</v>
      </c>
      <c r="C1071" t="s">
        <v>32</v>
      </c>
      <c r="D1071" t="s">
        <v>23</v>
      </c>
      <c r="E1071" t="s">
        <v>14</v>
      </c>
      <c r="F1071" t="s">
        <v>15</v>
      </c>
      <c r="G1071" t="s">
        <v>16</v>
      </c>
      <c r="H1071" s="12">
        <v>85000</v>
      </c>
      <c r="I1071">
        <v>7</v>
      </c>
      <c r="J1071" t="s">
        <v>24</v>
      </c>
      <c r="K1071" s="12">
        <f t="shared" si="16"/>
        <v>68000</v>
      </c>
      <c r="L1071" s="12">
        <f>Sales_Data[[#This Row],[Unit Price]]*Sales_Data[[#This Row],[Quantity]]</f>
        <v>595000</v>
      </c>
      <c r="M1071" s="12">
        <f>Sales_Data[[#This Row],[Cost Price]]*Sales_Data[[#This Row],[Quantity]]</f>
        <v>476000</v>
      </c>
      <c r="N1071" s="12">
        <f>Sales_Data[[#This Row],[Revenue]]-Sales_Data[[#This Row],[COGS]]</f>
        <v>119000</v>
      </c>
    </row>
    <row r="1072" spans="1:14">
      <c r="A1072" s="1">
        <v>46746</v>
      </c>
      <c r="B1072" t="s">
        <v>18</v>
      </c>
      <c r="C1072" t="s">
        <v>19</v>
      </c>
      <c r="D1072" t="s">
        <v>13</v>
      </c>
      <c r="E1072" t="s">
        <v>14</v>
      </c>
      <c r="F1072" t="s">
        <v>21</v>
      </c>
      <c r="G1072" t="s">
        <v>22</v>
      </c>
      <c r="H1072" s="12">
        <v>30000</v>
      </c>
      <c r="I1072">
        <v>3</v>
      </c>
      <c r="J1072" t="s">
        <v>24</v>
      </c>
      <c r="K1072" s="12">
        <f t="shared" si="16"/>
        <v>24000</v>
      </c>
      <c r="L1072" s="12">
        <f>Sales_Data[[#This Row],[Unit Price]]*Sales_Data[[#This Row],[Quantity]]</f>
        <v>90000</v>
      </c>
      <c r="M1072" s="12">
        <f>Sales_Data[[#This Row],[Cost Price]]*Sales_Data[[#This Row],[Quantity]]</f>
        <v>72000</v>
      </c>
      <c r="N1072" s="12">
        <f>Sales_Data[[#This Row],[Revenue]]-Sales_Data[[#This Row],[COGS]]</f>
        <v>18000</v>
      </c>
    </row>
    <row r="1073" spans="1:14">
      <c r="A1073" s="1">
        <v>46747</v>
      </c>
      <c r="B1073" t="s">
        <v>29</v>
      </c>
      <c r="C1073" t="s">
        <v>12</v>
      </c>
      <c r="D1073" t="s">
        <v>23</v>
      </c>
      <c r="E1073" t="s">
        <v>14</v>
      </c>
      <c r="F1073" t="s">
        <v>34</v>
      </c>
      <c r="G1073" t="s">
        <v>16</v>
      </c>
      <c r="H1073" s="12">
        <v>320000</v>
      </c>
      <c r="I1073">
        <v>9</v>
      </c>
      <c r="J1073" t="s">
        <v>37</v>
      </c>
      <c r="K1073" s="12">
        <f t="shared" si="16"/>
        <v>256000</v>
      </c>
      <c r="L1073" s="12">
        <f>Sales_Data[[#This Row],[Unit Price]]*Sales_Data[[#This Row],[Quantity]]</f>
        <v>2880000</v>
      </c>
      <c r="M1073" s="12">
        <f>Sales_Data[[#This Row],[Cost Price]]*Sales_Data[[#This Row],[Quantity]]</f>
        <v>2304000</v>
      </c>
      <c r="N1073" s="12">
        <f>Sales_Data[[#This Row],[Revenue]]-Sales_Data[[#This Row],[COGS]]</f>
        <v>576000</v>
      </c>
    </row>
    <row r="1074" spans="1:14">
      <c r="A1074" s="1">
        <v>46748</v>
      </c>
      <c r="B1074" t="s">
        <v>11</v>
      </c>
      <c r="C1074" t="s">
        <v>19</v>
      </c>
      <c r="D1074" t="s">
        <v>13</v>
      </c>
      <c r="E1074" t="s">
        <v>20</v>
      </c>
      <c r="F1074" t="s">
        <v>36</v>
      </c>
      <c r="G1074" t="s">
        <v>31</v>
      </c>
      <c r="H1074" s="12">
        <v>150000</v>
      </c>
      <c r="I1074">
        <v>2</v>
      </c>
      <c r="J1074" t="s">
        <v>24</v>
      </c>
      <c r="K1074" s="12">
        <f t="shared" si="16"/>
        <v>120000</v>
      </c>
      <c r="L1074" s="12">
        <f>Sales_Data[[#This Row],[Unit Price]]*Sales_Data[[#This Row],[Quantity]]</f>
        <v>300000</v>
      </c>
      <c r="M1074" s="12">
        <f>Sales_Data[[#This Row],[Cost Price]]*Sales_Data[[#This Row],[Quantity]]</f>
        <v>240000</v>
      </c>
      <c r="N1074" s="12">
        <f>Sales_Data[[#This Row],[Revenue]]-Sales_Data[[#This Row],[COGS]]</f>
        <v>60000</v>
      </c>
    </row>
    <row r="1075" spans="1:14">
      <c r="A1075" s="1">
        <v>46749</v>
      </c>
      <c r="B1075" t="s">
        <v>18</v>
      </c>
      <c r="C1075" t="s">
        <v>19</v>
      </c>
      <c r="D1075" t="s">
        <v>23</v>
      </c>
      <c r="E1075" t="s">
        <v>20</v>
      </c>
      <c r="F1075" t="s">
        <v>33</v>
      </c>
      <c r="G1075" t="s">
        <v>22</v>
      </c>
      <c r="H1075" s="12">
        <v>180000</v>
      </c>
      <c r="I1075">
        <v>8</v>
      </c>
      <c r="J1075" t="s">
        <v>37</v>
      </c>
      <c r="K1075" s="12">
        <f t="shared" si="16"/>
        <v>144000</v>
      </c>
      <c r="L1075" s="12">
        <f>Sales_Data[[#This Row],[Unit Price]]*Sales_Data[[#This Row],[Quantity]]</f>
        <v>1440000</v>
      </c>
      <c r="M1075" s="12">
        <f>Sales_Data[[#This Row],[Cost Price]]*Sales_Data[[#This Row],[Quantity]]</f>
        <v>1152000</v>
      </c>
      <c r="N1075" s="12">
        <f>Sales_Data[[#This Row],[Revenue]]-Sales_Data[[#This Row],[COGS]]</f>
        <v>288000</v>
      </c>
    </row>
    <row r="1076" spans="1:14">
      <c r="A1076" s="1">
        <v>46750</v>
      </c>
      <c r="B1076" t="s">
        <v>18</v>
      </c>
      <c r="C1076" t="s">
        <v>19</v>
      </c>
      <c r="D1076" t="s">
        <v>23</v>
      </c>
      <c r="E1076" t="s">
        <v>20</v>
      </c>
      <c r="F1076" t="s">
        <v>15</v>
      </c>
      <c r="G1076" t="s">
        <v>16</v>
      </c>
      <c r="H1076" s="12">
        <v>85000</v>
      </c>
      <c r="I1076">
        <v>7</v>
      </c>
      <c r="J1076" t="s">
        <v>17</v>
      </c>
      <c r="K1076" s="12">
        <f t="shared" si="16"/>
        <v>68000</v>
      </c>
      <c r="L1076" s="12">
        <f>Sales_Data[[#This Row],[Unit Price]]*Sales_Data[[#This Row],[Quantity]]</f>
        <v>595000</v>
      </c>
      <c r="M1076" s="12">
        <f>Sales_Data[[#This Row],[Cost Price]]*Sales_Data[[#This Row],[Quantity]]</f>
        <v>476000</v>
      </c>
      <c r="N1076" s="12">
        <f>Sales_Data[[#This Row],[Revenue]]-Sales_Data[[#This Row],[COGS]]</f>
        <v>119000</v>
      </c>
    </row>
    <row r="1077" spans="1:14">
      <c r="A1077" s="1">
        <v>46751</v>
      </c>
      <c r="B1077" t="s">
        <v>11</v>
      </c>
      <c r="C1077" t="s">
        <v>32</v>
      </c>
      <c r="D1077" t="s">
        <v>23</v>
      </c>
      <c r="E1077" t="s">
        <v>14</v>
      </c>
      <c r="F1077" t="s">
        <v>33</v>
      </c>
      <c r="G1077" t="s">
        <v>22</v>
      </c>
      <c r="H1077" s="12">
        <v>180000</v>
      </c>
      <c r="I1077">
        <v>8</v>
      </c>
      <c r="J1077" t="s">
        <v>39</v>
      </c>
      <c r="K1077" s="12">
        <f t="shared" si="16"/>
        <v>144000</v>
      </c>
      <c r="L1077" s="12">
        <f>Sales_Data[[#This Row],[Unit Price]]*Sales_Data[[#This Row],[Quantity]]</f>
        <v>1440000</v>
      </c>
      <c r="M1077" s="12">
        <f>Sales_Data[[#This Row],[Cost Price]]*Sales_Data[[#This Row],[Quantity]]</f>
        <v>1152000</v>
      </c>
      <c r="N1077" s="12">
        <f>Sales_Data[[#This Row],[Revenue]]-Sales_Data[[#This Row],[COGS]]</f>
        <v>288000</v>
      </c>
    </row>
    <row r="1078" spans="1:14">
      <c r="A1078" s="1">
        <v>46752</v>
      </c>
      <c r="B1078" t="s">
        <v>29</v>
      </c>
      <c r="C1078" t="s">
        <v>12</v>
      </c>
      <c r="D1078" t="s">
        <v>23</v>
      </c>
      <c r="E1078" t="s">
        <v>14</v>
      </c>
      <c r="F1078" t="s">
        <v>41</v>
      </c>
      <c r="G1078" t="s">
        <v>22</v>
      </c>
      <c r="H1078" s="12">
        <v>220000</v>
      </c>
      <c r="I1078">
        <v>5</v>
      </c>
      <c r="J1078" t="s">
        <v>39</v>
      </c>
      <c r="K1078" s="12">
        <f t="shared" si="16"/>
        <v>176000</v>
      </c>
      <c r="L1078" s="12">
        <f>Sales_Data[[#This Row],[Unit Price]]*Sales_Data[[#This Row],[Quantity]]</f>
        <v>1100000</v>
      </c>
      <c r="M1078" s="12">
        <f>Sales_Data[[#This Row],[Cost Price]]*Sales_Data[[#This Row],[Quantity]]</f>
        <v>880000</v>
      </c>
      <c r="N1078" s="12">
        <f>Sales_Data[[#This Row],[Revenue]]-Sales_Data[[#This Row],[COGS]]</f>
        <v>220000</v>
      </c>
    </row>
    <row r="1079" spans="1:14">
      <c r="A1079" s="1">
        <v>46753</v>
      </c>
      <c r="B1079" t="s">
        <v>29</v>
      </c>
      <c r="C1079" t="s">
        <v>26</v>
      </c>
      <c r="D1079" t="s">
        <v>13</v>
      </c>
      <c r="E1079" t="s">
        <v>14</v>
      </c>
      <c r="F1079" t="s">
        <v>30</v>
      </c>
      <c r="G1079" t="s">
        <v>31</v>
      </c>
      <c r="H1079" s="12">
        <v>300000</v>
      </c>
      <c r="I1079">
        <v>5</v>
      </c>
      <c r="J1079" t="s">
        <v>37</v>
      </c>
      <c r="K1079" s="12">
        <f t="shared" si="16"/>
        <v>240000</v>
      </c>
      <c r="L1079" s="12">
        <f>Sales_Data[[#This Row],[Unit Price]]*Sales_Data[[#This Row],[Quantity]]</f>
        <v>1500000</v>
      </c>
      <c r="M1079" s="12">
        <f>Sales_Data[[#This Row],[Cost Price]]*Sales_Data[[#This Row],[Quantity]]</f>
        <v>1200000</v>
      </c>
      <c r="N1079" s="12">
        <f>Sales_Data[[#This Row],[Revenue]]-Sales_Data[[#This Row],[COGS]]</f>
        <v>300000</v>
      </c>
    </row>
    <row r="1080" spans="1:14">
      <c r="A1080" s="1">
        <v>46754</v>
      </c>
      <c r="B1080" t="s">
        <v>29</v>
      </c>
      <c r="C1080" t="s">
        <v>32</v>
      </c>
      <c r="D1080" t="s">
        <v>13</v>
      </c>
      <c r="E1080" t="s">
        <v>20</v>
      </c>
      <c r="F1080" t="s">
        <v>40</v>
      </c>
      <c r="G1080" t="s">
        <v>31</v>
      </c>
      <c r="H1080" s="12">
        <v>250000</v>
      </c>
      <c r="I1080">
        <v>7</v>
      </c>
      <c r="J1080" t="s">
        <v>17</v>
      </c>
      <c r="K1080" s="12">
        <f t="shared" si="16"/>
        <v>200000</v>
      </c>
      <c r="L1080" s="12">
        <f>Sales_Data[[#This Row],[Unit Price]]*Sales_Data[[#This Row],[Quantity]]</f>
        <v>1750000</v>
      </c>
      <c r="M1080" s="12">
        <f>Sales_Data[[#This Row],[Cost Price]]*Sales_Data[[#This Row],[Quantity]]</f>
        <v>1400000</v>
      </c>
      <c r="N1080" s="12">
        <f>Sales_Data[[#This Row],[Revenue]]-Sales_Data[[#This Row],[COGS]]</f>
        <v>350000</v>
      </c>
    </row>
    <row r="1081" spans="1:14">
      <c r="A1081" s="1">
        <v>46755</v>
      </c>
      <c r="B1081" t="s">
        <v>11</v>
      </c>
      <c r="C1081" t="s">
        <v>32</v>
      </c>
      <c r="D1081" t="s">
        <v>23</v>
      </c>
      <c r="E1081" t="s">
        <v>20</v>
      </c>
      <c r="F1081" t="s">
        <v>27</v>
      </c>
      <c r="G1081" t="s">
        <v>22</v>
      </c>
      <c r="H1081" s="12">
        <v>60000</v>
      </c>
      <c r="I1081">
        <v>7</v>
      </c>
      <c r="J1081" t="s">
        <v>37</v>
      </c>
      <c r="K1081" s="12">
        <f t="shared" si="16"/>
        <v>48000</v>
      </c>
      <c r="L1081" s="12">
        <f>Sales_Data[[#This Row],[Unit Price]]*Sales_Data[[#This Row],[Quantity]]</f>
        <v>420000</v>
      </c>
      <c r="M1081" s="12">
        <f>Sales_Data[[#This Row],[Cost Price]]*Sales_Data[[#This Row],[Quantity]]</f>
        <v>336000</v>
      </c>
      <c r="N1081" s="12">
        <f>Sales_Data[[#This Row],[Revenue]]-Sales_Data[[#This Row],[COGS]]</f>
        <v>84000</v>
      </c>
    </row>
    <row r="1082" spans="1:14">
      <c r="A1082" s="1">
        <v>46756</v>
      </c>
      <c r="B1082" t="s">
        <v>18</v>
      </c>
      <c r="C1082" t="s">
        <v>12</v>
      </c>
      <c r="D1082" t="s">
        <v>23</v>
      </c>
      <c r="E1082" t="s">
        <v>14</v>
      </c>
      <c r="F1082" t="s">
        <v>15</v>
      </c>
      <c r="G1082" t="s">
        <v>16</v>
      </c>
      <c r="H1082" s="12">
        <v>85000</v>
      </c>
      <c r="I1082">
        <v>2</v>
      </c>
      <c r="J1082" t="s">
        <v>35</v>
      </c>
      <c r="K1082" s="12">
        <f t="shared" si="16"/>
        <v>68000</v>
      </c>
      <c r="L1082" s="12">
        <f>Sales_Data[[#This Row],[Unit Price]]*Sales_Data[[#This Row],[Quantity]]</f>
        <v>170000</v>
      </c>
      <c r="M1082" s="12">
        <f>Sales_Data[[#This Row],[Cost Price]]*Sales_Data[[#This Row],[Quantity]]</f>
        <v>136000</v>
      </c>
      <c r="N1082" s="12">
        <f>Sales_Data[[#This Row],[Revenue]]-Sales_Data[[#This Row],[COGS]]</f>
        <v>34000</v>
      </c>
    </row>
    <row r="1083" spans="1:14">
      <c r="A1083" s="1">
        <v>46757</v>
      </c>
      <c r="B1083" t="s">
        <v>11</v>
      </c>
      <c r="C1083" t="s">
        <v>12</v>
      </c>
      <c r="D1083" t="s">
        <v>13</v>
      </c>
      <c r="E1083" t="s">
        <v>20</v>
      </c>
      <c r="F1083" t="s">
        <v>27</v>
      </c>
      <c r="G1083" t="s">
        <v>22</v>
      </c>
      <c r="H1083" s="12">
        <v>60000</v>
      </c>
      <c r="I1083">
        <v>2</v>
      </c>
      <c r="J1083" t="s">
        <v>39</v>
      </c>
      <c r="K1083" s="12">
        <f t="shared" si="16"/>
        <v>48000</v>
      </c>
      <c r="L1083" s="12">
        <f>Sales_Data[[#This Row],[Unit Price]]*Sales_Data[[#This Row],[Quantity]]</f>
        <v>120000</v>
      </c>
      <c r="M1083" s="12">
        <f>Sales_Data[[#This Row],[Cost Price]]*Sales_Data[[#This Row],[Quantity]]</f>
        <v>96000</v>
      </c>
      <c r="N1083" s="12">
        <f>Sales_Data[[#This Row],[Revenue]]-Sales_Data[[#This Row],[COGS]]</f>
        <v>24000</v>
      </c>
    </row>
    <row r="1084" spans="1:14">
      <c r="A1084" s="1">
        <v>46758</v>
      </c>
      <c r="B1084" t="s">
        <v>18</v>
      </c>
      <c r="C1084" t="s">
        <v>32</v>
      </c>
      <c r="D1084" t="s">
        <v>23</v>
      </c>
      <c r="E1084" t="s">
        <v>14</v>
      </c>
      <c r="F1084" t="s">
        <v>21</v>
      </c>
      <c r="G1084" t="s">
        <v>22</v>
      </c>
      <c r="H1084" s="12">
        <v>30000</v>
      </c>
      <c r="I1084">
        <v>10</v>
      </c>
      <c r="J1084" t="s">
        <v>39</v>
      </c>
      <c r="K1084" s="12">
        <f t="shared" si="16"/>
        <v>24000</v>
      </c>
      <c r="L1084" s="12">
        <f>Sales_Data[[#This Row],[Unit Price]]*Sales_Data[[#This Row],[Quantity]]</f>
        <v>300000</v>
      </c>
      <c r="M1084" s="12">
        <f>Sales_Data[[#This Row],[Cost Price]]*Sales_Data[[#This Row],[Quantity]]</f>
        <v>240000</v>
      </c>
      <c r="N1084" s="12">
        <f>Sales_Data[[#This Row],[Revenue]]-Sales_Data[[#This Row],[COGS]]</f>
        <v>60000</v>
      </c>
    </row>
    <row r="1085" spans="1:14">
      <c r="A1085" s="1">
        <v>46759</v>
      </c>
      <c r="B1085" t="s">
        <v>29</v>
      </c>
      <c r="C1085" t="s">
        <v>19</v>
      </c>
      <c r="D1085" t="s">
        <v>23</v>
      </c>
      <c r="E1085" t="s">
        <v>20</v>
      </c>
      <c r="F1085" t="s">
        <v>38</v>
      </c>
      <c r="G1085" t="s">
        <v>31</v>
      </c>
      <c r="H1085" s="12">
        <v>420000</v>
      </c>
      <c r="I1085">
        <v>8</v>
      </c>
      <c r="J1085" t="s">
        <v>24</v>
      </c>
      <c r="K1085" s="12">
        <f t="shared" si="16"/>
        <v>336000</v>
      </c>
      <c r="L1085" s="12">
        <f>Sales_Data[[#This Row],[Unit Price]]*Sales_Data[[#This Row],[Quantity]]</f>
        <v>3360000</v>
      </c>
      <c r="M1085" s="12">
        <f>Sales_Data[[#This Row],[Cost Price]]*Sales_Data[[#This Row],[Quantity]]</f>
        <v>2688000</v>
      </c>
      <c r="N1085" s="12">
        <f>Sales_Data[[#This Row],[Revenue]]-Sales_Data[[#This Row],[COGS]]</f>
        <v>672000</v>
      </c>
    </row>
    <row r="1086" spans="1:14">
      <c r="A1086" s="1">
        <v>46760</v>
      </c>
      <c r="B1086" t="s">
        <v>11</v>
      </c>
      <c r="C1086" t="s">
        <v>19</v>
      </c>
      <c r="D1086" t="s">
        <v>23</v>
      </c>
      <c r="E1086" t="s">
        <v>14</v>
      </c>
      <c r="F1086" t="s">
        <v>27</v>
      </c>
      <c r="G1086" t="s">
        <v>22</v>
      </c>
      <c r="H1086" s="12">
        <v>60000</v>
      </c>
      <c r="I1086">
        <v>2</v>
      </c>
      <c r="J1086" t="s">
        <v>37</v>
      </c>
      <c r="K1086" s="12">
        <f t="shared" si="16"/>
        <v>48000</v>
      </c>
      <c r="L1086" s="12">
        <f>Sales_Data[[#This Row],[Unit Price]]*Sales_Data[[#This Row],[Quantity]]</f>
        <v>120000</v>
      </c>
      <c r="M1086" s="12">
        <f>Sales_Data[[#This Row],[Cost Price]]*Sales_Data[[#This Row],[Quantity]]</f>
        <v>96000</v>
      </c>
      <c r="N1086" s="12">
        <f>Sales_Data[[#This Row],[Revenue]]-Sales_Data[[#This Row],[COGS]]</f>
        <v>24000</v>
      </c>
    </row>
    <row r="1087" spans="1:14">
      <c r="A1087" s="1">
        <v>46761</v>
      </c>
      <c r="B1087" t="s">
        <v>25</v>
      </c>
      <c r="C1087" t="s">
        <v>26</v>
      </c>
      <c r="D1087" t="s">
        <v>23</v>
      </c>
      <c r="E1087" t="s">
        <v>20</v>
      </c>
      <c r="F1087" t="s">
        <v>15</v>
      </c>
      <c r="G1087" t="s">
        <v>16</v>
      </c>
      <c r="H1087" s="12">
        <v>85000</v>
      </c>
      <c r="I1087">
        <v>8</v>
      </c>
      <c r="J1087" t="s">
        <v>39</v>
      </c>
      <c r="K1087" s="12">
        <f t="shared" si="16"/>
        <v>68000</v>
      </c>
      <c r="L1087" s="12">
        <f>Sales_Data[[#This Row],[Unit Price]]*Sales_Data[[#This Row],[Quantity]]</f>
        <v>680000</v>
      </c>
      <c r="M1087" s="12">
        <f>Sales_Data[[#This Row],[Cost Price]]*Sales_Data[[#This Row],[Quantity]]</f>
        <v>544000</v>
      </c>
      <c r="N1087" s="12">
        <f>Sales_Data[[#This Row],[Revenue]]-Sales_Data[[#This Row],[COGS]]</f>
        <v>136000</v>
      </c>
    </row>
    <row r="1088" spans="1:14">
      <c r="A1088" s="1">
        <v>46762</v>
      </c>
      <c r="B1088" t="s">
        <v>11</v>
      </c>
      <c r="C1088" t="s">
        <v>12</v>
      </c>
      <c r="D1088" t="s">
        <v>13</v>
      </c>
      <c r="E1088" t="s">
        <v>20</v>
      </c>
      <c r="F1088" t="s">
        <v>38</v>
      </c>
      <c r="G1088" t="s">
        <v>31</v>
      </c>
      <c r="H1088" s="12">
        <v>420000</v>
      </c>
      <c r="I1088">
        <v>7</v>
      </c>
      <c r="J1088" t="s">
        <v>35</v>
      </c>
      <c r="K1088" s="12">
        <f t="shared" si="16"/>
        <v>336000</v>
      </c>
      <c r="L1088" s="12">
        <f>Sales_Data[[#This Row],[Unit Price]]*Sales_Data[[#This Row],[Quantity]]</f>
        <v>2940000</v>
      </c>
      <c r="M1088" s="12">
        <f>Sales_Data[[#This Row],[Cost Price]]*Sales_Data[[#This Row],[Quantity]]</f>
        <v>2352000</v>
      </c>
      <c r="N1088" s="12">
        <f>Sales_Data[[#This Row],[Revenue]]-Sales_Data[[#This Row],[COGS]]</f>
        <v>588000</v>
      </c>
    </row>
    <row r="1089" spans="1:14">
      <c r="A1089" s="1">
        <v>46763</v>
      </c>
      <c r="B1089" t="s">
        <v>18</v>
      </c>
      <c r="C1089" t="s">
        <v>32</v>
      </c>
      <c r="D1089" t="s">
        <v>13</v>
      </c>
      <c r="E1089" t="s">
        <v>20</v>
      </c>
      <c r="F1089" t="s">
        <v>30</v>
      </c>
      <c r="G1089" t="s">
        <v>31</v>
      </c>
      <c r="H1089" s="12">
        <v>300000</v>
      </c>
      <c r="I1089">
        <v>6</v>
      </c>
      <c r="J1089" t="s">
        <v>39</v>
      </c>
      <c r="K1089" s="12">
        <f t="shared" si="16"/>
        <v>240000</v>
      </c>
      <c r="L1089" s="12">
        <f>Sales_Data[[#This Row],[Unit Price]]*Sales_Data[[#This Row],[Quantity]]</f>
        <v>1800000</v>
      </c>
      <c r="M1089" s="12">
        <f>Sales_Data[[#This Row],[Cost Price]]*Sales_Data[[#This Row],[Quantity]]</f>
        <v>1440000</v>
      </c>
      <c r="N1089" s="12">
        <f>Sales_Data[[#This Row],[Revenue]]-Sales_Data[[#This Row],[COGS]]</f>
        <v>360000</v>
      </c>
    </row>
    <row r="1090" spans="1:14">
      <c r="A1090" s="1">
        <v>46764</v>
      </c>
      <c r="B1090" t="s">
        <v>29</v>
      </c>
      <c r="C1090" t="s">
        <v>12</v>
      </c>
      <c r="D1090" t="s">
        <v>13</v>
      </c>
      <c r="E1090" t="s">
        <v>14</v>
      </c>
      <c r="F1090" t="s">
        <v>38</v>
      </c>
      <c r="G1090" t="s">
        <v>31</v>
      </c>
      <c r="H1090" s="12">
        <v>420000</v>
      </c>
      <c r="I1090">
        <v>2</v>
      </c>
      <c r="J1090" t="s">
        <v>37</v>
      </c>
      <c r="K1090" s="12">
        <f t="shared" ref="K1090:K1153" si="17">H1090-H1090*0.2</f>
        <v>336000</v>
      </c>
      <c r="L1090" s="12">
        <f>Sales_Data[[#This Row],[Unit Price]]*Sales_Data[[#This Row],[Quantity]]</f>
        <v>840000</v>
      </c>
      <c r="M1090" s="12">
        <f>Sales_Data[[#This Row],[Cost Price]]*Sales_Data[[#This Row],[Quantity]]</f>
        <v>672000</v>
      </c>
      <c r="N1090" s="12">
        <f>Sales_Data[[#This Row],[Revenue]]-Sales_Data[[#This Row],[COGS]]</f>
        <v>168000</v>
      </c>
    </row>
    <row r="1091" spans="1:14">
      <c r="A1091" s="1">
        <v>46765</v>
      </c>
      <c r="B1091" t="s">
        <v>29</v>
      </c>
      <c r="C1091" t="s">
        <v>12</v>
      </c>
      <c r="D1091" t="s">
        <v>23</v>
      </c>
      <c r="E1091" t="s">
        <v>14</v>
      </c>
      <c r="F1091" t="s">
        <v>30</v>
      </c>
      <c r="G1091" t="s">
        <v>31</v>
      </c>
      <c r="H1091" s="12">
        <v>300000</v>
      </c>
      <c r="I1091">
        <v>8</v>
      </c>
      <c r="J1091" t="s">
        <v>35</v>
      </c>
      <c r="K1091" s="12">
        <f t="shared" si="17"/>
        <v>240000</v>
      </c>
      <c r="L1091" s="12">
        <f>Sales_Data[[#This Row],[Unit Price]]*Sales_Data[[#This Row],[Quantity]]</f>
        <v>2400000</v>
      </c>
      <c r="M1091" s="12">
        <f>Sales_Data[[#This Row],[Cost Price]]*Sales_Data[[#This Row],[Quantity]]</f>
        <v>1920000</v>
      </c>
      <c r="N1091" s="12">
        <f>Sales_Data[[#This Row],[Revenue]]-Sales_Data[[#This Row],[COGS]]</f>
        <v>480000</v>
      </c>
    </row>
    <row r="1092" spans="1:14">
      <c r="A1092" s="1">
        <v>46766</v>
      </c>
      <c r="B1092" t="s">
        <v>29</v>
      </c>
      <c r="C1092" t="s">
        <v>26</v>
      </c>
      <c r="D1092" t="s">
        <v>13</v>
      </c>
      <c r="E1092" t="s">
        <v>14</v>
      </c>
      <c r="F1092" t="s">
        <v>40</v>
      </c>
      <c r="G1092" t="s">
        <v>31</v>
      </c>
      <c r="H1092" s="12">
        <v>250000</v>
      </c>
      <c r="I1092">
        <v>5</v>
      </c>
      <c r="J1092" t="s">
        <v>35</v>
      </c>
      <c r="K1092" s="12">
        <f t="shared" si="17"/>
        <v>200000</v>
      </c>
      <c r="L1092" s="12">
        <f>Sales_Data[[#This Row],[Unit Price]]*Sales_Data[[#This Row],[Quantity]]</f>
        <v>1250000</v>
      </c>
      <c r="M1092" s="12">
        <f>Sales_Data[[#This Row],[Cost Price]]*Sales_Data[[#This Row],[Quantity]]</f>
        <v>1000000</v>
      </c>
      <c r="N1092" s="12">
        <f>Sales_Data[[#This Row],[Revenue]]-Sales_Data[[#This Row],[COGS]]</f>
        <v>250000</v>
      </c>
    </row>
    <row r="1093" spans="1:14">
      <c r="A1093" s="1">
        <v>46767</v>
      </c>
      <c r="B1093" t="s">
        <v>18</v>
      </c>
      <c r="C1093" t="s">
        <v>32</v>
      </c>
      <c r="D1093" t="s">
        <v>23</v>
      </c>
      <c r="E1093" t="s">
        <v>20</v>
      </c>
      <c r="F1093" t="s">
        <v>38</v>
      </c>
      <c r="G1093" t="s">
        <v>31</v>
      </c>
      <c r="H1093" s="12">
        <v>420000</v>
      </c>
      <c r="I1093">
        <v>5</v>
      </c>
      <c r="J1093" t="s">
        <v>35</v>
      </c>
      <c r="K1093" s="12">
        <f t="shared" si="17"/>
        <v>336000</v>
      </c>
      <c r="L1093" s="12">
        <f>Sales_Data[[#This Row],[Unit Price]]*Sales_Data[[#This Row],[Quantity]]</f>
        <v>2100000</v>
      </c>
      <c r="M1093" s="12">
        <f>Sales_Data[[#This Row],[Cost Price]]*Sales_Data[[#This Row],[Quantity]]</f>
        <v>1680000</v>
      </c>
      <c r="N1093" s="12">
        <f>Sales_Data[[#This Row],[Revenue]]-Sales_Data[[#This Row],[COGS]]</f>
        <v>420000</v>
      </c>
    </row>
    <row r="1094" spans="1:14">
      <c r="A1094" s="1">
        <v>46768</v>
      </c>
      <c r="B1094" t="s">
        <v>18</v>
      </c>
      <c r="C1094" t="s">
        <v>26</v>
      </c>
      <c r="D1094" t="s">
        <v>23</v>
      </c>
      <c r="E1094" t="s">
        <v>14</v>
      </c>
      <c r="F1094" t="s">
        <v>38</v>
      </c>
      <c r="G1094" t="s">
        <v>31</v>
      </c>
      <c r="H1094" s="12">
        <v>420000</v>
      </c>
      <c r="I1094">
        <v>10</v>
      </c>
      <c r="J1094" t="s">
        <v>24</v>
      </c>
      <c r="K1094" s="12">
        <f t="shared" si="17"/>
        <v>336000</v>
      </c>
      <c r="L1094" s="12">
        <f>Sales_Data[[#This Row],[Unit Price]]*Sales_Data[[#This Row],[Quantity]]</f>
        <v>4200000</v>
      </c>
      <c r="M1094" s="12">
        <f>Sales_Data[[#This Row],[Cost Price]]*Sales_Data[[#This Row],[Quantity]]</f>
        <v>3360000</v>
      </c>
      <c r="N1094" s="12">
        <f>Sales_Data[[#This Row],[Revenue]]-Sales_Data[[#This Row],[COGS]]</f>
        <v>840000</v>
      </c>
    </row>
    <row r="1095" spans="1:14">
      <c r="A1095" s="1">
        <v>46769</v>
      </c>
      <c r="B1095" t="s">
        <v>29</v>
      </c>
      <c r="C1095" t="s">
        <v>26</v>
      </c>
      <c r="D1095" t="s">
        <v>13</v>
      </c>
      <c r="E1095" t="s">
        <v>14</v>
      </c>
      <c r="F1095" t="s">
        <v>34</v>
      </c>
      <c r="G1095" t="s">
        <v>16</v>
      </c>
      <c r="H1095" s="12">
        <v>320000</v>
      </c>
      <c r="I1095">
        <v>1</v>
      </c>
      <c r="J1095" t="s">
        <v>28</v>
      </c>
      <c r="K1095" s="12">
        <f t="shared" si="17"/>
        <v>256000</v>
      </c>
      <c r="L1095" s="12">
        <f>Sales_Data[[#This Row],[Unit Price]]*Sales_Data[[#This Row],[Quantity]]</f>
        <v>320000</v>
      </c>
      <c r="M1095" s="12">
        <f>Sales_Data[[#This Row],[Cost Price]]*Sales_Data[[#This Row],[Quantity]]</f>
        <v>256000</v>
      </c>
      <c r="N1095" s="12">
        <f>Sales_Data[[#This Row],[Revenue]]-Sales_Data[[#This Row],[COGS]]</f>
        <v>64000</v>
      </c>
    </row>
    <row r="1096" spans="1:14">
      <c r="A1096" s="1">
        <v>46770</v>
      </c>
      <c r="B1096" t="s">
        <v>25</v>
      </c>
      <c r="C1096" t="s">
        <v>32</v>
      </c>
      <c r="D1096" t="s">
        <v>13</v>
      </c>
      <c r="E1096" t="s">
        <v>14</v>
      </c>
      <c r="F1096" t="s">
        <v>34</v>
      </c>
      <c r="G1096" t="s">
        <v>16</v>
      </c>
      <c r="H1096" s="12">
        <v>320000</v>
      </c>
      <c r="I1096">
        <v>1</v>
      </c>
      <c r="J1096" t="s">
        <v>35</v>
      </c>
      <c r="K1096" s="12">
        <f t="shared" si="17"/>
        <v>256000</v>
      </c>
      <c r="L1096" s="12">
        <f>Sales_Data[[#This Row],[Unit Price]]*Sales_Data[[#This Row],[Quantity]]</f>
        <v>320000</v>
      </c>
      <c r="M1096" s="12">
        <f>Sales_Data[[#This Row],[Cost Price]]*Sales_Data[[#This Row],[Quantity]]</f>
        <v>256000</v>
      </c>
      <c r="N1096" s="12">
        <f>Sales_Data[[#This Row],[Revenue]]-Sales_Data[[#This Row],[COGS]]</f>
        <v>64000</v>
      </c>
    </row>
    <row r="1097" spans="1:14">
      <c r="A1097" s="1">
        <v>46771</v>
      </c>
      <c r="B1097" t="s">
        <v>29</v>
      </c>
      <c r="C1097" t="s">
        <v>26</v>
      </c>
      <c r="D1097" t="s">
        <v>23</v>
      </c>
      <c r="E1097" t="s">
        <v>20</v>
      </c>
      <c r="F1097" t="s">
        <v>36</v>
      </c>
      <c r="G1097" t="s">
        <v>31</v>
      </c>
      <c r="H1097" s="12">
        <v>150000</v>
      </c>
      <c r="I1097">
        <v>1</v>
      </c>
      <c r="J1097" t="s">
        <v>39</v>
      </c>
      <c r="K1097" s="12">
        <f t="shared" si="17"/>
        <v>120000</v>
      </c>
      <c r="L1097" s="12">
        <f>Sales_Data[[#This Row],[Unit Price]]*Sales_Data[[#This Row],[Quantity]]</f>
        <v>150000</v>
      </c>
      <c r="M1097" s="12">
        <f>Sales_Data[[#This Row],[Cost Price]]*Sales_Data[[#This Row],[Quantity]]</f>
        <v>120000</v>
      </c>
      <c r="N1097" s="12">
        <f>Sales_Data[[#This Row],[Revenue]]-Sales_Data[[#This Row],[COGS]]</f>
        <v>30000</v>
      </c>
    </row>
    <row r="1098" spans="1:14">
      <c r="A1098" s="1">
        <v>46772</v>
      </c>
      <c r="B1098" t="s">
        <v>18</v>
      </c>
      <c r="C1098" t="s">
        <v>12</v>
      </c>
      <c r="D1098" t="s">
        <v>23</v>
      </c>
      <c r="E1098" t="s">
        <v>14</v>
      </c>
      <c r="F1098" t="s">
        <v>33</v>
      </c>
      <c r="G1098" t="s">
        <v>22</v>
      </c>
      <c r="H1098" s="12">
        <v>180000</v>
      </c>
      <c r="I1098">
        <v>10</v>
      </c>
      <c r="J1098" t="s">
        <v>28</v>
      </c>
      <c r="K1098" s="12">
        <f t="shared" si="17"/>
        <v>144000</v>
      </c>
      <c r="L1098" s="12">
        <f>Sales_Data[[#This Row],[Unit Price]]*Sales_Data[[#This Row],[Quantity]]</f>
        <v>1800000</v>
      </c>
      <c r="M1098" s="12">
        <f>Sales_Data[[#This Row],[Cost Price]]*Sales_Data[[#This Row],[Quantity]]</f>
        <v>1440000</v>
      </c>
      <c r="N1098" s="12">
        <f>Sales_Data[[#This Row],[Revenue]]-Sales_Data[[#This Row],[COGS]]</f>
        <v>360000</v>
      </c>
    </row>
    <row r="1099" spans="1:14">
      <c r="A1099" s="1">
        <v>46773</v>
      </c>
      <c r="B1099" t="s">
        <v>29</v>
      </c>
      <c r="C1099" t="s">
        <v>26</v>
      </c>
      <c r="D1099" t="s">
        <v>13</v>
      </c>
      <c r="E1099" t="s">
        <v>20</v>
      </c>
      <c r="F1099" t="s">
        <v>38</v>
      </c>
      <c r="G1099" t="s">
        <v>31</v>
      </c>
      <c r="H1099" s="12">
        <v>420000</v>
      </c>
      <c r="I1099">
        <v>3</v>
      </c>
      <c r="J1099" t="s">
        <v>24</v>
      </c>
      <c r="K1099" s="12">
        <f t="shared" si="17"/>
        <v>336000</v>
      </c>
      <c r="L1099" s="12">
        <f>Sales_Data[[#This Row],[Unit Price]]*Sales_Data[[#This Row],[Quantity]]</f>
        <v>1260000</v>
      </c>
      <c r="M1099" s="12">
        <f>Sales_Data[[#This Row],[Cost Price]]*Sales_Data[[#This Row],[Quantity]]</f>
        <v>1008000</v>
      </c>
      <c r="N1099" s="12">
        <f>Sales_Data[[#This Row],[Revenue]]-Sales_Data[[#This Row],[COGS]]</f>
        <v>252000</v>
      </c>
    </row>
    <row r="1100" spans="1:14">
      <c r="A1100" s="1">
        <v>46774</v>
      </c>
      <c r="B1100" t="s">
        <v>29</v>
      </c>
      <c r="C1100" t="s">
        <v>32</v>
      </c>
      <c r="D1100" t="s">
        <v>13</v>
      </c>
      <c r="E1100" t="s">
        <v>14</v>
      </c>
      <c r="F1100" t="s">
        <v>41</v>
      </c>
      <c r="G1100" t="s">
        <v>22</v>
      </c>
      <c r="H1100" s="12">
        <v>220000</v>
      </c>
      <c r="I1100">
        <v>10</v>
      </c>
      <c r="J1100" t="s">
        <v>39</v>
      </c>
      <c r="K1100" s="12">
        <f t="shared" si="17"/>
        <v>176000</v>
      </c>
      <c r="L1100" s="12">
        <f>Sales_Data[[#This Row],[Unit Price]]*Sales_Data[[#This Row],[Quantity]]</f>
        <v>2200000</v>
      </c>
      <c r="M1100" s="12">
        <f>Sales_Data[[#This Row],[Cost Price]]*Sales_Data[[#This Row],[Quantity]]</f>
        <v>1760000</v>
      </c>
      <c r="N1100" s="12">
        <f>Sales_Data[[#This Row],[Revenue]]-Sales_Data[[#This Row],[COGS]]</f>
        <v>440000</v>
      </c>
    </row>
    <row r="1101" spans="1:14">
      <c r="A1101" s="1">
        <v>46775</v>
      </c>
      <c r="B1101" t="s">
        <v>18</v>
      </c>
      <c r="C1101" t="s">
        <v>32</v>
      </c>
      <c r="D1101" t="s">
        <v>23</v>
      </c>
      <c r="E1101" t="s">
        <v>20</v>
      </c>
      <c r="F1101" t="s">
        <v>38</v>
      </c>
      <c r="G1101" t="s">
        <v>31</v>
      </c>
      <c r="H1101" s="12">
        <v>420000</v>
      </c>
      <c r="I1101">
        <v>9</v>
      </c>
      <c r="J1101" t="s">
        <v>35</v>
      </c>
      <c r="K1101" s="12">
        <f t="shared" si="17"/>
        <v>336000</v>
      </c>
      <c r="L1101" s="12">
        <f>Sales_Data[[#This Row],[Unit Price]]*Sales_Data[[#This Row],[Quantity]]</f>
        <v>3780000</v>
      </c>
      <c r="M1101" s="12">
        <f>Sales_Data[[#This Row],[Cost Price]]*Sales_Data[[#This Row],[Quantity]]</f>
        <v>3024000</v>
      </c>
      <c r="N1101" s="12">
        <f>Sales_Data[[#This Row],[Revenue]]-Sales_Data[[#This Row],[COGS]]</f>
        <v>756000</v>
      </c>
    </row>
    <row r="1102" spans="1:14">
      <c r="A1102" s="1">
        <v>46776</v>
      </c>
      <c r="B1102" t="s">
        <v>11</v>
      </c>
      <c r="C1102" t="s">
        <v>32</v>
      </c>
      <c r="D1102" t="s">
        <v>13</v>
      </c>
      <c r="E1102" t="s">
        <v>20</v>
      </c>
      <c r="F1102" t="s">
        <v>21</v>
      </c>
      <c r="G1102" t="s">
        <v>22</v>
      </c>
      <c r="H1102" s="12">
        <v>30000</v>
      </c>
      <c r="I1102">
        <v>6</v>
      </c>
      <c r="J1102" t="s">
        <v>39</v>
      </c>
      <c r="K1102" s="12">
        <f t="shared" si="17"/>
        <v>24000</v>
      </c>
      <c r="L1102" s="12">
        <f>Sales_Data[[#This Row],[Unit Price]]*Sales_Data[[#This Row],[Quantity]]</f>
        <v>180000</v>
      </c>
      <c r="M1102" s="12">
        <f>Sales_Data[[#This Row],[Cost Price]]*Sales_Data[[#This Row],[Quantity]]</f>
        <v>144000</v>
      </c>
      <c r="N1102" s="12">
        <f>Sales_Data[[#This Row],[Revenue]]-Sales_Data[[#This Row],[COGS]]</f>
        <v>36000</v>
      </c>
    </row>
    <row r="1103" spans="1:14">
      <c r="A1103" s="1">
        <v>46777</v>
      </c>
      <c r="B1103" t="s">
        <v>29</v>
      </c>
      <c r="C1103" t="s">
        <v>12</v>
      </c>
      <c r="D1103" t="s">
        <v>13</v>
      </c>
      <c r="E1103" t="s">
        <v>20</v>
      </c>
      <c r="F1103" t="s">
        <v>40</v>
      </c>
      <c r="G1103" t="s">
        <v>31</v>
      </c>
      <c r="H1103" s="12">
        <v>250000</v>
      </c>
      <c r="I1103">
        <v>10</v>
      </c>
      <c r="J1103" t="s">
        <v>24</v>
      </c>
      <c r="K1103" s="12">
        <f t="shared" si="17"/>
        <v>200000</v>
      </c>
      <c r="L1103" s="12">
        <f>Sales_Data[[#This Row],[Unit Price]]*Sales_Data[[#This Row],[Quantity]]</f>
        <v>2500000</v>
      </c>
      <c r="M1103" s="12">
        <f>Sales_Data[[#This Row],[Cost Price]]*Sales_Data[[#This Row],[Quantity]]</f>
        <v>2000000</v>
      </c>
      <c r="N1103" s="12">
        <f>Sales_Data[[#This Row],[Revenue]]-Sales_Data[[#This Row],[COGS]]</f>
        <v>500000</v>
      </c>
    </row>
    <row r="1104" spans="1:14">
      <c r="A1104" s="1">
        <v>46778</v>
      </c>
      <c r="B1104" t="s">
        <v>18</v>
      </c>
      <c r="C1104" t="s">
        <v>26</v>
      </c>
      <c r="D1104" t="s">
        <v>13</v>
      </c>
      <c r="E1104" t="s">
        <v>20</v>
      </c>
      <c r="F1104" t="s">
        <v>15</v>
      </c>
      <c r="G1104" t="s">
        <v>16</v>
      </c>
      <c r="H1104" s="12">
        <v>85000</v>
      </c>
      <c r="I1104">
        <v>6</v>
      </c>
      <c r="J1104" t="s">
        <v>39</v>
      </c>
      <c r="K1104" s="12">
        <f t="shared" si="17"/>
        <v>68000</v>
      </c>
      <c r="L1104" s="12">
        <f>Sales_Data[[#This Row],[Unit Price]]*Sales_Data[[#This Row],[Quantity]]</f>
        <v>510000</v>
      </c>
      <c r="M1104" s="12">
        <f>Sales_Data[[#This Row],[Cost Price]]*Sales_Data[[#This Row],[Quantity]]</f>
        <v>408000</v>
      </c>
      <c r="N1104" s="12">
        <f>Sales_Data[[#This Row],[Revenue]]-Sales_Data[[#This Row],[COGS]]</f>
        <v>102000</v>
      </c>
    </row>
    <row r="1105" spans="1:14">
      <c r="A1105" s="1">
        <v>46779</v>
      </c>
      <c r="B1105" t="s">
        <v>29</v>
      </c>
      <c r="C1105" t="s">
        <v>19</v>
      </c>
      <c r="D1105" t="s">
        <v>23</v>
      </c>
      <c r="E1105" t="s">
        <v>20</v>
      </c>
      <c r="F1105" t="s">
        <v>38</v>
      </c>
      <c r="G1105" t="s">
        <v>31</v>
      </c>
      <c r="H1105" s="12">
        <v>420000</v>
      </c>
      <c r="I1105">
        <v>3</v>
      </c>
      <c r="J1105" t="s">
        <v>37</v>
      </c>
      <c r="K1105" s="12">
        <f t="shared" si="17"/>
        <v>336000</v>
      </c>
      <c r="L1105" s="12">
        <f>Sales_Data[[#This Row],[Unit Price]]*Sales_Data[[#This Row],[Quantity]]</f>
        <v>1260000</v>
      </c>
      <c r="M1105" s="12">
        <f>Sales_Data[[#This Row],[Cost Price]]*Sales_Data[[#This Row],[Quantity]]</f>
        <v>1008000</v>
      </c>
      <c r="N1105" s="12">
        <f>Sales_Data[[#This Row],[Revenue]]-Sales_Data[[#This Row],[COGS]]</f>
        <v>252000</v>
      </c>
    </row>
    <row r="1106" spans="1:14">
      <c r="A1106" s="1">
        <v>46780</v>
      </c>
      <c r="B1106" t="s">
        <v>18</v>
      </c>
      <c r="C1106" t="s">
        <v>32</v>
      </c>
      <c r="D1106" t="s">
        <v>13</v>
      </c>
      <c r="E1106" t="s">
        <v>14</v>
      </c>
      <c r="F1106" t="s">
        <v>36</v>
      </c>
      <c r="G1106" t="s">
        <v>31</v>
      </c>
      <c r="H1106" s="12">
        <v>150000</v>
      </c>
      <c r="I1106">
        <v>8</v>
      </c>
      <c r="J1106" t="s">
        <v>17</v>
      </c>
      <c r="K1106" s="12">
        <f t="shared" si="17"/>
        <v>120000</v>
      </c>
      <c r="L1106" s="12">
        <f>Sales_Data[[#This Row],[Unit Price]]*Sales_Data[[#This Row],[Quantity]]</f>
        <v>1200000</v>
      </c>
      <c r="M1106" s="12">
        <f>Sales_Data[[#This Row],[Cost Price]]*Sales_Data[[#This Row],[Quantity]]</f>
        <v>960000</v>
      </c>
      <c r="N1106" s="12">
        <f>Sales_Data[[#This Row],[Revenue]]-Sales_Data[[#This Row],[COGS]]</f>
        <v>240000</v>
      </c>
    </row>
    <row r="1107" spans="1:14">
      <c r="A1107" s="1">
        <v>46781</v>
      </c>
      <c r="B1107" t="s">
        <v>11</v>
      </c>
      <c r="C1107" t="s">
        <v>19</v>
      </c>
      <c r="D1107" t="s">
        <v>23</v>
      </c>
      <c r="E1107" t="s">
        <v>14</v>
      </c>
      <c r="F1107" t="s">
        <v>27</v>
      </c>
      <c r="G1107" t="s">
        <v>22</v>
      </c>
      <c r="H1107" s="12">
        <v>60000</v>
      </c>
      <c r="I1107">
        <v>5</v>
      </c>
      <c r="J1107" t="s">
        <v>35</v>
      </c>
      <c r="K1107" s="12">
        <f t="shared" si="17"/>
        <v>48000</v>
      </c>
      <c r="L1107" s="12">
        <f>Sales_Data[[#This Row],[Unit Price]]*Sales_Data[[#This Row],[Quantity]]</f>
        <v>300000</v>
      </c>
      <c r="M1107" s="12">
        <f>Sales_Data[[#This Row],[Cost Price]]*Sales_Data[[#This Row],[Quantity]]</f>
        <v>240000</v>
      </c>
      <c r="N1107" s="12">
        <f>Sales_Data[[#This Row],[Revenue]]-Sales_Data[[#This Row],[COGS]]</f>
        <v>60000</v>
      </c>
    </row>
    <row r="1108" spans="1:14">
      <c r="A1108" s="1">
        <v>46782</v>
      </c>
      <c r="B1108" t="s">
        <v>11</v>
      </c>
      <c r="C1108" t="s">
        <v>26</v>
      </c>
      <c r="D1108" t="s">
        <v>23</v>
      </c>
      <c r="E1108" t="s">
        <v>20</v>
      </c>
      <c r="F1108" t="s">
        <v>34</v>
      </c>
      <c r="G1108" t="s">
        <v>16</v>
      </c>
      <c r="H1108" s="12">
        <v>320000</v>
      </c>
      <c r="I1108">
        <v>9</v>
      </c>
      <c r="J1108" t="s">
        <v>37</v>
      </c>
      <c r="K1108" s="12">
        <f t="shared" si="17"/>
        <v>256000</v>
      </c>
      <c r="L1108" s="12">
        <f>Sales_Data[[#This Row],[Unit Price]]*Sales_Data[[#This Row],[Quantity]]</f>
        <v>2880000</v>
      </c>
      <c r="M1108" s="12">
        <f>Sales_Data[[#This Row],[Cost Price]]*Sales_Data[[#This Row],[Quantity]]</f>
        <v>2304000</v>
      </c>
      <c r="N1108" s="12">
        <f>Sales_Data[[#This Row],[Revenue]]-Sales_Data[[#This Row],[COGS]]</f>
        <v>576000</v>
      </c>
    </row>
    <row r="1109" spans="1:14">
      <c r="A1109" s="1">
        <v>46783</v>
      </c>
      <c r="B1109" t="s">
        <v>11</v>
      </c>
      <c r="C1109" t="s">
        <v>19</v>
      </c>
      <c r="D1109" t="s">
        <v>23</v>
      </c>
      <c r="E1109" t="s">
        <v>14</v>
      </c>
      <c r="F1109" t="s">
        <v>38</v>
      </c>
      <c r="G1109" t="s">
        <v>31</v>
      </c>
      <c r="H1109" s="12">
        <v>420000</v>
      </c>
      <c r="I1109">
        <v>5</v>
      </c>
      <c r="J1109" t="s">
        <v>17</v>
      </c>
      <c r="K1109" s="12">
        <f t="shared" si="17"/>
        <v>336000</v>
      </c>
      <c r="L1109" s="12">
        <f>Sales_Data[[#This Row],[Unit Price]]*Sales_Data[[#This Row],[Quantity]]</f>
        <v>2100000</v>
      </c>
      <c r="M1109" s="12">
        <f>Sales_Data[[#This Row],[Cost Price]]*Sales_Data[[#This Row],[Quantity]]</f>
        <v>1680000</v>
      </c>
      <c r="N1109" s="12">
        <f>Sales_Data[[#This Row],[Revenue]]-Sales_Data[[#This Row],[COGS]]</f>
        <v>420000</v>
      </c>
    </row>
    <row r="1110" spans="1:14">
      <c r="A1110" s="1">
        <v>46784</v>
      </c>
      <c r="B1110" t="s">
        <v>29</v>
      </c>
      <c r="C1110" t="s">
        <v>19</v>
      </c>
      <c r="D1110" t="s">
        <v>23</v>
      </c>
      <c r="E1110" t="s">
        <v>14</v>
      </c>
      <c r="F1110" t="s">
        <v>27</v>
      </c>
      <c r="G1110" t="s">
        <v>22</v>
      </c>
      <c r="H1110" s="12">
        <v>60000</v>
      </c>
      <c r="I1110">
        <v>9</v>
      </c>
      <c r="J1110" t="s">
        <v>28</v>
      </c>
      <c r="K1110" s="12">
        <f t="shared" si="17"/>
        <v>48000</v>
      </c>
      <c r="L1110" s="12">
        <f>Sales_Data[[#This Row],[Unit Price]]*Sales_Data[[#This Row],[Quantity]]</f>
        <v>540000</v>
      </c>
      <c r="M1110" s="12">
        <f>Sales_Data[[#This Row],[Cost Price]]*Sales_Data[[#This Row],[Quantity]]</f>
        <v>432000</v>
      </c>
      <c r="N1110" s="12">
        <f>Sales_Data[[#This Row],[Revenue]]-Sales_Data[[#This Row],[COGS]]</f>
        <v>108000</v>
      </c>
    </row>
    <row r="1111" spans="1:14">
      <c r="A1111" s="1">
        <v>46785</v>
      </c>
      <c r="B1111" t="s">
        <v>25</v>
      </c>
      <c r="C1111" t="s">
        <v>19</v>
      </c>
      <c r="D1111" t="s">
        <v>13</v>
      </c>
      <c r="E1111" t="s">
        <v>14</v>
      </c>
      <c r="F1111" t="s">
        <v>38</v>
      </c>
      <c r="G1111" t="s">
        <v>31</v>
      </c>
      <c r="H1111" s="12">
        <v>420000</v>
      </c>
      <c r="I1111">
        <v>1</v>
      </c>
      <c r="J1111" t="s">
        <v>39</v>
      </c>
      <c r="K1111" s="12">
        <f t="shared" si="17"/>
        <v>336000</v>
      </c>
      <c r="L1111" s="12">
        <f>Sales_Data[[#This Row],[Unit Price]]*Sales_Data[[#This Row],[Quantity]]</f>
        <v>420000</v>
      </c>
      <c r="M1111" s="12">
        <f>Sales_Data[[#This Row],[Cost Price]]*Sales_Data[[#This Row],[Quantity]]</f>
        <v>336000</v>
      </c>
      <c r="N1111" s="12">
        <f>Sales_Data[[#This Row],[Revenue]]-Sales_Data[[#This Row],[COGS]]</f>
        <v>84000</v>
      </c>
    </row>
    <row r="1112" spans="1:14">
      <c r="A1112" s="1">
        <v>46786</v>
      </c>
      <c r="B1112" t="s">
        <v>18</v>
      </c>
      <c r="C1112" t="s">
        <v>32</v>
      </c>
      <c r="D1112" t="s">
        <v>13</v>
      </c>
      <c r="E1112" t="s">
        <v>14</v>
      </c>
      <c r="F1112" t="s">
        <v>36</v>
      </c>
      <c r="G1112" t="s">
        <v>31</v>
      </c>
      <c r="H1112" s="12">
        <v>150000</v>
      </c>
      <c r="I1112">
        <v>9</v>
      </c>
      <c r="J1112" t="s">
        <v>37</v>
      </c>
      <c r="K1112" s="12">
        <f t="shared" si="17"/>
        <v>120000</v>
      </c>
      <c r="L1112" s="12">
        <f>Sales_Data[[#This Row],[Unit Price]]*Sales_Data[[#This Row],[Quantity]]</f>
        <v>1350000</v>
      </c>
      <c r="M1112" s="12">
        <f>Sales_Data[[#This Row],[Cost Price]]*Sales_Data[[#This Row],[Quantity]]</f>
        <v>1080000</v>
      </c>
      <c r="N1112" s="12">
        <f>Sales_Data[[#This Row],[Revenue]]-Sales_Data[[#This Row],[COGS]]</f>
        <v>270000</v>
      </c>
    </row>
    <row r="1113" spans="1:14">
      <c r="A1113" s="1">
        <v>46787</v>
      </c>
      <c r="B1113" t="s">
        <v>25</v>
      </c>
      <c r="C1113" t="s">
        <v>32</v>
      </c>
      <c r="D1113" t="s">
        <v>23</v>
      </c>
      <c r="E1113" t="s">
        <v>20</v>
      </c>
      <c r="F1113" t="s">
        <v>41</v>
      </c>
      <c r="G1113" t="s">
        <v>22</v>
      </c>
      <c r="H1113" s="12">
        <v>220000</v>
      </c>
      <c r="I1113">
        <v>7</v>
      </c>
      <c r="J1113" t="s">
        <v>17</v>
      </c>
      <c r="K1113" s="12">
        <f t="shared" si="17"/>
        <v>176000</v>
      </c>
      <c r="L1113" s="12">
        <f>Sales_Data[[#This Row],[Unit Price]]*Sales_Data[[#This Row],[Quantity]]</f>
        <v>1540000</v>
      </c>
      <c r="M1113" s="12">
        <f>Sales_Data[[#This Row],[Cost Price]]*Sales_Data[[#This Row],[Quantity]]</f>
        <v>1232000</v>
      </c>
      <c r="N1113" s="12">
        <f>Sales_Data[[#This Row],[Revenue]]-Sales_Data[[#This Row],[COGS]]</f>
        <v>308000</v>
      </c>
    </row>
    <row r="1114" spans="1:14">
      <c r="A1114" s="1">
        <v>46788</v>
      </c>
      <c r="B1114" t="s">
        <v>29</v>
      </c>
      <c r="C1114" t="s">
        <v>12</v>
      </c>
      <c r="D1114" t="s">
        <v>13</v>
      </c>
      <c r="E1114" t="s">
        <v>20</v>
      </c>
      <c r="F1114" t="s">
        <v>34</v>
      </c>
      <c r="G1114" t="s">
        <v>16</v>
      </c>
      <c r="H1114" s="12">
        <v>320000</v>
      </c>
      <c r="I1114">
        <v>3</v>
      </c>
      <c r="J1114" t="s">
        <v>35</v>
      </c>
      <c r="K1114" s="12">
        <f t="shared" si="17"/>
        <v>256000</v>
      </c>
      <c r="L1114" s="12">
        <f>Sales_Data[[#This Row],[Unit Price]]*Sales_Data[[#This Row],[Quantity]]</f>
        <v>960000</v>
      </c>
      <c r="M1114" s="12">
        <f>Sales_Data[[#This Row],[Cost Price]]*Sales_Data[[#This Row],[Quantity]]</f>
        <v>768000</v>
      </c>
      <c r="N1114" s="12">
        <f>Sales_Data[[#This Row],[Revenue]]-Sales_Data[[#This Row],[COGS]]</f>
        <v>192000</v>
      </c>
    </row>
    <row r="1115" spans="1:14">
      <c r="A1115" s="1">
        <v>46789</v>
      </c>
      <c r="B1115" t="s">
        <v>25</v>
      </c>
      <c r="C1115" t="s">
        <v>19</v>
      </c>
      <c r="D1115" t="s">
        <v>23</v>
      </c>
      <c r="E1115" t="s">
        <v>14</v>
      </c>
      <c r="F1115" t="s">
        <v>34</v>
      </c>
      <c r="G1115" t="s">
        <v>16</v>
      </c>
      <c r="H1115" s="12">
        <v>320000</v>
      </c>
      <c r="I1115">
        <v>8</v>
      </c>
      <c r="J1115" t="s">
        <v>37</v>
      </c>
      <c r="K1115" s="12">
        <f t="shared" si="17"/>
        <v>256000</v>
      </c>
      <c r="L1115" s="12">
        <f>Sales_Data[[#This Row],[Unit Price]]*Sales_Data[[#This Row],[Quantity]]</f>
        <v>2560000</v>
      </c>
      <c r="M1115" s="12">
        <f>Sales_Data[[#This Row],[Cost Price]]*Sales_Data[[#This Row],[Quantity]]</f>
        <v>2048000</v>
      </c>
      <c r="N1115" s="12">
        <f>Sales_Data[[#This Row],[Revenue]]-Sales_Data[[#This Row],[COGS]]</f>
        <v>512000</v>
      </c>
    </row>
    <row r="1116" spans="1:14">
      <c r="A1116" s="1">
        <v>46790</v>
      </c>
      <c r="B1116" t="s">
        <v>25</v>
      </c>
      <c r="C1116" t="s">
        <v>26</v>
      </c>
      <c r="D1116" t="s">
        <v>23</v>
      </c>
      <c r="E1116" t="s">
        <v>14</v>
      </c>
      <c r="F1116" t="s">
        <v>36</v>
      </c>
      <c r="G1116" t="s">
        <v>31</v>
      </c>
      <c r="H1116" s="12">
        <v>150000</v>
      </c>
      <c r="I1116">
        <v>3</v>
      </c>
      <c r="J1116" t="s">
        <v>37</v>
      </c>
      <c r="K1116" s="12">
        <f t="shared" si="17"/>
        <v>120000</v>
      </c>
      <c r="L1116" s="12">
        <f>Sales_Data[[#This Row],[Unit Price]]*Sales_Data[[#This Row],[Quantity]]</f>
        <v>450000</v>
      </c>
      <c r="M1116" s="12">
        <f>Sales_Data[[#This Row],[Cost Price]]*Sales_Data[[#This Row],[Quantity]]</f>
        <v>360000</v>
      </c>
      <c r="N1116" s="12">
        <f>Sales_Data[[#This Row],[Revenue]]-Sales_Data[[#This Row],[COGS]]</f>
        <v>90000</v>
      </c>
    </row>
    <row r="1117" spans="1:14">
      <c r="A1117" s="1">
        <v>46791</v>
      </c>
      <c r="B1117" t="s">
        <v>11</v>
      </c>
      <c r="C1117" t="s">
        <v>32</v>
      </c>
      <c r="D1117" t="s">
        <v>13</v>
      </c>
      <c r="E1117" t="s">
        <v>14</v>
      </c>
      <c r="F1117" t="s">
        <v>40</v>
      </c>
      <c r="G1117" t="s">
        <v>31</v>
      </c>
      <c r="H1117" s="12">
        <v>250000</v>
      </c>
      <c r="I1117">
        <v>9</v>
      </c>
      <c r="J1117" t="s">
        <v>17</v>
      </c>
      <c r="K1117" s="12">
        <f t="shared" si="17"/>
        <v>200000</v>
      </c>
      <c r="L1117" s="12">
        <f>Sales_Data[[#This Row],[Unit Price]]*Sales_Data[[#This Row],[Quantity]]</f>
        <v>2250000</v>
      </c>
      <c r="M1117" s="12">
        <f>Sales_Data[[#This Row],[Cost Price]]*Sales_Data[[#This Row],[Quantity]]</f>
        <v>1800000</v>
      </c>
      <c r="N1117" s="12">
        <f>Sales_Data[[#This Row],[Revenue]]-Sales_Data[[#This Row],[COGS]]</f>
        <v>450000</v>
      </c>
    </row>
    <row r="1118" spans="1:14">
      <c r="A1118" s="1">
        <v>46792</v>
      </c>
      <c r="B1118" t="s">
        <v>11</v>
      </c>
      <c r="C1118" t="s">
        <v>19</v>
      </c>
      <c r="D1118" t="s">
        <v>13</v>
      </c>
      <c r="E1118" t="s">
        <v>20</v>
      </c>
      <c r="F1118" t="s">
        <v>38</v>
      </c>
      <c r="G1118" t="s">
        <v>31</v>
      </c>
      <c r="H1118" s="12">
        <v>420000</v>
      </c>
      <c r="I1118">
        <v>7</v>
      </c>
      <c r="J1118" t="s">
        <v>28</v>
      </c>
      <c r="K1118" s="12">
        <f t="shared" si="17"/>
        <v>336000</v>
      </c>
      <c r="L1118" s="12">
        <f>Sales_Data[[#This Row],[Unit Price]]*Sales_Data[[#This Row],[Quantity]]</f>
        <v>2940000</v>
      </c>
      <c r="M1118" s="12">
        <f>Sales_Data[[#This Row],[Cost Price]]*Sales_Data[[#This Row],[Quantity]]</f>
        <v>2352000</v>
      </c>
      <c r="N1118" s="12">
        <f>Sales_Data[[#This Row],[Revenue]]-Sales_Data[[#This Row],[COGS]]</f>
        <v>588000</v>
      </c>
    </row>
    <row r="1119" spans="1:14">
      <c r="A1119" s="1">
        <v>46793</v>
      </c>
      <c r="B1119" t="s">
        <v>11</v>
      </c>
      <c r="C1119" t="s">
        <v>12</v>
      </c>
      <c r="D1119" t="s">
        <v>23</v>
      </c>
      <c r="E1119" t="s">
        <v>20</v>
      </c>
      <c r="F1119" t="s">
        <v>40</v>
      </c>
      <c r="G1119" t="s">
        <v>31</v>
      </c>
      <c r="H1119" s="12">
        <v>250000</v>
      </c>
      <c r="I1119">
        <v>10</v>
      </c>
      <c r="J1119" t="s">
        <v>24</v>
      </c>
      <c r="K1119" s="12">
        <f t="shared" si="17"/>
        <v>200000</v>
      </c>
      <c r="L1119" s="12">
        <f>Sales_Data[[#This Row],[Unit Price]]*Sales_Data[[#This Row],[Quantity]]</f>
        <v>2500000</v>
      </c>
      <c r="M1119" s="12">
        <f>Sales_Data[[#This Row],[Cost Price]]*Sales_Data[[#This Row],[Quantity]]</f>
        <v>2000000</v>
      </c>
      <c r="N1119" s="12">
        <f>Sales_Data[[#This Row],[Revenue]]-Sales_Data[[#This Row],[COGS]]</f>
        <v>500000</v>
      </c>
    </row>
    <row r="1120" spans="1:14">
      <c r="A1120" s="1">
        <v>46794</v>
      </c>
      <c r="B1120" t="s">
        <v>18</v>
      </c>
      <c r="C1120" t="s">
        <v>26</v>
      </c>
      <c r="D1120" t="s">
        <v>13</v>
      </c>
      <c r="E1120" t="s">
        <v>14</v>
      </c>
      <c r="F1120" t="s">
        <v>27</v>
      </c>
      <c r="G1120" t="s">
        <v>22</v>
      </c>
      <c r="H1120" s="12">
        <v>60000</v>
      </c>
      <c r="I1120">
        <v>4</v>
      </c>
      <c r="J1120" t="s">
        <v>24</v>
      </c>
      <c r="K1120" s="12">
        <f t="shared" si="17"/>
        <v>48000</v>
      </c>
      <c r="L1120" s="12">
        <f>Sales_Data[[#This Row],[Unit Price]]*Sales_Data[[#This Row],[Quantity]]</f>
        <v>240000</v>
      </c>
      <c r="M1120" s="12">
        <f>Sales_Data[[#This Row],[Cost Price]]*Sales_Data[[#This Row],[Quantity]]</f>
        <v>192000</v>
      </c>
      <c r="N1120" s="12">
        <f>Sales_Data[[#This Row],[Revenue]]-Sales_Data[[#This Row],[COGS]]</f>
        <v>48000</v>
      </c>
    </row>
    <row r="1121" spans="1:14">
      <c r="A1121" s="1">
        <v>46795</v>
      </c>
      <c r="B1121" t="s">
        <v>29</v>
      </c>
      <c r="C1121" t="s">
        <v>19</v>
      </c>
      <c r="D1121" t="s">
        <v>13</v>
      </c>
      <c r="E1121" t="s">
        <v>14</v>
      </c>
      <c r="F1121" t="s">
        <v>40</v>
      </c>
      <c r="G1121" t="s">
        <v>31</v>
      </c>
      <c r="H1121" s="12">
        <v>250000</v>
      </c>
      <c r="I1121">
        <v>4</v>
      </c>
      <c r="J1121" t="s">
        <v>17</v>
      </c>
      <c r="K1121" s="12">
        <f t="shared" si="17"/>
        <v>200000</v>
      </c>
      <c r="L1121" s="12">
        <f>Sales_Data[[#This Row],[Unit Price]]*Sales_Data[[#This Row],[Quantity]]</f>
        <v>1000000</v>
      </c>
      <c r="M1121" s="12">
        <f>Sales_Data[[#This Row],[Cost Price]]*Sales_Data[[#This Row],[Quantity]]</f>
        <v>800000</v>
      </c>
      <c r="N1121" s="12">
        <f>Sales_Data[[#This Row],[Revenue]]-Sales_Data[[#This Row],[COGS]]</f>
        <v>200000</v>
      </c>
    </row>
    <row r="1122" spans="1:14">
      <c r="A1122" s="1">
        <v>46796</v>
      </c>
      <c r="B1122" t="s">
        <v>29</v>
      </c>
      <c r="C1122" t="s">
        <v>12</v>
      </c>
      <c r="D1122" t="s">
        <v>13</v>
      </c>
      <c r="E1122" t="s">
        <v>14</v>
      </c>
      <c r="F1122" t="s">
        <v>30</v>
      </c>
      <c r="G1122" t="s">
        <v>31</v>
      </c>
      <c r="H1122" s="12">
        <v>300000</v>
      </c>
      <c r="I1122">
        <v>3</v>
      </c>
      <c r="J1122" t="s">
        <v>39</v>
      </c>
      <c r="K1122" s="12">
        <f t="shared" si="17"/>
        <v>240000</v>
      </c>
      <c r="L1122" s="12">
        <f>Sales_Data[[#This Row],[Unit Price]]*Sales_Data[[#This Row],[Quantity]]</f>
        <v>900000</v>
      </c>
      <c r="M1122" s="12">
        <f>Sales_Data[[#This Row],[Cost Price]]*Sales_Data[[#This Row],[Quantity]]</f>
        <v>720000</v>
      </c>
      <c r="N1122" s="12">
        <f>Sales_Data[[#This Row],[Revenue]]-Sales_Data[[#This Row],[COGS]]</f>
        <v>180000</v>
      </c>
    </row>
    <row r="1123" spans="1:14">
      <c r="A1123" s="1">
        <v>46797</v>
      </c>
      <c r="B1123" t="s">
        <v>25</v>
      </c>
      <c r="C1123" t="s">
        <v>19</v>
      </c>
      <c r="D1123" t="s">
        <v>23</v>
      </c>
      <c r="E1123" t="s">
        <v>14</v>
      </c>
      <c r="F1123" t="s">
        <v>38</v>
      </c>
      <c r="G1123" t="s">
        <v>31</v>
      </c>
      <c r="H1123" s="12">
        <v>420000</v>
      </c>
      <c r="I1123">
        <v>9</v>
      </c>
      <c r="J1123" t="s">
        <v>37</v>
      </c>
      <c r="K1123" s="12">
        <f t="shared" si="17"/>
        <v>336000</v>
      </c>
      <c r="L1123" s="12">
        <f>Sales_Data[[#This Row],[Unit Price]]*Sales_Data[[#This Row],[Quantity]]</f>
        <v>3780000</v>
      </c>
      <c r="M1123" s="12">
        <f>Sales_Data[[#This Row],[Cost Price]]*Sales_Data[[#This Row],[Quantity]]</f>
        <v>3024000</v>
      </c>
      <c r="N1123" s="12">
        <f>Sales_Data[[#This Row],[Revenue]]-Sales_Data[[#This Row],[COGS]]</f>
        <v>756000</v>
      </c>
    </row>
    <row r="1124" spans="1:14">
      <c r="A1124" s="1">
        <v>46798</v>
      </c>
      <c r="B1124" t="s">
        <v>25</v>
      </c>
      <c r="C1124" t="s">
        <v>19</v>
      </c>
      <c r="D1124" t="s">
        <v>23</v>
      </c>
      <c r="E1124" t="s">
        <v>14</v>
      </c>
      <c r="F1124" t="s">
        <v>38</v>
      </c>
      <c r="G1124" t="s">
        <v>31</v>
      </c>
      <c r="H1124" s="12">
        <v>420000</v>
      </c>
      <c r="I1124">
        <v>7</v>
      </c>
      <c r="J1124" t="s">
        <v>28</v>
      </c>
      <c r="K1124" s="12">
        <f t="shared" si="17"/>
        <v>336000</v>
      </c>
      <c r="L1124" s="12">
        <f>Sales_Data[[#This Row],[Unit Price]]*Sales_Data[[#This Row],[Quantity]]</f>
        <v>2940000</v>
      </c>
      <c r="M1124" s="12">
        <f>Sales_Data[[#This Row],[Cost Price]]*Sales_Data[[#This Row],[Quantity]]</f>
        <v>2352000</v>
      </c>
      <c r="N1124" s="12">
        <f>Sales_Data[[#This Row],[Revenue]]-Sales_Data[[#This Row],[COGS]]</f>
        <v>588000</v>
      </c>
    </row>
    <row r="1125" spans="1:14">
      <c r="A1125" s="1">
        <v>46799</v>
      </c>
      <c r="B1125" t="s">
        <v>18</v>
      </c>
      <c r="C1125" t="s">
        <v>26</v>
      </c>
      <c r="D1125" t="s">
        <v>13</v>
      </c>
      <c r="E1125" t="s">
        <v>14</v>
      </c>
      <c r="F1125" t="s">
        <v>41</v>
      </c>
      <c r="G1125" t="s">
        <v>22</v>
      </c>
      <c r="H1125" s="12">
        <v>220000</v>
      </c>
      <c r="I1125">
        <v>9</v>
      </c>
      <c r="J1125" t="s">
        <v>39</v>
      </c>
      <c r="K1125" s="12">
        <f t="shared" si="17"/>
        <v>176000</v>
      </c>
      <c r="L1125" s="12">
        <f>Sales_Data[[#This Row],[Unit Price]]*Sales_Data[[#This Row],[Quantity]]</f>
        <v>1980000</v>
      </c>
      <c r="M1125" s="12">
        <f>Sales_Data[[#This Row],[Cost Price]]*Sales_Data[[#This Row],[Quantity]]</f>
        <v>1584000</v>
      </c>
      <c r="N1125" s="12">
        <f>Sales_Data[[#This Row],[Revenue]]-Sales_Data[[#This Row],[COGS]]</f>
        <v>396000</v>
      </c>
    </row>
    <row r="1126" spans="1:14">
      <c r="A1126" s="1">
        <v>46800</v>
      </c>
      <c r="B1126" t="s">
        <v>18</v>
      </c>
      <c r="C1126" t="s">
        <v>32</v>
      </c>
      <c r="D1126" t="s">
        <v>23</v>
      </c>
      <c r="E1126" t="s">
        <v>14</v>
      </c>
      <c r="F1126" t="s">
        <v>15</v>
      </c>
      <c r="G1126" t="s">
        <v>16</v>
      </c>
      <c r="H1126" s="12">
        <v>85000</v>
      </c>
      <c r="I1126">
        <v>8</v>
      </c>
      <c r="J1126" t="s">
        <v>28</v>
      </c>
      <c r="K1126" s="12">
        <f t="shared" si="17"/>
        <v>68000</v>
      </c>
      <c r="L1126" s="12">
        <f>Sales_Data[[#This Row],[Unit Price]]*Sales_Data[[#This Row],[Quantity]]</f>
        <v>680000</v>
      </c>
      <c r="M1126" s="12">
        <f>Sales_Data[[#This Row],[Cost Price]]*Sales_Data[[#This Row],[Quantity]]</f>
        <v>544000</v>
      </c>
      <c r="N1126" s="12">
        <f>Sales_Data[[#This Row],[Revenue]]-Sales_Data[[#This Row],[COGS]]</f>
        <v>136000</v>
      </c>
    </row>
    <row r="1127" spans="1:14">
      <c r="A1127" s="1">
        <v>46801</v>
      </c>
      <c r="B1127" t="s">
        <v>25</v>
      </c>
      <c r="C1127" t="s">
        <v>12</v>
      </c>
      <c r="D1127" t="s">
        <v>23</v>
      </c>
      <c r="E1127" t="s">
        <v>20</v>
      </c>
      <c r="F1127" t="s">
        <v>15</v>
      </c>
      <c r="G1127" t="s">
        <v>16</v>
      </c>
      <c r="H1127" s="12">
        <v>85000</v>
      </c>
      <c r="I1127">
        <v>5</v>
      </c>
      <c r="J1127" t="s">
        <v>35</v>
      </c>
      <c r="K1127" s="12">
        <f t="shared" si="17"/>
        <v>68000</v>
      </c>
      <c r="L1127" s="12">
        <f>Sales_Data[[#This Row],[Unit Price]]*Sales_Data[[#This Row],[Quantity]]</f>
        <v>425000</v>
      </c>
      <c r="M1127" s="12">
        <f>Sales_Data[[#This Row],[Cost Price]]*Sales_Data[[#This Row],[Quantity]]</f>
        <v>340000</v>
      </c>
      <c r="N1127" s="12">
        <f>Sales_Data[[#This Row],[Revenue]]-Sales_Data[[#This Row],[COGS]]</f>
        <v>85000</v>
      </c>
    </row>
    <row r="1128" spans="1:14">
      <c r="A1128" s="1">
        <v>46802</v>
      </c>
      <c r="B1128" t="s">
        <v>25</v>
      </c>
      <c r="C1128" t="s">
        <v>32</v>
      </c>
      <c r="D1128" t="s">
        <v>13</v>
      </c>
      <c r="E1128" t="s">
        <v>20</v>
      </c>
      <c r="F1128" t="s">
        <v>40</v>
      </c>
      <c r="G1128" t="s">
        <v>31</v>
      </c>
      <c r="H1128" s="12">
        <v>250000</v>
      </c>
      <c r="I1128">
        <v>6</v>
      </c>
      <c r="J1128" t="s">
        <v>39</v>
      </c>
      <c r="K1128" s="12">
        <f t="shared" si="17"/>
        <v>200000</v>
      </c>
      <c r="L1128" s="12">
        <f>Sales_Data[[#This Row],[Unit Price]]*Sales_Data[[#This Row],[Quantity]]</f>
        <v>1500000</v>
      </c>
      <c r="M1128" s="12">
        <f>Sales_Data[[#This Row],[Cost Price]]*Sales_Data[[#This Row],[Quantity]]</f>
        <v>1200000</v>
      </c>
      <c r="N1128" s="12">
        <f>Sales_Data[[#This Row],[Revenue]]-Sales_Data[[#This Row],[COGS]]</f>
        <v>300000</v>
      </c>
    </row>
    <row r="1129" spans="1:14">
      <c r="A1129" s="1">
        <v>46803</v>
      </c>
      <c r="B1129" t="s">
        <v>18</v>
      </c>
      <c r="C1129" t="s">
        <v>26</v>
      </c>
      <c r="D1129" t="s">
        <v>23</v>
      </c>
      <c r="E1129" t="s">
        <v>20</v>
      </c>
      <c r="F1129" t="s">
        <v>21</v>
      </c>
      <c r="G1129" t="s">
        <v>22</v>
      </c>
      <c r="H1129" s="12">
        <v>30000</v>
      </c>
      <c r="I1129">
        <v>8</v>
      </c>
      <c r="J1129" t="s">
        <v>39</v>
      </c>
      <c r="K1129" s="12">
        <f t="shared" si="17"/>
        <v>24000</v>
      </c>
      <c r="L1129" s="12">
        <f>Sales_Data[[#This Row],[Unit Price]]*Sales_Data[[#This Row],[Quantity]]</f>
        <v>240000</v>
      </c>
      <c r="M1129" s="12">
        <f>Sales_Data[[#This Row],[Cost Price]]*Sales_Data[[#This Row],[Quantity]]</f>
        <v>192000</v>
      </c>
      <c r="N1129" s="12">
        <f>Sales_Data[[#This Row],[Revenue]]-Sales_Data[[#This Row],[COGS]]</f>
        <v>48000</v>
      </c>
    </row>
    <row r="1130" spans="1:14">
      <c r="A1130" s="1">
        <v>46804</v>
      </c>
      <c r="B1130" t="s">
        <v>29</v>
      </c>
      <c r="C1130" t="s">
        <v>12</v>
      </c>
      <c r="D1130" t="s">
        <v>23</v>
      </c>
      <c r="E1130" t="s">
        <v>14</v>
      </c>
      <c r="F1130" t="s">
        <v>40</v>
      </c>
      <c r="G1130" t="s">
        <v>31</v>
      </c>
      <c r="H1130" s="12">
        <v>250000</v>
      </c>
      <c r="I1130">
        <v>6</v>
      </c>
      <c r="J1130" t="s">
        <v>37</v>
      </c>
      <c r="K1130" s="12">
        <f t="shared" si="17"/>
        <v>200000</v>
      </c>
      <c r="L1130" s="12">
        <f>Sales_Data[[#This Row],[Unit Price]]*Sales_Data[[#This Row],[Quantity]]</f>
        <v>1500000</v>
      </c>
      <c r="M1130" s="12">
        <f>Sales_Data[[#This Row],[Cost Price]]*Sales_Data[[#This Row],[Quantity]]</f>
        <v>1200000</v>
      </c>
      <c r="N1130" s="12">
        <f>Sales_Data[[#This Row],[Revenue]]-Sales_Data[[#This Row],[COGS]]</f>
        <v>300000</v>
      </c>
    </row>
    <row r="1131" spans="1:14">
      <c r="A1131" s="1">
        <v>46805</v>
      </c>
      <c r="B1131" t="s">
        <v>25</v>
      </c>
      <c r="C1131" t="s">
        <v>19</v>
      </c>
      <c r="D1131" t="s">
        <v>23</v>
      </c>
      <c r="E1131" t="s">
        <v>20</v>
      </c>
      <c r="F1131" t="s">
        <v>34</v>
      </c>
      <c r="G1131" t="s">
        <v>16</v>
      </c>
      <c r="H1131" s="12">
        <v>320000</v>
      </c>
      <c r="I1131">
        <v>10</v>
      </c>
      <c r="J1131" t="s">
        <v>35</v>
      </c>
      <c r="K1131" s="12">
        <f t="shared" si="17"/>
        <v>256000</v>
      </c>
      <c r="L1131" s="12">
        <f>Sales_Data[[#This Row],[Unit Price]]*Sales_Data[[#This Row],[Quantity]]</f>
        <v>3200000</v>
      </c>
      <c r="M1131" s="12">
        <f>Sales_Data[[#This Row],[Cost Price]]*Sales_Data[[#This Row],[Quantity]]</f>
        <v>2560000</v>
      </c>
      <c r="N1131" s="12">
        <f>Sales_Data[[#This Row],[Revenue]]-Sales_Data[[#This Row],[COGS]]</f>
        <v>640000</v>
      </c>
    </row>
    <row r="1132" spans="1:14">
      <c r="A1132" s="1">
        <v>46806</v>
      </c>
      <c r="B1132" t="s">
        <v>18</v>
      </c>
      <c r="C1132" t="s">
        <v>32</v>
      </c>
      <c r="D1132" t="s">
        <v>13</v>
      </c>
      <c r="E1132" t="s">
        <v>20</v>
      </c>
      <c r="F1132" t="s">
        <v>21</v>
      </c>
      <c r="G1132" t="s">
        <v>22</v>
      </c>
      <c r="H1132" s="12">
        <v>30000</v>
      </c>
      <c r="I1132">
        <v>4</v>
      </c>
      <c r="J1132" t="s">
        <v>35</v>
      </c>
      <c r="K1132" s="12">
        <f t="shared" si="17"/>
        <v>24000</v>
      </c>
      <c r="L1132" s="12">
        <f>Sales_Data[[#This Row],[Unit Price]]*Sales_Data[[#This Row],[Quantity]]</f>
        <v>120000</v>
      </c>
      <c r="M1132" s="12">
        <f>Sales_Data[[#This Row],[Cost Price]]*Sales_Data[[#This Row],[Quantity]]</f>
        <v>96000</v>
      </c>
      <c r="N1132" s="12">
        <f>Sales_Data[[#This Row],[Revenue]]-Sales_Data[[#This Row],[COGS]]</f>
        <v>24000</v>
      </c>
    </row>
    <row r="1133" spans="1:14">
      <c r="A1133" s="1">
        <v>46807</v>
      </c>
      <c r="B1133" t="s">
        <v>25</v>
      </c>
      <c r="C1133" t="s">
        <v>32</v>
      </c>
      <c r="D1133" t="s">
        <v>13</v>
      </c>
      <c r="E1133" t="s">
        <v>20</v>
      </c>
      <c r="F1133" t="s">
        <v>15</v>
      </c>
      <c r="G1133" t="s">
        <v>16</v>
      </c>
      <c r="H1133" s="12">
        <v>85000</v>
      </c>
      <c r="I1133">
        <v>10</v>
      </c>
      <c r="J1133" t="s">
        <v>17</v>
      </c>
      <c r="K1133" s="12">
        <f t="shared" si="17"/>
        <v>68000</v>
      </c>
      <c r="L1133" s="12">
        <f>Sales_Data[[#This Row],[Unit Price]]*Sales_Data[[#This Row],[Quantity]]</f>
        <v>850000</v>
      </c>
      <c r="M1133" s="12">
        <f>Sales_Data[[#This Row],[Cost Price]]*Sales_Data[[#This Row],[Quantity]]</f>
        <v>680000</v>
      </c>
      <c r="N1133" s="12">
        <f>Sales_Data[[#This Row],[Revenue]]-Sales_Data[[#This Row],[COGS]]</f>
        <v>170000</v>
      </c>
    </row>
    <row r="1134" spans="1:14">
      <c r="A1134" s="1">
        <v>46808</v>
      </c>
      <c r="B1134" t="s">
        <v>29</v>
      </c>
      <c r="C1134" t="s">
        <v>32</v>
      </c>
      <c r="D1134" t="s">
        <v>23</v>
      </c>
      <c r="E1134" t="s">
        <v>20</v>
      </c>
      <c r="F1134" t="s">
        <v>40</v>
      </c>
      <c r="G1134" t="s">
        <v>31</v>
      </c>
      <c r="H1134" s="12">
        <v>250000</v>
      </c>
      <c r="I1134">
        <v>6</v>
      </c>
      <c r="J1134" t="s">
        <v>28</v>
      </c>
      <c r="K1134" s="12">
        <f t="shared" si="17"/>
        <v>200000</v>
      </c>
      <c r="L1134" s="12">
        <f>Sales_Data[[#This Row],[Unit Price]]*Sales_Data[[#This Row],[Quantity]]</f>
        <v>1500000</v>
      </c>
      <c r="M1134" s="12">
        <f>Sales_Data[[#This Row],[Cost Price]]*Sales_Data[[#This Row],[Quantity]]</f>
        <v>1200000</v>
      </c>
      <c r="N1134" s="12">
        <f>Sales_Data[[#This Row],[Revenue]]-Sales_Data[[#This Row],[COGS]]</f>
        <v>300000</v>
      </c>
    </row>
    <row r="1135" spans="1:14">
      <c r="A1135" s="1">
        <v>46809</v>
      </c>
      <c r="B1135" t="s">
        <v>25</v>
      </c>
      <c r="C1135" t="s">
        <v>19</v>
      </c>
      <c r="D1135" t="s">
        <v>13</v>
      </c>
      <c r="E1135" t="s">
        <v>20</v>
      </c>
      <c r="F1135" t="s">
        <v>27</v>
      </c>
      <c r="G1135" t="s">
        <v>22</v>
      </c>
      <c r="H1135" s="12">
        <v>60000</v>
      </c>
      <c r="I1135">
        <v>10</v>
      </c>
      <c r="J1135" t="s">
        <v>24</v>
      </c>
      <c r="K1135" s="12">
        <f t="shared" si="17"/>
        <v>48000</v>
      </c>
      <c r="L1135" s="12">
        <f>Sales_Data[[#This Row],[Unit Price]]*Sales_Data[[#This Row],[Quantity]]</f>
        <v>600000</v>
      </c>
      <c r="M1135" s="12">
        <f>Sales_Data[[#This Row],[Cost Price]]*Sales_Data[[#This Row],[Quantity]]</f>
        <v>480000</v>
      </c>
      <c r="N1135" s="12">
        <f>Sales_Data[[#This Row],[Revenue]]-Sales_Data[[#This Row],[COGS]]</f>
        <v>120000</v>
      </c>
    </row>
    <row r="1136" spans="1:14">
      <c r="A1136" s="1">
        <v>46810</v>
      </c>
      <c r="B1136" t="s">
        <v>18</v>
      </c>
      <c r="C1136" t="s">
        <v>19</v>
      </c>
      <c r="D1136" t="s">
        <v>13</v>
      </c>
      <c r="E1136" t="s">
        <v>20</v>
      </c>
      <c r="F1136" t="s">
        <v>30</v>
      </c>
      <c r="G1136" t="s">
        <v>31</v>
      </c>
      <c r="H1136" s="12">
        <v>300000</v>
      </c>
      <c r="I1136">
        <v>3</v>
      </c>
      <c r="J1136" t="s">
        <v>24</v>
      </c>
      <c r="K1136" s="12">
        <f t="shared" si="17"/>
        <v>240000</v>
      </c>
      <c r="L1136" s="12">
        <f>Sales_Data[[#This Row],[Unit Price]]*Sales_Data[[#This Row],[Quantity]]</f>
        <v>900000</v>
      </c>
      <c r="M1136" s="12">
        <f>Sales_Data[[#This Row],[Cost Price]]*Sales_Data[[#This Row],[Quantity]]</f>
        <v>720000</v>
      </c>
      <c r="N1136" s="12">
        <f>Sales_Data[[#This Row],[Revenue]]-Sales_Data[[#This Row],[COGS]]</f>
        <v>180000</v>
      </c>
    </row>
    <row r="1137" spans="1:14">
      <c r="A1137" s="1">
        <v>46811</v>
      </c>
      <c r="B1137" t="s">
        <v>11</v>
      </c>
      <c r="C1137" t="s">
        <v>32</v>
      </c>
      <c r="D1137" t="s">
        <v>13</v>
      </c>
      <c r="E1137" t="s">
        <v>20</v>
      </c>
      <c r="F1137" t="s">
        <v>36</v>
      </c>
      <c r="G1137" t="s">
        <v>31</v>
      </c>
      <c r="H1137" s="12">
        <v>150000</v>
      </c>
      <c r="I1137">
        <v>10</v>
      </c>
      <c r="J1137" t="s">
        <v>39</v>
      </c>
      <c r="K1137" s="12">
        <f t="shared" si="17"/>
        <v>120000</v>
      </c>
      <c r="L1137" s="12">
        <f>Sales_Data[[#This Row],[Unit Price]]*Sales_Data[[#This Row],[Quantity]]</f>
        <v>1500000</v>
      </c>
      <c r="M1137" s="12">
        <f>Sales_Data[[#This Row],[Cost Price]]*Sales_Data[[#This Row],[Quantity]]</f>
        <v>1200000</v>
      </c>
      <c r="N1137" s="12">
        <f>Sales_Data[[#This Row],[Revenue]]-Sales_Data[[#This Row],[COGS]]</f>
        <v>300000</v>
      </c>
    </row>
    <row r="1138" spans="1:14">
      <c r="A1138" s="1">
        <v>46812</v>
      </c>
      <c r="B1138" t="s">
        <v>25</v>
      </c>
      <c r="C1138" t="s">
        <v>19</v>
      </c>
      <c r="D1138" t="s">
        <v>23</v>
      </c>
      <c r="E1138" t="s">
        <v>20</v>
      </c>
      <c r="F1138" t="s">
        <v>21</v>
      </c>
      <c r="G1138" t="s">
        <v>22</v>
      </c>
      <c r="H1138" s="12">
        <v>30000</v>
      </c>
      <c r="I1138">
        <v>7</v>
      </c>
      <c r="J1138" t="s">
        <v>35</v>
      </c>
      <c r="K1138" s="12">
        <f t="shared" si="17"/>
        <v>24000</v>
      </c>
      <c r="L1138" s="12">
        <f>Sales_Data[[#This Row],[Unit Price]]*Sales_Data[[#This Row],[Quantity]]</f>
        <v>210000</v>
      </c>
      <c r="M1138" s="12">
        <f>Sales_Data[[#This Row],[Cost Price]]*Sales_Data[[#This Row],[Quantity]]</f>
        <v>168000</v>
      </c>
      <c r="N1138" s="12">
        <f>Sales_Data[[#This Row],[Revenue]]-Sales_Data[[#This Row],[COGS]]</f>
        <v>42000</v>
      </c>
    </row>
    <row r="1139" spans="1:14">
      <c r="A1139" s="1">
        <v>46813</v>
      </c>
      <c r="B1139" t="s">
        <v>18</v>
      </c>
      <c r="C1139" t="s">
        <v>19</v>
      </c>
      <c r="D1139" t="s">
        <v>23</v>
      </c>
      <c r="E1139" t="s">
        <v>20</v>
      </c>
      <c r="F1139" t="s">
        <v>30</v>
      </c>
      <c r="G1139" t="s">
        <v>31</v>
      </c>
      <c r="H1139" s="12">
        <v>300000</v>
      </c>
      <c r="I1139">
        <v>9</v>
      </c>
      <c r="J1139" t="s">
        <v>37</v>
      </c>
      <c r="K1139" s="12">
        <f t="shared" si="17"/>
        <v>240000</v>
      </c>
      <c r="L1139" s="12">
        <f>Sales_Data[[#This Row],[Unit Price]]*Sales_Data[[#This Row],[Quantity]]</f>
        <v>2700000</v>
      </c>
      <c r="M1139" s="12">
        <f>Sales_Data[[#This Row],[Cost Price]]*Sales_Data[[#This Row],[Quantity]]</f>
        <v>2160000</v>
      </c>
      <c r="N1139" s="12">
        <f>Sales_Data[[#This Row],[Revenue]]-Sales_Data[[#This Row],[COGS]]</f>
        <v>540000</v>
      </c>
    </row>
    <row r="1140" spans="1:14">
      <c r="A1140" s="1">
        <v>46814</v>
      </c>
      <c r="B1140" t="s">
        <v>29</v>
      </c>
      <c r="C1140" t="s">
        <v>32</v>
      </c>
      <c r="D1140" t="s">
        <v>23</v>
      </c>
      <c r="E1140" t="s">
        <v>20</v>
      </c>
      <c r="F1140" t="s">
        <v>41</v>
      </c>
      <c r="G1140" t="s">
        <v>22</v>
      </c>
      <c r="H1140" s="12">
        <v>220000</v>
      </c>
      <c r="I1140">
        <v>4</v>
      </c>
      <c r="J1140" t="s">
        <v>28</v>
      </c>
      <c r="K1140" s="12">
        <f t="shared" si="17"/>
        <v>176000</v>
      </c>
      <c r="L1140" s="12">
        <f>Sales_Data[[#This Row],[Unit Price]]*Sales_Data[[#This Row],[Quantity]]</f>
        <v>880000</v>
      </c>
      <c r="M1140" s="12">
        <f>Sales_Data[[#This Row],[Cost Price]]*Sales_Data[[#This Row],[Quantity]]</f>
        <v>704000</v>
      </c>
      <c r="N1140" s="12">
        <f>Sales_Data[[#This Row],[Revenue]]-Sales_Data[[#This Row],[COGS]]</f>
        <v>176000</v>
      </c>
    </row>
    <row r="1141" spans="1:14">
      <c r="A1141" s="1">
        <v>46815</v>
      </c>
      <c r="B1141" t="s">
        <v>18</v>
      </c>
      <c r="C1141" t="s">
        <v>26</v>
      </c>
      <c r="D1141" t="s">
        <v>23</v>
      </c>
      <c r="E1141" t="s">
        <v>14</v>
      </c>
      <c r="F1141" t="s">
        <v>40</v>
      </c>
      <c r="G1141" t="s">
        <v>31</v>
      </c>
      <c r="H1141" s="12">
        <v>250000</v>
      </c>
      <c r="I1141">
        <v>9</v>
      </c>
      <c r="J1141" t="s">
        <v>17</v>
      </c>
      <c r="K1141" s="12">
        <f t="shared" si="17"/>
        <v>200000</v>
      </c>
      <c r="L1141" s="12">
        <f>Sales_Data[[#This Row],[Unit Price]]*Sales_Data[[#This Row],[Quantity]]</f>
        <v>2250000</v>
      </c>
      <c r="M1141" s="12">
        <f>Sales_Data[[#This Row],[Cost Price]]*Sales_Data[[#This Row],[Quantity]]</f>
        <v>1800000</v>
      </c>
      <c r="N1141" s="12">
        <f>Sales_Data[[#This Row],[Revenue]]-Sales_Data[[#This Row],[COGS]]</f>
        <v>450000</v>
      </c>
    </row>
    <row r="1142" spans="1:14">
      <c r="A1142" s="1">
        <v>46816</v>
      </c>
      <c r="B1142" t="s">
        <v>11</v>
      </c>
      <c r="C1142" t="s">
        <v>12</v>
      </c>
      <c r="D1142" t="s">
        <v>23</v>
      </c>
      <c r="E1142" t="s">
        <v>20</v>
      </c>
      <c r="F1142" t="s">
        <v>30</v>
      </c>
      <c r="G1142" t="s">
        <v>31</v>
      </c>
      <c r="H1142" s="12">
        <v>300000</v>
      </c>
      <c r="I1142">
        <v>4</v>
      </c>
      <c r="J1142" t="s">
        <v>39</v>
      </c>
      <c r="K1142" s="12">
        <f t="shared" si="17"/>
        <v>240000</v>
      </c>
      <c r="L1142" s="12">
        <f>Sales_Data[[#This Row],[Unit Price]]*Sales_Data[[#This Row],[Quantity]]</f>
        <v>1200000</v>
      </c>
      <c r="M1142" s="12">
        <f>Sales_Data[[#This Row],[Cost Price]]*Sales_Data[[#This Row],[Quantity]]</f>
        <v>960000</v>
      </c>
      <c r="N1142" s="12">
        <f>Sales_Data[[#This Row],[Revenue]]-Sales_Data[[#This Row],[COGS]]</f>
        <v>240000</v>
      </c>
    </row>
    <row r="1143" spans="1:14">
      <c r="A1143" s="1">
        <v>46817</v>
      </c>
      <c r="B1143" t="s">
        <v>11</v>
      </c>
      <c r="C1143" t="s">
        <v>12</v>
      </c>
      <c r="D1143" t="s">
        <v>13</v>
      </c>
      <c r="E1143" t="s">
        <v>20</v>
      </c>
      <c r="F1143" t="s">
        <v>27</v>
      </c>
      <c r="G1143" t="s">
        <v>22</v>
      </c>
      <c r="H1143" s="12">
        <v>60000</v>
      </c>
      <c r="I1143">
        <v>10</v>
      </c>
      <c r="J1143" t="s">
        <v>37</v>
      </c>
      <c r="K1143" s="12">
        <f t="shared" si="17"/>
        <v>48000</v>
      </c>
      <c r="L1143" s="12">
        <f>Sales_Data[[#This Row],[Unit Price]]*Sales_Data[[#This Row],[Quantity]]</f>
        <v>600000</v>
      </c>
      <c r="M1143" s="12">
        <f>Sales_Data[[#This Row],[Cost Price]]*Sales_Data[[#This Row],[Quantity]]</f>
        <v>480000</v>
      </c>
      <c r="N1143" s="12">
        <f>Sales_Data[[#This Row],[Revenue]]-Sales_Data[[#This Row],[COGS]]</f>
        <v>120000</v>
      </c>
    </row>
    <row r="1144" spans="1:14">
      <c r="A1144" s="1">
        <v>46818</v>
      </c>
      <c r="B1144" t="s">
        <v>29</v>
      </c>
      <c r="C1144" t="s">
        <v>26</v>
      </c>
      <c r="D1144" t="s">
        <v>23</v>
      </c>
      <c r="E1144" t="s">
        <v>14</v>
      </c>
      <c r="F1144" t="s">
        <v>38</v>
      </c>
      <c r="G1144" t="s">
        <v>31</v>
      </c>
      <c r="H1144" s="12">
        <v>420000</v>
      </c>
      <c r="I1144">
        <v>10</v>
      </c>
      <c r="J1144" t="s">
        <v>28</v>
      </c>
      <c r="K1144" s="12">
        <f t="shared" si="17"/>
        <v>336000</v>
      </c>
      <c r="L1144" s="12">
        <f>Sales_Data[[#This Row],[Unit Price]]*Sales_Data[[#This Row],[Quantity]]</f>
        <v>4200000</v>
      </c>
      <c r="M1144" s="12">
        <f>Sales_Data[[#This Row],[Cost Price]]*Sales_Data[[#This Row],[Quantity]]</f>
        <v>3360000</v>
      </c>
      <c r="N1144" s="12">
        <f>Sales_Data[[#This Row],[Revenue]]-Sales_Data[[#This Row],[COGS]]</f>
        <v>840000</v>
      </c>
    </row>
    <row r="1145" spans="1:14">
      <c r="A1145" s="1">
        <v>46819</v>
      </c>
      <c r="B1145" t="s">
        <v>11</v>
      </c>
      <c r="C1145" t="s">
        <v>26</v>
      </c>
      <c r="D1145" t="s">
        <v>13</v>
      </c>
      <c r="E1145" t="s">
        <v>20</v>
      </c>
      <c r="F1145" t="s">
        <v>36</v>
      </c>
      <c r="G1145" t="s">
        <v>31</v>
      </c>
      <c r="H1145" s="12">
        <v>150000</v>
      </c>
      <c r="I1145">
        <v>1</v>
      </c>
      <c r="J1145" t="s">
        <v>39</v>
      </c>
      <c r="K1145" s="12">
        <f t="shared" si="17"/>
        <v>120000</v>
      </c>
      <c r="L1145" s="12">
        <f>Sales_Data[[#This Row],[Unit Price]]*Sales_Data[[#This Row],[Quantity]]</f>
        <v>150000</v>
      </c>
      <c r="M1145" s="12">
        <f>Sales_Data[[#This Row],[Cost Price]]*Sales_Data[[#This Row],[Quantity]]</f>
        <v>120000</v>
      </c>
      <c r="N1145" s="12">
        <f>Sales_Data[[#This Row],[Revenue]]-Sales_Data[[#This Row],[COGS]]</f>
        <v>30000</v>
      </c>
    </row>
    <row r="1146" spans="1:14">
      <c r="A1146" s="1">
        <v>46820</v>
      </c>
      <c r="B1146" t="s">
        <v>25</v>
      </c>
      <c r="C1146" t="s">
        <v>26</v>
      </c>
      <c r="D1146" t="s">
        <v>13</v>
      </c>
      <c r="E1146" t="s">
        <v>20</v>
      </c>
      <c r="F1146" t="s">
        <v>40</v>
      </c>
      <c r="G1146" t="s">
        <v>31</v>
      </c>
      <c r="H1146" s="12">
        <v>250000</v>
      </c>
      <c r="I1146">
        <v>7</v>
      </c>
      <c r="J1146" t="s">
        <v>24</v>
      </c>
      <c r="K1146" s="12">
        <f t="shared" si="17"/>
        <v>200000</v>
      </c>
      <c r="L1146" s="12">
        <f>Sales_Data[[#This Row],[Unit Price]]*Sales_Data[[#This Row],[Quantity]]</f>
        <v>1750000</v>
      </c>
      <c r="M1146" s="12">
        <f>Sales_Data[[#This Row],[Cost Price]]*Sales_Data[[#This Row],[Quantity]]</f>
        <v>1400000</v>
      </c>
      <c r="N1146" s="12">
        <f>Sales_Data[[#This Row],[Revenue]]-Sales_Data[[#This Row],[COGS]]</f>
        <v>350000</v>
      </c>
    </row>
    <row r="1147" spans="1:14">
      <c r="A1147" s="1">
        <v>46821</v>
      </c>
      <c r="B1147" t="s">
        <v>25</v>
      </c>
      <c r="C1147" t="s">
        <v>32</v>
      </c>
      <c r="D1147" t="s">
        <v>13</v>
      </c>
      <c r="E1147" t="s">
        <v>20</v>
      </c>
      <c r="F1147" t="s">
        <v>30</v>
      </c>
      <c r="G1147" t="s">
        <v>31</v>
      </c>
      <c r="H1147" s="12">
        <v>300000</v>
      </c>
      <c r="I1147">
        <v>9</v>
      </c>
      <c r="J1147" t="s">
        <v>28</v>
      </c>
      <c r="K1147" s="12">
        <f t="shared" si="17"/>
        <v>240000</v>
      </c>
      <c r="L1147" s="12">
        <f>Sales_Data[[#This Row],[Unit Price]]*Sales_Data[[#This Row],[Quantity]]</f>
        <v>2700000</v>
      </c>
      <c r="M1147" s="12">
        <f>Sales_Data[[#This Row],[Cost Price]]*Sales_Data[[#This Row],[Quantity]]</f>
        <v>2160000</v>
      </c>
      <c r="N1147" s="12">
        <f>Sales_Data[[#This Row],[Revenue]]-Sales_Data[[#This Row],[COGS]]</f>
        <v>540000</v>
      </c>
    </row>
    <row r="1148" spans="1:14">
      <c r="A1148" s="1">
        <v>46822</v>
      </c>
      <c r="B1148" t="s">
        <v>29</v>
      </c>
      <c r="C1148" t="s">
        <v>12</v>
      </c>
      <c r="D1148" t="s">
        <v>13</v>
      </c>
      <c r="E1148" t="s">
        <v>20</v>
      </c>
      <c r="F1148" t="s">
        <v>36</v>
      </c>
      <c r="G1148" t="s">
        <v>31</v>
      </c>
      <c r="H1148" s="12">
        <v>150000</v>
      </c>
      <c r="I1148">
        <v>2</v>
      </c>
      <c r="J1148" t="s">
        <v>37</v>
      </c>
      <c r="K1148" s="12">
        <f t="shared" si="17"/>
        <v>120000</v>
      </c>
      <c r="L1148" s="12">
        <f>Sales_Data[[#This Row],[Unit Price]]*Sales_Data[[#This Row],[Quantity]]</f>
        <v>300000</v>
      </c>
      <c r="M1148" s="12">
        <f>Sales_Data[[#This Row],[Cost Price]]*Sales_Data[[#This Row],[Quantity]]</f>
        <v>240000</v>
      </c>
      <c r="N1148" s="12">
        <f>Sales_Data[[#This Row],[Revenue]]-Sales_Data[[#This Row],[COGS]]</f>
        <v>60000</v>
      </c>
    </row>
    <row r="1149" spans="1:14">
      <c r="A1149" s="1">
        <v>46823</v>
      </c>
      <c r="B1149" t="s">
        <v>11</v>
      </c>
      <c r="C1149" t="s">
        <v>19</v>
      </c>
      <c r="D1149" t="s">
        <v>13</v>
      </c>
      <c r="E1149" t="s">
        <v>20</v>
      </c>
      <c r="F1149" t="s">
        <v>41</v>
      </c>
      <c r="G1149" t="s">
        <v>22</v>
      </c>
      <c r="H1149" s="12">
        <v>220000</v>
      </c>
      <c r="I1149">
        <v>9</v>
      </c>
      <c r="J1149" t="s">
        <v>24</v>
      </c>
      <c r="K1149" s="12">
        <f t="shared" si="17"/>
        <v>176000</v>
      </c>
      <c r="L1149" s="12">
        <f>Sales_Data[[#This Row],[Unit Price]]*Sales_Data[[#This Row],[Quantity]]</f>
        <v>1980000</v>
      </c>
      <c r="M1149" s="12">
        <f>Sales_Data[[#This Row],[Cost Price]]*Sales_Data[[#This Row],[Quantity]]</f>
        <v>1584000</v>
      </c>
      <c r="N1149" s="12">
        <f>Sales_Data[[#This Row],[Revenue]]-Sales_Data[[#This Row],[COGS]]</f>
        <v>396000</v>
      </c>
    </row>
    <row r="1150" spans="1:14">
      <c r="A1150" s="1">
        <v>46824</v>
      </c>
      <c r="B1150" t="s">
        <v>29</v>
      </c>
      <c r="C1150" t="s">
        <v>32</v>
      </c>
      <c r="D1150" t="s">
        <v>13</v>
      </c>
      <c r="E1150" t="s">
        <v>20</v>
      </c>
      <c r="F1150" t="s">
        <v>27</v>
      </c>
      <c r="G1150" t="s">
        <v>22</v>
      </c>
      <c r="H1150" s="12">
        <v>60000</v>
      </c>
      <c r="I1150">
        <v>5</v>
      </c>
      <c r="J1150" t="s">
        <v>17</v>
      </c>
      <c r="K1150" s="12">
        <f t="shared" si="17"/>
        <v>48000</v>
      </c>
      <c r="L1150" s="12">
        <f>Sales_Data[[#This Row],[Unit Price]]*Sales_Data[[#This Row],[Quantity]]</f>
        <v>300000</v>
      </c>
      <c r="M1150" s="12">
        <f>Sales_Data[[#This Row],[Cost Price]]*Sales_Data[[#This Row],[Quantity]]</f>
        <v>240000</v>
      </c>
      <c r="N1150" s="12">
        <f>Sales_Data[[#This Row],[Revenue]]-Sales_Data[[#This Row],[COGS]]</f>
        <v>60000</v>
      </c>
    </row>
    <row r="1151" spans="1:14">
      <c r="A1151" s="1">
        <v>46825</v>
      </c>
      <c r="B1151" t="s">
        <v>11</v>
      </c>
      <c r="C1151" t="s">
        <v>12</v>
      </c>
      <c r="D1151" t="s">
        <v>23</v>
      </c>
      <c r="E1151" t="s">
        <v>20</v>
      </c>
      <c r="F1151" t="s">
        <v>33</v>
      </c>
      <c r="G1151" t="s">
        <v>22</v>
      </c>
      <c r="H1151" s="12">
        <v>180000</v>
      </c>
      <c r="I1151">
        <v>6</v>
      </c>
      <c r="J1151" t="s">
        <v>35</v>
      </c>
      <c r="K1151" s="12">
        <f t="shared" si="17"/>
        <v>144000</v>
      </c>
      <c r="L1151" s="12">
        <f>Sales_Data[[#This Row],[Unit Price]]*Sales_Data[[#This Row],[Quantity]]</f>
        <v>1080000</v>
      </c>
      <c r="M1151" s="12">
        <f>Sales_Data[[#This Row],[Cost Price]]*Sales_Data[[#This Row],[Quantity]]</f>
        <v>864000</v>
      </c>
      <c r="N1151" s="12">
        <f>Sales_Data[[#This Row],[Revenue]]-Sales_Data[[#This Row],[COGS]]</f>
        <v>216000</v>
      </c>
    </row>
    <row r="1152" spans="1:14">
      <c r="A1152" s="1">
        <v>46826</v>
      </c>
      <c r="B1152" t="s">
        <v>18</v>
      </c>
      <c r="C1152" t="s">
        <v>12</v>
      </c>
      <c r="D1152" t="s">
        <v>23</v>
      </c>
      <c r="E1152" t="s">
        <v>20</v>
      </c>
      <c r="F1152" t="s">
        <v>40</v>
      </c>
      <c r="G1152" t="s">
        <v>31</v>
      </c>
      <c r="H1152" s="12">
        <v>250000</v>
      </c>
      <c r="I1152">
        <v>10</v>
      </c>
      <c r="J1152" t="s">
        <v>17</v>
      </c>
      <c r="K1152" s="12">
        <f t="shared" si="17"/>
        <v>200000</v>
      </c>
      <c r="L1152" s="12">
        <f>Sales_Data[[#This Row],[Unit Price]]*Sales_Data[[#This Row],[Quantity]]</f>
        <v>2500000</v>
      </c>
      <c r="M1152" s="12">
        <f>Sales_Data[[#This Row],[Cost Price]]*Sales_Data[[#This Row],[Quantity]]</f>
        <v>2000000</v>
      </c>
      <c r="N1152" s="12">
        <f>Sales_Data[[#This Row],[Revenue]]-Sales_Data[[#This Row],[COGS]]</f>
        <v>500000</v>
      </c>
    </row>
    <row r="1153" spans="1:14">
      <c r="A1153" s="1">
        <v>46827</v>
      </c>
      <c r="B1153" t="s">
        <v>18</v>
      </c>
      <c r="C1153" t="s">
        <v>32</v>
      </c>
      <c r="D1153" t="s">
        <v>13</v>
      </c>
      <c r="E1153" t="s">
        <v>20</v>
      </c>
      <c r="F1153" t="s">
        <v>15</v>
      </c>
      <c r="G1153" t="s">
        <v>16</v>
      </c>
      <c r="H1153" s="12">
        <v>85000</v>
      </c>
      <c r="I1153">
        <v>1</v>
      </c>
      <c r="J1153" t="s">
        <v>37</v>
      </c>
      <c r="K1153" s="12">
        <f t="shared" si="17"/>
        <v>68000</v>
      </c>
      <c r="L1153" s="12">
        <f>Sales_Data[[#This Row],[Unit Price]]*Sales_Data[[#This Row],[Quantity]]</f>
        <v>85000</v>
      </c>
      <c r="M1153" s="12">
        <f>Sales_Data[[#This Row],[Cost Price]]*Sales_Data[[#This Row],[Quantity]]</f>
        <v>68000</v>
      </c>
      <c r="N1153" s="12">
        <f>Sales_Data[[#This Row],[Revenue]]-Sales_Data[[#This Row],[COGS]]</f>
        <v>17000</v>
      </c>
    </row>
    <row r="1154" spans="1:14">
      <c r="A1154" s="1">
        <v>46828</v>
      </c>
      <c r="B1154" t="s">
        <v>29</v>
      </c>
      <c r="C1154" t="s">
        <v>12</v>
      </c>
      <c r="D1154" t="s">
        <v>13</v>
      </c>
      <c r="E1154" t="s">
        <v>14</v>
      </c>
      <c r="F1154" t="s">
        <v>40</v>
      </c>
      <c r="G1154" t="s">
        <v>31</v>
      </c>
      <c r="H1154" s="12">
        <v>250000</v>
      </c>
      <c r="I1154">
        <v>9</v>
      </c>
      <c r="J1154" t="s">
        <v>24</v>
      </c>
      <c r="K1154" s="12">
        <f t="shared" ref="K1154:K1217" si="18">H1154-H1154*0.2</f>
        <v>200000</v>
      </c>
      <c r="L1154" s="12">
        <f>Sales_Data[[#This Row],[Unit Price]]*Sales_Data[[#This Row],[Quantity]]</f>
        <v>2250000</v>
      </c>
      <c r="M1154" s="12">
        <f>Sales_Data[[#This Row],[Cost Price]]*Sales_Data[[#This Row],[Quantity]]</f>
        <v>1800000</v>
      </c>
      <c r="N1154" s="12">
        <f>Sales_Data[[#This Row],[Revenue]]-Sales_Data[[#This Row],[COGS]]</f>
        <v>450000</v>
      </c>
    </row>
    <row r="1155" spans="1:14">
      <c r="A1155" s="1">
        <v>46829</v>
      </c>
      <c r="B1155" t="s">
        <v>18</v>
      </c>
      <c r="C1155" t="s">
        <v>19</v>
      </c>
      <c r="D1155" t="s">
        <v>13</v>
      </c>
      <c r="E1155" t="s">
        <v>14</v>
      </c>
      <c r="F1155" t="s">
        <v>40</v>
      </c>
      <c r="G1155" t="s">
        <v>31</v>
      </c>
      <c r="H1155" s="12">
        <v>250000</v>
      </c>
      <c r="I1155">
        <v>2</v>
      </c>
      <c r="J1155" t="s">
        <v>24</v>
      </c>
      <c r="K1155" s="12">
        <f t="shared" si="18"/>
        <v>200000</v>
      </c>
      <c r="L1155" s="12">
        <f>Sales_Data[[#This Row],[Unit Price]]*Sales_Data[[#This Row],[Quantity]]</f>
        <v>500000</v>
      </c>
      <c r="M1155" s="12">
        <f>Sales_Data[[#This Row],[Cost Price]]*Sales_Data[[#This Row],[Quantity]]</f>
        <v>400000</v>
      </c>
      <c r="N1155" s="12">
        <f>Sales_Data[[#This Row],[Revenue]]-Sales_Data[[#This Row],[COGS]]</f>
        <v>100000</v>
      </c>
    </row>
    <row r="1156" spans="1:14">
      <c r="A1156" s="1">
        <v>46830</v>
      </c>
      <c r="B1156" t="s">
        <v>25</v>
      </c>
      <c r="C1156" t="s">
        <v>19</v>
      </c>
      <c r="D1156" t="s">
        <v>13</v>
      </c>
      <c r="E1156" t="s">
        <v>14</v>
      </c>
      <c r="F1156" t="s">
        <v>40</v>
      </c>
      <c r="G1156" t="s">
        <v>31</v>
      </c>
      <c r="H1156" s="12">
        <v>250000</v>
      </c>
      <c r="I1156">
        <v>1</v>
      </c>
      <c r="J1156" t="s">
        <v>39</v>
      </c>
      <c r="K1156" s="12">
        <f t="shared" si="18"/>
        <v>200000</v>
      </c>
      <c r="L1156" s="12">
        <f>Sales_Data[[#This Row],[Unit Price]]*Sales_Data[[#This Row],[Quantity]]</f>
        <v>250000</v>
      </c>
      <c r="M1156" s="12">
        <f>Sales_Data[[#This Row],[Cost Price]]*Sales_Data[[#This Row],[Quantity]]</f>
        <v>200000</v>
      </c>
      <c r="N1156" s="12">
        <f>Sales_Data[[#This Row],[Revenue]]-Sales_Data[[#This Row],[COGS]]</f>
        <v>50000</v>
      </c>
    </row>
    <row r="1157" spans="1:14">
      <c r="A1157" s="1">
        <v>46831</v>
      </c>
      <c r="B1157" t="s">
        <v>11</v>
      </c>
      <c r="C1157" t="s">
        <v>12</v>
      </c>
      <c r="D1157" t="s">
        <v>23</v>
      </c>
      <c r="E1157" t="s">
        <v>20</v>
      </c>
      <c r="F1157" t="s">
        <v>30</v>
      </c>
      <c r="G1157" t="s">
        <v>31</v>
      </c>
      <c r="H1157" s="12">
        <v>300000</v>
      </c>
      <c r="I1157">
        <v>9</v>
      </c>
      <c r="J1157" t="s">
        <v>28</v>
      </c>
      <c r="K1157" s="12">
        <f t="shared" si="18"/>
        <v>240000</v>
      </c>
      <c r="L1157" s="12">
        <f>Sales_Data[[#This Row],[Unit Price]]*Sales_Data[[#This Row],[Quantity]]</f>
        <v>2700000</v>
      </c>
      <c r="M1157" s="12">
        <f>Sales_Data[[#This Row],[Cost Price]]*Sales_Data[[#This Row],[Quantity]]</f>
        <v>2160000</v>
      </c>
      <c r="N1157" s="12">
        <f>Sales_Data[[#This Row],[Revenue]]-Sales_Data[[#This Row],[COGS]]</f>
        <v>540000</v>
      </c>
    </row>
    <row r="1158" spans="1:14">
      <c r="A1158" s="1">
        <v>46832</v>
      </c>
      <c r="B1158" t="s">
        <v>11</v>
      </c>
      <c r="C1158" t="s">
        <v>19</v>
      </c>
      <c r="D1158" t="s">
        <v>23</v>
      </c>
      <c r="E1158" t="s">
        <v>14</v>
      </c>
      <c r="F1158" t="s">
        <v>34</v>
      </c>
      <c r="G1158" t="s">
        <v>16</v>
      </c>
      <c r="H1158" s="12">
        <v>320000</v>
      </c>
      <c r="I1158">
        <v>10</v>
      </c>
      <c r="J1158" t="s">
        <v>24</v>
      </c>
      <c r="K1158" s="12">
        <f t="shared" si="18"/>
        <v>256000</v>
      </c>
      <c r="L1158" s="12">
        <f>Sales_Data[[#This Row],[Unit Price]]*Sales_Data[[#This Row],[Quantity]]</f>
        <v>3200000</v>
      </c>
      <c r="M1158" s="12">
        <f>Sales_Data[[#This Row],[Cost Price]]*Sales_Data[[#This Row],[Quantity]]</f>
        <v>2560000</v>
      </c>
      <c r="N1158" s="12">
        <f>Sales_Data[[#This Row],[Revenue]]-Sales_Data[[#This Row],[COGS]]</f>
        <v>640000</v>
      </c>
    </row>
    <row r="1159" spans="1:14">
      <c r="A1159" s="1">
        <v>46833</v>
      </c>
      <c r="B1159" t="s">
        <v>25</v>
      </c>
      <c r="C1159" t="s">
        <v>19</v>
      </c>
      <c r="D1159" t="s">
        <v>23</v>
      </c>
      <c r="E1159" t="s">
        <v>14</v>
      </c>
      <c r="F1159" t="s">
        <v>33</v>
      </c>
      <c r="G1159" t="s">
        <v>22</v>
      </c>
      <c r="H1159" s="12">
        <v>180000</v>
      </c>
      <c r="I1159">
        <v>9</v>
      </c>
      <c r="J1159" t="s">
        <v>37</v>
      </c>
      <c r="K1159" s="12">
        <f t="shared" si="18"/>
        <v>144000</v>
      </c>
      <c r="L1159" s="12">
        <f>Sales_Data[[#This Row],[Unit Price]]*Sales_Data[[#This Row],[Quantity]]</f>
        <v>1620000</v>
      </c>
      <c r="M1159" s="12">
        <f>Sales_Data[[#This Row],[Cost Price]]*Sales_Data[[#This Row],[Quantity]]</f>
        <v>1296000</v>
      </c>
      <c r="N1159" s="12">
        <f>Sales_Data[[#This Row],[Revenue]]-Sales_Data[[#This Row],[COGS]]</f>
        <v>324000</v>
      </c>
    </row>
    <row r="1160" spans="1:14">
      <c r="A1160" s="1">
        <v>46834</v>
      </c>
      <c r="B1160" t="s">
        <v>25</v>
      </c>
      <c r="C1160" t="s">
        <v>26</v>
      </c>
      <c r="D1160" t="s">
        <v>23</v>
      </c>
      <c r="E1160" t="s">
        <v>14</v>
      </c>
      <c r="F1160" t="s">
        <v>40</v>
      </c>
      <c r="G1160" t="s">
        <v>31</v>
      </c>
      <c r="H1160" s="12">
        <v>250000</v>
      </c>
      <c r="I1160">
        <v>1</v>
      </c>
      <c r="J1160" t="s">
        <v>39</v>
      </c>
      <c r="K1160" s="12">
        <f t="shared" si="18"/>
        <v>200000</v>
      </c>
      <c r="L1160" s="12">
        <f>Sales_Data[[#This Row],[Unit Price]]*Sales_Data[[#This Row],[Quantity]]</f>
        <v>250000</v>
      </c>
      <c r="M1160" s="12">
        <f>Sales_Data[[#This Row],[Cost Price]]*Sales_Data[[#This Row],[Quantity]]</f>
        <v>200000</v>
      </c>
      <c r="N1160" s="12">
        <f>Sales_Data[[#This Row],[Revenue]]-Sales_Data[[#This Row],[COGS]]</f>
        <v>50000</v>
      </c>
    </row>
    <row r="1161" spans="1:14">
      <c r="A1161" s="1">
        <v>46835</v>
      </c>
      <c r="B1161" t="s">
        <v>25</v>
      </c>
      <c r="C1161" t="s">
        <v>32</v>
      </c>
      <c r="D1161" t="s">
        <v>23</v>
      </c>
      <c r="E1161" t="s">
        <v>14</v>
      </c>
      <c r="F1161" t="s">
        <v>15</v>
      </c>
      <c r="G1161" t="s">
        <v>16</v>
      </c>
      <c r="H1161" s="12">
        <v>85000</v>
      </c>
      <c r="I1161">
        <v>7</v>
      </c>
      <c r="J1161" t="s">
        <v>39</v>
      </c>
      <c r="K1161" s="12">
        <f t="shared" si="18"/>
        <v>68000</v>
      </c>
      <c r="L1161" s="12">
        <f>Sales_Data[[#This Row],[Unit Price]]*Sales_Data[[#This Row],[Quantity]]</f>
        <v>595000</v>
      </c>
      <c r="M1161" s="12">
        <f>Sales_Data[[#This Row],[Cost Price]]*Sales_Data[[#This Row],[Quantity]]</f>
        <v>476000</v>
      </c>
      <c r="N1161" s="12">
        <f>Sales_Data[[#This Row],[Revenue]]-Sales_Data[[#This Row],[COGS]]</f>
        <v>119000</v>
      </c>
    </row>
    <row r="1162" spans="1:14">
      <c r="A1162" s="1">
        <v>46836</v>
      </c>
      <c r="B1162" t="s">
        <v>11</v>
      </c>
      <c r="C1162" t="s">
        <v>12</v>
      </c>
      <c r="D1162" t="s">
        <v>13</v>
      </c>
      <c r="E1162" t="s">
        <v>20</v>
      </c>
      <c r="F1162" t="s">
        <v>21</v>
      </c>
      <c r="G1162" t="s">
        <v>22</v>
      </c>
      <c r="H1162" s="12">
        <v>30000</v>
      </c>
      <c r="I1162">
        <v>6</v>
      </c>
      <c r="J1162" t="s">
        <v>28</v>
      </c>
      <c r="K1162" s="12">
        <f t="shared" si="18"/>
        <v>24000</v>
      </c>
      <c r="L1162" s="12">
        <f>Sales_Data[[#This Row],[Unit Price]]*Sales_Data[[#This Row],[Quantity]]</f>
        <v>180000</v>
      </c>
      <c r="M1162" s="12">
        <f>Sales_Data[[#This Row],[Cost Price]]*Sales_Data[[#This Row],[Quantity]]</f>
        <v>144000</v>
      </c>
      <c r="N1162" s="12">
        <f>Sales_Data[[#This Row],[Revenue]]-Sales_Data[[#This Row],[COGS]]</f>
        <v>36000</v>
      </c>
    </row>
    <row r="1163" spans="1:14">
      <c r="A1163" s="1">
        <v>46837</v>
      </c>
      <c r="B1163" t="s">
        <v>11</v>
      </c>
      <c r="C1163" t="s">
        <v>19</v>
      </c>
      <c r="D1163" t="s">
        <v>13</v>
      </c>
      <c r="E1163" t="s">
        <v>20</v>
      </c>
      <c r="F1163" t="s">
        <v>21</v>
      </c>
      <c r="G1163" t="s">
        <v>22</v>
      </c>
      <c r="H1163" s="12">
        <v>30000</v>
      </c>
      <c r="I1163">
        <v>6</v>
      </c>
      <c r="J1163" t="s">
        <v>24</v>
      </c>
      <c r="K1163" s="12">
        <f t="shared" si="18"/>
        <v>24000</v>
      </c>
      <c r="L1163" s="12">
        <f>Sales_Data[[#This Row],[Unit Price]]*Sales_Data[[#This Row],[Quantity]]</f>
        <v>180000</v>
      </c>
      <c r="M1163" s="12">
        <f>Sales_Data[[#This Row],[Cost Price]]*Sales_Data[[#This Row],[Quantity]]</f>
        <v>144000</v>
      </c>
      <c r="N1163" s="12">
        <f>Sales_Data[[#This Row],[Revenue]]-Sales_Data[[#This Row],[COGS]]</f>
        <v>36000</v>
      </c>
    </row>
    <row r="1164" spans="1:14">
      <c r="A1164" s="1">
        <v>46838</v>
      </c>
      <c r="B1164" t="s">
        <v>11</v>
      </c>
      <c r="C1164" t="s">
        <v>12</v>
      </c>
      <c r="D1164" t="s">
        <v>23</v>
      </c>
      <c r="E1164" t="s">
        <v>20</v>
      </c>
      <c r="F1164" t="s">
        <v>34</v>
      </c>
      <c r="G1164" t="s">
        <v>16</v>
      </c>
      <c r="H1164" s="12">
        <v>320000</v>
      </c>
      <c r="I1164">
        <v>2</v>
      </c>
      <c r="J1164" t="s">
        <v>37</v>
      </c>
      <c r="K1164" s="12">
        <f t="shared" si="18"/>
        <v>256000</v>
      </c>
      <c r="L1164" s="12">
        <f>Sales_Data[[#This Row],[Unit Price]]*Sales_Data[[#This Row],[Quantity]]</f>
        <v>640000</v>
      </c>
      <c r="M1164" s="12">
        <f>Sales_Data[[#This Row],[Cost Price]]*Sales_Data[[#This Row],[Quantity]]</f>
        <v>512000</v>
      </c>
      <c r="N1164" s="12">
        <f>Sales_Data[[#This Row],[Revenue]]-Sales_Data[[#This Row],[COGS]]</f>
        <v>128000</v>
      </c>
    </row>
    <row r="1165" spans="1:14">
      <c r="A1165" s="1">
        <v>46839</v>
      </c>
      <c r="B1165" t="s">
        <v>11</v>
      </c>
      <c r="C1165" t="s">
        <v>32</v>
      </c>
      <c r="D1165" t="s">
        <v>13</v>
      </c>
      <c r="E1165" t="s">
        <v>20</v>
      </c>
      <c r="F1165" t="s">
        <v>27</v>
      </c>
      <c r="G1165" t="s">
        <v>22</v>
      </c>
      <c r="H1165" s="12">
        <v>60000</v>
      </c>
      <c r="I1165">
        <v>6</v>
      </c>
      <c r="J1165" t="s">
        <v>24</v>
      </c>
      <c r="K1165" s="12">
        <f t="shared" si="18"/>
        <v>48000</v>
      </c>
      <c r="L1165" s="12">
        <f>Sales_Data[[#This Row],[Unit Price]]*Sales_Data[[#This Row],[Quantity]]</f>
        <v>360000</v>
      </c>
      <c r="M1165" s="12">
        <f>Sales_Data[[#This Row],[Cost Price]]*Sales_Data[[#This Row],[Quantity]]</f>
        <v>288000</v>
      </c>
      <c r="N1165" s="12">
        <f>Sales_Data[[#This Row],[Revenue]]-Sales_Data[[#This Row],[COGS]]</f>
        <v>72000</v>
      </c>
    </row>
    <row r="1166" spans="1:14">
      <c r="A1166" s="1">
        <v>46840</v>
      </c>
      <c r="B1166" t="s">
        <v>11</v>
      </c>
      <c r="C1166" t="s">
        <v>19</v>
      </c>
      <c r="D1166" t="s">
        <v>13</v>
      </c>
      <c r="E1166" t="s">
        <v>20</v>
      </c>
      <c r="F1166" t="s">
        <v>41</v>
      </c>
      <c r="G1166" t="s">
        <v>22</v>
      </c>
      <c r="H1166" s="12">
        <v>220000</v>
      </c>
      <c r="I1166">
        <v>10</v>
      </c>
      <c r="J1166" t="s">
        <v>39</v>
      </c>
      <c r="K1166" s="12">
        <f t="shared" si="18"/>
        <v>176000</v>
      </c>
      <c r="L1166" s="12">
        <f>Sales_Data[[#This Row],[Unit Price]]*Sales_Data[[#This Row],[Quantity]]</f>
        <v>2200000</v>
      </c>
      <c r="M1166" s="12">
        <f>Sales_Data[[#This Row],[Cost Price]]*Sales_Data[[#This Row],[Quantity]]</f>
        <v>1760000</v>
      </c>
      <c r="N1166" s="12">
        <f>Sales_Data[[#This Row],[Revenue]]-Sales_Data[[#This Row],[COGS]]</f>
        <v>440000</v>
      </c>
    </row>
    <row r="1167" spans="1:14">
      <c r="A1167" s="1">
        <v>46841</v>
      </c>
      <c r="B1167" t="s">
        <v>11</v>
      </c>
      <c r="C1167" t="s">
        <v>32</v>
      </c>
      <c r="D1167" t="s">
        <v>13</v>
      </c>
      <c r="E1167" t="s">
        <v>14</v>
      </c>
      <c r="F1167" t="s">
        <v>27</v>
      </c>
      <c r="G1167" t="s">
        <v>22</v>
      </c>
      <c r="H1167" s="12">
        <v>60000</v>
      </c>
      <c r="I1167">
        <v>6</v>
      </c>
      <c r="J1167" t="s">
        <v>39</v>
      </c>
      <c r="K1167" s="12">
        <f t="shared" si="18"/>
        <v>48000</v>
      </c>
      <c r="L1167" s="12">
        <f>Sales_Data[[#This Row],[Unit Price]]*Sales_Data[[#This Row],[Quantity]]</f>
        <v>360000</v>
      </c>
      <c r="M1167" s="12">
        <f>Sales_Data[[#This Row],[Cost Price]]*Sales_Data[[#This Row],[Quantity]]</f>
        <v>288000</v>
      </c>
      <c r="N1167" s="12">
        <f>Sales_Data[[#This Row],[Revenue]]-Sales_Data[[#This Row],[COGS]]</f>
        <v>72000</v>
      </c>
    </row>
    <row r="1168" spans="1:14">
      <c r="A1168" s="1">
        <v>46842</v>
      </c>
      <c r="B1168" t="s">
        <v>11</v>
      </c>
      <c r="C1168" t="s">
        <v>26</v>
      </c>
      <c r="D1168" t="s">
        <v>13</v>
      </c>
      <c r="E1168" t="s">
        <v>14</v>
      </c>
      <c r="F1168" t="s">
        <v>41</v>
      </c>
      <c r="G1168" t="s">
        <v>22</v>
      </c>
      <c r="H1168" s="12">
        <v>220000</v>
      </c>
      <c r="I1168">
        <v>7</v>
      </c>
      <c r="J1168" t="s">
        <v>37</v>
      </c>
      <c r="K1168" s="12">
        <f t="shared" si="18"/>
        <v>176000</v>
      </c>
      <c r="L1168" s="12">
        <f>Sales_Data[[#This Row],[Unit Price]]*Sales_Data[[#This Row],[Quantity]]</f>
        <v>1540000</v>
      </c>
      <c r="M1168" s="12">
        <f>Sales_Data[[#This Row],[Cost Price]]*Sales_Data[[#This Row],[Quantity]]</f>
        <v>1232000</v>
      </c>
      <c r="N1168" s="12">
        <f>Sales_Data[[#This Row],[Revenue]]-Sales_Data[[#This Row],[COGS]]</f>
        <v>308000</v>
      </c>
    </row>
    <row r="1169" spans="1:14">
      <c r="A1169" s="1">
        <v>46843</v>
      </c>
      <c r="B1169" t="s">
        <v>18</v>
      </c>
      <c r="C1169" t="s">
        <v>19</v>
      </c>
      <c r="D1169" t="s">
        <v>23</v>
      </c>
      <c r="E1169" t="s">
        <v>20</v>
      </c>
      <c r="F1169" t="s">
        <v>38</v>
      </c>
      <c r="G1169" t="s">
        <v>31</v>
      </c>
      <c r="H1169" s="12">
        <v>420000</v>
      </c>
      <c r="I1169">
        <v>8</v>
      </c>
      <c r="J1169" t="s">
        <v>37</v>
      </c>
      <c r="K1169" s="12">
        <f t="shared" si="18"/>
        <v>336000</v>
      </c>
      <c r="L1169" s="12">
        <f>Sales_Data[[#This Row],[Unit Price]]*Sales_Data[[#This Row],[Quantity]]</f>
        <v>3360000</v>
      </c>
      <c r="M1169" s="12">
        <f>Sales_Data[[#This Row],[Cost Price]]*Sales_Data[[#This Row],[Quantity]]</f>
        <v>2688000</v>
      </c>
      <c r="N1169" s="12">
        <f>Sales_Data[[#This Row],[Revenue]]-Sales_Data[[#This Row],[COGS]]</f>
        <v>672000</v>
      </c>
    </row>
    <row r="1170" spans="1:14">
      <c r="A1170" s="1">
        <v>46844</v>
      </c>
      <c r="B1170" t="s">
        <v>18</v>
      </c>
      <c r="C1170" t="s">
        <v>19</v>
      </c>
      <c r="D1170" t="s">
        <v>13</v>
      </c>
      <c r="E1170" t="s">
        <v>20</v>
      </c>
      <c r="F1170" t="s">
        <v>38</v>
      </c>
      <c r="G1170" t="s">
        <v>31</v>
      </c>
      <c r="H1170" s="12">
        <v>420000</v>
      </c>
      <c r="I1170">
        <v>1</v>
      </c>
      <c r="J1170" t="s">
        <v>39</v>
      </c>
      <c r="K1170" s="12">
        <f t="shared" si="18"/>
        <v>336000</v>
      </c>
      <c r="L1170" s="12">
        <f>Sales_Data[[#This Row],[Unit Price]]*Sales_Data[[#This Row],[Quantity]]</f>
        <v>420000</v>
      </c>
      <c r="M1170" s="12">
        <f>Sales_Data[[#This Row],[Cost Price]]*Sales_Data[[#This Row],[Quantity]]</f>
        <v>336000</v>
      </c>
      <c r="N1170" s="12">
        <f>Sales_Data[[#This Row],[Revenue]]-Sales_Data[[#This Row],[COGS]]</f>
        <v>84000</v>
      </c>
    </row>
    <row r="1171" spans="1:14">
      <c r="A1171" s="1">
        <v>46845</v>
      </c>
      <c r="B1171" t="s">
        <v>18</v>
      </c>
      <c r="C1171" t="s">
        <v>12</v>
      </c>
      <c r="D1171" t="s">
        <v>23</v>
      </c>
      <c r="E1171" t="s">
        <v>20</v>
      </c>
      <c r="F1171" t="s">
        <v>40</v>
      </c>
      <c r="G1171" t="s">
        <v>31</v>
      </c>
      <c r="H1171" s="12">
        <v>250000</v>
      </c>
      <c r="I1171">
        <v>9</v>
      </c>
      <c r="J1171" t="s">
        <v>37</v>
      </c>
      <c r="K1171" s="12">
        <f t="shared" si="18"/>
        <v>200000</v>
      </c>
      <c r="L1171" s="12">
        <f>Sales_Data[[#This Row],[Unit Price]]*Sales_Data[[#This Row],[Quantity]]</f>
        <v>2250000</v>
      </c>
      <c r="M1171" s="12">
        <f>Sales_Data[[#This Row],[Cost Price]]*Sales_Data[[#This Row],[Quantity]]</f>
        <v>1800000</v>
      </c>
      <c r="N1171" s="12">
        <f>Sales_Data[[#This Row],[Revenue]]-Sales_Data[[#This Row],[COGS]]</f>
        <v>450000</v>
      </c>
    </row>
    <row r="1172" spans="1:14">
      <c r="A1172" s="1">
        <v>46846</v>
      </c>
      <c r="B1172" t="s">
        <v>29</v>
      </c>
      <c r="C1172" t="s">
        <v>32</v>
      </c>
      <c r="D1172" t="s">
        <v>13</v>
      </c>
      <c r="E1172" t="s">
        <v>14</v>
      </c>
      <c r="F1172" t="s">
        <v>21</v>
      </c>
      <c r="G1172" t="s">
        <v>22</v>
      </c>
      <c r="H1172" s="12">
        <v>30000</v>
      </c>
      <c r="I1172">
        <v>3</v>
      </c>
      <c r="J1172" t="s">
        <v>24</v>
      </c>
      <c r="K1172" s="12">
        <f t="shared" si="18"/>
        <v>24000</v>
      </c>
      <c r="L1172" s="12">
        <f>Sales_Data[[#This Row],[Unit Price]]*Sales_Data[[#This Row],[Quantity]]</f>
        <v>90000</v>
      </c>
      <c r="M1172" s="12">
        <f>Sales_Data[[#This Row],[Cost Price]]*Sales_Data[[#This Row],[Quantity]]</f>
        <v>72000</v>
      </c>
      <c r="N1172" s="12">
        <f>Sales_Data[[#This Row],[Revenue]]-Sales_Data[[#This Row],[COGS]]</f>
        <v>18000</v>
      </c>
    </row>
    <row r="1173" spans="1:14">
      <c r="A1173" s="1">
        <v>46847</v>
      </c>
      <c r="B1173" t="s">
        <v>29</v>
      </c>
      <c r="C1173" t="s">
        <v>26</v>
      </c>
      <c r="D1173" t="s">
        <v>13</v>
      </c>
      <c r="E1173" t="s">
        <v>14</v>
      </c>
      <c r="F1173" t="s">
        <v>34</v>
      </c>
      <c r="G1173" t="s">
        <v>16</v>
      </c>
      <c r="H1173" s="12">
        <v>320000</v>
      </c>
      <c r="I1173">
        <v>1</v>
      </c>
      <c r="J1173" t="s">
        <v>39</v>
      </c>
      <c r="K1173" s="12">
        <f t="shared" si="18"/>
        <v>256000</v>
      </c>
      <c r="L1173" s="12">
        <f>Sales_Data[[#This Row],[Unit Price]]*Sales_Data[[#This Row],[Quantity]]</f>
        <v>320000</v>
      </c>
      <c r="M1173" s="12">
        <f>Sales_Data[[#This Row],[Cost Price]]*Sales_Data[[#This Row],[Quantity]]</f>
        <v>256000</v>
      </c>
      <c r="N1173" s="12">
        <f>Sales_Data[[#This Row],[Revenue]]-Sales_Data[[#This Row],[COGS]]</f>
        <v>64000</v>
      </c>
    </row>
    <row r="1174" spans="1:14">
      <c r="A1174" s="1">
        <v>46848</v>
      </c>
      <c r="B1174" t="s">
        <v>11</v>
      </c>
      <c r="C1174" t="s">
        <v>32</v>
      </c>
      <c r="D1174" t="s">
        <v>23</v>
      </c>
      <c r="E1174" t="s">
        <v>14</v>
      </c>
      <c r="F1174" t="s">
        <v>34</v>
      </c>
      <c r="G1174" t="s">
        <v>16</v>
      </c>
      <c r="H1174" s="12">
        <v>320000</v>
      </c>
      <c r="I1174">
        <v>10</v>
      </c>
      <c r="J1174" t="s">
        <v>28</v>
      </c>
      <c r="K1174" s="12">
        <f t="shared" si="18"/>
        <v>256000</v>
      </c>
      <c r="L1174" s="12">
        <f>Sales_Data[[#This Row],[Unit Price]]*Sales_Data[[#This Row],[Quantity]]</f>
        <v>3200000</v>
      </c>
      <c r="M1174" s="12">
        <f>Sales_Data[[#This Row],[Cost Price]]*Sales_Data[[#This Row],[Quantity]]</f>
        <v>2560000</v>
      </c>
      <c r="N1174" s="12">
        <f>Sales_Data[[#This Row],[Revenue]]-Sales_Data[[#This Row],[COGS]]</f>
        <v>640000</v>
      </c>
    </row>
    <row r="1175" spans="1:14">
      <c r="A1175" s="1">
        <v>46849</v>
      </c>
      <c r="B1175" t="s">
        <v>29</v>
      </c>
      <c r="C1175" t="s">
        <v>19</v>
      </c>
      <c r="D1175" t="s">
        <v>23</v>
      </c>
      <c r="E1175" t="s">
        <v>14</v>
      </c>
      <c r="F1175" t="s">
        <v>33</v>
      </c>
      <c r="G1175" t="s">
        <v>22</v>
      </c>
      <c r="H1175" s="12">
        <v>180000</v>
      </c>
      <c r="I1175">
        <v>4</v>
      </c>
      <c r="J1175" t="s">
        <v>28</v>
      </c>
      <c r="K1175" s="12">
        <f t="shared" si="18"/>
        <v>144000</v>
      </c>
      <c r="L1175" s="12">
        <f>Sales_Data[[#This Row],[Unit Price]]*Sales_Data[[#This Row],[Quantity]]</f>
        <v>720000</v>
      </c>
      <c r="M1175" s="12">
        <f>Sales_Data[[#This Row],[Cost Price]]*Sales_Data[[#This Row],[Quantity]]</f>
        <v>576000</v>
      </c>
      <c r="N1175" s="12">
        <f>Sales_Data[[#This Row],[Revenue]]-Sales_Data[[#This Row],[COGS]]</f>
        <v>144000</v>
      </c>
    </row>
    <row r="1176" spans="1:14">
      <c r="A1176" s="1">
        <v>46850</v>
      </c>
      <c r="B1176" t="s">
        <v>11</v>
      </c>
      <c r="C1176" t="s">
        <v>19</v>
      </c>
      <c r="D1176" t="s">
        <v>13</v>
      </c>
      <c r="E1176" t="s">
        <v>20</v>
      </c>
      <c r="F1176" t="s">
        <v>38</v>
      </c>
      <c r="G1176" t="s">
        <v>31</v>
      </c>
      <c r="H1176" s="12">
        <v>420000</v>
      </c>
      <c r="I1176">
        <v>5</v>
      </c>
      <c r="J1176" t="s">
        <v>37</v>
      </c>
      <c r="K1176" s="12">
        <f t="shared" si="18"/>
        <v>336000</v>
      </c>
      <c r="L1176" s="12">
        <f>Sales_Data[[#This Row],[Unit Price]]*Sales_Data[[#This Row],[Quantity]]</f>
        <v>2100000</v>
      </c>
      <c r="M1176" s="12">
        <f>Sales_Data[[#This Row],[Cost Price]]*Sales_Data[[#This Row],[Quantity]]</f>
        <v>1680000</v>
      </c>
      <c r="N1176" s="12">
        <f>Sales_Data[[#This Row],[Revenue]]-Sales_Data[[#This Row],[COGS]]</f>
        <v>420000</v>
      </c>
    </row>
    <row r="1177" spans="1:14">
      <c r="A1177" s="1">
        <v>46851</v>
      </c>
      <c r="B1177" t="s">
        <v>29</v>
      </c>
      <c r="C1177" t="s">
        <v>32</v>
      </c>
      <c r="D1177" t="s">
        <v>13</v>
      </c>
      <c r="E1177" t="s">
        <v>14</v>
      </c>
      <c r="F1177" t="s">
        <v>27</v>
      </c>
      <c r="G1177" t="s">
        <v>22</v>
      </c>
      <c r="H1177" s="12">
        <v>60000</v>
      </c>
      <c r="I1177">
        <v>5</v>
      </c>
      <c r="J1177" t="s">
        <v>24</v>
      </c>
      <c r="K1177" s="12">
        <f t="shared" si="18"/>
        <v>48000</v>
      </c>
      <c r="L1177" s="12">
        <f>Sales_Data[[#This Row],[Unit Price]]*Sales_Data[[#This Row],[Quantity]]</f>
        <v>300000</v>
      </c>
      <c r="M1177" s="12">
        <f>Sales_Data[[#This Row],[Cost Price]]*Sales_Data[[#This Row],[Quantity]]</f>
        <v>240000</v>
      </c>
      <c r="N1177" s="12">
        <f>Sales_Data[[#This Row],[Revenue]]-Sales_Data[[#This Row],[COGS]]</f>
        <v>60000</v>
      </c>
    </row>
    <row r="1178" spans="1:14">
      <c r="A1178" s="1">
        <v>46852</v>
      </c>
      <c r="B1178" t="s">
        <v>29</v>
      </c>
      <c r="C1178" t="s">
        <v>32</v>
      </c>
      <c r="D1178" t="s">
        <v>13</v>
      </c>
      <c r="E1178" t="s">
        <v>20</v>
      </c>
      <c r="F1178" t="s">
        <v>27</v>
      </c>
      <c r="G1178" t="s">
        <v>22</v>
      </c>
      <c r="H1178" s="12">
        <v>60000</v>
      </c>
      <c r="I1178">
        <v>9</v>
      </c>
      <c r="J1178" t="s">
        <v>37</v>
      </c>
      <c r="K1178" s="12">
        <f t="shared" si="18"/>
        <v>48000</v>
      </c>
      <c r="L1178" s="12">
        <f>Sales_Data[[#This Row],[Unit Price]]*Sales_Data[[#This Row],[Quantity]]</f>
        <v>540000</v>
      </c>
      <c r="M1178" s="12">
        <f>Sales_Data[[#This Row],[Cost Price]]*Sales_Data[[#This Row],[Quantity]]</f>
        <v>432000</v>
      </c>
      <c r="N1178" s="12">
        <f>Sales_Data[[#This Row],[Revenue]]-Sales_Data[[#This Row],[COGS]]</f>
        <v>108000</v>
      </c>
    </row>
    <row r="1179" spans="1:14">
      <c r="A1179" s="1">
        <v>46853</v>
      </c>
      <c r="B1179" t="s">
        <v>18</v>
      </c>
      <c r="C1179" t="s">
        <v>26</v>
      </c>
      <c r="D1179" t="s">
        <v>23</v>
      </c>
      <c r="E1179" t="s">
        <v>20</v>
      </c>
      <c r="F1179" t="s">
        <v>30</v>
      </c>
      <c r="G1179" t="s">
        <v>31</v>
      </c>
      <c r="H1179" s="12">
        <v>300000</v>
      </c>
      <c r="I1179">
        <v>10</v>
      </c>
      <c r="J1179" t="s">
        <v>24</v>
      </c>
      <c r="K1179" s="12">
        <f t="shared" si="18"/>
        <v>240000</v>
      </c>
      <c r="L1179" s="12">
        <f>Sales_Data[[#This Row],[Unit Price]]*Sales_Data[[#This Row],[Quantity]]</f>
        <v>3000000</v>
      </c>
      <c r="M1179" s="12">
        <f>Sales_Data[[#This Row],[Cost Price]]*Sales_Data[[#This Row],[Quantity]]</f>
        <v>2400000</v>
      </c>
      <c r="N1179" s="12">
        <f>Sales_Data[[#This Row],[Revenue]]-Sales_Data[[#This Row],[COGS]]</f>
        <v>600000</v>
      </c>
    </row>
    <row r="1180" spans="1:14">
      <c r="A1180" s="1">
        <v>46854</v>
      </c>
      <c r="B1180" t="s">
        <v>25</v>
      </c>
      <c r="C1180" t="s">
        <v>32</v>
      </c>
      <c r="D1180" t="s">
        <v>13</v>
      </c>
      <c r="E1180" t="s">
        <v>20</v>
      </c>
      <c r="F1180" t="s">
        <v>38</v>
      </c>
      <c r="G1180" t="s">
        <v>31</v>
      </c>
      <c r="H1180" s="12">
        <v>420000</v>
      </c>
      <c r="I1180">
        <v>8</v>
      </c>
      <c r="J1180" t="s">
        <v>39</v>
      </c>
      <c r="K1180" s="12">
        <f t="shared" si="18"/>
        <v>336000</v>
      </c>
      <c r="L1180" s="12">
        <f>Sales_Data[[#This Row],[Unit Price]]*Sales_Data[[#This Row],[Quantity]]</f>
        <v>3360000</v>
      </c>
      <c r="M1180" s="12">
        <f>Sales_Data[[#This Row],[Cost Price]]*Sales_Data[[#This Row],[Quantity]]</f>
        <v>2688000</v>
      </c>
      <c r="N1180" s="12">
        <f>Sales_Data[[#This Row],[Revenue]]-Sales_Data[[#This Row],[COGS]]</f>
        <v>672000</v>
      </c>
    </row>
    <row r="1181" spans="1:14">
      <c r="A1181" s="1">
        <v>46855</v>
      </c>
      <c r="B1181" t="s">
        <v>25</v>
      </c>
      <c r="C1181" t="s">
        <v>26</v>
      </c>
      <c r="D1181" t="s">
        <v>23</v>
      </c>
      <c r="E1181" t="s">
        <v>20</v>
      </c>
      <c r="F1181" t="s">
        <v>33</v>
      </c>
      <c r="G1181" t="s">
        <v>22</v>
      </c>
      <c r="H1181" s="12">
        <v>180000</v>
      </c>
      <c r="I1181">
        <v>4</v>
      </c>
      <c r="J1181" t="s">
        <v>24</v>
      </c>
      <c r="K1181" s="12">
        <f t="shared" si="18"/>
        <v>144000</v>
      </c>
      <c r="L1181" s="12">
        <f>Sales_Data[[#This Row],[Unit Price]]*Sales_Data[[#This Row],[Quantity]]</f>
        <v>720000</v>
      </c>
      <c r="M1181" s="12">
        <f>Sales_Data[[#This Row],[Cost Price]]*Sales_Data[[#This Row],[Quantity]]</f>
        <v>576000</v>
      </c>
      <c r="N1181" s="12">
        <f>Sales_Data[[#This Row],[Revenue]]-Sales_Data[[#This Row],[COGS]]</f>
        <v>144000</v>
      </c>
    </row>
    <row r="1182" spans="1:14">
      <c r="A1182" s="1">
        <v>46856</v>
      </c>
      <c r="B1182" t="s">
        <v>18</v>
      </c>
      <c r="C1182" t="s">
        <v>26</v>
      </c>
      <c r="D1182" t="s">
        <v>13</v>
      </c>
      <c r="E1182" t="s">
        <v>20</v>
      </c>
      <c r="F1182" t="s">
        <v>21</v>
      </c>
      <c r="G1182" t="s">
        <v>22</v>
      </c>
      <c r="H1182" s="12">
        <v>30000</v>
      </c>
      <c r="I1182">
        <v>5</v>
      </c>
      <c r="J1182" t="s">
        <v>37</v>
      </c>
      <c r="K1182" s="12">
        <f t="shared" si="18"/>
        <v>24000</v>
      </c>
      <c r="L1182" s="12">
        <f>Sales_Data[[#This Row],[Unit Price]]*Sales_Data[[#This Row],[Quantity]]</f>
        <v>150000</v>
      </c>
      <c r="M1182" s="12">
        <f>Sales_Data[[#This Row],[Cost Price]]*Sales_Data[[#This Row],[Quantity]]</f>
        <v>120000</v>
      </c>
      <c r="N1182" s="12">
        <f>Sales_Data[[#This Row],[Revenue]]-Sales_Data[[#This Row],[COGS]]</f>
        <v>30000</v>
      </c>
    </row>
    <row r="1183" spans="1:14">
      <c r="A1183" s="1">
        <v>46857</v>
      </c>
      <c r="B1183" t="s">
        <v>29</v>
      </c>
      <c r="C1183" t="s">
        <v>19</v>
      </c>
      <c r="D1183" t="s">
        <v>13</v>
      </c>
      <c r="E1183" t="s">
        <v>14</v>
      </c>
      <c r="F1183" t="s">
        <v>40</v>
      </c>
      <c r="G1183" t="s">
        <v>31</v>
      </c>
      <c r="H1183" s="12">
        <v>250000</v>
      </c>
      <c r="I1183">
        <v>3</v>
      </c>
      <c r="J1183" t="s">
        <v>24</v>
      </c>
      <c r="K1183" s="12">
        <f t="shared" si="18"/>
        <v>200000</v>
      </c>
      <c r="L1183" s="12">
        <f>Sales_Data[[#This Row],[Unit Price]]*Sales_Data[[#This Row],[Quantity]]</f>
        <v>750000</v>
      </c>
      <c r="M1183" s="12">
        <f>Sales_Data[[#This Row],[Cost Price]]*Sales_Data[[#This Row],[Quantity]]</f>
        <v>600000</v>
      </c>
      <c r="N1183" s="12">
        <f>Sales_Data[[#This Row],[Revenue]]-Sales_Data[[#This Row],[COGS]]</f>
        <v>150000</v>
      </c>
    </row>
    <row r="1184" spans="1:14">
      <c r="A1184" s="1">
        <v>46858</v>
      </c>
      <c r="B1184" t="s">
        <v>18</v>
      </c>
      <c r="C1184" t="s">
        <v>26</v>
      </c>
      <c r="D1184" t="s">
        <v>23</v>
      </c>
      <c r="E1184" t="s">
        <v>20</v>
      </c>
      <c r="F1184" t="s">
        <v>15</v>
      </c>
      <c r="G1184" t="s">
        <v>16</v>
      </c>
      <c r="H1184" s="12">
        <v>85000</v>
      </c>
      <c r="I1184">
        <v>8</v>
      </c>
      <c r="J1184" t="s">
        <v>28</v>
      </c>
      <c r="K1184" s="12">
        <f t="shared" si="18"/>
        <v>68000</v>
      </c>
      <c r="L1184" s="12">
        <f>Sales_Data[[#This Row],[Unit Price]]*Sales_Data[[#This Row],[Quantity]]</f>
        <v>680000</v>
      </c>
      <c r="M1184" s="12">
        <f>Sales_Data[[#This Row],[Cost Price]]*Sales_Data[[#This Row],[Quantity]]</f>
        <v>544000</v>
      </c>
      <c r="N1184" s="12">
        <f>Sales_Data[[#This Row],[Revenue]]-Sales_Data[[#This Row],[COGS]]</f>
        <v>136000</v>
      </c>
    </row>
    <row r="1185" spans="1:14">
      <c r="A1185" s="1">
        <v>46859</v>
      </c>
      <c r="B1185" t="s">
        <v>25</v>
      </c>
      <c r="C1185" t="s">
        <v>12</v>
      </c>
      <c r="D1185" t="s">
        <v>23</v>
      </c>
      <c r="E1185" t="s">
        <v>14</v>
      </c>
      <c r="F1185" t="s">
        <v>27</v>
      </c>
      <c r="G1185" t="s">
        <v>22</v>
      </c>
      <c r="H1185" s="12">
        <v>60000</v>
      </c>
      <c r="I1185">
        <v>8</v>
      </c>
      <c r="J1185" t="s">
        <v>37</v>
      </c>
      <c r="K1185" s="12">
        <f t="shared" si="18"/>
        <v>48000</v>
      </c>
      <c r="L1185" s="12">
        <f>Sales_Data[[#This Row],[Unit Price]]*Sales_Data[[#This Row],[Quantity]]</f>
        <v>480000</v>
      </c>
      <c r="M1185" s="12">
        <f>Sales_Data[[#This Row],[Cost Price]]*Sales_Data[[#This Row],[Quantity]]</f>
        <v>384000</v>
      </c>
      <c r="N1185" s="12">
        <f>Sales_Data[[#This Row],[Revenue]]-Sales_Data[[#This Row],[COGS]]</f>
        <v>96000</v>
      </c>
    </row>
    <row r="1186" spans="1:14">
      <c r="A1186" s="1">
        <v>46860</v>
      </c>
      <c r="B1186" t="s">
        <v>25</v>
      </c>
      <c r="C1186" t="s">
        <v>12</v>
      </c>
      <c r="D1186" t="s">
        <v>23</v>
      </c>
      <c r="E1186" t="s">
        <v>20</v>
      </c>
      <c r="F1186" t="s">
        <v>36</v>
      </c>
      <c r="G1186" t="s">
        <v>31</v>
      </c>
      <c r="H1186" s="12">
        <v>150000</v>
      </c>
      <c r="I1186">
        <v>5</v>
      </c>
      <c r="J1186" t="s">
        <v>17</v>
      </c>
      <c r="K1186" s="12">
        <f t="shared" si="18"/>
        <v>120000</v>
      </c>
      <c r="L1186" s="12">
        <f>Sales_Data[[#This Row],[Unit Price]]*Sales_Data[[#This Row],[Quantity]]</f>
        <v>750000</v>
      </c>
      <c r="M1186" s="12">
        <f>Sales_Data[[#This Row],[Cost Price]]*Sales_Data[[#This Row],[Quantity]]</f>
        <v>600000</v>
      </c>
      <c r="N1186" s="12">
        <f>Sales_Data[[#This Row],[Revenue]]-Sales_Data[[#This Row],[COGS]]</f>
        <v>150000</v>
      </c>
    </row>
    <row r="1187" spans="1:14">
      <c r="A1187" s="1">
        <v>46861</v>
      </c>
      <c r="B1187" t="s">
        <v>29</v>
      </c>
      <c r="C1187" t="s">
        <v>12</v>
      </c>
      <c r="D1187" t="s">
        <v>23</v>
      </c>
      <c r="E1187" t="s">
        <v>14</v>
      </c>
      <c r="F1187" t="s">
        <v>34</v>
      </c>
      <c r="G1187" t="s">
        <v>16</v>
      </c>
      <c r="H1187" s="12">
        <v>320000</v>
      </c>
      <c r="I1187">
        <v>9</v>
      </c>
      <c r="J1187" t="s">
        <v>35</v>
      </c>
      <c r="K1187" s="12">
        <f t="shared" si="18"/>
        <v>256000</v>
      </c>
      <c r="L1187" s="12">
        <f>Sales_Data[[#This Row],[Unit Price]]*Sales_Data[[#This Row],[Quantity]]</f>
        <v>2880000</v>
      </c>
      <c r="M1187" s="12">
        <f>Sales_Data[[#This Row],[Cost Price]]*Sales_Data[[#This Row],[Quantity]]</f>
        <v>2304000</v>
      </c>
      <c r="N1187" s="12">
        <f>Sales_Data[[#This Row],[Revenue]]-Sales_Data[[#This Row],[COGS]]</f>
        <v>576000</v>
      </c>
    </row>
    <row r="1188" spans="1:14">
      <c r="A1188" s="1">
        <v>46862</v>
      </c>
      <c r="B1188" t="s">
        <v>29</v>
      </c>
      <c r="C1188" t="s">
        <v>32</v>
      </c>
      <c r="D1188" t="s">
        <v>23</v>
      </c>
      <c r="E1188" t="s">
        <v>14</v>
      </c>
      <c r="F1188" t="s">
        <v>38</v>
      </c>
      <c r="G1188" t="s">
        <v>31</v>
      </c>
      <c r="H1188" s="12">
        <v>420000</v>
      </c>
      <c r="I1188">
        <v>7</v>
      </c>
      <c r="J1188" t="s">
        <v>17</v>
      </c>
      <c r="K1188" s="12">
        <f t="shared" si="18"/>
        <v>336000</v>
      </c>
      <c r="L1188" s="12">
        <f>Sales_Data[[#This Row],[Unit Price]]*Sales_Data[[#This Row],[Quantity]]</f>
        <v>2940000</v>
      </c>
      <c r="M1188" s="12">
        <f>Sales_Data[[#This Row],[Cost Price]]*Sales_Data[[#This Row],[Quantity]]</f>
        <v>2352000</v>
      </c>
      <c r="N1188" s="12">
        <f>Sales_Data[[#This Row],[Revenue]]-Sales_Data[[#This Row],[COGS]]</f>
        <v>588000</v>
      </c>
    </row>
    <row r="1189" spans="1:14">
      <c r="A1189" s="1">
        <v>46863</v>
      </c>
      <c r="B1189" t="s">
        <v>25</v>
      </c>
      <c r="C1189" t="s">
        <v>26</v>
      </c>
      <c r="D1189" t="s">
        <v>23</v>
      </c>
      <c r="E1189" t="s">
        <v>20</v>
      </c>
      <c r="F1189" t="s">
        <v>27</v>
      </c>
      <c r="G1189" t="s">
        <v>22</v>
      </c>
      <c r="H1189" s="12">
        <v>60000</v>
      </c>
      <c r="I1189">
        <v>6</v>
      </c>
      <c r="J1189" t="s">
        <v>37</v>
      </c>
      <c r="K1189" s="12">
        <f t="shared" si="18"/>
        <v>48000</v>
      </c>
      <c r="L1189" s="12">
        <f>Sales_Data[[#This Row],[Unit Price]]*Sales_Data[[#This Row],[Quantity]]</f>
        <v>360000</v>
      </c>
      <c r="M1189" s="12">
        <f>Sales_Data[[#This Row],[Cost Price]]*Sales_Data[[#This Row],[Quantity]]</f>
        <v>288000</v>
      </c>
      <c r="N1189" s="12">
        <f>Sales_Data[[#This Row],[Revenue]]-Sales_Data[[#This Row],[COGS]]</f>
        <v>72000</v>
      </c>
    </row>
    <row r="1190" spans="1:14">
      <c r="A1190" s="1">
        <v>46864</v>
      </c>
      <c r="B1190" t="s">
        <v>29</v>
      </c>
      <c r="C1190" t="s">
        <v>12</v>
      </c>
      <c r="D1190" t="s">
        <v>13</v>
      </c>
      <c r="E1190" t="s">
        <v>20</v>
      </c>
      <c r="F1190" t="s">
        <v>36</v>
      </c>
      <c r="G1190" t="s">
        <v>31</v>
      </c>
      <c r="H1190" s="12">
        <v>150000</v>
      </c>
      <c r="I1190">
        <v>7</v>
      </c>
      <c r="J1190" t="s">
        <v>39</v>
      </c>
      <c r="K1190" s="12">
        <f t="shared" si="18"/>
        <v>120000</v>
      </c>
      <c r="L1190" s="12">
        <f>Sales_Data[[#This Row],[Unit Price]]*Sales_Data[[#This Row],[Quantity]]</f>
        <v>1050000</v>
      </c>
      <c r="M1190" s="12">
        <f>Sales_Data[[#This Row],[Cost Price]]*Sales_Data[[#This Row],[Quantity]]</f>
        <v>840000</v>
      </c>
      <c r="N1190" s="12">
        <f>Sales_Data[[#This Row],[Revenue]]-Sales_Data[[#This Row],[COGS]]</f>
        <v>210000</v>
      </c>
    </row>
    <row r="1191" spans="1:14">
      <c r="A1191" s="1">
        <v>46865</v>
      </c>
      <c r="B1191" t="s">
        <v>18</v>
      </c>
      <c r="C1191" t="s">
        <v>26</v>
      </c>
      <c r="D1191" t="s">
        <v>13</v>
      </c>
      <c r="E1191" t="s">
        <v>20</v>
      </c>
      <c r="F1191" t="s">
        <v>34</v>
      </c>
      <c r="G1191" t="s">
        <v>16</v>
      </c>
      <c r="H1191" s="12">
        <v>320000</v>
      </c>
      <c r="I1191">
        <v>10</v>
      </c>
      <c r="J1191" t="s">
        <v>28</v>
      </c>
      <c r="K1191" s="12">
        <f t="shared" si="18"/>
        <v>256000</v>
      </c>
      <c r="L1191" s="12">
        <f>Sales_Data[[#This Row],[Unit Price]]*Sales_Data[[#This Row],[Quantity]]</f>
        <v>3200000</v>
      </c>
      <c r="M1191" s="12">
        <f>Sales_Data[[#This Row],[Cost Price]]*Sales_Data[[#This Row],[Quantity]]</f>
        <v>2560000</v>
      </c>
      <c r="N1191" s="12">
        <f>Sales_Data[[#This Row],[Revenue]]-Sales_Data[[#This Row],[COGS]]</f>
        <v>640000</v>
      </c>
    </row>
    <row r="1192" spans="1:14">
      <c r="A1192" s="1">
        <v>46866</v>
      </c>
      <c r="B1192" t="s">
        <v>18</v>
      </c>
      <c r="C1192" t="s">
        <v>12</v>
      </c>
      <c r="D1192" t="s">
        <v>23</v>
      </c>
      <c r="E1192" t="s">
        <v>14</v>
      </c>
      <c r="F1192" t="s">
        <v>30</v>
      </c>
      <c r="G1192" t="s">
        <v>31</v>
      </c>
      <c r="H1192" s="12">
        <v>300000</v>
      </c>
      <c r="I1192">
        <v>8</v>
      </c>
      <c r="J1192" t="s">
        <v>24</v>
      </c>
      <c r="K1192" s="12">
        <f t="shared" si="18"/>
        <v>240000</v>
      </c>
      <c r="L1192" s="12">
        <f>Sales_Data[[#This Row],[Unit Price]]*Sales_Data[[#This Row],[Quantity]]</f>
        <v>2400000</v>
      </c>
      <c r="M1192" s="12">
        <f>Sales_Data[[#This Row],[Cost Price]]*Sales_Data[[#This Row],[Quantity]]</f>
        <v>1920000</v>
      </c>
      <c r="N1192" s="12">
        <f>Sales_Data[[#This Row],[Revenue]]-Sales_Data[[#This Row],[COGS]]</f>
        <v>480000</v>
      </c>
    </row>
    <row r="1193" spans="1:14">
      <c r="A1193" s="1">
        <v>46867</v>
      </c>
      <c r="B1193" t="s">
        <v>11</v>
      </c>
      <c r="C1193" t="s">
        <v>12</v>
      </c>
      <c r="D1193" t="s">
        <v>13</v>
      </c>
      <c r="E1193" t="s">
        <v>14</v>
      </c>
      <c r="F1193" t="s">
        <v>38</v>
      </c>
      <c r="G1193" t="s">
        <v>31</v>
      </c>
      <c r="H1193" s="12">
        <v>420000</v>
      </c>
      <c r="I1193">
        <v>5</v>
      </c>
      <c r="J1193" t="s">
        <v>35</v>
      </c>
      <c r="K1193" s="12">
        <f t="shared" si="18"/>
        <v>336000</v>
      </c>
      <c r="L1193" s="12">
        <f>Sales_Data[[#This Row],[Unit Price]]*Sales_Data[[#This Row],[Quantity]]</f>
        <v>2100000</v>
      </c>
      <c r="M1193" s="12">
        <f>Sales_Data[[#This Row],[Cost Price]]*Sales_Data[[#This Row],[Quantity]]</f>
        <v>1680000</v>
      </c>
      <c r="N1193" s="12">
        <f>Sales_Data[[#This Row],[Revenue]]-Sales_Data[[#This Row],[COGS]]</f>
        <v>420000</v>
      </c>
    </row>
    <row r="1194" spans="1:14">
      <c r="A1194" s="1">
        <v>46868</v>
      </c>
      <c r="B1194" t="s">
        <v>18</v>
      </c>
      <c r="C1194" t="s">
        <v>26</v>
      </c>
      <c r="D1194" t="s">
        <v>13</v>
      </c>
      <c r="E1194" t="s">
        <v>20</v>
      </c>
      <c r="F1194" t="s">
        <v>41</v>
      </c>
      <c r="G1194" t="s">
        <v>22</v>
      </c>
      <c r="H1194" s="12">
        <v>220000</v>
      </c>
      <c r="I1194">
        <v>5</v>
      </c>
      <c r="J1194" t="s">
        <v>17</v>
      </c>
      <c r="K1194" s="12">
        <f t="shared" si="18"/>
        <v>176000</v>
      </c>
      <c r="L1194" s="12">
        <f>Sales_Data[[#This Row],[Unit Price]]*Sales_Data[[#This Row],[Quantity]]</f>
        <v>1100000</v>
      </c>
      <c r="M1194" s="12">
        <f>Sales_Data[[#This Row],[Cost Price]]*Sales_Data[[#This Row],[Quantity]]</f>
        <v>880000</v>
      </c>
      <c r="N1194" s="12">
        <f>Sales_Data[[#This Row],[Revenue]]-Sales_Data[[#This Row],[COGS]]</f>
        <v>220000</v>
      </c>
    </row>
    <row r="1195" spans="1:14">
      <c r="A1195" s="1">
        <v>46869</v>
      </c>
      <c r="B1195" t="s">
        <v>11</v>
      </c>
      <c r="C1195" t="s">
        <v>12</v>
      </c>
      <c r="D1195" t="s">
        <v>23</v>
      </c>
      <c r="E1195" t="s">
        <v>20</v>
      </c>
      <c r="F1195" t="s">
        <v>34</v>
      </c>
      <c r="G1195" t="s">
        <v>16</v>
      </c>
      <c r="H1195" s="12">
        <v>320000</v>
      </c>
      <c r="I1195">
        <v>3</v>
      </c>
      <c r="J1195" t="s">
        <v>24</v>
      </c>
      <c r="K1195" s="12">
        <f t="shared" si="18"/>
        <v>256000</v>
      </c>
      <c r="L1195" s="12">
        <f>Sales_Data[[#This Row],[Unit Price]]*Sales_Data[[#This Row],[Quantity]]</f>
        <v>960000</v>
      </c>
      <c r="M1195" s="12">
        <f>Sales_Data[[#This Row],[Cost Price]]*Sales_Data[[#This Row],[Quantity]]</f>
        <v>768000</v>
      </c>
      <c r="N1195" s="12">
        <f>Sales_Data[[#This Row],[Revenue]]-Sales_Data[[#This Row],[COGS]]</f>
        <v>192000</v>
      </c>
    </row>
    <row r="1196" spans="1:14">
      <c r="A1196" s="1">
        <v>46870</v>
      </c>
      <c r="B1196" t="s">
        <v>18</v>
      </c>
      <c r="C1196" t="s">
        <v>12</v>
      </c>
      <c r="D1196" t="s">
        <v>13</v>
      </c>
      <c r="E1196" t="s">
        <v>14</v>
      </c>
      <c r="F1196" t="s">
        <v>33</v>
      </c>
      <c r="G1196" t="s">
        <v>22</v>
      </c>
      <c r="H1196" s="12">
        <v>180000</v>
      </c>
      <c r="I1196">
        <v>9</v>
      </c>
      <c r="J1196" t="s">
        <v>39</v>
      </c>
      <c r="K1196" s="12">
        <f t="shared" si="18"/>
        <v>144000</v>
      </c>
      <c r="L1196" s="12">
        <f>Sales_Data[[#This Row],[Unit Price]]*Sales_Data[[#This Row],[Quantity]]</f>
        <v>1620000</v>
      </c>
      <c r="M1196" s="12">
        <f>Sales_Data[[#This Row],[Cost Price]]*Sales_Data[[#This Row],[Quantity]]</f>
        <v>1296000</v>
      </c>
      <c r="N1196" s="12">
        <f>Sales_Data[[#This Row],[Revenue]]-Sales_Data[[#This Row],[COGS]]</f>
        <v>324000</v>
      </c>
    </row>
    <row r="1197" spans="1:14">
      <c r="A1197" s="1">
        <v>46871</v>
      </c>
      <c r="B1197" t="s">
        <v>29</v>
      </c>
      <c r="C1197" t="s">
        <v>12</v>
      </c>
      <c r="D1197" t="s">
        <v>13</v>
      </c>
      <c r="E1197" t="s">
        <v>14</v>
      </c>
      <c r="F1197" t="s">
        <v>30</v>
      </c>
      <c r="G1197" t="s">
        <v>31</v>
      </c>
      <c r="H1197" s="12">
        <v>300000</v>
      </c>
      <c r="I1197">
        <v>1</v>
      </c>
      <c r="J1197" t="s">
        <v>39</v>
      </c>
      <c r="K1197" s="12">
        <f t="shared" si="18"/>
        <v>240000</v>
      </c>
      <c r="L1197" s="12">
        <f>Sales_Data[[#This Row],[Unit Price]]*Sales_Data[[#This Row],[Quantity]]</f>
        <v>300000</v>
      </c>
      <c r="M1197" s="12">
        <f>Sales_Data[[#This Row],[Cost Price]]*Sales_Data[[#This Row],[Quantity]]</f>
        <v>240000</v>
      </c>
      <c r="N1197" s="12">
        <f>Sales_Data[[#This Row],[Revenue]]-Sales_Data[[#This Row],[COGS]]</f>
        <v>60000</v>
      </c>
    </row>
    <row r="1198" spans="1:14">
      <c r="A1198" s="1">
        <v>46872</v>
      </c>
      <c r="B1198" t="s">
        <v>29</v>
      </c>
      <c r="C1198" t="s">
        <v>26</v>
      </c>
      <c r="D1198" t="s">
        <v>13</v>
      </c>
      <c r="E1198" t="s">
        <v>20</v>
      </c>
      <c r="F1198" t="s">
        <v>41</v>
      </c>
      <c r="G1198" t="s">
        <v>22</v>
      </c>
      <c r="H1198" s="12">
        <v>220000</v>
      </c>
      <c r="I1198">
        <v>7</v>
      </c>
      <c r="J1198" t="s">
        <v>39</v>
      </c>
      <c r="K1198" s="12">
        <f t="shared" si="18"/>
        <v>176000</v>
      </c>
      <c r="L1198" s="12">
        <f>Sales_Data[[#This Row],[Unit Price]]*Sales_Data[[#This Row],[Quantity]]</f>
        <v>1540000</v>
      </c>
      <c r="M1198" s="12">
        <f>Sales_Data[[#This Row],[Cost Price]]*Sales_Data[[#This Row],[Quantity]]</f>
        <v>1232000</v>
      </c>
      <c r="N1198" s="12">
        <f>Sales_Data[[#This Row],[Revenue]]-Sales_Data[[#This Row],[COGS]]</f>
        <v>308000</v>
      </c>
    </row>
    <row r="1199" spans="1:14">
      <c r="A1199" s="1">
        <v>46873</v>
      </c>
      <c r="B1199" t="s">
        <v>18</v>
      </c>
      <c r="C1199" t="s">
        <v>19</v>
      </c>
      <c r="D1199" t="s">
        <v>23</v>
      </c>
      <c r="E1199" t="s">
        <v>20</v>
      </c>
      <c r="F1199" t="s">
        <v>15</v>
      </c>
      <c r="G1199" t="s">
        <v>16</v>
      </c>
      <c r="H1199" s="12">
        <v>85000</v>
      </c>
      <c r="I1199">
        <v>9</v>
      </c>
      <c r="J1199" t="s">
        <v>24</v>
      </c>
      <c r="K1199" s="12">
        <f t="shared" si="18"/>
        <v>68000</v>
      </c>
      <c r="L1199" s="12">
        <f>Sales_Data[[#This Row],[Unit Price]]*Sales_Data[[#This Row],[Quantity]]</f>
        <v>765000</v>
      </c>
      <c r="M1199" s="12">
        <f>Sales_Data[[#This Row],[Cost Price]]*Sales_Data[[#This Row],[Quantity]]</f>
        <v>612000</v>
      </c>
      <c r="N1199" s="12">
        <f>Sales_Data[[#This Row],[Revenue]]-Sales_Data[[#This Row],[COGS]]</f>
        <v>153000</v>
      </c>
    </row>
    <row r="1200" spans="1:14">
      <c r="A1200" s="1">
        <v>46874</v>
      </c>
      <c r="B1200" t="s">
        <v>18</v>
      </c>
      <c r="C1200" t="s">
        <v>19</v>
      </c>
      <c r="D1200" t="s">
        <v>13</v>
      </c>
      <c r="E1200" t="s">
        <v>14</v>
      </c>
      <c r="F1200" t="s">
        <v>15</v>
      </c>
      <c r="G1200" t="s">
        <v>16</v>
      </c>
      <c r="H1200" s="12">
        <v>85000</v>
      </c>
      <c r="I1200">
        <v>4</v>
      </c>
      <c r="J1200" t="s">
        <v>28</v>
      </c>
      <c r="K1200" s="12">
        <f t="shared" si="18"/>
        <v>68000</v>
      </c>
      <c r="L1200" s="12">
        <f>Sales_Data[[#This Row],[Unit Price]]*Sales_Data[[#This Row],[Quantity]]</f>
        <v>340000</v>
      </c>
      <c r="M1200" s="12">
        <f>Sales_Data[[#This Row],[Cost Price]]*Sales_Data[[#This Row],[Quantity]]</f>
        <v>272000</v>
      </c>
      <c r="N1200" s="12">
        <f>Sales_Data[[#This Row],[Revenue]]-Sales_Data[[#This Row],[COGS]]</f>
        <v>68000</v>
      </c>
    </row>
    <row r="1201" spans="1:14">
      <c r="A1201" s="1">
        <v>46875</v>
      </c>
      <c r="B1201" t="s">
        <v>18</v>
      </c>
      <c r="C1201" t="s">
        <v>32</v>
      </c>
      <c r="D1201" t="s">
        <v>13</v>
      </c>
      <c r="E1201" t="s">
        <v>20</v>
      </c>
      <c r="F1201" t="s">
        <v>27</v>
      </c>
      <c r="G1201" t="s">
        <v>22</v>
      </c>
      <c r="H1201" s="12">
        <v>60000</v>
      </c>
      <c r="I1201">
        <v>8</v>
      </c>
      <c r="J1201" t="s">
        <v>28</v>
      </c>
      <c r="K1201" s="12">
        <f t="shared" si="18"/>
        <v>48000</v>
      </c>
      <c r="L1201" s="12">
        <f>Sales_Data[[#This Row],[Unit Price]]*Sales_Data[[#This Row],[Quantity]]</f>
        <v>480000</v>
      </c>
      <c r="M1201" s="12">
        <f>Sales_Data[[#This Row],[Cost Price]]*Sales_Data[[#This Row],[Quantity]]</f>
        <v>384000</v>
      </c>
      <c r="N1201" s="12">
        <f>Sales_Data[[#This Row],[Revenue]]-Sales_Data[[#This Row],[COGS]]</f>
        <v>96000</v>
      </c>
    </row>
    <row r="1202" spans="1:14">
      <c r="A1202" s="1">
        <v>46876</v>
      </c>
      <c r="B1202" t="s">
        <v>25</v>
      </c>
      <c r="C1202" t="s">
        <v>19</v>
      </c>
      <c r="D1202" t="s">
        <v>23</v>
      </c>
      <c r="E1202" t="s">
        <v>20</v>
      </c>
      <c r="F1202" t="s">
        <v>36</v>
      </c>
      <c r="G1202" t="s">
        <v>31</v>
      </c>
      <c r="H1202" s="12">
        <v>150000</v>
      </c>
      <c r="I1202">
        <v>6</v>
      </c>
      <c r="J1202" t="s">
        <v>35</v>
      </c>
      <c r="K1202" s="12">
        <f t="shared" si="18"/>
        <v>120000</v>
      </c>
      <c r="L1202" s="12">
        <f>Sales_Data[[#This Row],[Unit Price]]*Sales_Data[[#This Row],[Quantity]]</f>
        <v>900000</v>
      </c>
      <c r="M1202" s="12">
        <f>Sales_Data[[#This Row],[Cost Price]]*Sales_Data[[#This Row],[Quantity]]</f>
        <v>720000</v>
      </c>
      <c r="N1202" s="12">
        <f>Sales_Data[[#This Row],[Revenue]]-Sales_Data[[#This Row],[COGS]]</f>
        <v>180000</v>
      </c>
    </row>
    <row r="1203" spans="1:14">
      <c r="A1203" s="1">
        <v>46877</v>
      </c>
      <c r="B1203" t="s">
        <v>18</v>
      </c>
      <c r="C1203" t="s">
        <v>26</v>
      </c>
      <c r="D1203" t="s">
        <v>23</v>
      </c>
      <c r="E1203" t="s">
        <v>14</v>
      </c>
      <c r="F1203" t="s">
        <v>15</v>
      </c>
      <c r="G1203" t="s">
        <v>16</v>
      </c>
      <c r="H1203" s="12">
        <v>85000</v>
      </c>
      <c r="I1203">
        <v>10</v>
      </c>
      <c r="J1203" t="s">
        <v>28</v>
      </c>
      <c r="K1203" s="12">
        <f t="shared" si="18"/>
        <v>68000</v>
      </c>
      <c r="L1203" s="12">
        <f>Sales_Data[[#This Row],[Unit Price]]*Sales_Data[[#This Row],[Quantity]]</f>
        <v>850000</v>
      </c>
      <c r="M1203" s="12">
        <f>Sales_Data[[#This Row],[Cost Price]]*Sales_Data[[#This Row],[Quantity]]</f>
        <v>680000</v>
      </c>
      <c r="N1203" s="12">
        <f>Sales_Data[[#This Row],[Revenue]]-Sales_Data[[#This Row],[COGS]]</f>
        <v>170000</v>
      </c>
    </row>
    <row r="1204" spans="1:14">
      <c r="A1204" s="1">
        <v>46878</v>
      </c>
      <c r="B1204" t="s">
        <v>11</v>
      </c>
      <c r="C1204" t="s">
        <v>19</v>
      </c>
      <c r="D1204" t="s">
        <v>23</v>
      </c>
      <c r="E1204" t="s">
        <v>20</v>
      </c>
      <c r="F1204" t="s">
        <v>15</v>
      </c>
      <c r="G1204" t="s">
        <v>16</v>
      </c>
      <c r="H1204" s="12">
        <v>85000</v>
      </c>
      <c r="I1204">
        <v>3</v>
      </c>
      <c r="J1204" t="s">
        <v>39</v>
      </c>
      <c r="K1204" s="12">
        <f t="shared" si="18"/>
        <v>68000</v>
      </c>
      <c r="L1204" s="12">
        <f>Sales_Data[[#This Row],[Unit Price]]*Sales_Data[[#This Row],[Quantity]]</f>
        <v>255000</v>
      </c>
      <c r="M1204" s="12">
        <f>Sales_Data[[#This Row],[Cost Price]]*Sales_Data[[#This Row],[Quantity]]</f>
        <v>204000</v>
      </c>
      <c r="N1204" s="12">
        <f>Sales_Data[[#This Row],[Revenue]]-Sales_Data[[#This Row],[COGS]]</f>
        <v>51000</v>
      </c>
    </row>
    <row r="1205" spans="1:14">
      <c r="A1205" s="1">
        <v>46879</v>
      </c>
      <c r="B1205" t="s">
        <v>11</v>
      </c>
      <c r="C1205" t="s">
        <v>26</v>
      </c>
      <c r="D1205" t="s">
        <v>23</v>
      </c>
      <c r="E1205" t="s">
        <v>14</v>
      </c>
      <c r="F1205" t="s">
        <v>30</v>
      </c>
      <c r="G1205" t="s">
        <v>31</v>
      </c>
      <c r="H1205" s="12">
        <v>300000</v>
      </c>
      <c r="I1205">
        <v>8</v>
      </c>
      <c r="J1205" t="s">
        <v>35</v>
      </c>
      <c r="K1205" s="12">
        <f t="shared" si="18"/>
        <v>240000</v>
      </c>
      <c r="L1205" s="12">
        <f>Sales_Data[[#This Row],[Unit Price]]*Sales_Data[[#This Row],[Quantity]]</f>
        <v>2400000</v>
      </c>
      <c r="M1205" s="12">
        <f>Sales_Data[[#This Row],[Cost Price]]*Sales_Data[[#This Row],[Quantity]]</f>
        <v>1920000</v>
      </c>
      <c r="N1205" s="12">
        <f>Sales_Data[[#This Row],[Revenue]]-Sales_Data[[#This Row],[COGS]]</f>
        <v>480000</v>
      </c>
    </row>
    <row r="1206" spans="1:14">
      <c r="A1206" s="1">
        <v>46880</v>
      </c>
      <c r="B1206" t="s">
        <v>11</v>
      </c>
      <c r="C1206" t="s">
        <v>12</v>
      </c>
      <c r="D1206" t="s">
        <v>23</v>
      </c>
      <c r="E1206" t="s">
        <v>14</v>
      </c>
      <c r="F1206" t="s">
        <v>38</v>
      </c>
      <c r="G1206" t="s">
        <v>31</v>
      </c>
      <c r="H1206" s="12">
        <v>420000</v>
      </c>
      <c r="I1206">
        <v>6</v>
      </c>
      <c r="J1206" t="s">
        <v>37</v>
      </c>
      <c r="K1206" s="12">
        <f t="shared" si="18"/>
        <v>336000</v>
      </c>
      <c r="L1206" s="12">
        <f>Sales_Data[[#This Row],[Unit Price]]*Sales_Data[[#This Row],[Quantity]]</f>
        <v>2520000</v>
      </c>
      <c r="M1206" s="12">
        <f>Sales_Data[[#This Row],[Cost Price]]*Sales_Data[[#This Row],[Quantity]]</f>
        <v>2016000</v>
      </c>
      <c r="N1206" s="12">
        <f>Sales_Data[[#This Row],[Revenue]]-Sales_Data[[#This Row],[COGS]]</f>
        <v>504000</v>
      </c>
    </row>
    <row r="1207" spans="1:14">
      <c r="A1207" s="1">
        <v>46881</v>
      </c>
      <c r="B1207" t="s">
        <v>25</v>
      </c>
      <c r="C1207" t="s">
        <v>26</v>
      </c>
      <c r="D1207" t="s">
        <v>23</v>
      </c>
      <c r="E1207" t="s">
        <v>14</v>
      </c>
      <c r="F1207" t="s">
        <v>40</v>
      </c>
      <c r="G1207" t="s">
        <v>31</v>
      </c>
      <c r="H1207" s="12">
        <v>250000</v>
      </c>
      <c r="I1207">
        <v>3</v>
      </c>
      <c r="J1207" t="s">
        <v>24</v>
      </c>
      <c r="K1207" s="12">
        <f t="shared" si="18"/>
        <v>200000</v>
      </c>
      <c r="L1207" s="12">
        <f>Sales_Data[[#This Row],[Unit Price]]*Sales_Data[[#This Row],[Quantity]]</f>
        <v>750000</v>
      </c>
      <c r="M1207" s="12">
        <f>Sales_Data[[#This Row],[Cost Price]]*Sales_Data[[#This Row],[Quantity]]</f>
        <v>600000</v>
      </c>
      <c r="N1207" s="12">
        <f>Sales_Data[[#This Row],[Revenue]]-Sales_Data[[#This Row],[COGS]]</f>
        <v>150000</v>
      </c>
    </row>
    <row r="1208" spans="1:14">
      <c r="A1208" s="1">
        <v>46882</v>
      </c>
      <c r="B1208" t="s">
        <v>11</v>
      </c>
      <c r="C1208" t="s">
        <v>32</v>
      </c>
      <c r="D1208" t="s">
        <v>13</v>
      </c>
      <c r="E1208" t="s">
        <v>20</v>
      </c>
      <c r="F1208" t="s">
        <v>40</v>
      </c>
      <c r="G1208" t="s">
        <v>31</v>
      </c>
      <c r="H1208" s="12">
        <v>250000</v>
      </c>
      <c r="I1208">
        <v>8</v>
      </c>
      <c r="J1208" t="s">
        <v>28</v>
      </c>
      <c r="K1208" s="12">
        <f t="shared" si="18"/>
        <v>200000</v>
      </c>
      <c r="L1208" s="12">
        <f>Sales_Data[[#This Row],[Unit Price]]*Sales_Data[[#This Row],[Quantity]]</f>
        <v>2000000</v>
      </c>
      <c r="M1208" s="12">
        <f>Sales_Data[[#This Row],[Cost Price]]*Sales_Data[[#This Row],[Quantity]]</f>
        <v>1600000</v>
      </c>
      <c r="N1208" s="12">
        <f>Sales_Data[[#This Row],[Revenue]]-Sales_Data[[#This Row],[COGS]]</f>
        <v>400000</v>
      </c>
    </row>
    <row r="1209" spans="1:14">
      <c r="A1209" s="1">
        <v>46883</v>
      </c>
      <c r="B1209" t="s">
        <v>29</v>
      </c>
      <c r="C1209" t="s">
        <v>19</v>
      </c>
      <c r="D1209" t="s">
        <v>23</v>
      </c>
      <c r="E1209" t="s">
        <v>14</v>
      </c>
      <c r="F1209" t="s">
        <v>15</v>
      </c>
      <c r="G1209" t="s">
        <v>16</v>
      </c>
      <c r="H1209" s="12">
        <v>85000</v>
      </c>
      <c r="I1209">
        <v>3</v>
      </c>
      <c r="J1209" t="s">
        <v>28</v>
      </c>
      <c r="K1209" s="12">
        <f t="shared" si="18"/>
        <v>68000</v>
      </c>
      <c r="L1209" s="12">
        <f>Sales_Data[[#This Row],[Unit Price]]*Sales_Data[[#This Row],[Quantity]]</f>
        <v>255000</v>
      </c>
      <c r="M1209" s="12">
        <f>Sales_Data[[#This Row],[Cost Price]]*Sales_Data[[#This Row],[Quantity]]</f>
        <v>204000</v>
      </c>
      <c r="N1209" s="12">
        <f>Sales_Data[[#This Row],[Revenue]]-Sales_Data[[#This Row],[COGS]]</f>
        <v>51000</v>
      </c>
    </row>
    <row r="1210" spans="1:14">
      <c r="A1210" s="1">
        <v>46884</v>
      </c>
      <c r="B1210" t="s">
        <v>29</v>
      </c>
      <c r="C1210" t="s">
        <v>32</v>
      </c>
      <c r="D1210" t="s">
        <v>23</v>
      </c>
      <c r="E1210" t="s">
        <v>14</v>
      </c>
      <c r="F1210" t="s">
        <v>21</v>
      </c>
      <c r="G1210" t="s">
        <v>22</v>
      </c>
      <c r="H1210" s="12">
        <v>30000</v>
      </c>
      <c r="I1210">
        <v>7</v>
      </c>
      <c r="J1210" t="s">
        <v>28</v>
      </c>
      <c r="K1210" s="12">
        <f t="shared" si="18"/>
        <v>24000</v>
      </c>
      <c r="L1210" s="12">
        <f>Sales_Data[[#This Row],[Unit Price]]*Sales_Data[[#This Row],[Quantity]]</f>
        <v>210000</v>
      </c>
      <c r="M1210" s="12">
        <f>Sales_Data[[#This Row],[Cost Price]]*Sales_Data[[#This Row],[Quantity]]</f>
        <v>168000</v>
      </c>
      <c r="N1210" s="12">
        <f>Sales_Data[[#This Row],[Revenue]]-Sales_Data[[#This Row],[COGS]]</f>
        <v>42000</v>
      </c>
    </row>
    <row r="1211" spans="1:14">
      <c r="A1211" s="1">
        <v>46885</v>
      </c>
      <c r="B1211" t="s">
        <v>18</v>
      </c>
      <c r="C1211" t="s">
        <v>26</v>
      </c>
      <c r="D1211" t="s">
        <v>13</v>
      </c>
      <c r="E1211" t="s">
        <v>20</v>
      </c>
      <c r="F1211" t="s">
        <v>27</v>
      </c>
      <c r="G1211" t="s">
        <v>22</v>
      </c>
      <c r="H1211" s="12">
        <v>60000</v>
      </c>
      <c r="I1211">
        <v>7</v>
      </c>
      <c r="J1211" t="s">
        <v>35</v>
      </c>
      <c r="K1211" s="12">
        <f t="shared" si="18"/>
        <v>48000</v>
      </c>
      <c r="L1211" s="12">
        <f>Sales_Data[[#This Row],[Unit Price]]*Sales_Data[[#This Row],[Quantity]]</f>
        <v>420000</v>
      </c>
      <c r="M1211" s="12">
        <f>Sales_Data[[#This Row],[Cost Price]]*Sales_Data[[#This Row],[Quantity]]</f>
        <v>336000</v>
      </c>
      <c r="N1211" s="12">
        <f>Sales_Data[[#This Row],[Revenue]]-Sales_Data[[#This Row],[COGS]]</f>
        <v>84000</v>
      </c>
    </row>
    <row r="1212" spans="1:14">
      <c r="A1212" s="1">
        <v>46886</v>
      </c>
      <c r="B1212" t="s">
        <v>25</v>
      </c>
      <c r="C1212" t="s">
        <v>12</v>
      </c>
      <c r="D1212" t="s">
        <v>13</v>
      </c>
      <c r="E1212" t="s">
        <v>20</v>
      </c>
      <c r="F1212" t="s">
        <v>41</v>
      </c>
      <c r="G1212" t="s">
        <v>22</v>
      </c>
      <c r="H1212" s="12">
        <v>220000</v>
      </c>
      <c r="I1212">
        <v>10</v>
      </c>
      <c r="J1212" t="s">
        <v>24</v>
      </c>
      <c r="K1212" s="12">
        <f t="shared" si="18"/>
        <v>176000</v>
      </c>
      <c r="L1212" s="12">
        <f>Sales_Data[[#This Row],[Unit Price]]*Sales_Data[[#This Row],[Quantity]]</f>
        <v>2200000</v>
      </c>
      <c r="M1212" s="12">
        <f>Sales_Data[[#This Row],[Cost Price]]*Sales_Data[[#This Row],[Quantity]]</f>
        <v>1760000</v>
      </c>
      <c r="N1212" s="12">
        <f>Sales_Data[[#This Row],[Revenue]]-Sales_Data[[#This Row],[COGS]]</f>
        <v>440000</v>
      </c>
    </row>
    <row r="1213" spans="1:14">
      <c r="A1213" s="1">
        <v>46887</v>
      </c>
      <c r="B1213" t="s">
        <v>25</v>
      </c>
      <c r="C1213" t="s">
        <v>19</v>
      </c>
      <c r="D1213" t="s">
        <v>13</v>
      </c>
      <c r="E1213" t="s">
        <v>20</v>
      </c>
      <c r="F1213" t="s">
        <v>40</v>
      </c>
      <c r="G1213" t="s">
        <v>31</v>
      </c>
      <c r="H1213" s="12">
        <v>250000</v>
      </c>
      <c r="I1213">
        <v>5</v>
      </c>
      <c r="J1213" t="s">
        <v>39</v>
      </c>
      <c r="K1213" s="12">
        <f t="shared" si="18"/>
        <v>200000</v>
      </c>
      <c r="L1213" s="12">
        <f>Sales_Data[[#This Row],[Unit Price]]*Sales_Data[[#This Row],[Quantity]]</f>
        <v>1250000</v>
      </c>
      <c r="M1213" s="12">
        <f>Sales_Data[[#This Row],[Cost Price]]*Sales_Data[[#This Row],[Quantity]]</f>
        <v>1000000</v>
      </c>
      <c r="N1213" s="12">
        <f>Sales_Data[[#This Row],[Revenue]]-Sales_Data[[#This Row],[COGS]]</f>
        <v>250000</v>
      </c>
    </row>
    <row r="1214" spans="1:14">
      <c r="A1214" s="1">
        <v>46888</v>
      </c>
      <c r="B1214" t="s">
        <v>25</v>
      </c>
      <c r="C1214" t="s">
        <v>32</v>
      </c>
      <c r="D1214" t="s">
        <v>13</v>
      </c>
      <c r="E1214" t="s">
        <v>14</v>
      </c>
      <c r="F1214" t="s">
        <v>15</v>
      </c>
      <c r="G1214" t="s">
        <v>16</v>
      </c>
      <c r="H1214" s="12">
        <v>85000</v>
      </c>
      <c r="I1214">
        <v>7</v>
      </c>
      <c r="J1214" t="s">
        <v>39</v>
      </c>
      <c r="K1214" s="12">
        <f t="shared" si="18"/>
        <v>68000</v>
      </c>
      <c r="L1214" s="12">
        <f>Sales_Data[[#This Row],[Unit Price]]*Sales_Data[[#This Row],[Quantity]]</f>
        <v>595000</v>
      </c>
      <c r="M1214" s="12">
        <f>Sales_Data[[#This Row],[Cost Price]]*Sales_Data[[#This Row],[Quantity]]</f>
        <v>476000</v>
      </c>
      <c r="N1214" s="12">
        <f>Sales_Data[[#This Row],[Revenue]]-Sales_Data[[#This Row],[COGS]]</f>
        <v>119000</v>
      </c>
    </row>
    <row r="1215" spans="1:14">
      <c r="A1215" s="1">
        <v>46889</v>
      </c>
      <c r="B1215" t="s">
        <v>11</v>
      </c>
      <c r="C1215" t="s">
        <v>19</v>
      </c>
      <c r="D1215" t="s">
        <v>23</v>
      </c>
      <c r="E1215" t="s">
        <v>14</v>
      </c>
      <c r="F1215" t="s">
        <v>36</v>
      </c>
      <c r="G1215" t="s">
        <v>31</v>
      </c>
      <c r="H1215" s="12">
        <v>150000</v>
      </c>
      <c r="I1215">
        <v>4</v>
      </c>
      <c r="J1215" t="s">
        <v>28</v>
      </c>
      <c r="K1215" s="12">
        <f t="shared" si="18"/>
        <v>120000</v>
      </c>
      <c r="L1215" s="12">
        <f>Sales_Data[[#This Row],[Unit Price]]*Sales_Data[[#This Row],[Quantity]]</f>
        <v>600000</v>
      </c>
      <c r="M1215" s="12">
        <f>Sales_Data[[#This Row],[Cost Price]]*Sales_Data[[#This Row],[Quantity]]</f>
        <v>480000</v>
      </c>
      <c r="N1215" s="12">
        <f>Sales_Data[[#This Row],[Revenue]]-Sales_Data[[#This Row],[COGS]]</f>
        <v>120000</v>
      </c>
    </row>
    <row r="1216" spans="1:14">
      <c r="A1216" s="1">
        <v>46890</v>
      </c>
      <c r="B1216" t="s">
        <v>25</v>
      </c>
      <c r="C1216" t="s">
        <v>32</v>
      </c>
      <c r="D1216" t="s">
        <v>13</v>
      </c>
      <c r="E1216" t="s">
        <v>14</v>
      </c>
      <c r="F1216" t="s">
        <v>38</v>
      </c>
      <c r="G1216" t="s">
        <v>31</v>
      </c>
      <c r="H1216" s="12">
        <v>420000</v>
      </c>
      <c r="I1216">
        <v>5</v>
      </c>
      <c r="J1216" t="s">
        <v>24</v>
      </c>
      <c r="K1216" s="12">
        <f t="shared" si="18"/>
        <v>336000</v>
      </c>
      <c r="L1216" s="12">
        <f>Sales_Data[[#This Row],[Unit Price]]*Sales_Data[[#This Row],[Quantity]]</f>
        <v>2100000</v>
      </c>
      <c r="M1216" s="12">
        <f>Sales_Data[[#This Row],[Cost Price]]*Sales_Data[[#This Row],[Quantity]]</f>
        <v>1680000</v>
      </c>
      <c r="N1216" s="12">
        <f>Sales_Data[[#This Row],[Revenue]]-Sales_Data[[#This Row],[COGS]]</f>
        <v>420000</v>
      </c>
    </row>
    <row r="1217" spans="1:14">
      <c r="A1217" s="1">
        <v>46891</v>
      </c>
      <c r="B1217" t="s">
        <v>18</v>
      </c>
      <c r="C1217" t="s">
        <v>26</v>
      </c>
      <c r="D1217" t="s">
        <v>13</v>
      </c>
      <c r="E1217" t="s">
        <v>14</v>
      </c>
      <c r="F1217" t="s">
        <v>27</v>
      </c>
      <c r="G1217" t="s">
        <v>22</v>
      </c>
      <c r="H1217" s="12">
        <v>60000</v>
      </c>
      <c r="I1217">
        <v>5</v>
      </c>
      <c r="J1217" t="s">
        <v>17</v>
      </c>
      <c r="K1217" s="12">
        <f t="shared" si="18"/>
        <v>48000</v>
      </c>
      <c r="L1217" s="12">
        <f>Sales_Data[[#This Row],[Unit Price]]*Sales_Data[[#This Row],[Quantity]]</f>
        <v>300000</v>
      </c>
      <c r="M1217" s="12">
        <f>Sales_Data[[#This Row],[Cost Price]]*Sales_Data[[#This Row],[Quantity]]</f>
        <v>240000</v>
      </c>
      <c r="N1217" s="12">
        <f>Sales_Data[[#This Row],[Revenue]]-Sales_Data[[#This Row],[COGS]]</f>
        <v>60000</v>
      </c>
    </row>
    <row r="1218" spans="1:14">
      <c r="A1218" s="1">
        <v>46892</v>
      </c>
      <c r="B1218" t="s">
        <v>25</v>
      </c>
      <c r="C1218" t="s">
        <v>12</v>
      </c>
      <c r="D1218" t="s">
        <v>23</v>
      </c>
      <c r="E1218" t="s">
        <v>14</v>
      </c>
      <c r="F1218" t="s">
        <v>40</v>
      </c>
      <c r="G1218" t="s">
        <v>31</v>
      </c>
      <c r="H1218" s="12">
        <v>250000</v>
      </c>
      <c r="I1218">
        <v>10</v>
      </c>
      <c r="J1218" t="s">
        <v>24</v>
      </c>
      <c r="K1218" s="12">
        <f t="shared" ref="K1218:K1281" si="19">H1218-H1218*0.2</f>
        <v>200000</v>
      </c>
      <c r="L1218" s="12">
        <f>Sales_Data[[#This Row],[Unit Price]]*Sales_Data[[#This Row],[Quantity]]</f>
        <v>2500000</v>
      </c>
      <c r="M1218" s="12">
        <f>Sales_Data[[#This Row],[Cost Price]]*Sales_Data[[#This Row],[Quantity]]</f>
        <v>2000000</v>
      </c>
      <c r="N1218" s="12">
        <f>Sales_Data[[#This Row],[Revenue]]-Sales_Data[[#This Row],[COGS]]</f>
        <v>500000</v>
      </c>
    </row>
    <row r="1219" spans="1:14">
      <c r="A1219" s="1">
        <v>46893</v>
      </c>
      <c r="B1219" t="s">
        <v>11</v>
      </c>
      <c r="C1219" t="s">
        <v>19</v>
      </c>
      <c r="D1219" t="s">
        <v>13</v>
      </c>
      <c r="E1219" t="s">
        <v>14</v>
      </c>
      <c r="F1219" t="s">
        <v>27</v>
      </c>
      <c r="G1219" t="s">
        <v>22</v>
      </c>
      <c r="H1219" s="12">
        <v>60000</v>
      </c>
      <c r="I1219">
        <v>3</v>
      </c>
      <c r="J1219" t="s">
        <v>24</v>
      </c>
      <c r="K1219" s="12">
        <f t="shared" si="19"/>
        <v>48000</v>
      </c>
      <c r="L1219" s="12">
        <f>Sales_Data[[#This Row],[Unit Price]]*Sales_Data[[#This Row],[Quantity]]</f>
        <v>180000</v>
      </c>
      <c r="M1219" s="12">
        <f>Sales_Data[[#This Row],[Cost Price]]*Sales_Data[[#This Row],[Quantity]]</f>
        <v>144000</v>
      </c>
      <c r="N1219" s="12">
        <f>Sales_Data[[#This Row],[Revenue]]-Sales_Data[[#This Row],[COGS]]</f>
        <v>36000</v>
      </c>
    </row>
    <row r="1220" spans="1:14">
      <c r="A1220" s="1">
        <v>46894</v>
      </c>
      <c r="B1220" t="s">
        <v>11</v>
      </c>
      <c r="C1220" t="s">
        <v>32</v>
      </c>
      <c r="D1220" t="s">
        <v>23</v>
      </c>
      <c r="E1220" t="s">
        <v>14</v>
      </c>
      <c r="F1220" t="s">
        <v>41</v>
      </c>
      <c r="G1220" t="s">
        <v>22</v>
      </c>
      <c r="H1220" s="12">
        <v>220000</v>
      </c>
      <c r="I1220">
        <v>5</v>
      </c>
      <c r="J1220" t="s">
        <v>37</v>
      </c>
      <c r="K1220" s="12">
        <f t="shared" si="19"/>
        <v>176000</v>
      </c>
      <c r="L1220" s="12">
        <f>Sales_Data[[#This Row],[Unit Price]]*Sales_Data[[#This Row],[Quantity]]</f>
        <v>1100000</v>
      </c>
      <c r="M1220" s="12">
        <f>Sales_Data[[#This Row],[Cost Price]]*Sales_Data[[#This Row],[Quantity]]</f>
        <v>880000</v>
      </c>
      <c r="N1220" s="12">
        <f>Sales_Data[[#This Row],[Revenue]]-Sales_Data[[#This Row],[COGS]]</f>
        <v>220000</v>
      </c>
    </row>
    <row r="1221" spans="1:14">
      <c r="A1221" s="1">
        <v>46895</v>
      </c>
      <c r="B1221" t="s">
        <v>25</v>
      </c>
      <c r="C1221" t="s">
        <v>12</v>
      </c>
      <c r="D1221" t="s">
        <v>23</v>
      </c>
      <c r="E1221" t="s">
        <v>20</v>
      </c>
      <c r="F1221" t="s">
        <v>38</v>
      </c>
      <c r="G1221" t="s">
        <v>31</v>
      </c>
      <c r="H1221" s="12">
        <v>420000</v>
      </c>
      <c r="I1221">
        <v>3</v>
      </c>
      <c r="J1221" t="s">
        <v>28</v>
      </c>
      <c r="K1221" s="12">
        <f t="shared" si="19"/>
        <v>336000</v>
      </c>
      <c r="L1221" s="12">
        <f>Sales_Data[[#This Row],[Unit Price]]*Sales_Data[[#This Row],[Quantity]]</f>
        <v>1260000</v>
      </c>
      <c r="M1221" s="12">
        <f>Sales_Data[[#This Row],[Cost Price]]*Sales_Data[[#This Row],[Quantity]]</f>
        <v>1008000</v>
      </c>
      <c r="N1221" s="12">
        <f>Sales_Data[[#This Row],[Revenue]]-Sales_Data[[#This Row],[COGS]]</f>
        <v>252000</v>
      </c>
    </row>
    <row r="1222" spans="1:14">
      <c r="A1222" s="1">
        <v>46896</v>
      </c>
      <c r="B1222" t="s">
        <v>11</v>
      </c>
      <c r="C1222" t="s">
        <v>19</v>
      </c>
      <c r="D1222" t="s">
        <v>23</v>
      </c>
      <c r="E1222" t="s">
        <v>20</v>
      </c>
      <c r="F1222" t="s">
        <v>27</v>
      </c>
      <c r="G1222" t="s">
        <v>22</v>
      </c>
      <c r="H1222" s="12">
        <v>60000</v>
      </c>
      <c r="I1222">
        <v>7</v>
      </c>
      <c r="J1222" t="s">
        <v>35</v>
      </c>
      <c r="K1222" s="12">
        <f t="shared" si="19"/>
        <v>48000</v>
      </c>
      <c r="L1222" s="12">
        <f>Sales_Data[[#This Row],[Unit Price]]*Sales_Data[[#This Row],[Quantity]]</f>
        <v>420000</v>
      </c>
      <c r="M1222" s="12">
        <f>Sales_Data[[#This Row],[Cost Price]]*Sales_Data[[#This Row],[Quantity]]</f>
        <v>336000</v>
      </c>
      <c r="N1222" s="12">
        <f>Sales_Data[[#This Row],[Revenue]]-Sales_Data[[#This Row],[COGS]]</f>
        <v>84000</v>
      </c>
    </row>
    <row r="1223" spans="1:14">
      <c r="A1223" s="1">
        <v>46897</v>
      </c>
      <c r="B1223" t="s">
        <v>11</v>
      </c>
      <c r="C1223" t="s">
        <v>12</v>
      </c>
      <c r="D1223" t="s">
        <v>13</v>
      </c>
      <c r="E1223" t="s">
        <v>14</v>
      </c>
      <c r="F1223" t="s">
        <v>41</v>
      </c>
      <c r="G1223" t="s">
        <v>22</v>
      </c>
      <c r="H1223" s="12">
        <v>220000</v>
      </c>
      <c r="I1223">
        <v>8</v>
      </c>
      <c r="J1223" t="s">
        <v>28</v>
      </c>
      <c r="K1223" s="12">
        <f t="shared" si="19"/>
        <v>176000</v>
      </c>
      <c r="L1223" s="12">
        <f>Sales_Data[[#This Row],[Unit Price]]*Sales_Data[[#This Row],[Quantity]]</f>
        <v>1760000</v>
      </c>
      <c r="M1223" s="12">
        <f>Sales_Data[[#This Row],[Cost Price]]*Sales_Data[[#This Row],[Quantity]]</f>
        <v>1408000</v>
      </c>
      <c r="N1223" s="12">
        <f>Sales_Data[[#This Row],[Revenue]]-Sales_Data[[#This Row],[COGS]]</f>
        <v>352000</v>
      </c>
    </row>
    <row r="1224" spans="1:14">
      <c r="A1224" s="1">
        <v>46898</v>
      </c>
      <c r="B1224" t="s">
        <v>11</v>
      </c>
      <c r="C1224" t="s">
        <v>32</v>
      </c>
      <c r="D1224" t="s">
        <v>23</v>
      </c>
      <c r="E1224" t="s">
        <v>20</v>
      </c>
      <c r="F1224" t="s">
        <v>40</v>
      </c>
      <c r="G1224" t="s">
        <v>31</v>
      </c>
      <c r="H1224" s="12">
        <v>250000</v>
      </c>
      <c r="I1224">
        <v>6</v>
      </c>
      <c r="J1224" t="s">
        <v>37</v>
      </c>
      <c r="K1224" s="12">
        <f t="shared" si="19"/>
        <v>200000</v>
      </c>
      <c r="L1224" s="12">
        <f>Sales_Data[[#This Row],[Unit Price]]*Sales_Data[[#This Row],[Quantity]]</f>
        <v>1500000</v>
      </c>
      <c r="M1224" s="12">
        <f>Sales_Data[[#This Row],[Cost Price]]*Sales_Data[[#This Row],[Quantity]]</f>
        <v>1200000</v>
      </c>
      <c r="N1224" s="12">
        <f>Sales_Data[[#This Row],[Revenue]]-Sales_Data[[#This Row],[COGS]]</f>
        <v>300000</v>
      </c>
    </row>
    <row r="1225" spans="1:14">
      <c r="A1225" s="1">
        <v>46899</v>
      </c>
      <c r="B1225" t="s">
        <v>11</v>
      </c>
      <c r="C1225" t="s">
        <v>19</v>
      </c>
      <c r="D1225" t="s">
        <v>23</v>
      </c>
      <c r="E1225" t="s">
        <v>14</v>
      </c>
      <c r="F1225" t="s">
        <v>36</v>
      </c>
      <c r="G1225" t="s">
        <v>31</v>
      </c>
      <c r="H1225" s="12">
        <v>150000</v>
      </c>
      <c r="I1225">
        <v>5</v>
      </c>
      <c r="J1225" t="s">
        <v>28</v>
      </c>
      <c r="K1225" s="12">
        <f t="shared" si="19"/>
        <v>120000</v>
      </c>
      <c r="L1225" s="12">
        <f>Sales_Data[[#This Row],[Unit Price]]*Sales_Data[[#This Row],[Quantity]]</f>
        <v>750000</v>
      </c>
      <c r="M1225" s="12">
        <f>Sales_Data[[#This Row],[Cost Price]]*Sales_Data[[#This Row],[Quantity]]</f>
        <v>600000</v>
      </c>
      <c r="N1225" s="12">
        <f>Sales_Data[[#This Row],[Revenue]]-Sales_Data[[#This Row],[COGS]]</f>
        <v>150000</v>
      </c>
    </row>
    <row r="1226" spans="1:14">
      <c r="A1226" s="1">
        <v>46900</v>
      </c>
      <c r="B1226" t="s">
        <v>29</v>
      </c>
      <c r="C1226" t="s">
        <v>19</v>
      </c>
      <c r="D1226" t="s">
        <v>23</v>
      </c>
      <c r="E1226" t="s">
        <v>14</v>
      </c>
      <c r="F1226" t="s">
        <v>15</v>
      </c>
      <c r="G1226" t="s">
        <v>16</v>
      </c>
      <c r="H1226" s="12">
        <v>85000</v>
      </c>
      <c r="I1226">
        <v>2</v>
      </c>
      <c r="J1226" t="s">
        <v>35</v>
      </c>
      <c r="K1226" s="12">
        <f t="shared" si="19"/>
        <v>68000</v>
      </c>
      <c r="L1226" s="12">
        <f>Sales_Data[[#This Row],[Unit Price]]*Sales_Data[[#This Row],[Quantity]]</f>
        <v>170000</v>
      </c>
      <c r="M1226" s="12">
        <f>Sales_Data[[#This Row],[Cost Price]]*Sales_Data[[#This Row],[Quantity]]</f>
        <v>136000</v>
      </c>
      <c r="N1226" s="12">
        <f>Sales_Data[[#This Row],[Revenue]]-Sales_Data[[#This Row],[COGS]]</f>
        <v>34000</v>
      </c>
    </row>
    <row r="1227" spans="1:14">
      <c r="A1227" s="1">
        <v>46901</v>
      </c>
      <c r="B1227" t="s">
        <v>25</v>
      </c>
      <c r="C1227" t="s">
        <v>12</v>
      </c>
      <c r="D1227" t="s">
        <v>23</v>
      </c>
      <c r="E1227" t="s">
        <v>20</v>
      </c>
      <c r="F1227" t="s">
        <v>15</v>
      </c>
      <c r="G1227" t="s">
        <v>16</v>
      </c>
      <c r="H1227" s="12">
        <v>85000</v>
      </c>
      <c r="I1227">
        <v>6</v>
      </c>
      <c r="J1227" t="s">
        <v>24</v>
      </c>
      <c r="K1227" s="12">
        <f t="shared" si="19"/>
        <v>68000</v>
      </c>
      <c r="L1227" s="12">
        <f>Sales_Data[[#This Row],[Unit Price]]*Sales_Data[[#This Row],[Quantity]]</f>
        <v>510000</v>
      </c>
      <c r="M1227" s="12">
        <f>Sales_Data[[#This Row],[Cost Price]]*Sales_Data[[#This Row],[Quantity]]</f>
        <v>408000</v>
      </c>
      <c r="N1227" s="12">
        <f>Sales_Data[[#This Row],[Revenue]]-Sales_Data[[#This Row],[COGS]]</f>
        <v>102000</v>
      </c>
    </row>
    <row r="1228" spans="1:14">
      <c r="A1228" s="1">
        <v>46902</v>
      </c>
      <c r="B1228" t="s">
        <v>11</v>
      </c>
      <c r="C1228" t="s">
        <v>32</v>
      </c>
      <c r="D1228" t="s">
        <v>23</v>
      </c>
      <c r="E1228" t="s">
        <v>14</v>
      </c>
      <c r="F1228" t="s">
        <v>36</v>
      </c>
      <c r="G1228" t="s">
        <v>31</v>
      </c>
      <c r="H1228" s="12">
        <v>150000</v>
      </c>
      <c r="I1228">
        <v>5</v>
      </c>
      <c r="J1228" t="s">
        <v>35</v>
      </c>
      <c r="K1228" s="12">
        <f t="shared" si="19"/>
        <v>120000</v>
      </c>
      <c r="L1228" s="12">
        <f>Sales_Data[[#This Row],[Unit Price]]*Sales_Data[[#This Row],[Quantity]]</f>
        <v>750000</v>
      </c>
      <c r="M1228" s="12">
        <f>Sales_Data[[#This Row],[Cost Price]]*Sales_Data[[#This Row],[Quantity]]</f>
        <v>600000</v>
      </c>
      <c r="N1228" s="12">
        <f>Sales_Data[[#This Row],[Revenue]]-Sales_Data[[#This Row],[COGS]]</f>
        <v>150000</v>
      </c>
    </row>
    <row r="1229" spans="1:14">
      <c r="A1229" s="1">
        <v>46903</v>
      </c>
      <c r="B1229" t="s">
        <v>11</v>
      </c>
      <c r="C1229" t="s">
        <v>26</v>
      </c>
      <c r="D1229" t="s">
        <v>23</v>
      </c>
      <c r="E1229" t="s">
        <v>20</v>
      </c>
      <c r="F1229" t="s">
        <v>38</v>
      </c>
      <c r="G1229" t="s">
        <v>31</v>
      </c>
      <c r="H1229" s="12">
        <v>420000</v>
      </c>
      <c r="I1229">
        <v>4</v>
      </c>
      <c r="J1229" t="s">
        <v>37</v>
      </c>
      <c r="K1229" s="12">
        <f t="shared" si="19"/>
        <v>336000</v>
      </c>
      <c r="L1229" s="12">
        <f>Sales_Data[[#This Row],[Unit Price]]*Sales_Data[[#This Row],[Quantity]]</f>
        <v>1680000</v>
      </c>
      <c r="M1229" s="12">
        <f>Sales_Data[[#This Row],[Cost Price]]*Sales_Data[[#This Row],[Quantity]]</f>
        <v>1344000</v>
      </c>
      <c r="N1229" s="12">
        <f>Sales_Data[[#This Row],[Revenue]]-Sales_Data[[#This Row],[COGS]]</f>
        <v>336000</v>
      </c>
    </row>
    <row r="1230" spans="1:14">
      <c r="A1230" s="1">
        <v>46904</v>
      </c>
      <c r="B1230" t="s">
        <v>18</v>
      </c>
      <c r="C1230" t="s">
        <v>26</v>
      </c>
      <c r="D1230" t="s">
        <v>23</v>
      </c>
      <c r="E1230" t="s">
        <v>20</v>
      </c>
      <c r="F1230" t="s">
        <v>30</v>
      </c>
      <c r="G1230" t="s">
        <v>31</v>
      </c>
      <c r="H1230" s="12">
        <v>300000</v>
      </c>
      <c r="I1230">
        <v>6</v>
      </c>
      <c r="J1230" t="s">
        <v>39</v>
      </c>
      <c r="K1230" s="12">
        <f t="shared" si="19"/>
        <v>240000</v>
      </c>
      <c r="L1230" s="12">
        <f>Sales_Data[[#This Row],[Unit Price]]*Sales_Data[[#This Row],[Quantity]]</f>
        <v>1800000</v>
      </c>
      <c r="M1230" s="12">
        <f>Sales_Data[[#This Row],[Cost Price]]*Sales_Data[[#This Row],[Quantity]]</f>
        <v>1440000</v>
      </c>
      <c r="N1230" s="12">
        <f>Sales_Data[[#This Row],[Revenue]]-Sales_Data[[#This Row],[COGS]]</f>
        <v>360000</v>
      </c>
    </row>
    <row r="1231" spans="1:14">
      <c r="A1231" s="1">
        <v>46905</v>
      </c>
      <c r="B1231" t="s">
        <v>29</v>
      </c>
      <c r="C1231" t="s">
        <v>12</v>
      </c>
      <c r="D1231" t="s">
        <v>23</v>
      </c>
      <c r="E1231" t="s">
        <v>14</v>
      </c>
      <c r="F1231" t="s">
        <v>27</v>
      </c>
      <c r="G1231" t="s">
        <v>22</v>
      </c>
      <c r="H1231" s="12">
        <v>60000</v>
      </c>
      <c r="I1231">
        <v>2</v>
      </c>
      <c r="J1231" t="s">
        <v>37</v>
      </c>
      <c r="K1231" s="12">
        <f t="shared" si="19"/>
        <v>48000</v>
      </c>
      <c r="L1231" s="12">
        <f>Sales_Data[[#This Row],[Unit Price]]*Sales_Data[[#This Row],[Quantity]]</f>
        <v>120000</v>
      </c>
      <c r="M1231" s="12">
        <f>Sales_Data[[#This Row],[Cost Price]]*Sales_Data[[#This Row],[Quantity]]</f>
        <v>96000</v>
      </c>
      <c r="N1231" s="12">
        <f>Sales_Data[[#This Row],[Revenue]]-Sales_Data[[#This Row],[COGS]]</f>
        <v>24000</v>
      </c>
    </row>
    <row r="1232" spans="1:14">
      <c r="A1232" s="1">
        <v>46906</v>
      </c>
      <c r="B1232" t="s">
        <v>29</v>
      </c>
      <c r="C1232" t="s">
        <v>32</v>
      </c>
      <c r="D1232" t="s">
        <v>23</v>
      </c>
      <c r="E1232" t="s">
        <v>14</v>
      </c>
      <c r="F1232" t="s">
        <v>15</v>
      </c>
      <c r="G1232" t="s">
        <v>16</v>
      </c>
      <c r="H1232" s="12">
        <v>85000</v>
      </c>
      <c r="I1232">
        <v>5</v>
      </c>
      <c r="J1232" t="s">
        <v>35</v>
      </c>
      <c r="K1232" s="12">
        <f t="shared" si="19"/>
        <v>68000</v>
      </c>
      <c r="L1232" s="12">
        <f>Sales_Data[[#This Row],[Unit Price]]*Sales_Data[[#This Row],[Quantity]]</f>
        <v>425000</v>
      </c>
      <c r="M1232" s="12">
        <f>Sales_Data[[#This Row],[Cost Price]]*Sales_Data[[#This Row],[Quantity]]</f>
        <v>340000</v>
      </c>
      <c r="N1232" s="12">
        <f>Sales_Data[[#This Row],[Revenue]]-Sales_Data[[#This Row],[COGS]]</f>
        <v>85000</v>
      </c>
    </row>
    <row r="1233" spans="1:14">
      <c r="A1233" s="1">
        <v>46907</v>
      </c>
      <c r="B1233" t="s">
        <v>11</v>
      </c>
      <c r="C1233" t="s">
        <v>32</v>
      </c>
      <c r="D1233" t="s">
        <v>13</v>
      </c>
      <c r="E1233" t="s">
        <v>20</v>
      </c>
      <c r="F1233" t="s">
        <v>27</v>
      </c>
      <c r="G1233" t="s">
        <v>22</v>
      </c>
      <c r="H1233" s="12">
        <v>60000</v>
      </c>
      <c r="I1233">
        <v>3</v>
      </c>
      <c r="J1233" t="s">
        <v>24</v>
      </c>
      <c r="K1233" s="12">
        <f t="shared" si="19"/>
        <v>48000</v>
      </c>
      <c r="L1233" s="12">
        <f>Sales_Data[[#This Row],[Unit Price]]*Sales_Data[[#This Row],[Quantity]]</f>
        <v>180000</v>
      </c>
      <c r="M1233" s="12">
        <f>Sales_Data[[#This Row],[Cost Price]]*Sales_Data[[#This Row],[Quantity]]</f>
        <v>144000</v>
      </c>
      <c r="N1233" s="12">
        <f>Sales_Data[[#This Row],[Revenue]]-Sales_Data[[#This Row],[COGS]]</f>
        <v>36000</v>
      </c>
    </row>
    <row r="1234" spans="1:14">
      <c r="A1234" s="1">
        <v>46908</v>
      </c>
      <c r="B1234" t="s">
        <v>29</v>
      </c>
      <c r="C1234" t="s">
        <v>32</v>
      </c>
      <c r="D1234" t="s">
        <v>23</v>
      </c>
      <c r="E1234" t="s">
        <v>14</v>
      </c>
      <c r="F1234" t="s">
        <v>15</v>
      </c>
      <c r="G1234" t="s">
        <v>16</v>
      </c>
      <c r="H1234" s="12">
        <v>85000</v>
      </c>
      <c r="I1234">
        <v>7</v>
      </c>
      <c r="J1234" t="s">
        <v>35</v>
      </c>
      <c r="K1234" s="12">
        <f t="shared" si="19"/>
        <v>68000</v>
      </c>
      <c r="L1234" s="12">
        <f>Sales_Data[[#This Row],[Unit Price]]*Sales_Data[[#This Row],[Quantity]]</f>
        <v>595000</v>
      </c>
      <c r="M1234" s="12">
        <f>Sales_Data[[#This Row],[Cost Price]]*Sales_Data[[#This Row],[Quantity]]</f>
        <v>476000</v>
      </c>
      <c r="N1234" s="12">
        <f>Sales_Data[[#This Row],[Revenue]]-Sales_Data[[#This Row],[COGS]]</f>
        <v>119000</v>
      </c>
    </row>
    <row r="1235" spans="1:14">
      <c r="A1235" s="1">
        <v>46909</v>
      </c>
      <c r="B1235" t="s">
        <v>29</v>
      </c>
      <c r="C1235" t="s">
        <v>19</v>
      </c>
      <c r="D1235" t="s">
        <v>23</v>
      </c>
      <c r="E1235" t="s">
        <v>14</v>
      </c>
      <c r="F1235" t="s">
        <v>33</v>
      </c>
      <c r="G1235" t="s">
        <v>22</v>
      </c>
      <c r="H1235" s="12">
        <v>180000</v>
      </c>
      <c r="I1235">
        <v>5</v>
      </c>
      <c r="J1235" t="s">
        <v>39</v>
      </c>
      <c r="K1235" s="12">
        <f t="shared" si="19"/>
        <v>144000</v>
      </c>
      <c r="L1235" s="12">
        <f>Sales_Data[[#This Row],[Unit Price]]*Sales_Data[[#This Row],[Quantity]]</f>
        <v>900000</v>
      </c>
      <c r="M1235" s="12">
        <f>Sales_Data[[#This Row],[Cost Price]]*Sales_Data[[#This Row],[Quantity]]</f>
        <v>720000</v>
      </c>
      <c r="N1235" s="12">
        <f>Sales_Data[[#This Row],[Revenue]]-Sales_Data[[#This Row],[COGS]]</f>
        <v>180000</v>
      </c>
    </row>
    <row r="1236" spans="1:14">
      <c r="A1236" s="1">
        <v>46910</v>
      </c>
      <c r="B1236" t="s">
        <v>18</v>
      </c>
      <c r="C1236" t="s">
        <v>19</v>
      </c>
      <c r="D1236" t="s">
        <v>13</v>
      </c>
      <c r="E1236" t="s">
        <v>14</v>
      </c>
      <c r="F1236" t="s">
        <v>38</v>
      </c>
      <c r="G1236" t="s">
        <v>31</v>
      </c>
      <c r="H1236" s="12">
        <v>420000</v>
      </c>
      <c r="I1236">
        <v>5</v>
      </c>
      <c r="J1236" t="s">
        <v>28</v>
      </c>
      <c r="K1236" s="12">
        <f t="shared" si="19"/>
        <v>336000</v>
      </c>
      <c r="L1236" s="12">
        <f>Sales_Data[[#This Row],[Unit Price]]*Sales_Data[[#This Row],[Quantity]]</f>
        <v>2100000</v>
      </c>
      <c r="M1236" s="12">
        <f>Sales_Data[[#This Row],[Cost Price]]*Sales_Data[[#This Row],[Quantity]]</f>
        <v>1680000</v>
      </c>
      <c r="N1236" s="12">
        <f>Sales_Data[[#This Row],[Revenue]]-Sales_Data[[#This Row],[COGS]]</f>
        <v>420000</v>
      </c>
    </row>
    <row r="1237" spans="1:14">
      <c r="A1237" s="1">
        <v>46911</v>
      </c>
      <c r="B1237" t="s">
        <v>18</v>
      </c>
      <c r="C1237" t="s">
        <v>32</v>
      </c>
      <c r="D1237" t="s">
        <v>23</v>
      </c>
      <c r="E1237" t="s">
        <v>20</v>
      </c>
      <c r="F1237" t="s">
        <v>15</v>
      </c>
      <c r="G1237" t="s">
        <v>16</v>
      </c>
      <c r="H1237" s="12">
        <v>85000</v>
      </c>
      <c r="I1237">
        <v>6</v>
      </c>
      <c r="J1237" t="s">
        <v>28</v>
      </c>
      <c r="K1237" s="12">
        <f t="shared" si="19"/>
        <v>68000</v>
      </c>
      <c r="L1237" s="12">
        <f>Sales_Data[[#This Row],[Unit Price]]*Sales_Data[[#This Row],[Quantity]]</f>
        <v>510000</v>
      </c>
      <c r="M1237" s="12">
        <f>Sales_Data[[#This Row],[Cost Price]]*Sales_Data[[#This Row],[Quantity]]</f>
        <v>408000</v>
      </c>
      <c r="N1237" s="12">
        <f>Sales_Data[[#This Row],[Revenue]]-Sales_Data[[#This Row],[COGS]]</f>
        <v>102000</v>
      </c>
    </row>
    <row r="1238" spans="1:14">
      <c r="A1238" s="1">
        <v>46912</v>
      </c>
      <c r="B1238" t="s">
        <v>29</v>
      </c>
      <c r="C1238" t="s">
        <v>12</v>
      </c>
      <c r="D1238" t="s">
        <v>13</v>
      </c>
      <c r="E1238" t="s">
        <v>20</v>
      </c>
      <c r="F1238" t="s">
        <v>38</v>
      </c>
      <c r="G1238" t="s">
        <v>31</v>
      </c>
      <c r="H1238" s="12">
        <v>420000</v>
      </c>
      <c r="I1238">
        <v>7</v>
      </c>
      <c r="J1238" t="s">
        <v>17</v>
      </c>
      <c r="K1238" s="12">
        <f t="shared" si="19"/>
        <v>336000</v>
      </c>
      <c r="L1238" s="12">
        <f>Sales_Data[[#This Row],[Unit Price]]*Sales_Data[[#This Row],[Quantity]]</f>
        <v>2940000</v>
      </c>
      <c r="M1238" s="12">
        <f>Sales_Data[[#This Row],[Cost Price]]*Sales_Data[[#This Row],[Quantity]]</f>
        <v>2352000</v>
      </c>
      <c r="N1238" s="12">
        <f>Sales_Data[[#This Row],[Revenue]]-Sales_Data[[#This Row],[COGS]]</f>
        <v>588000</v>
      </c>
    </row>
    <row r="1239" spans="1:14">
      <c r="A1239" s="1">
        <v>46913</v>
      </c>
      <c r="B1239" t="s">
        <v>25</v>
      </c>
      <c r="C1239" t="s">
        <v>32</v>
      </c>
      <c r="D1239" t="s">
        <v>23</v>
      </c>
      <c r="E1239" t="s">
        <v>14</v>
      </c>
      <c r="F1239" t="s">
        <v>38</v>
      </c>
      <c r="G1239" t="s">
        <v>31</v>
      </c>
      <c r="H1239" s="12">
        <v>420000</v>
      </c>
      <c r="I1239">
        <v>9</v>
      </c>
      <c r="J1239" t="s">
        <v>39</v>
      </c>
      <c r="K1239" s="12">
        <f t="shared" si="19"/>
        <v>336000</v>
      </c>
      <c r="L1239" s="12">
        <f>Sales_Data[[#This Row],[Unit Price]]*Sales_Data[[#This Row],[Quantity]]</f>
        <v>3780000</v>
      </c>
      <c r="M1239" s="12">
        <f>Sales_Data[[#This Row],[Cost Price]]*Sales_Data[[#This Row],[Quantity]]</f>
        <v>3024000</v>
      </c>
      <c r="N1239" s="12">
        <f>Sales_Data[[#This Row],[Revenue]]-Sales_Data[[#This Row],[COGS]]</f>
        <v>756000</v>
      </c>
    </row>
    <row r="1240" spans="1:14">
      <c r="A1240" s="1">
        <v>46914</v>
      </c>
      <c r="B1240" t="s">
        <v>11</v>
      </c>
      <c r="C1240" t="s">
        <v>19</v>
      </c>
      <c r="D1240" t="s">
        <v>23</v>
      </c>
      <c r="E1240" t="s">
        <v>14</v>
      </c>
      <c r="F1240" t="s">
        <v>30</v>
      </c>
      <c r="G1240" t="s">
        <v>31</v>
      </c>
      <c r="H1240" s="12">
        <v>300000</v>
      </c>
      <c r="I1240">
        <v>3</v>
      </c>
      <c r="J1240" t="s">
        <v>37</v>
      </c>
      <c r="K1240" s="12">
        <f t="shared" si="19"/>
        <v>240000</v>
      </c>
      <c r="L1240" s="12">
        <f>Sales_Data[[#This Row],[Unit Price]]*Sales_Data[[#This Row],[Quantity]]</f>
        <v>900000</v>
      </c>
      <c r="M1240" s="12">
        <f>Sales_Data[[#This Row],[Cost Price]]*Sales_Data[[#This Row],[Quantity]]</f>
        <v>720000</v>
      </c>
      <c r="N1240" s="12">
        <f>Sales_Data[[#This Row],[Revenue]]-Sales_Data[[#This Row],[COGS]]</f>
        <v>180000</v>
      </c>
    </row>
    <row r="1241" spans="1:14">
      <c r="A1241" s="1">
        <v>46915</v>
      </c>
      <c r="B1241" t="s">
        <v>18</v>
      </c>
      <c r="C1241" t="s">
        <v>26</v>
      </c>
      <c r="D1241" t="s">
        <v>13</v>
      </c>
      <c r="E1241" t="s">
        <v>14</v>
      </c>
      <c r="F1241" t="s">
        <v>15</v>
      </c>
      <c r="G1241" t="s">
        <v>16</v>
      </c>
      <c r="H1241" s="12">
        <v>85000</v>
      </c>
      <c r="I1241">
        <v>9</v>
      </c>
      <c r="J1241" t="s">
        <v>37</v>
      </c>
      <c r="K1241" s="12">
        <f t="shared" si="19"/>
        <v>68000</v>
      </c>
      <c r="L1241" s="12">
        <f>Sales_Data[[#This Row],[Unit Price]]*Sales_Data[[#This Row],[Quantity]]</f>
        <v>765000</v>
      </c>
      <c r="M1241" s="12">
        <f>Sales_Data[[#This Row],[Cost Price]]*Sales_Data[[#This Row],[Quantity]]</f>
        <v>612000</v>
      </c>
      <c r="N1241" s="12">
        <f>Sales_Data[[#This Row],[Revenue]]-Sales_Data[[#This Row],[COGS]]</f>
        <v>153000</v>
      </c>
    </row>
    <row r="1242" spans="1:14">
      <c r="A1242" s="1">
        <v>46916</v>
      </c>
      <c r="B1242" t="s">
        <v>25</v>
      </c>
      <c r="C1242" t="s">
        <v>12</v>
      </c>
      <c r="D1242" t="s">
        <v>23</v>
      </c>
      <c r="E1242" t="s">
        <v>20</v>
      </c>
      <c r="F1242" t="s">
        <v>41</v>
      </c>
      <c r="G1242" t="s">
        <v>22</v>
      </c>
      <c r="H1242" s="12">
        <v>220000</v>
      </c>
      <c r="I1242">
        <v>7</v>
      </c>
      <c r="J1242" t="s">
        <v>35</v>
      </c>
      <c r="K1242" s="12">
        <f t="shared" si="19"/>
        <v>176000</v>
      </c>
      <c r="L1242" s="12">
        <f>Sales_Data[[#This Row],[Unit Price]]*Sales_Data[[#This Row],[Quantity]]</f>
        <v>1540000</v>
      </c>
      <c r="M1242" s="12">
        <f>Sales_Data[[#This Row],[Cost Price]]*Sales_Data[[#This Row],[Quantity]]</f>
        <v>1232000</v>
      </c>
      <c r="N1242" s="12">
        <f>Sales_Data[[#This Row],[Revenue]]-Sales_Data[[#This Row],[COGS]]</f>
        <v>308000</v>
      </c>
    </row>
    <row r="1243" spans="1:14">
      <c r="A1243" s="1">
        <v>46917</v>
      </c>
      <c r="B1243" t="s">
        <v>11</v>
      </c>
      <c r="C1243" t="s">
        <v>19</v>
      </c>
      <c r="D1243" t="s">
        <v>23</v>
      </c>
      <c r="E1243" t="s">
        <v>20</v>
      </c>
      <c r="F1243" t="s">
        <v>30</v>
      </c>
      <c r="G1243" t="s">
        <v>31</v>
      </c>
      <c r="H1243" s="12">
        <v>300000</v>
      </c>
      <c r="I1243">
        <v>10</v>
      </c>
      <c r="J1243" t="s">
        <v>17</v>
      </c>
      <c r="K1243" s="12">
        <f t="shared" si="19"/>
        <v>240000</v>
      </c>
      <c r="L1243" s="12">
        <f>Sales_Data[[#This Row],[Unit Price]]*Sales_Data[[#This Row],[Quantity]]</f>
        <v>3000000</v>
      </c>
      <c r="M1243" s="12">
        <f>Sales_Data[[#This Row],[Cost Price]]*Sales_Data[[#This Row],[Quantity]]</f>
        <v>2400000</v>
      </c>
      <c r="N1243" s="12">
        <f>Sales_Data[[#This Row],[Revenue]]-Sales_Data[[#This Row],[COGS]]</f>
        <v>600000</v>
      </c>
    </row>
    <row r="1244" spans="1:14">
      <c r="A1244" s="1">
        <v>46918</v>
      </c>
      <c r="B1244" t="s">
        <v>11</v>
      </c>
      <c r="C1244" t="s">
        <v>12</v>
      </c>
      <c r="D1244" t="s">
        <v>13</v>
      </c>
      <c r="E1244" t="s">
        <v>20</v>
      </c>
      <c r="F1244" t="s">
        <v>15</v>
      </c>
      <c r="G1244" t="s">
        <v>16</v>
      </c>
      <c r="H1244" s="12">
        <v>85000</v>
      </c>
      <c r="I1244">
        <v>8</v>
      </c>
      <c r="J1244" t="s">
        <v>37</v>
      </c>
      <c r="K1244" s="12">
        <f t="shared" si="19"/>
        <v>68000</v>
      </c>
      <c r="L1244" s="12">
        <f>Sales_Data[[#This Row],[Unit Price]]*Sales_Data[[#This Row],[Quantity]]</f>
        <v>680000</v>
      </c>
      <c r="M1244" s="12">
        <f>Sales_Data[[#This Row],[Cost Price]]*Sales_Data[[#This Row],[Quantity]]</f>
        <v>544000</v>
      </c>
      <c r="N1244" s="12">
        <f>Sales_Data[[#This Row],[Revenue]]-Sales_Data[[#This Row],[COGS]]</f>
        <v>136000</v>
      </c>
    </row>
    <row r="1245" spans="1:14">
      <c r="A1245" s="1">
        <v>46919</v>
      </c>
      <c r="B1245" t="s">
        <v>18</v>
      </c>
      <c r="C1245" t="s">
        <v>19</v>
      </c>
      <c r="D1245" t="s">
        <v>23</v>
      </c>
      <c r="E1245" t="s">
        <v>14</v>
      </c>
      <c r="F1245" t="s">
        <v>21</v>
      </c>
      <c r="G1245" t="s">
        <v>22</v>
      </c>
      <c r="H1245" s="12">
        <v>30000</v>
      </c>
      <c r="I1245">
        <v>3</v>
      </c>
      <c r="J1245" t="s">
        <v>37</v>
      </c>
      <c r="K1245" s="12">
        <f t="shared" si="19"/>
        <v>24000</v>
      </c>
      <c r="L1245" s="12">
        <f>Sales_Data[[#This Row],[Unit Price]]*Sales_Data[[#This Row],[Quantity]]</f>
        <v>90000</v>
      </c>
      <c r="M1245" s="12">
        <f>Sales_Data[[#This Row],[Cost Price]]*Sales_Data[[#This Row],[Quantity]]</f>
        <v>72000</v>
      </c>
      <c r="N1245" s="12">
        <f>Sales_Data[[#This Row],[Revenue]]-Sales_Data[[#This Row],[COGS]]</f>
        <v>18000</v>
      </c>
    </row>
    <row r="1246" spans="1:14">
      <c r="A1246" s="1">
        <v>46920</v>
      </c>
      <c r="B1246" t="s">
        <v>25</v>
      </c>
      <c r="C1246" t="s">
        <v>26</v>
      </c>
      <c r="D1246" t="s">
        <v>23</v>
      </c>
      <c r="E1246" t="s">
        <v>20</v>
      </c>
      <c r="F1246" t="s">
        <v>15</v>
      </c>
      <c r="G1246" t="s">
        <v>16</v>
      </c>
      <c r="H1246" s="12">
        <v>85000</v>
      </c>
      <c r="I1246">
        <v>8</v>
      </c>
      <c r="J1246" t="s">
        <v>35</v>
      </c>
      <c r="K1246" s="12">
        <f t="shared" si="19"/>
        <v>68000</v>
      </c>
      <c r="L1246" s="12">
        <f>Sales_Data[[#This Row],[Unit Price]]*Sales_Data[[#This Row],[Quantity]]</f>
        <v>680000</v>
      </c>
      <c r="M1246" s="12">
        <f>Sales_Data[[#This Row],[Cost Price]]*Sales_Data[[#This Row],[Quantity]]</f>
        <v>544000</v>
      </c>
      <c r="N1246" s="12">
        <f>Sales_Data[[#This Row],[Revenue]]-Sales_Data[[#This Row],[COGS]]</f>
        <v>136000</v>
      </c>
    </row>
    <row r="1247" spans="1:14">
      <c r="A1247" s="1">
        <v>46921</v>
      </c>
      <c r="B1247" t="s">
        <v>11</v>
      </c>
      <c r="C1247" t="s">
        <v>26</v>
      </c>
      <c r="D1247" t="s">
        <v>13</v>
      </c>
      <c r="E1247" t="s">
        <v>20</v>
      </c>
      <c r="F1247" t="s">
        <v>33</v>
      </c>
      <c r="G1247" t="s">
        <v>22</v>
      </c>
      <c r="H1247" s="12">
        <v>180000</v>
      </c>
      <c r="I1247">
        <v>3</v>
      </c>
      <c r="J1247" t="s">
        <v>35</v>
      </c>
      <c r="K1247" s="12">
        <f t="shared" si="19"/>
        <v>144000</v>
      </c>
      <c r="L1247" s="12">
        <f>Sales_Data[[#This Row],[Unit Price]]*Sales_Data[[#This Row],[Quantity]]</f>
        <v>540000</v>
      </c>
      <c r="M1247" s="12">
        <f>Sales_Data[[#This Row],[Cost Price]]*Sales_Data[[#This Row],[Quantity]]</f>
        <v>432000</v>
      </c>
      <c r="N1247" s="12">
        <f>Sales_Data[[#This Row],[Revenue]]-Sales_Data[[#This Row],[COGS]]</f>
        <v>108000</v>
      </c>
    </row>
    <row r="1248" spans="1:14">
      <c r="A1248" s="1">
        <v>46922</v>
      </c>
      <c r="B1248" t="s">
        <v>29</v>
      </c>
      <c r="C1248" t="s">
        <v>12</v>
      </c>
      <c r="D1248" t="s">
        <v>13</v>
      </c>
      <c r="E1248" t="s">
        <v>14</v>
      </c>
      <c r="F1248" t="s">
        <v>41</v>
      </c>
      <c r="G1248" t="s">
        <v>22</v>
      </c>
      <c r="H1248" s="12">
        <v>220000</v>
      </c>
      <c r="I1248">
        <v>7</v>
      </c>
      <c r="J1248" t="s">
        <v>37</v>
      </c>
      <c r="K1248" s="12">
        <f t="shared" si="19"/>
        <v>176000</v>
      </c>
      <c r="L1248" s="12">
        <f>Sales_Data[[#This Row],[Unit Price]]*Sales_Data[[#This Row],[Quantity]]</f>
        <v>1540000</v>
      </c>
      <c r="M1248" s="12">
        <f>Sales_Data[[#This Row],[Cost Price]]*Sales_Data[[#This Row],[Quantity]]</f>
        <v>1232000</v>
      </c>
      <c r="N1248" s="12">
        <f>Sales_Data[[#This Row],[Revenue]]-Sales_Data[[#This Row],[COGS]]</f>
        <v>308000</v>
      </c>
    </row>
    <row r="1249" spans="1:14">
      <c r="A1249" s="1">
        <v>46923</v>
      </c>
      <c r="B1249" t="s">
        <v>29</v>
      </c>
      <c r="C1249" t="s">
        <v>26</v>
      </c>
      <c r="D1249" t="s">
        <v>13</v>
      </c>
      <c r="E1249" t="s">
        <v>14</v>
      </c>
      <c r="F1249" t="s">
        <v>33</v>
      </c>
      <c r="G1249" t="s">
        <v>22</v>
      </c>
      <c r="H1249" s="12">
        <v>180000</v>
      </c>
      <c r="I1249">
        <v>8</v>
      </c>
      <c r="J1249" t="s">
        <v>39</v>
      </c>
      <c r="K1249" s="12">
        <f t="shared" si="19"/>
        <v>144000</v>
      </c>
      <c r="L1249" s="12">
        <f>Sales_Data[[#This Row],[Unit Price]]*Sales_Data[[#This Row],[Quantity]]</f>
        <v>1440000</v>
      </c>
      <c r="M1249" s="12">
        <f>Sales_Data[[#This Row],[Cost Price]]*Sales_Data[[#This Row],[Quantity]]</f>
        <v>1152000</v>
      </c>
      <c r="N1249" s="12">
        <f>Sales_Data[[#This Row],[Revenue]]-Sales_Data[[#This Row],[COGS]]</f>
        <v>288000</v>
      </c>
    </row>
    <row r="1250" spans="1:14">
      <c r="A1250" s="1">
        <v>46924</v>
      </c>
      <c r="B1250" t="s">
        <v>25</v>
      </c>
      <c r="C1250" t="s">
        <v>32</v>
      </c>
      <c r="D1250" t="s">
        <v>13</v>
      </c>
      <c r="E1250" t="s">
        <v>14</v>
      </c>
      <c r="F1250" t="s">
        <v>21</v>
      </c>
      <c r="G1250" t="s">
        <v>22</v>
      </c>
      <c r="H1250" s="12">
        <v>30000</v>
      </c>
      <c r="I1250">
        <v>1</v>
      </c>
      <c r="J1250" t="s">
        <v>28</v>
      </c>
      <c r="K1250" s="12">
        <f t="shared" si="19"/>
        <v>24000</v>
      </c>
      <c r="L1250" s="12">
        <f>Sales_Data[[#This Row],[Unit Price]]*Sales_Data[[#This Row],[Quantity]]</f>
        <v>30000</v>
      </c>
      <c r="M1250" s="12">
        <f>Sales_Data[[#This Row],[Cost Price]]*Sales_Data[[#This Row],[Quantity]]</f>
        <v>24000</v>
      </c>
      <c r="N1250" s="12">
        <f>Sales_Data[[#This Row],[Revenue]]-Sales_Data[[#This Row],[COGS]]</f>
        <v>6000</v>
      </c>
    </row>
    <row r="1251" spans="1:14">
      <c r="A1251" s="1">
        <v>46925</v>
      </c>
      <c r="B1251" t="s">
        <v>18</v>
      </c>
      <c r="C1251" t="s">
        <v>19</v>
      </c>
      <c r="D1251" t="s">
        <v>13</v>
      </c>
      <c r="E1251" t="s">
        <v>14</v>
      </c>
      <c r="F1251" t="s">
        <v>21</v>
      </c>
      <c r="G1251" t="s">
        <v>22</v>
      </c>
      <c r="H1251" s="12">
        <v>30000</v>
      </c>
      <c r="I1251">
        <v>8</v>
      </c>
      <c r="J1251" t="s">
        <v>35</v>
      </c>
      <c r="K1251" s="12">
        <f t="shared" si="19"/>
        <v>24000</v>
      </c>
      <c r="L1251" s="12">
        <f>Sales_Data[[#This Row],[Unit Price]]*Sales_Data[[#This Row],[Quantity]]</f>
        <v>240000</v>
      </c>
      <c r="M1251" s="12">
        <f>Sales_Data[[#This Row],[Cost Price]]*Sales_Data[[#This Row],[Quantity]]</f>
        <v>192000</v>
      </c>
      <c r="N1251" s="12">
        <f>Sales_Data[[#This Row],[Revenue]]-Sales_Data[[#This Row],[COGS]]</f>
        <v>48000</v>
      </c>
    </row>
    <row r="1252" spans="1:14">
      <c r="A1252" s="1">
        <v>46926</v>
      </c>
      <c r="B1252" t="s">
        <v>25</v>
      </c>
      <c r="C1252" t="s">
        <v>12</v>
      </c>
      <c r="D1252" t="s">
        <v>13</v>
      </c>
      <c r="E1252" t="s">
        <v>14</v>
      </c>
      <c r="F1252" t="s">
        <v>33</v>
      </c>
      <c r="G1252" t="s">
        <v>22</v>
      </c>
      <c r="H1252" s="12">
        <v>180000</v>
      </c>
      <c r="I1252">
        <v>3</v>
      </c>
      <c r="J1252" t="s">
        <v>39</v>
      </c>
      <c r="K1252" s="12">
        <f t="shared" si="19"/>
        <v>144000</v>
      </c>
      <c r="L1252" s="12">
        <f>Sales_Data[[#This Row],[Unit Price]]*Sales_Data[[#This Row],[Quantity]]</f>
        <v>540000</v>
      </c>
      <c r="M1252" s="12">
        <f>Sales_Data[[#This Row],[Cost Price]]*Sales_Data[[#This Row],[Quantity]]</f>
        <v>432000</v>
      </c>
      <c r="N1252" s="12">
        <f>Sales_Data[[#This Row],[Revenue]]-Sales_Data[[#This Row],[COGS]]</f>
        <v>108000</v>
      </c>
    </row>
    <row r="1253" spans="1:14">
      <c r="A1253" s="1">
        <v>46927</v>
      </c>
      <c r="B1253" t="s">
        <v>25</v>
      </c>
      <c r="C1253" t="s">
        <v>19</v>
      </c>
      <c r="D1253" t="s">
        <v>13</v>
      </c>
      <c r="E1253" t="s">
        <v>20</v>
      </c>
      <c r="F1253" t="s">
        <v>15</v>
      </c>
      <c r="G1253" t="s">
        <v>16</v>
      </c>
      <c r="H1253" s="12">
        <v>85000</v>
      </c>
      <c r="I1253">
        <v>7</v>
      </c>
      <c r="J1253" t="s">
        <v>24</v>
      </c>
      <c r="K1253" s="12">
        <f t="shared" si="19"/>
        <v>68000</v>
      </c>
      <c r="L1253" s="12">
        <f>Sales_Data[[#This Row],[Unit Price]]*Sales_Data[[#This Row],[Quantity]]</f>
        <v>595000</v>
      </c>
      <c r="M1253" s="12">
        <f>Sales_Data[[#This Row],[Cost Price]]*Sales_Data[[#This Row],[Quantity]]</f>
        <v>476000</v>
      </c>
      <c r="N1253" s="12">
        <f>Sales_Data[[#This Row],[Revenue]]-Sales_Data[[#This Row],[COGS]]</f>
        <v>119000</v>
      </c>
    </row>
    <row r="1254" spans="1:14">
      <c r="A1254" s="1">
        <v>46928</v>
      </c>
      <c r="B1254" t="s">
        <v>11</v>
      </c>
      <c r="C1254" t="s">
        <v>19</v>
      </c>
      <c r="D1254" t="s">
        <v>13</v>
      </c>
      <c r="E1254" t="s">
        <v>20</v>
      </c>
      <c r="F1254" t="s">
        <v>21</v>
      </c>
      <c r="G1254" t="s">
        <v>22</v>
      </c>
      <c r="H1254" s="12">
        <v>30000</v>
      </c>
      <c r="I1254">
        <v>7</v>
      </c>
      <c r="J1254" t="s">
        <v>28</v>
      </c>
      <c r="K1254" s="12">
        <f t="shared" si="19"/>
        <v>24000</v>
      </c>
      <c r="L1254" s="12">
        <f>Sales_Data[[#This Row],[Unit Price]]*Sales_Data[[#This Row],[Quantity]]</f>
        <v>210000</v>
      </c>
      <c r="M1254" s="12">
        <f>Sales_Data[[#This Row],[Cost Price]]*Sales_Data[[#This Row],[Quantity]]</f>
        <v>168000</v>
      </c>
      <c r="N1254" s="12">
        <f>Sales_Data[[#This Row],[Revenue]]-Sales_Data[[#This Row],[COGS]]</f>
        <v>42000</v>
      </c>
    </row>
    <row r="1255" spans="1:14">
      <c r="A1255" s="1">
        <v>46929</v>
      </c>
      <c r="B1255" t="s">
        <v>29</v>
      </c>
      <c r="C1255" t="s">
        <v>32</v>
      </c>
      <c r="D1255" t="s">
        <v>13</v>
      </c>
      <c r="E1255" t="s">
        <v>20</v>
      </c>
      <c r="F1255" t="s">
        <v>27</v>
      </c>
      <c r="G1255" t="s">
        <v>22</v>
      </c>
      <c r="H1255" s="12">
        <v>60000</v>
      </c>
      <c r="I1255">
        <v>3</v>
      </c>
      <c r="J1255" t="s">
        <v>28</v>
      </c>
      <c r="K1255" s="12">
        <f t="shared" si="19"/>
        <v>48000</v>
      </c>
      <c r="L1255" s="12">
        <f>Sales_Data[[#This Row],[Unit Price]]*Sales_Data[[#This Row],[Quantity]]</f>
        <v>180000</v>
      </c>
      <c r="M1255" s="12">
        <f>Sales_Data[[#This Row],[Cost Price]]*Sales_Data[[#This Row],[Quantity]]</f>
        <v>144000</v>
      </c>
      <c r="N1255" s="12">
        <f>Sales_Data[[#This Row],[Revenue]]-Sales_Data[[#This Row],[COGS]]</f>
        <v>36000</v>
      </c>
    </row>
    <row r="1256" spans="1:14">
      <c r="A1256" s="1">
        <v>46930</v>
      </c>
      <c r="B1256" t="s">
        <v>29</v>
      </c>
      <c r="C1256" t="s">
        <v>32</v>
      </c>
      <c r="D1256" t="s">
        <v>13</v>
      </c>
      <c r="E1256" t="s">
        <v>20</v>
      </c>
      <c r="F1256" t="s">
        <v>15</v>
      </c>
      <c r="G1256" t="s">
        <v>16</v>
      </c>
      <c r="H1256" s="12">
        <v>85000</v>
      </c>
      <c r="I1256">
        <v>5</v>
      </c>
      <c r="J1256" t="s">
        <v>17</v>
      </c>
      <c r="K1256" s="12">
        <f t="shared" si="19"/>
        <v>68000</v>
      </c>
      <c r="L1256" s="12">
        <f>Sales_Data[[#This Row],[Unit Price]]*Sales_Data[[#This Row],[Quantity]]</f>
        <v>425000</v>
      </c>
      <c r="M1256" s="12">
        <f>Sales_Data[[#This Row],[Cost Price]]*Sales_Data[[#This Row],[Quantity]]</f>
        <v>340000</v>
      </c>
      <c r="N1256" s="12">
        <f>Sales_Data[[#This Row],[Revenue]]-Sales_Data[[#This Row],[COGS]]</f>
        <v>85000</v>
      </c>
    </row>
    <row r="1257" spans="1:14">
      <c r="A1257" s="1">
        <v>46931</v>
      </c>
      <c r="B1257" t="s">
        <v>18</v>
      </c>
      <c r="C1257" t="s">
        <v>32</v>
      </c>
      <c r="D1257" t="s">
        <v>23</v>
      </c>
      <c r="E1257" t="s">
        <v>14</v>
      </c>
      <c r="F1257" t="s">
        <v>38</v>
      </c>
      <c r="G1257" t="s">
        <v>31</v>
      </c>
      <c r="H1257" s="12">
        <v>420000</v>
      </c>
      <c r="I1257">
        <v>1</v>
      </c>
      <c r="J1257" t="s">
        <v>17</v>
      </c>
      <c r="K1257" s="12">
        <f t="shared" si="19"/>
        <v>336000</v>
      </c>
      <c r="L1257" s="12">
        <f>Sales_Data[[#This Row],[Unit Price]]*Sales_Data[[#This Row],[Quantity]]</f>
        <v>420000</v>
      </c>
      <c r="M1257" s="12">
        <f>Sales_Data[[#This Row],[Cost Price]]*Sales_Data[[#This Row],[Quantity]]</f>
        <v>336000</v>
      </c>
      <c r="N1257" s="12">
        <f>Sales_Data[[#This Row],[Revenue]]-Sales_Data[[#This Row],[COGS]]</f>
        <v>84000</v>
      </c>
    </row>
    <row r="1258" spans="1:14">
      <c r="A1258" s="1">
        <v>46932</v>
      </c>
      <c r="B1258" t="s">
        <v>25</v>
      </c>
      <c r="C1258" t="s">
        <v>26</v>
      </c>
      <c r="D1258" t="s">
        <v>23</v>
      </c>
      <c r="E1258" t="s">
        <v>20</v>
      </c>
      <c r="F1258" t="s">
        <v>21</v>
      </c>
      <c r="G1258" t="s">
        <v>22</v>
      </c>
      <c r="H1258" s="12">
        <v>30000</v>
      </c>
      <c r="I1258">
        <v>5</v>
      </c>
      <c r="J1258" t="s">
        <v>17</v>
      </c>
      <c r="K1258" s="12">
        <f t="shared" si="19"/>
        <v>24000</v>
      </c>
      <c r="L1258" s="12">
        <f>Sales_Data[[#This Row],[Unit Price]]*Sales_Data[[#This Row],[Quantity]]</f>
        <v>150000</v>
      </c>
      <c r="M1258" s="12">
        <f>Sales_Data[[#This Row],[Cost Price]]*Sales_Data[[#This Row],[Quantity]]</f>
        <v>120000</v>
      </c>
      <c r="N1258" s="12">
        <f>Sales_Data[[#This Row],[Revenue]]-Sales_Data[[#This Row],[COGS]]</f>
        <v>30000</v>
      </c>
    </row>
    <row r="1259" spans="1:14">
      <c r="A1259" s="1">
        <v>46933</v>
      </c>
      <c r="B1259" t="s">
        <v>11</v>
      </c>
      <c r="C1259" t="s">
        <v>26</v>
      </c>
      <c r="D1259" t="s">
        <v>13</v>
      </c>
      <c r="E1259" t="s">
        <v>14</v>
      </c>
      <c r="F1259" t="s">
        <v>40</v>
      </c>
      <c r="G1259" t="s">
        <v>31</v>
      </c>
      <c r="H1259" s="12">
        <v>250000</v>
      </c>
      <c r="I1259">
        <v>9</v>
      </c>
      <c r="J1259" t="s">
        <v>35</v>
      </c>
      <c r="K1259" s="12">
        <f t="shared" si="19"/>
        <v>200000</v>
      </c>
      <c r="L1259" s="12">
        <f>Sales_Data[[#This Row],[Unit Price]]*Sales_Data[[#This Row],[Quantity]]</f>
        <v>2250000</v>
      </c>
      <c r="M1259" s="12">
        <f>Sales_Data[[#This Row],[Cost Price]]*Sales_Data[[#This Row],[Quantity]]</f>
        <v>1800000</v>
      </c>
      <c r="N1259" s="12">
        <f>Sales_Data[[#This Row],[Revenue]]-Sales_Data[[#This Row],[COGS]]</f>
        <v>450000</v>
      </c>
    </row>
    <row r="1260" spans="1:14">
      <c r="A1260" s="1">
        <v>46934</v>
      </c>
      <c r="B1260" t="s">
        <v>29</v>
      </c>
      <c r="C1260" t="s">
        <v>19</v>
      </c>
      <c r="D1260" t="s">
        <v>23</v>
      </c>
      <c r="E1260" t="s">
        <v>14</v>
      </c>
      <c r="F1260" t="s">
        <v>36</v>
      </c>
      <c r="G1260" t="s">
        <v>31</v>
      </c>
      <c r="H1260" s="12">
        <v>150000</v>
      </c>
      <c r="I1260">
        <v>3</v>
      </c>
      <c r="J1260" t="s">
        <v>39</v>
      </c>
      <c r="K1260" s="12">
        <f t="shared" si="19"/>
        <v>120000</v>
      </c>
      <c r="L1260" s="12">
        <f>Sales_Data[[#This Row],[Unit Price]]*Sales_Data[[#This Row],[Quantity]]</f>
        <v>450000</v>
      </c>
      <c r="M1260" s="12">
        <f>Sales_Data[[#This Row],[Cost Price]]*Sales_Data[[#This Row],[Quantity]]</f>
        <v>360000</v>
      </c>
      <c r="N1260" s="12">
        <f>Sales_Data[[#This Row],[Revenue]]-Sales_Data[[#This Row],[COGS]]</f>
        <v>90000</v>
      </c>
    </row>
    <row r="1261" spans="1:14">
      <c r="A1261" s="1">
        <v>46935</v>
      </c>
      <c r="B1261" t="s">
        <v>18</v>
      </c>
      <c r="C1261" t="s">
        <v>19</v>
      </c>
      <c r="D1261" t="s">
        <v>23</v>
      </c>
      <c r="E1261" t="s">
        <v>14</v>
      </c>
      <c r="F1261" t="s">
        <v>30</v>
      </c>
      <c r="G1261" t="s">
        <v>31</v>
      </c>
      <c r="H1261" s="12">
        <v>300000</v>
      </c>
      <c r="I1261">
        <v>5</v>
      </c>
      <c r="J1261" t="s">
        <v>39</v>
      </c>
      <c r="K1261" s="12">
        <f t="shared" si="19"/>
        <v>240000</v>
      </c>
      <c r="L1261" s="12">
        <f>Sales_Data[[#This Row],[Unit Price]]*Sales_Data[[#This Row],[Quantity]]</f>
        <v>1500000</v>
      </c>
      <c r="M1261" s="12">
        <f>Sales_Data[[#This Row],[Cost Price]]*Sales_Data[[#This Row],[Quantity]]</f>
        <v>1200000</v>
      </c>
      <c r="N1261" s="12">
        <f>Sales_Data[[#This Row],[Revenue]]-Sales_Data[[#This Row],[COGS]]</f>
        <v>300000</v>
      </c>
    </row>
    <row r="1262" spans="1:14">
      <c r="A1262" s="1">
        <v>46936</v>
      </c>
      <c r="B1262" t="s">
        <v>11</v>
      </c>
      <c r="C1262" t="s">
        <v>12</v>
      </c>
      <c r="D1262" t="s">
        <v>13</v>
      </c>
      <c r="E1262" t="s">
        <v>20</v>
      </c>
      <c r="F1262" t="s">
        <v>34</v>
      </c>
      <c r="G1262" t="s">
        <v>16</v>
      </c>
      <c r="H1262" s="12">
        <v>320000</v>
      </c>
      <c r="I1262">
        <v>5</v>
      </c>
      <c r="J1262" t="s">
        <v>17</v>
      </c>
      <c r="K1262" s="12">
        <f t="shared" si="19"/>
        <v>256000</v>
      </c>
      <c r="L1262" s="12">
        <f>Sales_Data[[#This Row],[Unit Price]]*Sales_Data[[#This Row],[Quantity]]</f>
        <v>1600000</v>
      </c>
      <c r="M1262" s="12">
        <f>Sales_Data[[#This Row],[Cost Price]]*Sales_Data[[#This Row],[Quantity]]</f>
        <v>1280000</v>
      </c>
      <c r="N1262" s="12">
        <f>Sales_Data[[#This Row],[Revenue]]-Sales_Data[[#This Row],[COGS]]</f>
        <v>320000</v>
      </c>
    </row>
    <row r="1263" spans="1:14">
      <c r="A1263" s="1">
        <v>46937</v>
      </c>
      <c r="B1263" t="s">
        <v>11</v>
      </c>
      <c r="C1263" t="s">
        <v>32</v>
      </c>
      <c r="D1263" t="s">
        <v>23</v>
      </c>
      <c r="E1263" t="s">
        <v>20</v>
      </c>
      <c r="F1263" t="s">
        <v>15</v>
      </c>
      <c r="G1263" t="s">
        <v>16</v>
      </c>
      <c r="H1263" s="12">
        <v>85000</v>
      </c>
      <c r="I1263">
        <v>10</v>
      </c>
      <c r="J1263" t="s">
        <v>37</v>
      </c>
      <c r="K1263" s="12">
        <f t="shared" si="19"/>
        <v>68000</v>
      </c>
      <c r="L1263" s="12">
        <f>Sales_Data[[#This Row],[Unit Price]]*Sales_Data[[#This Row],[Quantity]]</f>
        <v>850000</v>
      </c>
      <c r="M1263" s="12">
        <f>Sales_Data[[#This Row],[Cost Price]]*Sales_Data[[#This Row],[Quantity]]</f>
        <v>680000</v>
      </c>
      <c r="N1263" s="12">
        <f>Sales_Data[[#This Row],[Revenue]]-Sales_Data[[#This Row],[COGS]]</f>
        <v>170000</v>
      </c>
    </row>
    <row r="1264" spans="1:14">
      <c r="A1264" s="1">
        <v>46938</v>
      </c>
      <c r="B1264" t="s">
        <v>11</v>
      </c>
      <c r="C1264" t="s">
        <v>19</v>
      </c>
      <c r="D1264" t="s">
        <v>13</v>
      </c>
      <c r="E1264" t="s">
        <v>20</v>
      </c>
      <c r="F1264" t="s">
        <v>33</v>
      </c>
      <c r="G1264" t="s">
        <v>22</v>
      </c>
      <c r="H1264" s="12">
        <v>180000</v>
      </c>
      <c r="I1264">
        <v>3</v>
      </c>
      <c r="J1264" t="s">
        <v>37</v>
      </c>
      <c r="K1264" s="12">
        <f t="shared" si="19"/>
        <v>144000</v>
      </c>
      <c r="L1264" s="12">
        <f>Sales_Data[[#This Row],[Unit Price]]*Sales_Data[[#This Row],[Quantity]]</f>
        <v>540000</v>
      </c>
      <c r="M1264" s="12">
        <f>Sales_Data[[#This Row],[Cost Price]]*Sales_Data[[#This Row],[Quantity]]</f>
        <v>432000</v>
      </c>
      <c r="N1264" s="12">
        <f>Sales_Data[[#This Row],[Revenue]]-Sales_Data[[#This Row],[COGS]]</f>
        <v>108000</v>
      </c>
    </row>
    <row r="1265" spans="1:14">
      <c r="A1265" s="1">
        <v>46939</v>
      </c>
      <c r="B1265" t="s">
        <v>18</v>
      </c>
      <c r="C1265" t="s">
        <v>32</v>
      </c>
      <c r="D1265" t="s">
        <v>23</v>
      </c>
      <c r="E1265" t="s">
        <v>20</v>
      </c>
      <c r="F1265" t="s">
        <v>21</v>
      </c>
      <c r="G1265" t="s">
        <v>22</v>
      </c>
      <c r="H1265" s="12">
        <v>30000</v>
      </c>
      <c r="I1265">
        <v>3</v>
      </c>
      <c r="J1265" t="s">
        <v>39</v>
      </c>
      <c r="K1265" s="12">
        <f t="shared" si="19"/>
        <v>24000</v>
      </c>
      <c r="L1265" s="12">
        <f>Sales_Data[[#This Row],[Unit Price]]*Sales_Data[[#This Row],[Quantity]]</f>
        <v>90000</v>
      </c>
      <c r="M1265" s="12">
        <f>Sales_Data[[#This Row],[Cost Price]]*Sales_Data[[#This Row],[Quantity]]</f>
        <v>72000</v>
      </c>
      <c r="N1265" s="12">
        <f>Sales_Data[[#This Row],[Revenue]]-Sales_Data[[#This Row],[COGS]]</f>
        <v>18000</v>
      </c>
    </row>
    <row r="1266" spans="1:14">
      <c r="A1266" s="1">
        <v>46940</v>
      </c>
      <c r="B1266" t="s">
        <v>29</v>
      </c>
      <c r="C1266" t="s">
        <v>19</v>
      </c>
      <c r="D1266" t="s">
        <v>13</v>
      </c>
      <c r="E1266" t="s">
        <v>20</v>
      </c>
      <c r="F1266" t="s">
        <v>36</v>
      </c>
      <c r="G1266" t="s">
        <v>31</v>
      </c>
      <c r="H1266" s="12">
        <v>150000</v>
      </c>
      <c r="I1266">
        <v>5</v>
      </c>
      <c r="J1266" t="s">
        <v>37</v>
      </c>
      <c r="K1266" s="12">
        <f t="shared" si="19"/>
        <v>120000</v>
      </c>
      <c r="L1266" s="12">
        <f>Sales_Data[[#This Row],[Unit Price]]*Sales_Data[[#This Row],[Quantity]]</f>
        <v>750000</v>
      </c>
      <c r="M1266" s="12">
        <f>Sales_Data[[#This Row],[Cost Price]]*Sales_Data[[#This Row],[Quantity]]</f>
        <v>600000</v>
      </c>
      <c r="N1266" s="12">
        <f>Sales_Data[[#This Row],[Revenue]]-Sales_Data[[#This Row],[COGS]]</f>
        <v>150000</v>
      </c>
    </row>
    <row r="1267" spans="1:14">
      <c r="A1267" s="1">
        <v>46941</v>
      </c>
      <c r="B1267" t="s">
        <v>29</v>
      </c>
      <c r="C1267" t="s">
        <v>26</v>
      </c>
      <c r="D1267" t="s">
        <v>13</v>
      </c>
      <c r="E1267" t="s">
        <v>14</v>
      </c>
      <c r="F1267" t="s">
        <v>30</v>
      </c>
      <c r="G1267" t="s">
        <v>31</v>
      </c>
      <c r="H1267" s="12">
        <v>300000</v>
      </c>
      <c r="I1267">
        <v>4</v>
      </c>
      <c r="J1267" t="s">
        <v>35</v>
      </c>
      <c r="K1267" s="12">
        <f t="shared" si="19"/>
        <v>240000</v>
      </c>
      <c r="L1267" s="12">
        <f>Sales_Data[[#This Row],[Unit Price]]*Sales_Data[[#This Row],[Quantity]]</f>
        <v>1200000</v>
      </c>
      <c r="M1267" s="12">
        <f>Sales_Data[[#This Row],[Cost Price]]*Sales_Data[[#This Row],[Quantity]]</f>
        <v>960000</v>
      </c>
      <c r="N1267" s="12">
        <f>Sales_Data[[#This Row],[Revenue]]-Sales_Data[[#This Row],[COGS]]</f>
        <v>240000</v>
      </c>
    </row>
    <row r="1268" spans="1:14">
      <c r="A1268" s="1">
        <v>46942</v>
      </c>
      <c r="B1268" t="s">
        <v>18</v>
      </c>
      <c r="C1268" t="s">
        <v>26</v>
      </c>
      <c r="D1268" t="s">
        <v>23</v>
      </c>
      <c r="E1268" t="s">
        <v>20</v>
      </c>
      <c r="F1268" t="s">
        <v>21</v>
      </c>
      <c r="G1268" t="s">
        <v>22</v>
      </c>
      <c r="H1268" s="12">
        <v>30000</v>
      </c>
      <c r="I1268">
        <v>8</v>
      </c>
      <c r="J1268" t="s">
        <v>37</v>
      </c>
      <c r="K1268" s="12">
        <f t="shared" si="19"/>
        <v>24000</v>
      </c>
      <c r="L1268" s="12">
        <f>Sales_Data[[#This Row],[Unit Price]]*Sales_Data[[#This Row],[Quantity]]</f>
        <v>240000</v>
      </c>
      <c r="M1268" s="12">
        <f>Sales_Data[[#This Row],[Cost Price]]*Sales_Data[[#This Row],[Quantity]]</f>
        <v>192000</v>
      </c>
      <c r="N1268" s="12">
        <f>Sales_Data[[#This Row],[Revenue]]-Sales_Data[[#This Row],[COGS]]</f>
        <v>48000</v>
      </c>
    </row>
    <row r="1269" spans="1:14">
      <c r="A1269" s="1">
        <v>46943</v>
      </c>
      <c r="B1269" t="s">
        <v>11</v>
      </c>
      <c r="C1269" t="s">
        <v>12</v>
      </c>
      <c r="D1269" t="s">
        <v>13</v>
      </c>
      <c r="E1269" t="s">
        <v>20</v>
      </c>
      <c r="F1269" t="s">
        <v>41</v>
      </c>
      <c r="G1269" t="s">
        <v>22</v>
      </c>
      <c r="H1269" s="12">
        <v>220000</v>
      </c>
      <c r="I1269">
        <v>10</v>
      </c>
      <c r="J1269" t="s">
        <v>24</v>
      </c>
      <c r="K1269" s="12">
        <f t="shared" si="19"/>
        <v>176000</v>
      </c>
      <c r="L1269" s="12">
        <f>Sales_Data[[#This Row],[Unit Price]]*Sales_Data[[#This Row],[Quantity]]</f>
        <v>2200000</v>
      </c>
      <c r="M1269" s="12">
        <f>Sales_Data[[#This Row],[Cost Price]]*Sales_Data[[#This Row],[Quantity]]</f>
        <v>1760000</v>
      </c>
      <c r="N1269" s="12">
        <f>Sales_Data[[#This Row],[Revenue]]-Sales_Data[[#This Row],[COGS]]</f>
        <v>440000</v>
      </c>
    </row>
    <row r="1270" spans="1:14">
      <c r="A1270" s="1">
        <v>46944</v>
      </c>
      <c r="B1270" t="s">
        <v>25</v>
      </c>
      <c r="C1270" t="s">
        <v>26</v>
      </c>
      <c r="D1270" t="s">
        <v>13</v>
      </c>
      <c r="E1270" t="s">
        <v>14</v>
      </c>
      <c r="F1270" t="s">
        <v>21</v>
      </c>
      <c r="G1270" t="s">
        <v>22</v>
      </c>
      <c r="H1270" s="12">
        <v>30000</v>
      </c>
      <c r="I1270">
        <v>10</v>
      </c>
      <c r="J1270" t="s">
        <v>28</v>
      </c>
      <c r="K1270" s="12">
        <f t="shared" si="19"/>
        <v>24000</v>
      </c>
      <c r="L1270" s="12">
        <f>Sales_Data[[#This Row],[Unit Price]]*Sales_Data[[#This Row],[Quantity]]</f>
        <v>300000</v>
      </c>
      <c r="M1270" s="12">
        <f>Sales_Data[[#This Row],[Cost Price]]*Sales_Data[[#This Row],[Quantity]]</f>
        <v>240000</v>
      </c>
      <c r="N1270" s="12">
        <f>Sales_Data[[#This Row],[Revenue]]-Sales_Data[[#This Row],[COGS]]</f>
        <v>60000</v>
      </c>
    </row>
    <row r="1271" spans="1:14">
      <c r="A1271" s="1">
        <v>46945</v>
      </c>
      <c r="B1271" t="s">
        <v>18</v>
      </c>
      <c r="C1271" t="s">
        <v>19</v>
      </c>
      <c r="D1271" t="s">
        <v>23</v>
      </c>
      <c r="E1271" t="s">
        <v>20</v>
      </c>
      <c r="F1271" t="s">
        <v>40</v>
      </c>
      <c r="G1271" t="s">
        <v>31</v>
      </c>
      <c r="H1271" s="12">
        <v>250000</v>
      </c>
      <c r="I1271">
        <v>5</v>
      </c>
      <c r="J1271" t="s">
        <v>17</v>
      </c>
      <c r="K1271" s="12">
        <f t="shared" si="19"/>
        <v>200000</v>
      </c>
      <c r="L1271" s="12">
        <f>Sales_Data[[#This Row],[Unit Price]]*Sales_Data[[#This Row],[Quantity]]</f>
        <v>1250000</v>
      </c>
      <c r="M1271" s="12">
        <f>Sales_Data[[#This Row],[Cost Price]]*Sales_Data[[#This Row],[Quantity]]</f>
        <v>1000000</v>
      </c>
      <c r="N1271" s="12">
        <f>Sales_Data[[#This Row],[Revenue]]-Sales_Data[[#This Row],[COGS]]</f>
        <v>250000</v>
      </c>
    </row>
    <row r="1272" spans="1:14">
      <c r="A1272" s="1">
        <v>46946</v>
      </c>
      <c r="B1272" t="s">
        <v>25</v>
      </c>
      <c r="C1272" t="s">
        <v>19</v>
      </c>
      <c r="D1272" t="s">
        <v>23</v>
      </c>
      <c r="E1272" t="s">
        <v>20</v>
      </c>
      <c r="F1272" t="s">
        <v>36</v>
      </c>
      <c r="G1272" t="s">
        <v>31</v>
      </c>
      <c r="H1272" s="12">
        <v>150000</v>
      </c>
      <c r="I1272">
        <v>8</v>
      </c>
      <c r="J1272" t="s">
        <v>17</v>
      </c>
      <c r="K1272" s="12">
        <f t="shared" si="19"/>
        <v>120000</v>
      </c>
      <c r="L1272" s="12">
        <f>Sales_Data[[#This Row],[Unit Price]]*Sales_Data[[#This Row],[Quantity]]</f>
        <v>1200000</v>
      </c>
      <c r="M1272" s="12">
        <f>Sales_Data[[#This Row],[Cost Price]]*Sales_Data[[#This Row],[Quantity]]</f>
        <v>960000</v>
      </c>
      <c r="N1272" s="12">
        <f>Sales_Data[[#This Row],[Revenue]]-Sales_Data[[#This Row],[COGS]]</f>
        <v>240000</v>
      </c>
    </row>
    <row r="1273" spans="1:14">
      <c r="A1273" s="1">
        <v>46947</v>
      </c>
      <c r="B1273" t="s">
        <v>25</v>
      </c>
      <c r="C1273" t="s">
        <v>12</v>
      </c>
      <c r="D1273" t="s">
        <v>13</v>
      </c>
      <c r="E1273" t="s">
        <v>20</v>
      </c>
      <c r="F1273" t="s">
        <v>15</v>
      </c>
      <c r="G1273" t="s">
        <v>16</v>
      </c>
      <c r="H1273" s="12">
        <v>85000</v>
      </c>
      <c r="I1273">
        <v>1</v>
      </c>
      <c r="J1273" t="s">
        <v>17</v>
      </c>
      <c r="K1273" s="12">
        <f t="shared" si="19"/>
        <v>68000</v>
      </c>
      <c r="L1273" s="12">
        <f>Sales_Data[[#This Row],[Unit Price]]*Sales_Data[[#This Row],[Quantity]]</f>
        <v>85000</v>
      </c>
      <c r="M1273" s="12">
        <f>Sales_Data[[#This Row],[Cost Price]]*Sales_Data[[#This Row],[Quantity]]</f>
        <v>68000</v>
      </c>
      <c r="N1273" s="12">
        <f>Sales_Data[[#This Row],[Revenue]]-Sales_Data[[#This Row],[COGS]]</f>
        <v>17000</v>
      </c>
    </row>
    <row r="1274" spans="1:14">
      <c r="A1274" s="1">
        <v>46948</v>
      </c>
      <c r="B1274" t="s">
        <v>18</v>
      </c>
      <c r="C1274" t="s">
        <v>26</v>
      </c>
      <c r="D1274" t="s">
        <v>13</v>
      </c>
      <c r="E1274" t="s">
        <v>14</v>
      </c>
      <c r="F1274" t="s">
        <v>41</v>
      </c>
      <c r="G1274" t="s">
        <v>22</v>
      </c>
      <c r="H1274" s="12">
        <v>220000</v>
      </c>
      <c r="I1274">
        <v>2</v>
      </c>
      <c r="J1274" t="s">
        <v>37</v>
      </c>
      <c r="K1274" s="12">
        <f t="shared" si="19"/>
        <v>176000</v>
      </c>
      <c r="L1274" s="12">
        <f>Sales_Data[[#This Row],[Unit Price]]*Sales_Data[[#This Row],[Quantity]]</f>
        <v>440000</v>
      </c>
      <c r="M1274" s="12">
        <f>Sales_Data[[#This Row],[Cost Price]]*Sales_Data[[#This Row],[Quantity]]</f>
        <v>352000</v>
      </c>
      <c r="N1274" s="12">
        <f>Sales_Data[[#This Row],[Revenue]]-Sales_Data[[#This Row],[COGS]]</f>
        <v>88000</v>
      </c>
    </row>
    <row r="1275" spans="1:14">
      <c r="A1275" s="1">
        <v>46949</v>
      </c>
      <c r="B1275" t="s">
        <v>25</v>
      </c>
      <c r="C1275" t="s">
        <v>19</v>
      </c>
      <c r="D1275" t="s">
        <v>23</v>
      </c>
      <c r="E1275" t="s">
        <v>14</v>
      </c>
      <c r="F1275" t="s">
        <v>27</v>
      </c>
      <c r="G1275" t="s">
        <v>22</v>
      </c>
      <c r="H1275" s="12">
        <v>60000</v>
      </c>
      <c r="I1275">
        <v>9</v>
      </c>
      <c r="J1275" t="s">
        <v>28</v>
      </c>
      <c r="K1275" s="12">
        <f t="shared" si="19"/>
        <v>48000</v>
      </c>
      <c r="L1275" s="12">
        <f>Sales_Data[[#This Row],[Unit Price]]*Sales_Data[[#This Row],[Quantity]]</f>
        <v>540000</v>
      </c>
      <c r="M1275" s="12">
        <f>Sales_Data[[#This Row],[Cost Price]]*Sales_Data[[#This Row],[Quantity]]</f>
        <v>432000</v>
      </c>
      <c r="N1275" s="12">
        <f>Sales_Data[[#This Row],[Revenue]]-Sales_Data[[#This Row],[COGS]]</f>
        <v>108000</v>
      </c>
    </row>
    <row r="1276" spans="1:14">
      <c r="A1276" s="1">
        <v>46950</v>
      </c>
      <c r="B1276" t="s">
        <v>29</v>
      </c>
      <c r="C1276" t="s">
        <v>26</v>
      </c>
      <c r="D1276" t="s">
        <v>13</v>
      </c>
      <c r="E1276" t="s">
        <v>14</v>
      </c>
      <c r="F1276" t="s">
        <v>40</v>
      </c>
      <c r="G1276" t="s">
        <v>31</v>
      </c>
      <c r="H1276" s="12">
        <v>250000</v>
      </c>
      <c r="I1276">
        <v>9</v>
      </c>
      <c r="J1276" t="s">
        <v>35</v>
      </c>
      <c r="K1276" s="12">
        <f t="shared" si="19"/>
        <v>200000</v>
      </c>
      <c r="L1276" s="12">
        <f>Sales_Data[[#This Row],[Unit Price]]*Sales_Data[[#This Row],[Quantity]]</f>
        <v>2250000</v>
      </c>
      <c r="M1276" s="12">
        <f>Sales_Data[[#This Row],[Cost Price]]*Sales_Data[[#This Row],[Quantity]]</f>
        <v>1800000</v>
      </c>
      <c r="N1276" s="12">
        <f>Sales_Data[[#This Row],[Revenue]]-Sales_Data[[#This Row],[COGS]]</f>
        <v>450000</v>
      </c>
    </row>
    <row r="1277" spans="1:14">
      <c r="A1277" s="1">
        <v>46951</v>
      </c>
      <c r="B1277" t="s">
        <v>18</v>
      </c>
      <c r="C1277" t="s">
        <v>12</v>
      </c>
      <c r="D1277" t="s">
        <v>13</v>
      </c>
      <c r="E1277" t="s">
        <v>20</v>
      </c>
      <c r="F1277" t="s">
        <v>15</v>
      </c>
      <c r="G1277" t="s">
        <v>16</v>
      </c>
      <c r="H1277" s="12">
        <v>85000</v>
      </c>
      <c r="I1277">
        <v>7</v>
      </c>
      <c r="J1277" t="s">
        <v>37</v>
      </c>
      <c r="K1277" s="12">
        <f t="shared" si="19"/>
        <v>68000</v>
      </c>
      <c r="L1277" s="12">
        <f>Sales_Data[[#This Row],[Unit Price]]*Sales_Data[[#This Row],[Quantity]]</f>
        <v>595000</v>
      </c>
      <c r="M1277" s="12">
        <f>Sales_Data[[#This Row],[Cost Price]]*Sales_Data[[#This Row],[Quantity]]</f>
        <v>476000</v>
      </c>
      <c r="N1277" s="12">
        <f>Sales_Data[[#This Row],[Revenue]]-Sales_Data[[#This Row],[COGS]]</f>
        <v>119000</v>
      </c>
    </row>
    <row r="1278" spans="1:14">
      <c r="A1278" s="1">
        <v>46952</v>
      </c>
      <c r="B1278" t="s">
        <v>25</v>
      </c>
      <c r="C1278" t="s">
        <v>26</v>
      </c>
      <c r="D1278" t="s">
        <v>13</v>
      </c>
      <c r="E1278" t="s">
        <v>20</v>
      </c>
      <c r="F1278" t="s">
        <v>36</v>
      </c>
      <c r="G1278" t="s">
        <v>31</v>
      </c>
      <c r="H1278" s="12">
        <v>150000</v>
      </c>
      <c r="I1278">
        <v>7</v>
      </c>
      <c r="J1278" t="s">
        <v>35</v>
      </c>
      <c r="K1278" s="12">
        <f t="shared" si="19"/>
        <v>120000</v>
      </c>
      <c r="L1278" s="12">
        <f>Sales_Data[[#This Row],[Unit Price]]*Sales_Data[[#This Row],[Quantity]]</f>
        <v>1050000</v>
      </c>
      <c r="M1278" s="12">
        <f>Sales_Data[[#This Row],[Cost Price]]*Sales_Data[[#This Row],[Quantity]]</f>
        <v>840000</v>
      </c>
      <c r="N1278" s="12">
        <f>Sales_Data[[#This Row],[Revenue]]-Sales_Data[[#This Row],[COGS]]</f>
        <v>210000</v>
      </c>
    </row>
    <row r="1279" spans="1:14">
      <c r="A1279" s="1">
        <v>46953</v>
      </c>
      <c r="B1279" t="s">
        <v>18</v>
      </c>
      <c r="C1279" t="s">
        <v>26</v>
      </c>
      <c r="D1279" t="s">
        <v>23</v>
      </c>
      <c r="E1279" t="s">
        <v>14</v>
      </c>
      <c r="F1279" t="s">
        <v>21</v>
      </c>
      <c r="G1279" t="s">
        <v>22</v>
      </c>
      <c r="H1279" s="12">
        <v>30000</v>
      </c>
      <c r="I1279">
        <v>3</v>
      </c>
      <c r="J1279" t="s">
        <v>24</v>
      </c>
      <c r="K1279" s="12">
        <f t="shared" si="19"/>
        <v>24000</v>
      </c>
      <c r="L1279" s="12">
        <f>Sales_Data[[#This Row],[Unit Price]]*Sales_Data[[#This Row],[Quantity]]</f>
        <v>90000</v>
      </c>
      <c r="M1279" s="12">
        <f>Sales_Data[[#This Row],[Cost Price]]*Sales_Data[[#This Row],[Quantity]]</f>
        <v>72000</v>
      </c>
      <c r="N1279" s="12">
        <f>Sales_Data[[#This Row],[Revenue]]-Sales_Data[[#This Row],[COGS]]</f>
        <v>18000</v>
      </c>
    </row>
    <row r="1280" spans="1:14">
      <c r="A1280" s="1">
        <v>46954</v>
      </c>
      <c r="B1280" t="s">
        <v>18</v>
      </c>
      <c r="C1280" t="s">
        <v>26</v>
      </c>
      <c r="D1280" t="s">
        <v>23</v>
      </c>
      <c r="E1280" t="s">
        <v>20</v>
      </c>
      <c r="F1280" t="s">
        <v>21</v>
      </c>
      <c r="G1280" t="s">
        <v>22</v>
      </c>
      <c r="H1280" s="12">
        <v>30000</v>
      </c>
      <c r="I1280">
        <v>3</v>
      </c>
      <c r="J1280" t="s">
        <v>39</v>
      </c>
      <c r="K1280" s="12">
        <f t="shared" si="19"/>
        <v>24000</v>
      </c>
      <c r="L1280" s="12">
        <f>Sales_Data[[#This Row],[Unit Price]]*Sales_Data[[#This Row],[Quantity]]</f>
        <v>90000</v>
      </c>
      <c r="M1280" s="12">
        <f>Sales_Data[[#This Row],[Cost Price]]*Sales_Data[[#This Row],[Quantity]]</f>
        <v>72000</v>
      </c>
      <c r="N1280" s="12">
        <f>Sales_Data[[#This Row],[Revenue]]-Sales_Data[[#This Row],[COGS]]</f>
        <v>18000</v>
      </c>
    </row>
    <row r="1281" spans="1:14">
      <c r="A1281" s="1">
        <v>46955</v>
      </c>
      <c r="B1281" t="s">
        <v>29</v>
      </c>
      <c r="C1281" t="s">
        <v>32</v>
      </c>
      <c r="D1281" t="s">
        <v>13</v>
      </c>
      <c r="E1281" t="s">
        <v>14</v>
      </c>
      <c r="F1281" t="s">
        <v>21</v>
      </c>
      <c r="G1281" t="s">
        <v>22</v>
      </c>
      <c r="H1281" s="12">
        <v>30000</v>
      </c>
      <c r="I1281">
        <v>4</v>
      </c>
      <c r="J1281" t="s">
        <v>37</v>
      </c>
      <c r="K1281" s="12">
        <f t="shared" si="19"/>
        <v>24000</v>
      </c>
      <c r="L1281" s="12">
        <f>Sales_Data[[#This Row],[Unit Price]]*Sales_Data[[#This Row],[Quantity]]</f>
        <v>120000</v>
      </c>
      <c r="M1281" s="12">
        <f>Sales_Data[[#This Row],[Cost Price]]*Sales_Data[[#This Row],[Quantity]]</f>
        <v>96000</v>
      </c>
      <c r="N1281" s="12">
        <f>Sales_Data[[#This Row],[Revenue]]-Sales_Data[[#This Row],[COGS]]</f>
        <v>24000</v>
      </c>
    </row>
    <row r="1282" spans="1:14">
      <c r="A1282" s="1">
        <v>46956</v>
      </c>
      <c r="B1282" t="s">
        <v>25</v>
      </c>
      <c r="C1282" t="s">
        <v>19</v>
      </c>
      <c r="D1282" t="s">
        <v>13</v>
      </c>
      <c r="E1282" t="s">
        <v>20</v>
      </c>
      <c r="F1282" t="s">
        <v>27</v>
      </c>
      <c r="G1282" t="s">
        <v>22</v>
      </c>
      <c r="H1282" s="12">
        <v>60000</v>
      </c>
      <c r="I1282">
        <v>9</v>
      </c>
      <c r="J1282" t="s">
        <v>24</v>
      </c>
      <c r="K1282" s="12">
        <f t="shared" ref="K1282:K1345" si="20">H1282-H1282*0.2</f>
        <v>48000</v>
      </c>
      <c r="L1282" s="12">
        <f>Sales_Data[[#This Row],[Unit Price]]*Sales_Data[[#This Row],[Quantity]]</f>
        <v>540000</v>
      </c>
      <c r="M1282" s="12">
        <f>Sales_Data[[#This Row],[Cost Price]]*Sales_Data[[#This Row],[Quantity]]</f>
        <v>432000</v>
      </c>
      <c r="N1282" s="12">
        <f>Sales_Data[[#This Row],[Revenue]]-Sales_Data[[#This Row],[COGS]]</f>
        <v>108000</v>
      </c>
    </row>
    <row r="1283" spans="1:14">
      <c r="A1283" s="1">
        <v>46957</v>
      </c>
      <c r="B1283" t="s">
        <v>25</v>
      </c>
      <c r="C1283" t="s">
        <v>32</v>
      </c>
      <c r="D1283" t="s">
        <v>23</v>
      </c>
      <c r="E1283" t="s">
        <v>14</v>
      </c>
      <c r="F1283" t="s">
        <v>27</v>
      </c>
      <c r="G1283" t="s">
        <v>22</v>
      </c>
      <c r="H1283" s="12">
        <v>60000</v>
      </c>
      <c r="I1283">
        <v>9</v>
      </c>
      <c r="J1283" t="s">
        <v>35</v>
      </c>
      <c r="K1283" s="12">
        <f t="shared" si="20"/>
        <v>48000</v>
      </c>
      <c r="L1283" s="12">
        <f>Sales_Data[[#This Row],[Unit Price]]*Sales_Data[[#This Row],[Quantity]]</f>
        <v>540000</v>
      </c>
      <c r="M1283" s="12">
        <f>Sales_Data[[#This Row],[Cost Price]]*Sales_Data[[#This Row],[Quantity]]</f>
        <v>432000</v>
      </c>
      <c r="N1283" s="12">
        <f>Sales_Data[[#This Row],[Revenue]]-Sales_Data[[#This Row],[COGS]]</f>
        <v>108000</v>
      </c>
    </row>
    <row r="1284" spans="1:14">
      <c r="A1284" s="1">
        <v>46958</v>
      </c>
      <c r="B1284" t="s">
        <v>25</v>
      </c>
      <c r="C1284" t="s">
        <v>12</v>
      </c>
      <c r="D1284" t="s">
        <v>23</v>
      </c>
      <c r="E1284" t="s">
        <v>14</v>
      </c>
      <c r="F1284" t="s">
        <v>38</v>
      </c>
      <c r="G1284" t="s">
        <v>31</v>
      </c>
      <c r="H1284" s="12">
        <v>420000</v>
      </c>
      <c r="I1284">
        <v>2</v>
      </c>
      <c r="J1284" t="s">
        <v>28</v>
      </c>
      <c r="K1284" s="12">
        <f t="shared" si="20"/>
        <v>336000</v>
      </c>
      <c r="L1284" s="12">
        <f>Sales_Data[[#This Row],[Unit Price]]*Sales_Data[[#This Row],[Quantity]]</f>
        <v>840000</v>
      </c>
      <c r="M1284" s="12">
        <f>Sales_Data[[#This Row],[Cost Price]]*Sales_Data[[#This Row],[Quantity]]</f>
        <v>672000</v>
      </c>
      <c r="N1284" s="12">
        <f>Sales_Data[[#This Row],[Revenue]]-Sales_Data[[#This Row],[COGS]]</f>
        <v>168000</v>
      </c>
    </row>
    <row r="1285" spans="1:14">
      <c r="A1285" s="1">
        <v>46959</v>
      </c>
      <c r="B1285" t="s">
        <v>29</v>
      </c>
      <c r="C1285" t="s">
        <v>26</v>
      </c>
      <c r="D1285" t="s">
        <v>13</v>
      </c>
      <c r="E1285" t="s">
        <v>20</v>
      </c>
      <c r="F1285" t="s">
        <v>34</v>
      </c>
      <c r="G1285" t="s">
        <v>16</v>
      </c>
      <c r="H1285" s="12">
        <v>320000</v>
      </c>
      <c r="I1285">
        <v>1</v>
      </c>
      <c r="J1285" t="s">
        <v>39</v>
      </c>
      <c r="K1285" s="12">
        <f t="shared" si="20"/>
        <v>256000</v>
      </c>
      <c r="L1285" s="12">
        <f>Sales_Data[[#This Row],[Unit Price]]*Sales_Data[[#This Row],[Quantity]]</f>
        <v>320000</v>
      </c>
      <c r="M1285" s="12">
        <f>Sales_Data[[#This Row],[Cost Price]]*Sales_Data[[#This Row],[Quantity]]</f>
        <v>256000</v>
      </c>
      <c r="N1285" s="12">
        <f>Sales_Data[[#This Row],[Revenue]]-Sales_Data[[#This Row],[COGS]]</f>
        <v>64000</v>
      </c>
    </row>
    <row r="1286" spans="1:14">
      <c r="A1286" s="1">
        <v>46960</v>
      </c>
      <c r="B1286" t="s">
        <v>11</v>
      </c>
      <c r="C1286" t="s">
        <v>12</v>
      </c>
      <c r="D1286" t="s">
        <v>13</v>
      </c>
      <c r="E1286" t="s">
        <v>20</v>
      </c>
      <c r="F1286" t="s">
        <v>21</v>
      </c>
      <c r="G1286" t="s">
        <v>22</v>
      </c>
      <c r="H1286" s="12">
        <v>30000</v>
      </c>
      <c r="I1286">
        <v>5</v>
      </c>
      <c r="J1286" t="s">
        <v>24</v>
      </c>
      <c r="K1286" s="12">
        <f t="shared" si="20"/>
        <v>24000</v>
      </c>
      <c r="L1286" s="12">
        <f>Sales_Data[[#This Row],[Unit Price]]*Sales_Data[[#This Row],[Quantity]]</f>
        <v>150000</v>
      </c>
      <c r="M1286" s="12">
        <f>Sales_Data[[#This Row],[Cost Price]]*Sales_Data[[#This Row],[Quantity]]</f>
        <v>120000</v>
      </c>
      <c r="N1286" s="12">
        <f>Sales_Data[[#This Row],[Revenue]]-Sales_Data[[#This Row],[COGS]]</f>
        <v>30000</v>
      </c>
    </row>
    <row r="1287" spans="1:14">
      <c r="A1287" s="1">
        <v>46961</v>
      </c>
      <c r="B1287" t="s">
        <v>11</v>
      </c>
      <c r="C1287" t="s">
        <v>26</v>
      </c>
      <c r="D1287" t="s">
        <v>23</v>
      </c>
      <c r="E1287" t="s">
        <v>20</v>
      </c>
      <c r="F1287" t="s">
        <v>15</v>
      </c>
      <c r="G1287" t="s">
        <v>16</v>
      </c>
      <c r="H1287" s="12">
        <v>85000</v>
      </c>
      <c r="I1287">
        <v>5</v>
      </c>
      <c r="J1287" t="s">
        <v>39</v>
      </c>
      <c r="K1287" s="12">
        <f t="shared" si="20"/>
        <v>68000</v>
      </c>
      <c r="L1287" s="12">
        <f>Sales_Data[[#This Row],[Unit Price]]*Sales_Data[[#This Row],[Quantity]]</f>
        <v>425000</v>
      </c>
      <c r="M1287" s="12">
        <f>Sales_Data[[#This Row],[Cost Price]]*Sales_Data[[#This Row],[Quantity]]</f>
        <v>340000</v>
      </c>
      <c r="N1287" s="12">
        <f>Sales_Data[[#This Row],[Revenue]]-Sales_Data[[#This Row],[COGS]]</f>
        <v>85000</v>
      </c>
    </row>
    <row r="1288" spans="1:14">
      <c r="A1288" s="1">
        <v>46962</v>
      </c>
      <c r="B1288" t="s">
        <v>11</v>
      </c>
      <c r="C1288" t="s">
        <v>26</v>
      </c>
      <c r="D1288" t="s">
        <v>23</v>
      </c>
      <c r="E1288" t="s">
        <v>14</v>
      </c>
      <c r="F1288" t="s">
        <v>38</v>
      </c>
      <c r="G1288" t="s">
        <v>31</v>
      </c>
      <c r="H1288" s="12">
        <v>420000</v>
      </c>
      <c r="I1288">
        <v>10</v>
      </c>
      <c r="J1288" t="s">
        <v>35</v>
      </c>
      <c r="K1288" s="12">
        <f t="shared" si="20"/>
        <v>336000</v>
      </c>
      <c r="L1288" s="12">
        <f>Sales_Data[[#This Row],[Unit Price]]*Sales_Data[[#This Row],[Quantity]]</f>
        <v>4200000</v>
      </c>
      <c r="M1288" s="12">
        <f>Sales_Data[[#This Row],[Cost Price]]*Sales_Data[[#This Row],[Quantity]]</f>
        <v>3360000</v>
      </c>
      <c r="N1288" s="12">
        <f>Sales_Data[[#This Row],[Revenue]]-Sales_Data[[#This Row],[COGS]]</f>
        <v>840000</v>
      </c>
    </row>
    <row r="1289" spans="1:14">
      <c r="A1289" s="1">
        <v>46963</v>
      </c>
      <c r="B1289" t="s">
        <v>18</v>
      </c>
      <c r="C1289" t="s">
        <v>12</v>
      </c>
      <c r="D1289" t="s">
        <v>23</v>
      </c>
      <c r="E1289" t="s">
        <v>14</v>
      </c>
      <c r="F1289" t="s">
        <v>40</v>
      </c>
      <c r="G1289" t="s">
        <v>31</v>
      </c>
      <c r="H1289" s="12">
        <v>250000</v>
      </c>
      <c r="I1289">
        <v>8</v>
      </c>
      <c r="J1289" t="s">
        <v>37</v>
      </c>
      <c r="K1289" s="12">
        <f t="shared" si="20"/>
        <v>200000</v>
      </c>
      <c r="L1289" s="12">
        <f>Sales_Data[[#This Row],[Unit Price]]*Sales_Data[[#This Row],[Quantity]]</f>
        <v>2000000</v>
      </c>
      <c r="M1289" s="12">
        <f>Sales_Data[[#This Row],[Cost Price]]*Sales_Data[[#This Row],[Quantity]]</f>
        <v>1600000</v>
      </c>
      <c r="N1289" s="12">
        <f>Sales_Data[[#This Row],[Revenue]]-Sales_Data[[#This Row],[COGS]]</f>
        <v>400000</v>
      </c>
    </row>
    <row r="1290" spans="1:14">
      <c r="A1290" s="1">
        <v>46964</v>
      </c>
      <c r="B1290" t="s">
        <v>11</v>
      </c>
      <c r="C1290" t="s">
        <v>19</v>
      </c>
      <c r="D1290" t="s">
        <v>23</v>
      </c>
      <c r="E1290" t="s">
        <v>20</v>
      </c>
      <c r="F1290" t="s">
        <v>40</v>
      </c>
      <c r="G1290" t="s">
        <v>31</v>
      </c>
      <c r="H1290" s="12">
        <v>250000</v>
      </c>
      <c r="I1290">
        <v>10</v>
      </c>
      <c r="J1290" t="s">
        <v>35</v>
      </c>
      <c r="K1290" s="12">
        <f t="shared" si="20"/>
        <v>200000</v>
      </c>
      <c r="L1290" s="12">
        <f>Sales_Data[[#This Row],[Unit Price]]*Sales_Data[[#This Row],[Quantity]]</f>
        <v>2500000</v>
      </c>
      <c r="M1290" s="12">
        <f>Sales_Data[[#This Row],[Cost Price]]*Sales_Data[[#This Row],[Quantity]]</f>
        <v>2000000</v>
      </c>
      <c r="N1290" s="12">
        <f>Sales_Data[[#This Row],[Revenue]]-Sales_Data[[#This Row],[COGS]]</f>
        <v>500000</v>
      </c>
    </row>
    <row r="1291" spans="1:14">
      <c r="A1291" s="1">
        <v>46965</v>
      </c>
      <c r="B1291" t="s">
        <v>18</v>
      </c>
      <c r="C1291" t="s">
        <v>19</v>
      </c>
      <c r="D1291" t="s">
        <v>23</v>
      </c>
      <c r="E1291" t="s">
        <v>20</v>
      </c>
      <c r="F1291" t="s">
        <v>36</v>
      </c>
      <c r="G1291" t="s">
        <v>31</v>
      </c>
      <c r="H1291" s="12">
        <v>150000</v>
      </c>
      <c r="I1291">
        <v>4</v>
      </c>
      <c r="J1291" t="s">
        <v>28</v>
      </c>
      <c r="K1291" s="12">
        <f t="shared" si="20"/>
        <v>120000</v>
      </c>
      <c r="L1291" s="12">
        <f>Sales_Data[[#This Row],[Unit Price]]*Sales_Data[[#This Row],[Quantity]]</f>
        <v>600000</v>
      </c>
      <c r="M1291" s="12">
        <f>Sales_Data[[#This Row],[Cost Price]]*Sales_Data[[#This Row],[Quantity]]</f>
        <v>480000</v>
      </c>
      <c r="N1291" s="12">
        <f>Sales_Data[[#This Row],[Revenue]]-Sales_Data[[#This Row],[COGS]]</f>
        <v>120000</v>
      </c>
    </row>
    <row r="1292" spans="1:14">
      <c r="A1292" s="1">
        <v>46966</v>
      </c>
      <c r="B1292" t="s">
        <v>18</v>
      </c>
      <c r="C1292" t="s">
        <v>19</v>
      </c>
      <c r="D1292" t="s">
        <v>23</v>
      </c>
      <c r="E1292" t="s">
        <v>14</v>
      </c>
      <c r="F1292" t="s">
        <v>33</v>
      </c>
      <c r="G1292" t="s">
        <v>22</v>
      </c>
      <c r="H1292" s="12">
        <v>180000</v>
      </c>
      <c r="I1292">
        <v>6</v>
      </c>
      <c r="J1292" t="s">
        <v>28</v>
      </c>
      <c r="K1292" s="12">
        <f t="shared" si="20"/>
        <v>144000</v>
      </c>
      <c r="L1292" s="12">
        <f>Sales_Data[[#This Row],[Unit Price]]*Sales_Data[[#This Row],[Quantity]]</f>
        <v>1080000</v>
      </c>
      <c r="M1292" s="12">
        <f>Sales_Data[[#This Row],[Cost Price]]*Sales_Data[[#This Row],[Quantity]]</f>
        <v>864000</v>
      </c>
      <c r="N1292" s="12">
        <f>Sales_Data[[#This Row],[Revenue]]-Sales_Data[[#This Row],[COGS]]</f>
        <v>216000</v>
      </c>
    </row>
    <row r="1293" spans="1:14">
      <c r="A1293" s="1">
        <v>46967</v>
      </c>
      <c r="B1293" t="s">
        <v>18</v>
      </c>
      <c r="C1293" t="s">
        <v>26</v>
      </c>
      <c r="D1293" t="s">
        <v>23</v>
      </c>
      <c r="E1293" t="s">
        <v>20</v>
      </c>
      <c r="F1293" t="s">
        <v>21</v>
      </c>
      <c r="G1293" t="s">
        <v>22</v>
      </c>
      <c r="H1293" s="12">
        <v>30000</v>
      </c>
      <c r="I1293">
        <v>6</v>
      </c>
      <c r="J1293" t="s">
        <v>28</v>
      </c>
      <c r="K1293" s="12">
        <f t="shared" si="20"/>
        <v>24000</v>
      </c>
      <c r="L1293" s="12">
        <f>Sales_Data[[#This Row],[Unit Price]]*Sales_Data[[#This Row],[Quantity]]</f>
        <v>180000</v>
      </c>
      <c r="M1293" s="12">
        <f>Sales_Data[[#This Row],[Cost Price]]*Sales_Data[[#This Row],[Quantity]]</f>
        <v>144000</v>
      </c>
      <c r="N1293" s="12">
        <f>Sales_Data[[#This Row],[Revenue]]-Sales_Data[[#This Row],[COGS]]</f>
        <v>36000</v>
      </c>
    </row>
    <row r="1294" spans="1:14">
      <c r="A1294" s="1">
        <v>46968</v>
      </c>
      <c r="B1294" t="s">
        <v>11</v>
      </c>
      <c r="C1294" t="s">
        <v>19</v>
      </c>
      <c r="D1294" t="s">
        <v>23</v>
      </c>
      <c r="E1294" t="s">
        <v>14</v>
      </c>
      <c r="F1294" t="s">
        <v>40</v>
      </c>
      <c r="G1294" t="s">
        <v>31</v>
      </c>
      <c r="H1294" s="12">
        <v>250000</v>
      </c>
      <c r="I1294">
        <v>5</v>
      </c>
      <c r="J1294" t="s">
        <v>35</v>
      </c>
      <c r="K1294" s="12">
        <f t="shared" si="20"/>
        <v>200000</v>
      </c>
      <c r="L1294" s="12">
        <f>Sales_Data[[#This Row],[Unit Price]]*Sales_Data[[#This Row],[Quantity]]</f>
        <v>1250000</v>
      </c>
      <c r="M1294" s="12">
        <f>Sales_Data[[#This Row],[Cost Price]]*Sales_Data[[#This Row],[Quantity]]</f>
        <v>1000000</v>
      </c>
      <c r="N1294" s="12">
        <f>Sales_Data[[#This Row],[Revenue]]-Sales_Data[[#This Row],[COGS]]</f>
        <v>250000</v>
      </c>
    </row>
    <row r="1295" spans="1:14">
      <c r="A1295" s="1">
        <v>46969</v>
      </c>
      <c r="B1295" t="s">
        <v>25</v>
      </c>
      <c r="C1295" t="s">
        <v>19</v>
      </c>
      <c r="D1295" t="s">
        <v>23</v>
      </c>
      <c r="E1295" t="s">
        <v>14</v>
      </c>
      <c r="F1295" t="s">
        <v>34</v>
      </c>
      <c r="G1295" t="s">
        <v>16</v>
      </c>
      <c r="H1295" s="12">
        <v>320000</v>
      </c>
      <c r="I1295">
        <v>2</v>
      </c>
      <c r="J1295" t="s">
        <v>39</v>
      </c>
      <c r="K1295" s="12">
        <f t="shared" si="20"/>
        <v>256000</v>
      </c>
      <c r="L1295" s="12">
        <f>Sales_Data[[#This Row],[Unit Price]]*Sales_Data[[#This Row],[Quantity]]</f>
        <v>640000</v>
      </c>
      <c r="M1295" s="12">
        <f>Sales_Data[[#This Row],[Cost Price]]*Sales_Data[[#This Row],[Quantity]]</f>
        <v>512000</v>
      </c>
      <c r="N1295" s="12">
        <f>Sales_Data[[#This Row],[Revenue]]-Sales_Data[[#This Row],[COGS]]</f>
        <v>128000</v>
      </c>
    </row>
    <row r="1296" spans="1:14">
      <c r="A1296" s="1">
        <v>46970</v>
      </c>
      <c r="B1296" t="s">
        <v>18</v>
      </c>
      <c r="C1296" t="s">
        <v>19</v>
      </c>
      <c r="D1296" t="s">
        <v>23</v>
      </c>
      <c r="E1296" t="s">
        <v>20</v>
      </c>
      <c r="F1296" t="s">
        <v>30</v>
      </c>
      <c r="G1296" t="s">
        <v>31</v>
      </c>
      <c r="H1296" s="12">
        <v>300000</v>
      </c>
      <c r="I1296">
        <v>10</v>
      </c>
      <c r="J1296" t="s">
        <v>35</v>
      </c>
      <c r="K1296" s="12">
        <f t="shared" si="20"/>
        <v>240000</v>
      </c>
      <c r="L1296" s="12">
        <f>Sales_Data[[#This Row],[Unit Price]]*Sales_Data[[#This Row],[Quantity]]</f>
        <v>3000000</v>
      </c>
      <c r="M1296" s="12">
        <f>Sales_Data[[#This Row],[Cost Price]]*Sales_Data[[#This Row],[Quantity]]</f>
        <v>2400000</v>
      </c>
      <c r="N1296" s="12">
        <f>Sales_Data[[#This Row],[Revenue]]-Sales_Data[[#This Row],[COGS]]</f>
        <v>600000</v>
      </c>
    </row>
    <row r="1297" spans="1:14">
      <c r="A1297" s="1">
        <v>46971</v>
      </c>
      <c r="B1297" t="s">
        <v>11</v>
      </c>
      <c r="C1297" t="s">
        <v>19</v>
      </c>
      <c r="D1297" t="s">
        <v>23</v>
      </c>
      <c r="E1297" t="s">
        <v>20</v>
      </c>
      <c r="F1297" t="s">
        <v>30</v>
      </c>
      <c r="G1297" t="s">
        <v>31</v>
      </c>
      <c r="H1297" s="12">
        <v>300000</v>
      </c>
      <c r="I1297">
        <v>7</v>
      </c>
      <c r="J1297" t="s">
        <v>37</v>
      </c>
      <c r="K1297" s="12">
        <f t="shared" si="20"/>
        <v>240000</v>
      </c>
      <c r="L1297" s="12">
        <f>Sales_Data[[#This Row],[Unit Price]]*Sales_Data[[#This Row],[Quantity]]</f>
        <v>2100000</v>
      </c>
      <c r="M1297" s="12">
        <f>Sales_Data[[#This Row],[Cost Price]]*Sales_Data[[#This Row],[Quantity]]</f>
        <v>1680000</v>
      </c>
      <c r="N1297" s="12">
        <f>Sales_Data[[#This Row],[Revenue]]-Sales_Data[[#This Row],[COGS]]</f>
        <v>420000</v>
      </c>
    </row>
    <row r="1298" spans="1:14">
      <c r="A1298" s="1">
        <v>46972</v>
      </c>
      <c r="B1298" t="s">
        <v>29</v>
      </c>
      <c r="C1298" t="s">
        <v>12</v>
      </c>
      <c r="D1298" t="s">
        <v>23</v>
      </c>
      <c r="E1298" t="s">
        <v>14</v>
      </c>
      <c r="F1298" t="s">
        <v>33</v>
      </c>
      <c r="G1298" t="s">
        <v>22</v>
      </c>
      <c r="H1298" s="12">
        <v>180000</v>
      </c>
      <c r="I1298">
        <v>1</v>
      </c>
      <c r="J1298" t="s">
        <v>39</v>
      </c>
      <c r="K1298" s="12">
        <f t="shared" si="20"/>
        <v>144000</v>
      </c>
      <c r="L1298" s="12">
        <f>Sales_Data[[#This Row],[Unit Price]]*Sales_Data[[#This Row],[Quantity]]</f>
        <v>180000</v>
      </c>
      <c r="M1298" s="12">
        <f>Sales_Data[[#This Row],[Cost Price]]*Sales_Data[[#This Row],[Quantity]]</f>
        <v>144000</v>
      </c>
      <c r="N1298" s="12">
        <f>Sales_Data[[#This Row],[Revenue]]-Sales_Data[[#This Row],[COGS]]</f>
        <v>36000</v>
      </c>
    </row>
    <row r="1299" spans="1:14">
      <c r="A1299" s="1">
        <v>46973</v>
      </c>
      <c r="B1299" t="s">
        <v>18</v>
      </c>
      <c r="C1299" t="s">
        <v>26</v>
      </c>
      <c r="D1299" t="s">
        <v>23</v>
      </c>
      <c r="E1299" t="s">
        <v>20</v>
      </c>
      <c r="F1299" t="s">
        <v>30</v>
      </c>
      <c r="G1299" t="s">
        <v>31</v>
      </c>
      <c r="H1299" s="12">
        <v>300000</v>
      </c>
      <c r="I1299">
        <v>10</v>
      </c>
      <c r="J1299" t="s">
        <v>17</v>
      </c>
      <c r="K1299" s="12">
        <f t="shared" si="20"/>
        <v>240000</v>
      </c>
      <c r="L1299" s="12">
        <f>Sales_Data[[#This Row],[Unit Price]]*Sales_Data[[#This Row],[Quantity]]</f>
        <v>3000000</v>
      </c>
      <c r="M1299" s="12">
        <f>Sales_Data[[#This Row],[Cost Price]]*Sales_Data[[#This Row],[Quantity]]</f>
        <v>2400000</v>
      </c>
      <c r="N1299" s="12">
        <f>Sales_Data[[#This Row],[Revenue]]-Sales_Data[[#This Row],[COGS]]</f>
        <v>600000</v>
      </c>
    </row>
    <row r="1300" spans="1:14">
      <c r="A1300" s="1">
        <v>46974</v>
      </c>
      <c r="B1300" t="s">
        <v>11</v>
      </c>
      <c r="C1300" t="s">
        <v>32</v>
      </c>
      <c r="D1300" t="s">
        <v>23</v>
      </c>
      <c r="E1300" t="s">
        <v>14</v>
      </c>
      <c r="F1300" t="s">
        <v>33</v>
      </c>
      <c r="G1300" t="s">
        <v>22</v>
      </c>
      <c r="H1300" s="12">
        <v>180000</v>
      </c>
      <c r="I1300">
        <v>7</v>
      </c>
      <c r="J1300" t="s">
        <v>37</v>
      </c>
      <c r="K1300" s="12">
        <f t="shared" si="20"/>
        <v>144000</v>
      </c>
      <c r="L1300" s="12">
        <f>Sales_Data[[#This Row],[Unit Price]]*Sales_Data[[#This Row],[Quantity]]</f>
        <v>1260000</v>
      </c>
      <c r="M1300" s="12">
        <f>Sales_Data[[#This Row],[Cost Price]]*Sales_Data[[#This Row],[Quantity]]</f>
        <v>1008000</v>
      </c>
      <c r="N1300" s="12">
        <f>Sales_Data[[#This Row],[Revenue]]-Sales_Data[[#This Row],[COGS]]</f>
        <v>252000</v>
      </c>
    </row>
    <row r="1301" spans="1:14">
      <c r="A1301" s="1">
        <v>46975</v>
      </c>
      <c r="B1301" t="s">
        <v>11</v>
      </c>
      <c r="C1301" t="s">
        <v>19</v>
      </c>
      <c r="D1301" t="s">
        <v>23</v>
      </c>
      <c r="E1301" t="s">
        <v>14</v>
      </c>
      <c r="F1301" t="s">
        <v>21</v>
      </c>
      <c r="G1301" t="s">
        <v>22</v>
      </c>
      <c r="H1301" s="12">
        <v>30000</v>
      </c>
      <c r="I1301">
        <v>7</v>
      </c>
      <c r="J1301" t="s">
        <v>28</v>
      </c>
      <c r="K1301" s="12">
        <f t="shared" si="20"/>
        <v>24000</v>
      </c>
      <c r="L1301" s="12">
        <f>Sales_Data[[#This Row],[Unit Price]]*Sales_Data[[#This Row],[Quantity]]</f>
        <v>210000</v>
      </c>
      <c r="M1301" s="12">
        <f>Sales_Data[[#This Row],[Cost Price]]*Sales_Data[[#This Row],[Quantity]]</f>
        <v>168000</v>
      </c>
      <c r="N1301" s="12">
        <f>Sales_Data[[#This Row],[Revenue]]-Sales_Data[[#This Row],[COGS]]</f>
        <v>42000</v>
      </c>
    </row>
    <row r="1302" spans="1:14">
      <c r="A1302" s="1">
        <v>46976</v>
      </c>
      <c r="B1302" t="s">
        <v>18</v>
      </c>
      <c r="C1302" t="s">
        <v>12</v>
      </c>
      <c r="D1302" t="s">
        <v>23</v>
      </c>
      <c r="E1302" t="s">
        <v>14</v>
      </c>
      <c r="F1302" t="s">
        <v>21</v>
      </c>
      <c r="G1302" t="s">
        <v>22</v>
      </c>
      <c r="H1302" s="12">
        <v>30000</v>
      </c>
      <c r="I1302">
        <v>6</v>
      </c>
      <c r="J1302" t="s">
        <v>24</v>
      </c>
      <c r="K1302" s="12">
        <f t="shared" si="20"/>
        <v>24000</v>
      </c>
      <c r="L1302" s="12">
        <f>Sales_Data[[#This Row],[Unit Price]]*Sales_Data[[#This Row],[Quantity]]</f>
        <v>180000</v>
      </c>
      <c r="M1302" s="12">
        <f>Sales_Data[[#This Row],[Cost Price]]*Sales_Data[[#This Row],[Quantity]]</f>
        <v>144000</v>
      </c>
      <c r="N1302" s="12">
        <f>Sales_Data[[#This Row],[Revenue]]-Sales_Data[[#This Row],[COGS]]</f>
        <v>36000</v>
      </c>
    </row>
    <row r="1303" spans="1:14">
      <c r="A1303" s="1">
        <v>46977</v>
      </c>
      <c r="B1303" t="s">
        <v>18</v>
      </c>
      <c r="C1303" t="s">
        <v>19</v>
      </c>
      <c r="D1303" t="s">
        <v>23</v>
      </c>
      <c r="E1303" t="s">
        <v>14</v>
      </c>
      <c r="F1303" t="s">
        <v>15</v>
      </c>
      <c r="G1303" t="s">
        <v>16</v>
      </c>
      <c r="H1303" s="12">
        <v>85000</v>
      </c>
      <c r="I1303">
        <v>7</v>
      </c>
      <c r="J1303" t="s">
        <v>35</v>
      </c>
      <c r="K1303" s="12">
        <f t="shared" si="20"/>
        <v>68000</v>
      </c>
      <c r="L1303" s="12">
        <f>Sales_Data[[#This Row],[Unit Price]]*Sales_Data[[#This Row],[Quantity]]</f>
        <v>595000</v>
      </c>
      <c r="M1303" s="12">
        <f>Sales_Data[[#This Row],[Cost Price]]*Sales_Data[[#This Row],[Quantity]]</f>
        <v>476000</v>
      </c>
      <c r="N1303" s="12">
        <f>Sales_Data[[#This Row],[Revenue]]-Sales_Data[[#This Row],[COGS]]</f>
        <v>119000</v>
      </c>
    </row>
    <row r="1304" spans="1:14">
      <c r="A1304" s="1">
        <v>46978</v>
      </c>
      <c r="B1304" t="s">
        <v>18</v>
      </c>
      <c r="C1304" t="s">
        <v>12</v>
      </c>
      <c r="D1304" t="s">
        <v>23</v>
      </c>
      <c r="E1304" t="s">
        <v>20</v>
      </c>
      <c r="F1304" t="s">
        <v>40</v>
      </c>
      <c r="G1304" t="s">
        <v>31</v>
      </c>
      <c r="H1304" s="12">
        <v>250000</v>
      </c>
      <c r="I1304">
        <v>3</v>
      </c>
      <c r="J1304" t="s">
        <v>35</v>
      </c>
      <c r="K1304" s="12">
        <f t="shared" si="20"/>
        <v>200000</v>
      </c>
      <c r="L1304" s="12">
        <f>Sales_Data[[#This Row],[Unit Price]]*Sales_Data[[#This Row],[Quantity]]</f>
        <v>750000</v>
      </c>
      <c r="M1304" s="12">
        <f>Sales_Data[[#This Row],[Cost Price]]*Sales_Data[[#This Row],[Quantity]]</f>
        <v>600000</v>
      </c>
      <c r="N1304" s="12">
        <f>Sales_Data[[#This Row],[Revenue]]-Sales_Data[[#This Row],[COGS]]</f>
        <v>150000</v>
      </c>
    </row>
    <row r="1305" spans="1:14">
      <c r="A1305" s="1">
        <v>46979</v>
      </c>
      <c r="B1305" t="s">
        <v>11</v>
      </c>
      <c r="C1305" t="s">
        <v>19</v>
      </c>
      <c r="D1305" t="s">
        <v>23</v>
      </c>
      <c r="E1305" t="s">
        <v>14</v>
      </c>
      <c r="F1305" t="s">
        <v>34</v>
      </c>
      <c r="G1305" t="s">
        <v>16</v>
      </c>
      <c r="H1305" s="12">
        <v>320000</v>
      </c>
      <c r="I1305">
        <v>7</v>
      </c>
      <c r="J1305" t="s">
        <v>28</v>
      </c>
      <c r="K1305" s="12">
        <f t="shared" si="20"/>
        <v>256000</v>
      </c>
      <c r="L1305" s="12">
        <f>Sales_Data[[#This Row],[Unit Price]]*Sales_Data[[#This Row],[Quantity]]</f>
        <v>2240000</v>
      </c>
      <c r="M1305" s="12">
        <f>Sales_Data[[#This Row],[Cost Price]]*Sales_Data[[#This Row],[Quantity]]</f>
        <v>1792000</v>
      </c>
      <c r="N1305" s="12">
        <f>Sales_Data[[#This Row],[Revenue]]-Sales_Data[[#This Row],[COGS]]</f>
        <v>448000</v>
      </c>
    </row>
    <row r="1306" spans="1:14">
      <c r="A1306" s="1">
        <v>46980</v>
      </c>
      <c r="B1306" t="s">
        <v>25</v>
      </c>
      <c r="C1306" t="s">
        <v>26</v>
      </c>
      <c r="D1306" t="s">
        <v>23</v>
      </c>
      <c r="E1306" t="s">
        <v>20</v>
      </c>
      <c r="F1306" t="s">
        <v>21</v>
      </c>
      <c r="G1306" t="s">
        <v>22</v>
      </c>
      <c r="H1306" s="12">
        <v>30000</v>
      </c>
      <c r="I1306">
        <v>7</v>
      </c>
      <c r="J1306" t="s">
        <v>35</v>
      </c>
      <c r="K1306" s="12">
        <f t="shared" si="20"/>
        <v>24000</v>
      </c>
      <c r="L1306" s="12">
        <f>Sales_Data[[#This Row],[Unit Price]]*Sales_Data[[#This Row],[Quantity]]</f>
        <v>210000</v>
      </c>
      <c r="M1306" s="12">
        <f>Sales_Data[[#This Row],[Cost Price]]*Sales_Data[[#This Row],[Quantity]]</f>
        <v>168000</v>
      </c>
      <c r="N1306" s="12">
        <f>Sales_Data[[#This Row],[Revenue]]-Sales_Data[[#This Row],[COGS]]</f>
        <v>42000</v>
      </c>
    </row>
    <row r="1307" spans="1:14">
      <c r="A1307" s="1">
        <v>46981</v>
      </c>
      <c r="B1307" t="s">
        <v>11</v>
      </c>
      <c r="C1307" t="s">
        <v>26</v>
      </c>
      <c r="D1307" t="s">
        <v>23</v>
      </c>
      <c r="E1307" t="s">
        <v>14</v>
      </c>
      <c r="F1307" t="s">
        <v>34</v>
      </c>
      <c r="G1307" t="s">
        <v>16</v>
      </c>
      <c r="H1307" s="12">
        <v>320000</v>
      </c>
      <c r="I1307">
        <v>8</v>
      </c>
      <c r="J1307" t="s">
        <v>17</v>
      </c>
      <c r="K1307" s="12">
        <f t="shared" si="20"/>
        <v>256000</v>
      </c>
      <c r="L1307" s="12">
        <f>Sales_Data[[#This Row],[Unit Price]]*Sales_Data[[#This Row],[Quantity]]</f>
        <v>2560000</v>
      </c>
      <c r="M1307" s="12">
        <f>Sales_Data[[#This Row],[Cost Price]]*Sales_Data[[#This Row],[Quantity]]</f>
        <v>2048000</v>
      </c>
      <c r="N1307" s="12">
        <f>Sales_Data[[#This Row],[Revenue]]-Sales_Data[[#This Row],[COGS]]</f>
        <v>512000</v>
      </c>
    </row>
    <row r="1308" spans="1:14">
      <c r="A1308" s="1">
        <v>46982</v>
      </c>
      <c r="B1308" t="s">
        <v>29</v>
      </c>
      <c r="C1308" t="s">
        <v>32</v>
      </c>
      <c r="D1308" t="s">
        <v>23</v>
      </c>
      <c r="E1308" t="s">
        <v>14</v>
      </c>
      <c r="F1308" t="s">
        <v>34</v>
      </c>
      <c r="G1308" t="s">
        <v>16</v>
      </c>
      <c r="H1308" s="12">
        <v>320000</v>
      </c>
      <c r="I1308">
        <v>7</v>
      </c>
      <c r="J1308" t="s">
        <v>37</v>
      </c>
      <c r="K1308" s="12">
        <f t="shared" si="20"/>
        <v>256000</v>
      </c>
      <c r="L1308" s="12">
        <f>Sales_Data[[#This Row],[Unit Price]]*Sales_Data[[#This Row],[Quantity]]</f>
        <v>2240000</v>
      </c>
      <c r="M1308" s="12">
        <f>Sales_Data[[#This Row],[Cost Price]]*Sales_Data[[#This Row],[Quantity]]</f>
        <v>1792000</v>
      </c>
      <c r="N1308" s="12">
        <f>Sales_Data[[#This Row],[Revenue]]-Sales_Data[[#This Row],[COGS]]</f>
        <v>448000</v>
      </c>
    </row>
    <row r="1309" spans="1:14">
      <c r="A1309" s="1">
        <v>46983</v>
      </c>
      <c r="B1309" t="s">
        <v>18</v>
      </c>
      <c r="C1309" t="s">
        <v>19</v>
      </c>
      <c r="D1309" t="s">
        <v>23</v>
      </c>
      <c r="E1309" t="s">
        <v>20</v>
      </c>
      <c r="F1309" t="s">
        <v>27</v>
      </c>
      <c r="G1309" t="s">
        <v>22</v>
      </c>
      <c r="H1309" s="12">
        <v>60000</v>
      </c>
      <c r="I1309">
        <v>2</v>
      </c>
      <c r="J1309" t="s">
        <v>28</v>
      </c>
      <c r="K1309" s="12">
        <f t="shared" si="20"/>
        <v>48000</v>
      </c>
      <c r="L1309" s="12">
        <f>Sales_Data[[#This Row],[Unit Price]]*Sales_Data[[#This Row],[Quantity]]</f>
        <v>120000</v>
      </c>
      <c r="M1309" s="12">
        <f>Sales_Data[[#This Row],[Cost Price]]*Sales_Data[[#This Row],[Quantity]]</f>
        <v>96000</v>
      </c>
      <c r="N1309" s="12">
        <f>Sales_Data[[#This Row],[Revenue]]-Sales_Data[[#This Row],[COGS]]</f>
        <v>24000</v>
      </c>
    </row>
    <row r="1310" spans="1:14">
      <c r="A1310" s="1">
        <v>46984</v>
      </c>
      <c r="B1310" t="s">
        <v>11</v>
      </c>
      <c r="C1310" t="s">
        <v>12</v>
      </c>
      <c r="D1310" t="s">
        <v>23</v>
      </c>
      <c r="E1310" t="s">
        <v>20</v>
      </c>
      <c r="F1310" t="s">
        <v>41</v>
      </c>
      <c r="G1310" t="s">
        <v>22</v>
      </c>
      <c r="H1310" s="12">
        <v>220000</v>
      </c>
      <c r="I1310">
        <v>8</v>
      </c>
      <c r="J1310" t="s">
        <v>37</v>
      </c>
      <c r="K1310" s="12">
        <f t="shared" si="20"/>
        <v>176000</v>
      </c>
      <c r="L1310" s="12">
        <f>Sales_Data[[#This Row],[Unit Price]]*Sales_Data[[#This Row],[Quantity]]</f>
        <v>1760000</v>
      </c>
      <c r="M1310" s="12">
        <f>Sales_Data[[#This Row],[Cost Price]]*Sales_Data[[#This Row],[Quantity]]</f>
        <v>1408000</v>
      </c>
      <c r="N1310" s="12">
        <f>Sales_Data[[#This Row],[Revenue]]-Sales_Data[[#This Row],[COGS]]</f>
        <v>352000</v>
      </c>
    </row>
    <row r="1311" spans="1:14">
      <c r="A1311" s="1">
        <v>46985</v>
      </c>
      <c r="B1311" t="s">
        <v>25</v>
      </c>
      <c r="C1311" t="s">
        <v>26</v>
      </c>
      <c r="D1311" t="s">
        <v>23</v>
      </c>
      <c r="E1311" t="s">
        <v>14</v>
      </c>
      <c r="F1311" t="s">
        <v>27</v>
      </c>
      <c r="G1311" t="s">
        <v>22</v>
      </c>
      <c r="H1311" s="12">
        <v>60000</v>
      </c>
      <c r="I1311">
        <v>2</v>
      </c>
      <c r="J1311" t="s">
        <v>28</v>
      </c>
      <c r="K1311" s="12">
        <f t="shared" si="20"/>
        <v>48000</v>
      </c>
      <c r="L1311" s="12">
        <f>Sales_Data[[#This Row],[Unit Price]]*Sales_Data[[#This Row],[Quantity]]</f>
        <v>120000</v>
      </c>
      <c r="M1311" s="12">
        <f>Sales_Data[[#This Row],[Cost Price]]*Sales_Data[[#This Row],[Quantity]]</f>
        <v>96000</v>
      </c>
      <c r="N1311" s="12">
        <f>Sales_Data[[#This Row],[Revenue]]-Sales_Data[[#This Row],[COGS]]</f>
        <v>24000</v>
      </c>
    </row>
    <row r="1312" spans="1:14">
      <c r="A1312" s="1">
        <v>46986</v>
      </c>
      <c r="B1312" t="s">
        <v>11</v>
      </c>
      <c r="C1312" t="s">
        <v>26</v>
      </c>
      <c r="D1312" t="s">
        <v>23</v>
      </c>
      <c r="E1312" t="s">
        <v>14</v>
      </c>
      <c r="F1312" t="s">
        <v>34</v>
      </c>
      <c r="G1312" t="s">
        <v>16</v>
      </c>
      <c r="H1312" s="12">
        <v>320000</v>
      </c>
      <c r="I1312">
        <v>2</v>
      </c>
      <c r="J1312" t="s">
        <v>39</v>
      </c>
      <c r="K1312" s="12">
        <f t="shared" si="20"/>
        <v>256000</v>
      </c>
      <c r="L1312" s="12">
        <f>Sales_Data[[#This Row],[Unit Price]]*Sales_Data[[#This Row],[Quantity]]</f>
        <v>640000</v>
      </c>
      <c r="M1312" s="12">
        <f>Sales_Data[[#This Row],[Cost Price]]*Sales_Data[[#This Row],[Quantity]]</f>
        <v>512000</v>
      </c>
      <c r="N1312" s="12">
        <f>Sales_Data[[#This Row],[Revenue]]-Sales_Data[[#This Row],[COGS]]</f>
        <v>128000</v>
      </c>
    </row>
    <row r="1313" spans="1:14">
      <c r="A1313" s="1">
        <v>46987</v>
      </c>
      <c r="B1313" t="s">
        <v>18</v>
      </c>
      <c r="C1313" t="s">
        <v>12</v>
      </c>
      <c r="D1313" t="s">
        <v>23</v>
      </c>
      <c r="E1313" t="s">
        <v>20</v>
      </c>
      <c r="F1313" t="s">
        <v>21</v>
      </c>
      <c r="G1313" t="s">
        <v>22</v>
      </c>
      <c r="H1313" s="12">
        <v>30000</v>
      </c>
      <c r="I1313">
        <v>2</v>
      </c>
      <c r="J1313" t="s">
        <v>35</v>
      </c>
      <c r="K1313" s="12">
        <f t="shared" si="20"/>
        <v>24000</v>
      </c>
      <c r="L1313" s="12">
        <f>Sales_Data[[#This Row],[Unit Price]]*Sales_Data[[#This Row],[Quantity]]</f>
        <v>60000</v>
      </c>
      <c r="M1313" s="12">
        <f>Sales_Data[[#This Row],[Cost Price]]*Sales_Data[[#This Row],[Quantity]]</f>
        <v>48000</v>
      </c>
      <c r="N1313" s="12">
        <f>Sales_Data[[#This Row],[Revenue]]-Sales_Data[[#This Row],[COGS]]</f>
        <v>12000</v>
      </c>
    </row>
    <row r="1314" spans="1:14">
      <c r="A1314" s="1">
        <v>46988</v>
      </c>
      <c r="B1314" t="s">
        <v>29</v>
      </c>
      <c r="C1314" t="s">
        <v>19</v>
      </c>
      <c r="D1314" t="s">
        <v>23</v>
      </c>
      <c r="E1314" t="s">
        <v>20</v>
      </c>
      <c r="F1314" t="s">
        <v>21</v>
      </c>
      <c r="G1314" t="s">
        <v>22</v>
      </c>
      <c r="H1314" s="12">
        <v>30000</v>
      </c>
      <c r="I1314">
        <v>7</v>
      </c>
      <c r="J1314" t="s">
        <v>35</v>
      </c>
      <c r="K1314" s="12">
        <f t="shared" si="20"/>
        <v>24000</v>
      </c>
      <c r="L1314" s="12">
        <f>Sales_Data[[#This Row],[Unit Price]]*Sales_Data[[#This Row],[Quantity]]</f>
        <v>210000</v>
      </c>
      <c r="M1314" s="12">
        <f>Sales_Data[[#This Row],[Cost Price]]*Sales_Data[[#This Row],[Quantity]]</f>
        <v>168000</v>
      </c>
      <c r="N1314" s="12">
        <f>Sales_Data[[#This Row],[Revenue]]-Sales_Data[[#This Row],[COGS]]</f>
        <v>42000</v>
      </c>
    </row>
    <row r="1315" spans="1:14">
      <c r="A1315" s="1">
        <v>46989</v>
      </c>
      <c r="B1315" t="s">
        <v>29</v>
      </c>
      <c r="C1315" t="s">
        <v>12</v>
      </c>
      <c r="D1315" t="s">
        <v>23</v>
      </c>
      <c r="E1315" t="s">
        <v>20</v>
      </c>
      <c r="F1315" t="s">
        <v>40</v>
      </c>
      <c r="G1315" t="s">
        <v>31</v>
      </c>
      <c r="H1315" s="12">
        <v>250000</v>
      </c>
      <c r="I1315">
        <v>10</v>
      </c>
      <c r="J1315" t="s">
        <v>35</v>
      </c>
      <c r="K1315" s="12">
        <f t="shared" si="20"/>
        <v>200000</v>
      </c>
      <c r="L1315" s="12">
        <f>Sales_Data[[#This Row],[Unit Price]]*Sales_Data[[#This Row],[Quantity]]</f>
        <v>2500000</v>
      </c>
      <c r="M1315" s="12">
        <f>Sales_Data[[#This Row],[Cost Price]]*Sales_Data[[#This Row],[Quantity]]</f>
        <v>2000000</v>
      </c>
      <c r="N1315" s="12">
        <f>Sales_Data[[#This Row],[Revenue]]-Sales_Data[[#This Row],[COGS]]</f>
        <v>500000</v>
      </c>
    </row>
    <row r="1316" spans="1:14">
      <c r="A1316" s="1">
        <v>46990</v>
      </c>
      <c r="B1316" t="s">
        <v>18</v>
      </c>
      <c r="C1316" t="s">
        <v>32</v>
      </c>
      <c r="D1316" t="s">
        <v>23</v>
      </c>
      <c r="E1316" t="s">
        <v>20</v>
      </c>
      <c r="F1316" t="s">
        <v>30</v>
      </c>
      <c r="G1316" t="s">
        <v>31</v>
      </c>
      <c r="H1316" s="12">
        <v>300000</v>
      </c>
      <c r="I1316">
        <v>9</v>
      </c>
      <c r="J1316" t="s">
        <v>28</v>
      </c>
      <c r="K1316" s="12">
        <f t="shared" si="20"/>
        <v>240000</v>
      </c>
      <c r="L1316" s="12">
        <f>Sales_Data[[#This Row],[Unit Price]]*Sales_Data[[#This Row],[Quantity]]</f>
        <v>2700000</v>
      </c>
      <c r="M1316" s="12">
        <f>Sales_Data[[#This Row],[Cost Price]]*Sales_Data[[#This Row],[Quantity]]</f>
        <v>2160000</v>
      </c>
      <c r="N1316" s="12">
        <f>Sales_Data[[#This Row],[Revenue]]-Sales_Data[[#This Row],[COGS]]</f>
        <v>540000</v>
      </c>
    </row>
    <row r="1317" spans="1:14">
      <c r="A1317" s="1">
        <v>46991</v>
      </c>
      <c r="B1317" t="s">
        <v>25</v>
      </c>
      <c r="C1317" t="s">
        <v>26</v>
      </c>
      <c r="D1317" t="s">
        <v>23</v>
      </c>
      <c r="E1317" t="s">
        <v>20</v>
      </c>
      <c r="F1317" t="s">
        <v>15</v>
      </c>
      <c r="G1317" t="s">
        <v>16</v>
      </c>
      <c r="H1317" s="12">
        <v>85000</v>
      </c>
      <c r="I1317">
        <v>6</v>
      </c>
      <c r="J1317" t="s">
        <v>37</v>
      </c>
      <c r="K1317" s="12">
        <f t="shared" si="20"/>
        <v>68000</v>
      </c>
      <c r="L1317" s="12">
        <f>Sales_Data[[#This Row],[Unit Price]]*Sales_Data[[#This Row],[Quantity]]</f>
        <v>510000</v>
      </c>
      <c r="M1317" s="12">
        <f>Sales_Data[[#This Row],[Cost Price]]*Sales_Data[[#This Row],[Quantity]]</f>
        <v>408000</v>
      </c>
      <c r="N1317" s="12">
        <f>Sales_Data[[#This Row],[Revenue]]-Sales_Data[[#This Row],[COGS]]</f>
        <v>102000</v>
      </c>
    </row>
    <row r="1318" spans="1:14">
      <c r="A1318" s="1">
        <v>46992</v>
      </c>
      <c r="B1318" t="s">
        <v>11</v>
      </c>
      <c r="C1318" t="s">
        <v>12</v>
      </c>
      <c r="D1318" t="s">
        <v>23</v>
      </c>
      <c r="E1318" t="s">
        <v>20</v>
      </c>
      <c r="F1318" t="s">
        <v>21</v>
      </c>
      <c r="G1318" t="s">
        <v>22</v>
      </c>
      <c r="H1318" s="12">
        <v>30000</v>
      </c>
      <c r="I1318">
        <v>4</v>
      </c>
      <c r="J1318" t="s">
        <v>17</v>
      </c>
      <c r="K1318" s="12">
        <f t="shared" si="20"/>
        <v>24000</v>
      </c>
      <c r="L1318" s="12">
        <f>Sales_Data[[#This Row],[Unit Price]]*Sales_Data[[#This Row],[Quantity]]</f>
        <v>120000</v>
      </c>
      <c r="M1318" s="12">
        <f>Sales_Data[[#This Row],[Cost Price]]*Sales_Data[[#This Row],[Quantity]]</f>
        <v>96000</v>
      </c>
      <c r="N1318" s="12">
        <f>Sales_Data[[#This Row],[Revenue]]-Sales_Data[[#This Row],[COGS]]</f>
        <v>24000</v>
      </c>
    </row>
    <row r="1319" spans="1:14">
      <c r="A1319" s="1">
        <v>46993</v>
      </c>
      <c r="B1319" t="s">
        <v>25</v>
      </c>
      <c r="C1319" t="s">
        <v>32</v>
      </c>
      <c r="D1319" t="s">
        <v>23</v>
      </c>
      <c r="E1319" t="s">
        <v>14</v>
      </c>
      <c r="F1319" t="s">
        <v>30</v>
      </c>
      <c r="G1319" t="s">
        <v>31</v>
      </c>
      <c r="H1319" s="12">
        <v>300000</v>
      </c>
      <c r="I1319">
        <v>4</v>
      </c>
      <c r="J1319" t="s">
        <v>17</v>
      </c>
      <c r="K1319" s="12">
        <f t="shared" si="20"/>
        <v>240000</v>
      </c>
      <c r="L1319" s="12">
        <f>Sales_Data[[#This Row],[Unit Price]]*Sales_Data[[#This Row],[Quantity]]</f>
        <v>1200000</v>
      </c>
      <c r="M1319" s="12">
        <f>Sales_Data[[#This Row],[Cost Price]]*Sales_Data[[#This Row],[Quantity]]</f>
        <v>960000</v>
      </c>
      <c r="N1319" s="12">
        <f>Sales_Data[[#This Row],[Revenue]]-Sales_Data[[#This Row],[COGS]]</f>
        <v>240000</v>
      </c>
    </row>
    <row r="1320" spans="1:14">
      <c r="A1320" s="1">
        <v>46994</v>
      </c>
      <c r="B1320" t="s">
        <v>25</v>
      </c>
      <c r="C1320" t="s">
        <v>32</v>
      </c>
      <c r="D1320" t="s">
        <v>23</v>
      </c>
      <c r="E1320" t="s">
        <v>20</v>
      </c>
      <c r="F1320" t="s">
        <v>41</v>
      </c>
      <c r="G1320" t="s">
        <v>22</v>
      </c>
      <c r="H1320" s="12">
        <v>220000</v>
      </c>
      <c r="I1320">
        <v>5</v>
      </c>
      <c r="J1320" t="s">
        <v>35</v>
      </c>
      <c r="K1320" s="12">
        <f t="shared" si="20"/>
        <v>176000</v>
      </c>
      <c r="L1320" s="12">
        <f>Sales_Data[[#This Row],[Unit Price]]*Sales_Data[[#This Row],[Quantity]]</f>
        <v>1100000</v>
      </c>
      <c r="M1320" s="12">
        <f>Sales_Data[[#This Row],[Cost Price]]*Sales_Data[[#This Row],[Quantity]]</f>
        <v>880000</v>
      </c>
      <c r="N1320" s="12">
        <f>Sales_Data[[#This Row],[Revenue]]-Sales_Data[[#This Row],[COGS]]</f>
        <v>220000</v>
      </c>
    </row>
    <row r="1321" spans="1:14">
      <c r="A1321" s="1">
        <v>46995</v>
      </c>
      <c r="B1321" t="s">
        <v>18</v>
      </c>
      <c r="C1321" t="s">
        <v>32</v>
      </c>
      <c r="D1321" t="s">
        <v>23</v>
      </c>
      <c r="E1321" t="s">
        <v>20</v>
      </c>
      <c r="F1321" t="s">
        <v>41</v>
      </c>
      <c r="G1321" t="s">
        <v>22</v>
      </c>
      <c r="H1321" s="12">
        <v>220000</v>
      </c>
      <c r="I1321">
        <v>4</v>
      </c>
      <c r="J1321" t="s">
        <v>35</v>
      </c>
      <c r="K1321" s="12">
        <f t="shared" si="20"/>
        <v>176000</v>
      </c>
      <c r="L1321" s="12">
        <f>Sales_Data[[#This Row],[Unit Price]]*Sales_Data[[#This Row],[Quantity]]</f>
        <v>880000</v>
      </c>
      <c r="M1321" s="12">
        <f>Sales_Data[[#This Row],[Cost Price]]*Sales_Data[[#This Row],[Quantity]]</f>
        <v>704000</v>
      </c>
      <c r="N1321" s="12">
        <f>Sales_Data[[#This Row],[Revenue]]-Sales_Data[[#This Row],[COGS]]</f>
        <v>176000</v>
      </c>
    </row>
    <row r="1322" spans="1:14">
      <c r="A1322" s="1">
        <v>46996</v>
      </c>
      <c r="B1322" t="s">
        <v>18</v>
      </c>
      <c r="C1322" t="s">
        <v>32</v>
      </c>
      <c r="D1322" t="s">
        <v>23</v>
      </c>
      <c r="E1322" t="s">
        <v>14</v>
      </c>
      <c r="F1322" t="s">
        <v>21</v>
      </c>
      <c r="G1322" t="s">
        <v>22</v>
      </c>
      <c r="H1322" s="12">
        <v>30000</v>
      </c>
      <c r="I1322">
        <v>1</v>
      </c>
      <c r="J1322" t="s">
        <v>39</v>
      </c>
      <c r="K1322" s="12">
        <f t="shared" si="20"/>
        <v>24000</v>
      </c>
      <c r="L1322" s="12">
        <f>Sales_Data[[#This Row],[Unit Price]]*Sales_Data[[#This Row],[Quantity]]</f>
        <v>30000</v>
      </c>
      <c r="M1322" s="12">
        <f>Sales_Data[[#This Row],[Cost Price]]*Sales_Data[[#This Row],[Quantity]]</f>
        <v>24000</v>
      </c>
      <c r="N1322" s="12">
        <f>Sales_Data[[#This Row],[Revenue]]-Sales_Data[[#This Row],[COGS]]</f>
        <v>6000</v>
      </c>
    </row>
    <row r="1323" spans="1:14">
      <c r="A1323" s="1">
        <v>46997</v>
      </c>
      <c r="B1323" t="s">
        <v>25</v>
      </c>
      <c r="C1323" t="s">
        <v>19</v>
      </c>
      <c r="D1323" t="s">
        <v>13</v>
      </c>
      <c r="E1323" t="s">
        <v>14</v>
      </c>
      <c r="F1323" t="s">
        <v>38</v>
      </c>
      <c r="G1323" t="s">
        <v>31</v>
      </c>
      <c r="H1323" s="12">
        <v>420000</v>
      </c>
      <c r="I1323">
        <v>9</v>
      </c>
      <c r="J1323" t="s">
        <v>24</v>
      </c>
      <c r="K1323" s="12">
        <f t="shared" si="20"/>
        <v>336000</v>
      </c>
      <c r="L1323" s="12">
        <f>Sales_Data[[#This Row],[Unit Price]]*Sales_Data[[#This Row],[Quantity]]</f>
        <v>3780000</v>
      </c>
      <c r="M1323" s="12">
        <f>Sales_Data[[#This Row],[Cost Price]]*Sales_Data[[#This Row],[Quantity]]</f>
        <v>3024000</v>
      </c>
      <c r="N1323" s="12">
        <f>Sales_Data[[#This Row],[Revenue]]-Sales_Data[[#This Row],[COGS]]</f>
        <v>756000</v>
      </c>
    </row>
    <row r="1324" spans="1:14">
      <c r="A1324" s="1">
        <v>46998</v>
      </c>
      <c r="B1324" t="s">
        <v>11</v>
      </c>
      <c r="C1324" t="s">
        <v>19</v>
      </c>
      <c r="D1324" t="s">
        <v>23</v>
      </c>
      <c r="E1324" t="s">
        <v>14</v>
      </c>
      <c r="F1324" t="s">
        <v>27</v>
      </c>
      <c r="G1324" t="s">
        <v>22</v>
      </c>
      <c r="H1324" s="12">
        <v>60000</v>
      </c>
      <c r="I1324">
        <v>6</v>
      </c>
      <c r="J1324" t="s">
        <v>24</v>
      </c>
      <c r="K1324" s="12">
        <f t="shared" si="20"/>
        <v>48000</v>
      </c>
      <c r="L1324" s="12">
        <f>Sales_Data[[#This Row],[Unit Price]]*Sales_Data[[#This Row],[Quantity]]</f>
        <v>360000</v>
      </c>
      <c r="M1324" s="12">
        <f>Sales_Data[[#This Row],[Cost Price]]*Sales_Data[[#This Row],[Quantity]]</f>
        <v>288000</v>
      </c>
      <c r="N1324" s="12">
        <f>Sales_Data[[#This Row],[Revenue]]-Sales_Data[[#This Row],[COGS]]</f>
        <v>72000</v>
      </c>
    </row>
    <row r="1325" spans="1:14">
      <c r="A1325" s="1">
        <v>46999</v>
      </c>
      <c r="B1325" t="s">
        <v>11</v>
      </c>
      <c r="C1325" t="s">
        <v>32</v>
      </c>
      <c r="D1325" t="s">
        <v>13</v>
      </c>
      <c r="E1325" t="s">
        <v>14</v>
      </c>
      <c r="F1325" t="s">
        <v>33</v>
      </c>
      <c r="G1325" t="s">
        <v>22</v>
      </c>
      <c r="H1325" s="12">
        <v>180000</v>
      </c>
      <c r="I1325">
        <v>2</v>
      </c>
      <c r="J1325" t="s">
        <v>28</v>
      </c>
      <c r="K1325" s="12">
        <f t="shared" si="20"/>
        <v>144000</v>
      </c>
      <c r="L1325" s="12">
        <f>Sales_Data[[#This Row],[Unit Price]]*Sales_Data[[#This Row],[Quantity]]</f>
        <v>360000</v>
      </c>
      <c r="M1325" s="12">
        <f>Sales_Data[[#This Row],[Cost Price]]*Sales_Data[[#This Row],[Quantity]]</f>
        <v>288000</v>
      </c>
      <c r="N1325" s="12">
        <f>Sales_Data[[#This Row],[Revenue]]-Sales_Data[[#This Row],[COGS]]</f>
        <v>72000</v>
      </c>
    </row>
    <row r="1326" spans="1:14">
      <c r="A1326" s="1">
        <v>47000</v>
      </c>
      <c r="B1326" t="s">
        <v>18</v>
      </c>
      <c r="C1326" t="s">
        <v>19</v>
      </c>
      <c r="D1326" t="s">
        <v>13</v>
      </c>
      <c r="E1326" t="s">
        <v>14</v>
      </c>
      <c r="F1326" t="s">
        <v>15</v>
      </c>
      <c r="G1326" t="s">
        <v>16</v>
      </c>
      <c r="H1326" s="12">
        <v>85000</v>
      </c>
      <c r="I1326">
        <v>1</v>
      </c>
      <c r="J1326" t="s">
        <v>24</v>
      </c>
      <c r="K1326" s="12">
        <f t="shared" si="20"/>
        <v>68000</v>
      </c>
      <c r="L1326" s="12">
        <f>Sales_Data[[#This Row],[Unit Price]]*Sales_Data[[#This Row],[Quantity]]</f>
        <v>85000</v>
      </c>
      <c r="M1326" s="12">
        <f>Sales_Data[[#This Row],[Cost Price]]*Sales_Data[[#This Row],[Quantity]]</f>
        <v>68000</v>
      </c>
      <c r="N1326" s="12">
        <f>Sales_Data[[#This Row],[Revenue]]-Sales_Data[[#This Row],[COGS]]</f>
        <v>17000</v>
      </c>
    </row>
    <row r="1327" spans="1:14">
      <c r="A1327" s="1">
        <v>47001</v>
      </c>
      <c r="B1327" t="s">
        <v>11</v>
      </c>
      <c r="C1327" t="s">
        <v>26</v>
      </c>
      <c r="D1327" t="s">
        <v>13</v>
      </c>
      <c r="E1327" t="s">
        <v>20</v>
      </c>
      <c r="F1327" t="s">
        <v>40</v>
      </c>
      <c r="G1327" t="s">
        <v>31</v>
      </c>
      <c r="H1327" s="12">
        <v>250000</v>
      </c>
      <c r="I1327">
        <v>2</v>
      </c>
      <c r="J1327" t="s">
        <v>17</v>
      </c>
      <c r="K1327" s="12">
        <f t="shared" si="20"/>
        <v>200000</v>
      </c>
      <c r="L1327" s="12">
        <f>Sales_Data[[#This Row],[Unit Price]]*Sales_Data[[#This Row],[Quantity]]</f>
        <v>500000</v>
      </c>
      <c r="M1327" s="12">
        <f>Sales_Data[[#This Row],[Cost Price]]*Sales_Data[[#This Row],[Quantity]]</f>
        <v>400000</v>
      </c>
      <c r="N1327" s="12">
        <f>Sales_Data[[#This Row],[Revenue]]-Sales_Data[[#This Row],[COGS]]</f>
        <v>100000</v>
      </c>
    </row>
    <row r="1328" spans="1:14">
      <c r="A1328" s="1">
        <v>47002</v>
      </c>
      <c r="B1328" t="s">
        <v>29</v>
      </c>
      <c r="C1328" t="s">
        <v>32</v>
      </c>
      <c r="D1328" t="s">
        <v>13</v>
      </c>
      <c r="E1328" t="s">
        <v>20</v>
      </c>
      <c r="F1328" t="s">
        <v>21</v>
      </c>
      <c r="G1328" t="s">
        <v>22</v>
      </c>
      <c r="H1328" s="12">
        <v>30000</v>
      </c>
      <c r="I1328">
        <v>7</v>
      </c>
      <c r="J1328" t="s">
        <v>35</v>
      </c>
      <c r="K1328" s="12">
        <f t="shared" si="20"/>
        <v>24000</v>
      </c>
      <c r="L1328" s="12">
        <f>Sales_Data[[#This Row],[Unit Price]]*Sales_Data[[#This Row],[Quantity]]</f>
        <v>210000</v>
      </c>
      <c r="M1328" s="12">
        <f>Sales_Data[[#This Row],[Cost Price]]*Sales_Data[[#This Row],[Quantity]]</f>
        <v>168000</v>
      </c>
      <c r="N1328" s="12">
        <f>Sales_Data[[#This Row],[Revenue]]-Sales_Data[[#This Row],[COGS]]</f>
        <v>42000</v>
      </c>
    </row>
    <row r="1329" spans="1:14">
      <c r="A1329" s="1">
        <v>47003</v>
      </c>
      <c r="B1329" t="s">
        <v>11</v>
      </c>
      <c r="C1329" t="s">
        <v>19</v>
      </c>
      <c r="D1329" t="s">
        <v>13</v>
      </c>
      <c r="E1329" t="s">
        <v>20</v>
      </c>
      <c r="F1329" t="s">
        <v>38</v>
      </c>
      <c r="G1329" t="s">
        <v>31</v>
      </c>
      <c r="H1329" s="12">
        <v>420000</v>
      </c>
      <c r="I1329">
        <v>9</v>
      </c>
      <c r="J1329" t="s">
        <v>35</v>
      </c>
      <c r="K1329" s="12">
        <f t="shared" si="20"/>
        <v>336000</v>
      </c>
      <c r="L1329" s="12">
        <f>Sales_Data[[#This Row],[Unit Price]]*Sales_Data[[#This Row],[Quantity]]</f>
        <v>3780000</v>
      </c>
      <c r="M1329" s="12">
        <f>Sales_Data[[#This Row],[Cost Price]]*Sales_Data[[#This Row],[Quantity]]</f>
        <v>3024000</v>
      </c>
      <c r="N1329" s="12">
        <f>Sales_Data[[#This Row],[Revenue]]-Sales_Data[[#This Row],[COGS]]</f>
        <v>756000</v>
      </c>
    </row>
    <row r="1330" spans="1:14">
      <c r="A1330" s="1">
        <v>47004</v>
      </c>
      <c r="B1330" t="s">
        <v>25</v>
      </c>
      <c r="C1330" t="s">
        <v>32</v>
      </c>
      <c r="D1330" t="s">
        <v>13</v>
      </c>
      <c r="E1330" t="s">
        <v>14</v>
      </c>
      <c r="F1330" t="s">
        <v>27</v>
      </c>
      <c r="G1330" t="s">
        <v>22</v>
      </c>
      <c r="H1330" s="12">
        <v>60000</v>
      </c>
      <c r="I1330">
        <v>7</v>
      </c>
      <c r="J1330" t="s">
        <v>24</v>
      </c>
      <c r="K1330" s="12">
        <f t="shared" si="20"/>
        <v>48000</v>
      </c>
      <c r="L1330" s="12">
        <f>Sales_Data[[#This Row],[Unit Price]]*Sales_Data[[#This Row],[Quantity]]</f>
        <v>420000</v>
      </c>
      <c r="M1330" s="12">
        <f>Sales_Data[[#This Row],[Cost Price]]*Sales_Data[[#This Row],[Quantity]]</f>
        <v>336000</v>
      </c>
      <c r="N1330" s="12">
        <f>Sales_Data[[#This Row],[Revenue]]-Sales_Data[[#This Row],[COGS]]</f>
        <v>84000</v>
      </c>
    </row>
    <row r="1331" spans="1:14">
      <c r="A1331" s="1">
        <v>47005</v>
      </c>
      <c r="B1331" t="s">
        <v>29</v>
      </c>
      <c r="C1331" t="s">
        <v>26</v>
      </c>
      <c r="D1331" t="s">
        <v>13</v>
      </c>
      <c r="E1331" t="s">
        <v>20</v>
      </c>
      <c r="F1331" t="s">
        <v>30</v>
      </c>
      <c r="G1331" t="s">
        <v>31</v>
      </c>
      <c r="H1331" s="12">
        <v>300000</v>
      </c>
      <c r="I1331">
        <v>7</v>
      </c>
      <c r="J1331" t="s">
        <v>35</v>
      </c>
      <c r="K1331" s="12">
        <f t="shared" si="20"/>
        <v>240000</v>
      </c>
      <c r="L1331" s="12">
        <f>Sales_Data[[#This Row],[Unit Price]]*Sales_Data[[#This Row],[Quantity]]</f>
        <v>2100000</v>
      </c>
      <c r="M1331" s="12">
        <f>Sales_Data[[#This Row],[Cost Price]]*Sales_Data[[#This Row],[Quantity]]</f>
        <v>1680000</v>
      </c>
      <c r="N1331" s="12">
        <f>Sales_Data[[#This Row],[Revenue]]-Sales_Data[[#This Row],[COGS]]</f>
        <v>420000</v>
      </c>
    </row>
    <row r="1332" spans="1:14">
      <c r="A1332" s="1">
        <v>47006</v>
      </c>
      <c r="B1332" t="s">
        <v>18</v>
      </c>
      <c r="C1332" t="s">
        <v>12</v>
      </c>
      <c r="D1332" t="s">
        <v>23</v>
      </c>
      <c r="E1332" t="s">
        <v>14</v>
      </c>
      <c r="F1332" t="s">
        <v>36</v>
      </c>
      <c r="G1332" t="s">
        <v>31</v>
      </c>
      <c r="H1332" s="12">
        <v>150000</v>
      </c>
      <c r="I1332">
        <v>9</v>
      </c>
      <c r="J1332" t="s">
        <v>39</v>
      </c>
      <c r="K1332" s="12">
        <f t="shared" si="20"/>
        <v>120000</v>
      </c>
      <c r="L1332" s="12">
        <f>Sales_Data[[#This Row],[Unit Price]]*Sales_Data[[#This Row],[Quantity]]</f>
        <v>1350000</v>
      </c>
      <c r="M1332" s="12">
        <f>Sales_Data[[#This Row],[Cost Price]]*Sales_Data[[#This Row],[Quantity]]</f>
        <v>1080000</v>
      </c>
      <c r="N1332" s="12">
        <f>Sales_Data[[#This Row],[Revenue]]-Sales_Data[[#This Row],[COGS]]</f>
        <v>270000</v>
      </c>
    </row>
    <row r="1333" spans="1:14">
      <c r="A1333" s="1">
        <v>47007</v>
      </c>
      <c r="B1333" t="s">
        <v>25</v>
      </c>
      <c r="C1333" t="s">
        <v>26</v>
      </c>
      <c r="D1333" t="s">
        <v>23</v>
      </c>
      <c r="E1333" t="s">
        <v>14</v>
      </c>
      <c r="F1333" t="s">
        <v>30</v>
      </c>
      <c r="G1333" t="s">
        <v>31</v>
      </c>
      <c r="H1333" s="12">
        <v>300000</v>
      </c>
      <c r="I1333">
        <v>7</v>
      </c>
      <c r="J1333" t="s">
        <v>28</v>
      </c>
      <c r="K1333" s="12">
        <f t="shared" si="20"/>
        <v>240000</v>
      </c>
      <c r="L1333" s="12">
        <f>Sales_Data[[#This Row],[Unit Price]]*Sales_Data[[#This Row],[Quantity]]</f>
        <v>2100000</v>
      </c>
      <c r="M1333" s="12">
        <f>Sales_Data[[#This Row],[Cost Price]]*Sales_Data[[#This Row],[Quantity]]</f>
        <v>1680000</v>
      </c>
      <c r="N1333" s="12">
        <f>Sales_Data[[#This Row],[Revenue]]-Sales_Data[[#This Row],[COGS]]</f>
        <v>420000</v>
      </c>
    </row>
    <row r="1334" spans="1:14">
      <c r="A1334" s="1">
        <v>47008</v>
      </c>
      <c r="B1334" t="s">
        <v>11</v>
      </c>
      <c r="C1334" t="s">
        <v>19</v>
      </c>
      <c r="D1334" t="s">
        <v>13</v>
      </c>
      <c r="E1334" t="s">
        <v>14</v>
      </c>
      <c r="F1334" t="s">
        <v>40</v>
      </c>
      <c r="G1334" t="s">
        <v>31</v>
      </c>
      <c r="H1334" s="12">
        <v>250000</v>
      </c>
      <c r="I1334">
        <v>1</v>
      </c>
      <c r="J1334" t="s">
        <v>37</v>
      </c>
      <c r="K1334" s="12">
        <f t="shared" si="20"/>
        <v>200000</v>
      </c>
      <c r="L1334" s="12">
        <f>Sales_Data[[#This Row],[Unit Price]]*Sales_Data[[#This Row],[Quantity]]</f>
        <v>250000</v>
      </c>
      <c r="M1334" s="12">
        <f>Sales_Data[[#This Row],[Cost Price]]*Sales_Data[[#This Row],[Quantity]]</f>
        <v>200000</v>
      </c>
      <c r="N1334" s="12">
        <f>Sales_Data[[#This Row],[Revenue]]-Sales_Data[[#This Row],[COGS]]</f>
        <v>50000</v>
      </c>
    </row>
    <row r="1335" spans="1:14">
      <c r="A1335" s="1">
        <v>47009</v>
      </c>
      <c r="B1335" t="s">
        <v>11</v>
      </c>
      <c r="C1335" t="s">
        <v>19</v>
      </c>
      <c r="D1335" t="s">
        <v>23</v>
      </c>
      <c r="E1335" t="s">
        <v>14</v>
      </c>
      <c r="F1335" t="s">
        <v>40</v>
      </c>
      <c r="G1335" t="s">
        <v>31</v>
      </c>
      <c r="H1335" s="12">
        <v>250000</v>
      </c>
      <c r="I1335">
        <v>6</v>
      </c>
      <c r="J1335" t="s">
        <v>28</v>
      </c>
      <c r="K1335" s="12">
        <f t="shared" si="20"/>
        <v>200000</v>
      </c>
      <c r="L1335" s="12">
        <f>Sales_Data[[#This Row],[Unit Price]]*Sales_Data[[#This Row],[Quantity]]</f>
        <v>1500000</v>
      </c>
      <c r="M1335" s="12">
        <f>Sales_Data[[#This Row],[Cost Price]]*Sales_Data[[#This Row],[Quantity]]</f>
        <v>1200000</v>
      </c>
      <c r="N1335" s="12">
        <f>Sales_Data[[#This Row],[Revenue]]-Sales_Data[[#This Row],[COGS]]</f>
        <v>300000</v>
      </c>
    </row>
    <row r="1336" spans="1:14">
      <c r="A1336" s="1">
        <v>47010</v>
      </c>
      <c r="B1336" t="s">
        <v>18</v>
      </c>
      <c r="C1336" t="s">
        <v>26</v>
      </c>
      <c r="D1336" t="s">
        <v>23</v>
      </c>
      <c r="E1336" t="s">
        <v>20</v>
      </c>
      <c r="F1336" t="s">
        <v>38</v>
      </c>
      <c r="G1336" t="s">
        <v>31</v>
      </c>
      <c r="H1336" s="12">
        <v>420000</v>
      </c>
      <c r="I1336">
        <v>9</v>
      </c>
      <c r="J1336" t="s">
        <v>39</v>
      </c>
      <c r="K1336" s="12">
        <f t="shared" si="20"/>
        <v>336000</v>
      </c>
      <c r="L1336" s="12">
        <f>Sales_Data[[#This Row],[Unit Price]]*Sales_Data[[#This Row],[Quantity]]</f>
        <v>3780000</v>
      </c>
      <c r="M1336" s="12">
        <f>Sales_Data[[#This Row],[Cost Price]]*Sales_Data[[#This Row],[Quantity]]</f>
        <v>3024000</v>
      </c>
      <c r="N1336" s="12">
        <f>Sales_Data[[#This Row],[Revenue]]-Sales_Data[[#This Row],[COGS]]</f>
        <v>756000</v>
      </c>
    </row>
    <row r="1337" spans="1:14">
      <c r="A1337" s="1">
        <v>47011</v>
      </c>
      <c r="B1337" t="s">
        <v>25</v>
      </c>
      <c r="C1337" t="s">
        <v>32</v>
      </c>
      <c r="D1337" t="s">
        <v>23</v>
      </c>
      <c r="E1337" t="s">
        <v>14</v>
      </c>
      <c r="F1337" t="s">
        <v>33</v>
      </c>
      <c r="G1337" t="s">
        <v>22</v>
      </c>
      <c r="H1337" s="12">
        <v>180000</v>
      </c>
      <c r="I1337">
        <v>6</v>
      </c>
      <c r="J1337" t="s">
        <v>24</v>
      </c>
      <c r="K1337" s="12">
        <f t="shared" si="20"/>
        <v>144000</v>
      </c>
      <c r="L1337" s="12">
        <f>Sales_Data[[#This Row],[Unit Price]]*Sales_Data[[#This Row],[Quantity]]</f>
        <v>1080000</v>
      </c>
      <c r="M1337" s="12">
        <f>Sales_Data[[#This Row],[Cost Price]]*Sales_Data[[#This Row],[Quantity]]</f>
        <v>864000</v>
      </c>
      <c r="N1337" s="12">
        <f>Sales_Data[[#This Row],[Revenue]]-Sales_Data[[#This Row],[COGS]]</f>
        <v>216000</v>
      </c>
    </row>
    <row r="1338" spans="1:14">
      <c r="A1338" s="1">
        <v>47012</v>
      </c>
      <c r="B1338" t="s">
        <v>25</v>
      </c>
      <c r="C1338" t="s">
        <v>26</v>
      </c>
      <c r="D1338" t="s">
        <v>23</v>
      </c>
      <c r="E1338" t="s">
        <v>14</v>
      </c>
      <c r="F1338" t="s">
        <v>15</v>
      </c>
      <c r="G1338" t="s">
        <v>16</v>
      </c>
      <c r="H1338" s="12">
        <v>85000</v>
      </c>
      <c r="I1338">
        <v>5</v>
      </c>
      <c r="J1338" t="s">
        <v>39</v>
      </c>
      <c r="K1338" s="12">
        <f t="shared" si="20"/>
        <v>68000</v>
      </c>
      <c r="L1338" s="12">
        <f>Sales_Data[[#This Row],[Unit Price]]*Sales_Data[[#This Row],[Quantity]]</f>
        <v>425000</v>
      </c>
      <c r="M1338" s="12">
        <f>Sales_Data[[#This Row],[Cost Price]]*Sales_Data[[#This Row],[Quantity]]</f>
        <v>340000</v>
      </c>
      <c r="N1338" s="12">
        <f>Sales_Data[[#This Row],[Revenue]]-Sales_Data[[#This Row],[COGS]]</f>
        <v>85000</v>
      </c>
    </row>
    <row r="1339" spans="1:14">
      <c r="A1339" s="1">
        <v>47013</v>
      </c>
      <c r="B1339" t="s">
        <v>11</v>
      </c>
      <c r="C1339" t="s">
        <v>26</v>
      </c>
      <c r="D1339" t="s">
        <v>23</v>
      </c>
      <c r="E1339" t="s">
        <v>14</v>
      </c>
      <c r="F1339" t="s">
        <v>41</v>
      </c>
      <c r="G1339" t="s">
        <v>22</v>
      </c>
      <c r="H1339" s="12">
        <v>220000</v>
      </c>
      <c r="I1339">
        <v>5</v>
      </c>
      <c r="J1339" t="s">
        <v>39</v>
      </c>
      <c r="K1339" s="12">
        <f t="shared" si="20"/>
        <v>176000</v>
      </c>
      <c r="L1339" s="12">
        <f>Sales_Data[[#This Row],[Unit Price]]*Sales_Data[[#This Row],[Quantity]]</f>
        <v>1100000</v>
      </c>
      <c r="M1339" s="12">
        <f>Sales_Data[[#This Row],[Cost Price]]*Sales_Data[[#This Row],[Quantity]]</f>
        <v>880000</v>
      </c>
      <c r="N1339" s="12">
        <f>Sales_Data[[#This Row],[Revenue]]-Sales_Data[[#This Row],[COGS]]</f>
        <v>220000</v>
      </c>
    </row>
    <row r="1340" spans="1:14">
      <c r="A1340" s="1">
        <v>47014</v>
      </c>
      <c r="B1340" t="s">
        <v>18</v>
      </c>
      <c r="C1340" t="s">
        <v>32</v>
      </c>
      <c r="D1340" t="s">
        <v>13</v>
      </c>
      <c r="E1340" t="s">
        <v>14</v>
      </c>
      <c r="F1340" t="s">
        <v>27</v>
      </c>
      <c r="G1340" t="s">
        <v>22</v>
      </c>
      <c r="H1340" s="12">
        <v>60000</v>
      </c>
      <c r="I1340">
        <v>8</v>
      </c>
      <c r="J1340" t="s">
        <v>37</v>
      </c>
      <c r="K1340" s="12">
        <f t="shared" si="20"/>
        <v>48000</v>
      </c>
      <c r="L1340" s="12">
        <f>Sales_Data[[#This Row],[Unit Price]]*Sales_Data[[#This Row],[Quantity]]</f>
        <v>480000</v>
      </c>
      <c r="M1340" s="12">
        <f>Sales_Data[[#This Row],[Cost Price]]*Sales_Data[[#This Row],[Quantity]]</f>
        <v>384000</v>
      </c>
      <c r="N1340" s="12">
        <f>Sales_Data[[#This Row],[Revenue]]-Sales_Data[[#This Row],[COGS]]</f>
        <v>96000</v>
      </c>
    </row>
    <row r="1341" spans="1:14">
      <c r="A1341" s="1">
        <v>47015</v>
      </c>
      <c r="B1341" t="s">
        <v>18</v>
      </c>
      <c r="C1341" t="s">
        <v>32</v>
      </c>
      <c r="D1341" t="s">
        <v>23</v>
      </c>
      <c r="E1341" t="s">
        <v>20</v>
      </c>
      <c r="F1341" t="s">
        <v>15</v>
      </c>
      <c r="G1341" t="s">
        <v>16</v>
      </c>
      <c r="H1341" s="12">
        <v>85000</v>
      </c>
      <c r="I1341">
        <v>10</v>
      </c>
      <c r="J1341" t="s">
        <v>35</v>
      </c>
      <c r="K1341" s="12">
        <f t="shared" si="20"/>
        <v>68000</v>
      </c>
      <c r="L1341" s="12">
        <f>Sales_Data[[#This Row],[Unit Price]]*Sales_Data[[#This Row],[Quantity]]</f>
        <v>850000</v>
      </c>
      <c r="M1341" s="12">
        <f>Sales_Data[[#This Row],[Cost Price]]*Sales_Data[[#This Row],[Quantity]]</f>
        <v>680000</v>
      </c>
      <c r="N1341" s="12">
        <f>Sales_Data[[#This Row],[Revenue]]-Sales_Data[[#This Row],[COGS]]</f>
        <v>170000</v>
      </c>
    </row>
    <row r="1342" spans="1:14">
      <c r="A1342" s="1">
        <v>47016</v>
      </c>
      <c r="B1342" t="s">
        <v>29</v>
      </c>
      <c r="C1342" t="s">
        <v>19</v>
      </c>
      <c r="D1342" t="s">
        <v>13</v>
      </c>
      <c r="E1342" t="s">
        <v>20</v>
      </c>
      <c r="F1342" t="s">
        <v>21</v>
      </c>
      <c r="G1342" t="s">
        <v>22</v>
      </c>
      <c r="H1342" s="12">
        <v>30000</v>
      </c>
      <c r="I1342">
        <v>6</v>
      </c>
      <c r="J1342" t="s">
        <v>39</v>
      </c>
      <c r="K1342" s="12">
        <f t="shared" si="20"/>
        <v>24000</v>
      </c>
      <c r="L1342" s="12">
        <f>Sales_Data[[#This Row],[Unit Price]]*Sales_Data[[#This Row],[Quantity]]</f>
        <v>180000</v>
      </c>
      <c r="M1342" s="12">
        <f>Sales_Data[[#This Row],[Cost Price]]*Sales_Data[[#This Row],[Quantity]]</f>
        <v>144000</v>
      </c>
      <c r="N1342" s="12">
        <f>Sales_Data[[#This Row],[Revenue]]-Sales_Data[[#This Row],[COGS]]</f>
        <v>36000</v>
      </c>
    </row>
    <row r="1343" spans="1:14">
      <c r="A1343" s="1">
        <v>47017</v>
      </c>
      <c r="B1343" t="s">
        <v>11</v>
      </c>
      <c r="C1343" t="s">
        <v>19</v>
      </c>
      <c r="D1343" t="s">
        <v>23</v>
      </c>
      <c r="E1343" t="s">
        <v>20</v>
      </c>
      <c r="F1343" t="s">
        <v>34</v>
      </c>
      <c r="G1343" t="s">
        <v>16</v>
      </c>
      <c r="H1343" s="12">
        <v>320000</v>
      </c>
      <c r="I1343">
        <v>10</v>
      </c>
      <c r="J1343" t="s">
        <v>24</v>
      </c>
      <c r="K1343" s="12">
        <f t="shared" si="20"/>
        <v>256000</v>
      </c>
      <c r="L1343" s="12">
        <f>Sales_Data[[#This Row],[Unit Price]]*Sales_Data[[#This Row],[Quantity]]</f>
        <v>3200000</v>
      </c>
      <c r="M1343" s="12">
        <f>Sales_Data[[#This Row],[Cost Price]]*Sales_Data[[#This Row],[Quantity]]</f>
        <v>2560000</v>
      </c>
      <c r="N1343" s="12">
        <f>Sales_Data[[#This Row],[Revenue]]-Sales_Data[[#This Row],[COGS]]</f>
        <v>640000</v>
      </c>
    </row>
    <row r="1344" spans="1:14">
      <c r="A1344" s="1">
        <v>47018</v>
      </c>
      <c r="B1344" t="s">
        <v>25</v>
      </c>
      <c r="C1344" t="s">
        <v>32</v>
      </c>
      <c r="D1344" t="s">
        <v>23</v>
      </c>
      <c r="E1344" t="s">
        <v>20</v>
      </c>
      <c r="F1344" t="s">
        <v>27</v>
      </c>
      <c r="G1344" t="s">
        <v>22</v>
      </c>
      <c r="H1344" s="12">
        <v>60000</v>
      </c>
      <c r="I1344">
        <v>2</v>
      </c>
      <c r="J1344" t="s">
        <v>24</v>
      </c>
      <c r="K1344" s="12">
        <f t="shared" si="20"/>
        <v>48000</v>
      </c>
      <c r="L1344" s="12">
        <f>Sales_Data[[#This Row],[Unit Price]]*Sales_Data[[#This Row],[Quantity]]</f>
        <v>120000</v>
      </c>
      <c r="M1344" s="12">
        <f>Sales_Data[[#This Row],[Cost Price]]*Sales_Data[[#This Row],[Quantity]]</f>
        <v>96000</v>
      </c>
      <c r="N1344" s="12">
        <f>Sales_Data[[#This Row],[Revenue]]-Sales_Data[[#This Row],[COGS]]</f>
        <v>24000</v>
      </c>
    </row>
    <row r="1345" spans="1:14">
      <c r="A1345" s="1">
        <v>47019</v>
      </c>
      <c r="B1345" t="s">
        <v>18</v>
      </c>
      <c r="C1345" t="s">
        <v>19</v>
      </c>
      <c r="D1345" t="s">
        <v>23</v>
      </c>
      <c r="E1345" t="s">
        <v>20</v>
      </c>
      <c r="F1345" t="s">
        <v>38</v>
      </c>
      <c r="G1345" t="s">
        <v>31</v>
      </c>
      <c r="H1345" s="12">
        <v>420000</v>
      </c>
      <c r="I1345">
        <v>3</v>
      </c>
      <c r="J1345" t="s">
        <v>17</v>
      </c>
      <c r="K1345" s="12">
        <f t="shared" si="20"/>
        <v>336000</v>
      </c>
      <c r="L1345" s="12">
        <f>Sales_Data[[#This Row],[Unit Price]]*Sales_Data[[#This Row],[Quantity]]</f>
        <v>1260000</v>
      </c>
      <c r="M1345" s="12">
        <f>Sales_Data[[#This Row],[Cost Price]]*Sales_Data[[#This Row],[Quantity]]</f>
        <v>1008000</v>
      </c>
      <c r="N1345" s="12">
        <f>Sales_Data[[#This Row],[Revenue]]-Sales_Data[[#This Row],[COGS]]</f>
        <v>252000</v>
      </c>
    </row>
    <row r="1346" spans="1:14">
      <c r="A1346" s="1">
        <v>47020</v>
      </c>
      <c r="B1346" t="s">
        <v>18</v>
      </c>
      <c r="C1346" t="s">
        <v>19</v>
      </c>
      <c r="D1346" t="s">
        <v>13</v>
      </c>
      <c r="E1346" t="s">
        <v>14</v>
      </c>
      <c r="F1346" t="s">
        <v>36</v>
      </c>
      <c r="G1346" t="s">
        <v>31</v>
      </c>
      <c r="H1346" s="12">
        <v>150000</v>
      </c>
      <c r="I1346">
        <v>5</v>
      </c>
      <c r="J1346" t="s">
        <v>28</v>
      </c>
      <c r="K1346" s="12">
        <f t="shared" ref="K1346:K1409" si="21">H1346-H1346*0.2</f>
        <v>120000</v>
      </c>
      <c r="L1346" s="12">
        <f>Sales_Data[[#This Row],[Unit Price]]*Sales_Data[[#This Row],[Quantity]]</f>
        <v>750000</v>
      </c>
      <c r="M1346" s="12">
        <f>Sales_Data[[#This Row],[Cost Price]]*Sales_Data[[#This Row],[Quantity]]</f>
        <v>600000</v>
      </c>
      <c r="N1346" s="12">
        <f>Sales_Data[[#This Row],[Revenue]]-Sales_Data[[#This Row],[COGS]]</f>
        <v>150000</v>
      </c>
    </row>
    <row r="1347" spans="1:14">
      <c r="A1347" s="1">
        <v>47021</v>
      </c>
      <c r="B1347" t="s">
        <v>25</v>
      </c>
      <c r="C1347" t="s">
        <v>19</v>
      </c>
      <c r="D1347" t="s">
        <v>13</v>
      </c>
      <c r="E1347" t="s">
        <v>20</v>
      </c>
      <c r="F1347" t="s">
        <v>36</v>
      </c>
      <c r="G1347" t="s">
        <v>31</v>
      </c>
      <c r="H1347" s="12">
        <v>150000</v>
      </c>
      <c r="I1347">
        <v>9</v>
      </c>
      <c r="J1347" t="s">
        <v>35</v>
      </c>
      <c r="K1347" s="12">
        <f t="shared" si="21"/>
        <v>120000</v>
      </c>
      <c r="L1347" s="12">
        <f>Sales_Data[[#This Row],[Unit Price]]*Sales_Data[[#This Row],[Quantity]]</f>
        <v>1350000</v>
      </c>
      <c r="M1347" s="12">
        <f>Sales_Data[[#This Row],[Cost Price]]*Sales_Data[[#This Row],[Quantity]]</f>
        <v>1080000</v>
      </c>
      <c r="N1347" s="12">
        <f>Sales_Data[[#This Row],[Revenue]]-Sales_Data[[#This Row],[COGS]]</f>
        <v>270000</v>
      </c>
    </row>
    <row r="1348" spans="1:14">
      <c r="A1348" s="1">
        <v>47022</v>
      </c>
      <c r="B1348" t="s">
        <v>25</v>
      </c>
      <c r="C1348" t="s">
        <v>12</v>
      </c>
      <c r="D1348" t="s">
        <v>23</v>
      </c>
      <c r="E1348" t="s">
        <v>20</v>
      </c>
      <c r="F1348" t="s">
        <v>15</v>
      </c>
      <c r="G1348" t="s">
        <v>16</v>
      </c>
      <c r="H1348" s="12">
        <v>85000</v>
      </c>
      <c r="I1348">
        <v>5</v>
      </c>
      <c r="J1348" t="s">
        <v>37</v>
      </c>
      <c r="K1348" s="12">
        <f t="shared" si="21"/>
        <v>68000</v>
      </c>
      <c r="L1348" s="12">
        <f>Sales_Data[[#This Row],[Unit Price]]*Sales_Data[[#This Row],[Quantity]]</f>
        <v>425000</v>
      </c>
      <c r="M1348" s="12">
        <f>Sales_Data[[#This Row],[Cost Price]]*Sales_Data[[#This Row],[Quantity]]</f>
        <v>340000</v>
      </c>
      <c r="N1348" s="12">
        <f>Sales_Data[[#This Row],[Revenue]]-Sales_Data[[#This Row],[COGS]]</f>
        <v>85000</v>
      </c>
    </row>
    <row r="1349" spans="1:14">
      <c r="A1349" s="1">
        <v>47023</v>
      </c>
      <c r="B1349" t="s">
        <v>29</v>
      </c>
      <c r="C1349" t="s">
        <v>19</v>
      </c>
      <c r="D1349" t="s">
        <v>23</v>
      </c>
      <c r="E1349" t="s">
        <v>14</v>
      </c>
      <c r="F1349" t="s">
        <v>34</v>
      </c>
      <c r="G1349" t="s">
        <v>16</v>
      </c>
      <c r="H1349" s="12">
        <v>320000</v>
      </c>
      <c r="I1349">
        <v>1</v>
      </c>
      <c r="J1349" t="s">
        <v>24</v>
      </c>
      <c r="K1349" s="12">
        <f t="shared" si="21"/>
        <v>256000</v>
      </c>
      <c r="L1349" s="12">
        <f>Sales_Data[[#This Row],[Unit Price]]*Sales_Data[[#This Row],[Quantity]]</f>
        <v>320000</v>
      </c>
      <c r="M1349" s="12">
        <f>Sales_Data[[#This Row],[Cost Price]]*Sales_Data[[#This Row],[Quantity]]</f>
        <v>256000</v>
      </c>
      <c r="N1349" s="12">
        <f>Sales_Data[[#This Row],[Revenue]]-Sales_Data[[#This Row],[COGS]]</f>
        <v>64000</v>
      </c>
    </row>
    <row r="1350" spans="1:14">
      <c r="A1350" s="1">
        <v>47024</v>
      </c>
      <c r="B1350" t="s">
        <v>18</v>
      </c>
      <c r="C1350" t="s">
        <v>12</v>
      </c>
      <c r="D1350" t="s">
        <v>13</v>
      </c>
      <c r="E1350" t="s">
        <v>20</v>
      </c>
      <c r="F1350" t="s">
        <v>21</v>
      </c>
      <c r="G1350" t="s">
        <v>22</v>
      </c>
      <c r="H1350" s="12">
        <v>30000</v>
      </c>
      <c r="I1350">
        <v>4</v>
      </c>
      <c r="J1350" t="s">
        <v>28</v>
      </c>
      <c r="K1350" s="12">
        <f t="shared" si="21"/>
        <v>24000</v>
      </c>
      <c r="L1350" s="12">
        <f>Sales_Data[[#This Row],[Unit Price]]*Sales_Data[[#This Row],[Quantity]]</f>
        <v>120000</v>
      </c>
      <c r="M1350" s="12">
        <f>Sales_Data[[#This Row],[Cost Price]]*Sales_Data[[#This Row],[Quantity]]</f>
        <v>96000</v>
      </c>
      <c r="N1350" s="12">
        <f>Sales_Data[[#This Row],[Revenue]]-Sales_Data[[#This Row],[COGS]]</f>
        <v>24000</v>
      </c>
    </row>
    <row r="1351" spans="1:14">
      <c r="A1351" s="1">
        <v>47025</v>
      </c>
      <c r="B1351" t="s">
        <v>25</v>
      </c>
      <c r="C1351" t="s">
        <v>26</v>
      </c>
      <c r="D1351" t="s">
        <v>23</v>
      </c>
      <c r="E1351" t="s">
        <v>20</v>
      </c>
      <c r="F1351" t="s">
        <v>41</v>
      </c>
      <c r="G1351" t="s">
        <v>22</v>
      </c>
      <c r="H1351" s="12">
        <v>220000</v>
      </c>
      <c r="I1351">
        <v>8</v>
      </c>
      <c r="J1351" t="s">
        <v>37</v>
      </c>
      <c r="K1351" s="12">
        <f t="shared" si="21"/>
        <v>176000</v>
      </c>
      <c r="L1351" s="12">
        <f>Sales_Data[[#This Row],[Unit Price]]*Sales_Data[[#This Row],[Quantity]]</f>
        <v>1760000</v>
      </c>
      <c r="M1351" s="12">
        <f>Sales_Data[[#This Row],[Cost Price]]*Sales_Data[[#This Row],[Quantity]]</f>
        <v>1408000</v>
      </c>
      <c r="N1351" s="12">
        <f>Sales_Data[[#This Row],[Revenue]]-Sales_Data[[#This Row],[COGS]]</f>
        <v>352000</v>
      </c>
    </row>
    <row r="1352" spans="1:14">
      <c r="A1352" s="1">
        <v>47026</v>
      </c>
      <c r="B1352" t="s">
        <v>11</v>
      </c>
      <c r="C1352" t="s">
        <v>32</v>
      </c>
      <c r="D1352" t="s">
        <v>23</v>
      </c>
      <c r="E1352" t="s">
        <v>20</v>
      </c>
      <c r="F1352" t="s">
        <v>34</v>
      </c>
      <c r="G1352" t="s">
        <v>16</v>
      </c>
      <c r="H1352" s="12">
        <v>320000</v>
      </c>
      <c r="I1352">
        <v>5</v>
      </c>
      <c r="J1352" t="s">
        <v>39</v>
      </c>
      <c r="K1352" s="12">
        <f t="shared" si="21"/>
        <v>256000</v>
      </c>
      <c r="L1352" s="12">
        <f>Sales_Data[[#This Row],[Unit Price]]*Sales_Data[[#This Row],[Quantity]]</f>
        <v>1600000</v>
      </c>
      <c r="M1352" s="12">
        <f>Sales_Data[[#This Row],[Cost Price]]*Sales_Data[[#This Row],[Quantity]]</f>
        <v>1280000</v>
      </c>
      <c r="N1352" s="12">
        <f>Sales_Data[[#This Row],[Revenue]]-Sales_Data[[#This Row],[COGS]]</f>
        <v>320000</v>
      </c>
    </row>
    <row r="1353" spans="1:14">
      <c r="A1353" s="1">
        <v>47027</v>
      </c>
      <c r="B1353" t="s">
        <v>11</v>
      </c>
      <c r="C1353" t="s">
        <v>32</v>
      </c>
      <c r="D1353" t="s">
        <v>23</v>
      </c>
      <c r="E1353" t="s">
        <v>20</v>
      </c>
      <c r="F1353" t="s">
        <v>15</v>
      </c>
      <c r="G1353" t="s">
        <v>16</v>
      </c>
      <c r="H1353" s="12">
        <v>85000</v>
      </c>
      <c r="I1353">
        <v>3</v>
      </c>
      <c r="J1353" t="s">
        <v>37</v>
      </c>
      <c r="K1353" s="12">
        <f t="shared" si="21"/>
        <v>68000</v>
      </c>
      <c r="L1353" s="12">
        <f>Sales_Data[[#This Row],[Unit Price]]*Sales_Data[[#This Row],[Quantity]]</f>
        <v>255000</v>
      </c>
      <c r="M1353" s="12">
        <f>Sales_Data[[#This Row],[Cost Price]]*Sales_Data[[#This Row],[Quantity]]</f>
        <v>204000</v>
      </c>
      <c r="N1353" s="12">
        <f>Sales_Data[[#This Row],[Revenue]]-Sales_Data[[#This Row],[COGS]]</f>
        <v>51000</v>
      </c>
    </row>
    <row r="1354" spans="1:14">
      <c r="A1354" s="1">
        <v>47028</v>
      </c>
      <c r="B1354" t="s">
        <v>18</v>
      </c>
      <c r="C1354" t="s">
        <v>26</v>
      </c>
      <c r="D1354" t="s">
        <v>13</v>
      </c>
      <c r="E1354" t="s">
        <v>20</v>
      </c>
      <c r="F1354" t="s">
        <v>34</v>
      </c>
      <c r="G1354" t="s">
        <v>16</v>
      </c>
      <c r="H1354" s="12">
        <v>320000</v>
      </c>
      <c r="I1354">
        <v>10</v>
      </c>
      <c r="J1354" t="s">
        <v>17</v>
      </c>
      <c r="K1354" s="12">
        <f t="shared" si="21"/>
        <v>256000</v>
      </c>
      <c r="L1354" s="12">
        <f>Sales_Data[[#This Row],[Unit Price]]*Sales_Data[[#This Row],[Quantity]]</f>
        <v>3200000</v>
      </c>
      <c r="M1354" s="12">
        <f>Sales_Data[[#This Row],[Cost Price]]*Sales_Data[[#This Row],[Quantity]]</f>
        <v>2560000</v>
      </c>
      <c r="N1354" s="12">
        <f>Sales_Data[[#This Row],[Revenue]]-Sales_Data[[#This Row],[COGS]]</f>
        <v>640000</v>
      </c>
    </row>
    <row r="1355" spans="1:14">
      <c r="A1355" s="1">
        <v>47029</v>
      </c>
      <c r="B1355" t="s">
        <v>11</v>
      </c>
      <c r="C1355" t="s">
        <v>26</v>
      </c>
      <c r="D1355" t="s">
        <v>13</v>
      </c>
      <c r="E1355" t="s">
        <v>14</v>
      </c>
      <c r="F1355" t="s">
        <v>38</v>
      </c>
      <c r="G1355" t="s">
        <v>31</v>
      </c>
      <c r="H1355" s="12">
        <v>420000</v>
      </c>
      <c r="I1355">
        <v>2</v>
      </c>
      <c r="J1355" t="s">
        <v>39</v>
      </c>
      <c r="K1355" s="12">
        <f t="shared" si="21"/>
        <v>336000</v>
      </c>
      <c r="L1355" s="12">
        <f>Sales_Data[[#This Row],[Unit Price]]*Sales_Data[[#This Row],[Quantity]]</f>
        <v>840000</v>
      </c>
      <c r="M1355" s="12">
        <f>Sales_Data[[#This Row],[Cost Price]]*Sales_Data[[#This Row],[Quantity]]</f>
        <v>672000</v>
      </c>
      <c r="N1355" s="12">
        <f>Sales_Data[[#This Row],[Revenue]]-Sales_Data[[#This Row],[COGS]]</f>
        <v>168000</v>
      </c>
    </row>
    <row r="1356" spans="1:14">
      <c r="A1356" s="1">
        <v>47030</v>
      </c>
      <c r="B1356" t="s">
        <v>29</v>
      </c>
      <c r="C1356" t="s">
        <v>32</v>
      </c>
      <c r="D1356" t="s">
        <v>13</v>
      </c>
      <c r="E1356" t="s">
        <v>14</v>
      </c>
      <c r="F1356" t="s">
        <v>21</v>
      </c>
      <c r="G1356" t="s">
        <v>22</v>
      </c>
      <c r="H1356" s="12">
        <v>30000</v>
      </c>
      <c r="I1356">
        <v>3</v>
      </c>
      <c r="J1356" t="s">
        <v>17</v>
      </c>
      <c r="K1356" s="12">
        <f t="shared" si="21"/>
        <v>24000</v>
      </c>
      <c r="L1356" s="12">
        <f>Sales_Data[[#This Row],[Unit Price]]*Sales_Data[[#This Row],[Quantity]]</f>
        <v>90000</v>
      </c>
      <c r="M1356" s="12">
        <f>Sales_Data[[#This Row],[Cost Price]]*Sales_Data[[#This Row],[Quantity]]</f>
        <v>72000</v>
      </c>
      <c r="N1356" s="12">
        <f>Sales_Data[[#This Row],[Revenue]]-Sales_Data[[#This Row],[COGS]]</f>
        <v>18000</v>
      </c>
    </row>
    <row r="1357" spans="1:14">
      <c r="A1357" s="1">
        <v>47031</v>
      </c>
      <c r="B1357" t="s">
        <v>11</v>
      </c>
      <c r="C1357" t="s">
        <v>32</v>
      </c>
      <c r="D1357" t="s">
        <v>23</v>
      </c>
      <c r="E1357" t="s">
        <v>14</v>
      </c>
      <c r="F1357" t="s">
        <v>21</v>
      </c>
      <c r="G1357" t="s">
        <v>22</v>
      </c>
      <c r="H1357" s="12">
        <v>30000</v>
      </c>
      <c r="I1357">
        <v>1</v>
      </c>
      <c r="J1357" t="s">
        <v>39</v>
      </c>
      <c r="K1357" s="12">
        <f t="shared" si="21"/>
        <v>24000</v>
      </c>
      <c r="L1357" s="12">
        <f>Sales_Data[[#This Row],[Unit Price]]*Sales_Data[[#This Row],[Quantity]]</f>
        <v>30000</v>
      </c>
      <c r="M1357" s="12">
        <f>Sales_Data[[#This Row],[Cost Price]]*Sales_Data[[#This Row],[Quantity]]</f>
        <v>24000</v>
      </c>
      <c r="N1357" s="12">
        <f>Sales_Data[[#This Row],[Revenue]]-Sales_Data[[#This Row],[COGS]]</f>
        <v>6000</v>
      </c>
    </row>
    <row r="1358" spans="1:14">
      <c r="A1358" s="1">
        <v>47032</v>
      </c>
      <c r="B1358" t="s">
        <v>18</v>
      </c>
      <c r="C1358" t="s">
        <v>26</v>
      </c>
      <c r="D1358" t="s">
        <v>13</v>
      </c>
      <c r="E1358" t="s">
        <v>20</v>
      </c>
      <c r="F1358" t="s">
        <v>38</v>
      </c>
      <c r="G1358" t="s">
        <v>31</v>
      </c>
      <c r="H1358" s="12">
        <v>420000</v>
      </c>
      <c r="I1358">
        <v>10</v>
      </c>
      <c r="J1358" t="s">
        <v>39</v>
      </c>
      <c r="K1358" s="12">
        <f t="shared" si="21"/>
        <v>336000</v>
      </c>
      <c r="L1358" s="12">
        <f>Sales_Data[[#This Row],[Unit Price]]*Sales_Data[[#This Row],[Quantity]]</f>
        <v>4200000</v>
      </c>
      <c r="M1358" s="12">
        <f>Sales_Data[[#This Row],[Cost Price]]*Sales_Data[[#This Row],[Quantity]]</f>
        <v>3360000</v>
      </c>
      <c r="N1358" s="12">
        <f>Sales_Data[[#This Row],[Revenue]]-Sales_Data[[#This Row],[COGS]]</f>
        <v>840000</v>
      </c>
    </row>
    <row r="1359" spans="1:14">
      <c r="A1359" s="1">
        <v>47033</v>
      </c>
      <c r="B1359" t="s">
        <v>25</v>
      </c>
      <c r="C1359" t="s">
        <v>26</v>
      </c>
      <c r="D1359" t="s">
        <v>13</v>
      </c>
      <c r="E1359" t="s">
        <v>20</v>
      </c>
      <c r="F1359" t="s">
        <v>36</v>
      </c>
      <c r="G1359" t="s">
        <v>31</v>
      </c>
      <c r="H1359" s="12">
        <v>150000</v>
      </c>
      <c r="I1359">
        <v>8</v>
      </c>
      <c r="J1359" t="s">
        <v>17</v>
      </c>
      <c r="K1359" s="12">
        <f t="shared" si="21"/>
        <v>120000</v>
      </c>
      <c r="L1359" s="12">
        <f>Sales_Data[[#This Row],[Unit Price]]*Sales_Data[[#This Row],[Quantity]]</f>
        <v>1200000</v>
      </c>
      <c r="M1359" s="12">
        <f>Sales_Data[[#This Row],[Cost Price]]*Sales_Data[[#This Row],[Quantity]]</f>
        <v>960000</v>
      </c>
      <c r="N1359" s="12">
        <f>Sales_Data[[#This Row],[Revenue]]-Sales_Data[[#This Row],[COGS]]</f>
        <v>240000</v>
      </c>
    </row>
    <row r="1360" spans="1:14">
      <c r="A1360" s="1">
        <v>47034</v>
      </c>
      <c r="B1360" t="s">
        <v>29</v>
      </c>
      <c r="C1360" t="s">
        <v>19</v>
      </c>
      <c r="D1360" t="s">
        <v>23</v>
      </c>
      <c r="E1360" t="s">
        <v>20</v>
      </c>
      <c r="F1360" t="s">
        <v>41</v>
      </c>
      <c r="G1360" t="s">
        <v>22</v>
      </c>
      <c r="H1360" s="12">
        <v>220000</v>
      </c>
      <c r="I1360">
        <v>8</v>
      </c>
      <c r="J1360" t="s">
        <v>17</v>
      </c>
      <c r="K1360" s="12">
        <f t="shared" si="21"/>
        <v>176000</v>
      </c>
      <c r="L1360" s="12">
        <f>Sales_Data[[#This Row],[Unit Price]]*Sales_Data[[#This Row],[Quantity]]</f>
        <v>1760000</v>
      </c>
      <c r="M1360" s="12">
        <f>Sales_Data[[#This Row],[Cost Price]]*Sales_Data[[#This Row],[Quantity]]</f>
        <v>1408000</v>
      </c>
      <c r="N1360" s="12">
        <f>Sales_Data[[#This Row],[Revenue]]-Sales_Data[[#This Row],[COGS]]</f>
        <v>352000</v>
      </c>
    </row>
    <row r="1361" spans="1:14">
      <c r="A1361" s="1">
        <v>47035</v>
      </c>
      <c r="B1361" t="s">
        <v>18</v>
      </c>
      <c r="C1361" t="s">
        <v>32</v>
      </c>
      <c r="D1361" t="s">
        <v>13</v>
      </c>
      <c r="E1361" t="s">
        <v>20</v>
      </c>
      <c r="F1361" t="s">
        <v>34</v>
      </c>
      <c r="G1361" t="s">
        <v>16</v>
      </c>
      <c r="H1361" s="12">
        <v>320000</v>
      </c>
      <c r="I1361">
        <v>9</v>
      </c>
      <c r="J1361" t="s">
        <v>35</v>
      </c>
      <c r="K1361" s="12">
        <f t="shared" si="21"/>
        <v>256000</v>
      </c>
      <c r="L1361" s="12">
        <f>Sales_Data[[#This Row],[Unit Price]]*Sales_Data[[#This Row],[Quantity]]</f>
        <v>2880000</v>
      </c>
      <c r="M1361" s="12">
        <f>Sales_Data[[#This Row],[Cost Price]]*Sales_Data[[#This Row],[Quantity]]</f>
        <v>2304000</v>
      </c>
      <c r="N1361" s="12">
        <f>Sales_Data[[#This Row],[Revenue]]-Sales_Data[[#This Row],[COGS]]</f>
        <v>576000</v>
      </c>
    </row>
    <row r="1362" spans="1:14">
      <c r="A1362" s="1">
        <v>47036</v>
      </c>
      <c r="B1362" t="s">
        <v>29</v>
      </c>
      <c r="C1362" t="s">
        <v>12</v>
      </c>
      <c r="D1362" t="s">
        <v>13</v>
      </c>
      <c r="E1362" t="s">
        <v>20</v>
      </c>
      <c r="F1362" t="s">
        <v>41</v>
      </c>
      <c r="G1362" t="s">
        <v>22</v>
      </c>
      <c r="H1362" s="12">
        <v>220000</v>
      </c>
      <c r="I1362">
        <v>3</v>
      </c>
      <c r="J1362" t="s">
        <v>39</v>
      </c>
      <c r="K1362" s="12">
        <f t="shared" si="21"/>
        <v>176000</v>
      </c>
      <c r="L1362" s="12">
        <f>Sales_Data[[#This Row],[Unit Price]]*Sales_Data[[#This Row],[Quantity]]</f>
        <v>660000</v>
      </c>
      <c r="M1362" s="12">
        <f>Sales_Data[[#This Row],[Cost Price]]*Sales_Data[[#This Row],[Quantity]]</f>
        <v>528000</v>
      </c>
      <c r="N1362" s="12">
        <f>Sales_Data[[#This Row],[Revenue]]-Sales_Data[[#This Row],[COGS]]</f>
        <v>132000</v>
      </c>
    </row>
    <row r="1363" spans="1:14">
      <c r="A1363" s="1">
        <v>47037</v>
      </c>
      <c r="B1363" t="s">
        <v>11</v>
      </c>
      <c r="C1363" t="s">
        <v>26</v>
      </c>
      <c r="D1363" t="s">
        <v>23</v>
      </c>
      <c r="E1363" t="s">
        <v>14</v>
      </c>
      <c r="F1363" t="s">
        <v>33</v>
      </c>
      <c r="G1363" t="s">
        <v>22</v>
      </c>
      <c r="H1363" s="12">
        <v>180000</v>
      </c>
      <c r="I1363">
        <v>8</v>
      </c>
      <c r="J1363" t="s">
        <v>35</v>
      </c>
      <c r="K1363" s="12">
        <f t="shared" si="21"/>
        <v>144000</v>
      </c>
      <c r="L1363" s="12">
        <f>Sales_Data[[#This Row],[Unit Price]]*Sales_Data[[#This Row],[Quantity]]</f>
        <v>1440000</v>
      </c>
      <c r="M1363" s="12">
        <f>Sales_Data[[#This Row],[Cost Price]]*Sales_Data[[#This Row],[Quantity]]</f>
        <v>1152000</v>
      </c>
      <c r="N1363" s="12">
        <f>Sales_Data[[#This Row],[Revenue]]-Sales_Data[[#This Row],[COGS]]</f>
        <v>288000</v>
      </c>
    </row>
    <row r="1364" spans="1:14">
      <c r="A1364" s="1">
        <v>47038</v>
      </c>
      <c r="B1364" t="s">
        <v>29</v>
      </c>
      <c r="C1364" t="s">
        <v>26</v>
      </c>
      <c r="D1364" t="s">
        <v>13</v>
      </c>
      <c r="E1364" t="s">
        <v>20</v>
      </c>
      <c r="F1364" t="s">
        <v>40</v>
      </c>
      <c r="G1364" t="s">
        <v>31</v>
      </c>
      <c r="H1364" s="12">
        <v>250000</v>
      </c>
      <c r="I1364">
        <v>4</v>
      </c>
      <c r="J1364" t="s">
        <v>28</v>
      </c>
      <c r="K1364" s="12">
        <f t="shared" si="21"/>
        <v>200000</v>
      </c>
      <c r="L1364" s="12">
        <f>Sales_Data[[#This Row],[Unit Price]]*Sales_Data[[#This Row],[Quantity]]</f>
        <v>1000000</v>
      </c>
      <c r="M1364" s="12">
        <f>Sales_Data[[#This Row],[Cost Price]]*Sales_Data[[#This Row],[Quantity]]</f>
        <v>800000</v>
      </c>
      <c r="N1364" s="12">
        <f>Sales_Data[[#This Row],[Revenue]]-Sales_Data[[#This Row],[COGS]]</f>
        <v>200000</v>
      </c>
    </row>
    <row r="1365" spans="1:14">
      <c r="A1365" s="1">
        <v>47039</v>
      </c>
      <c r="B1365" t="s">
        <v>29</v>
      </c>
      <c r="C1365" t="s">
        <v>19</v>
      </c>
      <c r="D1365" t="s">
        <v>23</v>
      </c>
      <c r="E1365" t="s">
        <v>20</v>
      </c>
      <c r="F1365" t="s">
        <v>27</v>
      </c>
      <c r="G1365" t="s">
        <v>22</v>
      </c>
      <c r="H1365" s="12">
        <v>60000</v>
      </c>
      <c r="I1365">
        <v>7</v>
      </c>
      <c r="J1365" t="s">
        <v>35</v>
      </c>
      <c r="K1365" s="12">
        <f t="shared" si="21"/>
        <v>48000</v>
      </c>
      <c r="L1365" s="12">
        <f>Sales_Data[[#This Row],[Unit Price]]*Sales_Data[[#This Row],[Quantity]]</f>
        <v>420000</v>
      </c>
      <c r="M1365" s="12">
        <f>Sales_Data[[#This Row],[Cost Price]]*Sales_Data[[#This Row],[Quantity]]</f>
        <v>336000</v>
      </c>
      <c r="N1365" s="12">
        <f>Sales_Data[[#This Row],[Revenue]]-Sales_Data[[#This Row],[COGS]]</f>
        <v>84000</v>
      </c>
    </row>
    <row r="1366" spans="1:14">
      <c r="A1366" s="1">
        <v>47040</v>
      </c>
      <c r="B1366" t="s">
        <v>29</v>
      </c>
      <c r="C1366" t="s">
        <v>12</v>
      </c>
      <c r="D1366" t="s">
        <v>23</v>
      </c>
      <c r="E1366" t="s">
        <v>20</v>
      </c>
      <c r="F1366" t="s">
        <v>41</v>
      </c>
      <c r="G1366" t="s">
        <v>22</v>
      </c>
      <c r="H1366" s="12">
        <v>220000</v>
      </c>
      <c r="I1366">
        <v>10</v>
      </c>
      <c r="J1366" t="s">
        <v>39</v>
      </c>
      <c r="K1366" s="12">
        <f t="shared" si="21"/>
        <v>176000</v>
      </c>
      <c r="L1366" s="12">
        <f>Sales_Data[[#This Row],[Unit Price]]*Sales_Data[[#This Row],[Quantity]]</f>
        <v>2200000</v>
      </c>
      <c r="M1366" s="12">
        <f>Sales_Data[[#This Row],[Cost Price]]*Sales_Data[[#This Row],[Quantity]]</f>
        <v>1760000</v>
      </c>
      <c r="N1366" s="12">
        <f>Sales_Data[[#This Row],[Revenue]]-Sales_Data[[#This Row],[COGS]]</f>
        <v>440000</v>
      </c>
    </row>
    <row r="1367" spans="1:14">
      <c r="A1367" s="1">
        <v>47041</v>
      </c>
      <c r="B1367" t="s">
        <v>25</v>
      </c>
      <c r="C1367" t="s">
        <v>26</v>
      </c>
      <c r="D1367" t="s">
        <v>13</v>
      </c>
      <c r="E1367" t="s">
        <v>14</v>
      </c>
      <c r="F1367" t="s">
        <v>27</v>
      </c>
      <c r="G1367" t="s">
        <v>22</v>
      </c>
      <c r="H1367" s="12">
        <v>60000</v>
      </c>
      <c r="I1367">
        <v>9</v>
      </c>
      <c r="J1367" t="s">
        <v>39</v>
      </c>
      <c r="K1367" s="12">
        <f t="shared" si="21"/>
        <v>48000</v>
      </c>
      <c r="L1367" s="12">
        <f>Sales_Data[[#This Row],[Unit Price]]*Sales_Data[[#This Row],[Quantity]]</f>
        <v>540000</v>
      </c>
      <c r="M1367" s="12">
        <f>Sales_Data[[#This Row],[Cost Price]]*Sales_Data[[#This Row],[Quantity]]</f>
        <v>432000</v>
      </c>
      <c r="N1367" s="12">
        <f>Sales_Data[[#This Row],[Revenue]]-Sales_Data[[#This Row],[COGS]]</f>
        <v>108000</v>
      </c>
    </row>
    <row r="1368" spans="1:14">
      <c r="A1368" s="1">
        <v>47042</v>
      </c>
      <c r="B1368" t="s">
        <v>11</v>
      </c>
      <c r="C1368" t="s">
        <v>26</v>
      </c>
      <c r="D1368" t="s">
        <v>23</v>
      </c>
      <c r="E1368" t="s">
        <v>14</v>
      </c>
      <c r="F1368" t="s">
        <v>27</v>
      </c>
      <c r="G1368" t="s">
        <v>22</v>
      </c>
      <c r="H1368" s="12">
        <v>60000</v>
      </c>
      <c r="I1368">
        <v>2</v>
      </c>
      <c r="J1368" t="s">
        <v>28</v>
      </c>
      <c r="K1368" s="12">
        <f t="shared" si="21"/>
        <v>48000</v>
      </c>
      <c r="L1368" s="12">
        <f>Sales_Data[[#This Row],[Unit Price]]*Sales_Data[[#This Row],[Quantity]]</f>
        <v>120000</v>
      </c>
      <c r="M1368" s="12">
        <f>Sales_Data[[#This Row],[Cost Price]]*Sales_Data[[#This Row],[Quantity]]</f>
        <v>96000</v>
      </c>
      <c r="N1368" s="12">
        <f>Sales_Data[[#This Row],[Revenue]]-Sales_Data[[#This Row],[COGS]]</f>
        <v>24000</v>
      </c>
    </row>
    <row r="1369" spans="1:14">
      <c r="A1369" s="1">
        <v>47043</v>
      </c>
      <c r="B1369" t="s">
        <v>18</v>
      </c>
      <c r="C1369" t="s">
        <v>19</v>
      </c>
      <c r="D1369" t="s">
        <v>23</v>
      </c>
      <c r="E1369" t="s">
        <v>14</v>
      </c>
      <c r="F1369" t="s">
        <v>36</v>
      </c>
      <c r="G1369" t="s">
        <v>31</v>
      </c>
      <c r="H1369" s="12">
        <v>150000</v>
      </c>
      <c r="I1369">
        <v>3</v>
      </c>
      <c r="J1369" t="s">
        <v>17</v>
      </c>
      <c r="K1369" s="12">
        <f t="shared" si="21"/>
        <v>120000</v>
      </c>
      <c r="L1369" s="12">
        <f>Sales_Data[[#This Row],[Unit Price]]*Sales_Data[[#This Row],[Quantity]]</f>
        <v>450000</v>
      </c>
      <c r="M1369" s="12">
        <f>Sales_Data[[#This Row],[Cost Price]]*Sales_Data[[#This Row],[Quantity]]</f>
        <v>360000</v>
      </c>
      <c r="N1369" s="12">
        <f>Sales_Data[[#This Row],[Revenue]]-Sales_Data[[#This Row],[COGS]]</f>
        <v>90000</v>
      </c>
    </row>
    <row r="1370" spans="1:14">
      <c r="A1370" s="1">
        <v>47044</v>
      </c>
      <c r="B1370" t="s">
        <v>11</v>
      </c>
      <c r="C1370" t="s">
        <v>19</v>
      </c>
      <c r="D1370" t="s">
        <v>23</v>
      </c>
      <c r="E1370" t="s">
        <v>14</v>
      </c>
      <c r="F1370" t="s">
        <v>36</v>
      </c>
      <c r="G1370" t="s">
        <v>31</v>
      </c>
      <c r="H1370" s="12">
        <v>150000</v>
      </c>
      <c r="I1370">
        <v>10</v>
      </c>
      <c r="J1370" t="s">
        <v>17</v>
      </c>
      <c r="K1370" s="12">
        <f t="shared" si="21"/>
        <v>120000</v>
      </c>
      <c r="L1370" s="12">
        <f>Sales_Data[[#This Row],[Unit Price]]*Sales_Data[[#This Row],[Quantity]]</f>
        <v>1500000</v>
      </c>
      <c r="M1370" s="12">
        <f>Sales_Data[[#This Row],[Cost Price]]*Sales_Data[[#This Row],[Quantity]]</f>
        <v>1200000</v>
      </c>
      <c r="N1370" s="12">
        <f>Sales_Data[[#This Row],[Revenue]]-Sales_Data[[#This Row],[COGS]]</f>
        <v>300000</v>
      </c>
    </row>
    <row r="1371" spans="1:14">
      <c r="A1371" s="1">
        <v>47045</v>
      </c>
      <c r="B1371" t="s">
        <v>29</v>
      </c>
      <c r="C1371" t="s">
        <v>26</v>
      </c>
      <c r="D1371" t="s">
        <v>23</v>
      </c>
      <c r="E1371" t="s">
        <v>14</v>
      </c>
      <c r="F1371" t="s">
        <v>36</v>
      </c>
      <c r="G1371" t="s">
        <v>31</v>
      </c>
      <c r="H1371" s="12">
        <v>150000</v>
      </c>
      <c r="I1371">
        <v>9</v>
      </c>
      <c r="J1371" t="s">
        <v>35</v>
      </c>
      <c r="K1371" s="12">
        <f t="shared" si="21"/>
        <v>120000</v>
      </c>
      <c r="L1371" s="12">
        <f>Sales_Data[[#This Row],[Unit Price]]*Sales_Data[[#This Row],[Quantity]]</f>
        <v>1350000</v>
      </c>
      <c r="M1371" s="12">
        <f>Sales_Data[[#This Row],[Cost Price]]*Sales_Data[[#This Row],[Quantity]]</f>
        <v>1080000</v>
      </c>
      <c r="N1371" s="12">
        <f>Sales_Data[[#This Row],[Revenue]]-Sales_Data[[#This Row],[COGS]]</f>
        <v>270000</v>
      </c>
    </row>
    <row r="1372" spans="1:14">
      <c r="A1372" s="1">
        <v>47046</v>
      </c>
      <c r="B1372" t="s">
        <v>11</v>
      </c>
      <c r="C1372" t="s">
        <v>32</v>
      </c>
      <c r="D1372" t="s">
        <v>13</v>
      </c>
      <c r="E1372" t="s">
        <v>14</v>
      </c>
      <c r="F1372" t="s">
        <v>34</v>
      </c>
      <c r="G1372" t="s">
        <v>16</v>
      </c>
      <c r="H1372" s="12">
        <v>320000</v>
      </c>
      <c r="I1372">
        <v>5</v>
      </c>
      <c r="J1372" t="s">
        <v>39</v>
      </c>
      <c r="K1372" s="12">
        <f t="shared" si="21"/>
        <v>256000</v>
      </c>
      <c r="L1372" s="12">
        <f>Sales_Data[[#This Row],[Unit Price]]*Sales_Data[[#This Row],[Quantity]]</f>
        <v>1600000</v>
      </c>
      <c r="M1372" s="12">
        <f>Sales_Data[[#This Row],[Cost Price]]*Sales_Data[[#This Row],[Quantity]]</f>
        <v>1280000</v>
      </c>
      <c r="N1372" s="12">
        <f>Sales_Data[[#This Row],[Revenue]]-Sales_Data[[#This Row],[COGS]]</f>
        <v>320000</v>
      </c>
    </row>
    <row r="1373" spans="1:14">
      <c r="A1373" s="1">
        <v>47047</v>
      </c>
      <c r="B1373" t="s">
        <v>18</v>
      </c>
      <c r="C1373" t="s">
        <v>32</v>
      </c>
      <c r="D1373" t="s">
        <v>13</v>
      </c>
      <c r="E1373" t="s">
        <v>14</v>
      </c>
      <c r="F1373" t="s">
        <v>33</v>
      </c>
      <c r="G1373" t="s">
        <v>22</v>
      </c>
      <c r="H1373" s="12">
        <v>180000</v>
      </c>
      <c r="I1373">
        <v>3</v>
      </c>
      <c r="J1373" t="s">
        <v>17</v>
      </c>
      <c r="K1373" s="12">
        <f t="shared" si="21"/>
        <v>144000</v>
      </c>
      <c r="L1373" s="12">
        <f>Sales_Data[[#This Row],[Unit Price]]*Sales_Data[[#This Row],[Quantity]]</f>
        <v>540000</v>
      </c>
      <c r="M1373" s="12">
        <f>Sales_Data[[#This Row],[Cost Price]]*Sales_Data[[#This Row],[Quantity]]</f>
        <v>432000</v>
      </c>
      <c r="N1373" s="12">
        <f>Sales_Data[[#This Row],[Revenue]]-Sales_Data[[#This Row],[COGS]]</f>
        <v>108000</v>
      </c>
    </row>
    <row r="1374" spans="1:14">
      <c r="A1374" s="1">
        <v>47048</v>
      </c>
      <c r="B1374" t="s">
        <v>11</v>
      </c>
      <c r="C1374" t="s">
        <v>26</v>
      </c>
      <c r="D1374" t="s">
        <v>23</v>
      </c>
      <c r="E1374" t="s">
        <v>14</v>
      </c>
      <c r="F1374" t="s">
        <v>15</v>
      </c>
      <c r="G1374" t="s">
        <v>16</v>
      </c>
      <c r="H1374" s="12">
        <v>85000</v>
      </c>
      <c r="I1374">
        <v>4</v>
      </c>
      <c r="J1374" t="s">
        <v>35</v>
      </c>
      <c r="K1374" s="12">
        <f t="shared" si="21"/>
        <v>68000</v>
      </c>
      <c r="L1374" s="12">
        <f>Sales_Data[[#This Row],[Unit Price]]*Sales_Data[[#This Row],[Quantity]]</f>
        <v>340000</v>
      </c>
      <c r="M1374" s="12">
        <f>Sales_Data[[#This Row],[Cost Price]]*Sales_Data[[#This Row],[Quantity]]</f>
        <v>272000</v>
      </c>
      <c r="N1374" s="12">
        <f>Sales_Data[[#This Row],[Revenue]]-Sales_Data[[#This Row],[COGS]]</f>
        <v>68000</v>
      </c>
    </row>
    <row r="1375" spans="1:14">
      <c r="A1375" s="1">
        <v>47049</v>
      </c>
      <c r="B1375" t="s">
        <v>11</v>
      </c>
      <c r="C1375" t="s">
        <v>32</v>
      </c>
      <c r="D1375" t="s">
        <v>23</v>
      </c>
      <c r="E1375" t="s">
        <v>20</v>
      </c>
      <c r="F1375" t="s">
        <v>34</v>
      </c>
      <c r="G1375" t="s">
        <v>16</v>
      </c>
      <c r="H1375" s="12">
        <v>320000</v>
      </c>
      <c r="I1375">
        <v>7</v>
      </c>
      <c r="J1375" t="s">
        <v>39</v>
      </c>
      <c r="K1375" s="12">
        <f t="shared" si="21"/>
        <v>256000</v>
      </c>
      <c r="L1375" s="12">
        <f>Sales_Data[[#This Row],[Unit Price]]*Sales_Data[[#This Row],[Quantity]]</f>
        <v>2240000</v>
      </c>
      <c r="M1375" s="12">
        <f>Sales_Data[[#This Row],[Cost Price]]*Sales_Data[[#This Row],[Quantity]]</f>
        <v>1792000</v>
      </c>
      <c r="N1375" s="12">
        <f>Sales_Data[[#This Row],[Revenue]]-Sales_Data[[#This Row],[COGS]]</f>
        <v>448000</v>
      </c>
    </row>
    <row r="1376" spans="1:14">
      <c r="A1376" s="1">
        <v>47050</v>
      </c>
      <c r="B1376" t="s">
        <v>25</v>
      </c>
      <c r="C1376" t="s">
        <v>19</v>
      </c>
      <c r="D1376" t="s">
        <v>13</v>
      </c>
      <c r="E1376" t="s">
        <v>20</v>
      </c>
      <c r="F1376" t="s">
        <v>41</v>
      </c>
      <c r="G1376" t="s">
        <v>22</v>
      </c>
      <c r="H1376" s="12">
        <v>220000</v>
      </c>
      <c r="I1376">
        <v>5</v>
      </c>
      <c r="J1376" t="s">
        <v>35</v>
      </c>
      <c r="K1376" s="12">
        <f t="shared" si="21"/>
        <v>176000</v>
      </c>
      <c r="L1376" s="12">
        <f>Sales_Data[[#This Row],[Unit Price]]*Sales_Data[[#This Row],[Quantity]]</f>
        <v>1100000</v>
      </c>
      <c r="M1376" s="12">
        <f>Sales_Data[[#This Row],[Cost Price]]*Sales_Data[[#This Row],[Quantity]]</f>
        <v>880000</v>
      </c>
      <c r="N1376" s="12">
        <f>Sales_Data[[#This Row],[Revenue]]-Sales_Data[[#This Row],[COGS]]</f>
        <v>220000</v>
      </c>
    </row>
    <row r="1377" spans="1:14">
      <c r="A1377" s="1">
        <v>47051</v>
      </c>
      <c r="B1377" t="s">
        <v>25</v>
      </c>
      <c r="C1377" t="s">
        <v>19</v>
      </c>
      <c r="D1377" t="s">
        <v>23</v>
      </c>
      <c r="E1377" t="s">
        <v>20</v>
      </c>
      <c r="F1377" t="s">
        <v>36</v>
      </c>
      <c r="G1377" t="s">
        <v>31</v>
      </c>
      <c r="H1377" s="12">
        <v>150000</v>
      </c>
      <c r="I1377">
        <v>3</v>
      </c>
      <c r="J1377" t="s">
        <v>17</v>
      </c>
      <c r="K1377" s="12">
        <f t="shared" si="21"/>
        <v>120000</v>
      </c>
      <c r="L1377" s="12">
        <f>Sales_Data[[#This Row],[Unit Price]]*Sales_Data[[#This Row],[Quantity]]</f>
        <v>450000</v>
      </c>
      <c r="M1377" s="12">
        <f>Sales_Data[[#This Row],[Cost Price]]*Sales_Data[[#This Row],[Quantity]]</f>
        <v>360000</v>
      </c>
      <c r="N1377" s="12">
        <f>Sales_Data[[#This Row],[Revenue]]-Sales_Data[[#This Row],[COGS]]</f>
        <v>90000</v>
      </c>
    </row>
    <row r="1378" spans="1:14">
      <c r="A1378" s="1">
        <v>47052</v>
      </c>
      <c r="B1378" t="s">
        <v>11</v>
      </c>
      <c r="C1378" t="s">
        <v>19</v>
      </c>
      <c r="D1378" t="s">
        <v>23</v>
      </c>
      <c r="E1378" t="s">
        <v>14</v>
      </c>
      <c r="F1378" t="s">
        <v>38</v>
      </c>
      <c r="G1378" t="s">
        <v>31</v>
      </c>
      <c r="H1378" s="12">
        <v>420000</v>
      </c>
      <c r="I1378">
        <v>8</v>
      </c>
      <c r="J1378" t="s">
        <v>24</v>
      </c>
      <c r="K1378" s="12">
        <f t="shared" si="21"/>
        <v>336000</v>
      </c>
      <c r="L1378" s="12">
        <f>Sales_Data[[#This Row],[Unit Price]]*Sales_Data[[#This Row],[Quantity]]</f>
        <v>3360000</v>
      </c>
      <c r="M1378" s="12">
        <f>Sales_Data[[#This Row],[Cost Price]]*Sales_Data[[#This Row],[Quantity]]</f>
        <v>2688000</v>
      </c>
      <c r="N1378" s="12">
        <f>Sales_Data[[#This Row],[Revenue]]-Sales_Data[[#This Row],[COGS]]</f>
        <v>672000</v>
      </c>
    </row>
    <row r="1379" spans="1:14">
      <c r="A1379" s="1">
        <v>47053</v>
      </c>
      <c r="B1379" t="s">
        <v>18</v>
      </c>
      <c r="C1379" t="s">
        <v>32</v>
      </c>
      <c r="D1379" t="s">
        <v>13</v>
      </c>
      <c r="E1379" t="s">
        <v>14</v>
      </c>
      <c r="F1379" t="s">
        <v>41</v>
      </c>
      <c r="G1379" t="s">
        <v>22</v>
      </c>
      <c r="H1379" s="12">
        <v>220000</v>
      </c>
      <c r="I1379">
        <v>9</v>
      </c>
      <c r="J1379" t="s">
        <v>24</v>
      </c>
      <c r="K1379" s="12">
        <f t="shared" si="21"/>
        <v>176000</v>
      </c>
      <c r="L1379" s="12">
        <f>Sales_Data[[#This Row],[Unit Price]]*Sales_Data[[#This Row],[Quantity]]</f>
        <v>1980000</v>
      </c>
      <c r="M1379" s="12">
        <f>Sales_Data[[#This Row],[Cost Price]]*Sales_Data[[#This Row],[Quantity]]</f>
        <v>1584000</v>
      </c>
      <c r="N1379" s="12">
        <f>Sales_Data[[#This Row],[Revenue]]-Sales_Data[[#This Row],[COGS]]</f>
        <v>396000</v>
      </c>
    </row>
    <row r="1380" spans="1:14">
      <c r="A1380" s="1">
        <v>47054</v>
      </c>
      <c r="B1380" t="s">
        <v>29</v>
      </c>
      <c r="C1380" t="s">
        <v>12</v>
      </c>
      <c r="D1380" t="s">
        <v>13</v>
      </c>
      <c r="E1380" t="s">
        <v>14</v>
      </c>
      <c r="F1380" t="s">
        <v>38</v>
      </c>
      <c r="G1380" t="s">
        <v>31</v>
      </c>
      <c r="H1380" s="12">
        <v>420000</v>
      </c>
      <c r="I1380">
        <v>3</v>
      </c>
      <c r="J1380" t="s">
        <v>39</v>
      </c>
      <c r="K1380" s="12">
        <f t="shared" si="21"/>
        <v>336000</v>
      </c>
      <c r="L1380" s="12">
        <f>Sales_Data[[#This Row],[Unit Price]]*Sales_Data[[#This Row],[Quantity]]</f>
        <v>1260000</v>
      </c>
      <c r="M1380" s="12">
        <f>Sales_Data[[#This Row],[Cost Price]]*Sales_Data[[#This Row],[Quantity]]</f>
        <v>1008000</v>
      </c>
      <c r="N1380" s="12">
        <f>Sales_Data[[#This Row],[Revenue]]-Sales_Data[[#This Row],[COGS]]</f>
        <v>252000</v>
      </c>
    </row>
    <row r="1381" spans="1:14">
      <c r="A1381" s="1">
        <v>47055</v>
      </c>
      <c r="B1381" t="s">
        <v>29</v>
      </c>
      <c r="C1381" t="s">
        <v>12</v>
      </c>
      <c r="D1381" t="s">
        <v>13</v>
      </c>
      <c r="E1381" t="s">
        <v>20</v>
      </c>
      <c r="F1381" t="s">
        <v>40</v>
      </c>
      <c r="G1381" t="s">
        <v>31</v>
      </c>
      <c r="H1381" s="12">
        <v>250000</v>
      </c>
      <c r="I1381">
        <v>1</v>
      </c>
      <c r="J1381" t="s">
        <v>28</v>
      </c>
      <c r="K1381" s="12">
        <f t="shared" si="21"/>
        <v>200000</v>
      </c>
      <c r="L1381" s="12">
        <f>Sales_Data[[#This Row],[Unit Price]]*Sales_Data[[#This Row],[Quantity]]</f>
        <v>250000</v>
      </c>
      <c r="M1381" s="12">
        <f>Sales_Data[[#This Row],[Cost Price]]*Sales_Data[[#This Row],[Quantity]]</f>
        <v>200000</v>
      </c>
      <c r="N1381" s="12">
        <f>Sales_Data[[#This Row],[Revenue]]-Sales_Data[[#This Row],[COGS]]</f>
        <v>50000</v>
      </c>
    </row>
    <row r="1382" spans="1:14">
      <c r="A1382" s="1">
        <v>47056</v>
      </c>
      <c r="B1382" t="s">
        <v>18</v>
      </c>
      <c r="C1382" t="s">
        <v>19</v>
      </c>
      <c r="D1382" t="s">
        <v>13</v>
      </c>
      <c r="E1382" t="s">
        <v>20</v>
      </c>
      <c r="F1382" t="s">
        <v>34</v>
      </c>
      <c r="G1382" t="s">
        <v>16</v>
      </c>
      <c r="H1382" s="12">
        <v>320000</v>
      </c>
      <c r="I1382">
        <v>7</v>
      </c>
      <c r="J1382" t="s">
        <v>37</v>
      </c>
      <c r="K1382" s="12">
        <f t="shared" si="21"/>
        <v>256000</v>
      </c>
      <c r="L1382" s="12">
        <f>Sales_Data[[#This Row],[Unit Price]]*Sales_Data[[#This Row],[Quantity]]</f>
        <v>2240000</v>
      </c>
      <c r="M1382" s="12">
        <f>Sales_Data[[#This Row],[Cost Price]]*Sales_Data[[#This Row],[Quantity]]</f>
        <v>1792000</v>
      </c>
      <c r="N1382" s="12">
        <f>Sales_Data[[#This Row],[Revenue]]-Sales_Data[[#This Row],[COGS]]</f>
        <v>448000</v>
      </c>
    </row>
    <row r="1383" spans="1:14">
      <c r="A1383" s="1">
        <v>47057</v>
      </c>
      <c r="B1383" t="s">
        <v>29</v>
      </c>
      <c r="C1383" t="s">
        <v>19</v>
      </c>
      <c r="D1383" t="s">
        <v>13</v>
      </c>
      <c r="E1383" t="s">
        <v>14</v>
      </c>
      <c r="F1383" t="s">
        <v>38</v>
      </c>
      <c r="G1383" t="s">
        <v>31</v>
      </c>
      <c r="H1383" s="12">
        <v>420000</v>
      </c>
      <c r="I1383">
        <v>2</v>
      </c>
      <c r="J1383" t="s">
        <v>39</v>
      </c>
      <c r="K1383" s="12">
        <f t="shared" si="21"/>
        <v>336000</v>
      </c>
      <c r="L1383" s="12">
        <f>Sales_Data[[#This Row],[Unit Price]]*Sales_Data[[#This Row],[Quantity]]</f>
        <v>840000</v>
      </c>
      <c r="M1383" s="12">
        <f>Sales_Data[[#This Row],[Cost Price]]*Sales_Data[[#This Row],[Quantity]]</f>
        <v>672000</v>
      </c>
      <c r="N1383" s="12">
        <f>Sales_Data[[#This Row],[Revenue]]-Sales_Data[[#This Row],[COGS]]</f>
        <v>168000</v>
      </c>
    </row>
    <row r="1384" spans="1:14">
      <c r="A1384" s="1">
        <v>47058</v>
      </c>
      <c r="B1384" t="s">
        <v>25</v>
      </c>
      <c r="C1384" t="s">
        <v>12</v>
      </c>
      <c r="D1384" t="s">
        <v>13</v>
      </c>
      <c r="E1384" t="s">
        <v>20</v>
      </c>
      <c r="F1384" t="s">
        <v>34</v>
      </c>
      <c r="G1384" t="s">
        <v>16</v>
      </c>
      <c r="H1384" s="12">
        <v>320000</v>
      </c>
      <c r="I1384">
        <v>3</v>
      </c>
      <c r="J1384" t="s">
        <v>28</v>
      </c>
      <c r="K1384" s="12">
        <f t="shared" si="21"/>
        <v>256000</v>
      </c>
      <c r="L1384" s="12">
        <f>Sales_Data[[#This Row],[Unit Price]]*Sales_Data[[#This Row],[Quantity]]</f>
        <v>960000</v>
      </c>
      <c r="M1384" s="12">
        <f>Sales_Data[[#This Row],[Cost Price]]*Sales_Data[[#This Row],[Quantity]]</f>
        <v>768000</v>
      </c>
      <c r="N1384" s="12">
        <f>Sales_Data[[#This Row],[Revenue]]-Sales_Data[[#This Row],[COGS]]</f>
        <v>192000</v>
      </c>
    </row>
    <row r="1385" spans="1:14">
      <c r="A1385" s="1">
        <v>47059</v>
      </c>
      <c r="B1385" t="s">
        <v>25</v>
      </c>
      <c r="C1385" t="s">
        <v>12</v>
      </c>
      <c r="D1385" t="s">
        <v>23</v>
      </c>
      <c r="E1385" t="s">
        <v>14</v>
      </c>
      <c r="F1385" t="s">
        <v>36</v>
      </c>
      <c r="G1385" t="s">
        <v>31</v>
      </c>
      <c r="H1385" s="12">
        <v>150000</v>
      </c>
      <c r="I1385">
        <v>2</v>
      </c>
      <c r="J1385" t="s">
        <v>37</v>
      </c>
      <c r="K1385" s="12">
        <f t="shared" si="21"/>
        <v>120000</v>
      </c>
      <c r="L1385" s="12">
        <f>Sales_Data[[#This Row],[Unit Price]]*Sales_Data[[#This Row],[Quantity]]</f>
        <v>300000</v>
      </c>
      <c r="M1385" s="12">
        <f>Sales_Data[[#This Row],[Cost Price]]*Sales_Data[[#This Row],[Quantity]]</f>
        <v>240000</v>
      </c>
      <c r="N1385" s="12">
        <f>Sales_Data[[#This Row],[Revenue]]-Sales_Data[[#This Row],[COGS]]</f>
        <v>60000</v>
      </c>
    </row>
    <row r="1386" spans="1:14">
      <c r="A1386" s="1">
        <v>47060</v>
      </c>
      <c r="B1386" t="s">
        <v>11</v>
      </c>
      <c r="C1386" t="s">
        <v>19</v>
      </c>
      <c r="D1386" t="s">
        <v>23</v>
      </c>
      <c r="E1386" t="s">
        <v>20</v>
      </c>
      <c r="F1386" t="s">
        <v>38</v>
      </c>
      <c r="G1386" t="s">
        <v>31</v>
      </c>
      <c r="H1386" s="12">
        <v>420000</v>
      </c>
      <c r="I1386">
        <v>8</v>
      </c>
      <c r="J1386" t="s">
        <v>28</v>
      </c>
      <c r="K1386" s="12">
        <f t="shared" si="21"/>
        <v>336000</v>
      </c>
      <c r="L1386" s="12">
        <f>Sales_Data[[#This Row],[Unit Price]]*Sales_Data[[#This Row],[Quantity]]</f>
        <v>3360000</v>
      </c>
      <c r="M1386" s="12">
        <f>Sales_Data[[#This Row],[Cost Price]]*Sales_Data[[#This Row],[Quantity]]</f>
        <v>2688000</v>
      </c>
      <c r="N1386" s="12">
        <f>Sales_Data[[#This Row],[Revenue]]-Sales_Data[[#This Row],[COGS]]</f>
        <v>672000</v>
      </c>
    </row>
    <row r="1387" spans="1:14">
      <c r="A1387" s="1">
        <v>47061</v>
      </c>
      <c r="B1387" t="s">
        <v>18</v>
      </c>
      <c r="C1387" t="s">
        <v>12</v>
      </c>
      <c r="D1387" t="s">
        <v>23</v>
      </c>
      <c r="E1387" t="s">
        <v>20</v>
      </c>
      <c r="F1387" t="s">
        <v>38</v>
      </c>
      <c r="G1387" t="s">
        <v>31</v>
      </c>
      <c r="H1387" s="12">
        <v>420000</v>
      </c>
      <c r="I1387">
        <v>1</v>
      </c>
      <c r="J1387" t="s">
        <v>39</v>
      </c>
      <c r="K1387" s="12">
        <f t="shared" si="21"/>
        <v>336000</v>
      </c>
      <c r="L1387" s="12">
        <f>Sales_Data[[#This Row],[Unit Price]]*Sales_Data[[#This Row],[Quantity]]</f>
        <v>420000</v>
      </c>
      <c r="M1387" s="12">
        <f>Sales_Data[[#This Row],[Cost Price]]*Sales_Data[[#This Row],[Quantity]]</f>
        <v>336000</v>
      </c>
      <c r="N1387" s="12">
        <f>Sales_Data[[#This Row],[Revenue]]-Sales_Data[[#This Row],[COGS]]</f>
        <v>84000</v>
      </c>
    </row>
    <row r="1388" spans="1:14">
      <c r="A1388" s="1">
        <v>47062</v>
      </c>
      <c r="B1388" t="s">
        <v>11</v>
      </c>
      <c r="C1388" t="s">
        <v>32</v>
      </c>
      <c r="D1388" t="s">
        <v>13</v>
      </c>
      <c r="E1388" t="s">
        <v>14</v>
      </c>
      <c r="F1388" t="s">
        <v>30</v>
      </c>
      <c r="G1388" t="s">
        <v>31</v>
      </c>
      <c r="H1388" s="12">
        <v>300000</v>
      </c>
      <c r="I1388">
        <v>5</v>
      </c>
      <c r="J1388" t="s">
        <v>35</v>
      </c>
      <c r="K1388" s="12">
        <f t="shared" si="21"/>
        <v>240000</v>
      </c>
      <c r="L1388" s="12">
        <f>Sales_Data[[#This Row],[Unit Price]]*Sales_Data[[#This Row],[Quantity]]</f>
        <v>1500000</v>
      </c>
      <c r="M1388" s="12">
        <f>Sales_Data[[#This Row],[Cost Price]]*Sales_Data[[#This Row],[Quantity]]</f>
        <v>1200000</v>
      </c>
      <c r="N1388" s="12">
        <f>Sales_Data[[#This Row],[Revenue]]-Sales_Data[[#This Row],[COGS]]</f>
        <v>300000</v>
      </c>
    </row>
    <row r="1389" spans="1:14">
      <c r="A1389" s="1">
        <v>47063</v>
      </c>
      <c r="B1389" t="s">
        <v>18</v>
      </c>
      <c r="C1389" t="s">
        <v>12</v>
      </c>
      <c r="D1389" t="s">
        <v>13</v>
      </c>
      <c r="E1389" t="s">
        <v>20</v>
      </c>
      <c r="F1389" t="s">
        <v>33</v>
      </c>
      <c r="G1389" t="s">
        <v>22</v>
      </c>
      <c r="H1389" s="12">
        <v>180000</v>
      </c>
      <c r="I1389">
        <v>7</v>
      </c>
      <c r="J1389" t="s">
        <v>37</v>
      </c>
      <c r="K1389" s="12">
        <f t="shared" si="21"/>
        <v>144000</v>
      </c>
      <c r="L1389" s="12">
        <f>Sales_Data[[#This Row],[Unit Price]]*Sales_Data[[#This Row],[Quantity]]</f>
        <v>1260000</v>
      </c>
      <c r="M1389" s="12">
        <f>Sales_Data[[#This Row],[Cost Price]]*Sales_Data[[#This Row],[Quantity]]</f>
        <v>1008000</v>
      </c>
      <c r="N1389" s="12">
        <f>Sales_Data[[#This Row],[Revenue]]-Sales_Data[[#This Row],[COGS]]</f>
        <v>252000</v>
      </c>
    </row>
    <row r="1390" spans="1:14">
      <c r="A1390" s="1">
        <v>47064</v>
      </c>
      <c r="B1390" t="s">
        <v>11</v>
      </c>
      <c r="C1390" t="s">
        <v>32</v>
      </c>
      <c r="D1390" t="s">
        <v>13</v>
      </c>
      <c r="E1390" t="s">
        <v>20</v>
      </c>
      <c r="F1390" t="s">
        <v>36</v>
      </c>
      <c r="G1390" t="s">
        <v>31</v>
      </c>
      <c r="H1390" s="12">
        <v>150000</v>
      </c>
      <c r="I1390">
        <v>10</v>
      </c>
      <c r="J1390" t="s">
        <v>24</v>
      </c>
      <c r="K1390" s="12">
        <f t="shared" si="21"/>
        <v>120000</v>
      </c>
      <c r="L1390" s="12">
        <f>Sales_Data[[#This Row],[Unit Price]]*Sales_Data[[#This Row],[Quantity]]</f>
        <v>1500000</v>
      </c>
      <c r="M1390" s="12">
        <f>Sales_Data[[#This Row],[Cost Price]]*Sales_Data[[#This Row],[Quantity]]</f>
        <v>1200000</v>
      </c>
      <c r="N1390" s="12">
        <f>Sales_Data[[#This Row],[Revenue]]-Sales_Data[[#This Row],[COGS]]</f>
        <v>300000</v>
      </c>
    </row>
    <row r="1391" spans="1:14">
      <c r="A1391" s="1">
        <v>47065</v>
      </c>
      <c r="B1391" t="s">
        <v>11</v>
      </c>
      <c r="C1391" t="s">
        <v>32</v>
      </c>
      <c r="D1391" t="s">
        <v>23</v>
      </c>
      <c r="E1391" t="s">
        <v>14</v>
      </c>
      <c r="F1391" t="s">
        <v>30</v>
      </c>
      <c r="G1391" t="s">
        <v>31</v>
      </c>
      <c r="H1391" s="12">
        <v>300000</v>
      </c>
      <c r="I1391">
        <v>7</v>
      </c>
      <c r="J1391" t="s">
        <v>35</v>
      </c>
      <c r="K1391" s="12">
        <f t="shared" si="21"/>
        <v>240000</v>
      </c>
      <c r="L1391" s="12">
        <f>Sales_Data[[#This Row],[Unit Price]]*Sales_Data[[#This Row],[Quantity]]</f>
        <v>2100000</v>
      </c>
      <c r="M1391" s="12">
        <f>Sales_Data[[#This Row],[Cost Price]]*Sales_Data[[#This Row],[Quantity]]</f>
        <v>1680000</v>
      </c>
      <c r="N1391" s="12">
        <f>Sales_Data[[#This Row],[Revenue]]-Sales_Data[[#This Row],[COGS]]</f>
        <v>420000</v>
      </c>
    </row>
    <row r="1392" spans="1:14">
      <c r="A1392" s="1">
        <v>47066</v>
      </c>
      <c r="B1392" t="s">
        <v>29</v>
      </c>
      <c r="C1392" t="s">
        <v>19</v>
      </c>
      <c r="D1392" t="s">
        <v>13</v>
      </c>
      <c r="E1392" t="s">
        <v>20</v>
      </c>
      <c r="F1392" t="s">
        <v>41</v>
      </c>
      <c r="G1392" t="s">
        <v>22</v>
      </c>
      <c r="H1392" s="12">
        <v>220000</v>
      </c>
      <c r="I1392">
        <v>2</v>
      </c>
      <c r="J1392" t="s">
        <v>17</v>
      </c>
      <c r="K1392" s="12">
        <f t="shared" si="21"/>
        <v>176000</v>
      </c>
      <c r="L1392" s="12">
        <f>Sales_Data[[#This Row],[Unit Price]]*Sales_Data[[#This Row],[Quantity]]</f>
        <v>440000</v>
      </c>
      <c r="M1392" s="12">
        <f>Sales_Data[[#This Row],[Cost Price]]*Sales_Data[[#This Row],[Quantity]]</f>
        <v>352000</v>
      </c>
      <c r="N1392" s="12">
        <f>Sales_Data[[#This Row],[Revenue]]-Sales_Data[[#This Row],[COGS]]</f>
        <v>88000</v>
      </c>
    </row>
    <row r="1393" spans="1:14">
      <c r="A1393" s="1">
        <v>47067</v>
      </c>
      <c r="B1393" t="s">
        <v>18</v>
      </c>
      <c r="C1393" t="s">
        <v>12</v>
      </c>
      <c r="D1393" t="s">
        <v>13</v>
      </c>
      <c r="E1393" t="s">
        <v>20</v>
      </c>
      <c r="F1393" t="s">
        <v>15</v>
      </c>
      <c r="G1393" t="s">
        <v>16</v>
      </c>
      <c r="H1393" s="12">
        <v>85000</v>
      </c>
      <c r="I1393">
        <v>8</v>
      </c>
      <c r="J1393" t="s">
        <v>28</v>
      </c>
      <c r="K1393" s="12">
        <f t="shared" si="21"/>
        <v>68000</v>
      </c>
      <c r="L1393" s="12">
        <f>Sales_Data[[#This Row],[Unit Price]]*Sales_Data[[#This Row],[Quantity]]</f>
        <v>680000</v>
      </c>
      <c r="M1393" s="12">
        <f>Sales_Data[[#This Row],[Cost Price]]*Sales_Data[[#This Row],[Quantity]]</f>
        <v>544000</v>
      </c>
      <c r="N1393" s="12">
        <f>Sales_Data[[#This Row],[Revenue]]-Sales_Data[[#This Row],[COGS]]</f>
        <v>136000</v>
      </c>
    </row>
    <row r="1394" spans="1:14">
      <c r="A1394" s="1">
        <v>47068</v>
      </c>
      <c r="B1394" t="s">
        <v>11</v>
      </c>
      <c r="C1394" t="s">
        <v>19</v>
      </c>
      <c r="D1394" t="s">
        <v>13</v>
      </c>
      <c r="E1394" t="s">
        <v>14</v>
      </c>
      <c r="F1394" t="s">
        <v>41</v>
      </c>
      <c r="G1394" t="s">
        <v>22</v>
      </c>
      <c r="H1394" s="12">
        <v>220000</v>
      </c>
      <c r="I1394">
        <v>7</v>
      </c>
      <c r="J1394" t="s">
        <v>39</v>
      </c>
      <c r="K1394" s="12">
        <f t="shared" si="21"/>
        <v>176000</v>
      </c>
      <c r="L1394" s="12">
        <f>Sales_Data[[#This Row],[Unit Price]]*Sales_Data[[#This Row],[Quantity]]</f>
        <v>1540000</v>
      </c>
      <c r="M1394" s="12">
        <f>Sales_Data[[#This Row],[Cost Price]]*Sales_Data[[#This Row],[Quantity]]</f>
        <v>1232000</v>
      </c>
      <c r="N1394" s="12">
        <f>Sales_Data[[#This Row],[Revenue]]-Sales_Data[[#This Row],[COGS]]</f>
        <v>308000</v>
      </c>
    </row>
    <row r="1395" spans="1:14">
      <c r="A1395" s="1">
        <v>47069</v>
      </c>
      <c r="B1395" t="s">
        <v>29</v>
      </c>
      <c r="C1395" t="s">
        <v>32</v>
      </c>
      <c r="D1395" t="s">
        <v>13</v>
      </c>
      <c r="E1395" t="s">
        <v>20</v>
      </c>
      <c r="F1395" t="s">
        <v>41</v>
      </c>
      <c r="G1395" t="s">
        <v>22</v>
      </c>
      <c r="H1395" s="12">
        <v>220000</v>
      </c>
      <c r="I1395">
        <v>6</v>
      </c>
      <c r="J1395" t="s">
        <v>35</v>
      </c>
      <c r="K1395" s="12">
        <f t="shared" si="21"/>
        <v>176000</v>
      </c>
      <c r="L1395" s="12">
        <f>Sales_Data[[#This Row],[Unit Price]]*Sales_Data[[#This Row],[Quantity]]</f>
        <v>1320000</v>
      </c>
      <c r="M1395" s="12">
        <f>Sales_Data[[#This Row],[Cost Price]]*Sales_Data[[#This Row],[Quantity]]</f>
        <v>1056000</v>
      </c>
      <c r="N1395" s="12">
        <f>Sales_Data[[#This Row],[Revenue]]-Sales_Data[[#This Row],[COGS]]</f>
        <v>264000</v>
      </c>
    </row>
    <row r="1396" spans="1:14">
      <c r="A1396" s="1">
        <v>47070</v>
      </c>
      <c r="B1396" t="s">
        <v>29</v>
      </c>
      <c r="C1396" t="s">
        <v>12</v>
      </c>
      <c r="D1396" t="s">
        <v>13</v>
      </c>
      <c r="E1396" t="s">
        <v>20</v>
      </c>
      <c r="F1396" t="s">
        <v>33</v>
      </c>
      <c r="G1396" t="s">
        <v>22</v>
      </c>
      <c r="H1396" s="12">
        <v>180000</v>
      </c>
      <c r="I1396">
        <v>3</v>
      </c>
      <c r="J1396" t="s">
        <v>28</v>
      </c>
      <c r="K1396" s="12">
        <f t="shared" si="21"/>
        <v>144000</v>
      </c>
      <c r="L1396" s="12">
        <f>Sales_Data[[#This Row],[Unit Price]]*Sales_Data[[#This Row],[Quantity]]</f>
        <v>540000</v>
      </c>
      <c r="M1396" s="12">
        <f>Sales_Data[[#This Row],[Cost Price]]*Sales_Data[[#This Row],[Quantity]]</f>
        <v>432000</v>
      </c>
      <c r="N1396" s="12">
        <f>Sales_Data[[#This Row],[Revenue]]-Sales_Data[[#This Row],[COGS]]</f>
        <v>108000</v>
      </c>
    </row>
    <row r="1397" spans="1:14">
      <c r="A1397" s="1">
        <v>47071</v>
      </c>
      <c r="B1397" t="s">
        <v>25</v>
      </c>
      <c r="C1397" t="s">
        <v>19</v>
      </c>
      <c r="D1397" t="s">
        <v>13</v>
      </c>
      <c r="E1397" t="s">
        <v>14</v>
      </c>
      <c r="F1397" t="s">
        <v>40</v>
      </c>
      <c r="G1397" t="s">
        <v>31</v>
      </c>
      <c r="H1397" s="12">
        <v>250000</v>
      </c>
      <c r="I1397">
        <v>6</v>
      </c>
      <c r="J1397" t="s">
        <v>35</v>
      </c>
      <c r="K1397" s="12">
        <f t="shared" si="21"/>
        <v>200000</v>
      </c>
      <c r="L1397" s="12">
        <f>Sales_Data[[#This Row],[Unit Price]]*Sales_Data[[#This Row],[Quantity]]</f>
        <v>1500000</v>
      </c>
      <c r="M1397" s="12">
        <f>Sales_Data[[#This Row],[Cost Price]]*Sales_Data[[#This Row],[Quantity]]</f>
        <v>1200000</v>
      </c>
      <c r="N1397" s="12">
        <f>Sales_Data[[#This Row],[Revenue]]-Sales_Data[[#This Row],[COGS]]</f>
        <v>300000</v>
      </c>
    </row>
    <row r="1398" spans="1:14">
      <c r="A1398" s="1">
        <v>47072</v>
      </c>
      <c r="B1398" t="s">
        <v>11</v>
      </c>
      <c r="C1398" t="s">
        <v>26</v>
      </c>
      <c r="D1398" t="s">
        <v>23</v>
      </c>
      <c r="E1398" t="s">
        <v>20</v>
      </c>
      <c r="F1398" t="s">
        <v>36</v>
      </c>
      <c r="G1398" t="s">
        <v>31</v>
      </c>
      <c r="H1398" s="12">
        <v>150000</v>
      </c>
      <c r="I1398">
        <v>7</v>
      </c>
      <c r="J1398" t="s">
        <v>37</v>
      </c>
      <c r="K1398" s="12">
        <f t="shared" si="21"/>
        <v>120000</v>
      </c>
      <c r="L1398" s="12">
        <f>Sales_Data[[#This Row],[Unit Price]]*Sales_Data[[#This Row],[Quantity]]</f>
        <v>1050000</v>
      </c>
      <c r="M1398" s="12">
        <f>Sales_Data[[#This Row],[Cost Price]]*Sales_Data[[#This Row],[Quantity]]</f>
        <v>840000</v>
      </c>
      <c r="N1398" s="12">
        <f>Sales_Data[[#This Row],[Revenue]]-Sales_Data[[#This Row],[COGS]]</f>
        <v>210000</v>
      </c>
    </row>
    <row r="1399" spans="1:14">
      <c r="A1399" s="1">
        <v>47073</v>
      </c>
      <c r="B1399" t="s">
        <v>25</v>
      </c>
      <c r="C1399" t="s">
        <v>12</v>
      </c>
      <c r="D1399" t="s">
        <v>13</v>
      </c>
      <c r="E1399" t="s">
        <v>14</v>
      </c>
      <c r="F1399" t="s">
        <v>30</v>
      </c>
      <c r="G1399" t="s">
        <v>31</v>
      </c>
      <c r="H1399" s="12">
        <v>300000</v>
      </c>
      <c r="I1399">
        <v>9</v>
      </c>
      <c r="J1399" t="s">
        <v>17</v>
      </c>
      <c r="K1399" s="12">
        <f t="shared" si="21"/>
        <v>240000</v>
      </c>
      <c r="L1399" s="12">
        <f>Sales_Data[[#This Row],[Unit Price]]*Sales_Data[[#This Row],[Quantity]]</f>
        <v>2700000</v>
      </c>
      <c r="M1399" s="12">
        <f>Sales_Data[[#This Row],[Cost Price]]*Sales_Data[[#This Row],[Quantity]]</f>
        <v>2160000</v>
      </c>
      <c r="N1399" s="12">
        <f>Sales_Data[[#This Row],[Revenue]]-Sales_Data[[#This Row],[COGS]]</f>
        <v>540000</v>
      </c>
    </row>
    <row r="1400" spans="1:14">
      <c r="A1400" s="1">
        <v>47074</v>
      </c>
      <c r="B1400" t="s">
        <v>11</v>
      </c>
      <c r="C1400" t="s">
        <v>26</v>
      </c>
      <c r="D1400" t="s">
        <v>13</v>
      </c>
      <c r="E1400" t="s">
        <v>14</v>
      </c>
      <c r="F1400" t="s">
        <v>38</v>
      </c>
      <c r="G1400" t="s">
        <v>31</v>
      </c>
      <c r="H1400" s="12">
        <v>420000</v>
      </c>
      <c r="I1400">
        <v>5</v>
      </c>
      <c r="J1400" t="s">
        <v>28</v>
      </c>
      <c r="K1400" s="12">
        <f t="shared" si="21"/>
        <v>336000</v>
      </c>
      <c r="L1400" s="12">
        <f>Sales_Data[[#This Row],[Unit Price]]*Sales_Data[[#This Row],[Quantity]]</f>
        <v>2100000</v>
      </c>
      <c r="M1400" s="12">
        <f>Sales_Data[[#This Row],[Cost Price]]*Sales_Data[[#This Row],[Quantity]]</f>
        <v>1680000</v>
      </c>
      <c r="N1400" s="12">
        <f>Sales_Data[[#This Row],[Revenue]]-Sales_Data[[#This Row],[COGS]]</f>
        <v>420000</v>
      </c>
    </row>
    <row r="1401" spans="1:14">
      <c r="A1401" s="1">
        <v>47075</v>
      </c>
      <c r="B1401" t="s">
        <v>25</v>
      </c>
      <c r="C1401" t="s">
        <v>12</v>
      </c>
      <c r="D1401" t="s">
        <v>13</v>
      </c>
      <c r="E1401" t="s">
        <v>20</v>
      </c>
      <c r="F1401" t="s">
        <v>30</v>
      </c>
      <c r="G1401" t="s">
        <v>31</v>
      </c>
      <c r="H1401" s="12">
        <v>300000</v>
      </c>
      <c r="I1401">
        <v>3</v>
      </c>
      <c r="J1401" t="s">
        <v>28</v>
      </c>
      <c r="K1401" s="12">
        <f t="shared" si="21"/>
        <v>240000</v>
      </c>
      <c r="L1401" s="12">
        <f>Sales_Data[[#This Row],[Unit Price]]*Sales_Data[[#This Row],[Quantity]]</f>
        <v>900000</v>
      </c>
      <c r="M1401" s="12">
        <f>Sales_Data[[#This Row],[Cost Price]]*Sales_Data[[#This Row],[Quantity]]</f>
        <v>720000</v>
      </c>
      <c r="N1401" s="12">
        <f>Sales_Data[[#This Row],[Revenue]]-Sales_Data[[#This Row],[COGS]]</f>
        <v>180000</v>
      </c>
    </row>
    <row r="1402" spans="1:14">
      <c r="A1402" s="1">
        <v>47076</v>
      </c>
      <c r="B1402" t="s">
        <v>18</v>
      </c>
      <c r="C1402" t="s">
        <v>12</v>
      </c>
      <c r="D1402" t="s">
        <v>23</v>
      </c>
      <c r="E1402" t="s">
        <v>20</v>
      </c>
      <c r="F1402" t="s">
        <v>40</v>
      </c>
      <c r="G1402" t="s">
        <v>31</v>
      </c>
      <c r="H1402" s="12">
        <v>250000</v>
      </c>
      <c r="I1402">
        <v>5</v>
      </c>
      <c r="J1402" t="s">
        <v>17</v>
      </c>
      <c r="K1402" s="12">
        <f t="shared" si="21"/>
        <v>200000</v>
      </c>
      <c r="L1402" s="12">
        <f>Sales_Data[[#This Row],[Unit Price]]*Sales_Data[[#This Row],[Quantity]]</f>
        <v>1250000</v>
      </c>
      <c r="M1402" s="12">
        <f>Sales_Data[[#This Row],[Cost Price]]*Sales_Data[[#This Row],[Quantity]]</f>
        <v>1000000</v>
      </c>
      <c r="N1402" s="12">
        <f>Sales_Data[[#This Row],[Revenue]]-Sales_Data[[#This Row],[COGS]]</f>
        <v>250000</v>
      </c>
    </row>
    <row r="1403" spans="1:14">
      <c r="A1403" s="1">
        <v>47077</v>
      </c>
      <c r="B1403" t="s">
        <v>11</v>
      </c>
      <c r="C1403" t="s">
        <v>32</v>
      </c>
      <c r="D1403" t="s">
        <v>23</v>
      </c>
      <c r="E1403" t="s">
        <v>20</v>
      </c>
      <c r="F1403" t="s">
        <v>36</v>
      </c>
      <c r="G1403" t="s">
        <v>31</v>
      </c>
      <c r="H1403" s="12">
        <v>150000</v>
      </c>
      <c r="I1403">
        <v>2</v>
      </c>
      <c r="J1403" t="s">
        <v>35</v>
      </c>
      <c r="K1403" s="12">
        <f t="shared" si="21"/>
        <v>120000</v>
      </c>
      <c r="L1403" s="12">
        <f>Sales_Data[[#This Row],[Unit Price]]*Sales_Data[[#This Row],[Quantity]]</f>
        <v>300000</v>
      </c>
      <c r="M1403" s="12">
        <f>Sales_Data[[#This Row],[Cost Price]]*Sales_Data[[#This Row],[Quantity]]</f>
        <v>240000</v>
      </c>
      <c r="N1403" s="12">
        <f>Sales_Data[[#This Row],[Revenue]]-Sales_Data[[#This Row],[COGS]]</f>
        <v>60000</v>
      </c>
    </row>
    <row r="1404" spans="1:14">
      <c r="A1404" s="1">
        <v>47078</v>
      </c>
      <c r="B1404" t="s">
        <v>18</v>
      </c>
      <c r="C1404" t="s">
        <v>19</v>
      </c>
      <c r="D1404" t="s">
        <v>23</v>
      </c>
      <c r="E1404" t="s">
        <v>14</v>
      </c>
      <c r="F1404" t="s">
        <v>41</v>
      </c>
      <c r="G1404" t="s">
        <v>22</v>
      </c>
      <c r="H1404" s="12">
        <v>220000</v>
      </c>
      <c r="I1404">
        <v>3</v>
      </c>
      <c r="J1404" t="s">
        <v>39</v>
      </c>
      <c r="K1404" s="12">
        <f t="shared" si="21"/>
        <v>176000</v>
      </c>
      <c r="L1404" s="12">
        <f>Sales_Data[[#This Row],[Unit Price]]*Sales_Data[[#This Row],[Quantity]]</f>
        <v>660000</v>
      </c>
      <c r="M1404" s="12">
        <f>Sales_Data[[#This Row],[Cost Price]]*Sales_Data[[#This Row],[Quantity]]</f>
        <v>528000</v>
      </c>
      <c r="N1404" s="12">
        <f>Sales_Data[[#This Row],[Revenue]]-Sales_Data[[#This Row],[COGS]]</f>
        <v>132000</v>
      </c>
    </row>
    <row r="1405" spans="1:14">
      <c r="A1405" s="1">
        <v>47079</v>
      </c>
      <c r="B1405" t="s">
        <v>18</v>
      </c>
      <c r="C1405" t="s">
        <v>19</v>
      </c>
      <c r="D1405" t="s">
        <v>23</v>
      </c>
      <c r="E1405" t="s">
        <v>20</v>
      </c>
      <c r="F1405" t="s">
        <v>30</v>
      </c>
      <c r="G1405" t="s">
        <v>31</v>
      </c>
      <c r="H1405" s="12">
        <v>300000</v>
      </c>
      <c r="I1405">
        <v>6</v>
      </c>
      <c r="J1405" t="s">
        <v>24</v>
      </c>
      <c r="K1405" s="12">
        <f t="shared" si="21"/>
        <v>240000</v>
      </c>
      <c r="L1405" s="12">
        <f>Sales_Data[[#This Row],[Unit Price]]*Sales_Data[[#This Row],[Quantity]]</f>
        <v>1800000</v>
      </c>
      <c r="M1405" s="12">
        <f>Sales_Data[[#This Row],[Cost Price]]*Sales_Data[[#This Row],[Quantity]]</f>
        <v>1440000</v>
      </c>
      <c r="N1405" s="12">
        <f>Sales_Data[[#This Row],[Revenue]]-Sales_Data[[#This Row],[COGS]]</f>
        <v>360000</v>
      </c>
    </row>
    <row r="1406" spans="1:14">
      <c r="A1406" s="1">
        <v>47080</v>
      </c>
      <c r="B1406" t="s">
        <v>25</v>
      </c>
      <c r="C1406" t="s">
        <v>19</v>
      </c>
      <c r="D1406" t="s">
        <v>13</v>
      </c>
      <c r="E1406" t="s">
        <v>20</v>
      </c>
      <c r="F1406" t="s">
        <v>33</v>
      </c>
      <c r="G1406" t="s">
        <v>22</v>
      </c>
      <c r="H1406" s="12">
        <v>180000</v>
      </c>
      <c r="I1406">
        <v>2</v>
      </c>
      <c r="J1406" t="s">
        <v>39</v>
      </c>
      <c r="K1406" s="12">
        <f t="shared" si="21"/>
        <v>144000</v>
      </c>
      <c r="L1406" s="12">
        <f>Sales_Data[[#This Row],[Unit Price]]*Sales_Data[[#This Row],[Quantity]]</f>
        <v>360000</v>
      </c>
      <c r="M1406" s="12">
        <f>Sales_Data[[#This Row],[Cost Price]]*Sales_Data[[#This Row],[Quantity]]</f>
        <v>288000</v>
      </c>
      <c r="N1406" s="12">
        <f>Sales_Data[[#This Row],[Revenue]]-Sales_Data[[#This Row],[COGS]]</f>
        <v>72000</v>
      </c>
    </row>
    <row r="1407" spans="1:14">
      <c r="A1407" s="1">
        <v>47081</v>
      </c>
      <c r="B1407" t="s">
        <v>18</v>
      </c>
      <c r="C1407" t="s">
        <v>32</v>
      </c>
      <c r="D1407" t="s">
        <v>13</v>
      </c>
      <c r="E1407" t="s">
        <v>14</v>
      </c>
      <c r="F1407" t="s">
        <v>36</v>
      </c>
      <c r="G1407" t="s">
        <v>31</v>
      </c>
      <c r="H1407" s="12">
        <v>150000</v>
      </c>
      <c r="I1407">
        <v>5</v>
      </c>
      <c r="J1407" t="s">
        <v>37</v>
      </c>
      <c r="K1407" s="12">
        <f t="shared" si="21"/>
        <v>120000</v>
      </c>
      <c r="L1407" s="12">
        <f>Sales_Data[[#This Row],[Unit Price]]*Sales_Data[[#This Row],[Quantity]]</f>
        <v>750000</v>
      </c>
      <c r="M1407" s="12">
        <f>Sales_Data[[#This Row],[Cost Price]]*Sales_Data[[#This Row],[Quantity]]</f>
        <v>600000</v>
      </c>
      <c r="N1407" s="12">
        <f>Sales_Data[[#This Row],[Revenue]]-Sales_Data[[#This Row],[COGS]]</f>
        <v>150000</v>
      </c>
    </row>
    <row r="1408" spans="1:14">
      <c r="A1408" s="1">
        <v>47082</v>
      </c>
      <c r="B1408" t="s">
        <v>18</v>
      </c>
      <c r="C1408" t="s">
        <v>26</v>
      </c>
      <c r="D1408" t="s">
        <v>23</v>
      </c>
      <c r="E1408" t="s">
        <v>20</v>
      </c>
      <c r="F1408" t="s">
        <v>15</v>
      </c>
      <c r="G1408" t="s">
        <v>16</v>
      </c>
      <c r="H1408" s="12">
        <v>85000</v>
      </c>
      <c r="I1408">
        <v>1</v>
      </c>
      <c r="J1408" t="s">
        <v>37</v>
      </c>
      <c r="K1408" s="12">
        <f t="shared" si="21"/>
        <v>68000</v>
      </c>
      <c r="L1408" s="12">
        <f>Sales_Data[[#This Row],[Unit Price]]*Sales_Data[[#This Row],[Quantity]]</f>
        <v>85000</v>
      </c>
      <c r="M1408" s="12">
        <f>Sales_Data[[#This Row],[Cost Price]]*Sales_Data[[#This Row],[Quantity]]</f>
        <v>68000</v>
      </c>
      <c r="N1408" s="12">
        <f>Sales_Data[[#This Row],[Revenue]]-Sales_Data[[#This Row],[COGS]]</f>
        <v>17000</v>
      </c>
    </row>
    <row r="1409" spans="1:14">
      <c r="A1409" s="1">
        <v>47083</v>
      </c>
      <c r="B1409" t="s">
        <v>11</v>
      </c>
      <c r="C1409" t="s">
        <v>12</v>
      </c>
      <c r="D1409" t="s">
        <v>13</v>
      </c>
      <c r="E1409" t="s">
        <v>14</v>
      </c>
      <c r="F1409" t="s">
        <v>21</v>
      </c>
      <c r="G1409" t="s">
        <v>22</v>
      </c>
      <c r="H1409" s="12">
        <v>30000</v>
      </c>
      <c r="I1409">
        <v>1</v>
      </c>
      <c r="J1409" t="s">
        <v>35</v>
      </c>
      <c r="K1409" s="12">
        <f t="shared" si="21"/>
        <v>24000</v>
      </c>
      <c r="L1409" s="12">
        <f>Sales_Data[[#This Row],[Unit Price]]*Sales_Data[[#This Row],[Quantity]]</f>
        <v>30000</v>
      </c>
      <c r="M1409" s="12">
        <f>Sales_Data[[#This Row],[Cost Price]]*Sales_Data[[#This Row],[Quantity]]</f>
        <v>24000</v>
      </c>
      <c r="N1409" s="12">
        <f>Sales_Data[[#This Row],[Revenue]]-Sales_Data[[#This Row],[COGS]]</f>
        <v>6000</v>
      </c>
    </row>
    <row r="1410" spans="1:14">
      <c r="A1410" s="1">
        <v>47084</v>
      </c>
      <c r="B1410" t="s">
        <v>18</v>
      </c>
      <c r="C1410" t="s">
        <v>19</v>
      </c>
      <c r="D1410" t="s">
        <v>13</v>
      </c>
      <c r="E1410" t="s">
        <v>20</v>
      </c>
      <c r="F1410" t="s">
        <v>15</v>
      </c>
      <c r="G1410" t="s">
        <v>16</v>
      </c>
      <c r="H1410" s="12">
        <v>85000</v>
      </c>
      <c r="I1410">
        <v>1</v>
      </c>
      <c r="J1410" t="s">
        <v>37</v>
      </c>
      <c r="K1410" s="12">
        <f t="shared" ref="K1410:K1473" si="22">H1410-H1410*0.2</f>
        <v>68000</v>
      </c>
      <c r="L1410" s="12">
        <f>Sales_Data[[#This Row],[Unit Price]]*Sales_Data[[#This Row],[Quantity]]</f>
        <v>85000</v>
      </c>
      <c r="M1410" s="12">
        <f>Sales_Data[[#This Row],[Cost Price]]*Sales_Data[[#This Row],[Quantity]]</f>
        <v>68000</v>
      </c>
      <c r="N1410" s="12">
        <f>Sales_Data[[#This Row],[Revenue]]-Sales_Data[[#This Row],[COGS]]</f>
        <v>17000</v>
      </c>
    </row>
    <row r="1411" spans="1:14">
      <c r="A1411" s="1">
        <v>47085</v>
      </c>
      <c r="B1411" t="s">
        <v>25</v>
      </c>
      <c r="C1411" t="s">
        <v>19</v>
      </c>
      <c r="D1411" t="s">
        <v>13</v>
      </c>
      <c r="E1411" t="s">
        <v>20</v>
      </c>
      <c r="F1411" t="s">
        <v>21</v>
      </c>
      <c r="G1411" t="s">
        <v>22</v>
      </c>
      <c r="H1411" s="12">
        <v>30000</v>
      </c>
      <c r="I1411">
        <v>2</v>
      </c>
      <c r="J1411" t="s">
        <v>37</v>
      </c>
      <c r="K1411" s="12">
        <f t="shared" si="22"/>
        <v>24000</v>
      </c>
      <c r="L1411" s="12">
        <f>Sales_Data[[#This Row],[Unit Price]]*Sales_Data[[#This Row],[Quantity]]</f>
        <v>60000</v>
      </c>
      <c r="M1411" s="12">
        <f>Sales_Data[[#This Row],[Cost Price]]*Sales_Data[[#This Row],[Quantity]]</f>
        <v>48000</v>
      </c>
      <c r="N1411" s="12">
        <f>Sales_Data[[#This Row],[Revenue]]-Sales_Data[[#This Row],[COGS]]</f>
        <v>12000</v>
      </c>
    </row>
    <row r="1412" spans="1:14">
      <c r="A1412" s="1">
        <v>47086</v>
      </c>
      <c r="B1412" t="s">
        <v>18</v>
      </c>
      <c r="C1412" t="s">
        <v>12</v>
      </c>
      <c r="D1412" t="s">
        <v>13</v>
      </c>
      <c r="E1412" t="s">
        <v>20</v>
      </c>
      <c r="F1412" t="s">
        <v>38</v>
      </c>
      <c r="G1412" t="s">
        <v>31</v>
      </c>
      <c r="H1412" s="12">
        <v>420000</v>
      </c>
      <c r="I1412">
        <v>3</v>
      </c>
      <c r="J1412" t="s">
        <v>17</v>
      </c>
      <c r="K1412" s="12">
        <f t="shared" si="22"/>
        <v>336000</v>
      </c>
      <c r="L1412" s="12">
        <f>Sales_Data[[#This Row],[Unit Price]]*Sales_Data[[#This Row],[Quantity]]</f>
        <v>1260000</v>
      </c>
      <c r="M1412" s="12">
        <f>Sales_Data[[#This Row],[Cost Price]]*Sales_Data[[#This Row],[Quantity]]</f>
        <v>1008000</v>
      </c>
      <c r="N1412" s="12">
        <f>Sales_Data[[#This Row],[Revenue]]-Sales_Data[[#This Row],[COGS]]</f>
        <v>252000</v>
      </c>
    </row>
    <row r="1413" spans="1:14">
      <c r="A1413" s="1">
        <v>47087</v>
      </c>
      <c r="B1413" t="s">
        <v>11</v>
      </c>
      <c r="C1413" t="s">
        <v>19</v>
      </c>
      <c r="D1413" t="s">
        <v>13</v>
      </c>
      <c r="E1413" t="s">
        <v>20</v>
      </c>
      <c r="F1413" t="s">
        <v>21</v>
      </c>
      <c r="G1413" t="s">
        <v>22</v>
      </c>
      <c r="H1413" s="12">
        <v>30000</v>
      </c>
      <c r="I1413">
        <v>2</v>
      </c>
      <c r="J1413" t="s">
        <v>35</v>
      </c>
      <c r="K1413" s="12">
        <f t="shared" si="22"/>
        <v>24000</v>
      </c>
      <c r="L1413" s="12">
        <f>Sales_Data[[#This Row],[Unit Price]]*Sales_Data[[#This Row],[Quantity]]</f>
        <v>60000</v>
      </c>
      <c r="M1413" s="12">
        <f>Sales_Data[[#This Row],[Cost Price]]*Sales_Data[[#This Row],[Quantity]]</f>
        <v>48000</v>
      </c>
      <c r="N1413" s="12">
        <f>Sales_Data[[#This Row],[Revenue]]-Sales_Data[[#This Row],[COGS]]</f>
        <v>12000</v>
      </c>
    </row>
    <row r="1414" spans="1:14">
      <c r="A1414" s="1">
        <v>47088</v>
      </c>
      <c r="B1414" t="s">
        <v>25</v>
      </c>
      <c r="C1414" t="s">
        <v>32</v>
      </c>
      <c r="D1414" t="s">
        <v>13</v>
      </c>
      <c r="E1414" t="s">
        <v>20</v>
      </c>
      <c r="F1414" t="s">
        <v>30</v>
      </c>
      <c r="G1414" t="s">
        <v>31</v>
      </c>
      <c r="H1414" s="12">
        <v>300000</v>
      </c>
      <c r="I1414">
        <v>9</v>
      </c>
      <c r="J1414" t="s">
        <v>28</v>
      </c>
      <c r="K1414" s="12">
        <f t="shared" si="22"/>
        <v>240000</v>
      </c>
      <c r="L1414" s="12">
        <f>Sales_Data[[#This Row],[Unit Price]]*Sales_Data[[#This Row],[Quantity]]</f>
        <v>2700000</v>
      </c>
      <c r="M1414" s="12">
        <f>Sales_Data[[#This Row],[Cost Price]]*Sales_Data[[#This Row],[Quantity]]</f>
        <v>2160000</v>
      </c>
      <c r="N1414" s="12">
        <f>Sales_Data[[#This Row],[Revenue]]-Sales_Data[[#This Row],[COGS]]</f>
        <v>540000</v>
      </c>
    </row>
    <row r="1415" spans="1:14">
      <c r="A1415" s="1">
        <v>47089</v>
      </c>
      <c r="B1415" t="s">
        <v>18</v>
      </c>
      <c r="C1415" t="s">
        <v>26</v>
      </c>
      <c r="D1415" t="s">
        <v>23</v>
      </c>
      <c r="E1415" t="s">
        <v>20</v>
      </c>
      <c r="F1415" t="s">
        <v>36</v>
      </c>
      <c r="G1415" t="s">
        <v>31</v>
      </c>
      <c r="H1415" s="12">
        <v>150000</v>
      </c>
      <c r="I1415">
        <v>4</v>
      </c>
      <c r="J1415" t="s">
        <v>35</v>
      </c>
      <c r="K1415" s="12">
        <f t="shared" si="22"/>
        <v>120000</v>
      </c>
      <c r="L1415" s="12">
        <f>Sales_Data[[#This Row],[Unit Price]]*Sales_Data[[#This Row],[Quantity]]</f>
        <v>600000</v>
      </c>
      <c r="M1415" s="12">
        <f>Sales_Data[[#This Row],[Cost Price]]*Sales_Data[[#This Row],[Quantity]]</f>
        <v>480000</v>
      </c>
      <c r="N1415" s="12">
        <f>Sales_Data[[#This Row],[Revenue]]-Sales_Data[[#This Row],[COGS]]</f>
        <v>120000</v>
      </c>
    </row>
    <row r="1416" spans="1:14">
      <c r="A1416" s="1">
        <v>47090</v>
      </c>
      <c r="B1416" t="s">
        <v>18</v>
      </c>
      <c r="C1416" t="s">
        <v>12</v>
      </c>
      <c r="D1416" t="s">
        <v>13</v>
      </c>
      <c r="E1416" t="s">
        <v>20</v>
      </c>
      <c r="F1416" t="s">
        <v>41</v>
      </c>
      <c r="G1416" t="s">
        <v>22</v>
      </c>
      <c r="H1416" s="12">
        <v>220000</v>
      </c>
      <c r="I1416">
        <v>2</v>
      </c>
      <c r="J1416" t="s">
        <v>39</v>
      </c>
      <c r="K1416" s="12">
        <f t="shared" si="22"/>
        <v>176000</v>
      </c>
      <c r="L1416" s="12">
        <f>Sales_Data[[#This Row],[Unit Price]]*Sales_Data[[#This Row],[Quantity]]</f>
        <v>440000</v>
      </c>
      <c r="M1416" s="12">
        <f>Sales_Data[[#This Row],[Cost Price]]*Sales_Data[[#This Row],[Quantity]]</f>
        <v>352000</v>
      </c>
      <c r="N1416" s="12">
        <f>Sales_Data[[#This Row],[Revenue]]-Sales_Data[[#This Row],[COGS]]</f>
        <v>88000</v>
      </c>
    </row>
    <row r="1417" spans="1:14">
      <c r="A1417" s="1">
        <v>47091</v>
      </c>
      <c r="B1417" t="s">
        <v>25</v>
      </c>
      <c r="C1417" t="s">
        <v>19</v>
      </c>
      <c r="D1417" t="s">
        <v>13</v>
      </c>
      <c r="E1417" t="s">
        <v>20</v>
      </c>
      <c r="F1417" t="s">
        <v>15</v>
      </c>
      <c r="G1417" t="s">
        <v>16</v>
      </c>
      <c r="H1417" s="12">
        <v>85000</v>
      </c>
      <c r="I1417">
        <v>6</v>
      </c>
      <c r="J1417" t="s">
        <v>17</v>
      </c>
      <c r="K1417" s="12">
        <f t="shared" si="22"/>
        <v>68000</v>
      </c>
      <c r="L1417" s="12">
        <f>Sales_Data[[#This Row],[Unit Price]]*Sales_Data[[#This Row],[Quantity]]</f>
        <v>510000</v>
      </c>
      <c r="M1417" s="12">
        <f>Sales_Data[[#This Row],[Cost Price]]*Sales_Data[[#This Row],[Quantity]]</f>
        <v>408000</v>
      </c>
      <c r="N1417" s="12">
        <f>Sales_Data[[#This Row],[Revenue]]-Sales_Data[[#This Row],[COGS]]</f>
        <v>102000</v>
      </c>
    </row>
    <row r="1418" spans="1:14">
      <c r="A1418" s="1">
        <v>47092</v>
      </c>
      <c r="B1418" t="s">
        <v>11</v>
      </c>
      <c r="C1418" t="s">
        <v>19</v>
      </c>
      <c r="D1418" t="s">
        <v>13</v>
      </c>
      <c r="E1418" t="s">
        <v>20</v>
      </c>
      <c r="F1418" t="s">
        <v>30</v>
      </c>
      <c r="G1418" t="s">
        <v>31</v>
      </c>
      <c r="H1418" s="12">
        <v>300000</v>
      </c>
      <c r="I1418">
        <v>8</v>
      </c>
      <c r="J1418" t="s">
        <v>17</v>
      </c>
      <c r="K1418" s="12">
        <f t="shared" si="22"/>
        <v>240000</v>
      </c>
      <c r="L1418" s="12">
        <f>Sales_Data[[#This Row],[Unit Price]]*Sales_Data[[#This Row],[Quantity]]</f>
        <v>2400000</v>
      </c>
      <c r="M1418" s="12">
        <f>Sales_Data[[#This Row],[Cost Price]]*Sales_Data[[#This Row],[Quantity]]</f>
        <v>1920000</v>
      </c>
      <c r="N1418" s="12">
        <f>Sales_Data[[#This Row],[Revenue]]-Sales_Data[[#This Row],[COGS]]</f>
        <v>480000</v>
      </c>
    </row>
    <row r="1419" spans="1:14">
      <c r="A1419" s="1">
        <v>47093</v>
      </c>
      <c r="B1419" t="s">
        <v>25</v>
      </c>
      <c r="C1419" t="s">
        <v>26</v>
      </c>
      <c r="D1419" t="s">
        <v>23</v>
      </c>
      <c r="E1419" t="s">
        <v>20</v>
      </c>
      <c r="F1419" t="s">
        <v>38</v>
      </c>
      <c r="G1419" t="s">
        <v>31</v>
      </c>
      <c r="H1419" s="12">
        <v>420000</v>
      </c>
      <c r="I1419">
        <v>2</v>
      </c>
      <c r="J1419" t="s">
        <v>35</v>
      </c>
      <c r="K1419" s="12">
        <f t="shared" si="22"/>
        <v>336000</v>
      </c>
      <c r="L1419" s="12">
        <f>Sales_Data[[#This Row],[Unit Price]]*Sales_Data[[#This Row],[Quantity]]</f>
        <v>840000</v>
      </c>
      <c r="M1419" s="12">
        <f>Sales_Data[[#This Row],[Cost Price]]*Sales_Data[[#This Row],[Quantity]]</f>
        <v>672000</v>
      </c>
      <c r="N1419" s="12">
        <f>Sales_Data[[#This Row],[Revenue]]-Sales_Data[[#This Row],[COGS]]</f>
        <v>168000</v>
      </c>
    </row>
    <row r="1420" spans="1:14">
      <c r="A1420" s="1">
        <v>47094</v>
      </c>
      <c r="B1420" t="s">
        <v>18</v>
      </c>
      <c r="C1420" t="s">
        <v>26</v>
      </c>
      <c r="D1420" t="s">
        <v>13</v>
      </c>
      <c r="E1420" t="s">
        <v>20</v>
      </c>
      <c r="F1420" t="s">
        <v>41</v>
      </c>
      <c r="G1420" t="s">
        <v>22</v>
      </c>
      <c r="H1420" s="12">
        <v>220000</v>
      </c>
      <c r="I1420">
        <v>3</v>
      </c>
      <c r="J1420" t="s">
        <v>24</v>
      </c>
      <c r="K1420" s="12">
        <f t="shared" si="22"/>
        <v>176000</v>
      </c>
      <c r="L1420" s="12">
        <f>Sales_Data[[#This Row],[Unit Price]]*Sales_Data[[#This Row],[Quantity]]</f>
        <v>660000</v>
      </c>
      <c r="M1420" s="12">
        <f>Sales_Data[[#This Row],[Cost Price]]*Sales_Data[[#This Row],[Quantity]]</f>
        <v>528000</v>
      </c>
      <c r="N1420" s="12">
        <f>Sales_Data[[#This Row],[Revenue]]-Sales_Data[[#This Row],[COGS]]</f>
        <v>132000</v>
      </c>
    </row>
    <row r="1421" spans="1:14">
      <c r="A1421" s="1">
        <v>47095</v>
      </c>
      <c r="B1421" t="s">
        <v>18</v>
      </c>
      <c r="C1421" t="s">
        <v>19</v>
      </c>
      <c r="D1421" t="s">
        <v>13</v>
      </c>
      <c r="E1421" t="s">
        <v>20</v>
      </c>
      <c r="F1421" t="s">
        <v>38</v>
      </c>
      <c r="G1421" t="s">
        <v>31</v>
      </c>
      <c r="H1421" s="12">
        <v>420000</v>
      </c>
      <c r="I1421">
        <v>10</v>
      </c>
      <c r="J1421" t="s">
        <v>17</v>
      </c>
      <c r="K1421" s="12">
        <f t="shared" si="22"/>
        <v>336000</v>
      </c>
      <c r="L1421" s="12">
        <f>Sales_Data[[#This Row],[Unit Price]]*Sales_Data[[#This Row],[Quantity]]</f>
        <v>4200000</v>
      </c>
      <c r="M1421" s="12">
        <f>Sales_Data[[#This Row],[Cost Price]]*Sales_Data[[#This Row],[Quantity]]</f>
        <v>3360000</v>
      </c>
      <c r="N1421" s="12">
        <f>Sales_Data[[#This Row],[Revenue]]-Sales_Data[[#This Row],[COGS]]</f>
        <v>840000</v>
      </c>
    </row>
    <row r="1422" spans="1:14">
      <c r="A1422" s="1">
        <v>47096</v>
      </c>
      <c r="B1422" t="s">
        <v>29</v>
      </c>
      <c r="C1422" t="s">
        <v>19</v>
      </c>
      <c r="D1422" t="s">
        <v>13</v>
      </c>
      <c r="E1422" t="s">
        <v>20</v>
      </c>
      <c r="F1422" t="s">
        <v>30</v>
      </c>
      <c r="G1422" t="s">
        <v>31</v>
      </c>
      <c r="H1422" s="12">
        <v>300000</v>
      </c>
      <c r="I1422">
        <v>7</v>
      </c>
      <c r="J1422" t="s">
        <v>24</v>
      </c>
      <c r="K1422" s="12">
        <f t="shared" si="22"/>
        <v>240000</v>
      </c>
      <c r="L1422" s="12">
        <f>Sales_Data[[#This Row],[Unit Price]]*Sales_Data[[#This Row],[Quantity]]</f>
        <v>2100000</v>
      </c>
      <c r="M1422" s="12">
        <f>Sales_Data[[#This Row],[Cost Price]]*Sales_Data[[#This Row],[Quantity]]</f>
        <v>1680000</v>
      </c>
      <c r="N1422" s="12">
        <f>Sales_Data[[#This Row],[Revenue]]-Sales_Data[[#This Row],[COGS]]</f>
        <v>420000</v>
      </c>
    </row>
    <row r="1423" spans="1:14">
      <c r="A1423" s="1">
        <v>47097</v>
      </c>
      <c r="B1423" t="s">
        <v>18</v>
      </c>
      <c r="C1423" t="s">
        <v>26</v>
      </c>
      <c r="D1423" t="s">
        <v>13</v>
      </c>
      <c r="E1423" t="s">
        <v>20</v>
      </c>
      <c r="F1423" t="s">
        <v>21</v>
      </c>
      <c r="G1423" t="s">
        <v>22</v>
      </c>
      <c r="H1423" s="12">
        <v>30000</v>
      </c>
      <c r="I1423">
        <v>1</v>
      </c>
      <c r="J1423" t="s">
        <v>28</v>
      </c>
      <c r="K1423" s="12">
        <f t="shared" si="22"/>
        <v>24000</v>
      </c>
      <c r="L1423" s="12">
        <f>Sales_Data[[#This Row],[Unit Price]]*Sales_Data[[#This Row],[Quantity]]</f>
        <v>30000</v>
      </c>
      <c r="M1423" s="12">
        <f>Sales_Data[[#This Row],[Cost Price]]*Sales_Data[[#This Row],[Quantity]]</f>
        <v>24000</v>
      </c>
      <c r="N1423" s="12">
        <f>Sales_Data[[#This Row],[Revenue]]-Sales_Data[[#This Row],[COGS]]</f>
        <v>6000</v>
      </c>
    </row>
    <row r="1424" spans="1:14">
      <c r="A1424" s="1">
        <v>47098</v>
      </c>
      <c r="B1424" t="s">
        <v>18</v>
      </c>
      <c r="C1424" t="s">
        <v>19</v>
      </c>
      <c r="D1424" t="s">
        <v>23</v>
      </c>
      <c r="E1424" t="s">
        <v>20</v>
      </c>
      <c r="F1424" t="s">
        <v>21</v>
      </c>
      <c r="G1424" t="s">
        <v>22</v>
      </c>
      <c r="H1424" s="12">
        <v>30000</v>
      </c>
      <c r="I1424">
        <v>7</v>
      </c>
      <c r="J1424" t="s">
        <v>17</v>
      </c>
      <c r="K1424" s="12">
        <f t="shared" si="22"/>
        <v>24000</v>
      </c>
      <c r="L1424" s="12">
        <f>Sales_Data[[#This Row],[Unit Price]]*Sales_Data[[#This Row],[Quantity]]</f>
        <v>210000</v>
      </c>
      <c r="M1424" s="12">
        <f>Sales_Data[[#This Row],[Cost Price]]*Sales_Data[[#This Row],[Quantity]]</f>
        <v>168000</v>
      </c>
      <c r="N1424" s="12">
        <f>Sales_Data[[#This Row],[Revenue]]-Sales_Data[[#This Row],[COGS]]</f>
        <v>42000</v>
      </c>
    </row>
    <row r="1425" spans="1:14">
      <c r="A1425" s="1">
        <v>47099</v>
      </c>
      <c r="B1425" t="s">
        <v>29</v>
      </c>
      <c r="C1425" t="s">
        <v>32</v>
      </c>
      <c r="D1425" t="s">
        <v>23</v>
      </c>
      <c r="E1425" t="s">
        <v>20</v>
      </c>
      <c r="F1425" t="s">
        <v>15</v>
      </c>
      <c r="G1425" t="s">
        <v>16</v>
      </c>
      <c r="H1425" s="12">
        <v>85000</v>
      </c>
      <c r="I1425">
        <v>8</v>
      </c>
      <c r="J1425" t="s">
        <v>35</v>
      </c>
      <c r="K1425" s="12">
        <f t="shared" si="22"/>
        <v>68000</v>
      </c>
      <c r="L1425" s="12">
        <f>Sales_Data[[#This Row],[Unit Price]]*Sales_Data[[#This Row],[Quantity]]</f>
        <v>680000</v>
      </c>
      <c r="M1425" s="12">
        <f>Sales_Data[[#This Row],[Cost Price]]*Sales_Data[[#This Row],[Quantity]]</f>
        <v>544000</v>
      </c>
      <c r="N1425" s="12">
        <f>Sales_Data[[#This Row],[Revenue]]-Sales_Data[[#This Row],[COGS]]</f>
        <v>136000</v>
      </c>
    </row>
    <row r="1426" spans="1:14">
      <c r="A1426" s="1">
        <v>47100</v>
      </c>
      <c r="B1426" t="s">
        <v>18</v>
      </c>
      <c r="C1426" t="s">
        <v>19</v>
      </c>
      <c r="D1426" t="s">
        <v>13</v>
      </c>
      <c r="E1426" t="s">
        <v>20</v>
      </c>
      <c r="F1426" t="s">
        <v>40</v>
      </c>
      <c r="G1426" t="s">
        <v>31</v>
      </c>
      <c r="H1426" s="12">
        <v>250000</v>
      </c>
      <c r="I1426">
        <v>10</v>
      </c>
      <c r="J1426" t="s">
        <v>24</v>
      </c>
      <c r="K1426" s="12">
        <f t="shared" si="22"/>
        <v>200000</v>
      </c>
      <c r="L1426" s="12">
        <f>Sales_Data[[#This Row],[Unit Price]]*Sales_Data[[#This Row],[Quantity]]</f>
        <v>2500000</v>
      </c>
      <c r="M1426" s="12">
        <f>Sales_Data[[#This Row],[Cost Price]]*Sales_Data[[#This Row],[Quantity]]</f>
        <v>2000000</v>
      </c>
      <c r="N1426" s="12">
        <f>Sales_Data[[#This Row],[Revenue]]-Sales_Data[[#This Row],[COGS]]</f>
        <v>500000</v>
      </c>
    </row>
    <row r="1427" spans="1:14">
      <c r="A1427" s="1">
        <v>47101</v>
      </c>
      <c r="B1427" t="s">
        <v>11</v>
      </c>
      <c r="C1427" t="s">
        <v>19</v>
      </c>
      <c r="D1427" t="s">
        <v>13</v>
      </c>
      <c r="E1427" t="s">
        <v>20</v>
      </c>
      <c r="F1427" t="s">
        <v>15</v>
      </c>
      <c r="G1427" t="s">
        <v>16</v>
      </c>
      <c r="H1427" s="12">
        <v>85000</v>
      </c>
      <c r="I1427">
        <v>4</v>
      </c>
      <c r="J1427" t="s">
        <v>39</v>
      </c>
      <c r="K1427" s="12">
        <f t="shared" si="22"/>
        <v>68000</v>
      </c>
      <c r="L1427" s="12">
        <f>Sales_Data[[#This Row],[Unit Price]]*Sales_Data[[#This Row],[Quantity]]</f>
        <v>340000</v>
      </c>
      <c r="M1427" s="12">
        <f>Sales_Data[[#This Row],[Cost Price]]*Sales_Data[[#This Row],[Quantity]]</f>
        <v>272000</v>
      </c>
      <c r="N1427" s="12">
        <f>Sales_Data[[#This Row],[Revenue]]-Sales_Data[[#This Row],[COGS]]</f>
        <v>68000</v>
      </c>
    </row>
    <row r="1428" spans="1:14">
      <c r="A1428" s="1">
        <v>47102</v>
      </c>
      <c r="B1428" t="s">
        <v>11</v>
      </c>
      <c r="C1428" t="s">
        <v>32</v>
      </c>
      <c r="D1428" t="s">
        <v>13</v>
      </c>
      <c r="E1428" t="s">
        <v>20</v>
      </c>
      <c r="F1428" t="s">
        <v>40</v>
      </c>
      <c r="G1428" t="s">
        <v>31</v>
      </c>
      <c r="H1428" s="12">
        <v>250000</v>
      </c>
      <c r="I1428">
        <v>6</v>
      </c>
      <c r="J1428" t="s">
        <v>39</v>
      </c>
      <c r="K1428" s="12">
        <f t="shared" si="22"/>
        <v>200000</v>
      </c>
      <c r="L1428" s="12">
        <f>Sales_Data[[#This Row],[Unit Price]]*Sales_Data[[#This Row],[Quantity]]</f>
        <v>1500000</v>
      </c>
      <c r="M1428" s="12">
        <f>Sales_Data[[#This Row],[Cost Price]]*Sales_Data[[#This Row],[Quantity]]</f>
        <v>1200000</v>
      </c>
      <c r="N1428" s="12">
        <f>Sales_Data[[#This Row],[Revenue]]-Sales_Data[[#This Row],[COGS]]</f>
        <v>300000</v>
      </c>
    </row>
    <row r="1429" spans="1:14">
      <c r="A1429" s="1">
        <v>47103</v>
      </c>
      <c r="B1429" t="s">
        <v>18</v>
      </c>
      <c r="C1429" t="s">
        <v>32</v>
      </c>
      <c r="D1429" t="s">
        <v>23</v>
      </c>
      <c r="E1429" t="s">
        <v>20</v>
      </c>
      <c r="F1429" t="s">
        <v>34</v>
      </c>
      <c r="G1429" t="s">
        <v>16</v>
      </c>
      <c r="H1429" s="12">
        <v>320000</v>
      </c>
      <c r="I1429">
        <v>7</v>
      </c>
      <c r="J1429" t="s">
        <v>37</v>
      </c>
      <c r="K1429" s="12">
        <f t="shared" si="22"/>
        <v>256000</v>
      </c>
      <c r="L1429" s="12">
        <f>Sales_Data[[#This Row],[Unit Price]]*Sales_Data[[#This Row],[Quantity]]</f>
        <v>2240000</v>
      </c>
      <c r="M1429" s="12">
        <f>Sales_Data[[#This Row],[Cost Price]]*Sales_Data[[#This Row],[Quantity]]</f>
        <v>1792000</v>
      </c>
      <c r="N1429" s="12">
        <f>Sales_Data[[#This Row],[Revenue]]-Sales_Data[[#This Row],[COGS]]</f>
        <v>448000</v>
      </c>
    </row>
    <row r="1430" spans="1:14">
      <c r="A1430" s="1">
        <v>47104</v>
      </c>
      <c r="B1430" t="s">
        <v>18</v>
      </c>
      <c r="C1430" t="s">
        <v>32</v>
      </c>
      <c r="D1430" t="s">
        <v>23</v>
      </c>
      <c r="E1430" t="s">
        <v>20</v>
      </c>
      <c r="F1430" t="s">
        <v>33</v>
      </c>
      <c r="G1430" t="s">
        <v>22</v>
      </c>
      <c r="H1430" s="12">
        <v>180000</v>
      </c>
      <c r="I1430">
        <v>2</v>
      </c>
      <c r="J1430" t="s">
        <v>17</v>
      </c>
      <c r="K1430" s="12">
        <f t="shared" si="22"/>
        <v>144000</v>
      </c>
      <c r="L1430" s="12">
        <f>Sales_Data[[#This Row],[Unit Price]]*Sales_Data[[#This Row],[Quantity]]</f>
        <v>360000</v>
      </c>
      <c r="M1430" s="12">
        <f>Sales_Data[[#This Row],[Cost Price]]*Sales_Data[[#This Row],[Quantity]]</f>
        <v>288000</v>
      </c>
      <c r="N1430" s="12">
        <f>Sales_Data[[#This Row],[Revenue]]-Sales_Data[[#This Row],[COGS]]</f>
        <v>72000</v>
      </c>
    </row>
    <row r="1431" spans="1:14">
      <c r="A1431" s="1">
        <v>47105</v>
      </c>
      <c r="B1431" t="s">
        <v>29</v>
      </c>
      <c r="C1431" t="s">
        <v>32</v>
      </c>
      <c r="D1431" t="s">
        <v>23</v>
      </c>
      <c r="E1431" t="s">
        <v>20</v>
      </c>
      <c r="F1431" t="s">
        <v>41</v>
      </c>
      <c r="G1431" t="s">
        <v>22</v>
      </c>
      <c r="H1431" s="12">
        <v>220000</v>
      </c>
      <c r="I1431">
        <v>2</v>
      </c>
      <c r="J1431" t="s">
        <v>39</v>
      </c>
      <c r="K1431" s="12">
        <f t="shared" si="22"/>
        <v>176000</v>
      </c>
      <c r="L1431" s="12">
        <f>Sales_Data[[#This Row],[Unit Price]]*Sales_Data[[#This Row],[Quantity]]</f>
        <v>440000</v>
      </c>
      <c r="M1431" s="12">
        <f>Sales_Data[[#This Row],[Cost Price]]*Sales_Data[[#This Row],[Quantity]]</f>
        <v>352000</v>
      </c>
      <c r="N1431" s="12">
        <f>Sales_Data[[#This Row],[Revenue]]-Sales_Data[[#This Row],[COGS]]</f>
        <v>88000</v>
      </c>
    </row>
    <row r="1432" spans="1:14">
      <c r="A1432" s="1">
        <v>47106</v>
      </c>
      <c r="B1432" t="s">
        <v>29</v>
      </c>
      <c r="C1432" t="s">
        <v>26</v>
      </c>
      <c r="D1432" t="s">
        <v>23</v>
      </c>
      <c r="E1432" t="s">
        <v>20</v>
      </c>
      <c r="F1432" t="s">
        <v>33</v>
      </c>
      <c r="G1432" t="s">
        <v>22</v>
      </c>
      <c r="H1432" s="12">
        <v>180000</v>
      </c>
      <c r="I1432">
        <v>6</v>
      </c>
      <c r="J1432" t="s">
        <v>24</v>
      </c>
      <c r="K1432" s="12">
        <f t="shared" si="22"/>
        <v>144000</v>
      </c>
      <c r="L1432" s="12">
        <f>Sales_Data[[#This Row],[Unit Price]]*Sales_Data[[#This Row],[Quantity]]</f>
        <v>1080000</v>
      </c>
      <c r="M1432" s="12">
        <f>Sales_Data[[#This Row],[Cost Price]]*Sales_Data[[#This Row],[Quantity]]</f>
        <v>864000</v>
      </c>
      <c r="N1432" s="12">
        <f>Sales_Data[[#This Row],[Revenue]]-Sales_Data[[#This Row],[COGS]]</f>
        <v>216000</v>
      </c>
    </row>
    <row r="1433" spans="1:14">
      <c r="A1433" s="1">
        <v>47107</v>
      </c>
      <c r="B1433" t="s">
        <v>11</v>
      </c>
      <c r="C1433" t="s">
        <v>32</v>
      </c>
      <c r="D1433" t="s">
        <v>13</v>
      </c>
      <c r="E1433" t="s">
        <v>20</v>
      </c>
      <c r="F1433" t="s">
        <v>33</v>
      </c>
      <c r="G1433" t="s">
        <v>22</v>
      </c>
      <c r="H1433" s="12">
        <v>180000</v>
      </c>
      <c r="I1433">
        <v>3</v>
      </c>
      <c r="J1433" t="s">
        <v>24</v>
      </c>
      <c r="K1433" s="12">
        <f t="shared" si="22"/>
        <v>144000</v>
      </c>
      <c r="L1433" s="12">
        <f>Sales_Data[[#This Row],[Unit Price]]*Sales_Data[[#This Row],[Quantity]]</f>
        <v>540000</v>
      </c>
      <c r="M1433" s="12">
        <f>Sales_Data[[#This Row],[Cost Price]]*Sales_Data[[#This Row],[Quantity]]</f>
        <v>432000</v>
      </c>
      <c r="N1433" s="12">
        <f>Sales_Data[[#This Row],[Revenue]]-Sales_Data[[#This Row],[COGS]]</f>
        <v>108000</v>
      </c>
    </row>
    <row r="1434" spans="1:14">
      <c r="A1434" s="1">
        <v>47108</v>
      </c>
      <c r="B1434" t="s">
        <v>11</v>
      </c>
      <c r="C1434" t="s">
        <v>26</v>
      </c>
      <c r="D1434" t="s">
        <v>13</v>
      </c>
      <c r="E1434" t="s">
        <v>20</v>
      </c>
      <c r="F1434" t="s">
        <v>27</v>
      </c>
      <c r="G1434" t="s">
        <v>22</v>
      </c>
      <c r="H1434" s="12">
        <v>60000</v>
      </c>
      <c r="I1434">
        <v>2</v>
      </c>
      <c r="J1434" t="s">
        <v>24</v>
      </c>
      <c r="K1434" s="12">
        <f t="shared" si="22"/>
        <v>48000</v>
      </c>
      <c r="L1434" s="12">
        <f>Sales_Data[[#This Row],[Unit Price]]*Sales_Data[[#This Row],[Quantity]]</f>
        <v>120000</v>
      </c>
      <c r="M1434" s="12">
        <f>Sales_Data[[#This Row],[Cost Price]]*Sales_Data[[#This Row],[Quantity]]</f>
        <v>96000</v>
      </c>
      <c r="N1434" s="12">
        <f>Sales_Data[[#This Row],[Revenue]]-Sales_Data[[#This Row],[COGS]]</f>
        <v>24000</v>
      </c>
    </row>
    <row r="1435" spans="1:14">
      <c r="A1435" s="1">
        <v>47109</v>
      </c>
      <c r="B1435" t="s">
        <v>29</v>
      </c>
      <c r="C1435" t="s">
        <v>32</v>
      </c>
      <c r="D1435" t="s">
        <v>23</v>
      </c>
      <c r="E1435" t="s">
        <v>20</v>
      </c>
      <c r="F1435" t="s">
        <v>30</v>
      </c>
      <c r="G1435" t="s">
        <v>31</v>
      </c>
      <c r="H1435" s="12">
        <v>300000</v>
      </c>
      <c r="I1435">
        <v>1</v>
      </c>
      <c r="J1435" t="s">
        <v>37</v>
      </c>
      <c r="K1435" s="12">
        <f t="shared" si="22"/>
        <v>240000</v>
      </c>
      <c r="L1435" s="12">
        <f>Sales_Data[[#This Row],[Unit Price]]*Sales_Data[[#This Row],[Quantity]]</f>
        <v>300000</v>
      </c>
      <c r="M1435" s="12">
        <f>Sales_Data[[#This Row],[Cost Price]]*Sales_Data[[#This Row],[Quantity]]</f>
        <v>240000</v>
      </c>
      <c r="N1435" s="12">
        <f>Sales_Data[[#This Row],[Revenue]]-Sales_Data[[#This Row],[COGS]]</f>
        <v>60000</v>
      </c>
    </row>
    <row r="1436" spans="1:14">
      <c r="A1436" s="1">
        <v>47110</v>
      </c>
      <c r="B1436" t="s">
        <v>25</v>
      </c>
      <c r="C1436" t="s">
        <v>26</v>
      </c>
      <c r="D1436" t="s">
        <v>23</v>
      </c>
      <c r="E1436" t="s">
        <v>20</v>
      </c>
      <c r="F1436" t="s">
        <v>38</v>
      </c>
      <c r="G1436" t="s">
        <v>31</v>
      </c>
      <c r="H1436" s="12">
        <v>420000</v>
      </c>
      <c r="I1436">
        <v>2</v>
      </c>
      <c r="J1436" t="s">
        <v>24</v>
      </c>
      <c r="K1436" s="12">
        <f t="shared" si="22"/>
        <v>336000</v>
      </c>
      <c r="L1436" s="12">
        <f>Sales_Data[[#This Row],[Unit Price]]*Sales_Data[[#This Row],[Quantity]]</f>
        <v>840000</v>
      </c>
      <c r="M1436" s="12">
        <f>Sales_Data[[#This Row],[Cost Price]]*Sales_Data[[#This Row],[Quantity]]</f>
        <v>672000</v>
      </c>
      <c r="N1436" s="12">
        <f>Sales_Data[[#This Row],[Revenue]]-Sales_Data[[#This Row],[COGS]]</f>
        <v>168000</v>
      </c>
    </row>
    <row r="1437" spans="1:14">
      <c r="A1437" s="1">
        <v>47111</v>
      </c>
      <c r="B1437" t="s">
        <v>11</v>
      </c>
      <c r="C1437" t="s">
        <v>19</v>
      </c>
      <c r="D1437" t="s">
        <v>13</v>
      </c>
      <c r="E1437" t="s">
        <v>20</v>
      </c>
      <c r="F1437" t="s">
        <v>40</v>
      </c>
      <c r="G1437" t="s">
        <v>31</v>
      </c>
      <c r="H1437" s="12">
        <v>250000</v>
      </c>
      <c r="I1437">
        <v>9</v>
      </c>
      <c r="J1437" t="s">
        <v>24</v>
      </c>
      <c r="K1437" s="12">
        <f t="shared" si="22"/>
        <v>200000</v>
      </c>
      <c r="L1437" s="12">
        <f>Sales_Data[[#This Row],[Unit Price]]*Sales_Data[[#This Row],[Quantity]]</f>
        <v>2250000</v>
      </c>
      <c r="M1437" s="12">
        <f>Sales_Data[[#This Row],[Cost Price]]*Sales_Data[[#This Row],[Quantity]]</f>
        <v>1800000</v>
      </c>
      <c r="N1437" s="12">
        <f>Sales_Data[[#This Row],[Revenue]]-Sales_Data[[#This Row],[COGS]]</f>
        <v>450000</v>
      </c>
    </row>
    <row r="1438" spans="1:14">
      <c r="A1438" s="1">
        <v>47112</v>
      </c>
      <c r="B1438" t="s">
        <v>25</v>
      </c>
      <c r="C1438" t="s">
        <v>12</v>
      </c>
      <c r="D1438" t="s">
        <v>23</v>
      </c>
      <c r="E1438" t="s">
        <v>20</v>
      </c>
      <c r="F1438" t="s">
        <v>33</v>
      </c>
      <c r="G1438" t="s">
        <v>22</v>
      </c>
      <c r="H1438" s="12">
        <v>180000</v>
      </c>
      <c r="I1438">
        <v>5</v>
      </c>
      <c r="J1438" t="s">
        <v>37</v>
      </c>
      <c r="K1438" s="12">
        <f t="shared" si="22"/>
        <v>144000</v>
      </c>
      <c r="L1438" s="12">
        <f>Sales_Data[[#This Row],[Unit Price]]*Sales_Data[[#This Row],[Quantity]]</f>
        <v>900000</v>
      </c>
      <c r="M1438" s="12">
        <f>Sales_Data[[#This Row],[Cost Price]]*Sales_Data[[#This Row],[Quantity]]</f>
        <v>720000</v>
      </c>
      <c r="N1438" s="12">
        <f>Sales_Data[[#This Row],[Revenue]]-Sales_Data[[#This Row],[COGS]]</f>
        <v>180000</v>
      </c>
    </row>
    <row r="1439" spans="1:14">
      <c r="A1439" s="1">
        <v>47113</v>
      </c>
      <c r="B1439" t="s">
        <v>25</v>
      </c>
      <c r="C1439" t="s">
        <v>19</v>
      </c>
      <c r="D1439" t="s">
        <v>23</v>
      </c>
      <c r="E1439" t="s">
        <v>20</v>
      </c>
      <c r="F1439" t="s">
        <v>36</v>
      </c>
      <c r="G1439" t="s">
        <v>31</v>
      </c>
      <c r="H1439" s="12">
        <v>150000</v>
      </c>
      <c r="I1439">
        <v>5</v>
      </c>
      <c r="J1439" t="s">
        <v>35</v>
      </c>
      <c r="K1439" s="12">
        <f t="shared" si="22"/>
        <v>120000</v>
      </c>
      <c r="L1439" s="12">
        <f>Sales_Data[[#This Row],[Unit Price]]*Sales_Data[[#This Row],[Quantity]]</f>
        <v>750000</v>
      </c>
      <c r="M1439" s="12">
        <f>Sales_Data[[#This Row],[Cost Price]]*Sales_Data[[#This Row],[Quantity]]</f>
        <v>600000</v>
      </c>
      <c r="N1439" s="12">
        <f>Sales_Data[[#This Row],[Revenue]]-Sales_Data[[#This Row],[COGS]]</f>
        <v>150000</v>
      </c>
    </row>
    <row r="1440" spans="1:14">
      <c r="A1440" s="1">
        <v>47114</v>
      </c>
      <c r="B1440" t="s">
        <v>11</v>
      </c>
      <c r="C1440" t="s">
        <v>32</v>
      </c>
      <c r="D1440" t="s">
        <v>13</v>
      </c>
      <c r="E1440" t="s">
        <v>20</v>
      </c>
      <c r="F1440" t="s">
        <v>34</v>
      </c>
      <c r="G1440" t="s">
        <v>16</v>
      </c>
      <c r="H1440" s="12">
        <v>320000</v>
      </c>
      <c r="I1440">
        <v>4</v>
      </c>
      <c r="J1440" t="s">
        <v>39</v>
      </c>
      <c r="K1440" s="12">
        <f t="shared" si="22"/>
        <v>256000</v>
      </c>
      <c r="L1440" s="12">
        <f>Sales_Data[[#This Row],[Unit Price]]*Sales_Data[[#This Row],[Quantity]]</f>
        <v>1280000</v>
      </c>
      <c r="M1440" s="12">
        <f>Sales_Data[[#This Row],[Cost Price]]*Sales_Data[[#This Row],[Quantity]]</f>
        <v>1024000</v>
      </c>
      <c r="N1440" s="12">
        <f>Sales_Data[[#This Row],[Revenue]]-Sales_Data[[#This Row],[COGS]]</f>
        <v>256000</v>
      </c>
    </row>
    <row r="1441" spans="1:14">
      <c r="A1441" s="1">
        <v>47115</v>
      </c>
      <c r="B1441" t="s">
        <v>25</v>
      </c>
      <c r="C1441" t="s">
        <v>26</v>
      </c>
      <c r="D1441" t="s">
        <v>13</v>
      </c>
      <c r="E1441" t="s">
        <v>20</v>
      </c>
      <c r="F1441" t="s">
        <v>33</v>
      </c>
      <c r="G1441" t="s">
        <v>22</v>
      </c>
      <c r="H1441" s="12">
        <v>180000</v>
      </c>
      <c r="I1441">
        <v>10</v>
      </c>
      <c r="J1441" t="s">
        <v>35</v>
      </c>
      <c r="K1441" s="12">
        <f t="shared" si="22"/>
        <v>144000</v>
      </c>
      <c r="L1441" s="12">
        <f>Sales_Data[[#This Row],[Unit Price]]*Sales_Data[[#This Row],[Quantity]]</f>
        <v>1800000</v>
      </c>
      <c r="M1441" s="12">
        <f>Sales_Data[[#This Row],[Cost Price]]*Sales_Data[[#This Row],[Quantity]]</f>
        <v>1440000</v>
      </c>
      <c r="N1441" s="12">
        <f>Sales_Data[[#This Row],[Revenue]]-Sales_Data[[#This Row],[COGS]]</f>
        <v>360000</v>
      </c>
    </row>
    <row r="1442" spans="1:14">
      <c r="A1442" s="1">
        <v>47116</v>
      </c>
      <c r="B1442" t="s">
        <v>29</v>
      </c>
      <c r="C1442" t="s">
        <v>12</v>
      </c>
      <c r="D1442" t="s">
        <v>23</v>
      </c>
      <c r="E1442" t="s">
        <v>20</v>
      </c>
      <c r="F1442" t="s">
        <v>38</v>
      </c>
      <c r="G1442" t="s">
        <v>31</v>
      </c>
      <c r="H1442" s="12">
        <v>420000</v>
      </c>
      <c r="I1442">
        <v>2</v>
      </c>
      <c r="J1442" t="s">
        <v>37</v>
      </c>
      <c r="K1442" s="12">
        <f t="shared" si="22"/>
        <v>336000</v>
      </c>
      <c r="L1442" s="12">
        <f>Sales_Data[[#This Row],[Unit Price]]*Sales_Data[[#This Row],[Quantity]]</f>
        <v>840000</v>
      </c>
      <c r="M1442" s="12">
        <f>Sales_Data[[#This Row],[Cost Price]]*Sales_Data[[#This Row],[Quantity]]</f>
        <v>672000</v>
      </c>
      <c r="N1442" s="12">
        <f>Sales_Data[[#This Row],[Revenue]]-Sales_Data[[#This Row],[COGS]]</f>
        <v>168000</v>
      </c>
    </row>
    <row r="1443" spans="1:14">
      <c r="A1443" s="1">
        <v>47117</v>
      </c>
      <c r="B1443" t="s">
        <v>25</v>
      </c>
      <c r="C1443" t="s">
        <v>12</v>
      </c>
      <c r="D1443" t="s">
        <v>23</v>
      </c>
      <c r="E1443" t="s">
        <v>20</v>
      </c>
      <c r="F1443" t="s">
        <v>36</v>
      </c>
      <c r="G1443" t="s">
        <v>31</v>
      </c>
      <c r="H1443" s="12">
        <v>150000</v>
      </c>
      <c r="I1443">
        <v>6</v>
      </c>
      <c r="J1443" t="s">
        <v>37</v>
      </c>
      <c r="K1443" s="12">
        <f t="shared" si="22"/>
        <v>120000</v>
      </c>
      <c r="L1443" s="12">
        <f>Sales_Data[[#This Row],[Unit Price]]*Sales_Data[[#This Row],[Quantity]]</f>
        <v>900000</v>
      </c>
      <c r="M1443" s="12">
        <f>Sales_Data[[#This Row],[Cost Price]]*Sales_Data[[#This Row],[Quantity]]</f>
        <v>720000</v>
      </c>
      <c r="N1443" s="12">
        <f>Sales_Data[[#This Row],[Revenue]]-Sales_Data[[#This Row],[COGS]]</f>
        <v>180000</v>
      </c>
    </row>
    <row r="1444" spans="1:14">
      <c r="A1444" s="1">
        <v>47118</v>
      </c>
      <c r="B1444" t="s">
        <v>11</v>
      </c>
      <c r="C1444" t="s">
        <v>19</v>
      </c>
      <c r="D1444" t="s">
        <v>23</v>
      </c>
      <c r="E1444" t="s">
        <v>20</v>
      </c>
      <c r="F1444" t="s">
        <v>36</v>
      </c>
      <c r="G1444" t="s">
        <v>31</v>
      </c>
      <c r="H1444" s="12">
        <v>150000</v>
      </c>
      <c r="I1444">
        <v>4</v>
      </c>
      <c r="J1444" t="s">
        <v>24</v>
      </c>
      <c r="K1444" s="12">
        <f t="shared" si="22"/>
        <v>120000</v>
      </c>
      <c r="L1444" s="12">
        <f>Sales_Data[[#This Row],[Unit Price]]*Sales_Data[[#This Row],[Quantity]]</f>
        <v>600000</v>
      </c>
      <c r="M1444" s="12">
        <f>Sales_Data[[#This Row],[Cost Price]]*Sales_Data[[#This Row],[Quantity]]</f>
        <v>480000</v>
      </c>
      <c r="N1444" s="12">
        <f>Sales_Data[[#This Row],[Revenue]]-Sales_Data[[#This Row],[COGS]]</f>
        <v>120000</v>
      </c>
    </row>
    <row r="1445" spans="1:14">
      <c r="A1445" s="1">
        <v>47119</v>
      </c>
      <c r="B1445" t="s">
        <v>18</v>
      </c>
      <c r="C1445" t="s">
        <v>12</v>
      </c>
      <c r="D1445" t="s">
        <v>23</v>
      </c>
      <c r="E1445" t="s">
        <v>20</v>
      </c>
      <c r="F1445" t="s">
        <v>40</v>
      </c>
      <c r="G1445" t="s">
        <v>31</v>
      </c>
      <c r="H1445" s="12">
        <v>250000</v>
      </c>
      <c r="I1445">
        <v>9</v>
      </c>
      <c r="J1445" t="s">
        <v>37</v>
      </c>
      <c r="K1445" s="12">
        <f t="shared" si="22"/>
        <v>200000</v>
      </c>
      <c r="L1445" s="12">
        <f>Sales_Data[[#This Row],[Unit Price]]*Sales_Data[[#This Row],[Quantity]]</f>
        <v>2250000</v>
      </c>
      <c r="M1445" s="12">
        <f>Sales_Data[[#This Row],[Cost Price]]*Sales_Data[[#This Row],[Quantity]]</f>
        <v>1800000</v>
      </c>
      <c r="N1445" s="12">
        <f>Sales_Data[[#This Row],[Revenue]]-Sales_Data[[#This Row],[COGS]]</f>
        <v>450000</v>
      </c>
    </row>
    <row r="1446" spans="1:14">
      <c r="A1446" s="1">
        <v>47120</v>
      </c>
      <c r="B1446" t="s">
        <v>25</v>
      </c>
      <c r="C1446" t="s">
        <v>19</v>
      </c>
      <c r="D1446" t="s">
        <v>23</v>
      </c>
      <c r="E1446" t="s">
        <v>20</v>
      </c>
      <c r="F1446" t="s">
        <v>41</v>
      </c>
      <c r="G1446" t="s">
        <v>22</v>
      </c>
      <c r="H1446" s="12">
        <v>220000</v>
      </c>
      <c r="I1446">
        <v>8</v>
      </c>
      <c r="J1446" t="s">
        <v>39</v>
      </c>
      <c r="K1446" s="12">
        <f t="shared" si="22"/>
        <v>176000</v>
      </c>
      <c r="L1446" s="12">
        <f>Sales_Data[[#This Row],[Unit Price]]*Sales_Data[[#This Row],[Quantity]]</f>
        <v>1760000</v>
      </c>
      <c r="M1446" s="12">
        <f>Sales_Data[[#This Row],[Cost Price]]*Sales_Data[[#This Row],[Quantity]]</f>
        <v>1408000</v>
      </c>
      <c r="N1446" s="12">
        <f>Sales_Data[[#This Row],[Revenue]]-Sales_Data[[#This Row],[COGS]]</f>
        <v>352000</v>
      </c>
    </row>
    <row r="1447" spans="1:14">
      <c r="A1447" s="1">
        <v>47121</v>
      </c>
      <c r="B1447" t="s">
        <v>29</v>
      </c>
      <c r="C1447" t="s">
        <v>26</v>
      </c>
      <c r="D1447" t="s">
        <v>13</v>
      </c>
      <c r="E1447" t="s">
        <v>20</v>
      </c>
      <c r="F1447" t="s">
        <v>36</v>
      </c>
      <c r="G1447" t="s">
        <v>31</v>
      </c>
      <c r="H1447" s="12">
        <v>150000</v>
      </c>
      <c r="I1447">
        <v>2</v>
      </c>
      <c r="J1447" t="s">
        <v>28</v>
      </c>
      <c r="K1447" s="12">
        <f t="shared" si="22"/>
        <v>120000</v>
      </c>
      <c r="L1447" s="12">
        <f>Sales_Data[[#This Row],[Unit Price]]*Sales_Data[[#This Row],[Quantity]]</f>
        <v>300000</v>
      </c>
      <c r="M1447" s="12">
        <f>Sales_Data[[#This Row],[Cost Price]]*Sales_Data[[#This Row],[Quantity]]</f>
        <v>240000</v>
      </c>
      <c r="N1447" s="12">
        <f>Sales_Data[[#This Row],[Revenue]]-Sales_Data[[#This Row],[COGS]]</f>
        <v>60000</v>
      </c>
    </row>
    <row r="1448" spans="1:14">
      <c r="A1448" s="1">
        <v>47122</v>
      </c>
      <c r="B1448" t="s">
        <v>11</v>
      </c>
      <c r="C1448" t="s">
        <v>19</v>
      </c>
      <c r="D1448" t="s">
        <v>23</v>
      </c>
      <c r="E1448" t="s">
        <v>20</v>
      </c>
      <c r="F1448" t="s">
        <v>41</v>
      </c>
      <c r="G1448" t="s">
        <v>22</v>
      </c>
      <c r="H1448" s="12">
        <v>220000</v>
      </c>
      <c r="I1448">
        <v>4</v>
      </c>
      <c r="J1448" t="s">
        <v>28</v>
      </c>
      <c r="K1448" s="12">
        <f t="shared" si="22"/>
        <v>176000</v>
      </c>
      <c r="L1448" s="12">
        <f>Sales_Data[[#This Row],[Unit Price]]*Sales_Data[[#This Row],[Quantity]]</f>
        <v>880000</v>
      </c>
      <c r="M1448" s="12">
        <f>Sales_Data[[#This Row],[Cost Price]]*Sales_Data[[#This Row],[Quantity]]</f>
        <v>704000</v>
      </c>
      <c r="N1448" s="12">
        <f>Sales_Data[[#This Row],[Revenue]]-Sales_Data[[#This Row],[COGS]]</f>
        <v>176000</v>
      </c>
    </row>
    <row r="1449" spans="1:14">
      <c r="A1449" s="1">
        <v>47123</v>
      </c>
      <c r="B1449" t="s">
        <v>25</v>
      </c>
      <c r="C1449" t="s">
        <v>12</v>
      </c>
      <c r="D1449" t="s">
        <v>23</v>
      </c>
      <c r="E1449" t="s">
        <v>20</v>
      </c>
      <c r="F1449" t="s">
        <v>21</v>
      </c>
      <c r="G1449" t="s">
        <v>22</v>
      </c>
      <c r="H1449" s="12">
        <v>30000</v>
      </c>
      <c r="I1449">
        <v>6</v>
      </c>
      <c r="J1449" t="s">
        <v>37</v>
      </c>
      <c r="K1449" s="12">
        <f t="shared" si="22"/>
        <v>24000</v>
      </c>
      <c r="L1449" s="12">
        <f>Sales_Data[[#This Row],[Unit Price]]*Sales_Data[[#This Row],[Quantity]]</f>
        <v>180000</v>
      </c>
      <c r="M1449" s="12">
        <f>Sales_Data[[#This Row],[Cost Price]]*Sales_Data[[#This Row],[Quantity]]</f>
        <v>144000</v>
      </c>
      <c r="N1449" s="12">
        <f>Sales_Data[[#This Row],[Revenue]]-Sales_Data[[#This Row],[COGS]]</f>
        <v>36000</v>
      </c>
    </row>
    <row r="1450" spans="1:14">
      <c r="A1450" s="1">
        <v>47124</v>
      </c>
      <c r="B1450" t="s">
        <v>18</v>
      </c>
      <c r="C1450" t="s">
        <v>32</v>
      </c>
      <c r="D1450" t="s">
        <v>13</v>
      </c>
      <c r="E1450" t="s">
        <v>20</v>
      </c>
      <c r="F1450" t="s">
        <v>15</v>
      </c>
      <c r="G1450" t="s">
        <v>16</v>
      </c>
      <c r="H1450" s="12">
        <v>85000</v>
      </c>
      <c r="I1450">
        <v>3</v>
      </c>
      <c r="J1450" t="s">
        <v>28</v>
      </c>
      <c r="K1450" s="12">
        <f t="shared" si="22"/>
        <v>68000</v>
      </c>
      <c r="L1450" s="12">
        <f>Sales_Data[[#This Row],[Unit Price]]*Sales_Data[[#This Row],[Quantity]]</f>
        <v>255000</v>
      </c>
      <c r="M1450" s="12">
        <f>Sales_Data[[#This Row],[Cost Price]]*Sales_Data[[#This Row],[Quantity]]</f>
        <v>204000</v>
      </c>
      <c r="N1450" s="12">
        <f>Sales_Data[[#This Row],[Revenue]]-Sales_Data[[#This Row],[COGS]]</f>
        <v>51000</v>
      </c>
    </row>
    <row r="1451" spans="1:14">
      <c r="A1451" s="1">
        <v>47125</v>
      </c>
      <c r="B1451" t="s">
        <v>18</v>
      </c>
      <c r="C1451" t="s">
        <v>19</v>
      </c>
      <c r="D1451" t="s">
        <v>13</v>
      </c>
      <c r="E1451" t="s">
        <v>20</v>
      </c>
      <c r="F1451" t="s">
        <v>15</v>
      </c>
      <c r="G1451" t="s">
        <v>16</v>
      </c>
      <c r="H1451" s="12">
        <v>85000</v>
      </c>
      <c r="I1451">
        <v>2</v>
      </c>
      <c r="J1451" t="s">
        <v>17</v>
      </c>
      <c r="K1451" s="12">
        <f t="shared" si="22"/>
        <v>68000</v>
      </c>
      <c r="L1451" s="12">
        <f>Sales_Data[[#This Row],[Unit Price]]*Sales_Data[[#This Row],[Quantity]]</f>
        <v>170000</v>
      </c>
      <c r="M1451" s="12">
        <f>Sales_Data[[#This Row],[Cost Price]]*Sales_Data[[#This Row],[Quantity]]</f>
        <v>136000</v>
      </c>
      <c r="N1451" s="12">
        <f>Sales_Data[[#This Row],[Revenue]]-Sales_Data[[#This Row],[COGS]]</f>
        <v>34000</v>
      </c>
    </row>
    <row r="1452" spans="1:14">
      <c r="A1452" s="1">
        <v>47126</v>
      </c>
      <c r="B1452" t="s">
        <v>29</v>
      </c>
      <c r="C1452" t="s">
        <v>19</v>
      </c>
      <c r="D1452" t="s">
        <v>13</v>
      </c>
      <c r="E1452" t="s">
        <v>20</v>
      </c>
      <c r="F1452" t="s">
        <v>40</v>
      </c>
      <c r="G1452" t="s">
        <v>31</v>
      </c>
      <c r="H1452" s="12">
        <v>250000</v>
      </c>
      <c r="I1452">
        <v>10</v>
      </c>
      <c r="J1452" t="s">
        <v>28</v>
      </c>
      <c r="K1452" s="12">
        <f t="shared" si="22"/>
        <v>200000</v>
      </c>
      <c r="L1452" s="12">
        <f>Sales_Data[[#This Row],[Unit Price]]*Sales_Data[[#This Row],[Quantity]]</f>
        <v>2500000</v>
      </c>
      <c r="M1452" s="12">
        <f>Sales_Data[[#This Row],[Cost Price]]*Sales_Data[[#This Row],[Quantity]]</f>
        <v>2000000</v>
      </c>
      <c r="N1452" s="12">
        <f>Sales_Data[[#This Row],[Revenue]]-Sales_Data[[#This Row],[COGS]]</f>
        <v>500000</v>
      </c>
    </row>
    <row r="1453" spans="1:14">
      <c r="A1453" s="1">
        <v>47127</v>
      </c>
      <c r="B1453" t="s">
        <v>11</v>
      </c>
      <c r="C1453" t="s">
        <v>19</v>
      </c>
      <c r="D1453" t="s">
        <v>23</v>
      </c>
      <c r="E1453" t="s">
        <v>20</v>
      </c>
      <c r="F1453" t="s">
        <v>41</v>
      </c>
      <c r="G1453" t="s">
        <v>22</v>
      </c>
      <c r="H1453" s="12">
        <v>220000</v>
      </c>
      <c r="I1453">
        <v>2</v>
      </c>
      <c r="J1453" t="s">
        <v>37</v>
      </c>
      <c r="K1453" s="12">
        <f t="shared" si="22"/>
        <v>176000</v>
      </c>
      <c r="L1453" s="12">
        <f>Sales_Data[[#This Row],[Unit Price]]*Sales_Data[[#This Row],[Quantity]]</f>
        <v>440000</v>
      </c>
      <c r="M1453" s="12">
        <f>Sales_Data[[#This Row],[Cost Price]]*Sales_Data[[#This Row],[Quantity]]</f>
        <v>352000</v>
      </c>
      <c r="N1453" s="12">
        <f>Sales_Data[[#This Row],[Revenue]]-Sales_Data[[#This Row],[COGS]]</f>
        <v>88000</v>
      </c>
    </row>
    <row r="1454" spans="1:14">
      <c r="A1454" s="1">
        <v>47128</v>
      </c>
      <c r="B1454" t="s">
        <v>11</v>
      </c>
      <c r="C1454" t="s">
        <v>12</v>
      </c>
      <c r="D1454" t="s">
        <v>23</v>
      </c>
      <c r="E1454" t="s">
        <v>20</v>
      </c>
      <c r="F1454" t="s">
        <v>30</v>
      </c>
      <c r="G1454" t="s">
        <v>31</v>
      </c>
      <c r="H1454" s="12">
        <v>300000</v>
      </c>
      <c r="I1454">
        <v>9</v>
      </c>
      <c r="J1454" t="s">
        <v>37</v>
      </c>
      <c r="K1454" s="12">
        <f t="shared" si="22"/>
        <v>240000</v>
      </c>
      <c r="L1454" s="12">
        <f>Sales_Data[[#This Row],[Unit Price]]*Sales_Data[[#This Row],[Quantity]]</f>
        <v>2700000</v>
      </c>
      <c r="M1454" s="12">
        <f>Sales_Data[[#This Row],[Cost Price]]*Sales_Data[[#This Row],[Quantity]]</f>
        <v>2160000</v>
      </c>
      <c r="N1454" s="12">
        <f>Sales_Data[[#This Row],[Revenue]]-Sales_Data[[#This Row],[COGS]]</f>
        <v>540000</v>
      </c>
    </row>
    <row r="1455" spans="1:14">
      <c r="A1455" s="1">
        <v>47129</v>
      </c>
      <c r="B1455" t="s">
        <v>18</v>
      </c>
      <c r="C1455" t="s">
        <v>32</v>
      </c>
      <c r="D1455" t="s">
        <v>13</v>
      </c>
      <c r="E1455" t="s">
        <v>20</v>
      </c>
      <c r="F1455" t="s">
        <v>41</v>
      </c>
      <c r="G1455" t="s">
        <v>22</v>
      </c>
      <c r="H1455" s="12">
        <v>220000</v>
      </c>
      <c r="I1455">
        <v>3</v>
      </c>
      <c r="J1455" t="s">
        <v>24</v>
      </c>
      <c r="K1455" s="12">
        <f t="shared" si="22"/>
        <v>176000</v>
      </c>
      <c r="L1455" s="12">
        <f>Sales_Data[[#This Row],[Unit Price]]*Sales_Data[[#This Row],[Quantity]]</f>
        <v>660000</v>
      </c>
      <c r="M1455" s="12">
        <f>Sales_Data[[#This Row],[Cost Price]]*Sales_Data[[#This Row],[Quantity]]</f>
        <v>528000</v>
      </c>
      <c r="N1455" s="12">
        <f>Sales_Data[[#This Row],[Revenue]]-Sales_Data[[#This Row],[COGS]]</f>
        <v>132000</v>
      </c>
    </row>
    <row r="1456" spans="1:14">
      <c r="A1456" s="1">
        <v>47130</v>
      </c>
      <c r="B1456" t="s">
        <v>18</v>
      </c>
      <c r="C1456" t="s">
        <v>32</v>
      </c>
      <c r="D1456" t="s">
        <v>23</v>
      </c>
      <c r="E1456" t="s">
        <v>20</v>
      </c>
      <c r="F1456" t="s">
        <v>40</v>
      </c>
      <c r="G1456" t="s">
        <v>31</v>
      </c>
      <c r="H1456" s="12">
        <v>250000</v>
      </c>
      <c r="I1456">
        <v>8</v>
      </c>
      <c r="J1456" t="s">
        <v>28</v>
      </c>
      <c r="K1456" s="12">
        <f t="shared" si="22"/>
        <v>200000</v>
      </c>
      <c r="L1456" s="12">
        <f>Sales_Data[[#This Row],[Unit Price]]*Sales_Data[[#This Row],[Quantity]]</f>
        <v>2000000</v>
      </c>
      <c r="M1456" s="12">
        <f>Sales_Data[[#This Row],[Cost Price]]*Sales_Data[[#This Row],[Quantity]]</f>
        <v>1600000</v>
      </c>
      <c r="N1456" s="12">
        <f>Sales_Data[[#This Row],[Revenue]]-Sales_Data[[#This Row],[COGS]]</f>
        <v>400000</v>
      </c>
    </row>
    <row r="1457" spans="1:14">
      <c r="A1457" s="1">
        <v>47131</v>
      </c>
      <c r="B1457" t="s">
        <v>25</v>
      </c>
      <c r="C1457" t="s">
        <v>19</v>
      </c>
      <c r="D1457" t="s">
        <v>23</v>
      </c>
      <c r="E1457" t="s">
        <v>20</v>
      </c>
      <c r="F1457" t="s">
        <v>40</v>
      </c>
      <c r="G1457" t="s">
        <v>31</v>
      </c>
      <c r="H1457" s="12">
        <v>250000</v>
      </c>
      <c r="I1457">
        <v>5</v>
      </c>
      <c r="J1457" t="s">
        <v>39</v>
      </c>
      <c r="K1457" s="12">
        <f t="shared" si="22"/>
        <v>200000</v>
      </c>
      <c r="L1457" s="12">
        <f>Sales_Data[[#This Row],[Unit Price]]*Sales_Data[[#This Row],[Quantity]]</f>
        <v>1250000</v>
      </c>
      <c r="M1457" s="12">
        <f>Sales_Data[[#This Row],[Cost Price]]*Sales_Data[[#This Row],[Quantity]]</f>
        <v>1000000</v>
      </c>
      <c r="N1457" s="12">
        <f>Sales_Data[[#This Row],[Revenue]]-Sales_Data[[#This Row],[COGS]]</f>
        <v>250000</v>
      </c>
    </row>
    <row r="1458" spans="1:14">
      <c r="A1458" s="1">
        <v>47132</v>
      </c>
      <c r="B1458" t="s">
        <v>29</v>
      </c>
      <c r="C1458" t="s">
        <v>32</v>
      </c>
      <c r="D1458" t="s">
        <v>13</v>
      </c>
      <c r="E1458" t="s">
        <v>20</v>
      </c>
      <c r="F1458" t="s">
        <v>38</v>
      </c>
      <c r="G1458" t="s">
        <v>31</v>
      </c>
      <c r="H1458" s="12">
        <v>420000</v>
      </c>
      <c r="I1458">
        <v>5</v>
      </c>
      <c r="J1458" t="s">
        <v>24</v>
      </c>
      <c r="K1458" s="12">
        <f t="shared" si="22"/>
        <v>336000</v>
      </c>
      <c r="L1458" s="12">
        <f>Sales_Data[[#This Row],[Unit Price]]*Sales_Data[[#This Row],[Quantity]]</f>
        <v>2100000</v>
      </c>
      <c r="M1458" s="12">
        <f>Sales_Data[[#This Row],[Cost Price]]*Sales_Data[[#This Row],[Quantity]]</f>
        <v>1680000</v>
      </c>
      <c r="N1458" s="12">
        <f>Sales_Data[[#This Row],[Revenue]]-Sales_Data[[#This Row],[COGS]]</f>
        <v>420000</v>
      </c>
    </row>
    <row r="1459" spans="1:14">
      <c r="A1459" s="1">
        <v>47133</v>
      </c>
      <c r="B1459" t="s">
        <v>25</v>
      </c>
      <c r="C1459" t="s">
        <v>19</v>
      </c>
      <c r="D1459" t="s">
        <v>13</v>
      </c>
      <c r="E1459" t="s">
        <v>20</v>
      </c>
      <c r="F1459" t="s">
        <v>27</v>
      </c>
      <c r="G1459" t="s">
        <v>22</v>
      </c>
      <c r="H1459" s="12">
        <v>60000</v>
      </c>
      <c r="I1459">
        <v>7</v>
      </c>
      <c r="J1459" t="s">
        <v>39</v>
      </c>
      <c r="K1459" s="12">
        <f t="shared" si="22"/>
        <v>48000</v>
      </c>
      <c r="L1459" s="12">
        <f>Sales_Data[[#This Row],[Unit Price]]*Sales_Data[[#This Row],[Quantity]]</f>
        <v>420000</v>
      </c>
      <c r="M1459" s="12">
        <f>Sales_Data[[#This Row],[Cost Price]]*Sales_Data[[#This Row],[Quantity]]</f>
        <v>336000</v>
      </c>
      <c r="N1459" s="12">
        <f>Sales_Data[[#This Row],[Revenue]]-Sales_Data[[#This Row],[COGS]]</f>
        <v>84000</v>
      </c>
    </row>
    <row r="1460" spans="1:14">
      <c r="A1460" s="1">
        <v>47134</v>
      </c>
      <c r="B1460" t="s">
        <v>18</v>
      </c>
      <c r="C1460" t="s">
        <v>26</v>
      </c>
      <c r="D1460" t="s">
        <v>13</v>
      </c>
      <c r="E1460" t="s">
        <v>20</v>
      </c>
      <c r="F1460" t="s">
        <v>21</v>
      </c>
      <c r="G1460" t="s">
        <v>22</v>
      </c>
      <c r="H1460" s="12">
        <v>30000</v>
      </c>
      <c r="I1460">
        <v>8</v>
      </c>
      <c r="J1460" t="s">
        <v>17</v>
      </c>
      <c r="K1460" s="12">
        <f t="shared" si="22"/>
        <v>24000</v>
      </c>
      <c r="L1460" s="12">
        <f>Sales_Data[[#This Row],[Unit Price]]*Sales_Data[[#This Row],[Quantity]]</f>
        <v>240000</v>
      </c>
      <c r="M1460" s="12">
        <f>Sales_Data[[#This Row],[Cost Price]]*Sales_Data[[#This Row],[Quantity]]</f>
        <v>192000</v>
      </c>
      <c r="N1460" s="12">
        <f>Sales_Data[[#This Row],[Revenue]]-Sales_Data[[#This Row],[COGS]]</f>
        <v>48000</v>
      </c>
    </row>
    <row r="1461" spans="1:14">
      <c r="A1461" s="1">
        <v>47135</v>
      </c>
      <c r="B1461" t="s">
        <v>29</v>
      </c>
      <c r="C1461" t="s">
        <v>12</v>
      </c>
      <c r="D1461" t="s">
        <v>23</v>
      </c>
      <c r="E1461" t="s">
        <v>20</v>
      </c>
      <c r="F1461" t="s">
        <v>40</v>
      </c>
      <c r="G1461" t="s">
        <v>31</v>
      </c>
      <c r="H1461" s="12">
        <v>250000</v>
      </c>
      <c r="I1461">
        <v>2</v>
      </c>
      <c r="J1461" t="s">
        <v>28</v>
      </c>
      <c r="K1461" s="12">
        <f t="shared" si="22"/>
        <v>200000</v>
      </c>
      <c r="L1461" s="12">
        <f>Sales_Data[[#This Row],[Unit Price]]*Sales_Data[[#This Row],[Quantity]]</f>
        <v>500000</v>
      </c>
      <c r="M1461" s="12">
        <f>Sales_Data[[#This Row],[Cost Price]]*Sales_Data[[#This Row],[Quantity]]</f>
        <v>400000</v>
      </c>
      <c r="N1461" s="12">
        <f>Sales_Data[[#This Row],[Revenue]]-Sales_Data[[#This Row],[COGS]]</f>
        <v>100000</v>
      </c>
    </row>
    <row r="1462" spans="1:14">
      <c r="A1462" s="1">
        <v>47136</v>
      </c>
      <c r="B1462" t="s">
        <v>18</v>
      </c>
      <c r="C1462" t="s">
        <v>12</v>
      </c>
      <c r="D1462" t="s">
        <v>13</v>
      </c>
      <c r="E1462" t="s">
        <v>20</v>
      </c>
      <c r="F1462" t="s">
        <v>27</v>
      </c>
      <c r="G1462" t="s">
        <v>22</v>
      </c>
      <c r="H1462" s="12">
        <v>60000</v>
      </c>
      <c r="I1462">
        <v>8</v>
      </c>
      <c r="J1462" t="s">
        <v>39</v>
      </c>
      <c r="K1462" s="12">
        <f t="shared" si="22"/>
        <v>48000</v>
      </c>
      <c r="L1462" s="12">
        <f>Sales_Data[[#This Row],[Unit Price]]*Sales_Data[[#This Row],[Quantity]]</f>
        <v>480000</v>
      </c>
      <c r="M1462" s="12">
        <f>Sales_Data[[#This Row],[Cost Price]]*Sales_Data[[#This Row],[Quantity]]</f>
        <v>384000</v>
      </c>
      <c r="N1462" s="12">
        <f>Sales_Data[[#This Row],[Revenue]]-Sales_Data[[#This Row],[COGS]]</f>
        <v>96000</v>
      </c>
    </row>
    <row r="1463" spans="1:14">
      <c r="A1463" s="1">
        <v>47137</v>
      </c>
      <c r="B1463" t="s">
        <v>11</v>
      </c>
      <c r="C1463" t="s">
        <v>12</v>
      </c>
      <c r="D1463" t="s">
        <v>13</v>
      </c>
      <c r="E1463" t="s">
        <v>20</v>
      </c>
      <c r="F1463" t="s">
        <v>21</v>
      </c>
      <c r="G1463" t="s">
        <v>22</v>
      </c>
      <c r="H1463" s="12">
        <v>30000</v>
      </c>
      <c r="I1463">
        <v>7</v>
      </c>
      <c r="J1463" t="s">
        <v>37</v>
      </c>
      <c r="K1463" s="12">
        <f t="shared" si="22"/>
        <v>24000</v>
      </c>
      <c r="L1463" s="12">
        <f>Sales_Data[[#This Row],[Unit Price]]*Sales_Data[[#This Row],[Quantity]]</f>
        <v>210000</v>
      </c>
      <c r="M1463" s="12">
        <f>Sales_Data[[#This Row],[Cost Price]]*Sales_Data[[#This Row],[Quantity]]</f>
        <v>168000</v>
      </c>
      <c r="N1463" s="12">
        <f>Sales_Data[[#This Row],[Revenue]]-Sales_Data[[#This Row],[COGS]]</f>
        <v>42000</v>
      </c>
    </row>
    <row r="1464" spans="1:14">
      <c r="A1464" s="1">
        <v>47138</v>
      </c>
      <c r="B1464" t="s">
        <v>25</v>
      </c>
      <c r="C1464" t="s">
        <v>19</v>
      </c>
      <c r="D1464" t="s">
        <v>23</v>
      </c>
      <c r="E1464" t="s">
        <v>20</v>
      </c>
      <c r="F1464" t="s">
        <v>21</v>
      </c>
      <c r="G1464" t="s">
        <v>22</v>
      </c>
      <c r="H1464" s="12">
        <v>30000</v>
      </c>
      <c r="I1464">
        <v>3</v>
      </c>
      <c r="J1464" t="s">
        <v>17</v>
      </c>
      <c r="K1464" s="12">
        <f t="shared" si="22"/>
        <v>24000</v>
      </c>
      <c r="L1464" s="12">
        <f>Sales_Data[[#This Row],[Unit Price]]*Sales_Data[[#This Row],[Quantity]]</f>
        <v>90000</v>
      </c>
      <c r="M1464" s="12">
        <f>Sales_Data[[#This Row],[Cost Price]]*Sales_Data[[#This Row],[Quantity]]</f>
        <v>72000</v>
      </c>
      <c r="N1464" s="12">
        <f>Sales_Data[[#This Row],[Revenue]]-Sales_Data[[#This Row],[COGS]]</f>
        <v>18000</v>
      </c>
    </row>
    <row r="1465" spans="1:14">
      <c r="A1465" s="1">
        <v>47139</v>
      </c>
      <c r="B1465" t="s">
        <v>25</v>
      </c>
      <c r="C1465" t="s">
        <v>26</v>
      </c>
      <c r="D1465" t="s">
        <v>23</v>
      </c>
      <c r="E1465" t="s">
        <v>20</v>
      </c>
      <c r="F1465" t="s">
        <v>33</v>
      </c>
      <c r="G1465" t="s">
        <v>22</v>
      </c>
      <c r="H1465" s="12">
        <v>180000</v>
      </c>
      <c r="I1465">
        <v>5</v>
      </c>
      <c r="J1465" t="s">
        <v>37</v>
      </c>
      <c r="K1465" s="12">
        <f t="shared" si="22"/>
        <v>144000</v>
      </c>
      <c r="L1465" s="12">
        <f>Sales_Data[[#This Row],[Unit Price]]*Sales_Data[[#This Row],[Quantity]]</f>
        <v>900000</v>
      </c>
      <c r="M1465" s="12">
        <f>Sales_Data[[#This Row],[Cost Price]]*Sales_Data[[#This Row],[Quantity]]</f>
        <v>720000</v>
      </c>
      <c r="N1465" s="12">
        <f>Sales_Data[[#This Row],[Revenue]]-Sales_Data[[#This Row],[COGS]]</f>
        <v>180000</v>
      </c>
    </row>
    <row r="1466" spans="1:14">
      <c r="A1466" s="1">
        <v>47140</v>
      </c>
      <c r="B1466" t="s">
        <v>18</v>
      </c>
      <c r="C1466" t="s">
        <v>32</v>
      </c>
      <c r="D1466" t="s">
        <v>13</v>
      </c>
      <c r="E1466" t="s">
        <v>20</v>
      </c>
      <c r="F1466" t="s">
        <v>40</v>
      </c>
      <c r="G1466" t="s">
        <v>31</v>
      </c>
      <c r="H1466" s="12">
        <v>250000</v>
      </c>
      <c r="I1466">
        <v>5</v>
      </c>
      <c r="J1466" t="s">
        <v>35</v>
      </c>
      <c r="K1466" s="12">
        <f t="shared" si="22"/>
        <v>200000</v>
      </c>
      <c r="L1466" s="12">
        <f>Sales_Data[[#This Row],[Unit Price]]*Sales_Data[[#This Row],[Quantity]]</f>
        <v>1250000</v>
      </c>
      <c r="M1466" s="12">
        <f>Sales_Data[[#This Row],[Cost Price]]*Sales_Data[[#This Row],[Quantity]]</f>
        <v>1000000</v>
      </c>
      <c r="N1466" s="12">
        <f>Sales_Data[[#This Row],[Revenue]]-Sales_Data[[#This Row],[COGS]]</f>
        <v>250000</v>
      </c>
    </row>
    <row r="1467" spans="1:14">
      <c r="A1467" s="1">
        <v>47141</v>
      </c>
      <c r="B1467" t="s">
        <v>18</v>
      </c>
      <c r="C1467" t="s">
        <v>12</v>
      </c>
      <c r="D1467" t="s">
        <v>13</v>
      </c>
      <c r="E1467" t="s">
        <v>20</v>
      </c>
      <c r="F1467" t="s">
        <v>15</v>
      </c>
      <c r="G1467" t="s">
        <v>16</v>
      </c>
      <c r="H1467" s="12">
        <v>85000</v>
      </c>
      <c r="I1467">
        <v>3</v>
      </c>
      <c r="J1467" t="s">
        <v>37</v>
      </c>
      <c r="K1467" s="12">
        <f t="shared" si="22"/>
        <v>68000</v>
      </c>
      <c r="L1467" s="12">
        <f>Sales_Data[[#This Row],[Unit Price]]*Sales_Data[[#This Row],[Quantity]]</f>
        <v>255000</v>
      </c>
      <c r="M1467" s="12">
        <f>Sales_Data[[#This Row],[Cost Price]]*Sales_Data[[#This Row],[Quantity]]</f>
        <v>204000</v>
      </c>
      <c r="N1467" s="12">
        <f>Sales_Data[[#This Row],[Revenue]]-Sales_Data[[#This Row],[COGS]]</f>
        <v>51000</v>
      </c>
    </row>
    <row r="1468" spans="1:14">
      <c r="A1468" s="1">
        <v>47142</v>
      </c>
      <c r="B1468" t="s">
        <v>29</v>
      </c>
      <c r="C1468" t="s">
        <v>12</v>
      </c>
      <c r="D1468" t="s">
        <v>23</v>
      </c>
      <c r="E1468" t="s">
        <v>20</v>
      </c>
      <c r="F1468" t="s">
        <v>21</v>
      </c>
      <c r="G1468" t="s">
        <v>22</v>
      </c>
      <c r="H1468" s="12">
        <v>30000</v>
      </c>
      <c r="I1468">
        <v>1</v>
      </c>
      <c r="J1468" t="s">
        <v>24</v>
      </c>
      <c r="K1468" s="12">
        <f t="shared" si="22"/>
        <v>24000</v>
      </c>
      <c r="L1468" s="12">
        <f>Sales_Data[[#This Row],[Unit Price]]*Sales_Data[[#This Row],[Quantity]]</f>
        <v>30000</v>
      </c>
      <c r="M1468" s="12">
        <f>Sales_Data[[#This Row],[Cost Price]]*Sales_Data[[#This Row],[Quantity]]</f>
        <v>24000</v>
      </c>
      <c r="N1468" s="12">
        <f>Sales_Data[[#This Row],[Revenue]]-Sales_Data[[#This Row],[COGS]]</f>
        <v>6000</v>
      </c>
    </row>
    <row r="1469" spans="1:14">
      <c r="A1469" s="1">
        <v>47143</v>
      </c>
      <c r="B1469" t="s">
        <v>25</v>
      </c>
      <c r="C1469" t="s">
        <v>26</v>
      </c>
      <c r="D1469" t="s">
        <v>23</v>
      </c>
      <c r="E1469" t="s">
        <v>20</v>
      </c>
      <c r="F1469" t="s">
        <v>30</v>
      </c>
      <c r="G1469" t="s">
        <v>31</v>
      </c>
      <c r="H1469" s="12">
        <v>300000</v>
      </c>
      <c r="I1469">
        <v>10</v>
      </c>
      <c r="J1469" t="s">
        <v>35</v>
      </c>
      <c r="K1469" s="12">
        <f t="shared" si="22"/>
        <v>240000</v>
      </c>
      <c r="L1469" s="12">
        <f>Sales_Data[[#This Row],[Unit Price]]*Sales_Data[[#This Row],[Quantity]]</f>
        <v>3000000</v>
      </c>
      <c r="M1469" s="12">
        <f>Sales_Data[[#This Row],[Cost Price]]*Sales_Data[[#This Row],[Quantity]]</f>
        <v>2400000</v>
      </c>
      <c r="N1469" s="12">
        <f>Sales_Data[[#This Row],[Revenue]]-Sales_Data[[#This Row],[COGS]]</f>
        <v>600000</v>
      </c>
    </row>
    <row r="1470" spans="1:14">
      <c r="A1470" s="1">
        <v>47144</v>
      </c>
      <c r="B1470" t="s">
        <v>25</v>
      </c>
      <c r="C1470" t="s">
        <v>19</v>
      </c>
      <c r="D1470" t="s">
        <v>23</v>
      </c>
      <c r="E1470" t="s">
        <v>20</v>
      </c>
      <c r="F1470" t="s">
        <v>38</v>
      </c>
      <c r="G1470" t="s">
        <v>31</v>
      </c>
      <c r="H1470" s="12">
        <v>420000</v>
      </c>
      <c r="I1470">
        <v>5</v>
      </c>
      <c r="J1470" t="s">
        <v>37</v>
      </c>
      <c r="K1470" s="12">
        <f t="shared" si="22"/>
        <v>336000</v>
      </c>
      <c r="L1470" s="12">
        <f>Sales_Data[[#This Row],[Unit Price]]*Sales_Data[[#This Row],[Quantity]]</f>
        <v>2100000</v>
      </c>
      <c r="M1470" s="12">
        <f>Sales_Data[[#This Row],[Cost Price]]*Sales_Data[[#This Row],[Quantity]]</f>
        <v>1680000</v>
      </c>
      <c r="N1470" s="12">
        <f>Sales_Data[[#This Row],[Revenue]]-Sales_Data[[#This Row],[COGS]]</f>
        <v>420000</v>
      </c>
    </row>
    <row r="1471" spans="1:14">
      <c r="A1471" s="1">
        <v>47145</v>
      </c>
      <c r="B1471" t="s">
        <v>18</v>
      </c>
      <c r="C1471" t="s">
        <v>12</v>
      </c>
      <c r="D1471" t="s">
        <v>23</v>
      </c>
      <c r="E1471" t="s">
        <v>20</v>
      </c>
      <c r="F1471" t="s">
        <v>40</v>
      </c>
      <c r="G1471" t="s">
        <v>31</v>
      </c>
      <c r="H1471" s="12">
        <v>250000</v>
      </c>
      <c r="I1471">
        <v>4</v>
      </c>
      <c r="J1471" t="s">
        <v>37</v>
      </c>
      <c r="K1471" s="12">
        <f t="shared" si="22"/>
        <v>200000</v>
      </c>
      <c r="L1471" s="12">
        <f>Sales_Data[[#This Row],[Unit Price]]*Sales_Data[[#This Row],[Quantity]]</f>
        <v>1000000</v>
      </c>
      <c r="M1471" s="12">
        <f>Sales_Data[[#This Row],[Cost Price]]*Sales_Data[[#This Row],[Quantity]]</f>
        <v>800000</v>
      </c>
      <c r="N1471" s="12">
        <f>Sales_Data[[#This Row],[Revenue]]-Sales_Data[[#This Row],[COGS]]</f>
        <v>200000</v>
      </c>
    </row>
    <row r="1472" spans="1:14">
      <c r="A1472" s="1">
        <v>47146</v>
      </c>
      <c r="B1472" t="s">
        <v>25</v>
      </c>
      <c r="C1472" t="s">
        <v>26</v>
      </c>
      <c r="D1472" t="s">
        <v>13</v>
      </c>
      <c r="E1472" t="s">
        <v>20</v>
      </c>
      <c r="F1472" t="s">
        <v>41</v>
      </c>
      <c r="G1472" t="s">
        <v>22</v>
      </c>
      <c r="H1472" s="12">
        <v>220000</v>
      </c>
      <c r="I1472">
        <v>3</v>
      </c>
      <c r="J1472" t="s">
        <v>17</v>
      </c>
      <c r="K1472" s="12">
        <f t="shared" si="22"/>
        <v>176000</v>
      </c>
      <c r="L1472" s="12">
        <f>Sales_Data[[#This Row],[Unit Price]]*Sales_Data[[#This Row],[Quantity]]</f>
        <v>660000</v>
      </c>
      <c r="M1472" s="12">
        <f>Sales_Data[[#This Row],[Cost Price]]*Sales_Data[[#This Row],[Quantity]]</f>
        <v>528000</v>
      </c>
      <c r="N1472" s="12">
        <f>Sales_Data[[#This Row],[Revenue]]-Sales_Data[[#This Row],[COGS]]</f>
        <v>132000</v>
      </c>
    </row>
    <row r="1473" spans="1:14">
      <c r="A1473" s="1">
        <v>47147</v>
      </c>
      <c r="B1473" t="s">
        <v>29</v>
      </c>
      <c r="C1473" t="s">
        <v>32</v>
      </c>
      <c r="D1473" t="s">
        <v>13</v>
      </c>
      <c r="E1473" t="s">
        <v>20</v>
      </c>
      <c r="F1473" t="s">
        <v>34</v>
      </c>
      <c r="G1473" t="s">
        <v>16</v>
      </c>
      <c r="H1473" s="12">
        <v>320000</v>
      </c>
      <c r="I1473">
        <v>2</v>
      </c>
      <c r="J1473" t="s">
        <v>28</v>
      </c>
      <c r="K1473" s="12">
        <f t="shared" si="22"/>
        <v>256000</v>
      </c>
      <c r="L1473" s="12">
        <f>Sales_Data[[#This Row],[Unit Price]]*Sales_Data[[#This Row],[Quantity]]</f>
        <v>640000</v>
      </c>
      <c r="M1473" s="12">
        <f>Sales_Data[[#This Row],[Cost Price]]*Sales_Data[[#This Row],[Quantity]]</f>
        <v>512000</v>
      </c>
      <c r="N1473" s="12">
        <f>Sales_Data[[#This Row],[Revenue]]-Sales_Data[[#This Row],[COGS]]</f>
        <v>128000</v>
      </c>
    </row>
    <row r="1474" spans="1:14">
      <c r="A1474" s="1">
        <v>47148</v>
      </c>
      <c r="B1474" t="s">
        <v>11</v>
      </c>
      <c r="C1474" t="s">
        <v>32</v>
      </c>
      <c r="D1474" t="s">
        <v>23</v>
      </c>
      <c r="E1474" t="s">
        <v>20</v>
      </c>
      <c r="F1474" t="s">
        <v>34</v>
      </c>
      <c r="G1474" t="s">
        <v>16</v>
      </c>
      <c r="H1474" s="12">
        <v>320000</v>
      </c>
      <c r="I1474">
        <v>9</v>
      </c>
      <c r="J1474" t="s">
        <v>39</v>
      </c>
      <c r="K1474" s="12">
        <f t="shared" ref="K1474:K1537" si="23">H1474-H1474*0.2</f>
        <v>256000</v>
      </c>
      <c r="L1474" s="12">
        <f>Sales_Data[[#This Row],[Unit Price]]*Sales_Data[[#This Row],[Quantity]]</f>
        <v>2880000</v>
      </c>
      <c r="M1474" s="12">
        <f>Sales_Data[[#This Row],[Cost Price]]*Sales_Data[[#This Row],[Quantity]]</f>
        <v>2304000</v>
      </c>
      <c r="N1474" s="12">
        <f>Sales_Data[[#This Row],[Revenue]]-Sales_Data[[#This Row],[COGS]]</f>
        <v>576000</v>
      </c>
    </row>
    <row r="1475" spans="1:14">
      <c r="A1475" s="1">
        <v>47149</v>
      </c>
      <c r="B1475" t="s">
        <v>29</v>
      </c>
      <c r="C1475" t="s">
        <v>19</v>
      </c>
      <c r="D1475" t="s">
        <v>13</v>
      </c>
      <c r="E1475" t="s">
        <v>20</v>
      </c>
      <c r="F1475" t="s">
        <v>41</v>
      </c>
      <c r="G1475" t="s">
        <v>22</v>
      </c>
      <c r="H1475" s="12">
        <v>220000</v>
      </c>
      <c r="I1475">
        <v>10</v>
      </c>
      <c r="J1475" t="s">
        <v>24</v>
      </c>
      <c r="K1475" s="12">
        <f t="shared" si="23"/>
        <v>176000</v>
      </c>
      <c r="L1475" s="12">
        <f>Sales_Data[[#This Row],[Unit Price]]*Sales_Data[[#This Row],[Quantity]]</f>
        <v>2200000</v>
      </c>
      <c r="M1475" s="12">
        <f>Sales_Data[[#This Row],[Cost Price]]*Sales_Data[[#This Row],[Quantity]]</f>
        <v>1760000</v>
      </c>
      <c r="N1475" s="12">
        <f>Sales_Data[[#This Row],[Revenue]]-Sales_Data[[#This Row],[COGS]]</f>
        <v>440000</v>
      </c>
    </row>
    <row r="1476" spans="1:14">
      <c r="A1476" s="1">
        <v>47150</v>
      </c>
      <c r="B1476" t="s">
        <v>25</v>
      </c>
      <c r="C1476" t="s">
        <v>12</v>
      </c>
      <c r="D1476" t="s">
        <v>13</v>
      </c>
      <c r="E1476" t="s">
        <v>20</v>
      </c>
      <c r="F1476" t="s">
        <v>15</v>
      </c>
      <c r="G1476" t="s">
        <v>16</v>
      </c>
      <c r="H1476" s="12">
        <v>85000</v>
      </c>
      <c r="I1476">
        <v>1</v>
      </c>
      <c r="J1476" t="s">
        <v>28</v>
      </c>
      <c r="K1476" s="12">
        <f t="shared" si="23"/>
        <v>68000</v>
      </c>
      <c r="L1476" s="12">
        <f>Sales_Data[[#This Row],[Unit Price]]*Sales_Data[[#This Row],[Quantity]]</f>
        <v>85000</v>
      </c>
      <c r="M1476" s="12">
        <f>Sales_Data[[#This Row],[Cost Price]]*Sales_Data[[#This Row],[Quantity]]</f>
        <v>68000</v>
      </c>
      <c r="N1476" s="12">
        <f>Sales_Data[[#This Row],[Revenue]]-Sales_Data[[#This Row],[COGS]]</f>
        <v>17000</v>
      </c>
    </row>
    <row r="1477" spans="1:14">
      <c r="A1477" s="1">
        <v>47151</v>
      </c>
      <c r="B1477" t="s">
        <v>25</v>
      </c>
      <c r="C1477" t="s">
        <v>32</v>
      </c>
      <c r="D1477" t="s">
        <v>13</v>
      </c>
      <c r="E1477" t="s">
        <v>14</v>
      </c>
      <c r="F1477" t="s">
        <v>30</v>
      </c>
      <c r="G1477" t="s">
        <v>31</v>
      </c>
      <c r="H1477" s="12">
        <v>300000</v>
      </c>
      <c r="I1477">
        <v>4</v>
      </c>
      <c r="J1477" t="s">
        <v>28</v>
      </c>
      <c r="K1477" s="12">
        <f t="shared" si="23"/>
        <v>240000</v>
      </c>
      <c r="L1477" s="12">
        <f>Sales_Data[[#This Row],[Unit Price]]*Sales_Data[[#This Row],[Quantity]]</f>
        <v>1200000</v>
      </c>
      <c r="M1477" s="12">
        <f>Sales_Data[[#This Row],[Cost Price]]*Sales_Data[[#This Row],[Quantity]]</f>
        <v>960000</v>
      </c>
      <c r="N1477" s="12">
        <f>Sales_Data[[#This Row],[Revenue]]-Sales_Data[[#This Row],[COGS]]</f>
        <v>240000</v>
      </c>
    </row>
    <row r="1478" spans="1:14">
      <c r="A1478" s="1">
        <v>47152</v>
      </c>
      <c r="B1478" t="s">
        <v>25</v>
      </c>
      <c r="C1478" t="s">
        <v>32</v>
      </c>
      <c r="D1478" t="s">
        <v>23</v>
      </c>
      <c r="E1478" t="s">
        <v>20</v>
      </c>
      <c r="F1478" t="s">
        <v>15</v>
      </c>
      <c r="G1478" t="s">
        <v>16</v>
      </c>
      <c r="H1478" s="12">
        <v>85000</v>
      </c>
      <c r="I1478">
        <v>5</v>
      </c>
      <c r="J1478" t="s">
        <v>24</v>
      </c>
      <c r="K1478" s="12">
        <f t="shared" si="23"/>
        <v>68000</v>
      </c>
      <c r="L1478" s="12">
        <f>Sales_Data[[#This Row],[Unit Price]]*Sales_Data[[#This Row],[Quantity]]</f>
        <v>425000</v>
      </c>
      <c r="M1478" s="12">
        <f>Sales_Data[[#This Row],[Cost Price]]*Sales_Data[[#This Row],[Quantity]]</f>
        <v>340000</v>
      </c>
      <c r="N1478" s="12">
        <f>Sales_Data[[#This Row],[Revenue]]-Sales_Data[[#This Row],[COGS]]</f>
        <v>85000</v>
      </c>
    </row>
    <row r="1479" spans="1:14">
      <c r="A1479" s="1">
        <v>47153</v>
      </c>
      <c r="B1479" t="s">
        <v>25</v>
      </c>
      <c r="C1479" t="s">
        <v>32</v>
      </c>
      <c r="D1479" t="s">
        <v>23</v>
      </c>
      <c r="E1479" t="s">
        <v>14</v>
      </c>
      <c r="F1479" t="s">
        <v>30</v>
      </c>
      <c r="G1479" t="s">
        <v>31</v>
      </c>
      <c r="H1479" s="12">
        <v>300000</v>
      </c>
      <c r="I1479">
        <v>5</v>
      </c>
      <c r="J1479" t="s">
        <v>39</v>
      </c>
      <c r="K1479" s="12">
        <f t="shared" si="23"/>
        <v>240000</v>
      </c>
      <c r="L1479" s="12">
        <f>Sales_Data[[#This Row],[Unit Price]]*Sales_Data[[#This Row],[Quantity]]</f>
        <v>1500000</v>
      </c>
      <c r="M1479" s="12">
        <f>Sales_Data[[#This Row],[Cost Price]]*Sales_Data[[#This Row],[Quantity]]</f>
        <v>1200000</v>
      </c>
      <c r="N1479" s="12">
        <f>Sales_Data[[#This Row],[Revenue]]-Sales_Data[[#This Row],[COGS]]</f>
        <v>300000</v>
      </c>
    </row>
    <row r="1480" spans="1:14">
      <c r="A1480" s="1">
        <v>47154</v>
      </c>
      <c r="B1480" t="s">
        <v>25</v>
      </c>
      <c r="C1480" t="s">
        <v>32</v>
      </c>
      <c r="D1480" t="s">
        <v>13</v>
      </c>
      <c r="E1480" t="s">
        <v>20</v>
      </c>
      <c r="F1480" t="s">
        <v>30</v>
      </c>
      <c r="G1480" t="s">
        <v>31</v>
      </c>
      <c r="H1480" s="12">
        <v>300000</v>
      </c>
      <c r="I1480">
        <v>5</v>
      </c>
      <c r="J1480" t="s">
        <v>17</v>
      </c>
      <c r="K1480" s="12">
        <f t="shared" si="23"/>
        <v>240000</v>
      </c>
      <c r="L1480" s="12">
        <f>Sales_Data[[#This Row],[Unit Price]]*Sales_Data[[#This Row],[Quantity]]</f>
        <v>1500000</v>
      </c>
      <c r="M1480" s="12">
        <f>Sales_Data[[#This Row],[Cost Price]]*Sales_Data[[#This Row],[Quantity]]</f>
        <v>1200000</v>
      </c>
      <c r="N1480" s="12">
        <f>Sales_Data[[#This Row],[Revenue]]-Sales_Data[[#This Row],[COGS]]</f>
        <v>300000</v>
      </c>
    </row>
    <row r="1481" spans="1:14">
      <c r="A1481" s="1">
        <v>47155</v>
      </c>
      <c r="B1481" t="s">
        <v>11</v>
      </c>
      <c r="C1481" t="s">
        <v>19</v>
      </c>
      <c r="D1481" t="s">
        <v>23</v>
      </c>
      <c r="E1481" t="s">
        <v>20</v>
      </c>
      <c r="F1481" t="s">
        <v>21</v>
      </c>
      <c r="G1481" t="s">
        <v>22</v>
      </c>
      <c r="H1481" s="12">
        <v>30000</v>
      </c>
      <c r="I1481">
        <v>10</v>
      </c>
      <c r="J1481" t="s">
        <v>17</v>
      </c>
      <c r="K1481" s="12">
        <f t="shared" si="23"/>
        <v>24000</v>
      </c>
      <c r="L1481" s="12">
        <f>Sales_Data[[#This Row],[Unit Price]]*Sales_Data[[#This Row],[Quantity]]</f>
        <v>300000</v>
      </c>
      <c r="M1481" s="12">
        <f>Sales_Data[[#This Row],[Cost Price]]*Sales_Data[[#This Row],[Quantity]]</f>
        <v>240000</v>
      </c>
      <c r="N1481" s="12">
        <f>Sales_Data[[#This Row],[Revenue]]-Sales_Data[[#This Row],[COGS]]</f>
        <v>60000</v>
      </c>
    </row>
    <row r="1482" spans="1:14">
      <c r="A1482" s="1">
        <v>47156</v>
      </c>
      <c r="B1482" t="s">
        <v>25</v>
      </c>
      <c r="C1482" t="s">
        <v>26</v>
      </c>
      <c r="D1482" t="s">
        <v>13</v>
      </c>
      <c r="E1482" t="s">
        <v>14</v>
      </c>
      <c r="F1482" t="s">
        <v>41</v>
      </c>
      <c r="G1482" t="s">
        <v>22</v>
      </c>
      <c r="H1482" s="12">
        <v>220000</v>
      </c>
      <c r="I1482">
        <v>6</v>
      </c>
      <c r="J1482" t="s">
        <v>35</v>
      </c>
      <c r="K1482" s="12">
        <f t="shared" si="23"/>
        <v>176000</v>
      </c>
      <c r="L1482" s="12">
        <f>Sales_Data[[#This Row],[Unit Price]]*Sales_Data[[#This Row],[Quantity]]</f>
        <v>1320000</v>
      </c>
      <c r="M1482" s="12">
        <f>Sales_Data[[#This Row],[Cost Price]]*Sales_Data[[#This Row],[Quantity]]</f>
        <v>1056000</v>
      </c>
      <c r="N1482" s="12">
        <f>Sales_Data[[#This Row],[Revenue]]-Sales_Data[[#This Row],[COGS]]</f>
        <v>264000</v>
      </c>
    </row>
    <row r="1483" spans="1:14">
      <c r="A1483" s="1">
        <v>47157</v>
      </c>
      <c r="B1483" t="s">
        <v>11</v>
      </c>
      <c r="C1483" t="s">
        <v>32</v>
      </c>
      <c r="D1483" t="s">
        <v>23</v>
      </c>
      <c r="E1483" t="s">
        <v>14</v>
      </c>
      <c r="F1483" t="s">
        <v>15</v>
      </c>
      <c r="G1483" t="s">
        <v>16</v>
      </c>
      <c r="H1483" s="12">
        <v>85000</v>
      </c>
      <c r="I1483">
        <v>9</v>
      </c>
      <c r="J1483" t="s">
        <v>24</v>
      </c>
      <c r="K1483" s="12">
        <f t="shared" si="23"/>
        <v>68000</v>
      </c>
      <c r="L1483" s="12">
        <f>Sales_Data[[#This Row],[Unit Price]]*Sales_Data[[#This Row],[Quantity]]</f>
        <v>765000</v>
      </c>
      <c r="M1483" s="12">
        <f>Sales_Data[[#This Row],[Cost Price]]*Sales_Data[[#This Row],[Quantity]]</f>
        <v>612000</v>
      </c>
      <c r="N1483" s="12">
        <f>Sales_Data[[#This Row],[Revenue]]-Sales_Data[[#This Row],[COGS]]</f>
        <v>153000</v>
      </c>
    </row>
    <row r="1484" spans="1:14">
      <c r="A1484" s="1">
        <v>47158</v>
      </c>
      <c r="B1484" t="s">
        <v>18</v>
      </c>
      <c r="C1484" t="s">
        <v>32</v>
      </c>
      <c r="D1484" t="s">
        <v>13</v>
      </c>
      <c r="E1484" t="s">
        <v>14</v>
      </c>
      <c r="F1484" t="s">
        <v>38</v>
      </c>
      <c r="G1484" t="s">
        <v>31</v>
      </c>
      <c r="H1484" s="12">
        <v>420000</v>
      </c>
      <c r="I1484">
        <v>10</v>
      </c>
      <c r="J1484" t="s">
        <v>28</v>
      </c>
      <c r="K1484" s="12">
        <f t="shared" si="23"/>
        <v>336000</v>
      </c>
      <c r="L1484" s="12">
        <f>Sales_Data[[#This Row],[Unit Price]]*Sales_Data[[#This Row],[Quantity]]</f>
        <v>4200000</v>
      </c>
      <c r="M1484" s="12">
        <f>Sales_Data[[#This Row],[Cost Price]]*Sales_Data[[#This Row],[Quantity]]</f>
        <v>3360000</v>
      </c>
      <c r="N1484" s="12">
        <f>Sales_Data[[#This Row],[Revenue]]-Sales_Data[[#This Row],[COGS]]</f>
        <v>840000</v>
      </c>
    </row>
    <row r="1485" spans="1:14">
      <c r="A1485" s="1">
        <v>47159</v>
      </c>
      <c r="B1485" t="s">
        <v>29</v>
      </c>
      <c r="C1485" t="s">
        <v>12</v>
      </c>
      <c r="D1485" t="s">
        <v>23</v>
      </c>
      <c r="E1485" t="s">
        <v>20</v>
      </c>
      <c r="F1485" t="s">
        <v>38</v>
      </c>
      <c r="G1485" t="s">
        <v>31</v>
      </c>
      <c r="H1485" s="12">
        <v>420000</v>
      </c>
      <c r="I1485">
        <v>1</v>
      </c>
      <c r="J1485" t="s">
        <v>35</v>
      </c>
      <c r="K1485" s="12">
        <f t="shared" si="23"/>
        <v>336000</v>
      </c>
      <c r="L1485" s="12">
        <f>Sales_Data[[#This Row],[Unit Price]]*Sales_Data[[#This Row],[Quantity]]</f>
        <v>420000</v>
      </c>
      <c r="M1485" s="12">
        <f>Sales_Data[[#This Row],[Cost Price]]*Sales_Data[[#This Row],[Quantity]]</f>
        <v>336000</v>
      </c>
      <c r="N1485" s="12">
        <f>Sales_Data[[#This Row],[Revenue]]-Sales_Data[[#This Row],[COGS]]</f>
        <v>84000</v>
      </c>
    </row>
    <row r="1486" spans="1:14">
      <c r="A1486" s="1">
        <v>47160</v>
      </c>
      <c r="B1486" t="s">
        <v>11</v>
      </c>
      <c r="C1486" t="s">
        <v>19</v>
      </c>
      <c r="D1486" t="s">
        <v>13</v>
      </c>
      <c r="E1486" t="s">
        <v>20</v>
      </c>
      <c r="F1486" t="s">
        <v>27</v>
      </c>
      <c r="G1486" t="s">
        <v>22</v>
      </c>
      <c r="H1486" s="12">
        <v>60000</v>
      </c>
      <c r="I1486">
        <v>6</v>
      </c>
      <c r="J1486" t="s">
        <v>28</v>
      </c>
      <c r="K1486" s="12">
        <f t="shared" si="23"/>
        <v>48000</v>
      </c>
      <c r="L1486" s="12">
        <f>Sales_Data[[#This Row],[Unit Price]]*Sales_Data[[#This Row],[Quantity]]</f>
        <v>360000</v>
      </c>
      <c r="M1486" s="12">
        <f>Sales_Data[[#This Row],[Cost Price]]*Sales_Data[[#This Row],[Quantity]]</f>
        <v>288000</v>
      </c>
      <c r="N1486" s="12">
        <f>Sales_Data[[#This Row],[Revenue]]-Sales_Data[[#This Row],[COGS]]</f>
        <v>72000</v>
      </c>
    </row>
    <row r="1487" spans="1:14">
      <c r="A1487" s="1">
        <v>47161</v>
      </c>
      <c r="B1487" t="s">
        <v>25</v>
      </c>
      <c r="C1487" t="s">
        <v>32</v>
      </c>
      <c r="D1487" t="s">
        <v>13</v>
      </c>
      <c r="E1487" t="s">
        <v>20</v>
      </c>
      <c r="F1487" t="s">
        <v>36</v>
      </c>
      <c r="G1487" t="s">
        <v>31</v>
      </c>
      <c r="H1487" s="12">
        <v>150000</v>
      </c>
      <c r="I1487">
        <v>1</v>
      </c>
      <c r="J1487" t="s">
        <v>28</v>
      </c>
      <c r="K1487" s="12">
        <f t="shared" si="23"/>
        <v>120000</v>
      </c>
      <c r="L1487" s="12">
        <f>Sales_Data[[#This Row],[Unit Price]]*Sales_Data[[#This Row],[Quantity]]</f>
        <v>150000</v>
      </c>
      <c r="M1487" s="12">
        <f>Sales_Data[[#This Row],[Cost Price]]*Sales_Data[[#This Row],[Quantity]]</f>
        <v>120000</v>
      </c>
      <c r="N1487" s="12">
        <f>Sales_Data[[#This Row],[Revenue]]-Sales_Data[[#This Row],[COGS]]</f>
        <v>30000</v>
      </c>
    </row>
    <row r="1488" spans="1:14">
      <c r="A1488" s="1">
        <v>47162</v>
      </c>
      <c r="B1488" t="s">
        <v>29</v>
      </c>
      <c r="C1488" t="s">
        <v>26</v>
      </c>
      <c r="D1488" t="s">
        <v>13</v>
      </c>
      <c r="E1488" t="s">
        <v>14</v>
      </c>
      <c r="F1488" t="s">
        <v>40</v>
      </c>
      <c r="G1488" t="s">
        <v>31</v>
      </c>
      <c r="H1488" s="12">
        <v>250000</v>
      </c>
      <c r="I1488">
        <v>5</v>
      </c>
      <c r="J1488" t="s">
        <v>28</v>
      </c>
      <c r="K1488" s="12">
        <f t="shared" si="23"/>
        <v>200000</v>
      </c>
      <c r="L1488" s="12">
        <f>Sales_Data[[#This Row],[Unit Price]]*Sales_Data[[#This Row],[Quantity]]</f>
        <v>1250000</v>
      </c>
      <c r="M1488" s="12">
        <f>Sales_Data[[#This Row],[Cost Price]]*Sales_Data[[#This Row],[Quantity]]</f>
        <v>1000000</v>
      </c>
      <c r="N1488" s="12">
        <f>Sales_Data[[#This Row],[Revenue]]-Sales_Data[[#This Row],[COGS]]</f>
        <v>250000</v>
      </c>
    </row>
    <row r="1489" spans="1:14">
      <c r="A1489" s="1">
        <v>47163</v>
      </c>
      <c r="B1489" t="s">
        <v>18</v>
      </c>
      <c r="C1489" t="s">
        <v>32</v>
      </c>
      <c r="D1489" t="s">
        <v>13</v>
      </c>
      <c r="E1489" t="s">
        <v>20</v>
      </c>
      <c r="F1489" t="s">
        <v>41</v>
      </c>
      <c r="G1489" t="s">
        <v>22</v>
      </c>
      <c r="H1489" s="12">
        <v>220000</v>
      </c>
      <c r="I1489">
        <v>5</v>
      </c>
      <c r="J1489" t="s">
        <v>28</v>
      </c>
      <c r="K1489" s="12">
        <f t="shared" si="23"/>
        <v>176000</v>
      </c>
      <c r="L1489" s="12">
        <f>Sales_Data[[#This Row],[Unit Price]]*Sales_Data[[#This Row],[Quantity]]</f>
        <v>1100000</v>
      </c>
      <c r="M1489" s="12">
        <f>Sales_Data[[#This Row],[Cost Price]]*Sales_Data[[#This Row],[Quantity]]</f>
        <v>880000</v>
      </c>
      <c r="N1489" s="12">
        <f>Sales_Data[[#This Row],[Revenue]]-Sales_Data[[#This Row],[COGS]]</f>
        <v>220000</v>
      </c>
    </row>
    <row r="1490" spans="1:14">
      <c r="A1490" s="1">
        <v>47164</v>
      </c>
      <c r="B1490" t="s">
        <v>11</v>
      </c>
      <c r="C1490" t="s">
        <v>19</v>
      </c>
      <c r="D1490" t="s">
        <v>23</v>
      </c>
      <c r="E1490" t="s">
        <v>20</v>
      </c>
      <c r="F1490" t="s">
        <v>27</v>
      </c>
      <c r="G1490" t="s">
        <v>22</v>
      </c>
      <c r="H1490" s="12">
        <v>60000</v>
      </c>
      <c r="I1490">
        <v>2</v>
      </c>
      <c r="J1490" t="s">
        <v>28</v>
      </c>
      <c r="K1490" s="12">
        <f t="shared" si="23"/>
        <v>48000</v>
      </c>
      <c r="L1490" s="12">
        <f>Sales_Data[[#This Row],[Unit Price]]*Sales_Data[[#This Row],[Quantity]]</f>
        <v>120000</v>
      </c>
      <c r="M1490" s="12">
        <f>Sales_Data[[#This Row],[Cost Price]]*Sales_Data[[#This Row],[Quantity]]</f>
        <v>96000</v>
      </c>
      <c r="N1490" s="12">
        <f>Sales_Data[[#This Row],[Revenue]]-Sales_Data[[#This Row],[COGS]]</f>
        <v>24000</v>
      </c>
    </row>
    <row r="1491" spans="1:14">
      <c r="A1491" s="1">
        <v>47165</v>
      </c>
      <c r="B1491" t="s">
        <v>18</v>
      </c>
      <c r="C1491" t="s">
        <v>32</v>
      </c>
      <c r="D1491" t="s">
        <v>23</v>
      </c>
      <c r="E1491" t="s">
        <v>20</v>
      </c>
      <c r="F1491" t="s">
        <v>36</v>
      </c>
      <c r="G1491" t="s">
        <v>31</v>
      </c>
      <c r="H1491" s="12">
        <v>150000</v>
      </c>
      <c r="I1491">
        <v>3</v>
      </c>
      <c r="J1491" t="s">
        <v>39</v>
      </c>
      <c r="K1491" s="12">
        <f t="shared" si="23"/>
        <v>120000</v>
      </c>
      <c r="L1491" s="12">
        <f>Sales_Data[[#This Row],[Unit Price]]*Sales_Data[[#This Row],[Quantity]]</f>
        <v>450000</v>
      </c>
      <c r="M1491" s="12">
        <f>Sales_Data[[#This Row],[Cost Price]]*Sales_Data[[#This Row],[Quantity]]</f>
        <v>360000</v>
      </c>
      <c r="N1491" s="12">
        <f>Sales_Data[[#This Row],[Revenue]]-Sales_Data[[#This Row],[COGS]]</f>
        <v>90000</v>
      </c>
    </row>
    <row r="1492" spans="1:14">
      <c r="A1492" s="1">
        <v>47166</v>
      </c>
      <c r="B1492" t="s">
        <v>25</v>
      </c>
      <c r="C1492" t="s">
        <v>19</v>
      </c>
      <c r="D1492" t="s">
        <v>23</v>
      </c>
      <c r="E1492" t="s">
        <v>20</v>
      </c>
      <c r="F1492" t="s">
        <v>15</v>
      </c>
      <c r="G1492" t="s">
        <v>16</v>
      </c>
      <c r="H1492" s="12">
        <v>85000</v>
      </c>
      <c r="I1492">
        <v>3</v>
      </c>
      <c r="J1492" t="s">
        <v>37</v>
      </c>
      <c r="K1492" s="12">
        <f t="shared" si="23"/>
        <v>68000</v>
      </c>
      <c r="L1492" s="12">
        <f>Sales_Data[[#This Row],[Unit Price]]*Sales_Data[[#This Row],[Quantity]]</f>
        <v>255000</v>
      </c>
      <c r="M1492" s="12">
        <f>Sales_Data[[#This Row],[Cost Price]]*Sales_Data[[#This Row],[Quantity]]</f>
        <v>204000</v>
      </c>
      <c r="N1492" s="12">
        <f>Sales_Data[[#This Row],[Revenue]]-Sales_Data[[#This Row],[COGS]]</f>
        <v>51000</v>
      </c>
    </row>
    <row r="1493" spans="1:14">
      <c r="A1493" s="1">
        <v>47167</v>
      </c>
      <c r="B1493" t="s">
        <v>29</v>
      </c>
      <c r="C1493" t="s">
        <v>32</v>
      </c>
      <c r="D1493" t="s">
        <v>13</v>
      </c>
      <c r="E1493" t="s">
        <v>20</v>
      </c>
      <c r="F1493" t="s">
        <v>33</v>
      </c>
      <c r="G1493" t="s">
        <v>22</v>
      </c>
      <c r="H1493" s="12">
        <v>180000</v>
      </c>
      <c r="I1493">
        <v>7</v>
      </c>
      <c r="J1493" t="s">
        <v>39</v>
      </c>
      <c r="K1493" s="12">
        <f t="shared" si="23"/>
        <v>144000</v>
      </c>
      <c r="L1493" s="12">
        <f>Sales_Data[[#This Row],[Unit Price]]*Sales_Data[[#This Row],[Quantity]]</f>
        <v>1260000</v>
      </c>
      <c r="M1493" s="12">
        <f>Sales_Data[[#This Row],[Cost Price]]*Sales_Data[[#This Row],[Quantity]]</f>
        <v>1008000</v>
      </c>
      <c r="N1493" s="12">
        <f>Sales_Data[[#This Row],[Revenue]]-Sales_Data[[#This Row],[COGS]]</f>
        <v>252000</v>
      </c>
    </row>
    <row r="1494" spans="1:14">
      <c r="A1494" s="1">
        <v>47168</v>
      </c>
      <c r="B1494" t="s">
        <v>29</v>
      </c>
      <c r="C1494" t="s">
        <v>19</v>
      </c>
      <c r="D1494" t="s">
        <v>23</v>
      </c>
      <c r="E1494" t="s">
        <v>14</v>
      </c>
      <c r="F1494" t="s">
        <v>33</v>
      </c>
      <c r="G1494" t="s">
        <v>22</v>
      </c>
      <c r="H1494" s="12">
        <v>180000</v>
      </c>
      <c r="I1494">
        <v>10</v>
      </c>
      <c r="J1494" t="s">
        <v>37</v>
      </c>
      <c r="K1494" s="12">
        <f t="shared" si="23"/>
        <v>144000</v>
      </c>
      <c r="L1494" s="12">
        <f>Sales_Data[[#This Row],[Unit Price]]*Sales_Data[[#This Row],[Quantity]]</f>
        <v>1800000</v>
      </c>
      <c r="M1494" s="12">
        <f>Sales_Data[[#This Row],[Cost Price]]*Sales_Data[[#This Row],[Quantity]]</f>
        <v>1440000</v>
      </c>
      <c r="N1494" s="12">
        <f>Sales_Data[[#This Row],[Revenue]]-Sales_Data[[#This Row],[COGS]]</f>
        <v>360000</v>
      </c>
    </row>
    <row r="1495" spans="1:14">
      <c r="A1495" s="1">
        <v>47169</v>
      </c>
      <c r="B1495" t="s">
        <v>29</v>
      </c>
      <c r="C1495" t="s">
        <v>12</v>
      </c>
      <c r="D1495" t="s">
        <v>23</v>
      </c>
      <c r="E1495" t="s">
        <v>20</v>
      </c>
      <c r="F1495" t="s">
        <v>33</v>
      </c>
      <c r="G1495" t="s">
        <v>22</v>
      </c>
      <c r="H1495" s="12">
        <v>180000</v>
      </c>
      <c r="I1495">
        <v>1</v>
      </c>
      <c r="J1495" t="s">
        <v>28</v>
      </c>
      <c r="K1495" s="12">
        <f t="shared" si="23"/>
        <v>144000</v>
      </c>
      <c r="L1495" s="12">
        <f>Sales_Data[[#This Row],[Unit Price]]*Sales_Data[[#This Row],[Quantity]]</f>
        <v>180000</v>
      </c>
      <c r="M1495" s="12">
        <f>Sales_Data[[#This Row],[Cost Price]]*Sales_Data[[#This Row],[Quantity]]</f>
        <v>144000</v>
      </c>
      <c r="N1495" s="12">
        <f>Sales_Data[[#This Row],[Revenue]]-Sales_Data[[#This Row],[COGS]]</f>
        <v>36000</v>
      </c>
    </row>
    <row r="1496" spans="1:14">
      <c r="A1496" s="1">
        <v>47170</v>
      </c>
      <c r="B1496" t="s">
        <v>11</v>
      </c>
      <c r="C1496" t="s">
        <v>32</v>
      </c>
      <c r="D1496" t="s">
        <v>13</v>
      </c>
      <c r="E1496" t="s">
        <v>14</v>
      </c>
      <c r="F1496" t="s">
        <v>34</v>
      </c>
      <c r="G1496" t="s">
        <v>16</v>
      </c>
      <c r="H1496" s="12">
        <v>320000</v>
      </c>
      <c r="I1496">
        <v>5</v>
      </c>
      <c r="J1496" t="s">
        <v>28</v>
      </c>
      <c r="K1496" s="12">
        <f t="shared" si="23"/>
        <v>256000</v>
      </c>
      <c r="L1496" s="12">
        <f>Sales_Data[[#This Row],[Unit Price]]*Sales_Data[[#This Row],[Quantity]]</f>
        <v>1600000</v>
      </c>
      <c r="M1496" s="12">
        <f>Sales_Data[[#This Row],[Cost Price]]*Sales_Data[[#This Row],[Quantity]]</f>
        <v>1280000</v>
      </c>
      <c r="N1496" s="12">
        <f>Sales_Data[[#This Row],[Revenue]]-Sales_Data[[#This Row],[COGS]]</f>
        <v>320000</v>
      </c>
    </row>
    <row r="1497" spans="1:14">
      <c r="A1497" s="1">
        <v>47171</v>
      </c>
      <c r="B1497" t="s">
        <v>18</v>
      </c>
      <c r="C1497" t="s">
        <v>19</v>
      </c>
      <c r="D1497" t="s">
        <v>13</v>
      </c>
      <c r="E1497" t="s">
        <v>20</v>
      </c>
      <c r="F1497" t="s">
        <v>38</v>
      </c>
      <c r="G1497" t="s">
        <v>31</v>
      </c>
      <c r="H1497" s="12">
        <v>420000</v>
      </c>
      <c r="I1497">
        <v>5</v>
      </c>
      <c r="J1497" t="s">
        <v>35</v>
      </c>
      <c r="K1497" s="12">
        <f t="shared" si="23"/>
        <v>336000</v>
      </c>
      <c r="L1497" s="12">
        <f>Sales_Data[[#This Row],[Unit Price]]*Sales_Data[[#This Row],[Quantity]]</f>
        <v>2100000</v>
      </c>
      <c r="M1497" s="12">
        <f>Sales_Data[[#This Row],[Cost Price]]*Sales_Data[[#This Row],[Quantity]]</f>
        <v>1680000</v>
      </c>
      <c r="N1497" s="12">
        <f>Sales_Data[[#This Row],[Revenue]]-Sales_Data[[#This Row],[COGS]]</f>
        <v>420000</v>
      </c>
    </row>
    <row r="1498" spans="1:14">
      <c r="A1498" s="1">
        <v>47172</v>
      </c>
      <c r="B1498" t="s">
        <v>11</v>
      </c>
      <c r="C1498" t="s">
        <v>26</v>
      </c>
      <c r="D1498" t="s">
        <v>23</v>
      </c>
      <c r="E1498" t="s">
        <v>14</v>
      </c>
      <c r="F1498" t="s">
        <v>33</v>
      </c>
      <c r="G1498" t="s">
        <v>22</v>
      </c>
      <c r="H1498" s="12">
        <v>180000</v>
      </c>
      <c r="I1498">
        <v>2</v>
      </c>
      <c r="J1498" t="s">
        <v>17</v>
      </c>
      <c r="K1498" s="12">
        <f t="shared" si="23"/>
        <v>144000</v>
      </c>
      <c r="L1498" s="12">
        <f>Sales_Data[[#This Row],[Unit Price]]*Sales_Data[[#This Row],[Quantity]]</f>
        <v>360000</v>
      </c>
      <c r="M1498" s="12">
        <f>Sales_Data[[#This Row],[Cost Price]]*Sales_Data[[#This Row],[Quantity]]</f>
        <v>288000</v>
      </c>
      <c r="N1498" s="12">
        <f>Sales_Data[[#This Row],[Revenue]]-Sales_Data[[#This Row],[COGS]]</f>
        <v>72000</v>
      </c>
    </row>
    <row r="1499" spans="1:14">
      <c r="A1499" s="1">
        <v>47173</v>
      </c>
      <c r="B1499" t="s">
        <v>25</v>
      </c>
      <c r="C1499" t="s">
        <v>26</v>
      </c>
      <c r="D1499" t="s">
        <v>13</v>
      </c>
      <c r="E1499" t="s">
        <v>20</v>
      </c>
      <c r="F1499" t="s">
        <v>41</v>
      </c>
      <c r="G1499" t="s">
        <v>22</v>
      </c>
      <c r="H1499" s="12">
        <v>220000</v>
      </c>
      <c r="I1499">
        <v>1</v>
      </c>
      <c r="J1499" t="s">
        <v>24</v>
      </c>
      <c r="K1499" s="12">
        <f t="shared" si="23"/>
        <v>176000</v>
      </c>
      <c r="L1499" s="12">
        <f>Sales_Data[[#This Row],[Unit Price]]*Sales_Data[[#This Row],[Quantity]]</f>
        <v>220000</v>
      </c>
      <c r="M1499" s="12">
        <f>Sales_Data[[#This Row],[Cost Price]]*Sales_Data[[#This Row],[Quantity]]</f>
        <v>176000</v>
      </c>
      <c r="N1499" s="12">
        <f>Sales_Data[[#This Row],[Revenue]]-Sales_Data[[#This Row],[COGS]]</f>
        <v>44000</v>
      </c>
    </row>
    <row r="1500" spans="1:14">
      <c r="A1500" s="1">
        <v>47174</v>
      </c>
      <c r="B1500" t="s">
        <v>11</v>
      </c>
      <c r="C1500" t="s">
        <v>26</v>
      </c>
      <c r="D1500" t="s">
        <v>23</v>
      </c>
      <c r="E1500" t="s">
        <v>14</v>
      </c>
      <c r="F1500" t="s">
        <v>34</v>
      </c>
      <c r="G1500" t="s">
        <v>16</v>
      </c>
      <c r="H1500" s="12">
        <v>320000</v>
      </c>
      <c r="I1500">
        <v>4</v>
      </c>
      <c r="J1500" t="s">
        <v>37</v>
      </c>
      <c r="K1500" s="12">
        <f t="shared" si="23"/>
        <v>256000</v>
      </c>
      <c r="L1500" s="12">
        <f>Sales_Data[[#This Row],[Unit Price]]*Sales_Data[[#This Row],[Quantity]]</f>
        <v>1280000</v>
      </c>
      <c r="M1500" s="12">
        <f>Sales_Data[[#This Row],[Cost Price]]*Sales_Data[[#This Row],[Quantity]]</f>
        <v>1024000</v>
      </c>
      <c r="N1500" s="12">
        <f>Sales_Data[[#This Row],[Revenue]]-Sales_Data[[#This Row],[COGS]]</f>
        <v>256000</v>
      </c>
    </row>
    <row r="1501" spans="1:14">
      <c r="A1501" s="1">
        <v>47175</v>
      </c>
      <c r="B1501" t="s">
        <v>25</v>
      </c>
      <c r="C1501" t="s">
        <v>26</v>
      </c>
      <c r="D1501" t="s">
        <v>13</v>
      </c>
      <c r="E1501" t="s">
        <v>14</v>
      </c>
      <c r="F1501" t="s">
        <v>40</v>
      </c>
      <c r="G1501" t="s">
        <v>31</v>
      </c>
      <c r="H1501" s="12">
        <v>250000</v>
      </c>
      <c r="I1501">
        <v>4</v>
      </c>
      <c r="J1501" t="s">
        <v>24</v>
      </c>
      <c r="K1501" s="12">
        <f t="shared" si="23"/>
        <v>200000</v>
      </c>
      <c r="L1501" s="12">
        <f>Sales_Data[[#This Row],[Unit Price]]*Sales_Data[[#This Row],[Quantity]]</f>
        <v>1000000</v>
      </c>
      <c r="M1501" s="12">
        <f>Sales_Data[[#This Row],[Cost Price]]*Sales_Data[[#This Row],[Quantity]]</f>
        <v>800000</v>
      </c>
      <c r="N1501" s="12">
        <f>Sales_Data[[#This Row],[Revenue]]-Sales_Data[[#This Row],[COGS]]</f>
        <v>200000</v>
      </c>
    </row>
    <row r="1502" spans="1:14">
      <c r="A1502" s="1">
        <v>47176</v>
      </c>
      <c r="B1502" t="s">
        <v>25</v>
      </c>
      <c r="C1502" t="s">
        <v>12</v>
      </c>
      <c r="D1502" t="s">
        <v>13</v>
      </c>
      <c r="E1502" t="s">
        <v>20</v>
      </c>
      <c r="F1502" t="s">
        <v>27</v>
      </c>
      <c r="G1502" t="s">
        <v>22</v>
      </c>
      <c r="H1502" s="12">
        <v>60000</v>
      </c>
      <c r="I1502">
        <v>10</v>
      </c>
      <c r="J1502" t="s">
        <v>39</v>
      </c>
      <c r="K1502" s="12">
        <f t="shared" si="23"/>
        <v>48000</v>
      </c>
      <c r="L1502" s="12">
        <f>Sales_Data[[#This Row],[Unit Price]]*Sales_Data[[#This Row],[Quantity]]</f>
        <v>600000</v>
      </c>
      <c r="M1502" s="12">
        <f>Sales_Data[[#This Row],[Cost Price]]*Sales_Data[[#This Row],[Quantity]]</f>
        <v>480000</v>
      </c>
      <c r="N1502" s="12">
        <f>Sales_Data[[#This Row],[Revenue]]-Sales_Data[[#This Row],[COGS]]</f>
        <v>120000</v>
      </c>
    </row>
    <row r="1503" spans="1:14">
      <c r="A1503" s="1">
        <v>47177</v>
      </c>
      <c r="B1503" t="s">
        <v>18</v>
      </c>
      <c r="C1503" t="s">
        <v>32</v>
      </c>
      <c r="D1503" t="s">
        <v>23</v>
      </c>
      <c r="E1503" t="s">
        <v>14</v>
      </c>
      <c r="F1503" t="s">
        <v>33</v>
      </c>
      <c r="G1503" t="s">
        <v>22</v>
      </c>
      <c r="H1503" s="12">
        <v>180000</v>
      </c>
      <c r="I1503">
        <v>10</v>
      </c>
      <c r="J1503" t="s">
        <v>37</v>
      </c>
      <c r="K1503" s="12">
        <f t="shared" si="23"/>
        <v>144000</v>
      </c>
      <c r="L1503" s="12">
        <f>Sales_Data[[#This Row],[Unit Price]]*Sales_Data[[#This Row],[Quantity]]</f>
        <v>1800000</v>
      </c>
      <c r="M1503" s="12">
        <f>Sales_Data[[#This Row],[Cost Price]]*Sales_Data[[#This Row],[Quantity]]</f>
        <v>1440000</v>
      </c>
      <c r="N1503" s="12">
        <f>Sales_Data[[#This Row],[Revenue]]-Sales_Data[[#This Row],[COGS]]</f>
        <v>360000</v>
      </c>
    </row>
    <row r="1504" spans="1:14">
      <c r="A1504" s="1">
        <v>47178</v>
      </c>
      <c r="B1504" t="s">
        <v>18</v>
      </c>
      <c r="C1504" t="s">
        <v>26</v>
      </c>
      <c r="D1504" t="s">
        <v>23</v>
      </c>
      <c r="E1504" t="s">
        <v>20</v>
      </c>
      <c r="F1504" t="s">
        <v>30</v>
      </c>
      <c r="G1504" t="s">
        <v>31</v>
      </c>
      <c r="H1504" s="12">
        <v>300000</v>
      </c>
      <c r="I1504">
        <v>5</v>
      </c>
      <c r="J1504" t="s">
        <v>35</v>
      </c>
      <c r="K1504" s="12">
        <f t="shared" si="23"/>
        <v>240000</v>
      </c>
      <c r="L1504" s="12">
        <f>Sales_Data[[#This Row],[Unit Price]]*Sales_Data[[#This Row],[Quantity]]</f>
        <v>1500000</v>
      </c>
      <c r="M1504" s="12">
        <f>Sales_Data[[#This Row],[Cost Price]]*Sales_Data[[#This Row],[Quantity]]</f>
        <v>1200000</v>
      </c>
      <c r="N1504" s="12">
        <f>Sales_Data[[#This Row],[Revenue]]-Sales_Data[[#This Row],[COGS]]</f>
        <v>300000</v>
      </c>
    </row>
    <row r="1505" spans="1:14">
      <c r="A1505" s="1">
        <v>47179</v>
      </c>
      <c r="B1505" t="s">
        <v>18</v>
      </c>
      <c r="C1505" t="s">
        <v>32</v>
      </c>
      <c r="D1505" t="s">
        <v>13</v>
      </c>
      <c r="E1505" t="s">
        <v>20</v>
      </c>
      <c r="F1505" t="s">
        <v>15</v>
      </c>
      <c r="G1505" t="s">
        <v>16</v>
      </c>
      <c r="H1505" s="12">
        <v>85000</v>
      </c>
      <c r="I1505">
        <v>7</v>
      </c>
      <c r="J1505" t="s">
        <v>37</v>
      </c>
      <c r="K1505" s="12">
        <f t="shared" si="23"/>
        <v>68000</v>
      </c>
      <c r="L1505" s="12">
        <f>Sales_Data[[#This Row],[Unit Price]]*Sales_Data[[#This Row],[Quantity]]</f>
        <v>595000</v>
      </c>
      <c r="M1505" s="12">
        <f>Sales_Data[[#This Row],[Cost Price]]*Sales_Data[[#This Row],[Quantity]]</f>
        <v>476000</v>
      </c>
      <c r="N1505" s="12">
        <f>Sales_Data[[#This Row],[Revenue]]-Sales_Data[[#This Row],[COGS]]</f>
        <v>119000</v>
      </c>
    </row>
    <row r="1506" spans="1:14">
      <c r="A1506" s="1">
        <v>47180</v>
      </c>
      <c r="B1506" t="s">
        <v>18</v>
      </c>
      <c r="C1506" t="s">
        <v>12</v>
      </c>
      <c r="D1506" t="s">
        <v>13</v>
      </c>
      <c r="E1506" t="s">
        <v>14</v>
      </c>
      <c r="F1506" t="s">
        <v>33</v>
      </c>
      <c r="G1506" t="s">
        <v>22</v>
      </c>
      <c r="H1506" s="12">
        <v>180000</v>
      </c>
      <c r="I1506">
        <v>5</v>
      </c>
      <c r="J1506" t="s">
        <v>28</v>
      </c>
      <c r="K1506" s="12">
        <f t="shared" si="23"/>
        <v>144000</v>
      </c>
      <c r="L1506" s="12">
        <f>Sales_Data[[#This Row],[Unit Price]]*Sales_Data[[#This Row],[Quantity]]</f>
        <v>900000</v>
      </c>
      <c r="M1506" s="12">
        <f>Sales_Data[[#This Row],[Cost Price]]*Sales_Data[[#This Row],[Quantity]]</f>
        <v>720000</v>
      </c>
      <c r="N1506" s="12">
        <f>Sales_Data[[#This Row],[Revenue]]-Sales_Data[[#This Row],[COGS]]</f>
        <v>180000</v>
      </c>
    </row>
    <row r="1507" spans="1:14">
      <c r="A1507" s="1">
        <v>47181</v>
      </c>
      <c r="B1507" t="s">
        <v>18</v>
      </c>
      <c r="C1507" t="s">
        <v>26</v>
      </c>
      <c r="D1507" t="s">
        <v>23</v>
      </c>
      <c r="E1507" t="s">
        <v>20</v>
      </c>
      <c r="F1507" t="s">
        <v>34</v>
      </c>
      <c r="G1507" t="s">
        <v>16</v>
      </c>
      <c r="H1507" s="12">
        <v>320000</v>
      </c>
      <c r="I1507">
        <v>4</v>
      </c>
      <c r="J1507" t="s">
        <v>24</v>
      </c>
      <c r="K1507" s="12">
        <f t="shared" si="23"/>
        <v>256000</v>
      </c>
      <c r="L1507" s="12">
        <f>Sales_Data[[#This Row],[Unit Price]]*Sales_Data[[#This Row],[Quantity]]</f>
        <v>1280000</v>
      </c>
      <c r="M1507" s="12">
        <f>Sales_Data[[#This Row],[Cost Price]]*Sales_Data[[#This Row],[Quantity]]</f>
        <v>1024000</v>
      </c>
      <c r="N1507" s="12">
        <f>Sales_Data[[#This Row],[Revenue]]-Sales_Data[[#This Row],[COGS]]</f>
        <v>256000</v>
      </c>
    </row>
    <row r="1508" spans="1:14">
      <c r="A1508" s="1">
        <v>47182</v>
      </c>
      <c r="B1508" t="s">
        <v>11</v>
      </c>
      <c r="C1508" t="s">
        <v>12</v>
      </c>
      <c r="D1508" t="s">
        <v>23</v>
      </c>
      <c r="E1508" t="s">
        <v>14</v>
      </c>
      <c r="F1508" t="s">
        <v>33</v>
      </c>
      <c r="G1508" t="s">
        <v>22</v>
      </c>
      <c r="H1508" s="12">
        <v>180000</v>
      </c>
      <c r="I1508">
        <v>8</v>
      </c>
      <c r="J1508" t="s">
        <v>28</v>
      </c>
      <c r="K1508" s="12">
        <f t="shared" si="23"/>
        <v>144000</v>
      </c>
      <c r="L1508" s="12">
        <f>Sales_Data[[#This Row],[Unit Price]]*Sales_Data[[#This Row],[Quantity]]</f>
        <v>1440000</v>
      </c>
      <c r="M1508" s="12">
        <f>Sales_Data[[#This Row],[Cost Price]]*Sales_Data[[#This Row],[Quantity]]</f>
        <v>1152000</v>
      </c>
      <c r="N1508" s="12">
        <f>Sales_Data[[#This Row],[Revenue]]-Sales_Data[[#This Row],[COGS]]</f>
        <v>288000</v>
      </c>
    </row>
    <row r="1509" spans="1:14">
      <c r="A1509" s="1">
        <v>47183</v>
      </c>
      <c r="B1509" t="s">
        <v>29</v>
      </c>
      <c r="C1509" t="s">
        <v>26</v>
      </c>
      <c r="D1509" t="s">
        <v>13</v>
      </c>
      <c r="E1509" t="s">
        <v>14</v>
      </c>
      <c r="F1509" t="s">
        <v>21</v>
      </c>
      <c r="G1509" t="s">
        <v>22</v>
      </c>
      <c r="H1509" s="12">
        <v>30000</v>
      </c>
      <c r="I1509">
        <v>3</v>
      </c>
      <c r="J1509" t="s">
        <v>37</v>
      </c>
      <c r="K1509" s="12">
        <f t="shared" si="23"/>
        <v>24000</v>
      </c>
      <c r="L1509" s="12">
        <f>Sales_Data[[#This Row],[Unit Price]]*Sales_Data[[#This Row],[Quantity]]</f>
        <v>90000</v>
      </c>
      <c r="M1509" s="12">
        <f>Sales_Data[[#This Row],[Cost Price]]*Sales_Data[[#This Row],[Quantity]]</f>
        <v>72000</v>
      </c>
      <c r="N1509" s="12">
        <f>Sales_Data[[#This Row],[Revenue]]-Sales_Data[[#This Row],[COGS]]</f>
        <v>18000</v>
      </c>
    </row>
    <row r="1510" spans="1:14">
      <c r="A1510" s="1">
        <v>47184</v>
      </c>
      <c r="B1510" t="s">
        <v>29</v>
      </c>
      <c r="C1510" t="s">
        <v>32</v>
      </c>
      <c r="D1510" t="s">
        <v>23</v>
      </c>
      <c r="E1510" t="s">
        <v>20</v>
      </c>
      <c r="F1510" t="s">
        <v>41</v>
      </c>
      <c r="G1510" t="s">
        <v>22</v>
      </c>
      <c r="H1510" s="12">
        <v>220000</v>
      </c>
      <c r="I1510">
        <v>3</v>
      </c>
      <c r="J1510" t="s">
        <v>24</v>
      </c>
      <c r="K1510" s="12">
        <f t="shared" si="23"/>
        <v>176000</v>
      </c>
      <c r="L1510" s="12">
        <f>Sales_Data[[#This Row],[Unit Price]]*Sales_Data[[#This Row],[Quantity]]</f>
        <v>660000</v>
      </c>
      <c r="M1510" s="12">
        <f>Sales_Data[[#This Row],[Cost Price]]*Sales_Data[[#This Row],[Quantity]]</f>
        <v>528000</v>
      </c>
      <c r="N1510" s="12">
        <f>Sales_Data[[#This Row],[Revenue]]-Sales_Data[[#This Row],[COGS]]</f>
        <v>132000</v>
      </c>
    </row>
    <row r="1511" spans="1:14">
      <c r="A1511" s="1">
        <v>47185</v>
      </c>
      <c r="B1511" t="s">
        <v>18</v>
      </c>
      <c r="C1511" t="s">
        <v>26</v>
      </c>
      <c r="D1511" t="s">
        <v>13</v>
      </c>
      <c r="E1511" t="s">
        <v>14</v>
      </c>
      <c r="F1511" t="s">
        <v>15</v>
      </c>
      <c r="G1511" t="s">
        <v>16</v>
      </c>
      <c r="H1511" s="12">
        <v>85000</v>
      </c>
      <c r="I1511">
        <v>4</v>
      </c>
      <c r="J1511" t="s">
        <v>24</v>
      </c>
      <c r="K1511" s="12">
        <f t="shared" si="23"/>
        <v>68000</v>
      </c>
      <c r="L1511" s="12">
        <f>Sales_Data[[#This Row],[Unit Price]]*Sales_Data[[#This Row],[Quantity]]</f>
        <v>340000</v>
      </c>
      <c r="M1511" s="12">
        <f>Sales_Data[[#This Row],[Cost Price]]*Sales_Data[[#This Row],[Quantity]]</f>
        <v>272000</v>
      </c>
      <c r="N1511" s="12">
        <f>Sales_Data[[#This Row],[Revenue]]-Sales_Data[[#This Row],[COGS]]</f>
        <v>68000</v>
      </c>
    </row>
    <row r="1512" spans="1:14">
      <c r="A1512" s="1">
        <v>47186</v>
      </c>
      <c r="B1512" t="s">
        <v>29</v>
      </c>
      <c r="C1512" t="s">
        <v>19</v>
      </c>
      <c r="D1512" t="s">
        <v>13</v>
      </c>
      <c r="E1512" t="s">
        <v>14</v>
      </c>
      <c r="F1512" t="s">
        <v>33</v>
      </c>
      <c r="G1512" t="s">
        <v>22</v>
      </c>
      <c r="H1512" s="12">
        <v>180000</v>
      </c>
      <c r="I1512">
        <v>6</v>
      </c>
      <c r="J1512" t="s">
        <v>24</v>
      </c>
      <c r="K1512" s="12">
        <f t="shared" si="23"/>
        <v>144000</v>
      </c>
      <c r="L1512" s="12">
        <f>Sales_Data[[#This Row],[Unit Price]]*Sales_Data[[#This Row],[Quantity]]</f>
        <v>1080000</v>
      </c>
      <c r="M1512" s="12">
        <f>Sales_Data[[#This Row],[Cost Price]]*Sales_Data[[#This Row],[Quantity]]</f>
        <v>864000</v>
      </c>
      <c r="N1512" s="12">
        <f>Sales_Data[[#This Row],[Revenue]]-Sales_Data[[#This Row],[COGS]]</f>
        <v>216000</v>
      </c>
    </row>
    <row r="1513" spans="1:14">
      <c r="A1513" s="1">
        <v>47187</v>
      </c>
      <c r="B1513" t="s">
        <v>29</v>
      </c>
      <c r="C1513" t="s">
        <v>26</v>
      </c>
      <c r="D1513" t="s">
        <v>23</v>
      </c>
      <c r="E1513" t="s">
        <v>20</v>
      </c>
      <c r="F1513" t="s">
        <v>41</v>
      </c>
      <c r="G1513" t="s">
        <v>22</v>
      </c>
      <c r="H1513" s="12">
        <v>220000</v>
      </c>
      <c r="I1513">
        <v>8</v>
      </c>
      <c r="J1513" t="s">
        <v>17</v>
      </c>
      <c r="K1513" s="12">
        <f t="shared" si="23"/>
        <v>176000</v>
      </c>
      <c r="L1513" s="12">
        <f>Sales_Data[[#This Row],[Unit Price]]*Sales_Data[[#This Row],[Quantity]]</f>
        <v>1760000</v>
      </c>
      <c r="M1513" s="12">
        <f>Sales_Data[[#This Row],[Cost Price]]*Sales_Data[[#This Row],[Quantity]]</f>
        <v>1408000</v>
      </c>
      <c r="N1513" s="12">
        <f>Sales_Data[[#This Row],[Revenue]]-Sales_Data[[#This Row],[COGS]]</f>
        <v>352000</v>
      </c>
    </row>
    <row r="1514" spans="1:14">
      <c r="A1514" s="1">
        <v>47188</v>
      </c>
      <c r="B1514" t="s">
        <v>25</v>
      </c>
      <c r="C1514" t="s">
        <v>19</v>
      </c>
      <c r="D1514" t="s">
        <v>13</v>
      </c>
      <c r="E1514" t="s">
        <v>20</v>
      </c>
      <c r="F1514" t="s">
        <v>36</v>
      </c>
      <c r="G1514" t="s">
        <v>31</v>
      </c>
      <c r="H1514" s="12">
        <v>150000</v>
      </c>
      <c r="I1514">
        <v>1</v>
      </c>
      <c r="J1514" t="s">
        <v>39</v>
      </c>
      <c r="K1514" s="12">
        <f t="shared" si="23"/>
        <v>120000</v>
      </c>
      <c r="L1514" s="12">
        <f>Sales_Data[[#This Row],[Unit Price]]*Sales_Data[[#This Row],[Quantity]]</f>
        <v>150000</v>
      </c>
      <c r="M1514" s="12">
        <f>Sales_Data[[#This Row],[Cost Price]]*Sales_Data[[#This Row],[Quantity]]</f>
        <v>120000</v>
      </c>
      <c r="N1514" s="12">
        <f>Sales_Data[[#This Row],[Revenue]]-Sales_Data[[#This Row],[COGS]]</f>
        <v>30000</v>
      </c>
    </row>
    <row r="1515" spans="1:14">
      <c r="A1515" s="1">
        <v>47189</v>
      </c>
      <c r="B1515" t="s">
        <v>29</v>
      </c>
      <c r="C1515" t="s">
        <v>26</v>
      </c>
      <c r="D1515" t="s">
        <v>23</v>
      </c>
      <c r="E1515" t="s">
        <v>14</v>
      </c>
      <c r="F1515" t="s">
        <v>33</v>
      </c>
      <c r="G1515" t="s">
        <v>22</v>
      </c>
      <c r="H1515" s="12">
        <v>180000</v>
      </c>
      <c r="I1515">
        <v>9</v>
      </c>
      <c r="J1515" t="s">
        <v>35</v>
      </c>
      <c r="K1515" s="12">
        <f t="shared" si="23"/>
        <v>144000</v>
      </c>
      <c r="L1515" s="12">
        <f>Sales_Data[[#This Row],[Unit Price]]*Sales_Data[[#This Row],[Quantity]]</f>
        <v>1620000</v>
      </c>
      <c r="M1515" s="12">
        <f>Sales_Data[[#This Row],[Cost Price]]*Sales_Data[[#This Row],[Quantity]]</f>
        <v>1296000</v>
      </c>
      <c r="N1515" s="12">
        <f>Sales_Data[[#This Row],[Revenue]]-Sales_Data[[#This Row],[COGS]]</f>
        <v>324000</v>
      </c>
    </row>
    <row r="1516" spans="1:14">
      <c r="A1516" s="1">
        <v>47190</v>
      </c>
      <c r="B1516" t="s">
        <v>29</v>
      </c>
      <c r="C1516" t="s">
        <v>26</v>
      </c>
      <c r="D1516" t="s">
        <v>23</v>
      </c>
      <c r="E1516" t="s">
        <v>20</v>
      </c>
      <c r="F1516" t="s">
        <v>38</v>
      </c>
      <c r="G1516" t="s">
        <v>31</v>
      </c>
      <c r="H1516" s="12">
        <v>420000</v>
      </c>
      <c r="I1516">
        <v>10</v>
      </c>
      <c r="J1516" t="s">
        <v>17</v>
      </c>
      <c r="K1516" s="12">
        <f t="shared" si="23"/>
        <v>336000</v>
      </c>
      <c r="L1516" s="12">
        <f>Sales_Data[[#This Row],[Unit Price]]*Sales_Data[[#This Row],[Quantity]]</f>
        <v>4200000</v>
      </c>
      <c r="M1516" s="12">
        <f>Sales_Data[[#This Row],[Cost Price]]*Sales_Data[[#This Row],[Quantity]]</f>
        <v>3360000</v>
      </c>
      <c r="N1516" s="12">
        <f>Sales_Data[[#This Row],[Revenue]]-Sales_Data[[#This Row],[COGS]]</f>
        <v>840000</v>
      </c>
    </row>
    <row r="1517" spans="1:14">
      <c r="A1517" s="1">
        <v>47191</v>
      </c>
      <c r="B1517" t="s">
        <v>11</v>
      </c>
      <c r="C1517" t="s">
        <v>32</v>
      </c>
      <c r="D1517" t="s">
        <v>13</v>
      </c>
      <c r="E1517" t="s">
        <v>14</v>
      </c>
      <c r="F1517" t="s">
        <v>40</v>
      </c>
      <c r="G1517" t="s">
        <v>31</v>
      </c>
      <c r="H1517" s="12">
        <v>250000</v>
      </c>
      <c r="I1517">
        <v>10</v>
      </c>
      <c r="J1517" t="s">
        <v>17</v>
      </c>
      <c r="K1517" s="12">
        <f t="shared" si="23"/>
        <v>200000</v>
      </c>
      <c r="L1517" s="12">
        <f>Sales_Data[[#This Row],[Unit Price]]*Sales_Data[[#This Row],[Quantity]]</f>
        <v>2500000</v>
      </c>
      <c r="M1517" s="12">
        <f>Sales_Data[[#This Row],[Cost Price]]*Sales_Data[[#This Row],[Quantity]]</f>
        <v>2000000</v>
      </c>
      <c r="N1517" s="12">
        <f>Sales_Data[[#This Row],[Revenue]]-Sales_Data[[#This Row],[COGS]]</f>
        <v>500000</v>
      </c>
    </row>
    <row r="1518" spans="1:14">
      <c r="A1518" s="1">
        <v>47192</v>
      </c>
      <c r="B1518" t="s">
        <v>18</v>
      </c>
      <c r="C1518" t="s">
        <v>26</v>
      </c>
      <c r="D1518" t="s">
        <v>13</v>
      </c>
      <c r="E1518" t="s">
        <v>20</v>
      </c>
      <c r="F1518" t="s">
        <v>41</v>
      </c>
      <c r="G1518" t="s">
        <v>22</v>
      </c>
      <c r="H1518" s="12">
        <v>220000</v>
      </c>
      <c r="I1518">
        <v>3</v>
      </c>
      <c r="J1518" t="s">
        <v>24</v>
      </c>
      <c r="K1518" s="12">
        <f t="shared" si="23"/>
        <v>176000</v>
      </c>
      <c r="L1518" s="12">
        <f>Sales_Data[[#This Row],[Unit Price]]*Sales_Data[[#This Row],[Quantity]]</f>
        <v>660000</v>
      </c>
      <c r="M1518" s="12">
        <f>Sales_Data[[#This Row],[Cost Price]]*Sales_Data[[#This Row],[Quantity]]</f>
        <v>528000</v>
      </c>
      <c r="N1518" s="12">
        <f>Sales_Data[[#This Row],[Revenue]]-Sales_Data[[#This Row],[COGS]]</f>
        <v>132000</v>
      </c>
    </row>
    <row r="1519" spans="1:14">
      <c r="A1519" s="1">
        <v>47193</v>
      </c>
      <c r="B1519" t="s">
        <v>29</v>
      </c>
      <c r="C1519" t="s">
        <v>32</v>
      </c>
      <c r="D1519" t="s">
        <v>13</v>
      </c>
      <c r="E1519" t="s">
        <v>14</v>
      </c>
      <c r="F1519" t="s">
        <v>21</v>
      </c>
      <c r="G1519" t="s">
        <v>22</v>
      </c>
      <c r="H1519" s="12">
        <v>30000</v>
      </c>
      <c r="I1519">
        <v>4</v>
      </c>
      <c r="J1519" t="s">
        <v>35</v>
      </c>
      <c r="K1519" s="12">
        <f t="shared" si="23"/>
        <v>24000</v>
      </c>
      <c r="L1519" s="12">
        <f>Sales_Data[[#This Row],[Unit Price]]*Sales_Data[[#This Row],[Quantity]]</f>
        <v>120000</v>
      </c>
      <c r="M1519" s="12">
        <f>Sales_Data[[#This Row],[Cost Price]]*Sales_Data[[#This Row],[Quantity]]</f>
        <v>96000</v>
      </c>
      <c r="N1519" s="12">
        <f>Sales_Data[[#This Row],[Revenue]]-Sales_Data[[#This Row],[COGS]]</f>
        <v>24000</v>
      </c>
    </row>
    <row r="1520" spans="1:14">
      <c r="A1520" s="1">
        <v>47194</v>
      </c>
      <c r="B1520" t="s">
        <v>18</v>
      </c>
      <c r="C1520" t="s">
        <v>32</v>
      </c>
      <c r="D1520" t="s">
        <v>13</v>
      </c>
      <c r="E1520" t="s">
        <v>20</v>
      </c>
      <c r="F1520" t="s">
        <v>33</v>
      </c>
      <c r="G1520" t="s">
        <v>22</v>
      </c>
      <c r="H1520" s="12">
        <v>180000</v>
      </c>
      <c r="I1520">
        <v>9</v>
      </c>
      <c r="J1520" t="s">
        <v>35</v>
      </c>
      <c r="K1520" s="12">
        <f t="shared" si="23"/>
        <v>144000</v>
      </c>
      <c r="L1520" s="12">
        <f>Sales_Data[[#This Row],[Unit Price]]*Sales_Data[[#This Row],[Quantity]]</f>
        <v>1620000</v>
      </c>
      <c r="M1520" s="12">
        <f>Sales_Data[[#This Row],[Cost Price]]*Sales_Data[[#This Row],[Quantity]]</f>
        <v>1296000</v>
      </c>
      <c r="N1520" s="12">
        <f>Sales_Data[[#This Row],[Revenue]]-Sales_Data[[#This Row],[COGS]]</f>
        <v>324000</v>
      </c>
    </row>
    <row r="1521" spans="1:14">
      <c r="A1521" s="1">
        <v>47195</v>
      </c>
      <c r="B1521" t="s">
        <v>11</v>
      </c>
      <c r="C1521" t="s">
        <v>26</v>
      </c>
      <c r="D1521" t="s">
        <v>13</v>
      </c>
      <c r="E1521" t="s">
        <v>20</v>
      </c>
      <c r="F1521" t="s">
        <v>33</v>
      </c>
      <c r="G1521" t="s">
        <v>22</v>
      </c>
      <c r="H1521" s="12">
        <v>180000</v>
      </c>
      <c r="I1521">
        <v>7</v>
      </c>
      <c r="J1521" t="s">
        <v>35</v>
      </c>
      <c r="K1521" s="12">
        <f t="shared" si="23"/>
        <v>144000</v>
      </c>
      <c r="L1521" s="12">
        <f>Sales_Data[[#This Row],[Unit Price]]*Sales_Data[[#This Row],[Quantity]]</f>
        <v>1260000</v>
      </c>
      <c r="M1521" s="12">
        <f>Sales_Data[[#This Row],[Cost Price]]*Sales_Data[[#This Row],[Quantity]]</f>
        <v>1008000</v>
      </c>
      <c r="N1521" s="12">
        <f>Sales_Data[[#This Row],[Revenue]]-Sales_Data[[#This Row],[COGS]]</f>
        <v>252000</v>
      </c>
    </row>
    <row r="1522" spans="1:14">
      <c r="A1522" s="1">
        <v>47196</v>
      </c>
      <c r="B1522" t="s">
        <v>18</v>
      </c>
      <c r="C1522" t="s">
        <v>12</v>
      </c>
      <c r="D1522" t="s">
        <v>23</v>
      </c>
      <c r="E1522" t="s">
        <v>20</v>
      </c>
      <c r="F1522" t="s">
        <v>36</v>
      </c>
      <c r="G1522" t="s">
        <v>31</v>
      </c>
      <c r="H1522" s="12">
        <v>150000</v>
      </c>
      <c r="I1522">
        <v>7</v>
      </c>
      <c r="J1522" t="s">
        <v>17</v>
      </c>
      <c r="K1522" s="12">
        <f t="shared" si="23"/>
        <v>120000</v>
      </c>
      <c r="L1522" s="12">
        <f>Sales_Data[[#This Row],[Unit Price]]*Sales_Data[[#This Row],[Quantity]]</f>
        <v>1050000</v>
      </c>
      <c r="M1522" s="12">
        <f>Sales_Data[[#This Row],[Cost Price]]*Sales_Data[[#This Row],[Quantity]]</f>
        <v>840000</v>
      </c>
      <c r="N1522" s="12">
        <f>Sales_Data[[#This Row],[Revenue]]-Sales_Data[[#This Row],[COGS]]</f>
        <v>210000</v>
      </c>
    </row>
    <row r="1523" spans="1:14">
      <c r="A1523" s="1">
        <v>47197</v>
      </c>
      <c r="B1523" t="s">
        <v>18</v>
      </c>
      <c r="C1523" t="s">
        <v>32</v>
      </c>
      <c r="D1523" t="s">
        <v>13</v>
      </c>
      <c r="E1523" t="s">
        <v>14</v>
      </c>
      <c r="F1523" t="s">
        <v>21</v>
      </c>
      <c r="G1523" t="s">
        <v>22</v>
      </c>
      <c r="H1523" s="12">
        <v>30000</v>
      </c>
      <c r="I1523">
        <v>4</v>
      </c>
      <c r="J1523" t="s">
        <v>28</v>
      </c>
      <c r="K1523" s="12">
        <f t="shared" si="23"/>
        <v>24000</v>
      </c>
      <c r="L1523" s="12">
        <f>Sales_Data[[#This Row],[Unit Price]]*Sales_Data[[#This Row],[Quantity]]</f>
        <v>120000</v>
      </c>
      <c r="M1523" s="12">
        <f>Sales_Data[[#This Row],[Cost Price]]*Sales_Data[[#This Row],[Quantity]]</f>
        <v>96000</v>
      </c>
      <c r="N1523" s="12">
        <f>Sales_Data[[#This Row],[Revenue]]-Sales_Data[[#This Row],[COGS]]</f>
        <v>24000</v>
      </c>
    </row>
    <row r="1524" spans="1:14">
      <c r="A1524" s="1">
        <v>47198</v>
      </c>
      <c r="B1524" t="s">
        <v>18</v>
      </c>
      <c r="C1524" t="s">
        <v>19</v>
      </c>
      <c r="D1524" t="s">
        <v>13</v>
      </c>
      <c r="E1524" t="s">
        <v>14</v>
      </c>
      <c r="F1524" t="s">
        <v>34</v>
      </c>
      <c r="G1524" t="s">
        <v>16</v>
      </c>
      <c r="H1524" s="12">
        <v>320000</v>
      </c>
      <c r="I1524">
        <v>2</v>
      </c>
      <c r="J1524" t="s">
        <v>35</v>
      </c>
      <c r="K1524" s="12">
        <f t="shared" si="23"/>
        <v>256000</v>
      </c>
      <c r="L1524" s="12">
        <f>Sales_Data[[#This Row],[Unit Price]]*Sales_Data[[#This Row],[Quantity]]</f>
        <v>640000</v>
      </c>
      <c r="M1524" s="12">
        <f>Sales_Data[[#This Row],[Cost Price]]*Sales_Data[[#This Row],[Quantity]]</f>
        <v>512000</v>
      </c>
      <c r="N1524" s="12">
        <f>Sales_Data[[#This Row],[Revenue]]-Sales_Data[[#This Row],[COGS]]</f>
        <v>128000</v>
      </c>
    </row>
    <row r="1525" spans="1:14">
      <c r="A1525" s="1">
        <v>47199</v>
      </c>
      <c r="B1525" t="s">
        <v>18</v>
      </c>
      <c r="C1525" t="s">
        <v>19</v>
      </c>
      <c r="D1525" t="s">
        <v>23</v>
      </c>
      <c r="E1525" t="s">
        <v>20</v>
      </c>
      <c r="F1525" t="s">
        <v>34</v>
      </c>
      <c r="G1525" t="s">
        <v>16</v>
      </c>
      <c r="H1525" s="12">
        <v>320000</v>
      </c>
      <c r="I1525">
        <v>6</v>
      </c>
      <c r="J1525" t="s">
        <v>37</v>
      </c>
      <c r="K1525" s="12">
        <f t="shared" si="23"/>
        <v>256000</v>
      </c>
      <c r="L1525" s="12">
        <f>Sales_Data[[#This Row],[Unit Price]]*Sales_Data[[#This Row],[Quantity]]</f>
        <v>1920000</v>
      </c>
      <c r="M1525" s="12">
        <f>Sales_Data[[#This Row],[Cost Price]]*Sales_Data[[#This Row],[Quantity]]</f>
        <v>1536000</v>
      </c>
      <c r="N1525" s="12">
        <f>Sales_Data[[#This Row],[Revenue]]-Sales_Data[[#This Row],[COGS]]</f>
        <v>384000</v>
      </c>
    </row>
    <row r="1526" spans="1:14">
      <c r="A1526" s="1">
        <v>47200</v>
      </c>
      <c r="B1526" t="s">
        <v>18</v>
      </c>
      <c r="C1526" t="s">
        <v>26</v>
      </c>
      <c r="D1526" t="s">
        <v>23</v>
      </c>
      <c r="E1526" t="s">
        <v>20</v>
      </c>
      <c r="F1526" t="s">
        <v>38</v>
      </c>
      <c r="G1526" t="s">
        <v>31</v>
      </c>
      <c r="H1526" s="12">
        <v>420000</v>
      </c>
      <c r="I1526">
        <v>10</v>
      </c>
      <c r="J1526" t="s">
        <v>24</v>
      </c>
      <c r="K1526" s="12">
        <f t="shared" si="23"/>
        <v>336000</v>
      </c>
      <c r="L1526" s="12">
        <f>Sales_Data[[#This Row],[Unit Price]]*Sales_Data[[#This Row],[Quantity]]</f>
        <v>4200000</v>
      </c>
      <c r="M1526" s="12">
        <f>Sales_Data[[#This Row],[Cost Price]]*Sales_Data[[#This Row],[Quantity]]</f>
        <v>3360000</v>
      </c>
      <c r="N1526" s="12">
        <f>Sales_Data[[#This Row],[Revenue]]-Sales_Data[[#This Row],[COGS]]</f>
        <v>840000</v>
      </c>
    </row>
    <row r="1527" spans="1:14">
      <c r="A1527" s="1">
        <v>47201</v>
      </c>
      <c r="B1527" t="s">
        <v>25</v>
      </c>
      <c r="C1527" t="s">
        <v>32</v>
      </c>
      <c r="D1527" t="s">
        <v>13</v>
      </c>
      <c r="E1527" t="s">
        <v>14</v>
      </c>
      <c r="F1527" t="s">
        <v>41</v>
      </c>
      <c r="G1527" t="s">
        <v>22</v>
      </c>
      <c r="H1527" s="12">
        <v>220000</v>
      </c>
      <c r="I1527">
        <v>8</v>
      </c>
      <c r="J1527" t="s">
        <v>17</v>
      </c>
      <c r="K1527" s="12">
        <f t="shared" si="23"/>
        <v>176000</v>
      </c>
      <c r="L1527" s="12">
        <f>Sales_Data[[#This Row],[Unit Price]]*Sales_Data[[#This Row],[Quantity]]</f>
        <v>1760000</v>
      </c>
      <c r="M1527" s="12">
        <f>Sales_Data[[#This Row],[Cost Price]]*Sales_Data[[#This Row],[Quantity]]</f>
        <v>1408000</v>
      </c>
      <c r="N1527" s="12">
        <f>Sales_Data[[#This Row],[Revenue]]-Sales_Data[[#This Row],[COGS]]</f>
        <v>352000</v>
      </c>
    </row>
    <row r="1528" spans="1:14">
      <c r="A1528" s="1">
        <v>47202</v>
      </c>
      <c r="B1528" t="s">
        <v>18</v>
      </c>
      <c r="C1528" t="s">
        <v>12</v>
      </c>
      <c r="D1528" t="s">
        <v>13</v>
      </c>
      <c r="E1528" t="s">
        <v>14</v>
      </c>
      <c r="F1528" t="s">
        <v>30</v>
      </c>
      <c r="G1528" t="s">
        <v>31</v>
      </c>
      <c r="H1528" s="12">
        <v>300000</v>
      </c>
      <c r="I1528">
        <v>10</v>
      </c>
      <c r="J1528" t="s">
        <v>17</v>
      </c>
      <c r="K1528" s="12">
        <f t="shared" si="23"/>
        <v>240000</v>
      </c>
      <c r="L1528" s="12">
        <f>Sales_Data[[#This Row],[Unit Price]]*Sales_Data[[#This Row],[Quantity]]</f>
        <v>3000000</v>
      </c>
      <c r="M1528" s="12">
        <f>Sales_Data[[#This Row],[Cost Price]]*Sales_Data[[#This Row],[Quantity]]</f>
        <v>2400000</v>
      </c>
      <c r="N1528" s="12">
        <f>Sales_Data[[#This Row],[Revenue]]-Sales_Data[[#This Row],[COGS]]</f>
        <v>600000</v>
      </c>
    </row>
    <row r="1529" spans="1:14">
      <c r="A1529" s="1">
        <v>47203</v>
      </c>
      <c r="B1529" t="s">
        <v>25</v>
      </c>
      <c r="C1529" t="s">
        <v>32</v>
      </c>
      <c r="D1529" t="s">
        <v>23</v>
      </c>
      <c r="E1529" t="s">
        <v>20</v>
      </c>
      <c r="F1529" t="s">
        <v>30</v>
      </c>
      <c r="G1529" t="s">
        <v>31</v>
      </c>
      <c r="H1529" s="12">
        <v>300000</v>
      </c>
      <c r="I1529">
        <v>3</v>
      </c>
      <c r="J1529" t="s">
        <v>28</v>
      </c>
      <c r="K1529" s="12">
        <f t="shared" si="23"/>
        <v>240000</v>
      </c>
      <c r="L1529" s="12">
        <f>Sales_Data[[#This Row],[Unit Price]]*Sales_Data[[#This Row],[Quantity]]</f>
        <v>900000</v>
      </c>
      <c r="M1529" s="12">
        <f>Sales_Data[[#This Row],[Cost Price]]*Sales_Data[[#This Row],[Quantity]]</f>
        <v>720000</v>
      </c>
      <c r="N1529" s="12">
        <f>Sales_Data[[#This Row],[Revenue]]-Sales_Data[[#This Row],[COGS]]</f>
        <v>180000</v>
      </c>
    </row>
    <row r="1530" spans="1:14">
      <c r="A1530" s="1">
        <v>47204</v>
      </c>
      <c r="B1530" t="s">
        <v>29</v>
      </c>
      <c r="C1530" t="s">
        <v>12</v>
      </c>
      <c r="D1530" t="s">
        <v>13</v>
      </c>
      <c r="E1530" t="s">
        <v>14</v>
      </c>
      <c r="F1530" t="s">
        <v>34</v>
      </c>
      <c r="G1530" t="s">
        <v>16</v>
      </c>
      <c r="H1530" s="12">
        <v>320000</v>
      </c>
      <c r="I1530">
        <v>5</v>
      </c>
      <c r="J1530" t="s">
        <v>37</v>
      </c>
      <c r="K1530" s="12">
        <f t="shared" si="23"/>
        <v>256000</v>
      </c>
      <c r="L1530" s="12">
        <f>Sales_Data[[#This Row],[Unit Price]]*Sales_Data[[#This Row],[Quantity]]</f>
        <v>1600000</v>
      </c>
      <c r="M1530" s="12">
        <f>Sales_Data[[#This Row],[Cost Price]]*Sales_Data[[#This Row],[Quantity]]</f>
        <v>1280000</v>
      </c>
      <c r="N1530" s="12">
        <f>Sales_Data[[#This Row],[Revenue]]-Sales_Data[[#This Row],[COGS]]</f>
        <v>320000</v>
      </c>
    </row>
    <row r="1531" spans="1:14">
      <c r="A1531" s="1">
        <v>47205</v>
      </c>
      <c r="B1531" t="s">
        <v>18</v>
      </c>
      <c r="C1531" t="s">
        <v>32</v>
      </c>
      <c r="D1531" t="s">
        <v>13</v>
      </c>
      <c r="E1531" t="s">
        <v>14</v>
      </c>
      <c r="F1531" t="s">
        <v>15</v>
      </c>
      <c r="G1531" t="s">
        <v>16</v>
      </c>
      <c r="H1531" s="12">
        <v>85000</v>
      </c>
      <c r="I1531">
        <v>7</v>
      </c>
      <c r="J1531" t="s">
        <v>17</v>
      </c>
      <c r="K1531" s="12">
        <f t="shared" si="23"/>
        <v>68000</v>
      </c>
      <c r="L1531" s="12">
        <f>Sales_Data[[#This Row],[Unit Price]]*Sales_Data[[#This Row],[Quantity]]</f>
        <v>595000</v>
      </c>
      <c r="M1531" s="12">
        <f>Sales_Data[[#This Row],[Cost Price]]*Sales_Data[[#This Row],[Quantity]]</f>
        <v>476000</v>
      </c>
      <c r="N1531" s="12">
        <f>Sales_Data[[#This Row],[Revenue]]-Sales_Data[[#This Row],[COGS]]</f>
        <v>119000</v>
      </c>
    </row>
    <row r="1532" spans="1:14">
      <c r="A1532" s="1">
        <v>47206</v>
      </c>
      <c r="B1532" t="s">
        <v>11</v>
      </c>
      <c r="C1532" t="s">
        <v>26</v>
      </c>
      <c r="D1532" t="s">
        <v>13</v>
      </c>
      <c r="E1532" t="s">
        <v>20</v>
      </c>
      <c r="F1532" t="s">
        <v>41</v>
      </c>
      <c r="G1532" t="s">
        <v>22</v>
      </c>
      <c r="H1532" s="12">
        <v>220000</v>
      </c>
      <c r="I1532">
        <v>2</v>
      </c>
      <c r="J1532" t="s">
        <v>37</v>
      </c>
      <c r="K1532" s="12">
        <f t="shared" si="23"/>
        <v>176000</v>
      </c>
      <c r="L1532" s="12">
        <f>Sales_Data[[#This Row],[Unit Price]]*Sales_Data[[#This Row],[Quantity]]</f>
        <v>440000</v>
      </c>
      <c r="M1532" s="12">
        <f>Sales_Data[[#This Row],[Cost Price]]*Sales_Data[[#This Row],[Quantity]]</f>
        <v>352000</v>
      </c>
      <c r="N1532" s="12">
        <f>Sales_Data[[#This Row],[Revenue]]-Sales_Data[[#This Row],[COGS]]</f>
        <v>88000</v>
      </c>
    </row>
    <row r="1533" spans="1:14">
      <c r="A1533" s="1">
        <v>47207</v>
      </c>
      <c r="B1533" t="s">
        <v>29</v>
      </c>
      <c r="C1533" t="s">
        <v>32</v>
      </c>
      <c r="D1533" t="s">
        <v>13</v>
      </c>
      <c r="E1533" t="s">
        <v>20</v>
      </c>
      <c r="F1533" t="s">
        <v>30</v>
      </c>
      <c r="G1533" t="s">
        <v>31</v>
      </c>
      <c r="H1533" s="12">
        <v>300000</v>
      </c>
      <c r="I1533">
        <v>2</v>
      </c>
      <c r="J1533" t="s">
        <v>28</v>
      </c>
      <c r="K1533" s="12">
        <f t="shared" si="23"/>
        <v>240000</v>
      </c>
      <c r="L1533" s="12">
        <f>Sales_Data[[#This Row],[Unit Price]]*Sales_Data[[#This Row],[Quantity]]</f>
        <v>600000</v>
      </c>
      <c r="M1533" s="12">
        <f>Sales_Data[[#This Row],[Cost Price]]*Sales_Data[[#This Row],[Quantity]]</f>
        <v>480000</v>
      </c>
      <c r="N1533" s="12">
        <f>Sales_Data[[#This Row],[Revenue]]-Sales_Data[[#This Row],[COGS]]</f>
        <v>120000</v>
      </c>
    </row>
    <row r="1534" spans="1:14">
      <c r="A1534" s="1">
        <v>47208</v>
      </c>
      <c r="B1534" t="s">
        <v>25</v>
      </c>
      <c r="C1534" t="s">
        <v>19</v>
      </c>
      <c r="D1534" t="s">
        <v>23</v>
      </c>
      <c r="E1534" t="s">
        <v>14</v>
      </c>
      <c r="F1534" t="s">
        <v>15</v>
      </c>
      <c r="G1534" t="s">
        <v>16</v>
      </c>
      <c r="H1534" s="12">
        <v>85000</v>
      </c>
      <c r="I1534">
        <v>3</v>
      </c>
      <c r="J1534" t="s">
        <v>24</v>
      </c>
      <c r="K1534" s="12">
        <f t="shared" si="23"/>
        <v>68000</v>
      </c>
      <c r="L1534" s="12">
        <f>Sales_Data[[#This Row],[Unit Price]]*Sales_Data[[#This Row],[Quantity]]</f>
        <v>255000</v>
      </c>
      <c r="M1534" s="12">
        <f>Sales_Data[[#This Row],[Cost Price]]*Sales_Data[[#This Row],[Quantity]]</f>
        <v>204000</v>
      </c>
      <c r="N1534" s="12">
        <f>Sales_Data[[#This Row],[Revenue]]-Sales_Data[[#This Row],[COGS]]</f>
        <v>51000</v>
      </c>
    </row>
    <row r="1535" spans="1:14">
      <c r="A1535" s="1">
        <v>47209</v>
      </c>
      <c r="B1535" t="s">
        <v>29</v>
      </c>
      <c r="C1535" t="s">
        <v>32</v>
      </c>
      <c r="D1535" t="s">
        <v>13</v>
      </c>
      <c r="E1535" t="s">
        <v>20</v>
      </c>
      <c r="F1535" t="s">
        <v>41</v>
      </c>
      <c r="G1535" t="s">
        <v>22</v>
      </c>
      <c r="H1535" s="12">
        <v>220000</v>
      </c>
      <c r="I1535">
        <v>7</v>
      </c>
      <c r="J1535" t="s">
        <v>37</v>
      </c>
      <c r="K1535" s="12">
        <f t="shared" si="23"/>
        <v>176000</v>
      </c>
      <c r="L1535" s="12">
        <f>Sales_Data[[#This Row],[Unit Price]]*Sales_Data[[#This Row],[Quantity]]</f>
        <v>1540000</v>
      </c>
      <c r="M1535" s="12">
        <f>Sales_Data[[#This Row],[Cost Price]]*Sales_Data[[#This Row],[Quantity]]</f>
        <v>1232000</v>
      </c>
      <c r="N1535" s="12">
        <f>Sales_Data[[#This Row],[Revenue]]-Sales_Data[[#This Row],[COGS]]</f>
        <v>308000</v>
      </c>
    </row>
    <row r="1536" spans="1:14">
      <c r="A1536" s="1">
        <v>47210</v>
      </c>
      <c r="B1536" t="s">
        <v>18</v>
      </c>
      <c r="C1536" t="s">
        <v>26</v>
      </c>
      <c r="D1536" t="s">
        <v>23</v>
      </c>
      <c r="E1536" t="s">
        <v>14</v>
      </c>
      <c r="F1536" t="s">
        <v>36</v>
      </c>
      <c r="G1536" t="s">
        <v>31</v>
      </c>
      <c r="H1536" s="12">
        <v>150000</v>
      </c>
      <c r="I1536">
        <v>3</v>
      </c>
      <c r="J1536" t="s">
        <v>28</v>
      </c>
      <c r="K1536" s="12">
        <f t="shared" si="23"/>
        <v>120000</v>
      </c>
      <c r="L1536" s="12">
        <f>Sales_Data[[#This Row],[Unit Price]]*Sales_Data[[#This Row],[Quantity]]</f>
        <v>450000</v>
      </c>
      <c r="M1536" s="12">
        <f>Sales_Data[[#This Row],[Cost Price]]*Sales_Data[[#This Row],[Quantity]]</f>
        <v>360000</v>
      </c>
      <c r="N1536" s="12">
        <f>Sales_Data[[#This Row],[Revenue]]-Sales_Data[[#This Row],[COGS]]</f>
        <v>90000</v>
      </c>
    </row>
    <row r="1537" spans="1:14">
      <c r="A1537" s="1">
        <v>47211</v>
      </c>
      <c r="B1537" t="s">
        <v>18</v>
      </c>
      <c r="C1537" t="s">
        <v>19</v>
      </c>
      <c r="D1537" t="s">
        <v>13</v>
      </c>
      <c r="E1537" t="s">
        <v>20</v>
      </c>
      <c r="F1537" t="s">
        <v>38</v>
      </c>
      <c r="G1537" t="s">
        <v>31</v>
      </c>
      <c r="H1537" s="12">
        <v>420000</v>
      </c>
      <c r="I1537">
        <v>10</v>
      </c>
      <c r="J1537" t="s">
        <v>37</v>
      </c>
      <c r="K1537" s="12">
        <f t="shared" si="23"/>
        <v>336000</v>
      </c>
      <c r="L1537" s="12">
        <f>Sales_Data[[#This Row],[Unit Price]]*Sales_Data[[#This Row],[Quantity]]</f>
        <v>4200000</v>
      </c>
      <c r="M1537" s="12">
        <f>Sales_Data[[#This Row],[Cost Price]]*Sales_Data[[#This Row],[Quantity]]</f>
        <v>3360000</v>
      </c>
      <c r="N1537" s="12">
        <f>Sales_Data[[#This Row],[Revenue]]-Sales_Data[[#This Row],[COGS]]</f>
        <v>840000</v>
      </c>
    </row>
    <row r="1538" spans="1:14">
      <c r="A1538" s="1">
        <v>47212</v>
      </c>
      <c r="B1538" t="s">
        <v>29</v>
      </c>
      <c r="C1538" t="s">
        <v>19</v>
      </c>
      <c r="D1538" t="s">
        <v>13</v>
      </c>
      <c r="E1538" t="s">
        <v>20</v>
      </c>
      <c r="F1538" t="s">
        <v>27</v>
      </c>
      <c r="G1538" t="s">
        <v>22</v>
      </c>
      <c r="H1538" s="12">
        <v>60000</v>
      </c>
      <c r="I1538">
        <v>3</v>
      </c>
      <c r="J1538" t="s">
        <v>35</v>
      </c>
      <c r="K1538" s="12">
        <f t="shared" ref="K1538:K1601" si="24">H1538-H1538*0.2</f>
        <v>48000</v>
      </c>
      <c r="L1538" s="12">
        <f>Sales_Data[[#This Row],[Unit Price]]*Sales_Data[[#This Row],[Quantity]]</f>
        <v>180000</v>
      </c>
      <c r="M1538" s="12">
        <f>Sales_Data[[#This Row],[Cost Price]]*Sales_Data[[#This Row],[Quantity]]</f>
        <v>144000</v>
      </c>
      <c r="N1538" s="12">
        <f>Sales_Data[[#This Row],[Revenue]]-Sales_Data[[#This Row],[COGS]]</f>
        <v>36000</v>
      </c>
    </row>
    <row r="1539" spans="1:14">
      <c r="A1539" s="1">
        <v>47213</v>
      </c>
      <c r="B1539" t="s">
        <v>18</v>
      </c>
      <c r="C1539" t="s">
        <v>19</v>
      </c>
      <c r="D1539" t="s">
        <v>23</v>
      </c>
      <c r="E1539" t="s">
        <v>14</v>
      </c>
      <c r="F1539" t="s">
        <v>30</v>
      </c>
      <c r="G1539" t="s">
        <v>31</v>
      </c>
      <c r="H1539" s="12">
        <v>300000</v>
      </c>
      <c r="I1539">
        <v>9</v>
      </c>
      <c r="J1539" t="s">
        <v>24</v>
      </c>
      <c r="K1539" s="12">
        <f t="shared" si="24"/>
        <v>240000</v>
      </c>
      <c r="L1539" s="12">
        <f>Sales_Data[[#This Row],[Unit Price]]*Sales_Data[[#This Row],[Quantity]]</f>
        <v>2700000</v>
      </c>
      <c r="M1539" s="12">
        <f>Sales_Data[[#This Row],[Cost Price]]*Sales_Data[[#This Row],[Quantity]]</f>
        <v>2160000</v>
      </c>
      <c r="N1539" s="12">
        <f>Sales_Data[[#This Row],[Revenue]]-Sales_Data[[#This Row],[COGS]]</f>
        <v>540000</v>
      </c>
    </row>
    <row r="1540" spans="1:14">
      <c r="A1540" s="1">
        <v>47214</v>
      </c>
      <c r="B1540" t="s">
        <v>25</v>
      </c>
      <c r="C1540" t="s">
        <v>19</v>
      </c>
      <c r="D1540" t="s">
        <v>23</v>
      </c>
      <c r="E1540" t="s">
        <v>14</v>
      </c>
      <c r="F1540" t="s">
        <v>27</v>
      </c>
      <c r="G1540" t="s">
        <v>22</v>
      </c>
      <c r="H1540" s="12">
        <v>60000</v>
      </c>
      <c r="I1540">
        <v>7</v>
      </c>
      <c r="J1540" t="s">
        <v>17</v>
      </c>
      <c r="K1540" s="12">
        <f t="shared" si="24"/>
        <v>48000</v>
      </c>
      <c r="L1540" s="12">
        <f>Sales_Data[[#This Row],[Unit Price]]*Sales_Data[[#This Row],[Quantity]]</f>
        <v>420000</v>
      </c>
      <c r="M1540" s="12">
        <f>Sales_Data[[#This Row],[Cost Price]]*Sales_Data[[#This Row],[Quantity]]</f>
        <v>336000</v>
      </c>
      <c r="N1540" s="12">
        <f>Sales_Data[[#This Row],[Revenue]]-Sales_Data[[#This Row],[COGS]]</f>
        <v>84000</v>
      </c>
    </row>
    <row r="1541" spans="1:14">
      <c r="A1541" s="1">
        <v>47215</v>
      </c>
      <c r="B1541" t="s">
        <v>11</v>
      </c>
      <c r="C1541" t="s">
        <v>12</v>
      </c>
      <c r="D1541" t="s">
        <v>13</v>
      </c>
      <c r="E1541" t="s">
        <v>14</v>
      </c>
      <c r="F1541" t="s">
        <v>34</v>
      </c>
      <c r="G1541" t="s">
        <v>16</v>
      </c>
      <c r="H1541" s="12">
        <v>320000</v>
      </c>
      <c r="I1541">
        <v>3</v>
      </c>
      <c r="J1541" t="s">
        <v>28</v>
      </c>
      <c r="K1541" s="12">
        <f t="shared" si="24"/>
        <v>256000</v>
      </c>
      <c r="L1541" s="12">
        <f>Sales_Data[[#This Row],[Unit Price]]*Sales_Data[[#This Row],[Quantity]]</f>
        <v>960000</v>
      </c>
      <c r="M1541" s="12">
        <f>Sales_Data[[#This Row],[Cost Price]]*Sales_Data[[#This Row],[Quantity]]</f>
        <v>768000</v>
      </c>
      <c r="N1541" s="12">
        <f>Sales_Data[[#This Row],[Revenue]]-Sales_Data[[#This Row],[COGS]]</f>
        <v>192000</v>
      </c>
    </row>
    <row r="1542" spans="1:14">
      <c r="A1542" s="1">
        <v>47216</v>
      </c>
      <c r="B1542" t="s">
        <v>29</v>
      </c>
      <c r="C1542" t="s">
        <v>19</v>
      </c>
      <c r="D1542" t="s">
        <v>23</v>
      </c>
      <c r="E1542" t="s">
        <v>14</v>
      </c>
      <c r="F1542" t="s">
        <v>41</v>
      </c>
      <c r="G1542" t="s">
        <v>22</v>
      </c>
      <c r="H1542" s="12">
        <v>220000</v>
      </c>
      <c r="I1542">
        <v>5</v>
      </c>
      <c r="J1542" t="s">
        <v>17</v>
      </c>
      <c r="K1542" s="12">
        <f t="shared" si="24"/>
        <v>176000</v>
      </c>
      <c r="L1542" s="12">
        <f>Sales_Data[[#This Row],[Unit Price]]*Sales_Data[[#This Row],[Quantity]]</f>
        <v>1100000</v>
      </c>
      <c r="M1542" s="12">
        <f>Sales_Data[[#This Row],[Cost Price]]*Sales_Data[[#This Row],[Quantity]]</f>
        <v>880000</v>
      </c>
      <c r="N1542" s="12">
        <f>Sales_Data[[#This Row],[Revenue]]-Sales_Data[[#This Row],[COGS]]</f>
        <v>220000</v>
      </c>
    </row>
    <row r="1543" spans="1:14">
      <c r="A1543" s="1">
        <v>47217</v>
      </c>
      <c r="B1543" t="s">
        <v>18</v>
      </c>
      <c r="C1543" t="s">
        <v>19</v>
      </c>
      <c r="D1543" t="s">
        <v>23</v>
      </c>
      <c r="E1543" t="s">
        <v>14</v>
      </c>
      <c r="F1543" t="s">
        <v>41</v>
      </c>
      <c r="G1543" t="s">
        <v>22</v>
      </c>
      <c r="H1543" s="12">
        <v>220000</v>
      </c>
      <c r="I1543">
        <v>2</v>
      </c>
      <c r="J1543" t="s">
        <v>17</v>
      </c>
      <c r="K1543" s="12">
        <f t="shared" si="24"/>
        <v>176000</v>
      </c>
      <c r="L1543" s="12">
        <f>Sales_Data[[#This Row],[Unit Price]]*Sales_Data[[#This Row],[Quantity]]</f>
        <v>440000</v>
      </c>
      <c r="M1543" s="12">
        <f>Sales_Data[[#This Row],[Cost Price]]*Sales_Data[[#This Row],[Quantity]]</f>
        <v>352000</v>
      </c>
      <c r="N1543" s="12">
        <f>Sales_Data[[#This Row],[Revenue]]-Sales_Data[[#This Row],[COGS]]</f>
        <v>88000</v>
      </c>
    </row>
    <row r="1544" spans="1:14">
      <c r="A1544" s="1">
        <v>47218</v>
      </c>
      <c r="B1544" t="s">
        <v>11</v>
      </c>
      <c r="C1544" t="s">
        <v>12</v>
      </c>
      <c r="D1544" t="s">
        <v>13</v>
      </c>
      <c r="E1544" t="s">
        <v>20</v>
      </c>
      <c r="F1544" t="s">
        <v>36</v>
      </c>
      <c r="G1544" t="s">
        <v>31</v>
      </c>
      <c r="H1544" s="12">
        <v>150000</v>
      </c>
      <c r="I1544">
        <v>10</v>
      </c>
      <c r="J1544" t="s">
        <v>24</v>
      </c>
      <c r="K1544" s="12">
        <f t="shared" si="24"/>
        <v>120000</v>
      </c>
      <c r="L1544" s="12">
        <f>Sales_Data[[#This Row],[Unit Price]]*Sales_Data[[#This Row],[Quantity]]</f>
        <v>1500000</v>
      </c>
      <c r="M1544" s="12">
        <f>Sales_Data[[#This Row],[Cost Price]]*Sales_Data[[#This Row],[Quantity]]</f>
        <v>1200000</v>
      </c>
      <c r="N1544" s="12">
        <f>Sales_Data[[#This Row],[Revenue]]-Sales_Data[[#This Row],[COGS]]</f>
        <v>300000</v>
      </c>
    </row>
    <row r="1545" spans="1:14">
      <c r="A1545" s="1">
        <v>47219</v>
      </c>
      <c r="B1545" t="s">
        <v>29</v>
      </c>
      <c r="C1545" t="s">
        <v>26</v>
      </c>
      <c r="D1545" t="s">
        <v>13</v>
      </c>
      <c r="E1545" t="s">
        <v>20</v>
      </c>
      <c r="F1545" t="s">
        <v>21</v>
      </c>
      <c r="G1545" t="s">
        <v>22</v>
      </c>
      <c r="H1545" s="12">
        <v>30000</v>
      </c>
      <c r="I1545">
        <v>8</v>
      </c>
      <c r="J1545" t="s">
        <v>39</v>
      </c>
      <c r="K1545" s="12">
        <f t="shared" si="24"/>
        <v>24000</v>
      </c>
      <c r="L1545" s="12">
        <f>Sales_Data[[#This Row],[Unit Price]]*Sales_Data[[#This Row],[Quantity]]</f>
        <v>240000</v>
      </c>
      <c r="M1545" s="12">
        <f>Sales_Data[[#This Row],[Cost Price]]*Sales_Data[[#This Row],[Quantity]]</f>
        <v>192000</v>
      </c>
      <c r="N1545" s="12">
        <f>Sales_Data[[#This Row],[Revenue]]-Sales_Data[[#This Row],[COGS]]</f>
        <v>48000</v>
      </c>
    </row>
    <row r="1546" spans="1:14">
      <c r="A1546" s="1">
        <v>47220</v>
      </c>
      <c r="B1546" t="s">
        <v>18</v>
      </c>
      <c r="C1546" t="s">
        <v>19</v>
      </c>
      <c r="D1546" t="s">
        <v>13</v>
      </c>
      <c r="E1546" t="s">
        <v>20</v>
      </c>
      <c r="F1546" t="s">
        <v>21</v>
      </c>
      <c r="G1546" t="s">
        <v>22</v>
      </c>
      <c r="H1546" s="12">
        <v>30000</v>
      </c>
      <c r="I1546">
        <v>9</v>
      </c>
      <c r="J1546" t="s">
        <v>35</v>
      </c>
      <c r="K1546" s="12">
        <f t="shared" si="24"/>
        <v>24000</v>
      </c>
      <c r="L1546" s="12">
        <f>Sales_Data[[#This Row],[Unit Price]]*Sales_Data[[#This Row],[Quantity]]</f>
        <v>270000</v>
      </c>
      <c r="M1546" s="12">
        <f>Sales_Data[[#This Row],[Cost Price]]*Sales_Data[[#This Row],[Quantity]]</f>
        <v>216000</v>
      </c>
      <c r="N1546" s="12">
        <f>Sales_Data[[#This Row],[Revenue]]-Sales_Data[[#This Row],[COGS]]</f>
        <v>54000</v>
      </c>
    </row>
    <row r="1547" spans="1:14">
      <c r="A1547" s="1">
        <v>47221</v>
      </c>
      <c r="B1547" t="s">
        <v>18</v>
      </c>
      <c r="C1547" t="s">
        <v>12</v>
      </c>
      <c r="D1547" t="s">
        <v>13</v>
      </c>
      <c r="E1547" t="s">
        <v>20</v>
      </c>
      <c r="F1547" t="s">
        <v>36</v>
      </c>
      <c r="G1547" t="s">
        <v>31</v>
      </c>
      <c r="H1547" s="12">
        <v>150000</v>
      </c>
      <c r="I1547">
        <v>3</v>
      </c>
      <c r="J1547" t="s">
        <v>24</v>
      </c>
      <c r="K1547" s="12">
        <f t="shared" si="24"/>
        <v>120000</v>
      </c>
      <c r="L1547" s="12">
        <f>Sales_Data[[#This Row],[Unit Price]]*Sales_Data[[#This Row],[Quantity]]</f>
        <v>450000</v>
      </c>
      <c r="M1547" s="12">
        <f>Sales_Data[[#This Row],[Cost Price]]*Sales_Data[[#This Row],[Quantity]]</f>
        <v>360000</v>
      </c>
      <c r="N1547" s="12">
        <f>Sales_Data[[#This Row],[Revenue]]-Sales_Data[[#This Row],[COGS]]</f>
        <v>90000</v>
      </c>
    </row>
    <row r="1548" spans="1:14">
      <c r="A1548" s="1">
        <v>47222</v>
      </c>
      <c r="B1548" t="s">
        <v>18</v>
      </c>
      <c r="C1548" t="s">
        <v>12</v>
      </c>
      <c r="D1548" t="s">
        <v>23</v>
      </c>
      <c r="E1548" t="s">
        <v>14</v>
      </c>
      <c r="F1548" t="s">
        <v>27</v>
      </c>
      <c r="G1548" t="s">
        <v>22</v>
      </c>
      <c r="H1548" s="12">
        <v>60000</v>
      </c>
      <c r="I1548">
        <v>6</v>
      </c>
      <c r="J1548" t="s">
        <v>28</v>
      </c>
      <c r="K1548" s="12">
        <f t="shared" si="24"/>
        <v>48000</v>
      </c>
      <c r="L1548" s="12">
        <f>Sales_Data[[#This Row],[Unit Price]]*Sales_Data[[#This Row],[Quantity]]</f>
        <v>360000</v>
      </c>
      <c r="M1548" s="12">
        <f>Sales_Data[[#This Row],[Cost Price]]*Sales_Data[[#This Row],[Quantity]]</f>
        <v>288000</v>
      </c>
      <c r="N1548" s="12">
        <f>Sales_Data[[#This Row],[Revenue]]-Sales_Data[[#This Row],[COGS]]</f>
        <v>72000</v>
      </c>
    </row>
    <row r="1549" spans="1:14">
      <c r="A1549" s="1">
        <v>47223</v>
      </c>
      <c r="B1549" t="s">
        <v>18</v>
      </c>
      <c r="C1549" t="s">
        <v>12</v>
      </c>
      <c r="D1549" t="s">
        <v>23</v>
      </c>
      <c r="E1549" t="s">
        <v>20</v>
      </c>
      <c r="F1549" t="s">
        <v>40</v>
      </c>
      <c r="G1549" t="s">
        <v>31</v>
      </c>
      <c r="H1549" s="12">
        <v>250000</v>
      </c>
      <c r="I1549">
        <v>1</v>
      </c>
      <c r="J1549" t="s">
        <v>28</v>
      </c>
      <c r="K1549" s="12">
        <f t="shared" si="24"/>
        <v>200000</v>
      </c>
      <c r="L1549" s="12">
        <f>Sales_Data[[#This Row],[Unit Price]]*Sales_Data[[#This Row],[Quantity]]</f>
        <v>250000</v>
      </c>
      <c r="M1549" s="12">
        <f>Sales_Data[[#This Row],[Cost Price]]*Sales_Data[[#This Row],[Quantity]]</f>
        <v>200000</v>
      </c>
      <c r="N1549" s="12">
        <f>Sales_Data[[#This Row],[Revenue]]-Sales_Data[[#This Row],[COGS]]</f>
        <v>50000</v>
      </c>
    </row>
    <row r="1550" spans="1:14">
      <c r="A1550" s="1">
        <v>47224</v>
      </c>
      <c r="B1550" t="s">
        <v>11</v>
      </c>
      <c r="C1550" t="s">
        <v>26</v>
      </c>
      <c r="D1550" t="s">
        <v>13</v>
      </c>
      <c r="E1550" t="s">
        <v>20</v>
      </c>
      <c r="F1550" t="s">
        <v>15</v>
      </c>
      <c r="G1550" t="s">
        <v>16</v>
      </c>
      <c r="H1550" s="12">
        <v>85000</v>
      </c>
      <c r="I1550">
        <v>8</v>
      </c>
      <c r="J1550" t="s">
        <v>28</v>
      </c>
      <c r="K1550" s="12">
        <f t="shared" si="24"/>
        <v>68000</v>
      </c>
      <c r="L1550" s="12">
        <f>Sales_Data[[#This Row],[Unit Price]]*Sales_Data[[#This Row],[Quantity]]</f>
        <v>680000</v>
      </c>
      <c r="M1550" s="12">
        <f>Sales_Data[[#This Row],[Cost Price]]*Sales_Data[[#This Row],[Quantity]]</f>
        <v>544000</v>
      </c>
      <c r="N1550" s="12">
        <f>Sales_Data[[#This Row],[Revenue]]-Sales_Data[[#This Row],[COGS]]</f>
        <v>136000</v>
      </c>
    </row>
    <row r="1551" spans="1:14">
      <c r="A1551" s="1">
        <v>47225</v>
      </c>
      <c r="B1551" t="s">
        <v>29</v>
      </c>
      <c r="C1551" t="s">
        <v>12</v>
      </c>
      <c r="D1551" t="s">
        <v>13</v>
      </c>
      <c r="E1551" t="s">
        <v>20</v>
      </c>
      <c r="F1551" t="s">
        <v>33</v>
      </c>
      <c r="G1551" t="s">
        <v>22</v>
      </c>
      <c r="H1551" s="12">
        <v>180000</v>
      </c>
      <c r="I1551">
        <v>8</v>
      </c>
      <c r="J1551" t="s">
        <v>28</v>
      </c>
      <c r="K1551" s="12">
        <f t="shared" si="24"/>
        <v>144000</v>
      </c>
      <c r="L1551" s="12">
        <f>Sales_Data[[#This Row],[Unit Price]]*Sales_Data[[#This Row],[Quantity]]</f>
        <v>1440000</v>
      </c>
      <c r="M1551" s="12">
        <f>Sales_Data[[#This Row],[Cost Price]]*Sales_Data[[#This Row],[Quantity]]</f>
        <v>1152000</v>
      </c>
      <c r="N1551" s="12">
        <f>Sales_Data[[#This Row],[Revenue]]-Sales_Data[[#This Row],[COGS]]</f>
        <v>288000</v>
      </c>
    </row>
    <row r="1552" spans="1:14">
      <c r="A1552" s="1">
        <v>47226</v>
      </c>
      <c r="B1552" t="s">
        <v>18</v>
      </c>
      <c r="C1552" t="s">
        <v>32</v>
      </c>
      <c r="D1552" t="s">
        <v>23</v>
      </c>
      <c r="E1552" t="s">
        <v>20</v>
      </c>
      <c r="F1552" t="s">
        <v>41</v>
      </c>
      <c r="G1552" t="s">
        <v>22</v>
      </c>
      <c r="H1552" s="12">
        <v>220000</v>
      </c>
      <c r="I1552">
        <v>9</v>
      </c>
      <c r="J1552" t="s">
        <v>37</v>
      </c>
      <c r="K1552" s="12">
        <f t="shared" si="24"/>
        <v>176000</v>
      </c>
      <c r="L1552" s="12">
        <f>Sales_Data[[#This Row],[Unit Price]]*Sales_Data[[#This Row],[Quantity]]</f>
        <v>1980000</v>
      </c>
      <c r="M1552" s="12">
        <f>Sales_Data[[#This Row],[Cost Price]]*Sales_Data[[#This Row],[Quantity]]</f>
        <v>1584000</v>
      </c>
      <c r="N1552" s="12">
        <f>Sales_Data[[#This Row],[Revenue]]-Sales_Data[[#This Row],[COGS]]</f>
        <v>396000</v>
      </c>
    </row>
    <row r="1553" spans="1:14">
      <c r="A1553" s="1">
        <v>47227</v>
      </c>
      <c r="B1553" t="s">
        <v>11</v>
      </c>
      <c r="C1553" t="s">
        <v>12</v>
      </c>
      <c r="D1553" t="s">
        <v>13</v>
      </c>
      <c r="E1553" t="s">
        <v>20</v>
      </c>
      <c r="F1553" t="s">
        <v>40</v>
      </c>
      <c r="G1553" t="s">
        <v>31</v>
      </c>
      <c r="H1553" s="12">
        <v>250000</v>
      </c>
      <c r="I1553">
        <v>3</v>
      </c>
      <c r="J1553" t="s">
        <v>28</v>
      </c>
      <c r="K1553" s="12">
        <f t="shared" si="24"/>
        <v>200000</v>
      </c>
      <c r="L1553" s="12">
        <f>Sales_Data[[#This Row],[Unit Price]]*Sales_Data[[#This Row],[Quantity]]</f>
        <v>750000</v>
      </c>
      <c r="M1553" s="12">
        <f>Sales_Data[[#This Row],[Cost Price]]*Sales_Data[[#This Row],[Quantity]]</f>
        <v>600000</v>
      </c>
      <c r="N1553" s="12">
        <f>Sales_Data[[#This Row],[Revenue]]-Sales_Data[[#This Row],[COGS]]</f>
        <v>150000</v>
      </c>
    </row>
    <row r="1554" spans="1:14">
      <c r="A1554" s="1">
        <v>47228</v>
      </c>
      <c r="B1554" t="s">
        <v>29</v>
      </c>
      <c r="C1554" t="s">
        <v>32</v>
      </c>
      <c r="D1554" t="s">
        <v>13</v>
      </c>
      <c r="E1554" t="s">
        <v>14</v>
      </c>
      <c r="F1554" t="s">
        <v>38</v>
      </c>
      <c r="G1554" t="s">
        <v>31</v>
      </c>
      <c r="H1554" s="12">
        <v>420000</v>
      </c>
      <c r="I1554">
        <v>6</v>
      </c>
      <c r="J1554" t="s">
        <v>39</v>
      </c>
      <c r="K1554" s="12">
        <f t="shared" si="24"/>
        <v>336000</v>
      </c>
      <c r="L1554" s="12">
        <f>Sales_Data[[#This Row],[Unit Price]]*Sales_Data[[#This Row],[Quantity]]</f>
        <v>2520000</v>
      </c>
      <c r="M1554" s="12">
        <f>Sales_Data[[#This Row],[Cost Price]]*Sales_Data[[#This Row],[Quantity]]</f>
        <v>2016000</v>
      </c>
      <c r="N1554" s="12">
        <f>Sales_Data[[#This Row],[Revenue]]-Sales_Data[[#This Row],[COGS]]</f>
        <v>504000</v>
      </c>
    </row>
    <row r="1555" spans="1:14">
      <c r="A1555" s="1">
        <v>47229</v>
      </c>
      <c r="B1555" t="s">
        <v>18</v>
      </c>
      <c r="C1555" t="s">
        <v>19</v>
      </c>
      <c r="D1555" t="s">
        <v>23</v>
      </c>
      <c r="E1555" t="s">
        <v>20</v>
      </c>
      <c r="F1555" t="s">
        <v>33</v>
      </c>
      <c r="G1555" t="s">
        <v>22</v>
      </c>
      <c r="H1555" s="12">
        <v>180000</v>
      </c>
      <c r="I1555">
        <v>3</v>
      </c>
      <c r="J1555" t="s">
        <v>17</v>
      </c>
      <c r="K1555" s="12">
        <f t="shared" si="24"/>
        <v>144000</v>
      </c>
      <c r="L1555" s="12">
        <f>Sales_Data[[#This Row],[Unit Price]]*Sales_Data[[#This Row],[Quantity]]</f>
        <v>540000</v>
      </c>
      <c r="M1555" s="12">
        <f>Sales_Data[[#This Row],[Cost Price]]*Sales_Data[[#This Row],[Quantity]]</f>
        <v>432000</v>
      </c>
      <c r="N1555" s="12">
        <f>Sales_Data[[#This Row],[Revenue]]-Sales_Data[[#This Row],[COGS]]</f>
        <v>108000</v>
      </c>
    </row>
    <row r="1556" spans="1:14">
      <c r="A1556" s="1">
        <v>47230</v>
      </c>
      <c r="B1556" t="s">
        <v>25</v>
      </c>
      <c r="C1556" t="s">
        <v>26</v>
      </c>
      <c r="D1556" t="s">
        <v>23</v>
      </c>
      <c r="E1556" t="s">
        <v>20</v>
      </c>
      <c r="F1556" t="s">
        <v>33</v>
      </c>
      <c r="G1556" t="s">
        <v>22</v>
      </c>
      <c r="H1556" s="12">
        <v>180000</v>
      </c>
      <c r="I1556">
        <v>9</v>
      </c>
      <c r="J1556" t="s">
        <v>17</v>
      </c>
      <c r="K1556" s="12">
        <f t="shared" si="24"/>
        <v>144000</v>
      </c>
      <c r="L1556" s="12">
        <f>Sales_Data[[#This Row],[Unit Price]]*Sales_Data[[#This Row],[Quantity]]</f>
        <v>1620000</v>
      </c>
      <c r="M1556" s="12">
        <f>Sales_Data[[#This Row],[Cost Price]]*Sales_Data[[#This Row],[Quantity]]</f>
        <v>1296000</v>
      </c>
      <c r="N1556" s="12">
        <f>Sales_Data[[#This Row],[Revenue]]-Sales_Data[[#This Row],[COGS]]</f>
        <v>324000</v>
      </c>
    </row>
    <row r="1557" spans="1:14">
      <c r="A1557" s="1">
        <v>47231</v>
      </c>
      <c r="B1557" t="s">
        <v>18</v>
      </c>
      <c r="C1557" t="s">
        <v>26</v>
      </c>
      <c r="D1557" t="s">
        <v>13</v>
      </c>
      <c r="E1557" t="s">
        <v>14</v>
      </c>
      <c r="F1557" t="s">
        <v>38</v>
      </c>
      <c r="G1557" t="s">
        <v>31</v>
      </c>
      <c r="H1557" s="12">
        <v>420000</v>
      </c>
      <c r="I1557">
        <v>5</v>
      </c>
      <c r="J1557" t="s">
        <v>17</v>
      </c>
      <c r="K1557" s="12">
        <f t="shared" si="24"/>
        <v>336000</v>
      </c>
      <c r="L1557" s="12">
        <f>Sales_Data[[#This Row],[Unit Price]]*Sales_Data[[#This Row],[Quantity]]</f>
        <v>2100000</v>
      </c>
      <c r="M1557" s="12">
        <f>Sales_Data[[#This Row],[Cost Price]]*Sales_Data[[#This Row],[Quantity]]</f>
        <v>1680000</v>
      </c>
      <c r="N1557" s="12">
        <f>Sales_Data[[#This Row],[Revenue]]-Sales_Data[[#This Row],[COGS]]</f>
        <v>420000</v>
      </c>
    </row>
    <row r="1558" spans="1:14">
      <c r="A1558" s="1">
        <v>47232</v>
      </c>
      <c r="B1558" t="s">
        <v>29</v>
      </c>
      <c r="C1558" t="s">
        <v>26</v>
      </c>
      <c r="D1558" t="s">
        <v>13</v>
      </c>
      <c r="E1558" t="s">
        <v>20</v>
      </c>
      <c r="F1558" t="s">
        <v>33</v>
      </c>
      <c r="G1558" t="s">
        <v>22</v>
      </c>
      <c r="H1558" s="12">
        <v>180000</v>
      </c>
      <c r="I1558">
        <v>6</v>
      </c>
      <c r="J1558" t="s">
        <v>39</v>
      </c>
      <c r="K1558" s="12">
        <f t="shared" si="24"/>
        <v>144000</v>
      </c>
      <c r="L1558" s="12">
        <f>Sales_Data[[#This Row],[Unit Price]]*Sales_Data[[#This Row],[Quantity]]</f>
        <v>1080000</v>
      </c>
      <c r="M1558" s="12">
        <f>Sales_Data[[#This Row],[Cost Price]]*Sales_Data[[#This Row],[Quantity]]</f>
        <v>864000</v>
      </c>
      <c r="N1558" s="12">
        <f>Sales_Data[[#This Row],[Revenue]]-Sales_Data[[#This Row],[COGS]]</f>
        <v>216000</v>
      </c>
    </row>
    <row r="1559" spans="1:14">
      <c r="A1559" s="1">
        <v>47233</v>
      </c>
      <c r="B1559" t="s">
        <v>18</v>
      </c>
      <c r="C1559" t="s">
        <v>26</v>
      </c>
      <c r="D1559" t="s">
        <v>23</v>
      </c>
      <c r="E1559" t="s">
        <v>14</v>
      </c>
      <c r="F1559" t="s">
        <v>30</v>
      </c>
      <c r="G1559" t="s">
        <v>31</v>
      </c>
      <c r="H1559" s="12">
        <v>300000</v>
      </c>
      <c r="I1559">
        <v>3</v>
      </c>
      <c r="J1559" t="s">
        <v>28</v>
      </c>
      <c r="K1559" s="12">
        <f t="shared" si="24"/>
        <v>240000</v>
      </c>
      <c r="L1559" s="12">
        <f>Sales_Data[[#This Row],[Unit Price]]*Sales_Data[[#This Row],[Quantity]]</f>
        <v>900000</v>
      </c>
      <c r="M1559" s="12">
        <f>Sales_Data[[#This Row],[Cost Price]]*Sales_Data[[#This Row],[Quantity]]</f>
        <v>720000</v>
      </c>
      <c r="N1559" s="12">
        <f>Sales_Data[[#This Row],[Revenue]]-Sales_Data[[#This Row],[COGS]]</f>
        <v>180000</v>
      </c>
    </row>
    <row r="1560" spans="1:14">
      <c r="A1560" s="1">
        <v>47234</v>
      </c>
      <c r="B1560" t="s">
        <v>11</v>
      </c>
      <c r="C1560" t="s">
        <v>26</v>
      </c>
      <c r="D1560" t="s">
        <v>13</v>
      </c>
      <c r="E1560" t="s">
        <v>14</v>
      </c>
      <c r="F1560" t="s">
        <v>41</v>
      </c>
      <c r="G1560" t="s">
        <v>22</v>
      </c>
      <c r="H1560" s="12">
        <v>220000</v>
      </c>
      <c r="I1560">
        <v>7</v>
      </c>
      <c r="J1560" t="s">
        <v>17</v>
      </c>
      <c r="K1560" s="12">
        <f t="shared" si="24"/>
        <v>176000</v>
      </c>
      <c r="L1560" s="12">
        <f>Sales_Data[[#This Row],[Unit Price]]*Sales_Data[[#This Row],[Quantity]]</f>
        <v>1540000</v>
      </c>
      <c r="M1560" s="12">
        <f>Sales_Data[[#This Row],[Cost Price]]*Sales_Data[[#This Row],[Quantity]]</f>
        <v>1232000</v>
      </c>
      <c r="N1560" s="12">
        <f>Sales_Data[[#This Row],[Revenue]]-Sales_Data[[#This Row],[COGS]]</f>
        <v>308000</v>
      </c>
    </row>
    <row r="1561" spans="1:14">
      <c r="A1561" s="1">
        <v>47235</v>
      </c>
      <c r="B1561" t="s">
        <v>25</v>
      </c>
      <c r="C1561" t="s">
        <v>19</v>
      </c>
      <c r="D1561" t="s">
        <v>13</v>
      </c>
      <c r="E1561" t="s">
        <v>14</v>
      </c>
      <c r="F1561" t="s">
        <v>27</v>
      </c>
      <c r="G1561" t="s">
        <v>22</v>
      </c>
      <c r="H1561" s="12">
        <v>60000</v>
      </c>
      <c r="I1561">
        <v>2</v>
      </c>
      <c r="J1561" t="s">
        <v>17</v>
      </c>
      <c r="K1561" s="12">
        <f t="shared" si="24"/>
        <v>48000</v>
      </c>
      <c r="L1561" s="12">
        <f>Sales_Data[[#This Row],[Unit Price]]*Sales_Data[[#This Row],[Quantity]]</f>
        <v>120000</v>
      </c>
      <c r="M1561" s="12">
        <f>Sales_Data[[#This Row],[Cost Price]]*Sales_Data[[#This Row],[Quantity]]</f>
        <v>96000</v>
      </c>
      <c r="N1561" s="12">
        <f>Sales_Data[[#This Row],[Revenue]]-Sales_Data[[#This Row],[COGS]]</f>
        <v>24000</v>
      </c>
    </row>
    <row r="1562" spans="1:14">
      <c r="A1562" s="1">
        <v>47236</v>
      </c>
      <c r="B1562" t="s">
        <v>25</v>
      </c>
      <c r="C1562" t="s">
        <v>19</v>
      </c>
      <c r="D1562" t="s">
        <v>23</v>
      </c>
      <c r="E1562" t="s">
        <v>14</v>
      </c>
      <c r="F1562" t="s">
        <v>21</v>
      </c>
      <c r="G1562" t="s">
        <v>22</v>
      </c>
      <c r="H1562" s="12">
        <v>30000</v>
      </c>
      <c r="I1562">
        <v>4</v>
      </c>
      <c r="J1562" t="s">
        <v>35</v>
      </c>
      <c r="K1562" s="12">
        <f t="shared" si="24"/>
        <v>24000</v>
      </c>
      <c r="L1562" s="12">
        <f>Sales_Data[[#This Row],[Unit Price]]*Sales_Data[[#This Row],[Quantity]]</f>
        <v>120000</v>
      </c>
      <c r="M1562" s="12">
        <f>Sales_Data[[#This Row],[Cost Price]]*Sales_Data[[#This Row],[Quantity]]</f>
        <v>96000</v>
      </c>
      <c r="N1562" s="12">
        <f>Sales_Data[[#This Row],[Revenue]]-Sales_Data[[#This Row],[COGS]]</f>
        <v>24000</v>
      </c>
    </row>
    <row r="1563" spans="1:14">
      <c r="A1563" s="1">
        <v>47237</v>
      </c>
      <c r="B1563" t="s">
        <v>11</v>
      </c>
      <c r="C1563" t="s">
        <v>19</v>
      </c>
      <c r="D1563" t="s">
        <v>23</v>
      </c>
      <c r="E1563" t="s">
        <v>20</v>
      </c>
      <c r="F1563" t="s">
        <v>34</v>
      </c>
      <c r="G1563" t="s">
        <v>16</v>
      </c>
      <c r="H1563" s="12">
        <v>320000</v>
      </c>
      <c r="I1563">
        <v>8</v>
      </c>
      <c r="J1563" t="s">
        <v>35</v>
      </c>
      <c r="K1563" s="12">
        <f t="shared" si="24"/>
        <v>256000</v>
      </c>
      <c r="L1563" s="12">
        <f>Sales_Data[[#This Row],[Unit Price]]*Sales_Data[[#This Row],[Quantity]]</f>
        <v>2560000</v>
      </c>
      <c r="M1563" s="12">
        <f>Sales_Data[[#This Row],[Cost Price]]*Sales_Data[[#This Row],[Quantity]]</f>
        <v>2048000</v>
      </c>
      <c r="N1563" s="12">
        <f>Sales_Data[[#This Row],[Revenue]]-Sales_Data[[#This Row],[COGS]]</f>
        <v>512000</v>
      </c>
    </row>
    <row r="1564" spans="1:14">
      <c r="A1564" s="1">
        <v>47238</v>
      </c>
      <c r="B1564" t="s">
        <v>11</v>
      </c>
      <c r="C1564" t="s">
        <v>32</v>
      </c>
      <c r="D1564" t="s">
        <v>23</v>
      </c>
      <c r="E1564" t="s">
        <v>20</v>
      </c>
      <c r="F1564" t="s">
        <v>33</v>
      </c>
      <c r="G1564" t="s">
        <v>22</v>
      </c>
      <c r="H1564" s="12">
        <v>180000</v>
      </c>
      <c r="I1564">
        <v>5</v>
      </c>
      <c r="J1564" t="s">
        <v>28</v>
      </c>
      <c r="K1564" s="12">
        <f t="shared" si="24"/>
        <v>144000</v>
      </c>
      <c r="L1564" s="12">
        <f>Sales_Data[[#This Row],[Unit Price]]*Sales_Data[[#This Row],[Quantity]]</f>
        <v>900000</v>
      </c>
      <c r="M1564" s="12">
        <f>Sales_Data[[#This Row],[Cost Price]]*Sales_Data[[#This Row],[Quantity]]</f>
        <v>720000</v>
      </c>
      <c r="N1564" s="12">
        <f>Sales_Data[[#This Row],[Revenue]]-Sales_Data[[#This Row],[COGS]]</f>
        <v>180000</v>
      </c>
    </row>
    <row r="1565" spans="1:14">
      <c r="A1565" s="1">
        <v>47239</v>
      </c>
      <c r="B1565" t="s">
        <v>18</v>
      </c>
      <c r="C1565" t="s">
        <v>12</v>
      </c>
      <c r="D1565" t="s">
        <v>13</v>
      </c>
      <c r="E1565" t="s">
        <v>20</v>
      </c>
      <c r="F1565" t="s">
        <v>34</v>
      </c>
      <c r="G1565" t="s">
        <v>16</v>
      </c>
      <c r="H1565" s="12">
        <v>320000</v>
      </c>
      <c r="I1565">
        <v>6</v>
      </c>
      <c r="J1565" t="s">
        <v>28</v>
      </c>
      <c r="K1565" s="12">
        <f t="shared" si="24"/>
        <v>256000</v>
      </c>
      <c r="L1565" s="12">
        <f>Sales_Data[[#This Row],[Unit Price]]*Sales_Data[[#This Row],[Quantity]]</f>
        <v>1920000</v>
      </c>
      <c r="M1565" s="12">
        <f>Sales_Data[[#This Row],[Cost Price]]*Sales_Data[[#This Row],[Quantity]]</f>
        <v>1536000</v>
      </c>
      <c r="N1565" s="12">
        <f>Sales_Data[[#This Row],[Revenue]]-Sales_Data[[#This Row],[COGS]]</f>
        <v>384000</v>
      </c>
    </row>
    <row r="1566" spans="1:14">
      <c r="A1566" s="1">
        <v>47240</v>
      </c>
      <c r="B1566" t="s">
        <v>25</v>
      </c>
      <c r="C1566" t="s">
        <v>19</v>
      </c>
      <c r="D1566" t="s">
        <v>13</v>
      </c>
      <c r="E1566" t="s">
        <v>14</v>
      </c>
      <c r="F1566" t="s">
        <v>38</v>
      </c>
      <c r="G1566" t="s">
        <v>31</v>
      </c>
      <c r="H1566" s="12">
        <v>420000</v>
      </c>
      <c r="I1566">
        <v>3</v>
      </c>
      <c r="J1566" t="s">
        <v>28</v>
      </c>
      <c r="K1566" s="12">
        <f t="shared" si="24"/>
        <v>336000</v>
      </c>
      <c r="L1566" s="12">
        <f>Sales_Data[[#This Row],[Unit Price]]*Sales_Data[[#This Row],[Quantity]]</f>
        <v>1260000</v>
      </c>
      <c r="M1566" s="12">
        <f>Sales_Data[[#This Row],[Cost Price]]*Sales_Data[[#This Row],[Quantity]]</f>
        <v>1008000</v>
      </c>
      <c r="N1566" s="12">
        <f>Sales_Data[[#This Row],[Revenue]]-Sales_Data[[#This Row],[COGS]]</f>
        <v>252000</v>
      </c>
    </row>
    <row r="1567" spans="1:14">
      <c r="A1567" s="1">
        <v>47241</v>
      </c>
      <c r="B1567" t="s">
        <v>29</v>
      </c>
      <c r="C1567" t="s">
        <v>32</v>
      </c>
      <c r="D1567" t="s">
        <v>23</v>
      </c>
      <c r="E1567" t="s">
        <v>14</v>
      </c>
      <c r="F1567" t="s">
        <v>36</v>
      </c>
      <c r="G1567" t="s">
        <v>31</v>
      </c>
      <c r="H1567" s="12">
        <v>150000</v>
      </c>
      <c r="I1567">
        <v>2</v>
      </c>
      <c r="J1567" t="s">
        <v>39</v>
      </c>
      <c r="K1567" s="12">
        <f t="shared" si="24"/>
        <v>120000</v>
      </c>
      <c r="L1567" s="12">
        <f>Sales_Data[[#This Row],[Unit Price]]*Sales_Data[[#This Row],[Quantity]]</f>
        <v>300000</v>
      </c>
      <c r="M1567" s="12">
        <f>Sales_Data[[#This Row],[Cost Price]]*Sales_Data[[#This Row],[Quantity]]</f>
        <v>240000</v>
      </c>
      <c r="N1567" s="12">
        <f>Sales_Data[[#This Row],[Revenue]]-Sales_Data[[#This Row],[COGS]]</f>
        <v>60000</v>
      </c>
    </row>
    <row r="1568" spans="1:14">
      <c r="A1568" s="1">
        <v>47242</v>
      </c>
      <c r="B1568" t="s">
        <v>11</v>
      </c>
      <c r="C1568" t="s">
        <v>32</v>
      </c>
      <c r="D1568" t="s">
        <v>13</v>
      </c>
      <c r="E1568" t="s">
        <v>14</v>
      </c>
      <c r="F1568" t="s">
        <v>33</v>
      </c>
      <c r="G1568" t="s">
        <v>22</v>
      </c>
      <c r="H1568" s="12">
        <v>180000</v>
      </c>
      <c r="I1568">
        <v>8</v>
      </c>
      <c r="J1568" t="s">
        <v>35</v>
      </c>
      <c r="K1568" s="12">
        <f t="shared" si="24"/>
        <v>144000</v>
      </c>
      <c r="L1568" s="12">
        <f>Sales_Data[[#This Row],[Unit Price]]*Sales_Data[[#This Row],[Quantity]]</f>
        <v>1440000</v>
      </c>
      <c r="M1568" s="12">
        <f>Sales_Data[[#This Row],[Cost Price]]*Sales_Data[[#This Row],[Quantity]]</f>
        <v>1152000</v>
      </c>
      <c r="N1568" s="12">
        <f>Sales_Data[[#This Row],[Revenue]]-Sales_Data[[#This Row],[COGS]]</f>
        <v>288000</v>
      </c>
    </row>
    <row r="1569" spans="1:14">
      <c r="A1569" s="1">
        <v>47243</v>
      </c>
      <c r="B1569" t="s">
        <v>29</v>
      </c>
      <c r="C1569" t="s">
        <v>19</v>
      </c>
      <c r="D1569" t="s">
        <v>13</v>
      </c>
      <c r="E1569" t="s">
        <v>14</v>
      </c>
      <c r="F1569" t="s">
        <v>36</v>
      </c>
      <c r="G1569" t="s">
        <v>31</v>
      </c>
      <c r="H1569" s="12">
        <v>150000</v>
      </c>
      <c r="I1569">
        <v>4</v>
      </c>
      <c r="J1569" t="s">
        <v>35</v>
      </c>
      <c r="K1569" s="12">
        <f t="shared" si="24"/>
        <v>120000</v>
      </c>
      <c r="L1569" s="12">
        <f>Sales_Data[[#This Row],[Unit Price]]*Sales_Data[[#This Row],[Quantity]]</f>
        <v>600000</v>
      </c>
      <c r="M1569" s="12">
        <f>Sales_Data[[#This Row],[Cost Price]]*Sales_Data[[#This Row],[Quantity]]</f>
        <v>480000</v>
      </c>
      <c r="N1569" s="12">
        <f>Sales_Data[[#This Row],[Revenue]]-Sales_Data[[#This Row],[COGS]]</f>
        <v>120000</v>
      </c>
    </row>
    <row r="1570" spans="1:14">
      <c r="A1570" s="1">
        <v>47244</v>
      </c>
      <c r="B1570" t="s">
        <v>29</v>
      </c>
      <c r="C1570" t="s">
        <v>26</v>
      </c>
      <c r="D1570" t="s">
        <v>23</v>
      </c>
      <c r="E1570" t="s">
        <v>20</v>
      </c>
      <c r="F1570" t="s">
        <v>27</v>
      </c>
      <c r="G1570" t="s">
        <v>22</v>
      </c>
      <c r="H1570" s="12">
        <v>60000</v>
      </c>
      <c r="I1570">
        <v>8</v>
      </c>
      <c r="J1570" t="s">
        <v>28</v>
      </c>
      <c r="K1570" s="12">
        <f t="shared" si="24"/>
        <v>48000</v>
      </c>
      <c r="L1570" s="12">
        <f>Sales_Data[[#This Row],[Unit Price]]*Sales_Data[[#This Row],[Quantity]]</f>
        <v>480000</v>
      </c>
      <c r="M1570" s="12">
        <f>Sales_Data[[#This Row],[Cost Price]]*Sales_Data[[#This Row],[Quantity]]</f>
        <v>384000</v>
      </c>
      <c r="N1570" s="12">
        <f>Sales_Data[[#This Row],[Revenue]]-Sales_Data[[#This Row],[COGS]]</f>
        <v>96000</v>
      </c>
    </row>
    <row r="1571" spans="1:14">
      <c r="A1571" s="1">
        <v>47245</v>
      </c>
      <c r="B1571" t="s">
        <v>29</v>
      </c>
      <c r="C1571" t="s">
        <v>12</v>
      </c>
      <c r="D1571" t="s">
        <v>23</v>
      </c>
      <c r="E1571" t="s">
        <v>20</v>
      </c>
      <c r="F1571" t="s">
        <v>38</v>
      </c>
      <c r="G1571" t="s">
        <v>31</v>
      </c>
      <c r="H1571" s="12">
        <v>420000</v>
      </c>
      <c r="I1571">
        <v>5</v>
      </c>
      <c r="J1571" t="s">
        <v>37</v>
      </c>
      <c r="K1571" s="12">
        <f t="shared" si="24"/>
        <v>336000</v>
      </c>
      <c r="L1571" s="12">
        <f>Sales_Data[[#This Row],[Unit Price]]*Sales_Data[[#This Row],[Quantity]]</f>
        <v>2100000</v>
      </c>
      <c r="M1571" s="12">
        <f>Sales_Data[[#This Row],[Cost Price]]*Sales_Data[[#This Row],[Quantity]]</f>
        <v>1680000</v>
      </c>
      <c r="N1571" s="12">
        <f>Sales_Data[[#This Row],[Revenue]]-Sales_Data[[#This Row],[COGS]]</f>
        <v>420000</v>
      </c>
    </row>
    <row r="1572" spans="1:14">
      <c r="A1572" s="1">
        <v>47246</v>
      </c>
      <c r="B1572" t="s">
        <v>29</v>
      </c>
      <c r="C1572" t="s">
        <v>12</v>
      </c>
      <c r="D1572" t="s">
        <v>13</v>
      </c>
      <c r="E1572" t="s">
        <v>20</v>
      </c>
      <c r="F1572" t="s">
        <v>38</v>
      </c>
      <c r="G1572" t="s">
        <v>31</v>
      </c>
      <c r="H1572" s="12">
        <v>420000</v>
      </c>
      <c r="I1572">
        <v>6</v>
      </c>
      <c r="J1572" t="s">
        <v>39</v>
      </c>
      <c r="K1572" s="12">
        <f t="shared" si="24"/>
        <v>336000</v>
      </c>
      <c r="L1572" s="12">
        <f>Sales_Data[[#This Row],[Unit Price]]*Sales_Data[[#This Row],[Quantity]]</f>
        <v>2520000</v>
      </c>
      <c r="M1572" s="12">
        <f>Sales_Data[[#This Row],[Cost Price]]*Sales_Data[[#This Row],[Quantity]]</f>
        <v>2016000</v>
      </c>
      <c r="N1572" s="12">
        <f>Sales_Data[[#This Row],[Revenue]]-Sales_Data[[#This Row],[COGS]]</f>
        <v>504000</v>
      </c>
    </row>
    <row r="1573" spans="1:14">
      <c r="A1573" s="1">
        <v>47247</v>
      </c>
      <c r="B1573" t="s">
        <v>25</v>
      </c>
      <c r="C1573" t="s">
        <v>12</v>
      </c>
      <c r="D1573" t="s">
        <v>13</v>
      </c>
      <c r="E1573" t="s">
        <v>20</v>
      </c>
      <c r="F1573" t="s">
        <v>30</v>
      </c>
      <c r="G1573" t="s">
        <v>31</v>
      </c>
      <c r="H1573" s="12">
        <v>300000</v>
      </c>
      <c r="I1573">
        <v>4</v>
      </c>
      <c r="J1573" t="s">
        <v>24</v>
      </c>
      <c r="K1573" s="12">
        <f t="shared" si="24"/>
        <v>240000</v>
      </c>
      <c r="L1573" s="12">
        <f>Sales_Data[[#This Row],[Unit Price]]*Sales_Data[[#This Row],[Quantity]]</f>
        <v>1200000</v>
      </c>
      <c r="M1573" s="12">
        <f>Sales_Data[[#This Row],[Cost Price]]*Sales_Data[[#This Row],[Quantity]]</f>
        <v>960000</v>
      </c>
      <c r="N1573" s="12">
        <f>Sales_Data[[#This Row],[Revenue]]-Sales_Data[[#This Row],[COGS]]</f>
        <v>240000</v>
      </c>
    </row>
    <row r="1574" spans="1:14">
      <c r="A1574" s="1">
        <v>47248</v>
      </c>
      <c r="B1574" t="s">
        <v>18</v>
      </c>
      <c r="C1574" t="s">
        <v>32</v>
      </c>
      <c r="D1574" t="s">
        <v>13</v>
      </c>
      <c r="E1574" t="s">
        <v>14</v>
      </c>
      <c r="F1574" t="s">
        <v>33</v>
      </c>
      <c r="G1574" t="s">
        <v>22</v>
      </c>
      <c r="H1574" s="12">
        <v>180000</v>
      </c>
      <c r="I1574">
        <v>1</v>
      </c>
      <c r="J1574" t="s">
        <v>39</v>
      </c>
      <c r="K1574" s="12">
        <f t="shared" si="24"/>
        <v>144000</v>
      </c>
      <c r="L1574" s="12">
        <f>Sales_Data[[#This Row],[Unit Price]]*Sales_Data[[#This Row],[Quantity]]</f>
        <v>180000</v>
      </c>
      <c r="M1574" s="12">
        <f>Sales_Data[[#This Row],[Cost Price]]*Sales_Data[[#This Row],[Quantity]]</f>
        <v>144000</v>
      </c>
      <c r="N1574" s="12">
        <f>Sales_Data[[#This Row],[Revenue]]-Sales_Data[[#This Row],[COGS]]</f>
        <v>36000</v>
      </c>
    </row>
    <row r="1575" spans="1:14">
      <c r="A1575" s="1">
        <v>47249</v>
      </c>
      <c r="B1575" t="s">
        <v>29</v>
      </c>
      <c r="C1575" t="s">
        <v>32</v>
      </c>
      <c r="D1575" t="s">
        <v>23</v>
      </c>
      <c r="E1575" t="s">
        <v>14</v>
      </c>
      <c r="F1575" t="s">
        <v>38</v>
      </c>
      <c r="G1575" t="s">
        <v>31</v>
      </c>
      <c r="H1575" s="12">
        <v>420000</v>
      </c>
      <c r="I1575">
        <v>5</v>
      </c>
      <c r="J1575" t="s">
        <v>37</v>
      </c>
      <c r="K1575" s="12">
        <f t="shared" si="24"/>
        <v>336000</v>
      </c>
      <c r="L1575" s="12">
        <f>Sales_Data[[#This Row],[Unit Price]]*Sales_Data[[#This Row],[Quantity]]</f>
        <v>2100000</v>
      </c>
      <c r="M1575" s="12">
        <f>Sales_Data[[#This Row],[Cost Price]]*Sales_Data[[#This Row],[Quantity]]</f>
        <v>1680000</v>
      </c>
      <c r="N1575" s="12">
        <f>Sales_Data[[#This Row],[Revenue]]-Sales_Data[[#This Row],[COGS]]</f>
        <v>420000</v>
      </c>
    </row>
    <row r="1576" spans="1:14">
      <c r="A1576" s="1">
        <v>47250</v>
      </c>
      <c r="B1576" t="s">
        <v>11</v>
      </c>
      <c r="C1576" t="s">
        <v>19</v>
      </c>
      <c r="D1576" t="s">
        <v>23</v>
      </c>
      <c r="E1576" t="s">
        <v>20</v>
      </c>
      <c r="F1576" t="s">
        <v>40</v>
      </c>
      <c r="G1576" t="s">
        <v>31</v>
      </c>
      <c r="H1576" s="12">
        <v>250000</v>
      </c>
      <c r="I1576">
        <v>7</v>
      </c>
      <c r="J1576" t="s">
        <v>39</v>
      </c>
      <c r="K1576" s="12">
        <f t="shared" si="24"/>
        <v>200000</v>
      </c>
      <c r="L1576" s="12">
        <f>Sales_Data[[#This Row],[Unit Price]]*Sales_Data[[#This Row],[Quantity]]</f>
        <v>1750000</v>
      </c>
      <c r="M1576" s="12">
        <f>Sales_Data[[#This Row],[Cost Price]]*Sales_Data[[#This Row],[Quantity]]</f>
        <v>1400000</v>
      </c>
      <c r="N1576" s="12">
        <f>Sales_Data[[#This Row],[Revenue]]-Sales_Data[[#This Row],[COGS]]</f>
        <v>350000</v>
      </c>
    </row>
    <row r="1577" spans="1:14">
      <c r="A1577" s="1">
        <v>47251</v>
      </c>
      <c r="B1577" t="s">
        <v>25</v>
      </c>
      <c r="C1577" t="s">
        <v>32</v>
      </c>
      <c r="D1577" t="s">
        <v>23</v>
      </c>
      <c r="E1577" t="s">
        <v>14</v>
      </c>
      <c r="F1577" t="s">
        <v>21</v>
      </c>
      <c r="G1577" t="s">
        <v>22</v>
      </c>
      <c r="H1577" s="12">
        <v>30000</v>
      </c>
      <c r="I1577">
        <v>1</v>
      </c>
      <c r="J1577" t="s">
        <v>39</v>
      </c>
      <c r="K1577" s="12">
        <f t="shared" si="24"/>
        <v>24000</v>
      </c>
      <c r="L1577" s="12">
        <f>Sales_Data[[#This Row],[Unit Price]]*Sales_Data[[#This Row],[Quantity]]</f>
        <v>30000</v>
      </c>
      <c r="M1577" s="12">
        <f>Sales_Data[[#This Row],[Cost Price]]*Sales_Data[[#This Row],[Quantity]]</f>
        <v>24000</v>
      </c>
      <c r="N1577" s="12">
        <f>Sales_Data[[#This Row],[Revenue]]-Sales_Data[[#This Row],[COGS]]</f>
        <v>6000</v>
      </c>
    </row>
    <row r="1578" spans="1:14">
      <c r="A1578" s="1">
        <v>47252</v>
      </c>
      <c r="B1578" t="s">
        <v>25</v>
      </c>
      <c r="C1578" t="s">
        <v>19</v>
      </c>
      <c r="D1578" t="s">
        <v>23</v>
      </c>
      <c r="E1578" t="s">
        <v>14</v>
      </c>
      <c r="F1578" t="s">
        <v>33</v>
      </c>
      <c r="G1578" t="s">
        <v>22</v>
      </c>
      <c r="H1578" s="12">
        <v>180000</v>
      </c>
      <c r="I1578">
        <v>9</v>
      </c>
      <c r="J1578" t="s">
        <v>35</v>
      </c>
      <c r="K1578" s="12">
        <f t="shared" si="24"/>
        <v>144000</v>
      </c>
      <c r="L1578" s="12">
        <f>Sales_Data[[#This Row],[Unit Price]]*Sales_Data[[#This Row],[Quantity]]</f>
        <v>1620000</v>
      </c>
      <c r="M1578" s="12">
        <f>Sales_Data[[#This Row],[Cost Price]]*Sales_Data[[#This Row],[Quantity]]</f>
        <v>1296000</v>
      </c>
      <c r="N1578" s="12">
        <f>Sales_Data[[#This Row],[Revenue]]-Sales_Data[[#This Row],[COGS]]</f>
        <v>324000</v>
      </c>
    </row>
    <row r="1579" spans="1:14">
      <c r="A1579" s="1">
        <v>47253</v>
      </c>
      <c r="B1579" t="s">
        <v>29</v>
      </c>
      <c r="C1579" t="s">
        <v>19</v>
      </c>
      <c r="D1579" t="s">
        <v>23</v>
      </c>
      <c r="E1579" t="s">
        <v>14</v>
      </c>
      <c r="F1579" t="s">
        <v>30</v>
      </c>
      <c r="G1579" t="s">
        <v>31</v>
      </c>
      <c r="H1579" s="12">
        <v>300000</v>
      </c>
      <c r="I1579">
        <v>7</v>
      </c>
      <c r="J1579" t="s">
        <v>39</v>
      </c>
      <c r="K1579" s="12">
        <f t="shared" si="24"/>
        <v>240000</v>
      </c>
      <c r="L1579" s="12">
        <f>Sales_Data[[#This Row],[Unit Price]]*Sales_Data[[#This Row],[Quantity]]</f>
        <v>2100000</v>
      </c>
      <c r="M1579" s="12">
        <f>Sales_Data[[#This Row],[Cost Price]]*Sales_Data[[#This Row],[Quantity]]</f>
        <v>1680000</v>
      </c>
      <c r="N1579" s="12">
        <f>Sales_Data[[#This Row],[Revenue]]-Sales_Data[[#This Row],[COGS]]</f>
        <v>420000</v>
      </c>
    </row>
    <row r="1580" spans="1:14">
      <c r="A1580" s="1">
        <v>47254</v>
      </c>
      <c r="B1580" t="s">
        <v>18</v>
      </c>
      <c r="C1580" t="s">
        <v>19</v>
      </c>
      <c r="D1580" t="s">
        <v>13</v>
      </c>
      <c r="E1580" t="s">
        <v>14</v>
      </c>
      <c r="F1580" t="s">
        <v>27</v>
      </c>
      <c r="G1580" t="s">
        <v>22</v>
      </c>
      <c r="H1580" s="12">
        <v>60000</v>
      </c>
      <c r="I1580">
        <v>2</v>
      </c>
      <c r="J1580" t="s">
        <v>39</v>
      </c>
      <c r="K1580" s="12">
        <f t="shared" si="24"/>
        <v>48000</v>
      </c>
      <c r="L1580" s="12">
        <f>Sales_Data[[#This Row],[Unit Price]]*Sales_Data[[#This Row],[Quantity]]</f>
        <v>120000</v>
      </c>
      <c r="M1580" s="12">
        <f>Sales_Data[[#This Row],[Cost Price]]*Sales_Data[[#This Row],[Quantity]]</f>
        <v>96000</v>
      </c>
      <c r="N1580" s="12">
        <f>Sales_Data[[#This Row],[Revenue]]-Sales_Data[[#This Row],[COGS]]</f>
        <v>24000</v>
      </c>
    </row>
    <row r="1581" spans="1:14">
      <c r="A1581" s="1">
        <v>47255</v>
      </c>
      <c r="B1581" t="s">
        <v>11</v>
      </c>
      <c r="C1581" t="s">
        <v>32</v>
      </c>
      <c r="D1581" t="s">
        <v>23</v>
      </c>
      <c r="E1581" t="s">
        <v>14</v>
      </c>
      <c r="F1581" t="s">
        <v>40</v>
      </c>
      <c r="G1581" t="s">
        <v>31</v>
      </c>
      <c r="H1581" s="12">
        <v>250000</v>
      </c>
      <c r="I1581">
        <v>5</v>
      </c>
      <c r="J1581" t="s">
        <v>28</v>
      </c>
      <c r="K1581" s="12">
        <f t="shared" si="24"/>
        <v>200000</v>
      </c>
      <c r="L1581" s="12">
        <f>Sales_Data[[#This Row],[Unit Price]]*Sales_Data[[#This Row],[Quantity]]</f>
        <v>1250000</v>
      </c>
      <c r="M1581" s="12">
        <f>Sales_Data[[#This Row],[Cost Price]]*Sales_Data[[#This Row],[Quantity]]</f>
        <v>1000000</v>
      </c>
      <c r="N1581" s="12">
        <f>Sales_Data[[#This Row],[Revenue]]-Sales_Data[[#This Row],[COGS]]</f>
        <v>250000</v>
      </c>
    </row>
    <row r="1582" spans="1:14">
      <c r="A1582" s="1">
        <v>47256</v>
      </c>
      <c r="B1582" t="s">
        <v>29</v>
      </c>
      <c r="C1582" t="s">
        <v>32</v>
      </c>
      <c r="D1582" t="s">
        <v>23</v>
      </c>
      <c r="E1582" t="s">
        <v>20</v>
      </c>
      <c r="F1582" t="s">
        <v>15</v>
      </c>
      <c r="G1582" t="s">
        <v>16</v>
      </c>
      <c r="H1582" s="12">
        <v>85000</v>
      </c>
      <c r="I1582">
        <v>9</v>
      </c>
      <c r="J1582" t="s">
        <v>35</v>
      </c>
      <c r="K1582" s="12">
        <f t="shared" si="24"/>
        <v>68000</v>
      </c>
      <c r="L1582" s="12">
        <f>Sales_Data[[#This Row],[Unit Price]]*Sales_Data[[#This Row],[Quantity]]</f>
        <v>765000</v>
      </c>
      <c r="M1582" s="12">
        <f>Sales_Data[[#This Row],[Cost Price]]*Sales_Data[[#This Row],[Quantity]]</f>
        <v>612000</v>
      </c>
      <c r="N1582" s="12">
        <f>Sales_Data[[#This Row],[Revenue]]-Sales_Data[[#This Row],[COGS]]</f>
        <v>153000</v>
      </c>
    </row>
    <row r="1583" spans="1:14">
      <c r="A1583" s="1">
        <v>47257</v>
      </c>
      <c r="B1583" t="s">
        <v>29</v>
      </c>
      <c r="C1583" t="s">
        <v>26</v>
      </c>
      <c r="D1583" t="s">
        <v>13</v>
      </c>
      <c r="E1583" t="s">
        <v>14</v>
      </c>
      <c r="F1583" t="s">
        <v>38</v>
      </c>
      <c r="G1583" t="s">
        <v>31</v>
      </c>
      <c r="H1583" s="12">
        <v>420000</v>
      </c>
      <c r="I1583">
        <v>5</v>
      </c>
      <c r="J1583" t="s">
        <v>28</v>
      </c>
      <c r="K1583" s="12">
        <f t="shared" si="24"/>
        <v>336000</v>
      </c>
      <c r="L1583" s="12">
        <f>Sales_Data[[#This Row],[Unit Price]]*Sales_Data[[#This Row],[Quantity]]</f>
        <v>2100000</v>
      </c>
      <c r="M1583" s="12">
        <f>Sales_Data[[#This Row],[Cost Price]]*Sales_Data[[#This Row],[Quantity]]</f>
        <v>1680000</v>
      </c>
      <c r="N1583" s="12">
        <f>Sales_Data[[#This Row],[Revenue]]-Sales_Data[[#This Row],[COGS]]</f>
        <v>420000</v>
      </c>
    </row>
    <row r="1584" spans="1:14">
      <c r="A1584" s="1">
        <v>47258</v>
      </c>
      <c r="B1584" t="s">
        <v>18</v>
      </c>
      <c r="C1584" t="s">
        <v>32</v>
      </c>
      <c r="D1584" t="s">
        <v>13</v>
      </c>
      <c r="E1584" t="s">
        <v>14</v>
      </c>
      <c r="F1584" t="s">
        <v>38</v>
      </c>
      <c r="G1584" t="s">
        <v>31</v>
      </c>
      <c r="H1584" s="12">
        <v>420000</v>
      </c>
      <c r="I1584">
        <v>7</v>
      </c>
      <c r="J1584" t="s">
        <v>28</v>
      </c>
      <c r="K1584" s="12">
        <f t="shared" si="24"/>
        <v>336000</v>
      </c>
      <c r="L1584" s="12">
        <f>Sales_Data[[#This Row],[Unit Price]]*Sales_Data[[#This Row],[Quantity]]</f>
        <v>2940000</v>
      </c>
      <c r="M1584" s="12">
        <f>Sales_Data[[#This Row],[Cost Price]]*Sales_Data[[#This Row],[Quantity]]</f>
        <v>2352000</v>
      </c>
      <c r="N1584" s="12">
        <f>Sales_Data[[#This Row],[Revenue]]-Sales_Data[[#This Row],[COGS]]</f>
        <v>588000</v>
      </c>
    </row>
    <row r="1585" spans="1:14">
      <c r="A1585" s="1">
        <v>47259</v>
      </c>
      <c r="B1585" t="s">
        <v>29</v>
      </c>
      <c r="C1585" t="s">
        <v>12</v>
      </c>
      <c r="D1585" t="s">
        <v>13</v>
      </c>
      <c r="E1585" t="s">
        <v>20</v>
      </c>
      <c r="F1585" t="s">
        <v>34</v>
      </c>
      <c r="G1585" t="s">
        <v>16</v>
      </c>
      <c r="H1585" s="12">
        <v>320000</v>
      </c>
      <c r="I1585">
        <v>3</v>
      </c>
      <c r="J1585" t="s">
        <v>28</v>
      </c>
      <c r="K1585" s="12">
        <f t="shared" si="24"/>
        <v>256000</v>
      </c>
      <c r="L1585" s="12">
        <f>Sales_Data[[#This Row],[Unit Price]]*Sales_Data[[#This Row],[Quantity]]</f>
        <v>960000</v>
      </c>
      <c r="M1585" s="12">
        <f>Sales_Data[[#This Row],[Cost Price]]*Sales_Data[[#This Row],[Quantity]]</f>
        <v>768000</v>
      </c>
      <c r="N1585" s="12">
        <f>Sales_Data[[#This Row],[Revenue]]-Sales_Data[[#This Row],[COGS]]</f>
        <v>192000</v>
      </c>
    </row>
    <row r="1586" spans="1:14">
      <c r="A1586" s="1">
        <v>47260</v>
      </c>
      <c r="B1586" t="s">
        <v>25</v>
      </c>
      <c r="C1586" t="s">
        <v>12</v>
      </c>
      <c r="D1586" t="s">
        <v>23</v>
      </c>
      <c r="E1586" t="s">
        <v>20</v>
      </c>
      <c r="F1586" t="s">
        <v>40</v>
      </c>
      <c r="G1586" t="s">
        <v>31</v>
      </c>
      <c r="H1586" s="12">
        <v>250000</v>
      </c>
      <c r="I1586">
        <v>10</v>
      </c>
      <c r="J1586" t="s">
        <v>28</v>
      </c>
      <c r="K1586" s="12">
        <f t="shared" si="24"/>
        <v>200000</v>
      </c>
      <c r="L1586" s="12">
        <f>Sales_Data[[#This Row],[Unit Price]]*Sales_Data[[#This Row],[Quantity]]</f>
        <v>2500000</v>
      </c>
      <c r="M1586" s="12">
        <f>Sales_Data[[#This Row],[Cost Price]]*Sales_Data[[#This Row],[Quantity]]</f>
        <v>2000000</v>
      </c>
      <c r="N1586" s="12">
        <f>Sales_Data[[#This Row],[Revenue]]-Sales_Data[[#This Row],[COGS]]</f>
        <v>500000</v>
      </c>
    </row>
    <row r="1587" spans="1:14">
      <c r="A1587" s="1">
        <v>47261</v>
      </c>
      <c r="B1587" t="s">
        <v>18</v>
      </c>
      <c r="C1587" t="s">
        <v>26</v>
      </c>
      <c r="D1587" t="s">
        <v>13</v>
      </c>
      <c r="E1587" t="s">
        <v>14</v>
      </c>
      <c r="F1587" t="s">
        <v>36</v>
      </c>
      <c r="G1587" t="s">
        <v>31</v>
      </c>
      <c r="H1587" s="12">
        <v>150000</v>
      </c>
      <c r="I1587">
        <v>9</v>
      </c>
      <c r="J1587" t="s">
        <v>39</v>
      </c>
      <c r="K1587" s="12">
        <f t="shared" si="24"/>
        <v>120000</v>
      </c>
      <c r="L1587" s="12">
        <f>Sales_Data[[#This Row],[Unit Price]]*Sales_Data[[#This Row],[Quantity]]</f>
        <v>1350000</v>
      </c>
      <c r="M1587" s="12">
        <f>Sales_Data[[#This Row],[Cost Price]]*Sales_Data[[#This Row],[Quantity]]</f>
        <v>1080000</v>
      </c>
      <c r="N1587" s="12">
        <f>Sales_Data[[#This Row],[Revenue]]-Sales_Data[[#This Row],[COGS]]</f>
        <v>270000</v>
      </c>
    </row>
    <row r="1588" spans="1:14">
      <c r="A1588" s="1">
        <v>47262</v>
      </c>
      <c r="B1588" t="s">
        <v>11</v>
      </c>
      <c r="C1588" t="s">
        <v>12</v>
      </c>
      <c r="D1588" t="s">
        <v>23</v>
      </c>
      <c r="E1588" t="s">
        <v>14</v>
      </c>
      <c r="F1588" t="s">
        <v>30</v>
      </c>
      <c r="G1588" t="s">
        <v>31</v>
      </c>
      <c r="H1588" s="12">
        <v>300000</v>
      </c>
      <c r="I1588">
        <v>10</v>
      </c>
      <c r="J1588" t="s">
        <v>17</v>
      </c>
      <c r="K1588" s="12">
        <f t="shared" si="24"/>
        <v>240000</v>
      </c>
      <c r="L1588" s="12">
        <f>Sales_Data[[#This Row],[Unit Price]]*Sales_Data[[#This Row],[Quantity]]</f>
        <v>3000000</v>
      </c>
      <c r="M1588" s="12">
        <f>Sales_Data[[#This Row],[Cost Price]]*Sales_Data[[#This Row],[Quantity]]</f>
        <v>2400000</v>
      </c>
      <c r="N1588" s="12">
        <f>Sales_Data[[#This Row],[Revenue]]-Sales_Data[[#This Row],[COGS]]</f>
        <v>600000</v>
      </c>
    </row>
    <row r="1589" spans="1:14">
      <c r="A1589" s="1">
        <v>47263</v>
      </c>
      <c r="B1589" t="s">
        <v>18</v>
      </c>
      <c r="C1589" t="s">
        <v>12</v>
      </c>
      <c r="D1589" t="s">
        <v>23</v>
      </c>
      <c r="E1589" t="s">
        <v>20</v>
      </c>
      <c r="F1589" t="s">
        <v>30</v>
      </c>
      <c r="G1589" t="s">
        <v>31</v>
      </c>
      <c r="H1589" s="12">
        <v>300000</v>
      </c>
      <c r="I1589">
        <v>2</v>
      </c>
      <c r="J1589" t="s">
        <v>35</v>
      </c>
      <c r="K1589" s="12">
        <f t="shared" si="24"/>
        <v>240000</v>
      </c>
      <c r="L1589" s="12">
        <f>Sales_Data[[#This Row],[Unit Price]]*Sales_Data[[#This Row],[Quantity]]</f>
        <v>600000</v>
      </c>
      <c r="M1589" s="12">
        <f>Sales_Data[[#This Row],[Cost Price]]*Sales_Data[[#This Row],[Quantity]]</f>
        <v>480000</v>
      </c>
      <c r="N1589" s="12">
        <f>Sales_Data[[#This Row],[Revenue]]-Sales_Data[[#This Row],[COGS]]</f>
        <v>120000</v>
      </c>
    </row>
    <row r="1590" spans="1:14">
      <c r="A1590" s="1">
        <v>47264</v>
      </c>
      <c r="B1590" t="s">
        <v>18</v>
      </c>
      <c r="C1590" t="s">
        <v>32</v>
      </c>
      <c r="D1590" t="s">
        <v>13</v>
      </c>
      <c r="E1590" t="s">
        <v>20</v>
      </c>
      <c r="F1590" t="s">
        <v>33</v>
      </c>
      <c r="G1590" t="s">
        <v>22</v>
      </c>
      <c r="H1590" s="12">
        <v>180000</v>
      </c>
      <c r="I1590">
        <v>2</v>
      </c>
      <c r="J1590" t="s">
        <v>35</v>
      </c>
      <c r="K1590" s="12">
        <f t="shared" si="24"/>
        <v>144000</v>
      </c>
      <c r="L1590" s="12">
        <f>Sales_Data[[#This Row],[Unit Price]]*Sales_Data[[#This Row],[Quantity]]</f>
        <v>360000</v>
      </c>
      <c r="M1590" s="12">
        <f>Sales_Data[[#This Row],[Cost Price]]*Sales_Data[[#This Row],[Quantity]]</f>
        <v>288000</v>
      </c>
      <c r="N1590" s="12">
        <f>Sales_Data[[#This Row],[Revenue]]-Sales_Data[[#This Row],[COGS]]</f>
        <v>72000</v>
      </c>
    </row>
    <row r="1591" spans="1:14">
      <c r="A1591" s="1">
        <v>47265</v>
      </c>
      <c r="B1591" t="s">
        <v>11</v>
      </c>
      <c r="C1591" t="s">
        <v>32</v>
      </c>
      <c r="D1591" t="s">
        <v>23</v>
      </c>
      <c r="E1591" t="s">
        <v>20</v>
      </c>
      <c r="F1591" t="s">
        <v>34</v>
      </c>
      <c r="G1591" t="s">
        <v>16</v>
      </c>
      <c r="H1591" s="12">
        <v>320000</v>
      </c>
      <c r="I1591">
        <v>10</v>
      </c>
      <c r="J1591" t="s">
        <v>39</v>
      </c>
      <c r="K1591" s="12">
        <f t="shared" si="24"/>
        <v>256000</v>
      </c>
      <c r="L1591" s="12">
        <f>Sales_Data[[#This Row],[Unit Price]]*Sales_Data[[#This Row],[Quantity]]</f>
        <v>3200000</v>
      </c>
      <c r="M1591" s="12">
        <f>Sales_Data[[#This Row],[Cost Price]]*Sales_Data[[#This Row],[Quantity]]</f>
        <v>2560000</v>
      </c>
      <c r="N1591" s="12">
        <f>Sales_Data[[#This Row],[Revenue]]-Sales_Data[[#This Row],[COGS]]</f>
        <v>640000</v>
      </c>
    </row>
    <row r="1592" spans="1:14">
      <c r="A1592" s="1">
        <v>47266</v>
      </c>
      <c r="B1592" t="s">
        <v>29</v>
      </c>
      <c r="C1592" t="s">
        <v>12</v>
      </c>
      <c r="D1592" t="s">
        <v>23</v>
      </c>
      <c r="E1592" t="s">
        <v>20</v>
      </c>
      <c r="F1592" t="s">
        <v>34</v>
      </c>
      <c r="G1592" t="s">
        <v>16</v>
      </c>
      <c r="H1592" s="12">
        <v>320000</v>
      </c>
      <c r="I1592">
        <v>1</v>
      </c>
      <c r="J1592" t="s">
        <v>37</v>
      </c>
      <c r="K1592" s="12">
        <f t="shared" si="24"/>
        <v>256000</v>
      </c>
      <c r="L1592" s="12">
        <f>Sales_Data[[#This Row],[Unit Price]]*Sales_Data[[#This Row],[Quantity]]</f>
        <v>320000</v>
      </c>
      <c r="M1592" s="12">
        <f>Sales_Data[[#This Row],[Cost Price]]*Sales_Data[[#This Row],[Quantity]]</f>
        <v>256000</v>
      </c>
      <c r="N1592" s="12">
        <f>Sales_Data[[#This Row],[Revenue]]-Sales_Data[[#This Row],[COGS]]</f>
        <v>64000</v>
      </c>
    </row>
    <row r="1593" spans="1:14">
      <c r="A1593" s="1">
        <v>47267</v>
      </c>
      <c r="B1593" t="s">
        <v>29</v>
      </c>
      <c r="C1593" t="s">
        <v>32</v>
      </c>
      <c r="D1593" t="s">
        <v>13</v>
      </c>
      <c r="E1593" t="s">
        <v>20</v>
      </c>
      <c r="F1593" t="s">
        <v>36</v>
      </c>
      <c r="G1593" t="s">
        <v>31</v>
      </c>
      <c r="H1593" s="12">
        <v>150000</v>
      </c>
      <c r="I1593">
        <v>6</v>
      </c>
      <c r="J1593" t="s">
        <v>35</v>
      </c>
      <c r="K1593" s="12">
        <f t="shared" si="24"/>
        <v>120000</v>
      </c>
      <c r="L1593" s="12">
        <f>Sales_Data[[#This Row],[Unit Price]]*Sales_Data[[#This Row],[Quantity]]</f>
        <v>900000</v>
      </c>
      <c r="M1593" s="12">
        <f>Sales_Data[[#This Row],[Cost Price]]*Sales_Data[[#This Row],[Quantity]]</f>
        <v>720000</v>
      </c>
      <c r="N1593" s="12">
        <f>Sales_Data[[#This Row],[Revenue]]-Sales_Data[[#This Row],[COGS]]</f>
        <v>180000</v>
      </c>
    </row>
    <row r="1594" spans="1:14">
      <c r="A1594" s="1">
        <v>47268</v>
      </c>
      <c r="B1594" t="s">
        <v>29</v>
      </c>
      <c r="C1594" t="s">
        <v>19</v>
      </c>
      <c r="D1594" t="s">
        <v>23</v>
      </c>
      <c r="E1594" t="s">
        <v>20</v>
      </c>
      <c r="F1594" t="s">
        <v>15</v>
      </c>
      <c r="G1594" t="s">
        <v>16</v>
      </c>
      <c r="H1594" s="12">
        <v>85000</v>
      </c>
      <c r="I1594">
        <v>9</v>
      </c>
      <c r="J1594" t="s">
        <v>35</v>
      </c>
      <c r="K1594" s="12">
        <f t="shared" si="24"/>
        <v>68000</v>
      </c>
      <c r="L1594" s="12">
        <f>Sales_Data[[#This Row],[Unit Price]]*Sales_Data[[#This Row],[Quantity]]</f>
        <v>765000</v>
      </c>
      <c r="M1594" s="12">
        <f>Sales_Data[[#This Row],[Cost Price]]*Sales_Data[[#This Row],[Quantity]]</f>
        <v>612000</v>
      </c>
      <c r="N1594" s="12">
        <f>Sales_Data[[#This Row],[Revenue]]-Sales_Data[[#This Row],[COGS]]</f>
        <v>153000</v>
      </c>
    </row>
    <row r="1595" spans="1:14">
      <c r="A1595" s="1">
        <v>47269</v>
      </c>
      <c r="B1595" t="s">
        <v>11</v>
      </c>
      <c r="C1595" t="s">
        <v>12</v>
      </c>
      <c r="D1595" t="s">
        <v>13</v>
      </c>
      <c r="E1595" t="s">
        <v>14</v>
      </c>
      <c r="F1595" t="s">
        <v>38</v>
      </c>
      <c r="G1595" t="s">
        <v>31</v>
      </c>
      <c r="H1595" s="12">
        <v>420000</v>
      </c>
      <c r="I1595">
        <v>7</v>
      </c>
      <c r="J1595" t="s">
        <v>17</v>
      </c>
      <c r="K1595" s="12">
        <f t="shared" si="24"/>
        <v>336000</v>
      </c>
      <c r="L1595" s="12">
        <f>Sales_Data[[#This Row],[Unit Price]]*Sales_Data[[#This Row],[Quantity]]</f>
        <v>2940000</v>
      </c>
      <c r="M1595" s="12">
        <f>Sales_Data[[#This Row],[Cost Price]]*Sales_Data[[#This Row],[Quantity]]</f>
        <v>2352000</v>
      </c>
      <c r="N1595" s="12">
        <f>Sales_Data[[#This Row],[Revenue]]-Sales_Data[[#This Row],[COGS]]</f>
        <v>588000</v>
      </c>
    </row>
    <row r="1596" spans="1:14">
      <c r="A1596" s="1">
        <v>47270</v>
      </c>
      <c r="B1596" t="s">
        <v>18</v>
      </c>
      <c r="C1596" t="s">
        <v>12</v>
      </c>
      <c r="D1596" t="s">
        <v>13</v>
      </c>
      <c r="E1596" t="s">
        <v>14</v>
      </c>
      <c r="F1596" t="s">
        <v>21</v>
      </c>
      <c r="G1596" t="s">
        <v>22</v>
      </c>
      <c r="H1596" s="12">
        <v>30000</v>
      </c>
      <c r="I1596">
        <v>3</v>
      </c>
      <c r="J1596" t="s">
        <v>35</v>
      </c>
      <c r="K1596" s="12">
        <f t="shared" si="24"/>
        <v>24000</v>
      </c>
      <c r="L1596" s="12">
        <f>Sales_Data[[#This Row],[Unit Price]]*Sales_Data[[#This Row],[Quantity]]</f>
        <v>90000</v>
      </c>
      <c r="M1596" s="12">
        <f>Sales_Data[[#This Row],[Cost Price]]*Sales_Data[[#This Row],[Quantity]]</f>
        <v>72000</v>
      </c>
      <c r="N1596" s="12">
        <f>Sales_Data[[#This Row],[Revenue]]-Sales_Data[[#This Row],[COGS]]</f>
        <v>18000</v>
      </c>
    </row>
    <row r="1597" spans="1:14">
      <c r="A1597" s="1">
        <v>47271</v>
      </c>
      <c r="B1597" t="s">
        <v>18</v>
      </c>
      <c r="C1597" t="s">
        <v>19</v>
      </c>
      <c r="D1597" t="s">
        <v>23</v>
      </c>
      <c r="E1597" t="s">
        <v>20</v>
      </c>
      <c r="F1597" t="s">
        <v>21</v>
      </c>
      <c r="G1597" t="s">
        <v>22</v>
      </c>
      <c r="H1597" s="12">
        <v>30000</v>
      </c>
      <c r="I1597">
        <v>9</v>
      </c>
      <c r="J1597" t="s">
        <v>17</v>
      </c>
      <c r="K1597" s="12">
        <f t="shared" si="24"/>
        <v>24000</v>
      </c>
      <c r="L1597" s="12">
        <f>Sales_Data[[#This Row],[Unit Price]]*Sales_Data[[#This Row],[Quantity]]</f>
        <v>270000</v>
      </c>
      <c r="M1597" s="12">
        <f>Sales_Data[[#This Row],[Cost Price]]*Sales_Data[[#This Row],[Quantity]]</f>
        <v>216000</v>
      </c>
      <c r="N1597" s="12">
        <f>Sales_Data[[#This Row],[Revenue]]-Sales_Data[[#This Row],[COGS]]</f>
        <v>54000</v>
      </c>
    </row>
    <row r="1598" spans="1:14">
      <c r="A1598" s="1">
        <v>47272</v>
      </c>
      <c r="B1598" t="s">
        <v>25</v>
      </c>
      <c r="C1598" t="s">
        <v>12</v>
      </c>
      <c r="D1598" t="s">
        <v>23</v>
      </c>
      <c r="E1598" t="s">
        <v>20</v>
      </c>
      <c r="F1598" t="s">
        <v>27</v>
      </c>
      <c r="G1598" t="s">
        <v>22</v>
      </c>
      <c r="H1598" s="12">
        <v>60000</v>
      </c>
      <c r="I1598">
        <v>1</v>
      </c>
      <c r="J1598" t="s">
        <v>37</v>
      </c>
      <c r="K1598" s="12">
        <f t="shared" si="24"/>
        <v>48000</v>
      </c>
      <c r="L1598" s="12">
        <f>Sales_Data[[#This Row],[Unit Price]]*Sales_Data[[#This Row],[Quantity]]</f>
        <v>60000</v>
      </c>
      <c r="M1598" s="12">
        <f>Sales_Data[[#This Row],[Cost Price]]*Sales_Data[[#This Row],[Quantity]]</f>
        <v>48000</v>
      </c>
      <c r="N1598" s="12">
        <f>Sales_Data[[#This Row],[Revenue]]-Sales_Data[[#This Row],[COGS]]</f>
        <v>12000</v>
      </c>
    </row>
    <row r="1599" spans="1:14">
      <c r="A1599" s="1">
        <v>47273</v>
      </c>
      <c r="B1599" t="s">
        <v>29</v>
      </c>
      <c r="C1599" t="s">
        <v>12</v>
      </c>
      <c r="D1599" t="s">
        <v>23</v>
      </c>
      <c r="E1599" t="s">
        <v>14</v>
      </c>
      <c r="F1599" t="s">
        <v>40</v>
      </c>
      <c r="G1599" t="s">
        <v>31</v>
      </c>
      <c r="H1599" s="12">
        <v>250000</v>
      </c>
      <c r="I1599">
        <v>1</v>
      </c>
      <c r="J1599" t="s">
        <v>39</v>
      </c>
      <c r="K1599" s="12">
        <f t="shared" si="24"/>
        <v>200000</v>
      </c>
      <c r="L1599" s="12">
        <f>Sales_Data[[#This Row],[Unit Price]]*Sales_Data[[#This Row],[Quantity]]</f>
        <v>250000</v>
      </c>
      <c r="M1599" s="12">
        <f>Sales_Data[[#This Row],[Cost Price]]*Sales_Data[[#This Row],[Quantity]]</f>
        <v>200000</v>
      </c>
      <c r="N1599" s="12">
        <f>Sales_Data[[#This Row],[Revenue]]-Sales_Data[[#This Row],[COGS]]</f>
        <v>50000</v>
      </c>
    </row>
    <row r="1600" spans="1:14">
      <c r="A1600" s="1">
        <v>47274</v>
      </c>
      <c r="B1600" t="s">
        <v>29</v>
      </c>
      <c r="C1600" t="s">
        <v>19</v>
      </c>
      <c r="D1600" t="s">
        <v>23</v>
      </c>
      <c r="E1600" t="s">
        <v>14</v>
      </c>
      <c r="F1600" t="s">
        <v>36</v>
      </c>
      <c r="G1600" t="s">
        <v>31</v>
      </c>
      <c r="H1600" s="12">
        <v>150000</v>
      </c>
      <c r="I1600">
        <v>9</v>
      </c>
      <c r="J1600" t="s">
        <v>17</v>
      </c>
      <c r="K1600" s="12">
        <f t="shared" si="24"/>
        <v>120000</v>
      </c>
      <c r="L1600" s="12">
        <f>Sales_Data[[#This Row],[Unit Price]]*Sales_Data[[#This Row],[Quantity]]</f>
        <v>1350000</v>
      </c>
      <c r="M1600" s="12">
        <f>Sales_Data[[#This Row],[Cost Price]]*Sales_Data[[#This Row],[Quantity]]</f>
        <v>1080000</v>
      </c>
      <c r="N1600" s="12">
        <f>Sales_Data[[#This Row],[Revenue]]-Sales_Data[[#This Row],[COGS]]</f>
        <v>270000</v>
      </c>
    </row>
    <row r="1601" spans="1:14">
      <c r="A1601" s="1">
        <v>47275</v>
      </c>
      <c r="B1601" t="s">
        <v>11</v>
      </c>
      <c r="C1601" t="s">
        <v>26</v>
      </c>
      <c r="D1601" t="s">
        <v>23</v>
      </c>
      <c r="E1601" t="s">
        <v>14</v>
      </c>
      <c r="F1601" t="s">
        <v>36</v>
      </c>
      <c r="G1601" t="s">
        <v>31</v>
      </c>
      <c r="H1601" s="12">
        <v>150000</v>
      </c>
      <c r="I1601">
        <v>8</v>
      </c>
      <c r="J1601" t="s">
        <v>24</v>
      </c>
      <c r="K1601" s="12">
        <f t="shared" si="24"/>
        <v>120000</v>
      </c>
      <c r="L1601" s="12">
        <f>Sales_Data[[#This Row],[Unit Price]]*Sales_Data[[#This Row],[Quantity]]</f>
        <v>1200000</v>
      </c>
      <c r="M1601" s="12">
        <f>Sales_Data[[#This Row],[Cost Price]]*Sales_Data[[#This Row],[Quantity]]</f>
        <v>960000</v>
      </c>
      <c r="N1601" s="12">
        <f>Sales_Data[[#This Row],[Revenue]]-Sales_Data[[#This Row],[COGS]]</f>
        <v>240000</v>
      </c>
    </row>
    <row r="1602" spans="1:14">
      <c r="A1602" s="1">
        <v>47276</v>
      </c>
      <c r="B1602" t="s">
        <v>25</v>
      </c>
      <c r="C1602" t="s">
        <v>12</v>
      </c>
      <c r="D1602" t="s">
        <v>13</v>
      </c>
      <c r="E1602" t="s">
        <v>20</v>
      </c>
      <c r="F1602" t="s">
        <v>27</v>
      </c>
      <c r="G1602" t="s">
        <v>22</v>
      </c>
      <c r="H1602" s="12">
        <v>60000</v>
      </c>
      <c r="I1602">
        <v>4</v>
      </c>
      <c r="J1602" t="s">
        <v>24</v>
      </c>
      <c r="K1602" s="12">
        <f t="shared" ref="K1602:K1665" si="25">H1602-H1602*0.2</f>
        <v>48000</v>
      </c>
      <c r="L1602" s="12">
        <f>Sales_Data[[#This Row],[Unit Price]]*Sales_Data[[#This Row],[Quantity]]</f>
        <v>240000</v>
      </c>
      <c r="M1602" s="12">
        <f>Sales_Data[[#This Row],[Cost Price]]*Sales_Data[[#This Row],[Quantity]]</f>
        <v>192000</v>
      </c>
      <c r="N1602" s="12">
        <f>Sales_Data[[#This Row],[Revenue]]-Sales_Data[[#This Row],[COGS]]</f>
        <v>48000</v>
      </c>
    </row>
    <row r="1603" spans="1:14">
      <c r="A1603" s="1">
        <v>47277</v>
      </c>
      <c r="B1603" t="s">
        <v>11</v>
      </c>
      <c r="C1603" t="s">
        <v>32</v>
      </c>
      <c r="D1603" t="s">
        <v>13</v>
      </c>
      <c r="E1603" t="s">
        <v>20</v>
      </c>
      <c r="F1603" t="s">
        <v>21</v>
      </c>
      <c r="G1603" t="s">
        <v>22</v>
      </c>
      <c r="H1603" s="12">
        <v>30000</v>
      </c>
      <c r="I1603">
        <v>3</v>
      </c>
      <c r="J1603" t="s">
        <v>35</v>
      </c>
      <c r="K1603" s="12">
        <f t="shared" si="25"/>
        <v>24000</v>
      </c>
      <c r="L1603" s="12">
        <f>Sales_Data[[#This Row],[Unit Price]]*Sales_Data[[#This Row],[Quantity]]</f>
        <v>90000</v>
      </c>
      <c r="M1603" s="12">
        <f>Sales_Data[[#This Row],[Cost Price]]*Sales_Data[[#This Row],[Quantity]]</f>
        <v>72000</v>
      </c>
      <c r="N1603" s="12">
        <f>Sales_Data[[#This Row],[Revenue]]-Sales_Data[[#This Row],[COGS]]</f>
        <v>18000</v>
      </c>
    </row>
    <row r="1604" spans="1:14">
      <c r="A1604" s="1">
        <v>47278</v>
      </c>
      <c r="B1604" t="s">
        <v>11</v>
      </c>
      <c r="C1604" t="s">
        <v>12</v>
      </c>
      <c r="D1604" t="s">
        <v>13</v>
      </c>
      <c r="E1604" t="s">
        <v>20</v>
      </c>
      <c r="F1604" t="s">
        <v>34</v>
      </c>
      <c r="G1604" t="s">
        <v>16</v>
      </c>
      <c r="H1604" s="12">
        <v>320000</v>
      </c>
      <c r="I1604">
        <v>4</v>
      </c>
      <c r="J1604" t="s">
        <v>35</v>
      </c>
      <c r="K1604" s="12">
        <f t="shared" si="25"/>
        <v>256000</v>
      </c>
      <c r="L1604" s="12">
        <f>Sales_Data[[#This Row],[Unit Price]]*Sales_Data[[#This Row],[Quantity]]</f>
        <v>1280000</v>
      </c>
      <c r="M1604" s="12">
        <f>Sales_Data[[#This Row],[Cost Price]]*Sales_Data[[#This Row],[Quantity]]</f>
        <v>1024000</v>
      </c>
      <c r="N1604" s="12">
        <f>Sales_Data[[#This Row],[Revenue]]-Sales_Data[[#This Row],[COGS]]</f>
        <v>256000</v>
      </c>
    </row>
    <row r="1605" spans="1:14">
      <c r="A1605" s="1">
        <v>47279</v>
      </c>
      <c r="B1605" t="s">
        <v>29</v>
      </c>
      <c r="C1605" t="s">
        <v>26</v>
      </c>
      <c r="D1605" t="s">
        <v>23</v>
      </c>
      <c r="E1605" t="s">
        <v>14</v>
      </c>
      <c r="F1605" t="s">
        <v>33</v>
      </c>
      <c r="G1605" t="s">
        <v>22</v>
      </c>
      <c r="H1605" s="12">
        <v>180000</v>
      </c>
      <c r="I1605">
        <v>8</v>
      </c>
      <c r="J1605" t="s">
        <v>28</v>
      </c>
      <c r="K1605" s="12">
        <f t="shared" si="25"/>
        <v>144000</v>
      </c>
      <c r="L1605" s="12">
        <f>Sales_Data[[#This Row],[Unit Price]]*Sales_Data[[#This Row],[Quantity]]</f>
        <v>1440000</v>
      </c>
      <c r="M1605" s="12">
        <f>Sales_Data[[#This Row],[Cost Price]]*Sales_Data[[#This Row],[Quantity]]</f>
        <v>1152000</v>
      </c>
      <c r="N1605" s="12">
        <f>Sales_Data[[#This Row],[Revenue]]-Sales_Data[[#This Row],[COGS]]</f>
        <v>288000</v>
      </c>
    </row>
    <row r="1606" spans="1:14">
      <c r="A1606" s="1">
        <v>47280</v>
      </c>
      <c r="B1606" t="s">
        <v>18</v>
      </c>
      <c r="C1606" t="s">
        <v>32</v>
      </c>
      <c r="D1606" t="s">
        <v>13</v>
      </c>
      <c r="E1606" t="s">
        <v>20</v>
      </c>
      <c r="F1606" t="s">
        <v>15</v>
      </c>
      <c r="G1606" t="s">
        <v>16</v>
      </c>
      <c r="H1606" s="12">
        <v>85000</v>
      </c>
      <c r="I1606">
        <v>4</v>
      </c>
      <c r="J1606" t="s">
        <v>24</v>
      </c>
      <c r="K1606" s="12">
        <f t="shared" si="25"/>
        <v>68000</v>
      </c>
      <c r="L1606" s="12">
        <f>Sales_Data[[#This Row],[Unit Price]]*Sales_Data[[#This Row],[Quantity]]</f>
        <v>340000</v>
      </c>
      <c r="M1606" s="12">
        <f>Sales_Data[[#This Row],[Cost Price]]*Sales_Data[[#This Row],[Quantity]]</f>
        <v>272000</v>
      </c>
      <c r="N1606" s="12">
        <f>Sales_Data[[#This Row],[Revenue]]-Sales_Data[[#This Row],[COGS]]</f>
        <v>68000</v>
      </c>
    </row>
    <row r="1607" spans="1:14">
      <c r="A1607" s="1">
        <v>47281</v>
      </c>
      <c r="B1607" t="s">
        <v>29</v>
      </c>
      <c r="C1607" t="s">
        <v>19</v>
      </c>
      <c r="D1607" t="s">
        <v>23</v>
      </c>
      <c r="E1607" t="s">
        <v>20</v>
      </c>
      <c r="F1607" t="s">
        <v>41</v>
      </c>
      <c r="G1607" t="s">
        <v>22</v>
      </c>
      <c r="H1607" s="12">
        <v>220000</v>
      </c>
      <c r="I1607">
        <v>10</v>
      </c>
      <c r="J1607" t="s">
        <v>17</v>
      </c>
      <c r="K1607" s="12">
        <f t="shared" si="25"/>
        <v>176000</v>
      </c>
      <c r="L1607" s="12">
        <f>Sales_Data[[#This Row],[Unit Price]]*Sales_Data[[#This Row],[Quantity]]</f>
        <v>2200000</v>
      </c>
      <c r="M1607" s="12">
        <f>Sales_Data[[#This Row],[Cost Price]]*Sales_Data[[#This Row],[Quantity]]</f>
        <v>1760000</v>
      </c>
      <c r="N1607" s="12">
        <f>Sales_Data[[#This Row],[Revenue]]-Sales_Data[[#This Row],[COGS]]</f>
        <v>440000</v>
      </c>
    </row>
    <row r="1608" spans="1:14">
      <c r="A1608" s="1">
        <v>47282</v>
      </c>
      <c r="B1608" t="s">
        <v>25</v>
      </c>
      <c r="C1608" t="s">
        <v>12</v>
      </c>
      <c r="D1608" t="s">
        <v>23</v>
      </c>
      <c r="E1608" t="s">
        <v>20</v>
      </c>
      <c r="F1608" t="s">
        <v>15</v>
      </c>
      <c r="G1608" t="s">
        <v>16</v>
      </c>
      <c r="H1608" s="12">
        <v>85000</v>
      </c>
      <c r="I1608">
        <v>5</v>
      </c>
      <c r="J1608" t="s">
        <v>35</v>
      </c>
      <c r="K1608" s="12">
        <f t="shared" si="25"/>
        <v>68000</v>
      </c>
      <c r="L1608" s="12">
        <f>Sales_Data[[#This Row],[Unit Price]]*Sales_Data[[#This Row],[Quantity]]</f>
        <v>425000</v>
      </c>
      <c r="M1608" s="12">
        <f>Sales_Data[[#This Row],[Cost Price]]*Sales_Data[[#This Row],[Quantity]]</f>
        <v>340000</v>
      </c>
      <c r="N1608" s="12">
        <f>Sales_Data[[#This Row],[Revenue]]-Sales_Data[[#This Row],[COGS]]</f>
        <v>85000</v>
      </c>
    </row>
    <row r="1609" spans="1:14">
      <c r="A1609" s="1">
        <v>47283</v>
      </c>
      <c r="B1609" t="s">
        <v>11</v>
      </c>
      <c r="C1609" t="s">
        <v>19</v>
      </c>
      <c r="D1609" t="s">
        <v>13</v>
      </c>
      <c r="E1609" t="s">
        <v>20</v>
      </c>
      <c r="F1609" t="s">
        <v>30</v>
      </c>
      <c r="G1609" t="s">
        <v>31</v>
      </c>
      <c r="H1609" s="12">
        <v>300000</v>
      </c>
      <c r="I1609">
        <v>2</v>
      </c>
      <c r="J1609" t="s">
        <v>37</v>
      </c>
      <c r="K1609" s="12">
        <f t="shared" si="25"/>
        <v>240000</v>
      </c>
      <c r="L1609" s="12">
        <f>Sales_Data[[#This Row],[Unit Price]]*Sales_Data[[#This Row],[Quantity]]</f>
        <v>600000</v>
      </c>
      <c r="M1609" s="12">
        <f>Sales_Data[[#This Row],[Cost Price]]*Sales_Data[[#This Row],[Quantity]]</f>
        <v>480000</v>
      </c>
      <c r="N1609" s="12">
        <f>Sales_Data[[#This Row],[Revenue]]-Sales_Data[[#This Row],[COGS]]</f>
        <v>120000</v>
      </c>
    </row>
    <row r="1610" spans="1:14">
      <c r="A1610" s="1">
        <v>47284</v>
      </c>
      <c r="B1610" t="s">
        <v>18</v>
      </c>
      <c r="C1610" t="s">
        <v>32</v>
      </c>
      <c r="D1610" t="s">
        <v>23</v>
      </c>
      <c r="E1610" t="s">
        <v>14</v>
      </c>
      <c r="F1610" t="s">
        <v>33</v>
      </c>
      <c r="G1610" t="s">
        <v>22</v>
      </c>
      <c r="H1610" s="12">
        <v>180000</v>
      </c>
      <c r="I1610">
        <v>1</v>
      </c>
      <c r="J1610" t="s">
        <v>35</v>
      </c>
      <c r="K1610" s="12">
        <f t="shared" si="25"/>
        <v>144000</v>
      </c>
      <c r="L1610" s="12">
        <f>Sales_Data[[#This Row],[Unit Price]]*Sales_Data[[#This Row],[Quantity]]</f>
        <v>180000</v>
      </c>
      <c r="M1610" s="12">
        <f>Sales_Data[[#This Row],[Cost Price]]*Sales_Data[[#This Row],[Quantity]]</f>
        <v>144000</v>
      </c>
      <c r="N1610" s="12">
        <f>Sales_Data[[#This Row],[Revenue]]-Sales_Data[[#This Row],[COGS]]</f>
        <v>36000</v>
      </c>
    </row>
    <row r="1611" spans="1:14">
      <c r="A1611" s="1">
        <v>47285</v>
      </c>
      <c r="B1611" t="s">
        <v>25</v>
      </c>
      <c r="C1611" t="s">
        <v>32</v>
      </c>
      <c r="D1611" t="s">
        <v>13</v>
      </c>
      <c r="E1611" t="s">
        <v>14</v>
      </c>
      <c r="F1611" t="s">
        <v>36</v>
      </c>
      <c r="G1611" t="s">
        <v>31</v>
      </c>
      <c r="H1611" s="12">
        <v>150000</v>
      </c>
      <c r="I1611">
        <v>3</v>
      </c>
      <c r="J1611" t="s">
        <v>35</v>
      </c>
      <c r="K1611" s="12">
        <f t="shared" si="25"/>
        <v>120000</v>
      </c>
      <c r="L1611" s="12">
        <f>Sales_Data[[#This Row],[Unit Price]]*Sales_Data[[#This Row],[Quantity]]</f>
        <v>450000</v>
      </c>
      <c r="M1611" s="12">
        <f>Sales_Data[[#This Row],[Cost Price]]*Sales_Data[[#This Row],[Quantity]]</f>
        <v>360000</v>
      </c>
      <c r="N1611" s="12">
        <f>Sales_Data[[#This Row],[Revenue]]-Sales_Data[[#This Row],[COGS]]</f>
        <v>90000</v>
      </c>
    </row>
    <row r="1612" spans="1:14">
      <c r="A1612" s="1">
        <v>47286</v>
      </c>
      <c r="B1612" t="s">
        <v>25</v>
      </c>
      <c r="C1612" t="s">
        <v>26</v>
      </c>
      <c r="D1612" t="s">
        <v>23</v>
      </c>
      <c r="E1612" t="s">
        <v>20</v>
      </c>
      <c r="F1612" t="s">
        <v>33</v>
      </c>
      <c r="G1612" t="s">
        <v>22</v>
      </c>
      <c r="H1612" s="12">
        <v>180000</v>
      </c>
      <c r="I1612">
        <v>3</v>
      </c>
      <c r="J1612" t="s">
        <v>28</v>
      </c>
      <c r="K1612" s="12">
        <f t="shared" si="25"/>
        <v>144000</v>
      </c>
      <c r="L1612" s="12">
        <f>Sales_Data[[#This Row],[Unit Price]]*Sales_Data[[#This Row],[Quantity]]</f>
        <v>540000</v>
      </c>
      <c r="M1612" s="12">
        <f>Sales_Data[[#This Row],[Cost Price]]*Sales_Data[[#This Row],[Quantity]]</f>
        <v>432000</v>
      </c>
      <c r="N1612" s="12">
        <f>Sales_Data[[#This Row],[Revenue]]-Sales_Data[[#This Row],[COGS]]</f>
        <v>108000</v>
      </c>
    </row>
    <row r="1613" spans="1:14">
      <c r="A1613" s="1">
        <v>47287</v>
      </c>
      <c r="B1613" t="s">
        <v>29</v>
      </c>
      <c r="C1613" t="s">
        <v>26</v>
      </c>
      <c r="D1613" t="s">
        <v>13</v>
      </c>
      <c r="E1613" t="s">
        <v>14</v>
      </c>
      <c r="F1613" t="s">
        <v>36</v>
      </c>
      <c r="G1613" t="s">
        <v>31</v>
      </c>
      <c r="H1613" s="12">
        <v>150000</v>
      </c>
      <c r="I1613">
        <v>5</v>
      </c>
      <c r="J1613" t="s">
        <v>24</v>
      </c>
      <c r="K1613" s="12">
        <f t="shared" si="25"/>
        <v>120000</v>
      </c>
      <c r="L1613" s="12">
        <f>Sales_Data[[#This Row],[Unit Price]]*Sales_Data[[#This Row],[Quantity]]</f>
        <v>750000</v>
      </c>
      <c r="M1613" s="12">
        <f>Sales_Data[[#This Row],[Cost Price]]*Sales_Data[[#This Row],[Quantity]]</f>
        <v>600000</v>
      </c>
      <c r="N1613" s="12">
        <f>Sales_Data[[#This Row],[Revenue]]-Sales_Data[[#This Row],[COGS]]</f>
        <v>150000</v>
      </c>
    </row>
    <row r="1614" spans="1:14">
      <c r="A1614" s="1">
        <v>47288</v>
      </c>
      <c r="B1614" t="s">
        <v>18</v>
      </c>
      <c r="C1614" t="s">
        <v>32</v>
      </c>
      <c r="D1614" t="s">
        <v>23</v>
      </c>
      <c r="E1614" t="s">
        <v>14</v>
      </c>
      <c r="F1614" t="s">
        <v>27</v>
      </c>
      <c r="G1614" t="s">
        <v>22</v>
      </c>
      <c r="H1614" s="12">
        <v>60000</v>
      </c>
      <c r="I1614">
        <v>8</v>
      </c>
      <c r="J1614" t="s">
        <v>24</v>
      </c>
      <c r="K1614" s="12">
        <f t="shared" si="25"/>
        <v>48000</v>
      </c>
      <c r="L1614" s="12">
        <f>Sales_Data[[#This Row],[Unit Price]]*Sales_Data[[#This Row],[Quantity]]</f>
        <v>480000</v>
      </c>
      <c r="M1614" s="12">
        <f>Sales_Data[[#This Row],[Cost Price]]*Sales_Data[[#This Row],[Quantity]]</f>
        <v>384000</v>
      </c>
      <c r="N1614" s="12">
        <f>Sales_Data[[#This Row],[Revenue]]-Sales_Data[[#This Row],[COGS]]</f>
        <v>96000</v>
      </c>
    </row>
    <row r="1615" spans="1:14">
      <c r="A1615" s="1">
        <v>47289</v>
      </c>
      <c r="B1615" t="s">
        <v>18</v>
      </c>
      <c r="C1615" t="s">
        <v>12</v>
      </c>
      <c r="D1615" t="s">
        <v>13</v>
      </c>
      <c r="E1615" t="s">
        <v>20</v>
      </c>
      <c r="F1615" t="s">
        <v>40</v>
      </c>
      <c r="G1615" t="s">
        <v>31</v>
      </c>
      <c r="H1615" s="12">
        <v>250000</v>
      </c>
      <c r="I1615">
        <v>5</v>
      </c>
      <c r="J1615" t="s">
        <v>24</v>
      </c>
      <c r="K1615" s="12">
        <f t="shared" si="25"/>
        <v>200000</v>
      </c>
      <c r="L1615" s="12">
        <f>Sales_Data[[#This Row],[Unit Price]]*Sales_Data[[#This Row],[Quantity]]</f>
        <v>1250000</v>
      </c>
      <c r="M1615" s="12">
        <f>Sales_Data[[#This Row],[Cost Price]]*Sales_Data[[#This Row],[Quantity]]</f>
        <v>1000000</v>
      </c>
      <c r="N1615" s="12">
        <f>Sales_Data[[#This Row],[Revenue]]-Sales_Data[[#This Row],[COGS]]</f>
        <v>250000</v>
      </c>
    </row>
    <row r="1616" spans="1:14">
      <c r="A1616" s="1">
        <v>47290</v>
      </c>
      <c r="B1616" t="s">
        <v>18</v>
      </c>
      <c r="C1616" t="s">
        <v>26</v>
      </c>
      <c r="D1616" t="s">
        <v>13</v>
      </c>
      <c r="E1616" t="s">
        <v>14</v>
      </c>
      <c r="F1616" t="s">
        <v>33</v>
      </c>
      <c r="G1616" t="s">
        <v>22</v>
      </c>
      <c r="H1616" s="12">
        <v>180000</v>
      </c>
      <c r="I1616">
        <v>3</v>
      </c>
      <c r="J1616" t="s">
        <v>17</v>
      </c>
      <c r="K1616" s="12">
        <f t="shared" si="25"/>
        <v>144000</v>
      </c>
      <c r="L1616" s="12">
        <f>Sales_Data[[#This Row],[Unit Price]]*Sales_Data[[#This Row],[Quantity]]</f>
        <v>540000</v>
      </c>
      <c r="M1616" s="12">
        <f>Sales_Data[[#This Row],[Cost Price]]*Sales_Data[[#This Row],[Quantity]]</f>
        <v>432000</v>
      </c>
      <c r="N1616" s="12">
        <f>Sales_Data[[#This Row],[Revenue]]-Sales_Data[[#This Row],[COGS]]</f>
        <v>108000</v>
      </c>
    </row>
    <row r="1617" spans="1:14">
      <c r="A1617" s="1">
        <v>47291</v>
      </c>
      <c r="B1617" t="s">
        <v>29</v>
      </c>
      <c r="C1617" t="s">
        <v>12</v>
      </c>
      <c r="D1617" t="s">
        <v>23</v>
      </c>
      <c r="E1617" t="s">
        <v>14</v>
      </c>
      <c r="F1617" t="s">
        <v>34</v>
      </c>
      <c r="G1617" t="s">
        <v>16</v>
      </c>
      <c r="H1617" s="12">
        <v>320000</v>
      </c>
      <c r="I1617">
        <v>9</v>
      </c>
      <c r="J1617" t="s">
        <v>17</v>
      </c>
      <c r="K1617" s="12">
        <f t="shared" si="25"/>
        <v>256000</v>
      </c>
      <c r="L1617" s="12">
        <f>Sales_Data[[#This Row],[Unit Price]]*Sales_Data[[#This Row],[Quantity]]</f>
        <v>2880000</v>
      </c>
      <c r="M1617" s="12">
        <f>Sales_Data[[#This Row],[Cost Price]]*Sales_Data[[#This Row],[Quantity]]</f>
        <v>2304000</v>
      </c>
      <c r="N1617" s="12">
        <f>Sales_Data[[#This Row],[Revenue]]-Sales_Data[[#This Row],[COGS]]</f>
        <v>576000</v>
      </c>
    </row>
    <row r="1618" spans="1:14">
      <c r="A1618" s="1">
        <v>47292</v>
      </c>
      <c r="B1618" t="s">
        <v>11</v>
      </c>
      <c r="C1618" t="s">
        <v>12</v>
      </c>
      <c r="D1618" t="s">
        <v>23</v>
      </c>
      <c r="E1618" t="s">
        <v>20</v>
      </c>
      <c r="F1618" t="s">
        <v>15</v>
      </c>
      <c r="G1618" t="s">
        <v>16</v>
      </c>
      <c r="H1618" s="12">
        <v>85000</v>
      </c>
      <c r="I1618">
        <v>5</v>
      </c>
      <c r="J1618" t="s">
        <v>28</v>
      </c>
      <c r="K1618" s="12">
        <f t="shared" si="25"/>
        <v>68000</v>
      </c>
      <c r="L1618" s="12">
        <f>Sales_Data[[#This Row],[Unit Price]]*Sales_Data[[#This Row],[Quantity]]</f>
        <v>425000</v>
      </c>
      <c r="M1618" s="12">
        <f>Sales_Data[[#This Row],[Cost Price]]*Sales_Data[[#This Row],[Quantity]]</f>
        <v>340000</v>
      </c>
      <c r="N1618" s="12">
        <f>Sales_Data[[#This Row],[Revenue]]-Sales_Data[[#This Row],[COGS]]</f>
        <v>85000</v>
      </c>
    </row>
    <row r="1619" spans="1:14">
      <c r="A1619" s="1">
        <v>47293</v>
      </c>
      <c r="B1619" t="s">
        <v>25</v>
      </c>
      <c r="C1619" t="s">
        <v>19</v>
      </c>
      <c r="D1619" t="s">
        <v>13</v>
      </c>
      <c r="E1619" t="s">
        <v>14</v>
      </c>
      <c r="F1619" t="s">
        <v>41</v>
      </c>
      <c r="G1619" t="s">
        <v>22</v>
      </c>
      <c r="H1619" s="12">
        <v>220000</v>
      </c>
      <c r="I1619">
        <v>1</v>
      </c>
      <c r="J1619" t="s">
        <v>37</v>
      </c>
      <c r="K1619" s="12">
        <f t="shared" si="25"/>
        <v>176000</v>
      </c>
      <c r="L1619" s="12">
        <f>Sales_Data[[#This Row],[Unit Price]]*Sales_Data[[#This Row],[Quantity]]</f>
        <v>220000</v>
      </c>
      <c r="M1619" s="12">
        <f>Sales_Data[[#This Row],[Cost Price]]*Sales_Data[[#This Row],[Quantity]]</f>
        <v>176000</v>
      </c>
      <c r="N1619" s="12">
        <f>Sales_Data[[#This Row],[Revenue]]-Sales_Data[[#This Row],[COGS]]</f>
        <v>44000</v>
      </c>
    </row>
    <row r="1620" spans="1:14">
      <c r="A1620" s="1">
        <v>47294</v>
      </c>
      <c r="B1620" t="s">
        <v>18</v>
      </c>
      <c r="C1620" t="s">
        <v>19</v>
      </c>
      <c r="D1620" t="s">
        <v>13</v>
      </c>
      <c r="E1620" t="s">
        <v>20</v>
      </c>
      <c r="F1620" t="s">
        <v>33</v>
      </c>
      <c r="G1620" t="s">
        <v>22</v>
      </c>
      <c r="H1620" s="12">
        <v>180000</v>
      </c>
      <c r="I1620">
        <v>2</v>
      </c>
      <c r="J1620" t="s">
        <v>28</v>
      </c>
      <c r="K1620" s="12">
        <f t="shared" si="25"/>
        <v>144000</v>
      </c>
      <c r="L1620" s="12">
        <f>Sales_Data[[#This Row],[Unit Price]]*Sales_Data[[#This Row],[Quantity]]</f>
        <v>360000</v>
      </c>
      <c r="M1620" s="12">
        <f>Sales_Data[[#This Row],[Cost Price]]*Sales_Data[[#This Row],[Quantity]]</f>
        <v>288000</v>
      </c>
      <c r="N1620" s="12">
        <f>Sales_Data[[#This Row],[Revenue]]-Sales_Data[[#This Row],[COGS]]</f>
        <v>72000</v>
      </c>
    </row>
    <row r="1621" spans="1:14">
      <c r="A1621" s="1">
        <v>47295</v>
      </c>
      <c r="B1621" t="s">
        <v>18</v>
      </c>
      <c r="C1621" t="s">
        <v>19</v>
      </c>
      <c r="D1621" t="s">
        <v>23</v>
      </c>
      <c r="E1621" t="s">
        <v>20</v>
      </c>
      <c r="F1621" t="s">
        <v>36</v>
      </c>
      <c r="G1621" t="s">
        <v>31</v>
      </c>
      <c r="H1621" s="12">
        <v>150000</v>
      </c>
      <c r="I1621">
        <v>1</v>
      </c>
      <c r="J1621" t="s">
        <v>35</v>
      </c>
      <c r="K1621" s="12">
        <f t="shared" si="25"/>
        <v>120000</v>
      </c>
      <c r="L1621" s="12">
        <f>Sales_Data[[#This Row],[Unit Price]]*Sales_Data[[#This Row],[Quantity]]</f>
        <v>150000</v>
      </c>
      <c r="M1621" s="12">
        <f>Sales_Data[[#This Row],[Cost Price]]*Sales_Data[[#This Row],[Quantity]]</f>
        <v>120000</v>
      </c>
      <c r="N1621" s="12">
        <f>Sales_Data[[#This Row],[Revenue]]-Sales_Data[[#This Row],[COGS]]</f>
        <v>30000</v>
      </c>
    </row>
    <row r="1622" spans="1:14">
      <c r="A1622" s="1">
        <v>47296</v>
      </c>
      <c r="B1622" t="s">
        <v>11</v>
      </c>
      <c r="C1622" t="s">
        <v>26</v>
      </c>
      <c r="D1622" t="s">
        <v>13</v>
      </c>
      <c r="E1622" t="s">
        <v>20</v>
      </c>
      <c r="F1622" t="s">
        <v>33</v>
      </c>
      <c r="G1622" t="s">
        <v>22</v>
      </c>
      <c r="H1622" s="12">
        <v>180000</v>
      </c>
      <c r="I1622">
        <v>2</v>
      </c>
      <c r="J1622" t="s">
        <v>24</v>
      </c>
      <c r="K1622" s="12">
        <f t="shared" si="25"/>
        <v>144000</v>
      </c>
      <c r="L1622" s="12">
        <f>Sales_Data[[#This Row],[Unit Price]]*Sales_Data[[#This Row],[Quantity]]</f>
        <v>360000</v>
      </c>
      <c r="M1622" s="12">
        <f>Sales_Data[[#This Row],[Cost Price]]*Sales_Data[[#This Row],[Quantity]]</f>
        <v>288000</v>
      </c>
      <c r="N1622" s="12">
        <f>Sales_Data[[#This Row],[Revenue]]-Sales_Data[[#This Row],[COGS]]</f>
        <v>72000</v>
      </c>
    </row>
    <row r="1623" spans="1:14">
      <c r="A1623" s="1">
        <v>47297</v>
      </c>
      <c r="B1623" t="s">
        <v>29</v>
      </c>
      <c r="C1623" t="s">
        <v>32</v>
      </c>
      <c r="D1623" t="s">
        <v>23</v>
      </c>
      <c r="E1623" t="s">
        <v>14</v>
      </c>
      <c r="F1623" t="s">
        <v>34</v>
      </c>
      <c r="G1623" t="s">
        <v>16</v>
      </c>
      <c r="H1623" s="12">
        <v>320000</v>
      </c>
      <c r="I1623">
        <v>4</v>
      </c>
      <c r="J1623" t="s">
        <v>39</v>
      </c>
      <c r="K1623" s="12">
        <f t="shared" si="25"/>
        <v>256000</v>
      </c>
      <c r="L1623" s="12">
        <f>Sales_Data[[#This Row],[Unit Price]]*Sales_Data[[#This Row],[Quantity]]</f>
        <v>1280000</v>
      </c>
      <c r="M1623" s="12">
        <f>Sales_Data[[#This Row],[Cost Price]]*Sales_Data[[#This Row],[Quantity]]</f>
        <v>1024000</v>
      </c>
      <c r="N1623" s="12">
        <f>Sales_Data[[#This Row],[Revenue]]-Sales_Data[[#This Row],[COGS]]</f>
        <v>256000</v>
      </c>
    </row>
    <row r="1624" spans="1:14">
      <c r="A1624" s="1">
        <v>47298</v>
      </c>
      <c r="B1624" t="s">
        <v>29</v>
      </c>
      <c r="C1624" t="s">
        <v>32</v>
      </c>
      <c r="D1624" t="s">
        <v>13</v>
      </c>
      <c r="E1624" t="s">
        <v>20</v>
      </c>
      <c r="F1624" t="s">
        <v>36</v>
      </c>
      <c r="G1624" t="s">
        <v>31</v>
      </c>
      <c r="H1624" s="12">
        <v>150000</v>
      </c>
      <c r="I1624">
        <v>10</v>
      </c>
      <c r="J1624" t="s">
        <v>17</v>
      </c>
      <c r="K1624" s="12">
        <f t="shared" si="25"/>
        <v>120000</v>
      </c>
      <c r="L1624" s="12">
        <f>Sales_Data[[#This Row],[Unit Price]]*Sales_Data[[#This Row],[Quantity]]</f>
        <v>1500000</v>
      </c>
      <c r="M1624" s="12">
        <f>Sales_Data[[#This Row],[Cost Price]]*Sales_Data[[#This Row],[Quantity]]</f>
        <v>1200000</v>
      </c>
      <c r="N1624" s="12">
        <f>Sales_Data[[#This Row],[Revenue]]-Sales_Data[[#This Row],[COGS]]</f>
        <v>300000</v>
      </c>
    </row>
    <row r="1625" spans="1:14">
      <c r="A1625" s="1">
        <v>47299</v>
      </c>
      <c r="B1625" t="s">
        <v>25</v>
      </c>
      <c r="C1625" t="s">
        <v>26</v>
      </c>
      <c r="D1625" t="s">
        <v>23</v>
      </c>
      <c r="E1625" t="s">
        <v>20</v>
      </c>
      <c r="F1625" t="s">
        <v>21</v>
      </c>
      <c r="G1625" t="s">
        <v>22</v>
      </c>
      <c r="H1625" s="12">
        <v>30000</v>
      </c>
      <c r="I1625">
        <v>3</v>
      </c>
      <c r="J1625" t="s">
        <v>35</v>
      </c>
      <c r="K1625" s="12">
        <f t="shared" si="25"/>
        <v>24000</v>
      </c>
      <c r="L1625" s="12">
        <f>Sales_Data[[#This Row],[Unit Price]]*Sales_Data[[#This Row],[Quantity]]</f>
        <v>90000</v>
      </c>
      <c r="M1625" s="12">
        <f>Sales_Data[[#This Row],[Cost Price]]*Sales_Data[[#This Row],[Quantity]]</f>
        <v>72000</v>
      </c>
      <c r="N1625" s="12">
        <f>Sales_Data[[#This Row],[Revenue]]-Sales_Data[[#This Row],[COGS]]</f>
        <v>18000</v>
      </c>
    </row>
    <row r="1626" spans="1:14">
      <c r="A1626" s="1">
        <v>47300</v>
      </c>
      <c r="B1626" t="s">
        <v>25</v>
      </c>
      <c r="C1626" t="s">
        <v>26</v>
      </c>
      <c r="D1626" t="s">
        <v>13</v>
      </c>
      <c r="E1626" t="s">
        <v>20</v>
      </c>
      <c r="F1626" t="s">
        <v>15</v>
      </c>
      <c r="G1626" t="s">
        <v>16</v>
      </c>
      <c r="H1626" s="12">
        <v>85000</v>
      </c>
      <c r="I1626">
        <v>4</v>
      </c>
      <c r="J1626" t="s">
        <v>35</v>
      </c>
      <c r="K1626" s="12">
        <f t="shared" si="25"/>
        <v>68000</v>
      </c>
      <c r="L1626" s="12">
        <f>Sales_Data[[#This Row],[Unit Price]]*Sales_Data[[#This Row],[Quantity]]</f>
        <v>340000</v>
      </c>
      <c r="M1626" s="12">
        <f>Sales_Data[[#This Row],[Cost Price]]*Sales_Data[[#This Row],[Quantity]]</f>
        <v>272000</v>
      </c>
      <c r="N1626" s="12">
        <f>Sales_Data[[#This Row],[Revenue]]-Sales_Data[[#This Row],[COGS]]</f>
        <v>68000</v>
      </c>
    </row>
    <row r="1627" spans="1:14">
      <c r="A1627" s="1">
        <v>47301</v>
      </c>
      <c r="B1627" t="s">
        <v>11</v>
      </c>
      <c r="C1627" t="s">
        <v>32</v>
      </c>
      <c r="D1627" t="s">
        <v>13</v>
      </c>
      <c r="E1627" t="s">
        <v>20</v>
      </c>
      <c r="F1627" t="s">
        <v>33</v>
      </c>
      <c r="G1627" t="s">
        <v>22</v>
      </c>
      <c r="H1627" s="12">
        <v>180000</v>
      </c>
      <c r="I1627">
        <v>10</v>
      </c>
      <c r="J1627" t="s">
        <v>35</v>
      </c>
      <c r="K1627" s="12">
        <f t="shared" si="25"/>
        <v>144000</v>
      </c>
      <c r="L1627" s="12">
        <f>Sales_Data[[#This Row],[Unit Price]]*Sales_Data[[#This Row],[Quantity]]</f>
        <v>1800000</v>
      </c>
      <c r="M1627" s="12">
        <f>Sales_Data[[#This Row],[Cost Price]]*Sales_Data[[#This Row],[Quantity]]</f>
        <v>1440000</v>
      </c>
      <c r="N1627" s="12">
        <f>Sales_Data[[#This Row],[Revenue]]-Sales_Data[[#This Row],[COGS]]</f>
        <v>360000</v>
      </c>
    </row>
    <row r="1628" spans="1:14">
      <c r="A1628" s="1">
        <v>47302</v>
      </c>
      <c r="B1628" t="s">
        <v>11</v>
      </c>
      <c r="C1628" t="s">
        <v>19</v>
      </c>
      <c r="D1628" t="s">
        <v>23</v>
      </c>
      <c r="E1628" t="s">
        <v>20</v>
      </c>
      <c r="F1628" t="s">
        <v>34</v>
      </c>
      <c r="G1628" t="s">
        <v>16</v>
      </c>
      <c r="H1628" s="12">
        <v>320000</v>
      </c>
      <c r="I1628">
        <v>9</v>
      </c>
      <c r="J1628" t="s">
        <v>37</v>
      </c>
      <c r="K1628" s="12">
        <f t="shared" si="25"/>
        <v>256000</v>
      </c>
      <c r="L1628" s="12">
        <f>Sales_Data[[#This Row],[Unit Price]]*Sales_Data[[#This Row],[Quantity]]</f>
        <v>2880000</v>
      </c>
      <c r="M1628" s="12">
        <f>Sales_Data[[#This Row],[Cost Price]]*Sales_Data[[#This Row],[Quantity]]</f>
        <v>2304000</v>
      </c>
      <c r="N1628" s="12">
        <f>Sales_Data[[#This Row],[Revenue]]-Sales_Data[[#This Row],[COGS]]</f>
        <v>576000</v>
      </c>
    </row>
    <row r="1629" spans="1:14">
      <c r="A1629" s="1">
        <v>47303</v>
      </c>
      <c r="B1629" t="s">
        <v>25</v>
      </c>
      <c r="C1629" t="s">
        <v>19</v>
      </c>
      <c r="D1629" t="s">
        <v>23</v>
      </c>
      <c r="E1629" t="s">
        <v>14</v>
      </c>
      <c r="F1629" t="s">
        <v>36</v>
      </c>
      <c r="G1629" t="s">
        <v>31</v>
      </c>
      <c r="H1629" s="12">
        <v>150000</v>
      </c>
      <c r="I1629">
        <v>3</v>
      </c>
      <c r="J1629" t="s">
        <v>39</v>
      </c>
      <c r="K1629" s="12">
        <f t="shared" si="25"/>
        <v>120000</v>
      </c>
      <c r="L1629" s="12">
        <f>Sales_Data[[#This Row],[Unit Price]]*Sales_Data[[#This Row],[Quantity]]</f>
        <v>450000</v>
      </c>
      <c r="M1629" s="12">
        <f>Sales_Data[[#This Row],[Cost Price]]*Sales_Data[[#This Row],[Quantity]]</f>
        <v>360000</v>
      </c>
      <c r="N1629" s="12">
        <f>Sales_Data[[#This Row],[Revenue]]-Sales_Data[[#This Row],[COGS]]</f>
        <v>90000</v>
      </c>
    </row>
    <row r="1630" spans="1:14">
      <c r="A1630" s="1">
        <v>47304</v>
      </c>
      <c r="B1630" t="s">
        <v>29</v>
      </c>
      <c r="C1630" t="s">
        <v>19</v>
      </c>
      <c r="D1630" t="s">
        <v>13</v>
      </c>
      <c r="E1630" t="s">
        <v>14</v>
      </c>
      <c r="F1630" t="s">
        <v>41</v>
      </c>
      <c r="G1630" t="s">
        <v>22</v>
      </c>
      <c r="H1630" s="12">
        <v>220000</v>
      </c>
      <c r="I1630">
        <v>5</v>
      </c>
      <c r="J1630" t="s">
        <v>39</v>
      </c>
      <c r="K1630" s="12">
        <f t="shared" si="25"/>
        <v>176000</v>
      </c>
      <c r="L1630" s="12">
        <f>Sales_Data[[#This Row],[Unit Price]]*Sales_Data[[#This Row],[Quantity]]</f>
        <v>1100000</v>
      </c>
      <c r="M1630" s="12">
        <f>Sales_Data[[#This Row],[Cost Price]]*Sales_Data[[#This Row],[Quantity]]</f>
        <v>880000</v>
      </c>
      <c r="N1630" s="12">
        <f>Sales_Data[[#This Row],[Revenue]]-Sales_Data[[#This Row],[COGS]]</f>
        <v>220000</v>
      </c>
    </row>
    <row r="1631" spans="1:14">
      <c r="A1631" s="1">
        <v>47305</v>
      </c>
      <c r="B1631" t="s">
        <v>29</v>
      </c>
      <c r="C1631" t="s">
        <v>32</v>
      </c>
      <c r="D1631" t="s">
        <v>23</v>
      </c>
      <c r="E1631" t="s">
        <v>20</v>
      </c>
      <c r="F1631" t="s">
        <v>30</v>
      </c>
      <c r="G1631" t="s">
        <v>31</v>
      </c>
      <c r="H1631" s="12">
        <v>300000</v>
      </c>
      <c r="I1631">
        <v>2</v>
      </c>
      <c r="J1631" t="s">
        <v>17</v>
      </c>
      <c r="K1631" s="12">
        <f t="shared" si="25"/>
        <v>240000</v>
      </c>
      <c r="L1631" s="12">
        <f>Sales_Data[[#This Row],[Unit Price]]*Sales_Data[[#This Row],[Quantity]]</f>
        <v>600000</v>
      </c>
      <c r="M1631" s="12">
        <f>Sales_Data[[#This Row],[Cost Price]]*Sales_Data[[#This Row],[Quantity]]</f>
        <v>480000</v>
      </c>
      <c r="N1631" s="12">
        <f>Sales_Data[[#This Row],[Revenue]]-Sales_Data[[#This Row],[COGS]]</f>
        <v>120000</v>
      </c>
    </row>
    <row r="1632" spans="1:14">
      <c r="A1632" s="1">
        <v>47306</v>
      </c>
      <c r="B1632" t="s">
        <v>18</v>
      </c>
      <c r="C1632" t="s">
        <v>12</v>
      </c>
      <c r="D1632" t="s">
        <v>23</v>
      </c>
      <c r="E1632" t="s">
        <v>14</v>
      </c>
      <c r="F1632" t="s">
        <v>30</v>
      </c>
      <c r="G1632" t="s">
        <v>31</v>
      </c>
      <c r="H1632" s="12">
        <v>300000</v>
      </c>
      <c r="I1632">
        <v>6</v>
      </c>
      <c r="J1632" t="s">
        <v>39</v>
      </c>
      <c r="K1632" s="12">
        <f t="shared" si="25"/>
        <v>240000</v>
      </c>
      <c r="L1632" s="12">
        <f>Sales_Data[[#This Row],[Unit Price]]*Sales_Data[[#This Row],[Quantity]]</f>
        <v>1800000</v>
      </c>
      <c r="M1632" s="12">
        <f>Sales_Data[[#This Row],[Cost Price]]*Sales_Data[[#This Row],[Quantity]]</f>
        <v>1440000</v>
      </c>
      <c r="N1632" s="12">
        <f>Sales_Data[[#This Row],[Revenue]]-Sales_Data[[#This Row],[COGS]]</f>
        <v>360000</v>
      </c>
    </row>
    <row r="1633" spans="1:14">
      <c r="A1633" s="1">
        <v>47307</v>
      </c>
      <c r="B1633" t="s">
        <v>29</v>
      </c>
      <c r="C1633" t="s">
        <v>32</v>
      </c>
      <c r="D1633" t="s">
        <v>23</v>
      </c>
      <c r="E1633" t="s">
        <v>14</v>
      </c>
      <c r="F1633" t="s">
        <v>33</v>
      </c>
      <c r="G1633" t="s">
        <v>22</v>
      </c>
      <c r="H1633" s="12">
        <v>180000</v>
      </c>
      <c r="I1633">
        <v>7</v>
      </c>
      <c r="J1633" t="s">
        <v>39</v>
      </c>
      <c r="K1633" s="12">
        <f t="shared" si="25"/>
        <v>144000</v>
      </c>
      <c r="L1633" s="12">
        <f>Sales_Data[[#This Row],[Unit Price]]*Sales_Data[[#This Row],[Quantity]]</f>
        <v>1260000</v>
      </c>
      <c r="M1633" s="12">
        <f>Sales_Data[[#This Row],[Cost Price]]*Sales_Data[[#This Row],[Quantity]]</f>
        <v>1008000</v>
      </c>
      <c r="N1633" s="12">
        <f>Sales_Data[[#This Row],[Revenue]]-Sales_Data[[#This Row],[COGS]]</f>
        <v>252000</v>
      </c>
    </row>
    <row r="1634" spans="1:14">
      <c r="A1634" s="1">
        <v>47308</v>
      </c>
      <c r="B1634" t="s">
        <v>11</v>
      </c>
      <c r="C1634" t="s">
        <v>26</v>
      </c>
      <c r="D1634" t="s">
        <v>23</v>
      </c>
      <c r="E1634" t="s">
        <v>20</v>
      </c>
      <c r="F1634" t="s">
        <v>34</v>
      </c>
      <c r="G1634" t="s">
        <v>16</v>
      </c>
      <c r="H1634" s="12">
        <v>320000</v>
      </c>
      <c r="I1634">
        <v>6</v>
      </c>
      <c r="J1634" t="s">
        <v>17</v>
      </c>
      <c r="K1634" s="12">
        <f t="shared" si="25"/>
        <v>256000</v>
      </c>
      <c r="L1634" s="12">
        <f>Sales_Data[[#This Row],[Unit Price]]*Sales_Data[[#This Row],[Quantity]]</f>
        <v>1920000</v>
      </c>
      <c r="M1634" s="12">
        <f>Sales_Data[[#This Row],[Cost Price]]*Sales_Data[[#This Row],[Quantity]]</f>
        <v>1536000</v>
      </c>
      <c r="N1634" s="12">
        <f>Sales_Data[[#This Row],[Revenue]]-Sales_Data[[#This Row],[COGS]]</f>
        <v>384000</v>
      </c>
    </row>
    <row r="1635" spans="1:14">
      <c r="A1635" s="1">
        <v>47309</v>
      </c>
      <c r="B1635" t="s">
        <v>29</v>
      </c>
      <c r="C1635" t="s">
        <v>19</v>
      </c>
      <c r="D1635" t="s">
        <v>13</v>
      </c>
      <c r="E1635" t="s">
        <v>20</v>
      </c>
      <c r="F1635" t="s">
        <v>40</v>
      </c>
      <c r="G1635" t="s">
        <v>31</v>
      </c>
      <c r="H1635" s="12">
        <v>250000</v>
      </c>
      <c r="I1635">
        <v>5</v>
      </c>
      <c r="J1635" t="s">
        <v>35</v>
      </c>
      <c r="K1635" s="12">
        <f t="shared" si="25"/>
        <v>200000</v>
      </c>
      <c r="L1635" s="12">
        <f>Sales_Data[[#This Row],[Unit Price]]*Sales_Data[[#This Row],[Quantity]]</f>
        <v>1250000</v>
      </c>
      <c r="M1635" s="12">
        <f>Sales_Data[[#This Row],[Cost Price]]*Sales_Data[[#This Row],[Quantity]]</f>
        <v>1000000</v>
      </c>
      <c r="N1635" s="12">
        <f>Sales_Data[[#This Row],[Revenue]]-Sales_Data[[#This Row],[COGS]]</f>
        <v>250000</v>
      </c>
    </row>
    <row r="1636" spans="1:14">
      <c r="A1636" s="1">
        <v>47310</v>
      </c>
      <c r="B1636" t="s">
        <v>11</v>
      </c>
      <c r="C1636" t="s">
        <v>19</v>
      </c>
      <c r="D1636" t="s">
        <v>13</v>
      </c>
      <c r="E1636" t="s">
        <v>14</v>
      </c>
      <c r="F1636" t="s">
        <v>30</v>
      </c>
      <c r="G1636" t="s">
        <v>31</v>
      </c>
      <c r="H1636" s="12">
        <v>300000</v>
      </c>
      <c r="I1636">
        <v>3</v>
      </c>
      <c r="J1636" t="s">
        <v>39</v>
      </c>
      <c r="K1636" s="12">
        <f t="shared" si="25"/>
        <v>240000</v>
      </c>
      <c r="L1636" s="12">
        <f>Sales_Data[[#This Row],[Unit Price]]*Sales_Data[[#This Row],[Quantity]]</f>
        <v>900000</v>
      </c>
      <c r="M1636" s="12">
        <f>Sales_Data[[#This Row],[Cost Price]]*Sales_Data[[#This Row],[Quantity]]</f>
        <v>720000</v>
      </c>
      <c r="N1636" s="12">
        <f>Sales_Data[[#This Row],[Revenue]]-Sales_Data[[#This Row],[COGS]]</f>
        <v>180000</v>
      </c>
    </row>
    <row r="1637" spans="1:14">
      <c r="A1637" s="1">
        <v>47311</v>
      </c>
      <c r="B1637" t="s">
        <v>11</v>
      </c>
      <c r="C1637" t="s">
        <v>32</v>
      </c>
      <c r="D1637" t="s">
        <v>13</v>
      </c>
      <c r="E1637" t="s">
        <v>20</v>
      </c>
      <c r="F1637" t="s">
        <v>33</v>
      </c>
      <c r="G1637" t="s">
        <v>22</v>
      </c>
      <c r="H1637" s="12">
        <v>180000</v>
      </c>
      <c r="I1637">
        <v>8</v>
      </c>
      <c r="J1637" t="s">
        <v>39</v>
      </c>
      <c r="K1637" s="12">
        <f t="shared" si="25"/>
        <v>144000</v>
      </c>
      <c r="L1637" s="12">
        <f>Sales_Data[[#This Row],[Unit Price]]*Sales_Data[[#This Row],[Quantity]]</f>
        <v>1440000</v>
      </c>
      <c r="M1637" s="12">
        <f>Sales_Data[[#This Row],[Cost Price]]*Sales_Data[[#This Row],[Quantity]]</f>
        <v>1152000</v>
      </c>
      <c r="N1637" s="12">
        <f>Sales_Data[[#This Row],[Revenue]]-Sales_Data[[#This Row],[COGS]]</f>
        <v>288000</v>
      </c>
    </row>
    <row r="1638" spans="1:14">
      <c r="A1638" s="1">
        <v>47312</v>
      </c>
      <c r="B1638" t="s">
        <v>18</v>
      </c>
      <c r="C1638" t="s">
        <v>32</v>
      </c>
      <c r="D1638" t="s">
        <v>13</v>
      </c>
      <c r="E1638" t="s">
        <v>20</v>
      </c>
      <c r="F1638" t="s">
        <v>34</v>
      </c>
      <c r="G1638" t="s">
        <v>16</v>
      </c>
      <c r="H1638" s="12">
        <v>320000</v>
      </c>
      <c r="I1638">
        <v>5</v>
      </c>
      <c r="J1638" t="s">
        <v>24</v>
      </c>
      <c r="K1638" s="12">
        <f t="shared" si="25"/>
        <v>256000</v>
      </c>
      <c r="L1638" s="12">
        <f>Sales_Data[[#This Row],[Unit Price]]*Sales_Data[[#This Row],[Quantity]]</f>
        <v>1600000</v>
      </c>
      <c r="M1638" s="12">
        <f>Sales_Data[[#This Row],[Cost Price]]*Sales_Data[[#This Row],[Quantity]]</f>
        <v>1280000</v>
      </c>
      <c r="N1638" s="12">
        <f>Sales_Data[[#This Row],[Revenue]]-Sales_Data[[#This Row],[COGS]]</f>
        <v>320000</v>
      </c>
    </row>
    <row r="1639" spans="1:14">
      <c r="A1639" s="1">
        <v>47313</v>
      </c>
      <c r="B1639" t="s">
        <v>11</v>
      </c>
      <c r="C1639" t="s">
        <v>32</v>
      </c>
      <c r="D1639" t="s">
        <v>13</v>
      </c>
      <c r="E1639" t="s">
        <v>14</v>
      </c>
      <c r="F1639" t="s">
        <v>40</v>
      </c>
      <c r="G1639" t="s">
        <v>31</v>
      </c>
      <c r="H1639" s="12">
        <v>250000</v>
      </c>
      <c r="I1639">
        <v>7</v>
      </c>
      <c r="J1639" t="s">
        <v>24</v>
      </c>
      <c r="K1639" s="12">
        <f t="shared" si="25"/>
        <v>200000</v>
      </c>
      <c r="L1639" s="12">
        <f>Sales_Data[[#This Row],[Unit Price]]*Sales_Data[[#This Row],[Quantity]]</f>
        <v>1750000</v>
      </c>
      <c r="M1639" s="12">
        <f>Sales_Data[[#This Row],[Cost Price]]*Sales_Data[[#This Row],[Quantity]]</f>
        <v>1400000</v>
      </c>
      <c r="N1639" s="12">
        <f>Sales_Data[[#This Row],[Revenue]]-Sales_Data[[#This Row],[COGS]]</f>
        <v>350000</v>
      </c>
    </row>
    <row r="1640" spans="1:14">
      <c r="A1640" s="1">
        <v>47314</v>
      </c>
      <c r="B1640" t="s">
        <v>11</v>
      </c>
      <c r="C1640" t="s">
        <v>19</v>
      </c>
      <c r="D1640" t="s">
        <v>13</v>
      </c>
      <c r="E1640" t="s">
        <v>20</v>
      </c>
      <c r="F1640" t="s">
        <v>30</v>
      </c>
      <c r="G1640" t="s">
        <v>31</v>
      </c>
      <c r="H1640" s="12">
        <v>300000</v>
      </c>
      <c r="I1640">
        <v>8</v>
      </c>
      <c r="J1640" t="s">
        <v>17</v>
      </c>
      <c r="K1640" s="12">
        <f t="shared" si="25"/>
        <v>240000</v>
      </c>
      <c r="L1640" s="12">
        <f>Sales_Data[[#This Row],[Unit Price]]*Sales_Data[[#This Row],[Quantity]]</f>
        <v>2400000</v>
      </c>
      <c r="M1640" s="12">
        <f>Sales_Data[[#This Row],[Cost Price]]*Sales_Data[[#This Row],[Quantity]]</f>
        <v>1920000</v>
      </c>
      <c r="N1640" s="12">
        <f>Sales_Data[[#This Row],[Revenue]]-Sales_Data[[#This Row],[COGS]]</f>
        <v>480000</v>
      </c>
    </row>
    <row r="1641" spans="1:14">
      <c r="A1641" s="1">
        <v>47315</v>
      </c>
      <c r="B1641" t="s">
        <v>11</v>
      </c>
      <c r="C1641" t="s">
        <v>19</v>
      </c>
      <c r="D1641" t="s">
        <v>23</v>
      </c>
      <c r="E1641" t="s">
        <v>14</v>
      </c>
      <c r="F1641" t="s">
        <v>38</v>
      </c>
      <c r="G1641" t="s">
        <v>31</v>
      </c>
      <c r="H1641" s="12">
        <v>420000</v>
      </c>
      <c r="I1641">
        <v>4</v>
      </c>
      <c r="J1641" t="s">
        <v>39</v>
      </c>
      <c r="K1641" s="12">
        <f t="shared" si="25"/>
        <v>336000</v>
      </c>
      <c r="L1641" s="12">
        <f>Sales_Data[[#This Row],[Unit Price]]*Sales_Data[[#This Row],[Quantity]]</f>
        <v>1680000</v>
      </c>
      <c r="M1641" s="12">
        <f>Sales_Data[[#This Row],[Cost Price]]*Sales_Data[[#This Row],[Quantity]]</f>
        <v>1344000</v>
      </c>
      <c r="N1641" s="12">
        <f>Sales_Data[[#This Row],[Revenue]]-Sales_Data[[#This Row],[COGS]]</f>
        <v>336000</v>
      </c>
    </row>
    <row r="1642" spans="1:14">
      <c r="A1642" s="1">
        <v>47316</v>
      </c>
      <c r="B1642" t="s">
        <v>11</v>
      </c>
      <c r="C1642" t="s">
        <v>12</v>
      </c>
      <c r="D1642" t="s">
        <v>23</v>
      </c>
      <c r="E1642" t="s">
        <v>20</v>
      </c>
      <c r="F1642" t="s">
        <v>40</v>
      </c>
      <c r="G1642" t="s">
        <v>31</v>
      </c>
      <c r="H1642" s="12">
        <v>250000</v>
      </c>
      <c r="I1642">
        <v>6</v>
      </c>
      <c r="J1642" t="s">
        <v>28</v>
      </c>
      <c r="K1642" s="12">
        <f t="shared" si="25"/>
        <v>200000</v>
      </c>
      <c r="L1642" s="12">
        <f>Sales_Data[[#This Row],[Unit Price]]*Sales_Data[[#This Row],[Quantity]]</f>
        <v>1500000</v>
      </c>
      <c r="M1642" s="12">
        <f>Sales_Data[[#This Row],[Cost Price]]*Sales_Data[[#This Row],[Quantity]]</f>
        <v>1200000</v>
      </c>
      <c r="N1642" s="12">
        <f>Sales_Data[[#This Row],[Revenue]]-Sales_Data[[#This Row],[COGS]]</f>
        <v>300000</v>
      </c>
    </row>
    <row r="1643" spans="1:14">
      <c r="A1643" s="1">
        <v>47317</v>
      </c>
      <c r="B1643" t="s">
        <v>18</v>
      </c>
      <c r="C1643" t="s">
        <v>32</v>
      </c>
      <c r="D1643" t="s">
        <v>13</v>
      </c>
      <c r="E1643" t="s">
        <v>14</v>
      </c>
      <c r="F1643" t="s">
        <v>36</v>
      </c>
      <c r="G1643" t="s">
        <v>31</v>
      </c>
      <c r="H1643" s="12">
        <v>150000</v>
      </c>
      <c r="I1643">
        <v>3</v>
      </c>
      <c r="J1643" t="s">
        <v>28</v>
      </c>
      <c r="K1643" s="12">
        <f t="shared" si="25"/>
        <v>120000</v>
      </c>
      <c r="L1643" s="12">
        <f>Sales_Data[[#This Row],[Unit Price]]*Sales_Data[[#This Row],[Quantity]]</f>
        <v>450000</v>
      </c>
      <c r="M1643" s="12">
        <f>Sales_Data[[#This Row],[Cost Price]]*Sales_Data[[#This Row],[Quantity]]</f>
        <v>360000</v>
      </c>
      <c r="N1643" s="12">
        <f>Sales_Data[[#This Row],[Revenue]]-Sales_Data[[#This Row],[COGS]]</f>
        <v>90000</v>
      </c>
    </row>
    <row r="1644" spans="1:14">
      <c r="A1644" s="1">
        <v>47318</v>
      </c>
      <c r="B1644" t="s">
        <v>29</v>
      </c>
      <c r="C1644" t="s">
        <v>12</v>
      </c>
      <c r="D1644" t="s">
        <v>23</v>
      </c>
      <c r="E1644" t="s">
        <v>20</v>
      </c>
      <c r="F1644" t="s">
        <v>30</v>
      </c>
      <c r="G1644" t="s">
        <v>31</v>
      </c>
      <c r="H1644" s="12">
        <v>300000</v>
      </c>
      <c r="I1644">
        <v>6</v>
      </c>
      <c r="J1644" t="s">
        <v>37</v>
      </c>
      <c r="K1644" s="12">
        <f t="shared" si="25"/>
        <v>240000</v>
      </c>
      <c r="L1644" s="12">
        <f>Sales_Data[[#This Row],[Unit Price]]*Sales_Data[[#This Row],[Quantity]]</f>
        <v>1800000</v>
      </c>
      <c r="M1644" s="12">
        <f>Sales_Data[[#This Row],[Cost Price]]*Sales_Data[[#This Row],[Quantity]]</f>
        <v>1440000</v>
      </c>
      <c r="N1644" s="12">
        <f>Sales_Data[[#This Row],[Revenue]]-Sales_Data[[#This Row],[COGS]]</f>
        <v>360000</v>
      </c>
    </row>
    <row r="1645" spans="1:14">
      <c r="A1645" s="1">
        <v>47319</v>
      </c>
      <c r="B1645" t="s">
        <v>25</v>
      </c>
      <c r="C1645" t="s">
        <v>12</v>
      </c>
      <c r="D1645" t="s">
        <v>13</v>
      </c>
      <c r="E1645" t="s">
        <v>20</v>
      </c>
      <c r="F1645" t="s">
        <v>33</v>
      </c>
      <c r="G1645" t="s">
        <v>22</v>
      </c>
      <c r="H1645" s="12">
        <v>180000</v>
      </c>
      <c r="I1645">
        <v>2</v>
      </c>
      <c r="J1645" t="s">
        <v>28</v>
      </c>
      <c r="K1645" s="12">
        <f t="shared" si="25"/>
        <v>144000</v>
      </c>
      <c r="L1645" s="12">
        <f>Sales_Data[[#This Row],[Unit Price]]*Sales_Data[[#This Row],[Quantity]]</f>
        <v>360000</v>
      </c>
      <c r="M1645" s="12">
        <f>Sales_Data[[#This Row],[Cost Price]]*Sales_Data[[#This Row],[Quantity]]</f>
        <v>288000</v>
      </c>
      <c r="N1645" s="12">
        <f>Sales_Data[[#This Row],[Revenue]]-Sales_Data[[#This Row],[COGS]]</f>
        <v>72000</v>
      </c>
    </row>
    <row r="1646" spans="1:14">
      <c r="A1646" s="1">
        <v>47320</v>
      </c>
      <c r="B1646" t="s">
        <v>18</v>
      </c>
      <c r="C1646" t="s">
        <v>19</v>
      </c>
      <c r="D1646" t="s">
        <v>23</v>
      </c>
      <c r="E1646" t="s">
        <v>20</v>
      </c>
      <c r="F1646" t="s">
        <v>36</v>
      </c>
      <c r="G1646" t="s">
        <v>31</v>
      </c>
      <c r="H1646" s="12">
        <v>150000</v>
      </c>
      <c r="I1646">
        <v>6</v>
      </c>
      <c r="J1646" t="s">
        <v>24</v>
      </c>
      <c r="K1646" s="12">
        <f t="shared" si="25"/>
        <v>120000</v>
      </c>
      <c r="L1646" s="12">
        <f>Sales_Data[[#This Row],[Unit Price]]*Sales_Data[[#This Row],[Quantity]]</f>
        <v>900000</v>
      </c>
      <c r="M1646" s="12">
        <f>Sales_Data[[#This Row],[Cost Price]]*Sales_Data[[#This Row],[Quantity]]</f>
        <v>720000</v>
      </c>
      <c r="N1646" s="12">
        <f>Sales_Data[[#This Row],[Revenue]]-Sales_Data[[#This Row],[COGS]]</f>
        <v>180000</v>
      </c>
    </row>
    <row r="1647" spans="1:14">
      <c r="A1647" s="1">
        <v>47321</v>
      </c>
      <c r="B1647" t="s">
        <v>25</v>
      </c>
      <c r="C1647" t="s">
        <v>26</v>
      </c>
      <c r="D1647" t="s">
        <v>13</v>
      </c>
      <c r="E1647" t="s">
        <v>20</v>
      </c>
      <c r="F1647" t="s">
        <v>27</v>
      </c>
      <c r="G1647" t="s">
        <v>22</v>
      </c>
      <c r="H1647" s="12">
        <v>60000</v>
      </c>
      <c r="I1647">
        <v>8</v>
      </c>
      <c r="J1647" t="s">
        <v>37</v>
      </c>
      <c r="K1647" s="12">
        <f t="shared" si="25"/>
        <v>48000</v>
      </c>
      <c r="L1647" s="12">
        <f>Sales_Data[[#This Row],[Unit Price]]*Sales_Data[[#This Row],[Quantity]]</f>
        <v>480000</v>
      </c>
      <c r="M1647" s="12">
        <f>Sales_Data[[#This Row],[Cost Price]]*Sales_Data[[#This Row],[Quantity]]</f>
        <v>384000</v>
      </c>
      <c r="N1647" s="12">
        <f>Sales_Data[[#This Row],[Revenue]]-Sales_Data[[#This Row],[COGS]]</f>
        <v>96000</v>
      </c>
    </row>
    <row r="1648" spans="1:14">
      <c r="A1648" s="1">
        <v>47322</v>
      </c>
      <c r="B1648" t="s">
        <v>11</v>
      </c>
      <c r="C1648" t="s">
        <v>19</v>
      </c>
      <c r="D1648" t="s">
        <v>13</v>
      </c>
      <c r="E1648" t="s">
        <v>20</v>
      </c>
      <c r="F1648" t="s">
        <v>41</v>
      </c>
      <c r="G1648" t="s">
        <v>22</v>
      </c>
      <c r="H1648" s="12">
        <v>220000</v>
      </c>
      <c r="I1648">
        <v>9</v>
      </c>
      <c r="J1648" t="s">
        <v>28</v>
      </c>
      <c r="K1648" s="12">
        <f t="shared" si="25"/>
        <v>176000</v>
      </c>
      <c r="L1648" s="12">
        <f>Sales_Data[[#This Row],[Unit Price]]*Sales_Data[[#This Row],[Quantity]]</f>
        <v>1980000</v>
      </c>
      <c r="M1648" s="12">
        <f>Sales_Data[[#This Row],[Cost Price]]*Sales_Data[[#This Row],[Quantity]]</f>
        <v>1584000</v>
      </c>
      <c r="N1648" s="12">
        <f>Sales_Data[[#This Row],[Revenue]]-Sales_Data[[#This Row],[COGS]]</f>
        <v>396000</v>
      </c>
    </row>
    <row r="1649" spans="1:14">
      <c r="A1649" s="1">
        <v>47323</v>
      </c>
      <c r="B1649" t="s">
        <v>29</v>
      </c>
      <c r="C1649" t="s">
        <v>32</v>
      </c>
      <c r="D1649" t="s">
        <v>23</v>
      </c>
      <c r="E1649" t="s">
        <v>14</v>
      </c>
      <c r="F1649" t="s">
        <v>30</v>
      </c>
      <c r="G1649" t="s">
        <v>31</v>
      </c>
      <c r="H1649" s="12">
        <v>300000</v>
      </c>
      <c r="I1649">
        <v>9</v>
      </c>
      <c r="J1649" t="s">
        <v>35</v>
      </c>
      <c r="K1649" s="12">
        <f t="shared" si="25"/>
        <v>240000</v>
      </c>
      <c r="L1649" s="12">
        <f>Sales_Data[[#This Row],[Unit Price]]*Sales_Data[[#This Row],[Quantity]]</f>
        <v>2700000</v>
      </c>
      <c r="M1649" s="12">
        <f>Sales_Data[[#This Row],[Cost Price]]*Sales_Data[[#This Row],[Quantity]]</f>
        <v>2160000</v>
      </c>
      <c r="N1649" s="12">
        <f>Sales_Data[[#This Row],[Revenue]]-Sales_Data[[#This Row],[COGS]]</f>
        <v>540000</v>
      </c>
    </row>
    <row r="1650" spans="1:14">
      <c r="A1650" s="1">
        <v>47324</v>
      </c>
      <c r="B1650" t="s">
        <v>11</v>
      </c>
      <c r="C1650" t="s">
        <v>32</v>
      </c>
      <c r="D1650" t="s">
        <v>13</v>
      </c>
      <c r="E1650" t="s">
        <v>14</v>
      </c>
      <c r="F1650" t="s">
        <v>38</v>
      </c>
      <c r="G1650" t="s">
        <v>31</v>
      </c>
      <c r="H1650" s="12">
        <v>420000</v>
      </c>
      <c r="I1650">
        <v>1</v>
      </c>
      <c r="J1650" t="s">
        <v>37</v>
      </c>
      <c r="K1650" s="12">
        <f t="shared" si="25"/>
        <v>336000</v>
      </c>
      <c r="L1650" s="12">
        <f>Sales_Data[[#This Row],[Unit Price]]*Sales_Data[[#This Row],[Quantity]]</f>
        <v>420000</v>
      </c>
      <c r="M1650" s="12">
        <f>Sales_Data[[#This Row],[Cost Price]]*Sales_Data[[#This Row],[Quantity]]</f>
        <v>336000</v>
      </c>
      <c r="N1650" s="12">
        <f>Sales_Data[[#This Row],[Revenue]]-Sales_Data[[#This Row],[COGS]]</f>
        <v>84000</v>
      </c>
    </row>
    <row r="1651" spans="1:14">
      <c r="A1651" s="1">
        <v>47325</v>
      </c>
      <c r="B1651" t="s">
        <v>25</v>
      </c>
      <c r="C1651" t="s">
        <v>32</v>
      </c>
      <c r="D1651" t="s">
        <v>13</v>
      </c>
      <c r="E1651" t="s">
        <v>20</v>
      </c>
      <c r="F1651" t="s">
        <v>41</v>
      </c>
      <c r="G1651" t="s">
        <v>22</v>
      </c>
      <c r="H1651" s="12">
        <v>220000</v>
      </c>
      <c r="I1651">
        <v>6</v>
      </c>
      <c r="J1651" t="s">
        <v>35</v>
      </c>
      <c r="K1651" s="12">
        <f t="shared" si="25"/>
        <v>176000</v>
      </c>
      <c r="L1651" s="12">
        <f>Sales_Data[[#This Row],[Unit Price]]*Sales_Data[[#This Row],[Quantity]]</f>
        <v>1320000</v>
      </c>
      <c r="M1651" s="12">
        <f>Sales_Data[[#This Row],[Cost Price]]*Sales_Data[[#This Row],[Quantity]]</f>
        <v>1056000</v>
      </c>
      <c r="N1651" s="12">
        <f>Sales_Data[[#This Row],[Revenue]]-Sales_Data[[#This Row],[COGS]]</f>
        <v>264000</v>
      </c>
    </row>
    <row r="1652" spans="1:14">
      <c r="A1652" s="1">
        <v>47326</v>
      </c>
      <c r="B1652" t="s">
        <v>11</v>
      </c>
      <c r="C1652" t="s">
        <v>19</v>
      </c>
      <c r="D1652" t="s">
        <v>13</v>
      </c>
      <c r="E1652" t="s">
        <v>20</v>
      </c>
      <c r="F1652" t="s">
        <v>21</v>
      </c>
      <c r="G1652" t="s">
        <v>22</v>
      </c>
      <c r="H1652" s="12">
        <v>30000</v>
      </c>
      <c r="I1652">
        <v>5</v>
      </c>
      <c r="J1652" t="s">
        <v>28</v>
      </c>
      <c r="K1652" s="12">
        <f t="shared" si="25"/>
        <v>24000</v>
      </c>
      <c r="L1652" s="12">
        <f>Sales_Data[[#This Row],[Unit Price]]*Sales_Data[[#This Row],[Quantity]]</f>
        <v>150000</v>
      </c>
      <c r="M1652" s="12">
        <f>Sales_Data[[#This Row],[Cost Price]]*Sales_Data[[#This Row],[Quantity]]</f>
        <v>120000</v>
      </c>
      <c r="N1652" s="12">
        <f>Sales_Data[[#This Row],[Revenue]]-Sales_Data[[#This Row],[COGS]]</f>
        <v>30000</v>
      </c>
    </row>
    <row r="1653" spans="1:14">
      <c r="A1653" s="1">
        <v>47327</v>
      </c>
      <c r="B1653" t="s">
        <v>29</v>
      </c>
      <c r="C1653" t="s">
        <v>26</v>
      </c>
      <c r="D1653" t="s">
        <v>23</v>
      </c>
      <c r="E1653" t="s">
        <v>14</v>
      </c>
      <c r="F1653" t="s">
        <v>21</v>
      </c>
      <c r="G1653" t="s">
        <v>22</v>
      </c>
      <c r="H1653" s="12">
        <v>30000</v>
      </c>
      <c r="I1653">
        <v>9</v>
      </c>
      <c r="J1653" t="s">
        <v>28</v>
      </c>
      <c r="K1653" s="12">
        <f t="shared" si="25"/>
        <v>24000</v>
      </c>
      <c r="L1653" s="12">
        <f>Sales_Data[[#This Row],[Unit Price]]*Sales_Data[[#This Row],[Quantity]]</f>
        <v>270000</v>
      </c>
      <c r="M1653" s="12">
        <f>Sales_Data[[#This Row],[Cost Price]]*Sales_Data[[#This Row],[Quantity]]</f>
        <v>216000</v>
      </c>
      <c r="N1653" s="12">
        <f>Sales_Data[[#This Row],[Revenue]]-Sales_Data[[#This Row],[COGS]]</f>
        <v>54000</v>
      </c>
    </row>
    <row r="1654" spans="1:14">
      <c r="A1654" s="1">
        <v>47328</v>
      </c>
      <c r="B1654" t="s">
        <v>25</v>
      </c>
      <c r="C1654" t="s">
        <v>12</v>
      </c>
      <c r="D1654" t="s">
        <v>13</v>
      </c>
      <c r="E1654" t="s">
        <v>14</v>
      </c>
      <c r="F1654" t="s">
        <v>40</v>
      </c>
      <c r="G1654" t="s">
        <v>31</v>
      </c>
      <c r="H1654" s="12">
        <v>250000</v>
      </c>
      <c r="I1654">
        <v>1</v>
      </c>
      <c r="J1654" t="s">
        <v>35</v>
      </c>
      <c r="K1654" s="12">
        <f t="shared" si="25"/>
        <v>200000</v>
      </c>
      <c r="L1654" s="12">
        <f>Sales_Data[[#This Row],[Unit Price]]*Sales_Data[[#This Row],[Quantity]]</f>
        <v>250000</v>
      </c>
      <c r="M1654" s="12">
        <f>Sales_Data[[#This Row],[Cost Price]]*Sales_Data[[#This Row],[Quantity]]</f>
        <v>200000</v>
      </c>
      <c r="N1654" s="12">
        <f>Sales_Data[[#This Row],[Revenue]]-Sales_Data[[#This Row],[COGS]]</f>
        <v>50000</v>
      </c>
    </row>
    <row r="1655" spans="1:14">
      <c r="A1655" s="1">
        <v>47329</v>
      </c>
      <c r="B1655" t="s">
        <v>25</v>
      </c>
      <c r="C1655" t="s">
        <v>32</v>
      </c>
      <c r="D1655" t="s">
        <v>13</v>
      </c>
      <c r="E1655" t="s">
        <v>14</v>
      </c>
      <c r="F1655" t="s">
        <v>41</v>
      </c>
      <c r="G1655" t="s">
        <v>22</v>
      </c>
      <c r="H1655" s="12">
        <v>220000</v>
      </c>
      <c r="I1655">
        <v>8</v>
      </c>
      <c r="J1655" t="s">
        <v>24</v>
      </c>
      <c r="K1655" s="12">
        <f t="shared" si="25"/>
        <v>176000</v>
      </c>
      <c r="L1655" s="12">
        <f>Sales_Data[[#This Row],[Unit Price]]*Sales_Data[[#This Row],[Quantity]]</f>
        <v>1760000</v>
      </c>
      <c r="M1655" s="12">
        <f>Sales_Data[[#This Row],[Cost Price]]*Sales_Data[[#This Row],[Quantity]]</f>
        <v>1408000</v>
      </c>
      <c r="N1655" s="12">
        <f>Sales_Data[[#This Row],[Revenue]]-Sales_Data[[#This Row],[COGS]]</f>
        <v>352000</v>
      </c>
    </row>
    <row r="1656" spans="1:14">
      <c r="A1656" s="1">
        <v>47330</v>
      </c>
      <c r="B1656" t="s">
        <v>18</v>
      </c>
      <c r="C1656" t="s">
        <v>19</v>
      </c>
      <c r="D1656" t="s">
        <v>13</v>
      </c>
      <c r="E1656" t="s">
        <v>14</v>
      </c>
      <c r="F1656" t="s">
        <v>38</v>
      </c>
      <c r="G1656" t="s">
        <v>31</v>
      </c>
      <c r="H1656" s="12">
        <v>420000</v>
      </c>
      <c r="I1656">
        <v>8</v>
      </c>
      <c r="J1656" t="s">
        <v>39</v>
      </c>
      <c r="K1656" s="12">
        <f t="shared" si="25"/>
        <v>336000</v>
      </c>
      <c r="L1656" s="12">
        <f>Sales_Data[[#This Row],[Unit Price]]*Sales_Data[[#This Row],[Quantity]]</f>
        <v>3360000</v>
      </c>
      <c r="M1656" s="12">
        <f>Sales_Data[[#This Row],[Cost Price]]*Sales_Data[[#This Row],[Quantity]]</f>
        <v>2688000</v>
      </c>
      <c r="N1656" s="12">
        <f>Sales_Data[[#This Row],[Revenue]]-Sales_Data[[#This Row],[COGS]]</f>
        <v>672000</v>
      </c>
    </row>
    <row r="1657" spans="1:14">
      <c r="A1657" s="1">
        <v>47331</v>
      </c>
      <c r="B1657" t="s">
        <v>29</v>
      </c>
      <c r="C1657" t="s">
        <v>26</v>
      </c>
      <c r="D1657" t="s">
        <v>13</v>
      </c>
      <c r="E1657" t="s">
        <v>14</v>
      </c>
      <c r="F1657" t="s">
        <v>30</v>
      </c>
      <c r="G1657" t="s">
        <v>31</v>
      </c>
      <c r="H1657" s="12">
        <v>300000</v>
      </c>
      <c r="I1657">
        <v>10</v>
      </c>
      <c r="J1657" t="s">
        <v>35</v>
      </c>
      <c r="K1657" s="12">
        <f t="shared" si="25"/>
        <v>240000</v>
      </c>
      <c r="L1657" s="12">
        <f>Sales_Data[[#This Row],[Unit Price]]*Sales_Data[[#This Row],[Quantity]]</f>
        <v>3000000</v>
      </c>
      <c r="M1657" s="12">
        <f>Sales_Data[[#This Row],[Cost Price]]*Sales_Data[[#This Row],[Quantity]]</f>
        <v>2400000</v>
      </c>
      <c r="N1657" s="12">
        <f>Sales_Data[[#This Row],[Revenue]]-Sales_Data[[#This Row],[COGS]]</f>
        <v>600000</v>
      </c>
    </row>
    <row r="1658" spans="1:14">
      <c r="A1658" s="1">
        <v>47332</v>
      </c>
      <c r="B1658" t="s">
        <v>29</v>
      </c>
      <c r="C1658" t="s">
        <v>32</v>
      </c>
      <c r="D1658" t="s">
        <v>13</v>
      </c>
      <c r="E1658" t="s">
        <v>14</v>
      </c>
      <c r="F1658" t="s">
        <v>36</v>
      </c>
      <c r="G1658" t="s">
        <v>31</v>
      </c>
      <c r="H1658" s="12">
        <v>150000</v>
      </c>
      <c r="I1658">
        <v>1</v>
      </c>
      <c r="J1658" t="s">
        <v>35</v>
      </c>
      <c r="K1658" s="12">
        <f t="shared" si="25"/>
        <v>120000</v>
      </c>
      <c r="L1658" s="12">
        <f>Sales_Data[[#This Row],[Unit Price]]*Sales_Data[[#This Row],[Quantity]]</f>
        <v>150000</v>
      </c>
      <c r="M1658" s="12">
        <f>Sales_Data[[#This Row],[Cost Price]]*Sales_Data[[#This Row],[Quantity]]</f>
        <v>120000</v>
      </c>
      <c r="N1658" s="12">
        <f>Sales_Data[[#This Row],[Revenue]]-Sales_Data[[#This Row],[COGS]]</f>
        <v>30000</v>
      </c>
    </row>
    <row r="1659" spans="1:14">
      <c r="A1659" s="1">
        <v>47333</v>
      </c>
      <c r="B1659" t="s">
        <v>29</v>
      </c>
      <c r="C1659" t="s">
        <v>32</v>
      </c>
      <c r="D1659" t="s">
        <v>13</v>
      </c>
      <c r="E1659" t="s">
        <v>20</v>
      </c>
      <c r="F1659" t="s">
        <v>41</v>
      </c>
      <c r="G1659" t="s">
        <v>22</v>
      </c>
      <c r="H1659" s="12">
        <v>220000</v>
      </c>
      <c r="I1659">
        <v>6</v>
      </c>
      <c r="J1659" t="s">
        <v>28</v>
      </c>
      <c r="K1659" s="12">
        <f t="shared" si="25"/>
        <v>176000</v>
      </c>
      <c r="L1659" s="12">
        <f>Sales_Data[[#This Row],[Unit Price]]*Sales_Data[[#This Row],[Quantity]]</f>
        <v>1320000</v>
      </c>
      <c r="M1659" s="12">
        <f>Sales_Data[[#This Row],[Cost Price]]*Sales_Data[[#This Row],[Quantity]]</f>
        <v>1056000</v>
      </c>
      <c r="N1659" s="12">
        <f>Sales_Data[[#This Row],[Revenue]]-Sales_Data[[#This Row],[COGS]]</f>
        <v>264000</v>
      </c>
    </row>
    <row r="1660" spans="1:14">
      <c r="A1660" s="1">
        <v>47334</v>
      </c>
      <c r="B1660" t="s">
        <v>29</v>
      </c>
      <c r="C1660" t="s">
        <v>19</v>
      </c>
      <c r="D1660" t="s">
        <v>23</v>
      </c>
      <c r="E1660" t="s">
        <v>14</v>
      </c>
      <c r="F1660" t="s">
        <v>33</v>
      </c>
      <c r="G1660" t="s">
        <v>22</v>
      </c>
      <c r="H1660" s="12">
        <v>180000</v>
      </c>
      <c r="I1660">
        <v>3</v>
      </c>
      <c r="J1660" t="s">
        <v>39</v>
      </c>
      <c r="K1660" s="12">
        <f t="shared" si="25"/>
        <v>144000</v>
      </c>
      <c r="L1660" s="12">
        <f>Sales_Data[[#This Row],[Unit Price]]*Sales_Data[[#This Row],[Quantity]]</f>
        <v>540000</v>
      </c>
      <c r="M1660" s="12">
        <f>Sales_Data[[#This Row],[Cost Price]]*Sales_Data[[#This Row],[Quantity]]</f>
        <v>432000</v>
      </c>
      <c r="N1660" s="12">
        <f>Sales_Data[[#This Row],[Revenue]]-Sales_Data[[#This Row],[COGS]]</f>
        <v>108000</v>
      </c>
    </row>
    <row r="1661" spans="1:14">
      <c r="A1661" s="1">
        <v>47335</v>
      </c>
      <c r="B1661" t="s">
        <v>29</v>
      </c>
      <c r="C1661" t="s">
        <v>12</v>
      </c>
      <c r="D1661" t="s">
        <v>13</v>
      </c>
      <c r="E1661" t="s">
        <v>20</v>
      </c>
      <c r="F1661" t="s">
        <v>27</v>
      </c>
      <c r="G1661" t="s">
        <v>22</v>
      </c>
      <c r="H1661" s="12">
        <v>60000</v>
      </c>
      <c r="I1661">
        <v>10</v>
      </c>
      <c r="J1661" t="s">
        <v>35</v>
      </c>
      <c r="K1661" s="12">
        <f t="shared" si="25"/>
        <v>48000</v>
      </c>
      <c r="L1661" s="12">
        <f>Sales_Data[[#This Row],[Unit Price]]*Sales_Data[[#This Row],[Quantity]]</f>
        <v>600000</v>
      </c>
      <c r="M1661" s="12">
        <f>Sales_Data[[#This Row],[Cost Price]]*Sales_Data[[#This Row],[Quantity]]</f>
        <v>480000</v>
      </c>
      <c r="N1661" s="12">
        <f>Sales_Data[[#This Row],[Revenue]]-Sales_Data[[#This Row],[COGS]]</f>
        <v>120000</v>
      </c>
    </row>
    <row r="1662" spans="1:14">
      <c r="A1662" s="1">
        <v>47336</v>
      </c>
      <c r="B1662" t="s">
        <v>25</v>
      </c>
      <c r="C1662" t="s">
        <v>12</v>
      </c>
      <c r="D1662" t="s">
        <v>23</v>
      </c>
      <c r="E1662" t="s">
        <v>14</v>
      </c>
      <c r="F1662" t="s">
        <v>41</v>
      </c>
      <c r="G1662" t="s">
        <v>22</v>
      </c>
      <c r="H1662" s="12">
        <v>220000</v>
      </c>
      <c r="I1662">
        <v>1</v>
      </c>
      <c r="J1662" t="s">
        <v>37</v>
      </c>
      <c r="K1662" s="12">
        <f t="shared" si="25"/>
        <v>176000</v>
      </c>
      <c r="L1662" s="12">
        <f>Sales_Data[[#This Row],[Unit Price]]*Sales_Data[[#This Row],[Quantity]]</f>
        <v>220000</v>
      </c>
      <c r="M1662" s="12">
        <f>Sales_Data[[#This Row],[Cost Price]]*Sales_Data[[#This Row],[Quantity]]</f>
        <v>176000</v>
      </c>
      <c r="N1662" s="12">
        <f>Sales_Data[[#This Row],[Revenue]]-Sales_Data[[#This Row],[COGS]]</f>
        <v>44000</v>
      </c>
    </row>
    <row r="1663" spans="1:14">
      <c r="A1663" s="1">
        <v>47337</v>
      </c>
      <c r="B1663" t="s">
        <v>29</v>
      </c>
      <c r="C1663" t="s">
        <v>26</v>
      </c>
      <c r="D1663" t="s">
        <v>13</v>
      </c>
      <c r="E1663" t="s">
        <v>20</v>
      </c>
      <c r="F1663" t="s">
        <v>40</v>
      </c>
      <c r="G1663" t="s">
        <v>31</v>
      </c>
      <c r="H1663" s="12">
        <v>250000</v>
      </c>
      <c r="I1663">
        <v>5</v>
      </c>
      <c r="J1663" t="s">
        <v>28</v>
      </c>
      <c r="K1663" s="12">
        <f t="shared" si="25"/>
        <v>200000</v>
      </c>
      <c r="L1663" s="12">
        <f>Sales_Data[[#This Row],[Unit Price]]*Sales_Data[[#This Row],[Quantity]]</f>
        <v>1250000</v>
      </c>
      <c r="M1663" s="12">
        <f>Sales_Data[[#This Row],[Cost Price]]*Sales_Data[[#This Row],[Quantity]]</f>
        <v>1000000</v>
      </c>
      <c r="N1663" s="12">
        <f>Sales_Data[[#This Row],[Revenue]]-Sales_Data[[#This Row],[COGS]]</f>
        <v>250000</v>
      </c>
    </row>
    <row r="1664" spans="1:14">
      <c r="A1664" s="1">
        <v>47338</v>
      </c>
      <c r="B1664" t="s">
        <v>25</v>
      </c>
      <c r="C1664" t="s">
        <v>19</v>
      </c>
      <c r="D1664" t="s">
        <v>23</v>
      </c>
      <c r="E1664" t="s">
        <v>20</v>
      </c>
      <c r="F1664" t="s">
        <v>40</v>
      </c>
      <c r="G1664" t="s">
        <v>31</v>
      </c>
      <c r="H1664" s="12">
        <v>250000</v>
      </c>
      <c r="I1664">
        <v>8</v>
      </c>
      <c r="J1664" t="s">
        <v>35</v>
      </c>
      <c r="K1664" s="12">
        <f t="shared" si="25"/>
        <v>200000</v>
      </c>
      <c r="L1664" s="12">
        <f>Sales_Data[[#This Row],[Unit Price]]*Sales_Data[[#This Row],[Quantity]]</f>
        <v>2000000</v>
      </c>
      <c r="M1664" s="12">
        <f>Sales_Data[[#This Row],[Cost Price]]*Sales_Data[[#This Row],[Quantity]]</f>
        <v>1600000</v>
      </c>
      <c r="N1664" s="12">
        <f>Sales_Data[[#This Row],[Revenue]]-Sales_Data[[#This Row],[COGS]]</f>
        <v>400000</v>
      </c>
    </row>
    <row r="1665" spans="1:14">
      <c r="A1665" s="1">
        <v>47339</v>
      </c>
      <c r="B1665" t="s">
        <v>11</v>
      </c>
      <c r="C1665" t="s">
        <v>32</v>
      </c>
      <c r="D1665" t="s">
        <v>23</v>
      </c>
      <c r="E1665" t="s">
        <v>14</v>
      </c>
      <c r="F1665" t="s">
        <v>36</v>
      </c>
      <c r="G1665" t="s">
        <v>31</v>
      </c>
      <c r="H1665" s="12">
        <v>150000</v>
      </c>
      <c r="I1665">
        <v>4</v>
      </c>
      <c r="J1665" t="s">
        <v>24</v>
      </c>
      <c r="K1665" s="12">
        <f t="shared" si="25"/>
        <v>120000</v>
      </c>
      <c r="L1665" s="12">
        <f>Sales_Data[[#This Row],[Unit Price]]*Sales_Data[[#This Row],[Quantity]]</f>
        <v>600000</v>
      </c>
      <c r="M1665" s="12">
        <f>Sales_Data[[#This Row],[Cost Price]]*Sales_Data[[#This Row],[Quantity]]</f>
        <v>480000</v>
      </c>
      <c r="N1665" s="12">
        <f>Sales_Data[[#This Row],[Revenue]]-Sales_Data[[#This Row],[COGS]]</f>
        <v>120000</v>
      </c>
    </row>
    <row r="1666" spans="1:14">
      <c r="A1666" s="1">
        <v>47340</v>
      </c>
      <c r="B1666" t="s">
        <v>25</v>
      </c>
      <c r="C1666" t="s">
        <v>19</v>
      </c>
      <c r="D1666" t="s">
        <v>13</v>
      </c>
      <c r="E1666" t="s">
        <v>14</v>
      </c>
      <c r="F1666" t="s">
        <v>41</v>
      </c>
      <c r="G1666" t="s">
        <v>22</v>
      </c>
      <c r="H1666" s="12">
        <v>220000</v>
      </c>
      <c r="I1666">
        <v>3</v>
      </c>
      <c r="J1666" t="s">
        <v>37</v>
      </c>
      <c r="K1666" s="12">
        <f t="shared" ref="K1666:K1729" si="26">H1666-H1666*0.2</f>
        <v>176000</v>
      </c>
      <c r="L1666" s="12">
        <f>Sales_Data[[#This Row],[Unit Price]]*Sales_Data[[#This Row],[Quantity]]</f>
        <v>660000</v>
      </c>
      <c r="M1666" s="12">
        <f>Sales_Data[[#This Row],[Cost Price]]*Sales_Data[[#This Row],[Quantity]]</f>
        <v>528000</v>
      </c>
      <c r="N1666" s="12">
        <f>Sales_Data[[#This Row],[Revenue]]-Sales_Data[[#This Row],[COGS]]</f>
        <v>132000</v>
      </c>
    </row>
    <row r="1667" spans="1:14">
      <c r="A1667" s="1">
        <v>47341</v>
      </c>
      <c r="B1667" t="s">
        <v>25</v>
      </c>
      <c r="C1667" t="s">
        <v>26</v>
      </c>
      <c r="D1667" t="s">
        <v>13</v>
      </c>
      <c r="E1667" t="s">
        <v>14</v>
      </c>
      <c r="F1667" t="s">
        <v>33</v>
      </c>
      <c r="G1667" t="s">
        <v>22</v>
      </c>
      <c r="H1667" s="12">
        <v>180000</v>
      </c>
      <c r="I1667">
        <v>7</v>
      </c>
      <c r="J1667" t="s">
        <v>37</v>
      </c>
      <c r="K1667" s="12">
        <f t="shared" si="26"/>
        <v>144000</v>
      </c>
      <c r="L1667" s="12">
        <f>Sales_Data[[#This Row],[Unit Price]]*Sales_Data[[#This Row],[Quantity]]</f>
        <v>1260000</v>
      </c>
      <c r="M1667" s="12">
        <f>Sales_Data[[#This Row],[Cost Price]]*Sales_Data[[#This Row],[Quantity]]</f>
        <v>1008000</v>
      </c>
      <c r="N1667" s="12">
        <f>Sales_Data[[#This Row],[Revenue]]-Sales_Data[[#This Row],[COGS]]</f>
        <v>252000</v>
      </c>
    </row>
    <row r="1668" spans="1:14">
      <c r="A1668" s="1">
        <v>47342</v>
      </c>
      <c r="B1668" t="s">
        <v>25</v>
      </c>
      <c r="C1668" t="s">
        <v>19</v>
      </c>
      <c r="D1668" t="s">
        <v>23</v>
      </c>
      <c r="E1668" t="s">
        <v>20</v>
      </c>
      <c r="F1668" t="s">
        <v>36</v>
      </c>
      <c r="G1668" t="s">
        <v>31</v>
      </c>
      <c r="H1668" s="12">
        <v>150000</v>
      </c>
      <c r="I1668">
        <v>4</v>
      </c>
      <c r="J1668" t="s">
        <v>35</v>
      </c>
      <c r="K1668" s="12">
        <f t="shared" si="26"/>
        <v>120000</v>
      </c>
      <c r="L1668" s="12">
        <f>Sales_Data[[#This Row],[Unit Price]]*Sales_Data[[#This Row],[Quantity]]</f>
        <v>600000</v>
      </c>
      <c r="M1668" s="12">
        <f>Sales_Data[[#This Row],[Cost Price]]*Sales_Data[[#This Row],[Quantity]]</f>
        <v>480000</v>
      </c>
      <c r="N1668" s="12">
        <f>Sales_Data[[#This Row],[Revenue]]-Sales_Data[[#This Row],[COGS]]</f>
        <v>120000</v>
      </c>
    </row>
    <row r="1669" spans="1:14">
      <c r="A1669" s="1">
        <v>47343</v>
      </c>
      <c r="B1669" t="s">
        <v>18</v>
      </c>
      <c r="C1669" t="s">
        <v>26</v>
      </c>
      <c r="D1669" t="s">
        <v>23</v>
      </c>
      <c r="E1669" t="s">
        <v>14</v>
      </c>
      <c r="F1669" t="s">
        <v>36</v>
      </c>
      <c r="G1669" t="s">
        <v>31</v>
      </c>
      <c r="H1669" s="12">
        <v>150000</v>
      </c>
      <c r="I1669">
        <v>10</v>
      </c>
      <c r="J1669" t="s">
        <v>24</v>
      </c>
      <c r="K1669" s="12">
        <f t="shared" si="26"/>
        <v>120000</v>
      </c>
      <c r="L1669" s="12">
        <f>Sales_Data[[#This Row],[Unit Price]]*Sales_Data[[#This Row],[Quantity]]</f>
        <v>1500000</v>
      </c>
      <c r="M1669" s="12">
        <f>Sales_Data[[#This Row],[Cost Price]]*Sales_Data[[#This Row],[Quantity]]</f>
        <v>1200000</v>
      </c>
      <c r="N1669" s="12">
        <f>Sales_Data[[#This Row],[Revenue]]-Sales_Data[[#This Row],[COGS]]</f>
        <v>300000</v>
      </c>
    </row>
    <row r="1670" spans="1:14">
      <c r="A1670" s="1">
        <v>47344</v>
      </c>
      <c r="B1670" t="s">
        <v>11</v>
      </c>
      <c r="C1670" t="s">
        <v>19</v>
      </c>
      <c r="D1670" t="s">
        <v>13</v>
      </c>
      <c r="E1670" t="s">
        <v>14</v>
      </c>
      <c r="F1670" t="s">
        <v>36</v>
      </c>
      <c r="G1670" t="s">
        <v>31</v>
      </c>
      <c r="H1670" s="12">
        <v>150000</v>
      </c>
      <c r="I1670">
        <v>1</v>
      </c>
      <c r="J1670" t="s">
        <v>39</v>
      </c>
      <c r="K1670" s="12">
        <f t="shared" si="26"/>
        <v>120000</v>
      </c>
      <c r="L1670" s="12">
        <f>Sales_Data[[#This Row],[Unit Price]]*Sales_Data[[#This Row],[Quantity]]</f>
        <v>150000</v>
      </c>
      <c r="M1670" s="12">
        <f>Sales_Data[[#This Row],[Cost Price]]*Sales_Data[[#This Row],[Quantity]]</f>
        <v>120000</v>
      </c>
      <c r="N1670" s="12">
        <f>Sales_Data[[#This Row],[Revenue]]-Sales_Data[[#This Row],[COGS]]</f>
        <v>30000</v>
      </c>
    </row>
    <row r="1671" spans="1:14">
      <c r="A1671" s="1">
        <v>47345</v>
      </c>
      <c r="B1671" t="s">
        <v>29</v>
      </c>
      <c r="C1671" t="s">
        <v>26</v>
      </c>
      <c r="D1671" t="s">
        <v>23</v>
      </c>
      <c r="E1671" t="s">
        <v>20</v>
      </c>
      <c r="F1671" t="s">
        <v>36</v>
      </c>
      <c r="G1671" t="s">
        <v>31</v>
      </c>
      <c r="H1671" s="12">
        <v>150000</v>
      </c>
      <c r="I1671">
        <v>4</v>
      </c>
      <c r="J1671" t="s">
        <v>24</v>
      </c>
      <c r="K1671" s="12">
        <f t="shared" si="26"/>
        <v>120000</v>
      </c>
      <c r="L1671" s="12">
        <f>Sales_Data[[#This Row],[Unit Price]]*Sales_Data[[#This Row],[Quantity]]</f>
        <v>600000</v>
      </c>
      <c r="M1671" s="12">
        <f>Sales_Data[[#This Row],[Cost Price]]*Sales_Data[[#This Row],[Quantity]]</f>
        <v>480000</v>
      </c>
      <c r="N1671" s="12">
        <f>Sales_Data[[#This Row],[Revenue]]-Sales_Data[[#This Row],[COGS]]</f>
        <v>120000</v>
      </c>
    </row>
    <row r="1672" spans="1:14">
      <c r="A1672" s="1">
        <v>47346</v>
      </c>
      <c r="B1672" t="s">
        <v>11</v>
      </c>
      <c r="C1672" t="s">
        <v>26</v>
      </c>
      <c r="D1672" t="s">
        <v>23</v>
      </c>
      <c r="E1672" t="s">
        <v>14</v>
      </c>
      <c r="F1672" t="s">
        <v>27</v>
      </c>
      <c r="G1672" t="s">
        <v>22</v>
      </c>
      <c r="H1672" s="12">
        <v>60000</v>
      </c>
      <c r="I1672">
        <v>5</v>
      </c>
      <c r="J1672" t="s">
        <v>37</v>
      </c>
      <c r="K1672" s="12">
        <f t="shared" si="26"/>
        <v>48000</v>
      </c>
      <c r="L1672" s="12">
        <f>Sales_Data[[#This Row],[Unit Price]]*Sales_Data[[#This Row],[Quantity]]</f>
        <v>300000</v>
      </c>
      <c r="M1672" s="12">
        <f>Sales_Data[[#This Row],[Cost Price]]*Sales_Data[[#This Row],[Quantity]]</f>
        <v>240000</v>
      </c>
      <c r="N1672" s="12">
        <f>Sales_Data[[#This Row],[Revenue]]-Sales_Data[[#This Row],[COGS]]</f>
        <v>60000</v>
      </c>
    </row>
    <row r="1673" spans="1:14">
      <c r="A1673" s="1">
        <v>47347</v>
      </c>
      <c r="B1673" t="s">
        <v>25</v>
      </c>
      <c r="C1673" t="s">
        <v>32</v>
      </c>
      <c r="D1673" t="s">
        <v>13</v>
      </c>
      <c r="E1673" t="s">
        <v>20</v>
      </c>
      <c r="F1673" t="s">
        <v>41</v>
      </c>
      <c r="G1673" t="s">
        <v>22</v>
      </c>
      <c r="H1673" s="12">
        <v>220000</v>
      </c>
      <c r="I1673">
        <v>7</v>
      </c>
      <c r="J1673" t="s">
        <v>17</v>
      </c>
      <c r="K1673" s="12">
        <f t="shared" si="26"/>
        <v>176000</v>
      </c>
      <c r="L1673" s="12">
        <f>Sales_Data[[#This Row],[Unit Price]]*Sales_Data[[#This Row],[Quantity]]</f>
        <v>1540000</v>
      </c>
      <c r="M1673" s="12">
        <f>Sales_Data[[#This Row],[Cost Price]]*Sales_Data[[#This Row],[Quantity]]</f>
        <v>1232000</v>
      </c>
      <c r="N1673" s="12">
        <f>Sales_Data[[#This Row],[Revenue]]-Sales_Data[[#This Row],[COGS]]</f>
        <v>308000</v>
      </c>
    </row>
    <row r="1674" spans="1:14">
      <c r="A1674" s="1">
        <v>47348</v>
      </c>
      <c r="B1674" t="s">
        <v>29</v>
      </c>
      <c r="C1674" t="s">
        <v>19</v>
      </c>
      <c r="D1674" t="s">
        <v>13</v>
      </c>
      <c r="E1674" t="s">
        <v>20</v>
      </c>
      <c r="F1674" t="s">
        <v>36</v>
      </c>
      <c r="G1674" t="s">
        <v>31</v>
      </c>
      <c r="H1674" s="12">
        <v>150000</v>
      </c>
      <c r="I1674">
        <v>4</v>
      </c>
      <c r="J1674" t="s">
        <v>39</v>
      </c>
      <c r="K1674" s="12">
        <f t="shared" si="26"/>
        <v>120000</v>
      </c>
      <c r="L1674" s="12">
        <f>Sales_Data[[#This Row],[Unit Price]]*Sales_Data[[#This Row],[Quantity]]</f>
        <v>600000</v>
      </c>
      <c r="M1674" s="12">
        <f>Sales_Data[[#This Row],[Cost Price]]*Sales_Data[[#This Row],[Quantity]]</f>
        <v>480000</v>
      </c>
      <c r="N1674" s="12">
        <f>Sales_Data[[#This Row],[Revenue]]-Sales_Data[[#This Row],[COGS]]</f>
        <v>120000</v>
      </c>
    </row>
    <row r="1675" spans="1:14">
      <c r="A1675" s="1">
        <v>47349</v>
      </c>
      <c r="B1675" t="s">
        <v>18</v>
      </c>
      <c r="C1675" t="s">
        <v>26</v>
      </c>
      <c r="D1675" t="s">
        <v>23</v>
      </c>
      <c r="E1675" t="s">
        <v>14</v>
      </c>
      <c r="F1675" t="s">
        <v>34</v>
      </c>
      <c r="G1675" t="s">
        <v>16</v>
      </c>
      <c r="H1675" s="12">
        <v>320000</v>
      </c>
      <c r="I1675">
        <v>6</v>
      </c>
      <c r="J1675" t="s">
        <v>17</v>
      </c>
      <c r="K1675" s="12">
        <f t="shared" si="26"/>
        <v>256000</v>
      </c>
      <c r="L1675" s="12">
        <f>Sales_Data[[#This Row],[Unit Price]]*Sales_Data[[#This Row],[Quantity]]</f>
        <v>1920000</v>
      </c>
      <c r="M1675" s="12">
        <f>Sales_Data[[#This Row],[Cost Price]]*Sales_Data[[#This Row],[Quantity]]</f>
        <v>1536000</v>
      </c>
      <c r="N1675" s="12">
        <f>Sales_Data[[#This Row],[Revenue]]-Sales_Data[[#This Row],[COGS]]</f>
        <v>384000</v>
      </c>
    </row>
    <row r="1676" spans="1:14">
      <c r="A1676" s="1">
        <v>47350</v>
      </c>
      <c r="B1676" t="s">
        <v>25</v>
      </c>
      <c r="C1676" t="s">
        <v>12</v>
      </c>
      <c r="D1676" t="s">
        <v>13</v>
      </c>
      <c r="E1676" t="s">
        <v>20</v>
      </c>
      <c r="F1676" t="s">
        <v>34</v>
      </c>
      <c r="G1676" t="s">
        <v>16</v>
      </c>
      <c r="H1676" s="12">
        <v>320000</v>
      </c>
      <c r="I1676">
        <v>6</v>
      </c>
      <c r="J1676" t="s">
        <v>37</v>
      </c>
      <c r="K1676" s="12">
        <f t="shared" si="26"/>
        <v>256000</v>
      </c>
      <c r="L1676" s="12">
        <f>Sales_Data[[#This Row],[Unit Price]]*Sales_Data[[#This Row],[Quantity]]</f>
        <v>1920000</v>
      </c>
      <c r="M1676" s="12">
        <f>Sales_Data[[#This Row],[Cost Price]]*Sales_Data[[#This Row],[Quantity]]</f>
        <v>1536000</v>
      </c>
      <c r="N1676" s="12">
        <f>Sales_Data[[#This Row],[Revenue]]-Sales_Data[[#This Row],[COGS]]</f>
        <v>384000</v>
      </c>
    </row>
    <row r="1677" spans="1:14">
      <c r="A1677" s="1">
        <v>47351</v>
      </c>
      <c r="B1677" t="s">
        <v>11</v>
      </c>
      <c r="C1677" t="s">
        <v>12</v>
      </c>
      <c r="D1677" t="s">
        <v>23</v>
      </c>
      <c r="E1677" t="s">
        <v>20</v>
      </c>
      <c r="F1677" t="s">
        <v>27</v>
      </c>
      <c r="G1677" t="s">
        <v>22</v>
      </c>
      <c r="H1677" s="12">
        <v>60000</v>
      </c>
      <c r="I1677">
        <v>4</v>
      </c>
      <c r="J1677" t="s">
        <v>37</v>
      </c>
      <c r="K1677" s="12">
        <f t="shared" si="26"/>
        <v>48000</v>
      </c>
      <c r="L1677" s="12">
        <f>Sales_Data[[#This Row],[Unit Price]]*Sales_Data[[#This Row],[Quantity]]</f>
        <v>240000</v>
      </c>
      <c r="M1677" s="12">
        <f>Sales_Data[[#This Row],[Cost Price]]*Sales_Data[[#This Row],[Quantity]]</f>
        <v>192000</v>
      </c>
      <c r="N1677" s="12">
        <f>Sales_Data[[#This Row],[Revenue]]-Sales_Data[[#This Row],[COGS]]</f>
        <v>48000</v>
      </c>
    </row>
    <row r="1678" spans="1:14">
      <c r="A1678" s="1">
        <v>47352</v>
      </c>
      <c r="B1678" t="s">
        <v>29</v>
      </c>
      <c r="C1678" t="s">
        <v>19</v>
      </c>
      <c r="D1678" t="s">
        <v>13</v>
      </c>
      <c r="E1678" t="s">
        <v>14</v>
      </c>
      <c r="F1678" t="s">
        <v>15</v>
      </c>
      <c r="G1678" t="s">
        <v>16</v>
      </c>
      <c r="H1678" s="12">
        <v>85000</v>
      </c>
      <c r="I1678">
        <v>8</v>
      </c>
      <c r="J1678" t="s">
        <v>24</v>
      </c>
      <c r="K1678" s="12">
        <f t="shared" si="26"/>
        <v>68000</v>
      </c>
      <c r="L1678" s="12">
        <f>Sales_Data[[#This Row],[Unit Price]]*Sales_Data[[#This Row],[Quantity]]</f>
        <v>680000</v>
      </c>
      <c r="M1678" s="12">
        <f>Sales_Data[[#This Row],[Cost Price]]*Sales_Data[[#This Row],[Quantity]]</f>
        <v>544000</v>
      </c>
      <c r="N1678" s="12">
        <f>Sales_Data[[#This Row],[Revenue]]-Sales_Data[[#This Row],[COGS]]</f>
        <v>136000</v>
      </c>
    </row>
    <row r="1679" spans="1:14">
      <c r="A1679" s="1">
        <v>47353</v>
      </c>
      <c r="B1679" t="s">
        <v>25</v>
      </c>
      <c r="C1679" t="s">
        <v>26</v>
      </c>
      <c r="D1679" t="s">
        <v>23</v>
      </c>
      <c r="E1679" t="s">
        <v>14</v>
      </c>
      <c r="F1679" t="s">
        <v>15</v>
      </c>
      <c r="G1679" t="s">
        <v>16</v>
      </c>
      <c r="H1679" s="12">
        <v>85000</v>
      </c>
      <c r="I1679">
        <v>2</v>
      </c>
      <c r="J1679" t="s">
        <v>39</v>
      </c>
      <c r="K1679" s="12">
        <f t="shared" si="26"/>
        <v>68000</v>
      </c>
      <c r="L1679" s="12">
        <f>Sales_Data[[#This Row],[Unit Price]]*Sales_Data[[#This Row],[Quantity]]</f>
        <v>170000</v>
      </c>
      <c r="M1679" s="12">
        <f>Sales_Data[[#This Row],[Cost Price]]*Sales_Data[[#This Row],[Quantity]]</f>
        <v>136000</v>
      </c>
      <c r="N1679" s="12">
        <f>Sales_Data[[#This Row],[Revenue]]-Sales_Data[[#This Row],[COGS]]</f>
        <v>34000</v>
      </c>
    </row>
    <row r="1680" spans="1:14">
      <c r="A1680" s="1">
        <v>47354</v>
      </c>
      <c r="B1680" t="s">
        <v>29</v>
      </c>
      <c r="C1680" t="s">
        <v>26</v>
      </c>
      <c r="D1680" t="s">
        <v>23</v>
      </c>
      <c r="E1680" t="s">
        <v>20</v>
      </c>
      <c r="F1680" t="s">
        <v>15</v>
      </c>
      <c r="G1680" t="s">
        <v>16</v>
      </c>
      <c r="H1680" s="12">
        <v>85000</v>
      </c>
      <c r="I1680">
        <v>9</v>
      </c>
      <c r="J1680" t="s">
        <v>17</v>
      </c>
      <c r="K1680" s="12">
        <f t="shared" si="26"/>
        <v>68000</v>
      </c>
      <c r="L1680" s="12">
        <f>Sales_Data[[#This Row],[Unit Price]]*Sales_Data[[#This Row],[Quantity]]</f>
        <v>765000</v>
      </c>
      <c r="M1680" s="12">
        <f>Sales_Data[[#This Row],[Cost Price]]*Sales_Data[[#This Row],[Quantity]]</f>
        <v>612000</v>
      </c>
      <c r="N1680" s="12">
        <f>Sales_Data[[#This Row],[Revenue]]-Sales_Data[[#This Row],[COGS]]</f>
        <v>153000</v>
      </c>
    </row>
    <row r="1681" spans="1:14">
      <c r="A1681" s="1">
        <v>47355</v>
      </c>
      <c r="B1681" t="s">
        <v>25</v>
      </c>
      <c r="C1681" t="s">
        <v>26</v>
      </c>
      <c r="D1681" t="s">
        <v>13</v>
      </c>
      <c r="E1681" t="s">
        <v>20</v>
      </c>
      <c r="F1681" t="s">
        <v>38</v>
      </c>
      <c r="G1681" t="s">
        <v>31</v>
      </c>
      <c r="H1681" s="12">
        <v>420000</v>
      </c>
      <c r="I1681">
        <v>3</v>
      </c>
      <c r="J1681" t="s">
        <v>35</v>
      </c>
      <c r="K1681" s="12">
        <f t="shared" si="26"/>
        <v>336000</v>
      </c>
      <c r="L1681" s="12">
        <f>Sales_Data[[#This Row],[Unit Price]]*Sales_Data[[#This Row],[Quantity]]</f>
        <v>1260000</v>
      </c>
      <c r="M1681" s="12">
        <f>Sales_Data[[#This Row],[Cost Price]]*Sales_Data[[#This Row],[Quantity]]</f>
        <v>1008000</v>
      </c>
      <c r="N1681" s="12">
        <f>Sales_Data[[#This Row],[Revenue]]-Sales_Data[[#This Row],[COGS]]</f>
        <v>252000</v>
      </c>
    </row>
    <row r="1682" spans="1:14">
      <c r="A1682" s="1">
        <v>47356</v>
      </c>
      <c r="B1682" t="s">
        <v>29</v>
      </c>
      <c r="C1682" t="s">
        <v>19</v>
      </c>
      <c r="D1682" t="s">
        <v>13</v>
      </c>
      <c r="E1682" t="s">
        <v>14</v>
      </c>
      <c r="F1682" t="s">
        <v>30</v>
      </c>
      <c r="G1682" t="s">
        <v>31</v>
      </c>
      <c r="H1682" s="12">
        <v>300000</v>
      </c>
      <c r="I1682">
        <v>5</v>
      </c>
      <c r="J1682" t="s">
        <v>35</v>
      </c>
      <c r="K1682" s="12">
        <f t="shared" si="26"/>
        <v>240000</v>
      </c>
      <c r="L1682" s="12">
        <f>Sales_Data[[#This Row],[Unit Price]]*Sales_Data[[#This Row],[Quantity]]</f>
        <v>1500000</v>
      </c>
      <c r="M1682" s="12">
        <f>Sales_Data[[#This Row],[Cost Price]]*Sales_Data[[#This Row],[Quantity]]</f>
        <v>1200000</v>
      </c>
      <c r="N1682" s="12">
        <f>Sales_Data[[#This Row],[Revenue]]-Sales_Data[[#This Row],[COGS]]</f>
        <v>300000</v>
      </c>
    </row>
    <row r="1683" spans="1:14">
      <c r="A1683" s="1">
        <v>47357</v>
      </c>
      <c r="B1683" t="s">
        <v>18</v>
      </c>
      <c r="C1683" t="s">
        <v>26</v>
      </c>
      <c r="D1683" t="s">
        <v>23</v>
      </c>
      <c r="E1683" t="s">
        <v>20</v>
      </c>
      <c r="F1683" t="s">
        <v>21</v>
      </c>
      <c r="G1683" t="s">
        <v>22</v>
      </c>
      <c r="H1683" s="12">
        <v>30000</v>
      </c>
      <c r="I1683">
        <v>1</v>
      </c>
      <c r="J1683" t="s">
        <v>17</v>
      </c>
      <c r="K1683" s="12">
        <f t="shared" si="26"/>
        <v>24000</v>
      </c>
      <c r="L1683" s="12">
        <f>Sales_Data[[#This Row],[Unit Price]]*Sales_Data[[#This Row],[Quantity]]</f>
        <v>30000</v>
      </c>
      <c r="M1683" s="12">
        <f>Sales_Data[[#This Row],[Cost Price]]*Sales_Data[[#This Row],[Quantity]]</f>
        <v>24000</v>
      </c>
      <c r="N1683" s="12">
        <f>Sales_Data[[#This Row],[Revenue]]-Sales_Data[[#This Row],[COGS]]</f>
        <v>6000</v>
      </c>
    </row>
    <row r="1684" spans="1:14">
      <c r="A1684" s="1">
        <v>47358</v>
      </c>
      <c r="B1684" t="s">
        <v>11</v>
      </c>
      <c r="C1684" t="s">
        <v>32</v>
      </c>
      <c r="D1684" t="s">
        <v>23</v>
      </c>
      <c r="E1684" t="s">
        <v>20</v>
      </c>
      <c r="F1684" t="s">
        <v>41</v>
      </c>
      <c r="G1684" t="s">
        <v>22</v>
      </c>
      <c r="H1684" s="12">
        <v>220000</v>
      </c>
      <c r="I1684">
        <v>8</v>
      </c>
      <c r="J1684" t="s">
        <v>37</v>
      </c>
      <c r="K1684" s="12">
        <f t="shared" si="26"/>
        <v>176000</v>
      </c>
      <c r="L1684" s="12">
        <f>Sales_Data[[#This Row],[Unit Price]]*Sales_Data[[#This Row],[Quantity]]</f>
        <v>1760000</v>
      </c>
      <c r="M1684" s="12">
        <f>Sales_Data[[#This Row],[Cost Price]]*Sales_Data[[#This Row],[Quantity]]</f>
        <v>1408000</v>
      </c>
      <c r="N1684" s="12">
        <f>Sales_Data[[#This Row],[Revenue]]-Sales_Data[[#This Row],[COGS]]</f>
        <v>352000</v>
      </c>
    </row>
    <row r="1685" spans="1:14">
      <c r="A1685" s="1">
        <v>47359</v>
      </c>
      <c r="B1685" t="s">
        <v>29</v>
      </c>
      <c r="C1685" t="s">
        <v>12</v>
      </c>
      <c r="D1685" t="s">
        <v>23</v>
      </c>
      <c r="E1685" t="s">
        <v>14</v>
      </c>
      <c r="F1685" t="s">
        <v>34</v>
      </c>
      <c r="G1685" t="s">
        <v>16</v>
      </c>
      <c r="H1685" s="12">
        <v>320000</v>
      </c>
      <c r="I1685">
        <v>5</v>
      </c>
      <c r="J1685" t="s">
        <v>17</v>
      </c>
      <c r="K1685" s="12">
        <f t="shared" si="26"/>
        <v>256000</v>
      </c>
      <c r="L1685" s="12">
        <f>Sales_Data[[#This Row],[Unit Price]]*Sales_Data[[#This Row],[Quantity]]</f>
        <v>1600000</v>
      </c>
      <c r="M1685" s="12">
        <f>Sales_Data[[#This Row],[Cost Price]]*Sales_Data[[#This Row],[Quantity]]</f>
        <v>1280000</v>
      </c>
      <c r="N1685" s="12">
        <f>Sales_Data[[#This Row],[Revenue]]-Sales_Data[[#This Row],[COGS]]</f>
        <v>320000</v>
      </c>
    </row>
    <row r="1686" spans="1:14">
      <c r="A1686" s="1">
        <v>47360</v>
      </c>
      <c r="B1686" t="s">
        <v>18</v>
      </c>
      <c r="C1686" t="s">
        <v>19</v>
      </c>
      <c r="D1686" t="s">
        <v>23</v>
      </c>
      <c r="E1686" t="s">
        <v>14</v>
      </c>
      <c r="F1686" t="s">
        <v>30</v>
      </c>
      <c r="G1686" t="s">
        <v>31</v>
      </c>
      <c r="H1686" s="12">
        <v>300000</v>
      </c>
      <c r="I1686">
        <v>10</v>
      </c>
      <c r="J1686" t="s">
        <v>35</v>
      </c>
      <c r="K1686" s="12">
        <f t="shared" si="26"/>
        <v>240000</v>
      </c>
      <c r="L1686" s="12">
        <f>Sales_Data[[#This Row],[Unit Price]]*Sales_Data[[#This Row],[Quantity]]</f>
        <v>3000000</v>
      </c>
      <c r="M1686" s="12">
        <f>Sales_Data[[#This Row],[Cost Price]]*Sales_Data[[#This Row],[Quantity]]</f>
        <v>2400000</v>
      </c>
      <c r="N1686" s="12">
        <f>Sales_Data[[#This Row],[Revenue]]-Sales_Data[[#This Row],[COGS]]</f>
        <v>600000</v>
      </c>
    </row>
    <row r="1687" spans="1:14">
      <c r="A1687" s="1">
        <v>47361</v>
      </c>
      <c r="B1687" t="s">
        <v>29</v>
      </c>
      <c r="C1687" t="s">
        <v>12</v>
      </c>
      <c r="D1687" t="s">
        <v>13</v>
      </c>
      <c r="E1687" t="s">
        <v>20</v>
      </c>
      <c r="F1687" t="s">
        <v>41</v>
      </c>
      <c r="G1687" t="s">
        <v>22</v>
      </c>
      <c r="H1687" s="12">
        <v>220000</v>
      </c>
      <c r="I1687">
        <v>1</v>
      </c>
      <c r="J1687" t="s">
        <v>17</v>
      </c>
      <c r="K1687" s="12">
        <f t="shared" si="26"/>
        <v>176000</v>
      </c>
      <c r="L1687" s="12">
        <f>Sales_Data[[#This Row],[Unit Price]]*Sales_Data[[#This Row],[Quantity]]</f>
        <v>220000</v>
      </c>
      <c r="M1687" s="12">
        <f>Sales_Data[[#This Row],[Cost Price]]*Sales_Data[[#This Row],[Quantity]]</f>
        <v>176000</v>
      </c>
      <c r="N1687" s="12">
        <f>Sales_Data[[#This Row],[Revenue]]-Sales_Data[[#This Row],[COGS]]</f>
        <v>44000</v>
      </c>
    </row>
    <row r="1688" spans="1:14">
      <c r="A1688" s="1">
        <v>47362</v>
      </c>
      <c r="B1688" t="s">
        <v>25</v>
      </c>
      <c r="C1688" t="s">
        <v>26</v>
      </c>
      <c r="D1688" t="s">
        <v>23</v>
      </c>
      <c r="E1688" t="s">
        <v>14</v>
      </c>
      <c r="F1688" t="s">
        <v>21</v>
      </c>
      <c r="G1688" t="s">
        <v>22</v>
      </c>
      <c r="H1688" s="12">
        <v>30000</v>
      </c>
      <c r="I1688">
        <v>6</v>
      </c>
      <c r="J1688" t="s">
        <v>24</v>
      </c>
      <c r="K1688" s="12">
        <f t="shared" si="26"/>
        <v>24000</v>
      </c>
      <c r="L1688" s="12">
        <f>Sales_Data[[#This Row],[Unit Price]]*Sales_Data[[#This Row],[Quantity]]</f>
        <v>180000</v>
      </c>
      <c r="M1688" s="12">
        <f>Sales_Data[[#This Row],[Cost Price]]*Sales_Data[[#This Row],[Quantity]]</f>
        <v>144000</v>
      </c>
      <c r="N1688" s="12">
        <f>Sales_Data[[#This Row],[Revenue]]-Sales_Data[[#This Row],[COGS]]</f>
        <v>36000</v>
      </c>
    </row>
    <row r="1689" spans="1:14">
      <c r="A1689" s="1">
        <v>47363</v>
      </c>
      <c r="B1689" t="s">
        <v>29</v>
      </c>
      <c r="C1689" t="s">
        <v>19</v>
      </c>
      <c r="D1689" t="s">
        <v>13</v>
      </c>
      <c r="E1689" t="s">
        <v>14</v>
      </c>
      <c r="F1689" t="s">
        <v>38</v>
      </c>
      <c r="G1689" t="s">
        <v>31</v>
      </c>
      <c r="H1689" s="12">
        <v>420000</v>
      </c>
      <c r="I1689">
        <v>1</v>
      </c>
      <c r="J1689" t="s">
        <v>39</v>
      </c>
      <c r="K1689" s="12">
        <f t="shared" si="26"/>
        <v>336000</v>
      </c>
      <c r="L1689" s="12">
        <f>Sales_Data[[#This Row],[Unit Price]]*Sales_Data[[#This Row],[Quantity]]</f>
        <v>420000</v>
      </c>
      <c r="M1689" s="12">
        <f>Sales_Data[[#This Row],[Cost Price]]*Sales_Data[[#This Row],[Quantity]]</f>
        <v>336000</v>
      </c>
      <c r="N1689" s="12">
        <f>Sales_Data[[#This Row],[Revenue]]-Sales_Data[[#This Row],[COGS]]</f>
        <v>84000</v>
      </c>
    </row>
    <row r="1690" spans="1:14">
      <c r="A1690" s="1">
        <v>47364</v>
      </c>
      <c r="B1690" t="s">
        <v>25</v>
      </c>
      <c r="C1690" t="s">
        <v>32</v>
      </c>
      <c r="D1690" t="s">
        <v>23</v>
      </c>
      <c r="E1690" t="s">
        <v>20</v>
      </c>
      <c r="F1690" t="s">
        <v>38</v>
      </c>
      <c r="G1690" t="s">
        <v>31</v>
      </c>
      <c r="H1690" s="12">
        <v>420000</v>
      </c>
      <c r="I1690">
        <v>6</v>
      </c>
      <c r="J1690" t="s">
        <v>37</v>
      </c>
      <c r="K1690" s="12">
        <f t="shared" si="26"/>
        <v>336000</v>
      </c>
      <c r="L1690" s="12">
        <f>Sales_Data[[#This Row],[Unit Price]]*Sales_Data[[#This Row],[Quantity]]</f>
        <v>2520000</v>
      </c>
      <c r="M1690" s="12">
        <f>Sales_Data[[#This Row],[Cost Price]]*Sales_Data[[#This Row],[Quantity]]</f>
        <v>2016000</v>
      </c>
      <c r="N1690" s="12">
        <f>Sales_Data[[#This Row],[Revenue]]-Sales_Data[[#This Row],[COGS]]</f>
        <v>504000</v>
      </c>
    </row>
    <row r="1691" spans="1:14">
      <c r="A1691" s="1">
        <v>47365</v>
      </c>
      <c r="B1691" t="s">
        <v>25</v>
      </c>
      <c r="C1691" t="s">
        <v>32</v>
      </c>
      <c r="D1691" t="s">
        <v>13</v>
      </c>
      <c r="E1691" t="s">
        <v>20</v>
      </c>
      <c r="F1691" t="s">
        <v>15</v>
      </c>
      <c r="G1691" t="s">
        <v>16</v>
      </c>
      <c r="H1691" s="12">
        <v>85000</v>
      </c>
      <c r="I1691">
        <v>7</v>
      </c>
      <c r="J1691" t="s">
        <v>35</v>
      </c>
      <c r="K1691" s="12">
        <f t="shared" si="26"/>
        <v>68000</v>
      </c>
      <c r="L1691" s="12">
        <f>Sales_Data[[#This Row],[Unit Price]]*Sales_Data[[#This Row],[Quantity]]</f>
        <v>595000</v>
      </c>
      <c r="M1691" s="12">
        <f>Sales_Data[[#This Row],[Cost Price]]*Sales_Data[[#This Row],[Quantity]]</f>
        <v>476000</v>
      </c>
      <c r="N1691" s="12">
        <f>Sales_Data[[#This Row],[Revenue]]-Sales_Data[[#This Row],[COGS]]</f>
        <v>119000</v>
      </c>
    </row>
    <row r="1692" spans="1:14">
      <c r="A1692" s="1">
        <v>47366</v>
      </c>
      <c r="B1692" t="s">
        <v>25</v>
      </c>
      <c r="C1692" t="s">
        <v>19</v>
      </c>
      <c r="D1692" t="s">
        <v>23</v>
      </c>
      <c r="E1692" t="s">
        <v>20</v>
      </c>
      <c r="F1692" t="s">
        <v>36</v>
      </c>
      <c r="G1692" t="s">
        <v>31</v>
      </c>
      <c r="H1692" s="12">
        <v>150000</v>
      </c>
      <c r="I1692">
        <v>7</v>
      </c>
      <c r="J1692" t="s">
        <v>39</v>
      </c>
      <c r="K1692" s="12">
        <f t="shared" si="26"/>
        <v>120000</v>
      </c>
      <c r="L1692" s="12">
        <f>Sales_Data[[#This Row],[Unit Price]]*Sales_Data[[#This Row],[Quantity]]</f>
        <v>1050000</v>
      </c>
      <c r="M1692" s="12">
        <f>Sales_Data[[#This Row],[Cost Price]]*Sales_Data[[#This Row],[Quantity]]</f>
        <v>840000</v>
      </c>
      <c r="N1692" s="12">
        <f>Sales_Data[[#This Row],[Revenue]]-Sales_Data[[#This Row],[COGS]]</f>
        <v>210000</v>
      </c>
    </row>
    <row r="1693" spans="1:14">
      <c r="A1693" s="1">
        <v>47367</v>
      </c>
      <c r="B1693" t="s">
        <v>11</v>
      </c>
      <c r="C1693" t="s">
        <v>19</v>
      </c>
      <c r="D1693" t="s">
        <v>13</v>
      </c>
      <c r="E1693" t="s">
        <v>20</v>
      </c>
      <c r="F1693" t="s">
        <v>36</v>
      </c>
      <c r="G1693" t="s">
        <v>31</v>
      </c>
      <c r="H1693" s="12">
        <v>150000</v>
      </c>
      <c r="I1693">
        <v>10</v>
      </c>
      <c r="J1693" t="s">
        <v>17</v>
      </c>
      <c r="K1693" s="12">
        <f t="shared" si="26"/>
        <v>120000</v>
      </c>
      <c r="L1693" s="12">
        <f>Sales_Data[[#This Row],[Unit Price]]*Sales_Data[[#This Row],[Quantity]]</f>
        <v>1500000</v>
      </c>
      <c r="M1693" s="12">
        <f>Sales_Data[[#This Row],[Cost Price]]*Sales_Data[[#This Row],[Quantity]]</f>
        <v>1200000</v>
      </c>
      <c r="N1693" s="12">
        <f>Sales_Data[[#This Row],[Revenue]]-Sales_Data[[#This Row],[COGS]]</f>
        <v>300000</v>
      </c>
    </row>
    <row r="1694" spans="1:14">
      <c r="A1694" s="1">
        <v>47368</v>
      </c>
      <c r="B1694" t="s">
        <v>18</v>
      </c>
      <c r="C1694" t="s">
        <v>12</v>
      </c>
      <c r="D1694" t="s">
        <v>13</v>
      </c>
      <c r="E1694" t="s">
        <v>20</v>
      </c>
      <c r="F1694" t="s">
        <v>21</v>
      </c>
      <c r="G1694" t="s">
        <v>22</v>
      </c>
      <c r="H1694" s="12">
        <v>30000</v>
      </c>
      <c r="I1694">
        <v>9</v>
      </c>
      <c r="J1694" t="s">
        <v>17</v>
      </c>
      <c r="K1694" s="12">
        <f t="shared" si="26"/>
        <v>24000</v>
      </c>
      <c r="L1694" s="12">
        <f>Sales_Data[[#This Row],[Unit Price]]*Sales_Data[[#This Row],[Quantity]]</f>
        <v>270000</v>
      </c>
      <c r="M1694" s="12">
        <f>Sales_Data[[#This Row],[Cost Price]]*Sales_Data[[#This Row],[Quantity]]</f>
        <v>216000</v>
      </c>
      <c r="N1694" s="12">
        <f>Sales_Data[[#This Row],[Revenue]]-Sales_Data[[#This Row],[COGS]]</f>
        <v>54000</v>
      </c>
    </row>
    <row r="1695" spans="1:14">
      <c r="A1695" s="1">
        <v>47369</v>
      </c>
      <c r="B1695" t="s">
        <v>25</v>
      </c>
      <c r="C1695" t="s">
        <v>26</v>
      </c>
      <c r="D1695" t="s">
        <v>23</v>
      </c>
      <c r="E1695" t="s">
        <v>14</v>
      </c>
      <c r="F1695" t="s">
        <v>34</v>
      </c>
      <c r="G1695" t="s">
        <v>16</v>
      </c>
      <c r="H1695" s="12">
        <v>320000</v>
      </c>
      <c r="I1695">
        <v>8</v>
      </c>
      <c r="J1695" t="s">
        <v>37</v>
      </c>
      <c r="K1695" s="12">
        <f t="shared" si="26"/>
        <v>256000</v>
      </c>
      <c r="L1695" s="12">
        <f>Sales_Data[[#This Row],[Unit Price]]*Sales_Data[[#This Row],[Quantity]]</f>
        <v>2560000</v>
      </c>
      <c r="M1695" s="12">
        <f>Sales_Data[[#This Row],[Cost Price]]*Sales_Data[[#This Row],[Quantity]]</f>
        <v>2048000</v>
      </c>
      <c r="N1695" s="12">
        <f>Sales_Data[[#This Row],[Revenue]]-Sales_Data[[#This Row],[COGS]]</f>
        <v>512000</v>
      </c>
    </row>
    <row r="1696" spans="1:14">
      <c r="A1696" s="1">
        <v>47370</v>
      </c>
      <c r="B1696" t="s">
        <v>18</v>
      </c>
      <c r="C1696" t="s">
        <v>32</v>
      </c>
      <c r="D1696" t="s">
        <v>13</v>
      </c>
      <c r="E1696" t="s">
        <v>20</v>
      </c>
      <c r="F1696" t="s">
        <v>21</v>
      </c>
      <c r="G1696" t="s">
        <v>22</v>
      </c>
      <c r="H1696" s="12">
        <v>30000</v>
      </c>
      <c r="I1696">
        <v>9</v>
      </c>
      <c r="J1696" t="s">
        <v>28</v>
      </c>
      <c r="K1696" s="12">
        <f t="shared" si="26"/>
        <v>24000</v>
      </c>
      <c r="L1696" s="12">
        <f>Sales_Data[[#This Row],[Unit Price]]*Sales_Data[[#This Row],[Quantity]]</f>
        <v>270000</v>
      </c>
      <c r="M1696" s="12">
        <f>Sales_Data[[#This Row],[Cost Price]]*Sales_Data[[#This Row],[Quantity]]</f>
        <v>216000</v>
      </c>
      <c r="N1696" s="12">
        <f>Sales_Data[[#This Row],[Revenue]]-Sales_Data[[#This Row],[COGS]]</f>
        <v>54000</v>
      </c>
    </row>
    <row r="1697" spans="1:14">
      <c r="A1697" s="1">
        <v>47371</v>
      </c>
      <c r="B1697" t="s">
        <v>18</v>
      </c>
      <c r="C1697" t="s">
        <v>26</v>
      </c>
      <c r="D1697" t="s">
        <v>23</v>
      </c>
      <c r="E1697" t="s">
        <v>14</v>
      </c>
      <c r="F1697" t="s">
        <v>40</v>
      </c>
      <c r="G1697" t="s">
        <v>31</v>
      </c>
      <c r="H1697" s="12">
        <v>250000</v>
      </c>
      <c r="I1697">
        <v>3</v>
      </c>
      <c r="J1697" t="s">
        <v>24</v>
      </c>
      <c r="K1697" s="12">
        <f t="shared" si="26"/>
        <v>200000</v>
      </c>
      <c r="L1697" s="12">
        <f>Sales_Data[[#This Row],[Unit Price]]*Sales_Data[[#This Row],[Quantity]]</f>
        <v>750000</v>
      </c>
      <c r="M1697" s="12">
        <f>Sales_Data[[#This Row],[Cost Price]]*Sales_Data[[#This Row],[Quantity]]</f>
        <v>600000</v>
      </c>
      <c r="N1697" s="12">
        <f>Sales_Data[[#This Row],[Revenue]]-Sales_Data[[#This Row],[COGS]]</f>
        <v>150000</v>
      </c>
    </row>
    <row r="1698" spans="1:14">
      <c r="A1698" s="1">
        <v>47372</v>
      </c>
      <c r="B1698" t="s">
        <v>18</v>
      </c>
      <c r="C1698" t="s">
        <v>19</v>
      </c>
      <c r="D1698" t="s">
        <v>23</v>
      </c>
      <c r="E1698" t="s">
        <v>14</v>
      </c>
      <c r="F1698" t="s">
        <v>27</v>
      </c>
      <c r="G1698" t="s">
        <v>22</v>
      </c>
      <c r="H1698" s="12">
        <v>60000</v>
      </c>
      <c r="I1698">
        <v>2</v>
      </c>
      <c r="J1698" t="s">
        <v>24</v>
      </c>
      <c r="K1698" s="12">
        <f t="shared" si="26"/>
        <v>48000</v>
      </c>
      <c r="L1698" s="12">
        <f>Sales_Data[[#This Row],[Unit Price]]*Sales_Data[[#This Row],[Quantity]]</f>
        <v>120000</v>
      </c>
      <c r="M1698" s="12">
        <f>Sales_Data[[#This Row],[Cost Price]]*Sales_Data[[#This Row],[Quantity]]</f>
        <v>96000</v>
      </c>
      <c r="N1698" s="12">
        <f>Sales_Data[[#This Row],[Revenue]]-Sales_Data[[#This Row],[COGS]]</f>
        <v>24000</v>
      </c>
    </row>
    <row r="1699" spans="1:14">
      <c r="A1699" s="1">
        <v>47373</v>
      </c>
      <c r="B1699" t="s">
        <v>11</v>
      </c>
      <c r="C1699" t="s">
        <v>32</v>
      </c>
      <c r="D1699" t="s">
        <v>13</v>
      </c>
      <c r="E1699" t="s">
        <v>20</v>
      </c>
      <c r="F1699" t="s">
        <v>34</v>
      </c>
      <c r="G1699" t="s">
        <v>16</v>
      </c>
      <c r="H1699" s="12">
        <v>320000</v>
      </c>
      <c r="I1699">
        <v>3</v>
      </c>
      <c r="J1699" t="s">
        <v>28</v>
      </c>
      <c r="K1699" s="12">
        <f t="shared" si="26"/>
        <v>256000</v>
      </c>
      <c r="L1699" s="12">
        <f>Sales_Data[[#This Row],[Unit Price]]*Sales_Data[[#This Row],[Quantity]]</f>
        <v>960000</v>
      </c>
      <c r="M1699" s="12">
        <f>Sales_Data[[#This Row],[Cost Price]]*Sales_Data[[#This Row],[Quantity]]</f>
        <v>768000</v>
      </c>
      <c r="N1699" s="12">
        <f>Sales_Data[[#This Row],[Revenue]]-Sales_Data[[#This Row],[COGS]]</f>
        <v>192000</v>
      </c>
    </row>
    <row r="1700" spans="1:14">
      <c r="A1700" s="1">
        <v>47374</v>
      </c>
      <c r="B1700" t="s">
        <v>18</v>
      </c>
      <c r="C1700" t="s">
        <v>26</v>
      </c>
      <c r="D1700" t="s">
        <v>13</v>
      </c>
      <c r="E1700" t="s">
        <v>14</v>
      </c>
      <c r="F1700" t="s">
        <v>30</v>
      </c>
      <c r="G1700" t="s">
        <v>31</v>
      </c>
      <c r="H1700" s="12">
        <v>300000</v>
      </c>
      <c r="I1700">
        <v>9</v>
      </c>
      <c r="J1700" t="s">
        <v>24</v>
      </c>
      <c r="K1700" s="12">
        <f t="shared" si="26"/>
        <v>240000</v>
      </c>
      <c r="L1700" s="12">
        <f>Sales_Data[[#This Row],[Unit Price]]*Sales_Data[[#This Row],[Quantity]]</f>
        <v>2700000</v>
      </c>
      <c r="M1700" s="12">
        <f>Sales_Data[[#This Row],[Cost Price]]*Sales_Data[[#This Row],[Quantity]]</f>
        <v>2160000</v>
      </c>
      <c r="N1700" s="12">
        <f>Sales_Data[[#This Row],[Revenue]]-Sales_Data[[#This Row],[COGS]]</f>
        <v>540000</v>
      </c>
    </row>
    <row r="1701" spans="1:14">
      <c r="A1701" s="1">
        <v>47375</v>
      </c>
      <c r="B1701" t="s">
        <v>18</v>
      </c>
      <c r="C1701" t="s">
        <v>32</v>
      </c>
      <c r="D1701" t="s">
        <v>13</v>
      </c>
      <c r="E1701" t="s">
        <v>14</v>
      </c>
      <c r="F1701" t="s">
        <v>38</v>
      </c>
      <c r="G1701" t="s">
        <v>31</v>
      </c>
      <c r="H1701" s="12">
        <v>420000</v>
      </c>
      <c r="I1701">
        <v>4</v>
      </c>
      <c r="J1701" t="s">
        <v>39</v>
      </c>
      <c r="K1701" s="12">
        <f t="shared" si="26"/>
        <v>336000</v>
      </c>
      <c r="L1701" s="12">
        <f>Sales_Data[[#This Row],[Unit Price]]*Sales_Data[[#This Row],[Quantity]]</f>
        <v>1680000</v>
      </c>
      <c r="M1701" s="12">
        <f>Sales_Data[[#This Row],[Cost Price]]*Sales_Data[[#This Row],[Quantity]]</f>
        <v>1344000</v>
      </c>
      <c r="N1701" s="12">
        <f>Sales_Data[[#This Row],[Revenue]]-Sales_Data[[#This Row],[COGS]]</f>
        <v>336000</v>
      </c>
    </row>
    <row r="1702" spans="1:14">
      <c r="A1702" s="1">
        <v>47376</v>
      </c>
      <c r="B1702" t="s">
        <v>11</v>
      </c>
      <c r="C1702" t="s">
        <v>12</v>
      </c>
      <c r="D1702" t="s">
        <v>13</v>
      </c>
      <c r="E1702" t="s">
        <v>20</v>
      </c>
      <c r="F1702" t="s">
        <v>34</v>
      </c>
      <c r="G1702" t="s">
        <v>16</v>
      </c>
      <c r="H1702" s="12">
        <v>320000</v>
      </c>
      <c r="I1702">
        <v>6</v>
      </c>
      <c r="J1702" t="s">
        <v>35</v>
      </c>
      <c r="K1702" s="12">
        <f t="shared" si="26"/>
        <v>256000</v>
      </c>
      <c r="L1702" s="12">
        <f>Sales_Data[[#This Row],[Unit Price]]*Sales_Data[[#This Row],[Quantity]]</f>
        <v>1920000</v>
      </c>
      <c r="M1702" s="12">
        <f>Sales_Data[[#This Row],[Cost Price]]*Sales_Data[[#This Row],[Quantity]]</f>
        <v>1536000</v>
      </c>
      <c r="N1702" s="12">
        <f>Sales_Data[[#This Row],[Revenue]]-Sales_Data[[#This Row],[COGS]]</f>
        <v>384000</v>
      </c>
    </row>
    <row r="1703" spans="1:14">
      <c r="A1703" s="1">
        <v>47377</v>
      </c>
      <c r="B1703" t="s">
        <v>11</v>
      </c>
      <c r="C1703" t="s">
        <v>32</v>
      </c>
      <c r="D1703" t="s">
        <v>13</v>
      </c>
      <c r="E1703" t="s">
        <v>20</v>
      </c>
      <c r="F1703" t="s">
        <v>41</v>
      </c>
      <c r="G1703" t="s">
        <v>22</v>
      </c>
      <c r="H1703" s="12">
        <v>220000</v>
      </c>
      <c r="I1703">
        <v>4</v>
      </c>
      <c r="J1703" t="s">
        <v>39</v>
      </c>
      <c r="K1703" s="12">
        <f t="shared" si="26"/>
        <v>176000</v>
      </c>
      <c r="L1703" s="12">
        <f>Sales_Data[[#This Row],[Unit Price]]*Sales_Data[[#This Row],[Quantity]]</f>
        <v>880000</v>
      </c>
      <c r="M1703" s="12">
        <f>Sales_Data[[#This Row],[Cost Price]]*Sales_Data[[#This Row],[Quantity]]</f>
        <v>704000</v>
      </c>
      <c r="N1703" s="12">
        <f>Sales_Data[[#This Row],[Revenue]]-Sales_Data[[#This Row],[COGS]]</f>
        <v>176000</v>
      </c>
    </row>
    <row r="1704" spans="1:14">
      <c r="A1704" s="1">
        <v>47378</v>
      </c>
      <c r="B1704" t="s">
        <v>25</v>
      </c>
      <c r="C1704" t="s">
        <v>32</v>
      </c>
      <c r="D1704" t="s">
        <v>13</v>
      </c>
      <c r="E1704" t="s">
        <v>20</v>
      </c>
      <c r="F1704" t="s">
        <v>15</v>
      </c>
      <c r="G1704" t="s">
        <v>16</v>
      </c>
      <c r="H1704" s="12">
        <v>85000</v>
      </c>
      <c r="I1704">
        <v>8</v>
      </c>
      <c r="J1704" t="s">
        <v>24</v>
      </c>
      <c r="K1704" s="12">
        <f t="shared" si="26"/>
        <v>68000</v>
      </c>
      <c r="L1704" s="12">
        <f>Sales_Data[[#This Row],[Unit Price]]*Sales_Data[[#This Row],[Quantity]]</f>
        <v>680000</v>
      </c>
      <c r="M1704" s="12">
        <f>Sales_Data[[#This Row],[Cost Price]]*Sales_Data[[#This Row],[Quantity]]</f>
        <v>544000</v>
      </c>
      <c r="N1704" s="12">
        <f>Sales_Data[[#This Row],[Revenue]]-Sales_Data[[#This Row],[COGS]]</f>
        <v>136000</v>
      </c>
    </row>
    <row r="1705" spans="1:14">
      <c r="A1705" s="1">
        <v>47379</v>
      </c>
      <c r="B1705" t="s">
        <v>11</v>
      </c>
      <c r="C1705" t="s">
        <v>12</v>
      </c>
      <c r="D1705" t="s">
        <v>13</v>
      </c>
      <c r="E1705" t="s">
        <v>20</v>
      </c>
      <c r="F1705" t="s">
        <v>38</v>
      </c>
      <c r="G1705" t="s">
        <v>31</v>
      </c>
      <c r="H1705" s="12">
        <v>420000</v>
      </c>
      <c r="I1705">
        <v>7</v>
      </c>
      <c r="J1705" t="s">
        <v>28</v>
      </c>
      <c r="K1705" s="12">
        <f t="shared" si="26"/>
        <v>336000</v>
      </c>
      <c r="L1705" s="12">
        <f>Sales_Data[[#This Row],[Unit Price]]*Sales_Data[[#This Row],[Quantity]]</f>
        <v>2940000</v>
      </c>
      <c r="M1705" s="12">
        <f>Sales_Data[[#This Row],[Cost Price]]*Sales_Data[[#This Row],[Quantity]]</f>
        <v>2352000</v>
      </c>
      <c r="N1705" s="12">
        <f>Sales_Data[[#This Row],[Revenue]]-Sales_Data[[#This Row],[COGS]]</f>
        <v>588000</v>
      </c>
    </row>
    <row r="1706" spans="1:14">
      <c r="A1706" s="1">
        <v>47380</v>
      </c>
      <c r="B1706" t="s">
        <v>18</v>
      </c>
      <c r="C1706" t="s">
        <v>32</v>
      </c>
      <c r="D1706" t="s">
        <v>23</v>
      </c>
      <c r="E1706" t="s">
        <v>20</v>
      </c>
      <c r="F1706" t="s">
        <v>41</v>
      </c>
      <c r="G1706" t="s">
        <v>22</v>
      </c>
      <c r="H1706" s="12">
        <v>220000</v>
      </c>
      <c r="I1706">
        <v>2</v>
      </c>
      <c r="J1706" t="s">
        <v>17</v>
      </c>
      <c r="K1706" s="12">
        <f t="shared" si="26"/>
        <v>176000</v>
      </c>
      <c r="L1706" s="12">
        <f>Sales_Data[[#This Row],[Unit Price]]*Sales_Data[[#This Row],[Quantity]]</f>
        <v>440000</v>
      </c>
      <c r="M1706" s="12">
        <f>Sales_Data[[#This Row],[Cost Price]]*Sales_Data[[#This Row],[Quantity]]</f>
        <v>352000</v>
      </c>
      <c r="N1706" s="12">
        <f>Sales_Data[[#This Row],[Revenue]]-Sales_Data[[#This Row],[COGS]]</f>
        <v>88000</v>
      </c>
    </row>
    <row r="1707" spans="1:14">
      <c r="A1707" s="1">
        <v>47381</v>
      </c>
      <c r="B1707" t="s">
        <v>29</v>
      </c>
      <c r="C1707" t="s">
        <v>26</v>
      </c>
      <c r="D1707" t="s">
        <v>13</v>
      </c>
      <c r="E1707" t="s">
        <v>14</v>
      </c>
      <c r="F1707" t="s">
        <v>36</v>
      </c>
      <c r="G1707" t="s">
        <v>31</v>
      </c>
      <c r="H1707" s="12">
        <v>150000</v>
      </c>
      <c r="I1707">
        <v>1</v>
      </c>
      <c r="J1707" t="s">
        <v>35</v>
      </c>
      <c r="K1707" s="12">
        <f t="shared" si="26"/>
        <v>120000</v>
      </c>
      <c r="L1707" s="12">
        <f>Sales_Data[[#This Row],[Unit Price]]*Sales_Data[[#This Row],[Quantity]]</f>
        <v>150000</v>
      </c>
      <c r="M1707" s="12">
        <f>Sales_Data[[#This Row],[Cost Price]]*Sales_Data[[#This Row],[Quantity]]</f>
        <v>120000</v>
      </c>
      <c r="N1707" s="12">
        <f>Sales_Data[[#This Row],[Revenue]]-Sales_Data[[#This Row],[COGS]]</f>
        <v>30000</v>
      </c>
    </row>
    <row r="1708" spans="1:14">
      <c r="A1708" s="1">
        <v>47382</v>
      </c>
      <c r="B1708" t="s">
        <v>29</v>
      </c>
      <c r="C1708" t="s">
        <v>12</v>
      </c>
      <c r="D1708" t="s">
        <v>23</v>
      </c>
      <c r="E1708" t="s">
        <v>20</v>
      </c>
      <c r="F1708" t="s">
        <v>38</v>
      </c>
      <c r="G1708" t="s">
        <v>31</v>
      </c>
      <c r="H1708" s="12">
        <v>420000</v>
      </c>
      <c r="I1708">
        <v>4</v>
      </c>
      <c r="J1708" t="s">
        <v>37</v>
      </c>
      <c r="K1708" s="12">
        <f t="shared" si="26"/>
        <v>336000</v>
      </c>
      <c r="L1708" s="12">
        <f>Sales_Data[[#This Row],[Unit Price]]*Sales_Data[[#This Row],[Quantity]]</f>
        <v>1680000</v>
      </c>
      <c r="M1708" s="12">
        <f>Sales_Data[[#This Row],[Cost Price]]*Sales_Data[[#This Row],[Quantity]]</f>
        <v>1344000</v>
      </c>
      <c r="N1708" s="12">
        <f>Sales_Data[[#This Row],[Revenue]]-Sales_Data[[#This Row],[COGS]]</f>
        <v>336000</v>
      </c>
    </row>
    <row r="1709" spans="1:14">
      <c r="A1709" s="1">
        <v>47383</v>
      </c>
      <c r="B1709" t="s">
        <v>25</v>
      </c>
      <c r="C1709" t="s">
        <v>19</v>
      </c>
      <c r="D1709" t="s">
        <v>23</v>
      </c>
      <c r="E1709" t="s">
        <v>14</v>
      </c>
      <c r="F1709" t="s">
        <v>30</v>
      </c>
      <c r="G1709" t="s">
        <v>31</v>
      </c>
      <c r="H1709" s="12">
        <v>300000</v>
      </c>
      <c r="I1709">
        <v>1</v>
      </c>
      <c r="J1709" t="s">
        <v>28</v>
      </c>
      <c r="K1709" s="12">
        <f t="shared" si="26"/>
        <v>240000</v>
      </c>
      <c r="L1709" s="12">
        <f>Sales_Data[[#This Row],[Unit Price]]*Sales_Data[[#This Row],[Quantity]]</f>
        <v>300000</v>
      </c>
      <c r="M1709" s="12">
        <f>Sales_Data[[#This Row],[Cost Price]]*Sales_Data[[#This Row],[Quantity]]</f>
        <v>240000</v>
      </c>
      <c r="N1709" s="12">
        <f>Sales_Data[[#This Row],[Revenue]]-Sales_Data[[#This Row],[COGS]]</f>
        <v>60000</v>
      </c>
    </row>
    <row r="1710" spans="1:14">
      <c r="A1710" s="1">
        <v>47384</v>
      </c>
      <c r="B1710" t="s">
        <v>11</v>
      </c>
      <c r="C1710" t="s">
        <v>19</v>
      </c>
      <c r="D1710" t="s">
        <v>13</v>
      </c>
      <c r="E1710" t="s">
        <v>20</v>
      </c>
      <c r="F1710" t="s">
        <v>30</v>
      </c>
      <c r="G1710" t="s">
        <v>31</v>
      </c>
      <c r="H1710" s="12">
        <v>300000</v>
      </c>
      <c r="I1710">
        <v>9</v>
      </c>
      <c r="J1710" t="s">
        <v>24</v>
      </c>
      <c r="K1710" s="12">
        <f t="shared" si="26"/>
        <v>240000</v>
      </c>
      <c r="L1710" s="12">
        <f>Sales_Data[[#This Row],[Unit Price]]*Sales_Data[[#This Row],[Quantity]]</f>
        <v>2700000</v>
      </c>
      <c r="M1710" s="12">
        <f>Sales_Data[[#This Row],[Cost Price]]*Sales_Data[[#This Row],[Quantity]]</f>
        <v>2160000</v>
      </c>
      <c r="N1710" s="12">
        <f>Sales_Data[[#This Row],[Revenue]]-Sales_Data[[#This Row],[COGS]]</f>
        <v>540000</v>
      </c>
    </row>
    <row r="1711" spans="1:14">
      <c r="A1711" s="1">
        <v>47385</v>
      </c>
      <c r="B1711" t="s">
        <v>25</v>
      </c>
      <c r="C1711" t="s">
        <v>32</v>
      </c>
      <c r="D1711" t="s">
        <v>13</v>
      </c>
      <c r="E1711" t="s">
        <v>14</v>
      </c>
      <c r="F1711" t="s">
        <v>40</v>
      </c>
      <c r="G1711" t="s">
        <v>31</v>
      </c>
      <c r="H1711" s="12">
        <v>250000</v>
      </c>
      <c r="I1711">
        <v>6</v>
      </c>
      <c r="J1711" t="s">
        <v>24</v>
      </c>
      <c r="K1711" s="12">
        <f t="shared" si="26"/>
        <v>200000</v>
      </c>
      <c r="L1711" s="12">
        <f>Sales_Data[[#This Row],[Unit Price]]*Sales_Data[[#This Row],[Quantity]]</f>
        <v>1500000</v>
      </c>
      <c r="M1711" s="12">
        <f>Sales_Data[[#This Row],[Cost Price]]*Sales_Data[[#This Row],[Quantity]]</f>
        <v>1200000</v>
      </c>
      <c r="N1711" s="12">
        <f>Sales_Data[[#This Row],[Revenue]]-Sales_Data[[#This Row],[COGS]]</f>
        <v>300000</v>
      </c>
    </row>
    <row r="1712" spans="1:14">
      <c r="A1712" s="1">
        <v>47386</v>
      </c>
      <c r="B1712" t="s">
        <v>29</v>
      </c>
      <c r="C1712" t="s">
        <v>26</v>
      </c>
      <c r="D1712" t="s">
        <v>13</v>
      </c>
      <c r="E1712" t="s">
        <v>20</v>
      </c>
      <c r="F1712" t="s">
        <v>21</v>
      </c>
      <c r="G1712" t="s">
        <v>22</v>
      </c>
      <c r="H1712" s="12">
        <v>30000</v>
      </c>
      <c r="I1712">
        <v>7</v>
      </c>
      <c r="J1712" t="s">
        <v>28</v>
      </c>
      <c r="K1712" s="12">
        <f t="shared" si="26"/>
        <v>24000</v>
      </c>
      <c r="L1712" s="12">
        <f>Sales_Data[[#This Row],[Unit Price]]*Sales_Data[[#This Row],[Quantity]]</f>
        <v>210000</v>
      </c>
      <c r="M1712" s="12">
        <f>Sales_Data[[#This Row],[Cost Price]]*Sales_Data[[#This Row],[Quantity]]</f>
        <v>168000</v>
      </c>
      <c r="N1712" s="12">
        <f>Sales_Data[[#This Row],[Revenue]]-Sales_Data[[#This Row],[COGS]]</f>
        <v>42000</v>
      </c>
    </row>
    <row r="1713" spans="1:14">
      <c r="A1713" s="1">
        <v>47387</v>
      </c>
      <c r="B1713" t="s">
        <v>25</v>
      </c>
      <c r="C1713" t="s">
        <v>12</v>
      </c>
      <c r="D1713" t="s">
        <v>23</v>
      </c>
      <c r="E1713" t="s">
        <v>14</v>
      </c>
      <c r="F1713" t="s">
        <v>15</v>
      </c>
      <c r="G1713" t="s">
        <v>16</v>
      </c>
      <c r="H1713" s="12">
        <v>85000</v>
      </c>
      <c r="I1713">
        <v>7</v>
      </c>
      <c r="J1713" t="s">
        <v>39</v>
      </c>
      <c r="K1713" s="12">
        <f t="shared" si="26"/>
        <v>68000</v>
      </c>
      <c r="L1713" s="12">
        <f>Sales_Data[[#This Row],[Unit Price]]*Sales_Data[[#This Row],[Quantity]]</f>
        <v>595000</v>
      </c>
      <c r="M1713" s="12">
        <f>Sales_Data[[#This Row],[Cost Price]]*Sales_Data[[#This Row],[Quantity]]</f>
        <v>476000</v>
      </c>
      <c r="N1713" s="12">
        <f>Sales_Data[[#This Row],[Revenue]]-Sales_Data[[#This Row],[COGS]]</f>
        <v>119000</v>
      </c>
    </row>
    <row r="1714" spans="1:14">
      <c r="A1714" s="1">
        <v>47388</v>
      </c>
      <c r="B1714" t="s">
        <v>11</v>
      </c>
      <c r="C1714" t="s">
        <v>32</v>
      </c>
      <c r="D1714" t="s">
        <v>23</v>
      </c>
      <c r="E1714" t="s">
        <v>14</v>
      </c>
      <c r="F1714" t="s">
        <v>15</v>
      </c>
      <c r="G1714" t="s">
        <v>16</v>
      </c>
      <c r="H1714" s="12">
        <v>85000</v>
      </c>
      <c r="I1714">
        <v>7</v>
      </c>
      <c r="J1714" t="s">
        <v>39</v>
      </c>
      <c r="K1714" s="12">
        <f t="shared" si="26"/>
        <v>68000</v>
      </c>
      <c r="L1714" s="12">
        <f>Sales_Data[[#This Row],[Unit Price]]*Sales_Data[[#This Row],[Quantity]]</f>
        <v>595000</v>
      </c>
      <c r="M1714" s="12">
        <f>Sales_Data[[#This Row],[Cost Price]]*Sales_Data[[#This Row],[Quantity]]</f>
        <v>476000</v>
      </c>
      <c r="N1714" s="12">
        <f>Sales_Data[[#This Row],[Revenue]]-Sales_Data[[#This Row],[COGS]]</f>
        <v>119000</v>
      </c>
    </row>
    <row r="1715" spans="1:14">
      <c r="A1715" s="1">
        <v>47389</v>
      </c>
      <c r="B1715" t="s">
        <v>25</v>
      </c>
      <c r="C1715" t="s">
        <v>26</v>
      </c>
      <c r="D1715" t="s">
        <v>13</v>
      </c>
      <c r="E1715" t="s">
        <v>14</v>
      </c>
      <c r="F1715" t="s">
        <v>21</v>
      </c>
      <c r="G1715" t="s">
        <v>22</v>
      </c>
      <c r="H1715" s="12">
        <v>30000</v>
      </c>
      <c r="I1715">
        <v>4</v>
      </c>
      <c r="J1715" t="s">
        <v>17</v>
      </c>
      <c r="K1715" s="12">
        <f t="shared" si="26"/>
        <v>24000</v>
      </c>
      <c r="L1715" s="12">
        <f>Sales_Data[[#This Row],[Unit Price]]*Sales_Data[[#This Row],[Quantity]]</f>
        <v>120000</v>
      </c>
      <c r="M1715" s="12">
        <f>Sales_Data[[#This Row],[Cost Price]]*Sales_Data[[#This Row],[Quantity]]</f>
        <v>96000</v>
      </c>
      <c r="N1715" s="12">
        <f>Sales_Data[[#This Row],[Revenue]]-Sales_Data[[#This Row],[COGS]]</f>
        <v>24000</v>
      </c>
    </row>
    <row r="1716" spans="1:14">
      <c r="A1716" s="1">
        <v>47390</v>
      </c>
      <c r="B1716" t="s">
        <v>11</v>
      </c>
      <c r="C1716" t="s">
        <v>26</v>
      </c>
      <c r="D1716" t="s">
        <v>13</v>
      </c>
      <c r="E1716" t="s">
        <v>14</v>
      </c>
      <c r="F1716" t="s">
        <v>36</v>
      </c>
      <c r="G1716" t="s">
        <v>31</v>
      </c>
      <c r="H1716" s="12">
        <v>150000</v>
      </c>
      <c r="I1716">
        <v>9</v>
      </c>
      <c r="J1716" t="s">
        <v>24</v>
      </c>
      <c r="K1716" s="12">
        <f t="shared" si="26"/>
        <v>120000</v>
      </c>
      <c r="L1716" s="12">
        <f>Sales_Data[[#This Row],[Unit Price]]*Sales_Data[[#This Row],[Quantity]]</f>
        <v>1350000</v>
      </c>
      <c r="M1716" s="12">
        <f>Sales_Data[[#This Row],[Cost Price]]*Sales_Data[[#This Row],[Quantity]]</f>
        <v>1080000</v>
      </c>
      <c r="N1716" s="12">
        <f>Sales_Data[[#This Row],[Revenue]]-Sales_Data[[#This Row],[COGS]]</f>
        <v>270000</v>
      </c>
    </row>
    <row r="1717" spans="1:14">
      <c r="A1717" s="1">
        <v>47391</v>
      </c>
      <c r="B1717" t="s">
        <v>29</v>
      </c>
      <c r="C1717" t="s">
        <v>12</v>
      </c>
      <c r="D1717" t="s">
        <v>23</v>
      </c>
      <c r="E1717" t="s">
        <v>20</v>
      </c>
      <c r="F1717" t="s">
        <v>41</v>
      </c>
      <c r="G1717" t="s">
        <v>22</v>
      </c>
      <c r="H1717" s="12">
        <v>220000</v>
      </c>
      <c r="I1717">
        <v>9</v>
      </c>
      <c r="J1717" t="s">
        <v>39</v>
      </c>
      <c r="K1717" s="12">
        <f t="shared" si="26"/>
        <v>176000</v>
      </c>
      <c r="L1717" s="12">
        <f>Sales_Data[[#This Row],[Unit Price]]*Sales_Data[[#This Row],[Quantity]]</f>
        <v>1980000</v>
      </c>
      <c r="M1717" s="12">
        <f>Sales_Data[[#This Row],[Cost Price]]*Sales_Data[[#This Row],[Quantity]]</f>
        <v>1584000</v>
      </c>
      <c r="N1717" s="12">
        <f>Sales_Data[[#This Row],[Revenue]]-Sales_Data[[#This Row],[COGS]]</f>
        <v>396000</v>
      </c>
    </row>
    <row r="1718" spans="1:14">
      <c r="A1718" s="1">
        <v>47392</v>
      </c>
      <c r="B1718" t="s">
        <v>18</v>
      </c>
      <c r="C1718" t="s">
        <v>26</v>
      </c>
      <c r="D1718" t="s">
        <v>23</v>
      </c>
      <c r="E1718" t="s">
        <v>14</v>
      </c>
      <c r="F1718" t="s">
        <v>21</v>
      </c>
      <c r="G1718" t="s">
        <v>22</v>
      </c>
      <c r="H1718" s="12">
        <v>30000</v>
      </c>
      <c r="I1718">
        <v>8</v>
      </c>
      <c r="J1718" t="s">
        <v>37</v>
      </c>
      <c r="K1718" s="12">
        <f t="shared" si="26"/>
        <v>24000</v>
      </c>
      <c r="L1718" s="12">
        <f>Sales_Data[[#This Row],[Unit Price]]*Sales_Data[[#This Row],[Quantity]]</f>
        <v>240000</v>
      </c>
      <c r="M1718" s="12">
        <f>Sales_Data[[#This Row],[Cost Price]]*Sales_Data[[#This Row],[Quantity]]</f>
        <v>192000</v>
      </c>
      <c r="N1718" s="12">
        <f>Sales_Data[[#This Row],[Revenue]]-Sales_Data[[#This Row],[COGS]]</f>
        <v>48000</v>
      </c>
    </row>
    <row r="1719" spans="1:14">
      <c r="A1719" s="1">
        <v>47393</v>
      </c>
      <c r="B1719" t="s">
        <v>18</v>
      </c>
      <c r="C1719" t="s">
        <v>26</v>
      </c>
      <c r="D1719" t="s">
        <v>13</v>
      </c>
      <c r="E1719" t="s">
        <v>14</v>
      </c>
      <c r="F1719" t="s">
        <v>15</v>
      </c>
      <c r="G1719" t="s">
        <v>16</v>
      </c>
      <c r="H1719" s="12">
        <v>85000</v>
      </c>
      <c r="I1719">
        <v>2</v>
      </c>
      <c r="J1719" t="s">
        <v>24</v>
      </c>
      <c r="K1719" s="12">
        <f t="shared" si="26"/>
        <v>68000</v>
      </c>
      <c r="L1719" s="12">
        <f>Sales_Data[[#This Row],[Unit Price]]*Sales_Data[[#This Row],[Quantity]]</f>
        <v>170000</v>
      </c>
      <c r="M1719" s="12">
        <f>Sales_Data[[#This Row],[Cost Price]]*Sales_Data[[#This Row],[Quantity]]</f>
        <v>136000</v>
      </c>
      <c r="N1719" s="12">
        <f>Sales_Data[[#This Row],[Revenue]]-Sales_Data[[#This Row],[COGS]]</f>
        <v>34000</v>
      </c>
    </row>
    <row r="1720" spans="1:14">
      <c r="A1720" s="1">
        <v>47394</v>
      </c>
      <c r="B1720" t="s">
        <v>25</v>
      </c>
      <c r="C1720" t="s">
        <v>19</v>
      </c>
      <c r="D1720" t="s">
        <v>23</v>
      </c>
      <c r="E1720" t="s">
        <v>14</v>
      </c>
      <c r="F1720" t="s">
        <v>33</v>
      </c>
      <c r="G1720" t="s">
        <v>22</v>
      </c>
      <c r="H1720" s="12">
        <v>180000</v>
      </c>
      <c r="I1720">
        <v>9</v>
      </c>
      <c r="J1720" t="s">
        <v>24</v>
      </c>
      <c r="K1720" s="12">
        <f t="shared" si="26"/>
        <v>144000</v>
      </c>
      <c r="L1720" s="12">
        <f>Sales_Data[[#This Row],[Unit Price]]*Sales_Data[[#This Row],[Quantity]]</f>
        <v>1620000</v>
      </c>
      <c r="M1720" s="12">
        <f>Sales_Data[[#This Row],[Cost Price]]*Sales_Data[[#This Row],[Quantity]]</f>
        <v>1296000</v>
      </c>
      <c r="N1720" s="12">
        <f>Sales_Data[[#This Row],[Revenue]]-Sales_Data[[#This Row],[COGS]]</f>
        <v>324000</v>
      </c>
    </row>
    <row r="1721" spans="1:14">
      <c r="A1721" s="1">
        <v>47395</v>
      </c>
      <c r="B1721" t="s">
        <v>18</v>
      </c>
      <c r="C1721" t="s">
        <v>26</v>
      </c>
      <c r="D1721" t="s">
        <v>13</v>
      </c>
      <c r="E1721" t="s">
        <v>14</v>
      </c>
      <c r="F1721" t="s">
        <v>36</v>
      </c>
      <c r="G1721" t="s">
        <v>31</v>
      </c>
      <c r="H1721" s="12">
        <v>150000</v>
      </c>
      <c r="I1721">
        <v>8</v>
      </c>
      <c r="J1721" t="s">
        <v>39</v>
      </c>
      <c r="K1721" s="12">
        <f t="shared" si="26"/>
        <v>120000</v>
      </c>
      <c r="L1721" s="12">
        <f>Sales_Data[[#This Row],[Unit Price]]*Sales_Data[[#This Row],[Quantity]]</f>
        <v>1200000</v>
      </c>
      <c r="M1721" s="12">
        <f>Sales_Data[[#This Row],[Cost Price]]*Sales_Data[[#This Row],[Quantity]]</f>
        <v>960000</v>
      </c>
      <c r="N1721" s="12">
        <f>Sales_Data[[#This Row],[Revenue]]-Sales_Data[[#This Row],[COGS]]</f>
        <v>240000</v>
      </c>
    </row>
    <row r="1722" spans="1:14">
      <c r="A1722" s="1">
        <v>47396</v>
      </c>
      <c r="B1722" t="s">
        <v>29</v>
      </c>
      <c r="C1722" t="s">
        <v>12</v>
      </c>
      <c r="D1722" t="s">
        <v>13</v>
      </c>
      <c r="E1722" t="s">
        <v>14</v>
      </c>
      <c r="F1722" t="s">
        <v>27</v>
      </c>
      <c r="G1722" t="s">
        <v>22</v>
      </c>
      <c r="H1722" s="12">
        <v>60000</v>
      </c>
      <c r="I1722">
        <v>8</v>
      </c>
      <c r="J1722" t="s">
        <v>37</v>
      </c>
      <c r="K1722" s="12">
        <f t="shared" si="26"/>
        <v>48000</v>
      </c>
      <c r="L1722" s="12">
        <f>Sales_Data[[#This Row],[Unit Price]]*Sales_Data[[#This Row],[Quantity]]</f>
        <v>480000</v>
      </c>
      <c r="M1722" s="12">
        <f>Sales_Data[[#This Row],[Cost Price]]*Sales_Data[[#This Row],[Quantity]]</f>
        <v>384000</v>
      </c>
      <c r="N1722" s="12">
        <f>Sales_Data[[#This Row],[Revenue]]-Sales_Data[[#This Row],[COGS]]</f>
        <v>96000</v>
      </c>
    </row>
    <row r="1723" spans="1:14">
      <c r="A1723" s="1">
        <v>47397</v>
      </c>
      <c r="B1723" t="s">
        <v>11</v>
      </c>
      <c r="C1723" t="s">
        <v>12</v>
      </c>
      <c r="D1723" t="s">
        <v>13</v>
      </c>
      <c r="E1723" t="s">
        <v>20</v>
      </c>
      <c r="F1723" t="s">
        <v>30</v>
      </c>
      <c r="G1723" t="s">
        <v>31</v>
      </c>
      <c r="H1723" s="12">
        <v>300000</v>
      </c>
      <c r="I1723">
        <v>5</v>
      </c>
      <c r="J1723" t="s">
        <v>28</v>
      </c>
      <c r="K1723" s="12">
        <f t="shared" si="26"/>
        <v>240000</v>
      </c>
      <c r="L1723" s="12">
        <f>Sales_Data[[#This Row],[Unit Price]]*Sales_Data[[#This Row],[Quantity]]</f>
        <v>1500000</v>
      </c>
      <c r="M1723" s="12">
        <f>Sales_Data[[#This Row],[Cost Price]]*Sales_Data[[#This Row],[Quantity]]</f>
        <v>1200000</v>
      </c>
      <c r="N1723" s="12">
        <f>Sales_Data[[#This Row],[Revenue]]-Sales_Data[[#This Row],[COGS]]</f>
        <v>300000</v>
      </c>
    </row>
    <row r="1724" spans="1:14">
      <c r="A1724" s="1">
        <v>47398</v>
      </c>
      <c r="B1724" t="s">
        <v>29</v>
      </c>
      <c r="C1724" t="s">
        <v>19</v>
      </c>
      <c r="D1724" t="s">
        <v>13</v>
      </c>
      <c r="E1724" t="s">
        <v>14</v>
      </c>
      <c r="F1724" t="s">
        <v>21</v>
      </c>
      <c r="G1724" t="s">
        <v>22</v>
      </c>
      <c r="H1724" s="12">
        <v>30000</v>
      </c>
      <c r="I1724">
        <v>8</v>
      </c>
      <c r="J1724" t="s">
        <v>35</v>
      </c>
      <c r="K1724" s="12">
        <f t="shared" si="26"/>
        <v>24000</v>
      </c>
      <c r="L1724" s="12">
        <f>Sales_Data[[#This Row],[Unit Price]]*Sales_Data[[#This Row],[Quantity]]</f>
        <v>240000</v>
      </c>
      <c r="M1724" s="12">
        <f>Sales_Data[[#This Row],[Cost Price]]*Sales_Data[[#This Row],[Quantity]]</f>
        <v>192000</v>
      </c>
      <c r="N1724" s="12">
        <f>Sales_Data[[#This Row],[Revenue]]-Sales_Data[[#This Row],[COGS]]</f>
        <v>48000</v>
      </c>
    </row>
    <row r="1725" spans="1:14">
      <c r="A1725" s="1">
        <v>47399</v>
      </c>
      <c r="B1725" t="s">
        <v>29</v>
      </c>
      <c r="C1725" t="s">
        <v>12</v>
      </c>
      <c r="D1725" t="s">
        <v>23</v>
      </c>
      <c r="E1725" t="s">
        <v>20</v>
      </c>
      <c r="F1725" t="s">
        <v>38</v>
      </c>
      <c r="G1725" t="s">
        <v>31</v>
      </c>
      <c r="H1725" s="12">
        <v>420000</v>
      </c>
      <c r="I1725">
        <v>3</v>
      </c>
      <c r="J1725" t="s">
        <v>24</v>
      </c>
      <c r="K1725" s="12">
        <f t="shared" si="26"/>
        <v>336000</v>
      </c>
      <c r="L1725" s="12">
        <f>Sales_Data[[#This Row],[Unit Price]]*Sales_Data[[#This Row],[Quantity]]</f>
        <v>1260000</v>
      </c>
      <c r="M1725" s="12">
        <f>Sales_Data[[#This Row],[Cost Price]]*Sales_Data[[#This Row],[Quantity]]</f>
        <v>1008000</v>
      </c>
      <c r="N1725" s="12">
        <f>Sales_Data[[#This Row],[Revenue]]-Sales_Data[[#This Row],[COGS]]</f>
        <v>252000</v>
      </c>
    </row>
    <row r="1726" spans="1:14">
      <c r="A1726" s="1">
        <v>47400</v>
      </c>
      <c r="B1726" t="s">
        <v>11</v>
      </c>
      <c r="C1726" t="s">
        <v>12</v>
      </c>
      <c r="D1726" t="s">
        <v>23</v>
      </c>
      <c r="E1726" t="s">
        <v>14</v>
      </c>
      <c r="F1726" t="s">
        <v>38</v>
      </c>
      <c r="G1726" t="s">
        <v>31</v>
      </c>
      <c r="H1726" s="12">
        <v>420000</v>
      </c>
      <c r="I1726">
        <v>7</v>
      </c>
      <c r="J1726" t="s">
        <v>39</v>
      </c>
      <c r="K1726" s="12">
        <f t="shared" si="26"/>
        <v>336000</v>
      </c>
      <c r="L1726" s="12">
        <f>Sales_Data[[#This Row],[Unit Price]]*Sales_Data[[#This Row],[Quantity]]</f>
        <v>2940000</v>
      </c>
      <c r="M1726" s="12">
        <f>Sales_Data[[#This Row],[Cost Price]]*Sales_Data[[#This Row],[Quantity]]</f>
        <v>2352000</v>
      </c>
      <c r="N1726" s="12">
        <f>Sales_Data[[#This Row],[Revenue]]-Sales_Data[[#This Row],[COGS]]</f>
        <v>588000</v>
      </c>
    </row>
    <row r="1727" spans="1:14">
      <c r="A1727" s="1">
        <v>47401</v>
      </c>
      <c r="B1727" t="s">
        <v>18</v>
      </c>
      <c r="C1727" t="s">
        <v>19</v>
      </c>
      <c r="D1727" t="s">
        <v>23</v>
      </c>
      <c r="E1727" t="s">
        <v>14</v>
      </c>
      <c r="F1727" t="s">
        <v>15</v>
      </c>
      <c r="G1727" t="s">
        <v>16</v>
      </c>
      <c r="H1727" s="12">
        <v>85000</v>
      </c>
      <c r="I1727">
        <v>9</v>
      </c>
      <c r="J1727" t="s">
        <v>39</v>
      </c>
      <c r="K1727" s="12">
        <f t="shared" si="26"/>
        <v>68000</v>
      </c>
      <c r="L1727" s="12">
        <f>Sales_Data[[#This Row],[Unit Price]]*Sales_Data[[#This Row],[Quantity]]</f>
        <v>765000</v>
      </c>
      <c r="M1727" s="12">
        <f>Sales_Data[[#This Row],[Cost Price]]*Sales_Data[[#This Row],[Quantity]]</f>
        <v>612000</v>
      </c>
      <c r="N1727" s="12">
        <f>Sales_Data[[#This Row],[Revenue]]-Sales_Data[[#This Row],[COGS]]</f>
        <v>153000</v>
      </c>
    </row>
    <row r="1728" spans="1:14">
      <c r="A1728" s="1">
        <v>47402</v>
      </c>
      <c r="B1728" t="s">
        <v>18</v>
      </c>
      <c r="C1728" t="s">
        <v>19</v>
      </c>
      <c r="D1728" t="s">
        <v>23</v>
      </c>
      <c r="E1728" t="s">
        <v>14</v>
      </c>
      <c r="F1728" t="s">
        <v>30</v>
      </c>
      <c r="G1728" t="s">
        <v>31</v>
      </c>
      <c r="H1728" s="12">
        <v>300000</v>
      </c>
      <c r="I1728">
        <v>8</v>
      </c>
      <c r="J1728" t="s">
        <v>28</v>
      </c>
      <c r="K1728" s="12">
        <f t="shared" si="26"/>
        <v>240000</v>
      </c>
      <c r="L1728" s="12">
        <f>Sales_Data[[#This Row],[Unit Price]]*Sales_Data[[#This Row],[Quantity]]</f>
        <v>2400000</v>
      </c>
      <c r="M1728" s="12">
        <f>Sales_Data[[#This Row],[Cost Price]]*Sales_Data[[#This Row],[Quantity]]</f>
        <v>1920000</v>
      </c>
      <c r="N1728" s="12">
        <f>Sales_Data[[#This Row],[Revenue]]-Sales_Data[[#This Row],[COGS]]</f>
        <v>480000</v>
      </c>
    </row>
    <row r="1729" spans="1:14">
      <c r="A1729" s="1">
        <v>47403</v>
      </c>
      <c r="B1729" t="s">
        <v>29</v>
      </c>
      <c r="C1729" t="s">
        <v>32</v>
      </c>
      <c r="D1729" t="s">
        <v>13</v>
      </c>
      <c r="E1729" t="s">
        <v>20</v>
      </c>
      <c r="F1729" t="s">
        <v>38</v>
      </c>
      <c r="G1729" t="s">
        <v>31</v>
      </c>
      <c r="H1729" s="12">
        <v>420000</v>
      </c>
      <c r="I1729">
        <v>6</v>
      </c>
      <c r="J1729" t="s">
        <v>17</v>
      </c>
      <c r="K1729" s="12">
        <f t="shared" si="26"/>
        <v>336000</v>
      </c>
      <c r="L1729" s="12">
        <f>Sales_Data[[#This Row],[Unit Price]]*Sales_Data[[#This Row],[Quantity]]</f>
        <v>2520000</v>
      </c>
      <c r="M1729" s="12">
        <f>Sales_Data[[#This Row],[Cost Price]]*Sales_Data[[#This Row],[Quantity]]</f>
        <v>2016000</v>
      </c>
      <c r="N1729" s="12">
        <f>Sales_Data[[#This Row],[Revenue]]-Sales_Data[[#This Row],[COGS]]</f>
        <v>504000</v>
      </c>
    </row>
    <row r="1730" spans="1:14">
      <c r="A1730" s="1">
        <v>47404</v>
      </c>
      <c r="B1730" t="s">
        <v>25</v>
      </c>
      <c r="C1730" t="s">
        <v>32</v>
      </c>
      <c r="D1730" t="s">
        <v>23</v>
      </c>
      <c r="E1730" t="s">
        <v>14</v>
      </c>
      <c r="F1730" t="s">
        <v>36</v>
      </c>
      <c r="G1730" t="s">
        <v>31</v>
      </c>
      <c r="H1730" s="12">
        <v>150000</v>
      </c>
      <c r="I1730">
        <v>9</v>
      </c>
      <c r="J1730" t="s">
        <v>35</v>
      </c>
      <c r="K1730" s="12">
        <f t="shared" ref="K1730:K1793" si="27">H1730-H1730*0.2</f>
        <v>120000</v>
      </c>
      <c r="L1730" s="12">
        <f>Sales_Data[[#This Row],[Unit Price]]*Sales_Data[[#This Row],[Quantity]]</f>
        <v>1350000</v>
      </c>
      <c r="M1730" s="12">
        <f>Sales_Data[[#This Row],[Cost Price]]*Sales_Data[[#This Row],[Quantity]]</f>
        <v>1080000</v>
      </c>
      <c r="N1730" s="12">
        <f>Sales_Data[[#This Row],[Revenue]]-Sales_Data[[#This Row],[COGS]]</f>
        <v>270000</v>
      </c>
    </row>
    <row r="1731" spans="1:14">
      <c r="A1731" s="1">
        <v>47405</v>
      </c>
      <c r="B1731" t="s">
        <v>18</v>
      </c>
      <c r="C1731" t="s">
        <v>26</v>
      </c>
      <c r="D1731" t="s">
        <v>13</v>
      </c>
      <c r="E1731" t="s">
        <v>20</v>
      </c>
      <c r="F1731" t="s">
        <v>21</v>
      </c>
      <c r="G1731" t="s">
        <v>22</v>
      </c>
      <c r="H1731" s="12">
        <v>30000</v>
      </c>
      <c r="I1731">
        <v>3</v>
      </c>
      <c r="J1731" t="s">
        <v>28</v>
      </c>
      <c r="K1731" s="12">
        <f t="shared" si="27"/>
        <v>24000</v>
      </c>
      <c r="L1731" s="12">
        <f>Sales_Data[[#This Row],[Unit Price]]*Sales_Data[[#This Row],[Quantity]]</f>
        <v>90000</v>
      </c>
      <c r="M1731" s="12">
        <f>Sales_Data[[#This Row],[Cost Price]]*Sales_Data[[#This Row],[Quantity]]</f>
        <v>72000</v>
      </c>
      <c r="N1731" s="12">
        <f>Sales_Data[[#This Row],[Revenue]]-Sales_Data[[#This Row],[COGS]]</f>
        <v>18000</v>
      </c>
    </row>
    <row r="1732" spans="1:14">
      <c r="A1732" s="1">
        <v>47406</v>
      </c>
      <c r="B1732" t="s">
        <v>18</v>
      </c>
      <c r="C1732" t="s">
        <v>26</v>
      </c>
      <c r="D1732" t="s">
        <v>13</v>
      </c>
      <c r="E1732" t="s">
        <v>20</v>
      </c>
      <c r="F1732" t="s">
        <v>21</v>
      </c>
      <c r="G1732" t="s">
        <v>22</v>
      </c>
      <c r="H1732" s="12">
        <v>30000</v>
      </c>
      <c r="I1732">
        <v>4</v>
      </c>
      <c r="J1732" t="s">
        <v>37</v>
      </c>
      <c r="K1732" s="12">
        <f t="shared" si="27"/>
        <v>24000</v>
      </c>
      <c r="L1732" s="12">
        <f>Sales_Data[[#This Row],[Unit Price]]*Sales_Data[[#This Row],[Quantity]]</f>
        <v>120000</v>
      </c>
      <c r="M1732" s="12">
        <f>Sales_Data[[#This Row],[Cost Price]]*Sales_Data[[#This Row],[Quantity]]</f>
        <v>96000</v>
      </c>
      <c r="N1732" s="12">
        <f>Sales_Data[[#This Row],[Revenue]]-Sales_Data[[#This Row],[COGS]]</f>
        <v>24000</v>
      </c>
    </row>
    <row r="1733" spans="1:14">
      <c r="A1733" s="1">
        <v>47407</v>
      </c>
      <c r="B1733" t="s">
        <v>29</v>
      </c>
      <c r="C1733" t="s">
        <v>19</v>
      </c>
      <c r="D1733" t="s">
        <v>23</v>
      </c>
      <c r="E1733" t="s">
        <v>14</v>
      </c>
      <c r="F1733" t="s">
        <v>27</v>
      </c>
      <c r="G1733" t="s">
        <v>22</v>
      </c>
      <c r="H1733" s="12">
        <v>60000</v>
      </c>
      <c r="I1733">
        <v>4</v>
      </c>
      <c r="J1733" t="s">
        <v>37</v>
      </c>
      <c r="K1733" s="12">
        <f t="shared" si="27"/>
        <v>48000</v>
      </c>
      <c r="L1733" s="12">
        <f>Sales_Data[[#This Row],[Unit Price]]*Sales_Data[[#This Row],[Quantity]]</f>
        <v>240000</v>
      </c>
      <c r="M1733" s="12">
        <f>Sales_Data[[#This Row],[Cost Price]]*Sales_Data[[#This Row],[Quantity]]</f>
        <v>192000</v>
      </c>
      <c r="N1733" s="12">
        <f>Sales_Data[[#This Row],[Revenue]]-Sales_Data[[#This Row],[COGS]]</f>
        <v>48000</v>
      </c>
    </row>
    <row r="1734" spans="1:14">
      <c r="A1734" s="1">
        <v>47408</v>
      </c>
      <c r="B1734" t="s">
        <v>29</v>
      </c>
      <c r="C1734" t="s">
        <v>26</v>
      </c>
      <c r="D1734" t="s">
        <v>13</v>
      </c>
      <c r="E1734" t="s">
        <v>20</v>
      </c>
      <c r="F1734" t="s">
        <v>40</v>
      </c>
      <c r="G1734" t="s">
        <v>31</v>
      </c>
      <c r="H1734" s="12">
        <v>250000</v>
      </c>
      <c r="I1734">
        <v>8</v>
      </c>
      <c r="J1734" t="s">
        <v>17</v>
      </c>
      <c r="K1734" s="12">
        <f t="shared" si="27"/>
        <v>200000</v>
      </c>
      <c r="L1734" s="12">
        <f>Sales_Data[[#This Row],[Unit Price]]*Sales_Data[[#This Row],[Quantity]]</f>
        <v>2000000</v>
      </c>
      <c r="M1734" s="12">
        <f>Sales_Data[[#This Row],[Cost Price]]*Sales_Data[[#This Row],[Quantity]]</f>
        <v>1600000</v>
      </c>
      <c r="N1734" s="12">
        <f>Sales_Data[[#This Row],[Revenue]]-Sales_Data[[#This Row],[COGS]]</f>
        <v>400000</v>
      </c>
    </row>
    <row r="1735" spans="1:14">
      <c r="A1735" s="1">
        <v>47409</v>
      </c>
      <c r="B1735" t="s">
        <v>29</v>
      </c>
      <c r="C1735" t="s">
        <v>32</v>
      </c>
      <c r="D1735" t="s">
        <v>23</v>
      </c>
      <c r="E1735" t="s">
        <v>14</v>
      </c>
      <c r="F1735" t="s">
        <v>21</v>
      </c>
      <c r="G1735" t="s">
        <v>22</v>
      </c>
      <c r="H1735" s="12">
        <v>30000</v>
      </c>
      <c r="I1735">
        <v>6</v>
      </c>
      <c r="J1735" t="s">
        <v>28</v>
      </c>
      <c r="K1735" s="12">
        <f t="shared" si="27"/>
        <v>24000</v>
      </c>
      <c r="L1735" s="12">
        <f>Sales_Data[[#This Row],[Unit Price]]*Sales_Data[[#This Row],[Quantity]]</f>
        <v>180000</v>
      </c>
      <c r="M1735" s="12">
        <f>Sales_Data[[#This Row],[Cost Price]]*Sales_Data[[#This Row],[Quantity]]</f>
        <v>144000</v>
      </c>
      <c r="N1735" s="12">
        <f>Sales_Data[[#This Row],[Revenue]]-Sales_Data[[#This Row],[COGS]]</f>
        <v>36000</v>
      </c>
    </row>
    <row r="1736" spans="1:14">
      <c r="A1736" s="1">
        <v>47410</v>
      </c>
      <c r="B1736" t="s">
        <v>25</v>
      </c>
      <c r="C1736" t="s">
        <v>19</v>
      </c>
      <c r="D1736" t="s">
        <v>23</v>
      </c>
      <c r="E1736" t="s">
        <v>20</v>
      </c>
      <c r="F1736" t="s">
        <v>40</v>
      </c>
      <c r="G1736" t="s">
        <v>31</v>
      </c>
      <c r="H1736" s="12">
        <v>250000</v>
      </c>
      <c r="I1736">
        <v>1</v>
      </c>
      <c r="J1736" t="s">
        <v>24</v>
      </c>
      <c r="K1736" s="12">
        <f t="shared" si="27"/>
        <v>200000</v>
      </c>
      <c r="L1736" s="12">
        <f>Sales_Data[[#This Row],[Unit Price]]*Sales_Data[[#This Row],[Quantity]]</f>
        <v>250000</v>
      </c>
      <c r="M1736" s="12">
        <f>Sales_Data[[#This Row],[Cost Price]]*Sales_Data[[#This Row],[Quantity]]</f>
        <v>200000</v>
      </c>
      <c r="N1736" s="12">
        <f>Sales_Data[[#This Row],[Revenue]]-Sales_Data[[#This Row],[COGS]]</f>
        <v>50000</v>
      </c>
    </row>
    <row r="1737" spans="1:14">
      <c r="A1737" s="1">
        <v>47411</v>
      </c>
      <c r="B1737" t="s">
        <v>11</v>
      </c>
      <c r="C1737" t="s">
        <v>12</v>
      </c>
      <c r="D1737" t="s">
        <v>13</v>
      </c>
      <c r="E1737" t="s">
        <v>14</v>
      </c>
      <c r="F1737" t="s">
        <v>15</v>
      </c>
      <c r="G1737" t="s">
        <v>16</v>
      </c>
      <c r="H1737" s="12">
        <v>85000</v>
      </c>
      <c r="I1737">
        <v>1</v>
      </c>
      <c r="J1737" t="s">
        <v>35</v>
      </c>
      <c r="K1737" s="12">
        <f t="shared" si="27"/>
        <v>68000</v>
      </c>
      <c r="L1737" s="12">
        <f>Sales_Data[[#This Row],[Unit Price]]*Sales_Data[[#This Row],[Quantity]]</f>
        <v>85000</v>
      </c>
      <c r="M1737" s="12">
        <f>Sales_Data[[#This Row],[Cost Price]]*Sales_Data[[#This Row],[Quantity]]</f>
        <v>68000</v>
      </c>
      <c r="N1737" s="12">
        <f>Sales_Data[[#This Row],[Revenue]]-Sales_Data[[#This Row],[COGS]]</f>
        <v>17000</v>
      </c>
    </row>
    <row r="1738" spans="1:14">
      <c r="A1738" s="1">
        <v>47412</v>
      </c>
      <c r="B1738" t="s">
        <v>29</v>
      </c>
      <c r="C1738" t="s">
        <v>12</v>
      </c>
      <c r="D1738" t="s">
        <v>23</v>
      </c>
      <c r="E1738" t="s">
        <v>20</v>
      </c>
      <c r="F1738" t="s">
        <v>21</v>
      </c>
      <c r="G1738" t="s">
        <v>22</v>
      </c>
      <c r="H1738" s="12">
        <v>30000</v>
      </c>
      <c r="I1738">
        <v>9</v>
      </c>
      <c r="J1738" t="s">
        <v>17</v>
      </c>
      <c r="K1738" s="12">
        <f t="shared" si="27"/>
        <v>24000</v>
      </c>
      <c r="L1738" s="12">
        <f>Sales_Data[[#This Row],[Unit Price]]*Sales_Data[[#This Row],[Quantity]]</f>
        <v>270000</v>
      </c>
      <c r="M1738" s="12">
        <f>Sales_Data[[#This Row],[Cost Price]]*Sales_Data[[#This Row],[Quantity]]</f>
        <v>216000</v>
      </c>
      <c r="N1738" s="12">
        <f>Sales_Data[[#This Row],[Revenue]]-Sales_Data[[#This Row],[COGS]]</f>
        <v>54000</v>
      </c>
    </row>
    <row r="1739" spans="1:14">
      <c r="A1739" s="1">
        <v>47413</v>
      </c>
      <c r="B1739" t="s">
        <v>25</v>
      </c>
      <c r="C1739" t="s">
        <v>32</v>
      </c>
      <c r="D1739" t="s">
        <v>23</v>
      </c>
      <c r="E1739" t="s">
        <v>20</v>
      </c>
      <c r="F1739" t="s">
        <v>21</v>
      </c>
      <c r="G1739" t="s">
        <v>22</v>
      </c>
      <c r="H1739" s="12">
        <v>30000</v>
      </c>
      <c r="I1739">
        <v>3</v>
      </c>
      <c r="J1739" t="s">
        <v>17</v>
      </c>
      <c r="K1739" s="12">
        <f t="shared" si="27"/>
        <v>24000</v>
      </c>
      <c r="L1739" s="12">
        <f>Sales_Data[[#This Row],[Unit Price]]*Sales_Data[[#This Row],[Quantity]]</f>
        <v>90000</v>
      </c>
      <c r="M1739" s="12">
        <f>Sales_Data[[#This Row],[Cost Price]]*Sales_Data[[#This Row],[Quantity]]</f>
        <v>72000</v>
      </c>
      <c r="N1739" s="12">
        <f>Sales_Data[[#This Row],[Revenue]]-Sales_Data[[#This Row],[COGS]]</f>
        <v>18000</v>
      </c>
    </row>
    <row r="1740" spans="1:14">
      <c r="A1740" s="1">
        <v>47414</v>
      </c>
      <c r="B1740" t="s">
        <v>25</v>
      </c>
      <c r="C1740" t="s">
        <v>12</v>
      </c>
      <c r="D1740" t="s">
        <v>23</v>
      </c>
      <c r="E1740" t="s">
        <v>20</v>
      </c>
      <c r="F1740" t="s">
        <v>36</v>
      </c>
      <c r="G1740" t="s">
        <v>31</v>
      </c>
      <c r="H1740" s="12">
        <v>150000</v>
      </c>
      <c r="I1740">
        <v>8</v>
      </c>
      <c r="J1740" t="s">
        <v>28</v>
      </c>
      <c r="K1740" s="12">
        <f t="shared" si="27"/>
        <v>120000</v>
      </c>
      <c r="L1740" s="12">
        <f>Sales_Data[[#This Row],[Unit Price]]*Sales_Data[[#This Row],[Quantity]]</f>
        <v>1200000</v>
      </c>
      <c r="M1740" s="12">
        <f>Sales_Data[[#This Row],[Cost Price]]*Sales_Data[[#This Row],[Quantity]]</f>
        <v>960000</v>
      </c>
      <c r="N1740" s="12">
        <f>Sales_Data[[#This Row],[Revenue]]-Sales_Data[[#This Row],[COGS]]</f>
        <v>240000</v>
      </c>
    </row>
    <row r="1741" spans="1:14">
      <c r="A1741" s="1">
        <v>47415</v>
      </c>
      <c r="B1741" t="s">
        <v>29</v>
      </c>
      <c r="C1741" t="s">
        <v>26</v>
      </c>
      <c r="D1741" t="s">
        <v>13</v>
      </c>
      <c r="E1741" t="s">
        <v>20</v>
      </c>
      <c r="F1741" t="s">
        <v>15</v>
      </c>
      <c r="G1741" t="s">
        <v>16</v>
      </c>
      <c r="H1741" s="12">
        <v>85000</v>
      </c>
      <c r="I1741">
        <v>4</v>
      </c>
      <c r="J1741" t="s">
        <v>24</v>
      </c>
      <c r="K1741" s="12">
        <f t="shared" si="27"/>
        <v>68000</v>
      </c>
      <c r="L1741" s="12">
        <f>Sales_Data[[#This Row],[Unit Price]]*Sales_Data[[#This Row],[Quantity]]</f>
        <v>340000</v>
      </c>
      <c r="M1741" s="12">
        <f>Sales_Data[[#This Row],[Cost Price]]*Sales_Data[[#This Row],[Quantity]]</f>
        <v>272000</v>
      </c>
      <c r="N1741" s="12">
        <f>Sales_Data[[#This Row],[Revenue]]-Sales_Data[[#This Row],[COGS]]</f>
        <v>68000</v>
      </c>
    </row>
    <row r="1742" spans="1:14">
      <c r="A1742" s="1">
        <v>47416</v>
      </c>
      <c r="B1742" t="s">
        <v>11</v>
      </c>
      <c r="C1742" t="s">
        <v>26</v>
      </c>
      <c r="D1742" t="s">
        <v>23</v>
      </c>
      <c r="E1742" t="s">
        <v>20</v>
      </c>
      <c r="F1742" t="s">
        <v>34</v>
      </c>
      <c r="G1742" t="s">
        <v>16</v>
      </c>
      <c r="H1742" s="12">
        <v>320000</v>
      </c>
      <c r="I1742">
        <v>3</v>
      </c>
      <c r="J1742" t="s">
        <v>28</v>
      </c>
      <c r="K1742" s="12">
        <f t="shared" si="27"/>
        <v>256000</v>
      </c>
      <c r="L1742" s="12">
        <f>Sales_Data[[#This Row],[Unit Price]]*Sales_Data[[#This Row],[Quantity]]</f>
        <v>960000</v>
      </c>
      <c r="M1742" s="12">
        <f>Sales_Data[[#This Row],[Cost Price]]*Sales_Data[[#This Row],[Quantity]]</f>
        <v>768000</v>
      </c>
      <c r="N1742" s="12">
        <f>Sales_Data[[#This Row],[Revenue]]-Sales_Data[[#This Row],[COGS]]</f>
        <v>192000</v>
      </c>
    </row>
    <row r="1743" spans="1:14">
      <c r="A1743" s="1">
        <v>47417</v>
      </c>
      <c r="B1743" t="s">
        <v>18</v>
      </c>
      <c r="C1743" t="s">
        <v>32</v>
      </c>
      <c r="D1743" t="s">
        <v>13</v>
      </c>
      <c r="E1743" t="s">
        <v>14</v>
      </c>
      <c r="F1743" t="s">
        <v>27</v>
      </c>
      <c r="G1743" t="s">
        <v>22</v>
      </c>
      <c r="H1743" s="12">
        <v>60000</v>
      </c>
      <c r="I1743">
        <v>7</v>
      </c>
      <c r="J1743" t="s">
        <v>24</v>
      </c>
      <c r="K1743" s="12">
        <f t="shared" si="27"/>
        <v>48000</v>
      </c>
      <c r="L1743" s="12">
        <f>Sales_Data[[#This Row],[Unit Price]]*Sales_Data[[#This Row],[Quantity]]</f>
        <v>420000</v>
      </c>
      <c r="M1743" s="12">
        <f>Sales_Data[[#This Row],[Cost Price]]*Sales_Data[[#This Row],[Quantity]]</f>
        <v>336000</v>
      </c>
      <c r="N1743" s="12">
        <f>Sales_Data[[#This Row],[Revenue]]-Sales_Data[[#This Row],[COGS]]</f>
        <v>84000</v>
      </c>
    </row>
    <row r="1744" spans="1:14">
      <c r="A1744" s="1">
        <v>47418</v>
      </c>
      <c r="B1744" t="s">
        <v>18</v>
      </c>
      <c r="C1744" t="s">
        <v>32</v>
      </c>
      <c r="D1744" t="s">
        <v>23</v>
      </c>
      <c r="E1744" t="s">
        <v>20</v>
      </c>
      <c r="F1744" t="s">
        <v>30</v>
      </c>
      <c r="G1744" t="s">
        <v>31</v>
      </c>
      <c r="H1744" s="12">
        <v>300000</v>
      </c>
      <c r="I1744">
        <v>6</v>
      </c>
      <c r="J1744" t="s">
        <v>24</v>
      </c>
      <c r="K1744" s="12">
        <f t="shared" si="27"/>
        <v>240000</v>
      </c>
      <c r="L1744" s="12">
        <f>Sales_Data[[#This Row],[Unit Price]]*Sales_Data[[#This Row],[Quantity]]</f>
        <v>1800000</v>
      </c>
      <c r="M1744" s="12">
        <f>Sales_Data[[#This Row],[Cost Price]]*Sales_Data[[#This Row],[Quantity]]</f>
        <v>1440000</v>
      </c>
      <c r="N1744" s="12">
        <f>Sales_Data[[#This Row],[Revenue]]-Sales_Data[[#This Row],[COGS]]</f>
        <v>360000</v>
      </c>
    </row>
    <row r="1745" spans="1:14">
      <c r="A1745" s="1">
        <v>47419</v>
      </c>
      <c r="B1745" t="s">
        <v>25</v>
      </c>
      <c r="C1745" t="s">
        <v>32</v>
      </c>
      <c r="D1745" t="s">
        <v>13</v>
      </c>
      <c r="E1745" t="s">
        <v>14</v>
      </c>
      <c r="F1745" t="s">
        <v>36</v>
      </c>
      <c r="G1745" t="s">
        <v>31</v>
      </c>
      <c r="H1745" s="12">
        <v>150000</v>
      </c>
      <c r="I1745">
        <v>6</v>
      </c>
      <c r="J1745" t="s">
        <v>35</v>
      </c>
      <c r="K1745" s="12">
        <f t="shared" si="27"/>
        <v>120000</v>
      </c>
      <c r="L1745" s="12">
        <f>Sales_Data[[#This Row],[Unit Price]]*Sales_Data[[#This Row],[Quantity]]</f>
        <v>900000</v>
      </c>
      <c r="M1745" s="12">
        <f>Sales_Data[[#This Row],[Cost Price]]*Sales_Data[[#This Row],[Quantity]]</f>
        <v>720000</v>
      </c>
      <c r="N1745" s="12">
        <f>Sales_Data[[#This Row],[Revenue]]-Sales_Data[[#This Row],[COGS]]</f>
        <v>180000</v>
      </c>
    </row>
    <row r="1746" spans="1:14">
      <c r="A1746" s="1">
        <v>47420</v>
      </c>
      <c r="B1746" t="s">
        <v>25</v>
      </c>
      <c r="C1746" t="s">
        <v>12</v>
      </c>
      <c r="D1746" t="s">
        <v>23</v>
      </c>
      <c r="E1746" t="s">
        <v>14</v>
      </c>
      <c r="F1746" t="s">
        <v>30</v>
      </c>
      <c r="G1746" t="s">
        <v>31</v>
      </c>
      <c r="H1746" s="12">
        <v>300000</v>
      </c>
      <c r="I1746">
        <v>10</v>
      </c>
      <c r="J1746" t="s">
        <v>28</v>
      </c>
      <c r="K1746" s="12">
        <f t="shared" si="27"/>
        <v>240000</v>
      </c>
      <c r="L1746" s="12">
        <f>Sales_Data[[#This Row],[Unit Price]]*Sales_Data[[#This Row],[Quantity]]</f>
        <v>3000000</v>
      </c>
      <c r="M1746" s="12">
        <f>Sales_Data[[#This Row],[Cost Price]]*Sales_Data[[#This Row],[Quantity]]</f>
        <v>2400000</v>
      </c>
      <c r="N1746" s="12">
        <f>Sales_Data[[#This Row],[Revenue]]-Sales_Data[[#This Row],[COGS]]</f>
        <v>600000</v>
      </c>
    </row>
    <row r="1747" spans="1:14">
      <c r="A1747" s="1">
        <v>47421</v>
      </c>
      <c r="B1747" t="s">
        <v>18</v>
      </c>
      <c r="C1747" t="s">
        <v>19</v>
      </c>
      <c r="D1747" t="s">
        <v>13</v>
      </c>
      <c r="E1747" t="s">
        <v>14</v>
      </c>
      <c r="F1747" t="s">
        <v>38</v>
      </c>
      <c r="G1747" t="s">
        <v>31</v>
      </c>
      <c r="H1747" s="12">
        <v>420000</v>
      </c>
      <c r="I1747">
        <v>1</v>
      </c>
      <c r="J1747" t="s">
        <v>17</v>
      </c>
      <c r="K1747" s="12">
        <f t="shared" si="27"/>
        <v>336000</v>
      </c>
      <c r="L1747" s="12">
        <f>Sales_Data[[#This Row],[Unit Price]]*Sales_Data[[#This Row],[Quantity]]</f>
        <v>420000</v>
      </c>
      <c r="M1747" s="12">
        <f>Sales_Data[[#This Row],[Cost Price]]*Sales_Data[[#This Row],[Quantity]]</f>
        <v>336000</v>
      </c>
      <c r="N1747" s="12">
        <f>Sales_Data[[#This Row],[Revenue]]-Sales_Data[[#This Row],[COGS]]</f>
        <v>84000</v>
      </c>
    </row>
    <row r="1748" spans="1:14">
      <c r="A1748" s="1">
        <v>47422</v>
      </c>
      <c r="B1748" t="s">
        <v>11</v>
      </c>
      <c r="C1748" t="s">
        <v>12</v>
      </c>
      <c r="D1748" t="s">
        <v>13</v>
      </c>
      <c r="E1748" t="s">
        <v>20</v>
      </c>
      <c r="F1748" t="s">
        <v>27</v>
      </c>
      <c r="G1748" t="s">
        <v>22</v>
      </c>
      <c r="H1748" s="12">
        <v>60000</v>
      </c>
      <c r="I1748">
        <v>1</v>
      </c>
      <c r="J1748" t="s">
        <v>24</v>
      </c>
      <c r="K1748" s="12">
        <f t="shared" si="27"/>
        <v>48000</v>
      </c>
      <c r="L1748" s="12">
        <f>Sales_Data[[#This Row],[Unit Price]]*Sales_Data[[#This Row],[Quantity]]</f>
        <v>60000</v>
      </c>
      <c r="M1748" s="12">
        <f>Sales_Data[[#This Row],[Cost Price]]*Sales_Data[[#This Row],[Quantity]]</f>
        <v>48000</v>
      </c>
      <c r="N1748" s="12">
        <f>Sales_Data[[#This Row],[Revenue]]-Sales_Data[[#This Row],[COGS]]</f>
        <v>12000</v>
      </c>
    </row>
    <row r="1749" spans="1:14">
      <c r="A1749" s="1">
        <v>47423</v>
      </c>
      <c r="B1749" t="s">
        <v>29</v>
      </c>
      <c r="C1749" t="s">
        <v>19</v>
      </c>
      <c r="D1749" t="s">
        <v>13</v>
      </c>
      <c r="E1749" t="s">
        <v>14</v>
      </c>
      <c r="F1749" t="s">
        <v>36</v>
      </c>
      <c r="G1749" t="s">
        <v>31</v>
      </c>
      <c r="H1749" s="12">
        <v>150000</v>
      </c>
      <c r="I1749">
        <v>10</v>
      </c>
      <c r="J1749" t="s">
        <v>39</v>
      </c>
      <c r="K1749" s="12">
        <f t="shared" si="27"/>
        <v>120000</v>
      </c>
      <c r="L1749" s="12">
        <f>Sales_Data[[#This Row],[Unit Price]]*Sales_Data[[#This Row],[Quantity]]</f>
        <v>1500000</v>
      </c>
      <c r="M1749" s="12">
        <f>Sales_Data[[#This Row],[Cost Price]]*Sales_Data[[#This Row],[Quantity]]</f>
        <v>1200000</v>
      </c>
      <c r="N1749" s="12">
        <f>Sales_Data[[#This Row],[Revenue]]-Sales_Data[[#This Row],[COGS]]</f>
        <v>300000</v>
      </c>
    </row>
    <row r="1750" spans="1:14">
      <c r="A1750" s="1">
        <v>47424</v>
      </c>
      <c r="B1750" t="s">
        <v>11</v>
      </c>
      <c r="C1750" t="s">
        <v>32</v>
      </c>
      <c r="D1750" t="s">
        <v>13</v>
      </c>
      <c r="E1750" t="s">
        <v>14</v>
      </c>
      <c r="F1750" t="s">
        <v>33</v>
      </c>
      <c r="G1750" t="s">
        <v>22</v>
      </c>
      <c r="H1750" s="12">
        <v>180000</v>
      </c>
      <c r="I1750">
        <v>10</v>
      </c>
      <c r="J1750" t="s">
        <v>28</v>
      </c>
      <c r="K1750" s="12">
        <f t="shared" si="27"/>
        <v>144000</v>
      </c>
      <c r="L1750" s="12">
        <f>Sales_Data[[#This Row],[Unit Price]]*Sales_Data[[#This Row],[Quantity]]</f>
        <v>1800000</v>
      </c>
      <c r="M1750" s="12">
        <f>Sales_Data[[#This Row],[Cost Price]]*Sales_Data[[#This Row],[Quantity]]</f>
        <v>1440000</v>
      </c>
      <c r="N1750" s="12">
        <f>Sales_Data[[#This Row],[Revenue]]-Sales_Data[[#This Row],[COGS]]</f>
        <v>360000</v>
      </c>
    </row>
    <row r="1751" spans="1:14">
      <c r="A1751" s="1">
        <v>47425</v>
      </c>
      <c r="B1751" t="s">
        <v>25</v>
      </c>
      <c r="C1751" t="s">
        <v>12</v>
      </c>
      <c r="D1751" t="s">
        <v>23</v>
      </c>
      <c r="E1751" t="s">
        <v>14</v>
      </c>
      <c r="F1751" t="s">
        <v>36</v>
      </c>
      <c r="G1751" t="s">
        <v>31</v>
      </c>
      <c r="H1751" s="12">
        <v>150000</v>
      </c>
      <c r="I1751">
        <v>10</v>
      </c>
      <c r="J1751" t="s">
        <v>24</v>
      </c>
      <c r="K1751" s="12">
        <f t="shared" si="27"/>
        <v>120000</v>
      </c>
      <c r="L1751" s="12">
        <f>Sales_Data[[#This Row],[Unit Price]]*Sales_Data[[#This Row],[Quantity]]</f>
        <v>1500000</v>
      </c>
      <c r="M1751" s="12">
        <f>Sales_Data[[#This Row],[Cost Price]]*Sales_Data[[#This Row],[Quantity]]</f>
        <v>1200000</v>
      </c>
      <c r="N1751" s="12">
        <f>Sales_Data[[#This Row],[Revenue]]-Sales_Data[[#This Row],[COGS]]</f>
        <v>300000</v>
      </c>
    </row>
    <row r="1752" spans="1:14">
      <c r="A1752" s="1">
        <v>47426</v>
      </c>
      <c r="B1752" t="s">
        <v>18</v>
      </c>
      <c r="C1752" t="s">
        <v>12</v>
      </c>
      <c r="D1752" t="s">
        <v>23</v>
      </c>
      <c r="E1752" t="s">
        <v>20</v>
      </c>
      <c r="F1752" t="s">
        <v>27</v>
      </c>
      <c r="G1752" t="s">
        <v>22</v>
      </c>
      <c r="H1752" s="12">
        <v>60000</v>
      </c>
      <c r="I1752">
        <v>8</v>
      </c>
      <c r="J1752" t="s">
        <v>39</v>
      </c>
      <c r="K1752" s="12">
        <f t="shared" si="27"/>
        <v>48000</v>
      </c>
      <c r="L1752" s="12">
        <f>Sales_Data[[#This Row],[Unit Price]]*Sales_Data[[#This Row],[Quantity]]</f>
        <v>480000</v>
      </c>
      <c r="M1752" s="12">
        <f>Sales_Data[[#This Row],[Cost Price]]*Sales_Data[[#This Row],[Quantity]]</f>
        <v>384000</v>
      </c>
      <c r="N1752" s="12">
        <f>Sales_Data[[#This Row],[Revenue]]-Sales_Data[[#This Row],[COGS]]</f>
        <v>96000</v>
      </c>
    </row>
    <row r="1753" spans="1:14">
      <c r="A1753" s="1">
        <v>47427</v>
      </c>
      <c r="B1753" t="s">
        <v>29</v>
      </c>
      <c r="C1753" t="s">
        <v>12</v>
      </c>
      <c r="D1753" t="s">
        <v>13</v>
      </c>
      <c r="E1753" t="s">
        <v>14</v>
      </c>
      <c r="F1753" t="s">
        <v>41</v>
      </c>
      <c r="G1753" t="s">
        <v>22</v>
      </c>
      <c r="H1753" s="12">
        <v>220000</v>
      </c>
      <c r="I1753">
        <v>7</v>
      </c>
      <c r="J1753" t="s">
        <v>37</v>
      </c>
      <c r="K1753" s="12">
        <f t="shared" si="27"/>
        <v>176000</v>
      </c>
      <c r="L1753" s="12">
        <f>Sales_Data[[#This Row],[Unit Price]]*Sales_Data[[#This Row],[Quantity]]</f>
        <v>1540000</v>
      </c>
      <c r="M1753" s="12">
        <f>Sales_Data[[#This Row],[Cost Price]]*Sales_Data[[#This Row],[Quantity]]</f>
        <v>1232000</v>
      </c>
      <c r="N1753" s="12">
        <f>Sales_Data[[#This Row],[Revenue]]-Sales_Data[[#This Row],[COGS]]</f>
        <v>308000</v>
      </c>
    </row>
    <row r="1754" spans="1:14">
      <c r="A1754" s="1">
        <v>47428</v>
      </c>
      <c r="B1754" t="s">
        <v>18</v>
      </c>
      <c r="C1754" t="s">
        <v>32</v>
      </c>
      <c r="D1754" t="s">
        <v>13</v>
      </c>
      <c r="E1754" t="s">
        <v>14</v>
      </c>
      <c r="F1754" t="s">
        <v>21</v>
      </c>
      <c r="G1754" t="s">
        <v>22</v>
      </c>
      <c r="H1754" s="12">
        <v>30000</v>
      </c>
      <c r="I1754">
        <v>1</v>
      </c>
      <c r="J1754" t="s">
        <v>35</v>
      </c>
      <c r="K1754" s="12">
        <f t="shared" si="27"/>
        <v>24000</v>
      </c>
      <c r="L1754" s="12">
        <f>Sales_Data[[#This Row],[Unit Price]]*Sales_Data[[#This Row],[Quantity]]</f>
        <v>30000</v>
      </c>
      <c r="M1754" s="12">
        <f>Sales_Data[[#This Row],[Cost Price]]*Sales_Data[[#This Row],[Quantity]]</f>
        <v>24000</v>
      </c>
      <c r="N1754" s="12">
        <f>Sales_Data[[#This Row],[Revenue]]-Sales_Data[[#This Row],[COGS]]</f>
        <v>6000</v>
      </c>
    </row>
    <row r="1755" spans="1:14">
      <c r="A1755" s="1">
        <v>47429</v>
      </c>
      <c r="B1755" t="s">
        <v>18</v>
      </c>
      <c r="C1755" t="s">
        <v>19</v>
      </c>
      <c r="D1755" t="s">
        <v>23</v>
      </c>
      <c r="E1755" t="s">
        <v>20</v>
      </c>
      <c r="F1755" t="s">
        <v>36</v>
      </c>
      <c r="G1755" t="s">
        <v>31</v>
      </c>
      <c r="H1755" s="12">
        <v>150000</v>
      </c>
      <c r="I1755">
        <v>6</v>
      </c>
      <c r="J1755" t="s">
        <v>17</v>
      </c>
      <c r="K1755" s="12">
        <f t="shared" si="27"/>
        <v>120000</v>
      </c>
      <c r="L1755" s="12">
        <f>Sales_Data[[#This Row],[Unit Price]]*Sales_Data[[#This Row],[Quantity]]</f>
        <v>900000</v>
      </c>
      <c r="M1755" s="12">
        <f>Sales_Data[[#This Row],[Cost Price]]*Sales_Data[[#This Row],[Quantity]]</f>
        <v>720000</v>
      </c>
      <c r="N1755" s="12">
        <f>Sales_Data[[#This Row],[Revenue]]-Sales_Data[[#This Row],[COGS]]</f>
        <v>180000</v>
      </c>
    </row>
    <row r="1756" spans="1:14">
      <c r="A1756" s="1">
        <v>47430</v>
      </c>
      <c r="B1756" t="s">
        <v>25</v>
      </c>
      <c r="C1756" t="s">
        <v>32</v>
      </c>
      <c r="D1756" t="s">
        <v>13</v>
      </c>
      <c r="E1756" t="s">
        <v>20</v>
      </c>
      <c r="F1756" t="s">
        <v>21</v>
      </c>
      <c r="G1756" t="s">
        <v>22</v>
      </c>
      <c r="H1756" s="12">
        <v>30000</v>
      </c>
      <c r="I1756">
        <v>4</v>
      </c>
      <c r="J1756" t="s">
        <v>17</v>
      </c>
      <c r="K1756" s="12">
        <f t="shared" si="27"/>
        <v>24000</v>
      </c>
      <c r="L1756" s="12">
        <f>Sales_Data[[#This Row],[Unit Price]]*Sales_Data[[#This Row],[Quantity]]</f>
        <v>120000</v>
      </c>
      <c r="M1756" s="12">
        <f>Sales_Data[[#This Row],[Cost Price]]*Sales_Data[[#This Row],[Quantity]]</f>
        <v>96000</v>
      </c>
      <c r="N1756" s="12">
        <f>Sales_Data[[#This Row],[Revenue]]-Sales_Data[[#This Row],[COGS]]</f>
        <v>24000</v>
      </c>
    </row>
    <row r="1757" spans="1:14">
      <c r="A1757" s="1">
        <v>47431</v>
      </c>
      <c r="B1757" t="s">
        <v>25</v>
      </c>
      <c r="C1757" t="s">
        <v>26</v>
      </c>
      <c r="D1757" t="s">
        <v>23</v>
      </c>
      <c r="E1757" t="s">
        <v>14</v>
      </c>
      <c r="F1757" t="s">
        <v>41</v>
      </c>
      <c r="G1757" t="s">
        <v>22</v>
      </c>
      <c r="H1757" s="12">
        <v>220000</v>
      </c>
      <c r="I1757">
        <v>1</v>
      </c>
      <c r="J1757" t="s">
        <v>28</v>
      </c>
      <c r="K1757" s="12">
        <f t="shared" si="27"/>
        <v>176000</v>
      </c>
      <c r="L1757" s="12">
        <f>Sales_Data[[#This Row],[Unit Price]]*Sales_Data[[#This Row],[Quantity]]</f>
        <v>220000</v>
      </c>
      <c r="M1757" s="12">
        <f>Sales_Data[[#This Row],[Cost Price]]*Sales_Data[[#This Row],[Quantity]]</f>
        <v>176000</v>
      </c>
      <c r="N1757" s="12">
        <f>Sales_Data[[#This Row],[Revenue]]-Sales_Data[[#This Row],[COGS]]</f>
        <v>44000</v>
      </c>
    </row>
    <row r="1758" spans="1:14">
      <c r="A1758" s="1">
        <v>47432</v>
      </c>
      <c r="B1758" t="s">
        <v>25</v>
      </c>
      <c r="C1758" t="s">
        <v>19</v>
      </c>
      <c r="D1758" t="s">
        <v>13</v>
      </c>
      <c r="E1758" t="s">
        <v>14</v>
      </c>
      <c r="F1758" t="s">
        <v>27</v>
      </c>
      <c r="G1758" t="s">
        <v>22</v>
      </c>
      <c r="H1758" s="12">
        <v>60000</v>
      </c>
      <c r="I1758">
        <v>6</v>
      </c>
      <c r="J1758" t="s">
        <v>24</v>
      </c>
      <c r="K1758" s="12">
        <f t="shared" si="27"/>
        <v>48000</v>
      </c>
      <c r="L1758" s="12">
        <f>Sales_Data[[#This Row],[Unit Price]]*Sales_Data[[#This Row],[Quantity]]</f>
        <v>360000</v>
      </c>
      <c r="M1758" s="12">
        <f>Sales_Data[[#This Row],[Cost Price]]*Sales_Data[[#This Row],[Quantity]]</f>
        <v>288000</v>
      </c>
      <c r="N1758" s="12">
        <f>Sales_Data[[#This Row],[Revenue]]-Sales_Data[[#This Row],[COGS]]</f>
        <v>72000</v>
      </c>
    </row>
    <row r="1759" spans="1:14">
      <c r="A1759" s="1">
        <v>47433</v>
      </c>
      <c r="B1759" t="s">
        <v>25</v>
      </c>
      <c r="C1759" t="s">
        <v>12</v>
      </c>
      <c r="D1759" t="s">
        <v>23</v>
      </c>
      <c r="E1759" t="s">
        <v>20</v>
      </c>
      <c r="F1759" t="s">
        <v>40</v>
      </c>
      <c r="G1759" t="s">
        <v>31</v>
      </c>
      <c r="H1759" s="12">
        <v>250000</v>
      </c>
      <c r="I1759">
        <v>7</v>
      </c>
      <c r="J1759" t="s">
        <v>39</v>
      </c>
      <c r="K1759" s="12">
        <f t="shared" si="27"/>
        <v>200000</v>
      </c>
      <c r="L1759" s="12">
        <f>Sales_Data[[#This Row],[Unit Price]]*Sales_Data[[#This Row],[Quantity]]</f>
        <v>1750000</v>
      </c>
      <c r="M1759" s="12">
        <f>Sales_Data[[#This Row],[Cost Price]]*Sales_Data[[#This Row],[Quantity]]</f>
        <v>1400000</v>
      </c>
      <c r="N1759" s="12">
        <f>Sales_Data[[#This Row],[Revenue]]-Sales_Data[[#This Row],[COGS]]</f>
        <v>350000</v>
      </c>
    </row>
    <row r="1760" spans="1:14">
      <c r="A1760" s="1">
        <v>47434</v>
      </c>
      <c r="B1760" t="s">
        <v>18</v>
      </c>
      <c r="C1760" t="s">
        <v>26</v>
      </c>
      <c r="D1760" t="s">
        <v>23</v>
      </c>
      <c r="E1760" t="s">
        <v>14</v>
      </c>
      <c r="F1760" t="s">
        <v>41</v>
      </c>
      <c r="G1760" t="s">
        <v>22</v>
      </c>
      <c r="H1760" s="12">
        <v>220000</v>
      </c>
      <c r="I1760">
        <v>9</v>
      </c>
      <c r="J1760" t="s">
        <v>35</v>
      </c>
      <c r="K1760" s="12">
        <f t="shared" si="27"/>
        <v>176000</v>
      </c>
      <c r="L1760" s="12">
        <f>Sales_Data[[#This Row],[Unit Price]]*Sales_Data[[#This Row],[Quantity]]</f>
        <v>1980000</v>
      </c>
      <c r="M1760" s="12">
        <f>Sales_Data[[#This Row],[Cost Price]]*Sales_Data[[#This Row],[Quantity]]</f>
        <v>1584000</v>
      </c>
      <c r="N1760" s="12">
        <f>Sales_Data[[#This Row],[Revenue]]-Sales_Data[[#This Row],[COGS]]</f>
        <v>396000</v>
      </c>
    </row>
    <row r="1761" spans="1:14">
      <c r="A1761" s="1">
        <v>47435</v>
      </c>
      <c r="B1761" t="s">
        <v>25</v>
      </c>
      <c r="C1761" t="s">
        <v>26</v>
      </c>
      <c r="D1761" t="s">
        <v>23</v>
      </c>
      <c r="E1761" t="s">
        <v>14</v>
      </c>
      <c r="F1761" t="s">
        <v>21</v>
      </c>
      <c r="G1761" t="s">
        <v>22</v>
      </c>
      <c r="H1761" s="12">
        <v>30000</v>
      </c>
      <c r="I1761">
        <v>10</v>
      </c>
      <c r="J1761" t="s">
        <v>28</v>
      </c>
      <c r="K1761" s="12">
        <f t="shared" si="27"/>
        <v>24000</v>
      </c>
      <c r="L1761" s="12">
        <f>Sales_Data[[#This Row],[Unit Price]]*Sales_Data[[#This Row],[Quantity]]</f>
        <v>300000</v>
      </c>
      <c r="M1761" s="12">
        <f>Sales_Data[[#This Row],[Cost Price]]*Sales_Data[[#This Row],[Quantity]]</f>
        <v>240000</v>
      </c>
      <c r="N1761" s="12">
        <f>Sales_Data[[#This Row],[Revenue]]-Sales_Data[[#This Row],[COGS]]</f>
        <v>60000</v>
      </c>
    </row>
    <row r="1762" spans="1:14">
      <c r="A1762" s="1">
        <v>47436</v>
      </c>
      <c r="B1762" t="s">
        <v>18</v>
      </c>
      <c r="C1762" t="s">
        <v>26</v>
      </c>
      <c r="D1762" t="s">
        <v>13</v>
      </c>
      <c r="E1762" t="s">
        <v>14</v>
      </c>
      <c r="F1762" t="s">
        <v>36</v>
      </c>
      <c r="G1762" t="s">
        <v>31</v>
      </c>
      <c r="H1762" s="12">
        <v>150000</v>
      </c>
      <c r="I1762">
        <v>1</v>
      </c>
      <c r="J1762" t="s">
        <v>24</v>
      </c>
      <c r="K1762" s="12">
        <f t="shared" si="27"/>
        <v>120000</v>
      </c>
      <c r="L1762" s="12">
        <f>Sales_Data[[#This Row],[Unit Price]]*Sales_Data[[#This Row],[Quantity]]</f>
        <v>150000</v>
      </c>
      <c r="M1762" s="12">
        <f>Sales_Data[[#This Row],[Cost Price]]*Sales_Data[[#This Row],[Quantity]]</f>
        <v>120000</v>
      </c>
      <c r="N1762" s="12">
        <f>Sales_Data[[#This Row],[Revenue]]-Sales_Data[[#This Row],[COGS]]</f>
        <v>30000</v>
      </c>
    </row>
    <row r="1763" spans="1:14">
      <c r="A1763" s="1">
        <v>47437</v>
      </c>
      <c r="B1763" t="s">
        <v>29</v>
      </c>
      <c r="C1763" t="s">
        <v>12</v>
      </c>
      <c r="D1763" t="s">
        <v>13</v>
      </c>
      <c r="E1763" t="s">
        <v>14</v>
      </c>
      <c r="F1763" t="s">
        <v>33</v>
      </c>
      <c r="G1763" t="s">
        <v>22</v>
      </c>
      <c r="H1763" s="12">
        <v>180000</v>
      </c>
      <c r="I1763">
        <v>3</v>
      </c>
      <c r="J1763" t="s">
        <v>35</v>
      </c>
      <c r="K1763" s="12">
        <f t="shared" si="27"/>
        <v>144000</v>
      </c>
      <c r="L1763" s="12">
        <f>Sales_Data[[#This Row],[Unit Price]]*Sales_Data[[#This Row],[Quantity]]</f>
        <v>540000</v>
      </c>
      <c r="M1763" s="12">
        <f>Sales_Data[[#This Row],[Cost Price]]*Sales_Data[[#This Row],[Quantity]]</f>
        <v>432000</v>
      </c>
      <c r="N1763" s="12">
        <f>Sales_Data[[#This Row],[Revenue]]-Sales_Data[[#This Row],[COGS]]</f>
        <v>108000</v>
      </c>
    </row>
    <row r="1764" spans="1:14">
      <c r="A1764" s="1">
        <v>47438</v>
      </c>
      <c r="B1764" t="s">
        <v>25</v>
      </c>
      <c r="C1764" t="s">
        <v>12</v>
      </c>
      <c r="D1764" t="s">
        <v>23</v>
      </c>
      <c r="E1764" t="s">
        <v>14</v>
      </c>
      <c r="F1764" t="s">
        <v>38</v>
      </c>
      <c r="G1764" t="s">
        <v>31</v>
      </c>
      <c r="H1764" s="12">
        <v>420000</v>
      </c>
      <c r="I1764">
        <v>10</v>
      </c>
      <c r="J1764" t="s">
        <v>35</v>
      </c>
      <c r="K1764" s="12">
        <f t="shared" si="27"/>
        <v>336000</v>
      </c>
      <c r="L1764" s="12">
        <f>Sales_Data[[#This Row],[Unit Price]]*Sales_Data[[#This Row],[Quantity]]</f>
        <v>4200000</v>
      </c>
      <c r="M1764" s="12">
        <f>Sales_Data[[#This Row],[Cost Price]]*Sales_Data[[#This Row],[Quantity]]</f>
        <v>3360000</v>
      </c>
      <c r="N1764" s="12">
        <f>Sales_Data[[#This Row],[Revenue]]-Sales_Data[[#This Row],[COGS]]</f>
        <v>840000</v>
      </c>
    </row>
    <row r="1765" spans="1:14">
      <c r="A1765" s="1">
        <v>47439</v>
      </c>
      <c r="B1765" t="s">
        <v>29</v>
      </c>
      <c r="C1765" t="s">
        <v>12</v>
      </c>
      <c r="D1765" t="s">
        <v>23</v>
      </c>
      <c r="E1765" t="s">
        <v>14</v>
      </c>
      <c r="F1765" t="s">
        <v>15</v>
      </c>
      <c r="G1765" t="s">
        <v>16</v>
      </c>
      <c r="H1765" s="12">
        <v>85000</v>
      </c>
      <c r="I1765">
        <v>2</v>
      </c>
      <c r="J1765" t="s">
        <v>37</v>
      </c>
      <c r="K1765" s="12">
        <f t="shared" si="27"/>
        <v>68000</v>
      </c>
      <c r="L1765" s="12">
        <f>Sales_Data[[#This Row],[Unit Price]]*Sales_Data[[#This Row],[Quantity]]</f>
        <v>170000</v>
      </c>
      <c r="M1765" s="12">
        <f>Sales_Data[[#This Row],[Cost Price]]*Sales_Data[[#This Row],[Quantity]]</f>
        <v>136000</v>
      </c>
      <c r="N1765" s="12">
        <f>Sales_Data[[#This Row],[Revenue]]-Sales_Data[[#This Row],[COGS]]</f>
        <v>34000</v>
      </c>
    </row>
    <row r="1766" spans="1:14">
      <c r="A1766" s="1">
        <v>47440</v>
      </c>
      <c r="B1766" t="s">
        <v>11</v>
      </c>
      <c r="C1766" t="s">
        <v>26</v>
      </c>
      <c r="D1766" t="s">
        <v>23</v>
      </c>
      <c r="E1766" t="s">
        <v>14</v>
      </c>
      <c r="F1766" t="s">
        <v>27</v>
      </c>
      <c r="G1766" t="s">
        <v>22</v>
      </c>
      <c r="H1766" s="12">
        <v>60000</v>
      </c>
      <c r="I1766">
        <v>4</v>
      </c>
      <c r="J1766" t="s">
        <v>37</v>
      </c>
      <c r="K1766" s="12">
        <f t="shared" si="27"/>
        <v>48000</v>
      </c>
      <c r="L1766" s="12">
        <f>Sales_Data[[#This Row],[Unit Price]]*Sales_Data[[#This Row],[Quantity]]</f>
        <v>240000</v>
      </c>
      <c r="M1766" s="12">
        <f>Sales_Data[[#This Row],[Cost Price]]*Sales_Data[[#This Row],[Quantity]]</f>
        <v>192000</v>
      </c>
      <c r="N1766" s="12">
        <f>Sales_Data[[#This Row],[Revenue]]-Sales_Data[[#This Row],[COGS]]</f>
        <v>48000</v>
      </c>
    </row>
    <row r="1767" spans="1:14">
      <c r="A1767" s="1">
        <v>47441</v>
      </c>
      <c r="B1767" t="s">
        <v>29</v>
      </c>
      <c r="C1767" t="s">
        <v>19</v>
      </c>
      <c r="D1767" t="s">
        <v>23</v>
      </c>
      <c r="E1767" t="s">
        <v>14</v>
      </c>
      <c r="F1767" t="s">
        <v>36</v>
      </c>
      <c r="G1767" t="s">
        <v>31</v>
      </c>
      <c r="H1767" s="12">
        <v>150000</v>
      </c>
      <c r="I1767">
        <v>9</v>
      </c>
      <c r="J1767" t="s">
        <v>37</v>
      </c>
      <c r="K1767" s="12">
        <f t="shared" si="27"/>
        <v>120000</v>
      </c>
      <c r="L1767" s="12">
        <f>Sales_Data[[#This Row],[Unit Price]]*Sales_Data[[#This Row],[Quantity]]</f>
        <v>1350000</v>
      </c>
      <c r="M1767" s="12">
        <f>Sales_Data[[#This Row],[Cost Price]]*Sales_Data[[#This Row],[Quantity]]</f>
        <v>1080000</v>
      </c>
      <c r="N1767" s="12">
        <f>Sales_Data[[#This Row],[Revenue]]-Sales_Data[[#This Row],[COGS]]</f>
        <v>270000</v>
      </c>
    </row>
    <row r="1768" spans="1:14">
      <c r="A1768" s="1">
        <v>47442</v>
      </c>
      <c r="B1768" t="s">
        <v>25</v>
      </c>
      <c r="C1768" t="s">
        <v>32</v>
      </c>
      <c r="D1768" t="s">
        <v>13</v>
      </c>
      <c r="E1768" t="s">
        <v>20</v>
      </c>
      <c r="F1768" t="s">
        <v>38</v>
      </c>
      <c r="G1768" t="s">
        <v>31</v>
      </c>
      <c r="H1768" s="12">
        <v>420000</v>
      </c>
      <c r="I1768">
        <v>1</v>
      </c>
      <c r="J1768" t="s">
        <v>35</v>
      </c>
      <c r="K1768" s="12">
        <f t="shared" si="27"/>
        <v>336000</v>
      </c>
      <c r="L1768" s="12">
        <f>Sales_Data[[#This Row],[Unit Price]]*Sales_Data[[#This Row],[Quantity]]</f>
        <v>420000</v>
      </c>
      <c r="M1768" s="12">
        <f>Sales_Data[[#This Row],[Cost Price]]*Sales_Data[[#This Row],[Quantity]]</f>
        <v>336000</v>
      </c>
      <c r="N1768" s="12">
        <f>Sales_Data[[#This Row],[Revenue]]-Sales_Data[[#This Row],[COGS]]</f>
        <v>84000</v>
      </c>
    </row>
    <row r="1769" spans="1:14">
      <c r="A1769" s="1">
        <v>47443</v>
      </c>
      <c r="B1769" t="s">
        <v>18</v>
      </c>
      <c r="C1769" t="s">
        <v>19</v>
      </c>
      <c r="D1769" t="s">
        <v>13</v>
      </c>
      <c r="E1769" t="s">
        <v>14</v>
      </c>
      <c r="F1769" t="s">
        <v>38</v>
      </c>
      <c r="G1769" t="s">
        <v>31</v>
      </c>
      <c r="H1769" s="12">
        <v>420000</v>
      </c>
      <c r="I1769">
        <v>9</v>
      </c>
      <c r="J1769" t="s">
        <v>37</v>
      </c>
      <c r="K1769" s="12">
        <f t="shared" si="27"/>
        <v>336000</v>
      </c>
      <c r="L1769" s="12">
        <f>Sales_Data[[#This Row],[Unit Price]]*Sales_Data[[#This Row],[Quantity]]</f>
        <v>3780000</v>
      </c>
      <c r="M1769" s="12">
        <f>Sales_Data[[#This Row],[Cost Price]]*Sales_Data[[#This Row],[Quantity]]</f>
        <v>3024000</v>
      </c>
      <c r="N1769" s="12">
        <f>Sales_Data[[#This Row],[Revenue]]-Sales_Data[[#This Row],[COGS]]</f>
        <v>756000</v>
      </c>
    </row>
    <row r="1770" spans="1:14">
      <c r="A1770" s="1">
        <v>47444</v>
      </c>
      <c r="B1770" t="s">
        <v>11</v>
      </c>
      <c r="C1770" t="s">
        <v>32</v>
      </c>
      <c r="D1770" t="s">
        <v>23</v>
      </c>
      <c r="E1770" t="s">
        <v>20</v>
      </c>
      <c r="F1770" t="s">
        <v>38</v>
      </c>
      <c r="G1770" t="s">
        <v>31</v>
      </c>
      <c r="H1770" s="12">
        <v>420000</v>
      </c>
      <c r="I1770">
        <v>9</v>
      </c>
      <c r="J1770" t="s">
        <v>39</v>
      </c>
      <c r="K1770" s="12">
        <f t="shared" si="27"/>
        <v>336000</v>
      </c>
      <c r="L1770" s="12">
        <f>Sales_Data[[#This Row],[Unit Price]]*Sales_Data[[#This Row],[Quantity]]</f>
        <v>3780000</v>
      </c>
      <c r="M1770" s="12">
        <f>Sales_Data[[#This Row],[Cost Price]]*Sales_Data[[#This Row],[Quantity]]</f>
        <v>3024000</v>
      </c>
      <c r="N1770" s="12">
        <f>Sales_Data[[#This Row],[Revenue]]-Sales_Data[[#This Row],[COGS]]</f>
        <v>756000</v>
      </c>
    </row>
    <row r="1771" spans="1:14">
      <c r="A1771" s="1">
        <v>47445</v>
      </c>
      <c r="B1771" t="s">
        <v>11</v>
      </c>
      <c r="C1771" t="s">
        <v>32</v>
      </c>
      <c r="D1771" t="s">
        <v>13</v>
      </c>
      <c r="E1771" t="s">
        <v>20</v>
      </c>
      <c r="F1771" t="s">
        <v>15</v>
      </c>
      <c r="G1771" t="s">
        <v>16</v>
      </c>
      <c r="H1771" s="12">
        <v>85000</v>
      </c>
      <c r="I1771">
        <v>6</v>
      </c>
      <c r="J1771" t="s">
        <v>24</v>
      </c>
      <c r="K1771" s="12">
        <f t="shared" si="27"/>
        <v>68000</v>
      </c>
      <c r="L1771" s="12">
        <f>Sales_Data[[#This Row],[Unit Price]]*Sales_Data[[#This Row],[Quantity]]</f>
        <v>510000</v>
      </c>
      <c r="M1771" s="12">
        <f>Sales_Data[[#This Row],[Cost Price]]*Sales_Data[[#This Row],[Quantity]]</f>
        <v>408000</v>
      </c>
      <c r="N1771" s="12">
        <f>Sales_Data[[#This Row],[Revenue]]-Sales_Data[[#This Row],[COGS]]</f>
        <v>102000</v>
      </c>
    </row>
    <row r="1772" spans="1:14">
      <c r="A1772" s="1">
        <v>47446</v>
      </c>
      <c r="B1772" t="s">
        <v>29</v>
      </c>
      <c r="C1772" t="s">
        <v>32</v>
      </c>
      <c r="D1772" t="s">
        <v>23</v>
      </c>
      <c r="E1772" t="s">
        <v>14</v>
      </c>
      <c r="F1772" t="s">
        <v>34</v>
      </c>
      <c r="G1772" t="s">
        <v>16</v>
      </c>
      <c r="H1772" s="12">
        <v>320000</v>
      </c>
      <c r="I1772">
        <v>3</v>
      </c>
      <c r="J1772" t="s">
        <v>35</v>
      </c>
      <c r="K1772" s="12">
        <f t="shared" si="27"/>
        <v>256000</v>
      </c>
      <c r="L1772" s="12">
        <f>Sales_Data[[#This Row],[Unit Price]]*Sales_Data[[#This Row],[Quantity]]</f>
        <v>960000</v>
      </c>
      <c r="M1772" s="12">
        <f>Sales_Data[[#This Row],[Cost Price]]*Sales_Data[[#This Row],[Quantity]]</f>
        <v>768000</v>
      </c>
      <c r="N1772" s="12">
        <f>Sales_Data[[#This Row],[Revenue]]-Sales_Data[[#This Row],[COGS]]</f>
        <v>192000</v>
      </c>
    </row>
    <row r="1773" spans="1:14">
      <c r="A1773" s="1">
        <v>47447</v>
      </c>
      <c r="B1773" t="s">
        <v>29</v>
      </c>
      <c r="C1773" t="s">
        <v>19</v>
      </c>
      <c r="D1773" t="s">
        <v>23</v>
      </c>
      <c r="E1773" t="s">
        <v>14</v>
      </c>
      <c r="F1773" t="s">
        <v>33</v>
      </c>
      <c r="G1773" t="s">
        <v>22</v>
      </c>
      <c r="H1773" s="12">
        <v>180000</v>
      </c>
      <c r="I1773">
        <v>8</v>
      </c>
      <c r="J1773" t="s">
        <v>28</v>
      </c>
      <c r="K1773" s="12">
        <f t="shared" si="27"/>
        <v>144000</v>
      </c>
      <c r="L1773" s="12">
        <f>Sales_Data[[#This Row],[Unit Price]]*Sales_Data[[#This Row],[Quantity]]</f>
        <v>1440000</v>
      </c>
      <c r="M1773" s="12">
        <f>Sales_Data[[#This Row],[Cost Price]]*Sales_Data[[#This Row],[Quantity]]</f>
        <v>1152000</v>
      </c>
      <c r="N1773" s="12">
        <f>Sales_Data[[#This Row],[Revenue]]-Sales_Data[[#This Row],[COGS]]</f>
        <v>288000</v>
      </c>
    </row>
    <row r="1774" spans="1:14">
      <c r="A1774" s="1">
        <v>47448</v>
      </c>
      <c r="B1774" t="s">
        <v>11</v>
      </c>
      <c r="C1774" t="s">
        <v>12</v>
      </c>
      <c r="D1774" t="s">
        <v>13</v>
      </c>
      <c r="E1774" t="s">
        <v>14</v>
      </c>
      <c r="F1774" t="s">
        <v>15</v>
      </c>
      <c r="G1774" t="s">
        <v>16</v>
      </c>
      <c r="H1774" s="12">
        <v>85000</v>
      </c>
      <c r="I1774">
        <v>6</v>
      </c>
      <c r="J1774" t="s">
        <v>35</v>
      </c>
      <c r="K1774" s="12">
        <f t="shared" si="27"/>
        <v>68000</v>
      </c>
      <c r="L1774" s="12">
        <f>Sales_Data[[#This Row],[Unit Price]]*Sales_Data[[#This Row],[Quantity]]</f>
        <v>510000</v>
      </c>
      <c r="M1774" s="12">
        <f>Sales_Data[[#This Row],[Cost Price]]*Sales_Data[[#This Row],[Quantity]]</f>
        <v>408000</v>
      </c>
      <c r="N1774" s="12">
        <f>Sales_Data[[#This Row],[Revenue]]-Sales_Data[[#This Row],[COGS]]</f>
        <v>102000</v>
      </c>
    </row>
    <row r="1775" spans="1:14">
      <c r="A1775" s="1">
        <v>47449</v>
      </c>
      <c r="B1775" t="s">
        <v>11</v>
      </c>
      <c r="C1775" t="s">
        <v>32</v>
      </c>
      <c r="D1775" t="s">
        <v>13</v>
      </c>
      <c r="E1775" t="s">
        <v>14</v>
      </c>
      <c r="F1775" t="s">
        <v>30</v>
      </c>
      <c r="G1775" t="s">
        <v>31</v>
      </c>
      <c r="H1775" s="12">
        <v>300000</v>
      </c>
      <c r="I1775">
        <v>3</v>
      </c>
      <c r="J1775" t="s">
        <v>17</v>
      </c>
      <c r="K1775" s="12">
        <f t="shared" si="27"/>
        <v>240000</v>
      </c>
      <c r="L1775" s="12">
        <f>Sales_Data[[#This Row],[Unit Price]]*Sales_Data[[#This Row],[Quantity]]</f>
        <v>900000</v>
      </c>
      <c r="M1775" s="12">
        <f>Sales_Data[[#This Row],[Cost Price]]*Sales_Data[[#This Row],[Quantity]]</f>
        <v>720000</v>
      </c>
      <c r="N1775" s="12">
        <f>Sales_Data[[#This Row],[Revenue]]-Sales_Data[[#This Row],[COGS]]</f>
        <v>180000</v>
      </c>
    </row>
    <row r="1776" spans="1:14">
      <c r="A1776" s="1">
        <v>47450</v>
      </c>
      <c r="B1776" t="s">
        <v>29</v>
      </c>
      <c r="C1776" t="s">
        <v>12</v>
      </c>
      <c r="D1776" t="s">
        <v>23</v>
      </c>
      <c r="E1776" t="s">
        <v>20</v>
      </c>
      <c r="F1776" t="s">
        <v>33</v>
      </c>
      <c r="G1776" t="s">
        <v>22</v>
      </c>
      <c r="H1776" s="12">
        <v>180000</v>
      </c>
      <c r="I1776">
        <v>1</v>
      </c>
      <c r="J1776" t="s">
        <v>28</v>
      </c>
      <c r="K1776" s="12">
        <f t="shared" si="27"/>
        <v>144000</v>
      </c>
      <c r="L1776" s="12">
        <f>Sales_Data[[#This Row],[Unit Price]]*Sales_Data[[#This Row],[Quantity]]</f>
        <v>180000</v>
      </c>
      <c r="M1776" s="12">
        <f>Sales_Data[[#This Row],[Cost Price]]*Sales_Data[[#This Row],[Quantity]]</f>
        <v>144000</v>
      </c>
      <c r="N1776" s="12">
        <f>Sales_Data[[#This Row],[Revenue]]-Sales_Data[[#This Row],[COGS]]</f>
        <v>36000</v>
      </c>
    </row>
    <row r="1777" spans="1:14">
      <c r="A1777" s="1">
        <v>47451</v>
      </c>
      <c r="B1777" t="s">
        <v>18</v>
      </c>
      <c r="C1777" t="s">
        <v>26</v>
      </c>
      <c r="D1777" t="s">
        <v>13</v>
      </c>
      <c r="E1777" t="s">
        <v>14</v>
      </c>
      <c r="F1777" t="s">
        <v>41</v>
      </c>
      <c r="G1777" t="s">
        <v>22</v>
      </c>
      <c r="H1777" s="12">
        <v>220000</v>
      </c>
      <c r="I1777">
        <v>1</v>
      </c>
      <c r="J1777" t="s">
        <v>37</v>
      </c>
      <c r="K1777" s="12">
        <f t="shared" si="27"/>
        <v>176000</v>
      </c>
      <c r="L1777" s="12">
        <f>Sales_Data[[#This Row],[Unit Price]]*Sales_Data[[#This Row],[Quantity]]</f>
        <v>220000</v>
      </c>
      <c r="M1777" s="12">
        <f>Sales_Data[[#This Row],[Cost Price]]*Sales_Data[[#This Row],[Quantity]]</f>
        <v>176000</v>
      </c>
      <c r="N1777" s="12">
        <f>Sales_Data[[#This Row],[Revenue]]-Sales_Data[[#This Row],[COGS]]</f>
        <v>44000</v>
      </c>
    </row>
    <row r="1778" spans="1:14">
      <c r="A1778" s="1">
        <v>47452</v>
      </c>
      <c r="B1778" t="s">
        <v>25</v>
      </c>
      <c r="C1778" t="s">
        <v>32</v>
      </c>
      <c r="D1778" t="s">
        <v>13</v>
      </c>
      <c r="E1778" t="s">
        <v>20</v>
      </c>
      <c r="F1778" t="s">
        <v>21</v>
      </c>
      <c r="G1778" t="s">
        <v>22</v>
      </c>
      <c r="H1778" s="12">
        <v>30000</v>
      </c>
      <c r="I1778">
        <v>1</v>
      </c>
      <c r="J1778" t="s">
        <v>37</v>
      </c>
      <c r="K1778" s="12">
        <f t="shared" si="27"/>
        <v>24000</v>
      </c>
      <c r="L1778" s="12">
        <f>Sales_Data[[#This Row],[Unit Price]]*Sales_Data[[#This Row],[Quantity]]</f>
        <v>30000</v>
      </c>
      <c r="M1778" s="12">
        <f>Sales_Data[[#This Row],[Cost Price]]*Sales_Data[[#This Row],[Quantity]]</f>
        <v>24000</v>
      </c>
      <c r="N1778" s="12">
        <f>Sales_Data[[#This Row],[Revenue]]-Sales_Data[[#This Row],[COGS]]</f>
        <v>6000</v>
      </c>
    </row>
    <row r="1779" spans="1:14">
      <c r="A1779" s="1">
        <v>47453</v>
      </c>
      <c r="B1779" t="s">
        <v>18</v>
      </c>
      <c r="C1779" t="s">
        <v>12</v>
      </c>
      <c r="D1779" t="s">
        <v>23</v>
      </c>
      <c r="E1779" t="s">
        <v>20</v>
      </c>
      <c r="F1779" t="s">
        <v>27</v>
      </c>
      <c r="G1779" t="s">
        <v>22</v>
      </c>
      <c r="H1779" s="12">
        <v>60000</v>
      </c>
      <c r="I1779">
        <v>2</v>
      </c>
      <c r="J1779" t="s">
        <v>39</v>
      </c>
      <c r="K1779" s="12">
        <f t="shared" si="27"/>
        <v>48000</v>
      </c>
      <c r="L1779" s="12">
        <f>Sales_Data[[#This Row],[Unit Price]]*Sales_Data[[#This Row],[Quantity]]</f>
        <v>120000</v>
      </c>
      <c r="M1779" s="12">
        <f>Sales_Data[[#This Row],[Cost Price]]*Sales_Data[[#This Row],[Quantity]]</f>
        <v>96000</v>
      </c>
      <c r="N1779" s="12">
        <f>Sales_Data[[#This Row],[Revenue]]-Sales_Data[[#This Row],[COGS]]</f>
        <v>24000</v>
      </c>
    </row>
    <row r="1780" spans="1:14">
      <c r="A1780" s="1">
        <v>47454</v>
      </c>
      <c r="B1780" t="s">
        <v>11</v>
      </c>
      <c r="C1780" t="s">
        <v>19</v>
      </c>
      <c r="D1780" t="s">
        <v>13</v>
      </c>
      <c r="E1780" t="s">
        <v>20</v>
      </c>
      <c r="F1780" t="s">
        <v>40</v>
      </c>
      <c r="G1780" t="s">
        <v>31</v>
      </c>
      <c r="H1780" s="12">
        <v>250000</v>
      </c>
      <c r="I1780">
        <v>7</v>
      </c>
      <c r="J1780" t="s">
        <v>37</v>
      </c>
      <c r="K1780" s="12">
        <f t="shared" si="27"/>
        <v>200000</v>
      </c>
      <c r="L1780" s="12">
        <f>Sales_Data[[#This Row],[Unit Price]]*Sales_Data[[#This Row],[Quantity]]</f>
        <v>1750000</v>
      </c>
      <c r="M1780" s="12">
        <f>Sales_Data[[#This Row],[Cost Price]]*Sales_Data[[#This Row],[Quantity]]</f>
        <v>1400000</v>
      </c>
      <c r="N1780" s="12">
        <f>Sales_Data[[#This Row],[Revenue]]-Sales_Data[[#This Row],[COGS]]</f>
        <v>350000</v>
      </c>
    </row>
    <row r="1781" spans="1:14">
      <c r="A1781" s="1">
        <v>47455</v>
      </c>
      <c r="B1781" t="s">
        <v>11</v>
      </c>
      <c r="C1781" t="s">
        <v>26</v>
      </c>
      <c r="D1781" t="s">
        <v>23</v>
      </c>
      <c r="E1781" t="s">
        <v>14</v>
      </c>
      <c r="F1781" t="s">
        <v>38</v>
      </c>
      <c r="G1781" t="s">
        <v>31</v>
      </c>
      <c r="H1781" s="12">
        <v>420000</v>
      </c>
      <c r="I1781">
        <v>10</v>
      </c>
      <c r="J1781" t="s">
        <v>28</v>
      </c>
      <c r="K1781" s="12">
        <f t="shared" si="27"/>
        <v>336000</v>
      </c>
      <c r="L1781" s="12">
        <f>Sales_Data[[#This Row],[Unit Price]]*Sales_Data[[#This Row],[Quantity]]</f>
        <v>4200000</v>
      </c>
      <c r="M1781" s="12">
        <f>Sales_Data[[#This Row],[Cost Price]]*Sales_Data[[#This Row],[Quantity]]</f>
        <v>3360000</v>
      </c>
      <c r="N1781" s="12">
        <f>Sales_Data[[#This Row],[Revenue]]-Sales_Data[[#This Row],[COGS]]</f>
        <v>840000</v>
      </c>
    </row>
    <row r="1782" spans="1:14">
      <c r="A1782" s="1">
        <v>47456</v>
      </c>
      <c r="B1782" t="s">
        <v>11</v>
      </c>
      <c r="C1782" t="s">
        <v>12</v>
      </c>
      <c r="D1782" t="s">
        <v>23</v>
      </c>
      <c r="E1782" t="s">
        <v>14</v>
      </c>
      <c r="F1782" t="s">
        <v>34</v>
      </c>
      <c r="G1782" t="s">
        <v>16</v>
      </c>
      <c r="H1782" s="12">
        <v>320000</v>
      </c>
      <c r="I1782">
        <v>10</v>
      </c>
      <c r="J1782" t="s">
        <v>35</v>
      </c>
      <c r="K1782" s="12">
        <f t="shared" si="27"/>
        <v>256000</v>
      </c>
      <c r="L1782" s="12">
        <f>Sales_Data[[#This Row],[Unit Price]]*Sales_Data[[#This Row],[Quantity]]</f>
        <v>3200000</v>
      </c>
      <c r="M1782" s="12">
        <f>Sales_Data[[#This Row],[Cost Price]]*Sales_Data[[#This Row],[Quantity]]</f>
        <v>2560000</v>
      </c>
      <c r="N1782" s="12">
        <f>Sales_Data[[#This Row],[Revenue]]-Sales_Data[[#This Row],[COGS]]</f>
        <v>640000</v>
      </c>
    </row>
    <row r="1783" spans="1:14">
      <c r="A1783" s="1">
        <v>47457</v>
      </c>
      <c r="B1783" t="s">
        <v>25</v>
      </c>
      <c r="C1783" t="s">
        <v>32</v>
      </c>
      <c r="D1783" t="s">
        <v>13</v>
      </c>
      <c r="E1783" t="s">
        <v>14</v>
      </c>
      <c r="F1783" t="s">
        <v>30</v>
      </c>
      <c r="G1783" t="s">
        <v>31</v>
      </c>
      <c r="H1783" s="12">
        <v>300000</v>
      </c>
      <c r="I1783">
        <v>1</v>
      </c>
      <c r="J1783" t="s">
        <v>28</v>
      </c>
      <c r="K1783" s="12">
        <f t="shared" si="27"/>
        <v>240000</v>
      </c>
      <c r="L1783" s="12">
        <f>Sales_Data[[#This Row],[Unit Price]]*Sales_Data[[#This Row],[Quantity]]</f>
        <v>300000</v>
      </c>
      <c r="M1783" s="12">
        <f>Sales_Data[[#This Row],[Cost Price]]*Sales_Data[[#This Row],[Quantity]]</f>
        <v>240000</v>
      </c>
      <c r="N1783" s="12">
        <f>Sales_Data[[#This Row],[Revenue]]-Sales_Data[[#This Row],[COGS]]</f>
        <v>60000</v>
      </c>
    </row>
    <row r="1784" spans="1:14">
      <c r="A1784" s="1">
        <v>47458</v>
      </c>
      <c r="B1784" t="s">
        <v>25</v>
      </c>
      <c r="C1784" t="s">
        <v>26</v>
      </c>
      <c r="D1784" t="s">
        <v>23</v>
      </c>
      <c r="E1784" t="s">
        <v>20</v>
      </c>
      <c r="F1784" t="s">
        <v>36</v>
      </c>
      <c r="G1784" t="s">
        <v>31</v>
      </c>
      <c r="H1784" s="12">
        <v>150000</v>
      </c>
      <c r="I1784">
        <v>3</v>
      </c>
      <c r="J1784" t="s">
        <v>24</v>
      </c>
      <c r="K1784" s="12">
        <f t="shared" si="27"/>
        <v>120000</v>
      </c>
      <c r="L1784" s="12">
        <f>Sales_Data[[#This Row],[Unit Price]]*Sales_Data[[#This Row],[Quantity]]</f>
        <v>450000</v>
      </c>
      <c r="M1784" s="12">
        <f>Sales_Data[[#This Row],[Cost Price]]*Sales_Data[[#This Row],[Quantity]]</f>
        <v>360000</v>
      </c>
      <c r="N1784" s="12">
        <f>Sales_Data[[#This Row],[Revenue]]-Sales_Data[[#This Row],[COGS]]</f>
        <v>90000</v>
      </c>
    </row>
    <row r="1785" spans="1:14">
      <c r="A1785" s="1">
        <v>47459</v>
      </c>
      <c r="B1785" t="s">
        <v>11</v>
      </c>
      <c r="C1785" t="s">
        <v>26</v>
      </c>
      <c r="D1785" t="s">
        <v>23</v>
      </c>
      <c r="E1785" t="s">
        <v>14</v>
      </c>
      <c r="F1785" t="s">
        <v>40</v>
      </c>
      <c r="G1785" t="s">
        <v>31</v>
      </c>
      <c r="H1785" s="12">
        <v>250000</v>
      </c>
      <c r="I1785">
        <v>3</v>
      </c>
      <c r="J1785" t="s">
        <v>37</v>
      </c>
      <c r="K1785" s="12">
        <f t="shared" si="27"/>
        <v>200000</v>
      </c>
      <c r="L1785" s="12">
        <f>Sales_Data[[#This Row],[Unit Price]]*Sales_Data[[#This Row],[Quantity]]</f>
        <v>750000</v>
      </c>
      <c r="M1785" s="12">
        <f>Sales_Data[[#This Row],[Cost Price]]*Sales_Data[[#This Row],[Quantity]]</f>
        <v>600000</v>
      </c>
      <c r="N1785" s="12">
        <f>Sales_Data[[#This Row],[Revenue]]-Sales_Data[[#This Row],[COGS]]</f>
        <v>150000</v>
      </c>
    </row>
    <row r="1786" spans="1:14">
      <c r="A1786" s="1">
        <v>47460</v>
      </c>
      <c r="B1786" t="s">
        <v>29</v>
      </c>
      <c r="C1786" t="s">
        <v>19</v>
      </c>
      <c r="D1786" t="s">
        <v>13</v>
      </c>
      <c r="E1786" t="s">
        <v>20</v>
      </c>
      <c r="F1786" t="s">
        <v>38</v>
      </c>
      <c r="G1786" t="s">
        <v>31</v>
      </c>
      <c r="H1786" s="12">
        <v>420000</v>
      </c>
      <c r="I1786">
        <v>4</v>
      </c>
      <c r="J1786" t="s">
        <v>24</v>
      </c>
      <c r="K1786" s="12">
        <f t="shared" si="27"/>
        <v>336000</v>
      </c>
      <c r="L1786" s="12">
        <f>Sales_Data[[#This Row],[Unit Price]]*Sales_Data[[#This Row],[Quantity]]</f>
        <v>1680000</v>
      </c>
      <c r="M1786" s="12">
        <f>Sales_Data[[#This Row],[Cost Price]]*Sales_Data[[#This Row],[Quantity]]</f>
        <v>1344000</v>
      </c>
      <c r="N1786" s="12">
        <f>Sales_Data[[#This Row],[Revenue]]-Sales_Data[[#This Row],[COGS]]</f>
        <v>336000</v>
      </c>
    </row>
    <row r="1787" spans="1:14">
      <c r="A1787" s="1">
        <v>47461</v>
      </c>
      <c r="B1787" t="s">
        <v>29</v>
      </c>
      <c r="C1787" t="s">
        <v>19</v>
      </c>
      <c r="D1787" t="s">
        <v>23</v>
      </c>
      <c r="E1787" t="s">
        <v>14</v>
      </c>
      <c r="F1787" t="s">
        <v>33</v>
      </c>
      <c r="G1787" t="s">
        <v>22</v>
      </c>
      <c r="H1787" s="12">
        <v>180000</v>
      </c>
      <c r="I1787">
        <v>1</v>
      </c>
      <c r="J1787" t="s">
        <v>17</v>
      </c>
      <c r="K1787" s="12">
        <f t="shared" si="27"/>
        <v>144000</v>
      </c>
      <c r="L1787" s="12">
        <f>Sales_Data[[#This Row],[Unit Price]]*Sales_Data[[#This Row],[Quantity]]</f>
        <v>180000</v>
      </c>
      <c r="M1787" s="12">
        <f>Sales_Data[[#This Row],[Cost Price]]*Sales_Data[[#This Row],[Quantity]]</f>
        <v>144000</v>
      </c>
      <c r="N1787" s="12">
        <f>Sales_Data[[#This Row],[Revenue]]-Sales_Data[[#This Row],[COGS]]</f>
        <v>36000</v>
      </c>
    </row>
    <row r="1788" spans="1:14">
      <c r="A1788" s="1">
        <v>47462</v>
      </c>
      <c r="B1788" t="s">
        <v>29</v>
      </c>
      <c r="C1788" t="s">
        <v>12</v>
      </c>
      <c r="D1788" t="s">
        <v>23</v>
      </c>
      <c r="E1788" t="s">
        <v>20</v>
      </c>
      <c r="F1788" t="s">
        <v>36</v>
      </c>
      <c r="G1788" t="s">
        <v>31</v>
      </c>
      <c r="H1788" s="12">
        <v>150000</v>
      </c>
      <c r="I1788">
        <v>3</v>
      </c>
      <c r="J1788" t="s">
        <v>35</v>
      </c>
      <c r="K1788" s="12">
        <f t="shared" si="27"/>
        <v>120000</v>
      </c>
      <c r="L1788" s="12">
        <f>Sales_Data[[#This Row],[Unit Price]]*Sales_Data[[#This Row],[Quantity]]</f>
        <v>450000</v>
      </c>
      <c r="M1788" s="12">
        <f>Sales_Data[[#This Row],[Cost Price]]*Sales_Data[[#This Row],[Quantity]]</f>
        <v>360000</v>
      </c>
      <c r="N1788" s="12">
        <f>Sales_Data[[#This Row],[Revenue]]-Sales_Data[[#This Row],[COGS]]</f>
        <v>90000</v>
      </c>
    </row>
    <row r="1789" spans="1:14">
      <c r="A1789" s="1">
        <v>47463</v>
      </c>
      <c r="B1789" t="s">
        <v>25</v>
      </c>
      <c r="C1789" t="s">
        <v>32</v>
      </c>
      <c r="D1789" t="s">
        <v>23</v>
      </c>
      <c r="E1789" t="s">
        <v>14</v>
      </c>
      <c r="F1789" t="s">
        <v>41</v>
      </c>
      <c r="G1789" t="s">
        <v>22</v>
      </c>
      <c r="H1789" s="12">
        <v>220000</v>
      </c>
      <c r="I1789">
        <v>9</v>
      </c>
      <c r="J1789" t="s">
        <v>28</v>
      </c>
      <c r="K1789" s="12">
        <f t="shared" si="27"/>
        <v>176000</v>
      </c>
      <c r="L1789" s="12">
        <f>Sales_Data[[#This Row],[Unit Price]]*Sales_Data[[#This Row],[Quantity]]</f>
        <v>1980000</v>
      </c>
      <c r="M1789" s="12">
        <f>Sales_Data[[#This Row],[Cost Price]]*Sales_Data[[#This Row],[Quantity]]</f>
        <v>1584000</v>
      </c>
      <c r="N1789" s="12">
        <f>Sales_Data[[#This Row],[Revenue]]-Sales_Data[[#This Row],[COGS]]</f>
        <v>396000</v>
      </c>
    </row>
    <row r="1790" spans="1:14">
      <c r="A1790" s="1">
        <v>47464</v>
      </c>
      <c r="B1790" t="s">
        <v>29</v>
      </c>
      <c r="C1790" t="s">
        <v>26</v>
      </c>
      <c r="D1790" t="s">
        <v>23</v>
      </c>
      <c r="E1790" t="s">
        <v>14</v>
      </c>
      <c r="F1790" t="s">
        <v>38</v>
      </c>
      <c r="G1790" t="s">
        <v>31</v>
      </c>
      <c r="H1790" s="12">
        <v>420000</v>
      </c>
      <c r="I1790">
        <v>4</v>
      </c>
      <c r="J1790" t="s">
        <v>28</v>
      </c>
      <c r="K1790" s="12">
        <f t="shared" si="27"/>
        <v>336000</v>
      </c>
      <c r="L1790" s="12">
        <f>Sales_Data[[#This Row],[Unit Price]]*Sales_Data[[#This Row],[Quantity]]</f>
        <v>1680000</v>
      </c>
      <c r="M1790" s="12">
        <f>Sales_Data[[#This Row],[Cost Price]]*Sales_Data[[#This Row],[Quantity]]</f>
        <v>1344000</v>
      </c>
      <c r="N1790" s="12">
        <f>Sales_Data[[#This Row],[Revenue]]-Sales_Data[[#This Row],[COGS]]</f>
        <v>336000</v>
      </c>
    </row>
    <row r="1791" spans="1:14">
      <c r="A1791" s="1">
        <v>47465</v>
      </c>
      <c r="B1791" t="s">
        <v>29</v>
      </c>
      <c r="C1791" t="s">
        <v>26</v>
      </c>
      <c r="D1791" t="s">
        <v>23</v>
      </c>
      <c r="E1791" t="s">
        <v>20</v>
      </c>
      <c r="F1791" t="s">
        <v>30</v>
      </c>
      <c r="G1791" t="s">
        <v>31</v>
      </c>
      <c r="H1791" s="12">
        <v>300000</v>
      </c>
      <c r="I1791">
        <v>2</v>
      </c>
      <c r="J1791" t="s">
        <v>39</v>
      </c>
      <c r="K1791" s="12">
        <f t="shared" si="27"/>
        <v>240000</v>
      </c>
      <c r="L1791" s="12">
        <f>Sales_Data[[#This Row],[Unit Price]]*Sales_Data[[#This Row],[Quantity]]</f>
        <v>600000</v>
      </c>
      <c r="M1791" s="12">
        <f>Sales_Data[[#This Row],[Cost Price]]*Sales_Data[[#This Row],[Quantity]]</f>
        <v>480000</v>
      </c>
      <c r="N1791" s="12">
        <f>Sales_Data[[#This Row],[Revenue]]-Sales_Data[[#This Row],[COGS]]</f>
        <v>120000</v>
      </c>
    </row>
    <row r="1792" spans="1:14">
      <c r="A1792" s="1">
        <v>47466</v>
      </c>
      <c r="B1792" t="s">
        <v>18</v>
      </c>
      <c r="C1792" t="s">
        <v>19</v>
      </c>
      <c r="D1792" t="s">
        <v>23</v>
      </c>
      <c r="E1792" t="s">
        <v>20</v>
      </c>
      <c r="F1792" t="s">
        <v>15</v>
      </c>
      <c r="G1792" t="s">
        <v>16</v>
      </c>
      <c r="H1792" s="12">
        <v>85000</v>
      </c>
      <c r="I1792">
        <v>8</v>
      </c>
      <c r="J1792" t="s">
        <v>24</v>
      </c>
      <c r="K1792" s="12">
        <f t="shared" si="27"/>
        <v>68000</v>
      </c>
      <c r="L1792" s="12">
        <f>Sales_Data[[#This Row],[Unit Price]]*Sales_Data[[#This Row],[Quantity]]</f>
        <v>680000</v>
      </c>
      <c r="M1792" s="12">
        <f>Sales_Data[[#This Row],[Cost Price]]*Sales_Data[[#This Row],[Quantity]]</f>
        <v>544000</v>
      </c>
      <c r="N1792" s="12">
        <f>Sales_Data[[#This Row],[Revenue]]-Sales_Data[[#This Row],[COGS]]</f>
        <v>136000</v>
      </c>
    </row>
    <row r="1793" spans="1:14">
      <c r="A1793" s="1">
        <v>47467</v>
      </c>
      <c r="B1793" t="s">
        <v>25</v>
      </c>
      <c r="C1793" t="s">
        <v>32</v>
      </c>
      <c r="D1793" t="s">
        <v>13</v>
      </c>
      <c r="E1793" t="s">
        <v>20</v>
      </c>
      <c r="F1793" t="s">
        <v>41</v>
      </c>
      <c r="G1793" t="s">
        <v>22</v>
      </c>
      <c r="H1793" s="12">
        <v>220000</v>
      </c>
      <c r="I1793">
        <v>10</v>
      </c>
      <c r="J1793" t="s">
        <v>28</v>
      </c>
      <c r="K1793" s="12">
        <f t="shared" si="27"/>
        <v>176000</v>
      </c>
      <c r="L1793" s="12">
        <f>Sales_Data[[#This Row],[Unit Price]]*Sales_Data[[#This Row],[Quantity]]</f>
        <v>2200000</v>
      </c>
      <c r="M1793" s="12">
        <f>Sales_Data[[#This Row],[Cost Price]]*Sales_Data[[#This Row],[Quantity]]</f>
        <v>1760000</v>
      </c>
      <c r="N1793" s="12">
        <f>Sales_Data[[#This Row],[Revenue]]-Sales_Data[[#This Row],[COGS]]</f>
        <v>440000</v>
      </c>
    </row>
    <row r="1794" spans="1:14">
      <c r="A1794" s="1">
        <v>47468</v>
      </c>
      <c r="B1794" t="s">
        <v>11</v>
      </c>
      <c r="C1794" t="s">
        <v>12</v>
      </c>
      <c r="D1794" t="s">
        <v>13</v>
      </c>
      <c r="E1794" t="s">
        <v>20</v>
      </c>
      <c r="F1794" t="s">
        <v>41</v>
      </c>
      <c r="G1794" t="s">
        <v>22</v>
      </c>
      <c r="H1794" s="12">
        <v>220000</v>
      </c>
      <c r="I1794">
        <v>7</v>
      </c>
      <c r="J1794" t="s">
        <v>28</v>
      </c>
      <c r="K1794" s="12">
        <f t="shared" ref="K1794:K1857" si="28">H1794-H1794*0.2</f>
        <v>176000</v>
      </c>
      <c r="L1794" s="12">
        <f>Sales_Data[[#This Row],[Unit Price]]*Sales_Data[[#This Row],[Quantity]]</f>
        <v>1540000</v>
      </c>
      <c r="M1794" s="12">
        <f>Sales_Data[[#This Row],[Cost Price]]*Sales_Data[[#This Row],[Quantity]]</f>
        <v>1232000</v>
      </c>
      <c r="N1794" s="12">
        <f>Sales_Data[[#This Row],[Revenue]]-Sales_Data[[#This Row],[COGS]]</f>
        <v>308000</v>
      </c>
    </row>
    <row r="1795" spans="1:14">
      <c r="A1795" s="1">
        <v>47469</v>
      </c>
      <c r="B1795" t="s">
        <v>18</v>
      </c>
      <c r="C1795" t="s">
        <v>26</v>
      </c>
      <c r="D1795" t="s">
        <v>13</v>
      </c>
      <c r="E1795" t="s">
        <v>20</v>
      </c>
      <c r="F1795" t="s">
        <v>34</v>
      </c>
      <c r="G1795" t="s">
        <v>16</v>
      </c>
      <c r="H1795" s="12">
        <v>320000</v>
      </c>
      <c r="I1795">
        <v>10</v>
      </c>
      <c r="J1795" t="s">
        <v>28</v>
      </c>
      <c r="K1795" s="12">
        <f t="shared" si="28"/>
        <v>256000</v>
      </c>
      <c r="L1795" s="12">
        <f>Sales_Data[[#This Row],[Unit Price]]*Sales_Data[[#This Row],[Quantity]]</f>
        <v>3200000</v>
      </c>
      <c r="M1795" s="12">
        <f>Sales_Data[[#This Row],[Cost Price]]*Sales_Data[[#This Row],[Quantity]]</f>
        <v>2560000</v>
      </c>
      <c r="N1795" s="12">
        <f>Sales_Data[[#This Row],[Revenue]]-Sales_Data[[#This Row],[COGS]]</f>
        <v>640000</v>
      </c>
    </row>
    <row r="1796" spans="1:14">
      <c r="A1796" s="1">
        <v>47470</v>
      </c>
      <c r="B1796" t="s">
        <v>11</v>
      </c>
      <c r="C1796" t="s">
        <v>19</v>
      </c>
      <c r="D1796" t="s">
        <v>23</v>
      </c>
      <c r="E1796" t="s">
        <v>14</v>
      </c>
      <c r="F1796" t="s">
        <v>33</v>
      </c>
      <c r="G1796" t="s">
        <v>22</v>
      </c>
      <c r="H1796" s="12">
        <v>180000</v>
      </c>
      <c r="I1796">
        <v>9</v>
      </c>
      <c r="J1796" t="s">
        <v>37</v>
      </c>
      <c r="K1796" s="12">
        <f t="shared" si="28"/>
        <v>144000</v>
      </c>
      <c r="L1796" s="12">
        <f>Sales_Data[[#This Row],[Unit Price]]*Sales_Data[[#This Row],[Quantity]]</f>
        <v>1620000</v>
      </c>
      <c r="M1796" s="12">
        <f>Sales_Data[[#This Row],[Cost Price]]*Sales_Data[[#This Row],[Quantity]]</f>
        <v>1296000</v>
      </c>
      <c r="N1796" s="12">
        <f>Sales_Data[[#This Row],[Revenue]]-Sales_Data[[#This Row],[COGS]]</f>
        <v>324000</v>
      </c>
    </row>
    <row r="1797" spans="1:14">
      <c r="A1797" s="1">
        <v>47471</v>
      </c>
      <c r="B1797" t="s">
        <v>29</v>
      </c>
      <c r="C1797" t="s">
        <v>26</v>
      </c>
      <c r="D1797" t="s">
        <v>23</v>
      </c>
      <c r="E1797" t="s">
        <v>14</v>
      </c>
      <c r="F1797" t="s">
        <v>27</v>
      </c>
      <c r="G1797" t="s">
        <v>22</v>
      </c>
      <c r="H1797" s="12">
        <v>60000</v>
      </c>
      <c r="I1797">
        <v>4</v>
      </c>
      <c r="J1797" t="s">
        <v>39</v>
      </c>
      <c r="K1797" s="12">
        <f t="shared" si="28"/>
        <v>48000</v>
      </c>
      <c r="L1797" s="12">
        <f>Sales_Data[[#This Row],[Unit Price]]*Sales_Data[[#This Row],[Quantity]]</f>
        <v>240000</v>
      </c>
      <c r="M1797" s="12">
        <f>Sales_Data[[#This Row],[Cost Price]]*Sales_Data[[#This Row],[Quantity]]</f>
        <v>192000</v>
      </c>
      <c r="N1797" s="12">
        <f>Sales_Data[[#This Row],[Revenue]]-Sales_Data[[#This Row],[COGS]]</f>
        <v>48000</v>
      </c>
    </row>
    <row r="1798" spans="1:14">
      <c r="A1798" s="1">
        <v>47472</v>
      </c>
      <c r="B1798" t="s">
        <v>25</v>
      </c>
      <c r="C1798" t="s">
        <v>26</v>
      </c>
      <c r="D1798" t="s">
        <v>23</v>
      </c>
      <c r="E1798" t="s">
        <v>20</v>
      </c>
      <c r="F1798" t="s">
        <v>40</v>
      </c>
      <c r="G1798" t="s">
        <v>31</v>
      </c>
      <c r="H1798" s="12">
        <v>250000</v>
      </c>
      <c r="I1798">
        <v>10</v>
      </c>
      <c r="J1798" t="s">
        <v>39</v>
      </c>
      <c r="K1798" s="12">
        <f t="shared" si="28"/>
        <v>200000</v>
      </c>
      <c r="L1798" s="12">
        <f>Sales_Data[[#This Row],[Unit Price]]*Sales_Data[[#This Row],[Quantity]]</f>
        <v>2500000</v>
      </c>
      <c r="M1798" s="12">
        <f>Sales_Data[[#This Row],[Cost Price]]*Sales_Data[[#This Row],[Quantity]]</f>
        <v>2000000</v>
      </c>
      <c r="N1798" s="12">
        <f>Sales_Data[[#This Row],[Revenue]]-Sales_Data[[#This Row],[COGS]]</f>
        <v>500000</v>
      </c>
    </row>
    <row r="1799" spans="1:14">
      <c r="A1799" s="1">
        <v>47473</v>
      </c>
      <c r="B1799" t="s">
        <v>29</v>
      </c>
      <c r="C1799" t="s">
        <v>26</v>
      </c>
      <c r="D1799" t="s">
        <v>23</v>
      </c>
      <c r="E1799" t="s">
        <v>14</v>
      </c>
      <c r="F1799" t="s">
        <v>34</v>
      </c>
      <c r="G1799" t="s">
        <v>16</v>
      </c>
      <c r="H1799" s="12">
        <v>320000</v>
      </c>
      <c r="I1799">
        <v>2</v>
      </c>
      <c r="J1799" t="s">
        <v>28</v>
      </c>
      <c r="K1799" s="12">
        <f t="shared" si="28"/>
        <v>256000</v>
      </c>
      <c r="L1799" s="12">
        <f>Sales_Data[[#This Row],[Unit Price]]*Sales_Data[[#This Row],[Quantity]]</f>
        <v>640000</v>
      </c>
      <c r="M1799" s="12">
        <f>Sales_Data[[#This Row],[Cost Price]]*Sales_Data[[#This Row],[Quantity]]</f>
        <v>512000</v>
      </c>
      <c r="N1799" s="12">
        <f>Sales_Data[[#This Row],[Revenue]]-Sales_Data[[#This Row],[COGS]]</f>
        <v>128000</v>
      </c>
    </row>
    <row r="1800" spans="1:14">
      <c r="A1800" s="1">
        <v>47474</v>
      </c>
      <c r="B1800" t="s">
        <v>25</v>
      </c>
      <c r="C1800" t="s">
        <v>32</v>
      </c>
      <c r="D1800" t="s">
        <v>23</v>
      </c>
      <c r="E1800" t="s">
        <v>20</v>
      </c>
      <c r="F1800" t="s">
        <v>38</v>
      </c>
      <c r="G1800" t="s">
        <v>31</v>
      </c>
      <c r="H1800" s="12">
        <v>420000</v>
      </c>
      <c r="I1800">
        <v>7</v>
      </c>
      <c r="J1800" t="s">
        <v>35</v>
      </c>
      <c r="K1800" s="12">
        <f t="shared" si="28"/>
        <v>336000</v>
      </c>
      <c r="L1800" s="12">
        <f>Sales_Data[[#This Row],[Unit Price]]*Sales_Data[[#This Row],[Quantity]]</f>
        <v>2940000</v>
      </c>
      <c r="M1800" s="12">
        <f>Sales_Data[[#This Row],[Cost Price]]*Sales_Data[[#This Row],[Quantity]]</f>
        <v>2352000</v>
      </c>
      <c r="N1800" s="12">
        <f>Sales_Data[[#This Row],[Revenue]]-Sales_Data[[#This Row],[COGS]]</f>
        <v>588000</v>
      </c>
    </row>
    <row r="1801" spans="1:14">
      <c r="A1801" s="1">
        <v>47475</v>
      </c>
      <c r="B1801" t="s">
        <v>29</v>
      </c>
      <c r="C1801" t="s">
        <v>26</v>
      </c>
      <c r="D1801" t="s">
        <v>23</v>
      </c>
      <c r="E1801" t="s">
        <v>20</v>
      </c>
      <c r="F1801" t="s">
        <v>30</v>
      </c>
      <c r="G1801" t="s">
        <v>31</v>
      </c>
      <c r="H1801" s="12">
        <v>300000</v>
      </c>
      <c r="I1801">
        <v>5</v>
      </c>
      <c r="J1801" t="s">
        <v>35</v>
      </c>
      <c r="K1801" s="12">
        <f t="shared" si="28"/>
        <v>240000</v>
      </c>
      <c r="L1801" s="12">
        <f>Sales_Data[[#This Row],[Unit Price]]*Sales_Data[[#This Row],[Quantity]]</f>
        <v>1500000</v>
      </c>
      <c r="M1801" s="12">
        <f>Sales_Data[[#This Row],[Cost Price]]*Sales_Data[[#This Row],[Quantity]]</f>
        <v>1200000</v>
      </c>
      <c r="N1801" s="12">
        <f>Sales_Data[[#This Row],[Revenue]]-Sales_Data[[#This Row],[COGS]]</f>
        <v>300000</v>
      </c>
    </row>
    <row r="1802" spans="1:14">
      <c r="A1802" s="1">
        <v>47476</v>
      </c>
      <c r="B1802" t="s">
        <v>25</v>
      </c>
      <c r="C1802" t="s">
        <v>12</v>
      </c>
      <c r="D1802" t="s">
        <v>23</v>
      </c>
      <c r="E1802" t="s">
        <v>20</v>
      </c>
      <c r="F1802" t="s">
        <v>27</v>
      </c>
      <c r="G1802" t="s">
        <v>22</v>
      </c>
      <c r="H1802" s="12">
        <v>60000</v>
      </c>
      <c r="I1802">
        <v>5</v>
      </c>
      <c r="J1802" t="s">
        <v>37</v>
      </c>
      <c r="K1802" s="12">
        <f t="shared" si="28"/>
        <v>48000</v>
      </c>
      <c r="L1802" s="12">
        <f>Sales_Data[[#This Row],[Unit Price]]*Sales_Data[[#This Row],[Quantity]]</f>
        <v>300000</v>
      </c>
      <c r="M1802" s="12">
        <f>Sales_Data[[#This Row],[Cost Price]]*Sales_Data[[#This Row],[Quantity]]</f>
        <v>240000</v>
      </c>
      <c r="N1802" s="12">
        <f>Sales_Data[[#This Row],[Revenue]]-Sales_Data[[#This Row],[COGS]]</f>
        <v>60000</v>
      </c>
    </row>
    <row r="1803" spans="1:14">
      <c r="A1803" s="1">
        <v>47477</v>
      </c>
      <c r="B1803" t="s">
        <v>18</v>
      </c>
      <c r="C1803" t="s">
        <v>12</v>
      </c>
      <c r="D1803" t="s">
        <v>13</v>
      </c>
      <c r="E1803" t="s">
        <v>20</v>
      </c>
      <c r="F1803" t="s">
        <v>38</v>
      </c>
      <c r="G1803" t="s">
        <v>31</v>
      </c>
      <c r="H1803" s="12">
        <v>420000</v>
      </c>
      <c r="I1803">
        <v>9</v>
      </c>
      <c r="J1803" t="s">
        <v>28</v>
      </c>
      <c r="K1803" s="12">
        <f t="shared" si="28"/>
        <v>336000</v>
      </c>
      <c r="L1803" s="12">
        <f>Sales_Data[[#This Row],[Unit Price]]*Sales_Data[[#This Row],[Quantity]]</f>
        <v>3780000</v>
      </c>
      <c r="M1803" s="12">
        <f>Sales_Data[[#This Row],[Cost Price]]*Sales_Data[[#This Row],[Quantity]]</f>
        <v>3024000</v>
      </c>
      <c r="N1803" s="12">
        <f>Sales_Data[[#This Row],[Revenue]]-Sales_Data[[#This Row],[COGS]]</f>
        <v>756000</v>
      </c>
    </row>
    <row r="1804" spans="1:14">
      <c r="A1804" s="1">
        <v>47478</v>
      </c>
      <c r="B1804" t="s">
        <v>25</v>
      </c>
      <c r="C1804" t="s">
        <v>12</v>
      </c>
      <c r="D1804" t="s">
        <v>13</v>
      </c>
      <c r="E1804" t="s">
        <v>20</v>
      </c>
      <c r="F1804" t="s">
        <v>40</v>
      </c>
      <c r="G1804" t="s">
        <v>31</v>
      </c>
      <c r="H1804" s="12">
        <v>250000</v>
      </c>
      <c r="I1804">
        <v>9</v>
      </c>
      <c r="J1804" t="s">
        <v>39</v>
      </c>
      <c r="K1804" s="12">
        <f t="shared" si="28"/>
        <v>200000</v>
      </c>
      <c r="L1804" s="12">
        <f>Sales_Data[[#This Row],[Unit Price]]*Sales_Data[[#This Row],[Quantity]]</f>
        <v>2250000</v>
      </c>
      <c r="M1804" s="12">
        <f>Sales_Data[[#This Row],[Cost Price]]*Sales_Data[[#This Row],[Quantity]]</f>
        <v>1800000</v>
      </c>
      <c r="N1804" s="12">
        <f>Sales_Data[[#This Row],[Revenue]]-Sales_Data[[#This Row],[COGS]]</f>
        <v>450000</v>
      </c>
    </row>
    <row r="1805" spans="1:14">
      <c r="A1805" s="1">
        <v>47479</v>
      </c>
      <c r="B1805" t="s">
        <v>11</v>
      </c>
      <c r="C1805" t="s">
        <v>32</v>
      </c>
      <c r="D1805" t="s">
        <v>13</v>
      </c>
      <c r="E1805" t="s">
        <v>20</v>
      </c>
      <c r="F1805" t="s">
        <v>41</v>
      </c>
      <c r="G1805" t="s">
        <v>22</v>
      </c>
      <c r="H1805" s="12">
        <v>220000</v>
      </c>
      <c r="I1805">
        <v>1</v>
      </c>
      <c r="J1805" t="s">
        <v>39</v>
      </c>
      <c r="K1805" s="12">
        <f t="shared" si="28"/>
        <v>176000</v>
      </c>
      <c r="L1805" s="12">
        <f>Sales_Data[[#This Row],[Unit Price]]*Sales_Data[[#This Row],[Quantity]]</f>
        <v>220000</v>
      </c>
      <c r="M1805" s="12">
        <f>Sales_Data[[#This Row],[Cost Price]]*Sales_Data[[#This Row],[Quantity]]</f>
        <v>176000</v>
      </c>
      <c r="N1805" s="12">
        <f>Sales_Data[[#This Row],[Revenue]]-Sales_Data[[#This Row],[COGS]]</f>
        <v>44000</v>
      </c>
    </row>
    <row r="1806" spans="1:14">
      <c r="A1806" s="1">
        <v>47480</v>
      </c>
      <c r="B1806" t="s">
        <v>11</v>
      </c>
      <c r="C1806" t="s">
        <v>19</v>
      </c>
      <c r="D1806" t="s">
        <v>13</v>
      </c>
      <c r="E1806" t="s">
        <v>20</v>
      </c>
      <c r="F1806" t="s">
        <v>41</v>
      </c>
      <c r="G1806" t="s">
        <v>22</v>
      </c>
      <c r="H1806" s="12">
        <v>220000</v>
      </c>
      <c r="I1806">
        <v>3</v>
      </c>
      <c r="J1806" t="s">
        <v>39</v>
      </c>
      <c r="K1806" s="12">
        <f t="shared" si="28"/>
        <v>176000</v>
      </c>
      <c r="L1806" s="12">
        <f>Sales_Data[[#This Row],[Unit Price]]*Sales_Data[[#This Row],[Quantity]]</f>
        <v>660000</v>
      </c>
      <c r="M1806" s="12">
        <f>Sales_Data[[#This Row],[Cost Price]]*Sales_Data[[#This Row],[Quantity]]</f>
        <v>528000</v>
      </c>
      <c r="N1806" s="12">
        <f>Sales_Data[[#This Row],[Revenue]]-Sales_Data[[#This Row],[COGS]]</f>
        <v>132000</v>
      </c>
    </row>
    <row r="1807" spans="1:14">
      <c r="A1807" s="1">
        <v>47481</v>
      </c>
      <c r="B1807" t="s">
        <v>11</v>
      </c>
      <c r="C1807" t="s">
        <v>19</v>
      </c>
      <c r="D1807" t="s">
        <v>23</v>
      </c>
      <c r="E1807" t="s">
        <v>20</v>
      </c>
      <c r="F1807" t="s">
        <v>40</v>
      </c>
      <c r="G1807" t="s">
        <v>31</v>
      </c>
      <c r="H1807" s="12">
        <v>250000</v>
      </c>
      <c r="I1807">
        <v>8</v>
      </c>
      <c r="J1807" t="s">
        <v>28</v>
      </c>
      <c r="K1807" s="12">
        <f t="shared" si="28"/>
        <v>200000</v>
      </c>
      <c r="L1807" s="12">
        <f>Sales_Data[[#This Row],[Unit Price]]*Sales_Data[[#This Row],[Quantity]]</f>
        <v>2000000</v>
      </c>
      <c r="M1807" s="12">
        <f>Sales_Data[[#This Row],[Cost Price]]*Sales_Data[[#This Row],[Quantity]]</f>
        <v>1600000</v>
      </c>
      <c r="N1807" s="12">
        <f>Sales_Data[[#This Row],[Revenue]]-Sales_Data[[#This Row],[COGS]]</f>
        <v>400000</v>
      </c>
    </row>
    <row r="1808" spans="1:14">
      <c r="A1808" s="1">
        <v>47482</v>
      </c>
      <c r="B1808" t="s">
        <v>11</v>
      </c>
      <c r="C1808" t="s">
        <v>26</v>
      </c>
      <c r="D1808" t="s">
        <v>13</v>
      </c>
      <c r="E1808" t="s">
        <v>20</v>
      </c>
      <c r="F1808" t="s">
        <v>21</v>
      </c>
      <c r="G1808" t="s">
        <v>22</v>
      </c>
      <c r="H1808" s="12">
        <v>30000</v>
      </c>
      <c r="I1808">
        <v>1</v>
      </c>
      <c r="J1808" t="s">
        <v>35</v>
      </c>
      <c r="K1808" s="12">
        <f t="shared" si="28"/>
        <v>24000</v>
      </c>
      <c r="L1808" s="12">
        <f>Sales_Data[[#This Row],[Unit Price]]*Sales_Data[[#This Row],[Quantity]]</f>
        <v>30000</v>
      </c>
      <c r="M1808" s="12">
        <f>Sales_Data[[#This Row],[Cost Price]]*Sales_Data[[#This Row],[Quantity]]</f>
        <v>24000</v>
      </c>
      <c r="N1808" s="12">
        <f>Sales_Data[[#This Row],[Revenue]]-Sales_Data[[#This Row],[COGS]]</f>
        <v>6000</v>
      </c>
    </row>
    <row r="1809" spans="1:14">
      <c r="A1809" s="1">
        <v>47483</v>
      </c>
      <c r="B1809" t="s">
        <v>11</v>
      </c>
      <c r="C1809" t="s">
        <v>32</v>
      </c>
      <c r="D1809" t="s">
        <v>23</v>
      </c>
      <c r="E1809" t="s">
        <v>20</v>
      </c>
      <c r="F1809" t="s">
        <v>21</v>
      </c>
      <c r="G1809" t="s">
        <v>22</v>
      </c>
      <c r="H1809" s="12">
        <v>30000</v>
      </c>
      <c r="I1809">
        <v>1</v>
      </c>
      <c r="J1809" t="s">
        <v>37</v>
      </c>
      <c r="K1809" s="12">
        <f t="shared" si="28"/>
        <v>24000</v>
      </c>
      <c r="L1809" s="12">
        <f>Sales_Data[[#This Row],[Unit Price]]*Sales_Data[[#This Row],[Quantity]]</f>
        <v>30000</v>
      </c>
      <c r="M1809" s="12">
        <f>Sales_Data[[#This Row],[Cost Price]]*Sales_Data[[#This Row],[Quantity]]</f>
        <v>24000</v>
      </c>
      <c r="N1809" s="12">
        <f>Sales_Data[[#This Row],[Revenue]]-Sales_Data[[#This Row],[COGS]]</f>
        <v>6000</v>
      </c>
    </row>
    <row r="1810" spans="1:14">
      <c r="A1810" s="1">
        <v>47484</v>
      </c>
      <c r="B1810" t="s">
        <v>29</v>
      </c>
      <c r="C1810" t="s">
        <v>26</v>
      </c>
      <c r="D1810" t="s">
        <v>13</v>
      </c>
      <c r="E1810" t="s">
        <v>20</v>
      </c>
      <c r="F1810" t="s">
        <v>21</v>
      </c>
      <c r="G1810" t="s">
        <v>22</v>
      </c>
      <c r="H1810" s="12">
        <v>30000</v>
      </c>
      <c r="I1810">
        <v>8</v>
      </c>
      <c r="J1810" t="s">
        <v>17</v>
      </c>
      <c r="K1810" s="12">
        <f t="shared" si="28"/>
        <v>24000</v>
      </c>
      <c r="L1810" s="12">
        <f>Sales_Data[[#This Row],[Unit Price]]*Sales_Data[[#This Row],[Quantity]]</f>
        <v>240000</v>
      </c>
      <c r="M1810" s="12">
        <f>Sales_Data[[#This Row],[Cost Price]]*Sales_Data[[#This Row],[Quantity]]</f>
        <v>192000</v>
      </c>
      <c r="N1810" s="12">
        <f>Sales_Data[[#This Row],[Revenue]]-Sales_Data[[#This Row],[COGS]]</f>
        <v>48000</v>
      </c>
    </row>
    <row r="1811" spans="1:14">
      <c r="A1811" s="1">
        <v>47485</v>
      </c>
      <c r="B1811" t="s">
        <v>11</v>
      </c>
      <c r="C1811" t="s">
        <v>12</v>
      </c>
      <c r="D1811" t="s">
        <v>13</v>
      </c>
      <c r="E1811" t="s">
        <v>20</v>
      </c>
      <c r="F1811" t="s">
        <v>27</v>
      </c>
      <c r="G1811" t="s">
        <v>22</v>
      </c>
      <c r="H1811" s="12">
        <v>60000</v>
      </c>
      <c r="I1811">
        <v>6</v>
      </c>
      <c r="J1811" t="s">
        <v>35</v>
      </c>
      <c r="K1811" s="12">
        <f t="shared" si="28"/>
        <v>48000</v>
      </c>
      <c r="L1811" s="12">
        <f>Sales_Data[[#This Row],[Unit Price]]*Sales_Data[[#This Row],[Quantity]]</f>
        <v>360000</v>
      </c>
      <c r="M1811" s="12">
        <f>Sales_Data[[#This Row],[Cost Price]]*Sales_Data[[#This Row],[Quantity]]</f>
        <v>288000</v>
      </c>
      <c r="N1811" s="12">
        <f>Sales_Data[[#This Row],[Revenue]]-Sales_Data[[#This Row],[COGS]]</f>
        <v>72000</v>
      </c>
    </row>
    <row r="1812" spans="1:14">
      <c r="A1812" s="1">
        <v>47486</v>
      </c>
      <c r="B1812" t="s">
        <v>11</v>
      </c>
      <c r="C1812" t="s">
        <v>12</v>
      </c>
      <c r="D1812" t="s">
        <v>23</v>
      </c>
      <c r="E1812" t="s">
        <v>20</v>
      </c>
      <c r="F1812" t="s">
        <v>40</v>
      </c>
      <c r="G1812" t="s">
        <v>31</v>
      </c>
      <c r="H1812" s="12">
        <v>250000</v>
      </c>
      <c r="I1812">
        <v>5</v>
      </c>
      <c r="J1812" t="s">
        <v>24</v>
      </c>
      <c r="K1812" s="12">
        <f t="shared" si="28"/>
        <v>200000</v>
      </c>
      <c r="L1812" s="12">
        <f>Sales_Data[[#This Row],[Unit Price]]*Sales_Data[[#This Row],[Quantity]]</f>
        <v>1250000</v>
      </c>
      <c r="M1812" s="12">
        <f>Sales_Data[[#This Row],[Cost Price]]*Sales_Data[[#This Row],[Quantity]]</f>
        <v>1000000</v>
      </c>
      <c r="N1812" s="12">
        <f>Sales_Data[[#This Row],[Revenue]]-Sales_Data[[#This Row],[COGS]]</f>
        <v>250000</v>
      </c>
    </row>
    <row r="1813" spans="1:14">
      <c r="A1813" s="1">
        <v>47487</v>
      </c>
      <c r="B1813" t="s">
        <v>25</v>
      </c>
      <c r="C1813" t="s">
        <v>32</v>
      </c>
      <c r="D1813" t="s">
        <v>13</v>
      </c>
      <c r="E1813" t="s">
        <v>20</v>
      </c>
      <c r="F1813" t="s">
        <v>21</v>
      </c>
      <c r="G1813" t="s">
        <v>22</v>
      </c>
      <c r="H1813" s="12">
        <v>30000</v>
      </c>
      <c r="I1813">
        <v>1</v>
      </c>
      <c r="J1813" t="s">
        <v>37</v>
      </c>
      <c r="K1813" s="12">
        <f t="shared" si="28"/>
        <v>24000</v>
      </c>
      <c r="L1813" s="12">
        <f>Sales_Data[[#This Row],[Unit Price]]*Sales_Data[[#This Row],[Quantity]]</f>
        <v>30000</v>
      </c>
      <c r="M1813" s="12">
        <f>Sales_Data[[#This Row],[Cost Price]]*Sales_Data[[#This Row],[Quantity]]</f>
        <v>24000</v>
      </c>
      <c r="N1813" s="12">
        <f>Sales_Data[[#This Row],[Revenue]]-Sales_Data[[#This Row],[COGS]]</f>
        <v>6000</v>
      </c>
    </row>
    <row r="1814" spans="1:14">
      <c r="A1814" s="1">
        <v>47488</v>
      </c>
      <c r="B1814" t="s">
        <v>25</v>
      </c>
      <c r="C1814" t="s">
        <v>26</v>
      </c>
      <c r="D1814" t="s">
        <v>23</v>
      </c>
      <c r="E1814" t="s">
        <v>20</v>
      </c>
      <c r="F1814" t="s">
        <v>36</v>
      </c>
      <c r="G1814" t="s">
        <v>31</v>
      </c>
      <c r="H1814" s="12">
        <v>150000</v>
      </c>
      <c r="I1814">
        <v>9</v>
      </c>
      <c r="J1814" t="s">
        <v>37</v>
      </c>
      <c r="K1814" s="12">
        <f t="shared" si="28"/>
        <v>120000</v>
      </c>
      <c r="L1814" s="12">
        <f>Sales_Data[[#This Row],[Unit Price]]*Sales_Data[[#This Row],[Quantity]]</f>
        <v>1350000</v>
      </c>
      <c r="M1814" s="12">
        <f>Sales_Data[[#This Row],[Cost Price]]*Sales_Data[[#This Row],[Quantity]]</f>
        <v>1080000</v>
      </c>
      <c r="N1814" s="12">
        <f>Sales_Data[[#This Row],[Revenue]]-Sales_Data[[#This Row],[COGS]]</f>
        <v>270000</v>
      </c>
    </row>
    <row r="1815" spans="1:14">
      <c r="A1815" s="1">
        <v>47489</v>
      </c>
      <c r="B1815" t="s">
        <v>18</v>
      </c>
      <c r="C1815" t="s">
        <v>32</v>
      </c>
      <c r="D1815" t="s">
        <v>13</v>
      </c>
      <c r="E1815" t="s">
        <v>20</v>
      </c>
      <c r="F1815" t="s">
        <v>33</v>
      </c>
      <c r="G1815" t="s">
        <v>22</v>
      </c>
      <c r="H1815" s="12">
        <v>180000</v>
      </c>
      <c r="I1815">
        <v>2</v>
      </c>
      <c r="J1815" t="s">
        <v>37</v>
      </c>
      <c r="K1815" s="12">
        <f t="shared" si="28"/>
        <v>144000</v>
      </c>
      <c r="L1815" s="12">
        <f>Sales_Data[[#This Row],[Unit Price]]*Sales_Data[[#This Row],[Quantity]]</f>
        <v>360000</v>
      </c>
      <c r="M1815" s="12">
        <f>Sales_Data[[#This Row],[Cost Price]]*Sales_Data[[#This Row],[Quantity]]</f>
        <v>288000</v>
      </c>
      <c r="N1815" s="12">
        <f>Sales_Data[[#This Row],[Revenue]]-Sales_Data[[#This Row],[COGS]]</f>
        <v>72000</v>
      </c>
    </row>
    <row r="1816" spans="1:14">
      <c r="A1816" s="1">
        <v>47490</v>
      </c>
      <c r="B1816" t="s">
        <v>18</v>
      </c>
      <c r="C1816" t="s">
        <v>32</v>
      </c>
      <c r="D1816" t="s">
        <v>13</v>
      </c>
      <c r="E1816" t="s">
        <v>20</v>
      </c>
      <c r="F1816" t="s">
        <v>38</v>
      </c>
      <c r="G1816" t="s">
        <v>31</v>
      </c>
      <c r="H1816" s="12">
        <v>420000</v>
      </c>
      <c r="I1816">
        <v>10</v>
      </c>
      <c r="J1816" t="s">
        <v>28</v>
      </c>
      <c r="K1816" s="12">
        <f t="shared" si="28"/>
        <v>336000</v>
      </c>
      <c r="L1816" s="12">
        <f>Sales_Data[[#This Row],[Unit Price]]*Sales_Data[[#This Row],[Quantity]]</f>
        <v>4200000</v>
      </c>
      <c r="M1816" s="12">
        <f>Sales_Data[[#This Row],[Cost Price]]*Sales_Data[[#This Row],[Quantity]]</f>
        <v>3360000</v>
      </c>
      <c r="N1816" s="12">
        <f>Sales_Data[[#This Row],[Revenue]]-Sales_Data[[#This Row],[COGS]]</f>
        <v>840000</v>
      </c>
    </row>
    <row r="1817" spans="1:14">
      <c r="A1817" s="1">
        <v>47491</v>
      </c>
      <c r="B1817" t="s">
        <v>11</v>
      </c>
      <c r="C1817" t="s">
        <v>26</v>
      </c>
      <c r="D1817" t="s">
        <v>23</v>
      </c>
      <c r="E1817" t="s">
        <v>20</v>
      </c>
      <c r="F1817" t="s">
        <v>30</v>
      </c>
      <c r="G1817" t="s">
        <v>31</v>
      </c>
      <c r="H1817" s="12">
        <v>300000</v>
      </c>
      <c r="I1817">
        <v>4</v>
      </c>
      <c r="J1817" t="s">
        <v>39</v>
      </c>
      <c r="K1817" s="12">
        <f t="shared" si="28"/>
        <v>240000</v>
      </c>
      <c r="L1817" s="12">
        <f>Sales_Data[[#This Row],[Unit Price]]*Sales_Data[[#This Row],[Quantity]]</f>
        <v>1200000</v>
      </c>
      <c r="M1817" s="12">
        <f>Sales_Data[[#This Row],[Cost Price]]*Sales_Data[[#This Row],[Quantity]]</f>
        <v>960000</v>
      </c>
      <c r="N1817" s="12">
        <f>Sales_Data[[#This Row],[Revenue]]-Sales_Data[[#This Row],[COGS]]</f>
        <v>240000</v>
      </c>
    </row>
    <row r="1818" spans="1:14">
      <c r="A1818" s="1">
        <v>47492</v>
      </c>
      <c r="B1818" t="s">
        <v>11</v>
      </c>
      <c r="C1818" t="s">
        <v>12</v>
      </c>
      <c r="D1818" t="s">
        <v>13</v>
      </c>
      <c r="E1818" t="s">
        <v>20</v>
      </c>
      <c r="F1818" t="s">
        <v>33</v>
      </c>
      <c r="G1818" t="s">
        <v>22</v>
      </c>
      <c r="H1818" s="12">
        <v>180000</v>
      </c>
      <c r="I1818">
        <v>8</v>
      </c>
      <c r="J1818" t="s">
        <v>37</v>
      </c>
      <c r="K1818" s="12">
        <f t="shared" si="28"/>
        <v>144000</v>
      </c>
      <c r="L1818" s="12">
        <f>Sales_Data[[#This Row],[Unit Price]]*Sales_Data[[#This Row],[Quantity]]</f>
        <v>1440000</v>
      </c>
      <c r="M1818" s="12">
        <f>Sales_Data[[#This Row],[Cost Price]]*Sales_Data[[#This Row],[Quantity]]</f>
        <v>1152000</v>
      </c>
      <c r="N1818" s="12">
        <f>Sales_Data[[#This Row],[Revenue]]-Sales_Data[[#This Row],[COGS]]</f>
        <v>288000</v>
      </c>
    </row>
    <row r="1819" spans="1:14">
      <c r="A1819" s="1">
        <v>47493</v>
      </c>
      <c r="B1819" t="s">
        <v>18</v>
      </c>
      <c r="C1819" t="s">
        <v>32</v>
      </c>
      <c r="D1819" t="s">
        <v>13</v>
      </c>
      <c r="E1819" t="s">
        <v>20</v>
      </c>
      <c r="F1819" t="s">
        <v>38</v>
      </c>
      <c r="G1819" t="s">
        <v>31</v>
      </c>
      <c r="H1819" s="12">
        <v>420000</v>
      </c>
      <c r="I1819">
        <v>5</v>
      </c>
      <c r="J1819" t="s">
        <v>37</v>
      </c>
      <c r="K1819" s="12">
        <f t="shared" si="28"/>
        <v>336000</v>
      </c>
      <c r="L1819" s="12">
        <f>Sales_Data[[#This Row],[Unit Price]]*Sales_Data[[#This Row],[Quantity]]</f>
        <v>2100000</v>
      </c>
      <c r="M1819" s="12">
        <f>Sales_Data[[#This Row],[Cost Price]]*Sales_Data[[#This Row],[Quantity]]</f>
        <v>1680000</v>
      </c>
      <c r="N1819" s="12">
        <f>Sales_Data[[#This Row],[Revenue]]-Sales_Data[[#This Row],[COGS]]</f>
        <v>420000</v>
      </c>
    </row>
    <row r="1820" spans="1:14">
      <c r="A1820" s="1">
        <v>47494</v>
      </c>
      <c r="B1820" t="s">
        <v>25</v>
      </c>
      <c r="C1820" t="s">
        <v>19</v>
      </c>
      <c r="D1820" t="s">
        <v>23</v>
      </c>
      <c r="E1820" t="s">
        <v>20</v>
      </c>
      <c r="F1820" t="s">
        <v>33</v>
      </c>
      <c r="G1820" t="s">
        <v>22</v>
      </c>
      <c r="H1820" s="12">
        <v>180000</v>
      </c>
      <c r="I1820">
        <v>5</v>
      </c>
      <c r="J1820" t="s">
        <v>17</v>
      </c>
      <c r="K1820" s="12">
        <f t="shared" si="28"/>
        <v>144000</v>
      </c>
      <c r="L1820" s="12">
        <f>Sales_Data[[#This Row],[Unit Price]]*Sales_Data[[#This Row],[Quantity]]</f>
        <v>900000</v>
      </c>
      <c r="M1820" s="12">
        <f>Sales_Data[[#This Row],[Cost Price]]*Sales_Data[[#This Row],[Quantity]]</f>
        <v>720000</v>
      </c>
      <c r="N1820" s="12">
        <f>Sales_Data[[#This Row],[Revenue]]-Sales_Data[[#This Row],[COGS]]</f>
        <v>180000</v>
      </c>
    </row>
    <row r="1821" spans="1:14">
      <c r="A1821" s="1">
        <v>47495</v>
      </c>
      <c r="B1821" t="s">
        <v>11</v>
      </c>
      <c r="C1821" t="s">
        <v>12</v>
      </c>
      <c r="D1821" t="s">
        <v>23</v>
      </c>
      <c r="E1821" t="s">
        <v>20</v>
      </c>
      <c r="F1821" t="s">
        <v>30</v>
      </c>
      <c r="G1821" t="s">
        <v>31</v>
      </c>
      <c r="H1821" s="12">
        <v>300000</v>
      </c>
      <c r="I1821">
        <v>1</v>
      </c>
      <c r="J1821" t="s">
        <v>37</v>
      </c>
      <c r="K1821" s="12">
        <f t="shared" si="28"/>
        <v>240000</v>
      </c>
      <c r="L1821" s="12">
        <f>Sales_Data[[#This Row],[Unit Price]]*Sales_Data[[#This Row],[Quantity]]</f>
        <v>300000</v>
      </c>
      <c r="M1821" s="12">
        <f>Sales_Data[[#This Row],[Cost Price]]*Sales_Data[[#This Row],[Quantity]]</f>
        <v>240000</v>
      </c>
      <c r="N1821" s="12">
        <f>Sales_Data[[#This Row],[Revenue]]-Sales_Data[[#This Row],[COGS]]</f>
        <v>60000</v>
      </c>
    </row>
    <row r="1822" spans="1:14">
      <c r="A1822" s="1">
        <v>47496</v>
      </c>
      <c r="B1822" t="s">
        <v>25</v>
      </c>
      <c r="C1822" t="s">
        <v>12</v>
      </c>
      <c r="D1822" t="s">
        <v>13</v>
      </c>
      <c r="E1822" t="s">
        <v>20</v>
      </c>
      <c r="F1822" t="s">
        <v>33</v>
      </c>
      <c r="G1822" t="s">
        <v>22</v>
      </c>
      <c r="H1822" s="12">
        <v>180000</v>
      </c>
      <c r="I1822">
        <v>7</v>
      </c>
      <c r="J1822" t="s">
        <v>37</v>
      </c>
      <c r="K1822" s="12">
        <f t="shared" si="28"/>
        <v>144000</v>
      </c>
      <c r="L1822" s="12">
        <f>Sales_Data[[#This Row],[Unit Price]]*Sales_Data[[#This Row],[Quantity]]</f>
        <v>1260000</v>
      </c>
      <c r="M1822" s="12">
        <f>Sales_Data[[#This Row],[Cost Price]]*Sales_Data[[#This Row],[Quantity]]</f>
        <v>1008000</v>
      </c>
      <c r="N1822" s="12">
        <f>Sales_Data[[#This Row],[Revenue]]-Sales_Data[[#This Row],[COGS]]</f>
        <v>252000</v>
      </c>
    </row>
    <row r="1823" spans="1:14">
      <c r="A1823" s="1">
        <v>47497</v>
      </c>
      <c r="B1823" t="s">
        <v>18</v>
      </c>
      <c r="C1823" t="s">
        <v>26</v>
      </c>
      <c r="D1823" t="s">
        <v>23</v>
      </c>
      <c r="E1823" t="s">
        <v>20</v>
      </c>
      <c r="F1823" t="s">
        <v>21</v>
      </c>
      <c r="G1823" t="s">
        <v>22</v>
      </c>
      <c r="H1823" s="12">
        <v>30000</v>
      </c>
      <c r="I1823">
        <v>8</v>
      </c>
      <c r="J1823" t="s">
        <v>37</v>
      </c>
      <c r="K1823" s="12">
        <f t="shared" si="28"/>
        <v>24000</v>
      </c>
      <c r="L1823" s="12">
        <f>Sales_Data[[#This Row],[Unit Price]]*Sales_Data[[#This Row],[Quantity]]</f>
        <v>240000</v>
      </c>
      <c r="M1823" s="12">
        <f>Sales_Data[[#This Row],[Cost Price]]*Sales_Data[[#This Row],[Quantity]]</f>
        <v>192000</v>
      </c>
      <c r="N1823" s="12">
        <f>Sales_Data[[#This Row],[Revenue]]-Sales_Data[[#This Row],[COGS]]</f>
        <v>48000</v>
      </c>
    </row>
    <row r="1824" spans="1:14">
      <c r="A1824" s="1">
        <v>47498</v>
      </c>
      <c r="B1824" t="s">
        <v>29</v>
      </c>
      <c r="C1824" t="s">
        <v>12</v>
      </c>
      <c r="D1824" t="s">
        <v>13</v>
      </c>
      <c r="E1824" t="s">
        <v>20</v>
      </c>
      <c r="F1824" t="s">
        <v>15</v>
      </c>
      <c r="G1824" t="s">
        <v>16</v>
      </c>
      <c r="H1824" s="12">
        <v>85000</v>
      </c>
      <c r="I1824">
        <v>10</v>
      </c>
      <c r="J1824" t="s">
        <v>28</v>
      </c>
      <c r="K1824" s="12">
        <f t="shared" si="28"/>
        <v>68000</v>
      </c>
      <c r="L1824" s="12">
        <f>Sales_Data[[#This Row],[Unit Price]]*Sales_Data[[#This Row],[Quantity]]</f>
        <v>850000</v>
      </c>
      <c r="M1824" s="12">
        <f>Sales_Data[[#This Row],[Cost Price]]*Sales_Data[[#This Row],[Quantity]]</f>
        <v>680000</v>
      </c>
      <c r="N1824" s="12">
        <f>Sales_Data[[#This Row],[Revenue]]-Sales_Data[[#This Row],[COGS]]</f>
        <v>170000</v>
      </c>
    </row>
    <row r="1825" spans="1:14">
      <c r="A1825" s="1">
        <v>47499</v>
      </c>
      <c r="B1825" t="s">
        <v>18</v>
      </c>
      <c r="C1825" t="s">
        <v>26</v>
      </c>
      <c r="D1825" t="s">
        <v>13</v>
      </c>
      <c r="E1825" t="s">
        <v>20</v>
      </c>
      <c r="F1825" t="s">
        <v>15</v>
      </c>
      <c r="G1825" t="s">
        <v>16</v>
      </c>
      <c r="H1825" s="12">
        <v>85000</v>
      </c>
      <c r="I1825">
        <v>1</v>
      </c>
      <c r="J1825" t="s">
        <v>17</v>
      </c>
      <c r="K1825" s="12">
        <f t="shared" si="28"/>
        <v>68000</v>
      </c>
      <c r="L1825" s="12">
        <f>Sales_Data[[#This Row],[Unit Price]]*Sales_Data[[#This Row],[Quantity]]</f>
        <v>85000</v>
      </c>
      <c r="M1825" s="12">
        <f>Sales_Data[[#This Row],[Cost Price]]*Sales_Data[[#This Row],[Quantity]]</f>
        <v>68000</v>
      </c>
      <c r="N1825" s="12">
        <f>Sales_Data[[#This Row],[Revenue]]-Sales_Data[[#This Row],[COGS]]</f>
        <v>17000</v>
      </c>
    </row>
    <row r="1826" spans="1:14">
      <c r="A1826" s="1">
        <v>47500</v>
      </c>
      <c r="B1826" t="s">
        <v>29</v>
      </c>
      <c r="C1826" t="s">
        <v>19</v>
      </c>
      <c r="D1826" t="s">
        <v>23</v>
      </c>
      <c r="E1826" t="s">
        <v>20</v>
      </c>
      <c r="F1826" t="s">
        <v>36</v>
      </c>
      <c r="G1826" t="s">
        <v>31</v>
      </c>
      <c r="H1826" s="12">
        <v>150000</v>
      </c>
      <c r="I1826">
        <v>8</v>
      </c>
      <c r="J1826" t="s">
        <v>37</v>
      </c>
      <c r="K1826" s="12">
        <f t="shared" si="28"/>
        <v>120000</v>
      </c>
      <c r="L1826" s="12">
        <f>Sales_Data[[#This Row],[Unit Price]]*Sales_Data[[#This Row],[Quantity]]</f>
        <v>1200000</v>
      </c>
      <c r="M1826" s="12">
        <f>Sales_Data[[#This Row],[Cost Price]]*Sales_Data[[#This Row],[Quantity]]</f>
        <v>960000</v>
      </c>
      <c r="N1826" s="12">
        <f>Sales_Data[[#This Row],[Revenue]]-Sales_Data[[#This Row],[COGS]]</f>
        <v>240000</v>
      </c>
    </row>
    <row r="1827" spans="1:14">
      <c r="A1827" s="1">
        <v>47501</v>
      </c>
      <c r="B1827" t="s">
        <v>11</v>
      </c>
      <c r="C1827" t="s">
        <v>19</v>
      </c>
      <c r="D1827" t="s">
        <v>23</v>
      </c>
      <c r="E1827" t="s">
        <v>20</v>
      </c>
      <c r="F1827" t="s">
        <v>38</v>
      </c>
      <c r="G1827" t="s">
        <v>31</v>
      </c>
      <c r="H1827" s="12">
        <v>420000</v>
      </c>
      <c r="I1827">
        <v>6</v>
      </c>
      <c r="J1827" t="s">
        <v>35</v>
      </c>
      <c r="K1827" s="12">
        <f t="shared" si="28"/>
        <v>336000</v>
      </c>
      <c r="L1827" s="12">
        <f>Sales_Data[[#This Row],[Unit Price]]*Sales_Data[[#This Row],[Quantity]]</f>
        <v>2520000</v>
      </c>
      <c r="M1827" s="12">
        <f>Sales_Data[[#This Row],[Cost Price]]*Sales_Data[[#This Row],[Quantity]]</f>
        <v>2016000</v>
      </c>
      <c r="N1827" s="12">
        <f>Sales_Data[[#This Row],[Revenue]]-Sales_Data[[#This Row],[COGS]]</f>
        <v>504000</v>
      </c>
    </row>
    <row r="1828" spans="1:14">
      <c r="A1828" s="1">
        <v>47502</v>
      </c>
      <c r="B1828" t="s">
        <v>25</v>
      </c>
      <c r="C1828" t="s">
        <v>32</v>
      </c>
      <c r="D1828" t="s">
        <v>13</v>
      </c>
      <c r="E1828" t="s">
        <v>20</v>
      </c>
      <c r="F1828" t="s">
        <v>27</v>
      </c>
      <c r="G1828" t="s">
        <v>22</v>
      </c>
      <c r="H1828" s="12">
        <v>60000</v>
      </c>
      <c r="I1828">
        <v>8</v>
      </c>
      <c r="J1828" t="s">
        <v>35</v>
      </c>
      <c r="K1828" s="12">
        <f t="shared" si="28"/>
        <v>48000</v>
      </c>
      <c r="L1828" s="12">
        <f>Sales_Data[[#This Row],[Unit Price]]*Sales_Data[[#This Row],[Quantity]]</f>
        <v>480000</v>
      </c>
      <c r="M1828" s="12">
        <f>Sales_Data[[#This Row],[Cost Price]]*Sales_Data[[#This Row],[Quantity]]</f>
        <v>384000</v>
      </c>
      <c r="N1828" s="12">
        <f>Sales_Data[[#This Row],[Revenue]]-Sales_Data[[#This Row],[COGS]]</f>
        <v>96000</v>
      </c>
    </row>
    <row r="1829" spans="1:14">
      <c r="A1829" s="1">
        <v>47503</v>
      </c>
      <c r="B1829" t="s">
        <v>25</v>
      </c>
      <c r="C1829" t="s">
        <v>12</v>
      </c>
      <c r="D1829" t="s">
        <v>13</v>
      </c>
      <c r="E1829" t="s">
        <v>20</v>
      </c>
      <c r="F1829" t="s">
        <v>30</v>
      </c>
      <c r="G1829" t="s">
        <v>31</v>
      </c>
      <c r="H1829" s="12">
        <v>300000</v>
      </c>
      <c r="I1829">
        <v>7</v>
      </c>
      <c r="J1829" t="s">
        <v>28</v>
      </c>
      <c r="K1829" s="12">
        <f t="shared" si="28"/>
        <v>240000</v>
      </c>
      <c r="L1829" s="12">
        <f>Sales_Data[[#This Row],[Unit Price]]*Sales_Data[[#This Row],[Quantity]]</f>
        <v>2100000</v>
      </c>
      <c r="M1829" s="12">
        <f>Sales_Data[[#This Row],[Cost Price]]*Sales_Data[[#This Row],[Quantity]]</f>
        <v>1680000</v>
      </c>
      <c r="N1829" s="12">
        <f>Sales_Data[[#This Row],[Revenue]]-Sales_Data[[#This Row],[COGS]]</f>
        <v>420000</v>
      </c>
    </row>
    <row r="1830" spans="1:14">
      <c r="A1830" s="1">
        <v>47504</v>
      </c>
      <c r="B1830" t="s">
        <v>18</v>
      </c>
      <c r="C1830" t="s">
        <v>19</v>
      </c>
      <c r="D1830" t="s">
        <v>23</v>
      </c>
      <c r="E1830" t="s">
        <v>20</v>
      </c>
      <c r="F1830" t="s">
        <v>36</v>
      </c>
      <c r="G1830" t="s">
        <v>31</v>
      </c>
      <c r="H1830" s="12">
        <v>150000</v>
      </c>
      <c r="I1830">
        <v>8</v>
      </c>
      <c r="J1830" t="s">
        <v>37</v>
      </c>
      <c r="K1830" s="12">
        <f t="shared" si="28"/>
        <v>120000</v>
      </c>
      <c r="L1830" s="12">
        <f>Sales_Data[[#This Row],[Unit Price]]*Sales_Data[[#This Row],[Quantity]]</f>
        <v>1200000</v>
      </c>
      <c r="M1830" s="12">
        <f>Sales_Data[[#This Row],[Cost Price]]*Sales_Data[[#This Row],[Quantity]]</f>
        <v>960000</v>
      </c>
      <c r="N1830" s="12">
        <f>Sales_Data[[#This Row],[Revenue]]-Sales_Data[[#This Row],[COGS]]</f>
        <v>240000</v>
      </c>
    </row>
    <row r="1831" spans="1:14">
      <c r="A1831" s="1">
        <v>47505</v>
      </c>
      <c r="B1831" t="s">
        <v>18</v>
      </c>
      <c r="C1831" t="s">
        <v>12</v>
      </c>
      <c r="D1831" t="s">
        <v>23</v>
      </c>
      <c r="E1831" t="s">
        <v>20</v>
      </c>
      <c r="F1831" t="s">
        <v>27</v>
      </c>
      <c r="G1831" t="s">
        <v>22</v>
      </c>
      <c r="H1831" s="12">
        <v>60000</v>
      </c>
      <c r="I1831">
        <v>10</v>
      </c>
      <c r="J1831" t="s">
        <v>17</v>
      </c>
      <c r="K1831" s="12">
        <f t="shared" si="28"/>
        <v>48000</v>
      </c>
      <c r="L1831" s="12">
        <f>Sales_Data[[#This Row],[Unit Price]]*Sales_Data[[#This Row],[Quantity]]</f>
        <v>600000</v>
      </c>
      <c r="M1831" s="12">
        <f>Sales_Data[[#This Row],[Cost Price]]*Sales_Data[[#This Row],[Quantity]]</f>
        <v>480000</v>
      </c>
      <c r="N1831" s="12">
        <f>Sales_Data[[#This Row],[Revenue]]-Sales_Data[[#This Row],[COGS]]</f>
        <v>120000</v>
      </c>
    </row>
    <row r="1832" spans="1:14">
      <c r="A1832" s="1">
        <v>47506</v>
      </c>
      <c r="B1832" t="s">
        <v>29</v>
      </c>
      <c r="C1832" t="s">
        <v>26</v>
      </c>
      <c r="D1832" t="s">
        <v>13</v>
      </c>
      <c r="E1832" t="s">
        <v>20</v>
      </c>
      <c r="F1832" t="s">
        <v>34</v>
      </c>
      <c r="G1832" t="s">
        <v>16</v>
      </c>
      <c r="H1832" s="12">
        <v>320000</v>
      </c>
      <c r="I1832">
        <v>9</v>
      </c>
      <c r="J1832" t="s">
        <v>35</v>
      </c>
      <c r="K1832" s="12">
        <f t="shared" si="28"/>
        <v>256000</v>
      </c>
      <c r="L1832" s="12">
        <f>Sales_Data[[#This Row],[Unit Price]]*Sales_Data[[#This Row],[Quantity]]</f>
        <v>2880000</v>
      </c>
      <c r="M1832" s="12">
        <f>Sales_Data[[#This Row],[Cost Price]]*Sales_Data[[#This Row],[Quantity]]</f>
        <v>2304000</v>
      </c>
      <c r="N1832" s="12">
        <f>Sales_Data[[#This Row],[Revenue]]-Sales_Data[[#This Row],[COGS]]</f>
        <v>576000</v>
      </c>
    </row>
    <row r="1833" spans="1:14">
      <c r="A1833" s="1">
        <v>47507</v>
      </c>
      <c r="B1833" t="s">
        <v>11</v>
      </c>
      <c r="C1833" t="s">
        <v>12</v>
      </c>
      <c r="D1833" t="s">
        <v>13</v>
      </c>
      <c r="E1833" t="s">
        <v>20</v>
      </c>
      <c r="F1833" t="s">
        <v>40</v>
      </c>
      <c r="G1833" t="s">
        <v>31</v>
      </c>
      <c r="H1833" s="12">
        <v>250000</v>
      </c>
      <c r="I1833">
        <v>9</v>
      </c>
      <c r="J1833" t="s">
        <v>28</v>
      </c>
      <c r="K1833" s="12">
        <f t="shared" si="28"/>
        <v>200000</v>
      </c>
      <c r="L1833" s="12">
        <f>Sales_Data[[#This Row],[Unit Price]]*Sales_Data[[#This Row],[Quantity]]</f>
        <v>2250000</v>
      </c>
      <c r="M1833" s="12">
        <f>Sales_Data[[#This Row],[Cost Price]]*Sales_Data[[#This Row],[Quantity]]</f>
        <v>1800000</v>
      </c>
      <c r="N1833" s="12">
        <f>Sales_Data[[#This Row],[Revenue]]-Sales_Data[[#This Row],[COGS]]</f>
        <v>450000</v>
      </c>
    </row>
    <row r="1834" spans="1:14">
      <c r="A1834" s="1">
        <v>47508</v>
      </c>
      <c r="B1834" t="s">
        <v>25</v>
      </c>
      <c r="C1834" t="s">
        <v>26</v>
      </c>
      <c r="D1834" t="s">
        <v>13</v>
      </c>
      <c r="E1834" t="s">
        <v>20</v>
      </c>
      <c r="F1834" t="s">
        <v>41</v>
      </c>
      <c r="G1834" t="s">
        <v>22</v>
      </c>
      <c r="H1834" s="12">
        <v>220000</v>
      </c>
      <c r="I1834">
        <v>7</v>
      </c>
      <c r="J1834" t="s">
        <v>35</v>
      </c>
      <c r="K1834" s="12">
        <f t="shared" si="28"/>
        <v>176000</v>
      </c>
      <c r="L1834" s="12">
        <f>Sales_Data[[#This Row],[Unit Price]]*Sales_Data[[#This Row],[Quantity]]</f>
        <v>1540000</v>
      </c>
      <c r="M1834" s="12">
        <f>Sales_Data[[#This Row],[Cost Price]]*Sales_Data[[#This Row],[Quantity]]</f>
        <v>1232000</v>
      </c>
      <c r="N1834" s="12">
        <f>Sales_Data[[#This Row],[Revenue]]-Sales_Data[[#This Row],[COGS]]</f>
        <v>308000</v>
      </c>
    </row>
    <row r="1835" spans="1:14">
      <c r="A1835" s="1">
        <v>47509</v>
      </c>
      <c r="B1835" t="s">
        <v>25</v>
      </c>
      <c r="C1835" t="s">
        <v>19</v>
      </c>
      <c r="D1835" t="s">
        <v>13</v>
      </c>
      <c r="E1835" t="s">
        <v>20</v>
      </c>
      <c r="F1835" t="s">
        <v>34</v>
      </c>
      <c r="G1835" t="s">
        <v>16</v>
      </c>
      <c r="H1835" s="12">
        <v>320000</v>
      </c>
      <c r="I1835">
        <v>4</v>
      </c>
      <c r="J1835" t="s">
        <v>24</v>
      </c>
      <c r="K1835" s="12">
        <f t="shared" si="28"/>
        <v>256000</v>
      </c>
      <c r="L1835" s="12">
        <f>Sales_Data[[#This Row],[Unit Price]]*Sales_Data[[#This Row],[Quantity]]</f>
        <v>1280000</v>
      </c>
      <c r="M1835" s="12">
        <f>Sales_Data[[#This Row],[Cost Price]]*Sales_Data[[#This Row],[Quantity]]</f>
        <v>1024000</v>
      </c>
      <c r="N1835" s="12">
        <f>Sales_Data[[#This Row],[Revenue]]-Sales_Data[[#This Row],[COGS]]</f>
        <v>256000</v>
      </c>
    </row>
    <row r="1836" spans="1:14">
      <c r="A1836" s="1">
        <v>47510</v>
      </c>
      <c r="B1836" t="s">
        <v>25</v>
      </c>
      <c r="C1836" t="s">
        <v>19</v>
      </c>
      <c r="D1836" t="s">
        <v>23</v>
      </c>
      <c r="E1836" t="s">
        <v>20</v>
      </c>
      <c r="F1836" t="s">
        <v>41</v>
      </c>
      <c r="G1836" t="s">
        <v>22</v>
      </c>
      <c r="H1836" s="12">
        <v>220000</v>
      </c>
      <c r="I1836">
        <v>1</v>
      </c>
      <c r="J1836" t="s">
        <v>37</v>
      </c>
      <c r="K1836" s="12">
        <f t="shared" si="28"/>
        <v>176000</v>
      </c>
      <c r="L1836" s="12">
        <f>Sales_Data[[#This Row],[Unit Price]]*Sales_Data[[#This Row],[Quantity]]</f>
        <v>220000</v>
      </c>
      <c r="M1836" s="12">
        <f>Sales_Data[[#This Row],[Cost Price]]*Sales_Data[[#This Row],[Quantity]]</f>
        <v>176000</v>
      </c>
      <c r="N1836" s="12">
        <f>Sales_Data[[#This Row],[Revenue]]-Sales_Data[[#This Row],[COGS]]</f>
        <v>44000</v>
      </c>
    </row>
    <row r="1837" spans="1:14">
      <c r="A1837" s="1">
        <v>47511</v>
      </c>
      <c r="B1837" t="s">
        <v>11</v>
      </c>
      <c r="C1837" t="s">
        <v>19</v>
      </c>
      <c r="D1837" t="s">
        <v>13</v>
      </c>
      <c r="E1837" t="s">
        <v>20</v>
      </c>
      <c r="F1837" t="s">
        <v>21</v>
      </c>
      <c r="G1837" t="s">
        <v>22</v>
      </c>
      <c r="H1837" s="12">
        <v>30000</v>
      </c>
      <c r="I1837">
        <v>9</v>
      </c>
      <c r="J1837" t="s">
        <v>37</v>
      </c>
      <c r="K1837" s="12">
        <f t="shared" si="28"/>
        <v>24000</v>
      </c>
      <c r="L1837" s="12">
        <f>Sales_Data[[#This Row],[Unit Price]]*Sales_Data[[#This Row],[Quantity]]</f>
        <v>270000</v>
      </c>
      <c r="M1837" s="12">
        <f>Sales_Data[[#This Row],[Cost Price]]*Sales_Data[[#This Row],[Quantity]]</f>
        <v>216000</v>
      </c>
      <c r="N1837" s="12">
        <f>Sales_Data[[#This Row],[Revenue]]-Sales_Data[[#This Row],[COGS]]</f>
        <v>54000</v>
      </c>
    </row>
    <row r="1838" spans="1:14">
      <c r="A1838" s="1">
        <v>47512</v>
      </c>
      <c r="B1838" t="s">
        <v>29</v>
      </c>
      <c r="C1838" t="s">
        <v>19</v>
      </c>
      <c r="D1838" t="s">
        <v>23</v>
      </c>
      <c r="E1838" t="s">
        <v>20</v>
      </c>
      <c r="F1838" t="s">
        <v>21</v>
      </c>
      <c r="G1838" t="s">
        <v>22</v>
      </c>
      <c r="H1838" s="12">
        <v>30000</v>
      </c>
      <c r="I1838">
        <v>8</v>
      </c>
      <c r="J1838" t="s">
        <v>37</v>
      </c>
      <c r="K1838" s="12">
        <f t="shared" si="28"/>
        <v>24000</v>
      </c>
      <c r="L1838" s="12">
        <f>Sales_Data[[#This Row],[Unit Price]]*Sales_Data[[#This Row],[Quantity]]</f>
        <v>240000</v>
      </c>
      <c r="M1838" s="12">
        <f>Sales_Data[[#This Row],[Cost Price]]*Sales_Data[[#This Row],[Quantity]]</f>
        <v>192000</v>
      </c>
      <c r="N1838" s="12">
        <f>Sales_Data[[#This Row],[Revenue]]-Sales_Data[[#This Row],[COGS]]</f>
        <v>48000</v>
      </c>
    </row>
    <row r="1839" spans="1:14">
      <c r="A1839" s="1">
        <v>47513</v>
      </c>
      <c r="B1839" t="s">
        <v>25</v>
      </c>
      <c r="C1839" t="s">
        <v>19</v>
      </c>
      <c r="D1839" t="s">
        <v>23</v>
      </c>
      <c r="E1839" t="s">
        <v>20</v>
      </c>
      <c r="F1839" t="s">
        <v>27</v>
      </c>
      <c r="G1839" t="s">
        <v>22</v>
      </c>
      <c r="H1839" s="12">
        <v>60000</v>
      </c>
      <c r="I1839">
        <v>7</v>
      </c>
      <c r="J1839" t="s">
        <v>24</v>
      </c>
      <c r="K1839" s="12">
        <f t="shared" si="28"/>
        <v>48000</v>
      </c>
      <c r="L1839" s="12">
        <f>Sales_Data[[#This Row],[Unit Price]]*Sales_Data[[#This Row],[Quantity]]</f>
        <v>420000</v>
      </c>
      <c r="M1839" s="12">
        <f>Sales_Data[[#This Row],[Cost Price]]*Sales_Data[[#This Row],[Quantity]]</f>
        <v>336000</v>
      </c>
      <c r="N1839" s="12">
        <f>Sales_Data[[#This Row],[Revenue]]-Sales_Data[[#This Row],[COGS]]</f>
        <v>84000</v>
      </c>
    </row>
    <row r="1840" spans="1:14">
      <c r="A1840" s="1">
        <v>47514</v>
      </c>
      <c r="B1840" t="s">
        <v>11</v>
      </c>
      <c r="C1840" t="s">
        <v>26</v>
      </c>
      <c r="D1840" t="s">
        <v>13</v>
      </c>
      <c r="E1840" t="s">
        <v>20</v>
      </c>
      <c r="F1840" t="s">
        <v>21</v>
      </c>
      <c r="G1840" t="s">
        <v>22</v>
      </c>
      <c r="H1840" s="12">
        <v>30000</v>
      </c>
      <c r="I1840">
        <v>7</v>
      </c>
      <c r="J1840" t="s">
        <v>39</v>
      </c>
      <c r="K1840" s="12">
        <f t="shared" si="28"/>
        <v>24000</v>
      </c>
      <c r="L1840" s="12">
        <f>Sales_Data[[#This Row],[Unit Price]]*Sales_Data[[#This Row],[Quantity]]</f>
        <v>210000</v>
      </c>
      <c r="M1840" s="12">
        <f>Sales_Data[[#This Row],[Cost Price]]*Sales_Data[[#This Row],[Quantity]]</f>
        <v>168000</v>
      </c>
      <c r="N1840" s="12">
        <f>Sales_Data[[#This Row],[Revenue]]-Sales_Data[[#This Row],[COGS]]</f>
        <v>42000</v>
      </c>
    </row>
    <row r="1841" spans="1:14">
      <c r="A1841" s="1">
        <v>47515</v>
      </c>
      <c r="B1841" t="s">
        <v>11</v>
      </c>
      <c r="C1841" t="s">
        <v>12</v>
      </c>
      <c r="D1841" t="s">
        <v>13</v>
      </c>
      <c r="E1841" t="s">
        <v>20</v>
      </c>
      <c r="F1841" t="s">
        <v>30</v>
      </c>
      <c r="G1841" t="s">
        <v>31</v>
      </c>
      <c r="H1841" s="12">
        <v>300000</v>
      </c>
      <c r="I1841">
        <v>6</v>
      </c>
      <c r="J1841" t="s">
        <v>37</v>
      </c>
      <c r="K1841" s="12">
        <f t="shared" si="28"/>
        <v>240000</v>
      </c>
      <c r="L1841" s="12">
        <f>Sales_Data[[#This Row],[Unit Price]]*Sales_Data[[#This Row],[Quantity]]</f>
        <v>1800000</v>
      </c>
      <c r="M1841" s="12">
        <f>Sales_Data[[#This Row],[Cost Price]]*Sales_Data[[#This Row],[Quantity]]</f>
        <v>1440000</v>
      </c>
      <c r="N1841" s="12">
        <f>Sales_Data[[#This Row],[Revenue]]-Sales_Data[[#This Row],[COGS]]</f>
        <v>360000</v>
      </c>
    </row>
    <row r="1842" spans="1:14">
      <c r="A1842" s="1">
        <v>47516</v>
      </c>
      <c r="B1842" t="s">
        <v>29</v>
      </c>
      <c r="C1842" t="s">
        <v>32</v>
      </c>
      <c r="D1842" t="s">
        <v>23</v>
      </c>
      <c r="E1842" t="s">
        <v>20</v>
      </c>
      <c r="F1842" t="s">
        <v>30</v>
      </c>
      <c r="G1842" t="s">
        <v>31</v>
      </c>
      <c r="H1842" s="12">
        <v>300000</v>
      </c>
      <c r="I1842">
        <v>4</v>
      </c>
      <c r="J1842" t="s">
        <v>39</v>
      </c>
      <c r="K1842" s="12">
        <f t="shared" si="28"/>
        <v>240000</v>
      </c>
      <c r="L1842" s="12">
        <f>Sales_Data[[#This Row],[Unit Price]]*Sales_Data[[#This Row],[Quantity]]</f>
        <v>1200000</v>
      </c>
      <c r="M1842" s="12">
        <f>Sales_Data[[#This Row],[Cost Price]]*Sales_Data[[#This Row],[Quantity]]</f>
        <v>960000</v>
      </c>
      <c r="N1842" s="12">
        <f>Sales_Data[[#This Row],[Revenue]]-Sales_Data[[#This Row],[COGS]]</f>
        <v>240000</v>
      </c>
    </row>
    <row r="1843" spans="1:14">
      <c r="A1843" s="1">
        <v>47517</v>
      </c>
      <c r="B1843" t="s">
        <v>25</v>
      </c>
      <c r="C1843" t="s">
        <v>26</v>
      </c>
      <c r="D1843" t="s">
        <v>13</v>
      </c>
      <c r="E1843" t="s">
        <v>20</v>
      </c>
      <c r="F1843" t="s">
        <v>15</v>
      </c>
      <c r="G1843" t="s">
        <v>16</v>
      </c>
      <c r="H1843" s="12">
        <v>85000</v>
      </c>
      <c r="I1843">
        <v>2</v>
      </c>
      <c r="J1843" t="s">
        <v>17</v>
      </c>
      <c r="K1843" s="12">
        <f t="shared" si="28"/>
        <v>68000</v>
      </c>
      <c r="L1843" s="12">
        <f>Sales_Data[[#This Row],[Unit Price]]*Sales_Data[[#This Row],[Quantity]]</f>
        <v>170000</v>
      </c>
      <c r="M1843" s="12">
        <f>Sales_Data[[#This Row],[Cost Price]]*Sales_Data[[#This Row],[Quantity]]</f>
        <v>136000</v>
      </c>
      <c r="N1843" s="12">
        <f>Sales_Data[[#This Row],[Revenue]]-Sales_Data[[#This Row],[COGS]]</f>
        <v>34000</v>
      </c>
    </row>
    <row r="1844" spans="1:14">
      <c r="A1844" s="1">
        <v>47518</v>
      </c>
      <c r="B1844" t="s">
        <v>29</v>
      </c>
      <c r="C1844" t="s">
        <v>26</v>
      </c>
      <c r="D1844" t="s">
        <v>23</v>
      </c>
      <c r="E1844" t="s">
        <v>20</v>
      </c>
      <c r="F1844" t="s">
        <v>36</v>
      </c>
      <c r="G1844" t="s">
        <v>31</v>
      </c>
      <c r="H1844" s="12">
        <v>150000</v>
      </c>
      <c r="I1844">
        <v>3</v>
      </c>
      <c r="J1844" t="s">
        <v>24</v>
      </c>
      <c r="K1844" s="12">
        <f t="shared" si="28"/>
        <v>120000</v>
      </c>
      <c r="L1844" s="12">
        <f>Sales_Data[[#This Row],[Unit Price]]*Sales_Data[[#This Row],[Quantity]]</f>
        <v>450000</v>
      </c>
      <c r="M1844" s="12">
        <f>Sales_Data[[#This Row],[Cost Price]]*Sales_Data[[#This Row],[Quantity]]</f>
        <v>360000</v>
      </c>
      <c r="N1844" s="12">
        <f>Sales_Data[[#This Row],[Revenue]]-Sales_Data[[#This Row],[COGS]]</f>
        <v>90000</v>
      </c>
    </row>
    <row r="1845" spans="1:14">
      <c r="A1845" s="1">
        <v>47519</v>
      </c>
      <c r="B1845" t="s">
        <v>11</v>
      </c>
      <c r="C1845" t="s">
        <v>32</v>
      </c>
      <c r="D1845" t="s">
        <v>23</v>
      </c>
      <c r="E1845" t="s">
        <v>20</v>
      </c>
      <c r="F1845" t="s">
        <v>40</v>
      </c>
      <c r="G1845" t="s">
        <v>31</v>
      </c>
      <c r="H1845" s="12">
        <v>250000</v>
      </c>
      <c r="I1845">
        <v>4</v>
      </c>
      <c r="J1845" t="s">
        <v>28</v>
      </c>
      <c r="K1845" s="12">
        <f t="shared" si="28"/>
        <v>200000</v>
      </c>
      <c r="L1845" s="12">
        <f>Sales_Data[[#This Row],[Unit Price]]*Sales_Data[[#This Row],[Quantity]]</f>
        <v>1000000</v>
      </c>
      <c r="M1845" s="12">
        <f>Sales_Data[[#This Row],[Cost Price]]*Sales_Data[[#This Row],[Quantity]]</f>
        <v>800000</v>
      </c>
      <c r="N1845" s="12">
        <f>Sales_Data[[#This Row],[Revenue]]-Sales_Data[[#This Row],[COGS]]</f>
        <v>200000</v>
      </c>
    </row>
    <row r="1846" spans="1:14">
      <c r="A1846" s="1">
        <v>47520</v>
      </c>
      <c r="B1846" t="s">
        <v>29</v>
      </c>
      <c r="C1846" t="s">
        <v>12</v>
      </c>
      <c r="D1846" t="s">
        <v>13</v>
      </c>
      <c r="E1846" t="s">
        <v>20</v>
      </c>
      <c r="F1846" t="s">
        <v>40</v>
      </c>
      <c r="G1846" t="s">
        <v>31</v>
      </c>
      <c r="H1846" s="12">
        <v>250000</v>
      </c>
      <c r="I1846">
        <v>7</v>
      </c>
      <c r="J1846" t="s">
        <v>17</v>
      </c>
      <c r="K1846" s="12">
        <f t="shared" si="28"/>
        <v>200000</v>
      </c>
      <c r="L1846" s="12">
        <f>Sales_Data[[#This Row],[Unit Price]]*Sales_Data[[#This Row],[Quantity]]</f>
        <v>1750000</v>
      </c>
      <c r="M1846" s="12">
        <f>Sales_Data[[#This Row],[Cost Price]]*Sales_Data[[#This Row],[Quantity]]</f>
        <v>1400000</v>
      </c>
      <c r="N1846" s="12">
        <f>Sales_Data[[#This Row],[Revenue]]-Sales_Data[[#This Row],[COGS]]</f>
        <v>350000</v>
      </c>
    </row>
    <row r="1847" spans="1:14">
      <c r="A1847" s="1">
        <v>47521</v>
      </c>
      <c r="B1847" t="s">
        <v>11</v>
      </c>
      <c r="C1847" t="s">
        <v>19</v>
      </c>
      <c r="D1847" t="s">
        <v>13</v>
      </c>
      <c r="E1847" t="s">
        <v>20</v>
      </c>
      <c r="F1847" t="s">
        <v>40</v>
      </c>
      <c r="G1847" t="s">
        <v>31</v>
      </c>
      <c r="H1847" s="12">
        <v>250000</v>
      </c>
      <c r="I1847">
        <v>3</v>
      </c>
      <c r="J1847" t="s">
        <v>24</v>
      </c>
      <c r="K1847" s="12">
        <f t="shared" si="28"/>
        <v>200000</v>
      </c>
      <c r="L1847" s="12">
        <f>Sales_Data[[#This Row],[Unit Price]]*Sales_Data[[#This Row],[Quantity]]</f>
        <v>750000</v>
      </c>
      <c r="M1847" s="12">
        <f>Sales_Data[[#This Row],[Cost Price]]*Sales_Data[[#This Row],[Quantity]]</f>
        <v>600000</v>
      </c>
      <c r="N1847" s="12">
        <f>Sales_Data[[#This Row],[Revenue]]-Sales_Data[[#This Row],[COGS]]</f>
        <v>150000</v>
      </c>
    </row>
    <row r="1848" spans="1:14">
      <c r="A1848" s="1">
        <v>47522</v>
      </c>
      <c r="B1848" t="s">
        <v>18</v>
      </c>
      <c r="C1848" t="s">
        <v>26</v>
      </c>
      <c r="D1848" t="s">
        <v>13</v>
      </c>
      <c r="E1848" t="s">
        <v>20</v>
      </c>
      <c r="F1848" t="s">
        <v>36</v>
      </c>
      <c r="G1848" t="s">
        <v>31</v>
      </c>
      <c r="H1848" s="12">
        <v>150000</v>
      </c>
      <c r="I1848">
        <v>8</v>
      </c>
      <c r="J1848" t="s">
        <v>17</v>
      </c>
      <c r="K1848" s="12">
        <f t="shared" si="28"/>
        <v>120000</v>
      </c>
      <c r="L1848" s="12">
        <f>Sales_Data[[#This Row],[Unit Price]]*Sales_Data[[#This Row],[Quantity]]</f>
        <v>1200000</v>
      </c>
      <c r="M1848" s="12">
        <f>Sales_Data[[#This Row],[Cost Price]]*Sales_Data[[#This Row],[Quantity]]</f>
        <v>960000</v>
      </c>
      <c r="N1848" s="12">
        <f>Sales_Data[[#This Row],[Revenue]]-Sales_Data[[#This Row],[COGS]]</f>
        <v>240000</v>
      </c>
    </row>
    <row r="1849" spans="1:14">
      <c r="A1849" s="1">
        <v>47523</v>
      </c>
      <c r="B1849" t="s">
        <v>18</v>
      </c>
      <c r="C1849" t="s">
        <v>26</v>
      </c>
      <c r="D1849" t="s">
        <v>23</v>
      </c>
      <c r="E1849" t="s">
        <v>20</v>
      </c>
      <c r="F1849" t="s">
        <v>15</v>
      </c>
      <c r="G1849" t="s">
        <v>16</v>
      </c>
      <c r="H1849" s="12">
        <v>85000</v>
      </c>
      <c r="I1849">
        <v>1</v>
      </c>
      <c r="J1849" t="s">
        <v>37</v>
      </c>
      <c r="K1849" s="12">
        <f t="shared" si="28"/>
        <v>68000</v>
      </c>
      <c r="L1849" s="12">
        <f>Sales_Data[[#This Row],[Unit Price]]*Sales_Data[[#This Row],[Quantity]]</f>
        <v>85000</v>
      </c>
      <c r="M1849" s="12">
        <f>Sales_Data[[#This Row],[Cost Price]]*Sales_Data[[#This Row],[Quantity]]</f>
        <v>68000</v>
      </c>
      <c r="N1849" s="12">
        <f>Sales_Data[[#This Row],[Revenue]]-Sales_Data[[#This Row],[COGS]]</f>
        <v>17000</v>
      </c>
    </row>
    <row r="1850" spans="1:14">
      <c r="A1850" s="1">
        <v>47524</v>
      </c>
      <c r="B1850" t="s">
        <v>18</v>
      </c>
      <c r="C1850" t="s">
        <v>32</v>
      </c>
      <c r="D1850" t="s">
        <v>13</v>
      </c>
      <c r="E1850" t="s">
        <v>20</v>
      </c>
      <c r="F1850" t="s">
        <v>41</v>
      </c>
      <c r="G1850" t="s">
        <v>22</v>
      </c>
      <c r="H1850" s="12">
        <v>220000</v>
      </c>
      <c r="I1850">
        <v>6</v>
      </c>
      <c r="J1850" t="s">
        <v>17</v>
      </c>
      <c r="K1850" s="12">
        <f t="shared" si="28"/>
        <v>176000</v>
      </c>
      <c r="L1850" s="12">
        <f>Sales_Data[[#This Row],[Unit Price]]*Sales_Data[[#This Row],[Quantity]]</f>
        <v>1320000</v>
      </c>
      <c r="M1850" s="12">
        <f>Sales_Data[[#This Row],[Cost Price]]*Sales_Data[[#This Row],[Quantity]]</f>
        <v>1056000</v>
      </c>
      <c r="N1850" s="12">
        <f>Sales_Data[[#This Row],[Revenue]]-Sales_Data[[#This Row],[COGS]]</f>
        <v>264000</v>
      </c>
    </row>
    <row r="1851" spans="1:14">
      <c r="A1851" s="1">
        <v>47525</v>
      </c>
      <c r="B1851" t="s">
        <v>18</v>
      </c>
      <c r="C1851" t="s">
        <v>12</v>
      </c>
      <c r="D1851" t="s">
        <v>23</v>
      </c>
      <c r="E1851" t="s">
        <v>20</v>
      </c>
      <c r="F1851" t="s">
        <v>21</v>
      </c>
      <c r="G1851" t="s">
        <v>22</v>
      </c>
      <c r="H1851" s="12">
        <v>30000</v>
      </c>
      <c r="I1851">
        <v>3</v>
      </c>
      <c r="J1851" t="s">
        <v>17</v>
      </c>
      <c r="K1851" s="12">
        <f t="shared" si="28"/>
        <v>24000</v>
      </c>
      <c r="L1851" s="12">
        <f>Sales_Data[[#This Row],[Unit Price]]*Sales_Data[[#This Row],[Quantity]]</f>
        <v>90000</v>
      </c>
      <c r="M1851" s="12">
        <f>Sales_Data[[#This Row],[Cost Price]]*Sales_Data[[#This Row],[Quantity]]</f>
        <v>72000</v>
      </c>
      <c r="N1851" s="12">
        <f>Sales_Data[[#This Row],[Revenue]]-Sales_Data[[#This Row],[COGS]]</f>
        <v>18000</v>
      </c>
    </row>
    <row r="1852" spans="1:14">
      <c r="A1852" s="1">
        <v>47526</v>
      </c>
      <c r="B1852" t="s">
        <v>29</v>
      </c>
      <c r="C1852" t="s">
        <v>32</v>
      </c>
      <c r="D1852" t="s">
        <v>23</v>
      </c>
      <c r="E1852" t="s">
        <v>20</v>
      </c>
      <c r="F1852" t="s">
        <v>30</v>
      </c>
      <c r="G1852" t="s">
        <v>31</v>
      </c>
      <c r="H1852" s="12">
        <v>300000</v>
      </c>
      <c r="I1852">
        <v>3</v>
      </c>
      <c r="J1852" t="s">
        <v>24</v>
      </c>
      <c r="K1852" s="12">
        <f t="shared" si="28"/>
        <v>240000</v>
      </c>
      <c r="L1852" s="12">
        <f>Sales_Data[[#This Row],[Unit Price]]*Sales_Data[[#This Row],[Quantity]]</f>
        <v>900000</v>
      </c>
      <c r="M1852" s="12">
        <f>Sales_Data[[#This Row],[Cost Price]]*Sales_Data[[#This Row],[Quantity]]</f>
        <v>720000</v>
      </c>
      <c r="N1852" s="12">
        <f>Sales_Data[[#This Row],[Revenue]]-Sales_Data[[#This Row],[COGS]]</f>
        <v>180000</v>
      </c>
    </row>
    <row r="1853" spans="1:14">
      <c r="A1853" s="1">
        <v>47527</v>
      </c>
      <c r="B1853" t="s">
        <v>18</v>
      </c>
      <c r="C1853" t="s">
        <v>26</v>
      </c>
      <c r="D1853" t="s">
        <v>13</v>
      </c>
      <c r="E1853" t="s">
        <v>20</v>
      </c>
      <c r="F1853" t="s">
        <v>40</v>
      </c>
      <c r="G1853" t="s">
        <v>31</v>
      </c>
      <c r="H1853" s="12">
        <v>250000</v>
      </c>
      <c r="I1853">
        <v>10</v>
      </c>
      <c r="J1853" t="s">
        <v>37</v>
      </c>
      <c r="K1853" s="12">
        <f t="shared" si="28"/>
        <v>200000</v>
      </c>
      <c r="L1853" s="12">
        <f>Sales_Data[[#This Row],[Unit Price]]*Sales_Data[[#This Row],[Quantity]]</f>
        <v>2500000</v>
      </c>
      <c r="M1853" s="12">
        <f>Sales_Data[[#This Row],[Cost Price]]*Sales_Data[[#This Row],[Quantity]]</f>
        <v>2000000</v>
      </c>
      <c r="N1853" s="12">
        <f>Sales_Data[[#This Row],[Revenue]]-Sales_Data[[#This Row],[COGS]]</f>
        <v>500000</v>
      </c>
    </row>
    <row r="1854" spans="1:14">
      <c r="A1854" s="1">
        <v>47528</v>
      </c>
      <c r="B1854" t="s">
        <v>18</v>
      </c>
      <c r="C1854" t="s">
        <v>19</v>
      </c>
      <c r="D1854" t="s">
        <v>13</v>
      </c>
      <c r="E1854" t="s">
        <v>20</v>
      </c>
      <c r="F1854" t="s">
        <v>30</v>
      </c>
      <c r="G1854" t="s">
        <v>31</v>
      </c>
      <c r="H1854" s="12">
        <v>300000</v>
      </c>
      <c r="I1854">
        <v>4</v>
      </c>
      <c r="J1854" t="s">
        <v>35</v>
      </c>
      <c r="K1854" s="12">
        <f t="shared" si="28"/>
        <v>240000</v>
      </c>
      <c r="L1854" s="12">
        <f>Sales_Data[[#This Row],[Unit Price]]*Sales_Data[[#This Row],[Quantity]]</f>
        <v>1200000</v>
      </c>
      <c r="M1854" s="12">
        <f>Sales_Data[[#This Row],[Cost Price]]*Sales_Data[[#This Row],[Quantity]]</f>
        <v>960000</v>
      </c>
      <c r="N1854" s="12">
        <f>Sales_Data[[#This Row],[Revenue]]-Sales_Data[[#This Row],[COGS]]</f>
        <v>240000</v>
      </c>
    </row>
    <row r="1855" spans="1:14">
      <c r="A1855" s="1">
        <v>47529</v>
      </c>
      <c r="B1855" t="s">
        <v>25</v>
      </c>
      <c r="C1855" t="s">
        <v>26</v>
      </c>
      <c r="D1855" t="s">
        <v>13</v>
      </c>
      <c r="E1855" t="s">
        <v>20</v>
      </c>
      <c r="F1855" t="s">
        <v>34</v>
      </c>
      <c r="G1855" t="s">
        <v>16</v>
      </c>
      <c r="H1855" s="12">
        <v>320000</v>
      </c>
      <c r="I1855">
        <v>5</v>
      </c>
      <c r="J1855" t="s">
        <v>39</v>
      </c>
      <c r="K1855" s="12">
        <f t="shared" si="28"/>
        <v>256000</v>
      </c>
      <c r="L1855" s="12">
        <f>Sales_Data[[#This Row],[Unit Price]]*Sales_Data[[#This Row],[Quantity]]</f>
        <v>1600000</v>
      </c>
      <c r="M1855" s="12">
        <f>Sales_Data[[#This Row],[Cost Price]]*Sales_Data[[#This Row],[Quantity]]</f>
        <v>1280000</v>
      </c>
      <c r="N1855" s="12">
        <f>Sales_Data[[#This Row],[Revenue]]-Sales_Data[[#This Row],[COGS]]</f>
        <v>320000</v>
      </c>
    </row>
    <row r="1856" spans="1:14">
      <c r="A1856" s="1">
        <v>47530</v>
      </c>
      <c r="B1856" t="s">
        <v>25</v>
      </c>
      <c r="C1856" t="s">
        <v>19</v>
      </c>
      <c r="D1856" t="s">
        <v>13</v>
      </c>
      <c r="E1856" t="s">
        <v>20</v>
      </c>
      <c r="F1856" t="s">
        <v>34</v>
      </c>
      <c r="G1856" t="s">
        <v>16</v>
      </c>
      <c r="H1856" s="12">
        <v>320000</v>
      </c>
      <c r="I1856">
        <v>1</v>
      </c>
      <c r="J1856" t="s">
        <v>24</v>
      </c>
      <c r="K1856" s="12">
        <f t="shared" si="28"/>
        <v>256000</v>
      </c>
      <c r="L1856" s="12">
        <f>Sales_Data[[#This Row],[Unit Price]]*Sales_Data[[#This Row],[Quantity]]</f>
        <v>320000</v>
      </c>
      <c r="M1856" s="12">
        <f>Sales_Data[[#This Row],[Cost Price]]*Sales_Data[[#This Row],[Quantity]]</f>
        <v>256000</v>
      </c>
      <c r="N1856" s="12">
        <f>Sales_Data[[#This Row],[Revenue]]-Sales_Data[[#This Row],[COGS]]</f>
        <v>64000</v>
      </c>
    </row>
    <row r="1857" spans="1:14">
      <c r="A1857" s="1">
        <v>47531</v>
      </c>
      <c r="B1857" t="s">
        <v>29</v>
      </c>
      <c r="C1857" t="s">
        <v>12</v>
      </c>
      <c r="D1857" t="s">
        <v>13</v>
      </c>
      <c r="E1857" t="s">
        <v>20</v>
      </c>
      <c r="F1857" t="s">
        <v>38</v>
      </c>
      <c r="G1857" t="s">
        <v>31</v>
      </c>
      <c r="H1857" s="12">
        <v>420000</v>
      </c>
      <c r="I1857">
        <v>4</v>
      </c>
      <c r="J1857" t="s">
        <v>37</v>
      </c>
      <c r="K1857" s="12">
        <f t="shared" si="28"/>
        <v>336000</v>
      </c>
      <c r="L1857" s="12">
        <f>Sales_Data[[#This Row],[Unit Price]]*Sales_Data[[#This Row],[Quantity]]</f>
        <v>1680000</v>
      </c>
      <c r="M1857" s="12">
        <f>Sales_Data[[#This Row],[Cost Price]]*Sales_Data[[#This Row],[Quantity]]</f>
        <v>1344000</v>
      </c>
      <c r="N1857" s="12">
        <f>Sales_Data[[#This Row],[Revenue]]-Sales_Data[[#This Row],[COGS]]</f>
        <v>336000</v>
      </c>
    </row>
    <row r="1858" spans="1:14">
      <c r="A1858" s="1">
        <v>47532</v>
      </c>
      <c r="B1858" t="s">
        <v>25</v>
      </c>
      <c r="C1858" t="s">
        <v>26</v>
      </c>
      <c r="D1858" t="s">
        <v>23</v>
      </c>
      <c r="E1858" t="s">
        <v>20</v>
      </c>
      <c r="F1858" t="s">
        <v>15</v>
      </c>
      <c r="G1858" t="s">
        <v>16</v>
      </c>
      <c r="H1858" s="12">
        <v>85000</v>
      </c>
      <c r="I1858">
        <v>5</v>
      </c>
      <c r="J1858" t="s">
        <v>28</v>
      </c>
      <c r="K1858" s="12">
        <f t="shared" ref="K1858:K1921" si="29">H1858-H1858*0.2</f>
        <v>68000</v>
      </c>
      <c r="L1858" s="12">
        <f>Sales_Data[[#This Row],[Unit Price]]*Sales_Data[[#This Row],[Quantity]]</f>
        <v>425000</v>
      </c>
      <c r="M1858" s="12">
        <f>Sales_Data[[#This Row],[Cost Price]]*Sales_Data[[#This Row],[Quantity]]</f>
        <v>340000</v>
      </c>
      <c r="N1858" s="12">
        <f>Sales_Data[[#This Row],[Revenue]]-Sales_Data[[#This Row],[COGS]]</f>
        <v>85000</v>
      </c>
    </row>
    <row r="1859" spans="1:14">
      <c r="A1859" s="1">
        <v>47533</v>
      </c>
      <c r="B1859" t="s">
        <v>18</v>
      </c>
      <c r="C1859" t="s">
        <v>19</v>
      </c>
      <c r="D1859" t="s">
        <v>23</v>
      </c>
      <c r="E1859" t="s">
        <v>20</v>
      </c>
      <c r="F1859" t="s">
        <v>27</v>
      </c>
      <c r="G1859" t="s">
        <v>22</v>
      </c>
      <c r="H1859" s="12">
        <v>60000</v>
      </c>
      <c r="I1859">
        <v>3</v>
      </c>
      <c r="J1859" t="s">
        <v>17</v>
      </c>
      <c r="K1859" s="12">
        <f t="shared" si="29"/>
        <v>48000</v>
      </c>
      <c r="L1859" s="12">
        <f>Sales_Data[[#This Row],[Unit Price]]*Sales_Data[[#This Row],[Quantity]]</f>
        <v>180000</v>
      </c>
      <c r="M1859" s="12">
        <f>Sales_Data[[#This Row],[Cost Price]]*Sales_Data[[#This Row],[Quantity]]</f>
        <v>144000</v>
      </c>
      <c r="N1859" s="12">
        <f>Sales_Data[[#This Row],[Revenue]]-Sales_Data[[#This Row],[COGS]]</f>
        <v>36000</v>
      </c>
    </row>
    <row r="1860" spans="1:14">
      <c r="A1860" s="1">
        <v>47534</v>
      </c>
      <c r="B1860" t="s">
        <v>11</v>
      </c>
      <c r="C1860" t="s">
        <v>32</v>
      </c>
      <c r="D1860" t="s">
        <v>13</v>
      </c>
      <c r="E1860" t="s">
        <v>20</v>
      </c>
      <c r="F1860" t="s">
        <v>40</v>
      </c>
      <c r="G1860" t="s">
        <v>31</v>
      </c>
      <c r="H1860" s="12">
        <v>250000</v>
      </c>
      <c r="I1860">
        <v>4</v>
      </c>
      <c r="J1860" t="s">
        <v>37</v>
      </c>
      <c r="K1860" s="12">
        <f t="shared" si="29"/>
        <v>200000</v>
      </c>
      <c r="L1860" s="12">
        <f>Sales_Data[[#This Row],[Unit Price]]*Sales_Data[[#This Row],[Quantity]]</f>
        <v>1000000</v>
      </c>
      <c r="M1860" s="12">
        <f>Sales_Data[[#This Row],[Cost Price]]*Sales_Data[[#This Row],[Quantity]]</f>
        <v>800000</v>
      </c>
      <c r="N1860" s="12">
        <f>Sales_Data[[#This Row],[Revenue]]-Sales_Data[[#This Row],[COGS]]</f>
        <v>200000</v>
      </c>
    </row>
    <row r="1861" spans="1:14">
      <c r="A1861" s="1">
        <v>47535</v>
      </c>
      <c r="B1861" t="s">
        <v>18</v>
      </c>
      <c r="C1861" t="s">
        <v>12</v>
      </c>
      <c r="D1861" t="s">
        <v>13</v>
      </c>
      <c r="E1861" t="s">
        <v>20</v>
      </c>
      <c r="F1861" t="s">
        <v>38</v>
      </c>
      <c r="G1861" t="s">
        <v>31</v>
      </c>
      <c r="H1861" s="12">
        <v>420000</v>
      </c>
      <c r="I1861">
        <v>5</v>
      </c>
      <c r="J1861" t="s">
        <v>17</v>
      </c>
      <c r="K1861" s="12">
        <f t="shared" si="29"/>
        <v>336000</v>
      </c>
      <c r="L1861" s="12">
        <f>Sales_Data[[#This Row],[Unit Price]]*Sales_Data[[#This Row],[Quantity]]</f>
        <v>2100000</v>
      </c>
      <c r="M1861" s="12">
        <f>Sales_Data[[#This Row],[Cost Price]]*Sales_Data[[#This Row],[Quantity]]</f>
        <v>1680000</v>
      </c>
      <c r="N1861" s="12">
        <f>Sales_Data[[#This Row],[Revenue]]-Sales_Data[[#This Row],[COGS]]</f>
        <v>420000</v>
      </c>
    </row>
    <row r="1862" spans="1:14">
      <c r="A1862" s="1">
        <v>47536</v>
      </c>
      <c r="B1862" t="s">
        <v>11</v>
      </c>
      <c r="C1862" t="s">
        <v>26</v>
      </c>
      <c r="D1862" t="s">
        <v>13</v>
      </c>
      <c r="E1862" t="s">
        <v>20</v>
      </c>
      <c r="F1862" t="s">
        <v>36</v>
      </c>
      <c r="G1862" t="s">
        <v>31</v>
      </c>
      <c r="H1862" s="12">
        <v>150000</v>
      </c>
      <c r="I1862">
        <v>5</v>
      </c>
      <c r="J1862" t="s">
        <v>28</v>
      </c>
      <c r="K1862" s="12">
        <f t="shared" si="29"/>
        <v>120000</v>
      </c>
      <c r="L1862" s="12">
        <f>Sales_Data[[#This Row],[Unit Price]]*Sales_Data[[#This Row],[Quantity]]</f>
        <v>750000</v>
      </c>
      <c r="M1862" s="12">
        <f>Sales_Data[[#This Row],[Cost Price]]*Sales_Data[[#This Row],[Quantity]]</f>
        <v>600000</v>
      </c>
      <c r="N1862" s="12">
        <f>Sales_Data[[#This Row],[Revenue]]-Sales_Data[[#This Row],[COGS]]</f>
        <v>150000</v>
      </c>
    </row>
    <row r="1863" spans="1:14">
      <c r="A1863" s="1">
        <v>47537</v>
      </c>
      <c r="B1863" t="s">
        <v>29</v>
      </c>
      <c r="C1863" t="s">
        <v>19</v>
      </c>
      <c r="D1863" t="s">
        <v>23</v>
      </c>
      <c r="E1863" t="s">
        <v>20</v>
      </c>
      <c r="F1863" t="s">
        <v>33</v>
      </c>
      <c r="G1863" t="s">
        <v>22</v>
      </c>
      <c r="H1863" s="12">
        <v>180000</v>
      </c>
      <c r="I1863">
        <v>1</v>
      </c>
      <c r="J1863" t="s">
        <v>35</v>
      </c>
      <c r="K1863" s="12">
        <f t="shared" si="29"/>
        <v>144000</v>
      </c>
      <c r="L1863" s="12">
        <f>Sales_Data[[#This Row],[Unit Price]]*Sales_Data[[#This Row],[Quantity]]</f>
        <v>180000</v>
      </c>
      <c r="M1863" s="12">
        <f>Sales_Data[[#This Row],[Cost Price]]*Sales_Data[[#This Row],[Quantity]]</f>
        <v>144000</v>
      </c>
      <c r="N1863" s="12">
        <f>Sales_Data[[#This Row],[Revenue]]-Sales_Data[[#This Row],[COGS]]</f>
        <v>36000</v>
      </c>
    </row>
    <row r="1864" spans="1:14">
      <c r="A1864" s="1">
        <v>47538</v>
      </c>
      <c r="B1864" t="s">
        <v>25</v>
      </c>
      <c r="C1864" t="s">
        <v>32</v>
      </c>
      <c r="D1864" t="s">
        <v>23</v>
      </c>
      <c r="E1864" t="s">
        <v>20</v>
      </c>
      <c r="F1864" t="s">
        <v>33</v>
      </c>
      <c r="G1864" t="s">
        <v>22</v>
      </c>
      <c r="H1864" s="12">
        <v>180000</v>
      </c>
      <c r="I1864">
        <v>1</v>
      </c>
      <c r="J1864" t="s">
        <v>28</v>
      </c>
      <c r="K1864" s="12">
        <f t="shared" si="29"/>
        <v>144000</v>
      </c>
      <c r="L1864" s="12">
        <f>Sales_Data[[#This Row],[Unit Price]]*Sales_Data[[#This Row],[Quantity]]</f>
        <v>180000</v>
      </c>
      <c r="M1864" s="12">
        <f>Sales_Data[[#This Row],[Cost Price]]*Sales_Data[[#This Row],[Quantity]]</f>
        <v>144000</v>
      </c>
      <c r="N1864" s="12">
        <f>Sales_Data[[#This Row],[Revenue]]-Sales_Data[[#This Row],[COGS]]</f>
        <v>36000</v>
      </c>
    </row>
    <row r="1865" spans="1:14">
      <c r="A1865" s="1">
        <v>47539</v>
      </c>
      <c r="B1865" t="s">
        <v>11</v>
      </c>
      <c r="C1865" t="s">
        <v>19</v>
      </c>
      <c r="D1865" t="s">
        <v>13</v>
      </c>
      <c r="E1865" t="s">
        <v>20</v>
      </c>
      <c r="F1865" t="s">
        <v>40</v>
      </c>
      <c r="G1865" t="s">
        <v>31</v>
      </c>
      <c r="H1865" s="12">
        <v>250000</v>
      </c>
      <c r="I1865">
        <v>9</v>
      </c>
      <c r="J1865" t="s">
        <v>17</v>
      </c>
      <c r="K1865" s="12">
        <f t="shared" si="29"/>
        <v>200000</v>
      </c>
      <c r="L1865" s="12">
        <f>Sales_Data[[#This Row],[Unit Price]]*Sales_Data[[#This Row],[Quantity]]</f>
        <v>2250000</v>
      </c>
      <c r="M1865" s="12">
        <f>Sales_Data[[#This Row],[Cost Price]]*Sales_Data[[#This Row],[Quantity]]</f>
        <v>1800000</v>
      </c>
      <c r="N1865" s="12">
        <f>Sales_Data[[#This Row],[Revenue]]-Sales_Data[[#This Row],[COGS]]</f>
        <v>450000</v>
      </c>
    </row>
    <row r="1866" spans="1:14">
      <c r="A1866" s="1">
        <v>47540</v>
      </c>
      <c r="B1866" t="s">
        <v>29</v>
      </c>
      <c r="C1866" t="s">
        <v>12</v>
      </c>
      <c r="D1866" t="s">
        <v>13</v>
      </c>
      <c r="E1866" t="s">
        <v>20</v>
      </c>
      <c r="F1866" t="s">
        <v>15</v>
      </c>
      <c r="G1866" t="s">
        <v>16</v>
      </c>
      <c r="H1866" s="12">
        <v>85000</v>
      </c>
      <c r="I1866">
        <v>4</v>
      </c>
      <c r="J1866" t="s">
        <v>35</v>
      </c>
      <c r="K1866" s="12">
        <f t="shared" si="29"/>
        <v>68000</v>
      </c>
      <c r="L1866" s="12">
        <f>Sales_Data[[#This Row],[Unit Price]]*Sales_Data[[#This Row],[Quantity]]</f>
        <v>340000</v>
      </c>
      <c r="M1866" s="12">
        <f>Sales_Data[[#This Row],[Cost Price]]*Sales_Data[[#This Row],[Quantity]]</f>
        <v>272000</v>
      </c>
      <c r="N1866" s="12">
        <f>Sales_Data[[#This Row],[Revenue]]-Sales_Data[[#This Row],[COGS]]</f>
        <v>68000</v>
      </c>
    </row>
    <row r="1867" spans="1:14">
      <c r="A1867" s="1">
        <v>47541</v>
      </c>
      <c r="B1867" t="s">
        <v>11</v>
      </c>
      <c r="C1867" t="s">
        <v>32</v>
      </c>
      <c r="D1867" t="s">
        <v>23</v>
      </c>
      <c r="E1867" t="s">
        <v>20</v>
      </c>
      <c r="F1867" t="s">
        <v>38</v>
      </c>
      <c r="G1867" t="s">
        <v>31</v>
      </c>
      <c r="H1867" s="12">
        <v>420000</v>
      </c>
      <c r="I1867">
        <v>8</v>
      </c>
      <c r="J1867" t="s">
        <v>24</v>
      </c>
      <c r="K1867" s="12">
        <f t="shared" si="29"/>
        <v>336000</v>
      </c>
      <c r="L1867" s="12">
        <f>Sales_Data[[#This Row],[Unit Price]]*Sales_Data[[#This Row],[Quantity]]</f>
        <v>3360000</v>
      </c>
      <c r="M1867" s="12">
        <f>Sales_Data[[#This Row],[Cost Price]]*Sales_Data[[#This Row],[Quantity]]</f>
        <v>2688000</v>
      </c>
      <c r="N1867" s="12">
        <f>Sales_Data[[#This Row],[Revenue]]-Sales_Data[[#This Row],[COGS]]</f>
        <v>672000</v>
      </c>
    </row>
    <row r="1868" spans="1:14">
      <c r="A1868" s="1">
        <v>47542</v>
      </c>
      <c r="B1868" t="s">
        <v>25</v>
      </c>
      <c r="C1868" t="s">
        <v>32</v>
      </c>
      <c r="D1868" t="s">
        <v>23</v>
      </c>
      <c r="E1868" t="s">
        <v>20</v>
      </c>
      <c r="F1868" t="s">
        <v>34</v>
      </c>
      <c r="G1868" t="s">
        <v>16</v>
      </c>
      <c r="H1868" s="12">
        <v>320000</v>
      </c>
      <c r="I1868">
        <v>6</v>
      </c>
      <c r="J1868" t="s">
        <v>24</v>
      </c>
      <c r="K1868" s="12">
        <f t="shared" si="29"/>
        <v>256000</v>
      </c>
      <c r="L1868" s="12">
        <f>Sales_Data[[#This Row],[Unit Price]]*Sales_Data[[#This Row],[Quantity]]</f>
        <v>1920000</v>
      </c>
      <c r="M1868" s="12">
        <f>Sales_Data[[#This Row],[Cost Price]]*Sales_Data[[#This Row],[Quantity]]</f>
        <v>1536000</v>
      </c>
      <c r="N1868" s="12">
        <f>Sales_Data[[#This Row],[Revenue]]-Sales_Data[[#This Row],[COGS]]</f>
        <v>384000</v>
      </c>
    </row>
    <row r="1869" spans="1:14">
      <c r="A1869" s="1">
        <v>47543</v>
      </c>
      <c r="B1869" t="s">
        <v>29</v>
      </c>
      <c r="C1869" t="s">
        <v>19</v>
      </c>
      <c r="D1869" t="s">
        <v>13</v>
      </c>
      <c r="E1869" t="s">
        <v>20</v>
      </c>
      <c r="F1869" t="s">
        <v>36</v>
      </c>
      <c r="G1869" t="s">
        <v>31</v>
      </c>
      <c r="H1869" s="12">
        <v>150000</v>
      </c>
      <c r="I1869">
        <v>3</v>
      </c>
      <c r="J1869" t="s">
        <v>37</v>
      </c>
      <c r="K1869" s="12">
        <f t="shared" si="29"/>
        <v>120000</v>
      </c>
      <c r="L1869" s="12">
        <f>Sales_Data[[#This Row],[Unit Price]]*Sales_Data[[#This Row],[Quantity]]</f>
        <v>450000</v>
      </c>
      <c r="M1869" s="12">
        <f>Sales_Data[[#This Row],[Cost Price]]*Sales_Data[[#This Row],[Quantity]]</f>
        <v>360000</v>
      </c>
      <c r="N1869" s="12">
        <f>Sales_Data[[#This Row],[Revenue]]-Sales_Data[[#This Row],[COGS]]</f>
        <v>90000</v>
      </c>
    </row>
    <row r="1870" spans="1:14">
      <c r="A1870" s="1">
        <v>47544</v>
      </c>
      <c r="B1870" t="s">
        <v>11</v>
      </c>
      <c r="C1870" t="s">
        <v>32</v>
      </c>
      <c r="D1870" t="s">
        <v>13</v>
      </c>
      <c r="E1870" t="s">
        <v>20</v>
      </c>
      <c r="F1870" t="s">
        <v>15</v>
      </c>
      <c r="G1870" t="s">
        <v>16</v>
      </c>
      <c r="H1870" s="12">
        <v>85000</v>
      </c>
      <c r="I1870">
        <v>3</v>
      </c>
      <c r="J1870" t="s">
        <v>28</v>
      </c>
      <c r="K1870" s="12">
        <f t="shared" si="29"/>
        <v>68000</v>
      </c>
      <c r="L1870" s="12">
        <f>Sales_Data[[#This Row],[Unit Price]]*Sales_Data[[#This Row],[Quantity]]</f>
        <v>255000</v>
      </c>
      <c r="M1870" s="12">
        <f>Sales_Data[[#This Row],[Cost Price]]*Sales_Data[[#This Row],[Quantity]]</f>
        <v>204000</v>
      </c>
      <c r="N1870" s="12">
        <f>Sales_Data[[#This Row],[Revenue]]-Sales_Data[[#This Row],[COGS]]</f>
        <v>51000</v>
      </c>
    </row>
    <row r="1871" spans="1:14">
      <c r="A1871" s="1">
        <v>47545</v>
      </c>
      <c r="B1871" t="s">
        <v>29</v>
      </c>
      <c r="C1871" t="s">
        <v>19</v>
      </c>
      <c r="D1871" t="s">
        <v>13</v>
      </c>
      <c r="E1871" t="s">
        <v>20</v>
      </c>
      <c r="F1871" t="s">
        <v>30</v>
      </c>
      <c r="G1871" t="s">
        <v>31</v>
      </c>
      <c r="H1871" s="12">
        <v>300000</v>
      </c>
      <c r="I1871">
        <v>1</v>
      </c>
      <c r="J1871" t="s">
        <v>28</v>
      </c>
      <c r="K1871" s="12">
        <f t="shared" si="29"/>
        <v>240000</v>
      </c>
      <c r="L1871" s="12">
        <f>Sales_Data[[#This Row],[Unit Price]]*Sales_Data[[#This Row],[Quantity]]</f>
        <v>300000</v>
      </c>
      <c r="M1871" s="12">
        <f>Sales_Data[[#This Row],[Cost Price]]*Sales_Data[[#This Row],[Quantity]]</f>
        <v>240000</v>
      </c>
      <c r="N1871" s="12">
        <f>Sales_Data[[#This Row],[Revenue]]-Sales_Data[[#This Row],[COGS]]</f>
        <v>60000</v>
      </c>
    </row>
    <row r="1872" spans="1:14">
      <c r="A1872" s="1">
        <v>47546</v>
      </c>
      <c r="B1872" t="s">
        <v>25</v>
      </c>
      <c r="C1872" t="s">
        <v>19</v>
      </c>
      <c r="D1872" t="s">
        <v>23</v>
      </c>
      <c r="E1872" t="s">
        <v>14</v>
      </c>
      <c r="F1872" t="s">
        <v>33</v>
      </c>
      <c r="G1872" t="s">
        <v>22</v>
      </c>
      <c r="H1872" s="12">
        <v>180000</v>
      </c>
      <c r="I1872">
        <v>4</v>
      </c>
      <c r="J1872" t="s">
        <v>37</v>
      </c>
      <c r="K1872" s="12">
        <f t="shared" si="29"/>
        <v>144000</v>
      </c>
      <c r="L1872" s="12">
        <f>Sales_Data[[#This Row],[Unit Price]]*Sales_Data[[#This Row],[Quantity]]</f>
        <v>720000</v>
      </c>
      <c r="M1872" s="12">
        <f>Sales_Data[[#This Row],[Cost Price]]*Sales_Data[[#This Row],[Quantity]]</f>
        <v>576000</v>
      </c>
      <c r="N1872" s="12">
        <f>Sales_Data[[#This Row],[Revenue]]-Sales_Data[[#This Row],[COGS]]</f>
        <v>144000</v>
      </c>
    </row>
    <row r="1873" spans="1:14">
      <c r="A1873" s="1">
        <v>47547</v>
      </c>
      <c r="B1873" t="s">
        <v>11</v>
      </c>
      <c r="C1873" t="s">
        <v>19</v>
      </c>
      <c r="D1873" t="s">
        <v>13</v>
      </c>
      <c r="E1873" t="s">
        <v>14</v>
      </c>
      <c r="F1873" t="s">
        <v>38</v>
      </c>
      <c r="G1873" t="s">
        <v>31</v>
      </c>
      <c r="H1873" s="12">
        <v>420000</v>
      </c>
      <c r="I1873">
        <v>10</v>
      </c>
      <c r="J1873" t="s">
        <v>35</v>
      </c>
      <c r="K1873" s="12">
        <f t="shared" si="29"/>
        <v>336000</v>
      </c>
      <c r="L1873" s="12">
        <f>Sales_Data[[#This Row],[Unit Price]]*Sales_Data[[#This Row],[Quantity]]</f>
        <v>4200000</v>
      </c>
      <c r="M1873" s="12">
        <f>Sales_Data[[#This Row],[Cost Price]]*Sales_Data[[#This Row],[Quantity]]</f>
        <v>3360000</v>
      </c>
      <c r="N1873" s="12">
        <f>Sales_Data[[#This Row],[Revenue]]-Sales_Data[[#This Row],[COGS]]</f>
        <v>840000</v>
      </c>
    </row>
    <row r="1874" spans="1:14">
      <c r="A1874" s="1">
        <v>47548</v>
      </c>
      <c r="B1874" t="s">
        <v>29</v>
      </c>
      <c r="C1874" t="s">
        <v>32</v>
      </c>
      <c r="D1874" t="s">
        <v>23</v>
      </c>
      <c r="E1874" t="s">
        <v>14</v>
      </c>
      <c r="F1874" t="s">
        <v>36</v>
      </c>
      <c r="G1874" t="s">
        <v>31</v>
      </c>
      <c r="H1874" s="12">
        <v>150000</v>
      </c>
      <c r="I1874">
        <v>4</v>
      </c>
      <c r="J1874" t="s">
        <v>39</v>
      </c>
      <c r="K1874" s="12">
        <f t="shared" si="29"/>
        <v>120000</v>
      </c>
      <c r="L1874" s="12">
        <f>Sales_Data[[#This Row],[Unit Price]]*Sales_Data[[#This Row],[Quantity]]</f>
        <v>600000</v>
      </c>
      <c r="M1874" s="12">
        <f>Sales_Data[[#This Row],[Cost Price]]*Sales_Data[[#This Row],[Quantity]]</f>
        <v>480000</v>
      </c>
      <c r="N1874" s="12">
        <f>Sales_Data[[#This Row],[Revenue]]-Sales_Data[[#This Row],[COGS]]</f>
        <v>120000</v>
      </c>
    </row>
    <row r="1875" spans="1:14">
      <c r="A1875" s="1">
        <v>47549</v>
      </c>
      <c r="B1875" t="s">
        <v>18</v>
      </c>
      <c r="C1875" t="s">
        <v>26</v>
      </c>
      <c r="D1875" t="s">
        <v>13</v>
      </c>
      <c r="E1875" t="s">
        <v>14</v>
      </c>
      <c r="F1875" t="s">
        <v>15</v>
      </c>
      <c r="G1875" t="s">
        <v>16</v>
      </c>
      <c r="H1875" s="12">
        <v>85000</v>
      </c>
      <c r="I1875">
        <v>6</v>
      </c>
      <c r="J1875" t="s">
        <v>39</v>
      </c>
      <c r="K1875" s="12">
        <f t="shared" si="29"/>
        <v>68000</v>
      </c>
      <c r="L1875" s="12">
        <f>Sales_Data[[#This Row],[Unit Price]]*Sales_Data[[#This Row],[Quantity]]</f>
        <v>510000</v>
      </c>
      <c r="M1875" s="12">
        <f>Sales_Data[[#This Row],[Cost Price]]*Sales_Data[[#This Row],[Quantity]]</f>
        <v>408000</v>
      </c>
      <c r="N1875" s="12">
        <f>Sales_Data[[#This Row],[Revenue]]-Sales_Data[[#This Row],[COGS]]</f>
        <v>102000</v>
      </c>
    </row>
    <row r="1876" spans="1:14">
      <c r="A1876" s="1">
        <v>47550</v>
      </c>
      <c r="B1876" t="s">
        <v>25</v>
      </c>
      <c r="C1876" t="s">
        <v>12</v>
      </c>
      <c r="D1876" t="s">
        <v>23</v>
      </c>
      <c r="E1876" t="s">
        <v>20</v>
      </c>
      <c r="F1876" t="s">
        <v>30</v>
      </c>
      <c r="G1876" t="s">
        <v>31</v>
      </c>
      <c r="H1876" s="12">
        <v>300000</v>
      </c>
      <c r="I1876">
        <v>10</v>
      </c>
      <c r="J1876" t="s">
        <v>17</v>
      </c>
      <c r="K1876" s="12">
        <f t="shared" si="29"/>
        <v>240000</v>
      </c>
      <c r="L1876" s="12">
        <f>Sales_Data[[#This Row],[Unit Price]]*Sales_Data[[#This Row],[Quantity]]</f>
        <v>3000000</v>
      </c>
      <c r="M1876" s="12">
        <f>Sales_Data[[#This Row],[Cost Price]]*Sales_Data[[#This Row],[Quantity]]</f>
        <v>2400000</v>
      </c>
      <c r="N1876" s="12">
        <f>Sales_Data[[#This Row],[Revenue]]-Sales_Data[[#This Row],[COGS]]</f>
        <v>600000</v>
      </c>
    </row>
    <row r="1877" spans="1:14">
      <c r="A1877" s="1">
        <v>47551</v>
      </c>
      <c r="B1877" t="s">
        <v>18</v>
      </c>
      <c r="C1877" t="s">
        <v>19</v>
      </c>
      <c r="D1877" t="s">
        <v>23</v>
      </c>
      <c r="E1877" t="s">
        <v>20</v>
      </c>
      <c r="F1877" t="s">
        <v>36</v>
      </c>
      <c r="G1877" t="s">
        <v>31</v>
      </c>
      <c r="H1877" s="12">
        <v>150000</v>
      </c>
      <c r="I1877">
        <v>6</v>
      </c>
      <c r="J1877" t="s">
        <v>39</v>
      </c>
      <c r="K1877" s="12">
        <f t="shared" si="29"/>
        <v>120000</v>
      </c>
      <c r="L1877" s="12">
        <f>Sales_Data[[#This Row],[Unit Price]]*Sales_Data[[#This Row],[Quantity]]</f>
        <v>900000</v>
      </c>
      <c r="M1877" s="12">
        <f>Sales_Data[[#This Row],[Cost Price]]*Sales_Data[[#This Row],[Quantity]]</f>
        <v>720000</v>
      </c>
      <c r="N1877" s="12">
        <f>Sales_Data[[#This Row],[Revenue]]-Sales_Data[[#This Row],[COGS]]</f>
        <v>180000</v>
      </c>
    </row>
    <row r="1878" spans="1:14">
      <c r="A1878" s="1">
        <v>47552</v>
      </c>
      <c r="B1878" t="s">
        <v>25</v>
      </c>
      <c r="C1878" t="s">
        <v>12</v>
      </c>
      <c r="D1878" t="s">
        <v>23</v>
      </c>
      <c r="E1878" t="s">
        <v>20</v>
      </c>
      <c r="F1878" t="s">
        <v>36</v>
      </c>
      <c r="G1878" t="s">
        <v>31</v>
      </c>
      <c r="H1878" s="12">
        <v>150000</v>
      </c>
      <c r="I1878">
        <v>1</v>
      </c>
      <c r="J1878" t="s">
        <v>39</v>
      </c>
      <c r="K1878" s="12">
        <f t="shared" si="29"/>
        <v>120000</v>
      </c>
      <c r="L1878" s="12">
        <f>Sales_Data[[#This Row],[Unit Price]]*Sales_Data[[#This Row],[Quantity]]</f>
        <v>150000</v>
      </c>
      <c r="M1878" s="12">
        <f>Sales_Data[[#This Row],[Cost Price]]*Sales_Data[[#This Row],[Quantity]]</f>
        <v>120000</v>
      </c>
      <c r="N1878" s="12">
        <f>Sales_Data[[#This Row],[Revenue]]-Sales_Data[[#This Row],[COGS]]</f>
        <v>30000</v>
      </c>
    </row>
    <row r="1879" spans="1:14">
      <c r="A1879" s="1">
        <v>47553</v>
      </c>
      <c r="B1879" t="s">
        <v>29</v>
      </c>
      <c r="C1879" t="s">
        <v>12</v>
      </c>
      <c r="D1879" t="s">
        <v>13</v>
      </c>
      <c r="E1879" t="s">
        <v>20</v>
      </c>
      <c r="F1879" t="s">
        <v>30</v>
      </c>
      <c r="G1879" t="s">
        <v>31</v>
      </c>
      <c r="H1879" s="12">
        <v>300000</v>
      </c>
      <c r="I1879">
        <v>3</v>
      </c>
      <c r="J1879" t="s">
        <v>28</v>
      </c>
      <c r="K1879" s="12">
        <f t="shared" si="29"/>
        <v>240000</v>
      </c>
      <c r="L1879" s="12">
        <f>Sales_Data[[#This Row],[Unit Price]]*Sales_Data[[#This Row],[Quantity]]</f>
        <v>900000</v>
      </c>
      <c r="M1879" s="12">
        <f>Sales_Data[[#This Row],[Cost Price]]*Sales_Data[[#This Row],[Quantity]]</f>
        <v>720000</v>
      </c>
      <c r="N1879" s="12">
        <f>Sales_Data[[#This Row],[Revenue]]-Sales_Data[[#This Row],[COGS]]</f>
        <v>180000</v>
      </c>
    </row>
    <row r="1880" spans="1:14">
      <c r="A1880" s="1">
        <v>47554</v>
      </c>
      <c r="B1880" t="s">
        <v>29</v>
      </c>
      <c r="C1880" t="s">
        <v>12</v>
      </c>
      <c r="D1880" t="s">
        <v>13</v>
      </c>
      <c r="E1880" t="s">
        <v>14</v>
      </c>
      <c r="F1880" t="s">
        <v>30</v>
      </c>
      <c r="G1880" t="s">
        <v>31</v>
      </c>
      <c r="H1880" s="12">
        <v>300000</v>
      </c>
      <c r="I1880">
        <v>8</v>
      </c>
      <c r="J1880" t="s">
        <v>37</v>
      </c>
      <c r="K1880" s="12">
        <f t="shared" si="29"/>
        <v>240000</v>
      </c>
      <c r="L1880" s="12">
        <f>Sales_Data[[#This Row],[Unit Price]]*Sales_Data[[#This Row],[Quantity]]</f>
        <v>2400000</v>
      </c>
      <c r="M1880" s="12">
        <f>Sales_Data[[#This Row],[Cost Price]]*Sales_Data[[#This Row],[Quantity]]</f>
        <v>1920000</v>
      </c>
      <c r="N1880" s="12">
        <f>Sales_Data[[#This Row],[Revenue]]-Sales_Data[[#This Row],[COGS]]</f>
        <v>480000</v>
      </c>
    </row>
    <row r="1881" spans="1:14">
      <c r="A1881" s="1">
        <v>47555</v>
      </c>
      <c r="B1881" t="s">
        <v>18</v>
      </c>
      <c r="C1881" t="s">
        <v>12</v>
      </c>
      <c r="D1881" t="s">
        <v>23</v>
      </c>
      <c r="E1881" t="s">
        <v>14</v>
      </c>
      <c r="F1881" t="s">
        <v>30</v>
      </c>
      <c r="G1881" t="s">
        <v>31</v>
      </c>
      <c r="H1881" s="12">
        <v>300000</v>
      </c>
      <c r="I1881">
        <v>9</v>
      </c>
      <c r="J1881" t="s">
        <v>17</v>
      </c>
      <c r="K1881" s="12">
        <f t="shared" si="29"/>
        <v>240000</v>
      </c>
      <c r="L1881" s="12">
        <f>Sales_Data[[#This Row],[Unit Price]]*Sales_Data[[#This Row],[Quantity]]</f>
        <v>2700000</v>
      </c>
      <c r="M1881" s="12">
        <f>Sales_Data[[#This Row],[Cost Price]]*Sales_Data[[#This Row],[Quantity]]</f>
        <v>2160000</v>
      </c>
      <c r="N1881" s="12">
        <f>Sales_Data[[#This Row],[Revenue]]-Sales_Data[[#This Row],[COGS]]</f>
        <v>540000</v>
      </c>
    </row>
    <row r="1882" spans="1:14">
      <c r="A1882" s="1">
        <v>47556</v>
      </c>
      <c r="B1882" t="s">
        <v>29</v>
      </c>
      <c r="C1882" t="s">
        <v>19</v>
      </c>
      <c r="D1882" t="s">
        <v>13</v>
      </c>
      <c r="E1882" t="s">
        <v>14</v>
      </c>
      <c r="F1882" t="s">
        <v>30</v>
      </c>
      <c r="G1882" t="s">
        <v>31</v>
      </c>
      <c r="H1882" s="12">
        <v>300000</v>
      </c>
      <c r="I1882">
        <v>2</v>
      </c>
      <c r="J1882" t="s">
        <v>35</v>
      </c>
      <c r="K1882" s="12">
        <f t="shared" si="29"/>
        <v>240000</v>
      </c>
      <c r="L1882" s="12">
        <f>Sales_Data[[#This Row],[Unit Price]]*Sales_Data[[#This Row],[Quantity]]</f>
        <v>600000</v>
      </c>
      <c r="M1882" s="12">
        <f>Sales_Data[[#This Row],[Cost Price]]*Sales_Data[[#This Row],[Quantity]]</f>
        <v>480000</v>
      </c>
      <c r="N1882" s="12">
        <f>Sales_Data[[#This Row],[Revenue]]-Sales_Data[[#This Row],[COGS]]</f>
        <v>120000</v>
      </c>
    </row>
    <row r="1883" spans="1:14">
      <c r="A1883" s="1">
        <v>47557</v>
      </c>
      <c r="B1883" t="s">
        <v>29</v>
      </c>
      <c r="C1883" t="s">
        <v>12</v>
      </c>
      <c r="D1883" t="s">
        <v>23</v>
      </c>
      <c r="E1883" t="s">
        <v>20</v>
      </c>
      <c r="F1883" t="s">
        <v>30</v>
      </c>
      <c r="G1883" t="s">
        <v>31</v>
      </c>
      <c r="H1883" s="12">
        <v>300000</v>
      </c>
      <c r="I1883">
        <v>10</v>
      </c>
      <c r="J1883" t="s">
        <v>28</v>
      </c>
      <c r="K1883" s="12">
        <f t="shared" si="29"/>
        <v>240000</v>
      </c>
      <c r="L1883" s="12">
        <f>Sales_Data[[#This Row],[Unit Price]]*Sales_Data[[#This Row],[Quantity]]</f>
        <v>3000000</v>
      </c>
      <c r="M1883" s="12">
        <f>Sales_Data[[#This Row],[Cost Price]]*Sales_Data[[#This Row],[Quantity]]</f>
        <v>2400000</v>
      </c>
      <c r="N1883" s="12">
        <f>Sales_Data[[#This Row],[Revenue]]-Sales_Data[[#This Row],[COGS]]</f>
        <v>600000</v>
      </c>
    </row>
    <row r="1884" spans="1:14">
      <c r="A1884" s="1">
        <v>47558</v>
      </c>
      <c r="B1884" t="s">
        <v>11</v>
      </c>
      <c r="C1884" t="s">
        <v>26</v>
      </c>
      <c r="D1884" t="s">
        <v>23</v>
      </c>
      <c r="E1884" t="s">
        <v>20</v>
      </c>
      <c r="F1884" t="s">
        <v>41</v>
      </c>
      <c r="G1884" t="s">
        <v>22</v>
      </c>
      <c r="H1884" s="12">
        <v>220000</v>
      </c>
      <c r="I1884">
        <v>4</v>
      </c>
      <c r="J1884" t="s">
        <v>37</v>
      </c>
      <c r="K1884" s="12">
        <f t="shared" si="29"/>
        <v>176000</v>
      </c>
      <c r="L1884" s="12">
        <f>Sales_Data[[#This Row],[Unit Price]]*Sales_Data[[#This Row],[Quantity]]</f>
        <v>880000</v>
      </c>
      <c r="M1884" s="12">
        <f>Sales_Data[[#This Row],[Cost Price]]*Sales_Data[[#This Row],[Quantity]]</f>
        <v>704000</v>
      </c>
      <c r="N1884" s="12">
        <f>Sales_Data[[#This Row],[Revenue]]-Sales_Data[[#This Row],[COGS]]</f>
        <v>176000</v>
      </c>
    </row>
    <row r="1885" spans="1:14">
      <c r="A1885" s="1">
        <v>47559</v>
      </c>
      <c r="B1885" t="s">
        <v>29</v>
      </c>
      <c r="C1885" t="s">
        <v>19</v>
      </c>
      <c r="D1885" t="s">
        <v>23</v>
      </c>
      <c r="E1885" t="s">
        <v>14</v>
      </c>
      <c r="F1885" t="s">
        <v>15</v>
      </c>
      <c r="G1885" t="s">
        <v>16</v>
      </c>
      <c r="H1885" s="12">
        <v>85000</v>
      </c>
      <c r="I1885">
        <v>6</v>
      </c>
      <c r="J1885" t="s">
        <v>37</v>
      </c>
      <c r="K1885" s="12">
        <f t="shared" si="29"/>
        <v>68000</v>
      </c>
      <c r="L1885" s="12">
        <f>Sales_Data[[#This Row],[Unit Price]]*Sales_Data[[#This Row],[Quantity]]</f>
        <v>510000</v>
      </c>
      <c r="M1885" s="12">
        <f>Sales_Data[[#This Row],[Cost Price]]*Sales_Data[[#This Row],[Quantity]]</f>
        <v>408000</v>
      </c>
      <c r="N1885" s="12">
        <f>Sales_Data[[#This Row],[Revenue]]-Sales_Data[[#This Row],[COGS]]</f>
        <v>102000</v>
      </c>
    </row>
    <row r="1886" spans="1:14">
      <c r="A1886" s="1">
        <v>47560</v>
      </c>
      <c r="B1886" t="s">
        <v>11</v>
      </c>
      <c r="C1886" t="s">
        <v>26</v>
      </c>
      <c r="D1886" t="s">
        <v>23</v>
      </c>
      <c r="E1886" t="s">
        <v>20</v>
      </c>
      <c r="F1886" t="s">
        <v>27</v>
      </c>
      <c r="G1886" t="s">
        <v>22</v>
      </c>
      <c r="H1886" s="12">
        <v>60000</v>
      </c>
      <c r="I1886">
        <v>4</v>
      </c>
      <c r="J1886" t="s">
        <v>28</v>
      </c>
      <c r="K1886" s="12">
        <f t="shared" si="29"/>
        <v>48000</v>
      </c>
      <c r="L1886" s="12">
        <f>Sales_Data[[#This Row],[Unit Price]]*Sales_Data[[#This Row],[Quantity]]</f>
        <v>240000</v>
      </c>
      <c r="M1886" s="12">
        <f>Sales_Data[[#This Row],[Cost Price]]*Sales_Data[[#This Row],[Quantity]]</f>
        <v>192000</v>
      </c>
      <c r="N1886" s="12">
        <f>Sales_Data[[#This Row],[Revenue]]-Sales_Data[[#This Row],[COGS]]</f>
        <v>48000</v>
      </c>
    </row>
    <row r="1887" spans="1:14">
      <c r="A1887" s="1">
        <v>47561</v>
      </c>
      <c r="B1887" t="s">
        <v>18</v>
      </c>
      <c r="C1887" t="s">
        <v>12</v>
      </c>
      <c r="D1887" t="s">
        <v>13</v>
      </c>
      <c r="E1887" t="s">
        <v>20</v>
      </c>
      <c r="F1887" t="s">
        <v>41</v>
      </c>
      <c r="G1887" t="s">
        <v>22</v>
      </c>
      <c r="H1887" s="12">
        <v>220000</v>
      </c>
      <c r="I1887">
        <v>2</v>
      </c>
      <c r="J1887" t="s">
        <v>24</v>
      </c>
      <c r="K1887" s="12">
        <f t="shared" si="29"/>
        <v>176000</v>
      </c>
      <c r="L1887" s="12">
        <f>Sales_Data[[#This Row],[Unit Price]]*Sales_Data[[#This Row],[Quantity]]</f>
        <v>440000</v>
      </c>
      <c r="M1887" s="12">
        <f>Sales_Data[[#This Row],[Cost Price]]*Sales_Data[[#This Row],[Quantity]]</f>
        <v>352000</v>
      </c>
      <c r="N1887" s="12">
        <f>Sales_Data[[#This Row],[Revenue]]-Sales_Data[[#This Row],[COGS]]</f>
        <v>88000</v>
      </c>
    </row>
    <row r="1888" spans="1:14">
      <c r="A1888" s="1">
        <v>47562</v>
      </c>
      <c r="B1888" t="s">
        <v>18</v>
      </c>
      <c r="C1888" t="s">
        <v>32</v>
      </c>
      <c r="D1888" t="s">
        <v>23</v>
      </c>
      <c r="E1888" t="s">
        <v>14</v>
      </c>
      <c r="F1888" t="s">
        <v>30</v>
      </c>
      <c r="G1888" t="s">
        <v>31</v>
      </c>
      <c r="H1888" s="12">
        <v>300000</v>
      </c>
      <c r="I1888">
        <v>3</v>
      </c>
      <c r="J1888" t="s">
        <v>17</v>
      </c>
      <c r="K1888" s="12">
        <f t="shared" si="29"/>
        <v>240000</v>
      </c>
      <c r="L1888" s="12">
        <f>Sales_Data[[#This Row],[Unit Price]]*Sales_Data[[#This Row],[Quantity]]</f>
        <v>900000</v>
      </c>
      <c r="M1888" s="12">
        <f>Sales_Data[[#This Row],[Cost Price]]*Sales_Data[[#This Row],[Quantity]]</f>
        <v>720000</v>
      </c>
      <c r="N1888" s="12">
        <f>Sales_Data[[#This Row],[Revenue]]-Sales_Data[[#This Row],[COGS]]</f>
        <v>180000</v>
      </c>
    </row>
    <row r="1889" spans="1:14">
      <c r="A1889" s="1">
        <v>47563</v>
      </c>
      <c r="B1889" t="s">
        <v>25</v>
      </c>
      <c r="C1889" t="s">
        <v>12</v>
      </c>
      <c r="D1889" t="s">
        <v>23</v>
      </c>
      <c r="E1889" t="s">
        <v>14</v>
      </c>
      <c r="F1889" t="s">
        <v>41</v>
      </c>
      <c r="G1889" t="s">
        <v>22</v>
      </c>
      <c r="H1889" s="12">
        <v>220000</v>
      </c>
      <c r="I1889">
        <v>8</v>
      </c>
      <c r="J1889" t="s">
        <v>39</v>
      </c>
      <c r="K1889" s="12">
        <f t="shared" si="29"/>
        <v>176000</v>
      </c>
      <c r="L1889" s="12">
        <f>Sales_Data[[#This Row],[Unit Price]]*Sales_Data[[#This Row],[Quantity]]</f>
        <v>1760000</v>
      </c>
      <c r="M1889" s="12">
        <f>Sales_Data[[#This Row],[Cost Price]]*Sales_Data[[#This Row],[Quantity]]</f>
        <v>1408000</v>
      </c>
      <c r="N1889" s="12">
        <f>Sales_Data[[#This Row],[Revenue]]-Sales_Data[[#This Row],[COGS]]</f>
        <v>352000</v>
      </c>
    </row>
    <row r="1890" spans="1:14">
      <c r="A1890" s="1">
        <v>47564</v>
      </c>
      <c r="B1890" t="s">
        <v>11</v>
      </c>
      <c r="C1890" t="s">
        <v>12</v>
      </c>
      <c r="D1890" t="s">
        <v>13</v>
      </c>
      <c r="E1890" t="s">
        <v>14</v>
      </c>
      <c r="F1890" t="s">
        <v>40</v>
      </c>
      <c r="G1890" t="s">
        <v>31</v>
      </c>
      <c r="H1890" s="12">
        <v>250000</v>
      </c>
      <c r="I1890">
        <v>8</v>
      </c>
      <c r="J1890" t="s">
        <v>37</v>
      </c>
      <c r="K1890" s="12">
        <f t="shared" si="29"/>
        <v>200000</v>
      </c>
      <c r="L1890" s="12">
        <f>Sales_Data[[#This Row],[Unit Price]]*Sales_Data[[#This Row],[Quantity]]</f>
        <v>2000000</v>
      </c>
      <c r="M1890" s="12">
        <f>Sales_Data[[#This Row],[Cost Price]]*Sales_Data[[#This Row],[Quantity]]</f>
        <v>1600000</v>
      </c>
      <c r="N1890" s="12">
        <f>Sales_Data[[#This Row],[Revenue]]-Sales_Data[[#This Row],[COGS]]</f>
        <v>400000</v>
      </c>
    </row>
    <row r="1891" spans="1:14">
      <c r="A1891" s="1">
        <v>47565</v>
      </c>
      <c r="B1891" t="s">
        <v>25</v>
      </c>
      <c r="C1891" t="s">
        <v>12</v>
      </c>
      <c r="D1891" t="s">
        <v>13</v>
      </c>
      <c r="E1891" t="s">
        <v>14</v>
      </c>
      <c r="F1891" t="s">
        <v>15</v>
      </c>
      <c r="G1891" t="s">
        <v>16</v>
      </c>
      <c r="H1891" s="12">
        <v>85000</v>
      </c>
      <c r="I1891">
        <v>2</v>
      </c>
      <c r="J1891" t="s">
        <v>17</v>
      </c>
      <c r="K1891" s="12">
        <f t="shared" si="29"/>
        <v>68000</v>
      </c>
      <c r="L1891" s="12">
        <f>Sales_Data[[#This Row],[Unit Price]]*Sales_Data[[#This Row],[Quantity]]</f>
        <v>170000</v>
      </c>
      <c r="M1891" s="12">
        <f>Sales_Data[[#This Row],[Cost Price]]*Sales_Data[[#This Row],[Quantity]]</f>
        <v>136000</v>
      </c>
      <c r="N1891" s="12">
        <f>Sales_Data[[#This Row],[Revenue]]-Sales_Data[[#This Row],[COGS]]</f>
        <v>34000</v>
      </c>
    </row>
    <row r="1892" spans="1:14">
      <c r="A1892" s="1">
        <v>47566</v>
      </c>
      <c r="B1892" t="s">
        <v>29</v>
      </c>
      <c r="C1892" t="s">
        <v>26</v>
      </c>
      <c r="D1892" t="s">
        <v>23</v>
      </c>
      <c r="E1892" t="s">
        <v>20</v>
      </c>
      <c r="F1892" t="s">
        <v>36</v>
      </c>
      <c r="G1892" t="s">
        <v>31</v>
      </c>
      <c r="H1892" s="12">
        <v>150000</v>
      </c>
      <c r="I1892">
        <v>7</v>
      </c>
      <c r="J1892" t="s">
        <v>37</v>
      </c>
      <c r="K1892" s="12">
        <f t="shared" si="29"/>
        <v>120000</v>
      </c>
      <c r="L1892" s="12">
        <f>Sales_Data[[#This Row],[Unit Price]]*Sales_Data[[#This Row],[Quantity]]</f>
        <v>1050000</v>
      </c>
      <c r="M1892" s="12">
        <f>Sales_Data[[#This Row],[Cost Price]]*Sales_Data[[#This Row],[Quantity]]</f>
        <v>840000</v>
      </c>
      <c r="N1892" s="12">
        <f>Sales_Data[[#This Row],[Revenue]]-Sales_Data[[#This Row],[COGS]]</f>
        <v>210000</v>
      </c>
    </row>
    <row r="1893" spans="1:14">
      <c r="A1893" s="1">
        <v>47567</v>
      </c>
      <c r="B1893" t="s">
        <v>25</v>
      </c>
      <c r="C1893" t="s">
        <v>26</v>
      </c>
      <c r="D1893" t="s">
        <v>13</v>
      </c>
      <c r="E1893" t="s">
        <v>14</v>
      </c>
      <c r="F1893" t="s">
        <v>21</v>
      </c>
      <c r="G1893" t="s">
        <v>22</v>
      </c>
      <c r="H1893" s="12">
        <v>30000</v>
      </c>
      <c r="I1893">
        <v>8</v>
      </c>
      <c r="J1893" t="s">
        <v>28</v>
      </c>
      <c r="K1893" s="12">
        <f t="shared" si="29"/>
        <v>24000</v>
      </c>
      <c r="L1893" s="12">
        <f>Sales_Data[[#This Row],[Unit Price]]*Sales_Data[[#This Row],[Quantity]]</f>
        <v>240000</v>
      </c>
      <c r="M1893" s="12">
        <f>Sales_Data[[#This Row],[Cost Price]]*Sales_Data[[#This Row],[Quantity]]</f>
        <v>192000</v>
      </c>
      <c r="N1893" s="12">
        <f>Sales_Data[[#This Row],[Revenue]]-Sales_Data[[#This Row],[COGS]]</f>
        <v>48000</v>
      </c>
    </row>
    <row r="1894" spans="1:14">
      <c r="A1894" s="1">
        <v>47568</v>
      </c>
      <c r="B1894" t="s">
        <v>11</v>
      </c>
      <c r="C1894" t="s">
        <v>12</v>
      </c>
      <c r="D1894" t="s">
        <v>23</v>
      </c>
      <c r="E1894" t="s">
        <v>14</v>
      </c>
      <c r="F1894" t="s">
        <v>15</v>
      </c>
      <c r="G1894" t="s">
        <v>16</v>
      </c>
      <c r="H1894" s="12">
        <v>85000</v>
      </c>
      <c r="I1894">
        <v>2</v>
      </c>
      <c r="J1894" t="s">
        <v>37</v>
      </c>
      <c r="K1894" s="12">
        <f t="shared" si="29"/>
        <v>68000</v>
      </c>
      <c r="L1894" s="12">
        <f>Sales_Data[[#This Row],[Unit Price]]*Sales_Data[[#This Row],[Quantity]]</f>
        <v>170000</v>
      </c>
      <c r="M1894" s="12">
        <f>Sales_Data[[#This Row],[Cost Price]]*Sales_Data[[#This Row],[Quantity]]</f>
        <v>136000</v>
      </c>
      <c r="N1894" s="12">
        <f>Sales_Data[[#This Row],[Revenue]]-Sales_Data[[#This Row],[COGS]]</f>
        <v>34000</v>
      </c>
    </row>
    <row r="1895" spans="1:14">
      <c r="A1895" s="1">
        <v>47569</v>
      </c>
      <c r="B1895" t="s">
        <v>11</v>
      </c>
      <c r="C1895" t="s">
        <v>32</v>
      </c>
      <c r="D1895" t="s">
        <v>13</v>
      </c>
      <c r="E1895" t="s">
        <v>14</v>
      </c>
      <c r="F1895" t="s">
        <v>33</v>
      </c>
      <c r="G1895" t="s">
        <v>22</v>
      </c>
      <c r="H1895" s="12">
        <v>180000</v>
      </c>
      <c r="I1895">
        <v>5</v>
      </c>
      <c r="J1895" t="s">
        <v>24</v>
      </c>
      <c r="K1895" s="12">
        <f t="shared" si="29"/>
        <v>144000</v>
      </c>
      <c r="L1895" s="12">
        <f>Sales_Data[[#This Row],[Unit Price]]*Sales_Data[[#This Row],[Quantity]]</f>
        <v>900000</v>
      </c>
      <c r="M1895" s="12">
        <f>Sales_Data[[#This Row],[Cost Price]]*Sales_Data[[#This Row],[Quantity]]</f>
        <v>720000</v>
      </c>
      <c r="N1895" s="12">
        <f>Sales_Data[[#This Row],[Revenue]]-Sales_Data[[#This Row],[COGS]]</f>
        <v>180000</v>
      </c>
    </row>
    <row r="1896" spans="1:14">
      <c r="A1896" s="1">
        <v>47570</v>
      </c>
      <c r="B1896" t="s">
        <v>11</v>
      </c>
      <c r="C1896" t="s">
        <v>26</v>
      </c>
      <c r="D1896" t="s">
        <v>13</v>
      </c>
      <c r="E1896" t="s">
        <v>14</v>
      </c>
      <c r="F1896" t="s">
        <v>15</v>
      </c>
      <c r="G1896" t="s">
        <v>16</v>
      </c>
      <c r="H1896" s="12">
        <v>85000</v>
      </c>
      <c r="I1896">
        <v>9</v>
      </c>
      <c r="J1896" t="s">
        <v>37</v>
      </c>
      <c r="K1896" s="12">
        <f t="shared" si="29"/>
        <v>68000</v>
      </c>
      <c r="L1896" s="12">
        <f>Sales_Data[[#This Row],[Unit Price]]*Sales_Data[[#This Row],[Quantity]]</f>
        <v>765000</v>
      </c>
      <c r="M1896" s="12">
        <f>Sales_Data[[#This Row],[Cost Price]]*Sales_Data[[#This Row],[Quantity]]</f>
        <v>612000</v>
      </c>
      <c r="N1896" s="12">
        <f>Sales_Data[[#This Row],[Revenue]]-Sales_Data[[#This Row],[COGS]]</f>
        <v>153000</v>
      </c>
    </row>
    <row r="1897" spans="1:14">
      <c r="A1897" s="1">
        <v>47571</v>
      </c>
      <c r="B1897" t="s">
        <v>11</v>
      </c>
      <c r="C1897" t="s">
        <v>32</v>
      </c>
      <c r="D1897" t="s">
        <v>23</v>
      </c>
      <c r="E1897" t="s">
        <v>14</v>
      </c>
      <c r="F1897" t="s">
        <v>38</v>
      </c>
      <c r="G1897" t="s">
        <v>31</v>
      </c>
      <c r="H1897" s="12">
        <v>420000</v>
      </c>
      <c r="I1897">
        <v>9</v>
      </c>
      <c r="J1897" t="s">
        <v>24</v>
      </c>
      <c r="K1897" s="12">
        <f t="shared" si="29"/>
        <v>336000</v>
      </c>
      <c r="L1897" s="12">
        <f>Sales_Data[[#This Row],[Unit Price]]*Sales_Data[[#This Row],[Quantity]]</f>
        <v>3780000</v>
      </c>
      <c r="M1897" s="12">
        <f>Sales_Data[[#This Row],[Cost Price]]*Sales_Data[[#This Row],[Quantity]]</f>
        <v>3024000</v>
      </c>
      <c r="N1897" s="12">
        <f>Sales_Data[[#This Row],[Revenue]]-Sales_Data[[#This Row],[COGS]]</f>
        <v>756000</v>
      </c>
    </row>
    <row r="1898" spans="1:14">
      <c r="A1898" s="1">
        <v>47572</v>
      </c>
      <c r="B1898" t="s">
        <v>29</v>
      </c>
      <c r="C1898" t="s">
        <v>32</v>
      </c>
      <c r="D1898" t="s">
        <v>13</v>
      </c>
      <c r="E1898" t="s">
        <v>14</v>
      </c>
      <c r="F1898" t="s">
        <v>34</v>
      </c>
      <c r="G1898" t="s">
        <v>16</v>
      </c>
      <c r="H1898" s="12">
        <v>320000</v>
      </c>
      <c r="I1898">
        <v>5</v>
      </c>
      <c r="J1898" t="s">
        <v>17</v>
      </c>
      <c r="K1898" s="12">
        <f t="shared" si="29"/>
        <v>256000</v>
      </c>
      <c r="L1898" s="12">
        <f>Sales_Data[[#This Row],[Unit Price]]*Sales_Data[[#This Row],[Quantity]]</f>
        <v>1600000</v>
      </c>
      <c r="M1898" s="12">
        <f>Sales_Data[[#This Row],[Cost Price]]*Sales_Data[[#This Row],[Quantity]]</f>
        <v>1280000</v>
      </c>
      <c r="N1898" s="12">
        <f>Sales_Data[[#This Row],[Revenue]]-Sales_Data[[#This Row],[COGS]]</f>
        <v>320000</v>
      </c>
    </row>
    <row r="1899" spans="1:14">
      <c r="A1899" s="1">
        <v>47573</v>
      </c>
      <c r="B1899" t="s">
        <v>11</v>
      </c>
      <c r="C1899" t="s">
        <v>19</v>
      </c>
      <c r="D1899" t="s">
        <v>13</v>
      </c>
      <c r="E1899" t="s">
        <v>14</v>
      </c>
      <c r="F1899" t="s">
        <v>34</v>
      </c>
      <c r="G1899" t="s">
        <v>16</v>
      </c>
      <c r="H1899" s="12">
        <v>320000</v>
      </c>
      <c r="I1899">
        <v>1</v>
      </c>
      <c r="J1899" t="s">
        <v>37</v>
      </c>
      <c r="K1899" s="12">
        <f t="shared" si="29"/>
        <v>256000</v>
      </c>
      <c r="L1899" s="12">
        <f>Sales_Data[[#This Row],[Unit Price]]*Sales_Data[[#This Row],[Quantity]]</f>
        <v>320000</v>
      </c>
      <c r="M1899" s="12">
        <f>Sales_Data[[#This Row],[Cost Price]]*Sales_Data[[#This Row],[Quantity]]</f>
        <v>256000</v>
      </c>
      <c r="N1899" s="12">
        <f>Sales_Data[[#This Row],[Revenue]]-Sales_Data[[#This Row],[COGS]]</f>
        <v>64000</v>
      </c>
    </row>
    <row r="1900" spans="1:14">
      <c r="A1900" s="1">
        <v>47574</v>
      </c>
      <c r="B1900" t="s">
        <v>29</v>
      </c>
      <c r="C1900" t="s">
        <v>26</v>
      </c>
      <c r="D1900" t="s">
        <v>13</v>
      </c>
      <c r="E1900" t="s">
        <v>14</v>
      </c>
      <c r="F1900" t="s">
        <v>21</v>
      </c>
      <c r="G1900" t="s">
        <v>22</v>
      </c>
      <c r="H1900" s="12">
        <v>30000</v>
      </c>
      <c r="I1900">
        <v>10</v>
      </c>
      <c r="J1900" t="s">
        <v>35</v>
      </c>
      <c r="K1900" s="12">
        <f t="shared" si="29"/>
        <v>24000</v>
      </c>
      <c r="L1900" s="12">
        <f>Sales_Data[[#This Row],[Unit Price]]*Sales_Data[[#This Row],[Quantity]]</f>
        <v>300000</v>
      </c>
      <c r="M1900" s="12">
        <f>Sales_Data[[#This Row],[Cost Price]]*Sales_Data[[#This Row],[Quantity]]</f>
        <v>240000</v>
      </c>
      <c r="N1900" s="12">
        <f>Sales_Data[[#This Row],[Revenue]]-Sales_Data[[#This Row],[COGS]]</f>
        <v>60000</v>
      </c>
    </row>
    <row r="1901" spans="1:14">
      <c r="A1901" s="1">
        <v>47575</v>
      </c>
      <c r="B1901" t="s">
        <v>18</v>
      </c>
      <c r="C1901" t="s">
        <v>12</v>
      </c>
      <c r="D1901" t="s">
        <v>13</v>
      </c>
      <c r="E1901" t="s">
        <v>20</v>
      </c>
      <c r="F1901" t="s">
        <v>33</v>
      </c>
      <c r="G1901" t="s">
        <v>22</v>
      </c>
      <c r="H1901" s="12">
        <v>180000</v>
      </c>
      <c r="I1901">
        <v>10</v>
      </c>
      <c r="J1901" t="s">
        <v>39</v>
      </c>
      <c r="K1901" s="12">
        <f t="shared" si="29"/>
        <v>144000</v>
      </c>
      <c r="L1901" s="12">
        <f>Sales_Data[[#This Row],[Unit Price]]*Sales_Data[[#This Row],[Quantity]]</f>
        <v>1800000</v>
      </c>
      <c r="M1901" s="12">
        <f>Sales_Data[[#This Row],[Cost Price]]*Sales_Data[[#This Row],[Quantity]]</f>
        <v>1440000</v>
      </c>
      <c r="N1901" s="12">
        <f>Sales_Data[[#This Row],[Revenue]]-Sales_Data[[#This Row],[COGS]]</f>
        <v>360000</v>
      </c>
    </row>
    <row r="1902" spans="1:14">
      <c r="A1902" s="1">
        <v>47576</v>
      </c>
      <c r="B1902" t="s">
        <v>11</v>
      </c>
      <c r="C1902" t="s">
        <v>26</v>
      </c>
      <c r="D1902" t="s">
        <v>23</v>
      </c>
      <c r="E1902" t="s">
        <v>14</v>
      </c>
      <c r="F1902" t="s">
        <v>34</v>
      </c>
      <c r="G1902" t="s">
        <v>16</v>
      </c>
      <c r="H1902" s="12">
        <v>320000</v>
      </c>
      <c r="I1902">
        <v>9</v>
      </c>
      <c r="J1902" t="s">
        <v>28</v>
      </c>
      <c r="K1902" s="12">
        <f t="shared" si="29"/>
        <v>256000</v>
      </c>
      <c r="L1902" s="12">
        <f>Sales_Data[[#This Row],[Unit Price]]*Sales_Data[[#This Row],[Quantity]]</f>
        <v>2880000</v>
      </c>
      <c r="M1902" s="12">
        <f>Sales_Data[[#This Row],[Cost Price]]*Sales_Data[[#This Row],[Quantity]]</f>
        <v>2304000</v>
      </c>
      <c r="N1902" s="12">
        <f>Sales_Data[[#This Row],[Revenue]]-Sales_Data[[#This Row],[COGS]]</f>
        <v>576000</v>
      </c>
    </row>
    <row r="1903" spans="1:14">
      <c r="A1903" s="1">
        <v>47577</v>
      </c>
      <c r="B1903" t="s">
        <v>11</v>
      </c>
      <c r="C1903" t="s">
        <v>32</v>
      </c>
      <c r="D1903" t="s">
        <v>23</v>
      </c>
      <c r="E1903" t="s">
        <v>14</v>
      </c>
      <c r="F1903" t="s">
        <v>38</v>
      </c>
      <c r="G1903" t="s">
        <v>31</v>
      </c>
      <c r="H1903" s="12">
        <v>420000</v>
      </c>
      <c r="I1903">
        <v>2</v>
      </c>
      <c r="J1903" t="s">
        <v>37</v>
      </c>
      <c r="K1903" s="12">
        <f t="shared" si="29"/>
        <v>336000</v>
      </c>
      <c r="L1903" s="12">
        <f>Sales_Data[[#This Row],[Unit Price]]*Sales_Data[[#This Row],[Quantity]]</f>
        <v>840000</v>
      </c>
      <c r="M1903" s="12">
        <f>Sales_Data[[#This Row],[Cost Price]]*Sales_Data[[#This Row],[Quantity]]</f>
        <v>672000</v>
      </c>
      <c r="N1903" s="12">
        <f>Sales_Data[[#This Row],[Revenue]]-Sales_Data[[#This Row],[COGS]]</f>
        <v>168000</v>
      </c>
    </row>
    <row r="1904" spans="1:14">
      <c r="A1904" s="1">
        <v>47578</v>
      </c>
      <c r="B1904" t="s">
        <v>29</v>
      </c>
      <c r="C1904" t="s">
        <v>12</v>
      </c>
      <c r="D1904" t="s">
        <v>13</v>
      </c>
      <c r="E1904" t="s">
        <v>14</v>
      </c>
      <c r="F1904" t="s">
        <v>30</v>
      </c>
      <c r="G1904" t="s">
        <v>31</v>
      </c>
      <c r="H1904" s="12">
        <v>300000</v>
      </c>
      <c r="I1904">
        <v>6</v>
      </c>
      <c r="J1904" t="s">
        <v>28</v>
      </c>
      <c r="K1904" s="12">
        <f t="shared" si="29"/>
        <v>240000</v>
      </c>
      <c r="L1904" s="12">
        <f>Sales_Data[[#This Row],[Unit Price]]*Sales_Data[[#This Row],[Quantity]]</f>
        <v>1800000</v>
      </c>
      <c r="M1904" s="12">
        <f>Sales_Data[[#This Row],[Cost Price]]*Sales_Data[[#This Row],[Quantity]]</f>
        <v>1440000</v>
      </c>
      <c r="N1904" s="12">
        <f>Sales_Data[[#This Row],[Revenue]]-Sales_Data[[#This Row],[COGS]]</f>
        <v>360000</v>
      </c>
    </row>
    <row r="1905" spans="1:14">
      <c r="A1905" s="1">
        <v>47579</v>
      </c>
      <c r="B1905" t="s">
        <v>29</v>
      </c>
      <c r="C1905" t="s">
        <v>26</v>
      </c>
      <c r="D1905" t="s">
        <v>23</v>
      </c>
      <c r="E1905" t="s">
        <v>20</v>
      </c>
      <c r="F1905" t="s">
        <v>21</v>
      </c>
      <c r="G1905" t="s">
        <v>22</v>
      </c>
      <c r="H1905" s="12">
        <v>30000</v>
      </c>
      <c r="I1905">
        <v>4</v>
      </c>
      <c r="J1905" t="s">
        <v>24</v>
      </c>
      <c r="K1905" s="12">
        <f t="shared" si="29"/>
        <v>24000</v>
      </c>
      <c r="L1905" s="12">
        <f>Sales_Data[[#This Row],[Unit Price]]*Sales_Data[[#This Row],[Quantity]]</f>
        <v>120000</v>
      </c>
      <c r="M1905" s="12">
        <f>Sales_Data[[#This Row],[Cost Price]]*Sales_Data[[#This Row],[Quantity]]</f>
        <v>96000</v>
      </c>
      <c r="N1905" s="12">
        <f>Sales_Data[[#This Row],[Revenue]]-Sales_Data[[#This Row],[COGS]]</f>
        <v>24000</v>
      </c>
    </row>
    <row r="1906" spans="1:14">
      <c r="A1906" s="1">
        <v>47580</v>
      </c>
      <c r="B1906" t="s">
        <v>25</v>
      </c>
      <c r="C1906" t="s">
        <v>32</v>
      </c>
      <c r="D1906" t="s">
        <v>23</v>
      </c>
      <c r="E1906" t="s">
        <v>20</v>
      </c>
      <c r="F1906" t="s">
        <v>34</v>
      </c>
      <c r="G1906" t="s">
        <v>16</v>
      </c>
      <c r="H1906" s="12">
        <v>320000</v>
      </c>
      <c r="I1906">
        <v>7</v>
      </c>
      <c r="J1906" t="s">
        <v>28</v>
      </c>
      <c r="K1906" s="12">
        <f t="shared" si="29"/>
        <v>256000</v>
      </c>
      <c r="L1906" s="12">
        <f>Sales_Data[[#This Row],[Unit Price]]*Sales_Data[[#This Row],[Quantity]]</f>
        <v>2240000</v>
      </c>
      <c r="M1906" s="12">
        <f>Sales_Data[[#This Row],[Cost Price]]*Sales_Data[[#This Row],[Quantity]]</f>
        <v>1792000</v>
      </c>
      <c r="N1906" s="12">
        <f>Sales_Data[[#This Row],[Revenue]]-Sales_Data[[#This Row],[COGS]]</f>
        <v>448000</v>
      </c>
    </row>
    <row r="1907" spans="1:14">
      <c r="A1907" s="1">
        <v>47581</v>
      </c>
      <c r="B1907" t="s">
        <v>29</v>
      </c>
      <c r="C1907" t="s">
        <v>26</v>
      </c>
      <c r="D1907" t="s">
        <v>23</v>
      </c>
      <c r="E1907" t="s">
        <v>20</v>
      </c>
      <c r="F1907" t="s">
        <v>34</v>
      </c>
      <c r="G1907" t="s">
        <v>16</v>
      </c>
      <c r="H1907" s="12">
        <v>320000</v>
      </c>
      <c r="I1907">
        <v>1</v>
      </c>
      <c r="J1907" t="s">
        <v>37</v>
      </c>
      <c r="K1907" s="12">
        <f t="shared" si="29"/>
        <v>256000</v>
      </c>
      <c r="L1907" s="12">
        <f>Sales_Data[[#This Row],[Unit Price]]*Sales_Data[[#This Row],[Quantity]]</f>
        <v>320000</v>
      </c>
      <c r="M1907" s="12">
        <f>Sales_Data[[#This Row],[Cost Price]]*Sales_Data[[#This Row],[Quantity]]</f>
        <v>256000</v>
      </c>
      <c r="N1907" s="12">
        <f>Sales_Data[[#This Row],[Revenue]]-Sales_Data[[#This Row],[COGS]]</f>
        <v>64000</v>
      </c>
    </row>
    <row r="1908" spans="1:14">
      <c r="A1908" s="1">
        <v>47582</v>
      </c>
      <c r="B1908" t="s">
        <v>29</v>
      </c>
      <c r="C1908" t="s">
        <v>26</v>
      </c>
      <c r="D1908" t="s">
        <v>23</v>
      </c>
      <c r="E1908" t="s">
        <v>14</v>
      </c>
      <c r="F1908" t="s">
        <v>30</v>
      </c>
      <c r="G1908" t="s">
        <v>31</v>
      </c>
      <c r="H1908" s="12">
        <v>300000</v>
      </c>
      <c r="I1908">
        <v>3</v>
      </c>
      <c r="J1908" t="s">
        <v>35</v>
      </c>
      <c r="K1908" s="12">
        <f t="shared" si="29"/>
        <v>240000</v>
      </c>
      <c r="L1908" s="12">
        <f>Sales_Data[[#This Row],[Unit Price]]*Sales_Data[[#This Row],[Quantity]]</f>
        <v>900000</v>
      </c>
      <c r="M1908" s="12">
        <f>Sales_Data[[#This Row],[Cost Price]]*Sales_Data[[#This Row],[Quantity]]</f>
        <v>720000</v>
      </c>
      <c r="N1908" s="12">
        <f>Sales_Data[[#This Row],[Revenue]]-Sales_Data[[#This Row],[COGS]]</f>
        <v>180000</v>
      </c>
    </row>
    <row r="1909" spans="1:14">
      <c r="A1909" s="1">
        <v>47583</v>
      </c>
      <c r="B1909" t="s">
        <v>29</v>
      </c>
      <c r="C1909" t="s">
        <v>19</v>
      </c>
      <c r="D1909" t="s">
        <v>23</v>
      </c>
      <c r="E1909" t="s">
        <v>14</v>
      </c>
      <c r="F1909" t="s">
        <v>21</v>
      </c>
      <c r="G1909" t="s">
        <v>22</v>
      </c>
      <c r="H1909" s="12">
        <v>30000</v>
      </c>
      <c r="I1909">
        <v>6</v>
      </c>
      <c r="J1909" t="s">
        <v>28</v>
      </c>
      <c r="K1909" s="12">
        <f t="shared" si="29"/>
        <v>24000</v>
      </c>
      <c r="L1909" s="12">
        <f>Sales_Data[[#This Row],[Unit Price]]*Sales_Data[[#This Row],[Quantity]]</f>
        <v>180000</v>
      </c>
      <c r="M1909" s="12">
        <f>Sales_Data[[#This Row],[Cost Price]]*Sales_Data[[#This Row],[Quantity]]</f>
        <v>144000</v>
      </c>
      <c r="N1909" s="12">
        <f>Sales_Data[[#This Row],[Revenue]]-Sales_Data[[#This Row],[COGS]]</f>
        <v>36000</v>
      </c>
    </row>
    <row r="1910" spans="1:14">
      <c r="A1910" s="1">
        <v>47584</v>
      </c>
      <c r="B1910" t="s">
        <v>18</v>
      </c>
      <c r="C1910" t="s">
        <v>26</v>
      </c>
      <c r="D1910" t="s">
        <v>23</v>
      </c>
      <c r="E1910" t="s">
        <v>20</v>
      </c>
      <c r="F1910" t="s">
        <v>41</v>
      </c>
      <c r="G1910" t="s">
        <v>22</v>
      </c>
      <c r="H1910" s="12">
        <v>220000</v>
      </c>
      <c r="I1910">
        <v>1</v>
      </c>
      <c r="J1910" t="s">
        <v>28</v>
      </c>
      <c r="K1910" s="12">
        <f t="shared" si="29"/>
        <v>176000</v>
      </c>
      <c r="L1910" s="12">
        <f>Sales_Data[[#This Row],[Unit Price]]*Sales_Data[[#This Row],[Quantity]]</f>
        <v>220000</v>
      </c>
      <c r="M1910" s="12">
        <f>Sales_Data[[#This Row],[Cost Price]]*Sales_Data[[#This Row],[Quantity]]</f>
        <v>176000</v>
      </c>
      <c r="N1910" s="12">
        <f>Sales_Data[[#This Row],[Revenue]]-Sales_Data[[#This Row],[COGS]]</f>
        <v>44000</v>
      </c>
    </row>
    <row r="1911" spans="1:14">
      <c r="A1911" s="1">
        <v>47585</v>
      </c>
      <c r="B1911" t="s">
        <v>29</v>
      </c>
      <c r="C1911" t="s">
        <v>32</v>
      </c>
      <c r="D1911" t="s">
        <v>13</v>
      </c>
      <c r="E1911" t="s">
        <v>14</v>
      </c>
      <c r="F1911" t="s">
        <v>21</v>
      </c>
      <c r="G1911" t="s">
        <v>22</v>
      </c>
      <c r="H1911" s="12">
        <v>30000</v>
      </c>
      <c r="I1911">
        <v>9</v>
      </c>
      <c r="J1911" t="s">
        <v>35</v>
      </c>
      <c r="K1911" s="12">
        <f t="shared" si="29"/>
        <v>24000</v>
      </c>
      <c r="L1911" s="12">
        <f>Sales_Data[[#This Row],[Unit Price]]*Sales_Data[[#This Row],[Quantity]]</f>
        <v>270000</v>
      </c>
      <c r="M1911" s="12">
        <f>Sales_Data[[#This Row],[Cost Price]]*Sales_Data[[#This Row],[Quantity]]</f>
        <v>216000</v>
      </c>
      <c r="N1911" s="12">
        <f>Sales_Data[[#This Row],[Revenue]]-Sales_Data[[#This Row],[COGS]]</f>
        <v>54000</v>
      </c>
    </row>
    <row r="1912" spans="1:14">
      <c r="A1912" s="1">
        <v>47586</v>
      </c>
      <c r="B1912" t="s">
        <v>11</v>
      </c>
      <c r="C1912" t="s">
        <v>12</v>
      </c>
      <c r="D1912" t="s">
        <v>23</v>
      </c>
      <c r="E1912" t="s">
        <v>14</v>
      </c>
      <c r="F1912" t="s">
        <v>41</v>
      </c>
      <c r="G1912" t="s">
        <v>22</v>
      </c>
      <c r="H1912" s="12">
        <v>220000</v>
      </c>
      <c r="I1912">
        <v>10</v>
      </c>
      <c r="J1912" t="s">
        <v>35</v>
      </c>
      <c r="K1912" s="12">
        <f t="shared" si="29"/>
        <v>176000</v>
      </c>
      <c r="L1912" s="12">
        <f>Sales_Data[[#This Row],[Unit Price]]*Sales_Data[[#This Row],[Quantity]]</f>
        <v>2200000</v>
      </c>
      <c r="M1912" s="12">
        <f>Sales_Data[[#This Row],[Cost Price]]*Sales_Data[[#This Row],[Quantity]]</f>
        <v>1760000</v>
      </c>
      <c r="N1912" s="12">
        <f>Sales_Data[[#This Row],[Revenue]]-Sales_Data[[#This Row],[COGS]]</f>
        <v>440000</v>
      </c>
    </row>
    <row r="1913" spans="1:14">
      <c r="A1913" s="1">
        <v>47587</v>
      </c>
      <c r="B1913" t="s">
        <v>18</v>
      </c>
      <c r="C1913" t="s">
        <v>26</v>
      </c>
      <c r="D1913" t="s">
        <v>13</v>
      </c>
      <c r="E1913" t="s">
        <v>14</v>
      </c>
      <c r="F1913" t="s">
        <v>41</v>
      </c>
      <c r="G1913" t="s">
        <v>22</v>
      </c>
      <c r="H1913" s="12">
        <v>220000</v>
      </c>
      <c r="I1913">
        <v>9</v>
      </c>
      <c r="J1913" t="s">
        <v>17</v>
      </c>
      <c r="K1913" s="12">
        <f t="shared" si="29"/>
        <v>176000</v>
      </c>
      <c r="L1913" s="12">
        <f>Sales_Data[[#This Row],[Unit Price]]*Sales_Data[[#This Row],[Quantity]]</f>
        <v>1980000</v>
      </c>
      <c r="M1913" s="12">
        <f>Sales_Data[[#This Row],[Cost Price]]*Sales_Data[[#This Row],[Quantity]]</f>
        <v>1584000</v>
      </c>
      <c r="N1913" s="12">
        <f>Sales_Data[[#This Row],[Revenue]]-Sales_Data[[#This Row],[COGS]]</f>
        <v>396000</v>
      </c>
    </row>
    <row r="1914" spans="1:14">
      <c r="A1914" s="1">
        <v>47588</v>
      </c>
      <c r="B1914" t="s">
        <v>11</v>
      </c>
      <c r="C1914" t="s">
        <v>32</v>
      </c>
      <c r="D1914" t="s">
        <v>23</v>
      </c>
      <c r="E1914" t="s">
        <v>14</v>
      </c>
      <c r="F1914" t="s">
        <v>27</v>
      </c>
      <c r="G1914" t="s">
        <v>22</v>
      </c>
      <c r="H1914" s="12">
        <v>60000</v>
      </c>
      <c r="I1914">
        <v>4</v>
      </c>
      <c r="J1914" t="s">
        <v>24</v>
      </c>
      <c r="K1914" s="12">
        <f t="shared" si="29"/>
        <v>48000</v>
      </c>
      <c r="L1914" s="12">
        <f>Sales_Data[[#This Row],[Unit Price]]*Sales_Data[[#This Row],[Quantity]]</f>
        <v>240000</v>
      </c>
      <c r="M1914" s="12">
        <f>Sales_Data[[#This Row],[Cost Price]]*Sales_Data[[#This Row],[Quantity]]</f>
        <v>192000</v>
      </c>
      <c r="N1914" s="12">
        <f>Sales_Data[[#This Row],[Revenue]]-Sales_Data[[#This Row],[COGS]]</f>
        <v>48000</v>
      </c>
    </row>
    <row r="1915" spans="1:14">
      <c r="A1915" s="1">
        <v>47589</v>
      </c>
      <c r="B1915" t="s">
        <v>25</v>
      </c>
      <c r="C1915" t="s">
        <v>26</v>
      </c>
      <c r="D1915" t="s">
        <v>23</v>
      </c>
      <c r="E1915" t="s">
        <v>20</v>
      </c>
      <c r="F1915" t="s">
        <v>41</v>
      </c>
      <c r="G1915" t="s">
        <v>22</v>
      </c>
      <c r="H1915" s="12">
        <v>220000</v>
      </c>
      <c r="I1915">
        <v>7</v>
      </c>
      <c r="J1915" t="s">
        <v>24</v>
      </c>
      <c r="K1915" s="12">
        <f t="shared" si="29"/>
        <v>176000</v>
      </c>
      <c r="L1915" s="12">
        <f>Sales_Data[[#This Row],[Unit Price]]*Sales_Data[[#This Row],[Quantity]]</f>
        <v>1540000</v>
      </c>
      <c r="M1915" s="12">
        <f>Sales_Data[[#This Row],[Cost Price]]*Sales_Data[[#This Row],[Quantity]]</f>
        <v>1232000</v>
      </c>
      <c r="N1915" s="12">
        <f>Sales_Data[[#This Row],[Revenue]]-Sales_Data[[#This Row],[COGS]]</f>
        <v>308000</v>
      </c>
    </row>
    <row r="1916" spans="1:14">
      <c r="A1916" s="1">
        <v>47590</v>
      </c>
      <c r="B1916" t="s">
        <v>11</v>
      </c>
      <c r="C1916" t="s">
        <v>26</v>
      </c>
      <c r="D1916" t="s">
        <v>13</v>
      </c>
      <c r="E1916" t="s">
        <v>20</v>
      </c>
      <c r="F1916" t="s">
        <v>34</v>
      </c>
      <c r="G1916" t="s">
        <v>16</v>
      </c>
      <c r="H1916" s="12">
        <v>320000</v>
      </c>
      <c r="I1916">
        <v>9</v>
      </c>
      <c r="J1916" t="s">
        <v>28</v>
      </c>
      <c r="K1916" s="12">
        <f t="shared" si="29"/>
        <v>256000</v>
      </c>
      <c r="L1916" s="12">
        <f>Sales_Data[[#This Row],[Unit Price]]*Sales_Data[[#This Row],[Quantity]]</f>
        <v>2880000</v>
      </c>
      <c r="M1916" s="12">
        <f>Sales_Data[[#This Row],[Cost Price]]*Sales_Data[[#This Row],[Quantity]]</f>
        <v>2304000</v>
      </c>
      <c r="N1916" s="12">
        <f>Sales_Data[[#This Row],[Revenue]]-Sales_Data[[#This Row],[COGS]]</f>
        <v>576000</v>
      </c>
    </row>
    <row r="1917" spans="1:14">
      <c r="A1917" s="1">
        <v>47591</v>
      </c>
      <c r="B1917" t="s">
        <v>11</v>
      </c>
      <c r="C1917" t="s">
        <v>19</v>
      </c>
      <c r="D1917" t="s">
        <v>23</v>
      </c>
      <c r="E1917" t="s">
        <v>20</v>
      </c>
      <c r="F1917" t="s">
        <v>15</v>
      </c>
      <c r="G1917" t="s">
        <v>16</v>
      </c>
      <c r="H1917" s="12">
        <v>85000</v>
      </c>
      <c r="I1917">
        <v>5</v>
      </c>
      <c r="J1917" t="s">
        <v>39</v>
      </c>
      <c r="K1917" s="12">
        <f t="shared" si="29"/>
        <v>68000</v>
      </c>
      <c r="L1917" s="12">
        <f>Sales_Data[[#This Row],[Unit Price]]*Sales_Data[[#This Row],[Quantity]]</f>
        <v>425000</v>
      </c>
      <c r="M1917" s="12">
        <f>Sales_Data[[#This Row],[Cost Price]]*Sales_Data[[#This Row],[Quantity]]</f>
        <v>340000</v>
      </c>
      <c r="N1917" s="12">
        <f>Sales_Data[[#This Row],[Revenue]]-Sales_Data[[#This Row],[COGS]]</f>
        <v>85000</v>
      </c>
    </row>
    <row r="1918" spans="1:14">
      <c r="A1918" s="1">
        <v>47592</v>
      </c>
      <c r="B1918" t="s">
        <v>29</v>
      </c>
      <c r="C1918" t="s">
        <v>32</v>
      </c>
      <c r="D1918" t="s">
        <v>13</v>
      </c>
      <c r="E1918" t="s">
        <v>14</v>
      </c>
      <c r="F1918" t="s">
        <v>40</v>
      </c>
      <c r="G1918" t="s">
        <v>31</v>
      </c>
      <c r="H1918" s="12">
        <v>250000</v>
      </c>
      <c r="I1918">
        <v>10</v>
      </c>
      <c r="J1918" t="s">
        <v>37</v>
      </c>
      <c r="K1918" s="12">
        <f t="shared" si="29"/>
        <v>200000</v>
      </c>
      <c r="L1918" s="12">
        <f>Sales_Data[[#This Row],[Unit Price]]*Sales_Data[[#This Row],[Quantity]]</f>
        <v>2500000</v>
      </c>
      <c r="M1918" s="12">
        <f>Sales_Data[[#This Row],[Cost Price]]*Sales_Data[[#This Row],[Quantity]]</f>
        <v>2000000</v>
      </c>
      <c r="N1918" s="12">
        <f>Sales_Data[[#This Row],[Revenue]]-Sales_Data[[#This Row],[COGS]]</f>
        <v>500000</v>
      </c>
    </row>
    <row r="1919" spans="1:14">
      <c r="A1919" s="1">
        <v>47593</v>
      </c>
      <c r="B1919" t="s">
        <v>18</v>
      </c>
      <c r="C1919" t="s">
        <v>32</v>
      </c>
      <c r="D1919" t="s">
        <v>13</v>
      </c>
      <c r="E1919" t="s">
        <v>20</v>
      </c>
      <c r="F1919" t="s">
        <v>34</v>
      </c>
      <c r="G1919" t="s">
        <v>16</v>
      </c>
      <c r="H1919" s="12">
        <v>320000</v>
      </c>
      <c r="I1919">
        <v>8</v>
      </c>
      <c r="J1919" t="s">
        <v>28</v>
      </c>
      <c r="K1919" s="12">
        <f t="shared" si="29"/>
        <v>256000</v>
      </c>
      <c r="L1919" s="12">
        <f>Sales_Data[[#This Row],[Unit Price]]*Sales_Data[[#This Row],[Quantity]]</f>
        <v>2560000</v>
      </c>
      <c r="M1919" s="12">
        <f>Sales_Data[[#This Row],[Cost Price]]*Sales_Data[[#This Row],[Quantity]]</f>
        <v>2048000</v>
      </c>
      <c r="N1919" s="12">
        <f>Sales_Data[[#This Row],[Revenue]]-Sales_Data[[#This Row],[COGS]]</f>
        <v>512000</v>
      </c>
    </row>
    <row r="1920" spans="1:14">
      <c r="A1920" s="1">
        <v>47594</v>
      </c>
      <c r="B1920" t="s">
        <v>29</v>
      </c>
      <c r="C1920" t="s">
        <v>12</v>
      </c>
      <c r="D1920" t="s">
        <v>23</v>
      </c>
      <c r="E1920" t="s">
        <v>20</v>
      </c>
      <c r="F1920" t="s">
        <v>36</v>
      </c>
      <c r="G1920" t="s">
        <v>31</v>
      </c>
      <c r="H1920" s="12">
        <v>150000</v>
      </c>
      <c r="I1920">
        <v>7</v>
      </c>
      <c r="J1920" t="s">
        <v>35</v>
      </c>
      <c r="K1920" s="12">
        <f t="shared" si="29"/>
        <v>120000</v>
      </c>
      <c r="L1920" s="12">
        <f>Sales_Data[[#This Row],[Unit Price]]*Sales_Data[[#This Row],[Quantity]]</f>
        <v>1050000</v>
      </c>
      <c r="M1920" s="12">
        <f>Sales_Data[[#This Row],[Cost Price]]*Sales_Data[[#This Row],[Quantity]]</f>
        <v>840000</v>
      </c>
      <c r="N1920" s="12">
        <f>Sales_Data[[#This Row],[Revenue]]-Sales_Data[[#This Row],[COGS]]</f>
        <v>210000</v>
      </c>
    </row>
    <row r="1921" spans="1:14">
      <c r="A1921" s="1">
        <v>47595</v>
      </c>
      <c r="B1921" t="s">
        <v>29</v>
      </c>
      <c r="C1921" t="s">
        <v>26</v>
      </c>
      <c r="D1921" t="s">
        <v>13</v>
      </c>
      <c r="E1921" t="s">
        <v>20</v>
      </c>
      <c r="F1921" t="s">
        <v>33</v>
      </c>
      <c r="G1921" t="s">
        <v>22</v>
      </c>
      <c r="H1921" s="12">
        <v>180000</v>
      </c>
      <c r="I1921">
        <v>8</v>
      </c>
      <c r="J1921" t="s">
        <v>35</v>
      </c>
      <c r="K1921" s="12">
        <f t="shared" si="29"/>
        <v>144000</v>
      </c>
      <c r="L1921" s="12">
        <f>Sales_Data[[#This Row],[Unit Price]]*Sales_Data[[#This Row],[Quantity]]</f>
        <v>1440000</v>
      </c>
      <c r="M1921" s="12">
        <f>Sales_Data[[#This Row],[Cost Price]]*Sales_Data[[#This Row],[Quantity]]</f>
        <v>1152000</v>
      </c>
      <c r="N1921" s="12">
        <f>Sales_Data[[#This Row],[Revenue]]-Sales_Data[[#This Row],[COGS]]</f>
        <v>288000</v>
      </c>
    </row>
    <row r="1922" spans="1:14">
      <c r="A1922" s="1">
        <v>47596</v>
      </c>
      <c r="B1922" t="s">
        <v>11</v>
      </c>
      <c r="C1922" t="s">
        <v>32</v>
      </c>
      <c r="D1922" t="s">
        <v>13</v>
      </c>
      <c r="E1922" t="s">
        <v>14</v>
      </c>
      <c r="F1922" t="s">
        <v>34</v>
      </c>
      <c r="G1922" t="s">
        <v>16</v>
      </c>
      <c r="H1922" s="12">
        <v>320000</v>
      </c>
      <c r="I1922">
        <v>10</v>
      </c>
      <c r="J1922" t="s">
        <v>28</v>
      </c>
      <c r="K1922" s="12">
        <f t="shared" ref="K1922:K1985" si="30">H1922-H1922*0.2</f>
        <v>256000</v>
      </c>
      <c r="L1922" s="12">
        <f>Sales_Data[[#This Row],[Unit Price]]*Sales_Data[[#This Row],[Quantity]]</f>
        <v>3200000</v>
      </c>
      <c r="M1922" s="12">
        <f>Sales_Data[[#This Row],[Cost Price]]*Sales_Data[[#This Row],[Quantity]]</f>
        <v>2560000</v>
      </c>
      <c r="N1922" s="12">
        <f>Sales_Data[[#This Row],[Revenue]]-Sales_Data[[#This Row],[COGS]]</f>
        <v>640000</v>
      </c>
    </row>
    <row r="1923" spans="1:14">
      <c r="A1923" s="1">
        <v>47597</v>
      </c>
      <c r="B1923" t="s">
        <v>29</v>
      </c>
      <c r="C1923" t="s">
        <v>12</v>
      </c>
      <c r="D1923" t="s">
        <v>23</v>
      </c>
      <c r="E1923" t="s">
        <v>20</v>
      </c>
      <c r="F1923" t="s">
        <v>36</v>
      </c>
      <c r="G1923" t="s">
        <v>31</v>
      </c>
      <c r="H1923" s="12">
        <v>150000</v>
      </c>
      <c r="I1923">
        <v>7</v>
      </c>
      <c r="J1923" t="s">
        <v>39</v>
      </c>
      <c r="K1923" s="12">
        <f t="shared" si="30"/>
        <v>120000</v>
      </c>
      <c r="L1923" s="12">
        <f>Sales_Data[[#This Row],[Unit Price]]*Sales_Data[[#This Row],[Quantity]]</f>
        <v>1050000</v>
      </c>
      <c r="M1923" s="12">
        <f>Sales_Data[[#This Row],[Cost Price]]*Sales_Data[[#This Row],[Quantity]]</f>
        <v>840000</v>
      </c>
      <c r="N1923" s="12">
        <f>Sales_Data[[#This Row],[Revenue]]-Sales_Data[[#This Row],[COGS]]</f>
        <v>210000</v>
      </c>
    </row>
    <row r="1924" spans="1:14">
      <c r="A1924" s="1">
        <v>47598</v>
      </c>
      <c r="B1924" t="s">
        <v>25</v>
      </c>
      <c r="C1924" t="s">
        <v>19</v>
      </c>
      <c r="D1924" t="s">
        <v>23</v>
      </c>
      <c r="E1924" t="s">
        <v>20</v>
      </c>
      <c r="F1924" t="s">
        <v>41</v>
      </c>
      <c r="G1924" t="s">
        <v>22</v>
      </c>
      <c r="H1924" s="12">
        <v>220000</v>
      </c>
      <c r="I1924">
        <v>1</v>
      </c>
      <c r="J1924" t="s">
        <v>24</v>
      </c>
      <c r="K1924" s="12">
        <f t="shared" si="30"/>
        <v>176000</v>
      </c>
      <c r="L1924" s="12">
        <f>Sales_Data[[#This Row],[Unit Price]]*Sales_Data[[#This Row],[Quantity]]</f>
        <v>220000</v>
      </c>
      <c r="M1924" s="12">
        <f>Sales_Data[[#This Row],[Cost Price]]*Sales_Data[[#This Row],[Quantity]]</f>
        <v>176000</v>
      </c>
      <c r="N1924" s="12">
        <f>Sales_Data[[#This Row],[Revenue]]-Sales_Data[[#This Row],[COGS]]</f>
        <v>44000</v>
      </c>
    </row>
    <row r="1925" spans="1:14">
      <c r="A1925" s="1">
        <v>47599</v>
      </c>
      <c r="B1925" t="s">
        <v>29</v>
      </c>
      <c r="C1925" t="s">
        <v>32</v>
      </c>
      <c r="D1925" t="s">
        <v>23</v>
      </c>
      <c r="E1925" t="s">
        <v>14</v>
      </c>
      <c r="F1925" t="s">
        <v>41</v>
      </c>
      <c r="G1925" t="s">
        <v>22</v>
      </c>
      <c r="H1925" s="12">
        <v>220000</v>
      </c>
      <c r="I1925">
        <v>7</v>
      </c>
      <c r="J1925" t="s">
        <v>24</v>
      </c>
      <c r="K1925" s="12">
        <f t="shared" si="30"/>
        <v>176000</v>
      </c>
      <c r="L1925" s="12">
        <f>Sales_Data[[#This Row],[Unit Price]]*Sales_Data[[#This Row],[Quantity]]</f>
        <v>1540000</v>
      </c>
      <c r="M1925" s="12">
        <f>Sales_Data[[#This Row],[Cost Price]]*Sales_Data[[#This Row],[Quantity]]</f>
        <v>1232000</v>
      </c>
      <c r="N1925" s="12">
        <f>Sales_Data[[#This Row],[Revenue]]-Sales_Data[[#This Row],[COGS]]</f>
        <v>308000</v>
      </c>
    </row>
    <row r="1926" spans="1:14">
      <c r="A1926" s="1">
        <v>47600</v>
      </c>
      <c r="B1926" t="s">
        <v>25</v>
      </c>
      <c r="C1926" t="s">
        <v>32</v>
      </c>
      <c r="D1926" t="s">
        <v>23</v>
      </c>
      <c r="E1926" t="s">
        <v>20</v>
      </c>
      <c r="F1926" t="s">
        <v>36</v>
      </c>
      <c r="G1926" t="s">
        <v>31</v>
      </c>
      <c r="H1926" s="12">
        <v>150000</v>
      </c>
      <c r="I1926">
        <v>6</v>
      </c>
      <c r="J1926" t="s">
        <v>24</v>
      </c>
      <c r="K1926" s="12">
        <f t="shared" si="30"/>
        <v>120000</v>
      </c>
      <c r="L1926" s="12">
        <f>Sales_Data[[#This Row],[Unit Price]]*Sales_Data[[#This Row],[Quantity]]</f>
        <v>900000</v>
      </c>
      <c r="M1926" s="12">
        <f>Sales_Data[[#This Row],[Cost Price]]*Sales_Data[[#This Row],[Quantity]]</f>
        <v>720000</v>
      </c>
      <c r="N1926" s="12">
        <f>Sales_Data[[#This Row],[Revenue]]-Sales_Data[[#This Row],[COGS]]</f>
        <v>180000</v>
      </c>
    </row>
    <row r="1927" spans="1:14">
      <c r="A1927" s="1">
        <v>47601</v>
      </c>
      <c r="B1927" t="s">
        <v>18</v>
      </c>
      <c r="C1927" t="s">
        <v>12</v>
      </c>
      <c r="D1927" t="s">
        <v>13</v>
      </c>
      <c r="E1927" t="s">
        <v>14</v>
      </c>
      <c r="F1927" t="s">
        <v>30</v>
      </c>
      <c r="G1927" t="s">
        <v>31</v>
      </c>
      <c r="H1927" s="12">
        <v>300000</v>
      </c>
      <c r="I1927">
        <v>8</v>
      </c>
      <c r="J1927" t="s">
        <v>28</v>
      </c>
      <c r="K1927" s="12">
        <f t="shared" si="30"/>
        <v>240000</v>
      </c>
      <c r="L1927" s="12">
        <f>Sales_Data[[#This Row],[Unit Price]]*Sales_Data[[#This Row],[Quantity]]</f>
        <v>2400000</v>
      </c>
      <c r="M1927" s="12">
        <f>Sales_Data[[#This Row],[Cost Price]]*Sales_Data[[#This Row],[Quantity]]</f>
        <v>1920000</v>
      </c>
      <c r="N1927" s="12">
        <f>Sales_Data[[#This Row],[Revenue]]-Sales_Data[[#This Row],[COGS]]</f>
        <v>480000</v>
      </c>
    </row>
    <row r="1928" spans="1:14">
      <c r="A1928" s="1">
        <v>47602</v>
      </c>
      <c r="B1928" t="s">
        <v>18</v>
      </c>
      <c r="C1928" t="s">
        <v>32</v>
      </c>
      <c r="D1928" t="s">
        <v>23</v>
      </c>
      <c r="E1928" t="s">
        <v>20</v>
      </c>
      <c r="F1928" t="s">
        <v>38</v>
      </c>
      <c r="G1928" t="s">
        <v>31</v>
      </c>
      <c r="H1928" s="12">
        <v>420000</v>
      </c>
      <c r="I1928">
        <v>10</v>
      </c>
      <c r="J1928" t="s">
        <v>39</v>
      </c>
      <c r="K1928" s="12">
        <f t="shared" si="30"/>
        <v>336000</v>
      </c>
      <c r="L1928" s="12">
        <f>Sales_Data[[#This Row],[Unit Price]]*Sales_Data[[#This Row],[Quantity]]</f>
        <v>4200000</v>
      </c>
      <c r="M1928" s="12">
        <f>Sales_Data[[#This Row],[Cost Price]]*Sales_Data[[#This Row],[Quantity]]</f>
        <v>3360000</v>
      </c>
      <c r="N1928" s="12">
        <f>Sales_Data[[#This Row],[Revenue]]-Sales_Data[[#This Row],[COGS]]</f>
        <v>840000</v>
      </c>
    </row>
    <row r="1929" spans="1:14">
      <c r="A1929" s="1">
        <v>47603</v>
      </c>
      <c r="B1929" t="s">
        <v>29</v>
      </c>
      <c r="C1929" t="s">
        <v>19</v>
      </c>
      <c r="D1929" t="s">
        <v>13</v>
      </c>
      <c r="E1929" t="s">
        <v>20</v>
      </c>
      <c r="F1929" t="s">
        <v>21</v>
      </c>
      <c r="G1929" t="s">
        <v>22</v>
      </c>
      <c r="H1929" s="12">
        <v>30000</v>
      </c>
      <c r="I1929">
        <v>1</v>
      </c>
      <c r="J1929" t="s">
        <v>24</v>
      </c>
      <c r="K1929" s="12">
        <f t="shared" si="30"/>
        <v>24000</v>
      </c>
      <c r="L1929" s="12">
        <f>Sales_Data[[#This Row],[Unit Price]]*Sales_Data[[#This Row],[Quantity]]</f>
        <v>30000</v>
      </c>
      <c r="M1929" s="12">
        <f>Sales_Data[[#This Row],[Cost Price]]*Sales_Data[[#This Row],[Quantity]]</f>
        <v>24000</v>
      </c>
      <c r="N1929" s="12">
        <f>Sales_Data[[#This Row],[Revenue]]-Sales_Data[[#This Row],[COGS]]</f>
        <v>6000</v>
      </c>
    </row>
    <row r="1930" spans="1:14">
      <c r="A1930" s="1">
        <v>47604</v>
      </c>
      <c r="B1930" t="s">
        <v>18</v>
      </c>
      <c r="C1930" t="s">
        <v>12</v>
      </c>
      <c r="D1930" t="s">
        <v>23</v>
      </c>
      <c r="E1930" t="s">
        <v>14</v>
      </c>
      <c r="F1930" t="s">
        <v>38</v>
      </c>
      <c r="G1930" t="s">
        <v>31</v>
      </c>
      <c r="H1930" s="12">
        <v>420000</v>
      </c>
      <c r="I1930">
        <v>7</v>
      </c>
      <c r="J1930" t="s">
        <v>17</v>
      </c>
      <c r="K1930" s="12">
        <f t="shared" si="30"/>
        <v>336000</v>
      </c>
      <c r="L1930" s="12">
        <f>Sales_Data[[#This Row],[Unit Price]]*Sales_Data[[#This Row],[Quantity]]</f>
        <v>2940000</v>
      </c>
      <c r="M1930" s="12">
        <f>Sales_Data[[#This Row],[Cost Price]]*Sales_Data[[#This Row],[Quantity]]</f>
        <v>2352000</v>
      </c>
      <c r="N1930" s="12">
        <f>Sales_Data[[#This Row],[Revenue]]-Sales_Data[[#This Row],[COGS]]</f>
        <v>588000</v>
      </c>
    </row>
    <row r="1931" spans="1:14">
      <c r="A1931" s="1">
        <v>47605</v>
      </c>
      <c r="B1931" t="s">
        <v>29</v>
      </c>
      <c r="C1931" t="s">
        <v>12</v>
      </c>
      <c r="D1931" t="s">
        <v>23</v>
      </c>
      <c r="E1931" t="s">
        <v>20</v>
      </c>
      <c r="F1931" t="s">
        <v>33</v>
      </c>
      <c r="G1931" t="s">
        <v>22</v>
      </c>
      <c r="H1931" s="12">
        <v>180000</v>
      </c>
      <c r="I1931">
        <v>6</v>
      </c>
      <c r="J1931" t="s">
        <v>35</v>
      </c>
      <c r="K1931" s="12">
        <f t="shared" si="30"/>
        <v>144000</v>
      </c>
      <c r="L1931" s="12">
        <f>Sales_Data[[#This Row],[Unit Price]]*Sales_Data[[#This Row],[Quantity]]</f>
        <v>1080000</v>
      </c>
      <c r="M1931" s="12">
        <f>Sales_Data[[#This Row],[Cost Price]]*Sales_Data[[#This Row],[Quantity]]</f>
        <v>864000</v>
      </c>
      <c r="N1931" s="12">
        <f>Sales_Data[[#This Row],[Revenue]]-Sales_Data[[#This Row],[COGS]]</f>
        <v>216000</v>
      </c>
    </row>
    <row r="1932" spans="1:14">
      <c r="A1932" s="1">
        <v>47606</v>
      </c>
      <c r="B1932" t="s">
        <v>25</v>
      </c>
      <c r="C1932" t="s">
        <v>26</v>
      </c>
      <c r="D1932" t="s">
        <v>13</v>
      </c>
      <c r="E1932" t="s">
        <v>14</v>
      </c>
      <c r="F1932" t="s">
        <v>21</v>
      </c>
      <c r="G1932" t="s">
        <v>22</v>
      </c>
      <c r="H1932" s="12">
        <v>30000</v>
      </c>
      <c r="I1932">
        <v>10</v>
      </c>
      <c r="J1932" t="s">
        <v>39</v>
      </c>
      <c r="K1932" s="12">
        <f t="shared" si="30"/>
        <v>24000</v>
      </c>
      <c r="L1932" s="12">
        <f>Sales_Data[[#This Row],[Unit Price]]*Sales_Data[[#This Row],[Quantity]]</f>
        <v>300000</v>
      </c>
      <c r="M1932" s="12">
        <f>Sales_Data[[#This Row],[Cost Price]]*Sales_Data[[#This Row],[Quantity]]</f>
        <v>240000</v>
      </c>
      <c r="N1932" s="12">
        <f>Sales_Data[[#This Row],[Revenue]]-Sales_Data[[#This Row],[COGS]]</f>
        <v>60000</v>
      </c>
    </row>
    <row r="1933" spans="1:14">
      <c r="A1933" s="1">
        <v>47607</v>
      </c>
      <c r="B1933" t="s">
        <v>11</v>
      </c>
      <c r="C1933" t="s">
        <v>12</v>
      </c>
      <c r="D1933" t="s">
        <v>13</v>
      </c>
      <c r="E1933" t="s">
        <v>20</v>
      </c>
      <c r="F1933" t="s">
        <v>41</v>
      </c>
      <c r="G1933" t="s">
        <v>22</v>
      </c>
      <c r="H1933" s="12">
        <v>220000</v>
      </c>
      <c r="I1933">
        <v>1</v>
      </c>
      <c r="J1933" t="s">
        <v>39</v>
      </c>
      <c r="K1933" s="12">
        <f t="shared" si="30"/>
        <v>176000</v>
      </c>
      <c r="L1933" s="12">
        <f>Sales_Data[[#This Row],[Unit Price]]*Sales_Data[[#This Row],[Quantity]]</f>
        <v>220000</v>
      </c>
      <c r="M1933" s="12">
        <f>Sales_Data[[#This Row],[Cost Price]]*Sales_Data[[#This Row],[Quantity]]</f>
        <v>176000</v>
      </c>
      <c r="N1933" s="12">
        <f>Sales_Data[[#This Row],[Revenue]]-Sales_Data[[#This Row],[COGS]]</f>
        <v>44000</v>
      </c>
    </row>
    <row r="1934" spans="1:14">
      <c r="A1934" s="1">
        <v>47608</v>
      </c>
      <c r="B1934" t="s">
        <v>25</v>
      </c>
      <c r="C1934" t="s">
        <v>26</v>
      </c>
      <c r="D1934" t="s">
        <v>13</v>
      </c>
      <c r="E1934" t="s">
        <v>14</v>
      </c>
      <c r="F1934" t="s">
        <v>34</v>
      </c>
      <c r="G1934" t="s">
        <v>16</v>
      </c>
      <c r="H1934" s="12">
        <v>320000</v>
      </c>
      <c r="I1934">
        <v>6</v>
      </c>
      <c r="J1934" t="s">
        <v>35</v>
      </c>
      <c r="K1934" s="12">
        <f t="shared" si="30"/>
        <v>256000</v>
      </c>
      <c r="L1934" s="12">
        <f>Sales_Data[[#This Row],[Unit Price]]*Sales_Data[[#This Row],[Quantity]]</f>
        <v>1920000</v>
      </c>
      <c r="M1934" s="12">
        <f>Sales_Data[[#This Row],[Cost Price]]*Sales_Data[[#This Row],[Quantity]]</f>
        <v>1536000</v>
      </c>
      <c r="N1934" s="12">
        <f>Sales_Data[[#This Row],[Revenue]]-Sales_Data[[#This Row],[COGS]]</f>
        <v>384000</v>
      </c>
    </row>
    <row r="1935" spans="1:14">
      <c r="A1935" s="1">
        <v>47609</v>
      </c>
      <c r="B1935" t="s">
        <v>25</v>
      </c>
      <c r="C1935" t="s">
        <v>32</v>
      </c>
      <c r="D1935" t="s">
        <v>23</v>
      </c>
      <c r="E1935" t="s">
        <v>20</v>
      </c>
      <c r="F1935" t="s">
        <v>27</v>
      </c>
      <c r="G1935" t="s">
        <v>22</v>
      </c>
      <c r="H1935" s="12">
        <v>60000</v>
      </c>
      <c r="I1935">
        <v>10</v>
      </c>
      <c r="J1935" t="s">
        <v>24</v>
      </c>
      <c r="K1935" s="12">
        <f t="shared" si="30"/>
        <v>48000</v>
      </c>
      <c r="L1935" s="12">
        <f>Sales_Data[[#This Row],[Unit Price]]*Sales_Data[[#This Row],[Quantity]]</f>
        <v>600000</v>
      </c>
      <c r="M1935" s="12">
        <f>Sales_Data[[#This Row],[Cost Price]]*Sales_Data[[#This Row],[Quantity]]</f>
        <v>480000</v>
      </c>
      <c r="N1935" s="12">
        <f>Sales_Data[[#This Row],[Revenue]]-Sales_Data[[#This Row],[COGS]]</f>
        <v>120000</v>
      </c>
    </row>
    <row r="1936" spans="1:14">
      <c r="A1936" s="1">
        <v>47610</v>
      </c>
      <c r="B1936" t="s">
        <v>11</v>
      </c>
      <c r="C1936" t="s">
        <v>32</v>
      </c>
      <c r="D1936" t="s">
        <v>13</v>
      </c>
      <c r="E1936" t="s">
        <v>14</v>
      </c>
      <c r="F1936" t="s">
        <v>15</v>
      </c>
      <c r="G1936" t="s">
        <v>16</v>
      </c>
      <c r="H1936" s="12">
        <v>85000</v>
      </c>
      <c r="I1936">
        <v>7</v>
      </c>
      <c r="J1936" t="s">
        <v>39</v>
      </c>
      <c r="K1936" s="12">
        <f t="shared" si="30"/>
        <v>68000</v>
      </c>
      <c r="L1936" s="12">
        <f>Sales_Data[[#This Row],[Unit Price]]*Sales_Data[[#This Row],[Quantity]]</f>
        <v>595000</v>
      </c>
      <c r="M1936" s="12">
        <f>Sales_Data[[#This Row],[Cost Price]]*Sales_Data[[#This Row],[Quantity]]</f>
        <v>476000</v>
      </c>
      <c r="N1936" s="12">
        <f>Sales_Data[[#This Row],[Revenue]]-Sales_Data[[#This Row],[COGS]]</f>
        <v>119000</v>
      </c>
    </row>
    <row r="1937" spans="1:14">
      <c r="A1937" s="1">
        <v>47611</v>
      </c>
      <c r="B1937" t="s">
        <v>18</v>
      </c>
      <c r="C1937" t="s">
        <v>32</v>
      </c>
      <c r="D1937" t="s">
        <v>23</v>
      </c>
      <c r="E1937" t="s">
        <v>14</v>
      </c>
      <c r="F1937" t="s">
        <v>40</v>
      </c>
      <c r="G1937" t="s">
        <v>31</v>
      </c>
      <c r="H1937" s="12">
        <v>250000</v>
      </c>
      <c r="I1937">
        <v>1</v>
      </c>
      <c r="J1937" t="s">
        <v>39</v>
      </c>
      <c r="K1937" s="12">
        <f t="shared" si="30"/>
        <v>200000</v>
      </c>
      <c r="L1937" s="12">
        <f>Sales_Data[[#This Row],[Unit Price]]*Sales_Data[[#This Row],[Quantity]]</f>
        <v>250000</v>
      </c>
      <c r="M1937" s="12">
        <f>Sales_Data[[#This Row],[Cost Price]]*Sales_Data[[#This Row],[Quantity]]</f>
        <v>200000</v>
      </c>
      <c r="N1937" s="12">
        <f>Sales_Data[[#This Row],[Revenue]]-Sales_Data[[#This Row],[COGS]]</f>
        <v>50000</v>
      </c>
    </row>
    <row r="1938" spans="1:14">
      <c r="A1938" s="1">
        <v>47612</v>
      </c>
      <c r="B1938" t="s">
        <v>29</v>
      </c>
      <c r="C1938" t="s">
        <v>32</v>
      </c>
      <c r="D1938" t="s">
        <v>23</v>
      </c>
      <c r="E1938" t="s">
        <v>20</v>
      </c>
      <c r="F1938" t="s">
        <v>41</v>
      </c>
      <c r="G1938" t="s">
        <v>22</v>
      </c>
      <c r="H1938" s="12">
        <v>220000</v>
      </c>
      <c r="I1938">
        <v>8</v>
      </c>
      <c r="J1938" t="s">
        <v>24</v>
      </c>
      <c r="K1938" s="12">
        <f t="shared" si="30"/>
        <v>176000</v>
      </c>
      <c r="L1938" s="12">
        <f>Sales_Data[[#This Row],[Unit Price]]*Sales_Data[[#This Row],[Quantity]]</f>
        <v>1760000</v>
      </c>
      <c r="M1938" s="12">
        <f>Sales_Data[[#This Row],[Cost Price]]*Sales_Data[[#This Row],[Quantity]]</f>
        <v>1408000</v>
      </c>
      <c r="N1938" s="12">
        <f>Sales_Data[[#This Row],[Revenue]]-Sales_Data[[#This Row],[COGS]]</f>
        <v>352000</v>
      </c>
    </row>
    <row r="1939" spans="1:14">
      <c r="A1939" s="1">
        <v>47613</v>
      </c>
      <c r="B1939" t="s">
        <v>29</v>
      </c>
      <c r="C1939" t="s">
        <v>19</v>
      </c>
      <c r="D1939" t="s">
        <v>13</v>
      </c>
      <c r="E1939" t="s">
        <v>14</v>
      </c>
      <c r="F1939" t="s">
        <v>40</v>
      </c>
      <c r="G1939" t="s">
        <v>31</v>
      </c>
      <c r="H1939" s="12">
        <v>250000</v>
      </c>
      <c r="I1939">
        <v>6</v>
      </c>
      <c r="J1939" t="s">
        <v>35</v>
      </c>
      <c r="K1939" s="12">
        <f t="shared" si="30"/>
        <v>200000</v>
      </c>
      <c r="L1939" s="12">
        <f>Sales_Data[[#This Row],[Unit Price]]*Sales_Data[[#This Row],[Quantity]]</f>
        <v>1500000</v>
      </c>
      <c r="M1939" s="12">
        <f>Sales_Data[[#This Row],[Cost Price]]*Sales_Data[[#This Row],[Quantity]]</f>
        <v>1200000</v>
      </c>
      <c r="N1939" s="12">
        <f>Sales_Data[[#This Row],[Revenue]]-Sales_Data[[#This Row],[COGS]]</f>
        <v>300000</v>
      </c>
    </row>
    <row r="1940" spans="1:14">
      <c r="A1940" s="1">
        <v>47614</v>
      </c>
      <c r="B1940" t="s">
        <v>29</v>
      </c>
      <c r="C1940" t="s">
        <v>32</v>
      </c>
      <c r="D1940" t="s">
        <v>13</v>
      </c>
      <c r="E1940" t="s">
        <v>14</v>
      </c>
      <c r="F1940" t="s">
        <v>15</v>
      </c>
      <c r="G1940" t="s">
        <v>16</v>
      </c>
      <c r="H1940" s="12">
        <v>85000</v>
      </c>
      <c r="I1940">
        <v>7</v>
      </c>
      <c r="J1940" t="s">
        <v>35</v>
      </c>
      <c r="K1940" s="12">
        <f t="shared" si="30"/>
        <v>68000</v>
      </c>
      <c r="L1940" s="12">
        <f>Sales_Data[[#This Row],[Unit Price]]*Sales_Data[[#This Row],[Quantity]]</f>
        <v>595000</v>
      </c>
      <c r="M1940" s="12">
        <f>Sales_Data[[#This Row],[Cost Price]]*Sales_Data[[#This Row],[Quantity]]</f>
        <v>476000</v>
      </c>
      <c r="N1940" s="12">
        <f>Sales_Data[[#This Row],[Revenue]]-Sales_Data[[#This Row],[COGS]]</f>
        <v>119000</v>
      </c>
    </row>
    <row r="1941" spans="1:14">
      <c r="A1941" s="1">
        <v>47615</v>
      </c>
      <c r="B1941" t="s">
        <v>25</v>
      </c>
      <c r="C1941" t="s">
        <v>26</v>
      </c>
      <c r="D1941" t="s">
        <v>13</v>
      </c>
      <c r="E1941" t="s">
        <v>20</v>
      </c>
      <c r="F1941" t="s">
        <v>15</v>
      </c>
      <c r="G1941" t="s">
        <v>16</v>
      </c>
      <c r="H1941" s="12">
        <v>85000</v>
      </c>
      <c r="I1941">
        <v>4</v>
      </c>
      <c r="J1941" t="s">
        <v>28</v>
      </c>
      <c r="K1941" s="12">
        <f t="shared" si="30"/>
        <v>68000</v>
      </c>
      <c r="L1941" s="12">
        <f>Sales_Data[[#This Row],[Unit Price]]*Sales_Data[[#This Row],[Quantity]]</f>
        <v>340000</v>
      </c>
      <c r="M1941" s="12">
        <f>Sales_Data[[#This Row],[Cost Price]]*Sales_Data[[#This Row],[Quantity]]</f>
        <v>272000</v>
      </c>
      <c r="N1941" s="12">
        <f>Sales_Data[[#This Row],[Revenue]]-Sales_Data[[#This Row],[COGS]]</f>
        <v>68000</v>
      </c>
    </row>
    <row r="1942" spans="1:14">
      <c r="A1942" s="1">
        <v>47616</v>
      </c>
      <c r="B1942" t="s">
        <v>18</v>
      </c>
      <c r="C1942" t="s">
        <v>32</v>
      </c>
      <c r="D1942" t="s">
        <v>23</v>
      </c>
      <c r="E1942" t="s">
        <v>20</v>
      </c>
      <c r="F1942" t="s">
        <v>38</v>
      </c>
      <c r="G1942" t="s">
        <v>31</v>
      </c>
      <c r="H1942" s="12">
        <v>420000</v>
      </c>
      <c r="I1942">
        <v>6</v>
      </c>
      <c r="J1942" t="s">
        <v>17</v>
      </c>
      <c r="K1942" s="12">
        <f t="shared" si="30"/>
        <v>336000</v>
      </c>
      <c r="L1942" s="12">
        <f>Sales_Data[[#This Row],[Unit Price]]*Sales_Data[[#This Row],[Quantity]]</f>
        <v>2520000</v>
      </c>
      <c r="M1942" s="12">
        <f>Sales_Data[[#This Row],[Cost Price]]*Sales_Data[[#This Row],[Quantity]]</f>
        <v>2016000</v>
      </c>
      <c r="N1942" s="12">
        <f>Sales_Data[[#This Row],[Revenue]]-Sales_Data[[#This Row],[COGS]]</f>
        <v>504000</v>
      </c>
    </row>
    <row r="1943" spans="1:14">
      <c r="A1943" s="1">
        <v>47617</v>
      </c>
      <c r="B1943" t="s">
        <v>18</v>
      </c>
      <c r="C1943" t="s">
        <v>12</v>
      </c>
      <c r="D1943" t="s">
        <v>23</v>
      </c>
      <c r="E1943" t="s">
        <v>20</v>
      </c>
      <c r="F1943" t="s">
        <v>40</v>
      </c>
      <c r="G1943" t="s">
        <v>31</v>
      </c>
      <c r="H1943" s="12">
        <v>250000</v>
      </c>
      <c r="I1943">
        <v>4</v>
      </c>
      <c r="J1943" t="s">
        <v>28</v>
      </c>
      <c r="K1943" s="12">
        <f t="shared" si="30"/>
        <v>200000</v>
      </c>
      <c r="L1943" s="12">
        <f>Sales_Data[[#This Row],[Unit Price]]*Sales_Data[[#This Row],[Quantity]]</f>
        <v>1000000</v>
      </c>
      <c r="M1943" s="12">
        <f>Sales_Data[[#This Row],[Cost Price]]*Sales_Data[[#This Row],[Quantity]]</f>
        <v>800000</v>
      </c>
      <c r="N1943" s="12">
        <f>Sales_Data[[#This Row],[Revenue]]-Sales_Data[[#This Row],[COGS]]</f>
        <v>200000</v>
      </c>
    </row>
    <row r="1944" spans="1:14">
      <c r="A1944" s="1">
        <v>47618</v>
      </c>
      <c r="B1944" t="s">
        <v>11</v>
      </c>
      <c r="C1944" t="s">
        <v>12</v>
      </c>
      <c r="D1944" t="s">
        <v>13</v>
      </c>
      <c r="E1944" t="s">
        <v>20</v>
      </c>
      <c r="F1944" t="s">
        <v>21</v>
      </c>
      <c r="G1944" t="s">
        <v>22</v>
      </c>
      <c r="H1944" s="12">
        <v>30000</v>
      </c>
      <c r="I1944">
        <v>3</v>
      </c>
      <c r="J1944" t="s">
        <v>37</v>
      </c>
      <c r="K1944" s="12">
        <f t="shared" si="30"/>
        <v>24000</v>
      </c>
      <c r="L1944" s="12">
        <f>Sales_Data[[#This Row],[Unit Price]]*Sales_Data[[#This Row],[Quantity]]</f>
        <v>90000</v>
      </c>
      <c r="M1944" s="12">
        <f>Sales_Data[[#This Row],[Cost Price]]*Sales_Data[[#This Row],[Quantity]]</f>
        <v>72000</v>
      </c>
      <c r="N1944" s="12">
        <f>Sales_Data[[#This Row],[Revenue]]-Sales_Data[[#This Row],[COGS]]</f>
        <v>18000</v>
      </c>
    </row>
    <row r="1945" spans="1:14">
      <c r="A1945" s="1">
        <v>47619</v>
      </c>
      <c r="B1945" t="s">
        <v>29</v>
      </c>
      <c r="C1945" t="s">
        <v>32</v>
      </c>
      <c r="D1945" t="s">
        <v>23</v>
      </c>
      <c r="E1945" t="s">
        <v>14</v>
      </c>
      <c r="F1945" t="s">
        <v>34</v>
      </c>
      <c r="G1945" t="s">
        <v>16</v>
      </c>
      <c r="H1945" s="12">
        <v>320000</v>
      </c>
      <c r="I1945">
        <v>9</v>
      </c>
      <c r="J1945" t="s">
        <v>35</v>
      </c>
      <c r="K1945" s="12">
        <f t="shared" si="30"/>
        <v>256000</v>
      </c>
      <c r="L1945" s="12">
        <f>Sales_Data[[#This Row],[Unit Price]]*Sales_Data[[#This Row],[Quantity]]</f>
        <v>2880000</v>
      </c>
      <c r="M1945" s="12">
        <f>Sales_Data[[#This Row],[Cost Price]]*Sales_Data[[#This Row],[Quantity]]</f>
        <v>2304000</v>
      </c>
      <c r="N1945" s="12">
        <f>Sales_Data[[#This Row],[Revenue]]-Sales_Data[[#This Row],[COGS]]</f>
        <v>576000</v>
      </c>
    </row>
    <row r="1946" spans="1:14">
      <c r="A1946" s="1">
        <v>47620</v>
      </c>
      <c r="B1946" t="s">
        <v>29</v>
      </c>
      <c r="C1946" t="s">
        <v>12</v>
      </c>
      <c r="D1946" t="s">
        <v>13</v>
      </c>
      <c r="E1946" t="s">
        <v>20</v>
      </c>
      <c r="F1946" t="s">
        <v>41</v>
      </c>
      <c r="G1946" t="s">
        <v>22</v>
      </c>
      <c r="H1946" s="12">
        <v>220000</v>
      </c>
      <c r="I1946">
        <v>7</v>
      </c>
      <c r="J1946" t="s">
        <v>28</v>
      </c>
      <c r="K1946" s="12">
        <f t="shared" si="30"/>
        <v>176000</v>
      </c>
      <c r="L1946" s="12">
        <f>Sales_Data[[#This Row],[Unit Price]]*Sales_Data[[#This Row],[Quantity]]</f>
        <v>1540000</v>
      </c>
      <c r="M1946" s="12">
        <f>Sales_Data[[#This Row],[Cost Price]]*Sales_Data[[#This Row],[Quantity]]</f>
        <v>1232000</v>
      </c>
      <c r="N1946" s="12">
        <f>Sales_Data[[#This Row],[Revenue]]-Sales_Data[[#This Row],[COGS]]</f>
        <v>308000</v>
      </c>
    </row>
    <row r="1947" spans="1:14">
      <c r="A1947" s="1">
        <v>47621</v>
      </c>
      <c r="B1947" t="s">
        <v>25</v>
      </c>
      <c r="C1947" t="s">
        <v>19</v>
      </c>
      <c r="D1947" t="s">
        <v>23</v>
      </c>
      <c r="E1947" t="s">
        <v>14</v>
      </c>
      <c r="F1947" t="s">
        <v>36</v>
      </c>
      <c r="G1947" t="s">
        <v>31</v>
      </c>
      <c r="H1947" s="12">
        <v>150000</v>
      </c>
      <c r="I1947">
        <v>5</v>
      </c>
      <c r="J1947" t="s">
        <v>17</v>
      </c>
      <c r="K1947" s="12">
        <f t="shared" si="30"/>
        <v>120000</v>
      </c>
      <c r="L1947" s="12">
        <f>Sales_Data[[#This Row],[Unit Price]]*Sales_Data[[#This Row],[Quantity]]</f>
        <v>750000</v>
      </c>
      <c r="M1947" s="12">
        <f>Sales_Data[[#This Row],[Cost Price]]*Sales_Data[[#This Row],[Quantity]]</f>
        <v>600000</v>
      </c>
      <c r="N1947" s="12">
        <f>Sales_Data[[#This Row],[Revenue]]-Sales_Data[[#This Row],[COGS]]</f>
        <v>150000</v>
      </c>
    </row>
    <row r="1948" spans="1:14">
      <c r="A1948" s="1">
        <v>47622</v>
      </c>
      <c r="B1948" t="s">
        <v>25</v>
      </c>
      <c r="C1948" t="s">
        <v>12</v>
      </c>
      <c r="D1948" t="s">
        <v>23</v>
      </c>
      <c r="E1948" t="s">
        <v>20</v>
      </c>
      <c r="F1948" t="s">
        <v>15</v>
      </c>
      <c r="G1948" t="s">
        <v>16</v>
      </c>
      <c r="H1948" s="12">
        <v>85000</v>
      </c>
      <c r="I1948">
        <v>9</v>
      </c>
      <c r="J1948" t="s">
        <v>35</v>
      </c>
      <c r="K1948" s="12">
        <f t="shared" si="30"/>
        <v>68000</v>
      </c>
      <c r="L1948" s="12">
        <f>Sales_Data[[#This Row],[Unit Price]]*Sales_Data[[#This Row],[Quantity]]</f>
        <v>765000</v>
      </c>
      <c r="M1948" s="12">
        <f>Sales_Data[[#This Row],[Cost Price]]*Sales_Data[[#This Row],[Quantity]]</f>
        <v>612000</v>
      </c>
      <c r="N1948" s="12">
        <f>Sales_Data[[#This Row],[Revenue]]-Sales_Data[[#This Row],[COGS]]</f>
        <v>153000</v>
      </c>
    </row>
    <row r="1949" spans="1:14">
      <c r="A1949" s="1">
        <v>47623</v>
      </c>
      <c r="B1949" t="s">
        <v>29</v>
      </c>
      <c r="C1949" t="s">
        <v>32</v>
      </c>
      <c r="D1949" t="s">
        <v>23</v>
      </c>
      <c r="E1949" t="s">
        <v>14</v>
      </c>
      <c r="F1949" t="s">
        <v>40</v>
      </c>
      <c r="G1949" t="s">
        <v>31</v>
      </c>
      <c r="H1949" s="12">
        <v>250000</v>
      </c>
      <c r="I1949">
        <v>10</v>
      </c>
      <c r="J1949" t="s">
        <v>17</v>
      </c>
      <c r="K1949" s="12">
        <f t="shared" si="30"/>
        <v>200000</v>
      </c>
      <c r="L1949" s="12">
        <f>Sales_Data[[#This Row],[Unit Price]]*Sales_Data[[#This Row],[Quantity]]</f>
        <v>2500000</v>
      </c>
      <c r="M1949" s="12">
        <f>Sales_Data[[#This Row],[Cost Price]]*Sales_Data[[#This Row],[Quantity]]</f>
        <v>2000000</v>
      </c>
      <c r="N1949" s="12">
        <f>Sales_Data[[#This Row],[Revenue]]-Sales_Data[[#This Row],[COGS]]</f>
        <v>500000</v>
      </c>
    </row>
    <row r="1950" spans="1:14">
      <c r="A1950" s="1">
        <v>47624</v>
      </c>
      <c r="B1950" t="s">
        <v>18</v>
      </c>
      <c r="C1950" t="s">
        <v>12</v>
      </c>
      <c r="D1950" t="s">
        <v>23</v>
      </c>
      <c r="E1950" t="s">
        <v>14</v>
      </c>
      <c r="F1950" t="s">
        <v>15</v>
      </c>
      <c r="G1950" t="s">
        <v>16</v>
      </c>
      <c r="H1950" s="12">
        <v>85000</v>
      </c>
      <c r="I1950">
        <v>7</v>
      </c>
      <c r="J1950" t="s">
        <v>24</v>
      </c>
      <c r="K1950" s="12">
        <f t="shared" si="30"/>
        <v>68000</v>
      </c>
      <c r="L1950" s="12">
        <f>Sales_Data[[#This Row],[Unit Price]]*Sales_Data[[#This Row],[Quantity]]</f>
        <v>595000</v>
      </c>
      <c r="M1950" s="12">
        <f>Sales_Data[[#This Row],[Cost Price]]*Sales_Data[[#This Row],[Quantity]]</f>
        <v>476000</v>
      </c>
      <c r="N1950" s="12">
        <f>Sales_Data[[#This Row],[Revenue]]-Sales_Data[[#This Row],[COGS]]</f>
        <v>119000</v>
      </c>
    </row>
    <row r="1951" spans="1:14">
      <c r="A1951" s="1">
        <v>47625</v>
      </c>
      <c r="B1951" t="s">
        <v>18</v>
      </c>
      <c r="C1951" t="s">
        <v>19</v>
      </c>
      <c r="D1951" t="s">
        <v>13</v>
      </c>
      <c r="E1951" t="s">
        <v>14</v>
      </c>
      <c r="F1951" t="s">
        <v>30</v>
      </c>
      <c r="G1951" t="s">
        <v>31</v>
      </c>
      <c r="H1951" s="12">
        <v>300000</v>
      </c>
      <c r="I1951">
        <v>6</v>
      </c>
      <c r="J1951" t="s">
        <v>37</v>
      </c>
      <c r="K1951" s="12">
        <f t="shared" si="30"/>
        <v>240000</v>
      </c>
      <c r="L1951" s="12">
        <f>Sales_Data[[#This Row],[Unit Price]]*Sales_Data[[#This Row],[Quantity]]</f>
        <v>1800000</v>
      </c>
      <c r="M1951" s="12">
        <f>Sales_Data[[#This Row],[Cost Price]]*Sales_Data[[#This Row],[Quantity]]</f>
        <v>1440000</v>
      </c>
      <c r="N1951" s="12">
        <f>Sales_Data[[#This Row],[Revenue]]-Sales_Data[[#This Row],[COGS]]</f>
        <v>360000</v>
      </c>
    </row>
    <row r="1952" spans="1:14">
      <c r="A1952" s="1">
        <v>47626</v>
      </c>
      <c r="B1952" t="s">
        <v>11</v>
      </c>
      <c r="C1952" t="s">
        <v>12</v>
      </c>
      <c r="D1952" t="s">
        <v>13</v>
      </c>
      <c r="E1952" t="s">
        <v>20</v>
      </c>
      <c r="F1952" t="s">
        <v>30</v>
      </c>
      <c r="G1952" t="s">
        <v>31</v>
      </c>
      <c r="H1952" s="12">
        <v>300000</v>
      </c>
      <c r="I1952">
        <v>10</v>
      </c>
      <c r="J1952" t="s">
        <v>24</v>
      </c>
      <c r="K1952" s="12">
        <f t="shared" si="30"/>
        <v>240000</v>
      </c>
      <c r="L1952" s="12">
        <f>Sales_Data[[#This Row],[Unit Price]]*Sales_Data[[#This Row],[Quantity]]</f>
        <v>3000000</v>
      </c>
      <c r="M1952" s="12">
        <f>Sales_Data[[#This Row],[Cost Price]]*Sales_Data[[#This Row],[Quantity]]</f>
        <v>2400000</v>
      </c>
      <c r="N1952" s="12">
        <f>Sales_Data[[#This Row],[Revenue]]-Sales_Data[[#This Row],[COGS]]</f>
        <v>600000</v>
      </c>
    </row>
    <row r="1953" spans="1:14">
      <c r="A1953" s="1">
        <v>47627</v>
      </c>
      <c r="B1953" t="s">
        <v>18</v>
      </c>
      <c r="C1953" t="s">
        <v>19</v>
      </c>
      <c r="D1953" t="s">
        <v>23</v>
      </c>
      <c r="E1953" t="s">
        <v>14</v>
      </c>
      <c r="F1953" t="s">
        <v>33</v>
      </c>
      <c r="G1953" t="s">
        <v>22</v>
      </c>
      <c r="H1953" s="12">
        <v>180000</v>
      </c>
      <c r="I1953">
        <v>1</v>
      </c>
      <c r="J1953" t="s">
        <v>28</v>
      </c>
      <c r="K1953" s="12">
        <f t="shared" si="30"/>
        <v>144000</v>
      </c>
      <c r="L1953" s="12">
        <f>Sales_Data[[#This Row],[Unit Price]]*Sales_Data[[#This Row],[Quantity]]</f>
        <v>180000</v>
      </c>
      <c r="M1953" s="12">
        <f>Sales_Data[[#This Row],[Cost Price]]*Sales_Data[[#This Row],[Quantity]]</f>
        <v>144000</v>
      </c>
      <c r="N1953" s="12">
        <f>Sales_Data[[#This Row],[Revenue]]-Sales_Data[[#This Row],[COGS]]</f>
        <v>36000</v>
      </c>
    </row>
    <row r="1954" spans="1:14">
      <c r="A1954" s="1">
        <v>47628</v>
      </c>
      <c r="B1954" t="s">
        <v>25</v>
      </c>
      <c r="C1954" t="s">
        <v>32</v>
      </c>
      <c r="D1954" t="s">
        <v>13</v>
      </c>
      <c r="E1954" t="s">
        <v>14</v>
      </c>
      <c r="F1954" t="s">
        <v>36</v>
      </c>
      <c r="G1954" t="s">
        <v>31</v>
      </c>
      <c r="H1954" s="12">
        <v>150000</v>
      </c>
      <c r="I1954">
        <v>7</v>
      </c>
      <c r="J1954" t="s">
        <v>37</v>
      </c>
      <c r="K1954" s="12">
        <f t="shared" si="30"/>
        <v>120000</v>
      </c>
      <c r="L1954" s="12">
        <f>Sales_Data[[#This Row],[Unit Price]]*Sales_Data[[#This Row],[Quantity]]</f>
        <v>1050000</v>
      </c>
      <c r="M1954" s="12">
        <f>Sales_Data[[#This Row],[Cost Price]]*Sales_Data[[#This Row],[Quantity]]</f>
        <v>840000</v>
      </c>
      <c r="N1954" s="12">
        <f>Sales_Data[[#This Row],[Revenue]]-Sales_Data[[#This Row],[COGS]]</f>
        <v>210000</v>
      </c>
    </row>
    <row r="1955" spans="1:14">
      <c r="A1955" s="1">
        <v>47629</v>
      </c>
      <c r="B1955" t="s">
        <v>29</v>
      </c>
      <c r="C1955" t="s">
        <v>12</v>
      </c>
      <c r="D1955" t="s">
        <v>13</v>
      </c>
      <c r="E1955" t="s">
        <v>14</v>
      </c>
      <c r="F1955" t="s">
        <v>41</v>
      </c>
      <c r="G1955" t="s">
        <v>22</v>
      </c>
      <c r="H1955" s="12">
        <v>220000</v>
      </c>
      <c r="I1955">
        <v>5</v>
      </c>
      <c r="J1955" t="s">
        <v>24</v>
      </c>
      <c r="K1955" s="12">
        <f t="shared" si="30"/>
        <v>176000</v>
      </c>
      <c r="L1955" s="12">
        <f>Sales_Data[[#This Row],[Unit Price]]*Sales_Data[[#This Row],[Quantity]]</f>
        <v>1100000</v>
      </c>
      <c r="M1955" s="12">
        <f>Sales_Data[[#This Row],[Cost Price]]*Sales_Data[[#This Row],[Quantity]]</f>
        <v>880000</v>
      </c>
      <c r="N1955" s="12">
        <f>Sales_Data[[#This Row],[Revenue]]-Sales_Data[[#This Row],[COGS]]</f>
        <v>220000</v>
      </c>
    </row>
    <row r="1956" spans="1:14">
      <c r="A1956" s="1">
        <v>47630</v>
      </c>
      <c r="B1956" t="s">
        <v>18</v>
      </c>
      <c r="C1956" t="s">
        <v>12</v>
      </c>
      <c r="D1956" t="s">
        <v>13</v>
      </c>
      <c r="E1956" t="s">
        <v>14</v>
      </c>
      <c r="F1956" t="s">
        <v>38</v>
      </c>
      <c r="G1956" t="s">
        <v>31</v>
      </c>
      <c r="H1956" s="12">
        <v>420000</v>
      </c>
      <c r="I1956">
        <v>2</v>
      </c>
      <c r="J1956" t="s">
        <v>37</v>
      </c>
      <c r="K1956" s="12">
        <f t="shared" si="30"/>
        <v>336000</v>
      </c>
      <c r="L1956" s="12">
        <f>Sales_Data[[#This Row],[Unit Price]]*Sales_Data[[#This Row],[Quantity]]</f>
        <v>840000</v>
      </c>
      <c r="M1956" s="12">
        <f>Sales_Data[[#This Row],[Cost Price]]*Sales_Data[[#This Row],[Quantity]]</f>
        <v>672000</v>
      </c>
      <c r="N1956" s="12">
        <f>Sales_Data[[#This Row],[Revenue]]-Sales_Data[[#This Row],[COGS]]</f>
        <v>168000</v>
      </c>
    </row>
    <row r="1957" spans="1:14">
      <c r="A1957" s="1">
        <v>47631</v>
      </c>
      <c r="B1957" t="s">
        <v>11</v>
      </c>
      <c r="C1957" t="s">
        <v>26</v>
      </c>
      <c r="D1957" t="s">
        <v>13</v>
      </c>
      <c r="E1957" t="s">
        <v>14</v>
      </c>
      <c r="F1957" t="s">
        <v>33</v>
      </c>
      <c r="G1957" t="s">
        <v>22</v>
      </c>
      <c r="H1957" s="12">
        <v>180000</v>
      </c>
      <c r="I1957">
        <v>9</v>
      </c>
      <c r="J1957" t="s">
        <v>35</v>
      </c>
      <c r="K1957" s="12">
        <f t="shared" si="30"/>
        <v>144000</v>
      </c>
      <c r="L1957" s="12">
        <f>Sales_Data[[#This Row],[Unit Price]]*Sales_Data[[#This Row],[Quantity]]</f>
        <v>1620000</v>
      </c>
      <c r="M1957" s="12">
        <f>Sales_Data[[#This Row],[Cost Price]]*Sales_Data[[#This Row],[Quantity]]</f>
        <v>1296000</v>
      </c>
      <c r="N1957" s="12">
        <f>Sales_Data[[#This Row],[Revenue]]-Sales_Data[[#This Row],[COGS]]</f>
        <v>324000</v>
      </c>
    </row>
    <row r="1958" spans="1:14">
      <c r="A1958" s="1">
        <v>47632</v>
      </c>
      <c r="B1958" t="s">
        <v>29</v>
      </c>
      <c r="C1958" t="s">
        <v>32</v>
      </c>
      <c r="D1958" t="s">
        <v>13</v>
      </c>
      <c r="E1958" t="s">
        <v>14</v>
      </c>
      <c r="F1958" t="s">
        <v>41</v>
      </c>
      <c r="G1958" t="s">
        <v>22</v>
      </c>
      <c r="H1958" s="12">
        <v>220000</v>
      </c>
      <c r="I1958">
        <v>5</v>
      </c>
      <c r="J1958" t="s">
        <v>35</v>
      </c>
      <c r="K1958" s="12">
        <f t="shared" si="30"/>
        <v>176000</v>
      </c>
      <c r="L1958" s="12">
        <f>Sales_Data[[#This Row],[Unit Price]]*Sales_Data[[#This Row],[Quantity]]</f>
        <v>1100000</v>
      </c>
      <c r="M1958" s="12">
        <f>Sales_Data[[#This Row],[Cost Price]]*Sales_Data[[#This Row],[Quantity]]</f>
        <v>880000</v>
      </c>
      <c r="N1958" s="12">
        <f>Sales_Data[[#This Row],[Revenue]]-Sales_Data[[#This Row],[COGS]]</f>
        <v>220000</v>
      </c>
    </row>
    <row r="1959" spans="1:14">
      <c r="A1959" s="1">
        <v>47633</v>
      </c>
      <c r="B1959" t="s">
        <v>29</v>
      </c>
      <c r="C1959" t="s">
        <v>26</v>
      </c>
      <c r="D1959" t="s">
        <v>13</v>
      </c>
      <c r="E1959" t="s">
        <v>14</v>
      </c>
      <c r="F1959" t="s">
        <v>33</v>
      </c>
      <c r="G1959" t="s">
        <v>22</v>
      </c>
      <c r="H1959" s="12">
        <v>180000</v>
      </c>
      <c r="I1959">
        <v>1</v>
      </c>
      <c r="J1959" t="s">
        <v>39</v>
      </c>
      <c r="K1959" s="12">
        <f t="shared" si="30"/>
        <v>144000</v>
      </c>
      <c r="L1959" s="12">
        <f>Sales_Data[[#This Row],[Unit Price]]*Sales_Data[[#This Row],[Quantity]]</f>
        <v>180000</v>
      </c>
      <c r="M1959" s="12">
        <f>Sales_Data[[#This Row],[Cost Price]]*Sales_Data[[#This Row],[Quantity]]</f>
        <v>144000</v>
      </c>
      <c r="N1959" s="12">
        <f>Sales_Data[[#This Row],[Revenue]]-Sales_Data[[#This Row],[COGS]]</f>
        <v>36000</v>
      </c>
    </row>
    <row r="1960" spans="1:14">
      <c r="A1960" s="1">
        <v>47634</v>
      </c>
      <c r="B1960" t="s">
        <v>18</v>
      </c>
      <c r="C1960" t="s">
        <v>26</v>
      </c>
      <c r="D1960" t="s">
        <v>23</v>
      </c>
      <c r="E1960" t="s">
        <v>20</v>
      </c>
      <c r="F1960" t="s">
        <v>27</v>
      </c>
      <c r="G1960" t="s">
        <v>22</v>
      </c>
      <c r="H1960" s="12">
        <v>60000</v>
      </c>
      <c r="I1960">
        <v>2</v>
      </c>
      <c r="J1960" t="s">
        <v>39</v>
      </c>
      <c r="K1960" s="12">
        <f t="shared" si="30"/>
        <v>48000</v>
      </c>
      <c r="L1960" s="12">
        <f>Sales_Data[[#This Row],[Unit Price]]*Sales_Data[[#This Row],[Quantity]]</f>
        <v>120000</v>
      </c>
      <c r="M1960" s="12">
        <f>Sales_Data[[#This Row],[Cost Price]]*Sales_Data[[#This Row],[Quantity]]</f>
        <v>96000</v>
      </c>
      <c r="N1960" s="12">
        <f>Sales_Data[[#This Row],[Revenue]]-Sales_Data[[#This Row],[COGS]]</f>
        <v>24000</v>
      </c>
    </row>
    <row r="1961" spans="1:14">
      <c r="A1961" s="1">
        <v>47635</v>
      </c>
      <c r="B1961" t="s">
        <v>29</v>
      </c>
      <c r="C1961" t="s">
        <v>26</v>
      </c>
      <c r="D1961" t="s">
        <v>13</v>
      </c>
      <c r="E1961" t="s">
        <v>14</v>
      </c>
      <c r="F1961" t="s">
        <v>30</v>
      </c>
      <c r="G1961" t="s">
        <v>31</v>
      </c>
      <c r="H1961" s="12">
        <v>300000</v>
      </c>
      <c r="I1961">
        <v>5</v>
      </c>
      <c r="J1961" t="s">
        <v>24</v>
      </c>
      <c r="K1961" s="12">
        <f t="shared" si="30"/>
        <v>240000</v>
      </c>
      <c r="L1961" s="12">
        <f>Sales_Data[[#This Row],[Unit Price]]*Sales_Data[[#This Row],[Quantity]]</f>
        <v>1500000</v>
      </c>
      <c r="M1961" s="12">
        <f>Sales_Data[[#This Row],[Cost Price]]*Sales_Data[[#This Row],[Quantity]]</f>
        <v>1200000</v>
      </c>
      <c r="N1961" s="12">
        <f>Sales_Data[[#This Row],[Revenue]]-Sales_Data[[#This Row],[COGS]]</f>
        <v>300000</v>
      </c>
    </row>
    <row r="1962" spans="1:14">
      <c r="A1962" s="1">
        <v>47636</v>
      </c>
      <c r="B1962" t="s">
        <v>29</v>
      </c>
      <c r="C1962" t="s">
        <v>26</v>
      </c>
      <c r="D1962" t="s">
        <v>13</v>
      </c>
      <c r="E1962" t="s">
        <v>20</v>
      </c>
      <c r="F1962" t="s">
        <v>30</v>
      </c>
      <c r="G1962" t="s">
        <v>31</v>
      </c>
      <c r="H1962" s="12">
        <v>300000</v>
      </c>
      <c r="I1962">
        <v>9</v>
      </c>
      <c r="J1962" t="s">
        <v>37</v>
      </c>
      <c r="K1962" s="12">
        <f t="shared" si="30"/>
        <v>240000</v>
      </c>
      <c r="L1962" s="12">
        <f>Sales_Data[[#This Row],[Unit Price]]*Sales_Data[[#This Row],[Quantity]]</f>
        <v>2700000</v>
      </c>
      <c r="M1962" s="12">
        <f>Sales_Data[[#This Row],[Cost Price]]*Sales_Data[[#This Row],[Quantity]]</f>
        <v>2160000</v>
      </c>
      <c r="N1962" s="12">
        <f>Sales_Data[[#This Row],[Revenue]]-Sales_Data[[#This Row],[COGS]]</f>
        <v>540000</v>
      </c>
    </row>
    <row r="1963" spans="1:14">
      <c r="A1963" s="1">
        <v>47637</v>
      </c>
      <c r="B1963" t="s">
        <v>25</v>
      </c>
      <c r="C1963" t="s">
        <v>32</v>
      </c>
      <c r="D1963" t="s">
        <v>13</v>
      </c>
      <c r="E1963" t="s">
        <v>14</v>
      </c>
      <c r="F1963" t="s">
        <v>41</v>
      </c>
      <c r="G1963" t="s">
        <v>22</v>
      </c>
      <c r="H1963" s="12">
        <v>220000</v>
      </c>
      <c r="I1963">
        <v>1</v>
      </c>
      <c r="J1963" t="s">
        <v>37</v>
      </c>
      <c r="K1963" s="12">
        <f t="shared" si="30"/>
        <v>176000</v>
      </c>
      <c r="L1963" s="12">
        <f>Sales_Data[[#This Row],[Unit Price]]*Sales_Data[[#This Row],[Quantity]]</f>
        <v>220000</v>
      </c>
      <c r="M1963" s="12">
        <f>Sales_Data[[#This Row],[Cost Price]]*Sales_Data[[#This Row],[Quantity]]</f>
        <v>176000</v>
      </c>
      <c r="N1963" s="12">
        <f>Sales_Data[[#This Row],[Revenue]]-Sales_Data[[#This Row],[COGS]]</f>
        <v>44000</v>
      </c>
    </row>
    <row r="1964" spans="1:14">
      <c r="A1964" s="1">
        <v>47638</v>
      </c>
      <c r="B1964" t="s">
        <v>11</v>
      </c>
      <c r="C1964" t="s">
        <v>32</v>
      </c>
      <c r="D1964" t="s">
        <v>23</v>
      </c>
      <c r="E1964" t="s">
        <v>20</v>
      </c>
      <c r="F1964" t="s">
        <v>21</v>
      </c>
      <c r="G1964" t="s">
        <v>22</v>
      </c>
      <c r="H1964" s="12">
        <v>30000</v>
      </c>
      <c r="I1964">
        <v>5</v>
      </c>
      <c r="J1964" t="s">
        <v>37</v>
      </c>
      <c r="K1964" s="12">
        <f t="shared" si="30"/>
        <v>24000</v>
      </c>
      <c r="L1964" s="12">
        <f>Sales_Data[[#This Row],[Unit Price]]*Sales_Data[[#This Row],[Quantity]]</f>
        <v>150000</v>
      </c>
      <c r="M1964" s="12">
        <f>Sales_Data[[#This Row],[Cost Price]]*Sales_Data[[#This Row],[Quantity]]</f>
        <v>120000</v>
      </c>
      <c r="N1964" s="12">
        <f>Sales_Data[[#This Row],[Revenue]]-Sales_Data[[#This Row],[COGS]]</f>
        <v>30000</v>
      </c>
    </row>
    <row r="1965" spans="1:14">
      <c r="A1965" s="1">
        <v>47639</v>
      </c>
      <c r="B1965" t="s">
        <v>25</v>
      </c>
      <c r="C1965" t="s">
        <v>12</v>
      </c>
      <c r="D1965" t="s">
        <v>23</v>
      </c>
      <c r="E1965" t="s">
        <v>14</v>
      </c>
      <c r="F1965" t="s">
        <v>33</v>
      </c>
      <c r="G1965" t="s">
        <v>22</v>
      </c>
      <c r="H1965" s="12">
        <v>180000</v>
      </c>
      <c r="I1965">
        <v>1</v>
      </c>
      <c r="J1965" t="s">
        <v>17</v>
      </c>
      <c r="K1965" s="12">
        <f t="shared" si="30"/>
        <v>144000</v>
      </c>
      <c r="L1965" s="12">
        <f>Sales_Data[[#This Row],[Unit Price]]*Sales_Data[[#This Row],[Quantity]]</f>
        <v>180000</v>
      </c>
      <c r="M1965" s="12">
        <f>Sales_Data[[#This Row],[Cost Price]]*Sales_Data[[#This Row],[Quantity]]</f>
        <v>144000</v>
      </c>
      <c r="N1965" s="12">
        <f>Sales_Data[[#This Row],[Revenue]]-Sales_Data[[#This Row],[COGS]]</f>
        <v>36000</v>
      </c>
    </row>
    <row r="1966" spans="1:14">
      <c r="A1966" s="1">
        <v>47640</v>
      </c>
      <c r="B1966" t="s">
        <v>29</v>
      </c>
      <c r="C1966" t="s">
        <v>26</v>
      </c>
      <c r="D1966" t="s">
        <v>13</v>
      </c>
      <c r="E1966" t="s">
        <v>14</v>
      </c>
      <c r="F1966" t="s">
        <v>30</v>
      </c>
      <c r="G1966" t="s">
        <v>31</v>
      </c>
      <c r="H1966" s="12">
        <v>300000</v>
      </c>
      <c r="I1966">
        <v>6</v>
      </c>
      <c r="J1966" t="s">
        <v>37</v>
      </c>
      <c r="K1966" s="12">
        <f t="shared" si="30"/>
        <v>240000</v>
      </c>
      <c r="L1966" s="12">
        <f>Sales_Data[[#This Row],[Unit Price]]*Sales_Data[[#This Row],[Quantity]]</f>
        <v>1800000</v>
      </c>
      <c r="M1966" s="12">
        <f>Sales_Data[[#This Row],[Cost Price]]*Sales_Data[[#This Row],[Quantity]]</f>
        <v>1440000</v>
      </c>
      <c r="N1966" s="12">
        <f>Sales_Data[[#This Row],[Revenue]]-Sales_Data[[#This Row],[COGS]]</f>
        <v>360000</v>
      </c>
    </row>
    <row r="1967" spans="1:14">
      <c r="A1967" s="1">
        <v>47641</v>
      </c>
      <c r="B1967" t="s">
        <v>11</v>
      </c>
      <c r="C1967" t="s">
        <v>26</v>
      </c>
      <c r="D1967" t="s">
        <v>13</v>
      </c>
      <c r="E1967" t="s">
        <v>20</v>
      </c>
      <c r="F1967" t="s">
        <v>41</v>
      </c>
      <c r="G1967" t="s">
        <v>22</v>
      </c>
      <c r="H1967" s="12">
        <v>220000</v>
      </c>
      <c r="I1967">
        <v>3</v>
      </c>
      <c r="J1967" t="s">
        <v>39</v>
      </c>
      <c r="K1967" s="12">
        <f t="shared" si="30"/>
        <v>176000</v>
      </c>
      <c r="L1967" s="12">
        <f>Sales_Data[[#This Row],[Unit Price]]*Sales_Data[[#This Row],[Quantity]]</f>
        <v>660000</v>
      </c>
      <c r="M1967" s="12">
        <f>Sales_Data[[#This Row],[Cost Price]]*Sales_Data[[#This Row],[Quantity]]</f>
        <v>528000</v>
      </c>
      <c r="N1967" s="12">
        <f>Sales_Data[[#This Row],[Revenue]]-Sales_Data[[#This Row],[COGS]]</f>
        <v>132000</v>
      </c>
    </row>
    <row r="1968" spans="1:14">
      <c r="A1968" s="1">
        <v>47642</v>
      </c>
      <c r="B1968" t="s">
        <v>29</v>
      </c>
      <c r="C1968" t="s">
        <v>12</v>
      </c>
      <c r="D1968" t="s">
        <v>13</v>
      </c>
      <c r="E1968" t="s">
        <v>20</v>
      </c>
      <c r="F1968" t="s">
        <v>34</v>
      </c>
      <c r="G1968" t="s">
        <v>16</v>
      </c>
      <c r="H1968" s="12">
        <v>320000</v>
      </c>
      <c r="I1968">
        <v>5</v>
      </c>
      <c r="J1968" t="s">
        <v>35</v>
      </c>
      <c r="K1968" s="12">
        <f t="shared" si="30"/>
        <v>256000</v>
      </c>
      <c r="L1968" s="12">
        <f>Sales_Data[[#This Row],[Unit Price]]*Sales_Data[[#This Row],[Quantity]]</f>
        <v>1600000</v>
      </c>
      <c r="M1968" s="12">
        <f>Sales_Data[[#This Row],[Cost Price]]*Sales_Data[[#This Row],[Quantity]]</f>
        <v>1280000</v>
      </c>
      <c r="N1968" s="12">
        <f>Sales_Data[[#This Row],[Revenue]]-Sales_Data[[#This Row],[COGS]]</f>
        <v>320000</v>
      </c>
    </row>
    <row r="1969" spans="1:14">
      <c r="A1969" s="1">
        <v>47643</v>
      </c>
      <c r="B1969" t="s">
        <v>25</v>
      </c>
      <c r="C1969" t="s">
        <v>26</v>
      </c>
      <c r="D1969" t="s">
        <v>13</v>
      </c>
      <c r="E1969" t="s">
        <v>14</v>
      </c>
      <c r="F1969" t="s">
        <v>36</v>
      </c>
      <c r="G1969" t="s">
        <v>31</v>
      </c>
      <c r="H1969" s="12">
        <v>150000</v>
      </c>
      <c r="I1969">
        <v>2</v>
      </c>
      <c r="J1969" t="s">
        <v>35</v>
      </c>
      <c r="K1969" s="12">
        <f t="shared" si="30"/>
        <v>120000</v>
      </c>
      <c r="L1969" s="12">
        <f>Sales_Data[[#This Row],[Unit Price]]*Sales_Data[[#This Row],[Quantity]]</f>
        <v>300000</v>
      </c>
      <c r="M1969" s="12">
        <f>Sales_Data[[#This Row],[Cost Price]]*Sales_Data[[#This Row],[Quantity]]</f>
        <v>240000</v>
      </c>
      <c r="N1969" s="12">
        <f>Sales_Data[[#This Row],[Revenue]]-Sales_Data[[#This Row],[COGS]]</f>
        <v>60000</v>
      </c>
    </row>
    <row r="1970" spans="1:14">
      <c r="A1970" s="1">
        <v>47644</v>
      </c>
      <c r="B1970" t="s">
        <v>11</v>
      </c>
      <c r="C1970" t="s">
        <v>12</v>
      </c>
      <c r="D1970" t="s">
        <v>13</v>
      </c>
      <c r="E1970" t="s">
        <v>14</v>
      </c>
      <c r="F1970" t="s">
        <v>33</v>
      </c>
      <c r="G1970" t="s">
        <v>22</v>
      </c>
      <c r="H1970" s="12">
        <v>180000</v>
      </c>
      <c r="I1970">
        <v>1</v>
      </c>
      <c r="J1970" t="s">
        <v>24</v>
      </c>
      <c r="K1970" s="12">
        <f t="shared" si="30"/>
        <v>144000</v>
      </c>
      <c r="L1970" s="12">
        <f>Sales_Data[[#This Row],[Unit Price]]*Sales_Data[[#This Row],[Quantity]]</f>
        <v>180000</v>
      </c>
      <c r="M1970" s="12">
        <f>Sales_Data[[#This Row],[Cost Price]]*Sales_Data[[#This Row],[Quantity]]</f>
        <v>144000</v>
      </c>
      <c r="N1970" s="12">
        <f>Sales_Data[[#This Row],[Revenue]]-Sales_Data[[#This Row],[COGS]]</f>
        <v>36000</v>
      </c>
    </row>
    <row r="1971" spans="1:14">
      <c r="A1971" s="1">
        <v>47645</v>
      </c>
      <c r="B1971" t="s">
        <v>11</v>
      </c>
      <c r="C1971" t="s">
        <v>19</v>
      </c>
      <c r="D1971" t="s">
        <v>23</v>
      </c>
      <c r="E1971" t="s">
        <v>20</v>
      </c>
      <c r="F1971" t="s">
        <v>21</v>
      </c>
      <c r="G1971" t="s">
        <v>22</v>
      </c>
      <c r="H1971" s="12">
        <v>30000</v>
      </c>
      <c r="I1971">
        <v>10</v>
      </c>
      <c r="J1971" t="s">
        <v>37</v>
      </c>
      <c r="K1971" s="12">
        <f t="shared" si="30"/>
        <v>24000</v>
      </c>
      <c r="L1971" s="12">
        <f>Sales_Data[[#This Row],[Unit Price]]*Sales_Data[[#This Row],[Quantity]]</f>
        <v>300000</v>
      </c>
      <c r="M1971" s="12">
        <f>Sales_Data[[#This Row],[Cost Price]]*Sales_Data[[#This Row],[Quantity]]</f>
        <v>240000</v>
      </c>
      <c r="N1971" s="12">
        <f>Sales_Data[[#This Row],[Revenue]]-Sales_Data[[#This Row],[COGS]]</f>
        <v>60000</v>
      </c>
    </row>
    <row r="1972" spans="1:14">
      <c r="A1972" s="1">
        <v>47646</v>
      </c>
      <c r="B1972" t="s">
        <v>29</v>
      </c>
      <c r="C1972" t="s">
        <v>19</v>
      </c>
      <c r="D1972" t="s">
        <v>13</v>
      </c>
      <c r="E1972" t="s">
        <v>20</v>
      </c>
      <c r="F1972" t="s">
        <v>36</v>
      </c>
      <c r="G1972" t="s">
        <v>31</v>
      </c>
      <c r="H1972" s="12">
        <v>150000</v>
      </c>
      <c r="I1972">
        <v>4</v>
      </c>
      <c r="J1972" t="s">
        <v>24</v>
      </c>
      <c r="K1972" s="12">
        <f t="shared" si="30"/>
        <v>120000</v>
      </c>
      <c r="L1972" s="12">
        <f>Sales_Data[[#This Row],[Unit Price]]*Sales_Data[[#This Row],[Quantity]]</f>
        <v>600000</v>
      </c>
      <c r="M1972" s="12">
        <f>Sales_Data[[#This Row],[Cost Price]]*Sales_Data[[#This Row],[Quantity]]</f>
        <v>480000</v>
      </c>
      <c r="N1972" s="12">
        <f>Sales_Data[[#This Row],[Revenue]]-Sales_Data[[#This Row],[COGS]]</f>
        <v>120000</v>
      </c>
    </row>
    <row r="1973" spans="1:14">
      <c r="A1973" s="1">
        <v>47647</v>
      </c>
      <c r="B1973" t="s">
        <v>29</v>
      </c>
      <c r="C1973" t="s">
        <v>26</v>
      </c>
      <c r="D1973" t="s">
        <v>13</v>
      </c>
      <c r="E1973" t="s">
        <v>14</v>
      </c>
      <c r="F1973" t="s">
        <v>21</v>
      </c>
      <c r="G1973" t="s">
        <v>22</v>
      </c>
      <c r="H1973" s="12">
        <v>30000</v>
      </c>
      <c r="I1973">
        <v>1</v>
      </c>
      <c r="J1973" t="s">
        <v>24</v>
      </c>
      <c r="K1973" s="12">
        <f t="shared" si="30"/>
        <v>24000</v>
      </c>
      <c r="L1973" s="12">
        <f>Sales_Data[[#This Row],[Unit Price]]*Sales_Data[[#This Row],[Quantity]]</f>
        <v>30000</v>
      </c>
      <c r="M1973" s="12">
        <f>Sales_Data[[#This Row],[Cost Price]]*Sales_Data[[#This Row],[Quantity]]</f>
        <v>24000</v>
      </c>
      <c r="N1973" s="12">
        <f>Sales_Data[[#This Row],[Revenue]]-Sales_Data[[#This Row],[COGS]]</f>
        <v>6000</v>
      </c>
    </row>
    <row r="1974" spans="1:14">
      <c r="A1974" s="1">
        <v>47648</v>
      </c>
      <c r="B1974" t="s">
        <v>29</v>
      </c>
      <c r="C1974" t="s">
        <v>19</v>
      </c>
      <c r="D1974" t="s">
        <v>13</v>
      </c>
      <c r="E1974" t="s">
        <v>14</v>
      </c>
      <c r="F1974" t="s">
        <v>21</v>
      </c>
      <c r="G1974" t="s">
        <v>22</v>
      </c>
      <c r="H1974" s="12">
        <v>30000</v>
      </c>
      <c r="I1974">
        <v>6</v>
      </c>
      <c r="J1974" t="s">
        <v>35</v>
      </c>
      <c r="K1974" s="12">
        <f t="shared" si="30"/>
        <v>24000</v>
      </c>
      <c r="L1974" s="12">
        <f>Sales_Data[[#This Row],[Unit Price]]*Sales_Data[[#This Row],[Quantity]]</f>
        <v>180000</v>
      </c>
      <c r="M1974" s="12">
        <f>Sales_Data[[#This Row],[Cost Price]]*Sales_Data[[#This Row],[Quantity]]</f>
        <v>144000</v>
      </c>
      <c r="N1974" s="12">
        <f>Sales_Data[[#This Row],[Revenue]]-Sales_Data[[#This Row],[COGS]]</f>
        <v>36000</v>
      </c>
    </row>
    <row r="1975" spans="1:14">
      <c r="A1975" s="1">
        <v>47649</v>
      </c>
      <c r="B1975" t="s">
        <v>25</v>
      </c>
      <c r="C1975" t="s">
        <v>12</v>
      </c>
      <c r="D1975" t="s">
        <v>23</v>
      </c>
      <c r="E1975" t="s">
        <v>14</v>
      </c>
      <c r="F1975" t="s">
        <v>33</v>
      </c>
      <c r="G1975" t="s">
        <v>22</v>
      </c>
      <c r="H1975" s="12">
        <v>180000</v>
      </c>
      <c r="I1975">
        <v>7</v>
      </c>
      <c r="J1975" t="s">
        <v>17</v>
      </c>
      <c r="K1975" s="12">
        <f t="shared" si="30"/>
        <v>144000</v>
      </c>
      <c r="L1975" s="12">
        <f>Sales_Data[[#This Row],[Unit Price]]*Sales_Data[[#This Row],[Quantity]]</f>
        <v>1260000</v>
      </c>
      <c r="M1975" s="12">
        <f>Sales_Data[[#This Row],[Cost Price]]*Sales_Data[[#This Row],[Quantity]]</f>
        <v>1008000</v>
      </c>
      <c r="N1975" s="12">
        <f>Sales_Data[[#This Row],[Revenue]]-Sales_Data[[#This Row],[COGS]]</f>
        <v>252000</v>
      </c>
    </row>
    <row r="1976" spans="1:14">
      <c r="A1976" s="1">
        <v>47650</v>
      </c>
      <c r="B1976" t="s">
        <v>25</v>
      </c>
      <c r="C1976" t="s">
        <v>32</v>
      </c>
      <c r="D1976" t="s">
        <v>13</v>
      </c>
      <c r="E1976" t="s">
        <v>14</v>
      </c>
      <c r="F1976" t="s">
        <v>27</v>
      </c>
      <c r="G1976" t="s">
        <v>22</v>
      </c>
      <c r="H1976" s="12">
        <v>60000</v>
      </c>
      <c r="I1976">
        <v>8</v>
      </c>
      <c r="J1976" t="s">
        <v>39</v>
      </c>
      <c r="K1976" s="12">
        <f t="shared" si="30"/>
        <v>48000</v>
      </c>
      <c r="L1976" s="12">
        <f>Sales_Data[[#This Row],[Unit Price]]*Sales_Data[[#This Row],[Quantity]]</f>
        <v>480000</v>
      </c>
      <c r="M1976" s="12">
        <f>Sales_Data[[#This Row],[Cost Price]]*Sales_Data[[#This Row],[Quantity]]</f>
        <v>384000</v>
      </c>
      <c r="N1976" s="12">
        <f>Sales_Data[[#This Row],[Revenue]]-Sales_Data[[#This Row],[COGS]]</f>
        <v>96000</v>
      </c>
    </row>
    <row r="1977" spans="1:14">
      <c r="A1977" s="1">
        <v>47651</v>
      </c>
      <c r="B1977" t="s">
        <v>25</v>
      </c>
      <c r="C1977" t="s">
        <v>19</v>
      </c>
      <c r="D1977" t="s">
        <v>13</v>
      </c>
      <c r="E1977" t="s">
        <v>14</v>
      </c>
      <c r="F1977" t="s">
        <v>27</v>
      </c>
      <c r="G1977" t="s">
        <v>22</v>
      </c>
      <c r="H1977" s="12">
        <v>60000</v>
      </c>
      <c r="I1977">
        <v>2</v>
      </c>
      <c r="J1977" t="s">
        <v>37</v>
      </c>
      <c r="K1977" s="12">
        <f t="shared" si="30"/>
        <v>48000</v>
      </c>
      <c r="L1977" s="12">
        <f>Sales_Data[[#This Row],[Unit Price]]*Sales_Data[[#This Row],[Quantity]]</f>
        <v>120000</v>
      </c>
      <c r="M1977" s="12">
        <f>Sales_Data[[#This Row],[Cost Price]]*Sales_Data[[#This Row],[Quantity]]</f>
        <v>96000</v>
      </c>
      <c r="N1977" s="12">
        <f>Sales_Data[[#This Row],[Revenue]]-Sales_Data[[#This Row],[COGS]]</f>
        <v>24000</v>
      </c>
    </row>
    <row r="1978" spans="1:14">
      <c r="A1978" s="1">
        <v>47652</v>
      </c>
      <c r="B1978" t="s">
        <v>25</v>
      </c>
      <c r="C1978" t="s">
        <v>26</v>
      </c>
      <c r="D1978" t="s">
        <v>13</v>
      </c>
      <c r="E1978" t="s">
        <v>20</v>
      </c>
      <c r="F1978" t="s">
        <v>15</v>
      </c>
      <c r="G1978" t="s">
        <v>16</v>
      </c>
      <c r="H1978" s="12">
        <v>85000</v>
      </c>
      <c r="I1978">
        <v>1</v>
      </c>
      <c r="J1978" t="s">
        <v>35</v>
      </c>
      <c r="K1978" s="12">
        <f t="shared" si="30"/>
        <v>68000</v>
      </c>
      <c r="L1978" s="12">
        <f>Sales_Data[[#This Row],[Unit Price]]*Sales_Data[[#This Row],[Quantity]]</f>
        <v>85000</v>
      </c>
      <c r="M1978" s="12">
        <f>Sales_Data[[#This Row],[Cost Price]]*Sales_Data[[#This Row],[Quantity]]</f>
        <v>68000</v>
      </c>
      <c r="N1978" s="12">
        <f>Sales_Data[[#This Row],[Revenue]]-Sales_Data[[#This Row],[COGS]]</f>
        <v>17000</v>
      </c>
    </row>
    <row r="1979" spans="1:14">
      <c r="A1979" s="1">
        <v>47653</v>
      </c>
      <c r="B1979" t="s">
        <v>29</v>
      </c>
      <c r="C1979" t="s">
        <v>26</v>
      </c>
      <c r="D1979" t="s">
        <v>23</v>
      </c>
      <c r="E1979" t="s">
        <v>14</v>
      </c>
      <c r="F1979" t="s">
        <v>21</v>
      </c>
      <c r="G1979" t="s">
        <v>22</v>
      </c>
      <c r="H1979" s="12">
        <v>30000</v>
      </c>
      <c r="I1979">
        <v>8</v>
      </c>
      <c r="J1979" t="s">
        <v>37</v>
      </c>
      <c r="K1979" s="12">
        <f t="shared" si="30"/>
        <v>24000</v>
      </c>
      <c r="L1979" s="12">
        <f>Sales_Data[[#This Row],[Unit Price]]*Sales_Data[[#This Row],[Quantity]]</f>
        <v>240000</v>
      </c>
      <c r="M1979" s="12">
        <f>Sales_Data[[#This Row],[Cost Price]]*Sales_Data[[#This Row],[Quantity]]</f>
        <v>192000</v>
      </c>
      <c r="N1979" s="12">
        <f>Sales_Data[[#This Row],[Revenue]]-Sales_Data[[#This Row],[COGS]]</f>
        <v>48000</v>
      </c>
    </row>
    <row r="1980" spans="1:14">
      <c r="A1980" s="1">
        <v>47654</v>
      </c>
      <c r="B1980" t="s">
        <v>29</v>
      </c>
      <c r="C1980" t="s">
        <v>32</v>
      </c>
      <c r="D1980" t="s">
        <v>13</v>
      </c>
      <c r="E1980" t="s">
        <v>20</v>
      </c>
      <c r="F1980" t="s">
        <v>27</v>
      </c>
      <c r="G1980" t="s">
        <v>22</v>
      </c>
      <c r="H1980" s="12">
        <v>60000</v>
      </c>
      <c r="I1980">
        <v>10</v>
      </c>
      <c r="J1980" t="s">
        <v>37</v>
      </c>
      <c r="K1980" s="12">
        <f t="shared" si="30"/>
        <v>48000</v>
      </c>
      <c r="L1980" s="12">
        <f>Sales_Data[[#This Row],[Unit Price]]*Sales_Data[[#This Row],[Quantity]]</f>
        <v>600000</v>
      </c>
      <c r="M1980" s="12">
        <f>Sales_Data[[#This Row],[Cost Price]]*Sales_Data[[#This Row],[Quantity]]</f>
        <v>480000</v>
      </c>
      <c r="N1980" s="12">
        <f>Sales_Data[[#This Row],[Revenue]]-Sales_Data[[#This Row],[COGS]]</f>
        <v>120000</v>
      </c>
    </row>
    <row r="1981" spans="1:14">
      <c r="A1981" s="1">
        <v>47655</v>
      </c>
      <c r="B1981" t="s">
        <v>11</v>
      </c>
      <c r="C1981" t="s">
        <v>12</v>
      </c>
      <c r="D1981" t="s">
        <v>23</v>
      </c>
      <c r="E1981" t="s">
        <v>20</v>
      </c>
      <c r="F1981" t="s">
        <v>36</v>
      </c>
      <c r="G1981" t="s">
        <v>31</v>
      </c>
      <c r="H1981" s="12">
        <v>150000</v>
      </c>
      <c r="I1981">
        <v>1</v>
      </c>
      <c r="J1981" t="s">
        <v>17</v>
      </c>
      <c r="K1981" s="12">
        <f t="shared" si="30"/>
        <v>120000</v>
      </c>
      <c r="L1981" s="12">
        <f>Sales_Data[[#This Row],[Unit Price]]*Sales_Data[[#This Row],[Quantity]]</f>
        <v>150000</v>
      </c>
      <c r="M1981" s="12">
        <f>Sales_Data[[#This Row],[Cost Price]]*Sales_Data[[#This Row],[Quantity]]</f>
        <v>120000</v>
      </c>
      <c r="N1981" s="12">
        <f>Sales_Data[[#This Row],[Revenue]]-Sales_Data[[#This Row],[COGS]]</f>
        <v>30000</v>
      </c>
    </row>
    <row r="1982" spans="1:14">
      <c r="A1982" s="1">
        <v>47656</v>
      </c>
      <c r="B1982" t="s">
        <v>25</v>
      </c>
      <c r="C1982" t="s">
        <v>12</v>
      </c>
      <c r="D1982" t="s">
        <v>23</v>
      </c>
      <c r="E1982" t="s">
        <v>20</v>
      </c>
      <c r="F1982" t="s">
        <v>27</v>
      </c>
      <c r="G1982" t="s">
        <v>22</v>
      </c>
      <c r="H1982" s="12">
        <v>60000</v>
      </c>
      <c r="I1982">
        <v>9</v>
      </c>
      <c r="J1982" t="s">
        <v>39</v>
      </c>
      <c r="K1982" s="12">
        <f t="shared" si="30"/>
        <v>48000</v>
      </c>
      <c r="L1982" s="12">
        <f>Sales_Data[[#This Row],[Unit Price]]*Sales_Data[[#This Row],[Quantity]]</f>
        <v>540000</v>
      </c>
      <c r="M1982" s="12">
        <f>Sales_Data[[#This Row],[Cost Price]]*Sales_Data[[#This Row],[Quantity]]</f>
        <v>432000</v>
      </c>
      <c r="N1982" s="12">
        <f>Sales_Data[[#This Row],[Revenue]]-Sales_Data[[#This Row],[COGS]]</f>
        <v>108000</v>
      </c>
    </row>
    <row r="1983" spans="1:14">
      <c r="A1983" s="1">
        <v>47657</v>
      </c>
      <c r="B1983" t="s">
        <v>29</v>
      </c>
      <c r="C1983" t="s">
        <v>32</v>
      </c>
      <c r="D1983" t="s">
        <v>13</v>
      </c>
      <c r="E1983" t="s">
        <v>14</v>
      </c>
      <c r="F1983" t="s">
        <v>27</v>
      </c>
      <c r="G1983" t="s">
        <v>22</v>
      </c>
      <c r="H1983" s="12">
        <v>60000</v>
      </c>
      <c r="I1983">
        <v>5</v>
      </c>
      <c r="J1983" t="s">
        <v>39</v>
      </c>
      <c r="K1983" s="12">
        <f t="shared" si="30"/>
        <v>48000</v>
      </c>
      <c r="L1983" s="12">
        <f>Sales_Data[[#This Row],[Unit Price]]*Sales_Data[[#This Row],[Quantity]]</f>
        <v>300000</v>
      </c>
      <c r="M1983" s="12">
        <f>Sales_Data[[#This Row],[Cost Price]]*Sales_Data[[#This Row],[Quantity]]</f>
        <v>240000</v>
      </c>
      <c r="N1983" s="12">
        <f>Sales_Data[[#This Row],[Revenue]]-Sales_Data[[#This Row],[COGS]]</f>
        <v>60000</v>
      </c>
    </row>
    <row r="1984" spans="1:14">
      <c r="A1984" s="1">
        <v>47658</v>
      </c>
      <c r="B1984" t="s">
        <v>18</v>
      </c>
      <c r="C1984" t="s">
        <v>12</v>
      </c>
      <c r="D1984" t="s">
        <v>13</v>
      </c>
      <c r="E1984" t="s">
        <v>20</v>
      </c>
      <c r="F1984" t="s">
        <v>41</v>
      </c>
      <c r="G1984" t="s">
        <v>22</v>
      </c>
      <c r="H1984" s="12">
        <v>220000</v>
      </c>
      <c r="I1984">
        <v>8</v>
      </c>
      <c r="J1984" t="s">
        <v>17</v>
      </c>
      <c r="K1984" s="12">
        <f t="shared" si="30"/>
        <v>176000</v>
      </c>
      <c r="L1984" s="12">
        <f>Sales_Data[[#This Row],[Unit Price]]*Sales_Data[[#This Row],[Quantity]]</f>
        <v>1760000</v>
      </c>
      <c r="M1984" s="12">
        <f>Sales_Data[[#This Row],[Cost Price]]*Sales_Data[[#This Row],[Quantity]]</f>
        <v>1408000</v>
      </c>
      <c r="N1984" s="12">
        <f>Sales_Data[[#This Row],[Revenue]]-Sales_Data[[#This Row],[COGS]]</f>
        <v>352000</v>
      </c>
    </row>
    <row r="1985" spans="1:14">
      <c r="A1985" s="1">
        <v>47659</v>
      </c>
      <c r="B1985" t="s">
        <v>11</v>
      </c>
      <c r="C1985" t="s">
        <v>12</v>
      </c>
      <c r="D1985" t="s">
        <v>13</v>
      </c>
      <c r="E1985" t="s">
        <v>20</v>
      </c>
      <c r="F1985" t="s">
        <v>15</v>
      </c>
      <c r="G1985" t="s">
        <v>16</v>
      </c>
      <c r="H1985" s="12">
        <v>85000</v>
      </c>
      <c r="I1985">
        <v>2</v>
      </c>
      <c r="J1985" t="s">
        <v>37</v>
      </c>
      <c r="K1985" s="12">
        <f t="shared" si="30"/>
        <v>68000</v>
      </c>
      <c r="L1985" s="12">
        <f>Sales_Data[[#This Row],[Unit Price]]*Sales_Data[[#This Row],[Quantity]]</f>
        <v>170000</v>
      </c>
      <c r="M1985" s="12">
        <f>Sales_Data[[#This Row],[Cost Price]]*Sales_Data[[#This Row],[Quantity]]</f>
        <v>136000</v>
      </c>
      <c r="N1985" s="12">
        <f>Sales_Data[[#This Row],[Revenue]]-Sales_Data[[#This Row],[COGS]]</f>
        <v>34000</v>
      </c>
    </row>
    <row r="1986" spans="1:14">
      <c r="A1986" s="1">
        <v>47660</v>
      </c>
      <c r="B1986" t="s">
        <v>25</v>
      </c>
      <c r="C1986" t="s">
        <v>32</v>
      </c>
      <c r="D1986" t="s">
        <v>13</v>
      </c>
      <c r="E1986" t="s">
        <v>20</v>
      </c>
      <c r="F1986" t="s">
        <v>34</v>
      </c>
      <c r="G1986" t="s">
        <v>16</v>
      </c>
      <c r="H1986" s="12">
        <v>320000</v>
      </c>
      <c r="I1986">
        <v>7</v>
      </c>
      <c r="J1986" t="s">
        <v>37</v>
      </c>
      <c r="K1986" s="12">
        <f t="shared" ref="K1986:K2049" si="31">H1986-H1986*0.2</f>
        <v>256000</v>
      </c>
      <c r="L1986" s="12">
        <f>Sales_Data[[#This Row],[Unit Price]]*Sales_Data[[#This Row],[Quantity]]</f>
        <v>2240000</v>
      </c>
      <c r="M1986" s="12">
        <f>Sales_Data[[#This Row],[Cost Price]]*Sales_Data[[#This Row],[Quantity]]</f>
        <v>1792000</v>
      </c>
      <c r="N1986" s="12">
        <f>Sales_Data[[#This Row],[Revenue]]-Sales_Data[[#This Row],[COGS]]</f>
        <v>448000</v>
      </c>
    </row>
    <row r="1987" spans="1:14">
      <c r="A1987" s="1">
        <v>47661</v>
      </c>
      <c r="B1987" t="s">
        <v>25</v>
      </c>
      <c r="C1987" t="s">
        <v>32</v>
      </c>
      <c r="D1987" t="s">
        <v>13</v>
      </c>
      <c r="E1987" t="s">
        <v>14</v>
      </c>
      <c r="F1987" t="s">
        <v>40</v>
      </c>
      <c r="G1987" t="s">
        <v>31</v>
      </c>
      <c r="H1987" s="12">
        <v>250000</v>
      </c>
      <c r="I1987">
        <v>4</v>
      </c>
      <c r="J1987" t="s">
        <v>17</v>
      </c>
      <c r="K1987" s="12">
        <f t="shared" si="31"/>
        <v>200000</v>
      </c>
      <c r="L1987" s="12">
        <f>Sales_Data[[#This Row],[Unit Price]]*Sales_Data[[#This Row],[Quantity]]</f>
        <v>1000000</v>
      </c>
      <c r="M1987" s="12">
        <f>Sales_Data[[#This Row],[Cost Price]]*Sales_Data[[#This Row],[Quantity]]</f>
        <v>800000</v>
      </c>
      <c r="N1987" s="12">
        <f>Sales_Data[[#This Row],[Revenue]]-Sales_Data[[#This Row],[COGS]]</f>
        <v>200000</v>
      </c>
    </row>
    <row r="1988" spans="1:14">
      <c r="A1988" s="1">
        <v>47662</v>
      </c>
      <c r="B1988" t="s">
        <v>18</v>
      </c>
      <c r="C1988" t="s">
        <v>12</v>
      </c>
      <c r="D1988" t="s">
        <v>23</v>
      </c>
      <c r="E1988" t="s">
        <v>20</v>
      </c>
      <c r="F1988" t="s">
        <v>36</v>
      </c>
      <c r="G1988" t="s">
        <v>31</v>
      </c>
      <c r="H1988" s="12">
        <v>150000</v>
      </c>
      <c r="I1988">
        <v>6</v>
      </c>
      <c r="J1988" t="s">
        <v>24</v>
      </c>
      <c r="K1988" s="12">
        <f t="shared" si="31"/>
        <v>120000</v>
      </c>
      <c r="L1988" s="12">
        <f>Sales_Data[[#This Row],[Unit Price]]*Sales_Data[[#This Row],[Quantity]]</f>
        <v>900000</v>
      </c>
      <c r="M1988" s="12">
        <f>Sales_Data[[#This Row],[Cost Price]]*Sales_Data[[#This Row],[Quantity]]</f>
        <v>720000</v>
      </c>
      <c r="N1988" s="12">
        <f>Sales_Data[[#This Row],[Revenue]]-Sales_Data[[#This Row],[COGS]]</f>
        <v>180000</v>
      </c>
    </row>
    <row r="1989" spans="1:14">
      <c r="A1989" s="1">
        <v>47663</v>
      </c>
      <c r="B1989" t="s">
        <v>29</v>
      </c>
      <c r="C1989" t="s">
        <v>32</v>
      </c>
      <c r="D1989" t="s">
        <v>13</v>
      </c>
      <c r="E1989" t="s">
        <v>14</v>
      </c>
      <c r="F1989" t="s">
        <v>30</v>
      </c>
      <c r="G1989" t="s">
        <v>31</v>
      </c>
      <c r="H1989" s="12">
        <v>300000</v>
      </c>
      <c r="I1989">
        <v>8</v>
      </c>
      <c r="J1989" t="s">
        <v>24</v>
      </c>
      <c r="K1989" s="12">
        <f t="shared" si="31"/>
        <v>240000</v>
      </c>
      <c r="L1989" s="12">
        <f>Sales_Data[[#This Row],[Unit Price]]*Sales_Data[[#This Row],[Quantity]]</f>
        <v>2400000</v>
      </c>
      <c r="M1989" s="12">
        <f>Sales_Data[[#This Row],[Cost Price]]*Sales_Data[[#This Row],[Quantity]]</f>
        <v>1920000</v>
      </c>
      <c r="N1989" s="12">
        <f>Sales_Data[[#This Row],[Revenue]]-Sales_Data[[#This Row],[COGS]]</f>
        <v>480000</v>
      </c>
    </row>
    <row r="1990" spans="1:14">
      <c r="A1990" s="1">
        <v>47664</v>
      </c>
      <c r="B1990" t="s">
        <v>11</v>
      </c>
      <c r="C1990" t="s">
        <v>19</v>
      </c>
      <c r="D1990" t="s">
        <v>13</v>
      </c>
      <c r="E1990" t="s">
        <v>20</v>
      </c>
      <c r="F1990" t="s">
        <v>30</v>
      </c>
      <c r="G1990" t="s">
        <v>31</v>
      </c>
      <c r="H1990" s="12">
        <v>300000</v>
      </c>
      <c r="I1990">
        <v>10</v>
      </c>
      <c r="J1990" t="s">
        <v>17</v>
      </c>
      <c r="K1990" s="12">
        <f t="shared" si="31"/>
        <v>240000</v>
      </c>
      <c r="L1990" s="12">
        <f>Sales_Data[[#This Row],[Unit Price]]*Sales_Data[[#This Row],[Quantity]]</f>
        <v>3000000</v>
      </c>
      <c r="M1990" s="12">
        <f>Sales_Data[[#This Row],[Cost Price]]*Sales_Data[[#This Row],[Quantity]]</f>
        <v>2400000</v>
      </c>
      <c r="N1990" s="12">
        <f>Sales_Data[[#This Row],[Revenue]]-Sales_Data[[#This Row],[COGS]]</f>
        <v>600000</v>
      </c>
    </row>
    <row r="1991" spans="1:14">
      <c r="A1991" s="1">
        <v>47665</v>
      </c>
      <c r="B1991" t="s">
        <v>29</v>
      </c>
      <c r="C1991" t="s">
        <v>26</v>
      </c>
      <c r="D1991" t="s">
        <v>23</v>
      </c>
      <c r="E1991" t="s">
        <v>20</v>
      </c>
      <c r="F1991" t="s">
        <v>34</v>
      </c>
      <c r="G1991" t="s">
        <v>16</v>
      </c>
      <c r="H1991" s="12">
        <v>320000</v>
      </c>
      <c r="I1991">
        <v>1</v>
      </c>
      <c r="J1991" t="s">
        <v>28</v>
      </c>
      <c r="K1991" s="12">
        <f t="shared" si="31"/>
        <v>256000</v>
      </c>
      <c r="L1991" s="12">
        <f>Sales_Data[[#This Row],[Unit Price]]*Sales_Data[[#This Row],[Quantity]]</f>
        <v>320000</v>
      </c>
      <c r="M1991" s="12">
        <f>Sales_Data[[#This Row],[Cost Price]]*Sales_Data[[#This Row],[Quantity]]</f>
        <v>256000</v>
      </c>
      <c r="N1991" s="12">
        <f>Sales_Data[[#This Row],[Revenue]]-Sales_Data[[#This Row],[COGS]]</f>
        <v>64000</v>
      </c>
    </row>
    <row r="1992" spans="1:14">
      <c r="A1992" s="1">
        <v>47666</v>
      </c>
      <c r="B1992" t="s">
        <v>25</v>
      </c>
      <c r="C1992" t="s">
        <v>19</v>
      </c>
      <c r="D1992" t="s">
        <v>23</v>
      </c>
      <c r="E1992" t="s">
        <v>20</v>
      </c>
      <c r="F1992" t="s">
        <v>34</v>
      </c>
      <c r="G1992" t="s">
        <v>16</v>
      </c>
      <c r="H1992" s="12">
        <v>320000</v>
      </c>
      <c r="I1992">
        <v>3</v>
      </c>
      <c r="J1992" t="s">
        <v>28</v>
      </c>
      <c r="K1992" s="12">
        <f t="shared" si="31"/>
        <v>256000</v>
      </c>
      <c r="L1992" s="12">
        <f>Sales_Data[[#This Row],[Unit Price]]*Sales_Data[[#This Row],[Quantity]]</f>
        <v>960000</v>
      </c>
      <c r="M1992" s="12">
        <f>Sales_Data[[#This Row],[Cost Price]]*Sales_Data[[#This Row],[Quantity]]</f>
        <v>768000</v>
      </c>
      <c r="N1992" s="12">
        <f>Sales_Data[[#This Row],[Revenue]]-Sales_Data[[#This Row],[COGS]]</f>
        <v>192000</v>
      </c>
    </row>
    <row r="1993" spans="1:14">
      <c r="A1993" s="1">
        <v>47667</v>
      </c>
      <c r="B1993" t="s">
        <v>11</v>
      </c>
      <c r="C1993" t="s">
        <v>12</v>
      </c>
      <c r="D1993" t="s">
        <v>23</v>
      </c>
      <c r="E1993" t="s">
        <v>14</v>
      </c>
      <c r="F1993" t="s">
        <v>36</v>
      </c>
      <c r="G1993" t="s">
        <v>31</v>
      </c>
      <c r="H1993" s="12">
        <v>150000</v>
      </c>
      <c r="I1993">
        <v>6</v>
      </c>
      <c r="J1993" t="s">
        <v>35</v>
      </c>
      <c r="K1993" s="12">
        <f t="shared" si="31"/>
        <v>120000</v>
      </c>
      <c r="L1993" s="12">
        <f>Sales_Data[[#This Row],[Unit Price]]*Sales_Data[[#This Row],[Quantity]]</f>
        <v>900000</v>
      </c>
      <c r="M1993" s="12">
        <f>Sales_Data[[#This Row],[Cost Price]]*Sales_Data[[#This Row],[Quantity]]</f>
        <v>720000</v>
      </c>
      <c r="N1993" s="12">
        <f>Sales_Data[[#This Row],[Revenue]]-Sales_Data[[#This Row],[COGS]]</f>
        <v>180000</v>
      </c>
    </row>
    <row r="1994" spans="1:14">
      <c r="A1994" s="1">
        <v>47668</v>
      </c>
      <c r="B1994" t="s">
        <v>18</v>
      </c>
      <c r="C1994" t="s">
        <v>19</v>
      </c>
      <c r="D1994" t="s">
        <v>13</v>
      </c>
      <c r="E1994" t="s">
        <v>14</v>
      </c>
      <c r="F1994" t="s">
        <v>33</v>
      </c>
      <c r="G1994" t="s">
        <v>22</v>
      </c>
      <c r="H1994" s="12">
        <v>180000</v>
      </c>
      <c r="I1994">
        <v>9</v>
      </c>
      <c r="J1994" t="s">
        <v>39</v>
      </c>
      <c r="K1994" s="12">
        <f t="shared" si="31"/>
        <v>144000</v>
      </c>
      <c r="L1994" s="12">
        <f>Sales_Data[[#This Row],[Unit Price]]*Sales_Data[[#This Row],[Quantity]]</f>
        <v>1620000</v>
      </c>
      <c r="M1994" s="12">
        <f>Sales_Data[[#This Row],[Cost Price]]*Sales_Data[[#This Row],[Quantity]]</f>
        <v>1296000</v>
      </c>
      <c r="N1994" s="12">
        <f>Sales_Data[[#This Row],[Revenue]]-Sales_Data[[#This Row],[COGS]]</f>
        <v>324000</v>
      </c>
    </row>
    <row r="1995" spans="1:14">
      <c r="A1995" s="1">
        <v>47669</v>
      </c>
      <c r="B1995" t="s">
        <v>25</v>
      </c>
      <c r="C1995" t="s">
        <v>32</v>
      </c>
      <c r="D1995" t="s">
        <v>13</v>
      </c>
      <c r="E1995" t="s">
        <v>14</v>
      </c>
      <c r="F1995" t="s">
        <v>27</v>
      </c>
      <c r="G1995" t="s">
        <v>22</v>
      </c>
      <c r="H1995" s="12">
        <v>60000</v>
      </c>
      <c r="I1995">
        <v>2</v>
      </c>
      <c r="J1995" t="s">
        <v>35</v>
      </c>
      <c r="K1995" s="12">
        <f t="shared" si="31"/>
        <v>48000</v>
      </c>
      <c r="L1995" s="12">
        <f>Sales_Data[[#This Row],[Unit Price]]*Sales_Data[[#This Row],[Quantity]]</f>
        <v>120000</v>
      </c>
      <c r="M1995" s="12">
        <f>Sales_Data[[#This Row],[Cost Price]]*Sales_Data[[#This Row],[Quantity]]</f>
        <v>96000</v>
      </c>
      <c r="N1995" s="12">
        <f>Sales_Data[[#This Row],[Revenue]]-Sales_Data[[#This Row],[COGS]]</f>
        <v>24000</v>
      </c>
    </row>
    <row r="1996" spans="1:14">
      <c r="A1996" s="1">
        <v>47670</v>
      </c>
      <c r="B1996" t="s">
        <v>18</v>
      </c>
      <c r="C1996" t="s">
        <v>26</v>
      </c>
      <c r="D1996" t="s">
        <v>13</v>
      </c>
      <c r="E1996" t="s">
        <v>20</v>
      </c>
      <c r="F1996" t="s">
        <v>36</v>
      </c>
      <c r="G1996" t="s">
        <v>31</v>
      </c>
      <c r="H1996" s="12">
        <v>150000</v>
      </c>
      <c r="I1996">
        <v>5</v>
      </c>
      <c r="J1996" t="s">
        <v>35</v>
      </c>
      <c r="K1996" s="12">
        <f t="shared" si="31"/>
        <v>120000</v>
      </c>
      <c r="L1996" s="12">
        <f>Sales_Data[[#This Row],[Unit Price]]*Sales_Data[[#This Row],[Quantity]]</f>
        <v>750000</v>
      </c>
      <c r="M1996" s="12">
        <f>Sales_Data[[#This Row],[Cost Price]]*Sales_Data[[#This Row],[Quantity]]</f>
        <v>600000</v>
      </c>
      <c r="N1996" s="12">
        <f>Sales_Data[[#This Row],[Revenue]]-Sales_Data[[#This Row],[COGS]]</f>
        <v>150000</v>
      </c>
    </row>
    <row r="1997" spans="1:14">
      <c r="A1997" s="1">
        <v>47671</v>
      </c>
      <c r="B1997" t="s">
        <v>18</v>
      </c>
      <c r="C1997" t="s">
        <v>26</v>
      </c>
      <c r="D1997" t="s">
        <v>13</v>
      </c>
      <c r="E1997" t="s">
        <v>20</v>
      </c>
      <c r="F1997" t="s">
        <v>33</v>
      </c>
      <c r="G1997" t="s">
        <v>22</v>
      </c>
      <c r="H1997" s="12">
        <v>180000</v>
      </c>
      <c r="I1997">
        <v>10</v>
      </c>
      <c r="J1997" t="s">
        <v>35</v>
      </c>
      <c r="K1997" s="12">
        <f t="shared" si="31"/>
        <v>144000</v>
      </c>
      <c r="L1997" s="12">
        <f>Sales_Data[[#This Row],[Unit Price]]*Sales_Data[[#This Row],[Quantity]]</f>
        <v>1800000</v>
      </c>
      <c r="M1997" s="12">
        <f>Sales_Data[[#This Row],[Cost Price]]*Sales_Data[[#This Row],[Quantity]]</f>
        <v>1440000</v>
      </c>
      <c r="N1997" s="12">
        <f>Sales_Data[[#This Row],[Revenue]]-Sales_Data[[#This Row],[COGS]]</f>
        <v>360000</v>
      </c>
    </row>
    <row r="1998" spans="1:14">
      <c r="A1998" s="1">
        <v>47672</v>
      </c>
      <c r="B1998" t="s">
        <v>11</v>
      </c>
      <c r="C1998" t="s">
        <v>12</v>
      </c>
      <c r="D1998" t="s">
        <v>13</v>
      </c>
      <c r="E1998" t="s">
        <v>14</v>
      </c>
      <c r="F1998" t="s">
        <v>15</v>
      </c>
      <c r="G1998" t="s">
        <v>16</v>
      </c>
      <c r="H1998" s="12">
        <v>85000</v>
      </c>
      <c r="I1998">
        <v>7</v>
      </c>
      <c r="J1998" t="s">
        <v>37</v>
      </c>
      <c r="K1998" s="12">
        <f t="shared" si="31"/>
        <v>68000</v>
      </c>
      <c r="L1998" s="12">
        <f>Sales_Data[[#This Row],[Unit Price]]*Sales_Data[[#This Row],[Quantity]]</f>
        <v>595000</v>
      </c>
      <c r="M1998" s="12">
        <f>Sales_Data[[#This Row],[Cost Price]]*Sales_Data[[#This Row],[Quantity]]</f>
        <v>476000</v>
      </c>
      <c r="N1998" s="12">
        <f>Sales_Data[[#This Row],[Revenue]]-Sales_Data[[#This Row],[COGS]]</f>
        <v>119000</v>
      </c>
    </row>
    <row r="1999" spans="1:14">
      <c r="A1999" s="1">
        <v>47673</v>
      </c>
      <c r="B1999" t="s">
        <v>18</v>
      </c>
      <c r="C1999" t="s">
        <v>32</v>
      </c>
      <c r="D1999" t="s">
        <v>23</v>
      </c>
      <c r="E1999" t="s">
        <v>20</v>
      </c>
      <c r="F1999" t="s">
        <v>38</v>
      </c>
      <c r="G1999" t="s">
        <v>31</v>
      </c>
      <c r="H1999" s="12">
        <v>420000</v>
      </c>
      <c r="I1999">
        <v>3</v>
      </c>
      <c r="J1999" t="s">
        <v>24</v>
      </c>
      <c r="K1999" s="12">
        <f t="shared" si="31"/>
        <v>336000</v>
      </c>
      <c r="L1999" s="12">
        <f>Sales_Data[[#This Row],[Unit Price]]*Sales_Data[[#This Row],[Quantity]]</f>
        <v>1260000</v>
      </c>
      <c r="M1999" s="12">
        <f>Sales_Data[[#This Row],[Cost Price]]*Sales_Data[[#This Row],[Quantity]]</f>
        <v>1008000</v>
      </c>
      <c r="N1999" s="12">
        <f>Sales_Data[[#This Row],[Revenue]]-Sales_Data[[#This Row],[COGS]]</f>
        <v>252000</v>
      </c>
    </row>
    <row r="2000" spans="1:14">
      <c r="A2000" s="1">
        <v>47674</v>
      </c>
      <c r="B2000" t="s">
        <v>18</v>
      </c>
      <c r="C2000" t="s">
        <v>32</v>
      </c>
      <c r="D2000" t="s">
        <v>23</v>
      </c>
      <c r="E2000" t="s">
        <v>14</v>
      </c>
      <c r="F2000" t="s">
        <v>30</v>
      </c>
      <c r="G2000" t="s">
        <v>31</v>
      </c>
      <c r="H2000" s="12">
        <v>300000</v>
      </c>
      <c r="I2000">
        <v>2</v>
      </c>
      <c r="J2000" t="s">
        <v>37</v>
      </c>
      <c r="K2000" s="12">
        <f t="shared" si="31"/>
        <v>240000</v>
      </c>
      <c r="L2000" s="12">
        <f>Sales_Data[[#This Row],[Unit Price]]*Sales_Data[[#This Row],[Quantity]]</f>
        <v>600000</v>
      </c>
      <c r="M2000" s="12">
        <f>Sales_Data[[#This Row],[Cost Price]]*Sales_Data[[#This Row],[Quantity]]</f>
        <v>480000</v>
      </c>
      <c r="N2000" s="12">
        <f>Sales_Data[[#This Row],[Revenue]]-Sales_Data[[#This Row],[COGS]]</f>
        <v>120000</v>
      </c>
    </row>
    <row r="2001" spans="1:14">
      <c r="A2001" s="1">
        <v>47675</v>
      </c>
      <c r="B2001" t="s">
        <v>18</v>
      </c>
      <c r="C2001" t="s">
        <v>19</v>
      </c>
      <c r="D2001" t="s">
        <v>23</v>
      </c>
      <c r="E2001" t="s">
        <v>14</v>
      </c>
      <c r="F2001" t="s">
        <v>40</v>
      </c>
      <c r="G2001" t="s">
        <v>31</v>
      </c>
      <c r="H2001" s="12">
        <v>250000</v>
      </c>
      <c r="I2001">
        <v>3</v>
      </c>
      <c r="J2001" t="s">
        <v>37</v>
      </c>
      <c r="K2001" s="12">
        <f t="shared" si="31"/>
        <v>200000</v>
      </c>
      <c r="L2001" s="12">
        <f>Sales_Data[[#This Row],[Unit Price]]*Sales_Data[[#This Row],[Quantity]]</f>
        <v>750000</v>
      </c>
      <c r="M2001" s="12">
        <f>Sales_Data[[#This Row],[Cost Price]]*Sales_Data[[#This Row],[Quantity]]</f>
        <v>600000</v>
      </c>
      <c r="N2001" s="12">
        <f>Sales_Data[[#This Row],[Revenue]]-Sales_Data[[#This Row],[COGS]]</f>
        <v>150000</v>
      </c>
    </row>
    <row r="2002" spans="1:14">
      <c r="A2002" s="1">
        <v>47676</v>
      </c>
      <c r="B2002" t="s">
        <v>18</v>
      </c>
      <c r="C2002" t="s">
        <v>12</v>
      </c>
      <c r="D2002" t="s">
        <v>13</v>
      </c>
      <c r="E2002" t="s">
        <v>20</v>
      </c>
      <c r="F2002" t="s">
        <v>36</v>
      </c>
      <c r="G2002" t="s">
        <v>31</v>
      </c>
      <c r="H2002" s="12">
        <v>150000</v>
      </c>
      <c r="I2002">
        <v>7</v>
      </c>
      <c r="J2002" t="s">
        <v>24</v>
      </c>
      <c r="K2002" s="12">
        <f t="shared" si="31"/>
        <v>120000</v>
      </c>
      <c r="L2002" s="12">
        <f>Sales_Data[[#This Row],[Unit Price]]*Sales_Data[[#This Row],[Quantity]]</f>
        <v>1050000</v>
      </c>
      <c r="M2002" s="12">
        <f>Sales_Data[[#This Row],[Cost Price]]*Sales_Data[[#This Row],[Quantity]]</f>
        <v>840000</v>
      </c>
      <c r="N2002" s="12">
        <f>Sales_Data[[#This Row],[Revenue]]-Sales_Data[[#This Row],[COGS]]</f>
        <v>210000</v>
      </c>
    </row>
    <row r="2003" spans="1:14">
      <c r="A2003" s="1">
        <v>47677</v>
      </c>
      <c r="B2003" t="s">
        <v>11</v>
      </c>
      <c r="C2003" t="s">
        <v>12</v>
      </c>
      <c r="D2003" t="s">
        <v>23</v>
      </c>
      <c r="E2003" t="s">
        <v>14</v>
      </c>
      <c r="F2003" t="s">
        <v>38</v>
      </c>
      <c r="G2003" t="s">
        <v>31</v>
      </c>
      <c r="H2003" s="12">
        <v>420000</v>
      </c>
      <c r="I2003">
        <v>7</v>
      </c>
      <c r="J2003" t="s">
        <v>35</v>
      </c>
      <c r="K2003" s="12">
        <f t="shared" si="31"/>
        <v>336000</v>
      </c>
      <c r="L2003" s="12">
        <f>Sales_Data[[#This Row],[Unit Price]]*Sales_Data[[#This Row],[Quantity]]</f>
        <v>2940000</v>
      </c>
      <c r="M2003" s="12">
        <f>Sales_Data[[#This Row],[Cost Price]]*Sales_Data[[#This Row],[Quantity]]</f>
        <v>2352000</v>
      </c>
      <c r="N2003" s="12">
        <f>Sales_Data[[#This Row],[Revenue]]-Sales_Data[[#This Row],[COGS]]</f>
        <v>588000</v>
      </c>
    </row>
    <row r="2004" spans="1:14">
      <c r="A2004" s="1">
        <v>47678</v>
      </c>
      <c r="B2004" t="s">
        <v>25</v>
      </c>
      <c r="C2004" t="s">
        <v>19</v>
      </c>
      <c r="D2004" t="s">
        <v>13</v>
      </c>
      <c r="E2004" t="s">
        <v>20</v>
      </c>
      <c r="F2004" t="s">
        <v>33</v>
      </c>
      <c r="G2004" t="s">
        <v>22</v>
      </c>
      <c r="H2004" s="12">
        <v>180000</v>
      </c>
      <c r="I2004">
        <v>7</v>
      </c>
      <c r="J2004" t="s">
        <v>28</v>
      </c>
      <c r="K2004" s="12">
        <f t="shared" si="31"/>
        <v>144000</v>
      </c>
      <c r="L2004" s="12">
        <f>Sales_Data[[#This Row],[Unit Price]]*Sales_Data[[#This Row],[Quantity]]</f>
        <v>1260000</v>
      </c>
      <c r="M2004" s="12">
        <f>Sales_Data[[#This Row],[Cost Price]]*Sales_Data[[#This Row],[Quantity]]</f>
        <v>1008000</v>
      </c>
      <c r="N2004" s="12">
        <f>Sales_Data[[#This Row],[Revenue]]-Sales_Data[[#This Row],[COGS]]</f>
        <v>252000</v>
      </c>
    </row>
    <row r="2005" spans="1:14">
      <c r="A2005" s="1">
        <v>47679</v>
      </c>
      <c r="B2005" t="s">
        <v>11</v>
      </c>
      <c r="C2005" t="s">
        <v>12</v>
      </c>
      <c r="D2005" t="s">
        <v>13</v>
      </c>
      <c r="E2005" t="s">
        <v>20</v>
      </c>
      <c r="F2005" t="s">
        <v>34</v>
      </c>
      <c r="G2005" t="s">
        <v>16</v>
      </c>
      <c r="H2005" s="12">
        <v>320000</v>
      </c>
      <c r="I2005">
        <v>2</v>
      </c>
      <c r="J2005" t="s">
        <v>39</v>
      </c>
      <c r="K2005" s="12">
        <f t="shared" si="31"/>
        <v>256000</v>
      </c>
      <c r="L2005" s="12">
        <f>Sales_Data[[#This Row],[Unit Price]]*Sales_Data[[#This Row],[Quantity]]</f>
        <v>640000</v>
      </c>
      <c r="M2005" s="12">
        <f>Sales_Data[[#This Row],[Cost Price]]*Sales_Data[[#This Row],[Quantity]]</f>
        <v>512000</v>
      </c>
      <c r="N2005" s="12">
        <f>Sales_Data[[#This Row],[Revenue]]-Sales_Data[[#This Row],[COGS]]</f>
        <v>128000</v>
      </c>
    </row>
    <row r="2006" spans="1:14">
      <c r="A2006" s="1">
        <v>47680</v>
      </c>
      <c r="B2006" t="s">
        <v>29</v>
      </c>
      <c r="C2006" t="s">
        <v>12</v>
      </c>
      <c r="D2006" t="s">
        <v>23</v>
      </c>
      <c r="E2006" t="s">
        <v>20</v>
      </c>
      <c r="F2006" t="s">
        <v>34</v>
      </c>
      <c r="G2006" t="s">
        <v>16</v>
      </c>
      <c r="H2006" s="12">
        <v>320000</v>
      </c>
      <c r="I2006">
        <v>6</v>
      </c>
      <c r="J2006" t="s">
        <v>39</v>
      </c>
      <c r="K2006" s="12">
        <f t="shared" si="31"/>
        <v>256000</v>
      </c>
      <c r="L2006" s="12">
        <f>Sales_Data[[#This Row],[Unit Price]]*Sales_Data[[#This Row],[Quantity]]</f>
        <v>1920000</v>
      </c>
      <c r="M2006" s="12">
        <f>Sales_Data[[#This Row],[Cost Price]]*Sales_Data[[#This Row],[Quantity]]</f>
        <v>1536000</v>
      </c>
      <c r="N2006" s="12">
        <f>Sales_Data[[#This Row],[Revenue]]-Sales_Data[[#This Row],[COGS]]</f>
        <v>384000</v>
      </c>
    </row>
    <row r="2007" spans="1:14">
      <c r="A2007" s="1">
        <v>47681</v>
      </c>
      <c r="B2007" t="s">
        <v>18</v>
      </c>
      <c r="C2007" t="s">
        <v>26</v>
      </c>
      <c r="D2007" t="s">
        <v>23</v>
      </c>
      <c r="E2007" t="s">
        <v>14</v>
      </c>
      <c r="F2007" t="s">
        <v>21</v>
      </c>
      <c r="G2007" t="s">
        <v>22</v>
      </c>
      <c r="H2007" s="12">
        <v>30000</v>
      </c>
      <c r="I2007">
        <v>3</v>
      </c>
      <c r="J2007" t="s">
        <v>37</v>
      </c>
      <c r="K2007" s="12">
        <f t="shared" si="31"/>
        <v>24000</v>
      </c>
      <c r="L2007" s="12">
        <f>Sales_Data[[#This Row],[Unit Price]]*Sales_Data[[#This Row],[Quantity]]</f>
        <v>90000</v>
      </c>
      <c r="M2007" s="12">
        <f>Sales_Data[[#This Row],[Cost Price]]*Sales_Data[[#This Row],[Quantity]]</f>
        <v>72000</v>
      </c>
      <c r="N2007" s="12">
        <f>Sales_Data[[#This Row],[Revenue]]-Sales_Data[[#This Row],[COGS]]</f>
        <v>18000</v>
      </c>
    </row>
    <row r="2008" spans="1:14">
      <c r="A2008" s="1">
        <v>47682</v>
      </c>
      <c r="B2008" t="s">
        <v>29</v>
      </c>
      <c r="C2008" t="s">
        <v>12</v>
      </c>
      <c r="D2008" t="s">
        <v>13</v>
      </c>
      <c r="E2008" t="s">
        <v>14</v>
      </c>
      <c r="F2008" t="s">
        <v>38</v>
      </c>
      <c r="G2008" t="s">
        <v>31</v>
      </c>
      <c r="H2008" s="12">
        <v>420000</v>
      </c>
      <c r="I2008">
        <v>3</v>
      </c>
      <c r="J2008" t="s">
        <v>17</v>
      </c>
      <c r="K2008" s="12">
        <f t="shared" si="31"/>
        <v>336000</v>
      </c>
      <c r="L2008" s="12">
        <f>Sales_Data[[#This Row],[Unit Price]]*Sales_Data[[#This Row],[Quantity]]</f>
        <v>1260000</v>
      </c>
      <c r="M2008" s="12">
        <f>Sales_Data[[#This Row],[Cost Price]]*Sales_Data[[#This Row],[Quantity]]</f>
        <v>1008000</v>
      </c>
      <c r="N2008" s="12">
        <f>Sales_Data[[#This Row],[Revenue]]-Sales_Data[[#This Row],[COGS]]</f>
        <v>252000</v>
      </c>
    </row>
    <row r="2009" spans="1:14">
      <c r="A2009" s="1">
        <v>47683</v>
      </c>
      <c r="B2009" t="s">
        <v>25</v>
      </c>
      <c r="C2009" t="s">
        <v>19</v>
      </c>
      <c r="D2009" t="s">
        <v>13</v>
      </c>
      <c r="E2009" t="s">
        <v>20</v>
      </c>
      <c r="F2009" t="s">
        <v>21</v>
      </c>
      <c r="G2009" t="s">
        <v>22</v>
      </c>
      <c r="H2009" s="12">
        <v>30000</v>
      </c>
      <c r="I2009">
        <v>9</v>
      </c>
      <c r="J2009" t="s">
        <v>35</v>
      </c>
      <c r="K2009" s="12">
        <f t="shared" si="31"/>
        <v>24000</v>
      </c>
      <c r="L2009" s="12">
        <f>Sales_Data[[#This Row],[Unit Price]]*Sales_Data[[#This Row],[Quantity]]</f>
        <v>270000</v>
      </c>
      <c r="M2009" s="12">
        <f>Sales_Data[[#This Row],[Cost Price]]*Sales_Data[[#This Row],[Quantity]]</f>
        <v>216000</v>
      </c>
      <c r="N2009" s="12">
        <f>Sales_Data[[#This Row],[Revenue]]-Sales_Data[[#This Row],[COGS]]</f>
        <v>54000</v>
      </c>
    </row>
    <row r="2010" spans="1:14">
      <c r="A2010" s="1">
        <v>47684</v>
      </c>
      <c r="B2010" t="s">
        <v>18</v>
      </c>
      <c r="C2010" t="s">
        <v>12</v>
      </c>
      <c r="D2010" t="s">
        <v>23</v>
      </c>
      <c r="E2010" t="s">
        <v>20</v>
      </c>
      <c r="F2010" t="s">
        <v>34</v>
      </c>
      <c r="G2010" t="s">
        <v>16</v>
      </c>
      <c r="H2010" s="12">
        <v>320000</v>
      </c>
      <c r="I2010">
        <v>4</v>
      </c>
      <c r="J2010" t="s">
        <v>17</v>
      </c>
      <c r="K2010" s="12">
        <f t="shared" si="31"/>
        <v>256000</v>
      </c>
      <c r="L2010" s="12">
        <f>Sales_Data[[#This Row],[Unit Price]]*Sales_Data[[#This Row],[Quantity]]</f>
        <v>1280000</v>
      </c>
      <c r="M2010" s="12">
        <f>Sales_Data[[#This Row],[Cost Price]]*Sales_Data[[#This Row],[Quantity]]</f>
        <v>1024000</v>
      </c>
      <c r="N2010" s="12">
        <f>Sales_Data[[#This Row],[Revenue]]-Sales_Data[[#This Row],[COGS]]</f>
        <v>256000</v>
      </c>
    </row>
    <row r="2011" spans="1:14">
      <c r="A2011" s="1">
        <v>47685</v>
      </c>
      <c r="B2011" t="s">
        <v>29</v>
      </c>
      <c r="C2011" t="s">
        <v>32</v>
      </c>
      <c r="D2011" t="s">
        <v>23</v>
      </c>
      <c r="E2011" t="s">
        <v>20</v>
      </c>
      <c r="F2011" t="s">
        <v>36</v>
      </c>
      <c r="G2011" t="s">
        <v>31</v>
      </c>
      <c r="H2011" s="12">
        <v>150000</v>
      </c>
      <c r="I2011">
        <v>5</v>
      </c>
      <c r="J2011" t="s">
        <v>24</v>
      </c>
      <c r="K2011" s="12">
        <f t="shared" si="31"/>
        <v>120000</v>
      </c>
      <c r="L2011" s="12">
        <f>Sales_Data[[#This Row],[Unit Price]]*Sales_Data[[#This Row],[Quantity]]</f>
        <v>750000</v>
      </c>
      <c r="M2011" s="12">
        <f>Sales_Data[[#This Row],[Cost Price]]*Sales_Data[[#This Row],[Quantity]]</f>
        <v>600000</v>
      </c>
      <c r="N2011" s="12">
        <f>Sales_Data[[#This Row],[Revenue]]-Sales_Data[[#This Row],[COGS]]</f>
        <v>150000</v>
      </c>
    </row>
    <row r="2012" spans="1:14">
      <c r="A2012" s="1">
        <v>47686</v>
      </c>
      <c r="B2012" t="s">
        <v>25</v>
      </c>
      <c r="C2012" t="s">
        <v>12</v>
      </c>
      <c r="D2012" t="s">
        <v>23</v>
      </c>
      <c r="E2012" t="s">
        <v>20</v>
      </c>
      <c r="F2012" t="s">
        <v>15</v>
      </c>
      <c r="G2012" t="s">
        <v>16</v>
      </c>
      <c r="H2012" s="12">
        <v>85000</v>
      </c>
      <c r="I2012">
        <v>8</v>
      </c>
      <c r="J2012" t="s">
        <v>35</v>
      </c>
      <c r="K2012" s="12">
        <f t="shared" si="31"/>
        <v>68000</v>
      </c>
      <c r="L2012" s="12">
        <f>Sales_Data[[#This Row],[Unit Price]]*Sales_Data[[#This Row],[Quantity]]</f>
        <v>680000</v>
      </c>
      <c r="M2012" s="12">
        <f>Sales_Data[[#This Row],[Cost Price]]*Sales_Data[[#This Row],[Quantity]]</f>
        <v>544000</v>
      </c>
      <c r="N2012" s="12">
        <f>Sales_Data[[#This Row],[Revenue]]-Sales_Data[[#This Row],[COGS]]</f>
        <v>136000</v>
      </c>
    </row>
    <row r="2013" spans="1:14">
      <c r="A2013" s="1">
        <v>47687</v>
      </c>
      <c r="B2013" t="s">
        <v>29</v>
      </c>
      <c r="C2013" t="s">
        <v>32</v>
      </c>
      <c r="D2013" t="s">
        <v>13</v>
      </c>
      <c r="E2013" t="s">
        <v>20</v>
      </c>
      <c r="F2013" t="s">
        <v>27</v>
      </c>
      <c r="G2013" t="s">
        <v>22</v>
      </c>
      <c r="H2013" s="12">
        <v>60000</v>
      </c>
      <c r="I2013">
        <v>1</v>
      </c>
      <c r="J2013" t="s">
        <v>17</v>
      </c>
      <c r="K2013" s="12">
        <f t="shared" si="31"/>
        <v>48000</v>
      </c>
      <c r="L2013" s="12">
        <f>Sales_Data[[#This Row],[Unit Price]]*Sales_Data[[#This Row],[Quantity]]</f>
        <v>60000</v>
      </c>
      <c r="M2013" s="12">
        <f>Sales_Data[[#This Row],[Cost Price]]*Sales_Data[[#This Row],[Quantity]]</f>
        <v>48000</v>
      </c>
      <c r="N2013" s="12">
        <f>Sales_Data[[#This Row],[Revenue]]-Sales_Data[[#This Row],[COGS]]</f>
        <v>12000</v>
      </c>
    </row>
    <row r="2014" spans="1:14">
      <c r="A2014" s="1">
        <v>47688</v>
      </c>
      <c r="B2014" t="s">
        <v>25</v>
      </c>
      <c r="C2014" t="s">
        <v>19</v>
      </c>
      <c r="D2014" t="s">
        <v>13</v>
      </c>
      <c r="E2014" t="s">
        <v>14</v>
      </c>
      <c r="F2014" t="s">
        <v>41</v>
      </c>
      <c r="G2014" t="s">
        <v>22</v>
      </c>
      <c r="H2014" s="12">
        <v>220000</v>
      </c>
      <c r="I2014">
        <v>3</v>
      </c>
      <c r="J2014" t="s">
        <v>28</v>
      </c>
      <c r="K2014" s="12">
        <f t="shared" si="31"/>
        <v>176000</v>
      </c>
      <c r="L2014" s="12">
        <f>Sales_Data[[#This Row],[Unit Price]]*Sales_Data[[#This Row],[Quantity]]</f>
        <v>660000</v>
      </c>
      <c r="M2014" s="12">
        <f>Sales_Data[[#This Row],[Cost Price]]*Sales_Data[[#This Row],[Quantity]]</f>
        <v>528000</v>
      </c>
      <c r="N2014" s="12">
        <f>Sales_Data[[#This Row],[Revenue]]-Sales_Data[[#This Row],[COGS]]</f>
        <v>132000</v>
      </c>
    </row>
    <row r="2015" spans="1:14">
      <c r="A2015" s="1">
        <v>47689</v>
      </c>
      <c r="B2015" t="s">
        <v>11</v>
      </c>
      <c r="C2015" t="s">
        <v>32</v>
      </c>
      <c r="D2015" t="s">
        <v>23</v>
      </c>
      <c r="E2015" t="s">
        <v>14</v>
      </c>
      <c r="F2015" t="s">
        <v>33</v>
      </c>
      <c r="G2015" t="s">
        <v>22</v>
      </c>
      <c r="H2015" s="12">
        <v>180000</v>
      </c>
      <c r="I2015">
        <v>2</v>
      </c>
      <c r="J2015" t="s">
        <v>37</v>
      </c>
      <c r="K2015" s="12">
        <f t="shared" si="31"/>
        <v>144000</v>
      </c>
      <c r="L2015" s="12">
        <f>Sales_Data[[#This Row],[Unit Price]]*Sales_Data[[#This Row],[Quantity]]</f>
        <v>360000</v>
      </c>
      <c r="M2015" s="12">
        <f>Sales_Data[[#This Row],[Cost Price]]*Sales_Data[[#This Row],[Quantity]]</f>
        <v>288000</v>
      </c>
      <c r="N2015" s="12">
        <f>Sales_Data[[#This Row],[Revenue]]-Sales_Data[[#This Row],[COGS]]</f>
        <v>72000</v>
      </c>
    </row>
    <row r="2016" spans="1:14">
      <c r="A2016" s="1">
        <v>47690</v>
      </c>
      <c r="B2016" t="s">
        <v>25</v>
      </c>
      <c r="C2016" t="s">
        <v>12</v>
      </c>
      <c r="D2016" t="s">
        <v>23</v>
      </c>
      <c r="E2016" t="s">
        <v>14</v>
      </c>
      <c r="F2016" t="s">
        <v>40</v>
      </c>
      <c r="G2016" t="s">
        <v>31</v>
      </c>
      <c r="H2016" s="12">
        <v>250000</v>
      </c>
      <c r="I2016">
        <v>9</v>
      </c>
      <c r="J2016" t="s">
        <v>24</v>
      </c>
      <c r="K2016" s="12">
        <f t="shared" si="31"/>
        <v>200000</v>
      </c>
      <c r="L2016" s="12">
        <f>Sales_Data[[#This Row],[Unit Price]]*Sales_Data[[#This Row],[Quantity]]</f>
        <v>2250000</v>
      </c>
      <c r="M2016" s="12">
        <f>Sales_Data[[#This Row],[Cost Price]]*Sales_Data[[#This Row],[Quantity]]</f>
        <v>1800000</v>
      </c>
      <c r="N2016" s="12">
        <f>Sales_Data[[#This Row],[Revenue]]-Sales_Data[[#This Row],[COGS]]</f>
        <v>450000</v>
      </c>
    </row>
    <row r="2017" spans="1:14">
      <c r="A2017" s="1">
        <v>47691</v>
      </c>
      <c r="B2017" t="s">
        <v>11</v>
      </c>
      <c r="C2017" t="s">
        <v>12</v>
      </c>
      <c r="D2017" t="s">
        <v>23</v>
      </c>
      <c r="E2017" t="s">
        <v>14</v>
      </c>
      <c r="F2017" t="s">
        <v>30</v>
      </c>
      <c r="G2017" t="s">
        <v>31</v>
      </c>
      <c r="H2017" s="12">
        <v>300000</v>
      </c>
      <c r="I2017">
        <v>8</v>
      </c>
      <c r="J2017" t="s">
        <v>37</v>
      </c>
      <c r="K2017" s="12">
        <f t="shared" si="31"/>
        <v>240000</v>
      </c>
      <c r="L2017" s="12">
        <f>Sales_Data[[#This Row],[Unit Price]]*Sales_Data[[#This Row],[Quantity]]</f>
        <v>2400000</v>
      </c>
      <c r="M2017" s="12">
        <f>Sales_Data[[#This Row],[Cost Price]]*Sales_Data[[#This Row],[Quantity]]</f>
        <v>1920000</v>
      </c>
      <c r="N2017" s="12">
        <f>Sales_Data[[#This Row],[Revenue]]-Sales_Data[[#This Row],[COGS]]</f>
        <v>480000</v>
      </c>
    </row>
    <row r="2018" spans="1:14">
      <c r="A2018" s="1">
        <v>47692</v>
      </c>
      <c r="B2018" t="s">
        <v>11</v>
      </c>
      <c r="C2018" t="s">
        <v>19</v>
      </c>
      <c r="D2018" t="s">
        <v>13</v>
      </c>
      <c r="E2018" t="s">
        <v>14</v>
      </c>
      <c r="F2018" t="s">
        <v>36</v>
      </c>
      <c r="G2018" t="s">
        <v>31</v>
      </c>
      <c r="H2018" s="12">
        <v>150000</v>
      </c>
      <c r="I2018">
        <v>6</v>
      </c>
      <c r="J2018" t="s">
        <v>17</v>
      </c>
      <c r="K2018" s="12">
        <f t="shared" si="31"/>
        <v>120000</v>
      </c>
      <c r="L2018" s="12">
        <f>Sales_Data[[#This Row],[Unit Price]]*Sales_Data[[#This Row],[Quantity]]</f>
        <v>900000</v>
      </c>
      <c r="M2018" s="12">
        <f>Sales_Data[[#This Row],[Cost Price]]*Sales_Data[[#This Row],[Quantity]]</f>
        <v>720000</v>
      </c>
      <c r="N2018" s="12">
        <f>Sales_Data[[#This Row],[Revenue]]-Sales_Data[[#This Row],[COGS]]</f>
        <v>180000</v>
      </c>
    </row>
    <row r="2019" spans="1:14">
      <c r="A2019" s="1">
        <v>47693</v>
      </c>
      <c r="B2019" t="s">
        <v>29</v>
      </c>
      <c r="C2019" t="s">
        <v>32</v>
      </c>
      <c r="D2019" t="s">
        <v>23</v>
      </c>
      <c r="E2019" t="s">
        <v>20</v>
      </c>
      <c r="F2019" t="s">
        <v>15</v>
      </c>
      <c r="G2019" t="s">
        <v>16</v>
      </c>
      <c r="H2019" s="12">
        <v>85000</v>
      </c>
      <c r="I2019">
        <v>9</v>
      </c>
      <c r="J2019" t="s">
        <v>28</v>
      </c>
      <c r="K2019" s="12">
        <f t="shared" si="31"/>
        <v>68000</v>
      </c>
      <c r="L2019" s="12">
        <f>Sales_Data[[#This Row],[Unit Price]]*Sales_Data[[#This Row],[Quantity]]</f>
        <v>765000</v>
      </c>
      <c r="M2019" s="12">
        <f>Sales_Data[[#This Row],[Cost Price]]*Sales_Data[[#This Row],[Quantity]]</f>
        <v>612000</v>
      </c>
      <c r="N2019" s="12">
        <f>Sales_Data[[#This Row],[Revenue]]-Sales_Data[[#This Row],[COGS]]</f>
        <v>153000</v>
      </c>
    </row>
    <row r="2020" spans="1:14">
      <c r="A2020" s="1">
        <v>47694</v>
      </c>
      <c r="B2020" t="s">
        <v>29</v>
      </c>
      <c r="C2020" t="s">
        <v>26</v>
      </c>
      <c r="D2020" t="s">
        <v>23</v>
      </c>
      <c r="E2020" t="s">
        <v>14</v>
      </c>
      <c r="F2020" t="s">
        <v>27</v>
      </c>
      <c r="G2020" t="s">
        <v>22</v>
      </c>
      <c r="H2020" s="12">
        <v>60000</v>
      </c>
      <c r="I2020">
        <v>3</v>
      </c>
      <c r="J2020" t="s">
        <v>24</v>
      </c>
      <c r="K2020" s="12">
        <f t="shared" si="31"/>
        <v>48000</v>
      </c>
      <c r="L2020" s="12">
        <f>Sales_Data[[#This Row],[Unit Price]]*Sales_Data[[#This Row],[Quantity]]</f>
        <v>180000</v>
      </c>
      <c r="M2020" s="12">
        <f>Sales_Data[[#This Row],[Cost Price]]*Sales_Data[[#This Row],[Quantity]]</f>
        <v>144000</v>
      </c>
      <c r="N2020" s="12">
        <f>Sales_Data[[#This Row],[Revenue]]-Sales_Data[[#This Row],[COGS]]</f>
        <v>36000</v>
      </c>
    </row>
    <row r="2021" spans="1:14">
      <c r="A2021" s="1">
        <v>47695</v>
      </c>
      <c r="B2021" t="s">
        <v>25</v>
      </c>
      <c r="C2021" t="s">
        <v>32</v>
      </c>
      <c r="D2021" t="s">
        <v>13</v>
      </c>
      <c r="E2021" t="s">
        <v>20</v>
      </c>
      <c r="F2021" t="s">
        <v>38</v>
      </c>
      <c r="G2021" t="s">
        <v>31</v>
      </c>
      <c r="H2021" s="12">
        <v>420000</v>
      </c>
      <c r="I2021">
        <v>7</v>
      </c>
      <c r="J2021" t="s">
        <v>35</v>
      </c>
      <c r="K2021" s="12">
        <f t="shared" si="31"/>
        <v>336000</v>
      </c>
      <c r="L2021" s="12">
        <f>Sales_Data[[#This Row],[Unit Price]]*Sales_Data[[#This Row],[Quantity]]</f>
        <v>2940000</v>
      </c>
      <c r="M2021" s="12">
        <f>Sales_Data[[#This Row],[Cost Price]]*Sales_Data[[#This Row],[Quantity]]</f>
        <v>2352000</v>
      </c>
      <c r="N2021" s="12">
        <f>Sales_Data[[#This Row],[Revenue]]-Sales_Data[[#This Row],[COGS]]</f>
        <v>588000</v>
      </c>
    </row>
    <row r="2022" spans="1:14">
      <c r="A2022" s="1">
        <v>47696</v>
      </c>
      <c r="B2022" t="s">
        <v>25</v>
      </c>
      <c r="C2022" t="s">
        <v>12</v>
      </c>
      <c r="D2022" t="s">
        <v>23</v>
      </c>
      <c r="E2022" t="s">
        <v>14</v>
      </c>
      <c r="F2022" t="s">
        <v>15</v>
      </c>
      <c r="G2022" t="s">
        <v>16</v>
      </c>
      <c r="H2022" s="12">
        <v>85000</v>
      </c>
      <c r="I2022">
        <v>5</v>
      </c>
      <c r="J2022" t="s">
        <v>24</v>
      </c>
      <c r="K2022" s="12">
        <f t="shared" si="31"/>
        <v>68000</v>
      </c>
      <c r="L2022" s="12">
        <f>Sales_Data[[#This Row],[Unit Price]]*Sales_Data[[#This Row],[Quantity]]</f>
        <v>425000</v>
      </c>
      <c r="M2022" s="12">
        <f>Sales_Data[[#This Row],[Cost Price]]*Sales_Data[[#This Row],[Quantity]]</f>
        <v>340000</v>
      </c>
      <c r="N2022" s="12">
        <f>Sales_Data[[#This Row],[Revenue]]-Sales_Data[[#This Row],[COGS]]</f>
        <v>85000</v>
      </c>
    </row>
    <row r="2023" spans="1:14">
      <c r="A2023" s="1">
        <v>47697</v>
      </c>
      <c r="B2023" t="s">
        <v>18</v>
      </c>
      <c r="C2023" t="s">
        <v>12</v>
      </c>
      <c r="D2023" t="s">
        <v>23</v>
      </c>
      <c r="E2023" t="s">
        <v>14</v>
      </c>
      <c r="F2023" t="s">
        <v>27</v>
      </c>
      <c r="G2023" t="s">
        <v>22</v>
      </c>
      <c r="H2023" s="12">
        <v>60000</v>
      </c>
      <c r="I2023">
        <v>7</v>
      </c>
      <c r="J2023" t="s">
        <v>24</v>
      </c>
      <c r="K2023" s="12">
        <f t="shared" si="31"/>
        <v>48000</v>
      </c>
      <c r="L2023" s="12">
        <f>Sales_Data[[#This Row],[Unit Price]]*Sales_Data[[#This Row],[Quantity]]</f>
        <v>420000</v>
      </c>
      <c r="M2023" s="12">
        <f>Sales_Data[[#This Row],[Cost Price]]*Sales_Data[[#This Row],[Quantity]]</f>
        <v>336000</v>
      </c>
      <c r="N2023" s="12">
        <f>Sales_Data[[#This Row],[Revenue]]-Sales_Data[[#This Row],[COGS]]</f>
        <v>84000</v>
      </c>
    </row>
    <row r="2024" spans="1:14">
      <c r="A2024" s="1">
        <v>47698</v>
      </c>
      <c r="B2024" t="s">
        <v>18</v>
      </c>
      <c r="C2024" t="s">
        <v>32</v>
      </c>
      <c r="D2024" t="s">
        <v>13</v>
      </c>
      <c r="E2024" t="s">
        <v>14</v>
      </c>
      <c r="F2024" t="s">
        <v>33</v>
      </c>
      <c r="G2024" t="s">
        <v>22</v>
      </c>
      <c r="H2024" s="12">
        <v>180000</v>
      </c>
      <c r="I2024">
        <v>2</v>
      </c>
      <c r="J2024" t="s">
        <v>35</v>
      </c>
      <c r="K2024" s="12">
        <f t="shared" si="31"/>
        <v>144000</v>
      </c>
      <c r="L2024" s="12">
        <f>Sales_Data[[#This Row],[Unit Price]]*Sales_Data[[#This Row],[Quantity]]</f>
        <v>360000</v>
      </c>
      <c r="M2024" s="12">
        <f>Sales_Data[[#This Row],[Cost Price]]*Sales_Data[[#This Row],[Quantity]]</f>
        <v>288000</v>
      </c>
      <c r="N2024" s="12">
        <f>Sales_Data[[#This Row],[Revenue]]-Sales_Data[[#This Row],[COGS]]</f>
        <v>72000</v>
      </c>
    </row>
    <row r="2025" spans="1:14">
      <c r="A2025" s="1">
        <v>47699</v>
      </c>
      <c r="B2025" t="s">
        <v>11</v>
      </c>
      <c r="C2025" t="s">
        <v>12</v>
      </c>
      <c r="D2025" t="s">
        <v>23</v>
      </c>
      <c r="E2025" t="s">
        <v>20</v>
      </c>
      <c r="F2025" t="s">
        <v>40</v>
      </c>
      <c r="G2025" t="s">
        <v>31</v>
      </c>
      <c r="H2025" s="12">
        <v>250000</v>
      </c>
      <c r="I2025">
        <v>3</v>
      </c>
      <c r="J2025" t="s">
        <v>37</v>
      </c>
      <c r="K2025" s="12">
        <f t="shared" si="31"/>
        <v>200000</v>
      </c>
      <c r="L2025" s="12">
        <f>Sales_Data[[#This Row],[Unit Price]]*Sales_Data[[#This Row],[Quantity]]</f>
        <v>750000</v>
      </c>
      <c r="M2025" s="12">
        <f>Sales_Data[[#This Row],[Cost Price]]*Sales_Data[[#This Row],[Quantity]]</f>
        <v>600000</v>
      </c>
      <c r="N2025" s="12">
        <f>Sales_Data[[#This Row],[Revenue]]-Sales_Data[[#This Row],[COGS]]</f>
        <v>150000</v>
      </c>
    </row>
    <row r="2026" spans="1:14">
      <c r="A2026" s="1">
        <v>47700</v>
      </c>
      <c r="B2026" t="s">
        <v>18</v>
      </c>
      <c r="C2026" t="s">
        <v>26</v>
      </c>
      <c r="D2026" t="s">
        <v>23</v>
      </c>
      <c r="E2026" t="s">
        <v>14</v>
      </c>
      <c r="F2026" t="s">
        <v>33</v>
      </c>
      <c r="G2026" t="s">
        <v>22</v>
      </c>
      <c r="H2026" s="12">
        <v>180000</v>
      </c>
      <c r="I2026">
        <v>6</v>
      </c>
      <c r="J2026" t="s">
        <v>39</v>
      </c>
      <c r="K2026" s="12">
        <f t="shared" si="31"/>
        <v>144000</v>
      </c>
      <c r="L2026" s="12">
        <f>Sales_Data[[#This Row],[Unit Price]]*Sales_Data[[#This Row],[Quantity]]</f>
        <v>1080000</v>
      </c>
      <c r="M2026" s="12">
        <f>Sales_Data[[#This Row],[Cost Price]]*Sales_Data[[#This Row],[Quantity]]</f>
        <v>864000</v>
      </c>
      <c r="N2026" s="12">
        <f>Sales_Data[[#This Row],[Revenue]]-Sales_Data[[#This Row],[COGS]]</f>
        <v>216000</v>
      </c>
    </row>
    <row r="2027" spans="1:14">
      <c r="A2027" s="1">
        <v>47701</v>
      </c>
      <c r="B2027" t="s">
        <v>18</v>
      </c>
      <c r="C2027" t="s">
        <v>32</v>
      </c>
      <c r="D2027" t="s">
        <v>13</v>
      </c>
      <c r="E2027" t="s">
        <v>20</v>
      </c>
      <c r="F2027" t="s">
        <v>15</v>
      </c>
      <c r="G2027" t="s">
        <v>16</v>
      </c>
      <c r="H2027" s="12">
        <v>85000</v>
      </c>
      <c r="I2027">
        <v>2</v>
      </c>
      <c r="J2027" t="s">
        <v>39</v>
      </c>
      <c r="K2027" s="12">
        <f t="shared" si="31"/>
        <v>68000</v>
      </c>
      <c r="L2027" s="12">
        <f>Sales_Data[[#This Row],[Unit Price]]*Sales_Data[[#This Row],[Quantity]]</f>
        <v>170000</v>
      </c>
      <c r="M2027" s="12">
        <f>Sales_Data[[#This Row],[Cost Price]]*Sales_Data[[#This Row],[Quantity]]</f>
        <v>136000</v>
      </c>
      <c r="N2027" s="12">
        <f>Sales_Data[[#This Row],[Revenue]]-Sales_Data[[#This Row],[COGS]]</f>
        <v>34000</v>
      </c>
    </row>
    <row r="2028" spans="1:14">
      <c r="A2028" s="1">
        <v>47702</v>
      </c>
      <c r="B2028" t="s">
        <v>29</v>
      </c>
      <c r="C2028" t="s">
        <v>32</v>
      </c>
      <c r="D2028" t="s">
        <v>23</v>
      </c>
      <c r="E2028" t="s">
        <v>20</v>
      </c>
      <c r="F2028" t="s">
        <v>40</v>
      </c>
      <c r="G2028" t="s">
        <v>31</v>
      </c>
      <c r="H2028" s="12">
        <v>250000</v>
      </c>
      <c r="I2028">
        <v>5</v>
      </c>
      <c r="J2028" t="s">
        <v>28</v>
      </c>
      <c r="K2028" s="12">
        <f t="shared" si="31"/>
        <v>200000</v>
      </c>
      <c r="L2028" s="12">
        <f>Sales_Data[[#This Row],[Unit Price]]*Sales_Data[[#This Row],[Quantity]]</f>
        <v>1250000</v>
      </c>
      <c r="M2028" s="12">
        <f>Sales_Data[[#This Row],[Cost Price]]*Sales_Data[[#This Row],[Quantity]]</f>
        <v>1000000</v>
      </c>
      <c r="N2028" s="12">
        <f>Sales_Data[[#This Row],[Revenue]]-Sales_Data[[#This Row],[COGS]]</f>
        <v>250000</v>
      </c>
    </row>
    <row r="2029" spans="1:14">
      <c r="A2029" s="1">
        <v>47703</v>
      </c>
      <c r="B2029" t="s">
        <v>11</v>
      </c>
      <c r="C2029" t="s">
        <v>12</v>
      </c>
      <c r="D2029" t="s">
        <v>23</v>
      </c>
      <c r="E2029" t="s">
        <v>20</v>
      </c>
      <c r="F2029" t="s">
        <v>41</v>
      </c>
      <c r="G2029" t="s">
        <v>22</v>
      </c>
      <c r="H2029" s="12">
        <v>220000</v>
      </c>
      <c r="I2029">
        <v>2</v>
      </c>
      <c r="J2029" t="s">
        <v>37</v>
      </c>
      <c r="K2029" s="12">
        <f t="shared" si="31"/>
        <v>176000</v>
      </c>
      <c r="L2029" s="12">
        <f>Sales_Data[[#This Row],[Unit Price]]*Sales_Data[[#This Row],[Quantity]]</f>
        <v>440000</v>
      </c>
      <c r="M2029" s="12">
        <f>Sales_Data[[#This Row],[Cost Price]]*Sales_Data[[#This Row],[Quantity]]</f>
        <v>352000</v>
      </c>
      <c r="N2029" s="12">
        <f>Sales_Data[[#This Row],[Revenue]]-Sales_Data[[#This Row],[COGS]]</f>
        <v>88000</v>
      </c>
    </row>
    <row r="2030" spans="1:14">
      <c r="A2030" s="1">
        <v>47704</v>
      </c>
      <c r="B2030" t="s">
        <v>25</v>
      </c>
      <c r="C2030" t="s">
        <v>32</v>
      </c>
      <c r="D2030" t="s">
        <v>13</v>
      </c>
      <c r="E2030" t="s">
        <v>14</v>
      </c>
      <c r="F2030" t="s">
        <v>21</v>
      </c>
      <c r="G2030" t="s">
        <v>22</v>
      </c>
      <c r="H2030" s="12">
        <v>30000</v>
      </c>
      <c r="I2030">
        <v>2</v>
      </c>
      <c r="J2030" t="s">
        <v>24</v>
      </c>
      <c r="K2030" s="12">
        <f t="shared" si="31"/>
        <v>24000</v>
      </c>
      <c r="L2030" s="12">
        <f>Sales_Data[[#This Row],[Unit Price]]*Sales_Data[[#This Row],[Quantity]]</f>
        <v>60000</v>
      </c>
      <c r="M2030" s="12">
        <f>Sales_Data[[#This Row],[Cost Price]]*Sales_Data[[#This Row],[Quantity]]</f>
        <v>48000</v>
      </c>
      <c r="N2030" s="12">
        <f>Sales_Data[[#This Row],[Revenue]]-Sales_Data[[#This Row],[COGS]]</f>
        <v>12000</v>
      </c>
    </row>
    <row r="2031" spans="1:14">
      <c r="A2031" s="1">
        <v>47705</v>
      </c>
      <c r="B2031" t="s">
        <v>18</v>
      </c>
      <c r="C2031" t="s">
        <v>26</v>
      </c>
      <c r="D2031" t="s">
        <v>23</v>
      </c>
      <c r="E2031" t="s">
        <v>20</v>
      </c>
      <c r="F2031" t="s">
        <v>38</v>
      </c>
      <c r="G2031" t="s">
        <v>31</v>
      </c>
      <c r="H2031" s="12">
        <v>420000</v>
      </c>
      <c r="I2031">
        <v>10</v>
      </c>
      <c r="J2031" t="s">
        <v>37</v>
      </c>
      <c r="K2031" s="12">
        <f t="shared" si="31"/>
        <v>336000</v>
      </c>
      <c r="L2031" s="12">
        <f>Sales_Data[[#This Row],[Unit Price]]*Sales_Data[[#This Row],[Quantity]]</f>
        <v>4200000</v>
      </c>
      <c r="M2031" s="12">
        <f>Sales_Data[[#This Row],[Cost Price]]*Sales_Data[[#This Row],[Quantity]]</f>
        <v>3360000</v>
      </c>
      <c r="N2031" s="12">
        <f>Sales_Data[[#This Row],[Revenue]]-Sales_Data[[#This Row],[COGS]]</f>
        <v>840000</v>
      </c>
    </row>
    <row r="2032" spans="1:14">
      <c r="A2032" s="1">
        <v>47706</v>
      </c>
      <c r="B2032" t="s">
        <v>29</v>
      </c>
      <c r="C2032" t="s">
        <v>32</v>
      </c>
      <c r="D2032" t="s">
        <v>23</v>
      </c>
      <c r="E2032" t="s">
        <v>14</v>
      </c>
      <c r="F2032" t="s">
        <v>41</v>
      </c>
      <c r="G2032" t="s">
        <v>22</v>
      </c>
      <c r="H2032" s="12">
        <v>220000</v>
      </c>
      <c r="I2032">
        <v>2</v>
      </c>
      <c r="J2032" t="s">
        <v>35</v>
      </c>
      <c r="K2032" s="12">
        <f t="shared" si="31"/>
        <v>176000</v>
      </c>
      <c r="L2032" s="12">
        <f>Sales_Data[[#This Row],[Unit Price]]*Sales_Data[[#This Row],[Quantity]]</f>
        <v>440000</v>
      </c>
      <c r="M2032" s="12">
        <f>Sales_Data[[#This Row],[Cost Price]]*Sales_Data[[#This Row],[Quantity]]</f>
        <v>352000</v>
      </c>
      <c r="N2032" s="12">
        <f>Sales_Data[[#This Row],[Revenue]]-Sales_Data[[#This Row],[COGS]]</f>
        <v>88000</v>
      </c>
    </row>
    <row r="2033" spans="1:14">
      <c r="A2033" s="1">
        <v>47707</v>
      </c>
      <c r="B2033" t="s">
        <v>25</v>
      </c>
      <c r="C2033" t="s">
        <v>26</v>
      </c>
      <c r="D2033" t="s">
        <v>23</v>
      </c>
      <c r="E2033" t="s">
        <v>20</v>
      </c>
      <c r="F2033" t="s">
        <v>41</v>
      </c>
      <c r="G2033" t="s">
        <v>22</v>
      </c>
      <c r="H2033" s="12">
        <v>220000</v>
      </c>
      <c r="I2033">
        <v>10</v>
      </c>
      <c r="J2033" t="s">
        <v>24</v>
      </c>
      <c r="K2033" s="12">
        <f t="shared" si="31"/>
        <v>176000</v>
      </c>
      <c r="L2033" s="12">
        <f>Sales_Data[[#This Row],[Unit Price]]*Sales_Data[[#This Row],[Quantity]]</f>
        <v>2200000</v>
      </c>
      <c r="M2033" s="12">
        <f>Sales_Data[[#This Row],[Cost Price]]*Sales_Data[[#This Row],[Quantity]]</f>
        <v>1760000</v>
      </c>
      <c r="N2033" s="12">
        <f>Sales_Data[[#This Row],[Revenue]]-Sales_Data[[#This Row],[COGS]]</f>
        <v>440000</v>
      </c>
    </row>
    <row r="2034" spans="1:14">
      <c r="A2034" s="1">
        <v>47708</v>
      </c>
      <c r="B2034" t="s">
        <v>11</v>
      </c>
      <c r="C2034" t="s">
        <v>19</v>
      </c>
      <c r="D2034" t="s">
        <v>23</v>
      </c>
      <c r="E2034" t="s">
        <v>20</v>
      </c>
      <c r="F2034" t="s">
        <v>34</v>
      </c>
      <c r="G2034" t="s">
        <v>16</v>
      </c>
      <c r="H2034" s="12">
        <v>320000</v>
      </c>
      <c r="I2034">
        <v>6</v>
      </c>
      <c r="J2034" t="s">
        <v>35</v>
      </c>
      <c r="K2034" s="12">
        <f t="shared" si="31"/>
        <v>256000</v>
      </c>
      <c r="L2034" s="12">
        <f>Sales_Data[[#This Row],[Unit Price]]*Sales_Data[[#This Row],[Quantity]]</f>
        <v>1920000</v>
      </c>
      <c r="M2034" s="12">
        <f>Sales_Data[[#This Row],[Cost Price]]*Sales_Data[[#This Row],[Quantity]]</f>
        <v>1536000</v>
      </c>
      <c r="N2034" s="12">
        <f>Sales_Data[[#This Row],[Revenue]]-Sales_Data[[#This Row],[COGS]]</f>
        <v>384000</v>
      </c>
    </row>
    <row r="2035" spans="1:14">
      <c r="A2035" s="1">
        <v>47709</v>
      </c>
      <c r="B2035" t="s">
        <v>29</v>
      </c>
      <c r="C2035" t="s">
        <v>12</v>
      </c>
      <c r="D2035" t="s">
        <v>23</v>
      </c>
      <c r="E2035" t="s">
        <v>20</v>
      </c>
      <c r="F2035" t="s">
        <v>38</v>
      </c>
      <c r="G2035" t="s">
        <v>31</v>
      </c>
      <c r="H2035" s="12">
        <v>420000</v>
      </c>
      <c r="I2035">
        <v>8</v>
      </c>
      <c r="J2035" t="s">
        <v>35</v>
      </c>
      <c r="K2035" s="12">
        <f t="shared" si="31"/>
        <v>336000</v>
      </c>
      <c r="L2035" s="12">
        <f>Sales_Data[[#This Row],[Unit Price]]*Sales_Data[[#This Row],[Quantity]]</f>
        <v>3360000</v>
      </c>
      <c r="M2035" s="12">
        <f>Sales_Data[[#This Row],[Cost Price]]*Sales_Data[[#This Row],[Quantity]]</f>
        <v>2688000</v>
      </c>
      <c r="N2035" s="12">
        <f>Sales_Data[[#This Row],[Revenue]]-Sales_Data[[#This Row],[COGS]]</f>
        <v>672000</v>
      </c>
    </row>
    <row r="2036" spans="1:14">
      <c r="A2036" s="1">
        <v>47710</v>
      </c>
      <c r="B2036" t="s">
        <v>18</v>
      </c>
      <c r="C2036" t="s">
        <v>32</v>
      </c>
      <c r="D2036" t="s">
        <v>13</v>
      </c>
      <c r="E2036" t="s">
        <v>20</v>
      </c>
      <c r="F2036" t="s">
        <v>41</v>
      </c>
      <c r="G2036" t="s">
        <v>22</v>
      </c>
      <c r="H2036" s="12">
        <v>220000</v>
      </c>
      <c r="I2036">
        <v>9</v>
      </c>
      <c r="J2036" t="s">
        <v>35</v>
      </c>
      <c r="K2036" s="12">
        <f t="shared" si="31"/>
        <v>176000</v>
      </c>
      <c r="L2036" s="12">
        <f>Sales_Data[[#This Row],[Unit Price]]*Sales_Data[[#This Row],[Quantity]]</f>
        <v>1980000</v>
      </c>
      <c r="M2036" s="12">
        <f>Sales_Data[[#This Row],[Cost Price]]*Sales_Data[[#This Row],[Quantity]]</f>
        <v>1584000</v>
      </c>
      <c r="N2036" s="12">
        <f>Sales_Data[[#This Row],[Revenue]]-Sales_Data[[#This Row],[COGS]]</f>
        <v>396000</v>
      </c>
    </row>
    <row r="2037" spans="1:14">
      <c r="A2037" s="1">
        <v>47711</v>
      </c>
      <c r="B2037" t="s">
        <v>29</v>
      </c>
      <c r="C2037" t="s">
        <v>19</v>
      </c>
      <c r="D2037" t="s">
        <v>23</v>
      </c>
      <c r="E2037" t="s">
        <v>14</v>
      </c>
      <c r="F2037" t="s">
        <v>41</v>
      </c>
      <c r="G2037" t="s">
        <v>22</v>
      </c>
      <c r="H2037" s="12">
        <v>220000</v>
      </c>
      <c r="I2037">
        <v>2</v>
      </c>
      <c r="J2037" t="s">
        <v>39</v>
      </c>
      <c r="K2037" s="12">
        <f t="shared" si="31"/>
        <v>176000</v>
      </c>
      <c r="L2037" s="12">
        <f>Sales_Data[[#This Row],[Unit Price]]*Sales_Data[[#This Row],[Quantity]]</f>
        <v>440000</v>
      </c>
      <c r="M2037" s="12">
        <f>Sales_Data[[#This Row],[Cost Price]]*Sales_Data[[#This Row],[Quantity]]</f>
        <v>352000</v>
      </c>
      <c r="N2037" s="12">
        <f>Sales_Data[[#This Row],[Revenue]]-Sales_Data[[#This Row],[COGS]]</f>
        <v>88000</v>
      </c>
    </row>
    <row r="2038" spans="1:14">
      <c r="A2038" s="1">
        <v>47712</v>
      </c>
      <c r="B2038" t="s">
        <v>25</v>
      </c>
      <c r="C2038" t="s">
        <v>32</v>
      </c>
      <c r="D2038" t="s">
        <v>13</v>
      </c>
      <c r="E2038" t="s">
        <v>14</v>
      </c>
      <c r="F2038" t="s">
        <v>36</v>
      </c>
      <c r="G2038" t="s">
        <v>31</v>
      </c>
      <c r="H2038" s="12">
        <v>150000</v>
      </c>
      <c r="I2038">
        <v>4</v>
      </c>
      <c r="J2038" t="s">
        <v>37</v>
      </c>
      <c r="K2038" s="12">
        <f t="shared" si="31"/>
        <v>120000</v>
      </c>
      <c r="L2038" s="12">
        <f>Sales_Data[[#This Row],[Unit Price]]*Sales_Data[[#This Row],[Quantity]]</f>
        <v>600000</v>
      </c>
      <c r="M2038" s="12">
        <f>Sales_Data[[#This Row],[Cost Price]]*Sales_Data[[#This Row],[Quantity]]</f>
        <v>480000</v>
      </c>
      <c r="N2038" s="12">
        <f>Sales_Data[[#This Row],[Revenue]]-Sales_Data[[#This Row],[COGS]]</f>
        <v>120000</v>
      </c>
    </row>
    <row r="2039" spans="1:14">
      <c r="A2039" s="1">
        <v>47713</v>
      </c>
      <c r="B2039" t="s">
        <v>18</v>
      </c>
      <c r="C2039" t="s">
        <v>26</v>
      </c>
      <c r="D2039" t="s">
        <v>13</v>
      </c>
      <c r="E2039" t="s">
        <v>20</v>
      </c>
      <c r="F2039" t="s">
        <v>30</v>
      </c>
      <c r="G2039" t="s">
        <v>31</v>
      </c>
      <c r="H2039" s="12">
        <v>300000</v>
      </c>
      <c r="I2039">
        <v>7</v>
      </c>
      <c r="J2039" t="s">
        <v>39</v>
      </c>
      <c r="K2039" s="12">
        <f t="shared" si="31"/>
        <v>240000</v>
      </c>
      <c r="L2039" s="12">
        <f>Sales_Data[[#This Row],[Unit Price]]*Sales_Data[[#This Row],[Quantity]]</f>
        <v>2100000</v>
      </c>
      <c r="M2039" s="12">
        <f>Sales_Data[[#This Row],[Cost Price]]*Sales_Data[[#This Row],[Quantity]]</f>
        <v>1680000</v>
      </c>
      <c r="N2039" s="12">
        <f>Sales_Data[[#This Row],[Revenue]]-Sales_Data[[#This Row],[COGS]]</f>
        <v>420000</v>
      </c>
    </row>
    <row r="2040" spans="1:14">
      <c r="A2040" s="1">
        <v>47714</v>
      </c>
      <c r="B2040" t="s">
        <v>25</v>
      </c>
      <c r="C2040" t="s">
        <v>19</v>
      </c>
      <c r="D2040" t="s">
        <v>23</v>
      </c>
      <c r="E2040" t="s">
        <v>14</v>
      </c>
      <c r="F2040" t="s">
        <v>38</v>
      </c>
      <c r="G2040" t="s">
        <v>31</v>
      </c>
      <c r="H2040" s="12">
        <v>420000</v>
      </c>
      <c r="I2040">
        <v>4</v>
      </c>
      <c r="J2040" t="s">
        <v>39</v>
      </c>
      <c r="K2040" s="12">
        <f t="shared" si="31"/>
        <v>336000</v>
      </c>
      <c r="L2040" s="12">
        <f>Sales_Data[[#This Row],[Unit Price]]*Sales_Data[[#This Row],[Quantity]]</f>
        <v>1680000</v>
      </c>
      <c r="M2040" s="12">
        <f>Sales_Data[[#This Row],[Cost Price]]*Sales_Data[[#This Row],[Quantity]]</f>
        <v>1344000</v>
      </c>
      <c r="N2040" s="12">
        <f>Sales_Data[[#This Row],[Revenue]]-Sales_Data[[#This Row],[COGS]]</f>
        <v>336000</v>
      </c>
    </row>
    <row r="2041" spans="1:14">
      <c r="A2041" s="1">
        <v>47715</v>
      </c>
      <c r="B2041" t="s">
        <v>11</v>
      </c>
      <c r="C2041" t="s">
        <v>26</v>
      </c>
      <c r="D2041" t="s">
        <v>23</v>
      </c>
      <c r="E2041" t="s">
        <v>20</v>
      </c>
      <c r="F2041" t="s">
        <v>27</v>
      </c>
      <c r="G2041" t="s">
        <v>22</v>
      </c>
      <c r="H2041" s="12">
        <v>60000</v>
      </c>
      <c r="I2041">
        <v>4</v>
      </c>
      <c r="J2041" t="s">
        <v>37</v>
      </c>
      <c r="K2041" s="12">
        <f t="shared" si="31"/>
        <v>48000</v>
      </c>
      <c r="L2041" s="12">
        <f>Sales_Data[[#This Row],[Unit Price]]*Sales_Data[[#This Row],[Quantity]]</f>
        <v>240000</v>
      </c>
      <c r="M2041" s="12">
        <f>Sales_Data[[#This Row],[Cost Price]]*Sales_Data[[#This Row],[Quantity]]</f>
        <v>192000</v>
      </c>
      <c r="N2041" s="12">
        <f>Sales_Data[[#This Row],[Revenue]]-Sales_Data[[#This Row],[COGS]]</f>
        <v>48000</v>
      </c>
    </row>
    <row r="2042" spans="1:14">
      <c r="A2042" s="1">
        <v>47716</v>
      </c>
      <c r="B2042" t="s">
        <v>29</v>
      </c>
      <c r="C2042" t="s">
        <v>26</v>
      </c>
      <c r="D2042" t="s">
        <v>13</v>
      </c>
      <c r="E2042" t="s">
        <v>14</v>
      </c>
      <c r="F2042" t="s">
        <v>33</v>
      </c>
      <c r="G2042" t="s">
        <v>22</v>
      </c>
      <c r="H2042" s="12">
        <v>180000</v>
      </c>
      <c r="I2042">
        <v>6</v>
      </c>
      <c r="J2042" t="s">
        <v>17</v>
      </c>
      <c r="K2042" s="12">
        <f t="shared" si="31"/>
        <v>144000</v>
      </c>
      <c r="L2042" s="12">
        <f>Sales_Data[[#This Row],[Unit Price]]*Sales_Data[[#This Row],[Quantity]]</f>
        <v>1080000</v>
      </c>
      <c r="M2042" s="12">
        <f>Sales_Data[[#This Row],[Cost Price]]*Sales_Data[[#This Row],[Quantity]]</f>
        <v>864000</v>
      </c>
      <c r="N2042" s="12">
        <f>Sales_Data[[#This Row],[Revenue]]-Sales_Data[[#This Row],[COGS]]</f>
        <v>216000</v>
      </c>
    </row>
    <row r="2043" spans="1:14">
      <c r="A2043" s="1">
        <v>47717</v>
      </c>
      <c r="B2043" t="s">
        <v>25</v>
      </c>
      <c r="C2043" t="s">
        <v>26</v>
      </c>
      <c r="D2043" t="s">
        <v>23</v>
      </c>
      <c r="E2043" t="s">
        <v>14</v>
      </c>
      <c r="F2043" t="s">
        <v>30</v>
      </c>
      <c r="G2043" t="s">
        <v>31</v>
      </c>
      <c r="H2043" s="12">
        <v>300000</v>
      </c>
      <c r="I2043">
        <v>8</v>
      </c>
      <c r="J2043" t="s">
        <v>35</v>
      </c>
      <c r="K2043" s="12">
        <f t="shared" si="31"/>
        <v>240000</v>
      </c>
      <c r="L2043" s="12">
        <f>Sales_Data[[#This Row],[Unit Price]]*Sales_Data[[#This Row],[Quantity]]</f>
        <v>2400000</v>
      </c>
      <c r="M2043" s="12">
        <f>Sales_Data[[#This Row],[Cost Price]]*Sales_Data[[#This Row],[Quantity]]</f>
        <v>1920000</v>
      </c>
      <c r="N2043" s="12">
        <f>Sales_Data[[#This Row],[Revenue]]-Sales_Data[[#This Row],[COGS]]</f>
        <v>480000</v>
      </c>
    </row>
    <row r="2044" spans="1:14">
      <c r="A2044" s="1">
        <v>47718</v>
      </c>
      <c r="B2044" t="s">
        <v>11</v>
      </c>
      <c r="C2044" t="s">
        <v>12</v>
      </c>
      <c r="D2044" t="s">
        <v>13</v>
      </c>
      <c r="E2044" t="s">
        <v>20</v>
      </c>
      <c r="F2044" t="s">
        <v>34</v>
      </c>
      <c r="G2044" t="s">
        <v>16</v>
      </c>
      <c r="H2044" s="12">
        <v>320000</v>
      </c>
      <c r="I2044">
        <v>10</v>
      </c>
      <c r="J2044" t="s">
        <v>17</v>
      </c>
      <c r="K2044" s="12">
        <f t="shared" si="31"/>
        <v>256000</v>
      </c>
      <c r="L2044" s="12">
        <f>Sales_Data[[#This Row],[Unit Price]]*Sales_Data[[#This Row],[Quantity]]</f>
        <v>3200000</v>
      </c>
      <c r="M2044" s="12">
        <f>Sales_Data[[#This Row],[Cost Price]]*Sales_Data[[#This Row],[Quantity]]</f>
        <v>2560000</v>
      </c>
      <c r="N2044" s="12">
        <f>Sales_Data[[#This Row],[Revenue]]-Sales_Data[[#This Row],[COGS]]</f>
        <v>640000</v>
      </c>
    </row>
    <row r="2045" spans="1:14">
      <c r="A2045" s="1">
        <v>47719</v>
      </c>
      <c r="B2045" t="s">
        <v>11</v>
      </c>
      <c r="C2045" t="s">
        <v>19</v>
      </c>
      <c r="D2045" t="s">
        <v>13</v>
      </c>
      <c r="E2045" t="s">
        <v>20</v>
      </c>
      <c r="F2045" t="s">
        <v>21</v>
      </c>
      <c r="G2045" t="s">
        <v>22</v>
      </c>
      <c r="H2045" s="12">
        <v>30000</v>
      </c>
      <c r="I2045">
        <v>1</v>
      </c>
      <c r="J2045" t="s">
        <v>17</v>
      </c>
      <c r="K2045" s="12">
        <f t="shared" si="31"/>
        <v>24000</v>
      </c>
      <c r="L2045" s="12">
        <f>Sales_Data[[#This Row],[Unit Price]]*Sales_Data[[#This Row],[Quantity]]</f>
        <v>30000</v>
      </c>
      <c r="M2045" s="12">
        <f>Sales_Data[[#This Row],[Cost Price]]*Sales_Data[[#This Row],[Quantity]]</f>
        <v>24000</v>
      </c>
      <c r="N2045" s="12">
        <f>Sales_Data[[#This Row],[Revenue]]-Sales_Data[[#This Row],[COGS]]</f>
        <v>6000</v>
      </c>
    </row>
    <row r="2046" spans="1:14">
      <c r="A2046" s="1">
        <v>47720</v>
      </c>
      <c r="B2046" t="s">
        <v>18</v>
      </c>
      <c r="C2046" t="s">
        <v>19</v>
      </c>
      <c r="D2046" t="s">
        <v>23</v>
      </c>
      <c r="E2046" t="s">
        <v>20</v>
      </c>
      <c r="F2046" t="s">
        <v>15</v>
      </c>
      <c r="G2046" t="s">
        <v>16</v>
      </c>
      <c r="H2046" s="12">
        <v>85000</v>
      </c>
      <c r="I2046">
        <v>2</v>
      </c>
      <c r="J2046" t="s">
        <v>35</v>
      </c>
      <c r="K2046" s="12">
        <f t="shared" si="31"/>
        <v>68000</v>
      </c>
      <c r="L2046" s="12">
        <f>Sales_Data[[#This Row],[Unit Price]]*Sales_Data[[#This Row],[Quantity]]</f>
        <v>170000</v>
      </c>
      <c r="M2046" s="12">
        <f>Sales_Data[[#This Row],[Cost Price]]*Sales_Data[[#This Row],[Quantity]]</f>
        <v>136000</v>
      </c>
      <c r="N2046" s="12">
        <f>Sales_Data[[#This Row],[Revenue]]-Sales_Data[[#This Row],[COGS]]</f>
        <v>34000</v>
      </c>
    </row>
    <row r="2047" spans="1:14">
      <c r="A2047" s="1">
        <v>47721</v>
      </c>
      <c r="B2047" t="s">
        <v>11</v>
      </c>
      <c r="C2047" t="s">
        <v>12</v>
      </c>
      <c r="D2047" t="s">
        <v>23</v>
      </c>
      <c r="E2047" t="s">
        <v>14</v>
      </c>
      <c r="F2047" t="s">
        <v>15</v>
      </c>
      <c r="G2047" t="s">
        <v>16</v>
      </c>
      <c r="H2047" s="12">
        <v>85000</v>
      </c>
      <c r="I2047">
        <v>5</v>
      </c>
      <c r="J2047" t="s">
        <v>37</v>
      </c>
      <c r="K2047" s="12">
        <f t="shared" si="31"/>
        <v>68000</v>
      </c>
      <c r="L2047" s="12">
        <f>Sales_Data[[#This Row],[Unit Price]]*Sales_Data[[#This Row],[Quantity]]</f>
        <v>425000</v>
      </c>
      <c r="M2047" s="12">
        <f>Sales_Data[[#This Row],[Cost Price]]*Sales_Data[[#This Row],[Quantity]]</f>
        <v>340000</v>
      </c>
      <c r="N2047" s="12">
        <f>Sales_Data[[#This Row],[Revenue]]-Sales_Data[[#This Row],[COGS]]</f>
        <v>85000</v>
      </c>
    </row>
    <row r="2048" spans="1:14">
      <c r="A2048" s="1">
        <v>47722</v>
      </c>
      <c r="B2048" t="s">
        <v>25</v>
      </c>
      <c r="C2048" t="s">
        <v>12</v>
      </c>
      <c r="D2048" t="s">
        <v>13</v>
      </c>
      <c r="E2048" t="s">
        <v>20</v>
      </c>
      <c r="F2048" t="s">
        <v>40</v>
      </c>
      <c r="G2048" t="s">
        <v>31</v>
      </c>
      <c r="H2048" s="12">
        <v>250000</v>
      </c>
      <c r="I2048">
        <v>8</v>
      </c>
      <c r="J2048" t="s">
        <v>37</v>
      </c>
      <c r="K2048" s="12">
        <f t="shared" si="31"/>
        <v>200000</v>
      </c>
      <c r="L2048" s="12">
        <f>Sales_Data[[#This Row],[Unit Price]]*Sales_Data[[#This Row],[Quantity]]</f>
        <v>2000000</v>
      </c>
      <c r="M2048" s="12">
        <f>Sales_Data[[#This Row],[Cost Price]]*Sales_Data[[#This Row],[Quantity]]</f>
        <v>1600000</v>
      </c>
      <c r="N2048" s="12">
        <f>Sales_Data[[#This Row],[Revenue]]-Sales_Data[[#This Row],[COGS]]</f>
        <v>400000</v>
      </c>
    </row>
    <row r="2049" spans="1:14">
      <c r="A2049" s="1">
        <v>47723</v>
      </c>
      <c r="B2049" t="s">
        <v>29</v>
      </c>
      <c r="C2049" t="s">
        <v>26</v>
      </c>
      <c r="D2049" t="s">
        <v>23</v>
      </c>
      <c r="E2049" t="s">
        <v>14</v>
      </c>
      <c r="F2049" t="s">
        <v>30</v>
      </c>
      <c r="G2049" t="s">
        <v>31</v>
      </c>
      <c r="H2049" s="12">
        <v>300000</v>
      </c>
      <c r="I2049">
        <v>8</v>
      </c>
      <c r="J2049" t="s">
        <v>35</v>
      </c>
      <c r="K2049" s="12">
        <f t="shared" si="31"/>
        <v>240000</v>
      </c>
      <c r="L2049" s="12">
        <f>Sales_Data[[#This Row],[Unit Price]]*Sales_Data[[#This Row],[Quantity]]</f>
        <v>2400000</v>
      </c>
      <c r="M2049" s="12">
        <f>Sales_Data[[#This Row],[Cost Price]]*Sales_Data[[#This Row],[Quantity]]</f>
        <v>1920000</v>
      </c>
      <c r="N2049" s="12">
        <f>Sales_Data[[#This Row],[Revenue]]-Sales_Data[[#This Row],[COGS]]</f>
        <v>480000</v>
      </c>
    </row>
    <row r="2050" spans="1:14">
      <c r="A2050" s="1">
        <v>47724</v>
      </c>
      <c r="B2050" t="s">
        <v>11</v>
      </c>
      <c r="C2050" t="s">
        <v>19</v>
      </c>
      <c r="D2050" t="s">
        <v>23</v>
      </c>
      <c r="E2050" t="s">
        <v>20</v>
      </c>
      <c r="F2050" t="s">
        <v>33</v>
      </c>
      <c r="G2050" t="s">
        <v>22</v>
      </c>
      <c r="H2050" s="12">
        <v>180000</v>
      </c>
      <c r="I2050">
        <v>9</v>
      </c>
      <c r="J2050" t="s">
        <v>28</v>
      </c>
      <c r="K2050" s="12">
        <f t="shared" ref="K2050:K2099" si="32">H2050-H2050*0.2</f>
        <v>144000</v>
      </c>
      <c r="L2050" s="12">
        <f>Sales_Data[[#This Row],[Unit Price]]*Sales_Data[[#This Row],[Quantity]]</f>
        <v>1620000</v>
      </c>
      <c r="M2050" s="12">
        <f>Sales_Data[[#This Row],[Cost Price]]*Sales_Data[[#This Row],[Quantity]]</f>
        <v>1296000</v>
      </c>
      <c r="N2050" s="12">
        <f>Sales_Data[[#This Row],[Revenue]]-Sales_Data[[#This Row],[COGS]]</f>
        <v>324000</v>
      </c>
    </row>
    <row r="2051" spans="1:14">
      <c r="A2051" s="1">
        <v>47725</v>
      </c>
      <c r="B2051" t="s">
        <v>29</v>
      </c>
      <c r="C2051" t="s">
        <v>32</v>
      </c>
      <c r="D2051" t="s">
        <v>23</v>
      </c>
      <c r="E2051" t="s">
        <v>14</v>
      </c>
      <c r="F2051" t="s">
        <v>27</v>
      </c>
      <c r="G2051" t="s">
        <v>22</v>
      </c>
      <c r="H2051" s="12">
        <v>60000</v>
      </c>
      <c r="I2051">
        <v>4</v>
      </c>
      <c r="J2051" t="s">
        <v>35</v>
      </c>
      <c r="K2051" s="12">
        <f t="shared" si="32"/>
        <v>48000</v>
      </c>
      <c r="L2051" s="12">
        <f>Sales_Data[[#This Row],[Unit Price]]*Sales_Data[[#This Row],[Quantity]]</f>
        <v>240000</v>
      </c>
      <c r="M2051" s="12">
        <f>Sales_Data[[#This Row],[Cost Price]]*Sales_Data[[#This Row],[Quantity]]</f>
        <v>192000</v>
      </c>
      <c r="N2051" s="12">
        <f>Sales_Data[[#This Row],[Revenue]]-Sales_Data[[#This Row],[COGS]]</f>
        <v>48000</v>
      </c>
    </row>
    <row r="2052" spans="1:14">
      <c r="A2052" s="1">
        <v>47726</v>
      </c>
      <c r="B2052" t="s">
        <v>25</v>
      </c>
      <c r="C2052" t="s">
        <v>12</v>
      </c>
      <c r="D2052" t="s">
        <v>13</v>
      </c>
      <c r="E2052" t="s">
        <v>20</v>
      </c>
      <c r="F2052" t="s">
        <v>27</v>
      </c>
      <c r="G2052" t="s">
        <v>22</v>
      </c>
      <c r="H2052" s="12">
        <v>60000</v>
      </c>
      <c r="I2052">
        <v>3</v>
      </c>
      <c r="J2052" t="s">
        <v>35</v>
      </c>
      <c r="K2052" s="12">
        <f t="shared" si="32"/>
        <v>48000</v>
      </c>
      <c r="L2052" s="12">
        <f>Sales_Data[[#This Row],[Unit Price]]*Sales_Data[[#This Row],[Quantity]]</f>
        <v>180000</v>
      </c>
      <c r="M2052" s="12">
        <f>Sales_Data[[#This Row],[Cost Price]]*Sales_Data[[#This Row],[Quantity]]</f>
        <v>144000</v>
      </c>
      <c r="N2052" s="12">
        <f>Sales_Data[[#This Row],[Revenue]]-Sales_Data[[#This Row],[COGS]]</f>
        <v>36000</v>
      </c>
    </row>
    <row r="2053" spans="1:14">
      <c r="A2053" s="1">
        <v>47727</v>
      </c>
      <c r="B2053" t="s">
        <v>25</v>
      </c>
      <c r="C2053" t="s">
        <v>12</v>
      </c>
      <c r="D2053" t="s">
        <v>13</v>
      </c>
      <c r="E2053" t="s">
        <v>14</v>
      </c>
      <c r="F2053" t="s">
        <v>41</v>
      </c>
      <c r="G2053" t="s">
        <v>22</v>
      </c>
      <c r="H2053" s="12">
        <v>220000</v>
      </c>
      <c r="I2053">
        <v>6</v>
      </c>
      <c r="J2053" t="s">
        <v>37</v>
      </c>
      <c r="K2053" s="12">
        <f t="shared" si="32"/>
        <v>176000</v>
      </c>
      <c r="L2053" s="12">
        <f>Sales_Data[[#This Row],[Unit Price]]*Sales_Data[[#This Row],[Quantity]]</f>
        <v>1320000</v>
      </c>
      <c r="M2053" s="12">
        <f>Sales_Data[[#This Row],[Cost Price]]*Sales_Data[[#This Row],[Quantity]]</f>
        <v>1056000</v>
      </c>
      <c r="N2053" s="12">
        <f>Sales_Data[[#This Row],[Revenue]]-Sales_Data[[#This Row],[COGS]]</f>
        <v>264000</v>
      </c>
    </row>
    <row r="2054" spans="1:14">
      <c r="A2054" s="1">
        <v>47728</v>
      </c>
      <c r="B2054" t="s">
        <v>18</v>
      </c>
      <c r="C2054" t="s">
        <v>26</v>
      </c>
      <c r="D2054" t="s">
        <v>13</v>
      </c>
      <c r="E2054" t="s">
        <v>20</v>
      </c>
      <c r="F2054" t="s">
        <v>34</v>
      </c>
      <c r="G2054" t="s">
        <v>16</v>
      </c>
      <c r="H2054" s="12">
        <v>320000</v>
      </c>
      <c r="I2054">
        <v>9</v>
      </c>
      <c r="J2054" t="s">
        <v>35</v>
      </c>
      <c r="K2054" s="12">
        <f t="shared" si="32"/>
        <v>256000</v>
      </c>
      <c r="L2054" s="12">
        <f>Sales_Data[[#This Row],[Unit Price]]*Sales_Data[[#This Row],[Quantity]]</f>
        <v>2880000</v>
      </c>
      <c r="M2054" s="12">
        <f>Sales_Data[[#This Row],[Cost Price]]*Sales_Data[[#This Row],[Quantity]]</f>
        <v>2304000</v>
      </c>
      <c r="N2054" s="12">
        <f>Sales_Data[[#This Row],[Revenue]]-Sales_Data[[#This Row],[COGS]]</f>
        <v>576000</v>
      </c>
    </row>
    <row r="2055" spans="1:14">
      <c r="A2055" s="1">
        <v>47729</v>
      </c>
      <c r="B2055" t="s">
        <v>25</v>
      </c>
      <c r="C2055" t="s">
        <v>26</v>
      </c>
      <c r="D2055" t="s">
        <v>13</v>
      </c>
      <c r="E2055" t="s">
        <v>20</v>
      </c>
      <c r="F2055" t="s">
        <v>38</v>
      </c>
      <c r="G2055" t="s">
        <v>31</v>
      </c>
      <c r="H2055" s="12">
        <v>420000</v>
      </c>
      <c r="I2055">
        <v>3</v>
      </c>
      <c r="J2055" t="s">
        <v>24</v>
      </c>
      <c r="K2055" s="12">
        <f t="shared" si="32"/>
        <v>336000</v>
      </c>
      <c r="L2055" s="12">
        <f>Sales_Data[[#This Row],[Unit Price]]*Sales_Data[[#This Row],[Quantity]]</f>
        <v>1260000</v>
      </c>
      <c r="M2055" s="12">
        <f>Sales_Data[[#This Row],[Cost Price]]*Sales_Data[[#This Row],[Quantity]]</f>
        <v>1008000</v>
      </c>
      <c r="N2055" s="12">
        <f>Sales_Data[[#This Row],[Revenue]]-Sales_Data[[#This Row],[COGS]]</f>
        <v>252000</v>
      </c>
    </row>
    <row r="2056" spans="1:14">
      <c r="A2056" s="1">
        <v>47730</v>
      </c>
      <c r="B2056" t="s">
        <v>18</v>
      </c>
      <c r="C2056" t="s">
        <v>32</v>
      </c>
      <c r="D2056" t="s">
        <v>23</v>
      </c>
      <c r="E2056" t="s">
        <v>20</v>
      </c>
      <c r="F2056" t="s">
        <v>33</v>
      </c>
      <c r="G2056" t="s">
        <v>22</v>
      </c>
      <c r="H2056" s="12">
        <v>180000</v>
      </c>
      <c r="I2056">
        <v>9</v>
      </c>
      <c r="J2056" t="s">
        <v>17</v>
      </c>
      <c r="K2056" s="12">
        <f t="shared" si="32"/>
        <v>144000</v>
      </c>
      <c r="L2056" s="12">
        <f>Sales_Data[[#This Row],[Unit Price]]*Sales_Data[[#This Row],[Quantity]]</f>
        <v>1620000</v>
      </c>
      <c r="M2056" s="12">
        <f>Sales_Data[[#This Row],[Cost Price]]*Sales_Data[[#This Row],[Quantity]]</f>
        <v>1296000</v>
      </c>
      <c r="N2056" s="12">
        <f>Sales_Data[[#This Row],[Revenue]]-Sales_Data[[#This Row],[COGS]]</f>
        <v>324000</v>
      </c>
    </row>
    <row r="2057" spans="1:14">
      <c r="A2057" s="1">
        <v>47731</v>
      </c>
      <c r="B2057" t="s">
        <v>25</v>
      </c>
      <c r="C2057" t="s">
        <v>32</v>
      </c>
      <c r="D2057" t="s">
        <v>23</v>
      </c>
      <c r="E2057" t="s">
        <v>20</v>
      </c>
      <c r="F2057" t="s">
        <v>27</v>
      </c>
      <c r="G2057" t="s">
        <v>22</v>
      </c>
      <c r="H2057" s="12">
        <v>60000</v>
      </c>
      <c r="I2057">
        <v>1</v>
      </c>
      <c r="J2057" t="s">
        <v>17</v>
      </c>
      <c r="K2057" s="12">
        <f t="shared" si="32"/>
        <v>48000</v>
      </c>
      <c r="L2057" s="12">
        <f>Sales_Data[[#This Row],[Unit Price]]*Sales_Data[[#This Row],[Quantity]]</f>
        <v>60000</v>
      </c>
      <c r="M2057" s="12">
        <f>Sales_Data[[#This Row],[Cost Price]]*Sales_Data[[#This Row],[Quantity]]</f>
        <v>48000</v>
      </c>
      <c r="N2057" s="12">
        <f>Sales_Data[[#This Row],[Revenue]]-Sales_Data[[#This Row],[COGS]]</f>
        <v>12000</v>
      </c>
    </row>
    <row r="2058" spans="1:14">
      <c r="A2058" s="1">
        <v>47732</v>
      </c>
      <c r="B2058" t="s">
        <v>11</v>
      </c>
      <c r="C2058" t="s">
        <v>26</v>
      </c>
      <c r="D2058" t="s">
        <v>23</v>
      </c>
      <c r="E2058" t="s">
        <v>20</v>
      </c>
      <c r="F2058" t="s">
        <v>40</v>
      </c>
      <c r="G2058" t="s">
        <v>31</v>
      </c>
      <c r="H2058" s="12">
        <v>250000</v>
      </c>
      <c r="I2058">
        <v>5</v>
      </c>
      <c r="J2058" t="s">
        <v>35</v>
      </c>
      <c r="K2058" s="12">
        <f t="shared" si="32"/>
        <v>200000</v>
      </c>
      <c r="L2058" s="12">
        <f>Sales_Data[[#This Row],[Unit Price]]*Sales_Data[[#This Row],[Quantity]]</f>
        <v>1250000</v>
      </c>
      <c r="M2058" s="12">
        <f>Sales_Data[[#This Row],[Cost Price]]*Sales_Data[[#This Row],[Quantity]]</f>
        <v>1000000</v>
      </c>
      <c r="N2058" s="12">
        <f>Sales_Data[[#This Row],[Revenue]]-Sales_Data[[#This Row],[COGS]]</f>
        <v>250000</v>
      </c>
    </row>
    <row r="2059" spans="1:14">
      <c r="A2059" s="1">
        <v>47733</v>
      </c>
      <c r="B2059" t="s">
        <v>11</v>
      </c>
      <c r="C2059" t="s">
        <v>12</v>
      </c>
      <c r="D2059" t="s">
        <v>23</v>
      </c>
      <c r="E2059" t="s">
        <v>20</v>
      </c>
      <c r="F2059" t="s">
        <v>21</v>
      </c>
      <c r="G2059" t="s">
        <v>22</v>
      </c>
      <c r="H2059" s="12">
        <v>30000</v>
      </c>
      <c r="I2059">
        <v>8</v>
      </c>
      <c r="J2059" t="s">
        <v>17</v>
      </c>
      <c r="K2059" s="12">
        <f t="shared" si="32"/>
        <v>24000</v>
      </c>
      <c r="L2059" s="12">
        <f>Sales_Data[[#This Row],[Unit Price]]*Sales_Data[[#This Row],[Quantity]]</f>
        <v>240000</v>
      </c>
      <c r="M2059" s="12">
        <f>Sales_Data[[#This Row],[Cost Price]]*Sales_Data[[#This Row],[Quantity]]</f>
        <v>192000</v>
      </c>
      <c r="N2059" s="12">
        <f>Sales_Data[[#This Row],[Revenue]]-Sales_Data[[#This Row],[COGS]]</f>
        <v>48000</v>
      </c>
    </row>
    <row r="2060" spans="1:14">
      <c r="A2060" s="1">
        <v>47734</v>
      </c>
      <c r="B2060" t="s">
        <v>29</v>
      </c>
      <c r="C2060" t="s">
        <v>12</v>
      </c>
      <c r="D2060" t="s">
        <v>13</v>
      </c>
      <c r="E2060" t="s">
        <v>14</v>
      </c>
      <c r="F2060" t="s">
        <v>33</v>
      </c>
      <c r="G2060" t="s">
        <v>22</v>
      </c>
      <c r="H2060" s="12">
        <v>180000</v>
      </c>
      <c r="I2060">
        <v>6</v>
      </c>
      <c r="J2060" t="s">
        <v>17</v>
      </c>
      <c r="K2060" s="12">
        <f t="shared" si="32"/>
        <v>144000</v>
      </c>
      <c r="L2060" s="12">
        <f>Sales_Data[[#This Row],[Unit Price]]*Sales_Data[[#This Row],[Quantity]]</f>
        <v>1080000</v>
      </c>
      <c r="M2060" s="12">
        <f>Sales_Data[[#This Row],[Cost Price]]*Sales_Data[[#This Row],[Quantity]]</f>
        <v>864000</v>
      </c>
      <c r="N2060" s="12">
        <f>Sales_Data[[#This Row],[Revenue]]-Sales_Data[[#This Row],[COGS]]</f>
        <v>216000</v>
      </c>
    </row>
    <row r="2061" spans="1:14">
      <c r="A2061" s="1">
        <v>47735</v>
      </c>
      <c r="B2061" t="s">
        <v>18</v>
      </c>
      <c r="C2061" t="s">
        <v>26</v>
      </c>
      <c r="D2061" t="s">
        <v>13</v>
      </c>
      <c r="E2061" t="s">
        <v>20</v>
      </c>
      <c r="F2061" t="s">
        <v>27</v>
      </c>
      <c r="G2061" t="s">
        <v>22</v>
      </c>
      <c r="H2061" s="12">
        <v>60000</v>
      </c>
      <c r="I2061">
        <v>1</v>
      </c>
      <c r="J2061" t="s">
        <v>28</v>
      </c>
      <c r="K2061" s="12">
        <f t="shared" si="32"/>
        <v>48000</v>
      </c>
      <c r="L2061" s="12">
        <f>Sales_Data[[#This Row],[Unit Price]]*Sales_Data[[#This Row],[Quantity]]</f>
        <v>60000</v>
      </c>
      <c r="M2061" s="12">
        <f>Sales_Data[[#This Row],[Cost Price]]*Sales_Data[[#This Row],[Quantity]]</f>
        <v>48000</v>
      </c>
      <c r="N2061" s="12">
        <f>Sales_Data[[#This Row],[Revenue]]-Sales_Data[[#This Row],[COGS]]</f>
        <v>12000</v>
      </c>
    </row>
    <row r="2062" spans="1:14">
      <c r="A2062" s="1">
        <v>47736</v>
      </c>
      <c r="B2062" t="s">
        <v>18</v>
      </c>
      <c r="C2062" t="s">
        <v>26</v>
      </c>
      <c r="D2062" t="s">
        <v>13</v>
      </c>
      <c r="E2062" t="s">
        <v>14</v>
      </c>
      <c r="F2062" t="s">
        <v>36</v>
      </c>
      <c r="G2062" t="s">
        <v>31</v>
      </c>
      <c r="H2062" s="12">
        <v>150000</v>
      </c>
      <c r="I2062">
        <v>5</v>
      </c>
      <c r="J2062" t="s">
        <v>39</v>
      </c>
      <c r="K2062" s="12">
        <f t="shared" si="32"/>
        <v>120000</v>
      </c>
      <c r="L2062" s="12">
        <f>Sales_Data[[#This Row],[Unit Price]]*Sales_Data[[#This Row],[Quantity]]</f>
        <v>750000</v>
      </c>
      <c r="M2062" s="12">
        <f>Sales_Data[[#This Row],[Cost Price]]*Sales_Data[[#This Row],[Quantity]]</f>
        <v>600000</v>
      </c>
      <c r="N2062" s="12">
        <f>Sales_Data[[#This Row],[Revenue]]-Sales_Data[[#This Row],[COGS]]</f>
        <v>150000</v>
      </c>
    </row>
    <row r="2063" spans="1:14">
      <c r="A2063" s="1">
        <v>47737</v>
      </c>
      <c r="B2063" t="s">
        <v>29</v>
      </c>
      <c r="C2063" t="s">
        <v>19</v>
      </c>
      <c r="D2063" t="s">
        <v>23</v>
      </c>
      <c r="E2063" t="s">
        <v>20</v>
      </c>
      <c r="F2063" t="s">
        <v>15</v>
      </c>
      <c r="G2063" t="s">
        <v>16</v>
      </c>
      <c r="H2063" s="12">
        <v>85000</v>
      </c>
      <c r="I2063">
        <v>1</v>
      </c>
      <c r="J2063" t="s">
        <v>39</v>
      </c>
      <c r="K2063" s="12">
        <f t="shared" si="32"/>
        <v>68000</v>
      </c>
      <c r="L2063" s="12">
        <f>Sales_Data[[#This Row],[Unit Price]]*Sales_Data[[#This Row],[Quantity]]</f>
        <v>85000</v>
      </c>
      <c r="M2063" s="12">
        <f>Sales_Data[[#This Row],[Cost Price]]*Sales_Data[[#This Row],[Quantity]]</f>
        <v>68000</v>
      </c>
      <c r="N2063" s="12">
        <f>Sales_Data[[#This Row],[Revenue]]-Sales_Data[[#This Row],[COGS]]</f>
        <v>17000</v>
      </c>
    </row>
    <row r="2064" spans="1:14">
      <c r="A2064" s="1">
        <v>47738</v>
      </c>
      <c r="B2064" t="s">
        <v>25</v>
      </c>
      <c r="C2064" t="s">
        <v>19</v>
      </c>
      <c r="D2064" t="s">
        <v>23</v>
      </c>
      <c r="E2064" t="s">
        <v>20</v>
      </c>
      <c r="F2064" t="s">
        <v>36</v>
      </c>
      <c r="G2064" t="s">
        <v>31</v>
      </c>
      <c r="H2064" s="12">
        <v>150000</v>
      </c>
      <c r="I2064">
        <v>7</v>
      </c>
      <c r="J2064" t="s">
        <v>35</v>
      </c>
      <c r="K2064" s="12">
        <f t="shared" si="32"/>
        <v>120000</v>
      </c>
      <c r="L2064" s="12">
        <f>Sales_Data[[#This Row],[Unit Price]]*Sales_Data[[#This Row],[Quantity]]</f>
        <v>1050000</v>
      </c>
      <c r="M2064" s="12">
        <f>Sales_Data[[#This Row],[Cost Price]]*Sales_Data[[#This Row],[Quantity]]</f>
        <v>840000</v>
      </c>
      <c r="N2064" s="12">
        <f>Sales_Data[[#This Row],[Revenue]]-Sales_Data[[#This Row],[COGS]]</f>
        <v>210000</v>
      </c>
    </row>
    <row r="2065" spans="1:14">
      <c r="A2065" s="1">
        <v>47739</v>
      </c>
      <c r="B2065" t="s">
        <v>29</v>
      </c>
      <c r="C2065" t="s">
        <v>26</v>
      </c>
      <c r="D2065" t="s">
        <v>23</v>
      </c>
      <c r="E2065" t="s">
        <v>20</v>
      </c>
      <c r="F2065" t="s">
        <v>33</v>
      </c>
      <c r="G2065" t="s">
        <v>22</v>
      </c>
      <c r="H2065" s="12">
        <v>180000</v>
      </c>
      <c r="I2065">
        <v>4</v>
      </c>
      <c r="J2065" t="s">
        <v>17</v>
      </c>
      <c r="K2065" s="12">
        <f t="shared" si="32"/>
        <v>144000</v>
      </c>
      <c r="L2065" s="12">
        <f>Sales_Data[[#This Row],[Unit Price]]*Sales_Data[[#This Row],[Quantity]]</f>
        <v>720000</v>
      </c>
      <c r="M2065" s="12">
        <f>Sales_Data[[#This Row],[Cost Price]]*Sales_Data[[#This Row],[Quantity]]</f>
        <v>576000</v>
      </c>
      <c r="N2065" s="12">
        <f>Sales_Data[[#This Row],[Revenue]]-Sales_Data[[#This Row],[COGS]]</f>
        <v>144000</v>
      </c>
    </row>
    <row r="2066" spans="1:14">
      <c r="A2066" s="1">
        <v>47740</v>
      </c>
      <c r="B2066" t="s">
        <v>29</v>
      </c>
      <c r="C2066" t="s">
        <v>26</v>
      </c>
      <c r="D2066" t="s">
        <v>23</v>
      </c>
      <c r="E2066" t="s">
        <v>20</v>
      </c>
      <c r="F2066" t="s">
        <v>15</v>
      </c>
      <c r="G2066" t="s">
        <v>16</v>
      </c>
      <c r="H2066" s="12">
        <v>85000</v>
      </c>
      <c r="I2066">
        <v>8</v>
      </c>
      <c r="J2066" t="s">
        <v>17</v>
      </c>
      <c r="K2066" s="12">
        <f t="shared" si="32"/>
        <v>68000</v>
      </c>
      <c r="L2066" s="12">
        <f>Sales_Data[[#This Row],[Unit Price]]*Sales_Data[[#This Row],[Quantity]]</f>
        <v>680000</v>
      </c>
      <c r="M2066" s="12">
        <f>Sales_Data[[#This Row],[Cost Price]]*Sales_Data[[#This Row],[Quantity]]</f>
        <v>544000</v>
      </c>
      <c r="N2066" s="12">
        <f>Sales_Data[[#This Row],[Revenue]]-Sales_Data[[#This Row],[COGS]]</f>
        <v>136000</v>
      </c>
    </row>
    <row r="2067" spans="1:14">
      <c r="A2067" s="1">
        <v>47741</v>
      </c>
      <c r="B2067" t="s">
        <v>29</v>
      </c>
      <c r="C2067" t="s">
        <v>32</v>
      </c>
      <c r="D2067" t="s">
        <v>23</v>
      </c>
      <c r="E2067" t="s">
        <v>20</v>
      </c>
      <c r="F2067" t="s">
        <v>34</v>
      </c>
      <c r="G2067" t="s">
        <v>16</v>
      </c>
      <c r="H2067" s="12">
        <v>320000</v>
      </c>
      <c r="I2067">
        <v>4</v>
      </c>
      <c r="J2067" t="s">
        <v>24</v>
      </c>
      <c r="K2067" s="12">
        <f t="shared" si="32"/>
        <v>256000</v>
      </c>
      <c r="L2067" s="12">
        <f>Sales_Data[[#This Row],[Unit Price]]*Sales_Data[[#This Row],[Quantity]]</f>
        <v>1280000</v>
      </c>
      <c r="M2067" s="12">
        <f>Sales_Data[[#This Row],[Cost Price]]*Sales_Data[[#This Row],[Quantity]]</f>
        <v>1024000</v>
      </c>
      <c r="N2067" s="12">
        <f>Sales_Data[[#This Row],[Revenue]]-Sales_Data[[#This Row],[COGS]]</f>
        <v>256000</v>
      </c>
    </row>
    <row r="2068" spans="1:14">
      <c r="A2068" s="1">
        <v>47742</v>
      </c>
      <c r="B2068" t="s">
        <v>11</v>
      </c>
      <c r="C2068" t="s">
        <v>26</v>
      </c>
      <c r="D2068" t="s">
        <v>13</v>
      </c>
      <c r="E2068" t="s">
        <v>20</v>
      </c>
      <c r="F2068" t="s">
        <v>40</v>
      </c>
      <c r="G2068" t="s">
        <v>31</v>
      </c>
      <c r="H2068" s="12">
        <v>250000</v>
      </c>
      <c r="I2068">
        <v>6</v>
      </c>
      <c r="J2068" t="s">
        <v>35</v>
      </c>
      <c r="K2068" s="12">
        <f t="shared" si="32"/>
        <v>200000</v>
      </c>
      <c r="L2068" s="12">
        <f>Sales_Data[[#This Row],[Unit Price]]*Sales_Data[[#This Row],[Quantity]]</f>
        <v>1500000</v>
      </c>
      <c r="M2068" s="12">
        <f>Sales_Data[[#This Row],[Cost Price]]*Sales_Data[[#This Row],[Quantity]]</f>
        <v>1200000</v>
      </c>
      <c r="N2068" s="12">
        <f>Sales_Data[[#This Row],[Revenue]]-Sales_Data[[#This Row],[COGS]]</f>
        <v>300000</v>
      </c>
    </row>
    <row r="2069" spans="1:14">
      <c r="A2069" s="1">
        <v>47743</v>
      </c>
      <c r="B2069" t="s">
        <v>11</v>
      </c>
      <c r="C2069" t="s">
        <v>26</v>
      </c>
      <c r="D2069" t="s">
        <v>13</v>
      </c>
      <c r="E2069" t="s">
        <v>20</v>
      </c>
      <c r="F2069" t="s">
        <v>41</v>
      </c>
      <c r="G2069" t="s">
        <v>22</v>
      </c>
      <c r="H2069" s="12">
        <v>220000</v>
      </c>
      <c r="I2069">
        <v>5</v>
      </c>
      <c r="J2069" t="s">
        <v>28</v>
      </c>
      <c r="K2069" s="12">
        <f t="shared" si="32"/>
        <v>176000</v>
      </c>
      <c r="L2069" s="12">
        <f>Sales_Data[[#This Row],[Unit Price]]*Sales_Data[[#This Row],[Quantity]]</f>
        <v>1100000</v>
      </c>
      <c r="M2069" s="12">
        <f>Sales_Data[[#This Row],[Cost Price]]*Sales_Data[[#This Row],[Quantity]]</f>
        <v>880000</v>
      </c>
      <c r="N2069" s="12">
        <f>Sales_Data[[#This Row],[Revenue]]-Sales_Data[[#This Row],[COGS]]</f>
        <v>220000</v>
      </c>
    </row>
    <row r="2070" spans="1:14">
      <c r="A2070" s="1">
        <v>47744</v>
      </c>
      <c r="B2070" t="s">
        <v>25</v>
      </c>
      <c r="C2070" t="s">
        <v>19</v>
      </c>
      <c r="D2070" t="s">
        <v>23</v>
      </c>
      <c r="E2070" t="s">
        <v>20</v>
      </c>
      <c r="F2070" t="s">
        <v>30</v>
      </c>
      <c r="G2070" t="s">
        <v>31</v>
      </c>
      <c r="H2070" s="12">
        <v>300000</v>
      </c>
      <c r="I2070">
        <v>8</v>
      </c>
      <c r="J2070" t="s">
        <v>37</v>
      </c>
      <c r="K2070" s="12">
        <f t="shared" si="32"/>
        <v>240000</v>
      </c>
      <c r="L2070" s="12">
        <f>Sales_Data[[#This Row],[Unit Price]]*Sales_Data[[#This Row],[Quantity]]</f>
        <v>2400000</v>
      </c>
      <c r="M2070" s="12">
        <f>Sales_Data[[#This Row],[Cost Price]]*Sales_Data[[#This Row],[Quantity]]</f>
        <v>1920000</v>
      </c>
      <c r="N2070" s="12">
        <f>Sales_Data[[#This Row],[Revenue]]-Sales_Data[[#This Row],[COGS]]</f>
        <v>480000</v>
      </c>
    </row>
    <row r="2071" spans="1:14">
      <c r="A2071" s="1">
        <v>47745</v>
      </c>
      <c r="B2071" t="s">
        <v>25</v>
      </c>
      <c r="C2071" t="s">
        <v>32</v>
      </c>
      <c r="D2071" t="s">
        <v>13</v>
      </c>
      <c r="E2071" t="s">
        <v>20</v>
      </c>
      <c r="F2071" t="s">
        <v>27</v>
      </c>
      <c r="G2071" t="s">
        <v>22</v>
      </c>
      <c r="H2071" s="12">
        <v>60000</v>
      </c>
      <c r="I2071">
        <v>10</v>
      </c>
      <c r="J2071" t="s">
        <v>28</v>
      </c>
      <c r="K2071" s="12">
        <f t="shared" si="32"/>
        <v>48000</v>
      </c>
      <c r="L2071" s="12">
        <f>Sales_Data[[#This Row],[Unit Price]]*Sales_Data[[#This Row],[Quantity]]</f>
        <v>600000</v>
      </c>
      <c r="M2071" s="12">
        <f>Sales_Data[[#This Row],[Cost Price]]*Sales_Data[[#This Row],[Quantity]]</f>
        <v>480000</v>
      </c>
      <c r="N2071" s="12">
        <f>Sales_Data[[#This Row],[Revenue]]-Sales_Data[[#This Row],[COGS]]</f>
        <v>120000</v>
      </c>
    </row>
    <row r="2072" spans="1:14">
      <c r="A2072" s="1">
        <v>47746</v>
      </c>
      <c r="B2072" t="s">
        <v>25</v>
      </c>
      <c r="C2072" t="s">
        <v>19</v>
      </c>
      <c r="D2072" t="s">
        <v>13</v>
      </c>
      <c r="E2072" t="s">
        <v>20</v>
      </c>
      <c r="F2072" t="s">
        <v>33</v>
      </c>
      <c r="G2072" t="s">
        <v>22</v>
      </c>
      <c r="H2072" s="12">
        <v>180000</v>
      </c>
      <c r="I2072">
        <v>6</v>
      </c>
      <c r="J2072" t="s">
        <v>39</v>
      </c>
      <c r="K2072" s="12">
        <f t="shared" si="32"/>
        <v>144000</v>
      </c>
      <c r="L2072" s="12">
        <f>Sales_Data[[#This Row],[Unit Price]]*Sales_Data[[#This Row],[Quantity]]</f>
        <v>1080000</v>
      </c>
      <c r="M2072" s="12">
        <f>Sales_Data[[#This Row],[Cost Price]]*Sales_Data[[#This Row],[Quantity]]</f>
        <v>864000</v>
      </c>
      <c r="N2072" s="12">
        <f>Sales_Data[[#This Row],[Revenue]]-Sales_Data[[#This Row],[COGS]]</f>
        <v>216000</v>
      </c>
    </row>
    <row r="2073" spans="1:14">
      <c r="A2073" s="1">
        <v>47747</v>
      </c>
      <c r="B2073" t="s">
        <v>25</v>
      </c>
      <c r="C2073" t="s">
        <v>26</v>
      </c>
      <c r="D2073" t="s">
        <v>23</v>
      </c>
      <c r="E2073" t="s">
        <v>20</v>
      </c>
      <c r="F2073" t="s">
        <v>27</v>
      </c>
      <c r="G2073" t="s">
        <v>22</v>
      </c>
      <c r="H2073" s="12">
        <v>60000</v>
      </c>
      <c r="I2073">
        <v>3</v>
      </c>
      <c r="J2073" t="s">
        <v>37</v>
      </c>
      <c r="K2073" s="12">
        <f t="shared" si="32"/>
        <v>48000</v>
      </c>
      <c r="L2073" s="12">
        <f>Sales_Data[[#This Row],[Unit Price]]*Sales_Data[[#This Row],[Quantity]]</f>
        <v>180000</v>
      </c>
      <c r="M2073" s="12">
        <f>Sales_Data[[#This Row],[Cost Price]]*Sales_Data[[#This Row],[Quantity]]</f>
        <v>144000</v>
      </c>
      <c r="N2073" s="12">
        <f>Sales_Data[[#This Row],[Revenue]]-Sales_Data[[#This Row],[COGS]]</f>
        <v>36000</v>
      </c>
    </row>
    <row r="2074" spans="1:14">
      <c r="A2074" s="1">
        <v>47748</v>
      </c>
      <c r="B2074" t="s">
        <v>25</v>
      </c>
      <c r="C2074" t="s">
        <v>26</v>
      </c>
      <c r="D2074" t="s">
        <v>13</v>
      </c>
      <c r="E2074" t="s">
        <v>20</v>
      </c>
      <c r="F2074" t="s">
        <v>21</v>
      </c>
      <c r="G2074" t="s">
        <v>22</v>
      </c>
      <c r="H2074" s="12">
        <v>30000</v>
      </c>
      <c r="I2074">
        <v>4</v>
      </c>
      <c r="J2074" t="s">
        <v>24</v>
      </c>
      <c r="K2074" s="12">
        <f t="shared" si="32"/>
        <v>24000</v>
      </c>
      <c r="L2074" s="12">
        <f>Sales_Data[[#This Row],[Unit Price]]*Sales_Data[[#This Row],[Quantity]]</f>
        <v>120000</v>
      </c>
      <c r="M2074" s="12">
        <f>Sales_Data[[#This Row],[Cost Price]]*Sales_Data[[#This Row],[Quantity]]</f>
        <v>96000</v>
      </c>
      <c r="N2074" s="12">
        <f>Sales_Data[[#This Row],[Revenue]]-Sales_Data[[#This Row],[COGS]]</f>
        <v>24000</v>
      </c>
    </row>
    <row r="2075" spans="1:14">
      <c r="A2075" s="1">
        <v>47749</v>
      </c>
      <c r="B2075" t="s">
        <v>18</v>
      </c>
      <c r="C2075" t="s">
        <v>12</v>
      </c>
      <c r="D2075" t="s">
        <v>23</v>
      </c>
      <c r="E2075" t="s">
        <v>20</v>
      </c>
      <c r="F2075" t="s">
        <v>27</v>
      </c>
      <c r="G2075" t="s">
        <v>22</v>
      </c>
      <c r="H2075" s="12">
        <v>60000</v>
      </c>
      <c r="I2075">
        <v>4</v>
      </c>
      <c r="J2075" t="s">
        <v>37</v>
      </c>
      <c r="K2075" s="12">
        <f t="shared" si="32"/>
        <v>48000</v>
      </c>
      <c r="L2075" s="12">
        <f>Sales_Data[[#This Row],[Unit Price]]*Sales_Data[[#This Row],[Quantity]]</f>
        <v>240000</v>
      </c>
      <c r="M2075" s="12">
        <f>Sales_Data[[#This Row],[Cost Price]]*Sales_Data[[#This Row],[Quantity]]</f>
        <v>192000</v>
      </c>
      <c r="N2075" s="12">
        <f>Sales_Data[[#This Row],[Revenue]]-Sales_Data[[#This Row],[COGS]]</f>
        <v>48000</v>
      </c>
    </row>
    <row r="2076" spans="1:14">
      <c r="A2076" s="1">
        <v>47750</v>
      </c>
      <c r="B2076" t="s">
        <v>11</v>
      </c>
      <c r="C2076" t="s">
        <v>26</v>
      </c>
      <c r="D2076" t="s">
        <v>23</v>
      </c>
      <c r="E2076" t="s">
        <v>20</v>
      </c>
      <c r="F2076" t="s">
        <v>33</v>
      </c>
      <c r="G2076" t="s">
        <v>22</v>
      </c>
      <c r="H2076" s="12">
        <v>180000</v>
      </c>
      <c r="I2076">
        <v>5</v>
      </c>
      <c r="J2076" t="s">
        <v>28</v>
      </c>
      <c r="K2076" s="12">
        <f t="shared" si="32"/>
        <v>144000</v>
      </c>
      <c r="L2076" s="12">
        <f>Sales_Data[[#This Row],[Unit Price]]*Sales_Data[[#This Row],[Quantity]]</f>
        <v>900000</v>
      </c>
      <c r="M2076" s="12">
        <f>Sales_Data[[#This Row],[Cost Price]]*Sales_Data[[#This Row],[Quantity]]</f>
        <v>720000</v>
      </c>
      <c r="N2076" s="12">
        <f>Sales_Data[[#This Row],[Revenue]]-Sales_Data[[#This Row],[COGS]]</f>
        <v>180000</v>
      </c>
    </row>
    <row r="2077" spans="1:14">
      <c r="A2077" s="1">
        <v>47751</v>
      </c>
      <c r="B2077" t="s">
        <v>29</v>
      </c>
      <c r="C2077" t="s">
        <v>12</v>
      </c>
      <c r="D2077" t="s">
        <v>13</v>
      </c>
      <c r="E2077" t="s">
        <v>20</v>
      </c>
      <c r="F2077" t="s">
        <v>15</v>
      </c>
      <c r="G2077" t="s">
        <v>16</v>
      </c>
      <c r="H2077" s="12">
        <v>85000</v>
      </c>
      <c r="I2077">
        <v>9</v>
      </c>
      <c r="J2077" t="s">
        <v>24</v>
      </c>
      <c r="K2077" s="12">
        <f t="shared" si="32"/>
        <v>68000</v>
      </c>
      <c r="L2077" s="12">
        <f>Sales_Data[[#This Row],[Unit Price]]*Sales_Data[[#This Row],[Quantity]]</f>
        <v>765000</v>
      </c>
      <c r="M2077" s="12">
        <f>Sales_Data[[#This Row],[Cost Price]]*Sales_Data[[#This Row],[Quantity]]</f>
        <v>612000</v>
      </c>
      <c r="N2077" s="12">
        <f>Sales_Data[[#This Row],[Revenue]]-Sales_Data[[#This Row],[COGS]]</f>
        <v>153000</v>
      </c>
    </row>
    <row r="2078" spans="1:14">
      <c r="A2078" s="1">
        <v>47752</v>
      </c>
      <c r="B2078" t="s">
        <v>11</v>
      </c>
      <c r="C2078" t="s">
        <v>32</v>
      </c>
      <c r="D2078" t="s">
        <v>13</v>
      </c>
      <c r="E2078" t="s">
        <v>20</v>
      </c>
      <c r="F2078" t="s">
        <v>15</v>
      </c>
      <c r="G2078" t="s">
        <v>16</v>
      </c>
      <c r="H2078" s="12">
        <v>85000</v>
      </c>
      <c r="I2078">
        <v>9</v>
      </c>
      <c r="J2078" t="s">
        <v>37</v>
      </c>
      <c r="K2078" s="12">
        <f t="shared" si="32"/>
        <v>68000</v>
      </c>
      <c r="L2078" s="12">
        <f>Sales_Data[[#This Row],[Unit Price]]*Sales_Data[[#This Row],[Quantity]]</f>
        <v>765000</v>
      </c>
      <c r="M2078" s="12">
        <f>Sales_Data[[#This Row],[Cost Price]]*Sales_Data[[#This Row],[Quantity]]</f>
        <v>612000</v>
      </c>
      <c r="N2078" s="12">
        <f>Sales_Data[[#This Row],[Revenue]]-Sales_Data[[#This Row],[COGS]]</f>
        <v>153000</v>
      </c>
    </row>
    <row r="2079" spans="1:14">
      <c r="A2079" s="1">
        <v>47753</v>
      </c>
      <c r="B2079" t="s">
        <v>29</v>
      </c>
      <c r="C2079" t="s">
        <v>12</v>
      </c>
      <c r="D2079" t="s">
        <v>23</v>
      </c>
      <c r="E2079" t="s">
        <v>20</v>
      </c>
      <c r="F2079" t="s">
        <v>33</v>
      </c>
      <c r="G2079" t="s">
        <v>22</v>
      </c>
      <c r="H2079" s="12">
        <v>180000</v>
      </c>
      <c r="I2079">
        <v>8</v>
      </c>
      <c r="J2079" t="s">
        <v>39</v>
      </c>
      <c r="K2079" s="12">
        <f t="shared" si="32"/>
        <v>144000</v>
      </c>
      <c r="L2079" s="12">
        <f>Sales_Data[[#This Row],[Unit Price]]*Sales_Data[[#This Row],[Quantity]]</f>
        <v>1440000</v>
      </c>
      <c r="M2079" s="12">
        <f>Sales_Data[[#This Row],[Cost Price]]*Sales_Data[[#This Row],[Quantity]]</f>
        <v>1152000</v>
      </c>
      <c r="N2079" s="12">
        <f>Sales_Data[[#This Row],[Revenue]]-Sales_Data[[#This Row],[COGS]]</f>
        <v>288000</v>
      </c>
    </row>
    <row r="2080" spans="1:14">
      <c r="A2080" s="1">
        <v>47754</v>
      </c>
      <c r="B2080" t="s">
        <v>29</v>
      </c>
      <c r="C2080" t="s">
        <v>19</v>
      </c>
      <c r="D2080" t="s">
        <v>23</v>
      </c>
      <c r="E2080" t="s">
        <v>20</v>
      </c>
      <c r="F2080" t="s">
        <v>36</v>
      </c>
      <c r="G2080" t="s">
        <v>31</v>
      </c>
      <c r="H2080" s="12">
        <v>150000</v>
      </c>
      <c r="I2080">
        <v>2</v>
      </c>
      <c r="J2080" t="s">
        <v>39</v>
      </c>
      <c r="K2080" s="12">
        <f t="shared" si="32"/>
        <v>120000</v>
      </c>
      <c r="L2080" s="12">
        <f>Sales_Data[[#This Row],[Unit Price]]*Sales_Data[[#This Row],[Quantity]]</f>
        <v>300000</v>
      </c>
      <c r="M2080" s="12">
        <f>Sales_Data[[#This Row],[Cost Price]]*Sales_Data[[#This Row],[Quantity]]</f>
        <v>240000</v>
      </c>
      <c r="N2080" s="12">
        <f>Sales_Data[[#This Row],[Revenue]]-Sales_Data[[#This Row],[COGS]]</f>
        <v>60000</v>
      </c>
    </row>
    <row r="2081" spans="1:14">
      <c r="A2081" s="1">
        <v>47755</v>
      </c>
      <c r="B2081" t="s">
        <v>18</v>
      </c>
      <c r="C2081" t="s">
        <v>26</v>
      </c>
      <c r="D2081" t="s">
        <v>23</v>
      </c>
      <c r="E2081" t="s">
        <v>20</v>
      </c>
      <c r="F2081" t="s">
        <v>21</v>
      </c>
      <c r="G2081" t="s">
        <v>22</v>
      </c>
      <c r="H2081" s="12">
        <v>30000</v>
      </c>
      <c r="I2081">
        <v>3</v>
      </c>
      <c r="J2081" t="s">
        <v>17</v>
      </c>
      <c r="K2081" s="12">
        <f t="shared" si="32"/>
        <v>24000</v>
      </c>
      <c r="L2081" s="12">
        <f>Sales_Data[[#This Row],[Unit Price]]*Sales_Data[[#This Row],[Quantity]]</f>
        <v>90000</v>
      </c>
      <c r="M2081" s="12">
        <f>Sales_Data[[#This Row],[Cost Price]]*Sales_Data[[#This Row],[Quantity]]</f>
        <v>72000</v>
      </c>
      <c r="N2081" s="12">
        <f>Sales_Data[[#This Row],[Revenue]]-Sales_Data[[#This Row],[COGS]]</f>
        <v>18000</v>
      </c>
    </row>
    <row r="2082" spans="1:14">
      <c r="A2082" s="1">
        <v>47756</v>
      </c>
      <c r="B2082" t="s">
        <v>29</v>
      </c>
      <c r="C2082" t="s">
        <v>12</v>
      </c>
      <c r="D2082" t="s">
        <v>23</v>
      </c>
      <c r="E2082" t="s">
        <v>20</v>
      </c>
      <c r="F2082" t="s">
        <v>21</v>
      </c>
      <c r="G2082" t="s">
        <v>22</v>
      </c>
      <c r="H2082" s="12">
        <v>30000</v>
      </c>
      <c r="I2082">
        <v>5</v>
      </c>
      <c r="J2082" t="s">
        <v>24</v>
      </c>
      <c r="K2082" s="12">
        <f t="shared" si="32"/>
        <v>24000</v>
      </c>
      <c r="L2082" s="12">
        <f>Sales_Data[[#This Row],[Unit Price]]*Sales_Data[[#This Row],[Quantity]]</f>
        <v>150000</v>
      </c>
      <c r="M2082" s="12">
        <f>Sales_Data[[#This Row],[Cost Price]]*Sales_Data[[#This Row],[Quantity]]</f>
        <v>120000</v>
      </c>
      <c r="N2082" s="12">
        <f>Sales_Data[[#This Row],[Revenue]]-Sales_Data[[#This Row],[COGS]]</f>
        <v>30000</v>
      </c>
    </row>
    <row r="2083" spans="1:14">
      <c r="A2083" s="1">
        <v>47757</v>
      </c>
      <c r="B2083" t="s">
        <v>18</v>
      </c>
      <c r="C2083" t="s">
        <v>19</v>
      </c>
      <c r="D2083" t="s">
        <v>23</v>
      </c>
      <c r="E2083" t="s">
        <v>20</v>
      </c>
      <c r="F2083" t="s">
        <v>21</v>
      </c>
      <c r="G2083" t="s">
        <v>22</v>
      </c>
      <c r="H2083" s="12">
        <v>30000</v>
      </c>
      <c r="I2083">
        <v>7</v>
      </c>
      <c r="J2083" t="s">
        <v>39</v>
      </c>
      <c r="K2083" s="12">
        <f t="shared" si="32"/>
        <v>24000</v>
      </c>
      <c r="L2083" s="12">
        <f>Sales_Data[[#This Row],[Unit Price]]*Sales_Data[[#This Row],[Quantity]]</f>
        <v>210000</v>
      </c>
      <c r="M2083" s="12">
        <f>Sales_Data[[#This Row],[Cost Price]]*Sales_Data[[#This Row],[Quantity]]</f>
        <v>168000</v>
      </c>
      <c r="N2083" s="12">
        <f>Sales_Data[[#This Row],[Revenue]]-Sales_Data[[#This Row],[COGS]]</f>
        <v>42000</v>
      </c>
    </row>
    <row r="2084" spans="1:14">
      <c r="A2084" s="1">
        <v>47758</v>
      </c>
      <c r="B2084" t="s">
        <v>18</v>
      </c>
      <c r="C2084" t="s">
        <v>12</v>
      </c>
      <c r="D2084" t="s">
        <v>13</v>
      </c>
      <c r="E2084" t="s">
        <v>20</v>
      </c>
      <c r="F2084" t="s">
        <v>33</v>
      </c>
      <c r="G2084" t="s">
        <v>22</v>
      </c>
      <c r="H2084" s="12">
        <v>180000</v>
      </c>
      <c r="I2084">
        <v>4</v>
      </c>
      <c r="J2084" t="s">
        <v>17</v>
      </c>
      <c r="K2084" s="12">
        <f t="shared" si="32"/>
        <v>144000</v>
      </c>
      <c r="L2084" s="12">
        <f>Sales_Data[[#This Row],[Unit Price]]*Sales_Data[[#This Row],[Quantity]]</f>
        <v>720000</v>
      </c>
      <c r="M2084" s="12">
        <f>Sales_Data[[#This Row],[Cost Price]]*Sales_Data[[#This Row],[Quantity]]</f>
        <v>576000</v>
      </c>
      <c r="N2084" s="12">
        <f>Sales_Data[[#This Row],[Revenue]]-Sales_Data[[#This Row],[COGS]]</f>
        <v>144000</v>
      </c>
    </row>
    <row r="2085" spans="1:14">
      <c r="A2085" s="1">
        <v>47759</v>
      </c>
      <c r="B2085" t="s">
        <v>18</v>
      </c>
      <c r="C2085" t="s">
        <v>12</v>
      </c>
      <c r="D2085" t="s">
        <v>23</v>
      </c>
      <c r="E2085" t="s">
        <v>20</v>
      </c>
      <c r="F2085" t="s">
        <v>33</v>
      </c>
      <c r="G2085" t="s">
        <v>22</v>
      </c>
      <c r="H2085" s="12">
        <v>180000</v>
      </c>
      <c r="I2085">
        <v>1</v>
      </c>
      <c r="J2085" t="s">
        <v>35</v>
      </c>
      <c r="K2085" s="12">
        <f t="shared" si="32"/>
        <v>144000</v>
      </c>
      <c r="L2085" s="12">
        <f>Sales_Data[[#This Row],[Unit Price]]*Sales_Data[[#This Row],[Quantity]]</f>
        <v>180000</v>
      </c>
      <c r="M2085" s="12">
        <f>Sales_Data[[#This Row],[Cost Price]]*Sales_Data[[#This Row],[Quantity]]</f>
        <v>144000</v>
      </c>
      <c r="N2085" s="12">
        <f>Sales_Data[[#This Row],[Revenue]]-Sales_Data[[#This Row],[COGS]]</f>
        <v>36000</v>
      </c>
    </row>
    <row r="2086" spans="1:14">
      <c r="A2086" s="1">
        <v>47760</v>
      </c>
      <c r="B2086" t="s">
        <v>25</v>
      </c>
      <c r="C2086" t="s">
        <v>19</v>
      </c>
      <c r="D2086" t="s">
        <v>13</v>
      </c>
      <c r="E2086" t="s">
        <v>20</v>
      </c>
      <c r="F2086" t="s">
        <v>27</v>
      </c>
      <c r="G2086" t="s">
        <v>22</v>
      </c>
      <c r="H2086" s="12">
        <v>60000</v>
      </c>
      <c r="I2086">
        <v>10</v>
      </c>
      <c r="J2086" t="s">
        <v>37</v>
      </c>
      <c r="K2086" s="12">
        <f t="shared" si="32"/>
        <v>48000</v>
      </c>
      <c r="L2086" s="12">
        <f>Sales_Data[[#This Row],[Unit Price]]*Sales_Data[[#This Row],[Quantity]]</f>
        <v>600000</v>
      </c>
      <c r="M2086" s="12">
        <f>Sales_Data[[#This Row],[Cost Price]]*Sales_Data[[#This Row],[Quantity]]</f>
        <v>480000</v>
      </c>
      <c r="N2086" s="12">
        <f>Sales_Data[[#This Row],[Revenue]]-Sales_Data[[#This Row],[COGS]]</f>
        <v>120000</v>
      </c>
    </row>
    <row r="2087" spans="1:14">
      <c r="A2087" s="1">
        <v>47761</v>
      </c>
      <c r="B2087" t="s">
        <v>29</v>
      </c>
      <c r="C2087" t="s">
        <v>19</v>
      </c>
      <c r="D2087" t="s">
        <v>13</v>
      </c>
      <c r="E2087" t="s">
        <v>20</v>
      </c>
      <c r="F2087" t="s">
        <v>40</v>
      </c>
      <c r="G2087" t="s">
        <v>31</v>
      </c>
      <c r="H2087" s="12">
        <v>250000</v>
      </c>
      <c r="I2087">
        <v>8</v>
      </c>
      <c r="J2087" t="s">
        <v>28</v>
      </c>
      <c r="K2087" s="12">
        <f t="shared" si="32"/>
        <v>200000</v>
      </c>
      <c r="L2087" s="12">
        <f>Sales_Data[[#This Row],[Unit Price]]*Sales_Data[[#This Row],[Quantity]]</f>
        <v>2000000</v>
      </c>
      <c r="M2087" s="12">
        <f>Sales_Data[[#This Row],[Cost Price]]*Sales_Data[[#This Row],[Quantity]]</f>
        <v>1600000</v>
      </c>
      <c r="N2087" s="12">
        <f>Sales_Data[[#This Row],[Revenue]]-Sales_Data[[#This Row],[COGS]]</f>
        <v>400000</v>
      </c>
    </row>
    <row r="2088" spans="1:14">
      <c r="A2088" s="1">
        <v>47762</v>
      </c>
      <c r="B2088" t="s">
        <v>29</v>
      </c>
      <c r="C2088" t="s">
        <v>26</v>
      </c>
      <c r="D2088" t="s">
        <v>13</v>
      </c>
      <c r="E2088" t="s">
        <v>20</v>
      </c>
      <c r="F2088" t="s">
        <v>21</v>
      </c>
      <c r="G2088" t="s">
        <v>22</v>
      </c>
      <c r="H2088" s="12">
        <v>30000</v>
      </c>
      <c r="I2088">
        <v>8</v>
      </c>
      <c r="J2088" t="s">
        <v>37</v>
      </c>
      <c r="K2088" s="12">
        <f t="shared" si="32"/>
        <v>24000</v>
      </c>
      <c r="L2088" s="12">
        <f>Sales_Data[[#This Row],[Unit Price]]*Sales_Data[[#This Row],[Quantity]]</f>
        <v>240000</v>
      </c>
      <c r="M2088" s="12">
        <f>Sales_Data[[#This Row],[Cost Price]]*Sales_Data[[#This Row],[Quantity]]</f>
        <v>192000</v>
      </c>
      <c r="N2088" s="12">
        <f>Sales_Data[[#This Row],[Revenue]]-Sales_Data[[#This Row],[COGS]]</f>
        <v>48000</v>
      </c>
    </row>
    <row r="2089" spans="1:14">
      <c r="A2089" s="1">
        <v>47763</v>
      </c>
      <c r="B2089" t="s">
        <v>29</v>
      </c>
      <c r="C2089" t="s">
        <v>12</v>
      </c>
      <c r="D2089" t="s">
        <v>23</v>
      </c>
      <c r="E2089" t="s">
        <v>14</v>
      </c>
      <c r="F2089" t="s">
        <v>33</v>
      </c>
      <c r="G2089" t="s">
        <v>22</v>
      </c>
      <c r="H2089" s="12">
        <v>180000</v>
      </c>
      <c r="I2089">
        <v>4</v>
      </c>
      <c r="J2089" t="s">
        <v>28</v>
      </c>
      <c r="K2089" s="12">
        <f t="shared" si="32"/>
        <v>144000</v>
      </c>
      <c r="L2089" s="12">
        <f>Sales_Data[[#This Row],[Unit Price]]*Sales_Data[[#This Row],[Quantity]]</f>
        <v>720000</v>
      </c>
      <c r="M2089" s="12">
        <f>Sales_Data[[#This Row],[Cost Price]]*Sales_Data[[#This Row],[Quantity]]</f>
        <v>576000</v>
      </c>
      <c r="N2089" s="12">
        <f>Sales_Data[[#This Row],[Revenue]]-Sales_Data[[#This Row],[COGS]]</f>
        <v>144000</v>
      </c>
    </row>
    <row r="2090" spans="1:14">
      <c r="A2090" s="1">
        <v>47764</v>
      </c>
      <c r="B2090" t="s">
        <v>18</v>
      </c>
      <c r="C2090" t="s">
        <v>19</v>
      </c>
      <c r="D2090" t="s">
        <v>23</v>
      </c>
      <c r="E2090" t="s">
        <v>14</v>
      </c>
      <c r="F2090" t="s">
        <v>36</v>
      </c>
      <c r="G2090" t="s">
        <v>31</v>
      </c>
      <c r="H2090" s="12">
        <v>150000</v>
      </c>
      <c r="I2090">
        <v>1</v>
      </c>
      <c r="J2090" t="s">
        <v>28</v>
      </c>
      <c r="K2090" s="12">
        <f t="shared" si="32"/>
        <v>120000</v>
      </c>
      <c r="L2090" s="12">
        <f>Sales_Data[[#This Row],[Unit Price]]*Sales_Data[[#This Row],[Quantity]]</f>
        <v>150000</v>
      </c>
      <c r="M2090" s="12">
        <f>Sales_Data[[#This Row],[Cost Price]]*Sales_Data[[#This Row],[Quantity]]</f>
        <v>120000</v>
      </c>
      <c r="N2090" s="12">
        <f>Sales_Data[[#This Row],[Revenue]]-Sales_Data[[#This Row],[COGS]]</f>
        <v>30000</v>
      </c>
    </row>
    <row r="2091" spans="1:14">
      <c r="A2091" s="1">
        <v>47765</v>
      </c>
      <c r="B2091" t="s">
        <v>29</v>
      </c>
      <c r="C2091" t="s">
        <v>32</v>
      </c>
      <c r="D2091" t="s">
        <v>13</v>
      </c>
      <c r="E2091" t="s">
        <v>20</v>
      </c>
      <c r="F2091" t="s">
        <v>30</v>
      </c>
      <c r="G2091" t="s">
        <v>31</v>
      </c>
      <c r="H2091" s="12">
        <v>300000</v>
      </c>
      <c r="I2091">
        <v>3</v>
      </c>
      <c r="J2091" t="s">
        <v>17</v>
      </c>
      <c r="K2091" s="12">
        <f t="shared" si="32"/>
        <v>240000</v>
      </c>
      <c r="L2091" s="12">
        <f>Sales_Data[[#This Row],[Unit Price]]*Sales_Data[[#This Row],[Quantity]]</f>
        <v>900000</v>
      </c>
      <c r="M2091" s="12">
        <f>Sales_Data[[#This Row],[Cost Price]]*Sales_Data[[#This Row],[Quantity]]</f>
        <v>720000</v>
      </c>
      <c r="N2091" s="12">
        <f>Sales_Data[[#This Row],[Revenue]]-Sales_Data[[#This Row],[COGS]]</f>
        <v>180000</v>
      </c>
    </row>
    <row r="2092" spans="1:14">
      <c r="A2092" s="1">
        <v>47766</v>
      </c>
      <c r="B2092" t="s">
        <v>11</v>
      </c>
      <c r="C2092" t="s">
        <v>26</v>
      </c>
      <c r="D2092" t="s">
        <v>13</v>
      </c>
      <c r="E2092" t="s">
        <v>14</v>
      </c>
      <c r="F2092" t="s">
        <v>34</v>
      </c>
      <c r="G2092" t="s">
        <v>16</v>
      </c>
      <c r="H2092" s="12">
        <v>320000</v>
      </c>
      <c r="I2092">
        <v>5</v>
      </c>
      <c r="J2092" t="s">
        <v>17</v>
      </c>
      <c r="K2092" s="12">
        <f t="shared" si="32"/>
        <v>256000</v>
      </c>
      <c r="L2092" s="12">
        <f>Sales_Data[[#This Row],[Unit Price]]*Sales_Data[[#This Row],[Quantity]]</f>
        <v>1600000</v>
      </c>
      <c r="M2092" s="12">
        <f>Sales_Data[[#This Row],[Cost Price]]*Sales_Data[[#This Row],[Quantity]]</f>
        <v>1280000</v>
      </c>
      <c r="N2092" s="12">
        <f>Sales_Data[[#This Row],[Revenue]]-Sales_Data[[#This Row],[COGS]]</f>
        <v>320000</v>
      </c>
    </row>
    <row r="2093" spans="1:14">
      <c r="A2093" s="1">
        <v>47767</v>
      </c>
      <c r="B2093" t="s">
        <v>11</v>
      </c>
      <c r="C2093" t="s">
        <v>32</v>
      </c>
      <c r="D2093" t="s">
        <v>23</v>
      </c>
      <c r="E2093" t="s">
        <v>14</v>
      </c>
      <c r="F2093" t="s">
        <v>30</v>
      </c>
      <c r="G2093" t="s">
        <v>31</v>
      </c>
      <c r="H2093" s="12">
        <v>300000</v>
      </c>
      <c r="I2093">
        <v>1</v>
      </c>
      <c r="J2093" t="s">
        <v>24</v>
      </c>
      <c r="K2093" s="12">
        <f t="shared" si="32"/>
        <v>240000</v>
      </c>
      <c r="L2093" s="12">
        <f>Sales_Data[[#This Row],[Unit Price]]*Sales_Data[[#This Row],[Quantity]]</f>
        <v>300000</v>
      </c>
      <c r="M2093" s="12">
        <f>Sales_Data[[#This Row],[Cost Price]]*Sales_Data[[#This Row],[Quantity]]</f>
        <v>240000</v>
      </c>
      <c r="N2093" s="12">
        <f>Sales_Data[[#This Row],[Revenue]]-Sales_Data[[#This Row],[COGS]]</f>
        <v>60000</v>
      </c>
    </row>
    <row r="2094" spans="1:14">
      <c r="A2094" s="1">
        <v>47768</v>
      </c>
      <c r="B2094" t="s">
        <v>11</v>
      </c>
      <c r="C2094" t="s">
        <v>19</v>
      </c>
      <c r="D2094" t="s">
        <v>23</v>
      </c>
      <c r="E2094" t="s">
        <v>14</v>
      </c>
      <c r="F2094" t="s">
        <v>36</v>
      </c>
      <c r="G2094" t="s">
        <v>31</v>
      </c>
      <c r="H2094" s="12">
        <v>150000</v>
      </c>
      <c r="I2094">
        <v>4</v>
      </c>
      <c r="J2094" t="s">
        <v>28</v>
      </c>
      <c r="K2094" s="12">
        <f t="shared" si="32"/>
        <v>120000</v>
      </c>
      <c r="L2094" s="12">
        <f>Sales_Data[[#This Row],[Unit Price]]*Sales_Data[[#This Row],[Quantity]]</f>
        <v>600000</v>
      </c>
      <c r="M2094" s="12">
        <f>Sales_Data[[#This Row],[Cost Price]]*Sales_Data[[#This Row],[Quantity]]</f>
        <v>480000</v>
      </c>
      <c r="N2094" s="12">
        <f>Sales_Data[[#This Row],[Revenue]]-Sales_Data[[#This Row],[COGS]]</f>
        <v>120000</v>
      </c>
    </row>
    <row r="2095" spans="1:14">
      <c r="A2095" s="1">
        <v>47769</v>
      </c>
      <c r="B2095" t="s">
        <v>25</v>
      </c>
      <c r="C2095" t="s">
        <v>12</v>
      </c>
      <c r="D2095" t="s">
        <v>23</v>
      </c>
      <c r="E2095" t="s">
        <v>14</v>
      </c>
      <c r="F2095" t="s">
        <v>40</v>
      </c>
      <c r="G2095" t="s">
        <v>31</v>
      </c>
      <c r="H2095" s="12">
        <v>250000</v>
      </c>
      <c r="I2095">
        <v>2</v>
      </c>
      <c r="J2095" t="s">
        <v>35</v>
      </c>
      <c r="K2095" s="12">
        <f t="shared" si="32"/>
        <v>200000</v>
      </c>
      <c r="L2095" s="12">
        <f>Sales_Data[[#This Row],[Unit Price]]*Sales_Data[[#This Row],[Quantity]]</f>
        <v>500000</v>
      </c>
      <c r="M2095" s="12">
        <f>Sales_Data[[#This Row],[Cost Price]]*Sales_Data[[#This Row],[Quantity]]</f>
        <v>400000</v>
      </c>
      <c r="N2095" s="12">
        <f>Sales_Data[[#This Row],[Revenue]]-Sales_Data[[#This Row],[COGS]]</f>
        <v>100000</v>
      </c>
    </row>
    <row r="2096" spans="1:14">
      <c r="A2096" s="1">
        <v>47770</v>
      </c>
      <c r="B2096" t="s">
        <v>29</v>
      </c>
      <c r="C2096" t="s">
        <v>19</v>
      </c>
      <c r="D2096" t="s">
        <v>13</v>
      </c>
      <c r="E2096" t="s">
        <v>20</v>
      </c>
      <c r="F2096" t="s">
        <v>40</v>
      </c>
      <c r="G2096" t="s">
        <v>31</v>
      </c>
      <c r="H2096" s="12">
        <v>250000</v>
      </c>
      <c r="I2096">
        <v>10</v>
      </c>
      <c r="J2096" t="s">
        <v>37</v>
      </c>
      <c r="K2096" s="12">
        <f t="shared" si="32"/>
        <v>200000</v>
      </c>
      <c r="L2096" s="12">
        <f>Sales_Data[[#This Row],[Unit Price]]*Sales_Data[[#This Row],[Quantity]]</f>
        <v>2500000</v>
      </c>
      <c r="M2096" s="12">
        <f>Sales_Data[[#This Row],[Cost Price]]*Sales_Data[[#This Row],[Quantity]]</f>
        <v>2000000</v>
      </c>
      <c r="N2096" s="12">
        <f>Sales_Data[[#This Row],[Revenue]]-Sales_Data[[#This Row],[COGS]]</f>
        <v>500000</v>
      </c>
    </row>
    <row r="2097" spans="1:14">
      <c r="A2097" s="1">
        <v>47771</v>
      </c>
      <c r="B2097" t="s">
        <v>25</v>
      </c>
      <c r="C2097" t="s">
        <v>32</v>
      </c>
      <c r="D2097" t="s">
        <v>23</v>
      </c>
      <c r="E2097" t="s">
        <v>20</v>
      </c>
      <c r="F2097" t="s">
        <v>36</v>
      </c>
      <c r="G2097" t="s">
        <v>31</v>
      </c>
      <c r="H2097" s="12">
        <v>150000</v>
      </c>
      <c r="I2097">
        <v>2</v>
      </c>
      <c r="J2097" t="s">
        <v>17</v>
      </c>
      <c r="K2097" s="12">
        <f t="shared" si="32"/>
        <v>120000</v>
      </c>
      <c r="L2097" s="12">
        <f>Sales_Data[[#This Row],[Unit Price]]*Sales_Data[[#This Row],[Quantity]]</f>
        <v>300000</v>
      </c>
      <c r="M2097" s="12">
        <f>Sales_Data[[#This Row],[Cost Price]]*Sales_Data[[#This Row],[Quantity]]</f>
        <v>240000</v>
      </c>
      <c r="N2097" s="12">
        <f>Sales_Data[[#This Row],[Revenue]]-Sales_Data[[#This Row],[COGS]]</f>
        <v>60000</v>
      </c>
    </row>
    <row r="2098" spans="1:14">
      <c r="A2098" s="1">
        <v>47772</v>
      </c>
      <c r="B2098" t="s">
        <v>25</v>
      </c>
      <c r="C2098" t="s">
        <v>12</v>
      </c>
      <c r="D2098" t="s">
        <v>13</v>
      </c>
      <c r="E2098" t="s">
        <v>14</v>
      </c>
      <c r="F2098" t="s">
        <v>40</v>
      </c>
      <c r="G2098" t="s">
        <v>31</v>
      </c>
      <c r="H2098" s="12">
        <v>250000</v>
      </c>
      <c r="I2098">
        <v>9</v>
      </c>
      <c r="J2098" t="s">
        <v>35</v>
      </c>
      <c r="K2098" s="12">
        <f t="shared" si="32"/>
        <v>200000</v>
      </c>
      <c r="L2098" s="12">
        <f>Sales_Data[[#This Row],[Unit Price]]*Sales_Data[[#This Row],[Quantity]]</f>
        <v>2250000</v>
      </c>
      <c r="M2098" s="12">
        <f>Sales_Data[[#This Row],[Cost Price]]*Sales_Data[[#This Row],[Quantity]]</f>
        <v>1800000</v>
      </c>
      <c r="N2098" s="12">
        <f>Sales_Data[[#This Row],[Revenue]]-Sales_Data[[#This Row],[COGS]]</f>
        <v>450000</v>
      </c>
    </row>
    <row r="2099" spans="1:14">
      <c r="A2099" s="1">
        <v>47773</v>
      </c>
      <c r="B2099" t="s">
        <v>25</v>
      </c>
      <c r="C2099" t="s">
        <v>12</v>
      </c>
      <c r="D2099" t="s">
        <v>13</v>
      </c>
      <c r="E2099" t="s">
        <v>14</v>
      </c>
      <c r="F2099" t="s">
        <v>34</v>
      </c>
      <c r="G2099" t="s">
        <v>16</v>
      </c>
      <c r="H2099" s="12">
        <v>320000</v>
      </c>
      <c r="I2099">
        <v>4</v>
      </c>
      <c r="J2099" t="s">
        <v>24</v>
      </c>
      <c r="K2099" s="12">
        <f t="shared" si="32"/>
        <v>256000</v>
      </c>
      <c r="L2099" s="12">
        <f>Sales_Data[[#This Row],[Unit Price]]*Sales_Data[[#This Row],[Quantity]]</f>
        <v>1280000</v>
      </c>
      <c r="M2099" s="12">
        <f>Sales_Data[[#This Row],[Cost Price]]*Sales_Data[[#This Row],[Quantity]]</f>
        <v>1024000</v>
      </c>
      <c r="N2099" s="12">
        <f>Sales_Data[[#This Row],[Revenue]]-Sales_Data[[#This Row],[COGS]]</f>
        <v>256000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DBBC4-4F17-42CA-B6F6-92C6591953B9}">
  <dimension ref="A1:R2099"/>
  <sheetViews>
    <sheetView tabSelected="1" workbookViewId="0"/>
  </sheetViews>
  <sheetFormatPr defaultRowHeight="14.5"/>
  <cols>
    <col min="1" max="1" width="12.08984375" bestFit="1" customWidth="1"/>
    <col min="3" max="3" width="12.08984375" bestFit="1" customWidth="1"/>
    <col min="4" max="4" width="15.81640625" bestFit="1" customWidth="1"/>
    <col min="5" max="5" width="9.90625" bestFit="1" customWidth="1"/>
    <col min="6" max="6" width="16" bestFit="1" customWidth="1"/>
    <col min="7" max="7" width="15.36328125" bestFit="1" customWidth="1"/>
    <col min="8" max="8" width="11.1796875" bestFit="1" customWidth="1"/>
    <col min="9" max="9" width="10.453125" bestFit="1" customWidth="1"/>
    <col min="10" max="10" width="10.90625" bestFit="1" customWidth="1"/>
    <col min="11" max="11" width="11.36328125" bestFit="1" customWidth="1"/>
    <col min="12" max="12" width="10.26953125" bestFit="1" customWidth="1"/>
    <col min="13" max="14" width="7.81640625" bestFit="1" customWidth="1"/>
    <col min="15" max="15" width="80.7265625" bestFit="1" customWidth="1"/>
    <col min="16" max="16" width="14.26953125" bestFit="1" customWidth="1"/>
    <col min="17" max="17" width="12.54296875" bestFit="1" customWidth="1"/>
    <col min="18" max="18" width="15.54296875" bestFit="1" customWidth="1"/>
  </cols>
  <sheetData>
    <row r="1" spans="1:18">
      <c r="A1" t="s">
        <v>0</v>
      </c>
      <c r="B1" t="s">
        <v>1</v>
      </c>
      <c r="C1" t="s">
        <v>2</v>
      </c>
      <c r="D1" t="s">
        <v>3</v>
      </c>
      <c r="E1" t="s">
        <v>4</v>
      </c>
      <c r="F1" t="s">
        <v>5</v>
      </c>
      <c r="G1" t="s">
        <v>6</v>
      </c>
      <c r="H1" t="s">
        <v>7</v>
      </c>
      <c r="I1" t="s">
        <v>8</v>
      </c>
      <c r="J1" t="s">
        <v>9</v>
      </c>
      <c r="K1" t="s">
        <v>10</v>
      </c>
      <c r="L1" t="s">
        <v>58</v>
      </c>
      <c r="M1" t="s">
        <v>59</v>
      </c>
      <c r="N1" t="s">
        <v>66</v>
      </c>
      <c r="O1" t="s">
        <v>67</v>
      </c>
      <c r="P1" t="s">
        <v>68</v>
      </c>
      <c r="Q1" t="s">
        <v>71</v>
      </c>
      <c r="R1" t="s">
        <v>70</v>
      </c>
    </row>
    <row r="2" spans="1:18">
      <c r="A2" s="19">
        <v>45676</v>
      </c>
      <c r="B2" s="3" t="s">
        <v>11</v>
      </c>
      <c r="C2" s="3" t="s">
        <v>12</v>
      </c>
      <c r="D2" s="3" t="s">
        <v>13</v>
      </c>
      <c r="E2" s="3" t="s">
        <v>14</v>
      </c>
      <c r="F2" s="3" t="s">
        <v>15</v>
      </c>
      <c r="G2" s="3" t="s">
        <v>16</v>
      </c>
      <c r="H2">
        <v>85000</v>
      </c>
      <c r="I2">
        <v>1</v>
      </c>
      <c r="J2" s="3" t="s">
        <v>17</v>
      </c>
      <c r="K2">
        <v>68000</v>
      </c>
      <c r="L2">
        <v>85000</v>
      </c>
      <c r="M2">
        <v>68000</v>
      </c>
      <c r="N2">
        <v>17000</v>
      </c>
      <c r="O2" s="3" t="s">
        <v>101</v>
      </c>
      <c r="P2" s="3" t="s">
        <v>102</v>
      </c>
      <c r="Q2" s="3" t="s">
        <v>103</v>
      </c>
      <c r="R2" s="3" t="s">
        <v>103</v>
      </c>
    </row>
    <row r="3" spans="1:18">
      <c r="A3" s="19">
        <v>45677</v>
      </c>
      <c r="B3" s="3" t="s">
        <v>18</v>
      </c>
      <c r="C3" s="3" t="s">
        <v>19</v>
      </c>
      <c r="D3" s="3" t="s">
        <v>13</v>
      </c>
      <c r="E3" s="3" t="s">
        <v>20</v>
      </c>
      <c r="F3" s="3" t="s">
        <v>21</v>
      </c>
      <c r="G3" s="3" t="s">
        <v>22</v>
      </c>
      <c r="H3">
        <v>30000</v>
      </c>
      <c r="I3">
        <v>8</v>
      </c>
      <c r="J3" s="3" t="s">
        <v>17</v>
      </c>
      <c r="K3">
        <v>24000</v>
      </c>
      <c r="L3">
        <v>240000</v>
      </c>
      <c r="M3">
        <v>192000</v>
      </c>
      <c r="N3">
        <v>48000</v>
      </c>
      <c r="O3" s="3" t="s">
        <v>104</v>
      </c>
      <c r="P3" s="3" t="s">
        <v>102</v>
      </c>
      <c r="Q3" s="3" t="s">
        <v>103</v>
      </c>
      <c r="R3" s="3" t="s">
        <v>103</v>
      </c>
    </row>
    <row r="4" spans="1:18">
      <c r="A4" s="19">
        <v>45678</v>
      </c>
      <c r="B4" s="3" t="s">
        <v>18</v>
      </c>
      <c r="C4" s="3" t="s">
        <v>12</v>
      </c>
      <c r="D4" s="3" t="s">
        <v>23</v>
      </c>
      <c r="E4" s="3" t="s">
        <v>14</v>
      </c>
      <c r="F4" s="3" t="s">
        <v>15</v>
      </c>
      <c r="G4" s="3" t="s">
        <v>16</v>
      </c>
      <c r="H4">
        <v>85000</v>
      </c>
      <c r="I4">
        <v>2</v>
      </c>
      <c r="J4" s="3" t="s">
        <v>24</v>
      </c>
      <c r="K4">
        <v>68000</v>
      </c>
      <c r="L4">
        <v>170000</v>
      </c>
      <c r="M4">
        <v>136000</v>
      </c>
      <c r="N4">
        <v>34000</v>
      </c>
      <c r="O4" s="3" t="s">
        <v>105</v>
      </c>
      <c r="P4" s="3" t="s">
        <v>102</v>
      </c>
      <c r="Q4" s="3" t="s">
        <v>103</v>
      </c>
      <c r="R4" s="3" t="s">
        <v>103</v>
      </c>
    </row>
    <row r="5" spans="1:18">
      <c r="A5" s="19">
        <v>45679</v>
      </c>
      <c r="B5" s="3" t="s">
        <v>25</v>
      </c>
      <c r="C5" s="3" t="s">
        <v>26</v>
      </c>
      <c r="D5" s="3" t="s">
        <v>13</v>
      </c>
      <c r="E5" s="3" t="s">
        <v>14</v>
      </c>
      <c r="F5" s="3" t="s">
        <v>27</v>
      </c>
      <c r="G5" s="3" t="s">
        <v>22</v>
      </c>
      <c r="H5">
        <v>60000</v>
      </c>
      <c r="I5">
        <v>2</v>
      </c>
      <c r="J5" s="3" t="s">
        <v>28</v>
      </c>
      <c r="K5">
        <v>48000</v>
      </c>
      <c r="L5">
        <v>120000</v>
      </c>
      <c r="M5">
        <v>96000</v>
      </c>
      <c r="N5">
        <v>24000</v>
      </c>
      <c r="O5" s="3" t="s">
        <v>106</v>
      </c>
      <c r="P5" s="3" t="s">
        <v>102</v>
      </c>
      <c r="Q5" s="3" t="s">
        <v>103</v>
      </c>
      <c r="R5" s="3" t="s">
        <v>103</v>
      </c>
    </row>
    <row r="6" spans="1:18">
      <c r="A6" s="19">
        <v>45680</v>
      </c>
      <c r="B6" s="3" t="s">
        <v>29</v>
      </c>
      <c r="C6" s="3" t="s">
        <v>26</v>
      </c>
      <c r="D6" s="3" t="s">
        <v>23</v>
      </c>
      <c r="E6" s="3" t="s">
        <v>14</v>
      </c>
      <c r="F6" s="3" t="s">
        <v>30</v>
      </c>
      <c r="G6" s="3" t="s">
        <v>31</v>
      </c>
      <c r="H6">
        <v>300000</v>
      </c>
      <c r="I6">
        <v>2</v>
      </c>
      <c r="J6" s="3" t="s">
        <v>17</v>
      </c>
      <c r="K6">
        <v>240000</v>
      </c>
      <c r="L6">
        <v>600000</v>
      </c>
      <c r="M6">
        <v>480000</v>
      </c>
      <c r="N6">
        <v>120000</v>
      </c>
      <c r="O6" s="3" t="s">
        <v>107</v>
      </c>
      <c r="P6" s="3" t="s">
        <v>102</v>
      </c>
      <c r="Q6" s="3" t="s">
        <v>103</v>
      </c>
      <c r="R6" s="3" t="s">
        <v>103</v>
      </c>
    </row>
    <row r="7" spans="1:18">
      <c r="A7" s="19">
        <v>45681</v>
      </c>
      <c r="B7" s="3" t="s">
        <v>25</v>
      </c>
      <c r="C7" s="3" t="s">
        <v>32</v>
      </c>
      <c r="D7" s="3" t="s">
        <v>13</v>
      </c>
      <c r="E7" s="3" t="s">
        <v>14</v>
      </c>
      <c r="F7" s="3" t="s">
        <v>33</v>
      </c>
      <c r="G7" s="3" t="s">
        <v>22</v>
      </c>
      <c r="H7">
        <v>180000</v>
      </c>
      <c r="I7">
        <v>10</v>
      </c>
      <c r="J7" s="3" t="s">
        <v>17</v>
      </c>
      <c r="K7">
        <v>144000</v>
      </c>
      <c r="L7">
        <v>1800000</v>
      </c>
      <c r="M7">
        <v>1440000</v>
      </c>
      <c r="N7">
        <v>360000</v>
      </c>
      <c r="O7" s="3" t="s">
        <v>108</v>
      </c>
      <c r="P7" s="3" t="s">
        <v>102</v>
      </c>
      <c r="Q7" s="3" t="s">
        <v>103</v>
      </c>
      <c r="R7" s="3" t="s">
        <v>103</v>
      </c>
    </row>
    <row r="8" spans="1:18">
      <c r="A8" s="19">
        <v>45682</v>
      </c>
      <c r="B8" s="3" t="s">
        <v>25</v>
      </c>
      <c r="C8" s="3" t="s">
        <v>32</v>
      </c>
      <c r="D8" s="3" t="s">
        <v>23</v>
      </c>
      <c r="E8" s="3" t="s">
        <v>14</v>
      </c>
      <c r="F8" s="3" t="s">
        <v>34</v>
      </c>
      <c r="G8" s="3" t="s">
        <v>16</v>
      </c>
      <c r="H8">
        <v>320000</v>
      </c>
      <c r="I8">
        <v>4</v>
      </c>
      <c r="J8" s="3" t="s">
        <v>28</v>
      </c>
      <c r="K8">
        <v>256000</v>
      </c>
      <c r="L8">
        <v>1280000</v>
      </c>
      <c r="M8">
        <v>1024000</v>
      </c>
      <c r="N8">
        <v>256000</v>
      </c>
      <c r="O8" s="3" t="s">
        <v>109</v>
      </c>
      <c r="P8" s="3" t="s">
        <v>102</v>
      </c>
      <c r="Q8" s="3" t="s">
        <v>103</v>
      </c>
      <c r="R8" s="3" t="s">
        <v>103</v>
      </c>
    </row>
    <row r="9" spans="1:18">
      <c r="A9" s="19">
        <v>45683</v>
      </c>
      <c r="B9" s="3" t="s">
        <v>25</v>
      </c>
      <c r="C9" s="3" t="s">
        <v>26</v>
      </c>
      <c r="D9" s="3" t="s">
        <v>13</v>
      </c>
      <c r="E9" s="3" t="s">
        <v>14</v>
      </c>
      <c r="F9" s="3" t="s">
        <v>34</v>
      </c>
      <c r="G9" s="3" t="s">
        <v>16</v>
      </c>
      <c r="H9">
        <v>320000</v>
      </c>
      <c r="I9">
        <v>1</v>
      </c>
      <c r="J9" s="3" t="s">
        <v>35</v>
      </c>
      <c r="K9">
        <v>256000</v>
      </c>
      <c r="L9">
        <v>320000</v>
      </c>
      <c r="M9">
        <v>256000</v>
      </c>
      <c r="N9">
        <v>64000</v>
      </c>
      <c r="O9" s="3" t="s">
        <v>110</v>
      </c>
      <c r="P9" s="3" t="s">
        <v>102</v>
      </c>
      <c r="Q9" s="3" t="s">
        <v>103</v>
      </c>
      <c r="R9" s="3" t="s">
        <v>103</v>
      </c>
    </row>
    <row r="10" spans="1:18">
      <c r="A10" s="19">
        <v>45684</v>
      </c>
      <c r="B10" s="3" t="s">
        <v>18</v>
      </c>
      <c r="C10" s="3" t="s">
        <v>19</v>
      </c>
      <c r="D10" s="3" t="s">
        <v>13</v>
      </c>
      <c r="E10" s="3" t="s">
        <v>20</v>
      </c>
      <c r="F10" s="3" t="s">
        <v>34</v>
      </c>
      <c r="G10" s="3" t="s">
        <v>16</v>
      </c>
      <c r="H10">
        <v>320000</v>
      </c>
      <c r="I10">
        <v>9</v>
      </c>
      <c r="J10" s="3" t="s">
        <v>28</v>
      </c>
      <c r="K10">
        <v>256000</v>
      </c>
      <c r="L10">
        <v>2880000</v>
      </c>
      <c r="M10">
        <v>2304000</v>
      </c>
      <c r="N10">
        <v>576000</v>
      </c>
      <c r="O10" s="3" t="s">
        <v>111</v>
      </c>
      <c r="P10" s="3" t="s">
        <v>102</v>
      </c>
      <c r="Q10" s="3" t="s">
        <v>103</v>
      </c>
      <c r="R10" s="3" t="s">
        <v>103</v>
      </c>
    </row>
    <row r="11" spans="1:18">
      <c r="A11" s="19">
        <v>45685</v>
      </c>
      <c r="B11" s="3" t="s">
        <v>25</v>
      </c>
      <c r="C11" s="3" t="s">
        <v>19</v>
      </c>
      <c r="D11" s="3" t="s">
        <v>13</v>
      </c>
      <c r="E11" s="3" t="s">
        <v>14</v>
      </c>
      <c r="F11" s="3" t="s">
        <v>34</v>
      </c>
      <c r="G11" s="3" t="s">
        <v>16</v>
      </c>
      <c r="H11">
        <v>320000</v>
      </c>
      <c r="I11">
        <v>3</v>
      </c>
      <c r="J11" s="3" t="s">
        <v>28</v>
      </c>
      <c r="K11">
        <v>256000</v>
      </c>
      <c r="L11">
        <v>960000</v>
      </c>
      <c r="M11">
        <v>768000</v>
      </c>
      <c r="N11">
        <v>192000</v>
      </c>
      <c r="O11" s="3" t="s">
        <v>112</v>
      </c>
      <c r="P11" s="3" t="s">
        <v>102</v>
      </c>
      <c r="Q11" s="3" t="s">
        <v>103</v>
      </c>
      <c r="R11" s="3" t="s">
        <v>103</v>
      </c>
    </row>
    <row r="12" spans="1:18">
      <c r="A12" s="19">
        <v>45686</v>
      </c>
      <c r="B12" s="3" t="s">
        <v>25</v>
      </c>
      <c r="C12" s="3" t="s">
        <v>12</v>
      </c>
      <c r="D12" s="3" t="s">
        <v>13</v>
      </c>
      <c r="E12" s="3" t="s">
        <v>14</v>
      </c>
      <c r="F12" s="3" t="s">
        <v>36</v>
      </c>
      <c r="G12" s="3" t="s">
        <v>31</v>
      </c>
      <c r="H12">
        <v>150000</v>
      </c>
      <c r="I12">
        <v>4</v>
      </c>
      <c r="J12" s="3" t="s">
        <v>35</v>
      </c>
      <c r="K12">
        <v>120000</v>
      </c>
      <c r="L12">
        <v>600000</v>
      </c>
      <c r="M12">
        <v>480000</v>
      </c>
      <c r="N12">
        <v>120000</v>
      </c>
      <c r="O12" s="3" t="s">
        <v>113</v>
      </c>
      <c r="P12" s="3" t="s">
        <v>102</v>
      </c>
      <c r="Q12" s="3" t="s">
        <v>103</v>
      </c>
      <c r="R12" s="3" t="s">
        <v>103</v>
      </c>
    </row>
    <row r="13" spans="1:18">
      <c r="A13" s="19">
        <v>45687</v>
      </c>
      <c r="B13" s="3" t="s">
        <v>11</v>
      </c>
      <c r="C13" s="3" t="s">
        <v>26</v>
      </c>
      <c r="D13" s="3" t="s">
        <v>23</v>
      </c>
      <c r="E13" s="3" t="s">
        <v>14</v>
      </c>
      <c r="F13" s="3" t="s">
        <v>34</v>
      </c>
      <c r="G13" s="3" t="s">
        <v>16</v>
      </c>
      <c r="H13">
        <v>320000</v>
      </c>
      <c r="I13">
        <v>7</v>
      </c>
      <c r="J13" s="3" t="s">
        <v>35</v>
      </c>
      <c r="K13">
        <v>256000</v>
      </c>
      <c r="L13">
        <v>2240000</v>
      </c>
      <c r="M13">
        <v>1792000</v>
      </c>
      <c r="N13">
        <v>448000</v>
      </c>
      <c r="O13" s="3" t="s">
        <v>114</v>
      </c>
      <c r="P13" s="3" t="s">
        <v>102</v>
      </c>
      <c r="Q13" s="3" t="s">
        <v>103</v>
      </c>
      <c r="R13" s="3" t="s">
        <v>103</v>
      </c>
    </row>
    <row r="14" spans="1:18">
      <c r="A14" s="19">
        <v>45688</v>
      </c>
      <c r="B14" s="3" t="s">
        <v>25</v>
      </c>
      <c r="C14" s="3" t="s">
        <v>12</v>
      </c>
      <c r="D14" s="3" t="s">
        <v>13</v>
      </c>
      <c r="E14" s="3" t="s">
        <v>20</v>
      </c>
      <c r="F14" s="3" t="s">
        <v>36</v>
      </c>
      <c r="G14" s="3" t="s">
        <v>31</v>
      </c>
      <c r="H14">
        <v>150000</v>
      </c>
      <c r="I14">
        <v>2</v>
      </c>
      <c r="J14" s="3" t="s">
        <v>37</v>
      </c>
      <c r="K14">
        <v>120000</v>
      </c>
      <c r="L14">
        <v>300000</v>
      </c>
      <c r="M14">
        <v>240000</v>
      </c>
      <c r="N14">
        <v>60000</v>
      </c>
      <c r="O14" s="3" t="s">
        <v>115</v>
      </c>
      <c r="P14" s="3" t="s">
        <v>102</v>
      </c>
      <c r="Q14" s="3" t="s">
        <v>103</v>
      </c>
      <c r="R14" s="3" t="s">
        <v>103</v>
      </c>
    </row>
    <row r="15" spans="1:18">
      <c r="A15" s="19">
        <v>45689</v>
      </c>
      <c r="B15" s="3" t="s">
        <v>11</v>
      </c>
      <c r="C15" s="3" t="s">
        <v>19</v>
      </c>
      <c r="D15" s="3" t="s">
        <v>13</v>
      </c>
      <c r="E15" s="3" t="s">
        <v>14</v>
      </c>
      <c r="F15" s="3" t="s">
        <v>38</v>
      </c>
      <c r="G15" s="3" t="s">
        <v>31</v>
      </c>
      <c r="H15">
        <v>420000</v>
      </c>
      <c r="I15">
        <v>9</v>
      </c>
      <c r="J15" s="3" t="s">
        <v>28</v>
      </c>
      <c r="K15">
        <v>336000</v>
      </c>
      <c r="L15">
        <v>3780000</v>
      </c>
      <c r="M15">
        <v>3024000</v>
      </c>
      <c r="N15">
        <v>756000</v>
      </c>
      <c r="O15" s="3" t="s">
        <v>116</v>
      </c>
      <c r="P15" s="3" t="s">
        <v>102</v>
      </c>
      <c r="Q15" s="3" t="s">
        <v>103</v>
      </c>
      <c r="R15" s="3" t="s">
        <v>103</v>
      </c>
    </row>
    <row r="16" spans="1:18">
      <c r="A16" s="19">
        <v>45690</v>
      </c>
      <c r="B16" s="3" t="s">
        <v>29</v>
      </c>
      <c r="C16" s="3" t="s">
        <v>19</v>
      </c>
      <c r="D16" s="3" t="s">
        <v>13</v>
      </c>
      <c r="E16" s="3" t="s">
        <v>14</v>
      </c>
      <c r="F16" s="3" t="s">
        <v>38</v>
      </c>
      <c r="G16" s="3" t="s">
        <v>31</v>
      </c>
      <c r="H16">
        <v>420000</v>
      </c>
      <c r="I16">
        <v>5</v>
      </c>
      <c r="J16" s="3" t="s">
        <v>39</v>
      </c>
      <c r="K16">
        <v>336000</v>
      </c>
      <c r="L16">
        <v>2100000</v>
      </c>
      <c r="M16">
        <v>1680000</v>
      </c>
      <c r="N16">
        <v>420000</v>
      </c>
      <c r="O16" s="3" t="s">
        <v>117</v>
      </c>
      <c r="P16" s="3" t="s">
        <v>102</v>
      </c>
      <c r="Q16" s="3" t="s">
        <v>103</v>
      </c>
      <c r="R16" s="3" t="s">
        <v>103</v>
      </c>
    </row>
    <row r="17" spans="1:18">
      <c r="A17" s="19">
        <v>45691</v>
      </c>
      <c r="B17" s="3" t="s">
        <v>11</v>
      </c>
      <c r="C17" s="3" t="s">
        <v>26</v>
      </c>
      <c r="D17" s="3" t="s">
        <v>23</v>
      </c>
      <c r="E17" s="3" t="s">
        <v>20</v>
      </c>
      <c r="F17" s="3" t="s">
        <v>40</v>
      </c>
      <c r="G17" s="3" t="s">
        <v>31</v>
      </c>
      <c r="H17">
        <v>250000</v>
      </c>
      <c r="I17">
        <v>4</v>
      </c>
      <c r="J17" s="3" t="s">
        <v>35</v>
      </c>
      <c r="K17">
        <v>200000</v>
      </c>
      <c r="L17">
        <v>1000000</v>
      </c>
      <c r="M17">
        <v>800000</v>
      </c>
      <c r="N17">
        <v>200000</v>
      </c>
      <c r="O17" s="3" t="s">
        <v>118</v>
      </c>
      <c r="P17" s="3" t="s">
        <v>102</v>
      </c>
      <c r="Q17" s="3" t="s">
        <v>103</v>
      </c>
      <c r="R17" s="3" t="s">
        <v>103</v>
      </c>
    </row>
    <row r="18" spans="1:18">
      <c r="A18" s="19">
        <v>45692</v>
      </c>
      <c r="B18" s="3" t="s">
        <v>11</v>
      </c>
      <c r="C18" s="3" t="s">
        <v>19</v>
      </c>
      <c r="D18" s="3" t="s">
        <v>13</v>
      </c>
      <c r="E18" s="3" t="s">
        <v>14</v>
      </c>
      <c r="F18" s="3" t="s">
        <v>41</v>
      </c>
      <c r="G18" s="3" t="s">
        <v>22</v>
      </c>
      <c r="H18">
        <v>220000</v>
      </c>
      <c r="I18">
        <v>2</v>
      </c>
      <c r="J18" s="3" t="s">
        <v>35</v>
      </c>
      <c r="K18">
        <v>176000</v>
      </c>
      <c r="L18">
        <v>440000</v>
      </c>
      <c r="M18">
        <v>352000</v>
      </c>
      <c r="N18">
        <v>88000</v>
      </c>
      <c r="O18" s="3" t="s">
        <v>119</v>
      </c>
      <c r="P18" s="3" t="s">
        <v>102</v>
      </c>
      <c r="Q18" s="3" t="s">
        <v>103</v>
      </c>
      <c r="R18" s="3" t="s">
        <v>103</v>
      </c>
    </row>
    <row r="19" spans="1:18">
      <c r="A19" s="19">
        <v>45693</v>
      </c>
      <c r="B19" s="3" t="s">
        <v>18</v>
      </c>
      <c r="C19" s="3" t="s">
        <v>26</v>
      </c>
      <c r="D19" s="3" t="s">
        <v>13</v>
      </c>
      <c r="E19" s="3" t="s">
        <v>20</v>
      </c>
      <c r="F19" s="3" t="s">
        <v>36</v>
      </c>
      <c r="G19" s="3" t="s">
        <v>31</v>
      </c>
      <c r="H19">
        <v>150000</v>
      </c>
      <c r="I19">
        <v>7</v>
      </c>
      <c r="J19" s="3" t="s">
        <v>28</v>
      </c>
      <c r="K19">
        <v>120000</v>
      </c>
      <c r="L19">
        <v>1050000</v>
      </c>
      <c r="M19">
        <v>840000</v>
      </c>
      <c r="N19">
        <v>210000</v>
      </c>
      <c r="O19" s="3" t="s">
        <v>120</v>
      </c>
      <c r="P19" s="3" t="s">
        <v>102</v>
      </c>
      <c r="Q19" s="3" t="s">
        <v>103</v>
      </c>
      <c r="R19" s="3" t="s">
        <v>103</v>
      </c>
    </row>
    <row r="20" spans="1:18">
      <c r="A20" s="19">
        <v>45694</v>
      </c>
      <c r="B20" s="3" t="s">
        <v>25</v>
      </c>
      <c r="C20" s="3" t="s">
        <v>32</v>
      </c>
      <c r="D20" s="3" t="s">
        <v>23</v>
      </c>
      <c r="E20" s="3" t="s">
        <v>20</v>
      </c>
      <c r="F20" s="3" t="s">
        <v>30</v>
      </c>
      <c r="G20" s="3" t="s">
        <v>31</v>
      </c>
      <c r="H20">
        <v>300000</v>
      </c>
      <c r="I20">
        <v>5</v>
      </c>
      <c r="J20" s="3" t="s">
        <v>35</v>
      </c>
      <c r="K20">
        <v>240000</v>
      </c>
      <c r="L20">
        <v>1500000</v>
      </c>
      <c r="M20">
        <v>1200000</v>
      </c>
      <c r="N20">
        <v>300000</v>
      </c>
      <c r="O20" s="3" t="s">
        <v>121</v>
      </c>
      <c r="P20" s="3" t="s">
        <v>102</v>
      </c>
      <c r="Q20" s="3" t="s">
        <v>103</v>
      </c>
      <c r="R20" s="3" t="s">
        <v>103</v>
      </c>
    </row>
    <row r="21" spans="1:18">
      <c r="A21" s="19">
        <v>45695</v>
      </c>
      <c r="B21" s="3" t="s">
        <v>29</v>
      </c>
      <c r="C21" s="3" t="s">
        <v>26</v>
      </c>
      <c r="D21" s="3" t="s">
        <v>13</v>
      </c>
      <c r="E21" s="3" t="s">
        <v>14</v>
      </c>
      <c r="F21" s="3" t="s">
        <v>36</v>
      </c>
      <c r="G21" s="3" t="s">
        <v>31</v>
      </c>
      <c r="H21">
        <v>150000</v>
      </c>
      <c r="I21">
        <v>4</v>
      </c>
      <c r="J21" s="3" t="s">
        <v>35</v>
      </c>
      <c r="K21">
        <v>120000</v>
      </c>
      <c r="L21">
        <v>600000</v>
      </c>
      <c r="M21">
        <v>480000</v>
      </c>
      <c r="N21">
        <v>120000</v>
      </c>
      <c r="O21" s="3" t="s">
        <v>122</v>
      </c>
      <c r="P21" s="3" t="s">
        <v>102</v>
      </c>
      <c r="Q21" s="3" t="s">
        <v>103</v>
      </c>
      <c r="R21" s="3" t="s">
        <v>103</v>
      </c>
    </row>
    <row r="22" spans="1:18">
      <c r="A22" s="19">
        <v>45696</v>
      </c>
      <c r="B22" s="3" t="s">
        <v>29</v>
      </c>
      <c r="C22" s="3" t="s">
        <v>26</v>
      </c>
      <c r="D22" s="3" t="s">
        <v>23</v>
      </c>
      <c r="E22" s="3" t="s">
        <v>20</v>
      </c>
      <c r="F22" s="3" t="s">
        <v>15</v>
      </c>
      <c r="G22" s="3" t="s">
        <v>16</v>
      </c>
      <c r="H22">
        <v>85000</v>
      </c>
      <c r="I22">
        <v>1</v>
      </c>
      <c r="J22" s="3" t="s">
        <v>39</v>
      </c>
      <c r="K22">
        <v>68000</v>
      </c>
      <c r="L22">
        <v>85000</v>
      </c>
      <c r="M22">
        <v>68000</v>
      </c>
      <c r="N22">
        <v>17000</v>
      </c>
      <c r="O22" s="3" t="s">
        <v>123</v>
      </c>
      <c r="P22" s="3" t="s">
        <v>102</v>
      </c>
      <c r="Q22" s="3" t="s">
        <v>103</v>
      </c>
      <c r="R22" s="3" t="s">
        <v>103</v>
      </c>
    </row>
    <row r="23" spans="1:18">
      <c r="A23" s="19">
        <v>45697</v>
      </c>
      <c r="B23" s="3" t="s">
        <v>18</v>
      </c>
      <c r="C23" s="3" t="s">
        <v>12</v>
      </c>
      <c r="D23" s="3" t="s">
        <v>13</v>
      </c>
      <c r="E23" s="3" t="s">
        <v>20</v>
      </c>
      <c r="F23" s="3" t="s">
        <v>15</v>
      </c>
      <c r="G23" s="3" t="s">
        <v>16</v>
      </c>
      <c r="H23">
        <v>85000</v>
      </c>
      <c r="I23">
        <v>9</v>
      </c>
      <c r="J23" s="3" t="s">
        <v>24</v>
      </c>
      <c r="K23">
        <v>68000</v>
      </c>
      <c r="L23">
        <v>765000</v>
      </c>
      <c r="M23">
        <v>612000</v>
      </c>
      <c r="N23">
        <v>153000</v>
      </c>
      <c r="O23" s="3" t="s">
        <v>124</v>
      </c>
      <c r="P23" s="3" t="s">
        <v>102</v>
      </c>
      <c r="Q23" s="3" t="s">
        <v>103</v>
      </c>
      <c r="R23" s="3" t="s">
        <v>103</v>
      </c>
    </row>
    <row r="24" spans="1:18">
      <c r="A24" s="19">
        <v>45698</v>
      </c>
      <c r="B24" s="3" t="s">
        <v>18</v>
      </c>
      <c r="C24" s="3" t="s">
        <v>19</v>
      </c>
      <c r="D24" s="3" t="s">
        <v>13</v>
      </c>
      <c r="E24" s="3" t="s">
        <v>20</v>
      </c>
      <c r="F24" s="3" t="s">
        <v>38</v>
      </c>
      <c r="G24" s="3" t="s">
        <v>31</v>
      </c>
      <c r="H24">
        <v>420000</v>
      </c>
      <c r="I24">
        <v>8</v>
      </c>
      <c r="J24" s="3" t="s">
        <v>39</v>
      </c>
      <c r="K24">
        <v>336000</v>
      </c>
      <c r="L24">
        <v>3360000</v>
      </c>
      <c r="M24">
        <v>2688000</v>
      </c>
      <c r="N24">
        <v>672000</v>
      </c>
      <c r="O24" s="3" t="s">
        <v>125</v>
      </c>
      <c r="P24" s="3" t="s">
        <v>102</v>
      </c>
      <c r="Q24" s="3" t="s">
        <v>103</v>
      </c>
      <c r="R24" s="3" t="s">
        <v>103</v>
      </c>
    </row>
    <row r="25" spans="1:18">
      <c r="A25" s="19">
        <v>45699</v>
      </c>
      <c r="B25" s="3" t="s">
        <v>29</v>
      </c>
      <c r="C25" s="3" t="s">
        <v>19</v>
      </c>
      <c r="D25" s="3" t="s">
        <v>23</v>
      </c>
      <c r="E25" s="3" t="s">
        <v>14</v>
      </c>
      <c r="F25" s="3" t="s">
        <v>38</v>
      </c>
      <c r="G25" s="3" t="s">
        <v>31</v>
      </c>
      <c r="H25">
        <v>420000</v>
      </c>
      <c r="I25">
        <v>10</v>
      </c>
      <c r="J25" s="3" t="s">
        <v>39</v>
      </c>
      <c r="K25">
        <v>336000</v>
      </c>
      <c r="L25">
        <v>4200000</v>
      </c>
      <c r="M25">
        <v>3360000</v>
      </c>
      <c r="N25">
        <v>840000</v>
      </c>
      <c r="O25" s="3" t="s">
        <v>126</v>
      </c>
      <c r="P25" s="3" t="s">
        <v>102</v>
      </c>
      <c r="Q25" s="3" t="s">
        <v>103</v>
      </c>
      <c r="R25" s="3" t="s">
        <v>103</v>
      </c>
    </row>
    <row r="26" spans="1:18">
      <c r="A26" s="19">
        <v>45700</v>
      </c>
      <c r="B26" s="3" t="s">
        <v>18</v>
      </c>
      <c r="C26" s="3" t="s">
        <v>12</v>
      </c>
      <c r="D26" s="3" t="s">
        <v>13</v>
      </c>
      <c r="E26" s="3" t="s">
        <v>20</v>
      </c>
      <c r="F26" s="3" t="s">
        <v>40</v>
      </c>
      <c r="G26" s="3" t="s">
        <v>31</v>
      </c>
      <c r="H26">
        <v>250000</v>
      </c>
      <c r="I26">
        <v>5</v>
      </c>
      <c r="J26" s="3" t="s">
        <v>37</v>
      </c>
      <c r="K26">
        <v>200000</v>
      </c>
      <c r="L26">
        <v>1250000</v>
      </c>
      <c r="M26">
        <v>1000000</v>
      </c>
      <c r="N26">
        <v>250000</v>
      </c>
      <c r="O26" s="3" t="s">
        <v>127</v>
      </c>
      <c r="P26" s="3" t="s">
        <v>102</v>
      </c>
      <c r="Q26" s="3" t="s">
        <v>103</v>
      </c>
      <c r="R26" s="3" t="s">
        <v>103</v>
      </c>
    </row>
    <row r="27" spans="1:18">
      <c r="A27" s="19">
        <v>45701</v>
      </c>
      <c r="B27" s="3" t="s">
        <v>29</v>
      </c>
      <c r="C27" s="3" t="s">
        <v>19</v>
      </c>
      <c r="D27" s="3" t="s">
        <v>23</v>
      </c>
      <c r="E27" s="3" t="s">
        <v>20</v>
      </c>
      <c r="F27" s="3" t="s">
        <v>41</v>
      </c>
      <c r="G27" s="3" t="s">
        <v>22</v>
      </c>
      <c r="H27">
        <v>220000</v>
      </c>
      <c r="I27">
        <v>4</v>
      </c>
      <c r="J27" s="3" t="s">
        <v>39</v>
      </c>
      <c r="K27">
        <v>176000</v>
      </c>
      <c r="L27">
        <v>880000</v>
      </c>
      <c r="M27">
        <v>704000</v>
      </c>
      <c r="N27">
        <v>176000</v>
      </c>
      <c r="O27" s="3" t="s">
        <v>128</v>
      </c>
      <c r="P27" s="3" t="s">
        <v>102</v>
      </c>
      <c r="Q27" s="3" t="s">
        <v>103</v>
      </c>
      <c r="R27" s="3" t="s">
        <v>103</v>
      </c>
    </row>
    <row r="28" spans="1:18">
      <c r="A28" s="19">
        <v>45702</v>
      </c>
      <c r="B28" s="3" t="s">
        <v>11</v>
      </c>
      <c r="C28" s="3" t="s">
        <v>32</v>
      </c>
      <c r="D28" s="3" t="s">
        <v>23</v>
      </c>
      <c r="E28" s="3" t="s">
        <v>14</v>
      </c>
      <c r="F28" s="3" t="s">
        <v>36</v>
      </c>
      <c r="G28" s="3" t="s">
        <v>31</v>
      </c>
      <c r="H28">
        <v>150000</v>
      </c>
      <c r="I28">
        <v>7</v>
      </c>
      <c r="J28" s="3" t="s">
        <v>28</v>
      </c>
      <c r="K28">
        <v>120000</v>
      </c>
      <c r="L28">
        <v>1050000</v>
      </c>
      <c r="M28">
        <v>840000</v>
      </c>
      <c r="N28">
        <v>210000</v>
      </c>
      <c r="O28" s="3" t="s">
        <v>129</v>
      </c>
      <c r="P28" s="3" t="s">
        <v>102</v>
      </c>
      <c r="Q28" s="3" t="s">
        <v>103</v>
      </c>
      <c r="R28" s="3" t="s">
        <v>103</v>
      </c>
    </row>
    <row r="29" spans="1:18">
      <c r="A29" s="19">
        <v>45703</v>
      </c>
      <c r="B29" s="3" t="s">
        <v>25</v>
      </c>
      <c r="C29" s="3" t="s">
        <v>26</v>
      </c>
      <c r="D29" s="3" t="s">
        <v>13</v>
      </c>
      <c r="E29" s="3" t="s">
        <v>14</v>
      </c>
      <c r="F29" s="3" t="s">
        <v>15</v>
      </c>
      <c r="G29" s="3" t="s">
        <v>16</v>
      </c>
      <c r="H29">
        <v>85000</v>
      </c>
      <c r="I29">
        <v>3</v>
      </c>
      <c r="J29" s="3" t="s">
        <v>35</v>
      </c>
      <c r="K29">
        <v>68000</v>
      </c>
      <c r="L29">
        <v>255000</v>
      </c>
      <c r="M29">
        <v>204000</v>
      </c>
      <c r="N29">
        <v>51000</v>
      </c>
      <c r="O29" s="3" t="s">
        <v>130</v>
      </c>
      <c r="P29" s="3" t="s">
        <v>102</v>
      </c>
      <c r="Q29" s="3" t="s">
        <v>103</v>
      </c>
      <c r="R29" s="3" t="s">
        <v>103</v>
      </c>
    </row>
    <row r="30" spans="1:18">
      <c r="A30" s="19">
        <v>45704</v>
      </c>
      <c r="B30" s="3" t="s">
        <v>18</v>
      </c>
      <c r="C30" s="3" t="s">
        <v>12</v>
      </c>
      <c r="D30" s="3" t="s">
        <v>13</v>
      </c>
      <c r="E30" s="3" t="s">
        <v>20</v>
      </c>
      <c r="F30" s="3" t="s">
        <v>30</v>
      </c>
      <c r="G30" s="3" t="s">
        <v>31</v>
      </c>
      <c r="H30">
        <v>300000</v>
      </c>
      <c r="I30">
        <v>8</v>
      </c>
      <c r="J30" s="3" t="s">
        <v>39</v>
      </c>
      <c r="K30">
        <v>240000</v>
      </c>
      <c r="L30">
        <v>2400000</v>
      </c>
      <c r="M30">
        <v>1920000</v>
      </c>
      <c r="N30">
        <v>480000</v>
      </c>
      <c r="O30" s="3" t="s">
        <v>131</v>
      </c>
      <c r="P30" s="3" t="s">
        <v>102</v>
      </c>
      <c r="Q30" s="3" t="s">
        <v>103</v>
      </c>
      <c r="R30" s="3" t="s">
        <v>103</v>
      </c>
    </row>
    <row r="31" spans="1:18">
      <c r="A31" s="19">
        <v>45705</v>
      </c>
      <c r="B31" s="3" t="s">
        <v>11</v>
      </c>
      <c r="C31" s="3" t="s">
        <v>19</v>
      </c>
      <c r="D31" s="3" t="s">
        <v>23</v>
      </c>
      <c r="E31" s="3" t="s">
        <v>14</v>
      </c>
      <c r="F31" s="3" t="s">
        <v>41</v>
      </c>
      <c r="G31" s="3" t="s">
        <v>22</v>
      </c>
      <c r="H31">
        <v>220000</v>
      </c>
      <c r="I31">
        <v>1</v>
      </c>
      <c r="J31" s="3" t="s">
        <v>24</v>
      </c>
      <c r="K31">
        <v>176000</v>
      </c>
      <c r="L31">
        <v>220000</v>
      </c>
      <c r="M31">
        <v>176000</v>
      </c>
      <c r="N31">
        <v>44000</v>
      </c>
      <c r="O31" s="3" t="s">
        <v>132</v>
      </c>
      <c r="P31" s="3" t="s">
        <v>102</v>
      </c>
      <c r="Q31" s="3" t="s">
        <v>103</v>
      </c>
      <c r="R31" s="3" t="s">
        <v>103</v>
      </c>
    </row>
    <row r="32" spans="1:18">
      <c r="A32" s="19">
        <v>45706</v>
      </c>
      <c r="B32" s="3" t="s">
        <v>25</v>
      </c>
      <c r="C32" s="3" t="s">
        <v>32</v>
      </c>
      <c r="D32" s="3" t="s">
        <v>23</v>
      </c>
      <c r="E32" s="3" t="s">
        <v>14</v>
      </c>
      <c r="F32" s="3" t="s">
        <v>34</v>
      </c>
      <c r="G32" s="3" t="s">
        <v>16</v>
      </c>
      <c r="H32">
        <v>320000</v>
      </c>
      <c r="I32">
        <v>7</v>
      </c>
      <c r="J32" s="3" t="s">
        <v>39</v>
      </c>
      <c r="K32">
        <v>256000</v>
      </c>
      <c r="L32">
        <v>2240000</v>
      </c>
      <c r="M32">
        <v>1792000</v>
      </c>
      <c r="N32">
        <v>448000</v>
      </c>
      <c r="O32" s="3" t="s">
        <v>133</v>
      </c>
      <c r="P32" s="3" t="s">
        <v>102</v>
      </c>
      <c r="Q32" s="3" t="s">
        <v>103</v>
      </c>
      <c r="R32" s="3" t="s">
        <v>103</v>
      </c>
    </row>
    <row r="33" spans="1:18">
      <c r="A33" s="19">
        <v>45707</v>
      </c>
      <c r="B33" s="3" t="s">
        <v>11</v>
      </c>
      <c r="C33" s="3" t="s">
        <v>32</v>
      </c>
      <c r="D33" s="3" t="s">
        <v>13</v>
      </c>
      <c r="E33" s="3" t="s">
        <v>20</v>
      </c>
      <c r="F33" s="3" t="s">
        <v>36</v>
      </c>
      <c r="G33" s="3" t="s">
        <v>31</v>
      </c>
      <c r="H33">
        <v>150000</v>
      </c>
      <c r="I33">
        <v>1</v>
      </c>
      <c r="J33" s="3" t="s">
        <v>17</v>
      </c>
      <c r="K33">
        <v>120000</v>
      </c>
      <c r="L33">
        <v>150000</v>
      </c>
      <c r="M33">
        <v>120000</v>
      </c>
      <c r="N33">
        <v>30000</v>
      </c>
      <c r="O33" s="3" t="s">
        <v>134</v>
      </c>
      <c r="P33" s="3" t="s">
        <v>102</v>
      </c>
      <c r="Q33" s="3" t="s">
        <v>103</v>
      </c>
      <c r="R33" s="3" t="s">
        <v>103</v>
      </c>
    </row>
    <row r="34" spans="1:18">
      <c r="A34" s="19">
        <v>45708</v>
      </c>
      <c r="B34" s="3" t="s">
        <v>18</v>
      </c>
      <c r="C34" s="3" t="s">
        <v>26</v>
      </c>
      <c r="D34" s="3" t="s">
        <v>13</v>
      </c>
      <c r="E34" s="3" t="s">
        <v>14</v>
      </c>
      <c r="F34" s="3" t="s">
        <v>33</v>
      </c>
      <c r="G34" s="3" t="s">
        <v>22</v>
      </c>
      <c r="H34">
        <v>180000</v>
      </c>
      <c r="I34">
        <v>9</v>
      </c>
      <c r="J34" s="3" t="s">
        <v>39</v>
      </c>
      <c r="K34">
        <v>144000</v>
      </c>
      <c r="L34">
        <v>1620000</v>
      </c>
      <c r="M34">
        <v>1296000</v>
      </c>
      <c r="N34">
        <v>324000</v>
      </c>
      <c r="O34" s="3" t="s">
        <v>135</v>
      </c>
      <c r="P34" s="3" t="s">
        <v>102</v>
      </c>
      <c r="Q34" s="3" t="s">
        <v>103</v>
      </c>
      <c r="R34" s="3" t="s">
        <v>103</v>
      </c>
    </row>
    <row r="35" spans="1:18">
      <c r="A35" s="19">
        <v>45709</v>
      </c>
      <c r="B35" s="3" t="s">
        <v>25</v>
      </c>
      <c r="C35" s="3" t="s">
        <v>26</v>
      </c>
      <c r="D35" s="3" t="s">
        <v>13</v>
      </c>
      <c r="E35" s="3" t="s">
        <v>14</v>
      </c>
      <c r="F35" s="3" t="s">
        <v>34</v>
      </c>
      <c r="G35" s="3" t="s">
        <v>16</v>
      </c>
      <c r="H35">
        <v>320000</v>
      </c>
      <c r="I35">
        <v>5</v>
      </c>
      <c r="J35" s="3" t="s">
        <v>39</v>
      </c>
      <c r="K35">
        <v>256000</v>
      </c>
      <c r="L35">
        <v>1600000</v>
      </c>
      <c r="M35">
        <v>1280000</v>
      </c>
      <c r="N35">
        <v>320000</v>
      </c>
      <c r="O35" s="3" t="s">
        <v>136</v>
      </c>
      <c r="P35" s="3" t="s">
        <v>102</v>
      </c>
      <c r="Q35" s="3" t="s">
        <v>103</v>
      </c>
      <c r="R35" s="3" t="s">
        <v>103</v>
      </c>
    </row>
    <row r="36" spans="1:18">
      <c r="A36" s="19">
        <v>45710</v>
      </c>
      <c r="B36" s="3" t="s">
        <v>25</v>
      </c>
      <c r="C36" s="3" t="s">
        <v>26</v>
      </c>
      <c r="D36" s="3" t="s">
        <v>23</v>
      </c>
      <c r="E36" s="3" t="s">
        <v>20</v>
      </c>
      <c r="F36" s="3" t="s">
        <v>36</v>
      </c>
      <c r="G36" s="3" t="s">
        <v>31</v>
      </c>
      <c r="H36">
        <v>150000</v>
      </c>
      <c r="I36">
        <v>8</v>
      </c>
      <c r="J36" s="3" t="s">
        <v>37</v>
      </c>
      <c r="K36">
        <v>120000</v>
      </c>
      <c r="L36">
        <v>1200000</v>
      </c>
      <c r="M36">
        <v>960000</v>
      </c>
      <c r="N36">
        <v>240000</v>
      </c>
      <c r="O36" s="3" t="s">
        <v>137</v>
      </c>
      <c r="P36" s="3" t="s">
        <v>102</v>
      </c>
      <c r="Q36" s="3" t="s">
        <v>103</v>
      </c>
      <c r="R36" s="3" t="s">
        <v>103</v>
      </c>
    </row>
    <row r="37" spans="1:18">
      <c r="A37" s="19">
        <v>45711</v>
      </c>
      <c r="B37" s="3" t="s">
        <v>11</v>
      </c>
      <c r="C37" s="3" t="s">
        <v>12</v>
      </c>
      <c r="D37" s="3" t="s">
        <v>23</v>
      </c>
      <c r="E37" s="3" t="s">
        <v>20</v>
      </c>
      <c r="F37" s="3" t="s">
        <v>15</v>
      </c>
      <c r="G37" s="3" t="s">
        <v>16</v>
      </c>
      <c r="H37">
        <v>85000</v>
      </c>
      <c r="I37">
        <v>7</v>
      </c>
      <c r="J37" s="3" t="s">
        <v>24</v>
      </c>
      <c r="K37">
        <v>68000</v>
      </c>
      <c r="L37">
        <v>595000</v>
      </c>
      <c r="M37">
        <v>476000</v>
      </c>
      <c r="N37">
        <v>119000</v>
      </c>
      <c r="O37" s="3" t="s">
        <v>138</v>
      </c>
      <c r="P37" s="3" t="s">
        <v>102</v>
      </c>
      <c r="Q37" s="3" t="s">
        <v>103</v>
      </c>
      <c r="R37" s="3" t="s">
        <v>103</v>
      </c>
    </row>
    <row r="38" spans="1:18">
      <c r="A38" s="19">
        <v>45712</v>
      </c>
      <c r="B38" s="3" t="s">
        <v>25</v>
      </c>
      <c r="C38" s="3" t="s">
        <v>32</v>
      </c>
      <c r="D38" s="3" t="s">
        <v>23</v>
      </c>
      <c r="E38" s="3" t="s">
        <v>14</v>
      </c>
      <c r="F38" s="3" t="s">
        <v>34</v>
      </c>
      <c r="G38" s="3" t="s">
        <v>16</v>
      </c>
      <c r="H38">
        <v>320000</v>
      </c>
      <c r="I38">
        <v>6</v>
      </c>
      <c r="J38" s="3" t="s">
        <v>24</v>
      </c>
      <c r="K38">
        <v>256000</v>
      </c>
      <c r="L38">
        <v>1920000</v>
      </c>
      <c r="M38">
        <v>1536000</v>
      </c>
      <c r="N38">
        <v>384000</v>
      </c>
      <c r="O38" s="3" t="s">
        <v>139</v>
      </c>
      <c r="P38" s="3" t="s">
        <v>102</v>
      </c>
      <c r="Q38" s="3" t="s">
        <v>103</v>
      </c>
      <c r="R38" s="3" t="s">
        <v>103</v>
      </c>
    </row>
    <row r="39" spans="1:18">
      <c r="A39" s="19">
        <v>45713</v>
      </c>
      <c r="B39" s="3" t="s">
        <v>11</v>
      </c>
      <c r="C39" s="3" t="s">
        <v>26</v>
      </c>
      <c r="D39" s="3" t="s">
        <v>13</v>
      </c>
      <c r="E39" s="3" t="s">
        <v>20</v>
      </c>
      <c r="F39" s="3" t="s">
        <v>38</v>
      </c>
      <c r="G39" s="3" t="s">
        <v>31</v>
      </c>
      <c r="H39">
        <v>420000</v>
      </c>
      <c r="I39">
        <v>8</v>
      </c>
      <c r="J39" s="3" t="s">
        <v>37</v>
      </c>
      <c r="K39">
        <v>336000</v>
      </c>
      <c r="L39">
        <v>3360000</v>
      </c>
      <c r="M39">
        <v>2688000</v>
      </c>
      <c r="N39">
        <v>672000</v>
      </c>
      <c r="O39" s="3" t="s">
        <v>140</v>
      </c>
      <c r="P39" s="3" t="s">
        <v>102</v>
      </c>
      <c r="Q39" s="3" t="s">
        <v>103</v>
      </c>
      <c r="R39" s="3" t="s">
        <v>103</v>
      </c>
    </row>
    <row r="40" spans="1:18">
      <c r="A40" s="19">
        <v>45714</v>
      </c>
      <c r="B40" s="3" t="s">
        <v>25</v>
      </c>
      <c r="C40" s="3" t="s">
        <v>12</v>
      </c>
      <c r="D40" s="3" t="s">
        <v>23</v>
      </c>
      <c r="E40" s="3" t="s">
        <v>14</v>
      </c>
      <c r="F40" s="3" t="s">
        <v>30</v>
      </c>
      <c r="G40" s="3" t="s">
        <v>31</v>
      </c>
      <c r="H40">
        <v>300000</v>
      </c>
      <c r="I40">
        <v>7</v>
      </c>
      <c r="J40" s="3" t="s">
        <v>35</v>
      </c>
      <c r="K40">
        <v>240000</v>
      </c>
      <c r="L40">
        <v>2100000</v>
      </c>
      <c r="M40">
        <v>1680000</v>
      </c>
      <c r="N40">
        <v>420000</v>
      </c>
      <c r="O40" s="3" t="s">
        <v>141</v>
      </c>
      <c r="P40" s="3" t="s">
        <v>102</v>
      </c>
      <c r="Q40" s="3" t="s">
        <v>103</v>
      </c>
      <c r="R40" s="3" t="s">
        <v>103</v>
      </c>
    </row>
    <row r="41" spans="1:18">
      <c r="A41" s="19">
        <v>45715</v>
      </c>
      <c r="B41" s="3" t="s">
        <v>11</v>
      </c>
      <c r="C41" s="3" t="s">
        <v>12</v>
      </c>
      <c r="D41" s="3" t="s">
        <v>13</v>
      </c>
      <c r="E41" s="3" t="s">
        <v>14</v>
      </c>
      <c r="F41" s="3" t="s">
        <v>21</v>
      </c>
      <c r="G41" s="3" t="s">
        <v>22</v>
      </c>
      <c r="H41">
        <v>30000</v>
      </c>
      <c r="I41">
        <v>6</v>
      </c>
      <c r="J41" s="3" t="s">
        <v>24</v>
      </c>
      <c r="K41">
        <v>24000</v>
      </c>
      <c r="L41">
        <v>180000</v>
      </c>
      <c r="M41">
        <v>144000</v>
      </c>
      <c r="N41">
        <v>36000</v>
      </c>
      <c r="O41" s="3" t="s">
        <v>142</v>
      </c>
      <c r="P41" s="3" t="s">
        <v>102</v>
      </c>
      <c r="Q41" s="3" t="s">
        <v>103</v>
      </c>
      <c r="R41" s="3" t="s">
        <v>103</v>
      </c>
    </row>
    <row r="42" spans="1:18">
      <c r="A42" s="19">
        <v>45716</v>
      </c>
      <c r="B42" s="3" t="s">
        <v>11</v>
      </c>
      <c r="C42" s="3" t="s">
        <v>12</v>
      </c>
      <c r="D42" s="3" t="s">
        <v>23</v>
      </c>
      <c r="E42" s="3" t="s">
        <v>20</v>
      </c>
      <c r="F42" s="3" t="s">
        <v>41</v>
      </c>
      <c r="G42" s="3" t="s">
        <v>22</v>
      </c>
      <c r="H42">
        <v>220000</v>
      </c>
      <c r="I42">
        <v>2</v>
      </c>
      <c r="J42" s="3" t="s">
        <v>35</v>
      </c>
      <c r="K42">
        <v>176000</v>
      </c>
      <c r="L42">
        <v>440000</v>
      </c>
      <c r="M42">
        <v>352000</v>
      </c>
      <c r="N42">
        <v>88000</v>
      </c>
      <c r="O42" s="3" t="s">
        <v>143</v>
      </c>
      <c r="P42" s="3" t="s">
        <v>102</v>
      </c>
      <c r="Q42" s="3" t="s">
        <v>103</v>
      </c>
      <c r="R42" s="3" t="s">
        <v>103</v>
      </c>
    </row>
    <row r="43" spans="1:18">
      <c r="A43" s="19">
        <v>45717</v>
      </c>
      <c r="B43" s="3" t="s">
        <v>11</v>
      </c>
      <c r="C43" s="3" t="s">
        <v>32</v>
      </c>
      <c r="D43" s="3" t="s">
        <v>13</v>
      </c>
      <c r="E43" s="3" t="s">
        <v>14</v>
      </c>
      <c r="F43" s="3" t="s">
        <v>36</v>
      </c>
      <c r="G43" s="3" t="s">
        <v>31</v>
      </c>
      <c r="H43">
        <v>150000</v>
      </c>
      <c r="I43">
        <v>1</v>
      </c>
      <c r="J43" s="3" t="s">
        <v>24</v>
      </c>
      <c r="K43">
        <v>120000</v>
      </c>
      <c r="L43">
        <v>150000</v>
      </c>
      <c r="M43">
        <v>120000</v>
      </c>
      <c r="N43">
        <v>30000</v>
      </c>
      <c r="O43" s="3" t="s">
        <v>144</v>
      </c>
      <c r="P43" s="3" t="s">
        <v>102</v>
      </c>
      <c r="Q43" s="3" t="s">
        <v>103</v>
      </c>
      <c r="R43" s="3" t="s">
        <v>103</v>
      </c>
    </row>
    <row r="44" spans="1:18">
      <c r="A44" s="19">
        <v>45718</v>
      </c>
      <c r="B44" s="3" t="s">
        <v>29</v>
      </c>
      <c r="C44" s="3" t="s">
        <v>19</v>
      </c>
      <c r="D44" s="3" t="s">
        <v>13</v>
      </c>
      <c r="E44" s="3" t="s">
        <v>20</v>
      </c>
      <c r="F44" s="3" t="s">
        <v>34</v>
      </c>
      <c r="G44" s="3" t="s">
        <v>16</v>
      </c>
      <c r="H44">
        <v>320000</v>
      </c>
      <c r="I44">
        <v>1</v>
      </c>
      <c r="J44" s="3" t="s">
        <v>39</v>
      </c>
      <c r="K44">
        <v>256000</v>
      </c>
      <c r="L44">
        <v>320000</v>
      </c>
      <c r="M44">
        <v>256000</v>
      </c>
      <c r="N44">
        <v>64000</v>
      </c>
      <c r="O44" s="3" t="s">
        <v>145</v>
      </c>
      <c r="P44" s="3" t="s">
        <v>102</v>
      </c>
      <c r="Q44" s="3" t="s">
        <v>103</v>
      </c>
      <c r="R44" s="3" t="s">
        <v>103</v>
      </c>
    </row>
    <row r="45" spans="1:18">
      <c r="A45" s="19">
        <v>45719</v>
      </c>
      <c r="B45" s="3" t="s">
        <v>29</v>
      </c>
      <c r="C45" s="3" t="s">
        <v>32</v>
      </c>
      <c r="D45" s="3" t="s">
        <v>23</v>
      </c>
      <c r="E45" s="3" t="s">
        <v>20</v>
      </c>
      <c r="F45" s="3" t="s">
        <v>21</v>
      </c>
      <c r="G45" s="3" t="s">
        <v>22</v>
      </c>
      <c r="H45">
        <v>30000</v>
      </c>
      <c r="I45">
        <v>3</v>
      </c>
      <c r="J45" s="3" t="s">
        <v>24</v>
      </c>
      <c r="K45">
        <v>24000</v>
      </c>
      <c r="L45">
        <v>90000</v>
      </c>
      <c r="M45">
        <v>72000</v>
      </c>
      <c r="N45">
        <v>18000</v>
      </c>
      <c r="O45" s="3" t="s">
        <v>146</v>
      </c>
      <c r="P45" s="3" t="s">
        <v>102</v>
      </c>
      <c r="Q45" s="3" t="s">
        <v>103</v>
      </c>
      <c r="R45" s="3" t="s">
        <v>103</v>
      </c>
    </row>
    <row r="46" spans="1:18">
      <c r="A46" s="19">
        <v>45720</v>
      </c>
      <c r="B46" s="3" t="s">
        <v>11</v>
      </c>
      <c r="C46" s="3" t="s">
        <v>12</v>
      </c>
      <c r="D46" s="3" t="s">
        <v>23</v>
      </c>
      <c r="E46" s="3" t="s">
        <v>14</v>
      </c>
      <c r="F46" s="3" t="s">
        <v>27</v>
      </c>
      <c r="G46" s="3" t="s">
        <v>22</v>
      </c>
      <c r="H46">
        <v>60000</v>
      </c>
      <c r="I46">
        <v>5</v>
      </c>
      <c r="J46" s="3" t="s">
        <v>28</v>
      </c>
      <c r="K46">
        <v>48000</v>
      </c>
      <c r="L46">
        <v>300000</v>
      </c>
      <c r="M46">
        <v>240000</v>
      </c>
      <c r="N46">
        <v>60000</v>
      </c>
      <c r="O46" s="3" t="s">
        <v>147</v>
      </c>
      <c r="P46" s="3" t="s">
        <v>102</v>
      </c>
      <c r="Q46" s="3" t="s">
        <v>103</v>
      </c>
      <c r="R46" s="3" t="s">
        <v>103</v>
      </c>
    </row>
    <row r="47" spans="1:18">
      <c r="A47" s="19">
        <v>45721</v>
      </c>
      <c r="B47" s="3" t="s">
        <v>18</v>
      </c>
      <c r="C47" s="3" t="s">
        <v>26</v>
      </c>
      <c r="D47" s="3" t="s">
        <v>23</v>
      </c>
      <c r="E47" s="3" t="s">
        <v>14</v>
      </c>
      <c r="F47" s="3" t="s">
        <v>36</v>
      </c>
      <c r="G47" s="3" t="s">
        <v>31</v>
      </c>
      <c r="H47">
        <v>150000</v>
      </c>
      <c r="I47">
        <v>3</v>
      </c>
      <c r="J47" s="3" t="s">
        <v>28</v>
      </c>
      <c r="K47">
        <v>120000</v>
      </c>
      <c r="L47">
        <v>450000</v>
      </c>
      <c r="M47">
        <v>360000</v>
      </c>
      <c r="N47">
        <v>90000</v>
      </c>
      <c r="O47" s="3" t="s">
        <v>148</v>
      </c>
      <c r="P47" s="3" t="s">
        <v>102</v>
      </c>
      <c r="Q47" s="3" t="s">
        <v>103</v>
      </c>
      <c r="R47" s="3" t="s">
        <v>103</v>
      </c>
    </row>
    <row r="48" spans="1:18">
      <c r="A48" s="19">
        <v>45722</v>
      </c>
      <c r="B48" s="3" t="s">
        <v>18</v>
      </c>
      <c r="C48" s="3" t="s">
        <v>19</v>
      </c>
      <c r="D48" s="3" t="s">
        <v>13</v>
      </c>
      <c r="E48" s="3" t="s">
        <v>14</v>
      </c>
      <c r="F48" s="3" t="s">
        <v>34</v>
      </c>
      <c r="G48" s="3" t="s">
        <v>16</v>
      </c>
      <c r="H48">
        <v>320000</v>
      </c>
      <c r="I48">
        <v>10</v>
      </c>
      <c r="J48" s="3" t="s">
        <v>28</v>
      </c>
      <c r="K48">
        <v>256000</v>
      </c>
      <c r="L48">
        <v>3200000</v>
      </c>
      <c r="M48">
        <v>2560000</v>
      </c>
      <c r="N48">
        <v>640000</v>
      </c>
      <c r="O48" s="3" t="s">
        <v>149</v>
      </c>
      <c r="P48" s="3" t="s">
        <v>102</v>
      </c>
      <c r="Q48" s="3" t="s">
        <v>103</v>
      </c>
      <c r="R48" s="3" t="s">
        <v>103</v>
      </c>
    </row>
    <row r="49" spans="1:18">
      <c r="A49" s="19">
        <v>45723</v>
      </c>
      <c r="B49" s="3" t="s">
        <v>18</v>
      </c>
      <c r="C49" s="3" t="s">
        <v>12</v>
      </c>
      <c r="D49" s="3" t="s">
        <v>23</v>
      </c>
      <c r="E49" s="3" t="s">
        <v>14</v>
      </c>
      <c r="F49" s="3" t="s">
        <v>41</v>
      </c>
      <c r="G49" s="3" t="s">
        <v>22</v>
      </c>
      <c r="H49">
        <v>220000</v>
      </c>
      <c r="I49">
        <v>6</v>
      </c>
      <c r="J49" s="3" t="s">
        <v>17</v>
      </c>
      <c r="K49">
        <v>176000</v>
      </c>
      <c r="L49">
        <v>1320000</v>
      </c>
      <c r="M49">
        <v>1056000</v>
      </c>
      <c r="N49">
        <v>264000</v>
      </c>
      <c r="O49" s="3" t="s">
        <v>150</v>
      </c>
      <c r="P49" s="3" t="s">
        <v>102</v>
      </c>
      <c r="Q49" s="3" t="s">
        <v>103</v>
      </c>
      <c r="R49" s="3" t="s">
        <v>103</v>
      </c>
    </row>
    <row r="50" spans="1:18">
      <c r="A50" s="19">
        <v>45724</v>
      </c>
      <c r="B50" s="3" t="s">
        <v>11</v>
      </c>
      <c r="C50" s="3" t="s">
        <v>32</v>
      </c>
      <c r="D50" s="3" t="s">
        <v>23</v>
      </c>
      <c r="E50" s="3" t="s">
        <v>14</v>
      </c>
      <c r="F50" s="3" t="s">
        <v>33</v>
      </c>
      <c r="G50" s="3" t="s">
        <v>22</v>
      </c>
      <c r="H50">
        <v>180000</v>
      </c>
      <c r="I50">
        <v>8</v>
      </c>
      <c r="J50" s="3" t="s">
        <v>28</v>
      </c>
      <c r="K50">
        <v>144000</v>
      </c>
      <c r="L50">
        <v>1440000</v>
      </c>
      <c r="M50">
        <v>1152000</v>
      </c>
      <c r="N50">
        <v>288000</v>
      </c>
      <c r="O50" s="3" t="s">
        <v>151</v>
      </c>
      <c r="P50" s="3" t="s">
        <v>102</v>
      </c>
      <c r="Q50" s="3" t="s">
        <v>103</v>
      </c>
      <c r="R50" s="3" t="s">
        <v>103</v>
      </c>
    </row>
    <row r="51" spans="1:18">
      <c r="A51" s="19">
        <v>45725</v>
      </c>
      <c r="B51" s="3" t="s">
        <v>11</v>
      </c>
      <c r="C51" s="3" t="s">
        <v>26</v>
      </c>
      <c r="D51" s="3" t="s">
        <v>13</v>
      </c>
      <c r="E51" s="3" t="s">
        <v>20</v>
      </c>
      <c r="F51" s="3" t="s">
        <v>34</v>
      </c>
      <c r="G51" s="3" t="s">
        <v>16</v>
      </c>
      <c r="H51">
        <v>320000</v>
      </c>
      <c r="I51">
        <v>2</v>
      </c>
      <c r="J51" s="3" t="s">
        <v>24</v>
      </c>
      <c r="K51">
        <v>256000</v>
      </c>
      <c r="L51">
        <v>640000</v>
      </c>
      <c r="M51">
        <v>512000</v>
      </c>
      <c r="N51">
        <v>128000</v>
      </c>
      <c r="O51" s="3" t="s">
        <v>152</v>
      </c>
      <c r="P51" s="3" t="s">
        <v>102</v>
      </c>
      <c r="Q51" s="3" t="s">
        <v>103</v>
      </c>
      <c r="R51" s="3" t="s">
        <v>103</v>
      </c>
    </row>
    <row r="52" spans="1:18">
      <c r="A52" s="19">
        <v>45726</v>
      </c>
      <c r="B52" s="3" t="s">
        <v>11</v>
      </c>
      <c r="C52" s="3" t="s">
        <v>19</v>
      </c>
      <c r="D52" s="3" t="s">
        <v>13</v>
      </c>
      <c r="E52" s="3" t="s">
        <v>20</v>
      </c>
      <c r="F52" s="3" t="s">
        <v>30</v>
      </c>
      <c r="G52" s="3" t="s">
        <v>31</v>
      </c>
      <c r="H52">
        <v>300000</v>
      </c>
      <c r="I52">
        <v>9</v>
      </c>
      <c r="J52" s="3" t="s">
        <v>35</v>
      </c>
      <c r="K52">
        <v>240000</v>
      </c>
      <c r="L52">
        <v>2700000</v>
      </c>
      <c r="M52">
        <v>2160000</v>
      </c>
      <c r="N52">
        <v>540000</v>
      </c>
      <c r="O52" s="3" t="s">
        <v>153</v>
      </c>
      <c r="P52" s="3" t="s">
        <v>102</v>
      </c>
      <c r="Q52" s="3" t="s">
        <v>103</v>
      </c>
      <c r="R52" s="3" t="s">
        <v>103</v>
      </c>
    </row>
    <row r="53" spans="1:18">
      <c r="A53" s="19">
        <v>45727</v>
      </c>
      <c r="B53" s="3" t="s">
        <v>29</v>
      </c>
      <c r="C53" s="3" t="s">
        <v>26</v>
      </c>
      <c r="D53" s="3" t="s">
        <v>13</v>
      </c>
      <c r="E53" s="3" t="s">
        <v>20</v>
      </c>
      <c r="F53" s="3" t="s">
        <v>38</v>
      </c>
      <c r="G53" s="3" t="s">
        <v>31</v>
      </c>
      <c r="H53">
        <v>420000</v>
      </c>
      <c r="I53">
        <v>1</v>
      </c>
      <c r="J53" s="3" t="s">
        <v>35</v>
      </c>
      <c r="K53">
        <v>336000</v>
      </c>
      <c r="L53">
        <v>420000</v>
      </c>
      <c r="M53">
        <v>336000</v>
      </c>
      <c r="N53">
        <v>84000</v>
      </c>
      <c r="O53" s="3" t="s">
        <v>154</v>
      </c>
      <c r="P53" s="3" t="s">
        <v>102</v>
      </c>
      <c r="Q53" s="3" t="s">
        <v>103</v>
      </c>
      <c r="R53" s="3" t="s">
        <v>103</v>
      </c>
    </row>
    <row r="54" spans="1:18">
      <c r="A54" s="19">
        <v>45728</v>
      </c>
      <c r="B54" s="3" t="s">
        <v>18</v>
      </c>
      <c r="C54" s="3" t="s">
        <v>26</v>
      </c>
      <c r="D54" s="3" t="s">
        <v>13</v>
      </c>
      <c r="E54" s="3" t="s">
        <v>14</v>
      </c>
      <c r="F54" s="3" t="s">
        <v>27</v>
      </c>
      <c r="G54" s="3" t="s">
        <v>22</v>
      </c>
      <c r="H54">
        <v>60000</v>
      </c>
      <c r="I54">
        <v>1</v>
      </c>
      <c r="J54" s="3" t="s">
        <v>28</v>
      </c>
      <c r="K54">
        <v>48000</v>
      </c>
      <c r="L54">
        <v>60000</v>
      </c>
      <c r="M54">
        <v>48000</v>
      </c>
      <c r="N54">
        <v>12000</v>
      </c>
      <c r="O54" s="3" t="s">
        <v>155</v>
      </c>
      <c r="P54" s="3" t="s">
        <v>102</v>
      </c>
      <c r="Q54" s="3" t="s">
        <v>103</v>
      </c>
      <c r="R54" s="3" t="s">
        <v>103</v>
      </c>
    </row>
    <row r="55" spans="1:18">
      <c r="A55" s="19">
        <v>45729</v>
      </c>
      <c r="B55" s="3" t="s">
        <v>18</v>
      </c>
      <c r="C55" s="3" t="s">
        <v>19</v>
      </c>
      <c r="D55" s="3" t="s">
        <v>23</v>
      </c>
      <c r="E55" s="3" t="s">
        <v>20</v>
      </c>
      <c r="F55" s="3" t="s">
        <v>30</v>
      </c>
      <c r="G55" s="3" t="s">
        <v>31</v>
      </c>
      <c r="H55">
        <v>300000</v>
      </c>
      <c r="I55">
        <v>9</v>
      </c>
      <c r="J55" s="3" t="s">
        <v>35</v>
      </c>
      <c r="K55">
        <v>240000</v>
      </c>
      <c r="L55">
        <v>2700000</v>
      </c>
      <c r="M55">
        <v>2160000</v>
      </c>
      <c r="N55">
        <v>540000</v>
      </c>
      <c r="O55" s="3" t="s">
        <v>156</v>
      </c>
      <c r="P55" s="3" t="s">
        <v>102</v>
      </c>
      <c r="Q55" s="3" t="s">
        <v>103</v>
      </c>
      <c r="R55" s="3" t="s">
        <v>103</v>
      </c>
    </row>
    <row r="56" spans="1:18">
      <c r="A56" s="19">
        <v>45730</v>
      </c>
      <c r="B56" s="3" t="s">
        <v>11</v>
      </c>
      <c r="C56" s="3" t="s">
        <v>26</v>
      </c>
      <c r="D56" s="3" t="s">
        <v>23</v>
      </c>
      <c r="E56" s="3" t="s">
        <v>14</v>
      </c>
      <c r="F56" s="3" t="s">
        <v>38</v>
      </c>
      <c r="G56" s="3" t="s">
        <v>31</v>
      </c>
      <c r="H56">
        <v>420000</v>
      </c>
      <c r="I56">
        <v>9</v>
      </c>
      <c r="J56" s="3" t="s">
        <v>24</v>
      </c>
      <c r="K56">
        <v>336000</v>
      </c>
      <c r="L56">
        <v>3780000</v>
      </c>
      <c r="M56">
        <v>3024000</v>
      </c>
      <c r="N56">
        <v>756000</v>
      </c>
      <c r="O56" s="3" t="s">
        <v>157</v>
      </c>
      <c r="P56" s="3" t="s">
        <v>102</v>
      </c>
      <c r="Q56" s="3" t="s">
        <v>103</v>
      </c>
      <c r="R56" s="3" t="s">
        <v>103</v>
      </c>
    </row>
    <row r="57" spans="1:18">
      <c r="A57" s="19">
        <v>45731</v>
      </c>
      <c r="B57" s="3" t="s">
        <v>18</v>
      </c>
      <c r="C57" s="3" t="s">
        <v>19</v>
      </c>
      <c r="D57" s="3" t="s">
        <v>13</v>
      </c>
      <c r="E57" s="3" t="s">
        <v>14</v>
      </c>
      <c r="F57" s="3" t="s">
        <v>41</v>
      </c>
      <c r="G57" s="3" t="s">
        <v>22</v>
      </c>
      <c r="H57">
        <v>220000</v>
      </c>
      <c r="I57">
        <v>8</v>
      </c>
      <c r="J57" s="3" t="s">
        <v>37</v>
      </c>
      <c r="K57">
        <v>176000</v>
      </c>
      <c r="L57">
        <v>1760000</v>
      </c>
      <c r="M57">
        <v>1408000</v>
      </c>
      <c r="N57">
        <v>352000</v>
      </c>
      <c r="O57" s="3" t="s">
        <v>158</v>
      </c>
      <c r="P57" s="3" t="s">
        <v>102</v>
      </c>
      <c r="Q57" s="3" t="s">
        <v>103</v>
      </c>
      <c r="R57" s="3" t="s">
        <v>103</v>
      </c>
    </row>
    <row r="58" spans="1:18">
      <c r="A58" s="19">
        <v>45732</v>
      </c>
      <c r="B58" s="3" t="s">
        <v>25</v>
      </c>
      <c r="C58" s="3" t="s">
        <v>12</v>
      </c>
      <c r="D58" s="3" t="s">
        <v>13</v>
      </c>
      <c r="E58" s="3" t="s">
        <v>14</v>
      </c>
      <c r="F58" s="3" t="s">
        <v>15</v>
      </c>
      <c r="G58" s="3" t="s">
        <v>16</v>
      </c>
      <c r="H58">
        <v>85000</v>
      </c>
      <c r="I58">
        <v>10</v>
      </c>
      <c r="J58" s="3" t="s">
        <v>35</v>
      </c>
      <c r="K58">
        <v>68000</v>
      </c>
      <c r="L58">
        <v>850000</v>
      </c>
      <c r="M58">
        <v>680000</v>
      </c>
      <c r="N58">
        <v>170000</v>
      </c>
      <c r="O58" s="3" t="s">
        <v>159</v>
      </c>
      <c r="P58" s="3" t="s">
        <v>102</v>
      </c>
      <c r="Q58" s="3" t="s">
        <v>103</v>
      </c>
      <c r="R58" s="3" t="s">
        <v>103</v>
      </c>
    </row>
    <row r="59" spans="1:18">
      <c r="A59" s="19">
        <v>45733</v>
      </c>
      <c r="B59" s="3" t="s">
        <v>11</v>
      </c>
      <c r="C59" s="3" t="s">
        <v>26</v>
      </c>
      <c r="D59" s="3" t="s">
        <v>23</v>
      </c>
      <c r="E59" s="3" t="s">
        <v>14</v>
      </c>
      <c r="F59" s="3" t="s">
        <v>36</v>
      </c>
      <c r="G59" s="3" t="s">
        <v>31</v>
      </c>
      <c r="H59">
        <v>150000</v>
      </c>
      <c r="I59">
        <v>4</v>
      </c>
      <c r="J59" s="3" t="s">
        <v>17</v>
      </c>
      <c r="K59">
        <v>120000</v>
      </c>
      <c r="L59">
        <v>600000</v>
      </c>
      <c r="M59">
        <v>480000</v>
      </c>
      <c r="N59">
        <v>120000</v>
      </c>
      <c r="O59" s="3" t="s">
        <v>160</v>
      </c>
      <c r="P59" s="3" t="s">
        <v>102</v>
      </c>
      <c r="Q59" s="3" t="s">
        <v>103</v>
      </c>
      <c r="R59" s="3" t="s">
        <v>103</v>
      </c>
    </row>
    <row r="60" spans="1:18">
      <c r="A60" s="19">
        <v>45734</v>
      </c>
      <c r="B60" s="3" t="s">
        <v>18</v>
      </c>
      <c r="C60" s="3" t="s">
        <v>19</v>
      </c>
      <c r="D60" s="3" t="s">
        <v>23</v>
      </c>
      <c r="E60" s="3" t="s">
        <v>20</v>
      </c>
      <c r="F60" s="3" t="s">
        <v>40</v>
      </c>
      <c r="G60" s="3" t="s">
        <v>31</v>
      </c>
      <c r="H60">
        <v>250000</v>
      </c>
      <c r="I60">
        <v>1</v>
      </c>
      <c r="J60" s="3" t="s">
        <v>28</v>
      </c>
      <c r="K60">
        <v>200000</v>
      </c>
      <c r="L60">
        <v>250000</v>
      </c>
      <c r="M60">
        <v>200000</v>
      </c>
      <c r="N60">
        <v>50000</v>
      </c>
      <c r="O60" s="3" t="s">
        <v>161</v>
      </c>
      <c r="P60" s="3" t="s">
        <v>102</v>
      </c>
      <c r="Q60" s="3" t="s">
        <v>103</v>
      </c>
      <c r="R60" s="3" t="s">
        <v>103</v>
      </c>
    </row>
    <row r="61" spans="1:18">
      <c r="A61" s="19">
        <v>45735</v>
      </c>
      <c r="B61" s="3" t="s">
        <v>25</v>
      </c>
      <c r="C61" s="3" t="s">
        <v>19</v>
      </c>
      <c r="D61" s="3" t="s">
        <v>13</v>
      </c>
      <c r="E61" s="3" t="s">
        <v>14</v>
      </c>
      <c r="F61" s="3" t="s">
        <v>21</v>
      </c>
      <c r="G61" s="3" t="s">
        <v>22</v>
      </c>
      <c r="H61">
        <v>30000</v>
      </c>
      <c r="I61">
        <v>10</v>
      </c>
      <c r="J61" s="3" t="s">
        <v>28</v>
      </c>
      <c r="K61">
        <v>24000</v>
      </c>
      <c r="L61">
        <v>300000</v>
      </c>
      <c r="M61">
        <v>240000</v>
      </c>
      <c r="N61">
        <v>60000</v>
      </c>
      <c r="O61" s="3" t="s">
        <v>162</v>
      </c>
      <c r="P61" s="3" t="s">
        <v>102</v>
      </c>
      <c r="Q61" s="3" t="s">
        <v>103</v>
      </c>
      <c r="R61" s="3" t="s">
        <v>103</v>
      </c>
    </row>
    <row r="62" spans="1:18">
      <c r="A62" s="19">
        <v>45736</v>
      </c>
      <c r="B62" s="3" t="s">
        <v>25</v>
      </c>
      <c r="C62" s="3" t="s">
        <v>19</v>
      </c>
      <c r="D62" s="3" t="s">
        <v>23</v>
      </c>
      <c r="E62" s="3" t="s">
        <v>14</v>
      </c>
      <c r="F62" s="3" t="s">
        <v>38</v>
      </c>
      <c r="G62" s="3" t="s">
        <v>31</v>
      </c>
      <c r="H62">
        <v>420000</v>
      </c>
      <c r="I62">
        <v>4</v>
      </c>
      <c r="J62" s="3" t="s">
        <v>24</v>
      </c>
      <c r="K62">
        <v>336000</v>
      </c>
      <c r="L62">
        <v>1680000</v>
      </c>
      <c r="M62">
        <v>1344000</v>
      </c>
      <c r="N62">
        <v>336000</v>
      </c>
      <c r="O62" s="3" t="s">
        <v>163</v>
      </c>
      <c r="P62" s="3" t="s">
        <v>102</v>
      </c>
      <c r="Q62" s="3" t="s">
        <v>103</v>
      </c>
      <c r="R62" s="3" t="s">
        <v>103</v>
      </c>
    </row>
    <row r="63" spans="1:18">
      <c r="A63" s="19">
        <v>45737</v>
      </c>
      <c r="B63" s="3" t="s">
        <v>18</v>
      </c>
      <c r="C63" s="3" t="s">
        <v>19</v>
      </c>
      <c r="D63" s="3" t="s">
        <v>13</v>
      </c>
      <c r="E63" s="3" t="s">
        <v>20</v>
      </c>
      <c r="F63" s="3" t="s">
        <v>15</v>
      </c>
      <c r="G63" s="3" t="s">
        <v>16</v>
      </c>
      <c r="H63">
        <v>85000</v>
      </c>
      <c r="I63">
        <v>2</v>
      </c>
      <c r="J63" s="3" t="s">
        <v>35</v>
      </c>
      <c r="K63">
        <v>68000</v>
      </c>
      <c r="L63">
        <v>170000</v>
      </c>
      <c r="M63">
        <v>136000</v>
      </c>
      <c r="N63">
        <v>34000</v>
      </c>
      <c r="O63" s="3" t="s">
        <v>164</v>
      </c>
      <c r="P63" s="3" t="s">
        <v>102</v>
      </c>
      <c r="Q63" s="3" t="s">
        <v>103</v>
      </c>
      <c r="R63" s="3" t="s">
        <v>103</v>
      </c>
    </row>
    <row r="64" spans="1:18">
      <c r="A64" s="19">
        <v>45738</v>
      </c>
      <c r="B64" s="3" t="s">
        <v>18</v>
      </c>
      <c r="C64" s="3" t="s">
        <v>19</v>
      </c>
      <c r="D64" s="3" t="s">
        <v>13</v>
      </c>
      <c r="E64" s="3" t="s">
        <v>14</v>
      </c>
      <c r="F64" s="3" t="s">
        <v>41</v>
      </c>
      <c r="G64" s="3" t="s">
        <v>22</v>
      </c>
      <c r="H64">
        <v>220000</v>
      </c>
      <c r="I64">
        <v>1</v>
      </c>
      <c r="J64" s="3" t="s">
        <v>28</v>
      </c>
      <c r="K64">
        <v>176000</v>
      </c>
      <c r="L64">
        <v>220000</v>
      </c>
      <c r="M64">
        <v>176000</v>
      </c>
      <c r="N64">
        <v>44000</v>
      </c>
      <c r="O64" s="3" t="s">
        <v>165</v>
      </c>
      <c r="P64" s="3" t="s">
        <v>102</v>
      </c>
      <c r="Q64" s="3" t="s">
        <v>103</v>
      </c>
      <c r="R64" s="3" t="s">
        <v>103</v>
      </c>
    </row>
    <row r="65" spans="1:18">
      <c r="A65" s="19">
        <v>45739</v>
      </c>
      <c r="B65" s="3" t="s">
        <v>11</v>
      </c>
      <c r="C65" s="3" t="s">
        <v>12</v>
      </c>
      <c r="D65" s="3" t="s">
        <v>13</v>
      </c>
      <c r="E65" s="3" t="s">
        <v>20</v>
      </c>
      <c r="F65" s="3" t="s">
        <v>33</v>
      </c>
      <c r="G65" s="3" t="s">
        <v>22</v>
      </c>
      <c r="H65">
        <v>180000</v>
      </c>
      <c r="I65">
        <v>9</v>
      </c>
      <c r="J65" s="3" t="s">
        <v>39</v>
      </c>
      <c r="K65">
        <v>144000</v>
      </c>
      <c r="L65">
        <v>1620000</v>
      </c>
      <c r="M65">
        <v>1296000</v>
      </c>
      <c r="N65">
        <v>324000</v>
      </c>
      <c r="O65" s="3" t="s">
        <v>166</v>
      </c>
      <c r="P65" s="3" t="s">
        <v>102</v>
      </c>
      <c r="Q65" s="3" t="s">
        <v>103</v>
      </c>
      <c r="R65" s="3" t="s">
        <v>103</v>
      </c>
    </row>
    <row r="66" spans="1:18">
      <c r="A66" s="19">
        <v>45740</v>
      </c>
      <c r="B66" s="3" t="s">
        <v>11</v>
      </c>
      <c r="C66" s="3" t="s">
        <v>26</v>
      </c>
      <c r="D66" s="3" t="s">
        <v>13</v>
      </c>
      <c r="E66" s="3" t="s">
        <v>20</v>
      </c>
      <c r="F66" s="3" t="s">
        <v>40</v>
      </c>
      <c r="G66" s="3" t="s">
        <v>31</v>
      </c>
      <c r="H66">
        <v>250000</v>
      </c>
      <c r="I66">
        <v>6</v>
      </c>
      <c r="J66" s="3" t="s">
        <v>17</v>
      </c>
      <c r="K66">
        <v>200000</v>
      </c>
      <c r="L66">
        <v>1500000</v>
      </c>
      <c r="M66">
        <v>1200000</v>
      </c>
      <c r="N66">
        <v>300000</v>
      </c>
      <c r="O66" s="3" t="s">
        <v>167</v>
      </c>
      <c r="P66" s="3" t="s">
        <v>102</v>
      </c>
      <c r="Q66" s="3" t="s">
        <v>103</v>
      </c>
      <c r="R66" s="3" t="s">
        <v>103</v>
      </c>
    </row>
    <row r="67" spans="1:18">
      <c r="A67" s="19">
        <v>45741</v>
      </c>
      <c r="B67" s="3" t="s">
        <v>11</v>
      </c>
      <c r="C67" s="3" t="s">
        <v>12</v>
      </c>
      <c r="D67" s="3" t="s">
        <v>13</v>
      </c>
      <c r="E67" s="3" t="s">
        <v>20</v>
      </c>
      <c r="F67" s="3" t="s">
        <v>33</v>
      </c>
      <c r="G67" s="3" t="s">
        <v>22</v>
      </c>
      <c r="H67">
        <v>180000</v>
      </c>
      <c r="I67">
        <v>3</v>
      </c>
      <c r="J67" s="3" t="s">
        <v>39</v>
      </c>
      <c r="K67">
        <v>144000</v>
      </c>
      <c r="L67">
        <v>540000</v>
      </c>
      <c r="M67">
        <v>432000</v>
      </c>
      <c r="N67">
        <v>108000</v>
      </c>
      <c r="O67" s="3" t="s">
        <v>168</v>
      </c>
      <c r="P67" s="3" t="s">
        <v>102</v>
      </c>
      <c r="Q67" s="3" t="s">
        <v>103</v>
      </c>
      <c r="R67" s="3" t="s">
        <v>103</v>
      </c>
    </row>
    <row r="68" spans="1:18">
      <c r="A68" s="19">
        <v>45742</v>
      </c>
      <c r="B68" s="3" t="s">
        <v>25</v>
      </c>
      <c r="C68" s="3" t="s">
        <v>12</v>
      </c>
      <c r="D68" s="3" t="s">
        <v>23</v>
      </c>
      <c r="E68" s="3" t="s">
        <v>14</v>
      </c>
      <c r="F68" s="3" t="s">
        <v>27</v>
      </c>
      <c r="G68" s="3" t="s">
        <v>22</v>
      </c>
      <c r="H68">
        <v>60000</v>
      </c>
      <c r="I68">
        <v>8</v>
      </c>
      <c r="J68" s="3" t="s">
        <v>35</v>
      </c>
      <c r="K68">
        <v>48000</v>
      </c>
      <c r="L68">
        <v>480000</v>
      </c>
      <c r="M68">
        <v>384000</v>
      </c>
      <c r="N68">
        <v>96000</v>
      </c>
      <c r="O68" s="3" t="s">
        <v>169</v>
      </c>
      <c r="P68" s="3" t="s">
        <v>102</v>
      </c>
      <c r="Q68" s="3" t="s">
        <v>103</v>
      </c>
      <c r="R68" s="3" t="s">
        <v>103</v>
      </c>
    </row>
    <row r="69" spans="1:18">
      <c r="A69" s="19">
        <v>45743</v>
      </c>
      <c r="B69" s="3" t="s">
        <v>29</v>
      </c>
      <c r="C69" s="3" t="s">
        <v>12</v>
      </c>
      <c r="D69" s="3" t="s">
        <v>13</v>
      </c>
      <c r="E69" s="3" t="s">
        <v>14</v>
      </c>
      <c r="F69" s="3" t="s">
        <v>27</v>
      </c>
      <c r="G69" s="3" t="s">
        <v>22</v>
      </c>
      <c r="H69">
        <v>60000</v>
      </c>
      <c r="I69">
        <v>3</v>
      </c>
      <c r="J69" s="3" t="s">
        <v>17</v>
      </c>
      <c r="K69">
        <v>48000</v>
      </c>
      <c r="L69">
        <v>180000</v>
      </c>
      <c r="M69">
        <v>144000</v>
      </c>
      <c r="N69">
        <v>36000</v>
      </c>
      <c r="O69" s="3" t="s">
        <v>170</v>
      </c>
      <c r="P69" s="3" t="s">
        <v>102</v>
      </c>
      <c r="Q69" s="3" t="s">
        <v>103</v>
      </c>
      <c r="R69" s="3" t="s">
        <v>103</v>
      </c>
    </row>
    <row r="70" spans="1:18">
      <c r="A70" s="19">
        <v>45744</v>
      </c>
      <c r="B70" s="3" t="s">
        <v>11</v>
      </c>
      <c r="C70" s="3" t="s">
        <v>26</v>
      </c>
      <c r="D70" s="3" t="s">
        <v>23</v>
      </c>
      <c r="E70" s="3" t="s">
        <v>14</v>
      </c>
      <c r="F70" s="3" t="s">
        <v>21</v>
      </c>
      <c r="G70" s="3" t="s">
        <v>22</v>
      </c>
      <c r="H70">
        <v>30000</v>
      </c>
      <c r="I70">
        <v>8</v>
      </c>
      <c r="J70" s="3" t="s">
        <v>28</v>
      </c>
      <c r="K70">
        <v>24000</v>
      </c>
      <c r="L70">
        <v>240000</v>
      </c>
      <c r="M70">
        <v>192000</v>
      </c>
      <c r="N70">
        <v>48000</v>
      </c>
      <c r="O70" s="3" t="s">
        <v>171</v>
      </c>
      <c r="P70" s="3" t="s">
        <v>102</v>
      </c>
      <c r="Q70" s="3" t="s">
        <v>103</v>
      </c>
      <c r="R70" s="3" t="s">
        <v>103</v>
      </c>
    </row>
    <row r="71" spans="1:18">
      <c r="A71" s="19">
        <v>45745</v>
      </c>
      <c r="B71" s="3" t="s">
        <v>25</v>
      </c>
      <c r="C71" s="3" t="s">
        <v>19</v>
      </c>
      <c r="D71" s="3" t="s">
        <v>13</v>
      </c>
      <c r="E71" s="3" t="s">
        <v>20</v>
      </c>
      <c r="F71" s="3" t="s">
        <v>27</v>
      </c>
      <c r="G71" s="3" t="s">
        <v>22</v>
      </c>
      <c r="H71">
        <v>60000</v>
      </c>
      <c r="I71">
        <v>4</v>
      </c>
      <c r="J71" s="3" t="s">
        <v>39</v>
      </c>
      <c r="K71">
        <v>48000</v>
      </c>
      <c r="L71">
        <v>240000</v>
      </c>
      <c r="M71">
        <v>192000</v>
      </c>
      <c r="N71">
        <v>48000</v>
      </c>
      <c r="O71" s="3" t="s">
        <v>172</v>
      </c>
      <c r="P71" s="3" t="s">
        <v>102</v>
      </c>
      <c r="Q71" s="3" t="s">
        <v>103</v>
      </c>
      <c r="R71" s="3" t="s">
        <v>103</v>
      </c>
    </row>
    <row r="72" spans="1:18">
      <c r="A72" s="19">
        <v>45746</v>
      </c>
      <c r="B72" s="3" t="s">
        <v>25</v>
      </c>
      <c r="C72" s="3" t="s">
        <v>12</v>
      </c>
      <c r="D72" s="3" t="s">
        <v>23</v>
      </c>
      <c r="E72" s="3" t="s">
        <v>20</v>
      </c>
      <c r="F72" s="3" t="s">
        <v>21</v>
      </c>
      <c r="G72" s="3" t="s">
        <v>22</v>
      </c>
      <c r="H72">
        <v>30000</v>
      </c>
      <c r="I72">
        <v>3</v>
      </c>
      <c r="J72" s="3" t="s">
        <v>24</v>
      </c>
      <c r="K72">
        <v>24000</v>
      </c>
      <c r="L72">
        <v>90000</v>
      </c>
      <c r="M72">
        <v>72000</v>
      </c>
      <c r="N72">
        <v>18000</v>
      </c>
      <c r="O72" s="3" t="s">
        <v>173</v>
      </c>
      <c r="P72" s="3" t="s">
        <v>102</v>
      </c>
      <c r="Q72" s="3" t="s">
        <v>103</v>
      </c>
      <c r="R72" s="3" t="s">
        <v>103</v>
      </c>
    </row>
    <row r="73" spans="1:18">
      <c r="A73" s="19">
        <v>45747</v>
      </c>
      <c r="B73" s="3" t="s">
        <v>18</v>
      </c>
      <c r="C73" s="3" t="s">
        <v>26</v>
      </c>
      <c r="D73" s="3" t="s">
        <v>13</v>
      </c>
      <c r="E73" s="3" t="s">
        <v>14</v>
      </c>
      <c r="F73" s="3" t="s">
        <v>33</v>
      </c>
      <c r="G73" s="3" t="s">
        <v>22</v>
      </c>
      <c r="H73">
        <v>180000</v>
      </c>
      <c r="I73">
        <v>5</v>
      </c>
      <c r="J73" s="3" t="s">
        <v>28</v>
      </c>
      <c r="K73">
        <v>144000</v>
      </c>
      <c r="L73">
        <v>900000</v>
      </c>
      <c r="M73">
        <v>720000</v>
      </c>
      <c r="N73">
        <v>180000</v>
      </c>
      <c r="O73" s="3" t="s">
        <v>174</v>
      </c>
      <c r="P73" s="3" t="s">
        <v>102</v>
      </c>
      <c r="Q73" s="3" t="s">
        <v>103</v>
      </c>
      <c r="R73" s="3" t="s">
        <v>103</v>
      </c>
    </row>
    <row r="74" spans="1:18">
      <c r="A74" s="19">
        <v>45748</v>
      </c>
      <c r="B74" s="3" t="s">
        <v>29</v>
      </c>
      <c r="C74" s="3" t="s">
        <v>12</v>
      </c>
      <c r="D74" s="3" t="s">
        <v>13</v>
      </c>
      <c r="E74" s="3" t="s">
        <v>20</v>
      </c>
      <c r="F74" s="3" t="s">
        <v>41</v>
      </c>
      <c r="G74" s="3" t="s">
        <v>22</v>
      </c>
      <c r="H74">
        <v>220000</v>
      </c>
      <c r="I74">
        <v>3</v>
      </c>
      <c r="J74" s="3" t="s">
        <v>39</v>
      </c>
      <c r="K74">
        <v>176000</v>
      </c>
      <c r="L74">
        <v>660000</v>
      </c>
      <c r="M74">
        <v>528000</v>
      </c>
      <c r="N74">
        <v>132000</v>
      </c>
      <c r="O74" s="3" t="s">
        <v>175</v>
      </c>
      <c r="P74" s="3" t="s">
        <v>102</v>
      </c>
      <c r="Q74" s="3" t="s">
        <v>103</v>
      </c>
      <c r="R74" s="3" t="s">
        <v>103</v>
      </c>
    </row>
    <row r="75" spans="1:18">
      <c r="A75" s="19">
        <v>45749</v>
      </c>
      <c r="B75" s="3" t="s">
        <v>11</v>
      </c>
      <c r="C75" s="3" t="s">
        <v>19</v>
      </c>
      <c r="D75" s="3" t="s">
        <v>13</v>
      </c>
      <c r="E75" s="3" t="s">
        <v>14</v>
      </c>
      <c r="F75" s="3" t="s">
        <v>27</v>
      </c>
      <c r="G75" s="3" t="s">
        <v>22</v>
      </c>
      <c r="H75">
        <v>60000</v>
      </c>
      <c r="I75">
        <v>4</v>
      </c>
      <c r="J75" s="3" t="s">
        <v>37</v>
      </c>
      <c r="K75">
        <v>48000</v>
      </c>
      <c r="L75">
        <v>240000</v>
      </c>
      <c r="M75">
        <v>192000</v>
      </c>
      <c r="N75">
        <v>48000</v>
      </c>
      <c r="O75" s="3" t="s">
        <v>176</v>
      </c>
      <c r="P75" s="3" t="s">
        <v>102</v>
      </c>
      <c r="Q75" s="3" t="s">
        <v>103</v>
      </c>
      <c r="R75" s="3" t="s">
        <v>103</v>
      </c>
    </row>
    <row r="76" spans="1:18">
      <c r="A76" s="19">
        <v>45750</v>
      </c>
      <c r="B76" s="3" t="s">
        <v>29</v>
      </c>
      <c r="C76" s="3" t="s">
        <v>12</v>
      </c>
      <c r="D76" s="3" t="s">
        <v>23</v>
      </c>
      <c r="E76" s="3" t="s">
        <v>14</v>
      </c>
      <c r="F76" s="3" t="s">
        <v>15</v>
      </c>
      <c r="G76" s="3" t="s">
        <v>16</v>
      </c>
      <c r="H76">
        <v>85000</v>
      </c>
      <c r="I76">
        <v>1</v>
      </c>
      <c r="J76" s="3" t="s">
        <v>37</v>
      </c>
      <c r="K76">
        <v>68000</v>
      </c>
      <c r="L76">
        <v>85000</v>
      </c>
      <c r="M76">
        <v>68000</v>
      </c>
      <c r="N76">
        <v>17000</v>
      </c>
      <c r="O76" s="3" t="s">
        <v>177</v>
      </c>
      <c r="P76" s="3" t="s">
        <v>102</v>
      </c>
      <c r="Q76" s="3" t="s">
        <v>103</v>
      </c>
      <c r="R76" s="3" t="s">
        <v>103</v>
      </c>
    </row>
    <row r="77" spans="1:18">
      <c r="A77" s="19">
        <v>45751</v>
      </c>
      <c r="B77" s="3" t="s">
        <v>18</v>
      </c>
      <c r="C77" s="3" t="s">
        <v>12</v>
      </c>
      <c r="D77" s="3" t="s">
        <v>13</v>
      </c>
      <c r="E77" s="3" t="s">
        <v>14</v>
      </c>
      <c r="F77" s="3" t="s">
        <v>21</v>
      </c>
      <c r="G77" s="3" t="s">
        <v>22</v>
      </c>
      <c r="H77">
        <v>30000</v>
      </c>
      <c r="I77">
        <v>5</v>
      </c>
      <c r="J77" s="3" t="s">
        <v>24</v>
      </c>
      <c r="K77">
        <v>24000</v>
      </c>
      <c r="L77">
        <v>150000</v>
      </c>
      <c r="M77">
        <v>120000</v>
      </c>
      <c r="N77">
        <v>30000</v>
      </c>
      <c r="O77" s="3" t="s">
        <v>178</v>
      </c>
      <c r="P77" s="3" t="s">
        <v>102</v>
      </c>
      <c r="Q77" s="3" t="s">
        <v>103</v>
      </c>
      <c r="R77" s="3" t="s">
        <v>103</v>
      </c>
    </row>
    <row r="78" spans="1:18">
      <c r="A78" s="19">
        <v>45752</v>
      </c>
      <c r="B78" s="3" t="s">
        <v>18</v>
      </c>
      <c r="C78" s="3" t="s">
        <v>32</v>
      </c>
      <c r="D78" s="3" t="s">
        <v>13</v>
      </c>
      <c r="E78" s="3" t="s">
        <v>20</v>
      </c>
      <c r="F78" s="3" t="s">
        <v>27</v>
      </c>
      <c r="G78" s="3" t="s">
        <v>22</v>
      </c>
      <c r="H78">
        <v>60000</v>
      </c>
      <c r="I78">
        <v>3</v>
      </c>
      <c r="J78" s="3" t="s">
        <v>37</v>
      </c>
      <c r="K78">
        <v>48000</v>
      </c>
      <c r="L78">
        <v>180000</v>
      </c>
      <c r="M78">
        <v>144000</v>
      </c>
      <c r="N78">
        <v>36000</v>
      </c>
      <c r="O78" s="3" t="s">
        <v>179</v>
      </c>
      <c r="P78" s="3" t="s">
        <v>102</v>
      </c>
      <c r="Q78" s="3" t="s">
        <v>103</v>
      </c>
      <c r="R78" s="3" t="s">
        <v>103</v>
      </c>
    </row>
    <row r="79" spans="1:18">
      <c r="A79" s="19">
        <v>45753</v>
      </c>
      <c r="B79" s="3" t="s">
        <v>11</v>
      </c>
      <c r="C79" s="3" t="s">
        <v>32</v>
      </c>
      <c r="D79" s="3" t="s">
        <v>13</v>
      </c>
      <c r="E79" s="3" t="s">
        <v>14</v>
      </c>
      <c r="F79" s="3" t="s">
        <v>27</v>
      </c>
      <c r="G79" s="3" t="s">
        <v>22</v>
      </c>
      <c r="H79">
        <v>60000</v>
      </c>
      <c r="I79">
        <v>6</v>
      </c>
      <c r="J79" s="3" t="s">
        <v>17</v>
      </c>
      <c r="K79">
        <v>48000</v>
      </c>
      <c r="L79">
        <v>360000</v>
      </c>
      <c r="M79">
        <v>288000</v>
      </c>
      <c r="N79">
        <v>72000</v>
      </c>
      <c r="O79" s="3" t="s">
        <v>180</v>
      </c>
      <c r="P79" s="3" t="s">
        <v>102</v>
      </c>
      <c r="Q79" s="3" t="s">
        <v>103</v>
      </c>
      <c r="R79" s="3" t="s">
        <v>103</v>
      </c>
    </row>
    <row r="80" spans="1:18">
      <c r="A80" s="19">
        <v>45754</v>
      </c>
      <c r="B80" s="3" t="s">
        <v>25</v>
      </c>
      <c r="C80" s="3" t="s">
        <v>26</v>
      </c>
      <c r="D80" s="3" t="s">
        <v>23</v>
      </c>
      <c r="E80" s="3" t="s">
        <v>14</v>
      </c>
      <c r="F80" s="3" t="s">
        <v>30</v>
      </c>
      <c r="G80" s="3" t="s">
        <v>31</v>
      </c>
      <c r="H80">
        <v>300000</v>
      </c>
      <c r="I80">
        <v>2</v>
      </c>
      <c r="J80" s="3" t="s">
        <v>17</v>
      </c>
      <c r="K80">
        <v>240000</v>
      </c>
      <c r="L80">
        <v>600000</v>
      </c>
      <c r="M80">
        <v>480000</v>
      </c>
      <c r="N80">
        <v>120000</v>
      </c>
      <c r="O80" s="3" t="s">
        <v>181</v>
      </c>
      <c r="P80" s="3" t="s">
        <v>102</v>
      </c>
      <c r="Q80" s="3" t="s">
        <v>103</v>
      </c>
      <c r="R80" s="3" t="s">
        <v>103</v>
      </c>
    </row>
    <row r="81" spans="1:18">
      <c r="A81" s="19">
        <v>45755</v>
      </c>
      <c r="B81" s="3" t="s">
        <v>11</v>
      </c>
      <c r="C81" s="3" t="s">
        <v>26</v>
      </c>
      <c r="D81" s="3" t="s">
        <v>13</v>
      </c>
      <c r="E81" s="3" t="s">
        <v>14</v>
      </c>
      <c r="F81" s="3" t="s">
        <v>36</v>
      </c>
      <c r="G81" s="3" t="s">
        <v>31</v>
      </c>
      <c r="H81">
        <v>150000</v>
      </c>
      <c r="I81">
        <v>7</v>
      </c>
      <c r="J81" s="3" t="s">
        <v>24</v>
      </c>
      <c r="K81">
        <v>120000</v>
      </c>
      <c r="L81">
        <v>1050000</v>
      </c>
      <c r="M81">
        <v>840000</v>
      </c>
      <c r="N81">
        <v>210000</v>
      </c>
      <c r="O81" s="3" t="s">
        <v>182</v>
      </c>
      <c r="P81" s="3" t="s">
        <v>102</v>
      </c>
      <c r="Q81" s="3" t="s">
        <v>103</v>
      </c>
      <c r="R81" s="3" t="s">
        <v>103</v>
      </c>
    </row>
    <row r="82" spans="1:18">
      <c r="A82" s="19">
        <v>45756</v>
      </c>
      <c r="B82" s="3" t="s">
        <v>29</v>
      </c>
      <c r="C82" s="3" t="s">
        <v>26</v>
      </c>
      <c r="D82" s="3" t="s">
        <v>23</v>
      </c>
      <c r="E82" s="3" t="s">
        <v>20</v>
      </c>
      <c r="F82" s="3" t="s">
        <v>41</v>
      </c>
      <c r="G82" s="3" t="s">
        <v>22</v>
      </c>
      <c r="H82">
        <v>220000</v>
      </c>
      <c r="I82">
        <v>3</v>
      </c>
      <c r="J82" s="3" t="s">
        <v>28</v>
      </c>
      <c r="K82">
        <v>176000</v>
      </c>
      <c r="L82">
        <v>660000</v>
      </c>
      <c r="M82">
        <v>528000</v>
      </c>
      <c r="N82">
        <v>132000</v>
      </c>
      <c r="O82" s="3" t="s">
        <v>183</v>
      </c>
      <c r="P82" s="3" t="s">
        <v>102</v>
      </c>
      <c r="Q82" s="3" t="s">
        <v>103</v>
      </c>
      <c r="R82" s="3" t="s">
        <v>103</v>
      </c>
    </row>
    <row r="83" spans="1:18">
      <c r="A83" s="19">
        <v>45757</v>
      </c>
      <c r="B83" s="3" t="s">
        <v>11</v>
      </c>
      <c r="C83" s="3" t="s">
        <v>26</v>
      </c>
      <c r="D83" s="3" t="s">
        <v>13</v>
      </c>
      <c r="E83" s="3" t="s">
        <v>20</v>
      </c>
      <c r="F83" s="3" t="s">
        <v>27</v>
      </c>
      <c r="G83" s="3" t="s">
        <v>22</v>
      </c>
      <c r="H83">
        <v>60000</v>
      </c>
      <c r="I83">
        <v>9</v>
      </c>
      <c r="J83" s="3" t="s">
        <v>35</v>
      </c>
      <c r="K83">
        <v>48000</v>
      </c>
      <c r="L83">
        <v>540000</v>
      </c>
      <c r="M83">
        <v>432000</v>
      </c>
      <c r="N83">
        <v>108000</v>
      </c>
      <c r="O83" s="3" t="s">
        <v>184</v>
      </c>
      <c r="P83" s="3" t="s">
        <v>102</v>
      </c>
      <c r="Q83" s="3" t="s">
        <v>103</v>
      </c>
      <c r="R83" s="3" t="s">
        <v>103</v>
      </c>
    </row>
    <row r="84" spans="1:18">
      <c r="A84" s="19">
        <v>45758</v>
      </c>
      <c r="B84" s="3" t="s">
        <v>11</v>
      </c>
      <c r="C84" s="3" t="s">
        <v>19</v>
      </c>
      <c r="D84" s="3" t="s">
        <v>23</v>
      </c>
      <c r="E84" s="3" t="s">
        <v>20</v>
      </c>
      <c r="F84" s="3" t="s">
        <v>34</v>
      </c>
      <c r="G84" s="3" t="s">
        <v>16</v>
      </c>
      <c r="H84">
        <v>320000</v>
      </c>
      <c r="I84">
        <v>2</v>
      </c>
      <c r="J84" s="3" t="s">
        <v>28</v>
      </c>
      <c r="K84">
        <v>256000</v>
      </c>
      <c r="L84">
        <v>640000</v>
      </c>
      <c r="M84">
        <v>512000</v>
      </c>
      <c r="N84">
        <v>128000</v>
      </c>
      <c r="O84" s="3" t="s">
        <v>185</v>
      </c>
      <c r="P84" s="3" t="s">
        <v>102</v>
      </c>
      <c r="Q84" s="3" t="s">
        <v>103</v>
      </c>
      <c r="R84" s="3" t="s">
        <v>103</v>
      </c>
    </row>
    <row r="85" spans="1:18">
      <c r="A85" s="19">
        <v>45759</v>
      </c>
      <c r="B85" s="3" t="s">
        <v>11</v>
      </c>
      <c r="C85" s="3" t="s">
        <v>26</v>
      </c>
      <c r="D85" s="3" t="s">
        <v>23</v>
      </c>
      <c r="E85" s="3" t="s">
        <v>14</v>
      </c>
      <c r="F85" s="3" t="s">
        <v>41</v>
      </c>
      <c r="G85" s="3" t="s">
        <v>22</v>
      </c>
      <c r="H85">
        <v>220000</v>
      </c>
      <c r="I85">
        <v>5</v>
      </c>
      <c r="J85" s="3" t="s">
        <v>17</v>
      </c>
      <c r="K85">
        <v>176000</v>
      </c>
      <c r="L85">
        <v>1100000</v>
      </c>
      <c r="M85">
        <v>880000</v>
      </c>
      <c r="N85">
        <v>220000</v>
      </c>
      <c r="O85" s="3" t="s">
        <v>186</v>
      </c>
      <c r="P85" s="3" t="s">
        <v>102</v>
      </c>
      <c r="Q85" s="3" t="s">
        <v>103</v>
      </c>
      <c r="R85" s="3" t="s">
        <v>103</v>
      </c>
    </row>
    <row r="86" spans="1:18">
      <c r="A86" s="19">
        <v>45760</v>
      </c>
      <c r="B86" s="3" t="s">
        <v>11</v>
      </c>
      <c r="C86" s="3" t="s">
        <v>12</v>
      </c>
      <c r="D86" s="3" t="s">
        <v>23</v>
      </c>
      <c r="E86" s="3" t="s">
        <v>14</v>
      </c>
      <c r="F86" s="3" t="s">
        <v>36</v>
      </c>
      <c r="G86" s="3" t="s">
        <v>31</v>
      </c>
      <c r="H86">
        <v>150000</v>
      </c>
      <c r="I86">
        <v>1</v>
      </c>
      <c r="J86" s="3" t="s">
        <v>39</v>
      </c>
      <c r="K86">
        <v>120000</v>
      </c>
      <c r="L86">
        <v>150000</v>
      </c>
      <c r="M86">
        <v>120000</v>
      </c>
      <c r="N86">
        <v>30000</v>
      </c>
      <c r="O86" s="3" t="s">
        <v>187</v>
      </c>
      <c r="P86" s="3" t="s">
        <v>102</v>
      </c>
      <c r="Q86" s="3" t="s">
        <v>103</v>
      </c>
      <c r="R86" s="3" t="s">
        <v>103</v>
      </c>
    </row>
    <row r="87" spans="1:18">
      <c r="A87" s="19">
        <v>45761</v>
      </c>
      <c r="B87" s="3" t="s">
        <v>25</v>
      </c>
      <c r="C87" s="3" t="s">
        <v>19</v>
      </c>
      <c r="D87" s="3" t="s">
        <v>13</v>
      </c>
      <c r="E87" s="3" t="s">
        <v>20</v>
      </c>
      <c r="F87" s="3" t="s">
        <v>30</v>
      </c>
      <c r="G87" s="3" t="s">
        <v>31</v>
      </c>
      <c r="H87">
        <v>300000</v>
      </c>
      <c r="I87">
        <v>8</v>
      </c>
      <c r="J87" s="3" t="s">
        <v>17</v>
      </c>
      <c r="K87">
        <v>240000</v>
      </c>
      <c r="L87">
        <v>2400000</v>
      </c>
      <c r="M87">
        <v>1920000</v>
      </c>
      <c r="N87">
        <v>480000</v>
      </c>
      <c r="O87" s="3" t="s">
        <v>188</v>
      </c>
      <c r="P87" s="3" t="s">
        <v>102</v>
      </c>
      <c r="Q87" s="3" t="s">
        <v>103</v>
      </c>
      <c r="R87" s="3" t="s">
        <v>103</v>
      </c>
    </row>
    <row r="88" spans="1:18">
      <c r="A88" s="19">
        <v>45762</v>
      </c>
      <c r="B88" s="3" t="s">
        <v>18</v>
      </c>
      <c r="C88" s="3" t="s">
        <v>32</v>
      </c>
      <c r="D88" s="3" t="s">
        <v>13</v>
      </c>
      <c r="E88" s="3" t="s">
        <v>14</v>
      </c>
      <c r="F88" s="3" t="s">
        <v>41</v>
      </c>
      <c r="G88" s="3" t="s">
        <v>22</v>
      </c>
      <c r="H88">
        <v>220000</v>
      </c>
      <c r="I88">
        <v>3</v>
      </c>
      <c r="J88" s="3" t="s">
        <v>37</v>
      </c>
      <c r="K88">
        <v>176000</v>
      </c>
      <c r="L88">
        <v>660000</v>
      </c>
      <c r="M88">
        <v>528000</v>
      </c>
      <c r="N88">
        <v>132000</v>
      </c>
      <c r="O88" s="3" t="s">
        <v>189</v>
      </c>
      <c r="P88" s="3" t="s">
        <v>102</v>
      </c>
      <c r="Q88" s="3" t="s">
        <v>103</v>
      </c>
      <c r="R88" s="3" t="s">
        <v>103</v>
      </c>
    </row>
    <row r="89" spans="1:18">
      <c r="A89" s="19">
        <v>45763</v>
      </c>
      <c r="B89" s="3" t="s">
        <v>11</v>
      </c>
      <c r="C89" s="3" t="s">
        <v>12</v>
      </c>
      <c r="D89" s="3" t="s">
        <v>13</v>
      </c>
      <c r="E89" s="3" t="s">
        <v>14</v>
      </c>
      <c r="F89" s="3" t="s">
        <v>40</v>
      </c>
      <c r="G89" s="3" t="s">
        <v>31</v>
      </c>
      <c r="H89">
        <v>250000</v>
      </c>
      <c r="I89">
        <v>8</v>
      </c>
      <c r="J89" s="3" t="s">
        <v>17</v>
      </c>
      <c r="K89">
        <v>200000</v>
      </c>
      <c r="L89">
        <v>2000000</v>
      </c>
      <c r="M89">
        <v>1600000</v>
      </c>
      <c r="N89">
        <v>400000</v>
      </c>
      <c r="O89" s="3" t="s">
        <v>190</v>
      </c>
      <c r="P89" s="3" t="s">
        <v>102</v>
      </c>
      <c r="Q89" s="3" t="s">
        <v>103</v>
      </c>
      <c r="R89" s="3" t="s">
        <v>103</v>
      </c>
    </row>
    <row r="90" spans="1:18">
      <c r="A90" s="19">
        <v>45764</v>
      </c>
      <c r="B90" s="3" t="s">
        <v>25</v>
      </c>
      <c r="C90" s="3" t="s">
        <v>19</v>
      </c>
      <c r="D90" s="3" t="s">
        <v>23</v>
      </c>
      <c r="E90" s="3" t="s">
        <v>14</v>
      </c>
      <c r="F90" s="3" t="s">
        <v>30</v>
      </c>
      <c r="G90" s="3" t="s">
        <v>31</v>
      </c>
      <c r="H90">
        <v>300000</v>
      </c>
      <c r="I90">
        <v>4</v>
      </c>
      <c r="J90" s="3" t="s">
        <v>28</v>
      </c>
      <c r="K90">
        <v>240000</v>
      </c>
      <c r="L90">
        <v>1200000</v>
      </c>
      <c r="M90">
        <v>960000</v>
      </c>
      <c r="N90">
        <v>240000</v>
      </c>
      <c r="O90" s="3" t="s">
        <v>191</v>
      </c>
      <c r="P90" s="3" t="s">
        <v>102</v>
      </c>
      <c r="Q90" s="3" t="s">
        <v>103</v>
      </c>
      <c r="R90" s="3" t="s">
        <v>103</v>
      </c>
    </row>
    <row r="91" spans="1:18">
      <c r="A91" s="19">
        <v>45765</v>
      </c>
      <c r="B91" s="3" t="s">
        <v>25</v>
      </c>
      <c r="C91" s="3" t="s">
        <v>26</v>
      </c>
      <c r="D91" s="3" t="s">
        <v>23</v>
      </c>
      <c r="E91" s="3" t="s">
        <v>20</v>
      </c>
      <c r="F91" s="3" t="s">
        <v>30</v>
      </c>
      <c r="G91" s="3" t="s">
        <v>31</v>
      </c>
      <c r="H91">
        <v>300000</v>
      </c>
      <c r="I91">
        <v>1</v>
      </c>
      <c r="J91" s="3" t="s">
        <v>28</v>
      </c>
      <c r="K91">
        <v>240000</v>
      </c>
      <c r="L91">
        <v>300000</v>
      </c>
      <c r="M91">
        <v>240000</v>
      </c>
      <c r="N91">
        <v>60000</v>
      </c>
      <c r="O91" s="3" t="s">
        <v>192</v>
      </c>
      <c r="P91" s="3" t="s">
        <v>102</v>
      </c>
      <c r="Q91" s="3" t="s">
        <v>103</v>
      </c>
      <c r="R91" s="3" t="s">
        <v>103</v>
      </c>
    </row>
    <row r="92" spans="1:18">
      <c r="A92" s="19">
        <v>45766</v>
      </c>
      <c r="B92" s="3" t="s">
        <v>18</v>
      </c>
      <c r="C92" s="3" t="s">
        <v>32</v>
      </c>
      <c r="D92" s="3" t="s">
        <v>13</v>
      </c>
      <c r="E92" s="3" t="s">
        <v>14</v>
      </c>
      <c r="F92" s="3" t="s">
        <v>40</v>
      </c>
      <c r="G92" s="3" t="s">
        <v>31</v>
      </c>
      <c r="H92">
        <v>250000</v>
      </c>
      <c r="I92">
        <v>8</v>
      </c>
      <c r="J92" s="3" t="s">
        <v>28</v>
      </c>
      <c r="K92">
        <v>200000</v>
      </c>
      <c r="L92">
        <v>2000000</v>
      </c>
      <c r="M92">
        <v>1600000</v>
      </c>
      <c r="N92">
        <v>400000</v>
      </c>
      <c r="O92" s="3" t="s">
        <v>193</v>
      </c>
      <c r="P92" s="3" t="s">
        <v>102</v>
      </c>
      <c r="Q92" s="3" t="s">
        <v>103</v>
      </c>
      <c r="R92" s="3" t="s">
        <v>103</v>
      </c>
    </row>
    <row r="93" spans="1:18">
      <c r="A93" s="19">
        <v>45767</v>
      </c>
      <c r="B93" s="3" t="s">
        <v>11</v>
      </c>
      <c r="C93" s="3" t="s">
        <v>32</v>
      </c>
      <c r="D93" s="3" t="s">
        <v>23</v>
      </c>
      <c r="E93" s="3" t="s">
        <v>20</v>
      </c>
      <c r="F93" s="3" t="s">
        <v>33</v>
      </c>
      <c r="G93" s="3" t="s">
        <v>22</v>
      </c>
      <c r="H93">
        <v>180000</v>
      </c>
      <c r="I93">
        <v>2</v>
      </c>
      <c r="J93" s="3" t="s">
        <v>37</v>
      </c>
      <c r="K93">
        <v>144000</v>
      </c>
      <c r="L93">
        <v>360000</v>
      </c>
      <c r="M93">
        <v>288000</v>
      </c>
      <c r="N93">
        <v>72000</v>
      </c>
      <c r="O93" s="3" t="s">
        <v>194</v>
      </c>
      <c r="P93" s="3" t="s">
        <v>102</v>
      </c>
      <c r="Q93" s="3" t="s">
        <v>103</v>
      </c>
      <c r="R93" s="3" t="s">
        <v>103</v>
      </c>
    </row>
    <row r="94" spans="1:18">
      <c r="A94" s="19">
        <v>45768</v>
      </c>
      <c r="B94" s="3" t="s">
        <v>11</v>
      </c>
      <c r="C94" s="3" t="s">
        <v>32</v>
      </c>
      <c r="D94" s="3" t="s">
        <v>13</v>
      </c>
      <c r="E94" s="3" t="s">
        <v>20</v>
      </c>
      <c r="F94" s="3" t="s">
        <v>33</v>
      </c>
      <c r="G94" s="3" t="s">
        <v>22</v>
      </c>
      <c r="H94">
        <v>180000</v>
      </c>
      <c r="I94">
        <v>6</v>
      </c>
      <c r="J94" s="3" t="s">
        <v>28</v>
      </c>
      <c r="K94">
        <v>144000</v>
      </c>
      <c r="L94">
        <v>1080000</v>
      </c>
      <c r="M94">
        <v>864000</v>
      </c>
      <c r="N94">
        <v>216000</v>
      </c>
      <c r="O94" s="3" t="s">
        <v>195</v>
      </c>
      <c r="P94" s="3" t="s">
        <v>102</v>
      </c>
      <c r="Q94" s="3" t="s">
        <v>103</v>
      </c>
      <c r="R94" s="3" t="s">
        <v>103</v>
      </c>
    </row>
    <row r="95" spans="1:18">
      <c r="A95" s="19">
        <v>45769</v>
      </c>
      <c r="B95" s="3" t="s">
        <v>29</v>
      </c>
      <c r="C95" s="3" t="s">
        <v>19</v>
      </c>
      <c r="D95" s="3" t="s">
        <v>23</v>
      </c>
      <c r="E95" s="3" t="s">
        <v>14</v>
      </c>
      <c r="F95" s="3" t="s">
        <v>30</v>
      </c>
      <c r="G95" s="3" t="s">
        <v>31</v>
      </c>
      <c r="H95">
        <v>300000</v>
      </c>
      <c r="I95">
        <v>2</v>
      </c>
      <c r="J95" s="3" t="s">
        <v>28</v>
      </c>
      <c r="K95">
        <v>240000</v>
      </c>
      <c r="L95">
        <v>600000</v>
      </c>
      <c r="M95">
        <v>480000</v>
      </c>
      <c r="N95">
        <v>120000</v>
      </c>
      <c r="O95" s="3" t="s">
        <v>196</v>
      </c>
      <c r="P95" s="3" t="s">
        <v>102</v>
      </c>
      <c r="Q95" s="3" t="s">
        <v>103</v>
      </c>
      <c r="R95" s="3" t="s">
        <v>103</v>
      </c>
    </row>
    <row r="96" spans="1:18">
      <c r="A96" s="19">
        <v>45770</v>
      </c>
      <c r="B96" s="3" t="s">
        <v>18</v>
      </c>
      <c r="C96" s="3" t="s">
        <v>12</v>
      </c>
      <c r="D96" s="3" t="s">
        <v>23</v>
      </c>
      <c r="E96" s="3" t="s">
        <v>20</v>
      </c>
      <c r="F96" s="3" t="s">
        <v>36</v>
      </c>
      <c r="G96" s="3" t="s">
        <v>31</v>
      </c>
      <c r="H96">
        <v>150000</v>
      </c>
      <c r="I96">
        <v>6</v>
      </c>
      <c r="J96" s="3" t="s">
        <v>17</v>
      </c>
      <c r="K96">
        <v>120000</v>
      </c>
      <c r="L96">
        <v>900000</v>
      </c>
      <c r="M96">
        <v>720000</v>
      </c>
      <c r="N96">
        <v>180000</v>
      </c>
      <c r="O96" s="3" t="s">
        <v>197</v>
      </c>
      <c r="P96" s="3" t="s">
        <v>102</v>
      </c>
      <c r="Q96" s="3" t="s">
        <v>103</v>
      </c>
      <c r="R96" s="3" t="s">
        <v>103</v>
      </c>
    </row>
    <row r="97" spans="1:18">
      <c r="A97" s="19">
        <v>45771</v>
      </c>
      <c r="B97" s="3" t="s">
        <v>25</v>
      </c>
      <c r="C97" s="3" t="s">
        <v>19</v>
      </c>
      <c r="D97" s="3" t="s">
        <v>23</v>
      </c>
      <c r="E97" s="3" t="s">
        <v>20</v>
      </c>
      <c r="F97" s="3" t="s">
        <v>38</v>
      </c>
      <c r="G97" s="3" t="s">
        <v>31</v>
      </c>
      <c r="H97">
        <v>420000</v>
      </c>
      <c r="I97">
        <v>10</v>
      </c>
      <c r="J97" s="3" t="s">
        <v>17</v>
      </c>
      <c r="K97">
        <v>336000</v>
      </c>
      <c r="L97">
        <v>4200000</v>
      </c>
      <c r="M97">
        <v>3360000</v>
      </c>
      <c r="N97">
        <v>840000</v>
      </c>
      <c r="O97" s="3" t="s">
        <v>198</v>
      </c>
      <c r="P97" s="3" t="s">
        <v>102</v>
      </c>
      <c r="Q97" s="3" t="s">
        <v>103</v>
      </c>
      <c r="R97" s="3" t="s">
        <v>103</v>
      </c>
    </row>
    <row r="98" spans="1:18">
      <c r="A98" s="19">
        <v>45772</v>
      </c>
      <c r="B98" s="3" t="s">
        <v>18</v>
      </c>
      <c r="C98" s="3" t="s">
        <v>26</v>
      </c>
      <c r="D98" s="3" t="s">
        <v>13</v>
      </c>
      <c r="E98" s="3" t="s">
        <v>14</v>
      </c>
      <c r="F98" s="3" t="s">
        <v>38</v>
      </c>
      <c r="G98" s="3" t="s">
        <v>31</v>
      </c>
      <c r="H98">
        <v>420000</v>
      </c>
      <c r="I98">
        <v>8</v>
      </c>
      <c r="J98" s="3" t="s">
        <v>28</v>
      </c>
      <c r="K98">
        <v>336000</v>
      </c>
      <c r="L98">
        <v>3360000</v>
      </c>
      <c r="M98">
        <v>2688000</v>
      </c>
      <c r="N98">
        <v>672000</v>
      </c>
      <c r="O98" s="3" t="s">
        <v>199</v>
      </c>
      <c r="P98" s="3" t="s">
        <v>102</v>
      </c>
      <c r="Q98" s="3" t="s">
        <v>103</v>
      </c>
      <c r="R98" s="3" t="s">
        <v>103</v>
      </c>
    </row>
    <row r="99" spans="1:18">
      <c r="A99" s="19">
        <v>45773</v>
      </c>
      <c r="B99" s="3" t="s">
        <v>25</v>
      </c>
      <c r="C99" s="3" t="s">
        <v>19</v>
      </c>
      <c r="D99" s="3" t="s">
        <v>13</v>
      </c>
      <c r="E99" s="3" t="s">
        <v>20</v>
      </c>
      <c r="F99" s="3" t="s">
        <v>33</v>
      </c>
      <c r="G99" s="3" t="s">
        <v>22</v>
      </c>
      <c r="H99">
        <v>180000</v>
      </c>
      <c r="I99">
        <v>8</v>
      </c>
      <c r="J99" s="3" t="s">
        <v>17</v>
      </c>
      <c r="K99">
        <v>144000</v>
      </c>
      <c r="L99">
        <v>1440000</v>
      </c>
      <c r="M99">
        <v>1152000</v>
      </c>
      <c r="N99">
        <v>288000</v>
      </c>
      <c r="O99" s="3" t="s">
        <v>200</v>
      </c>
      <c r="P99" s="3" t="s">
        <v>102</v>
      </c>
      <c r="Q99" s="3" t="s">
        <v>103</v>
      </c>
      <c r="R99" s="3" t="s">
        <v>103</v>
      </c>
    </row>
    <row r="100" spans="1:18">
      <c r="A100" s="19">
        <v>45774</v>
      </c>
      <c r="B100" s="3" t="s">
        <v>25</v>
      </c>
      <c r="C100" s="3" t="s">
        <v>26</v>
      </c>
      <c r="D100" s="3" t="s">
        <v>13</v>
      </c>
      <c r="E100" s="3" t="s">
        <v>20</v>
      </c>
      <c r="F100" s="3" t="s">
        <v>30</v>
      </c>
      <c r="G100" s="3" t="s">
        <v>31</v>
      </c>
      <c r="H100">
        <v>300000</v>
      </c>
      <c r="I100">
        <v>4</v>
      </c>
      <c r="J100" s="3" t="s">
        <v>37</v>
      </c>
      <c r="K100">
        <v>240000</v>
      </c>
      <c r="L100">
        <v>1200000</v>
      </c>
      <c r="M100">
        <v>960000</v>
      </c>
      <c r="N100">
        <v>240000</v>
      </c>
      <c r="O100" s="3" t="s">
        <v>201</v>
      </c>
      <c r="P100" s="3" t="s">
        <v>102</v>
      </c>
      <c r="Q100" s="3" t="s">
        <v>103</v>
      </c>
      <c r="R100" s="3" t="s">
        <v>103</v>
      </c>
    </row>
    <row r="101" spans="1:18">
      <c r="A101" s="19">
        <v>45775</v>
      </c>
      <c r="B101" s="3" t="s">
        <v>25</v>
      </c>
      <c r="C101" s="3" t="s">
        <v>26</v>
      </c>
      <c r="D101" s="3" t="s">
        <v>13</v>
      </c>
      <c r="E101" s="3" t="s">
        <v>20</v>
      </c>
      <c r="F101" s="3" t="s">
        <v>38</v>
      </c>
      <c r="G101" s="3" t="s">
        <v>31</v>
      </c>
      <c r="H101">
        <v>420000</v>
      </c>
      <c r="I101">
        <v>1</v>
      </c>
      <c r="J101" s="3" t="s">
        <v>35</v>
      </c>
      <c r="K101">
        <v>336000</v>
      </c>
      <c r="L101">
        <v>420000</v>
      </c>
      <c r="M101">
        <v>336000</v>
      </c>
      <c r="N101">
        <v>84000</v>
      </c>
      <c r="O101" s="3" t="s">
        <v>202</v>
      </c>
      <c r="P101" s="3" t="s">
        <v>102</v>
      </c>
      <c r="Q101" s="3" t="s">
        <v>103</v>
      </c>
      <c r="R101" s="3" t="s">
        <v>103</v>
      </c>
    </row>
    <row r="102" spans="1:18">
      <c r="A102" s="19">
        <v>45776</v>
      </c>
      <c r="B102" s="3" t="s">
        <v>11</v>
      </c>
      <c r="C102" s="3" t="s">
        <v>26</v>
      </c>
      <c r="D102" s="3" t="s">
        <v>23</v>
      </c>
      <c r="E102" s="3" t="s">
        <v>14</v>
      </c>
      <c r="F102" s="3" t="s">
        <v>21</v>
      </c>
      <c r="G102" s="3" t="s">
        <v>22</v>
      </c>
      <c r="H102">
        <v>30000</v>
      </c>
      <c r="I102">
        <v>7</v>
      </c>
      <c r="J102" s="3" t="s">
        <v>28</v>
      </c>
      <c r="K102">
        <v>24000</v>
      </c>
      <c r="L102">
        <v>210000</v>
      </c>
      <c r="M102">
        <v>168000</v>
      </c>
      <c r="N102">
        <v>42000</v>
      </c>
      <c r="O102" s="3" t="s">
        <v>203</v>
      </c>
      <c r="P102" s="3" t="s">
        <v>102</v>
      </c>
      <c r="Q102" s="3" t="s">
        <v>103</v>
      </c>
      <c r="R102" s="3" t="s">
        <v>103</v>
      </c>
    </row>
    <row r="103" spans="1:18">
      <c r="A103" s="19">
        <v>45777</v>
      </c>
      <c r="B103" s="3" t="s">
        <v>25</v>
      </c>
      <c r="C103" s="3" t="s">
        <v>12</v>
      </c>
      <c r="D103" s="3" t="s">
        <v>13</v>
      </c>
      <c r="E103" s="3" t="s">
        <v>14</v>
      </c>
      <c r="F103" s="3" t="s">
        <v>38</v>
      </c>
      <c r="G103" s="3" t="s">
        <v>31</v>
      </c>
      <c r="H103">
        <v>420000</v>
      </c>
      <c r="I103">
        <v>3</v>
      </c>
      <c r="J103" s="3" t="s">
        <v>28</v>
      </c>
      <c r="K103">
        <v>336000</v>
      </c>
      <c r="L103">
        <v>1260000</v>
      </c>
      <c r="M103">
        <v>1008000</v>
      </c>
      <c r="N103">
        <v>252000</v>
      </c>
      <c r="O103" s="3" t="s">
        <v>204</v>
      </c>
      <c r="P103" s="3" t="s">
        <v>102</v>
      </c>
      <c r="Q103" s="3" t="s">
        <v>103</v>
      </c>
      <c r="R103" s="3" t="s">
        <v>103</v>
      </c>
    </row>
    <row r="104" spans="1:18">
      <c r="A104" s="19">
        <v>45778</v>
      </c>
      <c r="B104" s="3" t="s">
        <v>25</v>
      </c>
      <c r="C104" s="3" t="s">
        <v>12</v>
      </c>
      <c r="D104" s="3" t="s">
        <v>13</v>
      </c>
      <c r="E104" s="3" t="s">
        <v>20</v>
      </c>
      <c r="F104" s="3" t="s">
        <v>27</v>
      </c>
      <c r="G104" s="3" t="s">
        <v>22</v>
      </c>
      <c r="H104">
        <v>60000</v>
      </c>
      <c r="I104">
        <v>5</v>
      </c>
      <c r="J104" s="3" t="s">
        <v>39</v>
      </c>
      <c r="K104">
        <v>48000</v>
      </c>
      <c r="L104">
        <v>300000</v>
      </c>
      <c r="M104">
        <v>240000</v>
      </c>
      <c r="N104">
        <v>60000</v>
      </c>
      <c r="O104" s="3" t="s">
        <v>205</v>
      </c>
      <c r="P104" s="3" t="s">
        <v>102</v>
      </c>
      <c r="Q104" s="3" t="s">
        <v>103</v>
      </c>
      <c r="R104" s="3" t="s">
        <v>103</v>
      </c>
    </row>
    <row r="105" spans="1:18">
      <c r="A105" s="19">
        <v>45779</v>
      </c>
      <c r="B105" s="3" t="s">
        <v>11</v>
      </c>
      <c r="C105" s="3" t="s">
        <v>32</v>
      </c>
      <c r="D105" s="3" t="s">
        <v>23</v>
      </c>
      <c r="E105" s="3" t="s">
        <v>14</v>
      </c>
      <c r="F105" s="3" t="s">
        <v>30</v>
      </c>
      <c r="G105" s="3" t="s">
        <v>31</v>
      </c>
      <c r="H105">
        <v>300000</v>
      </c>
      <c r="I105">
        <v>9</v>
      </c>
      <c r="J105" s="3" t="s">
        <v>39</v>
      </c>
      <c r="K105">
        <v>240000</v>
      </c>
      <c r="L105">
        <v>2700000</v>
      </c>
      <c r="M105">
        <v>2160000</v>
      </c>
      <c r="N105">
        <v>540000</v>
      </c>
      <c r="O105" s="3" t="s">
        <v>206</v>
      </c>
      <c r="P105" s="3" t="s">
        <v>102</v>
      </c>
      <c r="Q105" s="3" t="s">
        <v>103</v>
      </c>
      <c r="R105" s="3" t="s">
        <v>103</v>
      </c>
    </row>
    <row r="106" spans="1:18">
      <c r="A106" s="19">
        <v>45780</v>
      </c>
      <c r="B106" s="3" t="s">
        <v>18</v>
      </c>
      <c r="C106" s="3" t="s">
        <v>26</v>
      </c>
      <c r="D106" s="3" t="s">
        <v>13</v>
      </c>
      <c r="E106" s="3" t="s">
        <v>20</v>
      </c>
      <c r="F106" s="3" t="s">
        <v>34</v>
      </c>
      <c r="G106" s="3" t="s">
        <v>16</v>
      </c>
      <c r="H106">
        <v>320000</v>
      </c>
      <c r="I106">
        <v>4</v>
      </c>
      <c r="J106" s="3" t="s">
        <v>35</v>
      </c>
      <c r="K106">
        <v>256000</v>
      </c>
      <c r="L106">
        <v>1280000</v>
      </c>
      <c r="M106">
        <v>1024000</v>
      </c>
      <c r="N106">
        <v>256000</v>
      </c>
      <c r="O106" s="3" t="s">
        <v>207</v>
      </c>
      <c r="P106" s="3" t="s">
        <v>102</v>
      </c>
      <c r="Q106" s="3" t="s">
        <v>103</v>
      </c>
      <c r="R106" s="3" t="s">
        <v>103</v>
      </c>
    </row>
    <row r="107" spans="1:18">
      <c r="A107" s="19">
        <v>45781</v>
      </c>
      <c r="B107" s="3" t="s">
        <v>29</v>
      </c>
      <c r="C107" s="3" t="s">
        <v>19</v>
      </c>
      <c r="D107" s="3" t="s">
        <v>13</v>
      </c>
      <c r="E107" s="3" t="s">
        <v>20</v>
      </c>
      <c r="F107" s="3" t="s">
        <v>33</v>
      </c>
      <c r="G107" s="3" t="s">
        <v>22</v>
      </c>
      <c r="H107">
        <v>180000</v>
      </c>
      <c r="I107">
        <v>2</v>
      </c>
      <c r="J107" s="3" t="s">
        <v>39</v>
      </c>
      <c r="K107">
        <v>144000</v>
      </c>
      <c r="L107">
        <v>360000</v>
      </c>
      <c r="M107">
        <v>288000</v>
      </c>
      <c r="N107">
        <v>72000</v>
      </c>
      <c r="O107" s="3" t="s">
        <v>208</v>
      </c>
      <c r="P107" s="3" t="s">
        <v>102</v>
      </c>
      <c r="Q107" s="3" t="s">
        <v>103</v>
      </c>
      <c r="R107" s="3" t="s">
        <v>103</v>
      </c>
    </row>
    <row r="108" spans="1:18">
      <c r="A108" s="19">
        <v>45782</v>
      </c>
      <c r="B108" s="3" t="s">
        <v>18</v>
      </c>
      <c r="C108" s="3" t="s">
        <v>19</v>
      </c>
      <c r="D108" s="3" t="s">
        <v>13</v>
      </c>
      <c r="E108" s="3" t="s">
        <v>14</v>
      </c>
      <c r="F108" s="3" t="s">
        <v>15</v>
      </c>
      <c r="G108" s="3" t="s">
        <v>16</v>
      </c>
      <c r="H108">
        <v>85000</v>
      </c>
      <c r="I108">
        <v>1</v>
      </c>
      <c r="J108" s="3" t="s">
        <v>35</v>
      </c>
      <c r="K108">
        <v>68000</v>
      </c>
      <c r="L108">
        <v>85000</v>
      </c>
      <c r="M108">
        <v>68000</v>
      </c>
      <c r="N108">
        <v>17000</v>
      </c>
      <c r="O108" s="3" t="s">
        <v>209</v>
      </c>
      <c r="P108" s="3" t="s">
        <v>102</v>
      </c>
      <c r="Q108" s="3" t="s">
        <v>103</v>
      </c>
      <c r="R108" s="3" t="s">
        <v>103</v>
      </c>
    </row>
    <row r="109" spans="1:18">
      <c r="A109" s="19">
        <v>45783</v>
      </c>
      <c r="B109" s="3" t="s">
        <v>29</v>
      </c>
      <c r="C109" s="3" t="s">
        <v>26</v>
      </c>
      <c r="D109" s="3" t="s">
        <v>23</v>
      </c>
      <c r="E109" s="3" t="s">
        <v>20</v>
      </c>
      <c r="F109" s="3" t="s">
        <v>34</v>
      </c>
      <c r="G109" s="3" t="s">
        <v>16</v>
      </c>
      <c r="H109">
        <v>320000</v>
      </c>
      <c r="I109">
        <v>7</v>
      </c>
      <c r="J109" s="3" t="s">
        <v>35</v>
      </c>
      <c r="K109">
        <v>256000</v>
      </c>
      <c r="L109">
        <v>2240000</v>
      </c>
      <c r="M109">
        <v>1792000</v>
      </c>
      <c r="N109">
        <v>448000</v>
      </c>
      <c r="O109" s="3" t="s">
        <v>210</v>
      </c>
      <c r="P109" s="3" t="s">
        <v>102</v>
      </c>
      <c r="Q109" s="3" t="s">
        <v>103</v>
      </c>
      <c r="R109" s="3" t="s">
        <v>103</v>
      </c>
    </row>
    <row r="110" spans="1:18">
      <c r="A110" s="19">
        <v>45784</v>
      </c>
      <c r="B110" s="3" t="s">
        <v>18</v>
      </c>
      <c r="C110" s="3" t="s">
        <v>32</v>
      </c>
      <c r="D110" s="3" t="s">
        <v>23</v>
      </c>
      <c r="E110" s="3" t="s">
        <v>14</v>
      </c>
      <c r="F110" s="3" t="s">
        <v>27</v>
      </c>
      <c r="G110" s="3" t="s">
        <v>22</v>
      </c>
      <c r="H110">
        <v>60000</v>
      </c>
      <c r="I110">
        <v>9</v>
      </c>
      <c r="J110" s="3" t="s">
        <v>17</v>
      </c>
      <c r="K110">
        <v>48000</v>
      </c>
      <c r="L110">
        <v>540000</v>
      </c>
      <c r="M110">
        <v>432000</v>
      </c>
      <c r="N110">
        <v>108000</v>
      </c>
      <c r="O110" s="3" t="s">
        <v>211</v>
      </c>
      <c r="P110" s="3" t="s">
        <v>102</v>
      </c>
      <c r="Q110" s="3" t="s">
        <v>103</v>
      </c>
      <c r="R110" s="3" t="s">
        <v>103</v>
      </c>
    </row>
    <row r="111" spans="1:18">
      <c r="A111" s="19">
        <v>45785</v>
      </c>
      <c r="B111" s="3" t="s">
        <v>29</v>
      </c>
      <c r="C111" s="3" t="s">
        <v>32</v>
      </c>
      <c r="D111" s="3" t="s">
        <v>23</v>
      </c>
      <c r="E111" s="3" t="s">
        <v>20</v>
      </c>
      <c r="F111" s="3" t="s">
        <v>15</v>
      </c>
      <c r="G111" s="3" t="s">
        <v>16</v>
      </c>
      <c r="H111">
        <v>85000</v>
      </c>
      <c r="I111">
        <v>1</v>
      </c>
      <c r="J111" s="3" t="s">
        <v>24</v>
      </c>
      <c r="K111">
        <v>68000</v>
      </c>
      <c r="L111">
        <v>85000</v>
      </c>
      <c r="M111">
        <v>68000</v>
      </c>
      <c r="N111">
        <v>17000</v>
      </c>
      <c r="O111" s="3" t="s">
        <v>212</v>
      </c>
      <c r="P111" s="3" t="s">
        <v>102</v>
      </c>
      <c r="Q111" s="3" t="s">
        <v>103</v>
      </c>
      <c r="R111" s="3" t="s">
        <v>103</v>
      </c>
    </row>
    <row r="112" spans="1:18">
      <c r="A112" s="19">
        <v>45786</v>
      </c>
      <c r="B112" s="3" t="s">
        <v>18</v>
      </c>
      <c r="C112" s="3" t="s">
        <v>19</v>
      </c>
      <c r="D112" s="3" t="s">
        <v>13</v>
      </c>
      <c r="E112" s="3" t="s">
        <v>14</v>
      </c>
      <c r="F112" s="3" t="s">
        <v>30</v>
      </c>
      <c r="G112" s="3" t="s">
        <v>31</v>
      </c>
      <c r="H112">
        <v>300000</v>
      </c>
      <c r="I112">
        <v>6</v>
      </c>
      <c r="J112" s="3" t="s">
        <v>39</v>
      </c>
      <c r="K112">
        <v>240000</v>
      </c>
      <c r="L112">
        <v>1800000</v>
      </c>
      <c r="M112">
        <v>1440000</v>
      </c>
      <c r="N112">
        <v>360000</v>
      </c>
      <c r="O112" s="3" t="s">
        <v>213</v>
      </c>
      <c r="P112" s="3" t="s">
        <v>102</v>
      </c>
      <c r="Q112" s="3" t="s">
        <v>103</v>
      </c>
      <c r="R112" s="3" t="s">
        <v>103</v>
      </c>
    </row>
    <row r="113" spans="1:18">
      <c r="A113" s="19">
        <v>45787</v>
      </c>
      <c r="B113" s="3" t="s">
        <v>29</v>
      </c>
      <c r="C113" s="3" t="s">
        <v>19</v>
      </c>
      <c r="D113" s="3" t="s">
        <v>23</v>
      </c>
      <c r="E113" s="3" t="s">
        <v>14</v>
      </c>
      <c r="F113" s="3" t="s">
        <v>21</v>
      </c>
      <c r="G113" s="3" t="s">
        <v>22</v>
      </c>
      <c r="H113">
        <v>30000</v>
      </c>
      <c r="I113">
        <v>5</v>
      </c>
      <c r="J113" s="3" t="s">
        <v>17</v>
      </c>
      <c r="K113">
        <v>24000</v>
      </c>
      <c r="L113">
        <v>150000</v>
      </c>
      <c r="M113">
        <v>120000</v>
      </c>
      <c r="N113">
        <v>30000</v>
      </c>
      <c r="O113" s="3" t="s">
        <v>214</v>
      </c>
      <c r="P113" s="3" t="s">
        <v>102</v>
      </c>
      <c r="Q113" s="3" t="s">
        <v>103</v>
      </c>
      <c r="R113" s="3" t="s">
        <v>103</v>
      </c>
    </row>
    <row r="114" spans="1:18">
      <c r="A114" s="19">
        <v>45788</v>
      </c>
      <c r="B114" s="3" t="s">
        <v>29</v>
      </c>
      <c r="C114" s="3" t="s">
        <v>12</v>
      </c>
      <c r="D114" s="3" t="s">
        <v>13</v>
      </c>
      <c r="E114" s="3" t="s">
        <v>20</v>
      </c>
      <c r="F114" s="3" t="s">
        <v>36</v>
      </c>
      <c r="G114" s="3" t="s">
        <v>31</v>
      </c>
      <c r="H114">
        <v>150000</v>
      </c>
      <c r="I114">
        <v>4</v>
      </c>
      <c r="J114" s="3" t="s">
        <v>37</v>
      </c>
      <c r="K114">
        <v>120000</v>
      </c>
      <c r="L114">
        <v>600000</v>
      </c>
      <c r="M114">
        <v>480000</v>
      </c>
      <c r="N114">
        <v>120000</v>
      </c>
      <c r="O114" s="3" t="s">
        <v>215</v>
      </c>
      <c r="P114" s="3" t="s">
        <v>102</v>
      </c>
      <c r="Q114" s="3" t="s">
        <v>103</v>
      </c>
      <c r="R114" s="3" t="s">
        <v>103</v>
      </c>
    </row>
    <row r="115" spans="1:18">
      <c r="A115" s="19">
        <v>45789</v>
      </c>
      <c r="B115" s="3" t="s">
        <v>25</v>
      </c>
      <c r="C115" s="3" t="s">
        <v>12</v>
      </c>
      <c r="D115" s="3" t="s">
        <v>23</v>
      </c>
      <c r="E115" s="3" t="s">
        <v>20</v>
      </c>
      <c r="F115" s="3" t="s">
        <v>36</v>
      </c>
      <c r="G115" s="3" t="s">
        <v>31</v>
      </c>
      <c r="H115">
        <v>150000</v>
      </c>
      <c r="I115">
        <v>6</v>
      </c>
      <c r="J115" s="3" t="s">
        <v>37</v>
      </c>
      <c r="K115">
        <v>120000</v>
      </c>
      <c r="L115">
        <v>900000</v>
      </c>
      <c r="M115">
        <v>720000</v>
      </c>
      <c r="N115">
        <v>180000</v>
      </c>
      <c r="O115" s="3" t="s">
        <v>216</v>
      </c>
      <c r="P115" s="3" t="s">
        <v>102</v>
      </c>
      <c r="Q115" s="3" t="s">
        <v>103</v>
      </c>
      <c r="R115" s="3" t="s">
        <v>103</v>
      </c>
    </row>
    <row r="116" spans="1:18">
      <c r="A116" s="19">
        <v>45790</v>
      </c>
      <c r="B116" s="3" t="s">
        <v>29</v>
      </c>
      <c r="C116" s="3" t="s">
        <v>19</v>
      </c>
      <c r="D116" s="3" t="s">
        <v>23</v>
      </c>
      <c r="E116" s="3" t="s">
        <v>20</v>
      </c>
      <c r="F116" s="3" t="s">
        <v>36</v>
      </c>
      <c r="G116" s="3" t="s">
        <v>31</v>
      </c>
      <c r="H116">
        <v>150000</v>
      </c>
      <c r="I116">
        <v>8</v>
      </c>
      <c r="J116" s="3" t="s">
        <v>37</v>
      </c>
      <c r="K116">
        <v>120000</v>
      </c>
      <c r="L116">
        <v>1200000</v>
      </c>
      <c r="M116">
        <v>960000</v>
      </c>
      <c r="N116">
        <v>240000</v>
      </c>
      <c r="O116" s="3" t="s">
        <v>217</v>
      </c>
      <c r="P116" s="3" t="s">
        <v>102</v>
      </c>
      <c r="Q116" s="3" t="s">
        <v>103</v>
      </c>
      <c r="R116" s="3" t="s">
        <v>103</v>
      </c>
    </row>
    <row r="117" spans="1:18">
      <c r="A117" s="19">
        <v>45791</v>
      </c>
      <c r="B117" s="3" t="s">
        <v>25</v>
      </c>
      <c r="C117" s="3" t="s">
        <v>19</v>
      </c>
      <c r="D117" s="3" t="s">
        <v>13</v>
      </c>
      <c r="E117" s="3" t="s">
        <v>20</v>
      </c>
      <c r="F117" s="3" t="s">
        <v>21</v>
      </c>
      <c r="G117" s="3" t="s">
        <v>22</v>
      </c>
      <c r="H117">
        <v>30000</v>
      </c>
      <c r="I117">
        <v>6</v>
      </c>
      <c r="J117" s="3" t="s">
        <v>17</v>
      </c>
      <c r="K117">
        <v>24000</v>
      </c>
      <c r="L117">
        <v>180000</v>
      </c>
      <c r="M117">
        <v>144000</v>
      </c>
      <c r="N117">
        <v>36000</v>
      </c>
      <c r="O117" s="3" t="s">
        <v>218</v>
      </c>
      <c r="P117" s="3" t="s">
        <v>102</v>
      </c>
      <c r="Q117" s="3" t="s">
        <v>103</v>
      </c>
      <c r="R117" s="3" t="s">
        <v>103</v>
      </c>
    </row>
    <row r="118" spans="1:18">
      <c r="A118" s="19">
        <v>45792</v>
      </c>
      <c r="B118" s="3" t="s">
        <v>11</v>
      </c>
      <c r="C118" s="3" t="s">
        <v>19</v>
      </c>
      <c r="D118" s="3" t="s">
        <v>13</v>
      </c>
      <c r="E118" s="3" t="s">
        <v>14</v>
      </c>
      <c r="F118" s="3" t="s">
        <v>40</v>
      </c>
      <c r="G118" s="3" t="s">
        <v>31</v>
      </c>
      <c r="H118">
        <v>250000</v>
      </c>
      <c r="I118">
        <v>3</v>
      </c>
      <c r="J118" s="3" t="s">
        <v>35</v>
      </c>
      <c r="K118">
        <v>200000</v>
      </c>
      <c r="L118">
        <v>750000</v>
      </c>
      <c r="M118">
        <v>600000</v>
      </c>
      <c r="N118">
        <v>150000</v>
      </c>
      <c r="O118" s="3" t="s">
        <v>219</v>
      </c>
      <c r="P118" s="3" t="s">
        <v>102</v>
      </c>
      <c r="Q118" s="3" t="s">
        <v>103</v>
      </c>
      <c r="R118" s="3" t="s">
        <v>103</v>
      </c>
    </row>
    <row r="119" spans="1:18">
      <c r="A119" s="19">
        <v>45793</v>
      </c>
      <c r="B119" s="3" t="s">
        <v>25</v>
      </c>
      <c r="C119" s="3" t="s">
        <v>19</v>
      </c>
      <c r="D119" s="3" t="s">
        <v>23</v>
      </c>
      <c r="E119" s="3" t="s">
        <v>14</v>
      </c>
      <c r="F119" s="3" t="s">
        <v>36</v>
      </c>
      <c r="G119" s="3" t="s">
        <v>31</v>
      </c>
      <c r="H119">
        <v>150000</v>
      </c>
      <c r="I119">
        <v>5</v>
      </c>
      <c r="J119" s="3" t="s">
        <v>17</v>
      </c>
      <c r="K119">
        <v>120000</v>
      </c>
      <c r="L119">
        <v>750000</v>
      </c>
      <c r="M119">
        <v>600000</v>
      </c>
      <c r="N119">
        <v>150000</v>
      </c>
      <c r="O119" s="3" t="s">
        <v>220</v>
      </c>
      <c r="P119" s="3" t="s">
        <v>102</v>
      </c>
      <c r="Q119" s="3" t="s">
        <v>103</v>
      </c>
      <c r="R119" s="3" t="s">
        <v>103</v>
      </c>
    </row>
    <row r="120" spans="1:18">
      <c r="A120" s="19">
        <v>45794</v>
      </c>
      <c r="B120" s="3" t="s">
        <v>11</v>
      </c>
      <c r="C120" s="3" t="s">
        <v>19</v>
      </c>
      <c r="D120" s="3" t="s">
        <v>13</v>
      </c>
      <c r="E120" s="3" t="s">
        <v>14</v>
      </c>
      <c r="F120" s="3" t="s">
        <v>41</v>
      </c>
      <c r="G120" s="3" t="s">
        <v>22</v>
      </c>
      <c r="H120">
        <v>220000</v>
      </c>
      <c r="I120">
        <v>1</v>
      </c>
      <c r="J120" s="3" t="s">
        <v>37</v>
      </c>
      <c r="K120">
        <v>176000</v>
      </c>
      <c r="L120">
        <v>220000</v>
      </c>
      <c r="M120">
        <v>176000</v>
      </c>
      <c r="N120">
        <v>44000</v>
      </c>
      <c r="O120" s="3" t="s">
        <v>221</v>
      </c>
      <c r="P120" s="3" t="s">
        <v>102</v>
      </c>
      <c r="Q120" s="3" t="s">
        <v>103</v>
      </c>
      <c r="R120" s="3" t="s">
        <v>103</v>
      </c>
    </row>
    <row r="121" spans="1:18">
      <c r="A121" s="19">
        <v>45795</v>
      </c>
      <c r="B121" s="3" t="s">
        <v>29</v>
      </c>
      <c r="C121" s="3" t="s">
        <v>19</v>
      </c>
      <c r="D121" s="3" t="s">
        <v>13</v>
      </c>
      <c r="E121" s="3" t="s">
        <v>20</v>
      </c>
      <c r="F121" s="3" t="s">
        <v>34</v>
      </c>
      <c r="G121" s="3" t="s">
        <v>16</v>
      </c>
      <c r="H121">
        <v>320000</v>
      </c>
      <c r="I121">
        <v>10</v>
      </c>
      <c r="J121" s="3" t="s">
        <v>35</v>
      </c>
      <c r="K121">
        <v>256000</v>
      </c>
      <c r="L121">
        <v>3200000</v>
      </c>
      <c r="M121">
        <v>2560000</v>
      </c>
      <c r="N121">
        <v>640000</v>
      </c>
      <c r="O121" s="3" t="s">
        <v>222</v>
      </c>
      <c r="P121" s="3" t="s">
        <v>102</v>
      </c>
      <c r="Q121" s="3" t="s">
        <v>103</v>
      </c>
      <c r="R121" s="3" t="s">
        <v>103</v>
      </c>
    </row>
    <row r="122" spans="1:18">
      <c r="A122" s="19">
        <v>45796</v>
      </c>
      <c r="B122" s="3" t="s">
        <v>25</v>
      </c>
      <c r="C122" s="3" t="s">
        <v>12</v>
      </c>
      <c r="D122" s="3" t="s">
        <v>23</v>
      </c>
      <c r="E122" s="3" t="s">
        <v>20</v>
      </c>
      <c r="F122" s="3" t="s">
        <v>27</v>
      </c>
      <c r="G122" s="3" t="s">
        <v>22</v>
      </c>
      <c r="H122">
        <v>60000</v>
      </c>
      <c r="I122">
        <v>5</v>
      </c>
      <c r="J122" s="3" t="s">
        <v>24</v>
      </c>
      <c r="K122">
        <v>48000</v>
      </c>
      <c r="L122">
        <v>300000</v>
      </c>
      <c r="M122">
        <v>240000</v>
      </c>
      <c r="N122">
        <v>60000</v>
      </c>
      <c r="O122" s="3" t="s">
        <v>223</v>
      </c>
      <c r="P122" s="3" t="s">
        <v>102</v>
      </c>
      <c r="Q122" s="3" t="s">
        <v>103</v>
      </c>
      <c r="R122" s="3" t="s">
        <v>103</v>
      </c>
    </row>
    <row r="123" spans="1:18">
      <c r="A123" s="19">
        <v>45797</v>
      </c>
      <c r="B123" s="3" t="s">
        <v>18</v>
      </c>
      <c r="C123" s="3" t="s">
        <v>32</v>
      </c>
      <c r="D123" s="3" t="s">
        <v>13</v>
      </c>
      <c r="E123" s="3" t="s">
        <v>20</v>
      </c>
      <c r="F123" s="3" t="s">
        <v>36</v>
      </c>
      <c r="G123" s="3" t="s">
        <v>31</v>
      </c>
      <c r="H123">
        <v>150000</v>
      </c>
      <c r="I123">
        <v>7</v>
      </c>
      <c r="J123" s="3" t="s">
        <v>39</v>
      </c>
      <c r="K123">
        <v>120000</v>
      </c>
      <c r="L123">
        <v>1050000</v>
      </c>
      <c r="M123">
        <v>840000</v>
      </c>
      <c r="N123">
        <v>210000</v>
      </c>
      <c r="O123" s="3" t="s">
        <v>224</v>
      </c>
      <c r="P123" s="3" t="s">
        <v>102</v>
      </c>
      <c r="Q123" s="3" t="s">
        <v>103</v>
      </c>
      <c r="R123" s="3" t="s">
        <v>103</v>
      </c>
    </row>
    <row r="124" spans="1:18">
      <c r="A124" s="19">
        <v>45798</v>
      </c>
      <c r="B124" s="3" t="s">
        <v>29</v>
      </c>
      <c r="C124" s="3" t="s">
        <v>26</v>
      </c>
      <c r="D124" s="3" t="s">
        <v>13</v>
      </c>
      <c r="E124" s="3" t="s">
        <v>14</v>
      </c>
      <c r="F124" s="3" t="s">
        <v>27</v>
      </c>
      <c r="G124" s="3" t="s">
        <v>22</v>
      </c>
      <c r="H124">
        <v>60000</v>
      </c>
      <c r="I124">
        <v>7</v>
      </c>
      <c r="J124" s="3" t="s">
        <v>28</v>
      </c>
      <c r="K124">
        <v>48000</v>
      </c>
      <c r="L124">
        <v>420000</v>
      </c>
      <c r="M124">
        <v>336000</v>
      </c>
      <c r="N124">
        <v>84000</v>
      </c>
      <c r="O124" s="3" t="s">
        <v>225</v>
      </c>
      <c r="P124" s="3" t="s">
        <v>102</v>
      </c>
      <c r="Q124" s="3" t="s">
        <v>103</v>
      </c>
      <c r="R124" s="3" t="s">
        <v>103</v>
      </c>
    </row>
    <row r="125" spans="1:18">
      <c r="A125" s="19">
        <v>45799</v>
      </c>
      <c r="B125" s="3" t="s">
        <v>29</v>
      </c>
      <c r="C125" s="3" t="s">
        <v>12</v>
      </c>
      <c r="D125" s="3" t="s">
        <v>23</v>
      </c>
      <c r="E125" s="3" t="s">
        <v>20</v>
      </c>
      <c r="F125" s="3" t="s">
        <v>41</v>
      </c>
      <c r="G125" s="3" t="s">
        <v>22</v>
      </c>
      <c r="H125">
        <v>220000</v>
      </c>
      <c r="I125">
        <v>4</v>
      </c>
      <c r="J125" s="3" t="s">
        <v>35</v>
      </c>
      <c r="K125">
        <v>176000</v>
      </c>
      <c r="L125">
        <v>880000</v>
      </c>
      <c r="M125">
        <v>704000</v>
      </c>
      <c r="N125">
        <v>176000</v>
      </c>
      <c r="O125" s="3" t="s">
        <v>226</v>
      </c>
      <c r="P125" s="3" t="s">
        <v>102</v>
      </c>
      <c r="Q125" s="3" t="s">
        <v>103</v>
      </c>
      <c r="R125" s="3" t="s">
        <v>103</v>
      </c>
    </row>
    <row r="126" spans="1:18">
      <c r="A126" s="19">
        <v>45800</v>
      </c>
      <c r="B126" s="3" t="s">
        <v>18</v>
      </c>
      <c r="C126" s="3" t="s">
        <v>26</v>
      </c>
      <c r="D126" s="3" t="s">
        <v>23</v>
      </c>
      <c r="E126" s="3" t="s">
        <v>20</v>
      </c>
      <c r="F126" s="3" t="s">
        <v>40</v>
      </c>
      <c r="G126" s="3" t="s">
        <v>31</v>
      </c>
      <c r="H126">
        <v>250000</v>
      </c>
      <c r="I126">
        <v>6</v>
      </c>
      <c r="J126" s="3" t="s">
        <v>24</v>
      </c>
      <c r="K126">
        <v>200000</v>
      </c>
      <c r="L126">
        <v>1500000</v>
      </c>
      <c r="M126">
        <v>1200000</v>
      </c>
      <c r="N126">
        <v>300000</v>
      </c>
      <c r="O126" s="3" t="s">
        <v>227</v>
      </c>
      <c r="P126" s="3" t="s">
        <v>102</v>
      </c>
      <c r="Q126" s="3" t="s">
        <v>103</v>
      </c>
      <c r="R126" s="3" t="s">
        <v>103</v>
      </c>
    </row>
    <row r="127" spans="1:18">
      <c r="A127" s="19">
        <v>45801</v>
      </c>
      <c r="B127" s="3" t="s">
        <v>29</v>
      </c>
      <c r="C127" s="3" t="s">
        <v>12</v>
      </c>
      <c r="D127" s="3" t="s">
        <v>23</v>
      </c>
      <c r="E127" s="3" t="s">
        <v>14</v>
      </c>
      <c r="F127" s="3" t="s">
        <v>38</v>
      </c>
      <c r="G127" s="3" t="s">
        <v>31</v>
      </c>
      <c r="H127">
        <v>420000</v>
      </c>
      <c r="I127">
        <v>10</v>
      </c>
      <c r="J127" s="3" t="s">
        <v>17</v>
      </c>
      <c r="K127">
        <v>336000</v>
      </c>
      <c r="L127">
        <v>4200000</v>
      </c>
      <c r="M127">
        <v>3360000</v>
      </c>
      <c r="N127">
        <v>840000</v>
      </c>
      <c r="O127" s="3" t="s">
        <v>228</v>
      </c>
      <c r="P127" s="3" t="s">
        <v>102</v>
      </c>
      <c r="Q127" s="3" t="s">
        <v>103</v>
      </c>
      <c r="R127" s="3" t="s">
        <v>103</v>
      </c>
    </row>
    <row r="128" spans="1:18">
      <c r="A128" s="19">
        <v>45802</v>
      </c>
      <c r="B128" s="3" t="s">
        <v>18</v>
      </c>
      <c r="C128" s="3" t="s">
        <v>12</v>
      </c>
      <c r="D128" s="3" t="s">
        <v>13</v>
      </c>
      <c r="E128" s="3" t="s">
        <v>14</v>
      </c>
      <c r="F128" s="3" t="s">
        <v>21</v>
      </c>
      <c r="G128" s="3" t="s">
        <v>22</v>
      </c>
      <c r="H128">
        <v>30000</v>
      </c>
      <c r="I128">
        <v>9</v>
      </c>
      <c r="J128" s="3" t="s">
        <v>39</v>
      </c>
      <c r="K128">
        <v>24000</v>
      </c>
      <c r="L128">
        <v>270000</v>
      </c>
      <c r="M128">
        <v>216000</v>
      </c>
      <c r="N128">
        <v>54000</v>
      </c>
      <c r="O128" s="3" t="s">
        <v>229</v>
      </c>
      <c r="P128" s="3" t="s">
        <v>102</v>
      </c>
      <c r="Q128" s="3" t="s">
        <v>103</v>
      </c>
      <c r="R128" s="3" t="s">
        <v>103</v>
      </c>
    </row>
    <row r="129" spans="1:18">
      <c r="A129" s="19">
        <v>45803</v>
      </c>
      <c r="B129" s="3" t="s">
        <v>11</v>
      </c>
      <c r="C129" s="3" t="s">
        <v>26</v>
      </c>
      <c r="D129" s="3" t="s">
        <v>13</v>
      </c>
      <c r="E129" s="3" t="s">
        <v>20</v>
      </c>
      <c r="F129" s="3" t="s">
        <v>33</v>
      </c>
      <c r="G129" s="3" t="s">
        <v>22</v>
      </c>
      <c r="H129">
        <v>180000</v>
      </c>
      <c r="I129">
        <v>8</v>
      </c>
      <c r="J129" s="3" t="s">
        <v>28</v>
      </c>
      <c r="K129">
        <v>144000</v>
      </c>
      <c r="L129">
        <v>1440000</v>
      </c>
      <c r="M129">
        <v>1152000</v>
      </c>
      <c r="N129">
        <v>288000</v>
      </c>
      <c r="O129" s="3" t="s">
        <v>230</v>
      </c>
      <c r="P129" s="3" t="s">
        <v>102</v>
      </c>
      <c r="Q129" s="3" t="s">
        <v>103</v>
      </c>
      <c r="R129" s="3" t="s">
        <v>103</v>
      </c>
    </row>
    <row r="130" spans="1:18">
      <c r="A130" s="19">
        <v>45804</v>
      </c>
      <c r="B130" s="3" t="s">
        <v>29</v>
      </c>
      <c r="C130" s="3" t="s">
        <v>19</v>
      </c>
      <c r="D130" s="3" t="s">
        <v>13</v>
      </c>
      <c r="E130" s="3" t="s">
        <v>14</v>
      </c>
      <c r="F130" s="3" t="s">
        <v>38</v>
      </c>
      <c r="G130" s="3" t="s">
        <v>31</v>
      </c>
      <c r="H130">
        <v>420000</v>
      </c>
      <c r="I130">
        <v>5</v>
      </c>
      <c r="J130" s="3" t="s">
        <v>37</v>
      </c>
      <c r="K130">
        <v>336000</v>
      </c>
      <c r="L130">
        <v>2100000</v>
      </c>
      <c r="M130">
        <v>1680000</v>
      </c>
      <c r="N130">
        <v>420000</v>
      </c>
      <c r="O130" s="3" t="s">
        <v>231</v>
      </c>
      <c r="P130" s="3" t="s">
        <v>102</v>
      </c>
      <c r="Q130" s="3" t="s">
        <v>103</v>
      </c>
      <c r="R130" s="3" t="s">
        <v>103</v>
      </c>
    </row>
    <row r="131" spans="1:18">
      <c r="A131" s="19">
        <v>45805</v>
      </c>
      <c r="B131" s="3" t="s">
        <v>11</v>
      </c>
      <c r="C131" s="3" t="s">
        <v>12</v>
      </c>
      <c r="D131" s="3" t="s">
        <v>23</v>
      </c>
      <c r="E131" s="3" t="s">
        <v>14</v>
      </c>
      <c r="F131" s="3" t="s">
        <v>27</v>
      </c>
      <c r="G131" s="3" t="s">
        <v>22</v>
      </c>
      <c r="H131">
        <v>60000</v>
      </c>
      <c r="I131">
        <v>9</v>
      </c>
      <c r="J131" s="3" t="s">
        <v>17</v>
      </c>
      <c r="K131">
        <v>48000</v>
      </c>
      <c r="L131">
        <v>540000</v>
      </c>
      <c r="M131">
        <v>432000</v>
      </c>
      <c r="N131">
        <v>108000</v>
      </c>
      <c r="O131" s="3" t="s">
        <v>232</v>
      </c>
      <c r="P131" s="3" t="s">
        <v>102</v>
      </c>
      <c r="Q131" s="3" t="s">
        <v>103</v>
      </c>
      <c r="R131" s="3" t="s">
        <v>103</v>
      </c>
    </row>
    <row r="132" spans="1:18">
      <c r="A132" s="19">
        <v>45806</v>
      </c>
      <c r="B132" s="3" t="s">
        <v>25</v>
      </c>
      <c r="C132" s="3" t="s">
        <v>26</v>
      </c>
      <c r="D132" s="3" t="s">
        <v>23</v>
      </c>
      <c r="E132" s="3" t="s">
        <v>20</v>
      </c>
      <c r="F132" s="3" t="s">
        <v>15</v>
      </c>
      <c r="G132" s="3" t="s">
        <v>16</v>
      </c>
      <c r="H132">
        <v>85000</v>
      </c>
      <c r="I132">
        <v>5</v>
      </c>
      <c r="J132" s="3" t="s">
        <v>24</v>
      </c>
      <c r="K132">
        <v>68000</v>
      </c>
      <c r="L132">
        <v>425000</v>
      </c>
      <c r="M132">
        <v>340000</v>
      </c>
      <c r="N132">
        <v>85000</v>
      </c>
      <c r="O132" s="3" t="s">
        <v>233</v>
      </c>
      <c r="P132" s="3" t="s">
        <v>102</v>
      </c>
      <c r="Q132" s="3" t="s">
        <v>103</v>
      </c>
      <c r="R132" s="3" t="s">
        <v>103</v>
      </c>
    </row>
    <row r="133" spans="1:18">
      <c r="A133" s="19">
        <v>45807</v>
      </c>
      <c r="B133" s="3" t="s">
        <v>25</v>
      </c>
      <c r="C133" s="3" t="s">
        <v>26</v>
      </c>
      <c r="D133" s="3" t="s">
        <v>23</v>
      </c>
      <c r="E133" s="3" t="s">
        <v>14</v>
      </c>
      <c r="F133" s="3" t="s">
        <v>15</v>
      </c>
      <c r="G133" s="3" t="s">
        <v>16</v>
      </c>
      <c r="H133">
        <v>85000</v>
      </c>
      <c r="I133">
        <v>1</v>
      </c>
      <c r="J133" s="3" t="s">
        <v>28</v>
      </c>
      <c r="K133">
        <v>68000</v>
      </c>
      <c r="L133">
        <v>85000</v>
      </c>
      <c r="M133">
        <v>68000</v>
      </c>
      <c r="N133">
        <v>17000</v>
      </c>
      <c r="O133" s="3" t="s">
        <v>234</v>
      </c>
      <c r="P133" s="3" t="s">
        <v>102</v>
      </c>
      <c r="Q133" s="3" t="s">
        <v>103</v>
      </c>
      <c r="R133" s="3" t="s">
        <v>103</v>
      </c>
    </row>
    <row r="134" spans="1:18">
      <c r="A134" s="19">
        <v>45808</v>
      </c>
      <c r="B134" s="3" t="s">
        <v>18</v>
      </c>
      <c r="C134" s="3" t="s">
        <v>19</v>
      </c>
      <c r="D134" s="3" t="s">
        <v>13</v>
      </c>
      <c r="E134" s="3" t="s">
        <v>20</v>
      </c>
      <c r="F134" s="3" t="s">
        <v>27</v>
      </c>
      <c r="G134" s="3" t="s">
        <v>22</v>
      </c>
      <c r="H134">
        <v>60000</v>
      </c>
      <c r="I134">
        <v>8</v>
      </c>
      <c r="J134" s="3" t="s">
        <v>35</v>
      </c>
      <c r="K134">
        <v>48000</v>
      </c>
      <c r="L134">
        <v>480000</v>
      </c>
      <c r="M134">
        <v>384000</v>
      </c>
      <c r="N134">
        <v>96000</v>
      </c>
      <c r="O134" s="3" t="s">
        <v>235</v>
      </c>
      <c r="P134" s="3" t="s">
        <v>102</v>
      </c>
      <c r="Q134" s="3" t="s">
        <v>103</v>
      </c>
      <c r="R134" s="3" t="s">
        <v>103</v>
      </c>
    </row>
    <row r="135" spans="1:18">
      <c r="A135" s="19">
        <v>45809</v>
      </c>
      <c r="B135" s="3" t="s">
        <v>11</v>
      </c>
      <c r="C135" s="3" t="s">
        <v>26</v>
      </c>
      <c r="D135" s="3" t="s">
        <v>23</v>
      </c>
      <c r="E135" s="3" t="s">
        <v>14</v>
      </c>
      <c r="F135" s="3" t="s">
        <v>36</v>
      </c>
      <c r="G135" s="3" t="s">
        <v>31</v>
      </c>
      <c r="H135">
        <v>150000</v>
      </c>
      <c r="I135">
        <v>5</v>
      </c>
      <c r="J135" s="3" t="s">
        <v>37</v>
      </c>
      <c r="K135">
        <v>120000</v>
      </c>
      <c r="L135">
        <v>750000</v>
      </c>
      <c r="M135">
        <v>600000</v>
      </c>
      <c r="N135">
        <v>150000</v>
      </c>
      <c r="O135" s="3" t="s">
        <v>236</v>
      </c>
      <c r="P135" s="3" t="s">
        <v>102</v>
      </c>
      <c r="Q135" s="3" t="s">
        <v>103</v>
      </c>
      <c r="R135" s="3" t="s">
        <v>103</v>
      </c>
    </row>
    <row r="136" spans="1:18">
      <c r="A136" s="19">
        <v>45810</v>
      </c>
      <c r="B136" s="3" t="s">
        <v>11</v>
      </c>
      <c r="C136" s="3" t="s">
        <v>32</v>
      </c>
      <c r="D136" s="3" t="s">
        <v>13</v>
      </c>
      <c r="E136" s="3" t="s">
        <v>14</v>
      </c>
      <c r="F136" s="3" t="s">
        <v>34</v>
      </c>
      <c r="G136" s="3" t="s">
        <v>16</v>
      </c>
      <c r="H136">
        <v>320000</v>
      </c>
      <c r="I136">
        <v>10</v>
      </c>
      <c r="J136" s="3" t="s">
        <v>35</v>
      </c>
      <c r="K136">
        <v>256000</v>
      </c>
      <c r="L136">
        <v>3200000</v>
      </c>
      <c r="M136">
        <v>2560000</v>
      </c>
      <c r="N136">
        <v>640000</v>
      </c>
      <c r="O136" s="3" t="s">
        <v>237</v>
      </c>
      <c r="P136" s="3" t="s">
        <v>102</v>
      </c>
      <c r="Q136" s="3" t="s">
        <v>103</v>
      </c>
      <c r="R136" s="3" t="s">
        <v>103</v>
      </c>
    </row>
    <row r="137" spans="1:18">
      <c r="A137" s="19">
        <v>45811</v>
      </c>
      <c r="B137" s="3" t="s">
        <v>11</v>
      </c>
      <c r="C137" s="3" t="s">
        <v>32</v>
      </c>
      <c r="D137" s="3" t="s">
        <v>23</v>
      </c>
      <c r="E137" s="3" t="s">
        <v>14</v>
      </c>
      <c r="F137" s="3" t="s">
        <v>40</v>
      </c>
      <c r="G137" s="3" t="s">
        <v>31</v>
      </c>
      <c r="H137">
        <v>250000</v>
      </c>
      <c r="I137">
        <v>6</v>
      </c>
      <c r="J137" s="3" t="s">
        <v>39</v>
      </c>
      <c r="K137">
        <v>200000</v>
      </c>
      <c r="L137">
        <v>1500000</v>
      </c>
      <c r="M137">
        <v>1200000</v>
      </c>
      <c r="N137">
        <v>300000</v>
      </c>
      <c r="O137" s="3" t="s">
        <v>238</v>
      </c>
      <c r="P137" s="3" t="s">
        <v>102</v>
      </c>
      <c r="Q137" s="3" t="s">
        <v>103</v>
      </c>
      <c r="R137" s="3" t="s">
        <v>103</v>
      </c>
    </row>
    <row r="138" spans="1:18">
      <c r="A138" s="19">
        <v>45812</v>
      </c>
      <c r="B138" s="3" t="s">
        <v>25</v>
      </c>
      <c r="C138" s="3" t="s">
        <v>26</v>
      </c>
      <c r="D138" s="3" t="s">
        <v>23</v>
      </c>
      <c r="E138" s="3" t="s">
        <v>14</v>
      </c>
      <c r="F138" s="3" t="s">
        <v>36</v>
      </c>
      <c r="G138" s="3" t="s">
        <v>31</v>
      </c>
      <c r="H138">
        <v>150000</v>
      </c>
      <c r="I138">
        <v>3</v>
      </c>
      <c r="J138" s="3" t="s">
        <v>17</v>
      </c>
      <c r="K138">
        <v>120000</v>
      </c>
      <c r="L138">
        <v>450000</v>
      </c>
      <c r="M138">
        <v>360000</v>
      </c>
      <c r="N138">
        <v>90000</v>
      </c>
      <c r="O138" s="3" t="s">
        <v>239</v>
      </c>
      <c r="P138" s="3" t="s">
        <v>102</v>
      </c>
      <c r="Q138" s="3" t="s">
        <v>103</v>
      </c>
      <c r="R138" s="3" t="s">
        <v>103</v>
      </c>
    </row>
    <row r="139" spans="1:18">
      <c r="A139" s="19">
        <v>45813</v>
      </c>
      <c r="B139" s="3" t="s">
        <v>11</v>
      </c>
      <c r="C139" s="3" t="s">
        <v>19</v>
      </c>
      <c r="D139" s="3" t="s">
        <v>23</v>
      </c>
      <c r="E139" s="3" t="s">
        <v>14</v>
      </c>
      <c r="F139" s="3" t="s">
        <v>27</v>
      </c>
      <c r="G139" s="3" t="s">
        <v>22</v>
      </c>
      <c r="H139">
        <v>60000</v>
      </c>
      <c r="I139">
        <v>10</v>
      </c>
      <c r="J139" s="3" t="s">
        <v>37</v>
      </c>
      <c r="K139">
        <v>48000</v>
      </c>
      <c r="L139">
        <v>600000</v>
      </c>
      <c r="M139">
        <v>480000</v>
      </c>
      <c r="N139">
        <v>120000</v>
      </c>
      <c r="O139" s="3" t="s">
        <v>240</v>
      </c>
      <c r="P139" s="3" t="s">
        <v>102</v>
      </c>
      <c r="Q139" s="3" t="s">
        <v>103</v>
      </c>
      <c r="R139" s="3" t="s">
        <v>103</v>
      </c>
    </row>
    <row r="140" spans="1:18">
      <c r="A140" s="19">
        <v>45814</v>
      </c>
      <c r="B140" s="3" t="s">
        <v>29</v>
      </c>
      <c r="C140" s="3" t="s">
        <v>26</v>
      </c>
      <c r="D140" s="3" t="s">
        <v>13</v>
      </c>
      <c r="E140" s="3" t="s">
        <v>14</v>
      </c>
      <c r="F140" s="3" t="s">
        <v>36</v>
      </c>
      <c r="G140" s="3" t="s">
        <v>31</v>
      </c>
      <c r="H140">
        <v>150000</v>
      </c>
      <c r="I140">
        <v>8</v>
      </c>
      <c r="J140" s="3" t="s">
        <v>28</v>
      </c>
      <c r="K140">
        <v>120000</v>
      </c>
      <c r="L140">
        <v>1200000</v>
      </c>
      <c r="M140">
        <v>960000</v>
      </c>
      <c r="N140">
        <v>240000</v>
      </c>
      <c r="O140" s="3" t="s">
        <v>241</v>
      </c>
      <c r="P140" s="3" t="s">
        <v>102</v>
      </c>
      <c r="Q140" s="3" t="s">
        <v>103</v>
      </c>
      <c r="R140" s="3" t="s">
        <v>103</v>
      </c>
    </row>
    <row r="141" spans="1:18">
      <c r="A141" s="19">
        <v>45815</v>
      </c>
      <c r="B141" s="3" t="s">
        <v>25</v>
      </c>
      <c r="C141" s="3" t="s">
        <v>12</v>
      </c>
      <c r="D141" s="3" t="s">
        <v>13</v>
      </c>
      <c r="E141" s="3" t="s">
        <v>14</v>
      </c>
      <c r="F141" s="3" t="s">
        <v>40</v>
      </c>
      <c r="G141" s="3" t="s">
        <v>31</v>
      </c>
      <c r="H141">
        <v>250000</v>
      </c>
      <c r="I141">
        <v>7</v>
      </c>
      <c r="J141" s="3" t="s">
        <v>37</v>
      </c>
      <c r="K141">
        <v>200000</v>
      </c>
      <c r="L141">
        <v>1750000</v>
      </c>
      <c r="M141">
        <v>1400000</v>
      </c>
      <c r="N141">
        <v>350000</v>
      </c>
      <c r="O141" s="3" t="s">
        <v>242</v>
      </c>
      <c r="P141" s="3" t="s">
        <v>102</v>
      </c>
      <c r="Q141" s="3" t="s">
        <v>103</v>
      </c>
      <c r="R141" s="3" t="s">
        <v>103</v>
      </c>
    </row>
    <row r="142" spans="1:18">
      <c r="A142" s="19">
        <v>45816</v>
      </c>
      <c r="B142" s="3" t="s">
        <v>25</v>
      </c>
      <c r="C142" s="3" t="s">
        <v>32</v>
      </c>
      <c r="D142" s="3" t="s">
        <v>23</v>
      </c>
      <c r="E142" s="3" t="s">
        <v>14</v>
      </c>
      <c r="F142" s="3" t="s">
        <v>15</v>
      </c>
      <c r="G142" s="3" t="s">
        <v>16</v>
      </c>
      <c r="H142">
        <v>85000</v>
      </c>
      <c r="I142">
        <v>6</v>
      </c>
      <c r="J142" s="3" t="s">
        <v>35</v>
      </c>
      <c r="K142">
        <v>68000</v>
      </c>
      <c r="L142">
        <v>510000</v>
      </c>
      <c r="M142">
        <v>408000</v>
      </c>
      <c r="N142">
        <v>102000</v>
      </c>
      <c r="O142" s="3" t="s">
        <v>243</v>
      </c>
      <c r="P142" s="3" t="s">
        <v>102</v>
      </c>
      <c r="Q142" s="3" t="s">
        <v>103</v>
      </c>
      <c r="R142" s="3" t="s">
        <v>103</v>
      </c>
    </row>
    <row r="143" spans="1:18">
      <c r="A143" s="19">
        <v>45817</v>
      </c>
      <c r="B143" s="3" t="s">
        <v>29</v>
      </c>
      <c r="C143" s="3" t="s">
        <v>12</v>
      </c>
      <c r="D143" s="3" t="s">
        <v>23</v>
      </c>
      <c r="E143" s="3" t="s">
        <v>14</v>
      </c>
      <c r="F143" s="3" t="s">
        <v>33</v>
      </c>
      <c r="G143" s="3" t="s">
        <v>22</v>
      </c>
      <c r="H143">
        <v>180000</v>
      </c>
      <c r="I143">
        <v>9</v>
      </c>
      <c r="J143" s="3" t="s">
        <v>37</v>
      </c>
      <c r="K143">
        <v>144000</v>
      </c>
      <c r="L143">
        <v>1620000</v>
      </c>
      <c r="M143">
        <v>1296000</v>
      </c>
      <c r="N143">
        <v>324000</v>
      </c>
      <c r="O143" s="3" t="s">
        <v>244</v>
      </c>
      <c r="P143" s="3" t="s">
        <v>102</v>
      </c>
      <c r="Q143" s="3" t="s">
        <v>103</v>
      </c>
      <c r="R143" s="3" t="s">
        <v>103</v>
      </c>
    </row>
    <row r="144" spans="1:18">
      <c r="A144" s="19">
        <v>45818</v>
      </c>
      <c r="B144" s="3" t="s">
        <v>11</v>
      </c>
      <c r="C144" s="3" t="s">
        <v>32</v>
      </c>
      <c r="D144" s="3" t="s">
        <v>23</v>
      </c>
      <c r="E144" s="3" t="s">
        <v>14</v>
      </c>
      <c r="F144" s="3" t="s">
        <v>21</v>
      </c>
      <c r="G144" s="3" t="s">
        <v>22</v>
      </c>
      <c r="H144">
        <v>30000</v>
      </c>
      <c r="I144">
        <v>8</v>
      </c>
      <c r="J144" s="3" t="s">
        <v>37</v>
      </c>
      <c r="K144">
        <v>24000</v>
      </c>
      <c r="L144">
        <v>240000</v>
      </c>
      <c r="M144">
        <v>192000</v>
      </c>
      <c r="N144">
        <v>48000</v>
      </c>
      <c r="O144" s="3" t="s">
        <v>245</v>
      </c>
      <c r="P144" s="3" t="s">
        <v>102</v>
      </c>
      <c r="Q144" s="3" t="s">
        <v>103</v>
      </c>
      <c r="R144" s="3" t="s">
        <v>103</v>
      </c>
    </row>
    <row r="145" spans="1:18">
      <c r="A145" s="19">
        <v>45819</v>
      </c>
      <c r="B145" s="3" t="s">
        <v>25</v>
      </c>
      <c r="C145" s="3" t="s">
        <v>12</v>
      </c>
      <c r="D145" s="3" t="s">
        <v>23</v>
      </c>
      <c r="E145" s="3" t="s">
        <v>20</v>
      </c>
      <c r="F145" s="3" t="s">
        <v>15</v>
      </c>
      <c r="G145" s="3" t="s">
        <v>16</v>
      </c>
      <c r="H145">
        <v>85000</v>
      </c>
      <c r="I145">
        <v>1</v>
      </c>
      <c r="J145" s="3" t="s">
        <v>24</v>
      </c>
      <c r="K145">
        <v>68000</v>
      </c>
      <c r="L145">
        <v>85000</v>
      </c>
      <c r="M145">
        <v>68000</v>
      </c>
      <c r="N145">
        <v>17000</v>
      </c>
      <c r="O145" s="3" t="s">
        <v>246</v>
      </c>
      <c r="P145" s="3" t="s">
        <v>102</v>
      </c>
      <c r="Q145" s="3" t="s">
        <v>103</v>
      </c>
      <c r="R145" s="3" t="s">
        <v>103</v>
      </c>
    </row>
    <row r="146" spans="1:18">
      <c r="A146" s="19">
        <v>45820</v>
      </c>
      <c r="B146" s="3" t="s">
        <v>11</v>
      </c>
      <c r="C146" s="3" t="s">
        <v>32</v>
      </c>
      <c r="D146" s="3" t="s">
        <v>23</v>
      </c>
      <c r="E146" s="3" t="s">
        <v>14</v>
      </c>
      <c r="F146" s="3" t="s">
        <v>21</v>
      </c>
      <c r="G146" s="3" t="s">
        <v>22</v>
      </c>
      <c r="H146">
        <v>30000</v>
      </c>
      <c r="I146">
        <v>8</v>
      </c>
      <c r="J146" s="3" t="s">
        <v>39</v>
      </c>
      <c r="K146">
        <v>24000</v>
      </c>
      <c r="L146">
        <v>240000</v>
      </c>
      <c r="M146">
        <v>192000</v>
      </c>
      <c r="N146">
        <v>48000</v>
      </c>
      <c r="O146" s="3" t="s">
        <v>247</v>
      </c>
      <c r="P146" s="3" t="s">
        <v>102</v>
      </c>
      <c r="Q146" s="3" t="s">
        <v>103</v>
      </c>
      <c r="R146" s="3" t="s">
        <v>103</v>
      </c>
    </row>
    <row r="147" spans="1:18">
      <c r="A147" s="19">
        <v>45821</v>
      </c>
      <c r="B147" s="3" t="s">
        <v>29</v>
      </c>
      <c r="C147" s="3" t="s">
        <v>26</v>
      </c>
      <c r="D147" s="3" t="s">
        <v>13</v>
      </c>
      <c r="E147" s="3" t="s">
        <v>14</v>
      </c>
      <c r="F147" s="3" t="s">
        <v>34</v>
      </c>
      <c r="G147" s="3" t="s">
        <v>16</v>
      </c>
      <c r="H147">
        <v>320000</v>
      </c>
      <c r="I147">
        <v>2</v>
      </c>
      <c r="J147" s="3" t="s">
        <v>37</v>
      </c>
      <c r="K147">
        <v>256000</v>
      </c>
      <c r="L147">
        <v>640000</v>
      </c>
      <c r="M147">
        <v>512000</v>
      </c>
      <c r="N147">
        <v>128000</v>
      </c>
      <c r="O147" s="3" t="s">
        <v>248</v>
      </c>
      <c r="P147" s="3" t="s">
        <v>102</v>
      </c>
      <c r="Q147" s="3" t="s">
        <v>103</v>
      </c>
      <c r="R147" s="3" t="s">
        <v>103</v>
      </c>
    </row>
    <row r="148" spans="1:18">
      <c r="A148" s="19">
        <v>45822</v>
      </c>
      <c r="B148" s="3" t="s">
        <v>18</v>
      </c>
      <c r="C148" s="3" t="s">
        <v>12</v>
      </c>
      <c r="D148" s="3" t="s">
        <v>13</v>
      </c>
      <c r="E148" s="3" t="s">
        <v>14</v>
      </c>
      <c r="F148" s="3" t="s">
        <v>36</v>
      </c>
      <c r="G148" s="3" t="s">
        <v>31</v>
      </c>
      <c r="H148">
        <v>150000</v>
      </c>
      <c r="I148">
        <v>5</v>
      </c>
      <c r="J148" s="3" t="s">
        <v>37</v>
      </c>
      <c r="K148">
        <v>120000</v>
      </c>
      <c r="L148">
        <v>750000</v>
      </c>
      <c r="M148">
        <v>600000</v>
      </c>
      <c r="N148">
        <v>150000</v>
      </c>
      <c r="O148" s="3" t="s">
        <v>249</v>
      </c>
      <c r="P148" s="3" t="s">
        <v>102</v>
      </c>
      <c r="Q148" s="3" t="s">
        <v>103</v>
      </c>
      <c r="R148" s="3" t="s">
        <v>103</v>
      </c>
    </row>
    <row r="149" spans="1:18">
      <c r="A149" s="19">
        <v>45823</v>
      </c>
      <c r="B149" s="3" t="s">
        <v>18</v>
      </c>
      <c r="C149" s="3" t="s">
        <v>26</v>
      </c>
      <c r="D149" s="3" t="s">
        <v>23</v>
      </c>
      <c r="E149" s="3" t="s">
        <v>14</v>
      </c>
      <c r="F149" s="3" t="s">
        <v>40</v>
      </c>
      <c r="G149" s="3" t="s">
        <v>31</v>
      </c>
      <c r="H149">
        <v>250000</v>
      </c>
      <c r="I149">
        <v>5</v>
      </c>
      <c r="J149" s="3" t="s">
        <v>39</v>
      </c>
      <c r="K149">
        <v>200000</v>
      </c>
      <c r="L149">
        <v>1250000</v>
      </c>
      <c r="M149">
        <v>1000000</v>
      </c>
      <c r="N149">
        <v>250000</v>
      </c>
      <c r="O149" s="3" t="s">
        <v>250</v>
      </c>
      <c r="P149" s="3" t="s">
        <v>102</v>
      </c>
      <c r="Q149" s="3" t="s">
        <v>103</v>
      </c>
      <c r="R149" s="3" t="s">
        <v>103</v>
      </c>
    </row>
    <row r="150" spans="1:18">
      <c r="A150" s="19">
        <v>45824</v>
      </c>
      <c r="B150" s="3" t="s">
        <v>29</v>
      </c>
      <c r="C150" s="3" t="s">
        <v>32</v>
      </c>
      <c r="D150" s="3" t="s">
        <v>23</v>
      </c>
      <c r="E150" s="3" t="s">
        <v>14</v>
      </c>
      <c r="F150" s="3" t="s">
        <v>41</v>
      </c>
      <c r="G150" s="3" t="s">
        <v>22</v>
      </c>
      <c r="H150">
        <v>220000</v>
      </c>
      <c r="I150">
        <v>10</v>
      </c>
      <c r="J150" s="3" t="s">
        <v>24</v>
      </c>
      <c r="K150">
        <v>176000</v>
      </c>
      <c r="L150">
        <v>2200000</v>
      </c>
      <c r="M150">
        <v>1760000</v>
      </c>
      <c r="N150">
        <v>440000</v>
      </c>
      <c r="O150" s="3" t="s">
        <v>251</v>
      </c>
      <c r="P150" s="3" t="s">
        <v>102</v>
      </c>
      <c r="Q150" s="3" t="s">
        <v>103</v>
      </c>
      <c r="R150" s="3" t="s">
        <v>103</v>
      </c>
    </row>
    <row r="151" spans="1:18">
      <c r="A151" s="19">
        <v>45825</v>
      </c>
      <c r="B151" s="3" t="s">
        <v>29</v>
      </c>
      <c r="C151" s="3" t="s">
        <v>26</v>
      </c>
      <c r="D151" s="3" t="s">
        <v>23</v>
      </c>
      <c r="E151" s="3" t="s">
        <v>14</v>
      </c>
      <c r="F151" s="3" t="s">
        <v>27</v>
      </c>
      <c r="G151" s="3" t="s">
        <v>22</v>
      </c>
      <c r="H151">
        <v>60000</v>
      </c>
      <c r="I151">
        <v>2</v>
      </c>
      <c r="J151" s="3" t="s">
        <v>35</v>
      </c>
      <c r="K151">
        <v>48000</v>
      </c>
      <c r="L151">
        <v>120000</v>
      </c>
      <c r="M151">
        <v>96000</v>
      </c>
      <c r="N151">
        <v>24000</v>
      </c>
      <c r="O151" s="3" t="s">
        <v>252</v>
      </c>
      <c r="P151" s="3" t="s">
        <v>102</v>
      </c>
      <c r="Q151" s="3" t="s">
        <v>103</v>
      </c>
      <c r="R151" s="3" t="s">
        <v>103</v>
      </c>
    </row>
    <row r="152" spans="1:18">
      <c r="A152" s="19">
        <v>45826</v>
      </c>
      <c r="B152" s="3" t="s">
        <v>29</v>
      </c>
      <c r="C152" s="3" t="s">
        <v>26</v>
      </c>
      <c r="D152" s="3" t="s">
        <v>23</v>
      </c>
      <c r="E152" s="3" t="s">
        <v>20</v>
      </c>
      <c r="F152" s="3" t="s">
        <v>40</v>
      </c>
      <c r="G152" s="3" t="s">
        <v>31</v>
      </c>
      <c r="H152">
        <v>250000</v>
      </c>
      <c r="I152">
        <v>1</v>
      </c>
      <c r="J152" s="3" t="s">
        <v>37</v>
      </c>
      <c r="K152">
        <v>200000</v>
      </c>
      <c r="L152">
        <v>250000</v>
      </c>
      <c r="M152">
        <v>200000</v>
      </c>
      <c r="N152">
        <v>50000</v>
      </c>
      <c r="O152" s="3" t="s">
        <v>253</v>
      </c>
      <c r="P152" s="3" t="s">
        <v>102</v>
      </c>
      <c r="Q152" s="3" t="s">
        <v>103</v>
      </c>
      <c r="R152" s="3" t="s">
        <v>103</v>
      </c>
    </row>
    <row r="153" spans="1:18">
      <c r="A153" s="19">
        <v>45827</v>
      </c>
      <c r="B153" s="3" t="s">
        <v>11</v>
      </c>
      <c r="C153" s="3" t="s">
        <v>12</v>
      </c>
      <c r="D153" s="3" t="s">
        <v>13</v>
      </c>
      <c r="E153" s="3" t="s">
        <v>14</v>
      </c>
      <c r="F153" s="3" t="s">
        <v>33</v>
      </c>
      <c r="G153" s="3" t="s">
        <v>22</v>
      </c>
      <c r="H153">
        <v>180000</v>
      </c>
      <c r="I153">
        <v>8</v>
      </c>
      <c r="J153" s="3" t="s">
        <v>39</v>
      </c>
      <c r="K153">
        <v>144000</v>
      </c>
      <c r="L153">
        <v>1440000</v>
      </c>
      <c r="M153">
        <v>1152000</v>
      </c>
      <c r="N153">
        <v>288000</v>
      </c>
      <c r="O153" s="3" t="s">
        <v>254</v>
      </c>
      <c r="P153" s="3" t="s">
        <v>102</v>
      </c>
      <c r="Q153" s="3" t="s">
        <v>103</v>
      </c>
      <c r="R153" s="3" t="s">
        <v>103</v>
      </c>
    </row>
    <row r="154" spans="1:18">
      <c r="A154" s="19">
        <v>45828</v>
      </c>
      <c r="B154" s="3" t="s">
        <v>29</v>
      </c>
      <c r="C154" s="3" t="s">
        <v>19</v>
      </c>
      <c r="D154" s="3" t="s">
        <v>13</v>
      </c>
      <c r="E154" s="3" t="s">
        <v>14</v>
      </c>
      <c r="F154" s="3" t="s">
        <v>36</v>
      </c>
      <c r="G154" s="3" t="s">
        <v>31</v>
      </c>
      <c r="H154">
        <v>150000</v>
      </c>
      <c r="I154">
        <v>1</v>
      </c>
      <c r="J154" s="3" t="s">
        <v>17</v>
      </c>
      <c r="K154">
        <v>120000</v>
      </c>
      <c r="L154">
        <v>150000</v>
      </c>
      <c r="M154">
        <v>120000</v>
      </c>
      <c r="N154">
        <v>30000</v>
      </c>
      <c r="O154" s="3" t="s">
        <v>255</v>
      </c>
      <c r="P154" s="3" t="s">
        <v>102</v>
      </c>
      <c r="Q154" s="3" t="s">
        <v>103</v>
      </c>
      <c r="R154" s="3" t="s">
        <v>103</v>
      </c>
    </row>
    <row r="155" spans="1:18">
      <c r="A155" s="19">
        <v>45829</v>
      </c>
      <c r="B155" s="3" t="s">
        <v>29</v>
      </c>
      <c r="C155" s="3" t="s">
        <v>32</v>
      </c>
      <c r="D155" s="3" t="s">
        <v>13</v>
      </c>
      <c r="E155" s="3" t="s">
        <v>14</v>
      </c>
      <c r="F155" s="3" t="s">
        <v>21</v>
      </c>
      <c r="G155" s="3" t="s">
        <v>22</v>
      </c>
      <c r="H155">
        <v>30000</v>
      </c>
      <c r="I155">
        <v>6</v>
      </c>
      <c r="J155" s="3" t="s">
        <v>24</v>
      </c>
      <c r="K155">
        <v>24000</v>
      </c>
      <c r="L155">
        <v>180000</v>
      </c>
      <c r="M155">
        <v>144000</v>
      </c>
      <c r="N155">
        <v>36000</v>
      </c>
      <c r="O155" s="3" t="s">
        <v>256</v>
      </c>
      <c r="P155" s="3" t="s">
        <v>102</v>
      </c>
      <c r="Q155" s="3" t="s">
        <v>103</v>
      </c>
      <c r="R155" s="3" t="s">
        <v>103</v>
      </c>
    </row>
    <row r="156" spans="1:18">
      <c r="A156" s="19">
        <v>45830</v>
      </c>
      <c r="B156" s="3" t="s">
        <v>11</v>
      </c>
      <c r="C156" s="3" t="s">
        <v>12</v>
      </c>
      <c r="D156" s="3" t="s">
        <v>23</v>
      </c>
      <c r="E156" s="3" t="s">
        <v>14</v>
      </c>
      <c r="F156" s="3" t="s">
        <v>41</v>
      </c>
      <c r="G156" s="3" t="s">
        <v>22</v>
      </c>
      <c r="H156">
        <v>220000</v>
      </c>
      <c r="I156">
        <v>10</v>
      </c>
      <c r="J156" s="3" t="s">
        <v>39</v>
      </c>
      <c r="K156">
        <v>176000</v>
      </c>
      <c r="L156">
        <v>2200000</v>
      </c>
      <c r="M156">
        <v>1760000</v>
      </c>
      <c r="N156">
        <v>440000</v>
      </c>
      <c r="O156" s="3" t="s">
        <v>257</v>
      </c>
      <c r="P156" s="3" t="s">
        <v>102</v>
      </c>
      <c r="Q156" s="3" t="s">
        <v>103</v>
      </c>
      <c r="R156" s="3" t="s">
        <v>103</v>
      </c>
    </row>
    <row r="157" spans="1:18">
      <c r="A157" s="19">
        <v>45831</v>
      </c>
      <c r="B157" s="3" t="s">
        <v>11</v>
      </c>
      <c r="C157" s="3" t="s">
        <v>12</v>
      </c>
      <c r="D157" s="3" t="s">
        <v>13</v>
      </c>
      <c r="E157" s="3" t="s">
        <v>20</v>
      </c>
      <c r="F157" s="3" t="s">
        <v>38</v>
      </c>
      <c r="G157" s="3" t="s">
        <v>31</v>
      </c>
      <c r="H157">
        <v>420000</v>
      </c>
      <c r="I157">
        <v>1</v>
      </c>
      <c r="J157" s="3" t="s">
        <v>24</v>
      </c>
      <c r="K157">
        <v>336000</v>
      </c>
      <c r="L157">
        <v>420000</v>
      </c>
      <c r="M157">
        <v>336000</v>
      </c>
      <c r="N157">
        <v>84000</v>
      </c>
      <c r="O157" s="3" t="s">
        <v>258</v>
      </c>
      <c r="P157" s="3" t="s">
        <v>102</v>
      </c>
      <c r="Q157" s="3" t="s">
        <v>103</v>
      </c>
      <c r="R157" s="3" t="s">
        <v>103</v>
      </c>
    </row>
    <row r="158" spans="1:18">
      <c r="A158" s="19">
        <v>45832</v>
      </c>
      <c r="B158" s="3" t="s">
        <v>11</v>
      </c>
      <c r="C158" s="3" t="s">
        <v>19</v>
      </c>
      <c r="D158" s="3" t="s">
        <v>23</v>
      </c>
      <c r="E158" s="3" t="s">
        <v>20</v>
      </c>
      <c r="F158" s="3" t="s">
        <v>30</v>
      </c>
      <c r="G158" s="3" t="s">
        <v>31</v>
      </c>
      <c r="H158">
        <v>300000</v>
      </c>
      <c r="I158">
        <v>8</v>
      </c>
      <c r="J158" s="3" t="s">
        <v>24</v>
      </c>
      <c r="K158">
        <v>240000</v>
      </c>
      <c r="L158">
        <v>2400000</v>
      </c>
      <c r="M158">
        <v>1920000</v>
      </c>
      <c r="N158">
        <v>480000</v>
      </c>
      <c r="O158" s="3" t="s">
        <v>259</v>
      </c>
      <c r="P158" s="3" t="s">
        <v>102</v>
      </c>
      <c r="Q158" s="3" t="s">
        <v>103</v>
      </c>
      <c r="R158" s="3" t="s">
        <v>103</v>
      </c>
    </row>
    <row r="159" spans="1:18">
      <c r="A159" s="19">
        <v>45833</v>
      </c>
      <c r="B159" s="3" t="s">
        <v>29</v>
      </c>
      <c r="C159" s="3" t="s">
        <v>32</v>
      </c>
      <c r="D159" s="3" t="s">
        <v>23</v>
      </c>
      <c r="E159" s="3" t="s">
        <v>14</v>
      </c>
      <c r="F159" s="3" t="s">
        <v>40</v>
      </c>
      <c r="G159" s="3" t="s">
        <v>31</v>
      </c>
      <c r="H159">
        <v>250000</v>
      </c>
      <c r="I159">
        <v>3</v>
      </c>
      <c r="J159" s="3" t="s">
        <v>17</v>
      </c>
      <c r="K159">
        <v>200000</v>
      </c>
      <c r="L159">
        <v>750000</v>
      </c>
      <c r="M159">
        <v>600000</v>
      </c>
      <c r="N159">
        <v>150000</v>
      </c>
      <c r="O159" s="3" t="s">
        <v>260</v>
      </c>
      <c r="P159" s="3" t="s">
        <v>102</v>
      </c>
      <c r="Q159" s="3" t="s">
        <v>103</v>
      </c>
      <c r="R159" s="3" t="s">
        <v>103</v>
      </c>
    </row>
    <row r="160" spans="1:18">
      <c r="A160" s="19">
        <v>45834</v>
      </c>
      <c r="B160" s="3" t="s">
        <v>11</v>
      </c>
      <c r="C160" s="3" t="s">
        <v>32</v>
      </c>
      <c r="D160" s="3" t="s">
        <v>23</v>
      </c>
      <c r="E160" s="3" t="s">
        <v>14</v>
      </c>
      <c r="F160" s="3" t="s">
        <v>30</v>
      </c>
      <c r="G160" s="3" t="s">
        <v>31</v>
      </c>
      <c r="H160">
        <v>300000</v>
      </c>
      <c r="I160">
        <v>4</v>
      </c>
      <c r="J160" s="3" t="s">
        <v>35</v>
      </c>
      <c r="K160">
        <v>240000</v>
      </c>
      <c r="L160">
        <v>1200000</v>
      </c>
      <c r="M160">
        <v>960000</v>
      </c>
      <c r="N160">
        <v>240000</v>
      </c>
      <c r="O160" s="3" t="s">
        <v>261</v>
      </c>
      <c r="P160" s="3" t="s">
        <v>102</v>
      </c>
      <c r="Q160" s="3" t="s">
        <v>103</v>
      </c>
      <c r="R160" s="3" t="s">
        <v>103</v>
      </c>
    </row>
    <row r="161" spans="1:18">
      <c r="A161" s="19">
        <v>45835</v>
      </c>
      <c r="B161" s="3" t="s">
        <v>11</v>
      </c>
      <c r="C161" s="3" t="s">
        <v>26</v>
      </c>
      <c r="D161" s="3" t="s">
        <v>13</v>
      </c>
      <c r="E161" s="3" t="s">
        <v>14</v>
      </c>
      <c r="F161" s="3" t="s">
        <v>36</v>
      </c>
      <c r="G161" s="3" t="s">
        <v>31</v>
      </c>
      <c r="H161">
        <v>150000</v>
      </c>
      <c r="I161">
        <v>6</v>
      </c>
      <c r="J161" s="3" t="s">
        <v>35</v>
      </c>
      <c r="K161">
        <v>120000</v>
      </c>
      <c r="L161">
        <v>900000</v>
      </c>
      <c r="M161">
        <v>720000</v>
      </c>
      <c r="N161">
        <v>180000</v>
      </c>
      <c r="O161" s="3" t="s">
        <v>262</v>
      </c>
      <c r="P161" s="3" t="s">
        <v>102</v>
      </c>
      <c r="Q161" s="3" t="s">
        <v>103</v>
      </c>
      <c r="R161" s="3" t="s">
        <v>103</v>
      </c>
    </row>
    <row r="162" spans="1:18">
      <c r="A162" s="19">
        <v>45836</v>
      </c>
      <c r="B162" s="3" t="s">
        <v>11</v>
      </c>
      <c r="C162" s="3" t="s">
        <v>32</v>
      </c>
      <c r="D162" s="3" t="s">
        <v>13</v>
      </c>
      <c r="E162" s="3" t="s">
        <v>14</v>
      </c>
      <c r="F162" s="3" t="s">
        <v>38</v>
      </c>
      <c r="G162" s="3" t="s">
        <v>31</v>
      </c>
      <c r="H162">
        <v>420000</v>
      </c>
      <c r="I162">
        <v>2</v>
      </c>
      <c r="J162" s="3" t="s">
        <v>17</v>
      </c>
      <c r="K162">
        <v>336000</v>
      </c>
      <c r="L162">
        <v>840000</v>
      </c>
      <c r="M162">
        <v>672000</v>
      </c>
      <c r="N162">
        <v>168000</v>
      </c>
      <c r="O162" s="3" t="s">
        <v>263</v>
      </c>
      <c r="P162" s="3" t="s">
        <v>102</v>
      </c>
      <c r="Q162" s="3" t="s">
        <v>103</v>
      </c>
      <c r="R162" s="3" t="s">
        <v>103</v>
      </c>
    </row>
    <row r="163" spans="1:18">
      <c r="A163" s="19">
        <v>45837</v>
      </c>
      <c r="B163" s="3" t="s">
        <v>25</v>
      </c>
      <c r="C163" s="3" t="s">
        <v>19</v>
      </c>
      <c r="D163" s="3" t="s">
        <v>13</v>
      </c>
      <c r="E163" s="3" t="s">
        <v>14</v>
      </c>
      <c r="F163" s="3" t="s">
        <v>41</v>
      </c>
      <c r="G163" s="3" t="s">
        <v>22</v>
      </c>
      <c r="H163">
        <v>220000</v>
      </c>
      <c r="I163">
        <v>1</v>
      </c>
      <c r="J163" s="3" t="s">
        <v>24</v>
      </c>
      <c r="K163">
        <v>176000</v>
      </c>
      <c r="L163">
        <v>220000</v>
      </c>
      <c r="M163">
        <v>176000</v>
      </c>
      <c r="N163">
        <v>44000</v>
      </c>
      <c r="O163" s="3" t="s">
        <v>264</v>
      </c>
      <c r="P163" s="3" t="s">
        <v>102</v>
      </c>
      <c r="Q163" s="3" t="s">
        <v>103</v>
      </c>
      <c r="R163" s="3" t="s">
        <v>103</v>
      </c>
    </row>
    <row r="164" spans="1:18">
      <c r="A164" s="19">
        <v>45838</v>
      </c>
      <c r="B164" s="3" t="s">
        <v>25</v>
      </c>
      <c r="C164" s="3" t="s">
        <v>32</v>
      </c>
      <c r="D164" s="3" t="s">
        <v>13</v>
      </c>
      <c r="E164" s="3" t="s">
        <v>20</v>
      </c>
      <c r="F164" s="3" t="s">
        <v>41</v>
      </c>
      <c r="G164" s="3" t="s">
        <v>22</v>
      </c>
      <c r="H164">
        <v>220000</v>
      </c>
      <c r="I164">
        <v>8</v>
      </c>
      <c r="J164" s="3" t="s">
        <v>37</v>
      </c>
      <c r="K164">
        <v>176000</v>
      </c>
      <c r="L164">
        <v>1760000</v>
      </c>
      <c r="M164">
        <v>1408000</v>
      </c>
      <c r="N164">
        <v>352000</v>
      </c>
      <c r="O164" s="3" t="s">
        <v>265</v>
      </c>
      <c r="P164" s="3" t="s">
        <v>102</v>
      </c>
      <c r="Q164" s="3" t="s">
        <v>103</v>
      </c>
      <c r="R164" s="3" t="s">
        <v>103</v>
      </c>
    </row>
    <row r="165" spans="1:18">
      <c r="A165" s="19">
        <v>45839</v>
      </c>
      <c r="B165" s="3" t="s">
        <v>29</v>
      </c>
      <c r="C165" s="3" t="s">
        <v>26</v>
      </c>
      <c r="D165" s="3" t="s">
        <v>13</v>
      </c>
      <c r="E165" s="3" t="s">
        <v>20</v>
      </c>
      <c r="F165" s="3" t="s">
        <v>21</v>
      </c>
      <c r="G165" s="3" t="s">
        <v>22</v>
      </c>
      <c r="H165">
        <v>30000</v>
      </c>
      <c r="I165">
        <v>10</v>
      </c>
      <c r="J165" s="3" t="s">
        <v>39</v>
      </c>
      <c r="K165">
        <v>24000</v>
      </c>
      <c r="L165">
        <v>300000</v>
      </c>
      <c r="M165">
        <v>240000</v>
      </c>
      <c r="N165">
        <v>60000</v>
      </c>
      <c r="O165" s="3" t="s">
        <v>266</v>
      </c>
      <c r="P165" s="3" t="s">
        <v>102</v>
      </c>
      <c r="Q165" s="3" t="s">
        <v>103</v>
      </c>
      <c r="R165" s="3" t="s">
        <v>103</v>
      </c>
    </row>
    <row r="166" spans="1:18">
      <c r="A166" s="19">
        <v>45840</v>
      </c>
      <c r="B166" s="3" t="s">
        <v>29</v>
      </c>
      <c r="C166" s="3" t="s">
        <v>19</v>
      </c>
      <c r="D166" s="3" t="s">
        <v>23</v>
      </c>
      <c r="E166" s="3" t="s">
        <v>14</v>
      </c>
      <c r="F166" s="3" t="s">
        <v>21</v>
      </c>
      <c r="G166" s="3" t="s">
        <v>22</v>
      </c>
      <c r="H166">
        <v>30000</v>
      </c>
      <c r="I166">
        <v>4</v>
      </c>
      <c r="J166" s="3" t="s">
        <v>39</v>
      </c>
      <c r="K166">
        <v>24000</v>
      </c>
      <c r="L166">
        <v>120000</v>
      </c>
      <c r="M166">
        <v>96000</v>
      </c>
      <c r="N166">
        <v>24000</v>
      </c>
      <c r="O166" s="3" t="s">
        <v>267</v>
      </c>
      <c r="P166" s="3" t="s">
        <v>102</v>
      </c>
      <c r="Q166" s="3" t="s">
        <v>103</v>
      </c>
      <c r="R166" s="3" t="s">
        <v>103</v>
      </c>
    </row>
    <row r="167" spans="1:18">
      <c r="A167" s="19">
        <v>45841</v>
      </c>
      <c r="B167" s="3" t="s">
        <v>11</v>
      </c>
      <c r="C167" s="3" t="s">
        <v>12</v>
      </c>
      <c r="D167" s="3" t="s">
        <v>23</v>
      </c>
      <c r="E167" s="3" t="s">
        <v>14</v>
      </c>
      <c r="F167" s="3" t="s">
        <v>33</v>
      </c>
      <c r="G167" s="3" t="s">
        <v>22</v>
      </c>
      <c r="H167">
        <v>180000</v>
      </c>
      <c r="I167">
        <v>6</v>
      </c>
      <c r="J167" s="3" t="s">
        <v>17</v>
      </c>
      <c r="K167">
        <v>144000</v>
      </c>
      <c r="L167">
        <v>1080000</v>
      </c>
      <c r="M167">
        <v>864000</v>
      </c>
      <c r="N167">
        <v>216000</v>
      </c>
      <c r="O167" s="3" t="s">
        <v>268</v>
      </c>
      <c r="P167" s="3" t="s">
        <v>102</v>
      </c>
      <c r="Q167" s="3" t="s">
        <v>103</v>
      </c>
      <c r="R167" s="3" t="s">
        <v>103</v>
      </c>
    </row>
    <row r="168" spans="1:18">
      <c r="A168" s="19">
        <v>45842</v>
      </c>
      <c r="B168" s="3" t="s">
        <v>11</v>
      </c>
      <c r="C168" s="3" t="s">
        <v>32</v>
      </c>
      <c r="D168" s="3" t="s">
        <v>23</v>
      </c>
      <c r="E168" s="3" t="s">
        <v>14</v>
      </c>
      <c r="F168" s="3" t="s">
        <v>30</v>
      </c>
      <c r="G168" s="3" t="s">
        <v>31</v>
      </c>
      <c r="H168">
        <v>300000</v>
      </c>
      <c r="I168">
        <v>2</v>
      </c>
      <c r="J168" s="3" t="s">
        <v>39</v>
      </c>
      <c r="K168">
        <v>240000</v>
      </c>
      <c r="L168">
        <v>600000</v>
      </c>
      <c r="M168">
        <v>480000</v>
      </c>
      <c r="N168">
        <v>120000</v>
      </c>
      <c r="O168" s="3" t="s">
        <v>269</v>
      </c>
      <c r="P168" s="3" t="s">
        <v>102</v>
      </c>
      <c r="Q168" s="3" t="s">
        <v>103</v>
      </c>
      <c r="R168" s="3" t="s">
        <v>103</v>
      </c>
    </row>
    <row r="169" spans="1:18">
      <c r="A169" s="19">
        <v>45843</v>
      </c>
      <c r="B169" s="3" t="s">
        <v>18</v>
      </c>
      <c r="C169" s="3" t="s">
        <v>19</v>
      </c>
      <c r="D169" s="3" t="s">
        <v>13</v>
      </c>
      <c r="E169" s="3" t="s">
        <v>14</v>
      </c>
      <c r="F169" s="3" t="s">
        <v>36</v>
      </c>
      <c r="G169" s="3" t="s">
        <v>31</v>
      </c>
      <c r="H169">
        <v>150000</v>
      </c>
      <c r="I169">
        <v>9</v>
      </c>
      <c r="J169" s="3" t="s">
        <v>17</v>
      </c>
      <c r="K169">
        <v>120000</v>
      </c>
      <c r="L169">
        <v>1350000</v>
      </c>
      <c r="M169">
        <v>1080000</v>
      </c>
      <c r="N169">
        <v>270000</v>
      </c>
      <c r="O169" s="3" t="s">
        <v>270</v>
      </c>
      <c r="P169" s="3" t="s">
        <v>102</v>
      </c>
      <c r="Q169" s="3" t="s">
        <v>103</v>
      </c>
      <c r="R169" s="3" t="s">
        <v>103</v>
      </c>
    </row>
    <row r="170" spans="1:18">
      <c r="A170" s="19">
        <v>45844</v>
      </c>
      <c r="B170" s="3" t="s">
        <v>29</v>
      </c>
      <c r="C170" s="3" t="s">
        <v>12</v>
      </c>
      <c r="D170" s="3" t="s">
        <v>13</v>
      </c>
      <c r="E170" s="3" t="s">
        <v>20</v>
      </c>
      <c r="F170" s="3" t="s">
        <v>36</v>
      </c>
      <c r="G170" s="3" t="s">
        <v>31</v>
      </c>
      <c r="H170">
        <v>150000</v>
      </c>
      <c r="I170">
        <v>9</v>
      </c>
      <c r="J170" s="3" t="s">
        <v>24</v>
      </c>
      <c r="K170">
        <v>120000</v>
      </c>
      <c r="L170">
        <v>1350000</v>
      </c>
      <c r="M170">
        <v>1080000</v>
      </c>
      <c r="N170">
        <v>270000</v>
      </c>
      <c r="O170" s="3" t="s">
        <v>271</v>
      </c>
      <c r="P170" s="3" t="s">
        <v>102</v>
      </c>
      <c r="Q170" s="3" t="s">
        <v>103</v>
      </c>
      <c r="R170" s="3" t="s">
        <v>103</v>
      </c>
    </row>
    <row r="171" spans="1:18">
      <c r="A171" s="19">
        <v>45845</v>
      </c>
      <c r="B171" s="3" t="s">
        <v>11</v>
      </c>
      <c r="C171" s="3" t="s">
        <v>12</v>
      </c>
      <c r="D171" s="3" t="s">
        <v>13</v>
      </c>
      <c r="E171" s="3" t="s">
        <v>14</v>
      </c>
      <c r="F171" s="3" t="s">
        <v>21</v>
      </c>
      <c r="G171" s="3" t="s">
        <v>22</v>
      </c>
      <c r="H171">
        <v>30000</v>
      </c>
      <c r="I171">
        <v>4</v>
      </c>
      <c r="J171" s="3" t="s">
        <v>17</v>
      </c>
      <c r="K171">
        <v>24000</v>
      </c>
      <c r="L171">
        <v>120000</v>
      </c>
      <c r="M171">
        <v>96000</v>
      </c>
      <c r="N171">
        <v>24000</v>
      </c>
      <c r="O171" s="3" t="s">
        <v>272</v>
      </c>
      <c r="P171" s="3" t="s">
        <v>102</v>
      </c>
      <c r="Q171" s="3" t="s">
        <v>103</v>
      </c>
      <c r="R171" s="3" t="s">
        <v>103</v>
      </c>
    </row>
    <row r="172" spans="1:18">
      <c r="A172" s="19">
        <v>45846</v>
      </c>
      <c r="B172" s="3" t="s">
        <v>18</v>
      </c>
      <c r="C172" s="3" t="s">
        <v>26</v>
      </c>
      <c r="D172" s="3" t="s">
        <v>23</v>
      </c>
      <c r="E172" s="3" t="s">
        <v>14</v>
      </c>
      <c r="F172" s="3" t="s">
        <v>27</v>
      </c>
      <c r="G172" s="3" t="s">
        <v>22</v>
      </c>
      <c r="H172">
        <v>60000</v>
      </c>
      <c r="I172">
        <v>9</v>
      </c>
      <c r="J172" s="3" t="s">
        <v>28</v>
      </c>
      <c r="K172">
        <v>48000</v>
      </c>
      <c r="L172">
        <v>540000</v>
      </c>
      <c r="M172">
        <v>432000</v>
      </c>
      <c r="N172">
        <v>108000</v>
      </c>
      <c r="O172" s="3" t="s">
        <v>273</v>
      </c>
      <c r="P172" s="3" t="s">
        <v>102</v>
      </c>
      <c r="Q172" s="3" t="s">
        <v>103</v>
      </c>
      <c r="R172" s="3" t="s">
        <v>103</v>
      </c>
    </row>
    <row r="173" spans="1:18">
      <c r="A173" s="19">
        <v>45847</v>
      </c>
      <c r="B173" s="3" t="s">
        <v>25</v>
      </c>
      <c r="C173" s="3" t="s">
        <v>19</v>
      </c>
      <c r="D173" s="3" t="s">
        <v>13</v>
      </c>
      <c r="E173" s="3" t="s">
        <v>20</v>
      </c>
      <c r="F173" s="3" t="s">
        <v>30</v>
      </c>
      <c r="G173" s="3" t="s">
        <v>31</v>
      </c>
      <c r="H173">
        <v>300000</v>
      </c>
      <c r="I173">
        <v>9</v>
      </c>
      <c r="J173" s="3" t="s">
        <v>28</v>
      </c>
      <c r="K173">
        <v>240000</v>
      </c>
      <c r="L173">
        <v>2700000</v>
      </c>
      <c r="M173">
        <v>2160000</v>
      </c>
      <c r="N173">
        <v>540000</v>
      </c>
      <c r="O173" s="3" t="s">
        <v>274</v>
      </c>
      <c r="P173" s="3" t="s">
        <v>102</v>
      </c>
      <c r="Q173" s="3" t="s">
        <v>103</v>
      </c>
      <c r="R173" s="3" t="s">
        <v>103</v>
      </c>
    </row>
    <row r="174" spans="1:18">
      <c r="A174" s="19">
        <v>45848</v>
      </c>
      <c r="B174" s="3" t="s">
        <v>29</v>
      </c>
      <c r="C174" s="3" t="s">
        <v>32</v>
      </c>
      <c r="D174" s="3" t="s">
        <v>13</v>
      </c>
      <c r="E174" s="3" t="s">
        <v>14</v>
      </c>
      <c r="F174" s="3" t="s">
        <v>34</v>
      </c>
      <c r="G174" s="3" t="s">
        <v>16</v>
      </c>
      <c r="H174">
        <v>320000</v>
      </c>
      <c r="I174">
        <v>3</v>
      </c>
      <c r="J174" s="3" t="s">
        <v>39</v>
      </c>
      <c r="K174">
        <v>256000</v>
      </c>
      <c r="L174">
        <v>960000</v>
      </c>
      <c r="M174">
        <v>768000</v>
      </c>
      <c r="N174">
        <v>192000</v>
      </c>
      <c r="O174" s="3" t="s">
        <v>275</v>
      </c>
      <c r="P174" s="3" t="s">
        <v>102</v>
      </c>
      <c r="Q174" s="3" t="s">
        <v>103</v>
      </c>
      <c r="R174" s="3" t="s">
        <v>103</v>
      </c>
    </row>
    <row r="175" spans="1:18">
      <c r="A175" s="19">
        <v>45849</v>
      </c>
      <c r="B175" s="3" t="s">
        <v>11</v>
      </c>
      <c r="C175" s="3" t="s">
        <v>12</v>
      </c>
      <c r="D175" s="3" t="s">
        <v>13</v>
      </c>
      <c r="E175" s="3" t="s">
        <v>14</v>
      </c>
      <c r="F175" s="3" t="s">
        <v>36</v>
      </c>
      <c r="G175" s="3" t="s">
        <v>31</v>
      </c>
      <c r="H175">
        <v>150000</v>
      </c>
      <c r="I175">
        <v>1</v>
      </c>
      <c r="J175" s="3" t="s">
        <v>17</v>
      </c>
      <c r="K175">
        <v>120000</v>
      </c>
      <c r="L175">
        <v>150000</v>
      </c>
      <c r="M175">
        <v>120000</v>
      </c>
      <c r="N175">
        <v>30000</v>
      </c>
      <c r="O175" s="3" t="s">
        <v>276</v>
      </c>
      <c r="P175" s="3" t="s">
        <v>102</v>
      </c>
      <c r="Q175" s="3" t="s">
        <v>103</v>
      </c>
      <c r="R175" s="3" t="s">
        <v>103</v>
      </c>
    </row>
    <row r="176" spans="1:18">
      <c r="A176" s="19">
        <v>45850</v>
      </c>
      <c r="B176" s="3" t="s">
        <v>29</v>
      </c>
      <c r="C176" s="3" t="s">
        <v>19</v>
      </c>
      <c r="D176" s="3" t="s">
        <v>23</v>
      </c>
      <c r="E176" s="3" t="s">
        <v>14</v>
      </c>
      <c r="F176" s="3" t="s">
        <v>30</v>
      </c>
      <c r="G176" s="3" t="s">
        <v>31</v>
      </c>
      <c r="H176">
        <v>300000</v>
      </c>
      <c r="I176">
        <v>9</v>
      </c>
      <c r="J176" s="3" t="s">
        <v>28</v>
      </c>
      <c r="K176">
        <v>240000</v>
      </c>
      <c r="L176">
        <v>2700000</v>
      </c>
      <c r="M176">
        <v>2160000</v>
      </c>
      <c r="N176">
        <v>540000</v>
      </c>
      <c r="O176" s="3" t="s">
        <v>277</v>
      </c>
      <c r="P176" s="3" t="s">
        <v>102</v>
      </c>
      <c r="Q176" s="3" t="s">
        <v>103</v>
      </c>
      <c r="R176" s="3" t="s">
        <v>103</v>
      </c>
    </row>
    <row r="177" spans="1:18">
      <c r="A177" s="19">
        <v>45851</v>
      </c>
      <c r="B177" s="3" t="s">
        <v>18</v>
      </c>
      <c r="C177" s="3" t="s">
        <v>19</v>
      </c>
      <c r="D177" s="3" t="s">
        <v>13</v>
      </c>
      <c r="E177" s="3" t="s">
        <v>14</v>
      </c>
      <c r="F177" s="3" t="s">
        <v>41</v>
      </c>
      <c r="G177" s="3" t="s">
        <v>22</v>
      </c>
      <c r="H177">
        <v>220000</v>
      </c>
      <c r="I177">
        <v>3</v>
      </c>
      <c r="J177" s="3" t="s">
        <v>24</v>
      </c>
      <c r="K177">
        <v>176000</v>
      </c>
      <c r="L177">
        <v>660000</v>
      </c>
      <c r="M177">
        <v>528000</v>
      </c>
      <c r="N177">
        <v>132000</v>
      </c>
      <c r="O177" s="3" t="s">
        <v>278</v>
      </c>
      <c r="P177" s="3" t="s">
        <v>102</v>
      </c>
      <c r="Q177" s="3" t="s">
        <v>103</v>
      </c>
      <c r="R177" s="3" t="s">
        <v>103</v>
      </c>
    </row>
    <row r="178" spans="1:18">
      <c r="A178" s="19">
        <v>45852</v>
      </c>
      <c r="B178" s="3" t="s">
        <v>11</v>
      </c>
      <c r="C178" s="3" t="s">
        <v>26</v>
      </c>
      <c r="D178" s="3" t="s">
        <v>23</v>
      </c>
      <c r="E178" s="3" t="s">
        <v>14</v>
      </c>
      <c r="F178" s="3" t="s">
        <v>41</v>
      </c>
      <c r="G178" s="3" t="s">
        <v>22</v>
      </c>
      <c r="H178">
        <v>220000</v>
      </c>
      <c r="I178">
        <v>9</v>
      </c>
      <c r="J178" s="3" t="s">
        <v>39</v>
      </c>
      <c r="K178">
        <v>176000</v>
      </c>
      <c r="L178">
        <v>1980000</v>
      </c>
      <c r="M178">
        <v>1584000</v>
      </c>
      <c r="N178">
        <v>396000</v>
      </c>
      <c r="O178" s="3" t="s">
        <v>279</v>
      </c>
      <c r="P178" s="3" t="s">
        <v>102</v>
      </c>
      <c r="Q178" s="3" t="s">
        <v>103</v>
      </c>
      <c r="R178" s="3" t="s">
        <v>103</v>
      </c>
    </row>
    <row r="179" spans="1:18">
      <c r="A179" s="19">
        <v>45853</v>
      </c>
      <c r="B179" s="3" t="s">
        <v>18</v>
      </c>
      <c r="C179" s="3" t="s">
        <v>26</v>
      </c>
      <c r="D179" s="3" t="s">
        <v>23</v>
      </c>
      <c r="E179" s="3" t="s">
        <v>20</v>
      </c>
      <c r="F179" s="3" t="s">
        <v>27</v>
      </c>
      <c r="G179" s="3" t="s">
        <v>22</v>
      </c>
      <c r="H179">
        <v>60000</v>
      </c>
      <c r="I179">
        <v>6</v>
      </c>
      <c r="J179" s="3" t="s">
        <v>39</v>
      </c>
      <c r="K179">
        <v>48000</v>
      </c>
      <c r="L179">
        <v>360000</v>
      </c>
      <c r="M179">
        <v>288000</v>
      </c>
      <c r="N179">
        <v>72000</v>
      </c>
      <c r="O179" s="3" t="s">
        <v>280</v>
      </c>
      <c r="P179" s="3" t="s">
        <v>102</v>
      </c>
      <c r="Q179" s="3" t="s">
        <v>103</v>
      </c>
      <c r="R179" s="3" t="s">
        <v>103</v>
      </c>
    </row>
    <row r="180" spans="1:18">
      <c r="A180" s="19">
        <v>45854</v>
      </c>
      <c r="B180" s="3" t="s">
        <v>29</v>
      </c>
      <c r="C180" s="3" t="s">
        <v>26</v>
      </c>
      <c r="D180" s="3" t="s">
        <v>13</v>
      </c>
      <c r="E180" s="3" t="s">
        <v>20</v>
      </c>
      <c r="F180" s="3" t="s">
        <v>21</v>
      </c>
      <c r="G180" s="3" t="s">
        <v>22</v>
      </c>
      <c r="H180">
        <v>30000</v>
      </c>
      <c r="I180">
        <v>10</v>
      </c>
      <c r="J180" s="3" t="s">
        <v>35</v>
      </c>
      <c r="K180">
        <v>24000</v>
      </c>
      <c r="L180">
        <v>300000</v>
      </c>
      <c r="M180">
        <v>240000</v>
      </c>
      <c r="N180">
        <v>60000</v>
      </c>
      <c r="O180" s="3" t="s">
        <v>281</v>
      </c>
      <c r="P180" s="3" t="s">
        <v>102</v>
      </c>
      <c r="Q180" s="3" t="s">
        <v>103</v>
      </c>
      <c r="R180" s="3" t="s">
        <v>103</v>
      </c>
    </row>
    <row r="181" spans="1:18">
      <c r="A181" s="19">
        <v>45855</v>
      </c>
      <c r="B181" s="3" t="s">
        <v>25</v>
      </c>
      <c r="C181" s="3" t="s">
        <v>26</v>
      </c>
      <c r="D181" s="3" t="s">
        <v>23</v>
      </c>
      <c r="E181" s="3" t="s">
        <v>20</v>
      </c>
      <c r="F181" s="3" t="s">
        <v>38</v>
      </c>
      <c r="G181" s="3" t="s">
        <v>31</v>
      </c>
      <c r="H181">
        <v>420000</v>
      </c>
      <c r="I181">
        <v>8</v>
      </c>
      <c r="J181" s="3" t="s">
        <v>39</v>
      </c>
      <c r="K181">
        <v>336000</v>
      </c>
      <c r="L181">
        <v>3360000</v>
      </c>
      <c r="M181">
        <v>2688000</v>
      </c>
      <c r="N181">
        <v>672000</v>
      </c>
      <c r="O181" s="3" t="s">
        <v>282</v>
      </c>
      <c r="P181" s="3" t="s">
        <v>102</v>
      </c>
      <c r="Q181" s="3" t="s">
        <v>103</v>
      </c>
      <c r="R181" s="3" t="s">
        <v>103</v>
      </c>
    </row>
    <row r="182" spans="1:18">
      <c r="A182" s="19">
        <v>45856</v>
      </c>
      <c r="B182" s="3" t="s">
        <v>25</v>
      </c>
      <c r="C182" s="3" t="s">
        <v>26</v>
      </c>
      <c r="D182" s="3" t="s">
        <v>23</v>
      </c>
      <c r="E182" s="3" t="s">
        <v>14</v>
      </c>
      <c r="F182" s="3" t="s">
        <v>27</v>
      </c>
      <c r="G182" s="3" t="s">
        <v>22</v>
      </c>
      <c r="H182">
        <v>60000</v>
      </c>
      <c r="I182">
        <v>9</v>
      </c>
      <c r="J182" s="3" t="s">
        <v>17</v>
      </c>
      <c r="K182">
        <v>48000</v>
      </c>
      <c r="L182">
        <v>540000</v>
      </c>
      <c r="M182">
        <v>432000</v>
      </c>
      <c r="N182">
        <v>108000</v>
      </c>
      <c r="O182" s="3" t="s">
        <v>283</v>
      </c>
      <c r="P182" s="3" t="s">
        <v>102</v>
      </c>
      <c r="Q182" s="3" t="s">
        <v>103</v>
      </c>
      <c r="R182" s="3" t="s">
        <v>103</v>
      </c>
    </row>
    <row r="183" spans="1:18">
      <c r="A183" s="19">
        <v>45857</v>
      </c>
      <c r="B183" s="3" t="s">
        <v>18</v>
      </c>
      <c r="C183" s="3" t="s">
        <v>26</v>
      </c>
      <c r="D183" s="3" t="s">
        <v>23</v>
      </c>
      <c r="E183" s="3" t="s">
        <v>14</v>
      </c>
      <c r="F183" s="3" t="s">
        <v>40</v>
      </c>
      <c r="G183" s="3" t="s">
        <v>31</v>
      </c>
      <c r="H183">
        <v>250000</v>
      </c>
      <c r="I183">
        <v>1</v>
      </c>
      <c r="J183" s="3" t="s">
        <v>35</v>
      </c>
      <c r="K183">
        <v>200000</v>
      </c>
      <c r="L183">
        <v>250000</v>
      </c>
      <c r="M183">
        <v>200000</v>
      </c>
      <c r="N183">
        <v>50000</v>
      </c>
      <c r="O183" s="3" t="s">
        <v>284</v>
      </c>
      <c r="P183" s="3" t="s">
        <v>102</v>
      </c>
      <c r="Q183" s="3" t="s">
        <v>103</v>
      </c>
      <c r="R183" s="3" t="s">
        <v>103</v>
      </c>
    </row>
    <row r="184" spans="1:18">
      <c r="A184" s="19">
        <v>45858</v>
      </c>
      <c r="B184" s="3" t="s">
        <v>25</v>
      </c>
      <c r="C184" s="3" t="s">
        <v>26</v>
      </c>
      <c r="D184" s="3" t="s">
        <v>13</v>
      </c>
      <c r="E184" s="3" t="s">
        <v>14</v>
      </c>
      <c r="F184" s="3" t="s">
        <v>27</v>
      </c>
      <c r="G184" s="3" t="s">
        <v>22</v>
      </c>
      <c r="H184">
        <v>60000</v>
      </c>
      <c r="I184">
        <v>1</v>
      </c>
      <c r="J184" s="3" t="s">
        <v>39</v>
      </c>
      <c r="K184">
        <v>48000</v>
      </c>
      <c r="L184">
        <v>60000</v>
      </c>
      <c r="M184">
        <v>48000</v>
      </c>
      <c r="N184">
        <v>12000</v>
      </c>
      <c r="O184" s="3" t="s">
        <v>285</v>
      </c>
      <c r="P184" s="3" t="s">
        <v>102</v>
      </c>
      <c r="Q184" s="3" t="s">
        <v>103</v>
      </c>
      <c r="R184" s="3" t="s">
        <v>103</v>
      </c>
    </row>
    <row r="185" spans="1:18">
      <c r="A185" s="19">
        <v>45859</v>
      </c>
      <c r="B185" s="3" t="s">
        <v>25</v>
      </c>
      <c r="C185" s="3" t="s">
        <v>32</v>
      </c>
      <c r="D185" s="3" t="s">
        <v>13</v>
      </c>
      <c r="E185" s="3" t="s">
        <v>14</v>
      </c>
      <c r="F185" s="3" t="s">
        <v>38</v>
      </c>
      <c r="G185" s="3" t="s">
        <v>31</v>
      </c>
      <c r="H185">
        <v>420000</v>
      </c>
      <c r="I185">
        <v>8</v>
      </c>
      <c r="J185" s="3" t="s">
        <v>39</v>
      </c>
      <c r="K185">
        <v>336000</v>
      </c>
      <c r="L185">
        <v>3360000</v>
      </c>
      <c r="M185">
        <v>2688000</v>
      </c>
      <c r="N185">
        <v>672000</v>
      </c>
      <c r="O185" s="3" t="s">
        <v>286</v>
      </c>
      <c r="P185" s="3" t="s">
        <v>102</v>
      </c>
      <c r="Q185" s="3" t="s">
        <v>103</v>
      </c>
      <c r="R185" s="3" t="s">
        <v>103</v>
      </c>
    </row>
    <row r="186" spans="1:18">
      <c r="A186" s="19">
        <v>45860</v>
      </c>
      <c r="B186" s="3" t="s">
        <v>25</v>
      </c>
      <c r="C186" s="3" t="s">
        <v>12</v>
      </c>
      <c r="D186" s="3" t="s">
        <v>23</v>
      </c>
      <c r="E186" s="3" t="s">
        <v>20</v>
      </c>
      <c r="F186" s="3" t="s">
        <v>33</v>
      </c>
      <c r="G186" s="3" t="s">
        <v>22</v>
      </c>
      <c r="H186">
        <v>180000</v>
      </c>
      <c r="I186">
        <v>4</v>
      </c>
      <c r="J186" s="3" t="s">
        <v>39</v>
      </c>
      <c r="K186">
        <v>144000</v>
      </c>
      <c r="L186">
        <v>720000</v>
      </c>
      <c r="M186">
        <v>576000</v>
      </c>
      <c r="N186">
        <v>144000</v>
      </c>
      <c r="O186" s="3" t="s">
        <v>287</v>
      </c>
      <c r="P186" s="3" t="s">
        <v>102</v>
      </c>
      <c r="Q186" s="3" t="s">
        <v>103</v>
      </c>
      <c r="R186" s="3" t="s">
        <v>103</v>
      </c>
    </row>
    <row r="187" spans="1:18">
      <c r="A187" s="19">
        <v>45861</v>
      </c>
      <c r="B187" s="3" t="s">
        <v>18</v>
      </c>
      <c r="C187" s="3" t="s">
        <v>26</v>
      </c>
      <c r="D187" s="3" t="s">
        <v>13</v>
      </c>
      <c r="E187" s="3" t="s">
        <v>20</v>
      </c>
      <c r="F187" s="3" t="s">
        <v>33</v>
      </c>
      <c r="G187" s="3" t="s">
        <v>22</v>
      </c>
      <c r="H187">
        <v>180000</v>
      </c>
      <c r="I187">
        <v>7</v>
      </c>
      <c r="J187" s="3" t="s">
        <v>39</v>
      </c>
      <c r="K187">
        <v>144000</v>
      </c>
      <c r="L187">
        <v>1260000</v>
      </c>
      <c r="M187">
        <v>1008000</v>
      </c>
      <c r="N187">
        <v>252000</v>
      </c>
      <c r="O187" s="3" t="s">
        <v>288</v>
      </c>
      <c r="P187" s="3" t="s">
        <v>102</v>
      </c>
      <c r="Q187" s="3" t="s">
        <v>103</v>
      </c>
      <c r="R187" s="3" t="s">
        <v>103</v>
      </c>
    </row>
    <row r="188" spans="1:18">
      <c r="A188" s="19">
        <v>45862</v>
      </c>
      <c r="B188" s="3" t="s">
        <v>29</v>
      </c>
      <c r="C188" s="3" t="s">
        <v>26</v>
      </c>
      <c r="D188" s="3" t="s">
        <v>13</v>
      </c>
      <c r="E188" s="3" t="s">
        <v>14</v>
      </c>
      <c r="F188" s="3" t="s">
        <v>21</v>
      </c>
      <c r="G188" s="3" t="s">
        <v>22</v>
      </c>
      <c r="H188">
        <v>30000</v>
      </c>
      <c r="I188">
        <v>6</v>
      </c>
      <c r="J188" s="3" t="s">
        <v>37</v>
      </c>
      <c r="K188">
        <v>24000</v>
      </c>
      <c r="L188">
        <v>180000</v>
      </c>
      <c r="M188">
        <v>144000</v>
      </c>
      <c r="N188">
        <v>36000</v>
      </c>
      <c r="O188" s="3" t="s">
        <v>289</v>
      </c>
      <c r="P188" s="3" t="s">
        <v>102</v>
      </c>
      <c r="Q188" s="3" t="s">
        <v>103</v>
      </c>
      <c r="R188" s="3" t="s">
        <v>103</v>
      </c>
    </row>
    <row r="189" spans="1:18">
      <c r="A189" s="19">
        <v>45863</v>
      </c>
      <c r="B189" s="3" t="s">
        <v>18</v>
      </c>
      <c r="C189" s="3" t="s">
        <v>12</v>
      </c>
      <c r="D189" s="3" t="s">
        <v>13</v>
      </c>
      <c r="E189" s="3" t="s">
        <v>14</v>
      </c>
      <c r="F189" s="3" t="s">
        <v>33</v>
      </c>
      <c r="G189" s="3" t="s">
        <v>22</v>
      </c>
      <c r="H189">
        <v>180000</v>
      </c>
      <c r="I189">
        <v>4</v>
      </c>
      <c r="J189" s="3" t="s">
        <v>24</v>
      </c>
      <c r="K189">
        <v>144000</v>
      </c>
      <c r="L189">
        <v>720000</v>
      </c>
      <c r="M189">
        <v>576000</v>
      </c>
      <c r="N189">
        <v>144000</v>
      </c>
      <c r="O189" s="3" t="s">
        <v>290</v>
      </c>
      <c r="P189" s="3" t="s">
        <v>102</v>
      </c>
      <c r="Q189" s="3" t="s">
        <v>103</v>
      </c>
      <c r="R189" s="3" t="s">
        <v>103</v>
      </c>
    </row>
    <row r="190" spans="1:18">
      <c r="A190" s="19">
        <v>45864</v>
      </c>
      <c r="B190" s="3" t="s">
        <v>18</v>
      </c>
      <c r="C190" s="3" t="s">
        <v>32</v>
      </c>
      <c r="D190" s="3" t="s">
        <v>23</v>
      </c>
      <c r="E190" s="3" t="s">
        <v>20</v>
      </c>
      <c r="F190" s="3" t="s">
        <v>30</v>
      </c>
      <c r="G190" s="3" t="s">
        <v>31</v>
      </c>
      <c r="H190">
        <v>300000</v>
      </c>
      <c r="I190">
        <v>3</v>
      </c>
      <c r="J190" s="3" t="s">
        <v>28</v>
      </c>
      <c r="K190">
        <v>240000</v>
      </c>
      <c r="L190">
        <v>900000</v>
      </c>
      <c r="M190">
        <v>720000</v>
      </c>
      <c r="N190">
        <v>180000</v>
      </c>
      <c r="O190" s="3" t="s">
        <v>291</v>
      </c>
      <c r="P190" s="3" t="s">
        <v>102</v>
      </c>
      <c r="Q190" s="3" t="s">
        <v>103</v>
      </c>
      <c r="R190" s="3" t="s">
        <v>103</v>
      </c>
    </row>
    <row r="191" spans="1:18">
      <c r="A191" s="19">
        <v>45865</v>
      </c>
      <c r="B191" s="3" t="s">
        <v>11</v>
      </c>
      <c r="C191" s="3" t="s">
        <v>19</v>
      </c>
      <c r="D191" s="3" t="s">
        <v>13</v>
      </c>
      <c r="E191" s="3" t="s">
        <v>14</v>
      </c>
      <c r="F191" s="3" t="s">
        <v>27</v>
      </c>
      <c r="G191" s="3" t="s">
        <v>22</v>
      </c>
      <c r="H191">
        <v>60000</v>
      </c>
      <c r="I191">
        <v>3</v>
      </c>
      <c r="J191" s="3" t="s">
        <v>17</v>
      </c>
      <c r="K191">
        <v>48000</v>
      </c>
      <c r="L191">
        <v>180000</v>
      </c>
      <c r="M191">
        <v>144000</v>
      </c>
      <c r="N191">
        <v>36000</v>
      </c>
      <c r="O191" s="3" t="s">
        <v>292</v>
      </c>
      <c r="P191" s="3" t="s">
        <v>102</v>
      </c>
      <c r="Q191" s="3" t="s">
        <v>103</v>
      </c>
      <c r="R191" s="3" t="s">
        <v>103</v>
      </c>
    </row>
    <row r="192" spans="1:18">
      <c r="A192" s="19">
        <v>45866</v>
      </c>
      <c r="B192" s="3" t="s">
        <v>18</v>
      </c>
      <c r="C192" s="3" t="s">
        <v>12</v>
      </c>
      <c r="D192" s="3" t="s">
        <v>23</v>
      </c>
      <c r="E192" s="3" t="s">
        <v>14</v>
      </c>
      <c r="F192" s="3" t="s">
        <v>41</v>
      </c>
      <c r="G192" s="3" t="s">
        <v>22</v>
      </c>
      <c r="H192">
        <v>220000</v>
      </c>
      <c r="I192">
        <v>1</v>
      </c>
      <c r="J192" s="3" t="s">
        <v>28</v>
      </c>
      <c r="K192">
        <v>176000</v>
      </c>
      <c r="L192">
        <v>220000</v>
      </c>
      <c r="M192">
        <v>176000</v>
      </c>
      <c r="N192">
        <v>44000</v>
      </c>
      <c r="O192" s="3" t="s">
        <v>293</v>
      </c>
      <c r="P192" s="3" t="s">
        <v>102</v>
      </c>
      <c r="Q192" s="3" t="s">
        <v>103</v>
      </c>
      <c r="R192" s="3" t="s">
        <v>103</v>
      </c>
    </row>
    <row r="193" spans="1:18">
      <c r="A193" s="19">
        <v>45867</v>
      </c>
      <c r="B193" s="3" t="s">
        <v>29</v>
      </c>
      <c r="C193" s="3" t="s">
        <v>19</v>
      </c>
      <c r="D193" s="3" t="s">
        <v>13</v>
      </c>
      <c r="E193" s="3" t="s">
        <v>14</v>
      </c>
      <c r="F193" s="3" t="s">
        <v>30</v>
      </c>
      <c r="G193" s="3" t="s">
        <v>31</v>
      </c>
      <c r="H193">
        <v>300000</v>
      </c>
      <c r="I193">
        <v>2</v>
      </c>
      <c r="J193" s="3" t="s">
        <v>24</v>
      </c>
      <c r="K193">
        <v>240000</v>
      </c>
      <c r="L193">
        <v>600000</v>
      </c>
      <c r="M193">
        <v>480000</v>
      </c>
      <c r="N193">
        <v>120000</v>
      </c>
      <c r="O193" s="3" t="s">
        <v>294</v>
      </c>
      <c r="P193" s="3" t="s">
        <v>102</v>
      </c>
      <c r="Q193" s="3" t="s">
        <v>103</v>
      </c>
      <c r="R193" s="3" t="s">
        <v>103</v>
      </c>
    </row>
    <row r="194" spans="1:18">
      <c r="A194" s="19">
        <v>45868</v>
      </c>
      <c r="B194" s="3" t="s">
        <v>25</v>
      </c>
      <c r="C194" s="3" t="s">
        <v>26</v>
      </c>
      <c r="D194" s="3" t="s">
        <v>13</v>
      </c>
      <c r="E194" s="3" t="s">
        <v>14</v>
      </c>
      <c r="F194" s="3" t="s">
        <v>36</v>
      </c>
      <c r="G194" s="3" t="s">
        <v>31</v>
      </c>
      <c r="H194">
        <v>150000</v>
      </c>
      <c r="I194">
        <v>3</v>
      </c>
      <c r="J194" s="3" t="s">
        <v>24</v>
      </c>
      <c r="K194">
        <v>120000</v>
      </c>
      <c r="L194">
        <v>450000</v>
      </c>
      <c r="M194">
        <v>360000</v>
      </c>
      <c r="N194">
        <v>90000</v>
      </c>
      <c r="O194" s="3" t="s">
        <v>295</v>
      </c>
      <c r="P194" s="3" t="s">
        <v>102</v>
      </c>
      <c r="Q194" s="3" t="s">
        <v>103</v>
      </c>
      <c r="R194" s="3" t="s">
        <v>103</v>
      </c>
    </row>
    <row r="195" spans="1:18">
      <c r="A195" s="19">
        <v>45869</v>
      </c>
      <c r="B195" s="3" t="s">
        <v>29</v>
      </c>
      <c r="C195" s="3" t="s">
        <v>19</v>
      </c>
      <c r="D195" s="3" t="s">
        <v>23</v>
      </c>
      <c r="E195" s="3" t="s">
        <v>14</v>
      </c>
      <c r="F195" s="3" t="s">
        <v>15</v>
      </c>
      <c r="G195" s="3" t="s">
        <v>16</v>
      </c>
      <c r="H195">
        <v>85000</v>
      </c>
      <c r="I195">
        <v>1</v>
      </c>
      <c r="J195" s="3" t="s">
        <v>24</v>
      </c>
      <c r="K195">
        <v>68000</v>
      </c>
      <c r="L195">
        <v>85000</v>
      </c>
      <c r="M195">
        <v>68000</v>
      </c>
      <c r="N195">
        <v>17000</v>
      </c>
      <c r="O195" s="3" t="s">
        <v>296</v>
      </c>
      <c r="P195" s="3" t="s">
        <v>102</v>
      </c>
      <c r="Q195" s="3" t="s">
        <v>103</v>
      </c>
      <c r="R195" s="3" t="s">
        <v>103</v>
      </c>
    </row>
    <row r="196" spans="1:18">
      <c r="A196" s="19">
        <v>45870</v>
      </c>
      <c r="B196" s="3" t="s">
        <v>25</v>
      </c>
      <c r="C196" s="3" t="s">
        <v>19</v>
      </c>
      <c r="D196" s="3" t="s">
        <v>13</v>
      </c>
      <c r="E196" s="3" t="s">
        <v>20</v>
      </c>
      <c r="F196" s="3" t="s">
        <v>21</v>
      </c>
      <c r="G196" s="3" t="s">
        <v>22</v>
      </c>
      <c r="H196">
        <v>30000</v>
      </c>
      <c r="I196">
        <v>6</v>
      </c>
      <c r="J196" s="3" t="s">
        <v>17</v>
      </c>
      <c r="K196">
        <v>24000</v>
      </c>
      <c r="L196">
        <v>180000</v>
      </c>
      <c r="M196">
        <v>144000</v>
      </c>
      <c r="N196">
        <v>36000</v>
      </c>
      <c r="O196" s="3" t="s">
        <v>297</v>
      </c>
      <c r="P196" s="3" t="s">
        <v>102</v>
      </c>
      <c r="Q196" s="3" t="s">
        <v>103</v>
      </c>
      <c r="R196" s="3" t="s">
        <v>103</v>
      </c>
    </row>
    <row r="197" spans="1:18">
      <c r="A197" s="19">
        <v>45871</v>
      </c>
      <c r="B197" s="3" t="s">
        <v>11</v>
      </c>
      <c r="C197" s="3" t="s">
        <v>26</v>
      </c>
      <c r="D197" s="3" t="s">
        <v>23</v>
      </c>
      <c r="E197" s="3" t="s">
        <v>14</v>
      </c>
      <c r="F197" s="3" t="s">
        <v>36</v>
      </c>
      <c r="G197" s="3" t="s">
        <v>31</v>
      </c>
      <c r="H197">
        <v>150000</v>
      </c>
      <c r="I197">
        <v>5</v>
      </c>
      <c r="J197" s="3" t="s">
        <v>28</v>
      </c>
      <c r="K197">
        <v>120000</v>
      </c>
      <c r="L197">
        <v>750000</v>
      </c>
      <c r="M197">
        <v>600000</v>
      </c>
      <c r="N197">
        <v>150000</v>
      </c>
      <c r="O197" s="3" t="s">
        <v>298</v>
      </c>
      <c r="P197" s="3" t="s">
        <v>102</v>
      </c>
      <c r="Q197" s="3" t="s">
        <v>103</v>
      </c>
      <c r="R197" s="3" t="s">
        <v>103</v>
      </c>
    </row>
    <row r="198" spans="1:18">
      <c r="A198" s="19">
        <v>45872</v>
      </c>
      <c r="B198" s="3" t="s">
        <v>11</v>
      </c>
      <c r="C198" s="3" t="s">
        <v>19</v>
      </c>
      <c r="D198" s="3" t="s">
        <v>13</v>
      </c>
      <c r="E198" s="3" t="s">
        <v>20</v>
      </c>
      <c r="F198" s="3" t="s">
        <v>21</v>
      </c>
      <c r="G198" s="3" t="s">
        <v>22</v>
      </c>
      <c r="H198">
        <v>30000</v>
      </c>
      <c r="I198">
        <v>5</v>
      </c>
      <c r="J198" s="3" t="s">
        <v>37</v>
      </c>
      <c r="K198">
        <v>24000</v>
      </c>
      <c r="L198">
        <v>150000</v>
      </c>
      <c r="M198">
        <v>120000</v>
      </c>
      <c r="N198">
        <v>30000</v>
      </c>
      <c r="O198" s="3" t="s">
        <v>299</v>
      </c>
      <c r="P198" s="3" t="s">
        <v>102</v>
      </c>
      <c r="Q198" s="3" t="s">
        <v>103</v>
      </c>
      <c r="R198" s="3" t="s">
        <v>103</v>
      </c>
    </row>
    <row r="199" spans="1:18">
      <c r="A199" s="19">
        <v>45873</v>
      </c>
      <c r="B199" s="3" t="s">
        <v>18</v>
      </c>
      <c r="C199" s="3" t="s">
        <v>19</v>
      </c>
      <c r="D199" s="3" t="s">
        <v>13</v>
      </c>
      <c r="E199" s="3" t="s">
        <v>20</v>
      </c>
      <c r="F199" s="3" t="s">
        <v>33</v>
      </c>
      <c r="G199" s="3" t="s">
        <v>22</v>
      </c>
      <c r="H199">
        <v>180000</v>
      </c>
      <c r="I199">
        <v>9</v>
      </c>
      <c r="J199" s="3" t="s">
        <v>39</v>
      </c>
      <c r="K199">
        <v>144000</v>
      </c>
      <c r="L199">
        <v>1620000</v>
      </c>
      <c r="M199">
        <v>1296000</v>
      </c>
      <c r="N199">
        <v>324000</v>
      </c>
      <c r="O199" s="3" t="s">
        <v>300</v>
      </c>
      <c r="P199" s="3" t="s">
        <v>102</v>
      </c>
      <c r="Q199" s="3" t="s">
        <v>103</v>
      </c>
      <c r="R199" s="3" t="s">
        <v>103</v>
      </c>
    </row>
    <row r="200" spans="1:18">
      <c r="A200" s="19">
        <v>45874</v>
      </c>
      <c r="B200" s="3" t="s">
        <v>29</v>
      </c>
      <c r="C200" s="3" t="s">
        <v>26</v>
      </c>
      <c r="D200" s="3" t="s">
        <v>23</v>
      </c>
      <c r="E200" s="3" t="s">
        <v>20</v>
      </c>
      <c r="F200" s="3" t="s">
        <v>27</v>
      </c>
      <c r="G200" s="3" t="s">
        <v>22</v>
      </c>
      <c r="H200">
        <v>60000</v>
      </c>
      <c r="I200">
        <v>6</v>
      </c>
      <c r="J200" s="3" t="s">
        <v>28</v>
      </c>
      <c r="K200">
        <v>48000</v>
      </c>
      <c r="L200">
        <v>360000</v>
      </c>
      <c r="M200">
        <v>288000</v>
      </c>
      <c r="N200">
        <v>72000</v>
      </c>
      <c r="O200" s="3" t="s">
        <v>301</v>
      </c>
      <c r="P200" s="3" t="s">
        <v>102</v>
      </c>
      <c r="Q200" s="3" t="s">
        <v>103</v>
      </c>
      <c r="R200" s="3" t="s">
        <v>103</v>
      </c>
    </row>
    <row r="201" spans="1:18">
      <c r="A201" s="19">
        <v>45875</v>
      </c>
      <c r="B201" s="3" t="s">
        <v>29</v>
      </c>
      <c r="C201" s="3" t="s">
        <v>19</v>
      </c>
      <c r="D201" s="3" t="s">
        <v>13</v>
      </c>
      <c r="E201" s="3" t="s">
        <v>20</v>
      </c>
      <c r="F201" s="3" t="s">
        <v>40</v>
      </c>
      <c r="G201" s="3" t="s">
        <v>31</v>
      </c>
      <c r="H201">
        <v>250000</v>
      </c>
      <c r="I201">
        <v>10</v>
      </c>
      <c r="J201" s="3" t="s">
        <v>24</v>
      </c>
      <c r="K201">
        <v>200000</v>
      </c>
      <c r="L201">
        <v>2500000</v>
      </c>
      <c r="M201">
        <v>2000000</v>
      </c>
      <c r="N201">
        <v>500000</v>
      </c>
      <c r="O201" s="3" t="s">
        <v>302</v>
      </c>
      <c r="P201" s="3" t="s">
        <v>102</v>
      </c>
      <c r="Q201" s="3" t="s">
        <v>103</v>
      </c>
      <c r="R201" s="3" t="s">
        <v>103</v>
      </c>
    </row>
    <row r="202" spans="1:18">
      <c r="A202" s="19">
        <v>45876</v>
      </c>
      <c r="B202" s="3" t="s">
        <v>25</v>
      </c>
      <c r="C202" s="3" t="s">
        <v>26</v>
      </c>
      <c r="D202" s="3" t="s">
        <v>13</v>
      </c>
      <c r="E202" s="3" t="s">
        <v>20</v>
      </c>
      <c r="F202" s="3" t="s">
        <v>38</v>
      </c>
      <c r="G202" s="3" t="s">
        <v>31</v>
      </c>
      <c r="H202">
        <v>420000</v>
      </c>
      <c r="I202">
        <v>3</v>
      </c>
      <c r="J202" s="3" t="s">
        <v>24</v>
      </c>
      <c r="K202">
        <v>336000</v>
      </c>
      <c r="L202">
        <v>1260000</v>
      </c>
      <c r="M202">
        <v>1008000</v>
      </c>
      <c r="N202">
        <v>252000</v>
      </c>
      <c r="O202" s="3" t="s">
        <v>303</v>
      </c>
      <c r="P202" s="3" t="s">
        <v>102</v>
      </c>
      <c r="Q202" s="3" t="s">
        <v>103</v>
      </c>
      <c r="R202" s="3" t="s">
        <v>103</v>
      </c>
    </row>
    <row r="203" spans="1:18">
      <c r="A203" s="19">
        <v>45877</v>
      </c>
      <c r="B203" s="3" t="s">
        <v>29</v>
      </c>
      <c r="C203" s="3" t="s">
        <v>12</v>
      </c>
      <c r="D203" s="3" t="s">
        <v>23</v>
      </c>
      <c r="E203" s="3" t="s">
        <v>20</v>
      </c>
      <c r="F203" s="3" t="s">
        <v>36</v>
      </c>
      <c r="G203" s="3" t="s">
        <v>31</v>
      </c>
      <c r="H203">
        <v>150000</v>
      </c>
      <c r="I203">
        <v>3</v>
      </c>
      <c r="J203" s="3" t="s">
        <v>24</v>
      </c>
      <c r="K203">
        <v>120000</v>
      </c>
      <c r="L203">
        <v>450000</v>
      </c>
      <c r="M203">
        <v>360000</v>
      </c>
      <c r="N203">
        <v>90000</v>
      </c>
      <c r="O203" s="3" t="s">
        <v>304</v>
      </c>
      <c r="P203" s="3" t="s">
        <v>102</v>
      </c>
      <c r="Q203" s="3" t="s">
        <v>103</v>
      </c>
      <c r="R203" s="3" t="s">
        <v>103</v>
      </c>
    </row>
    <row r="204" spans="1:18">
      <c r="A204" s="19">
        <v>45878</v>
      </c>
      <c r="B204" s="3" t="s">
        <v>25</v>
      </c>
      <c r="C204" s="3" t="s">
        <v>32</v>
      </c>
      <c r="D204" s="3" t="s">
        <v>23</v>
      </c>
      <c r="E204" s="3" t="s">
        <v>20</v>
      </c>
      <c r="F204" s="3" t="s">
        <v>41</v>
      </c>
      <c r="G204" s="3" t="s">
        <v>22</v>
      </c>
      <c r="H204">
        <v>220000</v>
      </c>
      <c r="I204">
        <v>4</v>
      </c>
      <c r="J204" s="3" t="s">
        <v>24</v>
      </c>
      <c r="K204">
        <v>176000</v>
      </c>
      <c r="L204">
        <v>880000</v>
      </c>
      <c r="M204">
        <v>704000</v>
      </c>
      <c r="N204">
        <v>176000</v>
      </c>
      <c r="O204" s="3" t="s">
        <v>305</v>
      </c>
      <c r="P204" s="3" t="s">
        <v>102</v>
      </c>
      <c r="Q204" s="3" t="s">
        <v>103</v>
      </c>
      <c r="R204" s="3" t="s">
        <v>103</v>
      </c>
    </row>
    <row r="205" spans="1:18">
      <c r="A205" s="19">
        <v>45879</v>
      </c>
      <c r="B205" s="3" t="s">
        <v>25</v>
      </c>
      <c r="C205" s="3" t="s">
        <v>19</v>
      </c>
      <c r="D205" s="3" t="s">
        <v>23</v>
      </c>
      <c r="E205" s="3" t="s">
        <v>20</v>
      </c>
      <c r="F205" s="3" t="s">
        <v>15</v>
      </c>
      <c r="G205" s="3" t="s">
        <v>16</v>
      </c>
      <c r="H205">
        <v>85000</v>
      </c>
      <c r="I205">
        <v>10</v>
      </c>
      <c r="J205" s="3" t="s">
        <v>24</v>
      </c>
      <c r="K205">
        <v>68000</v>
      </c>
      <c r="L205">
        <v>850000</v>
      </c>
      <c r="M205">
        <v>680000</v>
      </c>
      <c r="N205">
        <v>170000</v>
      </c>
      <c r="O205" s="3" t="s">
        <v>306</v>
      </c>
      <c r="P205" s="3" t="s">
        <v>102</v>
      </c>
      <c r="Q205" s="3" t="s">
        <v>103</v>
      </c>
      <c r="R205" s="3" t="s">
        <v>103</v>
      </c>
    </row>
    <row r="206" spans="1:18">
      <c r="A206" s="19">
        <v>45880</v>
      </c>
      <c r="B206" s="3" t="s">
        <v>29</v>
      </c>
      <c r="C206" s="3" t="s">
        <v>26</v>
      </c>
      <c r="D206" s="3" t="s">
        <v>13</v>
      </c>
      <c r="E206" s="3" t="s">
        <v>20</v>
      </c>
      <c r="F206" s="3" t="s">
        <v>30</v>
      </c>
      <c r="G206" s="3" t="s">
        <v>31</v>
      </c>
      <c r="H206">
        <v>300000</v>
      </c>
      <c r="I206">
        <v>6</v>
      </c>
      <c r="J206" s="3" t="s">
        <v>39</v>
      </c>
      <c r="K206">
        <v>240000</v>
      </c>
      <c r="L206">
        <v>1800000</v>
      </c>
      <c r="M206">
        <v>1440000</v>
      </c>
      <c r="N206">
        <v>360000</v>
      </c>
      <c r="O206" s="3" t="s">
        <v>307</v>
      </c>
      <c r="P206" s="3" t="s">
        <v>102</v>
      </c>
      <c r="Q206" s="3" t="s">
        <v>103</v>
      </c>
      <c r="R206" s="3" t="s">
        <v>103</v>
      </c>
    </row>
    <row r="207" spans="1:18">
      <c r="A207" s="19">
        <v>45881</v>
      </c>
      <c r="B207" s="3" t="s">
        <v>11</v>
      </c>
      <c r="C207" s="3" t="s">
        <v>12</v>
      </c>
      <c r="D207" s="3" t="s">
        <v>13</v>
      </c>
      <c r="E207" s="3" t="s">
        <v>14</v>
      </c>
      <c r="F207" s="3" t="s">
        <v>30</v>
      </c>
      <c r="G207" s="3" t="s">
        <v>31</v>
      </c>
      <c r="H207">
        <v>300000</v>
      </c>
      <c r="I207">
        <v>8</v>
      </c>
      <c r="J207" s="3" t="s">
        <v>37</v>
      </c>
      <c r="K207">
        <v>240000</v>
      </c>
      <c r="L207">
        <v>2400000</v>
      </c>
      <c r="M207">
        <v>1920000</v>
      </c>
      <c r="N207">
        <v>480000</v>
      </c>
      <c r="O207" s="3" t="s">
        <v>308</v>
      </c>
      <c r="P207" s="3" t="s">
        <v>102</v>
      </c>
      <c r="Q207" s="3" t="s">
        <v>103</v>
      </c>
      <c r="R207" s="3" t="s">
        <v>103</v>
      </c>
    </row>
    <row r="208" spans="1:18">
      <c r="A208" s="19">
        <v>45882</v>
      </c>
      <c r="B208" s="3" t="s">
        <v>25</v>
      </c>
      <c r="C208" s="3" t="s">
        <v>32</v>
      </c>
      <c r="D208" s="3" t="s">
        <v>23</v>
      </c>
      <c r="E208" s="3" t="s">
        <v>20</v>
      </c>
      <c r="F208" s="3" t="s">
        <v>34</v>
      </c>
      <c r="G208" s="3" t="s">
        <v>16</v>
      </c>
      <c r="H208">
        <v>320000</v>
      </c>
      <c r="I208">
        <v>4</v>
      </c>
      <c r="J208" s="3" t="s">
        <v>28</v>
      </c>
      <c r="K208">
        <v>256000</v>
      </c>
      <c r="L208">
        <v>1280000</v>
      </c>
      <c r="M208">
        <v>1024000</v>
      </c>
      <c r="N208">
        <v>256000</v>
      </c>
      <c r="O208" s="3" t="s">
        <v>309</v>
      </c>
      <c r="P208" s="3" t="s">
        <v>102</v>
      </c>
      <c r="Q208" s="3" t="s">
        <v>103</v>
      </c>
      <c r="R208" s="3" t="s">
        <v>103</v>
      </c>
    </row>
    <row r="209" spans="1:18">
      <c r="A209" s="19">
        <v>45883</v>
      </c>
      <c r="B209" s="3" t="s">
        <v>25</v>
      </c>
      <c r="C209" s="3" t="s">
        <v>19</v>
      </c>
      <c r="D209" s="3" t="s">
        <v>23</v>
      </c>
      <c r="E209" s="3" t="s">
        <v>14</v>
      </c>
      <c r="F209" s="3" t="s">
        <v>33</v>
      </c>
      <c r="G209" s="3" t="s">
        <v>22</v>
      </c>
      <c r="H209">
        <v>180000</v>
      </c>
      <c r="I209">
        <v>5</v>
      </c>
      <c r="J209" s="3" t="s">
        <v>39</v>
      </c>
      <c r="K209">
        <v>144000</v>
      </c>
      <c r="L209">
        <v>900000</v>
      </c>
      <c r="M209">
        <v>720000</v>
      </c>
      <c r="N209">
        <v>180000</v>
      </c>
      <c r="O209" s="3" t="s">
        <v>310</v>
      </c>
      <c r="P209" s="3" t="s">
        <v>102</v>
      </c>
      <c r="Q209" s="3" t="s">
        <v>103</v>
      </c>
      <c r="R209" s="3" t="s">
        <v>103</v>
      </c>
    </row>
    <row r="210" spans="1:18">
      <c r="A210" s="19">
        <v>45884</v>
      </c>
      <c r="B210" s="3" t="s">
        <v>11</v>
      </c>
      <c r="C210" s="3" t="s">
        <v>12</v>
      </c>
      <c r="D210" s="3" t="s">
        <v>13</v>
      </c>
      <c r="E210" s="3" t="s">
        <v>20</v>
      </c>
      <c r="F210" s="3" t="s">
        <v>33</v>
      </c>
      <c r="G210" s="3" t="s">
        <v>22</v>
      </c>
      <c r="H210">
        <v>180000</v>
      </c>
      <c r="I210">
        <v>6</v>
      </c>
      <c r="J210" s="3" t="s">
        <v>35</v>
      </c>
      <c r="K210">
        <v>144000</v>
      </c>
      <c r="L210">
        <v>1080000</v>
      </c>
      <c r="M210">
        <v>864000</v>
      </c>
      <c r="N210">
        <v>216000</v>
      </c>
      <c r="O210" s="3" t="s">
        <v>311</v>
      </c>
      <c r="P210" s="3" t="s">
        <v>102</v>
      </c>
      <c r="Q210" s="3" t="s">
        <v>103</v>
      </c>
      <c r="R210" s="3" t="s">
        <v>103</v>
      </c>
    </row>
    <row r="211" spans="1:18">
      <c r="A211" s="19">
        <v>45885</v>
      </c>
      <c r="B211" s="3" t="s">
        <v>18</v>
      </c>
      <c r="C211" s="3" t="s">
        <v>26</v>
      </c>
      <c r="D211" s="3" t="s">
        <v>23</v>
      </c>
      <c r="E211" s="3" t="s">
        <v>20</v>
      </c>
      <c r="F211" s="3" t="s">
        <v>36</v>
      </c>
      <c r="G211" s="3" t="s">
        <v>31</v>
      </c>
      <c r="H211">
        <v>150000</v>
      </c>
      <c r="I211">
        <v>9</v>
      </c>
      <c r="J211" s="3" t="s">
        <v>28</v>
      </c>
      <c r="K211">
        <v>120000</v>
      </c>
      <c r="L211">
        <v>1350000</v>
      </c>
      <c r="M211">
        <v>1080000</v>
      </c>
      <c r="N211">
        <v>270000</v>
      </c>
      <c r="O211" s="3" t="s">
        <v>312</v>
      </c>
      <c r="P211" s="3" t="s">
        <v>102</v>
      </c>
      <c r="Q211" s="3" t="s">
        <v>103</v>
      </c>
      <c r="R211" s="3" t="s">
        <v>103</v>
      </c>
    </row>
    <row r="212" spans="1:18">
      <c r="A212" s="19">
        <v>45886</v>
      </c>
      <c r="B212" s="3" t="s">
        <v>11</v>
      </c>
      <c r="C212" s="3" t="s">
        <v>12</v>
      </c>
      <c r="D212" s="3" t="s">
        <v>13</v>
      </c>
      <c r="E212" s="3" t="s">
        <v>14</v>
      </c>
      <c r="F212" s="3" t="s">
        <v>36</v>
      </c>
      <c r="G212" s="3" t="s">
        <v>31</v>
      </c>
      <c r="H212">
        <v>150000</v>
      </c>
      <c r="I212">
        <v>1</v>
      </c>
      <c r="J212" s="3" t="s">
        <v>35</v>
      </c>
      <c r="K212">
        <v>120000</v>
      </c>
      <c r="L212">
        <v>150000</v>
      </c>
      <c r="M212">
        <v>120000</v>
      </c>
      <c r="N212">
        <v>30000</v>
      </c>
      <c r="O212" s="3" t="s">
        <v>313</v>
      </c>
      <c r="P212" s="3" t="s">
        <v>102</v>
      </c>
      <c r="Q212" s="3" t="s">
        <v>103</v>
      </c>
      <c r="R212" s="3" t="s">
        <v>103</v>
      </c>
    </row>
    <row r="213" spans="1:18">
      <c r="A213" s="19">
        <v>45887</v>
      </c>
      <c r="B213" s="3" t="s">
        <v>18</v>
      </c>
      <c r="C213" s="3" t="s">
        <v>26</v>
      </c>
      <c r="D213" s="3" t="s">
        <v>13</v>
      </c>
      <c r="E213" s="3" t="s">
        <v>14</v>
      </c>
      <c r="F213" s="3" t="s">
        <v>33</v>
      </c>
      <c r="G213" s="3" t="s">
        <v>22</v>
      </c>
      <c r="H213">
        <v>180000</v>
      </c>
      <c r="I213">
        <v>8</v>
      </c>
      <c r="J213" s="3" t="s">
        <v>35</v>
      </c>
      <c r="K213">
        <v>144000</v>
      </c>
      <c r="L213">
        <v>1440000</v>
      </c>
      <c r="M213">
        <v>1152000</v>
      </c>
      <c r="N213">
        <v>288000</v>
      </c>
      <c r="O213" s="3" t="s">
        <v>314</v>
      </c>
      <c r="P213" s="3" t="s">
        <v>102</v>
      </c>
      <c r="Q213" s="3" t="s">
        <v>103</v>
      </c>
      <c r="R213" s="3" t="s">
        <v>103</v>
      </c>
    </row>
    <row r="214" spans="1:18">
      <c r="A214" s="19">
        <v>45888</v>
      </c>
      <c r="B214" s="3" t="s">
        <v>11</v>
      </c>
      <c r="C214" s="3" t="s">
        <v>12</v>
      </c>
      <c r="D214" s="3" t="s">
        <v>13</v>
      </c>
      <c r="E214" s="3" t="s">
        <v>20</v>
      </c>
      <c r="F214" s="3" t="s">
        <v>33</v>
      </c>
      <c r="G214" s="3" t="s">
        <v>22</v>
      </c>
      <c r="H214">
        <v>180000</v>
      </c>
      <c r="I214">
        <v>6</v>
      </c>
      <c r="J214" s="3" t="s">
        <v>28</v>
      </c>
      <c r="K214">
        <v>144000</v>
      </c>
      <c r="L214">
        <v>1080000</v>
      </c>
      <c r="M214">
        <v>864000</v>
      </c>
      <c r="N214">
        <v>216000</v>
      </c>
      <c r="O214" s="3" t="s">
        <v>315</v>
      </c>
      <c r="P214" s="3" t="s">
        <v>102</v>
      </c>
      <c r="Q214" s="3" t="s">
        <v>103</v>
      </c>
      <c r="R214" s="3" t="s">
        <v>103</v>
      </c>
    </row>
    <row r="215" spans="1:18">
      <c r="A215" s="19">
        <v>45889</v>
      </c>
      <c r="B215" s="3" t="s">
        <v>29</v>
      </c>
      <c r="C215" s="3" t="s">
        <v>32</v>
      </c>
      <c r="D215" s="3" t="s">
        <v>23</v>
      </c>
      <c r="E215" s="3" t="s">
        <v>14</v>
      </c>
      <c r="F215" s="3" t="s">
        <v>33</v>
      </c>
      <c r="G215" s="3" t="s">
        <v>22</v>
      </c>
      <c r="H215">
        <v>180000</v>
      </c>
      <c r="I215">
        <v>3</v>
      </c>
      <c r="J215" s="3" t="s">
        <v>37</v>
      </c>
      <c r="K215">
        <v>144000</v>
      </c>
      <c r="L215">
        <v>540000</v>
      </c>
      <c r="M215">
        <v>432000</v>
      </c>
      <c r="N215">
        <v>108000</v>
      </c>
      <c r="O215" s="3" t="s">
        <v>316</v>
      </c>
      <c r="P215" s="3" t="s">
        <v>102</v>
      </c>
      <c r="Q215" s="3" t="s">
        <v>103</v>
      </c>
      <c r="R215" s="3" t="s">
        <v>103</v>
      </c>
    </row>
    <row r="216" spans="1:18">
      <c r="A216" s="19">
        <v>45890</v>
      </c>
      <c r="B216" s="3" t="s">
        <v>29</v>
      </c>
      <c r="C216" s="3" t="s">
        <v>26</v>
      </c>
      <c r="D216" s="3" t="s">
        <v>13</v>
      </c>
      <c r="E216" s="3" t="s">
        <v>14</v>
      </c>
      <c r="F216" s="3" t="s">
        <v>36</v>
      </c>
      <c r="G216" s="3" t="s">
        <v>31</v>
      </c>
      <c r="H216">
        <v>150000</v>
      </c>
      <c r="I216">
        <v>10</v>
      </c>
      <c r="J216" s="3" t="s">
        <v>17</v>
      </c>
      <c r="K216">
        <v>120000</v>
      </c>
      <c r="L216">
        <v>1500000</v>
      </c>
      <c r="M216">
        <v>1200000</v>
      </c>
      <c r="N216">
        <v>300000</v>
      </c>
      <c r="O216" s="3" t="s">
        <v>317</v>
      </c>
      <c r="P216" s="3" t="s">
        <v>102</v>
      </c>
      <c r="Q216" s="3" t="s">
        <v>103</v>
      </c>
      <c r="R216" s="3" t="s">
        <v>103</v>
      </c>
    </row>
    <row r="217" spans="1:18">
      <c r="A217" s="19">
        <v>45891</v>
      </c>
      <c r="B217" s="3" t="s">
        <v>25</v>
      </c>
      <c r="C217" s="3" t="s">
        <v>26</v>
      </c>
      <c r="D217" s="3" t="s">
        <v>13</v>
      </c>
      <c r="E217" s="3" t="s">
        <v>20</v>
      </c>
      <c r="F217" s="3" t="s">
        <v>33</v>
      </c>
      <c r="G217" s="3" t="s">
        <v>22</v>
      </c>
      <c r="H217">
        <v>180000</v>
      </c>
      <c r="I217">
        <v>8</v>
      </c>
      <c r="J217" s="3" t="s">
        <v>37</v>
      </c>
      <c r="K217">
        <v>144000</v>
      </c>
      <c r="L217">
        <v>1440000</v>
      </c>
      <c r="M217">
        <v>1152000</v>
      </c>
      <c r="N217">
        <v>288000</v>
      </c>
      <c r="O217" s="3" t="s">
        <v>318</v>
      </c>
      <c r="P217" s="3" t="s">
        <v>102</v>
      </c>
      <c r="Q217" s="3" t="s">
        <v>103</v>
      </c>
      <c r="R217" s="3" t="s">
        <v>103</v>
      </c>
    </row>
    <row r="218" spans="1:18">
      <c r="A218" s="19">
        <v>45892</v>
      </c>
      <c r="B218" s="3" t="s">
        <v>11</v>
      </c>
      <c r="C218" s="3" t="s">
        <v>26</v>
      </c>
      <c r="D218" s="3" t="s">
        <v>13</v>
      </c>
      <c r="E218" s="3" t="s">
        <v>20</v>
      </c>
      <c r="F218" s="3" t="s">
        <v>30</v>
      </c>
      <c r="G218" s="3" t="s">
        <v>31</v>
      </c>
      <c r="H218">
        <v>300000</v>
      </c>
      <c r="I218">
        <v>8</v>
      </c>
      <c r="J218" s="3" t="s">
        <v>28</v>
      </c>
      <c r="K218">
        <v>240000</v>
      </c>
      <c r="L218">
        <v>2400000</v>
      </c>
      <c r="M218">
        <v>1920000</v>
      </c>
      <c r="N218">
        <v>480000</v>
      </c>
      <c r="O218" s="3" t="s">
        <v>319</v>
      </c>
      <c r="P218" s="3" t="s">
        <v>102</v>
      </c>
      <c r="Q218" s="3" t="s">
        <v>103</v>
      </c>
      <c r="R218" s="3" t="s">
        <v>103</v>
      </c>
    </row>
    <row r="219" spans="1:18">
      <c r="A219" s="19">
        <v>45893</v>
      </c>
      <c r="B219" s="3" t="s">
        <v>11</v>
      </c>
      <c r="C219" s="3" t="s">
        <v>26</v>
      </c>
      <c r="D219" s="3" t="s">
        <v>13</v>
      </c>
      <c r="E219" s="3" t="s">
        <v>20</v>
      </c>
      <c r="F219" s="3" t="s">
        <v>34</v>
      </c>
      <c r="G219" s="3" t="s">
        <v>16</v>
      </c>
      <c r="H219">
        <v>320000</v>
      </c>
      <c r="I219">
        <v>9</v>
      </c>
      <c r="J219" s="3" t="s">
        <v>35</v>
      </c>
      <c r="K219">
        <v>256000</v>
      </c>
      <c r="L219">
        <v>2880000</v>
      </c>
      <c r="M219">
        <v>2304000</v>
      </c>
      <c r="N219">
        <v>576000</v>
      </c>
      <c r="O219" s="3" t="s">
        <v>320</v>
      </c>
      <c r="P219" s="3" t="s">
        <v>102</v>
      </c>
      <c r="Q219" s="3" t="s">
        <v>103</v>
      </c>
      <c r="R219" s="3" t="s">
        <v>103</v>
      </c>
    </row>
    <row r="220" spans="1:18">
      <c r="A220" s="19">
        <v>45894</v>
      </c>
      <c r="B220" s="3" t="s">
        <v>25</v>
      </c>
      <c r="C220" s="3" t="s">
        <v>26</v>
      </c>
      <c r="D220" s="3" t="s">
        <v>13</v>
      </c>
      <c r="E220" s="3" t="s">
        <v>14</v>
      </c>
      <c r="F220" s="3" t="s">
        <v>34</v>
      </c>
      <c r="G220" s="3" t="s">
        <v>16</v>
      </c>
      <c r="H220">
        <v>320000</v>
      </c>
      <c r="I220">
        <v>7</v>
      </c>
      <c r="J220" s="3" t="s">
        <v>39</v>
      </c>
      <c r="K220">
        <v>256000</v>
      </c>
      <c r="L220">
        <v>2240000</v>
      </c>
      <c r="M220">
        <v>1792000</v>
      </c>
      <c r="N220">
        <v>448000</v>
      </c>
      <c r="O220" s="3" t="s">
        <v>321</v>
      </c>
      <c r="P220" s="3" t="s">
        <v>102</v>
      </c>
      <c r="Q220" s="3" t="s">
        <v>103</v>
      </c>
      <c r="R220" s="3" t="s">
        <v>103</v>
      </c>
    </row>
    <row r="221" spans="1:18">
      <c r="A221" s="19">
        <v>45895</v>
      </c>
      <c r="B221" s="3" t="s">
        <v>18</v>
      </c>
      <c r="C221" s="3" t="s">
        <v>32</v>
      </c>
      <c r="D221" s="3" t="s">
        <v>13</v>
      </c>
      <c r="E221" s="3" t="s">
        <v>14</v>
      </c>
      <c r="F221" s="3" t="s">
        <v>36</v>
      </c>
      <c r="G221" s="3" t="s">
        <v>31</v>
      </c>
      <c r="H221">
        <v>150000</v>
      </c>
      <c r="I221">
        <v>7</v>
      </c>
      <c r="J221" s="3" t="s">
        <v>24</v>
      </c>
      <c r="K221">
        <v>120000</v>
      </c>
      <c r="L221">
        <v>1050000</v>
      </c>
      <c r="M221">
        <v>840000</v>
      </c>
      <c r="N221">
        <v>210000</v>
      </c>
      <c r="O221" s="3" t="s">
        <v>322</v>
      </c>
      <c r="P221" s="3" t="s">
        <v>102</v>
      </c>
      <c r="Q221" s="3" t="s">
        <v>103</v>
      </c>
      <c r="R221" s="3" t="s">
        <v>103</v>
      </c>
    </row>
    <row r="222" spans="1:18">
      <c r="A222" s="19">
        <v>45896</v>
      </c>
      <c r="B222" s="3" t="s">
        <v>18</v>
      </c>
      <c r="C222" s="3" t="s">
        <v>32</v>
      </c>
      <c r="D222" s="3" t="s">
        <v>13</v>
      </c>
      <c r="E222" s="3" t="s">
        <v>20</v>
      </c>
      <c r="F222" s="3" t="s">
        <v>41</v>
      </c>
      <c r="G222" s="3" t="s">
        <v>22</v>
      </c>
      <c r="H222">
        <v>220000</v>
      </c>
      <c r="I222">
        <v>6</v>
      </c>
      <c r="J222" s="3" t="s">
        <v>39</v>
      </c>
      <c r="K222">
        <v>176000</v>
      </c>
      <c r="L222">
        <v>1320000</v>
      </c>
      <c r="M222">
        <v>1056000</v>
      </c>
      <c r="N222">
        <v>264000</v>
      </c>
      <c r="O222" s="3" t="s">
        <v>323</v>
      </c>
      <c r="P222" s="3" t="s">
        <v>102</v>
      </c>
      <c r="Q222" s="3" t="s">
        <v>103</v>
      </c>
      <c r="R222" s="3" t="s">
        <v>103</v>
      </c>
    </row>
    <row r="223" spans="1:18">
      <c r="A223" s="19">
        <v>45897</v>
      </c>
      <c r="B223" s="3" t="s">
        <v>29</v>
      </c>
      <c r="C223" s="3" t="s">
        <v>19</v>
      </c>
      <c r="D223" s="3" t="s">
        <v>13</v>
      </c>
      <c r="E223" s="3" t="s">
        <v>14</v>
      </c>
      <c r="F223" s="3" t="s">
        <v>40</v>
      </c>
      <c r="G223" s="3" t="s">
        <v>31</v>
      </c>
      <c r="H223">
        <v>250000</v>
      </c>
      <c r="I223">
        <v>1</v>
      </c>
      <c r="J223" s="3" t="s">
        <v>35</v>
      </c>
      <c r="K223">
        <v>200000</v>
      </c>
      <c r="L223">
        <v>250000</v>
      </c>
      <c r="M223">
        <v>200000</v>
      </c>
      <c r="N223">
        <v>50000</v>
      </c>
      <c r="O223" s="3" t="s">
        <v>324</v>
      </c>
      <c r="P223" s="3" t="s">
        <v>102</v>
      </c>
      <c r="Q223" s="3" t="s">
        <v>103</v>
      </c>
      <c r="R223" s="3" t="s">
        <v>103</v>
      </c>
    </row>
    <row r="224" spans="1:18">
      <c r="A224" s="19">
        <v>45898</v>
      </c>
      <c r="B224" s="3" t="s">
        <v>11</v>
      </c>
      <c r="C224" s="3" t="s">
        <v>19</v>
      </c>
      <c r="D224" s="3" t="s">
        <v>13</v>
      </c>
      <c r="E224" s="3" t="s">
        <v>14</v>
      </c>
      <c r="F224" s="3" t="s">
        <v>27</v>
      </c>
      <c r="G224" s="3" t="s">
        <v>22</v>
      </c>
      <c r="H224">
        <v>60000</v>
      </c>
      <c r="I224">
        <v>4</v>
      </c>
      <c r="J224" s="3" t="s">
        <v>24</v>
      </c>
      <c r="K224">
        <v>48000</v>
      </c>
      <c r="L224">
        <v>240000</v>
      </c>
      <c r="M224">
        <v>192000</v>
      </c>
      <c r="N224">
        <v>48000</v>
      </c>
      <c r="O224" s="3" t="s">
        <v>325</v>
      </c>
      <c r="P224" s="3" t="s">
        <v>102</v>
      </c>
      <c r="Q224" s="3" t="s">
        <v>103</v>
      </c>
      <c r="R224" s="3" t="s">
        <v>103</v>
      </c>
    </row>
    <row r="225" spans="1:18">
      <c r="A225" s="19">
        <v>45899</v>
      </c>
      <c r="B225" s="3" t="s">
        <v>29</v>
      </c>
      <c r="C225" s="3" t="s">
        <v>19</v>
      </c>
      <c r="D225" s="3" t="s">
        <v>13</v>
      </c>
      <c r="E225" s="3" t="s">
        <v>14</v>
      </c>
      <c r="F225" s="3" t="s">
        <v>15</v>
      </c>
      <c r="G225" s="3" t="s">
        <v>16</v>
      </c>
      <c r="H225">
        <v>85000</v>
      </c>
      <c r="I225">
        <v>9</v>
      </c>
      <c r="J225" s="3" t="s">
        <v>24</v>
      </c>
      <c r="K225">
        <v>68000</v>
      </c>
      <c r="L225">
        <v>765000</v>
      </c>
      <c r="M225">
        <v>612000</v>
      </c>
      <c r="N225">
        <v>153000</v>
      </c>
      <c r="O225" s="3" t="s">
        <v>326</v>
      </c>
      <c r="P225" s="3" t="s">
        <v>102</v>
      </c>
      <c r="Q225" s="3" t="s">
        <v>103</v>
      </c>
      <c r="R225" s="3" t="s">
        <v>103</v>
      </c>
    </row>
    <row r="226" spans="1:18">
      <c r="A226" s="19">
        <v>45900</v>
      </c>
      <c r="B226" s="3" t="s">
        <v>11</v>
      </c>
      <c r="C226" s="3" t="s">
        <v>12</v>
      </c>
      <c r="D226" s="3" t="s">
        <v>13</v>
      </c>
      <c r="E226" s="3" t="s">
        <v>14</v>
      </c>
      <c r="F226" s="3" t="s">
        <v>33</v>
      </c>
      <c r="G226" s="3" t="s">
        <v>22</v>
      </c>
      <c r="H226">
        <v>180000</v>
      </c>
      <c r="I226">
        <v>5</v>
      </c>
      <c r="J226" s="3" t="s">
        <v>17</v>
      </c>
      <c r="K226">
        <v>144000</v>
      </c>
      <c r="L226">
        <v>900000</v>
      </c>
      <c r="M226">
        <v>720000</v>
      </c>
      <c r="N226">
        <v>180000</v>
      </c>
      <c r="O226" s="3" t="s">
        <v>327</v>
      </c>
      <c r="P226" s="3" t="s">
        <v>102</v>
      </c>
      <c r="Q226" s="3" t="s">
        <v>103</v>
      </c>
      <c r="R226" s="3" t="s">
        <v>103</v>
      </c>
    </row>
    <row r="227" spans="1:18">
      <c r="A227" s="19">
        <v>45901</v>
      </c>
      <c r="B227" s="3" t="s">
        <v>11</v>
      </c>
      <c r="C227" s="3" t="s">
        <v>19</v>
      </c>
      <c r="D227" s="3" t="s">
        <v>13</v>
      </c>
      <c r="E227" s="3" t="s">
        <v>20</v>
      </c>
      <c r="F227" s="3" t="s">
        <v>36</v>
      </c>
      <c r="G227" s="3" t="s">
        <v>31</v>
      </c>
      <c r="H227">
        <v>150000</v>
      </c>
      <c r="I227">
        <v>4</v>
      </c>
      <c r="J227" s="3" t="s">
        <v>17</v>
      </c>
      <c r="K227">
        <v>120000</v>
      </c>
      <c r="L227">
        <v>600000</v>
      </c>
      <c r="M227">
        <v>480000</v>
      </c>
      <c r="N227">
        <v>120000</v>
      </c>
      <c r="O227" s="3" t="s">
        <v>328</v>
      </c>
      <c r="P227" s="3" t="s">
        <v>102</v>
      </c>
      <c r="Q227" s="3" t="s">
        <v>103</v>
      </c>
      <c r="R227" s="3" t="s">
        <v>103</v>
      </c>
    </row>
    <row r="228" spans="1:18">
      <c r="A228" s="19">
        <v>45902</v>
      </c>
      <c r="B228" s="3" t="s">
        <v>29</v>
      </c>
      <c r="C228" s="3" t="s">
        <v>19</v>
      </c>
      <c r="D228" s="3" t="s">
        <v>13</v>
      </c>
      <c r="E228" s="3" t="s">
        <v>14</v>
      </c>
      <c r="F228" s="3" t="s">
        <v>36</v>
      </c>
      <c r="G228" s="3" t="s">
        <v>31</v>
      </c>
      <c r="H228">
        <v>150000</v>
      </c>
      <c r="I228">
        <v>4</v>
      </c>
      <c r="J228" s="3" t="s">
        <v>28</v>
      </c>
      <c r="K228">
        <v>120000</v>
      </c>
      <c r="L228">
        <v>600000</v>
      </c>
      <c r="M228">
        <v>480000</v>
      </c>
      <c r="N228">
        <v>120000</v>
      </c>
      <c r="O228" s="3" t="s">
        <v>329</v>
      </c>
      <c r="P228" s="3" t="s">
        <v>102</v>
      </c>
      <c r="Q228" s="3" t="s">
        <v>103</v>
      </c>
      <c r="R228" s="3" t="s">
        <v>103</v>
      </c>
    </row>
    <row r="229" spans="1:18">
      <c r="A229" s="19">
        <v>45903</v>
      </c>
      <c r="B229" s="3" t="s">
        <v>18</v>
      </c>
      <c r="C229" s="3" t="s">
        <v>19</v>
      </c>
      <c r="D229" s="3" t="s">
        <v>23</v>
      </c>
      <c r="E229" s="3" t="s">
        <v>14</v>
      </c>
      <c r="F229" s="3" t="s">
        <v>21</v>
      </c>
      <c r="G229" s="3" t="s">
        <v>22</v>
      </c>
      <c r="H229">
        <v>30000</v>
      </c>
      <c r="I229">
        <v>2</v>
      </c>
      <c r="J229" s="3" t="s">
        <v>28</v>
      </c>
      <c r="K229">
        <v>24000</v>
      </c>
      <c r="L229">
        <v>60000</v>
      </c>
      <c r="M229">
        <v>48000</v>
      </c>
      <c r="N229">
        <v>12000</v>
      </c>
      <c r="O229" s="3" t="s">
        <v>330</v>
      </c>
      <c r="P229" s="3" t="s">
        <v>102</v>
      </c>
      <c r="Q229" s="3" t="s">
        <v>103</v>
      </c>
      <c r="R229" s="3" t="s">
        <v>103</v>
      </c>
    </row>
    <row r="230" spans="1:18">
      <c r="A230" s="19">
        <v>45904</v>
      </c>
      <c r="B230" s="3" t="s">
        <v>25</v>
      </c>
      <c r="C230" s="3" t="s">
        <v>32</v>
      </c>
      <c r="D230" s="3" t="s">
        <v>23</v>
      </c>
      <c r="E230" s="3" t="s">
        <v>14</v>
      </c>
      <c r="F230" s="3" t="s">
        <v>33</v>
      </c>
      <c r="G230" s="3" t="s">
        <v>22</v>
      </c>
      <c r="H230">
        <v>180000</v>
      </c>
      <c r="I230">
        <v>6</v>
      </c>
      <c r="J230" s="3" t="s">
        <v>37</v>
      </c>
      <c r="K230">
        <v>144000</v>
      </c>
      <c r="L230">
        <v>1080000</v>
      </c>
      <c r="M230">
        <v>864000</v>
      </c>
      <c r="N230">
        <v>216000</v>
      </c>
      <c r="O230" s="3" t="s">
        <v>331</v>
      </c>
      <c r="P230" s="3" t="s">
        <v>102</v>
      </c>
      <c r="Q230" s="3" t="s">
        <v>103</v>
      </c>
      <c r="R230" s="3" t="s">
        <v>103</v>
      </c>
    </row>
    <row r="231" spans="1:18">
      <c r="A231" s="19">
        <v>45905</v>
      </c>
      <c r="B231" s="3" t="s">
        <v>29</v>
      </c>
      <c r="C231" s="3" t="s">
        <v>26</v>
      </c>
      <c r="D231" s="3" t="s">
        <v>23</v>
      </c>
      <c r="E231" s="3" t="s">
        <v>20</v>
      </c>
      <c r="F231" s="3" t="s">
        <v>27</v>
      </c>
      <c r="G231" s="3" t="s">
        <v>22</v>
      </c>
      <c r="H231">
        <v>60000</v>
      </c>
      <c r="I231">
        <v>9</v>
      </c>
      <c r="J231" s="3" t="s">
        <v>39</v>
      </c>
      <c r="K231">
        <v>48000</v>
      </c>
      <c r="L231">
        <v>540000</v>
      </c>
      <c r="M231">
        <v>432000</v>
      </c>
      <c r="N231">
        <v>108000</v>
      </c>
      <c r="O231" s="3" t="s">
        <v>332</v>
      </c>
      <c r="P231" s="3" t="s">
        <v>102</v>
      </c>
      <c r="Q231" s="3" t="s">
        <v>103</v>
      </c>
      <c r="R231" s="3" t="s">
        <v>103</v>
      </c>
    </row>
    <row r="232" spans="1:18">
      <c r="A232" s="19">
        <v>45906</v>
      </c>
      <c r="B232" s="3" t="s">
        <v>25</v>
      </c>
      <c r="C232" s="3" t="s">
        <v>12</v>
      </c>
      <c r="D232" s="3" t="s">
        <v>13</v>
      </c>
      <c r="E232" s="3" t="s">
        <v>14</v>
      </c>
      <c r="F232" s="3" t="s">
        <v>36</v>
      </c>
      <c r="G232" s="3" t="s">
        <v>31</v>
      </c>
      <c r="H232">
        <v>150000</v>
      </c>
      <c r="I232">
        <v>3</v>
      </c>
      <c r="J232" s="3" t="s">
        <v>24</v>
      </c>
      <c r="K232">
        <v>120000</v>
      </c>
      <c r="L232">
        <v>450000</v>
      </c>
      <c r="M232">
        <v>360000</v>
      </c>
      <c r="N232">
        <v>90000</v>
      </c>
      <c r="O232" s="3" t="s">
        <v>333</v>
      </c>
      <c r="P232" s="3" t="s">
        <v>102</v>
      </c>
      <c r="Q232" s="3" t="s">
        <v>103</v>
      </c>
      <c r="R232" s="3" t="s">
        <v>103</v>
      </c>
    </row>
    <row r="233" spans="1:18">
      <c r="A233" s="19">
        <v>45907</v>
      </c>
      <c r="B233" s="3" t="s">
        <v>29</v>
      </c>
      <c r="C233" s="3" t="s">
        <v>19</v>
      </c>
      <c r="D233" s="3" t="s">
        <v>13</v>
      </c>
      <c r="E233" s="3" t="s">
        <v>14</v>
      </c>
      <c r="F233" s="3" t="s">
        <v>15</v>
      </c>
      <c r="G233" s="3" t="s">
        <v>16</v>
      </c>
      <c r="H233">
        <v>85000</v>
      </c>
      <c r="I233">
        <v>3</v>
      </c>
      <c r="J233" s="3" t="s">
        <v>28</v>
      </c>
      <c r="K233">
        <v>68000</v>
      </c>
      <c r="L233">
        <v>255000</v>
      </c>
      <c r="M233">
        <v>204000</v>
      </c>
      <c r="N233">
        <v>51000</v>
      </c>
      <c r="O233" s="3" t="s">
        <v>334</v>
      </c>
      <c r="P233" s="3" t="s">
        <v>102</v>
      </c>
      <c r="Q233" s="3" t="s">
        <v>103</v>
      </c>
      <c r="R233" s="3" t="s">
        <v>103</v>
      </c>
    </row>
    <row r="234" spans="1:18">
      <c r="A234" s="19">
        <v>45908</v>
      </c>
      <c r="B234" s="3" t="s">
        <v>18</v>
      </c>
      <c r="C234" s="3" t="s">
        <v>12</v>
      </c>
      <c r="D234" s="3" t="s">
        <v>23</v>
      </c>
      <c r="E234" s="3" t="s">
        <v>20</v>
      </c>
      <c r="F234" s="3" t="s">
        <v>21</v>
      </c>
      <c r="G234" s="3" t="s">
        <v>22</v>
      </c>
      <c r="H234">
        <v>30000</v>
      </c>
      <c r="I234">
        <v>3</v>
      </c>
      <c r="J234" s="3" t="s">
        <v>35</v>
      </c>
      <c r="K234">
        <v>24000</v>
      </c>
      <c r="L234">
        <v>90000</v>
      </c>
      <c r="M234">
        <v>72000</v>
      </c>
      <c r="N234">
        <v>18000</v>
      </c>
      <c r="O234" s="3" t="s">
        <v>335</v>
      </c>
      <c r="P234" s="3" t="s">
        <v>102</v>
      </c>
      <c r="Q234" s="3" t="s">
        <v>103</v>
      </c>
      <c r="R234" s="3" t="s">
        <v>103</v>
      </c>
    </row>
    <row r="235" spans="1:18">
      <c r="A235" s="19">
        <v>45909</v>
      </c>
      <c r="B235" s="3" t="s">
        <v>18</v>
      </c>
      <c r="C235" s="3" t="s">
        <v>26</v>
      </c>
      <c r="D235" s="3" t="s">
        <v>23</v>
      </c>
      <c r="E235" s="3" t="s">
        <v>14</v>
      </c>
      <c r="F235" s="3" t="s">
        <v>15</v>
      </c>
      <c r="G235" s="3" t="s">
        <v>16</v>
      </c>
      <c r="H235">
        <v>85000</v>
      </c>
      <c r="I235">
        <v>2</v>
      </c>
      <c r="J235" s="3" t="s">
        <v>17</v>
      </c>
      <c r="K235">
        <v>68000</v>
      </c>
      <c r="L235">
        <v>170000</v>
      </c>
      <c r="M235">
        <v>136000</v>
      </c>
      <c r="N235">
        <v>34000</v>
      </c>
      <c r="O235" s="3" t="s">
        <v>336</v>
      </c>
      <c r="P235" s="3" t="s">
        <v>102</v>
      </c>
      <c r="Q235" s="3" t="s">
        <v>103</v>
      </c>
      <c r="R235" s="3" t="s">
        <v>103</v>
      </c>
    </row>
    <row r="236" spans="1:18">
      <c r="A236" s="19">
        <v>45910</v>
      </c>
      <c r="B236" s="3" t="s">
        <v>11</v>
      </c>
      <c r="C236" s="3" t="s">
        <v>32</v>
      </c>
      <c r="D236" s="3" t="s">
        <v>23</v>
      </c>
      <c r="E236" s="3" t="s">
        <v>14</v>
      </c>
      <c r="F236" s="3" t="s">
        <v>21</v>
      </c>
      <c r="G236" s="3" t="s">
        <v>22</v>
      </c>
      <c r="H236">
        <v>30000</v>
      </c>
      <c r="I236">
        <v>6</v>
      </c>
      <c r="J236" s="3" t="s">
        <v>17</v>
      </c>
      <c r="K236">
        <v>24000</v>
      </c>
      <c r="L236">
        <v>180000</v>
      </c>
      <c r="M236">
        <v>144000</v>
      </c>
      <c r="N236">
        <v>36000</v>
      </c>
      <c r="O236" s="3" t="s">
        <v>337</v>
      </c>
      <c r="P236" s="3" t="s">
        <v>102</v>
      </c>
      <c r="Q236" s="3" t="s">
        <v>103</v>
      </c>
      <c r="R236" s="3" t="s">
        <v>103</v>
      </c>
    </row>
    <row r="237" spans="1:18">
      <c r="A237" s="19">
        <v>45911</v>
      </c>
      <c r="B237" s="3" t="s">
        <v>11</v>
      </c>
      <c r="C237" s="3" t="s">
        <v>32</v>
      </c>
      <c r="D237" s="3" t="s">
        <v>23</v>
      </c>
      <c r="E237" s="3" t="s">
        <v>14</v>
      </c>
      <c r="F237" s="3" t="s">
        <v>34</v>
      </c>
      <c r="G237" s="3" t="s">
        <v>16</v>
      </c>
      <c r="H237">
        <v>320000</v>
      </c>
      <c r="I237">
        <v>1</v>
      </c>
      <c r="J237" s="3" t="s">
        <v>17</v>
      </c>
      <c r="K237">
        <v>256000</v>
      </c>
      <c r="L237">
        <v>320000</v>
      </c>
      <c r="M237">
        <v>256000</v>
      </c>
      <c r="N237">
        <v>64000</v>
      </c>
      <c r="O237" s="3" t="s">
        <v>338</v>
      </c>
      <c r="P237" s="3" t="s">
        <v>102</v>
      </c>
      <c r="Q237" s="3" t="s">
        <v>103</v>
      </c>
      <c r="R237" s="3" t="s">
        <v>103</v>
      </c>
    </row>
    <row r="238" spans="1:18">
      <c r="A238" s="19">
        <v>45912</v>
      </c>
      <c r="B238" s="3" t="s">
        <v>25</v>
      </c>
      <c r="C238" s="3" t="s">
        <v>19</v>
      </c>
      <c r="D238" s="3" t="s">
        <v>13</v>
      </c>
      <c r="E238" s="3" t="s">
        <v>20</v>
      </c>
      <c r="F238" s="3" t="s">
        <v>38</v>
      </c>
      <c r="G238" s="3" t="s">
        <v>31</v>
      </c>
      <c r="H238">
        <v>420000</v>
      </c>
      <c r="I238">
        <v>5</v>
      </c>
      <c r="J238" s="3" t="s">
        <v>37</v>
      </c>
      <c r="K238">
        <v>336000</v>
      </c>
      <c r="L238">
        <v>2100000</v>
      </c>
      <c r="M238">
        <v>1680000</v>
      </c>
      <c r="N238">
        <v>420000</v>
      </c>
      <c r="O238" s="3" t="s">
        <v>339</v>
      </c>
      <c r="P238" s="3" t="s">
        <v>102</v>
      </c>
      <c r="Q238" s="3" t="s">
        <v>103</v>
      </c>
      <c r="R238" s="3" t="s">
        <v>103</v>
      </c>
    </row>
    <row r="239" spans="1:18">
      <c r="A239" s="19">
        <v>45913</v>
      </c>
      <c r="B239" s="3" t="s">
        <v>11</v>
      </c>
      <c r="C239" s="3" t="s">
        <v>32</v>
      </c>
      <c r="D239" s="3" t="s">
        <v>13</v>
      </c>
      <c r="E239" s="3" t="s">
        <v>20</v>
      </c>
      <c r="F239" s="3" t="s">
        <v>21</v>
      </c>
      <c r="G239" s="3" t="s">
        <v>22</v>
      </c>
      <c r="H239">
        <v>30000</v>
      </c>
      <c r="I239">
        <v>9</v>
      </c>
      <c r="J239" s="3" t="s">
        <v>39</v>
      </c>
      <c r="K239">
        <v>24000</v>
      </c>
      <c r="L239">
        <v>270000</v>
      </c>
      <c r="M239">
        <v>216000</v>
      </c>
      <c r="N239">
        <v>54000</v>
      </c>
      <c r="O239" s="3" t="s">
        <v>340</v>
      </c>
      <c r="P239" s="3" t="s">
        <v>102</v>
      </c>
      <c r="Q239" s="3" t="s">
        <v>103</v>
      </c>
      <c r="R239" s="3" t="s">
        <v>103</v>
      </c>
    </row>
    <row r="240" spans="1:18">
      <c r="A240" s="19">
        <v>45914</v>
      </c>
      <c r="B240" s="3" t="s">
        <v>25</v>
      </c>
      <c r="C240" s="3" t="s">
        <v>32</v>
      </c>
      <c r="D240" s="3" t="s">
        <v>13</v>
      </c>
      <c r="E240" s="3" t="s">
        <v>14</v>
      </c>
      <c r="F240" s="3" t="s">
        <v>27</v>
      </c>
      <c r="G240" s="3" t="s">
        <v>22</v>
      </c>
      <c r="H240">
        <v>60000</v>
      </c>
      <c r="I240">
        <v>8</v>
      </c>
      <c r="J240" s="3" t="s">
        <v>37</v>
      </c>
      <c r="K240">
        <v>48000</v>
      </c>
      <c r="L240">
        <v>480000</v>
      </c>
      <c r="M240">
        <v>384000</v>
      </c>
      <c r="N240">
        <v>96000</v>
      </c>
      <c r="O240" s="3" t="s">
        <v>341</v>
      </c>
      <c r="P240" s="3" t="s">
        <v>102</v>
      </c>
      <c r="Q240" s="3" t="s">
        <v>103</v>
      </c>
      <c r="R240" s="3" t="s">
        <v>103</v>
      </c>
    </row>
    <row r="241" spans="1:18">
      <c r="A241" s="19">
        <v>45915</v>
      </c>
      <c r="B241" s="3" t="s">
        <v>11</v>
      </c>
      <c r="C241" s="3" t="s">
        <v>26</v>
      </c>
      <c r="D241" s="3" t="s">
        <v>13</v>
      </c>
      <c r="E241" s="3" t="s">
        <v>14</v>
      </c>
      <c r="F241" s="3" t="s">
        <v>30</v>
      </c>
      <c r="G241" s="3" t="s">
        <v>31</v>
      </c>
      <c r="H241">
        <v>300000</v>
      </c>
      <c r="I241">
        <v>2</v>
      </c>
      <c r="J241" s="3" t="s">
        <v>28</v>
      </c>
      <c r="K241">
        <v>240000</v>
      </c>
      <c r="L241">
        <v>600000</v>
      </c>
      <c r="M241">
        <v>480000</v>
      </c>
      <c r="N241">
        <v>120000</v>
      </c>
      <c r="O241" s="3" t="s">
        <v>342</v>
      </c>
      <c r="P241" s="3" t="s">
        <v>102</v>
      </c>
      <c r="Q241" s="3" t="s">
        <v>103</v>
      </c>
      <c r="R241" s="3" t="s">
        <v>103</v>
      </c>
    </row>
    <row r="242" spans="1:18">
      <c r="A242" s="19">
        <v>45916</v>
      </c>
      <c r="B242" s="3" t="s">
        <v>25</v>
      </c>
      <c r="C242" s="3" t="s">
        <v>12</v>
      </c>
      <c r="D242" s="3" t="s">
        <v>13</v>
      </c>
      <c r="E242" s="3" t="s">
        <v>14</v>
      </c>
      <c r="F242" s="3" t="s">
        <v>41</v>
      </c>
      <c r="G242" s="3" t="s">
        <v>22</v>
      </c>
      <c r="H242">
        <v>220000</v>
      </c>
      <c r="I242">
        <v>7</v>
      </c>
      <c r="J242" s="3" t="s">
        <v>28</v>
      </c>
      <c r="K242">
        <v>176000</v>
      </c>
      <c r="L242">
        <v>1540000</v>
      </c>
      <c r="M242">
        <v>1232000</v>
      </c>
      <c r="N242">
        <v>308000</v>
      </c>
      <c r="O242" s="3" t="s">
        <v>343</v>
      </c>
      <c r="P242" s="3" t="s">
        <v>102</v>
      </c>
      <c r="Q242" s="3" t="s">
        <v>103</v>
      </c>
      <c r="R242" s="3" t="s">
        <v>103</v>
      </c>
    </row>
    <row r="243" spans="1:18">
      <c r="A243" s="19">
        <v>45917</v>
      </c>
      <c r="B243" s="3" t="s">
        <v>29</v>
      </c>
      <c r="C243" s="3" t="s">
        <v>19</v>
      </c>
      <c r="D243" s="3" t="s">
        <v>23</v>
      </c>
      <c r="E243" s="3" t="s">
        <v>20</v>
      </c>
      <c r="F243" s="3" t="s">
        <v>30</v>
      </c>
      <c r="G243" s="3" t="s">
        <v>31</v>
      </c>
      <c r="H243">
        <v>300000</v>
      </c>
      <c r="I243">
        <v>8</v>
      </c>
      <c r="J243" s="3" t="s">
        <v>17</v>
      </c>
      <c r="K243">
        <v>240000</v>
      </c>
      <c r="L243">
        <v>2400000</v>
      </c>
      <c r="M243">
        <v>1920000</v>
      </c>
      <c r="N243">
        <v>480000</v>
      </c>
      <c r="O243" s="3" t="s">
        <v>344</v>
      </c>
      <c r="P243" s="3" t="s">
        <v>102</v>
      </c>
      <c r="Q243" s="3" t="s">
        <v>103</v>
      </c>
      <c r="R243" s="3" t="s">
        <v>103</v>
      </c>
    </row>
    <row r="244" spans="1:18">
      <c r="A244" s="19">
        <v>45918</v>
      </c>
      <c r="B244" s="3" t="s">
        <v>18</v>
      </c>
      <c r="C244" s="3" t="s">
        <v>19</v>
      </c>
      <c r="D244" s="3" t="s">
        <v>23</v>
      </c>
      <c r="E244" s="3" t="s">
        <v>20</v>
      </c>
      <c r="F244" s="3" t="s">
        <v>38</v>
      </c>
      <c r="G244" s="3" t="s">
        <v>31</v>
      </c>
      <c r="H244">
        <v>420000</v>
      </c>
      <c r="I244">
        <v>10</v>
      </c>
      <c r="J244" s="3" t="s">
        <v>35</v>
      </c>
      <c r="K244">
        <v>336000</v>
      </c>
      <c r="L244">
        <v>4200000</v>
      </c>
      <c r="M244">
        <v>3360000</v>
      </c>
      <c r="N244">
        <v>840000</v>
      </c>
      <c r="O244" s="3" t="s">
        <v>345</v>
      </c>
      <c r="P244" s="3" t="s">
        <v>102</v>
      </c>
      <c r="Q244" s="3" t="s">
        <v>103</v>
      </c>
      <c r="R244" s="3" t="s">
        <v>103</v>
      </c>
    </row>
    <row r="245" spans="1:18">
      <c r="A245" s="19">
        <v>45919</v>
      </c>
      <c r="B245" s="3" t="s">
        <v>18</v>
      </c>
      <c r="C245" s="3" t="s">
        <v>32</v>
      </c>
      <c r="D245" s="3" t="s">
        <v>23</v>
      </c>
      <c r="E245" s="3" t="s">
        <v>14</v>
      </c>
      <c r="F245" s="3" t="s">
        <v>30</v>
      </c>
      <c r="G245" s="3" t="s">
        <v>31</v>
      </c>
      <c r="H245">
        <v>300000</v>
      </c>
      <c r="I245">
        <v>2</v>
      </c>
      <c r="J245" s="3" t="s">
        <v>35</v>
      </c>
      <c r="K245">
        <v>240000</v>
      </c>
      <c r="L245">
        <v>600000</v>
      </c>
      <c r="M245">
        <v>480000</v>
      </c>
      <c r="N245">
        <v>120000</v>
      </c>
      <c r="O245" s="3" t="s">
        <v>346</v>
      </c>
      <c r="P245" s="3" t="s">
        <v>102</v>
      </c>
      <c r="Q245" s="3" t="s">
        <v>103</v>
      </c>
      <c r="R245" s="3" t="s">
        <v>103</v>
      </c>
    </row>
    <row r="246" spans="1:18">
      <c r="A246" s="19">
        <v>45920</v>
      </c>
      <c r="B246" s="3" t="s">
        <v>18</v>
      </c>
      <c r="C246" s="3" t="s">
        <v>19</v>
      </c>
      <c r="D246" s="3" t="s">
        <v>23</v>
      </c>
      <c r="E246" s="3" t="s">
        <v>14</v>
      </c>
      <c r="F246" s="3" t="s">
        <v>41</v>
      </c>
      <c r="G246" s="3" t="s">
        <v>22</v>
      </c>
      <c r="H246">
        <v>220000</v>
      </c>
      <c r="I246">
        <v>3</v>
      </c>
      <c r="J246" s="3" t="s">
        <v>28</v>
      </c>
      <c r="K246">
        <v>176000</v>
      </c>
      <c r="L246">
        <v>660000</v>
      </c>
      <c r="M246">
        <v>528000</v>
      </c>
      <c r="N246">
        <v>132000</v>
      </c>
      <c r="O246" s="3" t="s">
        <v>347</v>
      </c>
      <c r="P246" s="3" t="s">
        <v>102</v>
      </c>
      <c r="Q246" s="3" t="s">
        <v>103</v>
      </c>
      <c r="R246" s="3" t="s">
        <v>103</v>
      </c>
    </row>
    <row r="247" spans="1:18">
      <c r="A247" s="19">
        <v>45921</v>
      </c>
      <c r="B247" s="3" t="s">
        <v>18</v>
      </c>
      <c r="C247" s="3" t="s">
        <v>26</v>
      </c>
      <c r="D247" s="3" t="s">
        <v>23</v>
      </c>
      <c r="E247" s="3" t="s">
        <v>20</v>
      </c>
      <c r="F247" s="3" t="s">
        <v>15</v>
      </c>
      <c r="G247" s="3" t="s">
        <v>16</v>
      </c>
      <c r="H247">
        <v>85000</v>
      </c>
      <c r="I247">
        <v>6</v>
      </c>
      <c r="J247" s="3" t="s">
        <v>24</v>
      </c>
      <c r="K247">
        <v>68000</v>
      </c>
      <c r="L247">
        <v>510000</v>
      </c>
      <c r="M247">
        <v>408000</v>
      </c>
      <c r="N247">
        <v>102000</v>
      </c>
      <c r="O247" s="3" t="s">
        <v>348</v>
      </c>
      <c r="P247" s="3" t="s">
        <v>102</v>
      </c>
      <c r="Q247" s="3" t="s">
        <v>103</v>
      </c>
      <c r="R247" s="3" t="s">
        <v>103</v>
      </c>
    </row>
    <row r="248" spans="1:18">
      <c r="A248" s="19">
        <v>45922</v>
      </c>
      <c r="B248" s="3" t="s">
        <v>29</v>
      </c>
      <c r="C248" s="3" t="s">
        <v>32</v>
      </c>
      <c r="D248" s="3" t="s">
        <v>23</v>
      </c>
      <c r="E248" s="3" t="s">
        <v>14</v>
      </c>
      <c r="F248" s="3" t="s">
        <v>34</v>
      </c>
      <c r="G248" s="3" t="s">
        <v>16</v>
      </c>
      <c r="H248">
        <v>320000</v>
      </c>
      <c r="I248">
        <v>10</v>
      </c>
      <c r="J248" s="3" t="s">
        <v>39</v>
      </c>
      <c r="K248">
        <v>256000</v>
      </c>
      <c r="L248">
        <v>3200000</v>
      </c>
      <c r="M248">
        <v>2560000</v>
      </c>
      <c r="N248">
        <v>640000</v>
      </c>
      <c r="O248" s="3" t="s">
        <v>349</v>
      </c>
      <c r="P248" s="3" t="s">
        <v>102</v>
      </c>
      <c r="Q248" s="3" t="s">
        <v>103</v>
      </c>
      <c r="R248" s="3" t="s">
        <v>103</v>
      </c>
    </row>
    <row r="249" spans="1:18">
      <c r="A249" s="19">
        <v>45923</v>
      </c>
      <c r="B249" s="3" t="s">
        <v>18</v>
      </c>
      <c r="C249" s="3" t="s">
        <v>12</v>
      </c>
      <c r="D249" s="3" t="s">
        <v>23</v>
      </c>
      <c r="E249" s="3" t="s">
        <v>14</v>
      </c>
      <c r="F249" s="3" t="s">
        <v>30</v>
      </c>
      <c r="G249" s="3" t="s">
        <v>31</v>
      </c>
      <c r="H249">
        <v>300000</v>
      </c>
      <c r="I249">
        <v>2</v>
      </c>
      <c r="J249" s="3" t="s">
        <v>24</v>
      </c>
      <c r="K249">
        <v>240000</v>
      </c>
      <c r="L249">
        <v>600000</v>
      </c>
      <c r="M249">
        <v>480000</v>
      </c>
      <c r="N249">
        <v>120000</v>
      </c>
      <c r="O249" s="3" t="s">
        <v>350</v>
      </c>
      <c r="P249" s="3" t="s">
        <v>102</v>
      </c>
      <c r="Q249" s="3" t="s">
        <v>103</v>
      </c>
      <c r="R249" s="3" t="s">
        <v>103</v>
      </c>
    </row>
    <row r="250" spans="1:18">
      <c r="A250" s="19">
        <v>45924</v>
      </c>
      <c r="B250" s="3" t="s">
        <v>25</v>
      </c>
      <c r="C250" s="3" t="s">
        <v>12</v>
      </c>
      <c r="D250" s="3" t="s">
        <v>23</v>
      </c>
      <c r="E250" s="3" t="s">
        <v>20</v>
      </c>
      <c r="F250" s="3" t="s">
        <v>21</v>
      </c>
      <c r="G250" s="3" t="s">
        <v>22</v>
      </c>
      <c r="H250">
        <v>30000</v>
      </c>
      <c r="I250">
        <v>6</v>
      </c>
      <c r="J250" s="3" t="s">
        <v>39</v>
      </c>
      <c r="K250">
        <v>24000</v>
      </c>
      <c r="L250">
        <v>180000</v>
      </c>
      <c r="M250">
        <v>144000</v>
      </c>
      <c r="N250">
        <v>36000</v>
      </c>
      <c r="O250" s="3" t="s">
        <v>351</v>
      </c>
      <c r="P250" s="3" t="s">
        <v>102</v>
      </c>
      <c r="Q250" s="3" t="s">
        <v>103</v>
      </c>
      <c r="R250" s="3" t="s">
        <v>103</v>
      </c>
    </row>
    <row r="251" spans="1:18">
      <c r="A251" s="19">
        <v>45925</v>
      </c>
      <c r="B251" s="3" t="s">
        <v>25</v>
      </c>
      <c r="C251" s="3" t="s">
        <v>12</v>
      </c>
      <c r="D251" s="3" t="s">
        <v>23</v>
      </c>
      <c r="E251" s="3" t="s">
        <v>20</v>
      </c>
      <c r="F251" s="3" t="s">
        <v>27</v>
      </c>
      <c r="G251" s="3" t="s">
        <v>22</v>
      </c>
      <c r="H251">
        <v>60000</v>
      </c>
      <c r="I251">
        <v>2</v>
      </c>
      <c r="J251" s="3" t="s">
        <v>28</v>
      </c>
      <c r="K251">
        <v>48000</v>
      </c>
      <c r="L251">
        <v>120000</v>
      </c>
      <c r="M251">
        <v>96000</v>
      </c>
      <c r="N251">
        <v>24000</v>
      </c>
      <c r="O251" s="3" t="s">
        <v>352</v>
      </c>
      <c r="P251" s="3" t="s">
        <v>102</v>
      </c>
      <c r="Q251" s="3" t="s">
        <v>103</v>
      </c>
      <c r="R251" s="3" t="s">
        <v>103</v>
      </c>
    </row>
    <row r="252" spans="1:18">
      <c r="A252" s="19">
        <v>45926</v>
      </c>
      <c r="B252" s="3" t="s">
        <v>29</v>
      </c>
      <c r="C252" s="3" t="s">
        <v>26</v>
      </c>
      <c r="D252" s="3" t="s">
        <v>13</v>
      </c>
      <c r="E252" s="3" t="s">
        <v>14</v>
      </c>
      <c r="F252" s="3" t="s">
        <v>41</v>
      </c>
      <c r="G252" s="3" t="s">
        <v>22</v>
      </c>
      <c r="H252">
        <v>220000</v>
      </c>
      <c r="I252">
        <v>5</v>
      </c>
      <c r="J252" s="3" t="s">
        <v>17</v>
      </c>
      <c r="K252">
        <v>176000</v>
      </c>
      <c r="L252">
        <v>1100000</v>
      </c>
      <c r="M252">
        <v>880000</v>
      </c>
      <c r="N252">
        <v>220000</v>
      </c>
      <c r="O252" s="3" t="s">
        <v>353</v>
      </c>
      <c r="P252" s="3" t="s">
        <v>102</v>
      </c>
      <c r="Q252" s="3" t="s">
        <v>103</v>
      </c>
      <c r="R252" s="3" t="s">
        <v>103</v>
      </c>
    </row>
    <row r="253" spans="1:18">
      <c r="A253" s="19">
        <v>45927</v>
      </c>
      <c r="B253" s="3" t="s">
        <v>11</v>
      </c>
      <c r="C253" s="3" t="s">
        <v>32</v>
      </c>
      <c r="D253" s="3" t="s">
        <v>13</v>
      </c>
      <c r="E253" s="3" t="s">
        <v>20</v>
      </c>
      <c r="F253" s="3" t="s">
        <v>33</v>
      </c>
      <c r="G253" s="3" t="s">
        <v>22</v>
      </c>
      <c r="H253">
        <v>180000</v>
      </c>
      <c r="I253">
        <v>6</v>
      </c>
      <c r="J253" s="3" t="s">
        <v>39</v>
      </c>
      <c r="K253">
        <v>144000</v>
      </c>
      <c r="L253">
        <v>1080000</v>
      </c>
      <c r="M253">
        <v>864000</v>
      </c>
      <c r="N253">
        <v>216000</v>
      </c>
      <c r="O253" s="3" t="s">
        <v>354</v>
      </c>
      <c r="P253" s="3" t="s">
        <v>102</v>
      </c>
      <c r="Q253" s="3" t="s">
        <v>103</v>
      </c>
      <c r="R253" s="3" t="s">
        <v>103</v>
      </c>
    </row>
    <row r="254" spans="1:18">
      <c r="A254" s="19">
        <v>45928</v>
      </c>
      <c r="B254" s="3" t="s">
        <v>29</v>
      </c>
      <c r="C254" s="3" t="s">
        <v>12</v>
      </c>
      <c r="D254" s="3" t="s">
        <v>13</v>
      </c>
      <c r="E254" s="3" t="s">
        <v>14</v>
      </c>
      <c r="F254" s="3" t="s">
        <v>40</v>
      </c>
      <c r="G254" s="3" t="s">
        <v>31</v>
      </c>
      <c r="H254">
        <v>250000</v>
      </c>
      <c r="I254">
        <v>4</v>
      </c>
      <c r="J254" s="3" t="s">
        <v>35</v>
      </c>
      <c r="K254">
        <v>200000</v>
      </c>
      <c r="L254">
        <v>1000000</v>
      </c>
      <c r="M254">
        <v>800000</v>
      </c>
      <c r="N254">
        <v>200000</v>
      </c>
      <c r="O254" s="3" t="s">
        <v>355</v>
      </c>
      <c r="P254" s="3" t="s">
        <v>102</v>
      </c>
      <c r="Q254" s="3" t="s">
        <v>103</v>
      </c>
      <c r="R254" s="3" t="s">
        <v>103</v>
      </c>
    </row>
    <row r="255" spans="1:18">
      <c r="A255" s="19">
        <v>45929</v>
      </c>
      <c r="B255" s="3" t="s">
        <v>29</v>
      </c>
      <c r="C255" s="3" t="s">
        <v>26</v>
      </c>
      <c r="D255" s="3" t="s">
        <v>23</v>
      </c>
      <c r="E255" s="3" t="s">
        <v>14</v>
      </c>
      <c r="F255" s="3" t="s">
        <v>15</v>
      </c>
      <c r="G255" s="3" t="s">
        <v>16</v>
      </c>
      <c r="H255">
        <v>85000</v>
      </c>
      <c r="I255">
        <v>10</v>
      </c>
      <c r="J255" s="3" t="s">
        <v>24</v>
      </c>
      <c r="K255">
        <v>68000</v>
      </c>
      <c r="L255">
        <v>850000</v>
      </c>
      <c r="M255">
        <v>680000</v>
      </c>
      <c r="N255">
        <v>170000</v>
      </c>
      <c r="O255" s="3" t="s">
        <v>356</v>
      </c>
      <c r="P255" s="3" t="s">
        <v>102</v>
      </c>
      <c r="Q255" s="3" t="s">
        <v>103</v>
      </c>
      <c r="R255" s="3" t="s">
        <v>103</v>
      </c>
    </row>
    <row r="256" spans="1:18">
      <c r="A256" s="19">
        <v>45930</v>
      </c>
      <c r="B256" s="3" t="s">
        <v>11</v>
      </c>
      <c r="C256" s="3" t="s">
        <v>19</v>
      </c>
      <c r="D256" s="3" t="s">
        <v>13</v>
      </c>
      <c r="E256" s="3" t="s">
        <v>14</v>
      </c>
      <c r="F256" s="3" t="s">
        <v>30</v>
      </c>
      <c r="G256" s="3" t="s">
        <v>31</v>
      </c>
      <c r="H256">
        <v>300000</v>
      </c>
      <c r="I256">
        <v>6</v>
      </c>
      <c r="J256" s="3" t="s">
        <v>24</v>
      </c>
      <c r="K256">
        <v>240000</v>
      </c>
      <c r="L256">
        <v>1800000</v>
      </c>
      <c r="M256">
        <v>1440000</v>
      </c>
      <c r="N256">
        <v>360000</v>
      </c>
      <c r="O256" s="3" t="s">
        <v>357</v>
      </c>
      <c r="P256" s="3" t="s">
        <v>102</v>
      </c>
      <c r="Q256" s="3" t="s">
        <v>103</v>
      </c>
      <c r="R256" s="3" t="s">
        <v>103</v>
      </c>
    </row>
    <row r="257" spans="1:18">
      <c r="A257" s="19">
        <v>45931</v>
      </c>
      <c r="B257" s="3" t="s">
        <v>29</v>
      </c>
      <c r="C257" s="3" t="s">
        <v>19</v>
      </c>
      <c r="D257" s="3" t="s">
        <v>23</v>
      </c>
      <c r="E257" s="3" t="s">
        <v>20</v>
      </c>
      <c r="F257" s="3" t="s">
        <v>41</v>
      </c>
      <c r="G257" s="3" t="s">
        <v>22</v>
      </c>
      <c r="H257">
        <v>220000</v>
      </c>
      <c r="I257">
        <v>3</v>
      </c>
      <c r="J257" s="3" t="s">
        <v>17</v>
      </c>
      <c r="K257">
        <v>176000</v>
      </c>
      <c r="L257">
        <v>660000</v>
      </c>
      <c r="M257">
        <v>528000</v>
      </c>
      <c r="N257">
        <v>132000</v>
      </c>
      <c r="O257" s="3" t="s">
        <v>358</v>
      </c>
      <c r="P257" s="3" t="s">
        <v>102</v>
      </c>
      <c r="Q257" s="3" t="s">
        <v>103</v>
      </c>
      <c r="R257" s="3" t="s">
        <v>103</v>
      </c>
    </row>
    <row r="258" spans="1:18">
      <c r="A258" s="19">
        <v>45932</v>
      </c>
      <c r="B258" s="3" t="s">
        <v>29</v>
      </c>
      <c r="C258" s="3" t="s">
        <v>26</v>
      </c>
      <c r="D258" s="3" t="s">
        <v>13</v>
      </c>
      <c r="E258" s="3" t="s">
        <v>20</v>
      </c>
      <c r="F258" s="3" t="s">
        <v>21</v>
      </c>
      <c r="G258" s="3" t="s">
        <v>22</v>
      </c>
      <c r="H258">
        <v>30000</v>
      </c>
      <c r="I258">
        <v>8</v>
      </c>
      <c r="J258" s="3" t="s">
        <v>39</v>
      </c>
      <c r="K258">
        <v>24000</v>
      </c>
      <c r="L258">
        <v>240000</v>
      </c>
      <c r="M258">
        <v>192000</v>
      </c>
      <c r="N258">
        <v>48000</v>
      </c>
      <c r="O258" s="3" t="s">
        <v>359</v>
      </c>
      <c r="P258" s="3" t="s">
        <v>102</v>
      </c>
      <c r="Q258" s="3" t="s">
        <v>103</v>
      </c>
      <c r="R258" s="3" t="s">
        <v>103</v>
      </c>
    </row>
    <row r="259" spans="1:18">
      <c r="A259" s="19">
        <v>45933</v>
      </c>
      <c r="B259" s="3" t="s">
        <v>29</v>
      </c>
      <c r="C259" s="3" t="s">
        <v>12</v>
      </c>
      <c r="D259" s="3" t="s">
        <v>23</v>
      </c>
      <c r="E259" s="3" t="s">
        <v>14</v>
      </c>
      <c r="F259" s="3" t="s">
        <v>15</v>
      </c>
      <c r="G259" s="3" t="s">
        <v>16</v>
      </c>
      <c r="H259">
        <v>85000</v>
      </c>
      <c r="I259">
        <v>2</v>
      </c>
      <c r="J259" s="3" t="s">
        <v>17</v>
      </c>
      <c r="K259">
        <v>68000</v>
      </c>
      <c r="L259">
        <v>170000</v>
      </c>
      <c r="M259">
        <v>136000</v>
      </c>
      <c r="N259">
        <v>34000</v>
      </c>
      <c r="O259" s="3" t="s">
        <v>360</v>
      </c>
      <c r="P259" s="3" t="s">
        <v>102</v>
      </c>
      <c r="Q259" s="3" t="s">
        <v>103</v>
      </c>
      <c r="R259" s="3" t="s">
        <v>103</v>
      </c>
    </row>
    <row r="260" spans="1:18">
      <c r="A260" s="19">
        <v>45934</v>
      </c>
      <c r="B260" s="3" t="s">
        <v>25</v>
      </c>
      <c r="C260" s="3" t="s">
        <v>32</v>
      </c>
      <c r="D260" s="3" t="s">
        <v>13</v>
      </c>
      <c r="E260" s="3" t="s">
        <v>20</v>
      </c>
      <c r="F260" s="3" t="s">
        <v>36</v>
      </c>
      <c r="G260" s="3" t="s">
        <v>31</v>
      </c>
      <c r="H260">
        <v>150000</v>
      </c>
      <c r="I260">
        <v>3</v>
      </c>
      <c r="J260" s="3" t="s">
        <v>35</v>
      </c>
      <c r="K260">
        <v>120000</v>
      </c>
      <c r="L260">
        <v>450000</v>
      </c>
      <c r="M260">
        <v>360000</v>
      </c>
      <c r="N260">
        <v>90000</v>
      </c>
      <c r="O260" s="3" t="s">
        <v>361</v>
      </c>
      <c r="P260" s="3" t="s">
        <v>102</v>
      </c>
      <c r="Q260" s="3" t="s">
        <v>103</v>
      </c>
      <c r="R260" s="3" t="s">
        <v>103</v>
      </c>
    </row>
    <row r="261" spans="1:18">
      <c r="A261" s="19">
        <v>45935</v>
      </c>
      <c r="B261" s="3" t="s">
        <v>18</v>
      </c>
      <c r="C261" s="3" t="s">
        <v>32</v>
      </c>
      <c r="D261" s="3" t="s">
        <v>13</v>
      </c>
      <c r="E261" s="3" t="s">
        <v>20</v>
      </c>
      <c r="F261" s="3" t="s">
        <v>15</v>
      </c>
      <c r="G261" s="3" t="s">
        <v>16</v>
      </c>
      <c r="H261">
        <v>85000</v>
      </c>
      <c r="I261">
        <v>1</v>
      </c>
      <c r="J261" s="3" t="s">
        <v>37</v>
      </c>
      <c r="K261">
        <v>68000</v>
      </c>
      <c r="L261">
        <v>85000</v>
      </c>
      <c r="M261">
        <v>68000</v>
      </c>
      <c r="N261">
        <v>17000</v>
      </c>
      <c r="O261" s="3" t="s">
        <v>362</v>
      </c>
      <c r="P261" s="3" t="s">
        <v>102</v>
      </c>
      <c r="Q261" s="3" t="s">
        <v>103</v>
      </c>
      <c r="R261" s="3" t="s">
        <v>103</v>
      </c>
    </row>
    <row r="262" spans="1:18">
      <c r="A262" s="19">
        <v>45936</v>
      </c>
      <c r="B262" s="3" t="s">
        <v>25</v>
      </c>
      <c r="C262" s="3" t="s">
        <v>12</v>
      </c>
      <c r="D262" s="3" t="s">
        <v>23</v>
      </c>
      <c r="E262" s="3" t="s">
        <v>20</v>
      </c>
      <c r="F262" s="3" t="s">
        <v>40</v>
      </c>
      <c r="G262" s="3" t="s">
        <v>31</v>
      </c>
      <c r="H262">
        <v>250000</v>
      </c>
      <c r="I262">
        <v>3</v>
      </c>
      <c r="J262" s="3" t="s">
        <v>39</v>
      </c>
      <c r="K262">
        <v>200000</v>
      </c>
      <c r="L262">
        <v>750000</v>
      </c>
      <c r="M262">
        <v>600000</v>
      </c>
      <c r="N262">
        <v>150000</v>
      </c>
      <c r="O262" s="3" t="s">
        <v>363</v>
      </c>
      <c r="P262" s="3" t="s">
        <v>102</v>
      </c>
      <c r="Q262" s="3" t="s">
        <v>103</v>
      </c>
      <c r="R262" s="3" t="s">
        <v>103</v>
      </c>
    </row>
    <row r="263" spans="1:18">
      <c r="A263" s="19">
        <v>45937</v>
      </c>
      <c r="B263" s="3" t="s">
        <v>18</v>
      </c>
      <c r="C263" s="3" t="s">
        <v>12</v>
      </c>
      <c r="D263" s="3" t="s">
        <v>23</v>
      </c>
      <c r="E263" s="3" t="s">
        <v>20</v>
      </c>
      <c r="F263" s="3" t="s">
        <v>38</v>
      </c>
      <c r="G263" s="3" t="s">
        <v>31</v>
      </c>
      <c r="H263">
        <v>420000</v>
      </c>
      <c r="I263">
        <v>2</v>
      </c>
      <c r="J263" s="3" t="s">
        <v>17</v>
      </c>
      <c r="K263">
        <v>336000</v>
      </c>
      <c r="L263">
        <v>840000</v>
      </c>
      <c r="M263">
        <v>672000</v>
      </c>
      <c r="N263">
        <v>168000</v>
      </c>
      <c r="O263" s="3" t="s">
        <v>364</v>
      </c>
      <c r="P263" s="3" t="s">
        <v>102</v>
      </c>
      <c r="Q263" s="3" t="s">
        <v>103</v>
      </c>
      <c r="R263" s="3" t="s">
        <v>103</v>
      </c>
    </row>
    <row r="264" spans="1:18">
      <c r="A264" s="19">
        <v>45938</v>
      </c>
      <c r="B264" s="3" t="s">
        <v>11</v>
      </c>
      <c r="C264" s="3" t="s">
        <v>26</v>
      </c>
      <c r="D264" s="3" t="s">
        <v>13</v>
      </c>
      <c r="E264" s="3" t="s">
        <v>14</v>
      </c>
      <c r="F264" s="3" t="s">
        <v>36</v>
      </c>
      <c r="G264" s="3" t="s">
        <v>31</v>
      </c>
      <c r="H264">
        <v>150000</v>
      </c>
      <c r="I264">
        <v>9</v>
      </c>
      <c r="J264" s="3" t="s">
        <v>28</v>
      </c>
      <c r="K264">
        <v>120000</v>
      </c>
      <c r="L264">
        <v>1350000</v>
      </c>
      <c r="M264">
        <v>1080000</v>
      </c>
      <c r="N264">
        <v>270000</v>
      </c>
      <c r="O264" s="3" t="s">
        <v>365</v>
      </c>
      <c r="P264" s="3" t="s">
        <v>102</v>
      </c>
      <c r="Q264" s="3" t="s">
        <v>103</v>
      </c>
      <c r="R264" s="3" t="s">
        <v>103</v>
      </c>
    </row>
    <row r="265" spans="1:18">
      <c r="A265" s="19">
        <v>45939</v>
      </c>
      <c r="B265" s="3" t="s">
        <v>29</v>
      </c>
      <c r="C265" s="3" t="s">
        <v>32</v>
      </c>
      <c r="D265" s="3" t="s">
        <v>13</v>
      </c>
      <c r="E265" s="3" t="s">
        <v>20</v>
      </c>
      <c r="F265" s="3" t="s">
        <v>21</v>
      </c>
      <c r="G265" s="3" t="s">
        <v>22</v>
      </c>
      <c r="H265">
        <v>30000</v>
      </c>
      <c r="I265">
        <v>9</v>
      </c>
      <c r="J265" s="3" t="s">
        <v>24</v>
      </c>
      <c r="K265">
        <v>24000</v>
      </c>
      <c r="L265">
        <v>270000</v>
      </c>
      <c r="M265">
        <v>216000</v>
      </c>
      <c r="N265">
        <v>54000</v>
      </c>
      <c r="O265" s="3" t="s">
        <v>366</v>
      </c>
      <c r="P265" s="3" t="s">
        <v>102</v>
      </c>
      <c r="Q265" s="3" t="s">
        <v>103</v>
      </c>
      <c r="R265" s="3" t="s">
        <v>103</v>
      </c>
    </row>
    <row r="266" spans="1:18">
      <c r="A266" s="19">
        <v>45940</v>
      </c>
      <c r="B266" s="3" t="s">
        <v>18</v>
      </c>
      <c r="C266" s="3" t="s">
        <v>19</v>
      </c>
      <c r="D266" s="3" t="s">
        <v>23</v>
      </c>
      <c r="E266" s="3" t="s">
        <v>20</v>
      </c>
      <c r="F266" s="3" t="s">
        <v>41</v>
      </c>
      <c r="G266" s="3" t="s">
        <v>22</v>
      </c>
      <c r="H266">
        <v>220000</v>
      </c>
      <c r="I266">
        <v>6</v>
      </c>
      <c r="J266" s="3" t="s">
        <v>39</v>
      </c>
      <c r="K266">
        <v>176000</v>
      </c>
      <c r="L266">
        <v>1320000</v>
      </c>
      <c r="M266">
        <v>1056000</v>
      </c>
      <c r="N266">
        <v>264000</v>
      </c>
      <c r="O266" s="3" t="s">
        <v>367</v>
      </c>
      <c r="P266" s="3" t="s">
        <v>102</v>
      </c>
      <c r="Q266" s="3" t="s">
        <v>103</v>
      </c>
      <c r="R266" s="3" t="s">
        <v>103</v>
      </c>
    </row>
    <row r="267" spans="1:18">
      <c r="A267" s="19">
        <v>45941</v>
      </c>
      <c r="B267" s="3" t="s">
        <v>29</v>
      </c>
      <c r="C267" s="3" t="s">
        <v>26</v>
      </c>
      <c r="D267" s="3" t="s">
        <v>23</v>
      </c>
      <c r="E267" s="3" t="s">
        <v>20</v>
      </c>
      <c r="F267" s="3" t="s">
        <v>21</v>
      </c>
      <c r="G267" s="3" t="s">
        <v>22</v>
      </c>
      <c r="H267">
        <v>30000</v>
      </c>
      <c r="I267">
        <v>3</v>
      </c>
      <c r="J267" s="3" t="s">
        <v>39</v>
      </c>
      <c r="K267">
        <v>24000</v>
      </c>
      <c r="L267">
        <v>90000</v>
      </c>
      <c r="M267">
        <v>72000</v>
      </c>
      <c r="N267">
        <v>18000</v>
      </c>
      <c r="O267" s="3" t="s">
        <v>368</v>
      </c>
      <c r="P267" s="3" t="s">
        <v>102</v>
      </c>
      <c r="Q267" s="3" t="s">
        <v>103</v>
      </c>
      <c r="R267" s="3" t="s">
        <v>103</v>
      </c>
    </row>
    <row r="268" spans="1:18">
      <c r="A268" s="19">
        <v>45942</v>
      </c>
      <c r="B268" s="3" t="s">
        <v>11</v>
      </c>
      <c r="C268" s="3" t="s">
        <v>26</v>
      </c>
      <c r="D268" s="3" t="s">
        <v>13</v>
      </c>
      <c r="E268" s="3" t="s">
        <v>14</v>
      </c>
      <c r="F268" s="3" t="s">
        <v>38</v>
      </c>
      <c r="G268" s="3" t="s">
        <v>31</v>
      </c>
      <c r="H268">
        <v>420000</v>
      </c>
      <c r="I268">
        <v>10</v>
      </c>
      <c r="J268" s="3" t="s">
        <v>24</v>
      </c>
      <c r="K268">
        <v>336000</v>
      </c>
      <c r="L268">
        <v>4200000</v>
      </c>
      <c r="M268">
        <v>3360000</v>
      </c>
      <c r="N268">
        <v>840000</v>
      </c>
      <c r="O268" s="3" t="s">
        <v>369</v>
      </c>
      <c r="P268" s="3" t="s">
        <v>102</v>
      </c>
      <c r="Q268" s="3" t="s">
        <v>103</v>
      </c>
      <c r="R268" s="3" t="s">
        <v>103</v>
      </c>
    </row>
    <row r="269" spans="1:18">
      <c r="A269" s="19">
        <v>45943</v>
      </c>
      <c r="B269" s="3" t="s">
        <v>29</v>
      </c>
      <c r="C269" s="3" t="s">
        <v>32</v>
      </c>
      <c r="D269" s="3" t="s">
        <v>23</v>
      </c>
      <c r="E269" s="3" t="s">
        <v>14</v>
      </c>
      <c r="F269" s="3" t="s">
        <v>21</v>
      </c>
      <c r="G269" s="3" t="s">
        <v>22</v>
      </c>
      <c r="H269">
        <v>30000</v>
      </c>
      <c r="I269">
        <v>2</v>
      </c>
      <c r="J269" s="3" t="s">
        <v>37</v>
      </c>
      <c r="K269">
        <v>24000</v>
      </c>
      <c r="L269">
        <v>60000</v>
      </c>
      <c r="M269">
        <v>48000</v>
      </c>
      <c r="N269">
        <v>12000</v>
      </c>
      <c r="O269" s="3" t="s">
        <v>370</v>
      </c>
      <c r="P269" s="3" t="s">
        <v>102</v>
      </c>
      <c r="Q269" s="3" t="s">
        <v>103</v>
      </c>
      <c r="R269" s="3" t="s">
        <v>103</v>
      </c>
    </row>
    <row r="270" spans="1:18">
      <c r="A270" s="19">
        <v>45944</v>
      </c>
      <c r="B270" s="3" t="s">
        <v>18</v>
      </c>
      <c r="C270" s="3" t="s">
        <v>12</v>
      </c>
      <c r="D270" s="3" t="s">
        <v>23</v>
      </c>
      <c r="E270" s="3" t="s">
        <v>20</v>
      </c>
      <c r="F270" s="3" t="s">
        <v>36</v>
      </c>
      <c r="G270" s="3" t="s">
        <v>31</v>
      </c>
      <c r="H270">
        <v>150000</v>
      </c>
      <c r="I270">
        <v>5</v>
      </c>
      <c r="J270" s="3" t="s">
        <v>24</v>
      </c>
      <c r="K270">
        <v>120000</v>
      </c>
      <c r="L270">
        <v>750000</v>
      </c>
      <c r="M270">
        <v>600000</v>
      </c>
      <c r="N270">
        <v>150000</v>
      </c>
      <c r="O270" s="3" t="s">
        <v>371</v>
      </c>
      <c r="P270" s="3" t="s">
        <v>102</v>
      </c>
      <c r="Q270" s="3" t="s">
        <v>103</v>
      </c>
      <c r="R270" s="3" t="s">
        <v>103</v>
      </c>
    </row>
    <row r="271" spans="1:18">
      <c r="A271" s="19">
        <v>45945</v>
      </c>
      <c r="B271" s="3" t="s">
        <v>25</v>
      </c>
      <c r="C271" s="3" t="s">
        <v>32</v>
      </c>
      <c r="D271" s="3" t="s">
        <v>13</v>
      </c>
      <c r="E271" s="3" t="s">
        <v>20</v>
      </c>
      <c r="F271" s="3" t="s">
        <v>36</v>
      </c>
      <c r="G271" s="3" t="s">
        <v>31</v>
      </c>
      <c r="H271">
        <v>150000</v>
      </c>
      <c r="I271">
        <v>10</v>
      </c>
      <c r="J271" s="3" t="s">
        <v>37</v>
      </c>
      <c r="K271">
        <v>120000</v>
      </c>
      <c r="L271">
        <v>1500000</v>
      </c>
      <c r="M271">
        <v>1200000</v>
      </c>
      <c r="N271">
        <v>300000</v>
      </c>
      <c r="O271" s="3" t="s">
        <v>372</v>
      </c>
      <c r="P271" s="3" t="s">
        <v>102</v>
      </c>
      <c r="Q271" s="3" t="s">
        <v>103</v>
      </c>
      <c r="R271" s="3" t="s">
        <v>103</v>
      </c>
    </row>
    <row r="272" spans="1:18">
      <c r="A272" s="19">
        <v>45946</v>
      </c>
      <c r="B272" s="3" t="s">
        <v>11</v>
      </c>
      <c r="C272" s="3" t="s">
        <v>32</v>
      </c>
      <c r="D272" s="3" t="s">
        <v>23</v>
      </c>
      <c r="E272" s="3" t="s">
        <v>14</v>
      </c>
      <c r="F272" s="3" t="s">
        <v>33</v>
      </c>
      <c r="G272" s="3" t="s">
        <v>22</v>
      </c>
      <c r="H272">
        <v>180000</v>
      </c>
      <c r="I272">
        <v>3</v>
      </c>
      <c r="J272" s="3" t="s">
        <v>24</v>
      </c>
      <c r="K272">
        <v>144000</v>
      </c>
      <c r="L272">
        <v>540000</v>
      </c>
      <c r="M272">
        <v>432000</v>
      </c>
      <c r="N272">
        <v>108000</v>
      </c>
      <c r="O272" s="3" t="s">
        <v>373</v>
      </c>
      <c r="P272" s="3" t="s">
        <v>102</v>
      </c>
      <c r="Q272" s="3" t="s">
        <v>103</v>
      </c>
      <c r="R272" s="3" t="s">
        <v>103</v>
      </c>
    </row>
    <row r="273" spans="1:18">
      <c r="A273" s="19">
        <v>45947</v>
      </c>
      <c r="B273" s="3" t="s">
        <v>18</v>
      </c>
      <c r="C273" s="3" t="s">
        <v>26</v>
      </c>
      <c r="D273" s="3" t="s">
        <v>23</v>
      </c>
      <c r="E273" s="3" t="s">
        <v>14</v>
      </c>
      <c r="F273" s="3" t="s">
        <v>21</v>
      </c>
      <c r="G273" s="3" t="s">
        <v>22</v>
      </c>
      <c r="H273">
        <v>30000</v>
      </c>
      <c r="I273">
        <v>10</v>
      </c>
      <c r="J273" s="3" t="s">
        <v>28</v>
      </c>
      <c r="K273">
        <v>24000</v>
      </c>
      <c r="L273">
        <v>300000</v>
      </c>
      <c r="M273">
        <v>240000</v>
      </c>
      <c r="N273">
        <v>60000</v>
      </c>
      <c r="O273" s="3" t="s">
        <v>374</v>
      </c>
      <c r="P273" s="3" t="s">
        <v>102</v>
      </c>
      <c r="Q273" s="3" t="s">
        <v>103</v>
      </c>
      <c r="R273" s="3" t="s">
        <v>103</v>
      </c>
    </row>
    <row r="274" spans="1:18">
      <c r="A274" s="19">
        <v>45948</v>
      </c>
      <c r="B274" s="3" t="s">
        <v>18</v>
      </c>
      <c r="C274" s="3" t="s">
        <v>12</v>
      </c>
      <c r="D274" s="3" t="s">
        <v>13</v>
      </c>
      <c r="E274" s="3" t="s">
        <v>14</v>
      </c>
      <c r="F274" s="3" t="s">
        <v>38</v>
      </c>
      <c r="G274" s="3" t="s">
        <v>31</v>
      </c>
      <c r="H274">
        <v>420000</v>
      </c>
      <c r="I274">
        <v>2</v>
      </c>
      <c r="J274" s="3" t="s">
        <v>28</v>
      </c>
      <c r="K274">
        <v>336000</v>
      </c>
      <c r="L274">
        <v>840000</v>
      </c>
      <c r="M274">
        <v>672000</v>
      </c>
      <c r="N274">
        <v>168000</v>
      </c>
      <c r="O274" s="3" t="s">
        <v>375</v>
      </c>
      <c r="P274" s="3" t="s">
        <v>102</v>
      </c>
      <c r="Q274" s="3" t="s">
        <v>103</v>
      </c>
      <c r="R274" s="3" t="s">
        <v>103</v>
      </c>
    </row>
    <row r="275" spans="1:18">
      <c r="A275" s="19">
        <v>45949</v>
      </c>
      <c r="B275" s="3" t="s">
        <v>25</v>
      </c>
      <c r="C275" s="3" t="s">
        <v>12</v>
      </c>
      <c r="D275" s="3" t="s">
        <v>23</v>
      </c>
      <c r="E275" s="3" t="s">
        <v>14</v>
      </c>
      <c r="F275" s="3" t="s">
        <v>34</v>
      </c>
      <c r="G275" s="3" t="s">
        <v>16</v>
      </c>
      <c r="H275">
        <v>320000</v>
      </c>
      <c r="I275">
        <v>1</v>
      </c>
      <c r="J275" s="3" t="s">
        <v>35</v>
      </c>
      <c r="K275">
        <v>256000</v>
      </c>
      <c r="L275">
        <v>320000</v>
      </c>
      <c r="M275">
        <v>256000</v>
      </c>
      <c r="N275">
        <v>64000</v>
      </c>
      <c r="O275" s="3" t="s">
        <v>376</v>
      </c>
      <c r="P275" s="3" t="s">
        <v>102</v>
      </c>
      <c r="Q275" s="3" t="s">
        <v>103</v>
      </c>
      <c r="R275" s="3" t="s">
        <v>103</v>
      </c>
    </row>
    <row r="276" spans="1:18">
      <c r="A276" s="19">
        <v>45950</v>
      </c>
      <c r="B276" s="3" t="s">
        <v>29</v>
      </c>
      <c r="C276" s="3" t="s">
        <v>19</v>
      </c>
      <c r="D276" s="3" t="s">
        <v>13</v>
      </c>
      <c r="E276" s="3" t="s">
        <v>14</v>
      </c>
      <c r="F276" s="3" t="s">
        <v>36</v>
      </c>
      <c r="G276" s="3" t="s">
        <v>31</v>
      </c>
      <c r="H276">
        <v>150000</v>
      </c>
      <c r="I276">
        <v>2</v>
      </c>
      <c r="J276" s="3" t="s">
        <v>28</v>
      </c>
      <c r="K276">
        <v>120000</v>
      </c>
      <c r="L276">
        <v>300000</v>
      </c>
      <c r="M276">
        <v>240000</v>
      </c>
      <c r="N276">
        <v>60000</v>
      </c>
      <c r="O276" s="3" t="s">
        <v>377</v>
      </c>
      <c r="P276" s="3" t="s">
        <v>102</v>
      </c>
      <c r="Q276" s="3" t="s">
        <v>103</v>
      </c>
      <c r="R276" s="3" t="s">
        <v>103</v>
      </c>
    </row>
    <row r="277" spans="1:18">
      <c r="A277" s="19">
        <v>45951</v>
      </c>
      <c r="B277" s="3" t="s">
        <v>18</v>
      </c>
      <c r="C277" s="3" t="s">
        <v>19</v>
      </c>
      <c r="D277" s="3" t="s">
        <v>23</v>
      </c>
      <c r="E277" s="3" t="s">
        <v>20</v>
      </c>
      <c r="F277" s="3" t="s">
        <v>21</v>
      </c>
      <c r="G277" s="3" t="s">
        <v>22</v>
      </c>
      <c r="H277">
        <v>30000</v>
      </c>
      <c r="I277">
        <v>9</v>
      </c>
      <c r="J277" s="3" t="s">
        <v>39</v>
      </c>
      <c r="K277">
        <v>24000</v>
      </c>
      <c r="L277">
        <v>270000</v>
      </c>
      <c r="M277">
        <v>216000</v>
      </c>
      <c r="N277">
        <v>54000</v>
      </c>
      <c r="O277" s="3" t="s">
        <v>378</v>
      </c>
      <c r="P277" s="3" t="s">
        <v>102</v>
      </c>
      <c r="Q277" s="3" t="s">
        <v>103</v>
      </c>
      <c r="R277" s="3" t="s">
        <v>103</v>
      </c>
    </row>
    <row r="278" spans="1:18">
      <c r="A278" s="19">
        <v>45952</v>
      </c>
      <c r="B278" s="3" t="s">
        <v>11</v>
      </c>
      <c r="C278" s="3" t="s">
        <v>19</v>
      </c>
      <c r="D278" s="3" t="s">
        <v>13</v>
      </c>
      <c r="E278" s="3" t="s">
        <v>14</v>
      </c>
      <c r="F278" s="3" t="s">
        <v>15</v>
      </c>
      <c r="G278" s="3" t="s">
        <v>16</v>
      </c>
      <c r="H278">
        <v>85000</v>
      </c>
      <c r="I278">
        <v>7</v>
      </c>
      <c r="J278" s="3" t="s">
        <v>35</v>
      </c>
      <c r="K278">
        <v>68000</v>
      </c>
      <c r="L278">
        <v>595000</v>
      </c>
      <c r="M278">
        <v>476000</v>
      </c>
      <c r="N278">
        <v>119000</v>
      </c>
      <c r="O278" s="3" t="s">
        <v>379</v>
      </c>
      <c r="P278" s="3" t="s">
        <v>102</v>
      </c>
      <c r="Q278" s="3" t="s">
        <v>103</v>
      </c>
      <c r="R278" s="3" t="s">
        <v>103</v>
      </c>
    </row>
    <row r="279" spans="1:18">
      <c r="A279" s="19">
        <v>45953</v>
      </c>
      <c r="B279" s="3" t="s">
        <v>29</v>
      </c>
      <c r="C279" s="3" t="s">
        <v>12</v>
      </c>
      <c r="D279" s="3" t="s">
        <v>23</v>
      </c>
      <c r="E279" s="3" t="s">
        <v>14</v>
      </c>
      <c r="F279" s="3" t="s">
        <v>36</v>
      </c>
      <c r="G279" s="3" t="s">
        <v>31</v>
      </c>
      <c r="H279">
        <v>150000</v>
      </c>
      <c r="I279">
        <v>5</v>
      </c>
      <c r="J279" s="3" t="s">
        <v>24</v>
      </c>
      <c r="K279">
        <v>120000</v>
      </c>
      <c r="L279">
        <v>750000</v>
      </c>
      <c r="M279">
        <v>600000</v>
      </c>
      <c r="N279">
        <v>150000</v>
      </c>
      <c r="O279" s="3" t="s">
        <v>380</v>
      </c>
      <c r="P279" s="3" t="s">
        <v>102</v>
      </c>
      <c r="Q279" s="3" t="s">
        <v>103</v>
      </c>
      <c r="R279" s="3" t="s">
        <v>103</v>
      </c>
    </row>
    <row r="280" spans="1:18">
      <c r="A280" s="19">
        <v>45954</v>
      </c>
      <c r="B280" s="3" t="s">
        <v>11</v>
      </c>
      <c r="C280" s="3" t="s">
        <v>26</v>
      </c>
      <c r="D280" s="3" t="s">
        <v>13</v>
      </c>
      <c r="E280" s="3" t="s">
        <v>20</v>
      </c>
      <c r="F280" s="3" t="s">
        <v>34</v>
      </c>
      <c r="G280" s="3" t="s">
        <v>16</v>
      </c>
      <c r="H280">
        <v>320000</v>
      </c>
      <c r="I280">
        <v>9</v>
      </c>
      <c r="J280" s="3" t="s">
        <v>17</v>
      </c>
      <c r="K280">
        <v>256000</v>
      </c>
      <c r="L280">
        <v>2880000</v>
      </c>
      <c r="M280">
        <v>2304000</v>
      </c>
      <c r="N280">
        <v>576000</v>
      </c>
      <c r="O280" s="3" t="s">
        <v>381</v>
      </c>
      <c r="P280" s="3" t="s">
        <v>102</v>
      </c>
      <c r="Q280" s="3" t="s">
        <v>103</v>
      </c>
      <c r="R280" s="3" t="s">
        <v>103</v>
      </c>
    </row>
    <row r="281" spans="1:18">
      <c r="A281" s="19">
        <v>45955</v>
      </c>
      <c r="B281" s="3" t="s">
        <v>29</v>
      </c>
      <c r="C281" s="3" t="s">
        <v>19</v>
      </c>
      <c r="D281" s="3" t="s">
        <v>13</v>
      </c>
      <c r="E281" s="3" t="s">
        <v>14</v>
      </c>
      <c r="F281" s="3" t="s">
        <v>34</v>
      </c>
      <c r="G281" s="3" t="s">
        <v>16</v>
      </c>
      <c r="H281">
        <v>320000</v>
      </c>
      <c r="I281">
        <v>10</v>
      </c>
      <c r="J281" s="3" t="s">
        <v>35</v>
      </c>
      <c r="K281">
        <v>256000</v>
      </c>
      <c r="L281">
        <v>3200000</v>
      </c>
      <c r="M281">
        <v>2560000</v>
      </c>
      <c r="N281">
        <v>640000</v>
      </c>
      <c r="O281" s="3" t="s">
        <v>382</v>
      </c>
      <c r="P281" s="3" t="s">
        <v>102</v>
      </c>
      <c r="Q281" s="3" t="s">
        <v>103</v>
      </c>
      <c r="R281" s="3" t="s">
        <v>103</v>
      </c>
    </row>
    <row r="282" spans="1:18">
      <c r="A282" s="19">
        <v>45956</v>
      </c>
      <c r="B282" s="3" t="s">
        <v>29</v>
      </c>
      <c r="C282" s="3" t="s">
        <v>26</v>
      </c>
      <c r="D282" s="3" t="s">
        <v>23</v>
      </c>
      <c r="E282" s="3" t="s">
        <v>14</v>
      </c>
      <c r="F282" s="3" t="s">
        <v>15</v>
      </c>
      <c r="G282" s="3" t="s">
        <v>16</v>
      </c>
      <c r="H282">
        <v>85000</v>
      </c>
      <c r="I282">
        <v>7</v>
      </c>
      <c r="J282" s="3" t="s">
        <v>35</v>
      </c>
      <c r="K282">
        <v>68000</v>
      </c>
      <c r="L282">
        <v>595000</v>
      </c>
      <c r="M282">
        <v>476000</v>
      </c>
      <c r="N282">
        <v>119000</v>
      </c>
      <c r="O282" s="3" t="s">
        <v>383</v>
      </c>
      <c r="P282" s="3" t="s">
        <v>102</v>
      </c>
      <c r="Q282" s="3" t="s">
        <v>103</v>
      </c>
      <c r="R282" s="3" t="s">
        <v>103</v>
      </c>
    </row>
    <row r="283" spans="1:18">
      <c r="A283" s="19">
        <v>45957</v>
      </c>
      <c r="B283" s="3" t="s">
        <v>25</v>
      </c>
      <c r="C283" s="3" t="s">
        <v>26</v>
      </c>
      <c r="D283" s="3" t="s">
        <v>13</v>
      </c>
      <c r="E283" s="3" t="s">
        <v>14</v>
      </c>
      <c r="F283" s="3" t="s">
        <v>27</v>
      </c>
      <c r="G283" s="3" t="s">
        <v>22</v>
      </c>
      <c r="H283">
        <v>60000</v>
      </c>
      <c r="I283">
        <v>4</v>
      </c>
      <c r="J283" s="3" t="s">
        <v>35</v>
      </c>
      <c r="K283">
        <v>48000</v>
      </c>
      <c r="L283">
        <v>240000</v>
      </c>
      <c r="M283">
        <v>192000</v>
      </c>
      <c r="N283">
        <v>48000</v>
      </c>
      <c r="O283" s="3" t="s">
        <v>384</v>
      </c>
      <c r="P283" s="3" t="s">
        <v>102</v>
      </c>
      <c r="Q283" s="3" t="s">
        <v>103</v>
      </c>
      <c r="R283" s="3" t="s">
        <v>103</v>
      </c>
    </row>
    <row r="284" spans="1:18">
      <c r="A284" s="19">
        <v>45958</v>
      </c>
      <c r="B284" s="3" t="s">
        <v>18</v>
      </c>
      <c r="C284" s="3" t="s">
        <v>26</v>
      </c>
      <c r="D284" s="3" t="s">
        <v>13</v>
      </c>
      <c r="E284" s="3" t="s">
        <v>20</v>
      </c>
      <c r="F284" s="3" t="s">
        <v>27</v>
      </c>
      <c r="G284" s="3" t="s">
        <v>22</v>
      </c>
      <c r="H284">
        <v>60000</v>
      </c>
      <c r="I284">
        <v>7</v>
      </c>
      <c r="J284" s="3" t="s">
        <v>24</v>
      </c>
      <c r="K284">
        <v>48000</v>
      </c>
      <c r="L284">
        <v>420000</v>
      </c>
      <c r="M284">
        <v>336000</v>
      </c>
      <c r="N284">
        <v>84000</v>
      </c>
      <c r="O284" s="3" t="s">
        <v>385</v>
      </c>
      <c r="P284" s="3" t="s">
        <v>102</v>
      </c>
      <c r="Q284" s="3" t="s">
        <v>103</v>
      </c>
      <c r="R284" s="3" t="s">
        <v>103</v>
      </c>
    </row>
    <row r="285" spans="1:18">
      <c r="A285" s="19">
        <v>45959</v>
      </c>
      <c r="B285" s="3" t="s">
        <v>25</v>
      </c>
      <c r="C285" s="3" t="s">
        <v>19</v>
      </c>
      <c r="D285" s="3" t="s">
        <v>23</v>
      </c>
      <c r="E285" s="3" t="s">
        <v>14</v>
      </c>
      <c r="F285" s="3" t="s">
        <v>36</v>
      </c>
      <c r="G285" s="3" t="s">
        <v>31</v>
      </c>
      <c r="H285">
        <v>150000</v>
      </c>
      <c r="I285">
        <v>7</v>
      </c>
      <c r="J285" s="3" t="s">
        <v>39</v>
      </c>
      <c r="K285">
        <v>120000</v>
      </c>
      <c r="L285">
        <v>1050000</v>
      </c>
      <c r="M285">
        <v>840000</v>
      </c>
      <c r="N285">
        <v>210000</v>
      </c>
      <c r="O285" s="3" t="s">
        <v>386</v>
      </c>
      <c r="P285" s="3" t="s">
        <v>102</v>
      </c>
      <c r="Q285" s="3" t="s">
        <v>103</v>
      </c>
      <c r="R285" s="3" t="s">
        <v>103</v>
      </c>
    </row>
    <row r="286" spans="1:18">
      <c r="A286" s="19">
        <v>45960</v>
      </c>
      <c r="B286" s="3" t="s">
        <v>11</v>
      </c>
      <c r="C286" s="3" t="s">
        <v>19</v>
      </c>
      <c r="D286" s="3" t="s">
        <v>13</v>
      </c>
      <c r="E286" s="3" t="s">
        <v>14</v>
      </c>
      <c r="F286" s="3" t="s">
        <v>15</v>
      </c>
      <c r="G286" s="3" t="s">
        <v>16</v>
      </c>
      <c r="H286">
        <v>85000</v>
      </c>
      <c r="I286">
        <v>3</v>
      </c>
      <c r="J286" s="3" t="s">
        <v>24</v>
      </c>
      <c r="K286">
        <v>68000</v>
      </c>
      <c r="L286">
        <v>255000</v>
      </c>
      <c r="M286">
        <v>204000</v>
      </c>
      <c r="N286">
        <v>51000</v>
      </c>
      <c r="O286" s="3" t="s">
        <v>387</v>
      </c>
      <c r="P286" s="3" t="s">
        <v>102</v>
      </c>
      <c r="Q286" s="3" t="s">
        <v>103</v>
      </c>
      <c r="R286" s="3" t="s">
        <v>103</v>
      </c>
    </row>
    <row r="287" spans="1:18">
      <c r="A287" s="19">
        <v>45961</v>
      </c>
      <c r="B287" s="3" t="s">
        <v>25</v>
      </c>
      <c r="C287" s="3" t="s">
        <v>32</v>
      </c>
      <c r="D287" s="3" t="s">
        <v>13</v>
      </c>
      <c r="E287" s="3" t="s">
        <v>14</v>
      </c>
      <c r="F287" s="3" t="s">
        <v>15</v>
      </c>
      <c r="G287" s="3" t="s">
        <v>16</v>
      </c>
      <c r="H287">
        <v>85000</v>
      </c>
      <c r="I287">
        <v>10</v>
      </c>
      <c r="J287" s="3" t="s">
        <v>28</v>
      </c>
      <c r="K287">
        <v>68000</v>
      </c>
      <c r="L287">
        <v>850000</v>
      </c>
      <c r="M287">
        <v>680000</v>
      </c>
      <c r="N287">
        <v>170000</v>
      </c>
      <c r="O287" s="3" t="s">
        <v>388</v>
      </c>
      <c r="P287" s="3" t="s">
        <v>102</v>
      </c>
      <c r="Q287" s="3" t="s">
        <v>103</v>
      </c>
      <c r="R287" s="3" t="s">
        <v>103</v>
      </c>
    </row>
    <row r="288" spans="1:18">
      <c r="A288" s="19">
        <v>45962</v>
      </c>
      <c r="B288" s="3" t="s">
        <v>18</v>
      </c>
      <c r="C288" s="3" t="s">
        <v>19</v>
      </c>
      <c r="D288" s="3" t="s">
        <v>23</v>
      </c>
      <c r="E288" s="3" t="s">
        <v>20</v>
      </c>
      <c r="F288" s="3" t="s">
        <v>30</v>
      </c>
      <c r="G288" s="3" t="s">
        <v>31</v>
      </c>
      <c r="H288">
        <v>300000</v>
      </c>
      <c r="I288">
        <v>10</v>
      </c>
      <c r="J288" s="3" t="s">
        <v>24</v>
      </c>
      <c r="K288">
        <v>240000</v>
      </c>
      <c r="L288">
        <v>3000000</v>
      </c>
      <c r="M288">
        <v>2400000</v>
      </c>
      <c r="N288">
        <v>600000</v>
      </c>
      <c r="O288" s="3" t="s">
        <v>389</v>
      </c>
      <c r="P288" s="3" t="s">
        <v>102</v>
      </c>
      <c r="Q288" s="3" t="s">
        <v>103</v>
      </c>
      <c r="R288" s="3" t="s">
        <v>103</v>
      </c>
    </row>
    <row r="289" spans="1:18">
      <c r="A289" s="19">
        <v>45963</v>
      </c>
      <c r="B289" s="3" t="s">
        <v>25</v>
      </c>
      <c r="C289" s="3" t="s">
        <v>32</v>
      </c>
      <c r="D289" s="3" t="s">
        <v>13</v>
      </c>
      <c r="E289" s="3" t="s">
        <v>20</v>
      </c>
      <c r="F289" s="3" t="s">
        <v>27</v>
      </c>
      <c r="G289" s="3" t="s">
        <v>22</v>
      </c>
      <c r="H289">
        <v>60000</v>
      </c>
      <c r="I289">
        <v>3</v>
      </c>
      <c r="J289" s="3" t="s">
        <v>17</v>
      </c>
      <c r="K289">
        <v>48000</v>
      </c>
      <c r="L289">
        <v>180000</v>
      </c>
      <c r="M289">
        <v>144000</v>
      </c>
      <c r="N289">
        <v>36000</v>
      </c>
      <c r="O289" s="3" t="s">
        <v>390</v>
      </c>
      <c r="P289" s="3" t="s">
        <v>102</v>
      </c>
      <c r="Q289" s="3" t="s">
        <v>103</v>
      </c>
      <c r="R289" s="3" t="s">
        <v>103</v>
      </c>
    </row>
    <row r="290" spans="1:18">
      <c r="A290" s="19">
        <v>45964</v>
      </c>
      <c r="B290" s="3" t="s">
        <v>18</v>
      </c>
      <c r="C290" s="3" t="s">
        <v>12</v>
      </c>
      <c r="D290" s="3" t="s">
        <v>23</v>
      </c>
      <c r="E290" s="3" t="s">
        <v>14</v>
      </c>
      <c r="F290" s="3" t="s">
        <v>27</v>
      </c>
      <c r="G290" s="3" t="s">
        <v>22</v>
      </c>
      <c r="H290">
        <v>60000</v>
      </c>
      <c r="I290">
        <v>3</v>
      </c>
      <c r="J290" s="3" t="s">
        <v>24</v>
      </c>
      <c r="K290">
        <v>48000</v>
      </c>
      <c r="L290">
        <v>180000</v>
      </c>
      <c r="M290">
        <v>144000</v>
      </c>
      <c r="N290">
        <v>36000</v>
      </c>
      <c r="O290" s="3" t="s">
        <v>391</v>
      </c>
      <c r="P290" s="3" t="s">
        <v>102</v>
      </c>
      <c r="Q290" s="3" t="s">
        <v>103</v>
      </c>
      <c r="R290" s="3" t="s">
        <v>103</v>
      </c>
    </row>
    <row r="291" spans="1:18">
      <c r="A291" s="19">
        <v>45965</v>
      </c>
      <c r="B291" s="3" t="s">
        <v>11</v>
      </c>
      <c r="C291" s="3" t="s">
        <v>19</v>
      </c>
      <c r="D291" s="3" t="s">
        <v>13</v>
      </c>
      <c r="E291" s="3" t="s">
        <v>14</v>
      </c>
      <c r="F291" s="3" t="s">
        <v>15</v>
      </c>
      <c r="G291" s="3" t="s">
        <v>16</v>
      </c>
      <c r="H291">
        <v>85000</v>
      </c>
      <c r="I291">
        <v>6</v>
      </c>
      <c r="J291" s="3" t="s">
        <v>24</v>
      </c>
      <c r="K291">
        <v>68000</v>
      </c>
      <c r="L291">
        <v>510000</v>
      </c>
      <c r="M291">
        <v>408000</v>
      </c>
      <c r="N291">
        <v>102000</v>
      </c>
      <c r="O291" s="3" t="s">
        <v>392</v>
      </c>
      <c r="P291" s="3" t="s">
        <v>102</v>
      </c>
      <c r="Q291" s="3" t="s">
        <v>103</v>
      </c>
      <c r="R291" s="3" t="s">
        <v>103</v>
      </c>
    </row>
    <row r="292" spans="1:18">
      <c r="A292" s="19">
        <v>45966</v>
      </c>
      <c r="B292" s="3" t="s">
        <v>18</v>
      </c>
      <c r="C292" s="3" t="s">
        <v>26</v>
      </c>
      <c r="D292" s="3" t="s">
        <v>23</v>
      </c>
      <c r="E292" s="3" t="s">
        <v>20</v>
      </c>
      <c r="F292" s="3" t="s">
        <v>38</v>
      </c>
      <c r="G292" s="3" t="s">
        <v>31</v>
      </c>
      <c r="H292">
        <v>420000</v>
      </c>
      <c r="I292">
        <v>2</v>
      </c>
      <c r="J292" s="3" t="s">
        <v>37</v>
      </c>
      <c r="K292">
        <v>336000</v>
      </c>
      <c r="L292">
        <v>840000</v>
      </c>
      <c r="M292">
        <v>672000</v>
      </c>
      <c r="N292">
        <v>168000</v>
      </c>
      <c r="O292" s="3" t="s">
        <v>393</v>
      </c>
      <c r="P292" s="3" t="s">
        <v>102</v>
      </c>
      <c r="Q292" s="3" t="s">
        <v>103</v>
      </c>
      <c r="R292" s="3" t="s">
        <v>103</v>
      </c>
    </row>
    <row r="293" spans="1:18">
      <c r="A293" s="19">
        <v>45967</v>
      </c>
      <c r="B293" s="3" t="s">
        <v>29</v>
      </c>
      <c r="C293" s="3" t="s">
        <v>32</v>
      </c>
      <c r="D293" s="3" t="s">
        <v>13</v>
      </c>
      <c r="E293" s="3" t="s">
        <v>20</v>
      </c>
      <c r="F293" s="3" t="s">
        <v>40</v>
      </c>
      <c r="G293" s="3" t="s">
        <v>31</v>
      </c>
      <c r="H293">
        <v>250000</v>
      </c>
      <c r="I293">
        <v>6</v>
      </c>
      <c r="J293" s="3" t="s">
        <v>39</v>
      </c>
      <c r="K293">
        <v>200000</v>
      </c>
      <c r="L293">
        <v>1500000</v>
      </c>
      <c r="M293">
        <v>1200000</v>
      </c>
      <c r="N293">
        <v>300000</v>
      </c>
      <c r="O293" s="3" t="s">
        <v>394</v>
      </c>
      <c r="P293" s="3" t="s">
        <v>102</v>
      </c>
      <c r="Q293" s="3" t="s">
        <v>103</v>
      </c>
      <c r="R293" s="3" t="s">
        <v>103</v>
      </c>
    </row>
    <row r="294" spans="1:18">
      <c r="A294" s="19">
        <v>45968</v>
      </c>
      <c r="B294" s="3" t="s">
        <v>29</v>
      </c>
      <c r="C294" s="3" t="s">
        <v>12</v>
      </c>
      <c r="D294" s="3" t="s">
        <v>13</v>
      </c>
      <c r="E294" s="3" t="s">
        <v>14</v>
      </c>
      <c r="F294" s="3" t="s">
        <v>36</v>
      </c>
      <c r="G294" s="3" t="s">
        <v>31</v>
      </c>
      <c r="H294">
        <v>150000</v>
      </c>
      <c r="I294">
        <v>8</v>
      </c>
      <c r="J294" s="3" t="s">
        <v>24</v>
      </c>
      <c r="K294">
        <v>120000</v>
      </c>
      <c r="L294">
        <v>1200000</v>
      </c>
      <c r="M294">
        <v>960000</v>
      </c>
      <c r="N294">
        <v>240000</v>
      </c>
      <c r="O294" s="3" t="s">
        <v>395</v>
      </c>
      <c r="P294" s="3" t="s">
        <v>102</v>
      </c>
      <c r="Q294" s="3" t="s">
        <v>103</v>
      </c>
      <c r="R294" s="3" t="s">
        <v>103</v>
      </c>
    </row>
    <row r="295" spans="1:18">
      <c r="A295" s="19">
        <v>45969</v>
      </c>
      <c r="B295" s="3" t="s">
        <v>18</v>
      </c>
      <c r="C295" s="3" t="s">
        <v>26</v>
      </c>
      <c r="D295" s="3" t="s">
        <v>23</v>
      </c>
      <c r="E295" s="3" t="s">
        <v>14</v>
      </c>
      <c r="F295" s="3" t="s">
        <v>36</v>
      </c>
      <c r="G295" s="3" t="s">
        <v>31</v>
      </c>
      <c r="H295">
        <v>150000</v>
      </c>
      <c r="I295">
        <v>10</v>
      </c>
      <c r="J295" s="3" t="s">
        <v>24</v>
      </c>
      <c r="K295">
        <v>120000</v>
      </c>
      <c r="L295">
        <v>1500000</v>
      </c>
      <c r="M295">
        <v>1200000</v>
      </c>
      <c r="N295">
        <v>300000</v>
      </c>
      <c r="O295" s="3" t="s">
        <v>396</v>
      </c>
      <c r="P295" s="3" t="s">
        <v>102</v>
      </c>
      <c r="Q295" s="3" t="s">
        <v>103</v>
      </c>
      <c r="R295" s="3" t="s">
        <v>103</v>
      </c>
    </row>
    <row r="296" spans="1:18">
      <c r="A296" s="19">
        <v>45970</v>
      </c>
      <c r="B296" s="3" t="s">
        <v>18</v>
      </c>
      <c r="C296" s="3" t="s">
        <v>26</v>
      </c>
      <c r="D296" s="3" t="s">
        <v>13</v>
      </c>
      <c r="E296" s="3" t="s">
        <v>14</v>
      </c>
      <c r="F296" s="3" t="s">
        <v>40</v>
      </c>
      <c r="G296" s="3" t="s">
        <v>31</v>
      </c>
      <c r="H296">
        <v>250000</v>
      </c>
      <c r="I296">
        <v>5</v>
      </c>
      <c r="J296" s="3" t="s">
        <v>39</v>
      </c>
      <c r="K296">
        <v>200000</v>
      </c>
      <c r="L296">
        <v>1250000</v>
      </c>
      <c r="M296">
        <v>1000000</v>
      </c>
      <c r="N296">
        <v>250000</v>
      </c>
      <c r="O296" s="3" t="s">
        <v>397</v>
      </c>
      <c r="P296" s="3" t="s">
        <v>102</v>
      </c>
      <c r="Q296" s="3" t="s">
        <v>103</v>
      </c>
      <c r="R296" s="3" t="s">
        <v>103</v>
      </c>
    </row>
    <row r="297" spans="1:18">
      <c r="A297" s="19">
        <v>45971</v>
      </c>
      <c r="B297" s="3" t="s">
        <v>11</v>
      </c>
      <c r="C297" s="3" t="s">
        <v>26</v>
      </c>
      <c r="D297" s="3" t="s">
        <v>13</v>
      </c>
      <c r="E297" s="3" t="s">
        <v>20</v>
      </c>
      <c r="F297" s="3" t="s">
        <v>34</v>
      </c>
      <c r="G297" s="3" t="s">
        <v>16</v>
      </c>
      <c r="H297">
        <v>320000</v>
      </c>
      <c r="I297">
        <v>9</v>
      </c>
      <c r="J297" s="3" t="s">
        <v>17</v>
      </c>
      <c r="K297">
        <v>256000</v>
      </c>
      <c r="L297">
        <v>2880000</v>
      </c>
      <c r="M297">
        <v>2304000</v>
      </c>
      <c r="N297">
        <v>576000</v>
      </c>
      <c r="O297" s="3" t="s">
        <v>398</v>
      </c>
      <c r="P297" s="3" t="s">
        <v>102</v>
      </c>
      <c r="Q297" s="3" t="s">
        <v>103</v>
      </c>
      <c r="R297" s="3" t="s">
        <v>103</v>
      </c>
    </row>
    <row r="298" spans="1:18">
      <c r="A298" s="19">
        <v>45972</v>
      </c>
      <c r="B298" s="3" t="s">
        <v>11</v>
      </c>
      <c r="C298" s="3" t="s">
        <v>12</v>
      </c>
      <c r="D298" s="3" t="s">
        <v>23</v>
      </c>
      <c r="E298" s="3" t="s">
        <v>20</v>
      </c>
      <c r="F298" s="3" t="s">
        <v>33</v>
      </c>
      <c r="G298" s="3" t="s">
        <v>22</v>
      </c>
      <c r="H298">
        <v>180000</v>
      </c>
      <c r="I298">
        <v>10</v>
      </c>
      <c r="J298" s="3" t="s">
        <v>39</v>
      </c>
      <c r="K298">
        <v>144000</v>
      </c>
      <c r="L298">
        <v>1800000</v>
      </c>
      <c r="M298">
        <v>1440000</v>
      </c>
      <c r="N298">
        <v>360000</v>
      </c>
      <c r="O298" s="3" t="s">
        <v>399</v>
      </c>
      <c r="P298" s="3" t="s">
        <v>102</v>
      </c>
      <c r="Q298" s="3" t="s">
        <v>103</v>
      </c>
      <c r="R298" s="3" t="s">
        <v>103</v>
      </c>
    </row>
    <row r="299" spans="1:18">
      <c r="A299" s="19">
        <v>45973</v>
      </c>
      <c r="B299" s="3" t="s">
        <v>11</v>
      </c>
      <c r="C299" s="3" t="s">
        <v>26</v>
      </c>
      <c r="D299" s="3" t="s">
        <v>23</v>
      </c>
      <c r="E299" s="3" t="s">
        <v>20</v>
      </c>
      <c r="F299" s="3" t="s">
        <v>27</v>
      </c>
      <c r="G299" s="3" t="s">
        <v>22</v>
      </c>
      <c r="H299">
        <v>60000</v>
      </c>
      <c r="I299">
        <v>6</v>
      </c>
      <c r="J299" s="3" t="s">
        <v>37</v>
      </c>
      <c r="K299">
        <v>48000</v>
      </c>
      <c r="L299">
        <v>360000</v>
      </c>
      <c r="M299">
        <v>288000</v>
      </c>
      <c r="N299">
        <v>72000</v>
      </c>
      <c r="O299" s="3" t="s">
        <v>400</v>
      </c>
      <c r="P299" s="3" t="s">
        <v>102</v>
      </c>
      <c r="Q299" s="3" t="s">
        <v>103</v>
      </c>
      <c r="R299" s="3" t="s">
        <v>103</v>
      </c>
    </row>
    <row r="300" spans="1:18">
      <c r="A300" s="19">
        <v>45974</v>
      </c>
      <c r="B300" s="3" t="s">
        <v>11</v>
      </c>
      <c r="C300" s="3" t="s">
        <v>26</v>
      </c>
      <c r="D300" s="3" t="s">
        <v>23</v>
      </c>
      <c r="E300" s="3" t="s">
        <v>14</v>
      </c>
      <c r="F300" s="3" t="s">
        <v>36</v>
      </c>
      <c r="G300" s="3" t="s">
        <v>31</v>
      </c>
      <c r="H300">
        <v>150000</v>
      </c>
      <c r="I300">
        <v>10</v>
      </c>
      <c r="J300" s="3" t="s">
        <v>28</v>
      </c>
      <c r="K300">
        <v>120000</v>
      </c>
      <c r="L300">
        <v>1500000</v>
      </c>
      <c r="M300">
        <v>1200000</v>
      </c>
      <c r="N300">
        <v>300000</v>
      </c>
      <c r="O300" s="3" t="s">
        <v>401</v>
      </c>
      <c r="P300" s="3" t="s">
        <v>102</v>
      </c>
      <c r="Q300" s="3" t="s">
        <v>103</v>
      </c>
      <c r="R300" s="3" t="s">
        <v>103</v>
      </c>
    </row>
    <row r="301" spans="1:18">
      <c r="A301" s="19">
        <v>45975</v>
      </c>
      <c r="B301" s="3" t="s">
        <v>18</v>
      </c>
      <c r="C301" s="3" t="s">
        <v>12</v>
      </c>
      <c r="D301" s="3" t="s">
        <v>13</v>
      </c>
      <c r="E301" s="3" t="s">
        <v>14</v>
      </c>
      <c r="F301" s="3" t="s">
        <v>40</v>
      </c>
      <c r="G301" s="3" t="s">
        <v>31</v>
      </c>
      <c r="H301">
        <v>250000</v>
      </c>
      <c r="I301">
        <v>5</v>
      </c>
      <c r="J301" s="3" t="s">
        <v>37</v>
      </c>
      <c r="K301">
        <v>200000</v>
      </c>
      <c r="L301">
        <v>1250000</v>
      </c>
      <c r="M301">
        <v>1000000</v>
      </c>
      <c r="N301">
        <v>250000</v>
      </c>
      <c r="O301" s="3" t="s">
        <v>402</v>
      </c>
      <c r="P301" s="3" t="s">
        <v>102</v>
      </c>
      <c r="Q301" s="3" t="s">
        <v>103</v>
      </c>
      <c r="R301" s="3" t="s">
        <v>103</v>
      </c>
    </row>
    <row r="302" spans="1:18">
      <c r="A302" s="19">
        <v>45976</v>
      </c>
      <c r="B302" s="3" t="s">
        <v>11</v>
      </c>
      <c r="C302" s="3" t="s">
        <v>26</v>
      </c>
      <c r="D302" s="3" t="s">
        <v>13</v>
      </c>
      <c r="E302" s="3" t="s">
        <v>14</v>
      </c>
      <c r="F302" s="3" t="s">
        <v>33</v>
      </c>
      <c r="G302" s="3" t="s">
        <v>22</v>
      </c>
      <c r="H302">
        <v>180000</v>
      </c>
      <c r="I302">
        <v>3</v>
      </c>
      <c r="J302" s="3" t="s">
        <v>17</v>
      </c>
      <c r="K302">
        <v>144000</v>
      </c>
      <c r="L302">
        <v>540000</v>
      </c>
      <c r="M302">
        <v>432000</v>
      </c>
      <c r="N302">
        <v>108000</v>
      </c>
      <c r="O302" s="3" t="s">
        <v>403</v>
      </c>
      <c r="P302" s="3" t="s">
        <v>102</v>
      </c>
      <c r="Q302" s="3" t="s">
        <v>103</v>
      </c>
      <c r="R302" s="3" t="s">
        <v>103</v>
      </c>
    </row>
    <row r="303" spans="1:18">
      <c r="A303" s="19">
        <v>45977</v>
      </c>
      <c r="B303" s="3" t="s">
        <v>11</v>
      </c>
      <c r="C303" s="3" t="s">
        <v>26</v>
      </c>
      <c r="D303" s="3" t="s">
        <v>23</v>
      </c>
      <c r="E303" s="3" t="s">
        <v>20</v>
      </c>
      <c r="F303" s="3" t="s">
        <v>34</v>
      </c>
      <c r="G303" s="3" t="s">
        <v>16</v>
      </c>
      <c r="H303">
        <v>320000</v>
      </c>
      <c r="I303">
        <v>5</v>
      </c>
      <c r="J303" s="3" t="s">
        <v>37</v>
      </c>
      <c r="K303">
        <v>256000</v>
      </c>
      <c r="L303">
        <v>1600000</v>
      </c>
      <c r="M303">
        <v>1280000</v>
      </c>
      <c r="N303">
        <v>320000</v>
      </c>
      <c r="O303" s="3" t="s">
        <v>404</v>
      </c>
      <c r="P303" s="3" t="s">
        <v>102</v>
      </c>
      <c r="Q303" s="3" t="s">
        <v>103</v>
      </c>
      <c r="R303" s="3" t="s">
        <v>103</v>
      </c>
    </row>
    <row r="304" spans="1:18">
      <c r="A304" s="19">
        <v>45978</v>
      </c>
      <c r="B304" s="3" t="s">
        <v>25</v>
      </c>
      <c r="C304" s="3" t="s">
        <v>12</v>
      </c>
      <c r="D304" s="3" t="s">
        <v>13</v>
      </c>
      <c r="E304" s="3" t="s">
        <v>20</v>
      </c>
      <c r="F304" s="3" t="s">
        <v>34</v>
      </c>
      <c r="G304" s="3" t="s">
        <v>16</v>
      </c>
      <c r="H304">
        <v>320000</v>
      </c>
      <c r="I304">
        <v>10</v>
      </c>
      <c r="J304" s="3" t="s">
        <v>24</v>
      </c>
      <c r="K304">
        <v>256000</v>
      </c>
      <c r="L304">
        <v>3200000</v>
      </c>
      <c r="M304">
        <v>2560000</v>
      </c>
      <c r="N304">
        <v>640000</v>
      </c>
      <c r="O304" s="3" t="s">
        <v>405</v>
      </c>
      <c r="P304" s="3" t="s">
        <v>102</v>
      </c>
      <c r="Q304" s="3" t="s">
        <v>103</v>
      </c>
      <c r="R304" s="3" t="s">
        <v>103</v>
      </c>
    </row>
    <row r="305" spans="1:18">
      <c r="A305" s="19">
        <v>45979</v>
      </c>
      <c r="B305" s="3" t="s">
        <v>18</v>
      </c>
      <c r="C305" s="3" t="s">
        <v>12</v>
      </c>
      <c r="D305" s="3" t="s">
        <v>23</v>
      </c>
      <c r="E305" s="3" t="s">
        <v>14</v>
      </c>
      <c r="F305" s="3" t="s">
        <v>21</v>
      </c>
      <c r="G305" s="3" t="s">
        <v>22</v>
      </c>
      <c r="H305">
        <v>30000</v>
      </c>
      <c r="I305">
        <v>5</v>
      </c>
      <c r="J305" s="3" t="s">
        <v>17</v>
      </c>
      <c r="K305">
        <v>24000</v>
      </c>
      <c r="L305">
        <v>150000</v>
      </c>
      <c r="M305">
        <v>120000</v>
      </c>
      <c r="N305">
        <v>30000</v>
      </c>
      <c r="O305" s="3" t="s">
        <v>406</v>
      </c>
      <c r="P305" s="3" t="s">
        <v>102</v>
      </c>
      <c r="Q305" s="3" t="s">
        <v>103</v>
      </c>
      <c r="R305" s="3" t="s">
        <v>103</v>
      </c>
    </row>
    <row r="306" spans="1:18">
      <c r="A306" s="19">
        <v>45980</v>
      </c>
      <c r="B306" s="3" t="s">
        <v>29</v>
      </c>
      <c r="C306" s="3" t="s">
        <v>12</v>
      </c>
      <c r="D306" s="3" t="s">
        <v>23</v>
      </c>
      <c r="E306" s="3" t="s">
        <v>20</v>
      </c>
      <c r="F306" s="3" t="s">
        <v>38</v>
      </c>
      <c r="G306" s="3" t="s">
        <v>31</v>
      </c>
      <c r="H306">
        <v>420000</v>
      </c>
      <c r="I306">
        <v>3</v>
      </c>
      <c r="J306" s="3" t="s">
        <v>17</v>
      </c>
      <c r="K306">
        <v>336000</v>
      </c>
      <c r="L306">
        <v>1260000</v>
      </c>
      <c r="M306">
        <v>1008000</v>
      </c>
      <c r="N306">
        <v>252000</v>
      </c>
      <c r="O306" s="3" t="s">
        <v>407</v>
      </c>
      <c r="P306" s="3" t="s">
        <v>102</v>
      </c>
      <c r="Q306" s="3" t="s">
        <v>103</v>
      </c>
      <c r="R306" s="3" t="s">
        <v>103</v>
      </c>
    </row>
    <row r="307" spans="1:18">
      <c r="A307" s="19">
        <v>45981</v>
      </c>
      <c r="B307" s="3" t="s">
        <v>18</v>
      </c>
      <c r="C307" s="3" t="s">
        <v>26</v>
      </c>
      <c r="D307" s="3" t="s">
        <v>13</v>
      </c>
      <c r="E307" s="3" t="s">
        <v>14</v>
      </c>
      <c r="F307" s="3" t="s">
        <v>21</v>
      </c>
      <c r="G307" s="3" t="s">
        <v>22</v>
      </c>
      <c r="H307">
        <v>30000</v>
      </c>
      <c r="I307">
        <v>4</v>
      </c>
      <c r="J307" s="3" t="s">
        <v>35</v>
      </c>
      <c r="K307">
        <v>24000</v>
      </c>
      <c r="L307">
        <v>120000</v>
      </c>
      <c r="M307">
        <v>96000</v>
      </c>
      <c r="N307">
        <v>24000</v>
      </c>
      <c r="O307" s="3" t="s">
        <v>408</v>
      </c>
      <c r="P307" s="3" t="s">
        <v>102</v>
      </c>
      <c r="Q307" s="3" t="s">
        <v>103</v>
      </c>
      <c r="R307" s="3" t="s">
        <v>103</v>
      </c>
    </row>
    <row r="308" spans="1:18">
      <c r="A308" s="19">
        <v>45982</v>
      </c>
      <c r="B308" s="3" t="s">
        <v>18</v>
      </c>
      <c r="C308" s="3" t="s">
        <v>12</v>
      </c>
      <c r="D308" s="3" t="s">
        <v>13</v>
      </c>
      <c r="E308" s="3" t="s">
        <v>14</v>
      </c>
      <c r="F308" s="3" t="s">
        <v>33</v>
      </c>
      <c r="G308" s="3" t="s">
        <v>22</v>
      </c>
      <c r="H308">
        <v>180000</v>
      </c>
      <c r="I308">
        <v>4</v>
      </c>
      <c r="J308" s="3" t="s">
        <v>17</v>
      </c>
      <c r="K308">
        <v>144000</v>
      </c>
      <c r="L308">
        <v>720000</v>
      </c>
      <c r="M308">
        <v>576000</v>
      </c>
      <c r="N308">
        <v>144000</v>
      </c>
      <c r="O308" s="3" t="s">
        <v>409</v>
      </c>
      <c r="P308" s="3" t="s">
        <v>102</v>
      </c>
      <c r="Q308" s="3" t="s">
        <v>103</v>
      </c>
      <c r="R308" s="3" t="s">
        <v>103</v>
      </c>
    </row>
    <row r="309" spans="1:18">
      <c r="A309" s="19">
        <v>45983</v>
      </c>
      <c r="B309" s="3" t="s">
        <v>18</v>
      </c>
      <c r="C309" s="3" t="s">
        <v>19</v>
      </c>
      <c r="D309" s="3" t="s">
        <v>13</v>
      </c>
      <c r="E309" s="3" t="s">
        <v>14</v>
      </c>
      <c r="F309" s="3" t="s">
        <v>40</v>
      </c>
      <c r="G309" s="3" t="s">
        <v>31</v>
      </c>
      <c r="H309">
        <v>250000</v>
      </c>
      <c r="I309">
        <v>5</v>
      </c>
      <c r="J309" s="3" t="s">
        <v>39</v>
      </c>
      <c r="K309">
        <v>200000</v>
      </c>
      <c r="L309">
        <v>1250000</v>
      </c>
      <c r="M309">
        <v>1000000</v>
      </c>
      <c r="N309">
        <v>250000</v>
      </c>
      <c r="O309" s="3" t="s">
        <v>410</v>
      </c>
      <c r="P309" s="3" t="s">
        <v>102</v>
      </c>
      <c r="Q309" s="3" t="s">
        <v>103</v>
      </c>
      <c r="R309" s="3" t="s">
        <v>103</v>
      </c>
    </row>
    <row r="310" spans="1:18">
      <c r="A310" s="19">
        <v>45984</v>
      </c>
      <c r="B310" s="3" t="s">
        <v>11</v>
      </c>
      <c r="C310" s="3" t="s">
        <v>32</v>
      </c>
      <c r="D310" s="3" t="s">
        <v>23</v>
      </c>
      <c r="E310" s="3" t="s">
        <v>20</v>
      </c>
      <c r="F310" s="3" t="s">
        <v>33</v>
      </c>
      <c r="G310" s="3" t="s">
        <v>22</v>
      </c>
      <c r="H310">
        <v>180000</v>
      </c>
      <c r="I310">
        <v>3</v>
      </c>
      <c r="J310" s="3" t="s">
        <v>35</v>
      </c>
      <c r="K310">
        <v>144000</v>
      </c>
      <c r="L310">
        <v>540000</v>
      </c>
      <c r="M310">
        <v>432000</v>
      </c>
      <c r="N310">
        <v>108000</v>
      </c>
      <c r="O310" s="3" t="s">
        <v>411</v>
      </c>
      <c r="P310" s="3" t="s">
        <v>102</v>
      </c>
      <c r="Q310" s="3" t="s">
        <v>103</v>
      </c>
      <c r="R310" s="3" t="s">
        <v>103</v>
      </c>
    </row>
    <row r="311" spans="1:18">
      <c r="A311" s="19">
        <v>45985</v>
      </c>
      <c r="B311" s="3" t="s">
        <v>18</v>
      </c>
      <c r="C311" s="3" t="s">
        <v>12</v>
      </c>
      <c r="D311" s="3" t="s">
        <v>13</v>
      </c>
      <c r="E311" s="3" t="s">
        <v>14</v>
      </c>
      <c r="F311" s="3" t="s">
        <v>30</v>
      </c>
      <c r="G311" s="3" t="s">
        <v>31</v>
      </c>
      <c r="H311">
        <v>300000</v>
      </c>
      <c r="I311">
        <v>5</v>
      </c>
      <c r="J311" s="3" t="s">
        <v>39</v>
      </c>
      <c r="K311">
        <v>240000</v>
      </c>
      <c r="L311">
        <v>1500000</v>
      </c>
      <c r="M311">
        <v>1200000</v>
      </c>
      <c r="N311">
        <v>300000</v>
      </c>
      <c r="O311" s="3" t="s">
        <v>412</v>
      </c>
      <c r="P311" s="3" t="s">
        <v>102</v>
      </c>
      <c r="Q311" s="3" t="s">
        <v>103</v>
      </c>
      <c r="R311" s="3" t="s">
        <v>103</v>
      </c>
    </row>
    <row r="312" spans="1:18">
      <c r="A312" s="19">
        <v>45986</v>
      </c>
      <c r="B312" s="3" t="s">
        <v>11</v>
      </c>
      <c r="C312" s="3" t="s">
        <v>26</v>
      </c>
      <c r="D312" s="3" t="s">
        <v>13</v>
      </c>
      <c r="E312" s="3" t="s">
        <v>20</v>
      </c>
      <c r="F312" s="3" t="s">
        <v>15</v>
      </c>
      <c r="G312" s="3" t="s">
        <v>16</v>
      </c>
      <c r="H312">
        <v>85000</v>
      </c>
      <c r="I312">
        <v>8</v>
      </c>
      <c r="J312" s="3" t="s">
        <v>35</v>
      </c>
      <c r="K312">
        <v>68000</v>
      </c>
      <c r="L312">
        <v>680000</v>
      </c>
      <c r="M312">
        <v>544000</v>
      </c>
      <c r="N312">
        <v>136000</v>
      </c>
      <c r="O312" s="3" t="s">
        <v>413</v>
      </c>
      <c r="P312" s="3" t="s">
        <v>102</v>
      </c>
      <c r="Q312" s="3" t="s">
        <v>103</v>
      </c>
      <c r="R312" s="3" t="s">
        <v>103</v>
      </c>
    </row>
    <row r="313" spans="1:18">
      <c r="A313" s="19">
        <v>45987</v>
      </c>
      <c r="B313" s="3" t="s">
        <v>18</v>
      </c>
      <c r="C313" s="3" t="s">
        <v>19</v>
      </c>
      <c r="D313" s="3" t="s">
        <v>23</v>
      </c>
      <c r="E313" s="3" t="s">
        <v>14</v>
      </c>
      <c r="F313" s="3" t="s">
        <v>33</v>
      </c>
      <c r="G313" s="3" t="s">
        <v>22</v>
      </c>
      <c r="H313">
        <v>180000</v>
      </c>
      <c r="I313">
        <v>6</v>
      </c>
      <c r="J313" s="3" t="s">
        <v>39</v>
      </c>
      <c r="K313">
        <v>144000</v>
      </c>
      <c r="L313">
        <v>1080000</v>
      </c>
      <c r="M313">
        <v>864000</v>
      </c>
      <c r="N313">
        <v>216000</v>
      </c>
      <c r="O313" s="3" t="s">
        <v>414</v>
      </c>
      <c r="P313" s="3" t="s">
        <v>102</v>
      </c>
      <c r="Q313" s="3" t="s">
        <v>103</v>
      </c>
      <c r="R313" s="3" t="s">
        <v>103</v>
      </c>
    </row>
    <row r="314" spans="1:18">
      <c r="A314" s="19">
        <v>45988</v>
      </c>
      <c r="B314" s="3" t="s">
        <v>18</v>
      </c>
      <c r="C314" s="3" t="s">
        <v>19</v>
      </c>
      <c r="D314" s="3" t="s">
        <v>23</v>
      </c>
      <c r="E314" s="3" t="s">
        <v>14</v>
      </c>
      <c r="F314" s="3" t="s">
        <v>38</v>
      </c>
      <c r="G314" s="3" t="s">
        <v>31</v>
      </c>
      <c r="H314">
        <v>420000</v>
      </c>
      <c r="I314">
        <v>7</v>
      </c>
      <c r="J314" s="3" t="s">
        <v>37</v>
      </c>
      <c r="K314">
        <v>336000</v>
      </c>
      <c r="L314">
        <v>2940000</v>
      </c>
      <c r="M314">
        <v>2352000</v>
      </c>
      <c r="N314">
        <v>588000</v>
      </c>
      <c r="O314" s="3" t="s">
        <v>415</v>
      </c>
      <c r="P314" s="3" t="s">
        <v>102</v>
      </c>
      <c r="Q314" s="3" t="s">
        <v>103</v>
      </c>
      <c r="R314" s="3" t="s">
        <v>103</v>
      </c>
    </row>
    <row r="315" spans="1:18">
      <c r="A315" s="19">
        <v>45989</v>
      </c>
      <c r="B315" s="3" t="s">
        <v>25</v>
      </c>
      <c r="C315" s="3" t="s">
        <v>26</v>
      </c>
      <c r="D315" s="3" t="s">
        <v>23</v>
      </c>
      <c r="E315" s="3" t="s">
        <v>14</v>
      </c>
      <c r="F315" s="3" t="s">
        <v>36</v>
      </c>
      <c r="G315" s="3" t="s">
        <v>31</v>
      </c>
      <c r="H315">
        <v>150000</v>
      </c>
      <c r="I315">
        <v>8</v>
      </c>
      <c r="J315" s="3" t="s">
        <v>17</v>
      </c>
      <c r="K315">
        <v>120000</v>
      </c>
      <c r="L315">
        <v>1200000</v>
      </c>
      <c r="M315">
        <v>960000</v>
      </c>
      <c r="N315">
        <v>240000</v>
      </c>
      <c r="O315" s="3" t="s">
        <v>416</v>
      </c>
      <c r="P315" s="3" t="s">
        <v>102</v>
      </c>
      <c r="Q315" s="3" t="s">
        <v>103</v>
      </c>
      <c r="R315" s="3" t="s">
        <v>103</v>
      </c>
    </row>
    <row r="316" spans="1:18">
      <c r="A316" s="19">
        <v>45990</v>
      </c>
      <c r="B316" s="3" t="s">
        <v>18</v>
      </c>
      <c r="C316" s="3" t="s">
        <v>26</v>
      </c>
      <c r="D316" s="3" t="s">
        <v>13</v>
      </c>
      <c r="E316" s="3" t="s">
        <v>14</v>
      </c>
      <c r="F316" s="3" t="s">
        <v>15</v>
      </c>
      <c r="G316" s="3" t="s">
        <v>16</v>
      </c>
      <c r="H316">
        <v>85000</v>
      </c>
      <c r="I316">
        <v>6</v>
      </c>
      <c r="J316" s="3" t="s">
        <v>37</v>
      </c>
      <c r="K316">
        <v>68000</v>
      </c>
      <c r="L316">
        <v>510000</v>
      </c>
      <c r="M316">
        <v>408000</v>
      </c>
      <c r="N316">
        <v>102000</v>
      </c>
      <c r="O316" s="3" t="s">
        <v>417</v>
      </c>
      <c r="P316" s="3" t="s">
        <v>102</v>
      </c>
      <c r="Q316" s="3" t="s">
        <v>103</v>
      </c>
      <c r="R316" s="3" t="s">
        <v>103</v>
      </c>
    </row>
    <row r="317" spans="1:18">
      <c r="A317" s="19">
        <v>45991</v>
      </c>
      <c r="B317" s="3" t="s">
        <v>25</v>
      </c>
      <c r="C317" s="3" t="s">
        <v>12</v>
      </c>
      <c r="D317" s="3" t="s">
        <v>13</v>
      </c>
      <c r="E317" s="3" t="s">
        <v>20</v>
      </c>
      <c r="F317" s="3" t="s">
        <v>33</v>
      </c>
      <c r="G317" s="3" t="s">
        <v>22</v>
      </c>
      <c r="H317">
        <v>180000</v>
      </c>
      <c r="I317">
        <v>9</v>
      </c>
      <c r="J317" s="3" t="s">
        <v>28</v>
      </c>
      <c r="K317">
        <v>144000</v>
      </c>
      <c r="L317">
        <v>1620000</v>
      </c>
      <c r="M317">
        <v>1296000</v>
      </c>
      <c r="N317">
        <v>324000</v>
      </c>
      <c r="O317" s="3" t="s">
        <v>418</v>
      </c>
      <c r="P317" s="3" t="s">
        <v>102</v>
      </c>
      <c r="Q317" s="3" t="s">
        <v>103</v>
      </c>
      <c r="R317" s="3" t="s">
        <v>103</v>
      </c>
    </row>
    <row r="318" spans="1:18">
      <c r="A318" s="19">
        <v>45992</v>
      </c>
      <c r="B318" s="3" t="s">
        <v>11</v>
      </c>
      <c r="C318" s="3" t="s">
        <v>26</v>
      </c>
      <c r="D318" s="3" t="s">
        <v>23</v>
      </c>
      <c r="E318" s="3" t="s">
        <v>14</v>
      </c>
      <c r="F318" s="3" t="s">
        <v>40</v>
      </c>
      <c r="G318" s="3" t="s">
        <v>31</v>
      </c>
      <c r="H318">
        <v>250000</v>
      </c>
      <c r="I318">
        <v>5</v>
      </c>
      <c r="J318" s="3" t="s">
        <v>37</v>
      </c>
      <c r="K318">
        <v>200000</v>
      </c>
      <c r="L318">
        <v>1250000</v>
      </c>
      <c r="M318">
        <v>1000000</v>
      </c>
      <c r="N318">
        <v>250000</v>
      </c>
      <c r="O318" s="3" t="s">
        <v>419</v>
      </c>
      <c r="P318" s="3" t="s">
        <v>102</v>
      </c>
      <c r="Q318" s="3" t="s">
        <v>103</v>
      </c>
      <c r="R318" s="3" t="s">
        <v>103</v>
      </c>
    </row>
    <row r="319" spans="1:18">
      <c r="A319" s="19">
        <v>45993</v>
      </c>
      <c r="B319" s="3" t="s">
        <v>29</v>
      </c>
      <c r="C319" s="3" t="s">
        <v>26</v>
      </c>
      <c r="D319" s="3" t="s">
        <v>13</v>
      </c>
      <c r="E319" s="3" t="s">
        <v>20</v>
      </c>
      <c r="F319" s="3" t="s">
        <v>34</v>
      </c>
      <c r="G319" s="3" t="s">
        <v>16</v>
      </c>
      <c r="H319">
        <v>320000</v>
      </c>
      <c r="I319">
        <v>9</v>
      </c>
      <c r="J319" s="3" t="s">
        <v>28</v>
      </c>
      <c r="K319">
        <v>256000</v>
      </c>
      <c r="L319">
        <v>2880000</v>
      </c>
      <c r="M319">
        <v>2304000</v>
      </c>
      <c r="N319">
        <v>576000</v>
      </c>
      <c r="O319" s="3" t="s">
        <v>420</v>
      </c>
      <c r="P319" s="3" t="s">
        <v>102</v>
      </c>
      <c r="Q319" s="3" t="s">
        <v>103</v>
      </c>
      <c r="R319" s="3" t="s">
        <v>103</v>
      </c>
    </row>
    <row r="320" spans="1:18">
      <c r="A320" s="19">
        <v>45994</v>
      </c>
      <c r="B320" s="3" t="s">
        <v>29</v>
      </c>
      <c r="C320" s="3" t="s">
        <v>19</v>
      </c>
      <c r="D320" s="3" t="s">
        <v>23</v>
      </c>
      <c r="E320" s="3" t="s">
        <v>20</v>
      </c>
      <c r="F320" s="3" t="s">
        <v>36</v>
      </c>
      <c r="G320" s="3" t="s">
        <v>31</v>
      </c>
      <c r="H320">
        <v>150000</v>
      </c>
      <c r="I320">
        <v>7</v>
      </c>
      <c r="J320" s="3" t="s">
        <v>24</v>
      </c>
      <c r="K320">
        <v>120000</v>
      </c>
      <c r="L320">
        <v>1050000</v>
      </c>
      <c r="M320">
        <v>840000</v>
      </c>
      <c r="N320">
        <v>210000</v>
      </c>
      <c r="O320" s="3" t="s">
        <v>421</v>
      </c>
      <c r="P320" s="3" t="s">
        <v>102</v>
      </c>
      <c r="Q320" s="3" t="s">
        <v>103</v>
      </c>
      <c r="R320" s="3" t="s">
        <v>103</v>
      </c>
    </row>
    <row r="321" spans="1:18">
      <c r="A321" s="19">
        <v>45995</v>
      </c>
      <c r="B321" s="3" t="s">
        <v>18</v>
      </c>
      <c r="C321" s="3" t="s">
        <v>12</v>
      </c>
      <c r="D321" s="3" t="s">
        <v>13</v>
      </c>
      <c r="E321" s="3" t="s">
        <v>14</v>
      </c>
      <c r="F321" s="3" t="s">
        <v>38</v>
      </c>
      <c r="G321" s="3" t="s">
        <v>31</v>
      </c>
      <c r="H321">
        <v>420000</v>
      </c>
      <c r="I321">
        <v>9</v>
      </c>
      <c r="J321" s="3" t="s">
        <v>37</v>
      </c>
      <c r="K321">
        <v>336000</v>
      </c>
      <c r="L321">
        <v>3780000</v>
      </c>
      <c r="M321">
        <v>3024000</v>
      </c>
      <c r="N321">
        <v>756000</v>
      </c>
      <c r="O321" s="3" t="s">
        <v>422</v>
      </c>
      <c r="P321" s="3" t="s">
        <v>102</v>
      </c>
      <c r="Q321" s="3" t="s">
        <v>103</v>
      </c>
      <c r="R321" s="3" t="s">
        <v>103</v>
      </c>
    </row>
    <row r="322" spans="1:18">
      <c r="A322" s="19">
        <v>45996</v>
      </c>
      <c r="B322" s="3" t="s">
        <v>25</v>
      </c>
      <c r="C322" s="3" t="s">
        <v>19</v>
      </c>
      <c r="D322" s="3" t="s">
        <v>23</v>
      </c>
      <c r="E322" s="3" t="s">
        <v>20</v>
      </c>
      <c r="F322" s="3" t="s">
        <v>27</v>
      </c>
      <c r="G322" s="3" t="s">
        <v>22</v>
      </c>
      <c r="H322">
        <v>60000</v>
      </c>
      <c r="I322">
        <v>4</v>
      </c>
      <c r="J322" s="3" t="s">
        <v>24</v>
      </c>
      <c r="K322">
        <v>48000</v>
      </c>
      <c r="L322">
        <v>240000</v>
      </c>
      <c r="M322">
        <v>192000</v>
      </c>
      <c r="N322">
        <v>48000</v>
      </c>
      <c r="O322" s="3" t="s">
        <v>423</v>
      </c>
      <c r="P322" s="3" t="s">
        <v>102</v>
      </c>
      <c r="Q322" s="3" t="s">
        <v>103</v>
      </c>
      <c r="R322" s="3" t="s">
        <v>103</v>
      </c>
    </row>
    <row r="323" spans="1:18">
      <c r="A323" s="19">
        <v>45997</v>
      </c>
      <c r="B323" s="3" t="s">
        <v>11</v>
      </c>
      <c r="C323" s="3" t="s">
        <v>26</v>
      </c>
      <c r="D323" s="3" t="s">
        <v>13</v>
      </c>
      <c r="E323" s="3" t="s">
        <v>20</v>
      </c>
      <c r="F323" s="3" t="s">
        <v>40</v>
      </c>
      <c r="G323" s="3" t="s">
        <v>31</v>
      </c>
      <c r="H323">
        <v>250000</v>
      </c>
      <c r="I323">
        <v>5</v>
      </c>
      <c r="J323" s="3" t="s">
        <v>24</v>
      </c>
      <c r="K323">
        <v>200000</v>
      </c>
      <c r="L323">
        <v>1250000</v>
      </c>
      <c r="M323">
        <v>1000000</v>
      </c>
      <c r="N323">
        <v>250000</v>
      </c>
      <c r="O323" s="3" t="s">
        <v>424</v>
      </c>
      <c r="P323" s="3" t="s">
        <v>102</v>
      </c>
      <c r="Q323" s="3" t="s">
        <v>103</v>
      </c>
      <c r="R323" s="3" t="s">
        <v>103</v>
      </c>
    </row>
    <row r="324" spans="1:18">
      <c r="A324" s="19">
        <v>45998</v>
      </c>
      <c r="B324" s="3" t="s">
        <v>11</v>
      </c>
      <c r="C324" s="3" t="s">
        <v>26</v>
      </c>
      <c r="D324" s="3" t="s">
        <v>23</v>
      </c>
      <c r="E324" s="3" t="s">
        <v>14</v>
      </c>
      <c r="F324" s="3" t="s">
        <v>30</v>
      </c>
      <c r="G324" s="3" t="s">
        <v>31</v>
      </c>
      <c r="H324">
        <v>300000</v>
      </c>
      <c r="I324">
        <v>8</v>
      </c>
      <c r="J324" s="3" t="s">
        <v>35</v>
      </c>
      <c r="K324">
        <v>240000</v>
      </c>
      <c r="L324">
        <v>2400000</v>
      </c>
      <c r="M324">
        <v>1920000</v>
      </c>
      <c r="N324">
        <v>480000</v>
      </c>
      <c r="O324" s="3" t="s">
        <v>425</v>
      </c>
      <c r="P324" s="3" t="s">
        <v>102</v>
      </c>
      <c r="Q324" s="3" t="s">
        <v>103</v>
      </c>
      <c r="R324" s="3" t="s">
        <v>103</v>
      </c>
    </row>
    <row r="325" spans="1:18">
      <c r="A325" s="19">
        <v>45999</v>
      </c>
      <c r="B325" s="3" t="s">
        <v>11</v>
      </c>
      <c r="C325" s="3" t="s">
        <v>26</v>
      </c>
      <c r="D325" s="3" t="s">
        <v>23</v>
      </c>
      <c r="E325" s="3" t="s">
        <v>14</v>
      </c>
      <c r="F325" s="3" t="s">
        <v>38</v>
      </c>
      <c r="G325" s="3" t="s">
        <v>31</v>
      </c>
      <c r="H325">
        <v>420000</v>
      </c>
      <c r="I325">
        <v>4</v>
      </c>
      <c r="J325" s="3" t="s">
        <v>39</v>
      </c>
      <c r="K325">
        <v>336000</v>
      </c>
      <c r="L325">
        <v>1680000</v>
      </c>
      <c r="M325">
        <v>1344000</v>
      </c>
      <c r="N325">
        <v>336000</v>
      </c>
      <c r="O325" s="3" t="s">
        <v>426</v>
      </c>
      <c r="P325" s="3" t="s">
        <v>102</v>
      </c>
      <c r="Q325" s="3" t="s">
        <v>103</v>
      </c>
      <c r="R325" s="3" t="s">
        <v>103</v>
      </c>
    </row>
    <row r="326" spans="1:18">
      <c r="A326" s="19">
        <v>46000</v>
      </c>
      <c r="B326" s="3" t="s">
        <v>11</v>
      </c>
      <c r="C326" s="3" t="s">
        <v>26</v>
      </c>
      <c r="D326" s="3" t="s">
        <v>23</v>
      </c>
      <c r="E326" s="3" t="s">
        <v>20</v>
      </c>
      <c r="F326" s="3" t="s">
        <v>21</v>
      </c>
      <c r="G326" s="3" t="s">
        <v>22</v>
      </c>
      <c r="H326">
        <v>30000</v>
      </c>
      <c r="I326">
        <v>4</v>
      </c>
      <c r="J326" s="3" t="s">
        <v>24</v>
      </c>
      <c r="K326">
        <v>24000</v>
      </c>
      <c r="L326">
        <v>120000</v>
      </c>
      <c r="M326">
        <v>96000</v>
      </c>
      <c r="N326">
        <v>24000</v>
      </c>
      <c r="O326" s="3" t="s">
        <v>427</v>
      </c>
      <c r="P326" s="3" t="s">
        <v>102</v>
      </c>
      <c r="Q326" s="3" t="s">
        <v>103</v>
      </c>
      <c r="R326" s="3" t="s">
        <v>103</v>
      </c>
    </row>
    <row r="327" spans="1:18">
      <c r="A327" s="19">
        <v>46001</v>
      </c>
      <c r="B327" s="3" t="s">
        <v>18</v>
      </c>
      <c r="C327" s="3" t="s">
        <v>32</v>
      </c>
      <c r="D327" s="3" t="s">
        <v>13</v>
      </c>
      <c r="E327" s="3" t="s">
        <v>14</v>
      </c>
      <c r="F327" s="3" t="s">
        <v>34</v>
      </c>
      <c r="G327" s="3" t="s">
        <v>16</v>
      </c>
      <c r="H327">
        <v>320000</v>
      </c>
      <c r="I327">
        <v>7</v>
      </c>
      <c r="J327" s="3" t="s">
        <v>24</v>
      </c>
      <c r="K327">
        <v>256000</v>
      </c>
      <c r="L327">
        <v>2240000</v>
      </c>
      <c r="M327">
        <v>1792000</v>
      </c>
      <c r="N327">
        <v>448000</v>
      </c>
      <c r="O327" s="3" t="s">
        <v>428</v>
      </c>
      <c r="P327" s="3" t="s">
        <v>102</v>
      </c>
      <c r="Q327" s="3" t="s">
        <v>103</v>
      </c>
      <c r="R327" s="3" t="s">
        <v>103</v>
      </c>
    </row>
    <row r="328" spans="1:18">
      <c r="A328" s="19">
        <v>46002</v>
      </c>
      <c r="B328" s="3" t="s">
        <v>25</v>
      </c>
      <c r="C328" s="3" t="s">
        <v>19</v>
      </c>
      <c r="D328" s="3" t="s">
        <v>13</v>
      </c>
      <c r="E328" s="3" t="s">
        <v>14</v>
      </c>
      <c r="F328" s="3" t="s">
        <v>36</v>
      </c>
      <c r="G328" s="3" t="s">
        <v>31</v>
      </c>
      <c r="H328">
        <v>150000</v>
      </c>
      <c r="I328">
        <v>8</v>
      </c>
      <c r="J328" s="3" t="s">
        <v>37</v>
      </c>
      <c r="K328">
        <v>120000</v>
      </c>
      <c r="L328">
        <v>1200000</v>
      </c>
      <c r="M328">
        <v>960000</v>
      </c>
      <c r="N328">
        <v>240000</v>
      </c>
      <c r="O328" s="3" t="s">
        <v>429</v>
      </c>
      <c r="P328" s="3" t="s">
        <v>102</v>
      </c>
      <c r="Q328" s="3" t="s">
        <v>103</v>
      </c>
      <c r="R328" s="3" t="s">
        <v>103</v>
      </c>
    </row>
    <row r="329" spans="1:18">
      <c r="A329" s="19">
        <v>46003</v>
      </c>
      <c r="B329" s="3" t="s">
        <v>11</v>
      </c>
      <c r="C329" s="3" t="s">
        <v>19</v>
      </c>
      <c r="D329" s="3" t="s">
        <v>13</v>
      </c>
      <c r="E329" s="3" t="s">
        <v>20</v>
      </c>
      <c r="F329" s="3" t="s">
        <v>27</v>
      </c>
      <c r="G329" s="3" t="s">
        <v>22</v>
      </c>
      <c r="H329">
        <v>60000</v>
      </c>
      <c r="I329">
        <v>7</v>
      </c>
      <c r="J329" s="3" t="s">
        <v>28</v>
      </c>
      <c r="K329">
        <v>48000</v>
      </c>
      <c r="L329">
        <v>420000</v>
      </c>
      <c r="M329">
        <v>336000</v>
      </c>
      <c r="N329">
        <v>84000</v>
      </c>
      <c r="O329" s="3" t="s">
        <v>430</v>
      </c>
      <c r="P329" s="3" t="s">
        <v>102</v>
      </c>
      <c r="Q329" s="3" t="s">
        <v>103</v>
      </c>
      <c r="R329" s="3" t="s">
        <v>103</v>
      </c>
    </row>
    <row r="330" spans="1:18">
      <c r="A330" s="19">
        <v>46004</v>
      </c>
      <c r="B330" s="3" t="s">
        <v>25</v>
      </c>
      <c r="C330" s="3" t="s">
        <v>26</v>
      </c>
      <c r="D330" s="3" t="s">
        <v>13</v>
      </c>
      <c r="E330" s="3" t="s">
        <v>14</v>
      </c>
      <c r="F330" s="3" t="s">
        <v>33</v>
      </c>
      <c r="G330" s="3" t="s">
        <v>22</v>
      </c>
      <c r="H330">
        <v>180000</v>
      </c>
      <c r="I330">
        <v>4</v>
      </c>
      <c r="J330" s="3" t="s">
        <v>24</v>
      </c>
      <c r="K330">
        <v>144000</v>
      </c>
      <c r="L330">
        <v>720000</v>
      </c>
      <c r="M330">
        <v>576000</v>
      </c>
      <c r="N330">
        <v>144000</v>
      </c>
      <c r="O330" s="3" t="s">
        <v>431</v>
      </c>
      <c r="P330" s="3" t="s">
        <v>102</v>
      </c>
      <c r="Q330" s="3" t="s">
        <v>103</v>
      </c>
      <c r="R330" s="3" t="s">
        <v>103</v>
      </c>
    </row>
    <row r="331" spans="1:18">
      <c r="A331" s="19">
        <v>46005</v>
      </c>
      <c r="B331" s="3" t="s">
        <v>11</v>
      </c>
      <c r="C331" s="3" t="s">
        <v>26</v>
      </c>
      <c r="D331" s="3" t="s">
        <v>23</v>
      </c>
      <c r="E331" s="3" t="s">
        <v>20</v>
      </c>
      <c r="F331" s="3" t="s">
        <v>38</v>
      </c>
      <c r="G331" s="3" t="s">
        <v>31</v>
      </c>
      <c r="H331">
        <v>420000</v>
      </c>
      <c r="I331">
        <v>8</v>
      </c>
      <c r="J331" s="3" t="s">
        <v>37</v>
      </c>
      <c r="K331">
        <v>336000</v>
      </c>
      <c r="L331">
        <v>3360000</v>
      </c>
      <c r="M331">
        <v>2688000</v>
      </c>
      <c r="N331">
        <v>672000</v>
      </c>
      <c r="O331" s="3" t="s">
        <v>432</v>
      </c>
      <c r="P331" s="3" t="s">
        <v>102</v>
      </c>
      <c r="Q331" s="3" t="s">
        <v>103</v>
      </c>
      <c r="R331" s="3" t="s">
        <v>103</v>
      </c>
    </row>
    <row r="332" spans="1:18">
      <c r="A332" s="19">
        <v>46006</v>
      </c>
      <c r="B332" s="3" t="s">
        <v>11</v>
      </c>
      <c r="C332" s="3" t="s">
        <v>26</v>
      </c>
      <c r="D332" s="3" t="s">
        <v>13</v>
      </c>
      <c r="E332" s="3" t="s">
        <v>20</v>
      </c>
      <c r="F332" s="3" t="s">
        <v>30</v>
      </c>
      <c r="G332" s="3" t="s">
        <v>31</v>
      </c>
      <c r="H332">
        <v>300000</v>
      </c>
      <c r="I332">
        <v>2</v>
      </c>
      <c r="J332" s="3" t="s">
        <v>39</v>
      </c>
      <c r="K332">
        <v>240000</v>
      </c>
      <c r="L332">
        <v>600000</v>
      </c>
      <c r="M332">
        <v>480000</v>
      </c>
      <c r="N332">
        <v>120000</v>
      </c>
      <c r="O332" s="3" t="s">
        <v>433</v>
      </c>
      <c r="P332" s="3" t="s">
        <v>102</v>
      </c>
      <c r="Q332" s="3" t="s">
        <v>103</v>
      </c>
      <c r="R332" s="3" t="s">
        <v>103</v>
      </c>
    </row>
    <row r="333" spans="1:18">
      <c r="A333" s="19">
        <v>46007</v>
      </c>
      <c r="B333" s="3" t="s">
        <v>25</v>
      </c>
      <c r="C333" s="3" t="s">
        <v>19</v>
      </c>
      <c r="D333" s="3" t="s">
        <v>23</v>
      </c>
      <c r="E333" s="3" t="s">
        <v>14</v>
      </c>
      <c r="F333" s="3" t="s">
        <v>38</v>
      </c>
      <c r="G333" s="3" t="s">
        <v>31</v>
      </c>
      <c r="H333">
        <v>420000</v>
      </c>
      <c r="I333">
        <v>3</v>
      </c>
      <c r="J333" s="3" t="s">
        <v>37</v>
      </c>
      <c r="K333">
        <v>336000</v>
      </c>
      <c r="L333">
        <v>1260000</v>
      </c>
      <c r="M333">
        <v>1008000</v>
      </c>
      <c r="N333">
        <v>252000</v>
      </c>
      <c r="O333" s="3" t="s">
        <v>434</v>
      </c>
      <c r="P333" s="3" t="s">
        <v>102</v>
      </c>
      <c r="Q333" s="3" t="s">
        <v>103</v>
      </c>
      <c r="R333" s="3" t="s">
        <v>103</v>
      </c>
    </row>
    <row r="334" spans="1:18">
      <c r="A334" s="19">
        <v>46008</v>
      </c>
      <c r="B334" s="3" t="s">
        <v>29</v>
      </c>
      <c r="C334" s="3" t="s">
        <v>26</v>
      </c>
      <c r="D334" s="3" t="s">
        <v>13</v>
      </c>
      <c r="E334" s="3" t="s">
        <v>14</v>
      </c>
      <c r="F334" s="3" t="s">
        <v>15</v>
      </c>
      <c r="G334" s="3" t="s">
        <v>16</v>
      </c>
      <c r="H334">
        <v>85000</v>
      </c>
      <c r="I334">
        <v>3</v>
      </c>
      <c r="J334" s="3" t="s">
        <v>28</v>
      </c>
      <c r="K334">
        <v>68000</v>
      </c>
      <c r="L334">
        <v>255000</v>
      </c>
      <c r="M334">
        <v>204000</v>
      </c>
      <c r="N334">
        <v>51000</v>
      </c>
      <c r="O334" s="3" t="s">
        <v>435</v>
      </c>
      <c r="P334" s="3" t="s">
        <v>102</v>
      </c>
      <c r="Q334" s="3" t="s">
        <v>103</v>
      </c>
      <c r="R334" s="3" t="s">
        <v>103</v>
      </c>
    </row>
    <row r="335" spans="1:18">
      <c r="A335" s="19">
        <v>46009</v>
      </c>
      <c r="B335" s="3" t="s">
        <v>11</v>
      </c>
      <c r="C335" s="3" t="s">
        <v>32</v>
      </c>
      <c r="D335" s="3" t="s">
        <v>23</v>
      </c>
      <c r="E335" s="3" t="s">
        <v>20</v>
      </c>
      <c r="F335" s="3" t="s">
        <v>27</v>
      </c>
      <c r="G335" s="3" t="s">
        <v>22</v>
      </c>
      <c r="H335">
        <v>60000</v>
      </c>
      <c r="I335">
        <v>8</v>
      </c>
      <c r="J335" s="3" t="s">
        <v>24</v>
      </c>
      <c r="K335">
        <v>48000</v>
      </c>
      <c r="L335">
        <v>480000</v>
      </c>
      <c r="M335">
        <v>384000</v>
      </c>
      <c r="N335">
        <v>96000</v>
      </c>
      <c r="O335" s="3" t="s">
        <v>436</v>
      </c>
      <c r="P335" s="3" t="s">
        <v>102</v>
      </c>
      <c r="Q335" s="3" t="s">
        <v>103</v>
      </c>
      <c r="R335" s="3" t="s">
        <v>103</v>
      </c>
    </row>
    <row r="336" spans="1:18">
      <c r="A336" s="19">
        <v>46010</v>
      </c>
      <c r="B336" s="3" t="s">
        <v>11</v>
      </c>
      <c r="C336" s="3" t="s">
        <v>19</v>
      </c>
      <c r="D336" s="3" t="s">
        <v>23</v>
      </c>
      <c r="E336" s="3" t="s">
        <v>20</v>
      </c>
      <c r="F336" s="3" t="s">
        <v>33</v>
      </c>
      <c r="G336" s="3" t="s">
        <v>22</v>
      </c>
      <c r="H336">
        <v>180000</v>
      </c>
      <c r="I336">
        <v>10</v>
      </c>
      <c r="J336" s="3" t="s">
        <v>35</v>
      </c>
      <c r="K336">
        <v>144000</v>
      </c>
      <c r="L336">
        <v>1800000</v>
      </c>
      <c r="M336">
        <v>1440000</v>
      </c>
      <c r="N336">
        <v>360000</v>
      </c>
      <c r="O336" s="3" t="s">
        <v>437</v>
      </c>
      <c r="P336" s="3" t="s">
        <v>102</v>
      </c>
      <c r="Q336" s="3" t="s">
        <v>103</v>
      </c>
      <c r="R336" s="3" t="s">
        <v>103</v>
      </c>
    </row>
    <row r="337" spans="1:18">
      <c r="A337" s="19">
        <v>46011</v>
      </c>
      <c r="B337" s="3" t="s">
        <v>18</v>
      </c>
      <c r="C337" s="3" t="s">
        <v>32</v>
      </c>
      <c r="D337" s="3" t="s">
        <v>23</v>
      </c>
      <c r="E337" s="3" t="s">
        <v>14</v>
      </c>
      <c r="F337" s="3" t="s">
        <v>33</v>
      </c>
      <c r="G337" s="3" t="s">
        <v>22</v>
      </c>
      <c r="H337">
        <v>180000</v>
      </c>
      <c r="I337">
        <v>7</v>
      </c>
      <c r="J337" s="3" t="s">
        <v>17</v>
      </c>
      <c r="K337">
        <v>144000</v>
      </c>
      <c r="L337">
        <v>1260000</v>
      </c>
      <c r="M337">
        <v>1008000</v>
      </c>
      <c r="N337">
        <v>252000</v>
      </c>
      <c r="O337" s="3" t="s">
        <v>438</v>
      </c>
      <c r="P337" s="3" t="s">
        <v>102</v>
      </c>
      <c r="Q337" s="3" t="s">
        <v>103</v>
      </c>
      <c r="R337" s="3" t="s">
        <v>103</v>
      </c>
    </row>
    <row r="338" spans="1:18">
      <c r="A338" s="19">
        <v>46012</v>
      </c>
      <c r="B338" s="3" t="s">
        <v>18</v>
      </c>
      <c r="C338" s="3" t="s">
        <v>32</v>
      </c>
      <c r="D338" s="3" t="s">
        <v>13</v>
      </c>
      <c r="E338" s="3" t="s">
        <v>20</v>
      </c>
      <c r="F338" s="3" t="s">
        <v>21</v>
      </c>
      <c r="G338" s="3" t="s">
        <v>22</v>
      </c>
      <c r="H338">
        <v>30000</v>
      </c>
      <c r="I338">
        <v>3</v>
      </c>
      <c r="J338" s="3" t="s">
        <v>28</v>
      </c>
      <c r="K338">
        <v>24000</v>
      </c>
      <c r="L338">
        <v>90000</v>
      </c>
      <c r="M338">
        <v>72000</v>
      </c>
      <c r="N338">
        <v>18000</v>
      </c>
      <c r="O338" s="3" t="s">
        <v>439</v>
      </c>
      <c r="P338" s="3" t="s">
        <v>102</v>
      </c>
      <c r="Q338" s="3" t="s">
        <v>103</v>
      </c>
      <c r="R338" s="3" t="s">
        <v>103</v>
      </c>
    </row>
    <row r="339" spans="1:18">
      <c r="A339" s="19">
        <v>46013</v>
      </c>
      <c r="B339" s="3" t="s">
        <v>29</v>
      </c>
      <c r="C339" s="3" t="s">
        <v>12</v>
      </c>
      <c r="D339" s="3" t="s">
        <v>23</v>
      </c>
      <c r="E339" s="3" t="s">
        <v>20</v>
      </c>
      <c r="F339" s="3" t="s">
        <v>21</v>
      </c>
      <c r="G339" s="3" t="s">
        <v>22</v>
      </c>
      <c r="H339">
        <v>30000</v>
      </c>
      <c r="I339">
        <v>6</v>
      </c>
      <c r="J339" s="3" t="s">
        <v>24</v>
      </c>
      <c r="K339">
        <v>24000</v>
      </c>
      <c r="L339">
        <v>180000</v>
      </c>
      <c r="M339">
        <v>144000</v>
      </c>
      <c r="N339">
        <v>36000</v>
      </c>
      <c r="O339" s="3" t="s">
        <v>440</v>
      </c>
      <c r="P339" s="3" t="s">
        <v>102</v>
      </c>
      <c r="Q339" s="3" t="s">
        <v>103</v>
      </c>
      <c r="R339" s="3" t="s">
        <v>103</v>
      </c>
    </row>
    <row r="340" spans="1:18">
      <c r="A340" s="19">
        <v>46014</v>
      </c>
      <c r="B340" s="3" t="s">
        <v>29</v>
      </c>
      <c r="C340" s="3" t="s">
        <v>19</v>
      </c>
      <c r="D340" s="3" t="s">
        <v>23</v>
      </c>
      <c r="E340" s="3" t="s">
        <v>14</v>
      </c>
      <c r="F340" s="3" t="s">
        <v>38</v>
      </c>
      <c r="G340" s="3" t="s">
        <v>31</v>
      </c>
      <c r="H340">
        <v>420000</v>
      </c>
      <c r="I340">
        <v>4</v>
      </c>
      <c r="J340" s="3" t="s">
        <v>37</v>
      </c>
      <c r="K340">
        <v>336000</v>
      </c>
      <c r="L340">
        <v>1680000</v>
      </c>
      <c r="M340">
        <v>1344000</v>
      </c>
      <c r="N340">
        <v>336000</v>
      </c>
      <c r="O340" s="3" t="s">
        <v>441</v>
      </c>
      <c r="P340" s="3" t="s">
        <v>102</v>
      </c>
      <c r="Q340" s="3" t="s">
        <v>103</v>
      </c>
      <c r="R340" s="3" t="s">
        <v>103</v>
      </c>
    </row>
    <row r="341" spans="1:18">
      <c r="A341" s="19">
        <v>46015</v>
      </c>
      <c r="B341" s="3" t="s">
        <v>18</v>
      </c>
      <c r="C341" s="3" t="s">
        <v>26</v>
      </c>
      <c r="D341" s="3" t="s">
        <v>13</v>
      </c>
      <c r="E341" s="3" t="s">
        <v>14</v>
      </c>
      <c r="F341" s="3" t="s">
        <v>41</v>
      </c>
      <c r="G341" s="3" t="s">
        <v>22</v>
      </c>
      <c r="H341">
        <v>220000</v>
      </c>
      <c r="I341">
        <v>8</v>
      </c>
      <c r="J341" s="3" t="s">
        <v>39</v>
      </c>
      <c r="K341">
        <v>176000</v>
      </c>
      <c r="L341">
        <v>1760000</v>
      </c>
      <c r="M341">
        <v>1408000</v>
      </c>
      <c r="N341">
        <v>352000</v>
      </c>
      <c r="O341" s="3" t="s">
        <v>442</v>
      </c>
      <c r="P341" s="3" t="s">
        <v>102</v>
      </c>
      <c r="Q341" s="3" t="s">
        <v>103</v>
      </c>
      <c r="R341" s="3" t="s">
        <v>103</v>
      </c>
    </row>
    <row r="342" spans="1:18">
      <c r="A342" s="19">
        <v>46016</v>
      </c>
      <c r="B342" s="3" t="s">
        <v>29</v>
      </c>
      <c r="C342" s="3" t="s">
        <v>19</v>
      </c>
      <c r="D342" s="3" t="s">
        <v>23</v>
      </c>
      <c r="E342" s="3" t="s">
        <v>20</v>
      </c>
      <c r="F342" s="3" t="s">
        <v>15</v>
      </c>
      <c r="G342" s="3" t="s">
        <v>16</v>
      </c>
      <c r="H342">
        <v>85000</v>
      </c>
      <c r="I342">
        <v>5</v>
      </c>
      <c r="J342" s="3" t="s">
        <v>17</v>
      </c>
      <c r="K342">
        <v>68000</v>
      </c>
      <c r="L342">
        <v>425000</v>
      </c>
      <c r="M342">
        <v>340000</v>
      </c>
      <c r="N342">
        <v>85000</v>
      </c>
      <c r="O342" s="3" t="s">
        <v>443</v>
      </c>
      <c r="P342" s="3" t="s">
        <v>102</v>
      </c>
      <c r="Q342" s="3" t="s">
        <v>103</v>
      </c>
      <c r="R342" s="3" t="s">
        <v>103</v>
      </c>
    </row>
    <row r="343" spans="1:18">
      <c r="A343" s="19">
        <v>46017</v>
      </c>
      <c r="B343" s="3" t="s">
        <v>11</v>
      </c>
      <c r="C343" s="3" t="s">
        <v>19</v>
      </c>
      <c r="D343" s="3" t="s">
        <v>13</v>
      </c>
      <c r="E343" s="3" t="s">
        <v>14</v>
      </c>
      <c r="F343" s="3" t="s">
        <v>34</v>
      </c>
      <c r="G343" s="3" t="s">
        <v>16</v>
      </c>
      <c r="H343">
        <v>320000</v>
      </c>
      <c r="I343">
        <v>7</v>
      </c>
      <c r="J343" s="3" t="s">
        <v>28</v>
      </c>
      <c r="K343">
        <v>256000</v>
      </c>
      <c r="L343">
        <v>2240000</v>
      </c>
      <c r="M343">
        <v>1792000</v>
      </c>
      <c r="N343">
        <v>448000</v>
      </c>
      <c r="O343" s="3" t="s">
        <v>444</v>
      </c>
      <c r="P343" s="3" t="s">
        <v>102</v>
      </c>
      <c r="Q343" s="3" t="s">
        <v>103</v>
      </c>
      <c r="R343" s="3" t="s">
        <v>103</v>
      </c>
    </row>
    <row r="344" spans="1:18">
      <c r="A344" s="19">
        <v>46018</v>
      </c>
      <c r="B344" s="3" t="s">
        <v>25</v>
      </c>
      <c r="C344" s="3" t="s">
        <v>19</v>
      </c>
      <c r="D344" s="3" t="s">
        <v>23</v>
      </c>
      <c r="E344" s="3" t="s">
        <v>20</v>
      </c>
      <c r="F344" s="3" t="s">
        <v>33</v>
      </c>
      <c r="G344" s="3" t="s">
        <v>22</v>
      </c>
      <c r="H344">
        <v>180000</v>
      </c>
      <c r="I344">
        <v>6</v>
      </c>
      <c r="J344" s="3" t="s">
        <v>17</v>
      </c>
      <c r="K344">
        <v>144000</v>
      </c>
      <c r="L344">
        <v>1080000</v>
      </c>
      <c r="M344">
        <v>864000</v>
      </c>
      <c r="N344">
        <v>216000</v>
      </c>
      <c r="O344" s="3" t="s">
        <v>445</v>
      </c>
      <c r="P344" s="3" t="s">
        <v>102</v>
      </c>
      <c r="Q344" s="3" t="s">
        <v>103</v>
      </c>
      <c r="R344" s="3" t="s">
        <v>103</v>
      </c>
    </row>
    <row r="345" spans="1:18">
      <c r="A345" s="19">
        <v>46019</v>
      </c>
      <c r="B345" s="3" t="s">
        <v>18</v>
      </c>
      <c r="C345" s="3" t="s">
        <v>32</v>
      </c>
      <c r="D345" s="3" t="s">
        <v>23</v>
      </c>
      <c r="E345" s="3" t="s">
        <v>14</v>
      </c>
      <c r="F345" s="3" t="s">
        <v>27</v>
      </c>
      <c r="G345" s="3" t="s">
        <v>22</v>
      </c>
      <c r="H345">
        <v>60000</v>
      </c>
      <c r="I345">
        <v>2</v>
      </c>
      <c r="J345" s="3" t="s">
        <v>37</v>
      </c>
      <c r="K345">
        <v>48000</v>
      </c>
      <c r="L345">
        <v>120000</v>
      </c>
      <c r="M345">
        <v>96000</v>
      </c>
      <c r="N345">
        <v>24000</v>
      </c>
      <c r="O345" s="3" t="s">
        <v>446</v>
      </c>
      <c r="P345" s="3" t="s">
        <v>102</v>
      </c>
      <c r="Q345" s="3" t="s">
        <v>103</v>
      </c>
      <c r="R345" s="3" t="s">
        <v>103</v>
      </c>
    </row>
    <row r="346" spans="1:18">
      <c r="A346" s="19">
        <v>46020</v>
      </c>
      <c r="B346" s="3" t="s">
        <v>11</v>
      </c>
      <c r="C346" s="3" t="s">
        <v>32</v>
      </c>
      <c r="D346" s="3" t="s">
        <v>23</v>
      </c>
      <c r="E346" s="3" t="s">
        <v>20</v>
      </c>
      <c r="F346" s="3" t="s">
        <v>33</v>
      </c>
      <c r="G346" s="3" t="s">
        <v>22</v>
      </c>
      <c r="H346">
        <v>180000</v>
      </c>
      <c r="I346">
        <v>5</v>
      </c>
      <c r="J346" s="3" t="s">
        <v>24</v>
      </c>
      <c r="K346">
        <v>144000</v>
      </c>
      <c r="L346">
        <v>900000</v>
      </c>
      <c r="M346">
        <v>720000</v>
      </c>
      <c r="N346">
        <v>180000</v>
      </c>
      <c r="O346" s="3" t="s">
        <v>447</v>
      </c>
      <c r="P346" s="3" t="s">
        <v>102</v>
      </c>
      <c r="Q346" s="3" t="s">
        <v>103</v>
      </c>
      <c r="R346" s="3" t="s">
        <v>103</v>
      </c>
    </row>
    <row r="347" spans="1:18">
      <c r="A347" s="19">
        <v>46021</v>
      </c>
      <c r="B347" s="3" t="s">
        <v>18</v>
      </c>
      <c r="C347" s="3" t="s">
        <v>32</v>
      </c>
      <c r="D347" s="3" t="s">
        <v>23</v>
      </c>
      <c r="E347" s="3" t="s">
        <v>20</v>
      </c>
      <c r="F347" s="3" t="s">
        <v>36</v>
      </c>
      <c r="G347" s="3" t="s">
        <v>31</v>
      </c>
      <c r="H347">
        <v>150000</v>
      </c>
      <c r="I347">
        <v>6</v>
      </c>
      <c r="J347" s="3" t="s">
        <v>37</v>
      </c>
      <c r="K347">
        <v>120000</v>
      </c>
      <c r="L347">
        <v>900000</v>
      </c>
      <c r="M347">
        <v>720000</v>
      </c>
      <c r="N347">
        <v>180000</v>
      </c>
      <c r="O347" s="3" t="s">
        <v>448</v>
      </c>
      <c r="P347" s="3" t="s">
        <v>102</v>
      </c>
      <c r="Q347" s="3" t="s">
        <v>103</v>
      </c>
      <c r="R347" s="3" t="s">
        <v>103</v>
      </c>
    </row>
    <row r="348" spans="1:18">
      <c r="A348" s="19">
        <v>46022</v>
      </c>
      <c r="B348" s="3" t="s">
        <v>18</v>
      </c>
      <c r="C348" s="3" t="s">
        <v>12</v>
      </c>
      <c r="D348" s="3" t="s">
        <v>23</v>
      </c>
      <c r="E348" s="3" t="s">
        <v>20</v>
      </c>
      <c r="F348" s="3" t="s">
        <v>21</v>
      </c>
      <c r="G348" s="3" t="s">
        <v>22</v>
      </c>
      <c r="H348">
        <v>30000</v>
      </c>
      <c r="I348">
        <v>2</v>
      </c>
      <c r="J348" s="3" t="s">
        <v>37</v>
      </c>
      <c r="K348">
        <v>24000</v>
      </c>
      <c r="L348">
        <v>60000</v>
      </c>
      <c r="M348">
        <v>48000</v>
      </c>
      <c r="N348">
        <v>12000</v>
      </c>
      <c r="O348" s="3" t="s">
        <v>449</v>
      </c>
      <c r="P348" s="3" t="s">
        <v>102</v>
      </c>
      <c r="Q348" s="3" t="s">
        <v>103</v>
      </c>
      <c r="R348" s="3" t="s">
        <v>103</v>
      </c>
    </row>
    <row r="349" spans="1:18">
      <c r="A349" s="19">
        <v>46023</v>
      </c>
      <c r="B349" s="3" t="s">
        <v>29</v>
      </c>
      <c r="C349" s="3" t="s">
        <v>12</v>
      </c>
      <c r="D349" s="3" t="s">
        <v>13</v>
      </c>
      <c r="E349" s="3" t="s">
        <v>14</v>
      </c>
      <c r="F349" s="3" t="s">
        <v>40</v>
      </c>
      <c r="G349" s="3" t="s">
        <v>31</v>
      </c>
      <c r="H349">
        <v>250000</v>
      </c>
      <c r="I349">
        <v>9</v>
      </c>
      <c r="J349" s="3" t="s">
        <v>37</v>
      </c>
      <c r="K349">
        <v>200000</v>
      </c>
      <c r="L349">
        <v>2250000</v>
      </c>
      <c r="M349">
        <v>1800000</v>
      </c>
      <c r="N349">
        <v>450000</v>
      </c>
      <c r="O349" s="3" t="s">
        <v>450</v>
      </c>
      <c r="P349" s="3" t="s">
        <v>102</v>
      </c>
      <c r="Q349" s="3" t="s">
        <v>103</v>
      </c>
      <c r="R349" s="3" t="s">
        <v>103</v>
      </c>
    </row>
    <row r="350" spans="1:18">
      <c r="A350" s="19">
        <v>46024</v>
      </c>
      <c r="B350" s="3" t="s">
        <v>11</v>
      </c>
      <c r="C350" s="3" t="s">
        <v>26</v>
      </c>
      <c r="D350" s="3" t="s">
        <v>13</v>
      </c>
      <c r="E350" s="3" t="s">
        <v>20</v>
      </c>
      <c r="F350" s="3" t="s">
        <v>27</v>
      </c>
      <c r="G350" s="3" t="s">
        <v>22</v>
      </c>
      <c r="H350">
        <v>60000</v>
      </c>
      <c r="I350">
        <v>4</v>
      </c>
      <c r="J350" s="3" t="s">
        <v>24</v>
      </c>
      <c r="K350">
        <v>48000</v>
      </c>
      <c r="L350">
        <v>240000</v>
      </c>
      <c r="M350">
        <v>192000</v>
      </c>
      <c r="N350">
        <v>48000</v>
      </c>
      <c r="O350" s="3" t="s">
        <v>451</v>
      </c>
      <c r="P350" s="3" t="s">
        <v>102</v>
      </c>
      <c r="Q350" s="3" t="s">
        <v>103</v>
      </c>
      <c r="R350" s="3" t="s">
        <v>103</v>
      </c>
    </row>
    <row r="351" spans="1:18">
      <c r="A351" s="19">
        <v>46025</v>
      </c>
      <c r="B351" s="3" t="s">
        <v>18</v>
      </c>
      <c r="C351" s="3" t="s">
        <v>12</v>
      </c>
      <c r="D351" s="3" t="s">
        <v>13</v>
      </c>
      <c r="E351" s="3" t="s">
        <v>14</v>
      </c>
      <c r="F351" s="3" t="s">
        <v>36</v>
      </c>
      <c r="G351" s="3" t="s">
        <v>31</v>
      </c>
      <c r="H351">
        <v>150000</v>
      </c>
      <c r="I351">
        <v>9</v>
      </c>
      <c r="J351" s="3" t="s">
        <v>37</v>
      </c>
      <c r="K351">
        <v>120000</v>
      </c>
      <c r="L351">
        <v>1350000</v>
      </c>
      <c r="M351">
        <v>1080000</v>
      </c>
      <c r="N351">
        <v>270000</v>
      </c>
      <c r="O351" s="3" t="s">
        <v>452</v>
      </c>
      <c r="P351" s="3" t="s">
        <v>102</v>
      </c>
      <c r="Q351" s="3" t="s">
        <v>103</v>
      </c>
      <c r="R351" s="3" t="s">
        <v>103</v>
      </c>
    </row>
    <row r="352" spans="1:18">
      <c r="A352" s="19">
        <v>46026</v>
      </c>
      <c r="B352" s="3" t="s">
        <v>29</v>
      </c>
      <c r="C352" s="3" t="s">
        <v>19</v>
      </c>
      <c r="D352" s="3" t="s">
        <v>23</v>
      </c>
      <c r="E352" s="3" t="s">
        <v>20</v>
      </c>
      <c r="F352" s="3" t="s">
        <v>33</v>
      </c>
      <c r="G352" s="3" t="s">
        <v>22</v>
      </c>
      <c r="H352">
        <v>180000</v>
      </c>
      <c r="I352">
        <v>3</v>
      </c>
      <c r="J352" s="3" t="s">
        <v>17</v>
      </c>
      <c r="K352">
        <v>144000</v>
      </c>
      <c r="L352">
        <v>540000</v>
      </c>
      <c r="M352">
        <v>432000</v>
      </c>
      <c r="N352">
        <v>108000</v>
      </c>
      <c r="O352" s="3" t="s">
        <v>453</v>
      </c>
      <c r="P352" s="3" t="s">
        <v>102</v>
      </c>
      <c r="Q352" s="3" t="s">
        <v>103</v>
      </c>
      <c r="R352" s="3" t="s">
        <v>103</v>
      </c>
    </row>
    <row r="353" spans="1:18">
      <c r="A353" s="19">
        <v>46027</v>
      </c>
      <c r="B353" s="3" t="s">
        <v>11</v>
      </c>
      <c r="C353" s="3" t="s">
        <v>12</v>
      </c>
      <c r="D353" s="3" t="s">
        <v>13</v>
      </c>
      <c r="E353" s="3" t="s">
        <v>14</v>
      </c>
      <c r="F353" s="3" t="s">
        <v>33</v>
      </c>
      <c r="G353" s="3" t="s">
        <v>22</v>
      </c>
      <c r="H353">
        <v>180000</v>
      </c>
      <c r="I353">
        <v>10</v>
      </c>
      <c r="J353" s="3" t="s">
        <v>17</v>
      </c>
      <c r="K353">
        <v>144000</v>
      </c>
      <c r="L353">
        <v>1800000</v>
      </c>
      <c r="M353">
        <v>1440000</v>
      </c>
      <c r="N353">
        <v>360000</v>
      </c>
      <c r="O353" s="3" t="s">
        <v>454</v>
      </c>
      <c r="P353" s="3" t="s">
        <v>102</v>
      </c>
      <c r="Q353" s="3" t="s">
        <v>103</v>
      </c>
      <c r="R353" s="3" t="s">
        <v>103</v>
      </c>
    </row>
    <row r="354" spans="1:18">
      <c r="A354" s="19">
        <v>46028</v>
      </c>
      <c r="B354" s="3" t="s">
        <v>18</v>
      </c>
      <c r="C354" s="3" t="s">
        <v>19</v>
      </c>
      <c r="D354" s="3" t="s">
        <v>13</v>
      </c>
      <c r="E354" s="3" t="s">
        <v>14</v>
      </c>
      <c r="F354" s="3" t="s">
        <v>41</v>
      </c>
      <c r="G354" s="3" t="s">
        <v>22</v>
      </c>
      <c r="H354">
        <v>220000</v>
      </c>
      <c r="I354">
        <v>2</v>
      </c>
      <c r="J354" s="3" t="s">
        <v>17</v>
      </c>
      <c r="K354">
        <v>176000</v>
      </c>
      <c r="L354">
        <v>440000</v>
      </c>
      <c r="M354">
        <v>352000</v>
      </c>
      <c r="N354">
        <v>88000</v>
      </c>
      <c r="O354" s="3" t="s">
        <v>455</v>
      </c>
      <c r="P354" s="3" t="s">
        <v>102</v>
      </c>
      <c r="Q354" s="3" t="s">
        <v>103</v>
      </c>
      <c r="R354" s="3" t="s">
        <v>103</v>
      </c>
    </row>
    <row r="355" spans="1:18">
      <c r="A355" s="19">
        <v>46029</v>
      </c>
      <c r="B355" s="3" t="s">
        <v>29</v>
      </c>
      <c r="C355" s="3" t="s">
        <v>12</v>
      </c>
      <c r="D355" s="3" t="s">
        <v>23</v>
      </c>
      <c r="E355" s="3" t="s">
        <v>14</v>
      </c>
      <c r="F355" s="3" t="s">
        <v>38</v>
      </c>
      <c r="G355" s="3" t="s">
        <v>31</v>
      </c>
      <c r="H355">
        <v>420000</v>
      </c>
      <c r="I355">
        <v>10</v>
      </c>
      <c r="J355" s="3" t="s">
        <v>28</v>
      </c>
      <c r="K355">
        <v>336000</v>
      </c>
      <c r="L355">
        <v>4200000</v>
      </c>
      <c r="M355">
        <v>3360000</v>
      </c>
      <c r="N355">
        <v>840000</v>
      </c>
      <c r="O355" s="3" t="s">
        <v>456</v>
      </c>
      <c r="P355" s="3" t="s">
        <v>102</v>
      </c>
      <c r="Q355" s="3" t="s">
        <v>103</v>
      </c>
      <c r="R355" s="3" t="s">
        <v>103</v>
      </c>
    </row>
    <row r="356" spans="1:18">
      <c r="A356" s="19">
        <v>46030</v>
      </c>
      <c r="B356" s="3" t="s">
        <v>11</v>
      </c>
      <c r="C356" s="3" t="s">
        <v>12</v>
      </c>
      <c r="D356" s="3" t="s">
        <v>13</v>
      </c>
      <c r="E356" s="3" t="s">
        <v>20</v>
      </c>
      <c r="F356" s="3" t="s">
        <v>21</v>
      </c>
      <c r="G356" s="3" t="s">
        <v>22</v>
      </c>
      <c r="H356">
        <v>30000</v>
      </c>
      <c r="I356">
        <v>9</v>
      </c>
      <c r="J356" s="3" t="s">
        <v>39</v>
      </c>
      <c r="K356">
        <v>24000</v>
      </c>
      <c r="L356">
        <v>270000</v>
      </c>
      <c r="M356">
        <v>216000</v>
      </c>
      <c r="N356">
        <v>54000</v>
      </c>
      <c r="O356" s="3" t="s">
        <v>457</v>
      </c>
      <c r="P356" s="3" t="s">
        <v>102</v>
      </c>
      <c r="Q356" s="3" t="s">
        <v>103</v>
      </c>
      <c r="R356" s="3" t="s">
        <v>103</v>
      </c>
    </row>
    <row r="357" spans="1:18">
      <c r="A357" s="19">
        <v>46031</v>
      </c>
      <c r="B357" s="3" t="s">
        <v>11</v>
      </c>
      <c r="C357" s="3" t="s">
        <v>32</v>
      </c>
      <c r="D357" s="3" t="s">
        <v>23</v>
      </c>
      <c r="E357" s="3" t="s">
        <v>14</v>
      </c>
      <c r="F357" s="3" t="s">
        <v>34</v>
      </c>
      <c r="G357" s="3" t="s">
        <v>16</v>
      </c>
      <c r="H357">
        <v>320000</v>
      </c>
      <c r="I357">
        <v>6</v>
      </c>
      <c r="J357" s="3" t="s">
        <v>35</v>
      </c>
      <c r="K357">
        <v>256000</v>
      </c>
      <c r="L357">
        <v>1920000</v>
      </c>
      <c r="M357">
        <v>1536000</v>
      </c>
      <c r="N357">
        <v>384000</v>
      </c>
      <c r="O357" s="3" t="s">
        <v>458</v>
      </c>
      <c r="P357" s="3" t="s">
        <v>102</v>
      </c>
      <c r="Q357" s="3" t="s">
        <v>103</v>
      </c>
      <c r="R357" s="3" t="s">
        <v>103</v>
      </c>
    </row>
    <row r="358" spans="1:18">
      <c r="A358" s="19">
        <v>46032</v>
      </c>
      <c r="B358" s="3" t="s">
        <v>11</v>
      </c>
      <c r="C358" s="3" t="s">
        <v>32</v>
      </c>
      <c r="D358" s="3" t="s">
        <v>13</v>
      </c>
      <c r="E358" s="3" t="s">
        <v>20</v>
      </c>
      <c r="F358" s="3" t="s">
        <v>38</v>
      </c>
      <c r="G358" s="3" t="s">
        <v>31</v>
      </c>
      <c r="H358">
        <v>420000</v>
      </c>
      <c r="I358">
        <v>2</v>
      </c>
      <c r="J358" s="3" t="s">
        <v>39</v>
      </c>
      <c r="K358">
        <v>336000</v>
      </c>
      <c r="L358">
        <v>840000</v>
      </c>
      <c r="M358">
        <v>672000</v>
      </c>
      <c r="N358">
        <v>168000</v>
      </c>
      <c r="O358" s="3" t="s">
        <v>459</v>
      </c>
      <c r="P358" s="3" t="s">
        <v>102</v>
      </c>
      <c r="Q358" s="3" t="s">
        <v>103</v>
      </c>
      <c r="R358" s="3" t="s">
        <v>103</v>
      </c>
    </row>
    <row r="359" spans="1:18">
      <c r="A359" s="19">
        <v>46033</v>
      </c>
      <c r="B359" s="3" t="s">
        <v>25</v>
      </c>
      <c r="C359" s="3" t="s">
        <v>26</v>
      </c>
      <c r="D359" s="3" t="s">
        <v>23</v>
      </c>
      <c r="E359" s="3" t="s">
        <v>14</v>
      </c>
      <c r="F359" s="3" t="s">
        <v>34</v>
      </c>
      <c r="G359" s="3" t="s">
        <v>16</v>
      </c>
      <c r="H359">
        <v>320000</v>
      </c>
      <c r="I359">
        <v>10</v>
      </c>
      <c r="J359" s="3" t="s">
        <v>35</v>
      </c>
      <c r="K359">
        <v>256000</v>
      </c>
      <c r="L359">
        <v>3200000</v>
      </c>
      <c r="M359">
        <v>2560000</v>
      </c>
      <c r="N359">
        <v>640000</v>
      </c>
      <c r="O359" s="3" t="s">
        <v>460</v>
      </c>
      <c r="P359" s="3" t="s">
        <v>102</v>
      </c>
      <c r="Q359" s="3" t="s">
        <v>103</v>
      </c>
      <c r="R359" s="3" t="s">
        <v>103</v>
      </c>
    </row>
    <row r="360" spans="1:18">
      <c r="A360" s="19">
        <v>46034</v>
      </c>
      <c r="B360" s="3" t="s">
        <v>18</v>
      </c>
      <c r="C360" s="3" t="s">
        <v>26</v>
      </c>
      <c r="D360" s="3" t="s">
        <v>23</v>
      </c>
      <c r="E360" s="3" t="s">
        <v>20</v>
      </c>
      <c r="F360" s="3" t="s">
        <v>30</v>
      </c>
      <c r="G360" s="3" t="s">
        <v>31</v>
      </c>
      <c r="H360">
        <v>300000</v>
      </c>
      <c r="I360">
        <v>8</v>
      </c>
      <c r="J360" s="3" t="s">
        <v>39</v>
      </c>
      <c r="K360">
        <v>240000</v>
      </c>
      <c r="L360">
        <v>2400000</v>
      </c>
      <c r="M360">
        <v>1920000</v>
      </c>
      <c r="N360">
        <v>480000</v>
      </c>
      <c r="O360" s="3" t="s">
        <v>461</v>
      </c>
      <c r="P360" s="3" t="s">
        <v>102</v>
      </c>
      <c r="Q360" s="3" t="s">
        <v>103</v>
      </c>
      <c r="R360" s="3" t="s">
        <v>103</v>
      </c>
    </row>
    <row r="361" spans="1:18">
      <c r="A361" s="19">
        <v>46035</v>
      </c>
      <c r="B361" s="3" t="s">
        <v>18</v>
      </c>
      <c r="C361" s="3" t="s">
        <v>12</v>
      </c>
      <c r="D361" s="3" t="s">
        <v>23</v>
      </c>
      <c r="E361" s="3" t="s">
        <v>14</v>
      </c>
      <c r="F361" s="3" t="s">
        <v>27</v>
      </c>
      <c r="G361" s="3" t="s">
        <v>22</v>
      </c>
      <c r="H361">
        <v>60000</v>
      </c>
      <c r="I361">
        <v>1</v>
      </c>
      <c r="J361" s="3" t="s">
        <v>24</v>
      </c>
      <c r="K361">
        <v>48000</v>
      </c>
      <c r="L361">
        <v>60000</v>
      </c>
      <c r="M361">
        <v>48000</v>
      </c>
      <c r="N361">
        <v>12000</v>
      </c>
      <c r="O361" s="3" t="s">
        <v>462</v>
      </c>
      <c r="P361" s="3" t="s">
        <v>102</v>
      </c>
      <c r="Q361" s="3" t="s">
        <v>103</v>
      </c>
      <c r="R361" s="3" t="s">
        <v>103</v>
      </c>
    </row>
    <row r="362" spans="1:18">
      <c r="A362" s="19">
        <v>46036</v>
      </c>
      <c r="B362" s="3" t="s">
        <v>25</v>
      </c>
      <c r="C362" s="3" t="s">
        <v>19</v>
      </c>
      <c r="D362" s="3" t="s">
        <v>23</v>
      </c>
      <c r="E362" s="3" t="s">
        <v>14</v>
      </c>
      <c r="F362" s="3" t="s">
        <v>15</v>
      </c>
      <c r="G362" s="3" t="s">
        <v>16</v>
      </c>
      <c r="H362">
        <v>85000</v>
      </c>
      <c r="I362">
        <v>3</v>
      </c>
      <c r="J362" s="3" t="s">
        <v>24</v>
      </c>
      <c r="K362">
        <v>68000</v>
      </c>
      <c r="L362">
        <v>255000</v>
      </c>
      <c r="M362">
        <v>204000</v>
      </c>
      <c r="N362">
        <v>51000</v>
      </c>
      <c r="O362" s="3" t="s">
        <v>463</v>
      </c>
      <c r="P362" s="3" t="s">
        <v>102</v>
      </c>
      <c r="Q362" s="3" t="s">
        <v>103</v>
      </c>
      <c r="R362" s="3" t="s">
        <v>103</v>
      </c>
    </row>
    <row r="363" spans="1:18">
      <c r="A363" s="19">
        <v>46037</v>
      </c>
      <c r="B363" s="3" t="s">
        <v>18</v>
      </c>
      <c r="C363" s="3" t="s">
        <v>26</v>
      </c>
      <c r="D363" s="3" t="s">
        <v>23</v>
      </c>
      <c r="E363" s="3" t="s">
        <v>20</v>
      </c>
      <c r="F363" s="3" t="s">
        <v>21</v>
      </c>
      <c r="G363" s="3" t="s">
        <v>22</v>
      </c>
      <c r="H363">
        <v>30000</v>
      </c>
      <c r="I363">
        <v>10</v>
      </c>
      <c r="J363" s="3" t="s">
        <v>17</v>
      </c>
      <c r="K363">
        <v>24000</v>
      </c>
      <c r="L363">
        <v>300000</v>
      </c>
      <c r="M363">
        <v>240000</v>
      </c>
      <c r="N363">
        <v>60000</v>
      </c>
      <c r="O363" s="3" t="s">
        <v>464</v>
      </c>
      <c r="P363" s="3" t="s">
        <v>102</v>
      </c>
      <c r="Q363" s="3" t="s">
        <v>103</v>
      </c>
      <c r="R363" s="3" t="s">
        <v>103</v>
      </c>
    </row>
    <row r="364" spans="1:18">
      <c r="A364" s="19">
        <v>46038</v>
      </c>
      <c r="B364" s="3" t="s">
        <v>18</v>
      </c>
      <c r="C364" s="3" t="s">
        <v>26</v>
      </c>
      <c r="D364" s="3" t="s">
        <v>23</v>
      </c>
      <c r="E364" s="3" t="s">
        <v>14</v>
      </c>
      <c r="F364" s="3" t="s">
        <v>21</v>
      </c>
      <c r="G364" s="3" t="s">
        <v>22</v>
      </c>
      <c r="H364">
        <v>30000</v>
      </c>
      <c r="I364">
        <v>4</v>
      </c>
      <c r="J364" s="3" t="s">
        <v>35</v>
      </c>
      <c r="K364">
        <v>24000</v>
      </c>
      <c r="L364">
        <v>120000</v>
      </c>
      <c r="M364">
        <v>96000</v>
      </c>
      <c r="N364">
        <v>24000</v>
      </c>
      <c r="O364" s="3" t="s">
        <v>465</v>
      </c>
      <c r="P364" s="3" t="s">
        <v>102</v>
      </c>
      <c r="Q364" s="3" t="s">
        <v>103</v>
      </c>
      <c r="R364" s="3" t="s">
        <v>103</v>
      </c>
    </row>
    <row r="365" spans="1:18">
      <c r="A365" s="19">
        <v>46039</v>
      </c>
      <c r="B365" s="3" t="s">
        <v>25</v>
      </c>
      <c r="C365" s="3" t="s">
        <v>32</v>
      </c>
      <c r="D365" s="3" t="s">
        <v>23</v>
      </c>
      <c r="E365" s="3" t="s">
        <v>20</v>
      </c>
      <c r="F365" s="3" t="s">
        <v>36</v>
      </c>
      <c r="G365" s="3" t="s">
        <v>31</v>
      </c>
      <c r="H365">
        <v>150000</v>
      </c>
      <c r="I365">
        <v>3</v>
      </c>
      <c r="J365" s="3" t="s">
        <v>24</v>
      </c>
      <c r="K365">
        <v>120000</v>
      </c>
      <c r="L365">
        <v>450000</v>
      </c>
      <c r="M365">
        <v>360000</v>
      </c>
      <c r="N365">
        <v>90000</v>
      </c>
      <c r="O365" s="3" t="s">
        <v>466</v>
      </c>
      <c r="P365" s="3" t="s">
        <v>102</v>
      </c>
      <c r="Q365" s="3" t="s">
        <v>103</v>
      </c>
      <c r="R365" s="3" t="s">
        <v>103</v>
      </c>
    </row>
    <row r="366" spans="1:18">
      <c r="A366" s="19">
        <v>46040</v>
      </c>
      <c r="B366" s="3" t="s">
        <v>11</v>
      </c>
      <c r="C366" s="3" t="s">
        <v>12</v>
      </c>
      <c r="D366" s="3" t="s">
        <v>23</v>
      </c>
      <c r="E366" s="3" t="s">
        <v>14</v>
      </c>
      <c r="F366" s="3" t="s">
        <v>36</v>
      </c>
      <c r="G366" s="3" t="s">
        <v>31</v>
      </c>
      <c r="H366">
        <v>150000</v>
      </c>
      <c r="I366">
        <v>3</v>
      </c>
      <c r="J366" s="3" t="s">
        <v>17</v>
      </c>
      <c r="K366">
        <v>120000</v>
      </c>
      <c r="L366">
        <v>450000</v>
      </c>
      <c r="M366">
        <v>360000</v>
      </c>
      <c r="N366">
        <v>90000</v>
      </c>
      <c r="O366" s="3" t="s">
        <v>467</v>
      </c>
      <c r="P366" s="3" t="s">
        <v>102</v>
      </c>
      <c r="Q366" s="3" t="s">
        <v>103</v>
      </c>
      <c r="R366" s="3" t="s">
        <v>103</v>
      </c>
    </row>
    <row r="367" spans="1:18">
      <c r="A367" s="19">
        <v>46041</v>
      </c>
      <c r="B367" s="3" t="s">
        <v>18</v>
      </c>
      <c r="C367" s="3" t="s">
        <v>26</v>
      </c>
      <c r="D367" s="3" t="s">
        <v>23</v>
      </c>
      <c r="E367" s="3" t="s">
        <v>20</v>
      </c>
      <c r="F367" s="3" t="s">
        <v>15</v>
      </c>
      <c r="G367" s="3" t="s">
        <v>16</v>
      </c>
      <c r="H367">
        <v>85000</v>
      </c>
      <c r="I367">
        <v>8</v>
      </c>
      <c r="J367" s="3" t="s">
        <v>17</v>
      </c>
      <c r="K367">
        <v>68000</v>
      </c>
      <c r="L367">
        <v>680000</v>
      </c>
      <c r="M367">
        <v>544000</v>
      </c>
      <c r="N367">
        <v>136000</v>
      </c>
      <c r="O367" s="3" t="s">
        <v>468</v>
      </c>
      <c r="P367" s="3" t="s">
        <v>102</v>
      </c>
      <c r="Q367" s="3" t="s">
        <v>103</v>
      </c>
      <c r="R367" s="3" t="s">
        <v>103</v>
      </c>
    </row>
    <row r="368" spans="1:18">
      <c r="A368" s="19">
        <v>46042</v>
      </c>
      <c r="B368" s="3" t="s">
        <v>25</v>
      </c>
      <c r="C368" s="3" t="s">
        <v>26</v>
      </c>
      <c r="D368" s="3" t="s">
        <v>23</v>
      </c>
      <c r="E368" s="3" t="s">
        <v>14</v>
      </c>
      <c r="F368" s="3" t="s">
        <v>38</v>
      </c>
      <c r="G368" s="3" t="s">
        <v>31</v>
      </c>
      <c r="H368">
        <v>420000</v>
      </c>
      <c r="I368">
        <v>7</v>
      </c>
      <c r="J368" s="3" t="s">
        <v>17</v>
      </c>
      <c r="K368">
        <v>336000</v>
      </c>
      <c r="L368">
        <v>2940000</v>
      </c>
      <c r="M368">
        <v>2352000</v>
      </c>
      <c r="N368">
        <v>588000</v>
      </c>
      <c r="O368" s="3" t="s">
        <v>469</v>
      </c>
      <c r="P368" s="3" t="s">
        <v>102</v>
      </c>
      <c r="Q368" s="3" t="s">
        <v>103</v>
      </c>
      <c r="R368" s="3" t="s">
        <v>103</v>
      </c>
    </row>
    <row r="369" spans="1:18">
      <c r="A369" s="19">
        <v>46043</v>
      </c>
      <c r="B369" s="3" t="s">
        <v>18</v>
      </c>
      <c r="C369" s="3" t="s">
        <v>32</v>
      </c>
      <c r="D369" s="3" t="s">
        <v>23</v>
      </c>
      <c r="E369" s="3" t="s">
        <v>20</v>
      </c>
      <c r="F369" s="3" t="s">
        <v>36</v>
      </c>
      <c r="G369" s="3" t="s">
        <v>31</v>
      </c>
      <c r="H369">
        <v>150000</v>
      </c>
      <c r="I369">
        <v>3</v>
      </c>
      <c r="J369" s="3" t="s">
        <v>24</v>
      </c>
      <c r="K369">
        <v>120000</v>
      </c>
      <c r="L369">
        <v>450000</v>
      </c>
      <c r="M369">
        <v>360000</v>
      </c>
      <c r="N369">
        <v>90000</v>
      </c>
      <c r="O369" s="3" t="s">
        <v>470</v>
      </c>
      <c r="P369" s="3" t="s">
        <v>102</v>
      </c>
      <c r="Q369" s="3" t="s">
        <v>103</v>
      </c>
      <c r="R369" s="3" t="s">
        <v>103</v>
      </c>
    </row>
    <row r="370" spans="1:18">
      <c r="A370" s="19">
        <v>46044</v>
      </c>
      <c r="B370" s="3" t="s">
        <v>11</v>
      </c>
      <c r="C370" s="3" t="s">
        <v>32</v>
      </c>
      <c r="D370" s="3" t="s">
        <v>23</v>
      </c>
      <c r="E370" s="3" t="s">
        <v>20</v>
      </c>
      <c r="F370" s="3" t="s">
        <v>34</v>
      </c>
      <c r="G370" s="3" t="s">
        <v>16</v>
      </c>
      <c r="H370">
        <v>320000</v>
      </c>
      <c r="I370">
        <v>1</v>
      </c>
      <c r="J370" s="3" t="s">
        <v>28</v>
      </c>
      <c r="K370">
        <v>256000</v>
      </c>
      <c r="L370">
        <v>320000</v>
      </c>
      <c r="M370">
        <v>256000</v>
      </c>
      <c r="N370">
        <v>64000</v>
      </c>
      <c r="O370" s="3" t="s">
        <v>471</v>
      </c>
      <c r="P370" s="3" t="s">
        <v>102</v>
      </c>
      <c r="Q370" s="3" t="s">
        <v>103</v>
      </c>
      <c r="R370" s="3" t="s">
        <v>103</v>
      </c>
    </row>
    <row r="371" spans="1:18">
      <c r="A371" s="19">
        <v>46045</v>
      </c>
      <c r="B371" s="3" t="s">
        <v>18</v>
      </c>
      <c r="C371" s="3" t="s">
        <v>32</v>
      </c>
      <c r="D371" s="3" t="s">
        <v>23</v>
      </c>
      <c r="E371" s="3" t="s">
        <v>14</v>
      </c>
      <c r="F371" s="3" t="s">
        <v>33</v>
      </c>
      <c r="G371" s="3" t="s">
        <v>22</v>
      </c>
      <c r="H371">
        <v>180000</v>
      </c>
      <c r="I371">
        <v>5</v>
      </c>
      <c r="J371" s="3" t="s">
        <v>17</v>
      </c>
      <c r="K371">
        <v>144000</v>
      </c>
      <c r="L371">
        <v>900000</v>
      </c>
      <c r="M371">
        <v>720000</v>
      </c>
      <c r="N371">
        <v>180000</v>
      </c>
      <c r="O371" s="3" t="s">
        <v>472</v>
      </c>
      <c r="P371" s="3" t="s">
        <v>102</v>
      </c>
      <c r="Q371" s="3" t="s">
        <v>103</v>
      </c>
      <c r="R371" s="3" t="s">
        <v>103</v>
      </c>
    </row>
    <row r="372" spans="1:18">
      <c r="A372" s="19">
        <v>46046</v>
      </c>
      <c r="B372" s="3" t="s">
        <v>29</v>
      </c>
      <c r="C372" s="3" t="s">
        <v>26</v>
      </c>
      <c r="D372" s="3" t="s">
        <v>23</v>
      </c>
      <c r="E372" s="3" t="s">
        <v>20</v>
      </c>
      <c r="F372" s="3" t="s">
        <v>30</v>
      </c>
      <c r="G372" s="3" t="s">
        <v>31</v>
      </c>
      <c r="H372">
        <v>300000</v>
      </c>
      <c r="I372">
        <v>1</v>
      </c>
      <c r="J372" s="3" t="s">
        <v>28</v>
      </c>
      <c r="K372">
        <v>240000</v>
      </c>
      <c r="L372">
        <v>300000</v>
      </c>
      <c r="M372">
        <v>240000</v>
      </c>
      <c r="N372">
        <v>60000</v>
      </c>
      <c r="O372" s="3" t="s">
        <v>473</v>
      </c>
      <c r="P372" s="3" t="s">
        <v>102</v>
      </c>
      <c r="Q372" s="3" t="s">
        <v>103</v>
      </c>
      <c r="R372" s="3" t="s">
        <v>103</v>
      </c>
    </row>
    <row r="373" spans="1:18">
      <c r="A373" s="19">
        <v>46047</v>
      </c>
      <c r="B373" s="3" t="s">
        <v>18</v>
      </c>
      <c r="C373" s="3" t="s">
        <v>12</v>
      </c>
      <c r="D373" s="3" t="s">
        <v>23</v>
      </c>
      <c r="E373" s="3" t="s">
        <v>14</v>
      </c>
      <c r="F373" s="3" t="s">
        <v>33</v>
      </c>
      <c r="G373" s="3" t="s">
        <v>22</v>
      </c>
      <c r="H373">
        <v>180000</v>
      </c>
      <c r="I373">
        <v>8</v>
      </c>
      <c r="J373" s="3" t="s">
        <v>37</v>
      </c>
      <c r="K373">
        <v>144000</v>
      </c>
      <c r="L373">
        <v>1440000</v>
      </c>
      <c r="M373">
        <v>1152000</v>
      </c>
      <c r="N373">
        <v>288000</v>
      </c>
      <c r="O373" s="3" t="s">
        <v>474</v>
      </c>
      <c r="P373" s="3" t="s">
        <v>102</v>
      </c>
      <c r="Q373" s="3" t="s">
        <v>103</v>
      </c>
      <c r="R373" s="3" t="s">
        <v>103</v>
      </c>
    </row>
    <row r="374" spans="1:18">
      <c r="A374" s="19">
        <v>46048</v>
      </c>
      <c r="B374" s="3" t="s">
        <v>25</v>
      </c>
      <c r="C374" s="3" t="s">
        <v>26</v>
      </c>
      <c r="D374" s="3" t="s">
        <v>23</v>
      </c>
      <c r="E374" s="3" t="s">
        <v>14</v>
      </c>
      <c r="F374" s="3" t="s">
        <v>33</v>
      </c>
      <c r="G374" s="3" t="s">
        <v>22</v>
      </c>
      <c r="H374">
        <v>180000</v>
      </c>
      <c r="I374">
        <v>3</v>
      </c>
      <c r="J374" s="3" t="s">
        <v>35</v>
      </c>
      <c r="K374">
        <v>144000</v>
      </c>
      <c r="L374">
        <v>540000</v>
      </c>
      <c r="M374">
        <v>432000</v>
      </c>
      <c r="N374">
        <v>108000</v>
      </c>
      <c r="O374" s="3" t="s">
        <v>475</v>
      </c>
      <c r="P374" s="3" t="s">
        <v>102</v>
      </c>
      <c r="Q374" s="3" t="s">
        <v>103</v>
      </c>
      <c r="R374" s="3" t="s">
        <v>103</v>
      </c>
    </row>
    <row r="375" spans="1:18">
      <c r="A375" s="19">
        <v>46049</v>
      </c>
      <c r="B375" s="3" t="s">
        <v>11</v>
      </c>
      <c r="C375" s="3" t="s">
        <v>32</v>
      </c>
      <c r="D375" s="3" t="s">
        <v>23</v>
      </c>
      <c r="E375" s="3" t="s">
        <v>20</v>
      </c>
      <c r="F375" s="3" t="s">
        <v>34</v>
      </c>
      <c r="G375" s="3" t="s">
        <v>16</v>
      </c>
      <c r="H375">
        <v>320000</v>
      </c>
      <c r="I375">
        <v>6</v>
      </c>
      <c r="J375" s="3" t="s">
        <v>39</v>
      </c>
      <c r="K375">
        <v>256000</v>
      </c>
      <c r="L375">
        <v>1920000</v>
      </c>
      <c r="M375">
        <v>1536000</v>
      </c>
      <c r="N375">
        <v>384000</v>
      </c>
      <c r="O375" s="3" t="s">
        <v>476</v>
      </c>
      <c r="P375" s="3" t="s">
        <v>102</v>
      </c>
      <c r="Q375" s="3" t="s">
        <v>103</v>
      </c>
      <c r="R375" s="3" t="s">
        <v>103</v>
      </c>
    </row>
    <row r="376" spans="1:18">
      <c r="A376" s="19">
        <v>46050</v>
      </c>
      <c r="B376" s="3" t="s">
        <v>11</v>
      </c>
      <c r="C376" s="3" t="s">
        <v>32</v>
      </c>
      <c r="D376" s="3" t="s">
        <v>23</v>
      </c>
      <c r="E376" s="3" t="s">
        <v>20</v>
      </c>
      <c r="F376" s="3" t="s">
        <v>27</v>
      </c>
      <c r="G376" s="3" t="s">
        <v>22</v>
      </c>
      <c r="H376">
        <v>60000</v>
      </c>
      <c r="I376">
        <v>10</v>
      </c>
      <c r="J376" s="3" t="s">
        <v>17</v>
      </c>
      <c r="K376">
        <v>48000</v>
      </c>
      <c r="L376">
        <v>600000</v>
      </c>
      <c r="M376">
        <v>480000</v>
      </c>
      <c r="N376">
        <v>120000</v>
      </c>
      <c r="O376" s="3" t="s">
        <v>477</v>
      </c>
      <c r="P376" s="3" t="s">
        <v>102</v>
      </c>
      <c r="Q376" s="3" t="s">
        <v>103</v>
      </c>
      <c r="R376" s="3" t="s">
        <v>103</v>
      </c>
    </row>
    <row r="377" spans="1:18">
      <c r="A377" s="19">
        <v>46051</v>
      </c>
      <c r="B377" s="3" t="s">
        <v>25</v>
      </c>
      <c r="C377" s="3" t="s">
        <v>19</v>
      </c>
      <c r="D377" s="3" t="s">
        <v>23</v>
      </c>
      <c r="E377" s="3" t="s">
        <v>20</v>
      </c>
      <c r="F377" s="3" t="s">
        <v>30</v>
      </c>
      <c r="G377" s="3" t="s">
        <v>31</v>
      </c>
      <c r="H377">
        <v>300000</v>
      </c>
      <c r="I377">
        <v>1</v>
      </c>
      <c r="J377" s="3" t="s">
        <v>37</v>
      </c>
      <c r="K377">
        <v>240000</v>
      </c>
      <c r="L377">
        <v>300000</v>
      </c>
      <c r="M377">
        <v>240000</v>
      </c>
      <c r="N377">
        <v>60000</v>
      </c>
      <c r="O377" s="3" t="s">
        <v>478</v>
      </c>
      <c r="P377" s="3" t="s">
        <v>102</v>
      </c>
      <c r="Q377" s="3" t="s">
        <v>103</v>
      </c>
      <c r="R377" s="3" t="s">
        <v>103</v>
      </c>
    </row>
    <row r="378" spans="1:18">
      <c r="A378" s="19">
        <v>46052</v>
      </c>
      <c r="B378" s="3" t="s">
        <v>11</v>
      </c>
      <c r="C378" s="3" t="s">
        <v>19</v>
      </c>
      <c r="D378" s="3" t="s">
        <v>23</v>
      </c>
      <c r="E378" s="3" t="s">
        <v>14</v>
      </c>
      <c r="F378" s="3" t="s">
        <v>33</v>
      </c>
      <c r="G378" s="3" t="s">
        <v>22</v>
      </c>
      <c r="H378">
        <v>180000</v>
      </c>
      <c r="I378">
        <v>1</v>
      </c>
      <c r="J378" s="3" t="s">
        <v>24</v>
      </c>
      <c r="K378">
        <v>144000</v>
      </c>
      <c r="L378">
        <v>180000</v>
      </c>
      <c r="M378">
        <v>144000</v>
      </c>
      <c r="N378">
        <v>36000</v>
      </c>
      <c r="O378" s="3" t="s">
        <v>479</v>
      </c>
      <c r="P378" s="3" t="s">
        <v>102</v>
      </c>
      <c r="Q378" s="3" t="s">
        <v>103</v>
      </c>
      <c r="R378" s="3" t="s">
        <v>103</v>
      </c>
    </row>
    <row r="379" spans="1:18">
      <c r="A379" s="19">
        <v>46053</v>
      </c>
      <c r="B379" s="3" t="s">
        <v>18</v>
      </c>
      <c r="C379" s="3" t="s">
        <v>19</v>
      </c>
      <c r="D379" s="3" t="s">
        <v>13</v>
      </c>
      <c r="E379" s="3" t="s">
        <v>20</v>
      </c>
      <c r="F379" s="3" t="s">
        <v>41</v>
      </c>
      <c r="G379" s="3" t="s">
        <v>22</v>
      </c>
      <c r="H379">
        <v>220000</v>
      </c>
      <c r="I379">
        <v>8</v>
      </c>
      <c r="J379" s="3" t="s">
        <v>37</v>
      </c>
      <c r="K379">
        <v>176000</v>
      </c>
      <c r="L379">
        <v>1760000</v>
      </c>
      <c r="M379">
        <v>1408000</v>
      </c>
      <c r="N379">
        <v>352000</v>
      </c>
      <c r="O379" s="3" t="s">
        <v>480</v>
      </c>
      <c r="P379" s="3" t="s">
        <v>102</v>
      </c>
      <c r="Q379" s="3" t="s">
        <v>103</v>
      </c>
      <c r="R379" s="3" t="s">
        <v>103</v>
      </c>
    </row>
    <row r="380" spans="1:18">
      <c r="A380" s="19">
        <v>46054</v>
      </c>
      <c r="B380" s="3" t="s">
        <v>29</v>
      </c>
      <c r="C380" s="3" t="s">
        <v>19</v>
      </c>
      <c r="D380" s="3" t="s">
        <v>23</v>
      </c>
      <c r="E380" s="3" t="s">
        <v>20</v>
      </c>
      <c r="F380" s="3" t="s">
        <v>15</v>
      </c>
      <c r="G380" s="3" t="s">
        <v>16</v>
      </c>
      <c r="H380">
        <v>85000</v>
      </c>
      <c r="I380">
        <v>7</v>
      </c>
      <c r="J380" s="3" t="s">
        <v>28</v>
      </c>
      <c r="K380">
        <v>68000</v>
      </c>
      <c r="L380">
        <v>595000</v>
      </c>
      <c r="M380">
        <v>476000</v>
      </c>
      <c r="N380">
        <v>119000</v>
      </c>
      <c r="O380" s="3" t="s">
        <v>481</v>
      </c>
      <c r="P380" s="3" t="s">
        <v>102</v>
      </c>
      <c r="Q380" s="3" t="s">
        <v>103</v>
      </c>
      <c r="R380" s="3" t="s">
        <v>103</v>
      </c>
    </row>
    <row r="381" spans="1:18">
      <c r="A381" s="19">
        <v>46055</v>
      </c>
      <c r="B381" s="3" t="s">
        <v>11</v>
      </c>
      <c r="C381" s="3" t="s">
        <v>12</v>
      </c>
      <c r="D381" s="3" t="s">
        <v>13</v>
      </c>
      <c r="E381" s="3" t="s">
        <v>20</v>
      </c>
      <c r="F381" s="3" t="s">
        <v>33</v>
      </c>
      <c r="G381" s="3" t="s">
        <v>22</v>
      </c>
      <c r="H381">
        <v>180000</v>
      </c>
      <c r="I381">
        <v>9</v>
      </c>
      <c r="J381" s="3" t="s">
        <v>39</v>
      </c>
      <c r="K381">
        <v>144000</v>
      </c>
      <c r="L381">
        <v>1620000</v>
      </c>
      <c r="M381">
        <v>1296000</v>
      </c>
      <c r="N381">
        <v>324000</v>
      </c>
      <c r="O381" s="3" t="s">
        <v>482</v>
      </c>
      <c r="P381" s="3" t="s">
        <v>102</v>
      </c>
      <c r="Q381" s="3" t="s">
        <v>103</v>
      </c>
      <c r="R381" s="3" t="s">
        <v>103</v>
      </c>
    </row>
    <row r="382" spans="1:18">
      <c r="A382" s="19">
        <v>46056</v>
      </c>
      <c r="B382" s="3" t="s">
        <v>29</v>
      </c>
      <c r="C382" s="3" t="s">
        <v>12</v>
      </c>
      <c r="D382" s="3" t="s">
        <v>23</v>
      </c>
      <c r="E382" s="3" t="s">
        <v>14</v>
      </c>
      <c r="F382" s="3" t="s">
        <v>34</v>
      </c>
      <c r="G382" s="3" t="s">
        <v>16</v>
      </c>
      <c r="H382">
        <v>320000</v>
      </c>
      <c r="I382">
        <v>3</v>
      </c>
      <c r="J382" s="3" t="s">
        <v>35</v>
      </c>
      <c r="K382">
        <v>256000</v>
      </c>
      <c r="L382">
        <v>960000</v>
      </c>
      <c r="M382">
        <v>768000</v>
      </c>
      <c r="N382">
        <v>192000</v>
      </c>
      <c r="O382" s="3" t="s">
        <v>483</v>
      </c>
      <c r="P382" s="3" t="s">
        <v>102</v>
      </c>
      <c r="Q382" s="3" t="s">
        <v>103</v>
      </c>
      <c r="R382" s="3" t="s">
        <v>103</v>
      </c>
    </row>
    <row r="383" spans="1:18">
      <c r="A383" s="19">
        <v>46057</v>
      </c>
      <c r="B383" s="3" t="s">
        <v>29</v>
      </c>
      <c r="C383" s="3" t="s">
        <v>12</v>
      </c>
      <c r="D383" s="3" t="s">
        <v>23</v>
      </c>
      <c r="E383" s="3" t="s">
        <v>14</v>
      </c>
      <c r="F383" s="3" t="s">
        <v>36</v>
      </c>
      <c r="G383" s="3" t="s">
        <v>31</v>
      </c>
      <c r="H383">
        <v>150000</v>
      </c>
      <c r="I383">
        <v>4</v>
      </c>
      <c r="J383" s="3" t="s">
        <v>17</v>
      </c>
      <c r="K383">
        <v>120000</v>
      </c>
      <c r="L383">
        <v>600000</v>
      </c>
      <c r="M383">
        <v>480000</v>
      </c>
      <c r="N383">
        <v>120000</v>
      </c>
      <c r="O383" s="3" t="s">
        <v>484</v>
      </c>
      <c r="P383" s="3" t="s">
        <v>102</v>
      </c>
      <c r="Q383" s="3" t="s">
        <v>103</v>
      </c>
      <c r="R383" s="3" t="s">
        <v>103</v>
      </c>
    </row>
    <row r="384" spans="1:18">
      <c r="A384" s="19">
        <v>46058</v>
      </c>
      <c r="B384" s="3" t="s">
        <v>18</v>
      </c>
      <c r="C384" s="3" t="s">
        <v>19</v>
      </c>
      <c r="D384" s="3" t="s">
        <v>13</v>
      </c>
      <c r="E384" s="3" t="s">
        <v>14</v>
      </c>
      <c r="F384" s="3" t="s">
        <v>41</v>
      </c>
      <c r="G384" s="3" t="s">
        <v>22</v>
      </c>
      <c r="H384">
        <v>220000</v>
      </c>
      <c r="I384">
        <v>10</v>
      </c>
      <c r="J384" s="3" t="s">
        <v>39</v>
      </c>
      <c r="K384">
        <v>176000</v>
      </c>
      <c r="L384">
        <v>2200000</v>
      </c>
      <c r="M384">
        <v>1760000</v>
      </c>
      <c r="N384">
        <v>440000</v>
      </c>
      <c r="O384" s="3" t="s">
        <v>485</v>
      </c>
      <c r="P384" s="3" t="s">
        <v>102</v>
      </c>
      <c r="Q384" s="3" t="s">
        <v>103</v>
      </c>
      <c r="R384" s="3" t="s">
        <v>103</v>
      </c>
    </row>
    <row r="385" spans="1:18">
      <c r="A385" s="19">
        <v>46059</v>
      </c>
      <c r="B385" s="3" t="s">
        <v>25</v>
      </c>
      <c r="C385" s="3" t="s">
        <v>12</v>
      </c>
      <c r="D385" s="3" t="s">
        <v>23</v>
      </c>
      <c r="E385" s="3" t="s">
        <v>14</v>
      </c>
      <c r="F385" s="3" t="s">
        <v>36</v>
      </c>
      <c r="G385" s="3" t="s">
        <v>31</v>
      </c>
      <c r="H385">
        <v>150000</v>
      </c>
      <c r="I385">
        <v>6</v>
      </c>
      <c r="J385" s="3" t="s">
        <v>17</v>
      </c>
      <c r="K385">
        <v>120000</v>
      </c>
      <c r="L385">
        <v>900000</v>
      </c>
      <c r="M385">
        <v>720000</v>
      </c>
      <c r="N385">
        <v>180000</v>
      </c>
      <c r="O385" s="3" t="s">
        <v>486</v>
      </c>
      <c r="P385" s="3" t="s">
        <v>102</v>
      </c>
      <c r="Q385" s="3" t="s">
        <v>103</v>
      </c>
      <c r="R385" s="3" t="s">
        <v>103</v>
      </c>
    </row>
    <row r="386" spans="1:18">
      <c r="A386" s="19">
        <v>46060</v>
      </c>
      <c r="B386" s="3" t="s">
        <v>11</v>
      </c>
      <c r="C386" s="3" t="s">
        <v>19</v>
      </c>
      <c r="D386" s="3" t="s">
        <v>23</v>
      </c>
      <c r="E386" s="3" t="s">
        <v>20</v>
      </c>
      <c r="F386" s="3" t="s">
        <v>33</v>
      </c>
      <c r="G386" s="3" t="s">
        <v>22</v>
      </c>
      <c r="H386">
        <v>180000</v>
      </c>
      <c r="I386">
        <v>1</v>
      </c>
      <c r="J386" s="3" t="s">
        <v>28</v>
      </c>
      <c r="K386">
        <v>144000</v>
      </c>
      <c r="L386">
        <v>180000</v>
      </c>
      <c r="M386">
        <v>144000</v>
      </c>
      <c r="N386">
        <v>36000</v>
      </c>
      <c r="O386" s="3" t="s">
        <v>487</v>
      </c>
      <c r="P386" s="3" t="s">
        <v>102</v>
      </c>
      <c r="Q386" s="3" t="s">
        <v>103</v>
      </c>
      <c r="R386" s="3" t="s">
        <v>103</v>
      </c>
    </row>
    <row r="387" spans="1:18">
      <c r="A387" s="19">
        <v>46061</v>
      </c>
      <c r="B387" s="3" t="s">
        <v>18</v>
      </c>
      <c r="C387" s="3" t="s">
        <v>26</v>
      </c>
      <c r="D387" s="3" t="s">
        <v>13</v>
      </c>
      <c r="E387" s="3" t="s">
        <v>14</v>
      </c>
      <c r="F387" s="3" t="s">
        <v>21</v>
      </c>
      <c r="G387" s="3" t="s">
        <v>22</v>
      </c>
      <c r="H387">
        <v>30000</v>
      </c>
      <c r="I387">
        <v>2</v>
      </c>
      <c r="J387" s="3" t="s">
        <v>35</v>
      </c>
      <c r="K387">
        <v>24000</v>
      </c>
      <c r="L387">
        <v>60000</v>
      </c>
      <c r="M387">
        <v>48000</v>
      </c>
      <c r="N387">
        <v>12000</v>
      </c>
      <c r="O387" s="3" t="s">
        <v>488</v>
      </c>
      <c r="P387" s="3" t="s">
        <v>102</v>
      </c>
      <c r="Q387" s="3" t="s">
        <v>103</v>
      </c>
      <c r="R387" s="3" t="s">
        <v>103</v>
      </c>
    </row>
    <row r="388" spans="1:18">
      <c r="A388" s="19">
        <v>46062</v>
      </c>
      <c r="B388" s="3" t="s">
        <v>29</v>
      </c>
      <c r="C388" s="3" t="s">
        <v>32</v>
      </c>
      <c r="D388" s="3" t="s">
        <v>23</v>
      </c>
      <c r="E388" s="3" t="s">
        <v>14</v>
      </c>
      <c r="F388" s="3" t="s">
        <v>34</v>
      </c>
      <c r="G388" s="3" t="s">
        <v>16</v>
      </c>
      <c r="H388">
        <v>320000</v>
      </c>
      <c r="I388">
        <v>7</v>
      </c>
      <c r="J388" s="3" t="s">
        <v>17</v>
      </c>
      <c r="K388">
        <v>256000</v>
      </c>
      <c r="L388">
        <v>2240000</v>
      </c>
      <c r="M388">
        <v>1792000</v>
      </c>
      <c r="N388">
        <v>448000</v>
      </c>
      <c r="O388" s="3" t="s">
        <v>489</v>
      </c>
      <c r="P388" s="3" t="s">
        <v>102</v>
      </c>
      <c r="Q388" s="3" t="s">
        <v>103</v>
      </c>
      <c r="R388" s="3" t="s">
        <v>103</v>
      </c>
    </row>
    <row r="389" spans="1:18">
      <c r="A389" s="19">
        <v>46063</v>
      </c>
      <c r="B389" s="3" t="s">
        <v>29</v>
      </c>
      <c r="C389" s="3" t="s">
        <v>26</v>
      </c>
      <c r="D389" s="3" t="s">
        <v>13</v>
      </c>
      <c r="E389" s="3" t="s">
        <v>20</v>
      </c>
      <c r="F389" s="3" t="s">
        <v>15</v>
      </c>
      <c r="G389" s="3" t="s">
        <v>16</v>
      </c>
      <c r="H389">
        <v>85000</v>
      </c>
      <c r="I389">
        <v>10</v>
      </c>
      <c r="J389" s="3" t="s">
        <v>24</v>
      </c>
      <c r="K389">
        <v>68000</v>
      </c>
      <c r="L389">
        <v>850000</v>
      </c>
      <c r="M389">
        <v>680000</v>
      </c>
      <c r="N389">
        <v>170000</v>
      </c>
      <c r="O389" s="3" t="s">
        <v>490</v>
      </c>
      <c r="P389" s="3" t="s">
        <v>102</v>
      </c>
      <c r="Q389" s="3" t="s">
        <v>103</v>
      </c>
      <c r="R389" s="3" t="s">
        <v>103</v>
      </c>
    </row>
    <row r="390" spans="1:18">
      <c r="A390" s="19">
        <v>46064</v>
      </c>
      <c r="B390" s="3" t="s">
        <v>18</v>
      </c>
      <c r="C390" s="3" t="s">
        <v>12</v>
      </c>
      <c r="D390" s="3" t="s">
        <v>23</v>
      </c>
      <c r="E390" s="3" t="s">
        <v>14</v>
      </c>
      <c r="F390" s="3" t="s">
        <v>33</v>
      </c>
      <c r="G390" s="3" t="s">
        <v>22</v>
      </c>
      <c r="H390">
        <v>180000</v>
      </c>
      <c r="I390">
        <v>7</v>
      </c>
      <c r="J390" s="3" t="s">
        <v>28</v>
      </c>
      <c r="K390">
        <v>144000</v>
      </c>
      <c r="L390">
        <v>1260000</v>
      </c>
      <c r="M390">
        <v>1008000</v>
      </c>
      <c r="N390">
        <v>252000</v>
      </c>
      <c r="O390" s="3" t="s">
        <v>491</v>
      </c>
      <c r="P390" s="3" t="s">
        <v>102</v>
      </c>
      <c r="Q390" s="3" t="s">
        <v>103</v>
      </c>
      <c r="R390" s="3" t="s">
        <v>103</v>
      </c>
    </row>
    <row r="391" spans="1:18">
      <c r="A391" s="19">
        <v>46065</v>
      </c>
      <c r="B391" s="3" t="s">
        <v>25</v>
      </c>
      <c r="C391" s="3" t="s">
        <v>19</v>
      </c>
      <c r="D391" s="3" t="s">
        <v>13</v>
      </c>
      <c r="E391" s="3" t="s">
        <v>14</v>
      </c>
      <c r="F391" s="3" t="s">
        <v>38</v>
      </c>
      <c r="G391" s="3" t="s">
        <v>31</v>
      </c>
      <c r="H391">
        <v>420000</v>
      </c>
      <c r="I391">
        <v>5</v>
      </c>
      <c r="J391" s="3" t="s">
        <v>35</v>
      </c>
      <c r="K391">
        <v>336000</v>
      </c>
      <c r="L391">
        <v>2100000</v>
      </c>
      <c r="M391">
        <v>1680000</v>
      </c>
      <c r="N391">
        <v>420000</v>
      </c>
      <c r="O391" s="3" t="s">
        <v>492</v>
      </c>
      <c r="P391" s="3" t="s">
        <v>102</v>
      </c>
      <c r="Q391" s="3" t="s">
        <v>103</v>
      </c>
      <c r="R391" s="3" t="s">
        <v>103</v>
      </c>
    </row>
    <row r="392" spans="1:18">
      <c r="A392" s="19">
        <v>46066</v>
      </c>
      <c r="B392" s="3" t="s">
        <v>25</v>
      </c>
      <c r="C392" s="3" t="s">
        <v>32</v>
      </c>
      <c r="D392" s="3" t="s">
        <v>23</v>
      </c>
      <c r="E392" s="3" t="s">
        <v>20</v>
      </c>
      <c r="F392" s="3" t="s">
        <v>34</v>
      </c>
      <c r="G392" s="3" t="s">
        <v>16</v>
      </c>
      <c r="H392">
        <v>320000</v>
      </c>
      <c r="I392">
        <v>8</v>
      </c>
      <c r="J392" s="3" t="s">
        <v>24</v>
      </c>
      <c r="K392">
        <v>256000</v>
      </c>
      <c r="L392">
        <v>2560000</v>
      </c>
      <c r="M392">
        <v>2048000</v>
      </c>
      <c r="N392">
        <v>512000</v>
      </c>
      <c r="O392" s="3" t="s">
        <v>493</v>
      </c>
      <c r="P392" s="3" t="s">
        <v>102</v>
      </c>
      <c r="Q392" s="3" t="s">
        <v>103</v>
      </c>
      <c r="R392" s="3" t="s">
        <v>103</v>
      </c>
    </row>
    <row r="393" spans="1:18">
      <c r="A393" s="19">
        <v>46067</v>
      </c>
      <c r="B393" s="3" t="s">
        <v>18</v>
      </c>
      <c r="C393" s="3" t="s">
        <v>26</v>
      </c>
      <c r="D393" s="3" t="s">
        <v>23</v>
      </c>
      <c r="E393" s="3" t="s">
        <v>20</v>
      </c>
      <c r="F393" s="3" t="s">
        <v>33</v>
      </c>
      <c r="G393" s="3" t="s">
        <v>22</v>
      </c>
      <c r="H393">
        <v>180000</v>
      </c>
      <c r="I393">
        <v>5</v>
      </c>
      <c r="J393" s="3" t="s">
        <v>28</v>
      </c>
      <c r="K393">
        <v>144000</v>
      </c>
      <c r="L393">
        <v>900000</v>
      </c>
      <c r="M393">
        <v>720000</v>
      </c>
      <c r="N393">
        <v>180000</v>
      </c>
      <c r="O393" s="3" t="s">
        <v>494</v>
      </c>
      <c r="P393" s="3" t="s">
        <v>102</v>
      </c>
      <c r="Q393" s="3" t="s">
        <v>103</v>
      </c>
      <c r="R393" s="3" t="s">
        <v>103</v>
      </c>
    </row>
    <row r="394" spans="1:18">
      <c r="A394" s="19">
        <v>46068</v>
      </c>
      <c r="B394" s="3" t="s">
        <v>29</v>
      </c>
      <c r="C394" s="3" t="s">
        <v>12</v>
      </c>
      <c r="D394" s="3" t="s">
        <v>23</v>
      </c>
      <c r="E394" s="3" t="s">
        <v>20</v>
      </c>
      <c r="F394" s="3" t="s">
        <v>38</v>
      </c>
      <c r="G394" s="3" t="s">
        <v>31</v>
      </c>
      <c r="H394">
        <v>420000</v>
      </c>
      <c r="I394">
        <v>2</v>
      </c>
      <c r="J394" s="3" t="s">
        <v>17</v>
      </c>
      <c r="K394">
        <v>336000</v>
      </c>
      <c r="L394">
        <v>840000</v>
      </c>
      <c r="M394">
        <v>672000</v>
      </c>
      <c r="N394">
        <v>168000</v>
      </c>
      <c r="O394" s="3" t="s">
        <v>495</v>
      </c>
      <c r="P394" s="3" t="s">
        <v>102</v>
      </c>
      <c r="Q394" s="3" t="s">
        <v>103</v>
      </c>
      <c r="R394" s="3" t="s">
        <v>103</v>
      </c>
    </row>
    <row r="395" spans="1:18">
      <c r="A395" s="19">
        <v>46069</v>
      </c>
      <c r="B395" s="3" t="s">
        <v>29</v>
      </c>
      <c r="C395" s="3" t="s">
        <v>26</v>
      </c>
      <c r="D395" s="3" t="s">
        <v>13</v>
      </c>
      <c r="E395" s="3" t="s">
        <v>14</v>
      </c>
      <c r="F395" s="3" t="s">
        <v>30</v>
      </c>
      <c r="G395" s="3" t="s">
        <v>31</v>
      </c>
      <c r="H395">
        <v>300000</v>
      </c>
      <c r="I395">
        <v>8</v>
      </c>
      <c r="J395" s="3" t="s">
        <v>24</v>
      </c>
      <c r="K395">
        <v>240000</v>
      </c>
      <c r="L395">
        <v>2400000</v>
      </c>
      <c r="M395">
        <v>1920000</v>
      </c>
      <c r="N395">
        <v>480000</v>
      </c>
      <c r="O395" s="3" t="s">
        <v>496</v>
      </c>
      <c r="P395" s="3" t="s">
        <v>102</v>
      </c>
      <c r="Q395" s="3" t="s">
        <v>103</v>
      </c>
      <c r="R395" s="3" t="s">
        <v>103</v>
      </c>
    </row>
    <row r="396" spans="1:18">
      <c r="A396" s="19">
        <v>46070</v>
      </c>
      <c r="B396" s="3" t="s">
        <v>18</v>
      </c>
      <c r="C396" s="3" t="s">
        <v>26</v>
      </c>
      <c r="D396" s="3" t="s">
        <v>13</v>
      </c>
      <c r="E396" s="3" t="s">
        <v>14</v>
      </c>
      <c r="F396" s="3" t="s">
        <v>34</v>
      </c>
      <c r="G396" s="3" t="s">
        <v>16</v>
      </c>
      <c r="H396">
        <v>320000</v>
      </c>
      <c r="I396">
        <v>1</v>
      </c>
      <c r="J396" s="3" t="s">
        <v>24</v>
      </c>
      <c r="K396">
        <v>256000</v>
      </c>
      <c r="L396">
        <v>320000</v>
      </c>
      <c r="M396">
        <v>256000</v>
      </c>
      <c r="N396">
        <v>64000</v>
      </c>
      <c r="O396" s="3" t="s">
        <v>497</v>
      </c>
      <c r="P396" s="3" t="s">
        <v>102</v>
      </c>
      <c r="Q396" s="3" t="s">
        <v>103</v>
      </c>
      <c r="R396" s="3" t="s">
        <v>103</v>
      </c>
    </row>
    <row r="397" spans="1:18">
      <c r="A397" s="19">
        <v>46071</v>
      </c>
      <c r="B397" s="3" t="s">
        <v>18</v>
      </c>
      <c r="C397" s="3" t="s">
        <v>26</v>
      </c>
      <c r="D397" s="3" t="s">
        <v>13</v>
      </c>
      <c r="E397" s="3" t="s">
        <v>14</v>
      </c>
      <c r="F397" s="3" t="s">
        <v>38</v>
      </c>
      <c r="G397" s="3" t="s">
        <v>31</v>
      </c>
      <c r="H397">
        <v>420000</v>
      </c>
      <c r="I397">
        <v>9</v>
      </c>
      <c r="J397" s="3" t="s">
        <v>17</v>
      </c>
      <c r="K397">
        <v>336000</v>
      </c>
      <c r="L397">
        <v>3780000</v>
      </c>
      <c r="M397">
        <v>3024000</v>
      </c>
      <c r="N397">
        <v>756000</v>
      </c>
      <c r="O397" s="3" t="s">
        <v>498</v>
      </c>
      <c r="P397" s="3" t="s">
        <v>102</v>
      </c>
      <c r="Q397" s="3" t="s">
        <v>103</v>
      </c>
      <c r="R397" s="3" t="s">
        <v>103</v>
      </c>
    </row>
    <row r="398" spans="1:18">
      <c r="A398" s="19">
        <v>46072</v>
      </c>
      <c r="B398" s="3" t="s">
        <v>18</v>
      </c>
      <c r="C398" s="3" t="s">
        <v>32</v>
      </c>
      <c r="D398" s="3" t="s">
        <v>23</v>
      </c>
      <c r="E398" s="3" t="s">
        <v>20</v>
      </c>
      <c r="F398" s="3" t="s">
        <v>15</v>
      </c>
      <c r="G398" s="3" t="s">
        <v>16</v>
      </c>
      <c r="H398">
        <v>85000</v>
      </c>
      <c r="I398">
        <v>8</v>
      </c>
      <c r="J398" s="3" t="s">
        <v>39</v>
      </c>
      <c r="K398">
        <v>68000</v>
      </c>
      <c r="L398">
        <v>680000</v>
      </c>
      <c r="M398">
        <v>544000</v>
      </c>
      <c r="N398">
        <v>136000</v>
      </c>
      <c r="O398" s="3" t="s">
        <v>499</v>
      </c>
      <c r="P398" s="3" t="s">
        <v>102</v>
      </c>
      <c r="Q398" s="3" t="s">
        <v>103</v>
      </c>
      <c r="R398" s="3" t="s">
        <v>103</v>
      </c>
    </row>
    <row r="399" spans="1:18">
      <c r="A399" s="19">
        <v>46073</v>
      </c>
      <c r="B399" s="3" t="s">
        <v>29</v>
      </c>
      <c r="C399" s="3" t="s">
        <v>12</v>
      </c>
      <c r="D399" s="3" t="s">
        <v>23</v>
      </c>
      <c r="E399" s="3" t="s">
        <v>20</v>
      </c>
      <c r="F399" s="3" t="s">
        <v>38</v>
      </c>
      <c r="G399" s="3" t="s">
        <v>31</v>
      </c>
      <c r="H399">
        <v>420000</v>
      </c>
      <c r="I399">
        <v>10</v>
      </c>
      <c r="J399" s="3" t="s">
        <v>35</v>
      </c>
      <c r="K399">
        <v>336000</v>
      </c>
      <c r="L399">
        <v>4200000</v>
      </c>
      <c r="M399">
        <v>3360000</v>
      </c>
      <c r="N399">
        <v>840000</v>
      </c>
      <c r="O399" s="3" t="s">
        <v>500</v>
      </c>
      <c r="P399" s="3" t="s">
        <v>102</v>
      </c>
      <c r="Q399" s="3" t="s">
        <v>103</v>
      </c>
      <c r="R399" s="3" t="s">
        <v>103</v>
      </c>
    </row>
    <row r="400" spans="1:18">
      <c r="A400" s="19">
        <v>46074</v>
      </c>
      <c r="B400" s="3" t="s">
        <v>18</v>
      </c>
      <c r="C400" s="3" t="s">
        <v>12</v>
      </c>
      <c r="D400" s="3" t="s">
        <v>13</v>
      </c>
      <c r="E400" s="3" t="s">
        <v>20</v>
      </c>
      <c r="F400" s="3" t="s">
        <v>40</v>
      </c>
      <c r="G400" s="3" t="s">
        <v>31</v>
      </c>
      <c r="H400">
        <v>250000</v>
      </c>
      <c r="I400">
        <v>1</v>
      </c>
      <c r="J400" s="3" t="s">
        <v>35</v>
      </c>
      <c r="K400">
        <v>200000</v>
      </c>
      <c r="L400">
        <v>250000</v>
      </c>
      <c r="M400">
        <v>200000</v>
      </c>
      <c r="N400">
        <v>50000</v>
      </c>
      <c r="O400" s="3" t="s">
        <v>501</v>
      </c>
      <c r="P400" s="3" t="s">
        <v>102</v>
      </c>
      <c r="Q400" s="3" t="s">
        <v>103</v>
      </c>
      <c r="R400" s="3" t="s">
        <v>103</v>
      </c>
    </row>
    <row r="401" spans="1:18">
      <c r="A401" s="19">
        <v>46075</v>
      </c>
      <c r="B401" s="3" t="s">
        <v>18</v>
      </c>
      <c r="C401" s="3" t="s">
        <v>32</v>
      </c>
      <c r="D401" s="3" t="s">
        <v>23</v>
      </c>
      <c r="E401" s="3" t="s">
        <v>14</v>
      </c>
      <c r="F401" s="3" t="s">
        <v>41</v>
      </c>
      <c r="G401" s="3" t="s">
        <v>22</v>
      </c>
      <c r="H401">
        <v>220000</v>
      </c>
      <c r="I401">
        <v>5</v>
      </c>
      <c r="J401" s="3" t="s">
        <v>39</v>
      </c>
      <c r="K401">
        <v>176000</v>
      </c>
      <c r="L401">
        <v>1100000</v>
      </c>
      <c r="M401">
        <v>880000</v>
      </c>
      <c r="N401">
        <v>220000</v>
      </c>
      <c r="O401" s="3" t="s">
        <v>502</v>
      </c>
      <c r="P401" s="3" t="s">
        <v>102</v>
      </c>
      <c r="Q401" s="3" t="s">
        <v>103</v>
      </c>
      <c r="R401" s="3" t="s">
        <v>103</v>
      </c>
    </row>
    <row r="402" spans="1:18">
      <c r="A402" s="19">
        <v>46076</v>
      </c>
      <c r="B402" s="3" t="s">
        <v>29</v>
      </c>
      <c r="C402" s="3" t="s">
        <v>19</v>
      </c>
      <c r="D402" s="3" t="s">
        <v>13</v>
      </c>
      <c r="E402" s="3" t="s">
        <v>14</v>
      </c>
      <c r="F402" s="3" t="s">
        <v>30</v>
      </c>
      <c r="G402" s="3" t="s">
        <v>31</v>
      </c>
      <c r="H402">
        <v>300000</v>
      </c>
      <c r="I402">
        <v>1</v>
      </c>
      <c r="J402" s="3" t="s">
        <v>17</v>
      </c>
      <c r="K402">
        <v>240000</v>
      </c>
      <c r="L402">
        <v>300000</v>
      </c>
      <c r="M402">
        <v>240000</v>
      </c>
      <c r="N402">
        <v>60000</v>
      </c>
      <c r="O402" s="3" t="s">
        <v>503</v>
      </c>
      <c r="P402" s="3" t="s">
        <v>102</v>
      </c>
      <c r="Q402" s="3" t="s">
        <v>103</v>
      </c>
      <c r="R402" s="3" t="s">
        <v>103</v>
      </c>
    </row>
    <row r="403" spans="1:18">
      <c r="A403" s="19">
        <v>46077</v>
      </c>
      <c r="B403" s="3" t="s">
        <v>29</v>
      </c>
      <c r="C403" s="3" t="s">
        <v>26</v>
      </c>
      <c r="D403" s="3" t="s">
        <v>23</v>
      </c>
      <c r="E403" s="3" t="s">
        <v>20</v>
      </c>
      <c r="F403" s="3" t="s">
        <v>27</v>
      </c>
      <c r="G403" s="3" t="s">
        <v>22</v>
      </c>
      <c r="H403">
        <v>60000</v>
      </c>
      <c r="I403">
        <v>6</v>
      </c>
      <c r="J403" s="3" t="s">
        <v>37</v>
      </c>
      <c r="K403">
        <v>48000</v>
      </c>
      <c r="L403">
        <v>360000</v>
      </c>
      <c r="M403">
        <v>288000</v>
      </c>
      <c r="N403">
        <v>72000</v>
      </c>
      <c r="O403" s="3" t="s">
        <v>504</v>
      </c>
      <c r="P403" s="3" t="s">
        <v>102</v>
      </c>
      <c r="Q403" s="3" t="s">
        <v>103</v>
      </c>
      <c r="R403" s="3" t="s">
        <v>103</v>
      </c>
    </row>
    <row r="404" spans="1:18">
      <c r="A404" s="19">
        <v>46078</v>
      </c>
      <c r="B404" s="3" t="s">
        <v>25</v>
      </c>
      <c r="C404" s="3" t="s">
        <v>32</v>
      </c>
      <c r="D404" s="3" t="s">
        <v>13</v>
      </c>
      <c r="E404" s="3" t="s">
        <v>14</v>
      </c>
      <c r="F404" s="3" t="s">
        <v>27</v>
      </c>
      <c r="G404" s="3" t="s">
        <v>22</v>
      </c>
      <c r="H404">
        <v>60000</v>
      </c>
      <c r="I404">
        <v>8</v>
      </c>
      <c r="J404" s="3" t="s">
        <v>24</v>
      </c>
      <c r="K404">
        <v>48000</v>
      </c>
      <c r="L404">
        <v>480000</v>
      </c>
      <c r="M404">
        <v>384000</v>
      </c>
      <c r="N404">
        <v>96000</v>
      </c>
      <c r="O404" s="3" t="s">
        <v>505</v>
      </c>
      <c r="P404" s="3" t="s">
        <v>102</v>
      </c>
      <c r="Q404" s="3" t="s">
        <v>103</v>
      </c>
      <c r="R404" s="3" t="s">
        <v>103</v>
      </c>
    </row>
    <row r="405" spans="1:18">
      <c r="A405" s="19">
        <v>46079</v>
      </c>
      <c r="B405" s="3" t="s">
        <v>25</v>
      </c>
      <c r="C405" s="3" t="s">
        <v>26</v>
      </c>
      <c r="D405" s="3" t="s">
        <v>13</v>
      </c>
      <c r="E405" s="3" t="s">
        <v>20</v>
      </c>
      <c r="F405" s="3" t="s">
        <v>41</v>
      </c>
      <c r="G405" s="3" t="s">
        <v>22</v>
      </c>
      <c r="H405">
        <v>220000</v>
      </c>
      <c r="I405">
        <v>3</v>
      </c>
      <c r="J405" s="3" t="s">
        <v>37</v>
      </c>
      <c r="K405">
        <v>176000</v>
      </c>
      <c r="L405">
        <v>660000</v>
      </c>
      <c r="M405">
        <v>528000</v>
      </c>
      <c r="N405">
        <v>132000</v>
      </c>
      <c r="O405" s="3" t="s">
        <v>506</v>
      </c>
      <c r="P405" s="3" t="s">
        <v>102</v>
      </c>
      <c r="Q405" s="3" t="s">
        <v>103</v>
      </c>
      <c r="R405" s="3" t="s">
        <v>103</v>
      </c>
    </row>
    <row r="406" spans="1:18">
      <c r="A406" s="19">
        <v>46080</v>
      </c>
      <c r="B406" s="3" t="s">
        <v>29</v>
      </c>
      <c r="C406" s="3" t="s">
        <v>32</v>
      </c>
      <c r="D406" s="3" t="s">
        <v>13</v>
      </c>
      <c r="E406" s="3" t="s">
        <v>14</v>
      </c>
      <c r="F406" s="3" t="s">
        <v>27</v>
      </c>
      <c r="G406" s="3" t="s">
        <v>22</v>
      </c>
      <c r="H406">
        <v>60000</v>
      </c>
      <c r="I406">
        <v>1</v>
      </c>
      <c r="J406" s="3" t="s">
        <v>35</v>
      </c>
      <c r="K406">
        <v>48000</v>
      </c>
      <c r="L406">
        <v>60000</v>
      </c>
      <c r="M406">
        <v>48000</v>
      </c>
      <c r="N406">
        <v>12000</v>
      </c>
      <c r="O406" s="3" t="s">
        <v>507</v>
      </c>
      <c r="P406" s="3" t="s">
        <v>102</v>
      </c>
      <c r="Q406" s="3" t="s">
        <v>103</v>
      </c>
      <c r="R406" s="3" t="s">
        <v>103</v>
      </c>
    </row>
    <row r="407" spans="1:18">
      <c r="A407" s="19">
        <v>46081</v>
      </c>
      <c r="B407" s="3" t="s">
        <v>18</v>
      </c>
      <c r="C407" s="3" t="s">
        <v>19</v>
      </c>
      <c r="D407" s="3" t="s">
        <v>23</v>
      </c>
      <c r="E407" s="3" t="s">
        <v>14</v>
      </c>
      <c r="F407" s="3" t="s">
        <v>36</v>
      </c>
      <c r="G407" s="3" t="s">
        <v>31</v>
      </c>
      <c r="H407">
        <v>150000</v>
      </c>
      <c r="I407">
        <v>1</v>
      </c>
      <c r="J407" s="3" t="s">
        <v>28</v>
      </c>
      <c r="K407">
        <v>120000</v>
      </c>
      <c r="L407">
        <v>150000</v>
      </c>
      <c r="M407">
        <v>120000</v>
      </c>
      <c r="N407">
        <v>30000</v>
      </c>
      <c r="O407" s="3" t="s">
        <v>508</v>
      </c>
      <c r="P407" s="3" t="s">
        <v>102</v>
      </c>
      <c r="Q407" s="3" t="s">
        <v>103</v>
      </c>
      <c r="R407" s="3" t="s">
        <v>103</v>
      </c>
    </row>
    <row r="408" spans="1:18">
      <c r="A408" s="19">
        <v>46082</v>
      </c>
      <c r="B408" s="3" t="s">
        <v>11</v>
      </c>
      <c r="C408" s="3" t="s">
        <v>26</v>
      </c>
      <c r="D408" s="3" t="s">
        <v>23</v>
      </c>
      <c r="E408" s="3" t="s">
        <v>14</v>
      </c>
      <c r="F408" s="3" t="s">
        <v>34</v>
      </c>
      <c r="G408" s="3" t="s">
        <v>16</v>
      </c>
      <c r="H408">
        <v>320000</v>
      </c>
      <c r="I408">
        <v>7</v>
      </c>
      <c r="J408" s="3" t="s">
        <v>39</v>
      </c>
      <c r="K408">
        <v>256000</v>
      </c>
      <c r="L408">
        <v>2240000</v>
      </c>
      <c r="M408">
        <v>1792000</v>
      </c>
      <c r="N408">
        <v>448000</v>
      </c>
      <c r="O408" s="3" t="s">
        <v>509</v>
      </c>
      <c r="P408" s="3" t="s">
        <v>102</v>
      </c>
      <c r="Q408" s="3" t="s">
        <v>103</v>
      </c>
      <c r="R408" s="3" t="s">
        <v>103</v>
      </c>
    </row>
    <row r="409" spans="1:18">
      <c r="A409" s="19">
        <v>46083</v>
      </c>
      <c r="B409" s="3" t="s">
        <v>25</v>
      </c>
      <c r="C409" s="3" t="s">
        <v>26</v>
      </c>
      <c r="D409" s="3" t="s">
        <v>13</v>
      </c>
      <c r="E409" s="3" t="s">
        <v>20</v>
      </c>
      <c r="F409" s="3" t="s">
        <v>15</v>
      </c>
      <c r="G409" s="3" t="s">
        <v>16</v>
      </c>
      <c r="H409">
        <v>85000</v>
      </c>
      <c r="I409">
        <v>10</v>
      </c>
      <c r="J409" s="3" t="s">
        <v>28</v>
      </c>
      <c r="K409">
        <v>68000</v>
      </c>
      <c r="L409">
        <v>850000</v>
      </c>
      <c r="M409">
        <v>680000</v>
      </c>
      <c r="N409">
        <v>170000</v>
      </c>
      <c r="O409" s="3" t="s">
        <v>510</v>
      </c>
      <c r="P409" s="3" t="s">
        <v>102</v>
      </c>
      <c r="Q409" s="3" t="s">
        <v>103</v>
      </c>
      <c r="R409" s="3" t="s">
        <v>103</v>
      </c>
    </row>
    <row r="410" spans="1:18">
      <c r="A410" s="19">
        <v>46084</v>
      </c>
      <c r="B410" s="3" t="s">
        <v>11</v>
      </c>
      <c r="C410" s="3" t="s">
        <v>12</v>
      </c>
      <c r="D410" s="3" t="s">
        <v>23</v>
      </c>
      <c r="E410" s="3" t="s">
        <v>14</v>
      </c>
      <c r="F410" s="3" t="s">
        <v>36</v>
      </c>
      <c r="G410" s="3" t="s">
        <v>31</v>
      </c>
      <c r="H410">
        <v>150000</v>
      </c>
      <c r="I410">
        <v>10</v>
      </c>
      <c r="J410" s="3" t="s">
        <v>17</v>
      </c>
      <c r="K410">
        <v>120000</v>
      </c>
      <c r="L410">
        <v>1500000</v>
      </c>
      <c r="M410">
        <v>1200000</v>
      </c>
      <c r="N410">
        <v>300000</v>
      </c>
      <c r="O410" s="3" t="s">
        <v>511</v>
      </c>
      <c r="P410" s="3" t="s">
        <v>102</v>
      </c>
      <c r="Q410" s="3" t="s">
        <v>103</v>
      </c>
      <c r="R410" s="3" t="s">
        <v>103</v>
      </c>
    </row>
    <row r="411" spans="1:18">
      <c r="A411" s="19">
        <v>46085</v>
      </c>
      <c r="B411" s="3" t="s">
        <v>25</v>
      </c>
      <c r="C411" s="3" t="s">
        <v>19</v>
      </c>
      <c r="D411" s="3" t="s">
        <v>23</v>
      </c>
      <c r="E411" s="3" t="s">
        <v>14</v>
      </c>
      <c r="F411" s="3" t="s">
        <v>27</v>
      </c>
      <c r="G411" s="3" t="s">
        <v>22</v>
      </c>
      <c r="H411">
        <v>60000</v>
      </c>
      <c r="I411">
        <v>2</v>
      </c>
      <c r="J411" s="3" t="s">
        <v>28</v>
      </c>
      <c r="K411">
        <v>48000</v>
      </c>
      <c r="L411">
        <v>120000</v>
      </c>
      <c r="M411">
        <v>96000</v>
      </c>
      <c r="N411">
        <v>24000</v>
      </c>
      <c r="O411" s="3" t="s">
        <v>512</v>
      </c>
      <c r="P411" s="3" t="s">
        <v>102</v>
      </c>
      <c r="Q411" s="3" t="s">
        <v>103</v>
      </c>
      <c r="R411" s="3" t="s">
        <v>103</v>
      </c>
    </row>
    <row r="412" spans="1:18">
      <c r="A412" s="19">
        <v>46086</v>
      </c>
      <c r="B412" s="3" t="s">
        <v>29</v>
      </c>
      <c r="C412" s="3" t="s">
        <v>32</v>
      </c>
      <c r="D412" s="3" t="s">
        <v>23</v>
      </c>
      <c r="E412" s="3" t="s">
        <v>14</v>
      </c>
      <c r="F412" s="3" t="s">
        <v>30</v>
      </c>
      <c r="G412" s="3" t="s">
        <v>31</v>
      </c>
      <c r="H412">
        <v>300000</v>
      </c>
      <c r="I412">
        <v>6</v>
      </c>
      <c r="J412" s="3" t="s">
        <v>17</v>
      </c>
      <c r="K412">
        <v>240000</v>
      </c>
      <c r="L412">
        <v>1800000</v>
      </c>
      <c r="M412">
        <v>1440000</v>
      </c>
      <c r="N412">
        <v>360000</v>
      </c>
      <c r="O412" s="3" t="s">
        <v>513</v>
      </c>
      <c r="P412" s="3" t="s">
        <v>102</v>
      </c>
      <c r="Q412" s="3" t="s">
        <v>103</v>
      </c>
      <c r="R412" s="3" t="s">
        <v>103</v>
      </c>
    </row>
    <row r="413" spans="1:18">
      <c r="A413" s="19">
        <v>46087</v>
      </c>
      <c r="B413" s="3" t="s">
        <v>18</v>
      </c>
      <c r="C413" s="3" t="s">
        <v>26</v>
      </c>
      <c r="D413" s="3" t="s">
        <v>13</v>
      </c>
      <c r="E413" s="3" t="s">
        <v>14</v>
      </c>
      <c r="F413" s="3" t="s">
        <v>36</v>
      </c>
      <c r="G413" s="3" t="s">
        <v>31</v>
      </c>
      <c r="H413">
        <v>150000</v>
      </c>
      <c r="I413">
        <v>3</v>
      </c>
      <c r="J413" s="3" t="s">
        <v>37</v>
      </c>
      <c r="K413">
        <v>120000</v>
      </c>
      <c r="L413">
        <v>450000</v>
      </c>
      <c r="M413">
        <v>360000</v>
      </c>
      <c r="N413">
        <v>90000</v>
      </c>
      <c r="O413" s="3" t="s">
        <v>514</v>
      </c>
      <c r="P413" s="3" t="s">
        <v>102</v>
      </c>
      <c r="Q413" s="3" t="s">
        <v>103</v>
      </c>
      <c r="R413" s="3" t="s">
        <v>103</v>
      </c>
    </row>
    <row r="414" spans="1:18">
      <c r="A414" s="19">
        <v>46088</v>
      </c>
      <c r="B414" s="3" t="s">
        <v>11</v>
      </c>
      <c r="C414" s="3" t="s">
        <v>12</v>
      </c>
      <c r="D414" s="3" t="s">
        <v>23</v>
      </c>
      <c r="E414" s="3" t="s">
        <v>14</v>
      </c>
      <c r="F414" s="3" t="s">
        <v>21</v>
      </c>
      <c r="G414" s="3" t="s">
        <v>22</v>
      </c>
      <c r="H414">
        <v>30000</v>
      </c>
      <c r="I414">
        <v>2</v>
      </c>
      <c r="J414" s="3" t="s">
        <v>24</v>
      </c>
      <c r="K414">
        <v>24000</v>
      </c>
      <c r="L414">
        <v>60000</v>
      </c>
      <c r="M414">
        <v>48000</v>
      </c>
      <c r="N414">
        <v>12000</v>
      </c>
      <c r="O414" s="3" t="s">
        <v>515</v>
      </c>
      <c r="P414" s="3" t="s">
        <v>102</v>
      </c>
      <c r="Q414" s="3" t="s">
        <v>103</v>
      </c>
      <c r="R414" s="3" t="s">
        <v>103</v>
      </c>
    </row>
    <row r="415" spans="1:18">
      <c r="A415" s="19">
        <v>46089</v>
      </c>
      <c r="B415" s="3" t="s">
        <v>18</v>
      </c>
      <c r="C415" s="3" t="s">
        <v>19</v>
      </c>
      <c r="D415" s="3" t="s">
        <v>13</v>
      </c>
      <c r="E415" s="3" t="s">
        <v>14</v>
      </c>
      <c r="F415" s="3" t="s">
        <v>33</v>
      </c>
      <c r="G415" s="3" t="s">
        <v>22</v>
      </c>
      <c r="H415">
        <v>180000</v>
      </c>
      <c r="I415">
        <v>2</v>
      </c>
      <c r="J415" s="3" t="s">
        <v>37</v>
      </c>
      <c r="K415">
        <v>144000</v>
      </c>
      <c r="L415">
        <v>360000</v>
      </c>
      <c r="M415">
        <v>288000</v>
      </c>
      <c r="N415">
        <v>72000</v>
      </c>
      <c r="O415" s="3" t="s">
        <v>516</v>
      </c>
      <c r="P415" s="3" t="s">
        <v>102</v>
      </c>
      <c r="Q415" s="3" t="s">
        <v>103</v>
      </c>
      <c r="R415" s="3" t="s">
        <v>103</v>
      </c>
    </row>
    <row r="416" spans="1:18">
      <c r="A416" s="19">
        <v>46090</v>
      </c>
      <c r="B416" s="3" t="s">
        <v>11</v>
      </c>
      <c r="C416" s="3" t="s">
        <v>26</v>
      </c>
      <c r="D416" s="3" t="s">
        <v>23</v>
      </c>
      <c r="E416" s="3" t="s">
        <v>14</v>
      </c>
      <c r="F416" s="3" t="s">
        <v>34</v>
      </c>
      <c r="G416" s="3" t="s">
        <v>16</v>
      </c>
      <c r="H416">
        <v>320000</v>
      </c>
      <c r="I416">
        <v>3</v>
      </c>
      <c r="J416" s="3" t="s">
        <v>28</v>
      </c>
      <c r="K416">
        <v>256000</v>
      </c>
      <c r="L416">
        <v>960000</v>
      </c>
      <c r="M416">
        <v>768000</v>
      </c>
      <c r="N416">
        <v>192000</v>
      </c>
      <c r="O416" s="3" t="s">
        <v>517</v>
      </c>
      <c r="P416" s="3" t="s">
        <v>102</v>
      </c>
      <c r="Q416" s="3" t="s">
        <v>103</v>
      </c>
      <c r="R416" s="3" t="s">
        <v>103</v>
      </c>
    </row>
    <row r="417" spans="1:18">
      <c r="A417" s="19">
        <v>46091</v>
      </c>
      <c r="B417" s="3" t="s">
        <v>25</v>
      </c>
      <c r="C417" s="3" t="s">
        <v>26</v>
      </c>
      <c r="D417" s="3" t="s">
        <v>23</v>
      </c>
      <c r="E417" s="3" t="s">
        <v>20</v>
      </c>
      <c r="F417" s="3" t="s">
        <v>21</v>
      </c>
      <c r="G417" s="3" t="s">
        <v>22</v>
      </c>
      <c r="H417">
        <v>30000</v>
      </c>
      <c r="I417">
        <v>3</v>
      </c>
      <c r="J417" s="3" t="s">
        <v>37</v>
      </c>
      <c r="K417">
        <v>24000</v>
      </c>
      <c r="L417">
        <v>90000</v>
      </c>
      <c r="M417">
        <v>72000</v>
      </c>
      <c r="N417">
        <v>18000</v>
      </c>
      <c r="O417" s="3" t="s">
        <v>518</v>
      </c>
      <c r="P417" s="3" t="s">
        <v>102</v>
      </c>
      <c r="Q417" s="3" t="s">
        <v>103</v>
      </c>
      <c r="R417" s="3" t="s">
        <v>103</v>
      </c>
    </row>
    <row r="418" spans="1:18">
      <c r="A418" s="19">
        <v>46092</v>
      </c>
      <c r="B418" s="3" t="s">
        <v>11</v>
      </c>
      <c r="C418" s="3" t="s">
        <v>32</v>
      </c>
      <c r="D418" s="3" t="s">
        <v>13</v>
      </c>
      <c r="E418" s="3" t="s">
        <v>20</v>
      </c>
      <c r="F418" s="3" t="s">
        <v>15</v>
      </c>
      <c r="G418" s="3" t="s">
        <v>16</v>
      </c>
      <c r="H418">
        <v>85000</v>
      </c>
      <c r="I418">
        <v>3</v>
      </c>
      <c r="J418" s="3" t="s">
        <v>35</v>
      </c>
      <c r="K418">
        <v>68000</v>
      </c>
      <c r="L418">
        <v>255000</v>
      </c>
      <c r="M418">
        <v>204000</v>
      </c>
      <c r="N418">
        <v>51000</v>
      </c>
      <c r="O418" s="3" t="s">
        <v>519</v>
      </c>
      <c r="P418" s="3" t="s">
        <v>102</v>
      </c>
      <c r="Q418" s="3" t="s">
        <v>103</v>
      </c>
      <c r="R418" s="3" t="s">
        <v>103</v>
      </c>
    </row>
    <row r="419" spans="1:18">
      <c r="A419" s="19">
        <v>46093</v>
      </c>
      <c r="B419" s="3" t="s">
        <v>29</v>
      </c>
      <c r="C419" s="3" t="s">
        <v>26</v>
      </c>
      <c r="D419" s="3" t="s">
        <v>13</v>
      </c>
      <c r="E419" s="3" t="s">
        <v>20</v>
      </c>
      <c r="F419" s="3" t="s">
        <v>15</v>
      </c>
      <c r="G419" s="3" t="s">
        <v>16</v>
      </c>
      <c r="H419">
        <v>85000</v>
      </c>
      <c r="I419">
        <v>10</v>
      </c>
      <c r="J419" s="3" t="s">
        <v>37</v>
      </c>
      <c r="K419">
        <v>68000</v>
      </c>
      <c r="L419">
        <v>850000</v>
      </c>
      <c r="M419">
        <v>680000</v>
      </c>
      <c r="N419">
        <v>170000</v>
      </c>
      <c r="O419" s="3" t="s">
        <v>520</v>
      </c>
      <c r="P419" s="3" t="s">
        <v>102</v>
      </c>
      <c r="Q419" s="3" t="s">
        <v>103</v>
      </c>
      <c r="R419" s="3" t="s">
        <v>103</v>
      </c>
    </row>
    <row r="420" spans="1:18">
      <c r="A420" s="19">
        <v>46094</v>
      </c>
      <c r="B420" s="3" t="s">
        <v>18</v>
      </c>
      <c r="C420" s="3" t="s">
        <v>12</v>
      </c>
      <c r="D420" s="3" t="s">
        <v>23</v>
      </c>
      <c r="E420" s="3" t="s">
        <v>20</v>
      </c>
      <c r="F420" s="3" t="s">
        <v>33</v>
      </c>
      <c r="G420" s="3" t="s">
        <v>22</v>
      </c>
      <c r="H420">
        <v>180000</v>
      </c>
      <c r="I420">
        <v>10</v>
      </c>
      <c r="J420" s="3" t="s">
        <v>17</v>
      </c>
      <c r="K420">
        <v>144000</v>
      </c>
      <c r="L420">
        <v>1800000</v>
      </c>
      <c r="M420">
        <v>1440000</v>
      </c>
      <c r="N420">
        <v>360000</v>
      </c>
      <c r="O420" s="3" t="s">
        <v>521</v>
      </c>
      <c r="P420" s="3" t="s">
        <v>102</v>
      </c>
      <c r="Q420" s="3" t="s">
        <v>103</v>
      </c>
      <c r="R420" s="3" t="s">
        <v>103</v>
      </c>
    </row>
    <row r="421" spans="1:18">
      <c r="A421" s="19">
        <v>46095</v>
      </c>
      <c r="B421" s="3" t="s">
        <v>11</v>
      </c>
      <c r="C421" s="3" t="s">
        <v>19</v>
      </c>
      <c r="D421" s="3" t="s">
        <v>13</v>
      </c>
      <c r="E421" s="3" t="s">
        <v>20</v>
      </c>
      <c r="F421" s="3" t="s">
        <v>41</v>
      </c>
      <c r="G421" s="3" t="s">
        <v>22</v>
      </c>
      <c r="H421">
        <v>220000</v>
      </c>
      <c r="I421">
        <v>9</v>
      </c>
      <c r="J421" s="3" t="s">
        <v>28</v>
      </c>
      <c r="K421">
        <v>176000</v>
      </c>
      <c r="L421">
        <v>1980000</v>
      </c>
      <c r="M421">
        <v>1584000</v>
      </c>
      <c r="N421">
        <v>396000</v>
      </c>
      <c r="O421" s="3" t="s">
        <v>522</v>
      </c>
      <c r="P421" s="3" t="s">
        <v>102</v>
      </c>
      <c r="Q421" s="3" t="s">
        <v>103</v>
      </c>
      <c r="R421" s="3" t="s">
        <v>103</v>
      </c>
    </row>
    <row r="422" spans="1:18">
      <c r="A422" s="19">
        <v>46096</v>
      </c>
      <c r="B422" s="3" t="s">
        <v>11</v>
      </c>
      <c r="C422" s="3" t="s">
        <v>32</v>
      </c>
      <c r="D422" s="3" t="s">
        <v>23</v>
      </c>
      <c r="E422" s="3" t="s">
        <v>20</v>
      </c>
      <c r="F422" s="3" t="s">
        <v>38</v>
      </c>
      <c r="G422" s="3" t="s">
        <v>31</v>
      </c>
      <c r="H422">
        <v>420000</v>
      </c>
      <c r="I422">
        <v>9</v>
      </c>
      <c r="J422" s="3" t="s">
        <v>28</v>
      </c>
      <c r="K422">
        <v>336000</v>
      </c>
      <c r="L422">
        <v>3780000</v>
      </c>
      <c r="M422">
        <v>3024000</v>
      </c>
      <c r="N422">
        <v>756000</v>
      </c>
      <c r="O422" s="3" t="s">
        <v>523</v>
      </c>
      <c r="P422" s="3" t="s">
        <v>102</v>
      </c>
      <c r="Q422" s="3" t="s">
        <v>103</v>
      </c>
      <c r="R422" s="3" t="s">
        <v>103</v>
      </c>
    </row>
    <row r="423" spans="1:18">
      <c r="A423" s="19">
        <v>46097</v>
      </c>
      <c r="B423" s="3" t="s">
        <v>18</v>
      </c>
      <c r="C423" s="3" t="s">
        <v>12</v>
      </c>
      <c r="D423" s="3" t="s">
        <v>23</v>
      </c>
      <c r="E423" s="3" t="s">
        <v>14</v>
      </c>
      <c r="F423" s="3" t="s">
        <v>33</v>
      </c>
      <c r="G423" s="3" t="s">
        <v>22</v>
      </c>
      <c r="H423">
        <v>180000</v>
      </c>
      <c r="I423">
        <v>2</v>
      </c>
      <c r="J423" s="3" t="s">
        <v>37</v>
      </c>
      <c r="K423">
        <v>144000</v>
      </c>
      <c r="L423">
        <v>360000</v>
      </c>
      <c r="M423">
        <v>288000</v>
      </c>
      <c r="N423">
        <v>72000</v>
      </c>
      <c r="O423" s="3" t="s">
        <v>524</v>
      </c>
      <c r="P423" s="3" t="s">
        <v>102</v>
      </c>
      <c r="Q423" s="3" t="s">
        <v>103</v>
      </c>
      <c r="R423" s="3" t="s">
        <v>103</v>
      </c>
    </row>
    <row r="424" spans="1:18">
      <c r="A424" s="19">
        <v>46098</v>
      </c>
      <c r="B424" s="3" t="s">
        <v>11</v>
      </c>
      <c r="C424" s="3" t="s">
        <v>19</v>
      </c>
      <c r="D424" s="3" t="s">
        <v>23</v>
      </c>
      <c r="E424" s="3" t="s">
        <v>14</v>
      </c>
      <c r="F424" s="3" t="s">
        <v>30</v>
      </c>
      <c r="G424" s="3" t="s">
        <v>31</v>
      </c>
      <c r="H424">
        <v>300000</v>
      </c>
      <c r="I424">
        <v>3</v>
      </c>
      <c r="J424" s="3" t="s">
        <v>24</v>
      </c>
      <c r="K424">
        <v>240000</v>
      </c>
      <c r="L424">
        <v>900000</v>
      </c>
      <c r="M424">
        <v>720000</v>
      </c>
      <c r="N424">
        <v>180000</v>
      </c>
      <c r="O424" s="3" t="s">
        <v>525</v>
      </c>
      <c r="P424" s="3" t="s">
        <v>102</v>
      </c>
      <c r="Q424" s="3" t="s">
        <v>103</v>
      </c>
      <c r="R424" s="3" t="s">
        <v>103</v>
      </c>
    </row>
    <row r="425" spans="1:18">
      <c r="A425" s="19">
        <v>46099</v>
      </c>
      <c r="B425" s="3" t="s">
        <v>29</v>
      </c>
      <c r="C425" s="3" t="s">
        <v>26</v>
      </c>
      <c r="D425" s="3" t="s">
        <v>23</v>
      </c>
      <c r="E425" s="3" t="s">
        <v>14</v>
      </c>
      <c r="F425" s="3" t="s">
        <v>33</v>
      </c>
      <c r="G425" s="3" t="s">
        <v>22</v>
      </c>
      <c r="H425">
        <v>180000</v>
      </c>
      <c r="I425">
        <v>1</v>
      </c>
      <c r="J425" s="3" t="s">
        <v>39</v>
      </c>
      <c r="K425">
        <v>144000</v>
      </c>
      <c r="L425">
        <v>180000</v>
      </c>
      <c r="M425">
        <v>144000</v>
      </c>
      <c r="N425">
        <v>36000</v>
      </c>
      <c r="O425" s="3" t="s">
        <v>526</v>
      </c>
      <c r="P425" s="3" t="s">
        <v>102</v>
      </c>
      <c r="Q425" s="3" t="s">
        <v>103</v>
      </c>
      <c r="R425" s="3" t="s">
        <v>103</v>
      </c>
    </row>
    <row r="426" spans="1:18">
      <c r="A426" s="19">
        <v>46100</v>
      </c>
      <c r="B426" s="3" t="s">
        <v>29</v>
      </c>
      <c r="C426" s="3" t="s">
        <v>19</v>
      </c>
      <c r="D426" s="3" t="s">
        <v>13</v>
      </c>
      <c r="E426" s="3" t="s">
        <v>20</v>
      </c>
      <c r="F426" s="3" t="s">
        <v>34</v>
      </c>
      <c r="G426" s="3" t="s">
        <v>16</v>
      </c>
      <c r="H426">
        <v>320000</v>
      </c>
      <c r="I426">
        <v>9</v>
      </c>
      <c r="J426" s="3" t="s">
        <v>35</v>
      </c>
      <c r="K426">
        <v>256000</v>
      </c>
      <c r="L426">
        <v>2880000</v>
      </c>
      <c r="M426">
        <v>2304000</v>
      </c>
      <c r="N426">
        <v>576000</v>
      </c>
      <c r="O426" s="3" t="s">
        <v>527</v>
      </c>
      <c r="P426" s="3" t="s">
        <v>102</v>
      </c>
      <c r="Q426" s="3" t="s">
        <v>103</v>
      </c>
      <c r="R426" s="3" t="s">
        <v>103</v>
      </c>
    </row>
    <row r="427" spans="1:18">
      <c r="A427" s="19">
        <v>46101</v>
      </c>
      <c r="B427" s="3" t="s">
        <v>29</v>
      </c>
      <c r="C427" s="3" t="s">
        <v>12</v>
      </c>
      <c r="D427" s="3" t="s">
        <v>13</v>
      </c>
      <c r="E427" s="3" t="s">
        <v>14</v>
      </c>
      <c r="F427" s="3" t="s">
        <v>34</v>
      </c>
      <c r="G427" s="3" t="s">
        <v>16</v>
      </c>
      <c r="H427">
        <v>320000</v>
      </c>
      <c r="I427">
        <v>5</v>
      </c>
      <c r="J427" s="3" t="s">
        <v>24</v>
      </c>
      <c r="K427">
        <v>256000</v>
      </c>
      <c r="L427">
        <v>1600000</v>
      </c>
      <c r="M427">
        <v>1280000</v>
      </c>
      <c r="N427">
        <v>320000</v>
      </c>
      <c r="O427" s="3" t="s">
        <v>528</v>
      </c>
      <c r="P427" s="3" t="s">
        <v>102</v>
      </c>
      <c r="Q427" s="3" t="s">
        <v>103</v>
      </c>
      <c r="R427" s="3" t="s">
        <v>103</v>
      </c>
    </row>
    <row r="428" spans="1:18">
      <c r="A428" s="19">
        <v>46102</v>
      </c>
      <c r="B428" s="3" t="s">
        <v>29</v>
      </c>
      <c r="C428" s="3" t="s">
        <v>32</v>
      </c>
      <c r="D428" s="3" t="s">
        <v>13</v>
      </c>
      <c r="E428" s="3" t="s">
        <v>14</v>
      </c>
      <c r="F428" s="3" t="s">
        <v>27</v>
      </c>
      <c r="G428" s="3" t="s">
        <v>22</v>
      </c>
      <c r="H428">
        <v>60000</v>
      </c>
      <c r="I428">
        <v>8</v>
      </c>
      <c r="J428" s="3" t="s">
        <v>39</v>
      </c>
      <c r="K428">
        <v>48000</v>
      </c>
      <c r="L428">
        <v>480000</v>
      </c>
      <c r="M428">
        <v>384000</v>
      </c>
      <c r="N428">
        <v>96000</v>
      </c>
      <c r="O428" s="3" t="s">
        <v>529</v>
      </c>
      <c r="P428" s="3" t="s">
        <v>102</v>
      </c>
      <c r="Q428" s="3" t="s">
        <v>103</v>
      </c>
      <c r="R428" s="3" t="s">
        <v>103</v>
      </c>
    </row>
    <row r="429" spans="1:18">
      <c r="A429" s="19">
        <v>46103</v>
      </c>
      <c r="B429" s="3" t="s">
        <v>25</v>
      </c>
      <c r="C429" s="3" t="s">
        <v>12</v>
      </c>
      <c r="D429" s="3" t="s">
        <v>23</v>
      </c>
      <c r="E429" s="3" t="s">
        <v>14</v>
      </c>
      <c r="F429" s="3" t="s">
        <v>15</v>
      </c>
      <c r="G429" s="3" t="s">
        <v>16</v>
      </c>
      <c r="H429">
        <v>85000</v>
      </c>
      <c r="I429">
        <v>8</v>
      </c>
      <c r="J429" s="3" t="s">
        <v>24</v>
      </c>
      <c r="K429">
        <v>68000</v>
      </c>
      <c r="L429">
        <v>680000</v>
      </c>
      <c r="M429">
        <v>544000</v>
      </c>
      <c r="N429">
        <v>136000</v>
      </c>
      <c r="O429" s="3" t="s">
        <v>530</v>
      </c>
      <c r="P429" s="3" t="s">
        <v>102</v>
      </c>
      <c r="Q429" s="3" t="s">
        <v>103</v>
      </c>
      <c r="R429" s="3" t="s">
        <v>103</v>
      </c>
    </row>
    <row r="430" spans="1:18">
      <c r="A430" s="19">
        <v>46104</v>
      </c>
      <c r="B430" s="3" t="s">
        <v>18</v>
      </c>
      <c r="C430" s="3" t="s">
        <v>12</v>
      </c>
      <c r="D430" s="3" t="s">
        <v>13</v>
      </c>
      <c r="E430" s="3" t="s">
        <v>20</v>
      </c>
      <c r="F430" s="3" t="s">
        <v>34</v>
      </c>
      <c r="G430" s="3" t="s">
        <v>16</v>
      </c>
      <c r="H430">
        <v>320000</v>
      </c>
      <c r="I430">
        <v>5</v>
      </c>
      <c r="J430" s="3" t="s">
        <v>24</v>
      </c>
      <c r="K430">
        <v>256000</v>
      </c>
      <c r="L430">
        <v>1600000</v>
      </c>
      <c r="M430">
        <v>1280000</v>
      </c>
      <c r="N430">
        <v>320000</v>
      </c>
      <c r="O430" s="3" t="s">
        <v>531</v>
      </c>
      <c r="P430" s="3" t="s">
        <v>102</v>
      </c>
      <c r="Q430" s="3" t="s">
        <v>103</v>
      </c>
      <c r="R430" s="3" t="s">
        <v>103</v>
      </c>
    </row>
    <row r="431" spans="1:18">
      <c r="A431" s="19">
        <v>46105</v>
      </c>
      <c r="B431" s="3" t="s">
        <v>29</v>
      </c>
      <c r="C431" s="3" t="s">
        <v>26</v>
      </c>
      <c r="D431" s="3" t="s">
        <v>23</v>
      </c>
      <c r="E431" s="3" t="s">
        <v>14</v>
      </c>
      <c r="F431" s="3" t="s">
        <v>36</v>
      </c>
      <c r="G431" s="3" t="s">
        <v>31</v>
      </c>
      <c r="H431">
        <v>150000</v>
      </c>
      <c r="I431">
        <v>3</v>
      </c>
      <c r="J431" s="3" t="s">
        <v>37</v>
      </c>
      <c r="K431">
        <v>120000</v>
      </c>
      <c r="L431">
        <v>450000</v>
      </c>
      <c r="M431">
        <v>360000</v>
      </c>
      <c r="N431">
        <v>90000</v>
      </c>
      <c r="O431" s="3" t="s">
        <v>532</v>
      </c>
      <c r="P431" s="3" t="s">
        <v>102</v>
      </c>
      <c r="Q431" s="3" t="s">
        <v>103</v>
      </c>
      <c r="R431" s="3" t="s">
        <v>103</v>
      </c>
    </row>
    <row r="432" spans="1:18">
      <c r="A432" s="19">
        <v>46106</v>
      </c>
      <c r="B432" s="3" t="s">
        <v>29</v>
      </c>
      <c r="C432" s="3" t="s">
        <v>26</v>
      </c>
      <c r="D432" s="3" t="s">
        <v>13</v>
      </c>
      <c r="E432" s="3" t="s">
        <v>20</v>
      </c>
      <c r="F432" s="3" t="s">
        <v>36</v>
      </c>
      <c r="G432" s="3" t="s">
        <v>31</v>
      </c>
      <c r="H432">
        <v>150000</v>
      </c>
      <c r="I432">
        <v>1</v>
      </c>
      <c r="J432" s="3" t="s">
        <v>17</v>
      </c>
      <c r="K432">
        <v>120000</v>
      </c>
      <c r="L432">
        <v>150000</v>
      </c>
      <c r="M432">
        <v>120000</v>
      </c>
      <c r="N432">
        <v>30000</v>
      </c>
      <c r="O432" s="3" t="s">
        <v>533</v>
      </c>
      <c r="P432" s="3" t="s">
        <v>102</v>
      </c>
      <c r="Q432" s="3" t="s">
        <v>103</v>
      </c>
      <c r="R432" s="3" t="s">
        <v>103</v>
      </c>
    </row>
    <row r="433" spans="1:18">
      <c r="A433" s="19">
        <v>46107</v>
      </c>
      <c r="B433" s="3" t="s">
        <v>25</v>
      </c>
      <c r="C433" s="3" t="s">
        <v>26</v>
      </c>
      <c r="D433" s="3" t="s">
        <v>23</v>
      </c>
      <c r="E433" s="3" t="s">
        <v>14</v>
      </c>
      <c r="F433" s="3" t="s">
        <v>27</v>
      </c>
      <c r="G433" s="3" t="s">
        <v>22</v>
      </c>
      <c r="H433">
        <v>60000</v>
      </c>
      <c r="I433">
        <v>7</v>
      </c>
      <c r="J433" s="3" t="s">
        <v>24</v>
      </c>
      <c r="K433">
        <v>48000</v>
      </c>
      <c r="L433">
        <v>420000</v>
      </c>
      <c r="M433">
        <v>336000</v>
      </c>
      <c r="N433">
        <v>84000</v>
      </c>
      <c r="O433" s="3" t="s">
        <v>534</v>
      </c>
      <c r="P433" s="3" t="s">
        <v>102</v>
      </c>
      <c r="Q433" s="3" t="s">
        <v>103</v>
      </c>
      <c r="R433" s="3" t="s">
        <v>103</v>
      </c>
    </row>
    <row r="434" spans="1:18">
      <c r="A434" s="19">
        <v>46108</v>
      </c>
      <c r="B434" s="3" t="s">
        <v>11</v>
      </c>
      <c r="C434" s="3" t="s">
        <v>12</v>
      </c>
      <c r="D434" s="3" t="s">
        <v>13</v>
      </c>
      <c r="E434" s="3" t="s">
        <v>14</v>
      </c>
      <c r="F434" s="3" t="s">
        <v>33</v>
      </c>
      <c r="G434" s="3" t="s">
        <v>22</v>
      </c>
      <c r="H434">
        <v>180000</v>
      </c>
      <c r="I434">
        <v>1</v>
      </c>
      <c r="J434" s="3" t="s">
        <v>24</v>
      </c>
      <c r="K434">
        <v>144000</v>
      </c>
      <c r="L434">
        <v>180000</v>
      </c>
      <c r="M434">
        <v>144000</v>
      </c>
      <c r="N434">
        <v>36000</v>
      </c>
      <c r="O434" s="3" t="s">
        <v>535</v>
      </c>
      <c r="P434" s="3" t="s">
        <v>102</v>
      </c>
      <c r="Q434" s="3" t="s">
        <v>103</v>
      </c>
      <c r="R434" s="3" t="s">
        <v>103</v>
      </c>
    </row>
    <row r="435" spans="1:18">
      <c r="A435" s="19">
        <v>46109</v>
      </c>
      <c r="B435" s="3" t="s">
        <v>25</v>
      </c>
      <c r="C435" s="3" t="s">
        <v>12</v>
      </c>
      <c r="D435" s="3" t="s">
        <v>23</v>
      </c>
      <c r="E435" s="3" t="s">
        <v>14</v>
      </c>
      <c r="F435" s="3" t="s">
        <v>33</v>
      </c>
      <c r="G435" s="3" t="s">
        <v>22</v>
      </c>
      <c r="H435">
        <v>180000</v>
      </c>
      <c r="I435">
        <v>1</v>
      </c>
      <c r="J435" s="3" t="s">
        <v>35</v>
      </c>
      <c r="K435">
        <v>144000</v>
      </c>
      <c r="L435">
        <v>180000</v>
      </c>
      <c r="M435">
        <v>144000</v>
      </c>
      <c r="N435">
        <v>36000</v>
      </c>
      <c r="O435" s="3" t="s">
        <v>536</v>
      </c>
      <c r="P435" s="3" t="s">
        <v>102</v>
      </c>
      <c r="Q435" s="3" t="s">
        <v>103</v>
      </c>
      <c r="R435" s="3" t="s">
        <v>103</v>
      </c>
    </row>
    <row r="436" spans="1:18">
      <c r="A436" s="19">
        <v>46110</v>
      </c>
      <c r="B436" s="3" t="s">
        <v>25</v>
      </c>
      <c r="C436" s="3" t="s">
        <v>12</v>
      </c>
      <c r="D436" s="3" t="s">
        <v>13</v>
      </c>
      <c r="E436" s="3" t="s">
        <v>20</v>
      </c>
      <c r="F436" s="3" t="s">
        <v>40</v>
      </c>
      <c r="G436" s="3" t="s">
        <v>31</v>
      </c>
      <c r="H436">
        <v>250000</v>
      </c>
      <c r="I436">
        <v>9</v>
      </c>
      <c r="J436" s="3" t="s">
        <v>17</v>
      </c>
      <c r="K436">
        <v>200000</v>
      </c>
      <c r="L436">
        <v>2250000</v>
      </c>
      <c r="M436">
        <v>1800000</v>
      </c>
      <c r="N436">
        <v>450000</v>
      </c>
      <c r="O436" s="3" t="s">
        <v>537</v>
      </c>
      <c r="P436" s="3" t="s">
        <v>102</v>
      </c>
      <c r="Q436" s="3" t="s">
        <v>103</v>
      </c>
      <c r="R436" s="3" t="s">
        <v>103</v>
      </c>
    </row>
    <row r="437" spans="1:18">
      <c r="A437" s="19">
        <v>46111</v>
      </c>
      <c r="B437" s="3" t="s">
        <v>11</v>
      </c>
      <c r="C437" s="3" t="s">
        <v>26</v>
      </c>
      <c r="D437" s="3" t="s">
        <v>23</v>
      </c>
      <c r="E437" s="3" t="s">
        <v>14</v>
      </c>
      <c r="F437" s="3" t="s">
        <v>34</v>
      </c>
      <c r="G437" s="3" t="s">
        <v>16</v>
      </c>
      <c r="H437">
        <v>320000</v>
      </c>
      <c r="I437">
        <v>1</v>
      </c>
      <c r="J437" s="3" t="s">
        <v>24</v>
      </c>
      <c r="K437">
        <v>256000</v>
      </c>
      <c r="L437">
        <v>320000</v>
      </c>
      <c r="M437">
        <v>256000</v>
      </c>
      <c r="N437">
        <v>64000</v>
      </c>
      <c r="O437" s="3" t="s">
        <v>538</v>
      </c>
      <c r="P437" s="3" t="s">
        <v>102</v>
      </c>
      <c r="Q437" s="3" t="s">
        <v>103</v>
      </c>
      <c r="R437" s="3" t="s">
        <v>103</v>
      </c>
    </row>
    <row r="438" spans="1:18">
      <c r="A438" s="19">
        <v>46112</v>
      </c>
      <c r="B438" s="3" t="s">
        <v>25</v>
      </c>
      <c r="C438" s="3" t="s">
        <v>19</v>
      </c>
      <c r="D438" s="3" t="s">
        <v>13</v>
      </c>
      <c r="E438" s="3" t="s">
        <v>20</v>
      </c>
      <c r="F438" s="3" t="s">
        <v>33</v>
      </c>
      <c r="G438" s="3" t="s">
        <v>22</v>
      </c>
      <c r="H438">
        <v>180000</v>
      </c>
      <c r="I438">
        <v>10</v>
      </c>
      <c r="J438" s="3" t="s">
        <v>17</v>
      </c>
      <c r="K438">
        <v>144000</v>
      </c>
      <c r="L438">
        <v>1800000</v>
      </c>
      <c r="M438">
        <v>1440000</v>
      </c>
      <c r="N438">
        <v>360000</v>
      </c>
      <c r="O438" s="3" t="s">
        <v>539</v>
      </c>
      <c r="P438" s="3" t="s">
        <v>102</v>
      </c>
      <c r="Q438" s="3" t="s">
        <v>103</v>
      </c>
      <c r="R438" s="3" t="s">
        <v>103</v>
      </c>
    </row>
    <row r="439" spans="1:18">
      <c r="A439" s="19">
        <v>46113</v>
      </c>
      <c r="B439" s="3" t="s">
        <v>18</v>
      </c>
      <c r="C439" s="3" t="s">
        <v>26</v>
      </c>
      <c r="D439" s="3" t="s">
        <v>13</v>
      </c>
      <c r="E439" s="3" t="s">
        <v>20</v>
      </c>
      <c r="F439" s="3" t="s">
        <v>30</v>
      </c>
      <c r="G439" s="3" t="s">
        <v>31</v>
      </c>
      <c r="H439">
        <v>300000</v>
      </c>
      <c r="I439">
        <v>10</v>
      </c>
      <c r="J439" s="3" t="s">
        <v>35</v>
      </c>
      <c r="K439">
        <v>240000</v>
      </c>
      <c r="L439">
        <v>3000000</v>
      </c>
      <c r="M439">
        <v>2400000</v>
      </c>
      <c r="N439">
        <v>600000</v>
      </c>
      <c r="O439" s="3" t="s">
        <v>540</v>
      </c>
      <c r="P439" s="3" t="s">
        <v>102</v>
      </c>
      <c r="Q439" s="3" t="s">
        <v>103</v>
      </c>
      <c r="R439" s="3" t="s">
        <v>103</v>
      </c>
    </row>
    <row r="440" spans="1:18">
      <c r="A440" s="19">
        <v>46114</v>
      </c>
      <c r="B440" s="3" t="s">
        <v>25</v>
      </c>
      <c r="C440" s="3" t="s">
        <v>12</v>
      </c>
      <c r="D440" s="3" t="s">
        <v>13</v>
      </c>
      <c r="E440" s="3" t="s">
        <v>14</v>
      </c>
      <c r="F440" s="3" t="s">
        <v>38</v>
      </c>
      <c r="G440" s="3" t="s">
        <v>31</v>
      </c>
      <c r="H440">
        <v>420000</v>
      </c>
      <c r="I440">
        <v>4</v>
      </c>
      <c r="J440" s="3" t="s">
        <v>37</v>
      </c>
      <c r="K440">
        <v>336000</v>
      </c>
      <c r="L440">
        <v>1680000</v>
      </c>
      <c r="M440">
        <v>1344000</v>
      </c>
      <c r="N440">
        <v>336000</v>
      </c>
      <c r="O440" s="3" t="s">
        <v>541</v>
      </c>
      <c r="P440" s="3" t="s">
        <v>102</v>
      </c>
      <c r="Q440" s="3" t="s">
        <v>103</v>
      </c>
      <c r="R440" s="3" t="s">
        <v>103</v>
      </c>
    </row>
    <row r="441" spans="1:18">
      <c r="A441" s="19">
        <v>46115</v>
      </c>
      <c r="B441" s="3" t="s">
        <v>11</v>
      </c>
      <c r="C441" s="3" t="s">
        <v>12</v>
      </c>
      <c r="D441" s="3" t="s">
        <v>23</v>
      </c>
      <c r="E441" s="3" t="s">
        <v>20</v>
      </c>
      <c r="F441" s="3" t="s">
        <v>21</v>
      </c>
      <c r="G441" s="3" t="s">
        <v>22</v>
      </c>
      <c r="H441">
        <v>30000</v>
      </c>
      <c r="I441">
        <v>4</v>
      </c>
      <c r="J441" s="3" t="s">
        <v>28</v>
      </c>
      <c r="K441">
        <v>24000</v>
      </c>
      <c r="L441">
        <v>120000</v>
      </c>
      <c r="M441">
        <v>96000</v>
      </c>
      <c r="N441">
        <v>24000</v>
      </c>
      <c r="O441" s="3" t="s">
        <v>542</v>
      </c>
      <c r="P441" s="3" t="s">
        <v>102</v>
      </c>
      <c r="Q441" s="3" t="s">
        <v>103</v>
      </c>
      <c r="R441" s="3" t="s">
        <v>103</v>
      </c>
    </row>
    <row r="442" spans="1:18">
      <c r="A442" s="19">
        <v>46116</v>
      </c>
      <c r="B442" s="3" t="s">
        <v>29</v>
      </c>
      <c r="C442" s="3" t="s">
        <v>26</v>
      </c>
      <c r="D442" s="3" t="s">
        <v>13</v>
      </c>
      <c r="E442" s="3" t="s">
        <v>14</v>
      </c>
      <c r="F442" s="3" t="s">
        <v>21</v>
      </c>
      <c r="G442" s="3" t="s">
        <v>22</v>
      </c>
      <c r="H442">
        <v>30000</v>
      </c>
      <c r="I442">
        <v>10</v>
      </c>
      <c r="J442" s="3" t="s">
        <v>35</v>
      </c>
      <c r="K442">
        <v>24000</v>
      </c>
      <c r="L442">
        <v>300000</v>
      </c>
      <c r="M442">
        <v>240000</v>
      </c>
      <c r="N442">
        <v>60000</v>
      </c>
      <c r="O442" s="3" t="s">
        <v>543</v>
      </c>
      <c r="P442" s="3" t="s">
        <v>102</v>
      </c>
      <c r="Q442" s="3" t="s">
        <v>103</v>
      </c>
      <c r="R442" s="3" t="s">
        <v>103</v>
      </c>
    </row>
    <row r="443" spans="1:18">
      <c r="A443" s="19">
        <v>46117</v>
      </c>
      <c r="B443" s="3" t="s">
        <v>25</v>
      </c>
      <c r="C443" s="3" t="s">
        <v>12</v>
      </c>
      <c r="D443" s="3" t="s">
        <v>23</v>
      </c>
      <c r="E443" s="3" t="s">
        <v>20</v>
      </c>
      <c r="F443" s="3" t="s">
        <v>27</v>
      </c>
      <c r="G443" s="3" t="s">
        <v>22</v>
      </c>
      <c r="H443">
        <v>60000</v>
      </c>
      <c r="I443">
        <v>7</v>
      </c>
      <c r="J443" s="3" t="s">
        <v>17</v>
      </c>
      <c r="K443">
        <v>48000</v>
      </c>
      <c r="L443">
        <v>420000</v>
      </c>
      <c r="M443">
        <v>336000</v>
      </c>
      <c r="N443">
        <v>84000</v>
      </c>
      <c r="O443" s="3" t="s">
        <v>544</v>
      </c>
      <c r="P443" s="3" t="s">
        <v>102</v>
      </c>
      <c r="Q443" s="3" t="s">
        <v>103</v>
      </c>
      <c r="R443" s="3" t="s">
        <v>103</v>
      </c>
    </row>
    <row r="444" spans="1:18">
      <c r="A444" s="19">
        <v>46118</v>
      </c>
      <c r="B444" s="3" t="s">
        <v>29</v>
      </c>
      <c r="C444" s="3" t="s">
        <v>12</v>
      </c>
      <c r="D444" s="3" t="s">
        <v>23</v>
      </c>
      <c r="E444" s="3" t="s">
        <v>20</v>
      </c>
      <c r="F444" s="3" t="s">
        <v>33</v>
      </c>
      <c r="G444" s="3" t="s">
        <v>22</v>
      </c>
      <c r="H444">
        <v>180000</v>
      </c>
      <c r="I444">
        <v>4</v>
      </c>
      <c r="J444" s="3" t="s">
        <v>39</v>
      </c>
      <c r="K444">
        <v>144000</v>
      </c>
      <c r="L444">
        <v>720000</v>
      </c>
      <c r="M444">
        <v>576000</v>
      </c>
      <c r="N444">
        <v>144000</v>
      </c>
      <c r="O444" s="3" t="s">
        <v>545</v>
      </c>
      <c r="P444" s="3" t="s">
        <v>102</v>
      </c>
      <c r="Q444" s="3" t="s">
        <v>103</v>
      </c>
      <c r="R444" s="3" t="s">
        <v>103</v>
      </c>
    </row>
    <row r="445" spans="1:18">
      <c r="A445" s="19">
        <v>46119</v>
      </c>
      <c r="B445" s="3" t="s">
        <v>11</v>
      </c>
      <c r="C445" s="3" t="s">
        <v>32</v>
      </c>
      <c r="D445" s="3" t="s">
        <v>13</v>
      </c>
      <c r="E445" s="3" t="s">
        <v>20</v>
      </c>
      <c r="F445" s="3" t="s">
        <v>21</v>
      </c>
      <c r="G445" s="3" t="s">
        <v>22</v>
      </c>
      <c r="H445">
        <v>30000</v>
      </c>
      <c r="I445">
        <v>7</v>
      </c>
      <c r="J445" s="3" t="s">
        <v>35</v>
      </c>
      <c r="K445">
        <v>24000</v>
      </c>
      <c r="L445">
        <v>210000</v>
      </c>
      <c r="M445">
        <v>168000</v>
      </c>
      <c r="N445">
        <v>42000</v>
      </c>
      <c r="O445" s="3" t="s">
        <v>546</v>
      </c>
      <c r="P445" s="3" t="s">
        <v>102</v>
      </c>
      <c r="Q445" s="3" t="s">
        <v>103</v>
      </c>
      <c r="R445" s="3" t="s">
        <v>103</v>
      </c>
    </row>
    <row r="446" spans="1:18">
      <c r="A446" s="19">
        <v>46120</v>
      </c>
      <c r="B446" s="3" t="s">
        <v>25</v>
      </c>
      <c r="C446" s="3" t="s">
        <v>19</v>
      </c>
      <c r="D446" s="3" t="s">
        <v>23</v>
      </c>
      <c r="E446" s="3" t="s">
        <v>20</v>
      </c>
      <c r="F446" s="3" t="s">
        <v>38</v>
      </c>
      <c r="G446" s="3" t="s">
        <v>31</v>
      </c>
      <c r="H446">
        <v>420000</v>
      </c>
      <c r="I446">
        <v>10</v>
      </c>
      <c r="J446" s="3" t="s">
        <v>17</v>
      </c>
      <c r="K446">
        <v>336000</v>
      </c>
      <c r="L446">
        <v>4200000</v>
      </c>
      <c r="M446">
        <v>3360000</v>
      </c>
      <c r="N446">
        <v>840000</v>
      </c>
      <c r="O446" s="3" t="s">
        <v>547</v>
      </c>
      <c r="P446" s="3" t="s">
        <v>102</v>
      </c>
      <c r="Q446" s="3" t="s">
        <v>103</v>
      </c>
      <c r="R446" s="3" t="s">
        <v>103</v>
      </c>
    </row>
    <row r="447" spans="1:18">
      <c r="A447" s="19">
        <v>46121</v>
      </c>
      <c r="B447" s="3" t="s">
        <v>18</v>
      </c>
      <c r="C447" s="3" t="s">
        <v>12</v>
      </c>
      <c r="D447" s="3" t="s">
        <v>23</v>
      </c>
      <c r="E447" s="3" t="s">
        <v>14</v>
      </c>
      <c r="F447" s="3" t="s">
        <v>38</v>
      </c>
      <c r="G447" s="3" t="s">
        <v>31</v>
      </c>
      <c r="H447">
        <v>420000</v>
      </c>
      <c r="I447">
        <v>7</v>
      </c>
      <c r="J447" s="3" t="s">
        <v>35</v>
      </c>
      <c r="K447">
        <v>336000</v>
      </c>
      <c r="L447">
        <v>2940000</v>
      </c>
      <c r="M447">
        <v>2352000</v>
      </c>
      <c r="N447">
        <v>588000</v>
      </c>
      <c r="O447" s="3" t="s">
        <v>548</v>
      </c>
      <c r="P447" s="3" t="s">
        <v>102</v>
      </c>
      <c r="Q447" s="3" t="s">
        <v>103</v>
      </c>
      <c r="R447" s="3" t="s">
        <v>103</v>
      </c>
    </row>
    <row r="448" spans="1:18">
      <c r="A448" s="19">
        <v>46122</v>
      </c>
      <c r="B448" s="3" t="s">
        <v>25</v>
      </c>
      <c r="C448" s="3" t="s">
        <v>26</v>
      </c>
      <c r="D448" s="3" t="s">
        <v>13</v>
      </c>
      <c r="E448" s="3" t="s">
        <v>20</v>
      </c>
      <c r="F448" s="3" t="s">
        <v>40</v>
      </c>
      <c r="G448" s="3" t="s">
        <v>31</v>
      </c>
      <c r="H448">
        <v>250000</v>
      </c>
      <c r="I448">
        <v>5</v>
      </c>
      <c r="J448" s="3" t="s">
        <v>24</v>
      </c>
      <c r="K448">
        <v>200000</v>
      </c>
      <c r="L448">
        <v>1250000</v>
      </c>
      <c r="M448">
        <v>1000000</v>
      </c>
      <c r="N448">
        <v>250000</v>
      </c>
      <c r="O448" s="3" t="s">
        <v>549</v>
      </c>
      <c r="P448" s="3" t="s">
        <v>102</v>
      </c>
      <c r="Q448" s="3" t="s">
        <v>103</v>
      </c>
      <c r="R448" s="3" t="s">
        <v>103</v>
      </c>
    </row>
    <row r="449" spans="1:18">
      <c r="A449" s="19">
        <v>46123</v>
      </c>
      <c r="B449" s="3" t="s">
        <v>11</v>
      </c>
      <c r="C449" s="3" t="s">
        <v>32</v>
      </c>
      <c r="D449" s="3" t="s">
        <v>23</v>
      </c>
      <c r="E449" s="3" t="s">
        <v>14</v>
      </c>
      <c r="F449" s="3" t="s">
        <v>38</v>
      </c>
      <c r="G449" s="3" t="s">
        <v>31</v>
      </c>
      <c r="H449">
        <v>420000</v>
      </c>
      <c r="I449">
        <v>5</v>
      </c>
      <c r="J449" s="3" t="s">
        <v>28</v>
      </c>
      <c r="K449">
        <v>336000</v>
      </c>
      <c r="L449">
        <v>2100000</v>
      </c>
      <c r="M449">
        <v>1680000</v>
      </c>
      <c r="N449">
        <v>420000</v>
      </c>
      <c r="O449" s="3" t="s">
        <v>550</v>
      </c>
      <c r="P449" s="3" t="s">
        <v>102</v>
      </c>
      <c r="Q449" s="3" t="s">
        <v>103</v>
      </c>
      <c r="R449" s="3" t="s">
        <v>103</v>
      </c>
    </row>
    <row r="450" spans="1:18">
      <c r="A450" s="19">
        <v>46124</v>
      </c>
      <c r="B450" s="3" t="s">
        <v>18</v>
      </c>
      <c r="C450" s="3" t="s">
        <v>26</v>
      </c>
      <c r="D450" s="3" t="s">
        <v>23</v>
      </c>
      <c r="E450" s="3" t="s">
        <v>20</v>
      </c>
      <c r="F450" s="3" t="s">
        <v>34</v>
      </c>
      <c r="G450" s="3" t="s">
        <v>16</v>
      </c>
      <c r="H450">
        <v>320000</v>
      </c>
      <c r="I450">
        <v>2</v>
      </c>
      <c r="J450" s="3" t="s">
        <v>28</v>
      </c>
      <c r="K450">
        <v>256000</v>
      </c>
      <c r="L450">
        <v>640000</v>
      </c>
      <c r="M450">
        <v>512000</v>
      </c>
      <c r="N450">
        <v>128000</v>
      </c>
      <c r="O450" s="3" t="s">
        <v>551</v>
      </c>
      <c r="P450" s="3" t="s">
        <v>102</v>
      </c>
      <c r="Q450" s="3" t="s">
        <v>103</v>
      </c>
      <c r="R450" s="3" t="s">
        <v>103</v>
      </c>
    </row>
    <row r="451" spans="1:18">
      <c r="A451" s="19">
        <v>46125</v>
      </c>
      <c r="B451" s="3" t="s">
        <v>29</v>
      </c>
      <c r="C451" s="3" t="s">
        <v>12</v>
      </c>
      <c r="D451" s="3" t="s">
        <v>13</v>
      </c>
      <c r="E451" s="3" t="s">
        <v>20</v>
      </c>
      <c r="F451" s="3" t="s">
        <v>30</v>
      </c>
      <c r="G451" s="3" t="s">
        <v>31</v>
      </c>
      <c r="H451">
        <v>300000</v>
      </c>
      <c r="I451">
        <v>10</v>
      </c>
      <c r="J451" s="3" t="s">
        <v>37</v>
      </c>
      <c r="K451">
        <v>240000</v>
      </c>
      <c r="L451">
        <v>3000000</v>
      </c>
      <c r="M451">
        <v>2400000</v>
      </c>
      <c r="N451">
        <v>600000</v>
      </c>
      <c r="O451" s="3" t="s">
        <v>552</v>
      </c>
      <c r="P451" s="3" t="s">
        <v>102</v>
      </c>
      <c r="Q451" s="3" t="s">
        <v>103</v>
      </c>
      <c r="R451" s="3" t="s">
        <v>103</v>
      </c>
    </row>
    <row r="452" spans="1:18">
      <c r="A452" s="19">
        <v>46126</v>
      </c>
      <c r="B452" s="3" t="s">
        <v>18</v>
      </c>
      <c r="C452" s="3" t="s">
        <v>12</v>
      </c>
      <c r="D452" s="3" t="s">
        <v>13</v>
      </c>
      <c r="E452" s="3" t="s">
        <v>14</v>
      </c>
      <c r="F452" s="3" t="s">
        <v>40</v>
      </c>
      <c r="G452" s="3" t="s">
        <v>31</v>
      </c>
      <c r="H452">
        <v>250000</v>
      </c>
      <c r="I452">
        <v>5</v>
      </c>
      <c r="J452" s="3" t="s">
        <v>37</v>
      </c>
      <c r="K452">
        <v>200000</v>
      </c>
      <c r="L452">
        <v>1250000</v>
      </c>
      <c r="M452">
        <v>1000000</v>
      </c>
      <c r="N452">
        <v>250000</v>
      </c>
      <c r="O452" s="3" t="s">
        <v>553</v>
      </c>
      <c r="P452" s="3" t="s">
        <v>102</v>
      </c>
      <c r="Q452" s="3" t="s">
        <v>103</v>
      </c>
      <c r="R452" s="3" t="s">
        <v>103</v>
      </c>
    </row>
    <row r="453" spans="1:18">
      <c r="A453" s="19">
        <v>46127</v>
      </c>
      <c r="B453" s="3" t="s">
        <v>25</v>
      </c>
      <c r="C453" s="3" t="s">
        <v>26</v>
      </c>
      <c r="D453" s="3" t="s">
        <v>23</v>
      </c>
      <c r="E453" s="3" t="s">
        <v>20</v>
      </c>
      <c r="F453" s="3" t="s">
        <v>40</v>
      </c>
      <c r="G453" s="3" t="s">
        <v>31</v>
      </c>
      <c r="H453">
        <v>250000</v>
      </c>
      <c r="I453">
        <v>2</v>
      </c>
      <c r="J453" s="3" t="s">
        <v>24</v>
      </c>
      <c r="K453">
        <v>200000</v>
      </c>
      <c r="L453">
        <v>500000</v>
      </c>
      <c r="M453">
        <v>400000</v>
      </c>
      <c r="N453">
        <v>100000</v>
      </c>
      <c r="O453" s="3" t="s">
        <v>554</v>
      </c>
      <c r="P453" s="3" t="s">
        <v>102</v>
      </c>
      <c r="Q453" s="3" t="s">
        <v>103</v>
      </c>
      <c r="R453" s="3" t="s">
        <v>103</v>
      </c>
    </row>
    <row r="454" spans="1:18">
      <c r="A454" s="19">
        <v>46128</v>
      </c>
      <c r="B454" s="3" t="s">
        <v>29</v>
      </c>
      <c r="C454" s="3" t="s">
        <v>19</v>
      </c>
      <c r="D454" s="3" t="s">
        <v>13</v>
      </c>
      <c r="E454" s="3" t="s">
        <v>20</v>
      </c>
      <c r="F454" s="3" t="s">
        <v>33</v>
      </c>
      <c r="G454" s="3" t="s">
        <v>22</v>
      </c>
      <c r="H454">
        <v>180000</v>
      </c>
      <c r="I454">
        <v>1</v>
      </c>
      <c r="J454" s="3" t="s">
        <v>17</v>
      </c>
      <c r="K454">
        <v>144000</v>
      </c>
      <c r="L454">
        <v>180000</v>
      </c>
      <c r="M454">
        <v>144000</v>
      </c>
      <c r="N454">
        <v>36000</v>
      </c>
      <c r="O454" s="3" t="s">
        <v>555</v>
      </c>
      <c r="P454" s="3" t="s">
        <v>102</v>
      </c>
      <c r="Q454" s="3" t="s">
        <v>103</v>
      </c>
      <c r="R454" s="3" t="s">
        <v>103</v>
      </c>
    </row>
    <row r="455" spans="1:18">
      <c r="A455" s="19">
        <v>46129</v>
      </c>
      <c r="B455" s="3" t="s">
        <v>18</v>
      </c>
      <c r="C455" s="3" t="s">
        <v>19</v>
      </c>
      <c r="D455" s="3" t="s">
        <v>13</v>
      </c>
      <c r="E455" s="3" t="s">
        <v>20</v>
      </c>
      <c r="F455" s="3" t="s">
        <v>34</v>
      </c>
      <c r="G455" s="3" t="s">
        <v>16</v>
      </c>
      <c r="H455">
        <v>320000</v>
      </c>
      <c r="I455">
        <v>10</v>
      </c>
      <c r="J455" s="3" t="s">
        <v>35</v>
      </c>
      <c r="K455">
        <v>256000</v>
      </c>
      <c r="L455">
        <v>3200000</v>
      </c>
      <c r="M455">
        <v>2560000</v>
      </c>
      <c r="N455">
        <v>640000</v>
      </c>
      <c r="O455" s="3" t="s">
        <v>556</v>
      </c>
      <c r="P455" s="3" t="s">
        <v>102</v>
      </c>
      <c r="Q455" s="3" t="s">
        <v>103</v>
      </c>
      <c r="R455" s="3" t="s">
        <v>103</v>
      </c>
    </row>
    <row r="456" spans="1:18">
      <c r="A456" s="19">
        <v>46130</v>
      </c>
      <c r="B456" s="3" t="s">
        <v>25</v>
      </c>
      <c r="C456" s="3" t="s">
        <v>26</v>
      </c>
      <c r="D456" s="3" t="s">
        <v>23</v>
      </c>
      <c r="E456" s="3" t="s">
        <v>20</v>
      </c>
      <c r="F456" s="3" t="s">
        <v>36</v>
      </c>
      <c r="G456" s="3" t="s">
        <v>31</v>
      </c>
      <c r="H456">
        <v>150000</v>
      </c>
      <c r="I456">
        <v>2</v>
      </c>
      <c r="J456" s="3" t="s">
        <v>17</v>
      </c>
      <c r="K456">
        <v>120000</v>
      </c>
      <c r="L456">
        <v>300000</v>
      </c>
      <c r="M456">
        <v>240000</v>
      </c>
      <c r="N456">
        <v>60000</v>
      </c>
      <c r="O456" s="3" t="s">
        <v>557</v>
      </c>
      <c r="P456" s="3" t="s">
        <v>102</v>
      </c>
      <c r="Q456" s="3" t="s">
        <v>103</v>
      </c>
      <c r="R456" s="3" t="s">
        <v>103</v>
      </c>
    </row>
    <row r="457" spans="1:18">
      <c r="A457" s="19">
        <v>46131</v>
      </c>
      <c r="B457" s="3" t="s">
        <v>18</v>
      </c>
      <c r="C457" s="3" t="s">
        <v>19</v>
      </c>
      <c r="D457" s="3" t="s">
        <v>13</v>
      </c>
      <c r="E457" s="3" t="s">
        <v>20</v>
      </c>
      <c r="F457" s="3" t="s">
        <v>33</v>
      </c>
      <c r="G457" s="3" t="s">
        <v>22</v>
      </c>
      <c r="H457">
        <v>180000</v>
      </c>
      <c r="I457">
        <v>10</v>
      </c>
      <c r="J457" s="3" t="s">
        <v>28</v>
      </c>
      <c r="K457">
        <v>144000</v>
      </c>
      <c r="L457">
        <v>1800000</v>
      </c>
      <c r="M457">
        <v>1440000</v>
      </c>
      <c r="N457">
        <v>360000</v>
      </c>
      <c r="O457" s="3" t="s">
        <v>558</v>
      </c>
      <c r="P457" s="3" t="s">
        <v>102</v>
      </c>
      <c r="Q457" s="3" t="s">
        <v>103</v>
      </c>
      <c r="R457" s="3" t="s">
        <v>103</v>
      </c>
    </row>
    <row r="458" spans="1:18">
      <c r="A458" s="19">
        <v>46132</v>
      </c>
      <c r="B458" s="3" t="s">
        <v>11</v>
      </c>
      <c r="C458" s="3" t="s">
        <v>19</v>
      </c>
      <c r="D458" s="3" t="s">
        <v>13</v>
      </c>
      <c r="E458" s="3" t="s">
        <v>14</v>
      </c>
      <c r="F458" s="3" t="s">
        <v>36</v>
      </c>
      <c r="G458" s="3" t="s">
        <v>31</v>
      </c>
      <c r="H458">
        <v>150000</v>
      </c>
      <c r="I458">
        <v>2</v>
      </c>
      <c r="J458" s="3" t="s">
        <v>28</v>
      </c>
      <c r="K458">
        <v>120000</v>
      </c>
      <c r="L458">
        <v>300000</v>
      </c>
      <c r="M458">
        <v>240000</v>
      </c>
      <c r="N458">
        <v>60000</v>
      </c>
      <c r="O458" s="3" t="s">
        <v>559</v>
      </c>
      <c r="P458" s="3" t="s">
        <v>102</v>
      </c>
      <c r="Q458" s="3" t="s">
        <v>103</v>
      </c>
      <c r="R458" s="3" t="s">
        <v>103</v>
      </c>
    </row>
    <row r="459" spans="1:18">
      <c r="A459" s="19">
        <v>46133</v>
      </c>
      <c r="B459" s="3" t="s">
        <v>25</v>
      </c>
      <c r="C459" s="3" t="s">
        <v>26</v>
      </c>
      <c r="D459" s="3" t="s">
        <v>23</v>
      </c>
      <c r="E459" s="3" t="s">
        <v>20</v>
      </c>
      <c r="F459" s="3" t="s">
        <v>27</v>
      </c>
      <c r="G459" s="3" t="s">
        <v>22</v>
      </c>
      <c r="H459">
        <v>60000</v>
      </c>
      <c r="I459">
        <v>10</v>
      </c>
      <c r="J459" s="3" t="s">
        <v>28</v>
      </c>
      <c r="K459">
        <v>48000</v>
      </c>
      <c r="L459">
        <v>600000</v>
      </c>
      <c r="M459">
        <v>480000</v>
      </c>
      <c r="N459">
        <v>120000</v>
      </c>
      <c r="O459" s="3" t="s">
        <v>560</v>
      </c>
      <c r="P459" s="3" t="s">
        <v>102</v>
      </c>
      <c r="Q459" s="3" t="s">
        <v>103</v>
      </c>
      <c r="R459" s="3" t="s">
        <v>103</v>
      </c>
    </row>
    <row r="460" spans="1:18">
      <c r="A460" s="19">
        <v>46134</v>
      </c>
      <c r="B460" s="3" t="s">
        <v>11</v>
      </c>
      <c r="C460" s="3" t="s">
        <v>32</v>
      </c>
      <c r="D460" s="3" t="s">
        <v>23</v>
      </c>
      <c r="E460" s="3" t="s">
        <v>14</v>
      </c>
      <c r="F460" s="3" t="s">
        <v>41</v>
      </c>
      <c r="G460" s="3" t="s">
        <v>22</v>
      </c>
      <c r="H460">
        <v>220000</v>
      </c>
      <c r="I460">
        <v>4</v>
      </c>
      <c r="J460" s="3" t="s">
        <v>35</v>
      </c>
      <c r="K460">
        <v>176000</v>
      </c>
      <c r="L460">
        <v>880000</v>
      </c>
      <c r="M460">
        <v>704000</v>
      </c>
      <c r="N460">
        <v>176000</v>
      </c>
      <c r="O460" s="3" t="s">
        <v>561</v>
      </c>
      <c r="P460" s="3" t="s">
        <v>102</v>
      </c>
      <c r="Q460" s="3" t="s">
        <v>103</v>
      </c>
      <c r="R460" s="3" t="s">
        <v>103</v>
      </c>
    </row>
    <row r="461" spans="1:18">
      <c r="A461" s="19">
        <v>46135</v>
      </c>
      <c r="B461" s="3" t="s">
        <v>25</v>
      </c>
      <c r="C461" s="3" t="s">
        <v>19</v>
      </c>
      <c r="D461" s="3" t="s">
        <v>13</v>
      </c>
      <c r="E461" s="3" t="s">
        <v>14</v>
      </c>
      <c r="F461" s="3" t="s">
        <v>27</v>
      </c>
      <c r="G461" s="3" t="s">
        <v>22</v>
      </c>
      <c r="H461">
        <v>60000</v>
      </c>
      <c r="I461">
        <v>5</v>
      </c>
      <c r="J461" s="3" t="s">
        <v>35</v>
      </c>
      <c r="K461">
        <v>48000</v>
      </c>
      <c r="L461">
        <v>300000</v>
      </c>
      <c r="M461">
        <v>240000</v>
      </c>
      <c r="N461">
        <v>60000</v>
      </c>
      <c r="O461" s="3" t="s">
        <v>562</v>
      </c>
      <c r="P461" s="3" t="s">
        <v>102</v>
      </c>
      <c r="Q461" s="3" t="s">
        <v>103</v>
      </c>
      <c r="R461" s="3" t="s">
        <v>103</v>
      </c>
    </row>
    <row r="462" spans="1:18">
      <c r="A462" s="19">
        <v>46136</v>
      </c>
      <c r="B462" s="3" t="s">
        <v>25</v>
      </c>
      <c r="C462" s="3" t="s">
        <v>32</v>
      </c>
      <c r="D462" s="3" t="s">
        <v>23</v>
      </c>
      <c r="E462" s="3" t="s">
        <v>14</v>
      </c>
      <c r="F462" s="3" t="s">
        <v>40</v>
      </c>
      <c r="G462" s="3" t="s">
        <v>31</v>
      </c>
      <c r="H462">
        <v>250000</v>
      </c>
      <c r="I462">
        <v>3</v>
      </c>
      <c r="J462" s="3" t="s">
        <v>24</v>
      </c>
      <c r="K462">
        <v>200000</v>
      </c>
      <c r="L462">
        <v>750000</v>
      </c>
      <c r="M462">
        <v>600000</v>
      </c>
      <c r="N462">
        <v>150000</v>
      </c>
      <c r="O462" s="3" t="s">
        <v>563</v>
      </c>
      <c r="P462" s="3" t="s">
        <v>102</v>
      </c>
      <c r="Q462" s="3" t="s">
        <v>103</v>
      </c>
      <c r="R462" s="3" t="s">
        <v>103</v>
      </c>
    </row>
    <row r="463" spans="1:18">
      <c r="A463" s="19">
        <v>46137</v>
      </c>
      <c r="B463" s="3" t="s">
        <v>25</v>
      </c>
      <c r="C463" s="3" t="s">
        <v>19</v>
      </c>
      <c r="D463" s="3" t="s">
        <v>23</v>
      </c>
      <c r="E463" s="3" t="s">
        <v>20</v>
      </c>
      <c r="F463" s="3" t="s">
        <v>36</v>
      </c>
      <c r="G463" s="3" t="s">
        <v>31</v>
      </c>
      <c r="H463">
        <v>150000</v>
      </c>
      <c r="I463">
        <v>1</v>
      </c>
      <c r="J463" s="3" t="s">
        <v>37</v>
      </c>
      <c r="K463">
        <v>120000</v>
      </c>
      <c r="L463">
        <v>150000</v>
      </c>
      <c r="M463">
        <v>120000</v>
      </c>
      <c r="N463">
        <v>30000</v>
      </c>
      <c r="O463" s="3" t="s">
        <v>564</v>
      </c>
      <c r="P463" s="3" t="s">
        <v>102</v>
      </c>
      <c r="Q463" s="3" t="s">
        <v>103</v>
      </c>
      <c r="R463" s="3" t="s">
        <v>103</v>
      </c>
    </row>
    <row r="464" spans="1:18">
      <c r="A464" s="19">
        <v>46138</v>
      </c>
      <c r="B464" s="3" t="s">
        <v>29</v>
      </c>
      <c r="C464" s="3" t="s">
        <v>32</v>
      </c>
      <c r="D464" s="3" t="s">
        <v>23</v>
      </c>
      <c r="E464" s="3" t="s">
        <v>20</v>
      </c>
      <c r="F464" s="3" t="s">
        <v>41</v>
      </c>
      <c r="G464" s="3" t="s">
        <v>22</v>
      </c>
      <c r="H464">
        <v>220000</v>
      </c>
      <c r="I464">
        <v>1</v>
      </c>
      <c r="J464" s="3" t="s">
        <v>24</v>
      </c>
      <c r="K464">
        <v>176000</v>
      </c>
      <c r="L464">
        <v>220000</v>
      </c>
      <c r="M464">
        <v>176000</v>
      </c>
      <c r="N464">
        <v>44000</v>
      </c>
      <c r="O464" s="3" t="s">
        <v>565</v>
      </c>
      <c r="P464" s="3" t="s">
        <v>102</v>
      </c>
      <c r="Q464" s="3" t="s">
        <v>103</v>
      </c>
      <c r="R464" s="3" t="s">
        <v>103</v>
      </c>
    </row>
    <row r="465" spans="1:18">
      <c r="A465" s="19">
        <v>46139</v>
      </c>
      <c r="B465" s="3" t="s">
        <v>18</v>
      </c>
      <c r="C465" s="3" t="s">
        <v>26</v>
      </c>
      <c r="D465" s="3" t="s">
        <v>13</v>
      </c>
      <c r="E465" s="3" t="s">
        <v>20</v>
      </c>
      <c r="F465" s="3" t="s">
        <v>40</v>
      </c>
      <c r="G465" s="3" t="s">
        <v>31</v>
      </c>
      <c r="H465">
        <v>250000</v>
      </c>
      <c r="I465">
        <v>6</v>
      </c>
      <c r="J465" s="3" t="s">
        <v>37</v>
      </c>
      <c r="K465">
        <v>200000</v>
      </c>
      <c r="L465">
        <v>1500000</v>
      </c>
      <c r="M465">
        <v>1200000</v>
      </c>
      <c r="N465">
        <v>300000</v>
      </c>
      <c r="O465" s="3" t="s">
        <v>566</v>
      </c>
      <c r="P465" s="3" t="s">
        <v>102</v>
      </c>
      <c r="Q465" s="3" t="s">
        <v>103</v>
      </c>
      <c r="R465" s="3" t="s">
        <v>103</v>
      </c>
    </row>
    <row r="466" spans="1:18">
      <c r="A466" s="19">
        <v>46140</v>
      </c>
      <c r="B466" s="3" t="s">
        <v>11</v>
      </c>
      <c r="C466" s="3" t="s">
        <v>32</v>
      </c>
      <c r="D466" s="3" t="s">
        <v>13</v>
      </c>
      <c r="E466" s="3" t="s">
        <v>20</v>
      </c>
      <c r="F466" s="3" t="s">
        <v>41</v>
      </c>
      <c r="G466" s="3" t="s">
        <v>22</v>
      </c>
      <c r="H466">
        <v>220000</v>
      </c>
      <c r="I466">
        <v>10</v>
      </c>
      <c r="J466" s="3" t="s">
        <v>35</v>
      </c>
      <c r="K466">
        <v>176000</v>
      </c>
      <c r="L466">
        <v>2200000</v>
      </c>
      <c r="M466">
        <v>1760000</v>
      </c>
      <c r="N466">
        <v>440000</v>
      </c>
      <c r="O466" s="3" t="s">
        <v>567</v>
      </c>
      <c r="P466" s="3" t="s">
        <v>102</v>
      </c>
      <c r="Q466" s="3" t="s">
        <v>103</v>
      </c>
      <c r="R466" s="3" t="s">
        <v>103</v>
      </c>
    </row>
    <row r="467" spans="1:18">
      <c r="A467" s="19">
        <v>46141</v>
      </c>
      <c r="B467" s="3" t="s">
        <v>18</v>
      </c>
      <c r="C467" s="3" t="s">
        <v>12</v>
      </c>
      <c r="D467" s="3" t="s">
        <v>13</v>
      </c>
      <c r="E467" s="3" t="s">
        <v>20</v>
      </c>
      <c r="F467" s="3" t="s">
        <v>33</v>
      </c>
      <c r="G467" s="3" t="s">
        <v>22</v>
      </c>
      <c r="H467">
        <v>180000</v>
      </c>
      <c r="I467">
        <v>10</v>
      </c>
      <c r="J467" s="3" t="s">
        <v>24</v>
      </c>
      <c r="K467">
        <v>144000</v>
      </c>
      <c r="L467">
        <v>1800000</v>
      </c>
      <c r="M467">
        <v>1440000</v>
      </c>
      <c r="N467">
        <v>360000</v>
      </c>
      <c r="O467" s="3" t="s">
        <v>568</v>
      </c>
      <c r="P467" s="3" t="s">
        <v>102</v>
      </c>
      <c r="Q467" s="3" t="s">
        <v>103</v>
      </c>
      <c r="R467" s="3" t="s">
        <v>103</v>
      </c>
    </row>
    <row r="468" spans="1:18">
      <c r="A468" s="19">
        <v>46142</v>
      </c>
      <c r="B468" s="3" t="s">
        <v>11</v>
      </c>
      <c r="C468" s="3" t="s">
        <v>12</v>
      </c>
      <c r="D468" s="3" t="s">
        <v>23</v>
      </c>
      <c r="E468" s="3" t="s">
        <v>14</v>
      </c>
      <c r="F468" s="3" t="s">
        <v>27</v>
      </c>
      <c r="G468" s="3" t="s">
        <v>22</v>
      </c>
      <c r="H468">
        <v>60000</v>
      </c>
      <c r="I468">
        <v>6</v>
      </c>
      <c r="J468" s="3" t="s">
        <v>39</v>
      </c>
      <c r="K468">
        <v>48000</v>
      </c>
      <c r="L468">
        <v>360000</v>
      </c>
      <c r="M468">
        <v>288000</v>
      </c>
      <c r="N468">
        <v>72000</v>
      </c>
      <c r="O468" s="3" t="s">
        <v>569</v>
      </c>
      <c r="P468" s="3" t="s">
        <v>102</v>
      </c>
      <c r="Q468" s="3" t="s">
        <v>103</v>
      </c>
      <c r="R468" s="3" t="s">
        <v>103</v>
      </c>
    </row>
    <row r="469" spans="1:18">
      <c r="A469" s="19">
        <v>46143</v>
      </c>
      <c r="B469" s="3" t="s">
        <v>29</v>
      </c>
      <c r="C469" s="3" t="s">
        <v>26</v>
      </c>
      <c r="D469" s="3" t="s">
        <v>13</v>
      </c>
      <c r="E469" s="3" t="s">
        <v>20</v>
      </c>
      <c r="F469" s="3" t="s">
        <v>41</v>
      </c>
      <c r="G469" s="3" t="s">
        <v>22</v>
      </c>
      <c r="H469">
        <v>220000</v>
      </c>
      <c r="I469">
        <v>4</v>
      </c>
      <c r="J469" s="3" t="s">
        <v>24</v>
      </c>
      <c r="K469">
        <v>176000</v>
      </c>
      <c r="L469">
        <v>880000</v>
      </c>
      <c r="M469">
        <v>704000</v>
      </c>
      <c r="N469">
        <v>176000</v>
      </c>
      <c r="O469" s="3" t="s">
        <v>570</v>
      </c>
      <c r="P469" s="3" t="s">
        <v>102</v>
      </c>
      <c r="Q469" s="3" t="s">
        <v>103</v>
      </c>
      <c r="R469" s="3" t="s">
        <v>103</v>
      </c>
    </row>
    <row r="470" spans="1:18">
      <c r="A470" s="19">
        <v>46144</v>
      </c>
      <c r="B470" s="3" t="s">
        <v>25</v>
      </c>
      <c r="C470" s="3" t="s">
        <v>32</v>
      </c>
      <c r="D470" s="3" t="s">
        <v>23</v>
      </c>
      <c r="E470" s="3" t="s">
        <v>14</v>
      </c>
      <c r="F470" s="3" t="s">
        <v>36</v>
      </c>
      <c r="G470" s="3" t="s">
        <v>31</v>
      </c>
      <c r="H470">
        <v>150000</v>
      </c>
      <c r="I470">
        <v>1</v>
      </c>
      <c r="J470" s="3" t="s">
        <v>24</v>
      </c>
      <c r="K470">
        <v>120000</v>
      </c>
      <c r="L470">
        <v>150000</v>
      </c>
      <c r="M470">
        <v>120000</v>
      </c>
      <c r="N470">
        <v>30000</v>
      </c>
      <c r="O470" s="3" t="s">
        <v>571</v>
      </c>
      <c r="P470" s="3" t="s">
        <v>102</v>
      </c>
      <c r="Q470" s="3" t="s">
        <v>103</v>
      </c>
      <c r="R470" s="3" t="s">
        <v>103</v>
      </c>
    </row>
    <row r="471" spans="1:18">
      <c r="A471" s="19">
        <v>46145</v>
      </c>
      <c r="B471" s="3" t="s">
        <v>25</v>
      </c>
      <c r="C471" s="3" t="s">
        <v>26</v>
      </c>
      <c r="D471" s="3" t="s">
        <v>13</v>
      </c>
      <c r="E471" s="3" t="s">
        <v>20</v>
      </c>
      <c r="F471" s="3" t="s">
        <v>33</v>
      </c>
      <c r="G471" s="3" t="s">
        <v>22</v>
      </c>
      <c r="H471">
        <v>180000</v>
      </c>
      <c r="I471">
        <v>1</v>
      </c>
      <c r="J471" s="3" t="s">
        <v>28</v>
      </c>
      <c r="K471">
        <v>144000</v>
      </c>
      <c r="L471">
        <v>180000</v>
      </c>
      <c r="M471">
        <v>144000</v>
      </c>
      <c r="N471">
        <v>36000</v>
      </c>
      <c r="O471" s="3" t="s">
        <v>572</v>
      </c>
      <c r="P471" s="3" t="s">
        <v>102</v>
      </c>
      <c r="Q471" s="3" t="s">
        <v>103</v>
      </c>
      <c r="R471" s="3" t="s">
        <v>103</v>
      </c>
    </row>
    <row r="472" spans="1:18">
      <c r="A472" s="19">
        <v>46146</v>
      </c>
      <c r="B472" s="3" t="s">
        <v>18</v>
      </c>
      <c r="C472" s="3" t="s">
        <v>32</v>
      </c>
      <c r="D472" s="3" t="s">
        <v>23</v>
      </c>
      <c r="E472" s="3" t="s">
        <v>20</v>
      </c>
      <c r="F472" s="3" t="s">
        <v>41</v>
      </c>
      <c r="G472" s="3" t="s">
        <v>22</v>
      </c>
      <c r="H472">
        <v>220000</v>
      </c>
      <c r="I472">
        <v>8</v>
      </c>
      <c r="J472" s="3" t="s">
        <v>28</v>
      </c>
      <c r="K472">
        <v>176000</v>
      </c>
      <c r="L472">
        <v>1760000</v>
      </c>
      <c r="M472">
        <v>1408000</v>
      </c>
      <c r="N472">
        <v>352000</v>
      </c>
      <c r="O472" s="3" t="s">
        <v>573</v>
      </c>
      <c r="P472" s="3" t="s">
        <v>102</v>
      </c>
      <c r="Q472" s="3" t="s">
        <v>103</v>
      </c>
      <c r="R472" s="3" t="s">
        <v>103</v>
      </c>
    </row>
    <row r="473" spans="1:18">
      <c r="A473" s="19">
        <v>46147</v>
      </c>
      <c r="B473" s="3" t="s">
        <v>11</v>
      </c>
      <c r="C473" s="3" t="s">
        <v>19</v>
      </c>
      <c r="D473" s="3" t="s">
        <v>13</v>
      </c>
      <c r="E473" s="3" t="s">
        <v>20</v>
      </c>
      <c r="F473" s="3" t="s">
        <v>40</v>
      </c>
      <c r="G473" s="3" t="s">
        <v>31</v>
      </c>
      <c r="H473">
        <v>250000</v>
      </c>
      <c r="I473">
        <v>3</v>
      </c>
      <c r="J473" s="3" t="s">
        <v>24</v>
      </c>
      <c r="K473">
        <v>200000</v>
      </c>
      <c r="L473">
        <v>750000</v>
      </c>
      <c r="M473">
        <v>600000</v>
      </c>
      <c r="N473">
        <v>150000</v>
      </c>
      <c r="O473" s="3" t="s">
        <v>574</v>
      </c>
      <c r="P473" s="3" t="s">
        <v>102</v>
      </c>
      <c r="Q473" s="3" t="s">
        <v>103</v>
      </c>
      <c r="R473" s="3" t="s">
        <v>103</v>
      </c>
    </row>
    <row r="474" spans="1:18">
      <c r="A474" s="19">
        <v>46148</v>
      </c>
      <c r="B474" s="3" t="s">
        <v>29</v>
      </c>
      <c r="C474" s="3" t="s">
        <v>19</v>
      </c>
      <c r="D474" s="3" t="s">
        <v>23</v>
      </c>
      <c r="E474" s="3" t="s">
        <v>20</v>
      </c>
      <c r="F474" s="3" t="s">
        <v>27</v>
      </c>
      <c r="G474" s="3" t="s">
        <v>22</v>
      </c>
      <c r="H474">
        <v>60000</v>
      </c>
      <c r="I474">
        <v>1</v>
      </c>
      <c r="J474" s="3" t="s">
        <v>35</v>
      </c>
      <c r="K474">
        <v>48000</v>
      </c>
      <c r="L474">
        <v>60000</v>
      </c>
      <c r="M474">
        <v>48000</v>
      </c>
      <c r="N474">
        <v>12000</v>
      </c>
      <c r="O474" s="3" t="s">
        <v>575</v>
      </c>
      <c r="P474" s="3" t="s">
        <v>102</v>
      </c>
      <c r="Q474" s="3" t="s">
        <v>103</v>
      </c>
      <c r="R474" s="3" t="s">
        <v>103</v>
      </c>
    </row>
    <row r="475" spans="1:18">
      <c r="A475" s="19">
        <v>46149</v>
      </c>
      <c r="B475" s="3" t="s">
        <v>18</v>
      </c>
      <c r="C475" s="3" t="s">
        <v>32</v>
      </c>
      <c r="D475" s="3" t="s">
        <v>13</v>
      </c>
      <c r="E475" s="3" t="s">
        <v>20</v>
      </c>
      <c r="F475" s="3" t="s">
        <v>34</v>
      </c>
      <c r="G475" s="3" t="s">
        <v>16</v>
      </c>
      <c r="H475">
        <v>320000</v>
      </c>
      <c r="I475">
        <v>4</v>
      </c>
      <c r="J475" s="3" t="s">
        <v>17</v>
      </c>
      <c r="K475">
        <v>256000</v>
      </c>
      <c r="L475">
        <v>1280000</v>
      </c>
      <c r="M475">
        <v>1024000</v>
      </c>
      <c r="N475">
        <v>256000</v>
      </c>
      <c r="O475" s="3" t="s">
        <v>576</v>
      </c>
      <c r="P475" s="3" t="s">
        <v>102</v>
      </c>
      <c r="Q475" s="3" t="s">
        <v>103</v>
      </c>
      <c r="R475" s="3" t="s">
        <v>103</v>
      </c>
    </row>
    <row r="476" spans="1:18">
      <c r="A476" s="19">
        <v>46150</v>
      </c>
      <c r="B476" s="3" t="s">
        <v>25</v>
      </c>
      <c r="C476" s="3" t="s">
        <v>26</v>
      </c>
      <c r="D476" s="3" t="s">
        <v>23</v>
      </c>
      <c r="E476" s="3" t="s">
        <v>20</v>
      </c>
      <c r="F476" s="3" t="s">
        <v>38</v>
      </c>
      <c r="G476" s="3" t="s">
        <v>31</v>
      </c>
      <c r="H476">
        <v>420000</v>
      </c>
      <c r="I476">
        <v>8</v>
      </c>
      <c r="J476" s="3" t="s">
        <v>24</v>
      </c>
      <c r="K476">
        <v>336000</v>
      </c>
      <c r="L476">
        <v>3360000</v>
      </c>
      <c r="M476">
        <v>2688000</v>
      </c>
      <c r="N476">
        <v>672000</v>
      </c>
      <c r="O476" s="3" t="s">
        <v>577</v>
      </c>
      <c r="P476" s="3" t="s">
        <v>102</v>
      </c>
      <c r="Q476" s="3" t="s">
        <v>103</v>
      </c>
      <c r="R476" s="3" t="s">
        <v>103</v>
      </c>
    </row>
    <row r="477" spans="1:18">
      <c r="A477" s="19">
        <v>46151</v>
      </c>
      <c r="B477" s="3" t="s">
        <v>25</v>
      </c>
      <c r="C477" s="3" t="s">
        <v>19</v>
      </c>
      <c r="D477" s="3" t="s">
        <v>23</v>
      </c>
      <c r="E477" s="3" t="s">
        <v>20</v>
      </c>
      <c r="F477" s="3" t="s">
        <v>38</v>
      </c>
      <c r="G477" s="3" t="s">
        <v>31</v>
      </c>
      <c r="H477">
        <v>420000</v>
      </c>
      <c r="I477">
        <v>8</v>
      </c>
      <c r="J477" s="3" t="s">
        <v>35</v>
      </c>
      <c r="K477">
        <v>336000</v>
      </c>
      <c r="L477">
        <v>3360000</v>
      </c>
      <c r="M477">
        <v>2688000</v>
      </c>
      <c r="N477">
        <v>672000</v>
      </c>
      <c r="O477" s="3" t="s">
        <v>578</v>
      </c>
      <c r="P477" s="3" t="s">
        <v>102</v>
      </c>
      <c r="Q477" s="3" t="s">
        <v>103</v>
      </c>
      <c r="R477" s="3" t="s">
        <v>103</v>
      </c>
    </row>
    <row r="478" spans="1:18">
      <c r="A478" s="19">
        <v>46152</v>
      </c>
      <c r="B478" s="3" t="s">
        <v>29</v>
      </c>
      <c r="C478" s="3" t="s">
        <v>19</v>
      </c>
      <c r="D478" s="3" t="s">
        <v>13</v>
      </c>
      <c r="E478" s="3" t="s">
        <v>20</v>
      </c>
      <c r="F478" s="3" t="s">
        <v>27</v>
      </c>
      <c r="G478" s="3" t="s">
        <v>22</v>
      </c>
      <c r="H478">
        <v>60000</v>
      </c>
      <c r="I478">
        <v>1</v>
      </c>
      <c r="J478" s="3" t="s">
        <v>39</v>
      </c>
      <c r="K478">
        <v>48000</v>
      </c>
      <c r="L478">
        <v>60000</v>
      </c>
      <c r="M478">
        <v>48000</v>
      </c>
      <c r="N478">
        <v>12000</v>
      </c>
      <c r="O478" s="3" t="s">
        <v>579</v>
      </c>
      <c r="P478" s="3" t="s">
        <v>102</v>
      </c>
      <c r="Q478" s="3" t="s">
        <v>103</v>
      </c>
      <c r="R478" s="3" t="s">
        <v>103</v>
      </c>
    </row>
    <row r="479" spans="1:18">
      <c r="A479" s="19">
        <v>46153</v>
      </c>
      <c r="B479" s="3" t="s">
        <v>18</v>
      </c>
      <c r="C479" s="3" t="s">
        <v>12</v>
      </c>
      <c r="D479" s="3" t="s">
        <v>23</v>
      </c>
      <c r="E479" s="3" t="s">
        <v>20</v>
      </c>
      <c r="F479" s="3" t="s">
        <v>33</v>
      </c>
      <c r="G479" s="3" t="s">
        <v>22</v>
      </c>
      <c r="H479">
        <v>180000</v>
      </c>
      <c r="I479">
        <v>8</v>
      </c>
      <c r="J479" s="3" t="s">
        <v>24</v>
      </c>
      <c r="K479">
        <v>144000</v>
      </c>
      <c r="L479">
        <v>1440000</v>
      </c>
      <c r="M479">
        <v>1152000</v>
      </c>
      <c r="N479">
        <v>288000</v>
      </c>
      <c r="O479" s="3" t="s">
        <v>580</v>
      </c>
      <c r="P479" s="3" t="s">
        <v>102</v>
      </c>
      <c r="Q479" s="3" t="s">
        <v>103</v>
      </c>
      <c r="R479" s="3" t="s">
        <v>103</v>
      </c>
    </row>
    <row r="480" spans="1:18">
      <c r="A480" s="19">
        <v>46154</v>
      </c>
      <c r="B480" s="3" t="s">
        <v>11</v>
      </c>
      <c r="C480" s="3" t="s">
        <v>19</v>
      </c>
      <c r="D480" s="3" t="s">
        <v>23</v>
      </c>
      <c r="E480" s="3" t="s">
        <v>20</v>
      </c>
      <c r="F480" s="3" t="s">
        <v>33</v>
      </c>
      <c r="G480" s="3" t="s">
        <v>22</v>
      </c>
      <c r="H480">
        <v>180000</v>
      </c>
      <c r="I480">
        <v>2</v>
      </c>
      <c r="J480" s="3" t="s">
        <v>24</v>
      </c>
      <c r="K480">
        <v>144000</v>
      </c>
      <c r="L480">
        <v>360000</v>
      </c>
      <c r="M480">
        <v>288000</v>
      </c>
      <c r="N480">
        <v>72000</v>
      </c>
      <c r="O480" s="3" t="s">
        <v>581</v>
      </c>
      <c r="P480" s="3" t="s">
        <v>102</v>
      </c>
      <c r="Q480" s="3" t="s">
        <v>103</v>
      </c>
      <c r="R480" s="3" t="s">
        <v>103</v>
      </c>
    </row>
    <row r="481" spans="1:18">
      <c r="A481" s="19">
        <v>46155</v>
      </c>
      <c r="B481" s="3" t="s">
        <v>25</v>
      </c>
      <c r="C481" s="3" t="s">
        <v>19</v>
      </c>
      <c r="D481" s="3" t="s">
        <v>23</v>
      </c>
      <c r="E481" s="3" t="s">
        <v>14</v>
      </c>
      <c r="F481" s="3" t="s">
        <v>30</v>
      </c>
      <c r="G481" s="3" t="s">
        <v>31</v>
      </c>
      <c r="H481">
        <v>300000</v>
      </c>
      <c r="I481">
        <v>7</v>
      </c>
      <c r="J481" s="3" t="s">
        <v>35</v>
      </c>
      <c r="K481">
        <v>240000</v>
      </c>
      <c r="L481">
        <v>2100000</v>
      </c>
      <c r="M481">
        <v>1680000</v>
      </c>
      <c r="N481">
        <v>420000</v>
      </c>
      <c r="O481" s="3" t="s">
        <v>582</v>
      </c>
      <c r="P481" s="3" t="s">
        <v>102</v>
      </c>
      <c r="Q481" s="3" t="s">
        <v>103</v>
      </c>
      <c r="R481" s="3" t="s">
        <v>103</v>
      </c>
    </row>
    <row r="482" spans="1:18">
      <c r="A482" s="19">
        <v>46156</v>
      </c>
      <c r="B482" s="3" t="s">
        <v>11</v>
      </c>
      <c r="C482" s="3" t="s">
        <v>26</v>
      </c>
      <c r="D482" s="3" t="s">
        <v>13</v>
      </c>
      <c r="E482" s="3" t="s">
        <v>14</v>
      </c>
      <c r="F482" s="3" t="s">
        <v>40</v>
      </c>
      <c r="G482" s="3" t="s">
        <v>31</v>
      </c>
      <c r="H482">
        <v>250000</v>
      </c>
      <c r="I482">
        <v>6</v>
      </c>
      <c r="J482" s="3" t="s">
        <v>35</v>
      </c>
      <c r="K482">
        <v>200000</v>
      </c>
      <c r="L482">
        <v>1500000</v>
      </c>
      <c r="M482">
        <v>1200000</v>
      </c>
      <c r="N482">
        <v>300000</v>
      </c>
      <c r="O482" s="3" t="s">
        <v>583</v>
      </c>
      <c r="P482" s="3" t="s">
        <v>102</v>
      </c>
      <c r="Q482" s="3" t="s">
        <v>103</v>
      </c>
      <c r="R482" s="3" t="s">
        <v>103</v>
      </c>
    </row>
    <row r="483" spans="1:18">
      <c r="A483" s="19">
        <v>46157</v>
      </c>
      <c r="B483" s="3" t="s">
        <v>29</v>
      </c>
      <c r="C483" s="3" t="s">
        <v>26</v>
      </c>
      <c r="D483" s="3" t="s">
        <v>13</v>
      </c>
      <c r="E483" s="3" t="s">
        <v>20</v>
      </c>
      <c r="F483" s="3" t="s">
        <v>36</v>
      </c>
      <c r="G483" s="3" t="s">
        <v>31</v>
      </c>
      <c r="H483">
        <v>150000</v>
      </c>
      <c r="I483">
        <v>5</v>
      </c>
      <c r="J483" s="3" t="s">
        <v>24</v>
      </c>
      <c r="K483">
        <v>120000</v>
      </c>
      <c r="L483">
        <v>750000</v>
      </c>
      <c r="M483">
        <v>600000</v>
      </c>
      <c r="N483">
        <v>150000</v>
      </c>
      <c r="O483" s="3" t="s">
        <v>584</v>
      </c>
      <c r="P483" s="3" t="s">
        <v>102</v>
      </c>
      <c r="Q483" s="3" t="s">
        <v>103</v>
      </c>
      <c r="R483" s="3" t="s">
        <v>103</v>
      </c>
    </row>
    <row r="484" spans="1:18">
      <c r="A484" s="19">
        <v>46158</v>
      </c>
      <c r="B484" s="3" t="s">
        <v>11</v>
      </c>
      <c r="C484" s="3" t="s">
        <v>32</v>
      </c>
      <c r="D484" s="3" t="s">
        <v>13</v>
      </c>
      <c r="E484" s="3" t="s">
        <v>14</v>
      </c>
      <c r="F484" s="3" t="s">
        <v>15</v>
      </c>
      <c r="G484" s="3" t="s">
        <v>16</v>
      </c>
      <c r="H484">
        <v>85000</v>
      </c>
      <c r="I484">
        <v>10</v>
      </c>
      <c r="J484" s="3" t="s">
        <v>24</v>
      </c>
      <c r="K484">
        <v>68000</v>
      </c>
      <c r="L484">
        <v>850000</v>
      </c>
      <c r="M484">
        <v>680000</v>
      </c>
      <c r="N484">
        <v>170000</v>
      </c>
      <c r="O484" s="3" t="s">
        <v>585</v>
      </c>
      <c r="P484" s="3" t="s">
        <v>102</v>
      </c>
      <c r="Q484" s="3" t="s">
        <v>103</v>
      </c>
      <c r="R484" s="3" t="s">
        <v>103</v>
      </c>
    </row>
    <row r="485" spans="1:18">
      <c r="A485" s="19">
        <v>46159</v>
      </c>
      <c r="B485" s="3" t="s">
        <v>29</v>
      </c>
      <c r="C485" s="3" t="s">
        <v>32</v>
      </c>
      <c r="D485" s="3" t="s">
        <v>13</v>
      </c>
      <c r="E485" s="3" t="s">
        <v>14</v>
      </c>
      <c r="F485" s="3" t="s">
        <v>15</v>
      </c>
      <c r="G485" s="3" t="s">
        <v>16</v>
      </c>
      <c r="H485">
        <v>85000</v>
      </c>
      <c r="I485">
        <v>8</v>
      </c>
      <c r="J485" s="3" t="s">
        <v>35</v>
      </c>
      <c r="K485">
        <v>68000</v>
      </c>
      <c r="L485">
        <v>680000</v>
      </c>
      <c r="M485">
        <v>544000</v>
      </c>
      <c r="N485">
        <v>136000</v>
      </c>
      <c r="O485" s="3" t="s">
        <v>586</v>
      </c>
      <c r="P485" s="3" t="s">
        <v>102</v>
      </c>
      <c r="Q485" s="3" t="s">
        <v>103</v>
      </c>
      <c r="R485" s="3" t="s">
        <v>103</v>
      </c>
    </row>
    <row r="486" spans="1:18">
      <c r="A486" s="19">
        <v>46160</v>
      </c>
      <c r="B486" s="3" t="s">
        <v>25</v>
      </c>
      <c r="C486" s="3" t="s">
        <v>12</v>
      </c>
      <c r="D486" s="3" t="s">
        <v>13</v>
      </c>
      <c r="E486" s="3" t="s">
        <v>14</v>
      </c>
      <c r="F486" s="3" t="s">
        <v>15</v>
      </c>
      <c r="G486" s="3" t="s">
        <v>16</v>
      </c>
      <c r="H486">
        <v>85000</v>
      </c>
      <c r="I486">
        <v>2</v>
      </c>
      <c r="J486" s="3" t="s">
        <v>28</v>
      </c>
      <c r="K486">
        <v>68000</v>
      </c>
      <c r="L486">
        <v>170000</v>
      </c>
      <c r="M486">
        <v>136000</v>
      </c>
      <c r="N486">
        <v>34000</v>
      </c>
      <c r="O486" s="3" t="s">
        <v>587</v>
      </c>
      <c r="P486" s="3" t="s">
        <v>102</v>
      </c>
      <c r="Q486" s="3" t="s">
        <v>103</v>
      </c>
      <c r="R486" s="3" t="s">
        <v>103</v>
      </c>
    </row>
    <row r="487" spans="1:18">
      <c r="A487" s="19">
        <v>46161</v>
      </c>
      <c r="B487" s="3" t="s">
        <v>11</v>
      </c>
      <c r="C487" s="3" t="s">
        <v>32</v>
      </c>
      <c r="D487" s="3" t="s">
        <v>13</v>
      </c>
      <c r="E487" s="3" t="s">
        <v>14</v>
      </c>
      <c r="F487" s="3" t="s">
        <v>40</v>
      </c>
      <c r="G487" s="3" t="s">
        <v>31</v>
      </c>
      <c r="H487">
        <v>250000</v>
      </c>
      <c r="I487">
        <v>4</v>
      </c>
      <c r="J487" s="3" t="s">
        <v>17</v>
      </c>
      <c r="K487">
        <v>200000</v>
      </c>
      <c r="L487">
        <v>1000000</v>
      </c>
      <c r="M487">
        <v>800000</v>
      </c>
      <c r="N487">
        <v>200000</v>
      </c>
      <c r="O487" s="3" t="s">
        <v>588</v>
      </c>
      <c r="P487" s="3" t="s">
        <v>102</v>
      </c>
      <c r="Q487" s="3" t="s">
        <v>103</v>
      </c>
      <c r="R487" s="3" t="s">
        <v>103</v>
      </c>
    </row>
    <row r="488" spans="1:18">
      <c r="A488" s="19">
        <v>46162</v>
      </c>
      <c r="B488" s="3" t="s">
        <v>25</v>
      </c>
      <c r="C488" s="3" t="s">
        <v>12</v>
      </c>
      <c r="D488" s="3" t="s">
        <v>13</v>
      </c>
      <c r="E488" s="3" t="s">
        <v>14</v>
      </c>
      <c r="F488" s="3" t="s">
        <v>36</v>
      </c>
      <c r="G488" s="3" t="s">
        <v>31</v>
      </c>
      <c r="H488">
        <v>150000</v>
      </c>
      <c r="I488">
        <v>6</v>
      </c>
      <c r="J488" s="3" t="s">
        <v>39</v>
      </c>
      <c r="K488">
        <v>120000</v>
      </c>
      <c r="L488">
        <v>900000</v>
      </c>
      <c r="M488">
        <v>720000</v>
      </c>
      <c r="N488">
        <v>180000</v>
      </c>
      <c r="O488" s="3" t="s">
        <v>589</v>
      </c>
      <c r="P488" s="3" t="s">
        <v>102</v>
      </c>
      <c r="Q488" s="3" t="s">
        <v>103</v>
      </c>
      <c r="R488" s="3" t="s">
        <v>103</v>
      </c>
    </row>
    <row r="489" spans="1:18">
      <c r="A489" s="19">
        <v>46163</v>
      </c>
      <c r="B489" s="3" t="s">
        <v>25</v>
      </c>
      <c r="C489" s="3" t="s">
        <v>32</v>
      </c>
      <c r="D489" s="3" t="s">
        <v>23</v>
      </c>
      <c r="E489" s="3" t="s">
        <v>20</v>
      </c>
      <c r="F489" s="3" t="s">
        <v>33</v>
      </c>
      <c r="G489" s="3" t="s">
        <v>22</v>
      </c>
      <c r="H489">
        <v>180000</v>
      </c>
      <c r="I489">
        <v>10</v>
      </c>
      <c r="J489" s="3" t="s">
        <v>37</v>
      </c>
      <c r="K489">
        <v>144000</v>
      </c>
      <c r="L489">
        <v>1800000</v>
      </c>
      <c r="M489">
        <v>1440000</v>
      </c>
      <c r="N489">
        <v>360000</v>
      </c>
      <c r="O489" s="3" t="s">
        <v>590</v>
      </c>
      <c r="P489" s="3" t="s">
        <v>102</v>
      </c>
      <c r="Q489" s="3" t="s">
        <v>103</v>
      </c>
      <c r="R489" s="3" t="s">
        <v>103</v>
      </c>
    </row>
    <row r="490" spans="1:18">
      <c r="A490" s="19">
        <v>46164</v>
      </c>
      <c r="B490" s="3" t="s">
        <v>25</v>
      </c>
      <c r="C490" s="3" t="s">
        <v>32</v>
      </c>
      <c r="D490" s="3" t="s">
        <v>13</v>
      </c>
      <c r="E490" s="3" t="s">
        <v>14</v>
      </c>
      <c r="F490" s="3" t="s">
        <v>36</v>
      </c>
      <c r="G490" s="3" t="s">
        <v>31</v>
      </c>
      <c r="H490">
        <v>150000</v>
      </c>
      <c r="I490">
        <v>8</v>
      </c>
      <c r="J490" s="3" t="s">
        <v>17</v>
      </c>
      <c r="K490">
        <v>120000</v>
      </c>
      <c r="L490">
        <v>1200000</v>
      </c>
      <c r="M490">
        <v>960000</v>
      </c>
      <c r="N490">
        <v>240000</v>
      </c>
      <c r="O490" s="3" t="s">
        <v>591</v>
      </c>
      <c r="P490" s="3" t="s">
        <v>102</v>
      </c>
      <c r="Q490" s="3" t="s">
        <v>103</v>
      </c>
      <c r="R490" s="3" t="s">
        <v>103</v>
      </c>
    </row>
    <row r="491" spans="1:18">
      <c r="A491" s="19">
        <v>46165</v>
      </c>
      <c r="B491" s="3" t="s">
        <v>25</v>
      </c>
      <c r="C491" s="3" t="s">
        <v>19</v>
      </c>
      <c r="D491" s="3" t="s">
        <v>13</v>
      </c>
      <c r="E491" s="3" t="s">
        <v>14</v>
      </c>
      <c r="F491" s="3" t="s">
        <v>33</v>
      </c>
      <c r="G491" s="3" t="s">
        <v>22</v>
      </c>
      <c r="H491">
        <v>180000</v>
      </c>
      <c r="I491">
        <v>8</v>
      </c>
      <c r="J491" s="3" t="s">
        <v>24</v>
      </c>
      <c r="K491">
        <v>144000</v>
      </c>
      <c r="L491">
        <v>1440000</v>
      </c>
      <c r="M491">
        <v>1152000</v>
      </c>
      <c r="N491">
        <v>288000</v>
      </c>
      <c r="O491" s="3" t="s">
        <v>592</v>
      </c>
      <c r="P491" s="3" t="s">
        <v>102</v>
      </c>
      <c r="Q491" s="3" t="s">
        <v>103</v>
      </c>
      <c r="R491" s="3" t="s">
        <v>103</v>
      </c>
    </row>
    <row r="492" spans="1:18">
      <c r="A492" s="19">
        <v>46166</v>
      </c>
      <c r="B492" s="3" t="s">
        <v>18</v>
      </c>
      <c r="C492" s="3" t="s">
        <v>26</v>
      </c>
      <c r="D492" s="3" t="s">
        <v>23</v>
      </c>
      <c r="E492" s="3" t="s">
        <v>14</v>
      </c>
      <c r="F492" s="3" t="s">
        <v>36</v>
      </c>
      <c r="G492" s="3" t="s">
        <v>31</v>
      </c>
      <c r="H492">
        <v>150000</v>
      </c>
      <c r="I492">
        <v>6</v>
      </c>
      <c r="J492" s="3" t="s">
        <v>35</v>
      </c>
      <c r="K492">
        <v>120000</v>
      </c>
      <c r="L492">
        <v>900000</v>
      </c>
      <c r="M492">
        <v>720000</v>
      </c>
      <c r="N492">
        <v>180000</v>
      </c>
      <c r="O492" s="3" t="s">
        <v>593</v>
      </c>
      <c r="P492" s="3" t="s">
        <v>102</v>
      </c>
      <c r="Q492" s="3" t="s">
        <v>103</v>
      </c>
      <c r="R492" s="3" t="s">
        <v>103</v>
      </c>
    </row>
    <row r="493" spans="1:18">
      <c r="A493" s="19">
        <v>46167</v>
      </c>
      <c r="B493" s="3" t="s">
        <v>25</v>
      </c>
      <c r="C493" s="3" t="s">
        <v>32</v>
      </c>
      <c r="D493" s="3" t="s">
        <v>23</v>
      </c>
      <c r="E493" s="3" t="s">
        <v>20</v>
      </c>
      <c r="F493" s="3" t="s">
        <v>36</v>
      </c>
      <c r="G493" s="3" t="s">
        <v>31</v>
      </c>
      <c r="H493">
        <v>150000</v>
      </c>
      <c r="I493">
        <v>4</v>
      </c>
      <c r="J493" s="3" t="s">
        <v>39</v>
      </c>
      <c r="K493">
        <v>120000</v>
      </c>
      <c r="L493">
        <v>600000</v>
      </c>
      <c r="M493">
        <v>480000</v>
      </c>
      <c r="N493">
        <v>120000</v>
      </c>
      <c r="O493" s="3" t="s">
        <v>594</v>
      </c>
      <c r="P493" s="3" t="s">
        <v>102</v>
      </c>
      <c r="Q493" s="3" t="s">
        <v>103</v>
      </c>
      <c r="R493" s="3" t="s">
        <v>103</v>
      </c>
    </row>
    <row r="494" spans="1:18">
      <c r="A494" s="19">
        <v>46168</v>
      </c>
      <c r="B494" s="3" t="s">
        <v>11</v>
      </c>
      <c r="C494" s="3" t="s">
        <v>19</v>
      </c>
      <c r="D494" s="3" t="s">
        <v>13</v>
      </c>
      <c r="E494" s="3" t="s">
        <v>14</v>
      </c>
      <c r="F494" s="3" t="s">
        <v>33</v>
      </c>
      <c r="G494" s="3" t="s">
        <v>22</v>
      </c>
      <c r="H494">
        <v>180000</v>
      </c>
      <c r="I494">
        <v>1</v>
      </c>
      <c r="J494" s="3" t="s">
        <v>35</v>
      </c>
      <c r="K494">
        <v>144000</v>
      </c>
      <c r="L494">
        <v>180000</v>
      </c>
      <c r="M494">
        <v>144000</v>
      </c>
      <c r="N494">
        <v>36000</v>
      </c>
      <c r="O494" s="3" t="s">
        <v>595</v>
      </c>
      <c r="P494" s="3" t="s">
        <v>102</v>
      </c>
      <c r="Q494" s="3" t="s">
        <v>103</v>
      </c>
      <c r="R494" s="3" t="s">
        <v>103</v>
      </c>
    </row>
    <row r="495" spans="1:18">
      <c r="A495" s="19">
        <v>46169</v>
      </c>
      <c r="B495" s="3" t="s">
        <v>29</v>
      </c>
      <c r="C495" s="3" t="s">
        <v>19</v>
      </c>
      <c r="D495" s="3" t="s">
        <v>13</v>
      </c>
      <c r="E495" s="3" t="s">
        <v>14</v>
      </c>
      <c r="F495" s="3" t="s">
        <v>40</v>
      </c>
      <c r="G495" s="3" t="s">
        <v>31</v>
      </c>
      <c r="H495">
        <v>250000</v>
      </c>
      <c r="I495">
        <v>6</v>
      </c>
      <c r="J495" s="3" t="s">
        <v>39</v>
      </c>
      <c r="K495">
        <v>200000</v>
      </c>
      <c r="L495">
        <v>1500000</v>
      </c>
      <c r="M495">
        <v>1200000</v>
      </c>
      <c r="N495">
        <v>300000</v>
      </c>
      <c r="O495" s="3" t="s">
        <v>596</v>
      </c>
      <c r="P495" s="3" t="s">
        <v>102</v>
      </c>
      <c r="Q495" s="3" t="s">
        <v>103</v>
      </c>
      <c r="R495" s="3" t="s">
        <v>103</v>
      </c>
    </row>
    <row r="496" spans="1:18">
      <c r="A496" s="19">
        <v>46170</v>
      </c>
      <c r="B496" s="3" t="s">
        <v>25</v>
      </c>
      <c r="C496" s="3" t="s">
        <v>12</v>
      </c>
      <c r="D496" s="3" t="s">
        <v>13</v>
      </c>
      <c r="E496" s="3" t="s">
        <v>14</v>
      </c>
      <c r="F496" s="3" t="s">
        <v>27</v>
      </c>
      <c r="G496" s="3" t="s">
        <v>22</v>
      </c>
      <c r="H496">
        <v>60000</v>
      </c>
      <c r="I496">
        <v>6</v>
      </c>
      <c r="J496" s="3" t="s">
        <v>24</v>
      </c>
      <c r="K496">
        <v>48000</v>
      </c>
      <c r="L496">
        <v>360000</v>
      </c>
      <c r="M496">
        <v>288000</v>
      </c>
      <c r="N496">
        <v>72000</v>
      </c>
      <c r="O496" s="3" t="s">
        <v>597</v>
      </c>
      <c r="P496" s="3" t="s">
        <v>102</v>
      </c>
      <c r="Q496" s="3" t="s">
        <v>103</v>
      </c>
      <c r="R496" s="3" t="s">
        <v>103</v>
      </c>
    </row>
    <row r="497" spans="1:18">
      <c r="A497" s="19">
        <v>46171</v>
      </c>
      <c r="B497" s="3" t="s">
        <v>29</v>
      </c>
      <c r="C497" s="3" t="s">
        <v>32</v>
      </c>
      <c r="D497" s="3" t="s">
        <v>23</v>
      </c>
      <c r="E497" s="3" t="s">
        <v>20</v>
      </c>
      <c r="F497" s="3" t="s">
        <v>36</v>
      </c>
      <c r="G497" s="3" t="s">
        <v>31</v>
      </c>
      <c r="H497">
        <v>150000</v>
      </c>
      <c r="I497">
        <v>2</v>
      </c>
      <c r="J497" s="3" t="s">
        <v>24</v>
      </c>
      <c r="K497">
        <v>120000</v>
      </c>
      <c r="L497">
        <v>300000</v>
      </c>
      <c r="M497">
        <v>240000</v>
      </c>
      <c r="N497">
        <v>60000</v>
      </c>
      <c r="O497" s="3" t="s">
        <v>598</v>
      </c>
      <c r="P497" s="3" t="s">
        <v>102</v>
      </c>
      <c r="Q497" s="3" t="s">
        <v>103</v>
      </c>
      <c r="R497" s="3" t="s">
        <v>103</v>
      </c>
    </row>
    <row r="498" spans="1:18">
      <c r="A498" s="19">
        <v>46172</v>
      </c>
      <c r="B498" s="3" t="s">
        <v>18</v>
      </c>
      <c r="C498" s="3" t="s">
        <v>26</v>
      </c>
      <c r="D498" s="3" t="s">
        <v>23</v>
      </c>
      <c r="E498" s="3" t="s">
        <v>14</v>
      </c>
      <c r="F498" s="3" t="s">
        <v>15</v>
      </c>
      <c r="G498" s="3" t="s">
        <v>16</v>
      </c>
      <c r="H498">
        <v>85000</v>
      </c>
      <c r="I498">
        <v>2</v>
      </c>
      <c r="J498" s="3" t="s">
        <v>17</v>
      </c>
      <c r="K498">
        <v>68000</v>
      </c>
      <c r="L498">
        <v>170000</v>
      </c>
      <c r="M498">
        <v>136000</v>
      </c>
      <c r="N498">
        <v>34000</v>
      </c>
      <c r="O498" s="3" t="s">
        <v>599</v>
      </c>
      <c r="P498" s="3" t="s">
        <v>102</v>
      </c>
      <c r="Q498" s="3" t="s">
        <v>103</v>
      </c>
      <c r="R498" s="3" t="s">
        <v>103</v>
      </c>
    </row>
    <row r="499" spans="1:18">
      <c r="A499" s="19">
        <v>46173</v>
      </c>
      <c r="B499" s="3" t="s">
        <v>25</v>
      </c>
      <c r="C499" s="3" t="s">
        <v>19</v>
      </c>
      <c r="D499" s="3" t="s">
        <v>13</v>
      </c>
      <c r="E499" s="3" t="s">
        <v>20</v>
      </c>
      <c r="F499" s="3" t="s">
        <v>30</v>
      </c>
      <c r="G499" s="3" t="s">
        <v>31</v>
      </c>
      <c r="H499">
        <v>300000</v>
      </c>
      <c r="I499">
        <v>5</v>
      </c>
      <c r="J499" s="3" t="s">
        <v>35</v>
      </c>
      <c r="K499">
        <v>240000</v>
      </c>
      <c r="L499">
        <v>1500000</v>
      </c>
      <c r="M499">
        <v>1200000</v>
      </c>
      <c r="N499">
        <v>300000</v>
      </c>
      <c r="O499" s="3" t="s">
        <v>600</v>
      </c>
      <c r="P499" s="3" t="s">
        <v>102</v>
      </c>
      <c r="Q499" s="3" t="s">
        <v>103</v>
      </c>
      <c r="R499" s="3" t="s">
        <v>103</v>
      </c>
    </row>
    <row r="500" spans="1:18">
      <c r="A500" s="19">
        <v>46174</v>
      </c>
      <c r="B500" s="3" t="s">
        <v>18</v>
      </c>
      <c r="C500" s="3" t="s">
        <v>26</v>
      </c>
      <c r="D500" s="3" t="s">
        <v>23</v>
      </c>
      <c r="E500" s="3" t="s">
        <v>14</v>
      </c>
      <c r="F500" s="3" t="s">
        <v>38</v>
      </c>
      <c r="G500" s="3" t="s">
        <v>31</v>
      </c>
      <c r="H500">
        <v>420000</v>
      </c>
      <c r="I500">
        <v>10</v>
      </c>
      <c r="J500" s="3" t="s">
        <v>35</v>
      </c>
      <c r="K500">
        <v>336000</v>
      </c>
      <c r="L500">
        <v>4200000</v>
      </c>
      <c r="M500">
        <v>3360000</v>
      </c>
      <c r="N500">
        <v>840000</v>
      </c>
      <c r="O500" s="3" t="s">
        <v>601</v>
      </c>
      <c r="P500" s="3" t="s">
        <v>102</v>
      </c>
      <c r="Q500" s="3" t="s">
        <v>103</v>
      </c>
      <c r="R500" s="3" t="s">
        <v>103</v>
      </c>
    </row>
    <row r="501" spans="1:18">
      <c r="A501" s="19">
        <v>46175</v>
      </c>
      <c r="B501" s="3" t="s">
        <v>11</v>
      </c>
      <c r="C501" s="3" t="s">
        <v>32</v>
      </c>
      <c r="D501" s="3" t="s">
        <v>23</v>
      </c>
      <c r="E501" s="3" t="s">
        <v>14</v>
      </c>
      <c r="F501" s="3" t="s">
        <v>33</v>
      </c>
      <c r="G501" s="3" t="s">
        <v>22</v>
      </c>
      <c r="H501">
        <v>180000</v>
      </c>
      <c r="I501">
        <v>6</v>
      </c>
      <c r="J501" s="3" t="s">
        <v>24</v>
      </c>
      <c r="K501">
        <v>144000</v>
      </c>
      <c r="L501">
        <v>1080000</v>
      </c>
      <c r="M501">
        <v>864000</v>
      </c>
      <c r="N501">
        <v>216000</v>
      </c>
      <c r="O501" s="3" t="s">
        <v>602</v>
      </c>
      <c r="P501" s="3" t="s">
        <v>102</v>
      </c>
      <c r="Q501" s="3" t="s">
        <v>103</v>
      </c>
      <c r="R501" s="3" t="s">
        <v>103</v>
      </c>
    </row>
    <row r="502" spans="1:18">
      <c r="A502" s="19">
        <v>46176</v>
      </c>
      <c r="B502" s="3" t="s">
        <v>18</v>
      </c>
      <c r="C502" s="3" t="s">
        <v>32</v>
      </c>
      <c r="D502" s="3" t="s">
        <v>13</v>
      </c>
      <c r="E502" s="3" t="s">
        <v>20</v>
      </c>
      <c r="F502" s="3" t="s">
        <v>15</v>
      </c>
      <c r="G502" s="3" t="s">
        <v>16</v>
      </c>
      <c r="H502">
        <v>85000</v>
      </c>
      <c r="I502">
        <v>4</v>
      </c>
      <c r="J502" s="3" t="s">
        <v>35</v>
      </c>
      <c r="K502">
        <v>68000</v>
      </c>
      <c r="L502">
        <v>340000</v>
      </c>
      <c r="M502">
        <v>272000</v>
      </c>
      <c r="N502">
        <v>68000</v>
      </c>
      <c r="O502" s="3" t="s">
        <v>603</v>
      </c>
      <c r="P502" s="3" t="s">
        <v>102</v>
      </c>
      <c r="Q502" s="3" t="s">
        <v>103</v>
      </c>
      <c r="R502" s="3" t="s">
        <v>103</v>
      </c>
    </row>
    <row r="503" spans="1:18">
      <c r="A503" s="19">
        <v>46177</v>
      </c>
      <c r="B503" s="3" t="s">
        <v>29</v>
      </c>
      <c r="C503" s="3" t="s">
        <v>26</v>
      </c>
      <c r="D503" s="3" t="s">
        <v>23</v>
      </c>
      <c r="E503" s="3" t="s">
        <v>14</v>
      </c>
      <c r="F503" s="3" t="s">
        <v>30</v>
      </c>
      <c r="G503" s="3" t="s">
        <v>31</v>
      </c>
      <c r="H503">
        <v>300000</v>
      </c>
      <c r="I503">
        <v>4</v>
      </c>
      <c r="J503" s="3" t="s">
        <v>37</v>
      </c>
      <c r="K503">
        <v>240000</v>
      </c>
      <c r="L503">
        <v>1200000</v>
      </c>
      <c r="M503">
        <v>960000</v>
      </c>
      <c r="N503">
        <v>240000</v>
      </c>
      <c r="O503" s="3" t="s">
        <v>604</v>
      </c>
      <c r="P503" s="3" t="s">
        <v>102</v>
      </c>
      <c r="Q503" s="3" t="s">
        <v>103</v>
      </c>
      <c r="R503" s="3" t="s">
        <v>103</v>
      </c>
    </row>
    <row r="504" spans="1:18">
      <c r="A504" s="19">
        <v>46178</v>
      </c>
      <c r="B504" s="3" t="s">
        <v>25</v>
      </c>
      <c r="C504" s="3" t="s">
        <v>32</v>
      </c>
      <c r="D504" s="3" t="s">
        <v>13</v>
      </c>
      <c r="E504" s="3" t="s">
        <v>14</v>
      </c>
      <c r="F504" s="3" t="s">
        <v>15</v>
      </c>
      <c r="G504" s="3" t="s">
        <v>16</v>
      </c>
      <c r="H504">
        <v>85000</v>
      </c>
      <c r="I504">
        <v>3</v>
      </c>
      <c r="J504" s="3" t="s">
        <v>35</v>
      </c>
      <c r="K504">
        <v>68000</v>
      </c>
      <c r="L504">
        <v>255000</v>
      </c>
      <c r="M504">
        <v>204000</v>
      </c>
      <c r="N504">
        <v>51000</v>
      </c>
      <c r="O504" s="3" t="s">
        <v>605</v>
      </c>
      <c r="P504" s="3" t="s">
        <v>102</v>
      </c>
      <c r="Q504" s="3" t="s">
        <v>103</v>
      </c>
      <c r="R504" s="3" t="s">
        <v>103</v>
      </c>
    </row>
    <row r="505" spans="1:18">
      <c r="A505" s="19">
        <v>46179</v>
      </c>
      <c r="B505" s="3" t="s">
        <v>29</v>
      </c>
      <c r="C505" s="3" t="s">
        <v>12</v>
      </c>
      <c r="D505" s="3" t="s">
        <v>13</v>
      </c>
      <c r="E505" s="3" t="s">
        <v>20</v>
      </c>
      <c r="F505" s="3" t="s">
        <v>41</v>
      </c>
      <c r="G505" s="3" t="s">
        <v>22</v>
      </c>
      <c r="H505">
        <v>220000</v>
      </c>
      <c r="I505">
        <v>9</v>
      </c>
      <c r="J505" s="3" t="s">
        <v>37</v>
      </c>
      <c r="K505">
        <v>176000</v>
      </c>
      <c r="L505">
        <v>1980000</v>
      </c>
      <c r="M505">
        <v>1584000</v>
      </c>
      <c r="N505">
        <v>396000</v>
      </c>
      <c r="O505" s="3" t="s">
        <v>606</v>
      </c>
      <c r="P505" s="3" t="s">
        <v>102</v>
      </c>
      <c r="Q505" s="3" t="s">
        <v>103</v>
      </c>
      <c r="R505" s="3" t="s">
        <v>103</v>
      </c>
    </row>
    <row r="506" spans="1:18">
      <c r="A506" s="19">
        <v>46180</v>
      </c>
      <c r="B506" s="3" t="s">
        <v>11</v>
      </c>
      <c r="C506" s="3" t="s">
        <v>26</v>
      </c>
      <c r="D506" s="3" t="s">
        <v>23</v>
      </c>
      <c r="E506" s="3" t="s">
        <v>14</v>
      </c>
      <c r="F506" s="3" t="s">
        <v>33</v>
      </c>
      <c r="G506" s="3" t="s">
        <v>22</v>
      </c>
      <c r="H506">
        <v>180000</v>
      </c>
      <c r="I506">
        <v>3</v>
      </c>
      <c r="J506" s="3" t="s">
        <v>35</v>
      </c>
      <c r="K506">
        <v>144000</v>
      </c>
      <c r="L506">
        <v>540000</v>
      </c>
      <c r="M506">
        <v>432000</v>
      </c>
      <c r="N506">
        <v>108000</v>
      </c>
      <c r="O506" s="3" t="s">
        <v>607</v>
      </c>
      <c r="P506" s="3" t="s">
        <v>102</v>
      </c>
      <c r="Q506" s="3" t="s">
        <v>103</v>
      </c>
      <c r="R506" s="3" t="s">
        <v>103</v>
      </c>
    </row>
    <row r="507" spans="1:18">
      <c r="A507" s="19">
        <v>46181</v>
      </c>
      <c r="B507" s="3" t="s">
        <v>18</v>
      </c>
      <c r="C507" s="3" t="s">
        <v>19</v>
      </c>
      <c r="D507" s="3" t="s">
        <v>23</v>
      </c>
      <c r="E507" s="3" t="s">
        <v>20</v>
      </c>
      <c r="F507" s="3" t="s">
        <v>30</v>
      </c>
      <c r="G507" s="3" t="s">
        <v>31</v>
      </c>
      <c r="H507">
        <v>300000</v>
      </c>
      <c r="I507">
        <v>9</v>
      </c>
      <c r="J507" s="3" t="s">
        <v>24</v>
      </c>
      <c r="K507">
        <v>240000</v>
      </c>
      <c r="L507">
        <v>2700000</v>
      </c>
      <c r="M507">
        <v>2160000</v>
      </c>
      <c r="N507">
        <v>540000</v>
      </c>
      <c r="O507" s="3" t="s">
        <v>608</v>
      </c>
      <c r="P507" s="3" t="s">
        <v>102</v>
      </c>
      <c r="Q507" s="3" t="s">
        <v>103</v>
      </c>
      <c r="R507" s="3" t="s">
        <v>103</v>
      </c>
    </row>
    <row r="508" spans="1:18">
      <c r="A508" s="19">
        <v>46182</v>
      </c>
      <c r="B508" s="3" t="s">
        <v>29</v>
      </c>
      <c r="C508" s="3" t="s">
        <v>12</v>
      </c>
      <c r="D508" s="3" t="s">
        <v>23</v>
      </c>
      <c r="E508" s="3" t="s">
        <v>20</v>
      </c>
      <c r="F508" s="3" t="s">
        <v>36</v>
      </c>
      <c r="G508" s="3" t="s">
        <v>31</v>
      </c>
      <c r="H508">
        <v>150000</v>
      </c>
      <c r="I508">
        <v>4</v>
      </c>
      <c r="J508" s="3" t="s">
        <v>28</v>
      </c>
      <c r="K508">
        <v>120000</v>
      </c>
      <c r="L508">
        <v>600000</v>
      </c>
      <c r="M508">
        <v>480000</v>
      </c>
      <c r="N508">
        <v>120000</v>
      </c>
      <c r="O508" s="3" t="s">
        <v>609</v>
      </c>
      <c r="P508" s="3" t="s">
        <v>102</v>
      </c>
      <c r="Q508" s="3" t="s">
        <v>103</v>
      </c>
      <c r="R508" s="3" t="s">
        <v>103</v>
      </c>
    </row>
    <row r="509" spans="1:18">
      <c r="A509" s="19">
        <v>46183</v>
      </c>
      <c r="B509" s="3" t="s">
        <v>18</v>
      </c>
      <c r="C509" s="3" t="s">
        <v>32</v>
      </c>
      <c r="D509" s="3" t="s">
        <v>23</v>
      </c>
      <c r="E509" s="3" t="s">
        <v>20</v>
      </c>
      <c r="F509" s="3" t="s">
        <v>34</v>
      </c>
      <c r="G509" s="3" t="s">
        <v>16</v>
      </c>
      <c r="H509">
        <v>320000</v>
      </c>
      <c r="I509">
        <v>8</v>
      </c>
      <c r="J509" s="3" t="s">
        <v>37</v>
      </c>
      <c r="K509">
        <v>256000</v>
      </c>
      <c r="L509">
        <v>2560000</v>
      </c>
      <c r="M509">
        <v>2048000</v>
      </c>
      <c r="N509">
        <v>512000</v>
      </c>
      <c r="O509" s="3" t="s">
        <v>610</v>
      </c>
      <c r="P509" s="3" t="s">
        <v>102</v>
      </c>
      <c r="Q509" s="3" t="s">
        <v>103</v>
      </c>
      <c r="R509" s="3" t="s">
        <v>103</v>
      </c>
    </row>
    <row r="510" spans="1:18">
      <c r="A510" s="19">
        <v>46184</v>
      </c>
      <c r="B510" s="3" t="s">
        <v>29</v>
      </c>
      <c r="C510" s="3" t="s">
        <v>32</v>
      </c>
      <c r="D510" s="3" t="s">
        <v>13</v>
      </c>
      <c r="E510" s="3" t="s">
        <v>14</v>
      </c>
      <c r="F510" s="3" t="s">
        <v>34</v>
      </c>
      <c r="G510" s="3" t="s">
        <v>16</v>
      </c>
      <c r="H510">
        <v>320000</v>
      </c>
      <c r="I510">
        <v>7</v>
      </c>
      <c r="J510" s="3" t="s">
        <v>39</v>
      </c>
      <c r="K510">
        <v>256000</v>
      </c>
      <c r="L510">
        <v>2240000</v>
      </c>
      <c r="M510">
        <v>1792000</v>
      </c>
      <c r="N510">
        <v>448000</v>
      </c>
      <c r="O510" s="3" t="s">
        <v>611</v>
      </c>
      <c r="P510" s="3" t="s">
        <v>102</v>
      </c>
      <c r="Q510" s="3" t="s">
        <v>103</v>
      </c>
      <c r="R510" s="3" t="s">
        <v>103</v>
      </c>
    </row>
    <row r="511" spans="1:18">
      <c r="A511" s="19">
        <v>46185</v>
      </c>
      <c r="B511" s="3" t="s">
        <v>18</v>
      </c>
      <c r="C511" s="3" t="s">
        <v>32</v>
      </c>
      <c r="D511" s="3" t="s">
        <v>13</v>
      </c>
      <c r="E511" s="3" t="s">
        <v>20</v>
      </c>
      <c r="F511" s="3" t="s">
        <v>41</v>
      </c>
      <c r="G511" s="3" t="s">
        <v>22</v>
      </c>
      <c r="H511">
        <v>220000</v>
      </c>
      <c r="I511">
        <v>10</v>
      </c>
      <c r="J511" s="3" t="s">
        <v>28</v>
      </c>
      <c r="K511">
        <v>176000</v>
      </c>
      <c r="L511">
        <v>2200000</v>
      </c>
      <c r="M511">
        <v>1760000</v>
      </c>
      <c r="N511">
        <v>440000</v>
      </c>
      <c r="O511" s="3" t="s">
        <v>612</v>
      </c>
      <c r="P511" s="3" t="s">
        <v>102</v>
      </c>
      <c r="Q511" s="3" t="s">
        <v>103</v>
      </c>
      <c r="R511" s="3" t="s">
        <v>103</v>
      </c>
    </row>
    <row r="512" spans="1:18">
      <c r="A512" s="19">
        <v>46186</v>
      </c>
      <c r="B512" s="3" t="s">
        <v>25</v>
      </c>
      <c r="C512" s="3" t="s">
        <v>19</v>
      </c>
      <c r="D512" s="3" t="s">
        <v>13</v>
      </c>
      <c r="E512" s="3" t="s">
        <v>20</v>
      </c>
      <c r="F512" s="3" t="s">
        <v>21</v>
      </c>
      <c r="G512" s="3" t="s">
        <v>22</v>
      </c>
      <c r="H512">
        <v>30000</v>
      </c>
      <c r="I512">
        <v>7</v>
      </c>
      <c r="J512" s="3" t="s">
        <v>28</v>
      </c>
      <c r="K512">
        <v>24000</v>
      </c>
      <c r="L512">
        <v>210000</v>
      </c>
      <c r="M512">
        <v>168000</v>
      </c>
      <c r="N512">
        <v>42000</v>
      </c>
      <c r="O512" s="3" t="s">
        <v>613</v>
      </c>
      <c r="P512" s="3" t="s">
        <v>102</v>
      </c>
      <c r="Q512" s="3" t="s">
        <v>103</v>
      </c>
      <c r="R512" s="3" t="s">
        <v>103</v>
      </c>
    </row>
    <row r="513" spans="1:18">
      <c r="A513" s="19">
        <v>46187</v>
      </c>
      <c r="B513" s="3" t="s">
        <v>18</v>
      </c>
      <c r="C513" s="3" t="s">
        <v>26</v>
      </c>
      <c r="D513" s="3" t="s">
        <v>13</v>
      </c>
      <c r="E513" s="3" t="s">
        <v>14</v>
      </c>
      <c r="F513" s="3" t="s">
        <v>34</v>
      </c>
      <c r="G513" s="3" t="s">
        <v>16</v>
      </c>
      <c r="H513">
        <v>320000</v>
      </c>
      <c r="I513">
        <v>2</v>
      </c>
      <c r="J513" s="3" t="s">
        <v>28</v>
      </c>
      <c r="K513">
        <v>256000</v>
      </c>
      <c r="L513">
        <v>640000</v>
      </c>
      <c r="M513">
        <v>512000</v>
      </c>
      <c r="N513">
        <v>128000</v>
      </c>
      <c r="O513" s="3" t="s">
        <v>614</v>
      </c>
      <c r="P513" s="3" t="s">
        <v>102</v>
      </c>
      <c r="Q513" s="3" t="s">
        <v>103</v>
      </c>
      <c r="R513" s="3" t="s">
        <v>103</v>
      </c>
    </row>
    <row r="514" spans="1:18">
      <c r="A514" s="19">
        <v>46188</v>
      </c>
      <c r="B514" s="3" t="s">
        <v>29</v>
      </c>
      <c r="C514" s="3" t="s">
        <v>26</v>
      </c>
      <c r="D514" s="3" t="s">
        <v>23</v>
      </c>
      <c r="E514" s="3" t="s">
        <v>20</v>
      </c>
      <c r="F514" s="3" t="s">
        <v>30</v>
      </c>
      <c r="G514" s="3" t="s">
        <v>31</v>
      </c>
      <c r="H514">
        <v>300000</v>
      </c>
      <c r="I514">
        <v>3</v>
      </c>
      <c r="J514" s="3" t="s">
        <v>37</v>
      </c>
      <c r="K514">
        <v>240000</v>
      </c>
      <c r="L514">
        <v>900000</v>
      </c>
      <c r="M514">
        <v>720000</v>
      </c>
      <c r="N514">
        <v>180000</v>
      </c>
      <c r="O514" s="3" t="s">
        <v>615</v>
      </c>
      <c r="P514" s="3" t="s">
        <v>102</v>
      </c>
      <c r="Q514" s="3" t="s">
        <v>103</v>
      </c>
      <c r="R514" s="3" t="s">
        <v>103</v>
      </c>
    </row>
    <row r="515" spans="1:18">
      <c r="A515" s="19">
        <v>46189</v>
      </c>
      <c r="B515" s="3" t="s">
        <v>25</v>
      </c>
      <c r="C515" s="3" t="s">
        <v>12</v>
      </c>
      <c r="D515" s="3" t="s">
        <v>13</v>
      </c>
      <c r="E515" s="3" t="s">
        <v>14</v>
      </c>
      <c r="F515" s="3" t="s">
        <v>30</v>
      </c>
      <c r="G515" s="3" t="s">
        <v>31</v>
      </c>
      <c r="H515">
        <v>300000</v>
      </c>
      <c r="I515">
        <v>3</v>
      </c>
      <c r="J515" s="3" t="s">
        <v>28</v>
      </c>
      <c r="K515">
        <v>240000</v>
      </c>
      <c r="L515">
        <v>900000</v>
      </c>
      <c r="M515">
        <v>720000</v>
      </c>
      <c r="N515">
        <v>180000</v>
      </c>
      <c r="O515" s="3" t="s">
        <v>616</v>
      </c>
      <c r="P515" s="3" t="s">
        <v>102</v>
      </c>
      <c r="Q515" s="3" t="s">
        <v>103</v>
      </c>
      <c r="R515" s="3" t="s">
        <v>103</v>
      </c>
    </row>
    <row r="516" spans="1:18">
      <c r="A516" s="19">
        <v>46190</v>
      </c>
      <c r="B516" s="3" t="s">
        <v>25</v>
      </c>
      <c r="C516" s="3" t="s">
        <v>32</v>
      </c>
      <c r="D516" s="3" t="s">
        <v>13</v>
      </c>
      <c r="E516" s="3" t="s">
        <v>20</v>
      </c>
      <c r="F516" s="3" t="s">
        <v>36</v>
      </c>
      <c r="G516" s="3" t="s">
        <v>31</v>
      </c>
      <c r="H516">
        <v>150000</v>
      </c>
      <c r="I516">
        <v>10</v>
      </c>
      <c r="J516" s="3" t="s">
        <v>28</v>
      </c>
      <c r="K516">
        <v>120000</v>
      </c>
      <c r="L516">
        <v>1500000</v>
      </c>
      <c r="M516">
        <v>1200000</v>
      </c>
      <c r="N516">
        <v>300000</v>
      </c>
      <c r="O516" s="3" t="s">
        <v>617</v>
      </c>
      <c r="P516" s="3" t="s">
        <v>102</v>
      </c>
      <c r="Q516" s="3" t="s">
        <v>103</v>
      </c>
      <c r="R516" s="3" t="s">
        <v>103</v>
      </c>
    </row>
    <row r="517" spans="1:18">
      <c r="A517" s="19">
        <v>46191</v>
      </c>
      <c r="B517" s="3" t="s">
        <v>25</v>
      </c>
      <c r="C517" s="3" t="s">
        <v>19</v>
      </c>
      <c r="D517" s="3" t="s">
        <v>23</v>
      </c>
      <c r="E517" s="3" t="s">
        <v>20</v>
      </c>
      <c r="F517" s="3" t="s">
        <v>21</v>
      </c>
      <c r="G517" s="3" t="s">
        <v>22</v>
      </c>
      <c r="H517">
        <v>30000</v>
      </c>
      <c r="I517">
        <v>7</v>
      </c>
      <c r="J517" s="3" t="s">
        <v>35</v>
      </c>
      <c r="K517">
        <v>24000</v>
      </c>
      <c r="L517">
        <v>210000</v>
      </c>
      <c r="M517">
        <v>168000</v>
      </c>
      <c r="N517">
        <v>42000</v>
      </c>
      <c r="O517" s="3" t="s">
        <v>618</v>
      </c>
      <c r="P517" s="3" t="s">
        <v>102</v>
      </c>
      <c r="Q517" s="3" t="s">
        <v>103</v>
      </c>
      <c r="R517" s="3" t="s">
        <v>103</v>
      </c>
    </row>
    <row r="518" spans="1:18">
      <c r="A518" s="19">
        <v>46192</v>
      </c>
      <c r="B518" s="3" t="s">
        <v>11</v>
      </c>
      <c r="C518" s="3" t="s">
        <v>12</v>
      </c>
      <c r="D518" s="3" t="s">
        <v>13</v>
      </c>
      <c r="E518" s="3" t="s">
        <v>14</v>
      </c>
      <c r="F518" s="3" t="s">
        <v>27</v>
      </c>
      <c r="G518" s="3" t="s">
        <v>22</v>
      </c>
      <c r="H518">
        <v>60000</v>
      </c>
      <c r="I518">
        <v>2</v>
      </c>
      <c r="J518" s="3" t="s">
        <v>37</v>
      </c>
      <c r="K518">
        <v>48000</v>
      </c>
      <c r="L518">
        <v>120000</v>
      </c>
      <c r="M518">
        <v>96000</v>
      </c>
      <c r="N518">
        <v>24000</v>
      </c>
      <c r="O518" s="3" t="s">
        <v>619</v>
      </c>
      <c r="P518" s="3" t="s">
        <v>102</v>
      </c>
      <c r="Q518" s="3" t="s">
        <v>103</v>
      </c>
      <c r="R518" s="3" t="s">
        <v>103</v>
      </c>
    </row>
    <row r="519" spans="1:18">
      <c r="A519" s="19">
        <v>46193</v>
      </c>
      <c r="B519" s="3" t="s">
        <v>18</v>
      </c>
      <c r="C519" s="3" t="s">
        <v>19</v>
      </c>
      <c r="D519" s="3" t="s">
        <v>13</v>
      </c>
      <c r="E519" s="3" t="s">
        <v>14</v>
      </c>
      <c r="F519" s="3" t="s">
        <v>30</v>
      </c>
      <c r="G519" s="3" t="s">
        <v>31</v>
      </c>
      <c r="H519">
        <v>300000</v>
      </c>
      <c r="I519">
        <v>8</v>
      </c>
      <c r="J519" s="3" t="s">
        <v>17</v>
      </c>
      <c r="K519">
        <v>240000</v>
      </c>
      <c r="L519">
        <v>2400000</v>
      </c>
      <c r="M519">
        <v>1920000</v>
      </c>
      <c r="N519">
        <v>480000</v>
      </c>
      <c r="O519" s="3" t="s">
        <v>620</v>
      </c>
      <c r="P519" s="3" t="s">
        <v>102</v>
      </c>
      <c r="Q519" s="3" t="s">
        <v>103</v>
      </c>
      <c r="R519" s="3" t="s">
        <v>103</v>
      </c>
    </row>
    <row r="520" spans="1:18">
      <c r="A520" s="19">
        <v>46194</v>
      </c>
      <c r="B520" s="3" t="s">
        <v>29</v>
      </c>
      <c r="C520" s="3" t="s">
        <v>19</v>
      </c>
      <c r="D520" s="3" t="s">
        <v>23</v>
      </c>
      <c r="E520" s="3" t="s">
        <v>20</v>
      </c>
      <c r="F520" s="3" t="s">
        <v>21</v>
      </c>
      <c r="G520" s="3" t="s">
        <v>22</v>
      </c>
      <c r="H520">
        <v>30000</v>
      </c>
      <c r="I520">
        <v>6</v>
      </c>
      <c r="J520" s="3" t="s">
        <v>28</v>
      </c>
      <c r="K520">
        <v>24000</v>
      </c>
      <c r="L520">
        <v>180000</v>
      </c>
      <c r="M520">
        <v>144000</v>
      </c>
      <c r="N520">
        <v>36000</v>
      </c>
      <c r="O520" s="3" t="s">
        <v>621</v>
      </c>
      <c r="P520" s="3" t="s">
        <v>102</v>
      </c>
      <c r="Q520" s="3" t="s">
        <v>103</v>
      </c>
      <c r="R520" s="3" t="s">
        <v>103</v>
      </c>
    </row>
    <row r="521" spans="1:18">
      <c r="A521" s="19">
        <v>46195</v>
      </c>
      <c r="B521" s="3" t="s">
        <v>11</v>
      </c>
      <c r="C521" s="3" t="s">
        <v>19</v>
      </c>
      <c r="D521" s="3" t="s">
        <v>23</v>
      </c>
      <c r="E521" s="3" t="s">
        <v>14</v>
      </c>
      <c r="F521" s="3" t="s">
        <v>40</v>
      </c>
      <c r="G521" s="3" t="s">
        <v>31</v>
      </c>
      <c r="H521">
        <v>250000</v>
      </c>
      <c r="I521">
        <v>6</v>
      </c>
      <c r="J521" s="3" t="s">
        <v>24</v>
      </c>
      <c r="K521">
        <v>200000</v>
      </c>
      <c r="L521">
        <v>1500000</v>
      </c>
      <c r="M521">
        <v>1200000</v>
      </c>
      <c r="N521">
        <v>300000</v>
      </c>
      <c r="O521" s="3" t="s">
        <v>622</v>
      </c>
      <c r="P521" s="3" t="s">
        <v>102</v>
      </c>
      <c r="Q521" s="3" t="s">
        <v>103</v>
      </c>
      <c r="R521" s="3" t="s">
        <v>103</v>
      </c>
    </row>
    <row r="522" spans="1:18">
      <c r="A522" s="19">
        <v>46196</v>
      </c>
      <c r="B522" s="3" t="s">
        <v>18</v>
      </c>
      <c r="C522" s="3" t="s">
        <v>32</v>
      </c>
      <c r="D522" s="3" t="s">
        <v>13</v>
      </c>
      <c r="E522" s="3" t="s">
        <v>14</v>
      </c>
      <c r="F522" s="3" t="s">
        <v>38</v>
      </c>
      <c r="G522" s="3" t="s">
        <v>31</v>
      </c>
      <c r="H522">
        <v>420000</v>
      </c>
      <c r="I522">
        <v>10</v>
      </c>
      <c r="J522" s="3" t="s">
        <v>35</v>
      </c>
      <c r="K522">
        <v>336000</v>
      </c>
      <c r="L522">
        <v>4200000</v>
      </c>
      <c r="M522">
        <v>3360000</v>
      </c>
      <c r="N522">
        <v>840000</v>
      </c>
      <c r="O522" s="3" t="s">
        <v>623</v>
      </c>
      <c r="P522" s="3" t="s">
        <v>102</v>
      </c>
      <c r="Q522" s="3" t="s">
        <v>103</v>
      </c>
      <c r="R522" s="3" t="s">
        <v>103</v>
      </c>
    </row>
    <row r="523" spans="1:18">
      <c r="A523" s="19">
        <v>46197</v>
      </c>
      <c r="B523" s="3" t="s">
        <v>25</v>
      </c>
      <c r="C523" s="3" t="s">
        <v>32</v>
      </c>
      <c r="D523" s="3" t="s">
        <v>13</v>
      </c>
      <c r="E523" s="3" t="s">
        <v>14</v>
      </c>
      <c r="F523" s="3" t="s">
        <v>27</v>
      </c>
      <c r="G523" s="3" t="s">
        <v>22</v>
      </c>
      <c r="H523">
        <v>60000</v>
      </c>
      <c r="I523">
        <v>9</v>
      </c>
      <c r="J523" s="3" t="s">
        <v>39</v>
      </c>
      <c r="K523">
        <v>48000</v>
      </c>
      <c r="L523">
        <v>540000</v>
      </c>
      <c r="M523">
        <v>432000</v>
      </c>
      <c r="N523">
        <v>108000</v>
      </c>
      <c r="O523" s="3" t="s">
        <v>624</v>
      </c>
      <c r="P523" s="3" t="s">
        <v>102</v>
      </c>
      <c r="Q523" s="3" t="s">
        <v>103</v>
      </c>
      <c r="R523" s="3" t="s">
        <v>103</v>
      </c>
    </row>
    <row r="524" spans="1:18">
      <c r="A524" s="19">
        <v>46198</v>
      </c>
      <c r="B524" s="3" t="s">
        <v>18</v>
      </c>
      <c r="C524" s="3" t="s">
        <v>26</v>
      </c>
      <c r="D524" s="3" t="s">
        <v>23</v>
      </c>
      <c r="E524" s="3" t="s">
        <v>20</v>
      </c>
      <c r="F524" s="3" t="s">
        <v>33</v>
      </c>
      <c r="G524" s="3" t="s">
        <v>22</v>
      </c>
      <c r="H524">
        <v>180000</v>
      </c>
      <c r="I524">
        <v>4</v>
      </c>
      <c r="J524" s="3" t="s">
        <v>17</v>
      </c>
      <c r="K524">
        <v>144000</v>
      </c>
      <c r="L524">
        <v>720000</v>
      </c>
      <c r="M524">
        <v>576000</v>
      </c>
      <c r="N524">
        <v>144000</v>
      </c>
      <c r="O524" s="3" t="s">
        <v>625</v>
      </c>
      <c r="P524" s="3" t="s">
        <v>102</v>
      </c>
      <c r="Q524" s="3" t="s">
        <v>103</v>
      </c>
      <c r="R524" s="3" t="s">
        <v>103</v>
      </c>
    </row>
    <row r="525" spans="1:18">
      <c r="A525" s="19">
        <v>46199</v>
      </c>
      <c r="B525" s="3" t="s">
        <v>29</v>
      </c>
      <c r="C525" s="3" t="s">
        <v>26</v>
      </c>
      <c r="D525" s="3" t="s">
        <v>13</v>
      </c>
      <c r="E525" s="3" t="s">
        <v>20</v>
      </c>
      <c r="F525" s="3" t="s">
        <v>33</v>
      </c>
      <c r="G525" s="3" t="s">
        <v>22</v>
      </c>
      <c r="H525">
        <v>180000</v>
      </c>
      <c r="I525">
        <v>10</v>
      </c>
      <c r="J525" s="3" t="s">
        <v>17</v>
      </c>
      <c r="K525">
        <v>144000</v>
      </c>
      <c r="L525">
        <v>1800000</v>
      </c>
      <c r="M525">
        <v>1440000</v>
      </c>
      <c r="N525">
        <v>360000</v>
      </c>
      <c r="O525" s="3" t="s">
        <v>626</v>
      </c>
      <c r="P525" s="3" t="s">
        <v>102</v>
      </c>
      <c r="Q525" s="3" t="s">
        <v>103</v>
      </c>
      <c r="R525" s="3" t="s">
        <v>103</v>
      </c>
    </row>
    <row r="526" spans="1:18">
      <c r="A526" s="19">
        <v>46200</v>
      </c>
      <c r="B526" s="3" t="s">
        <v>29</v>
      </c>
      <c r="C526" s="3" t="s">
        <v>19</v>
      </c>
      <c r="D526" s="3" t="s">
        <v>23</v>
      </c>
      <c r="E526" s="3" t="s">
        <v>14</v>
      </c>
      <c r="F526" s="3" t="s">
        <v>21</v>
      </c>
      <c r="G526" s="3" t="s">
        <v>22</v>
      </c>
      <c r="H526">
        <v>30000</v>
      </c>
      <c r="I526">
        <v>1</v>
      </c>
      <c r="J526" s="3" t="s">
        <v>37</v>
      </c>
      <c r="K526">
        <v>24000</v>
      </c>
      <c r="L526">
        <v>30000</v>
      </c>
      <c r="M526">
        <v>24000</v>
      </c>
      <c r="N526">
        <v>6000</v>
      </c>
      <c r="O526" s="3" t="s">
        <v>627</v>
      </c>
      <c r="P526" s="3" t="s">
        <v>102</v>
      </c>
      <c r="Q526" s="3" t="s">
        <v>103</v>
      </c>
      <c r="R526" s="3" t="s">
        <v>103</v>
      </c>
    </row>
    <row r="527" spans="1:18">
      <c r="A527" s="19">
        <v>46201</v>
      </c>
      <c r="B527" s="3" t="s">
        <v>18</v>
      </c>
      <c r="C527" s="3" t="s">
        <v>26</v>
      </c>
      <c r="D527" s="3" t="s">
        <v>13</v>
      </c>
      <c r="E527" s="3" t="s">
        <v>20</v>
      </c>
      <c r="F527" s="3" t="s">
        <v>38</v>
      </c>
      <c r="G527" s="3" t="s">
        <v>31</v>
      </c>
      <c r="H527">
        <v>420000</v>
      </c>
      <c r="I527">
        <v>3</v>
      </c>
      <c r="J527" s="3" t="s">
        <v>35</v>
      </c>
      <c r="K527">
        <v>336000</v>
      </c>
      <c r="L527">
        <v>1260000</v>
      </c>
      <c r="M527">
        <v>1008000</v>
      </c>
      <c r="N527">
        <v>252000</v>
      </c>
      <c r="O527" s="3" t="s">
        <v>628</v>
      </c>
      <c r="P527" s="3" t="s">
        <v>102</v>
      </c>
      <c r="Q527" s="3" t="s">
        <v>103</v>
      </c>
      <c r="R527" s="3" t="s">
        <v>103</v>
      </c>
    </row>
    <row r="528" spans="1:18">
      <c r="A528" s="19">
        <v>46202</v>
      </c>
      <c r="B528" s="3" t="s">
        <v>18</v>
      </c>
      <c r="C528" s="3" t="s">
        <v>12</v>
      </c>
      <c r="D528" s="3" t="s">
        <v>13</v>
      </c>
      <c r="E528" s="3" t="s">
        <v>20</v>
      </c>
      <c r="F528" s="3" t="s">
        <v>21</v>
      </c>
      <c r="G528" s="3" t="s">
        <v>22</v>
      </c>
      <c r="H528">
        <v>30000</v>
      </c>
      <c r="I528">
        <v>8</v>
      </c>
      <c r="J528" s="3" t="s">
        <v>35</v>
      </c>
      <c r="K528">
        <v>24000</v>
      </c>
      <c r="L528">
        <v>240000</v>
      </c>
      <c r="M528">
        <v>192000</v>
      </c>
      <c r="N528">
        <v>48000</v>
      </c>
      <c r="O528" s="3" t="s">
        <v>629</v>
      </c>
      <c r="P528" s="3" t="s">
        <v>102</v>
      </c>
      <c r="Q528" s="3" t="s">
        <v>103</v>
      </c>
      <c r="R528" s="3" t="s">
        <v>103</v>
      </c>
    </row>
    <row r="529" spans="1:18">
      <c r="A529" s="19">
        <v>46203</v>
      </c>
      <c r="B529" s="3" t="s">
        <v>25</v>
      </c>
      <c r="C529" s="3" t="s">
        <v>32</v>
      </c>
      <c r="D529" s="3" t="s">
        <v>23</v>
      </c>
      <c r="E529" s="3" t="s">
        <v>14</v>
      </c>
      <c r="F529" s="3" t="s">
        <v>34</v>
      </c>
      <c r="G529" s="3" t="s">
        <v>16</v>
      </c>
      <c r="H529">
        <v>320000</v>
      </c>
      <c r="I529">
        <v>2</v>
      </c>
      <c r="J529" s="3" t="s">
        <v>28</v>
      </c>
      <c r="K529">
        <v>256000</v>
      </c>
      <c r="L529">
        <v>640000</v>
      </c>
      <c r="M529">
        <v>512000</v>
      </c>
      <c r="N529">
        <v>128000</v>
      </c>
      <c r="O529" s="3" t="s">
        <v>630</v>
      </c>
      <c r="P529" s="3" t="s">
        <v>102</v>
      </c>
      <c r="Q529" s="3" t="s">
        <v>103</v>
      </c>
      <c r="R529" s="3" t="s">
        <v>103</v>
      </c>
    </row>
    <row r="530" spans="1:18">
      <c r="A530" s="19">
        <v>46204</v>
      </c>
      <c r="B530" s="3" t="s">
        <v>11</v>
      </c>
      <c r="C530" s="3" t="s">
        <v>19</v>
      </c>
      <c r="D530" s="3" t="s">
        <v>23</v>
      </c>
      <c r="E530" s="3" t="s">
        <v>20</v>
      </c>
      <c r="F530" s="3" t="s">
        <v>36</v>
      </c>
      <c r="G530" s="3" t="s">
        <v>31</v>
      </c>
      <c r="H530">
        <v>150000</v>
      </c>
      <c r="I530">
        <v>10</v>
      </c>
      <c r="J530" s="3" t="s">
        <v>28</v>
      </c>
      <c r="K530">
        <v>120000</v>
      </c>
      <c r="L530">
        <v>1500000</v>
      </c>
      <c r="M530">
        <v>1200000</v>
      </c>
      <c r="N530">
        <v>300000</v>
      </c>
      <c r="O530" s="3" t="s">
        <v>631</v>
      </c>
      <c r="P530" s="3" t="s">
        <v>102</v>
      </c>
      <c r="Q530" s="3" t="s">
        <v>103</v>
      </c>
      <c r="R530" s="3" t="s">
        <v>103</v>
      </c>
    </row>
    <row r="531" spans="1:18">
      <c r="A531" s="19">
        <v>46205</v>
      </c>
      <c r="B531" s="3" t="s">
        <v>29</v>
      </c>
      <c r="C531" s="3" t="s">
        <v>26</v>
      </c>
      <c r="D531" s="3" t="s">
        <v>23</v>
      </c>
      <c r="E531" s="3" t="s">
        <v>14</v>
      </c>
      <c r="F531" s="3" t="s">
        <v>40</v>
      </c>
      <c r="G531" s="3" t="s">
        <v>31</v>
      </c>
      <c r="H531">
        <v>250000</v>
      </c>
      <c r="I531">
        <v>9</v>
      </c>
      <c r="J531" s="3" t="s">
        <v>24</v>
      </c>
      <c r="K531">
        <v>200000</v>
      </c>
      <c r="L531">
        <v>2250000</v>
      </c>
      <c r="M531">
        <v>1800000</v>
      </c>
      <c r="N531">
        <v>450000</v>
      </c>
      <c r="O531" s="3" t="s">
        <v>632</v>
      </c>
      <c r="P531" s="3" t="s">
        <v>102</v>
      </c>
      <c r="Q531" s="3" t="s">
        <v>103</v>
      </c>
      <c r="R531" s="3" t="s">
        <v>103</v>
      </c>
    </row>
    <row r="532" spans="1:18">
      <c r="A532" s="19">
        <v>46206</v>
      </c>
      <c r="B532" s="3" t="s">
        <v>25</v>
      </c>
      <c r="C532" s="3" t="s">
        <v>26</v>
      </c>
      <c r="D532" s="3" t="s">
        <v>23</v>
      </c>
      <c r="E532" s="3" t="s">
        <v>20</v>
      </c>
      <c r="F532" s="3" t="s">
        <v>41</v>
      </c>
      <c r="G532" s="3" t="s">
        <v>22</v>
      </c>
      <c r="H532">
        <v>220000</v>
      </c>
      <c r="I532">
        <v>5</v>
      </c>
      <c r="J532" s="3" t="s">
        <v>24</v>
      </c>
      <c r="K532">
        <v>176000</v>
      </c>
      <c r="L532">
        <v>1100000</v>
      </c>
      <c r="M532">
        <v>880000</v>
      </c>
      <c r="N532">
        <v>220000</v>
      </c>
      <c r="O532" s="3" t="s">
        <v>633</v>
      </c>
      <c r="P532" s="3" t="s">
        <v>102</v>
      </c>
      <c r="Q532" s="3" t="s">
        <v>103</v>
      </c>
      <c r="R532" s="3" t="s">
        <v>103</v>
      </c>
    </row>
    <row r="533" spans="1:18">
      <c r="A533" s="19">
        <v>46207</v>
      </c>
      <c r="B533" s="3" t="s">
        <v>11</v>
      </c>
      <c r="C533" s="3" t="s">
        <v>26</v>
      </c>
      <c r="D533" s="3" t="s">
        <v>13</v>
      </c>
      <c r="E533" s="3" t="s">
        <v>20</v>
      </c>
      <c r="F533" s="3" t="s">
        <v>36</v>
      </c>
      <c r="G533" s="3" t="s">
        <v>31</v>
      </c>
      <c r="H533">
        <v>150000</v>
      </c>
      <c r="I533">
        <v>5</v>
      </c>
      <c r="J533" s="3" t="s">
        <v>17</v>
      </c>
      <c r="K533">
        <v>120000</v>
      </c>
      <c r="L533">
        <v>750000</v>
      </c>
      <c r="M533">
        <v>600000</v>
      </c>
      <c r="N533">
        <v>150000</v>
      </c>
      <c r="O533" s="3" t="s">
        <v>634</v>
      </c>
      <c r="P533" s="3" t="s">
        <v>102</v>
      </c>
      <c r="Q533" s="3" t="s">
        <v>103</v>
      </c>
      <c r="R533" s="3" t="s">
        <v>103</v>
      </c>
    </row>
    <row r="534" spans="1:18">
      <c r="A534" s="19">
        <v>46208</v>
      </c>
      <c r="B534" s="3" t="s">
        <v>18</v>
      </c>
      <c r="C534" s="3" t="s">
        <v>32</v>
      </c>
      <c r="D534" s="3" t="s">
        <v>23</v>
      </c>
      <c r="E534" s="3" t="s">
        <v>20</v>
      </c>
      <c r="F534" s="3" t="s">
        <v>41</v>
      </c>
      <c r="G534" s="3" t="s">
        <v>22</v>
      </c>
      <c r="H534">
        <v>220000</v>
      </c>
      <c r="I534">
        <v>8</v>
      </c>
      <c r="J534" s="3" t="s">
        <v>37</v>
      </c>
      <c r="K534">
        <v>176000</v>
      </c>
      <c r="L534">
        <v>1760000</v>
      </c>
      <c r="M534">
        <v>1408000</v>
      </c>
      <c r="N534">
        <v>352000</v>
      </c>
      <c r="O534" s="3" t="s">
        <v>635</v>
      </c>
      <c r="P534" s="3" t="s">
        <v>102</v>
      </c>
      <c r="Q534" s="3" t="s">
        <v>103</v>
      </c>
      <c r="R534" s="3" t="s">
        <v>103</v>
      </c>
    </row>
    <row r="535" spans="1:18">
      <c r="A535" s="19">
        <v>46209</v>
      </c>
      <c r="B535" s="3" t="s">
        <v>18</v>
      </c>
      <c r="C535" s="3" t="s">
        <v>19</v>
      </c>
      <c r="D535" s="3" t="s">
        <v>13</v>
      </c>
      <c r="E535" s="3" t="s">
        <v>14</v>
      </c>
      <c r="F535" s="3" t="s">
        <v>15</v>
      </c>
      <c r="G535" s="3" t="s">
        <v>16</v>
      </c>
      <c r="H535">
        <v>85000</v>
      </c>
      <c r="I535">
        <v>4</v>
      </c>
      <c r="J535" s="3" t="s">
        <v>35</v>
      </c>
      <c r="K535">
        <v>68000</v>
      </c>
      <c r="L535">
        <v>340000</v>
      </c>
      <c r="M535">
        <v>272000</v>
      </c>
      <c r="N535">
        <v>68000</v>
      </c>
      <c r="O535" s="3" t="s">
        <v>636</v>
      </c>
      <c r="P535" s="3" t="s">
        <v>102</v>
      </c>
      <c r="Q535" s="3" t="s">
        <v>103</v>
      </c>
      <c r="R535" s="3" t="s">
        <v>103</v>
      </c>
    </row>
    <row r="536" spans="1:18">
      <c r="A536" s="19">
        <v>46210</v>
      </c>
      <c r="B536" s="3" t="s">
        <v>25</v>
      </c>
      <c r="C536" s="3" t="s">
        <v>26</v>
      </c>
      <c r="D536" s="3" t="s">
        <v>13</v>
      </c>
      <c r="E536" s="3" t="s">
        <v>14</v>
      </c>
      <c r="F536" s="3" t="s">
        <v>34</v>
      </c>
      <c r="G536" s="3" t="s">
        <v>16</v>
      </c>
      <c r="H536">
        <v>320000</v>
      </c>
      <c r="I536">
        <v>4</v>
      </c>
      <c r="J536" s="3" t="s">
        <v>35</v>
      </c>
      <c r="K536">
        <v>256000</v>
      </c>
      <c r="L536">
        <v>1280000</v>
      </c>
      <c r="M536">
        <v>1024000</v>
      </c>
      <c r="N536">
        <v>256000</v>
      </c>
      <c r="O536" s="3" t="s">
        <v>637</v>
      </c>
      <c r="P536" s="3" t="s">
        <v>102</v>
      </c>
      <c r="Q536" s="3" t="s">
        <v>103</v>
      </c>
      <c r="R536" s="3" t="s">
        <v>103</v>
      </c>
    </row>
    <row r="537" spans="1:18">
      <c r="A537" s="19">
        <v>46211</v>
      </c>
      <c r="B537" s="3" t="s">
        <v>18</v>
      </c>
      <c r="C537" s="3" t="s">
        <v>26</v>
      </c>
      <c r="D537" s="3" t="s">
        <v>23</v>
      </c>
      <c r="E537" s="3" t="s">
        <v>14</v>
      </c>
      <c r="F537" s="3" t="s">
        <v>40</v>
      </c>
      <c r="G537" s="3" t="s">
        <v>31</v>
      </c>
      <c r="H537">
        <v>250000</v>
      </c>
      <c r="I537">
        <v>2</v>
      </c>
      <c r="J537" s="3" t="s">
        <v>24</v>
      </c>
      <c r="K537">
        <v>200000</v>
      </c>
      <c r="L537">
        <v>500000</v>
      </c>
      <c r="M537">
        <v>400000</v>
      </c>
      <c r="N537">
        <v>100000</v>
      </c>
      <c r="O537" s="3" t="s">
        <v>638</v>
      </c>
      <c r="P537" s="3" t="s">
        <v>102</v>
      </c>
      <c r="Q537" s="3" t="s">
        <v>103</v>
      </c>
      <c r="R537" s="3" t="s">
        <v>103</v>
      </c>
    </row>
    <row r="538" spans="1:18">
      <c r="A538" s="19">
        <v>46212</v>
      </c>
      <c r="B538" s="3" t="s">
        <v>18</v>
      </c>
      <c r="C538" s="3" t="s">
        <v>12</v>
      </c>
      <c r="D538" s="3" t="s">
        <v>13</v>
      </c>
      <c r="E538" s="3" t="s">
        <v>14</v>
      </c>
      <c r="F538" s="3" t="s">
        <v>30</v>
      </c>
      <c r="G538" s="3" t="s">
        <v>31</v>
      </c>
      <c r="H538">
        <v>300000</v>
      </c>
      <c r="I538">
        <v>5</v>
      </c>
      <c r="J538" s="3" t="s">
        <v>24</v>
      </c>
      <c r="K538">
        <v>240000</v>
      </c>
      <c r="L538">
        <v>1500000</v>
      </c>
      <c r="M538">
        <v>1200000</v>
      </c>
      <c r="N538">
        <v>300000</v>
      </c>
      <c r="O538" s="3" t="s">
        <v>639</v>
      </c>
      <c r="P538" s="3" t="s">
        <v>102</v>
      </c>
      <c r="Q538" s="3" t="s">
        <v>103</v>
      </c>
      <c r="R538" s="3" t="s">
        <v>103</v>
      </c>
    </row>
    <row r="539" spans="1:18">
      <c r="A539" s="19">
        <v>46213</v>
      </c>
      <c r="B539" s="3" t="s">
        <v>18</v>
      </c>
      <c r="C539" s="3" t="s">
        <v>26</v>
      </c>
      <c r="D539" s="3" t="s">
        <v>13</v>
      </c>
      <c r="E539" s="3" t="s">
        <v>14</v>
      </c>
      <c r="F539" s="3" t="s">
        <v>27</v>
      </c>
      <c r="G539" s="3" t="s">
        <v>22</v>
      </c>
      <c r="H539">
        <v>60000</v>
      </c>
      <c r="I539">
        <v>9</v>
      </c>
      <c r="J539" s="3" t="s">
        <v>28</v>
      </c>
      <c r="K539">
        <v>48000</v>
      </c>
      <c r="L539">
        <v>540000</v>
      </c>
      <c r="M539">
        <v>432000</v>
      </c>
      <c r="N539">
        <v>108000</v>
      </c>
      <c r="O539" s="3" t="s">
        <v>640</v>
      </c>
      <c r="P539" s="3" t="s">
        <v>102</v>
      </c>
      <c r="Q539" s="3" t="s">
        <v>103</v>
      </c>
      <c r="R539" s="3" t="s">
        <v>103</v>
      </c>
    </row>
    <row r="540" spans="1:18">
      <c r="A540" s="19">
        <v>46214</v>
      </c>
      <c r="B540" s="3" t="s">
        <v>18</v>
      </c>
      <c r="C540" s="3" t="s">
        <v>26</v>
      </c>
      <c r="D540" s="3" t="s">
        <v>23</v>
      </c>
      <c r="E540" s="3" t="s">
        <v>14</v>
      </c>
      <c r="F540" s="3" t="s">
        <v>36</v>
      </c>
      <c r="G540" s="3" t="s">
        <v>31</v>
      </c>
      <c r="H540">
        <v>150000</v>
      </c>
      <c r="I540">
        <v>6</v>
      </c>
      <c r="J540" s="3" t="s">
        <v>28</v>
      </c>
      <c r="K540">
        <v>120000</v>
      </c>
      <c r="L540">
        <v>900000</v>
      </c>
      <c r="M540">
        <v>720000</v>
      </c>
      <c r="N540">
        <v>180000</v>
      </c>
      <c r="O540" s="3" t="s">
        <v>641</v>
      </c>
      <c r="P540" s="3" t="s">
        <v>102</v>
      </c>
      <c r="Q540" s="3" t="s">
        <v>103</v>
      </c>
      <c r="R540" s="3" t="s">
        <v>103</v>
      </c>
    </row>
    <row r="541" spans="1:18">
      <c r="A541" s="19">
        <v>46215</v>
      </c>
      <c r="B541" s="3" t="s">
        <v>25</v>
      </c>
      <c r="C541" s="3" t="s">
        <v>26</v>
      </c>
      <c r="D541" s="3" t="s">
        <v>23</v>
      </c>
      <c r="E541" s="3" t="s">
        <v>20</v>
      </c>
      <c r="F541" s="3" t="s">
        <v>15</v>
      </c>
      <c r="G541" s="3" t="s">
        <v>16</v>
      </c>
      <c r="H541">
        <v>85000</v>
      </c>
      <c r="I541">
        <v>3</v>
      </c>
      <c r="J541" s="3" t="s">
        <v>35</v>
      </c>
      <c r="K541">
        <v>68000</v>
      </c>
      <c r="L541">
        <v>255000</v>
      </c>
      <c r="M541">
        <v>204000</v>
      </c>
      <c r="N541">
        <v>51000</v>
      </c>
      <c r="O541" s="3" t="s">
        <v>642</v>
      </c>
      <c r="P541" s="3" t="s">
        <v>102</v>
      </c>
      <c r="Q541" s="3" t="s">
        <v>103</v>
      </c>
      <c r="R541" s="3" t="s">
        <v>103</v>
      </c>
    </row>
    <row r="542" spans="1:18">
      <c r="A542" s="19">
        <v>46216</v>
      </c>
      <c r="B542" s="3" t="s">
        <v>25</v>
      </c>
      <c r="C542" s="3" t="s">
        <v>19</v>
      </c>
      <c r="D542" s="3" t="s">
        <v>23</v>
      </c>
      <c r="E542" s="3" t="s">
        <v>20</v>
      </c>
      <c r="F542" s="3" t="s">
        <v>34</v>
      </c>
      <c r="G542" s="3" t="s">
        <v>16</v>
      </c>
      <c r="H542">
        <v>320000</v>
      </c>
      <c r="I542">
        <v>8</v>
      </c>
      <c r="J542" s="3" t="s">
        <v>28</v>
      </c>
      <c r="K542">
        <v>256000</v>
      </c>
      <c r="L542">
        <v>2560000</v>
      </c>
      <c r="M542">
        <v>2048000</v>
      </c>
      <c r="N542">
        <v>512000</v>
      </c>
      <c r="O542" s="3" t="s">
        <v>643</v>
      </c>
      <c r="P542" s="3" t="s">
        <v>102</v>
      </c>
      <c r="Q542" s="3" t="s">
        <v>103</v>
      </c>
      <c r="R542" s="3" t="s">
        <v>103</v>
      </c>
    </row>
    <row r="543" spans="1:18">
      <c r="A543" s="19">
        <v>46217</v>
      </c>
      <c r="B543" s="3" t="s">
        <v>18</v>
      </c>
      <c r="C543" s="3" t="s">
        <v>12</v>
      </c>
      <c r="D543" s="3" t="s">
        <v>23</v>
      </c>
      <c r="E543" s="3" t="s">
        <v>14</v>
      </c>
      <c r="F543" s="3" t="s">
        <v>40</v>
      </c>
      <c r="G543" s="3" t="s">
        <v>31</v>
      </c>
      <c r="H543">
        <v>250000</v>
      </c>
      <c r="I543">
        <v>1</v>
      </c>
      <c r="J543" s="3" t="s">
        <v>35</v>
      </c>
      <c r="K543">
        <v>200000</v>
      </c>
      <c r="L543">
        <v>250000</v>
      </c>
      <c r="M543">
        <v>200000</v>
      </c>
      <c r="N543">
        <v>50000</v>
      </c>
      <c r="O543" s="3" t="s">
        <v>644</v>
      </c>
      <c r="P543" s="3" t="s">
        <v>102</v>
      </c>
      <c r="Q543" s="3" t="s">
        <v>103</v>
      </c>
      <c r="R543" s="3" t="s">
        <v>103</v>
      </c>
    </row>
    <row r="544" spans="1:18">
      <c r="A544" s="19">
        <v>46218</v>
      </c>
      <c r="B544" s="3" t="s">
        <v>11</v>
      </c>
      <c r="C544" s="3" t="s">
        <v>19</v>
      </c>
      <c r="D544" s="3" t="s">
        <v>23</v>
      </c>
      <c r="E544" s="3" t="s">
        <v>20</v>
      </c>
      <c r="F544" s="3" t="s">
        <v>33</v>
      </c>
      <c r="G544" s="3" t="s">
        <v>22</v>
      </c>
      <c r="H544">
        <v>180000</v>
      </c>
      <c r="I544">
        <v>4</v>
      </c>
      <c r="J544" s="3" t="s">
        <v>17</v>
      </c>
      <c r="K544">
        <v>144000</v>
      </c>
      <c r="L544">
        <v>720000</v>
      </c>
      <c r="M544">
        <v>576000</v>
      </c>
      <c r="N544">
        <v>144000</v>
      </c>
      <c r="O544" s="3" t="s">
        <v>645</v>
      </c>
      <c r="P544" s="3" t="s">
        <v>102</v>
      </c>
      <c r="Q544" s="3" t="s">
        <v>103</v>
      </c>
      <c r="R544" s="3" t="s">
        <v>103</v>
      </c>
    </row>
    <row r="545" spans="1:18">
      <c r="A545" s="19">
        <v>46219</v>
      </c>
      <c r="B545" s="3" t="s">
        <v>18</v>
      </c>
      <c r="C545" s="3" t="s">
        <v>26</v>
      </c>
      <c r="D545" s="3" t="s">
        <v>13</v>
      </c>
      <c r="E545" s="3" t="s">
        <v>14</v>
      </c>
      <c r="F545" s="3" t="s">
        <v>27</v>
      </c>
      <c r="G545" s="3" t="s">
        <v>22</v>
      </c>
      <c r="H545">
        <v>60000</v>
      </c>
      <c r="I545">
        <v>6</v>
      </c>
      <c r="J545" s="3" t="s">
        <v>39</v>
      </c>
      <c r="K545">
        <v>48000</v>
      </c>
      <c r="L545">
        <v>360000</v>
      </c>
      <c r="M545">
        <v>288000</v>
      </c>
      <c r="N545">
        <v>72000</v>
      </c>
      <c r="O545" s="3" t="s">
        <v>646</v>
      </c>
      <c r="P545" s="3" t="s">
        <v>102</v>
      </c>
      <c r="Q545" s="3" t="s">
        <v>103</v>
      </c>
      <c r="R545" s="3" t="s">
        <v>103</v>
      </c>
    </row>
    <row r="546" spans="1:18">
      <c r="A546" s="19">
        <v>46220</v>
      </c>
      <c r="B546" s="3" t="s">
        <v>29</v>
      </c>
      <c r="C546" s="3" t="s">
        <v>32</v>
      </c>
      <c r="D546" s="3" t="s">
        <v>13</v>
      </c>
      <c r="E546" s="3" t="s">
        <v>20</v>
      </c>
      <c r="F546" s="3" t="s">
        <v>33</v>
      </c>
      <c r="G546" s="3" t="s">
        <v>22</v>
      </c>
      <c r="H546">
        <v>180000</v>
      </c>
      <c r="I546">
        <v>7</v>
      </c>
      <c r="J546" s="3" t="s">
        <v>17</v>
      </c>
      <c r="K546">
        <v>144000</v>
      </c>
      <c r="L546">
        <v>1260000</v>
      </c>
      <c r="M546">
        <v>1008000</v>
      </c>
      <c r="N546">
        <v>252000</v>
      </c>
      <c r="O546" s="3" t="s">
        <v>647</v>
      </c>
      <c r="P546" s="3" t="s">
        <v>102</v>
      </c>
      <c r="Q546" s="3" t="s">
        <v>103</v>
      </c>
      <c r="R546" s="3" t="s">
        <v>103</v>
      </c>
    </row>
    <row r="547" spans="1:18">
      <c r="A547" s="19">
        <v>46221</v>
      </c>
      <c r="B547" s="3" t="s">
        <v>29</v>
      </c>
      <c r="C547" s="3" t="s">
        <v>19</v>
      </c>
      <c r="D547" s="3" t="s">
        <v>13</v>
      </c>
      <c r="E547" s="3" t="s">
        <v>14</v>
      </c>
      <c r="F547" s="3" t="s">
        <v>36</v>
      </c>
      <c r="G547" s="3" t="s">
        <v>31</v>
      </c>
      <c r="H547">
        <v>150000</v>
      </c>
      <c r="I547">
        <v>10</v>
      </c>
      <c r="J547" s="3" t="s">
        <v>37</v>
      </c>
      <c r="K547">
        <v>120000</v>
      </c>
      <c r="L547">
        <v>1500000</v>
      </c>
      <c r="M547">
        <v>1200000</v>
      </c>
      <c r="N547">
        <v>300000</v>
      </c>
      <c r="O547" s="3" t="s">
        <v>648</v>
      </c>
      <c r="P547" s="3" t="s">
        <v>102</v>
      </c>
      <c r="Q547" s="3" t="s">
        <v>103</v>
      </c>
      <c r="R547" s="3" t="s">
        <v>103</v>
      </c>
    </row>
    <row r="548" spans="1:18">
      <c r="A548" s="19">
        <v>46222</v>
      </c>
      <c r="B548" s="3" t="s">
        <v>18</v>
      </c>
      <c r="C548" s="3" t="s">
        <v>26</v>
      </c>
      <c r="D548" s="3" t="s">
        <v>13</v>
      </c>
      <c r="E548" s="3" t="s">
        <v>20</v>
      </c>
      <c r="F548" s="3" t="s">
        <v>34</v>
      </c>
      <c r="G548" s="3" t="s">
        <v>16</v>
      </c>
      <c r="H548">
        <v>320000</v>
      </c>
      <c r="I548">
        <v>5</v>
      </c>
      <c r="J548" s="3" t="s">
        <v>37</v>
      </c>
      <c r="K548">
        <v>256000</v>
      </c>
      <c r="L548">
        <v>1600000</v>
      </c>
      <c r="M548">
        <v>1280000</v>
      </c>
      <c r="N548">
        <v>320000</v>
      </c>
      <c r="O548" s="3" t="s">
        <v>649</v>
      </c>
      <c r="P548" s="3" t="s">
        <v>102</v>
      </c>
      <c r="Q548" s="3" t="s">
        <v>103</v>
      </c>
      <c r="R548" s="3" t="s">
        <v>103</v>
      </c>
    </row>
    <row r="549" spans="1:18">
      <c r="A549" s="19">
        <v>46223</v>
      </c>
      <c r="B549" s="3" t="s">
        <v>11</v>
      </c>
      <c r="C549" s="3" t="s">
        <v>12</v>
      </c>
      <c r="D549" s="3" t="s">
        <v>23</v>
      </c>
      <c r="E549" s="3" t="s">
        <v>20</v>
      </c>
      <c r="F549" s="3" t="s">
        <v>36</v>
      </c>
      <c r="G549" s="3" t="s">
        <v>31</v>
      </c>
      <c r="H549">
        <v>150000</v>
      </c>
      <c r="I549">
        <v>7</v>
      </c>
      <c r="J549" s="3" t="s">
        <v>24</v>
      </c>
      <c r="K549">
        <v>120000</v>
      </c>
      <c r="L549">
        <v>1050000</v>
      </c>
      <c r="M549">
        <v>840000</v>
      </c>
      <c r="N549">
        <v>210000</v>
      </c>
      <c r="O549" s="3" t="s">
        <v>650</v>
      </c>
      <c r="P549" s="3" t="s">
        <v>102</v>
      </c>
      <c r="Q549" s="3" t="s">
        <v>103</v>
      </c>
      <c r="R549" s="3" t="s">
        <v>103</v>
      </c>
    </row>
    <row r="550" spans="1:18">
      <c r="A550" s="19">
        <v>46224</v>
      </c>
      <c r="B550" s="3" t="s">
        <v>18</v>
      </c>
      <c r="C550" s="3" t="s">
        <v>12</v>
      </c>
      <c r="D550" s="3" t="s">
        <v>23</v>
      </c>
      <c r="E550" s="3" t="s">
        <v>14</v>
      </c>
      <c r="F550" s="3" t="s">
        <v>36</v>
      </c>
      <c r="G550" s="3" t="s">
        <v>31</v>
      </c>
      <c r="H550">
        <v>150000</v>
      </c>
      <c r="I550">
        <v>4</v>
      </c>
      <c r="J550" s="3" t="s">
        <v>37</v>
      </c>
      <c r="K550">
        <v>120000</v>
      </c>
      <c r="L550">
        <v>600000</v>
      </c>
      <c r="M550">
        <v>480000</v>
      </c>
      <c r="N550">
        <v>120000</v>
      </c>
      <c r="O550" s="3" t="s">
        <v>651</v>
      </c>
      <c r="P550" s="3" t="s">
        <v>102</v>
      </c>
      <c r="Q550" s="3" t="s">
        <v>103</v>
      </c>
      <c r="R550" s="3" t="s">
        <v>103</v>
      </c>
    </row>
    <row r="551" spans="1:18">
      <c r="A551" s="19">
        <v>46225</v>
      </c>
      <c r="B551" s="3" t="s">
        <v>29</v>
      </c>
      <c r="C551" s="3" t="s">
        <v>26</v>
      </c>
      <c r="D551" s="3" t="s">
        <v>23</v>
      </c>
      <c r="E551" s="3" t="s">
        <v>14</v>
      </c>
      <c r="F551" s="3" t="s">
        <v>30</v>
      </c>
      <c r="G551" s="3" t="s">
        <v>31</v>
      </c>
      <c r="H551">
        <v>300000</v>
      </c>
      <c r="I551">
        <v>6</v>
      </c>
      <c r="J551" s="3" t="s">
        <v>28</v>
      </c>
      <c r="K551">
        <v>240000</v>
      </c>
      <c r="L551">
        <v>1800000</v>
      </c>
      <c r="M551">
        <v>1440000</v>
      </c>
      <c r="N551">
        <v>360000</v>
      </c>
      <c r="O551" s="3" t="s">
        <v>652</v>
      </c>
      <c r="P551" s="3" t="s">
        <v>102</v>
      </c>
      <c r="Q551" s="3" t="s">
        <v>103</v>
      </c>
      <c r="R551" s="3" t="s">
        <v>103</v>
      </c>
    </row>
    <row r="552" spans="1:18">
      <c r="A552" s="19">
        <v>46226</v>
      </c>
      <c r="B552" s="3" t="s">
        <v>29</v>
      </c>
      <c r="C552" s="3" t="s">
        <v>12</v>
      </c>
      <c r="D552" s="3" t="s">
        <v>13</v>
      </c>
      <c r="E552" s="3" t="s">
        <v>20</v>
      </c>
      <c r="F552" s="3" t="s">
        <v>34</v>
      </c>
      <c r="G552" s="3" t="s">
        <v>16</v>
      </c>
      <c r="H552">
        <v>320000</v>
      </c>
      <c r="I552">
        <v>4</v>
      </c>
      <c r="J552" s="3" t="s">
        <v>28</v>
      </c>
      <c r="K552">
        <v>256000</v>
      </c>
      <c r="L552">
        <v>1280000</v>
      </c>
      <c r="M552">
        <v>1024000</v>
      </c>
      <c r="N552">
        <v>256000</v>
      </c>
      <c r="O552" s="3" t="s">
        <v>653</v>
      </c>
      <c r="P552" s="3" t="s">
        <v>102</v>
      </c>
      <c r="Q552" s="3" t="s">
        <v>103</v>
      </c>
      <c r="R552" s="3" t="s">
        <v>103</v>
      </c>
    </row>
    <row r="553" spans="1:18">
      <c r="A553" s="19">
        <v>46227</v>
      </c>
      <c r="B553" s="3" t="s">
        <v>25</v>
      </c>
      <c r="C553" s="3" t="s">
        <v>19</v>
      </c>
      <c r="D553" s="3" t="s">
        <v>23</v>
      </c>
      <c r="E553" s="3" t="s">
        <v>14</v>
      </c>
      <c r="F553" s="3" t="s">
        <v>21</v>
      </c>
      <c r="G553" s="3" t="s">
        <v>22</v>
      </c>
      <c r="H553">
        <v>30000</v>
      </c>
      <c r="I553">
        <v>4</v>
      </c>
      <c r="J553" s="3" t="s">
        <v>24</v>
      </c>
      <c r="K553">
        <v>24000</v>
      </c>
      <c r="L553">
        <v>120000</v>
      </c>
      <c r="M553">
        <v>96000</v>
      </c>
      <c r="N553">
        <v>24000</v>
      </c>
      <c r="O553" s="3" t="s">
        <v>654</v>
      </c>
      <c r="P553" s="3" t="s">
        <v>102</v>
      </c>
      <c r="Q553" s="3" t="s">
        <v>103</v>
      </c>
      <c r="R553" s="3" t="s">
        <v>103</v>
      </c>
    </row>
    <row r="554" spans="1:18">
      <c r="A554" s="19">
        <v>46228</v>
      </c>
      <c r="B554" s="3" t="s">
        <v>18</v>
      </c>
      <c r="C554" s="3" t="s">
        <v>26</v>
      </c>
      <c r="D554" s="3" t="s">
        <v>23</v>
      </c>
      <c r="E554" s="3" t="s">
        <v>14</v>
      </c>
      <c r="F554" s="3" t="s">
        <v>36</v>
      </c>
      <c r="G554" s="3" t="s">
        <v>31</v>
      </c>
      <c r="H554">
        <v>150000</v>
      </c>
      <c r="I554">
        <v>8</v>
      </c>
      <c r="J554" s="3" t="s">
        <v>39</v>
      </c>
      <c r="K554">
        <v>120000</v>
      </c>
      <c r="L554">
        <v>1200000</v>
      </c>
      <c r="M554">
        <v>960000</v>
      </c>
      <c r="N554">
        <v>240000</v>
      </c>
      <c r="O554" s="3" t="s">
        <v>655</v>
      </c>
      <c r="P554" s="3" t="s">
        <v>102</v>
      </c>
      <c r="Q554" s="3" t="s">
        <v>103</v>
      </c>
      <c r="R554" s="3" t="s">
        <v>103</v>
      </c>
    </row>
    <row r="555" spans="1:18">
      <c r="A555" s="19">
        <v>46229</v>
      </c>
      <c r="B555" s="3" t="s">
        <v>25</v>
      </c>
      <c r="C555" s="3" t="s">
        <v>19</v>
      </c>
      <c r="D555" s="3" t="s">
        <v>13</v>
      </c>
      <c r="E555" s="3" t="s">
        <v>20</v>
      </c>
      <c r="F555" s="3" t="s">
        <v>40</v>
      </c>
      <c r="G555" s="3" t="s">
        <v>31</v>
      </c>
      <c r="H555">
        <v>250000</v>
      </c>
      <c r="I555">
        <v>8</v>
      </c>
      <c r="J555" s="3" t="s">
        <v>37</v>
      </c>
      <c r="K555">
        <v>200000</v>
      </c>
      <c r="L555">
        <v>2000000</v>
      </c>
      <c r="M555">
        <v>1600000</v>
      </c>
      <c r="N555">
        <v>400000</v>
      </c>
      <c r="O555" s="3" t="s">
        <v>656</v>
      </c>
      <c r="P555" s="3" t="s">
        <v>102</v>
      </c>
      <c r="Q555" s="3" t="s">
        <v>103</v>
      </c>
      <c r="R555" s="3" t="s">
        <v>103</v>
      </c>
    </row>
    <row r="556" spans="1:18">
      <c r="A556" s="19">
        <v>46230</v>
      </c>
      <c r="B556" s="3" t="s">
        <v>29</v>
      </c>
      <c r="C556" s="3" t="s">
        <v>19</v>
      </c>
      <c r="D556" s="3" t="s">
        <v>23</v>
      </c>
      <c r="E556" s="3" t="s">
        <v>14</v>
      </c>
      <c r="F556" s="3" t="s">
        <v>21</v>
      </c>
      <c r="G556" s="3" t="s">
        <v>22</v>
      </c>
      <c r="H556">
        <v>30000</v>
      </c>
      <c r="I556">
        <v>4</v>
      </c>
      <c r="J556" s="3" t="s">
        <v>39</v>
      </c>
      <c r="K556">
        <v>24000</v>
      </c>
      <c r="L556">
        <v>120000</v>
      </c>
      <c r="M556">
        <v>96000</v>
      </c>
      <c r="N556">
        <v>24000</v>
      </c>
      <c r="O556" s="3" t="s">
        <v>657</v>
      </c>
      <c r="P556" s="3" t="s">
        <v>102</v>
      </c>
      <c r="Q556" s="3" t="s">
        <v>103</v>
      </c>
      <c r="R556" s="3" t="s">
        <v>103</v>
      </c>
    </row>
    <row r="557" spans="1:18">
      <c r="A557" s="19">
        <v>46231</v>
      </c>
      <c r="B557" s="3" t="s">
        <v>25</v>
      </c>
      <c r="C557" s="3" t="s">
        <v>12</v>
      </c>
      <c r="D557" s="3" t="s">
        <v>23</v>
      </c>
      <c r="E557" s="3" t="s">
        <v>14</v>
      </c>
      <c r="F557" s="3" t="s">
        <v>38</v>
      </c>
      <c r="G557" s="3" t="s">
        <v>31</v>
      </c>
      <c r="H557">
        <v>420000</v>
      </c>
      <c r="I557">
        <v>2</v>
      </c>
      <c r="J557" s="3" t="s">
        <v>37</v>
      </c>
      <c r="K557">
        <v>336000</v>
      </c>
      <c r="L557">
        <v>840000</v>
      </c>
      <c r="M557">
        <v>672000</v>
      </c>
      <c r="N557">
        <v>168000</v>
      </c>
      <c r="O557" s="3" t="s">
        <v>658</v>
      </c>
      <c r="P557" s="3" t="s">
        <v>102</v>
      </c>
      <c r="Q557" s="3" t="s">
        <v>103</v>
      </c>
      <c r="R557" s="3" t="s">
        <v>103</v>
      </c>
    </row>
    <row r="558" spans="1:18">
      <c r="A558" s="19">
        <v>46232</v>
      </c>
      <c r="B558" s="3" t="s">
        <v>25</v>
      </c>
      <c r="C558" s="3" t="s">
        <v>12</v>
      </c>
      <c r="D558" s="3" t="s">
        <v>23</v>
      </c>
      <c r="E558" s="3" t="s">
        <v>20</v>
      </c>
      <c r="F558" s="3" t="s">
        <v>21</v>
      </c>
      <c r="G558" s="3" t="s">
        <v>22</v>
      </c>
      <c r="H558">
        <v>30000</v>
      </c>
      <c r="I558">
        <v>6</v>
      </c>
      <c r="J558" s="3" t="s">
        <v>37</v>
      </c>
      <c r="K558">
        <v>24000</v>
      </c>
      <c r="L558">
        <v>180000</v>
      </c>
      <c r="M558">
        <v>144000</v>
      </c>
      <c r="N558">
        <v>36000</v>
      </c>
      <c r="O558" s="3" t="s">
        <v>659</v>
      </c>
      <c r="P558" s="3" t="s">
        <v>102</v>
      </c>
      <c r="Q558" s="3" t="s">
        <v>103</v>
      </c>
      <c r="R558" s="3" t="s">
        <v>103</v>
      </c>
    </row>
    <row r="559" spans="1:18">
      <c r="A559" s="19">
        <v>46233</v>
      </c>
      <c r="B559" s="3" t="s">
        <v>29</v>
      </c>
      <c r="C559" s="3" t="s">
        <v>32</v>
      </c>
      <c r="D559" s="3" t="s">
        <v>23</v>
      </c>
      <c r="E559" s="3" t="s">
        <v>14</v>
      </c>
      <c r="F559" s="3" t="s">
        <v>41</v>
      </c>
      <c r="G559" s="3" t="s">
        <v>22</v>
      </c>
      <c r="H559">
        <v>220000</v>
      </c>
      <c r="I559">
        <v>2</v>
      </c>
      <c r="J559" s="3" t="s">
        <v>35</v>
      </c>
      <c r="K559">
        <v>176000</v>
      </c>
      <c r="L559">
        <v>440000</v>
      </c>
      <c r="M559">
        <v>352000</v>
      </c>
      <c r="N559">
        <v>88000</v>
      </c>
      <c r="O559" s="3" t="s">
        <v>660</v>
      </c>
      <c r="P559" s="3" t="s">
        <v>102</v>
      </c>
      <c r="Q559" s="3" t="s">
        <v>103</v>
      </c>
      <c r="R559" s="3" t="s">
        <v>103</v>
      </c>
    </row>
    <row r="560" spans="1:18">
      <c r="A560" s="19">
        <v>46234</v>
      </c>
      <c r="B560" s="3" t="s">
        <v>25</v>
      </c>
      <c r="C560" s="3" t="s">
        <v>12</v>
      </c>
      <c r="D560" s="3" t="s">
        <v>13</v>
      </c>
      <c r="E560" s="3" t="s">
        <v>14</v>
      </c>
      <c r="F560" s="3" t="s">
        <v>30</v>
      </c>
      <c r="G560" s="3" t="s">
        <v>31</v>
      </c>
      <c r="H560">
        <v>300000</v>
      </c>
      <c r="I560">
        <v>4</v>
      </c>
      <c r="J560" s="3" t="s">
        <v>35</v>
      </c>
      <c r="K560">
        <v>240000</v>
      </c>
      <c r="L560">
        <v>1200000</v>
      </c>
      <c r="M560">
        <v>960000</v>
      </c>
      <c r="N560">
        <v>240000</v>
      </c>
      <c r="O560" s="3" t="s">
        <v>661</v>
      </c>
      <c r="P560" s="3" t="s">
        <v>102</v>
      </c>
      <c r="Q560" s="3" t="s">
        <v>103</v>
      </c>
      <c r="R560" s="3" t="s">
        <v>103</v>
      </c>
    </row>
    <row r="561" spans="1:18">
      <c r="A561" s="19">
        <v>46235</v>
      </c>
      <c r="B561" s="3" t="s">
        <v>25</v>
      </c>
      <c r="C561" s="3" t="s">
        <v>12</v>
      </c>
      <c r="D561" s="3" t="s">
        <v>23</v>
      </c>
      <c r="E561" s="3" t="s">
        <v>14</v>
      </c>
      <c r="F561" s="3" t="s">
        <v>38</v>
      </c>
      <c r="G561" s="3" t="s">
        <v>31</v>
      </c>
      <c r="H561">
        <v>420000</v>
      </c>
      <c r="I561">
        <v>8</v>
      </c>
      <c r="J561" s="3" t="s">
        <v>17</v>
      </c>
      <c r="K561">
        <v>336000</v>
      </c>
      <c r="L561">
        <v>3360000</v>
      </c>
      <c r="M561">
        <v>2688000</v>
      </c>
      <c r="N561">
        <v>672000</v>
      </c>
      <c r="O561" s="3" t="s">
        <v>662</v>
      </c>
      <c r="P561" s="3" t="s">
        <v>102</v>
      </c>
      <c r="Q561" s="3" t="s">
        <v>103</v>
      </c>
      <c r="R561" s="3" t="s">
        <v>103</v>
      </c>
    </row>
    <row r="562" spans="1:18">
      <c r="A562" s="19">
        <v>46236</v>
      </c>
      <c r="B562" s="3" t="s">
        <v>18</v>
      </c>
      <c r="C562" s="3" t="s">
        <v>12</v>
      </c>
      <c r="D562" s="3" t="s">
        <v>13</v>
      </c>
      <c r="E562" s="3" t="s">
        <v>14</v>
      </c>
      <c r="F562" s="3" t="s">
        <v>34</v>
      </c>
      <c r="G562" s="3" t="s">
        <v>16</v>
      </c>
      <c r="H562">
        <v>320000</v>
      </c>
      <c r="I562">
        <v>4</v>
      </c>
      <c r="J562" s="3" t="s">
        <v>35</v>
      </c>
      <c r="K562">
        <v>256000</v>
      </c>
      <c r="L562">
        <v>1280000</v>
      </c>
      <c r="M562">
        <v>1024000</v>
      </c>
      <c r="N562">
        <v>256000</v>
      </c>
      <c r="O562" s="3" t="s">
        <v>663</v>
      </c>
      <c r="P562" s="3" t="s">
        <v>102</v>
      </c>
      <c r="Q562" s="3" t="s">
        <v>103</v>
      </c>
      <c r="R562" s="3" t="s">
        <v>103</v>
      </c>
    </row>
    <row r="563" spans="1:18">
      <c r="A563" s="19">
        <v>46237</v>
      </c>
      <c r="B563" s="3" t="s">
        <v>11</v>
      </c>
      <c r="C563" s="3" t="s">
        <v>12</v>
      </c>
      <c r="D563" s="3" t="s">
        <v>23</v>
      </c>
      <c r="E563" s="3" t="s">
        <v>20</v>
      </c>
      <c r="F563" s="3" t="s">
        <v>40</v>
      </c>
      <c r="G563" s="3" t="s">
        <v>31</v>
      </c>
      <c r="H563">
        <v>250000</v>
      </c>
      <c r="I563">
        <v>8</v>
      </c>
      <c r="J563" s="3" t="s">
        <v>24</v>
      </c>
      <c r="K563">
        <v>200000</v>
      </c>
      <c r="L563">
        <v>2000000</v>
      </c>
      <c r="M563">
        <v>1600000</v>
      </c>
      <c r="N563">
        <v>400000</v>
      </c>
      <c r="O563" s="3" t="s">
        <v>664</v>
      </c>
      <c r="P563" s="3" t="s">
        <v>102</v>
      </c>
      <c r="Q563" s="3" t="s">
        <v>103</v>
      </c>
      <c r="R563" s="3" t="s">
        <v>103</v>
      </c>
    </row>
    <row r="564" spans="1:18">
      <c r="A564" s="19">
        <v>46238</v>
      </c>
      <c r="B564" s="3" t="s">
        <v>18</v>
      </c>
      <c r="C564" s="3" t="s">
        <v>19</v>
      </c>
      <c r="D564" s="3" t="s">
        <v>13</v>
      </c>
      <c r="E564" s="3" t="s">
        <v>20</v>
      </c>
      <c r="F564" s="3" t="s">
        <v>34</v>
      </c>
      <c r="G564" s="3" t="s">
        <v>16</v>
      </c>
      <c r="H564">
        <v>320000</v>
      </c>
      <c r="I564">
        <v>7</v>
      </c>
      <c r="J564" s="3" t="s">
        <v>39</v>
      </c>
      <c r="K564">
        <v>256000</v>
      </c>
      <c r="L564">
        <v>2240000</v>
      </c>
      <c r="M564">
        <v>1792000</v>
      </c>
      <c r="N564">
        <v>448000</v>
      </c>
      <c r="O564" s="3" t="s">
        <v>665</v>
      </c>
      <c r="P564" s="3" t="s">
        <v>102</v>
      </c>
      <c r="Q564" s="3" t="s">
        <v>103</v>
      </c>
      <c r="R564" s="3" t="s">
        <v>103</v>
      </c>
    </row>
    <row r="565" spans="1:18">
      <c r="A565" s="19">
        <v>46239</v>
      </c>
      <c r="B565" s="3" t="s">
        <v>11</v>
      </c>
      <c r="C565" s="3" t="s">
        <v>19</v>
      </c>
      <c r="D565" s="3" t="s">
        <v>23</v>
      </c>
      <c r="E565" s="3" t="s">
        <v>20</v>
      </c>
      <c r="F565" s="3" t="s">
        <v>30</v>
      </c>
      <c r="G565" s="3" t="s">
        <v>31</v>
      </c>
      <c r="H565">
        <v>300000</v>
      </c>
      <c r="I565">
        <v>6</v>
      </c>
      <c r="J565" s="3" t="s">
        <v>24</v>
      </c>
      <c r="K565">
        <v>240000</v>
      </c>
      <c r="L565">
        <v>1800000</v>
      </c>
      <c r="M565">
        <v>1440000</v>
      </c>
      <c r="N565">
        <v>360000</v>
      </c>
      <c r="O565" s="3" t="s">
        <v>666</v>
      </c>
      <c r="P565" s="3" t="s">
        <v>102</v>
      </c>
      <c r="Q565" s="3" t="s">
        <v>103</v>
      </c>
      <c r="R565" s="3" t="s">
        <v>103</v>
      </c>
    </row>
    <row r="566" spans="1:18">
      <c r="A566" s="19">
        <v>46240</v>
      </c>
      <c r="B566" s="3" t="s">
        <v>29</v>
      </c>
      <c r="C566" s="3" t="s">
        <v>32</v>
      </c>
      <c r="D566" s="3" t="s">
        <v>23</v>
      </c>
      <c r="E566" s="3" t="s">
        <v>20</v>
      </c>
      <c r="F566" s="3" t="s">
        <v>33</v>
      </c>
      <c r="G566" s="3" t="s">
        <v>22</v>
      </c>
      <c r="H566">
        <v>180000</v>
      </c>
      <c r="I566">
        <v>4</v>
      </c>
      <c r="J566" s="3" t="s">
        <v>17</v>
      </c>
      <c r="K566">
        <v>144000</v>
      </c>
      <c r="L566">
        <v>720000</v>
      </c>
      <c r="M566">
        <v>576000</v>
      </c>
      <c r="N566">
        <v>144000</v>
      </c>
      <c r="O566" s="3" t="s">
        <v>667</v>
      </c>
      <c r="P566" s="3" t="s">
        <v>102</v>
      </c>
      <c r="Q566" s="3" t="s">
        <v>103</v>
      </c>
      <c r="R566" s="3" t="s">
        <v>103</v>
      </c>
    </row>
    <row r="567" spans="1:18">
      <c r="A567" s="19">
        <v>46241</v>
      </c>
      <c r="B567" s="3" t="s">
        <v>11</v>
      </c>
      <c r="C567" s="3" t="s">
        <v>12</v>
      </c>
      <c r="D567" s="3" t="s">
        <v>23</v>
      </c>
      <c r="E567" s="3" t="s">
        <v>14</v>
      </c>
      <c r="F567" s="3" t="s">
        <v>40</v>
      </c>
      <c r="G567" s="3" t="s">
        <v>31</v>
      </c>
      <c r="H567">
        <v>250000</v>
      </c>
      <c r="I567">
        <v>6</v>
      </c>
      <c r="J567" s="3" t="s">
        <v>35</v>
      </c>
      <c r="K567">
        <v>200000</v>
      </c>
      <c r="L567">
        <v>1500000</v>
      </c>
      <c r="M567">
        <v>1200000</v>
      </c>
      <c r="N567">
        <v>300000</v>
      </c>
      <c r="O567" s="3" t="s">
        <v>668</v>
      </c>
      <c r="P567" s="3" t="s">
        <v>102</v>
      </c>
      <c r="Q567" s="3" t="s">
        <v>103</v>
      </c>
      <c r="R567" s="3" t="s">
        <v>103</v>
      </c>
    </row>
    <row r="568" spans="1:18">
      <c r="A568" s="19">
        <v>46242</v>
      </c>
      <c r="B568" s="3" t="s">
        <v>11</v>
      </c>
      <c r="C568" s="3" t="s">
        <v>26</v>
      </c>
      <c r="D568" s="3" t="s">
        <v>23</v>
      </c>
      <c r="E568" s="3" t="s">
        <v>14</v>
      </c>
      <c r="F568" s="3" t="s">
        <v>40</v>
      </c>
      <c r="G568" s="3" t="s">
        <v>31</v>
      </c>
      <c r="H568">
        <v>250000</v>
      </c>
      <c r="I568">
        <v>7</v>
      </c>
      <c r="J568" s="3" t="s">
        <v>35</v>
      </c>
      <c r="K568">
        <v>200000</v>
      </c>
      <c r="L568">
        <v>1750000</v>
      </c>
      <c r="M568">
        <v>1400000</v>
      </c>
      <c r="N568">
        <v>350000</v>
      </c>
      <c r="O568" s="3" t="s">
        <v>669</v>
      </c>
      <c r="P568" s="3" t="s">
        <v>102</v>
      </c>
      <c r="Q568" s="3" t="s">
        <v>103</v>
      </c>
      <c r="R568" s="3" t="s">
        <v>103</v>
      </c>
    </row>
    <row r="569" spans="1:18">
      <c r="A569" s="19">
        <v>46243</v>
      </c>
      <c r="B569" s="3" t="s">
        <v>18</v>
      </c>
      <c r="C569" s="3" t="s">
        <v>19</v>
      </c>
      <c r="D569" s="3" t="s">
        <v>13</v>
      </c>
      <c r="E569" s="3" t="s">
        <v>20</v>
      </c>
      <c r="F569" s="3" t="s">
        <v>38</v>
      </c>
      <c r="G569" s="3" t="s">
        <v>31</v>
      </c>
      <c r="H569">
        <v>420000</v>
      </c>
      <c r="I569">
        <v>2</v>
      </c>
      <c r="J569" s="3" t="s">
        <v>17</v>
      </c>
      <c r="K569">
        <v>336000</v>
      </c>
      <c r="L569">
        <v>840000</v>
      </c>
      <c r="M569">
        <v>672000</v>
      </c>
      <c r="N569">
        <v>168000</v>
      </c>
      <c r="O569" s="3" t="s">
        <v>670</v>
      </c>
      <c r="P569" s="3" t="s">
        <v>102</v>
      </c>
      <c r="Q569" s="3" t="s">
        <v>103</v>
      </c>
      <c r="R569" s="3" t="s">
        <v>103</v>
      </c>
    </row>
    <row r="570" spans="1:18">
      <c r="A570" s="19">
        <v>46244</v>
      </c>
      <c r="B570" s="3" t="s">
        <v>25</v>
      </c>
      <c r="C570" s="3" t="s">
        <v>19</v>
      </c>
      <c r="D570" s="3" t="s">
        <v>23</v>
      </c>
      <c r="E570" s="3" t="s">
        <v>14</v>
      </c>
      <c r="F570" s="3" t="s">
        <v>36</v>
      </c>
      <c r="G570" s="3" t="s">
        <v>31</v>
      </c>
      <c r="H570">
        <v>150000</v>
      </c>
      <c r="I570">
        <v>2</v>
      </c>
      <c r="J570" s="3" t="s">
        <v>24</v>
      </c>
      <c r="K570">
        <v>120000</v>
      </c>
      <c r="L570">
        <v>300000</v>
      </c>
      <c r="M570">
        <v>240000</v>
      </c>
      <c r="N570">
        <v>60000</v>
      </c>
      <c r="O570" s="3" t="s">
        <v>671</v>
      </c>
      <c r="P570" s="3" t="s">
        <v>102</v>
      </c>
      <c r="Q570" s="3" t="s">
        <v>103</v>
      </c>
      <c r="R570" s="3" t="s">
        <v>103</v>
      </c>
    </row>
    <row r="571" spans="1:18">
      <c r="A571" s="19">
        <v>46245</v>
      </c>
      <c r="B571" s="3" t="s">
        <v>29</v>
      </c>
      <c r="C571" s="3" t="s">
        <v>19</v>
      </c>
      <c r="D571" s="3" t="s">
        <v>13</v>
      </c>
      <c r="E571" s="3" t="s">
        <v>14</v>
      </c>
      <c r="F571" s="3" t="s">
        <v>41</v>
      </c>
      <c r="G571" s="3" t="s">
        <v>22</v>
      </c>
      <c r="H571">
        <v>220000</v>
      </c>
      <c r="I571">
        <v>8</v>
      </c>
      <c r="J571" s="3" t="s">
        <v>39</v>
      </c>
      <c r="K571">
        <v>176000</v>
      </c>
      <c r="L571">
        <v>1760000</v>
      </c>
      <c r="M571">
        <v>1408000</v>
      </c>
      <c r="N571">
        <v>352000</v>
      </c>
      <c r="O571" s="3" t="s">
        <v>672</v>
      </c>
      <c r="P571" s="3" t="s">
        <v>102</v>
      </c>
      <c r="Q571" s="3" t="s">
        <v>103</v>
      </c>
      <c r="R571" s="3" t="s">
        <v>103</v>
      </c>
    </row>
    <row r="572" spans="1:18">
      <c r="A572" s="19">
        <v>46246</v>
      </c>
      <c r="B572" s="3" t="s">
        <v>18</v>
      </c>
      <c r="C572" s="3" t="s">
        <v>12</v>
      </c>
      <c r="D572" s="3" t="s">
        <v>13</v>
      </c>
      <c r="E572" s="3" t="s">
        <v>20</v>
      </c>
      <c r="F572" s="3" t="s">
        <v>36</v>
      </c>
      <c r="G572" s="3" t="s">
        <v>31</v>
      </c>
      <c r="H572">
        <v>150000</v>
      </c>
      <c r="I572">
        <v>2</v>
      </c>
      <c r="J572" s="3" t="s">
        <v>28</v>
      </c>
      <c r="K572">
        <v>120000</v>
      </c>
      <c r="L572">
        <v>300000</v>
      </c>
      <c r="M572">
        <v>240000</v>
      </c>
      <c r="N572">
        <v>60000</v>
      </c>
      <c r="O572" s="3" t="s">
        <v>673</v>
      </c>
      <c r="P572" s="3" t="s">
        <v>102</v>
      </c>
      <c r="Q572" s="3" t="s">
        <v>103</v>
      </c>
      <c r="R572" s="3" t="s">
        <v>103</v>
      </c>
    </row>
    <row r="573" spans="1:18">
      <c r="A573" s="19">
        <v>46247</v>
      </c>
      <c r="B573" s="3" t="s">
        <v>18</v>
      </c>
      <c r="C573" s="3" t="s">
        <v>19</v>
      </c>
      <c r="D573" s="3" t="s">
        <v>23</v>
      </c>
      <c r="E573" s="3" t="s">
        <v>14</v>
      </c>
      <c r="F573" s="3" t="s">
        <v>21</v>
      </c>
      <c r="G573" s="3" t="s">
        <v>22</v>
      </c>
      <c r="H573">
        <v>30000</v>
      </c>
      <c r="I573">
        <v>1</v>
      </c>
      <c r="J573" s="3" t="s">
        <v>35</v>
      </c>
      <c r="K573">
        <v>24000</v>
      </c>
      <c r="L573">
        <v>30000</v>
      </c>
      <c r="M573">
        <v>24000</v>
      </c>
      <c r="N573">
        <v>6000</v>
      </c>
      <c r="O573" s="3" t="s">
        <v>674</v>
      </c>
      <c r="P573" s="3" t="s">
        <v>102</v>
      </c>
      <c r="Q573" s="3" t="s">
        <v>103</v>
      </c>
      <c r="R573" s="3" t="s">
        <v>103</v>
      </c>
    </row>
    <row r="574" spans="1:18">
      <c r="A574" s="19">
        <v>46248</v>
      </c>
      <c r="B574" s="3" t="s">
        <v>18</v>
      </c>
      <c r="C574" s="3" t="s">
        <v>12</v>
      </c>
      <c r="D574" s="3" t="s">
        <v>13</v>
      </c>
      <c r="E574" s="3" t="s">
        <v>20</v>
      </c>
      <c r="F574" s="3" t="s">
        <v>33</v>
      </c>
      <c r="G574" s="3" t="s">
        <v>22</v>
      </c>
      <c r="H574">
        <v>180000</v>
      </c>
      <c r="I574">
        <v>5</v>
      </c>
      <c r="J574" s="3" t="s">
        <v>17</v>
      </c>
      <c r="K574">
        <v>144000</v>
      </c>
      <c r="L574">
        <v>900000</v>
      </c>
      <c r="M574">
        <v>720000</v>
      </c>
      <c r="N574">
        <v>180000</v>
      </c>
      <c r="O574" s="3" t="s">
        <v>675</v>
      </c>
      <c r="P574" s="3" t="s">
        <v>102</v>
      </c>
      <c r="Q574" s="3" t="s">
        <v>103</v>
      </c>
      <c r="R574" s="3" t="s">
        <v>103</v>
      </c>
    </row>
    <row r="575" spans="1:18">
      <c r="A575" s="19">
        <v>46249</v>
      </c>
      <c r="B575" s="3" t="s">
        <v>11</v>
      </c>
      <c r="C575" s="3" t="s">
        <v>26</v>
      </c>
      <c r="D575" s="3" t="s">
        <v>23</v>
      </c>
      <c r="E575" s="3" t="s">
        <v>20</v>
      </c>
      <c r="F575" s="3" t="s">
        <v>36</v>
      </c>
      <c r="G575" s="3" t="s">
        <v>31</v>
      </c>
      <c r="H575">
        <v>150000</v>
      </c>
      <c r="I575">
        <v>9</v>
      </c>
      <c r="J575" s="3" t="s">
        <v>37</v>
      </c>
      <c r="K575">
        <v>120000</v>
      </c>
      <c r="L575">
        <v>1350000</v>
      </c>
      <c r="M575">
        <v>1080000</v>
      </c>
      <c r="N575">
        <v>270000</v>
      </c>
      <c r="O575" s="3" t="s">
        <v>676</v>
      </c>
      <c r="P575" s="3" t="s">
        <v>102</v>
      </c>
      <c r="Q575" s="3" t="s">
        <v>103</v>
      </c>
      <c r="R575" s="3" t="s">
        <v>103</v>
      </c>
    </row>
    <row r="576" spans="1:18">
      <c r="A576" s="19">
        <v>46250</v>
      </c>
      <c r="B576" s="3" t="s">
        <v>25</v>
      </c>
      <c r="C576" s="3" t="s">
        <v>19</v>
      </c>
      <c r="D576" s="3" t="s">
        <v>23</v>
      </c>
      <c r="E576" s="3" t="s">
        <v>20</v>
      </c>
      <c r="F576" s="3" t="s">
        <v>36</v>
      </c>
      <c r="G576" s="3" t="s">
        <v>31</v>
      </c>
      <c r="H576">
        <v>150000</v>
      </c>
      <c r="I576">
        <v>5</v>
      </c>
      <c r="J576" s="3" t="s">
        <v>37</v>
      </c>
      <c r="K576">
        <v>120000</v>
      </c>
      <c r="L576">
        <v>750000</v>
      </c>
      <c r="M576">
        <v>600000</v>
      </c>
      <c r="N576">
        <v>150000</v>
      </c>
      <c r="O576" s="3" t="s">
        <v>677</v>
      </c>
      <c r="P576" s="3" t="s">
        <v>102</v>
      </c>
      <c r="Q576" s="3" t="s">
        <v>103</v>
      </c>
      <c r="R576" s="3" t="s">
        <v>103</v>
      </c>
    </row>
    <row r="577" spans="1:18">
      <c r="A577" s="19">
        <v>46251</v>
      </c>
      <c r="B577" s="3" t="s">
        <v>25</v>
      </c>
      <c r="C577" s="3" t="s">
        <v>12</v>
      </c>
      <c r="D577" s="3" t="s">
        <v>13</v>
      </c>
      <c r="E577" s="3" t="s">
        <v>14</v>
      </c>
      <c r="F577" s="3" t="s">
        <v>41</v>
      </c>
      <c r="G577" s="3" t="s">
        <v>22</v>
      </c>
      <c r="H577">
        <v>220000</v>
      </c>
      <c r="I577">
        <v>4</v>
      </c>
      <c r="J577" s="3" t="s">
        <v>39</v>
      </c>
      <c r="K577">
        <v>176000</v>
      </c>
      <c r="L577">
        <v>880000</v>
      </c>
      <c r="M577">
        <v>704000</v>
      </c>
      <c r="N577">
        <v>176000</v>
      </c>
      <c r="O577" s="3" t="s">
        <v>678</v>
      </c>
      <c r="P577" s="3" t="s">
        <v>102</v>
      </c>
      <c r="Q577" s="3" t="s">
        <v>103</v>
      </c>
      <c r="R577" s="3" t="s">
        <v>103</v>
      </c>
    </row>
    <row r="578" spans="1:18">
      <c r="A578" s="19">
        <v>46252</v>
      </c>
      <c r="B578" s="3" t="s">
        <v>11</v>
      </c>
      <c r="C578" s="3" t="s">
        <v>26</v>
      </c>
      <c r="D578" s="3" t="s">
        <v>13</v>
      </c>
      <c r="E578" s="3" t="s">
        <v>14</v>
      </c>
      <c r="F578" s="3" t="s">
        <v>34</v>
      </c>
      <c r="G578" s="3" t="s">
        <v>16</v>
      </c>
      <c r="H578">
        <v>320000</v>
      </c>
      <c r="I578">
        <v>4</v>
      </c>
      <c r="J578" s="3" t="s">
        <v>17</v>
      </c>
      <c r="K578">
        <v>256000</v>
      </c>
      <c r="L578">
        <v>1280000</v>
      </c>
      <c r="M578">
        <v>1024000</v>
      </c>
      <c r="N578">
        <v>256000</v>
      </c>
      <c r="O578" s="3" t="s">
        <v>679</v>
      </c>
      <c r="P578" s="3" t="s">
        <v>102</v>
      </c>
      <c r="Q578" s="3" t="s">
        <v>103</v>
      </c>
      <c r="R578" s="3" t="s">
        <v>103</v>
      </c>
    </row>
    <row r="579" spans="1:18">
      <c r="A579" s="19">
        <v>46253</v>
      </c>
      <c r="B579" s="3" t="s">
        <v>11</v>
      </c>
      <c r="C579" s="3" t="s">
        <v>32</v>
      </c>
      <c r="D579" s="3" t="s">
        <v>23</v>
      </c>
      <c r="E579" s="3" t="s">
        <v>20</v>
      </c>
      <c r="F579" s="3" t="s">
        <v>34</v>
      </c>
      <c r="G579" s="3" t="s">
        <v>16</v>
      </c>
      <c r="H579">
        <v>320000</v>
      </c>
      <c r="I579">
        <v>8</v>
      </c>
      <c r="J579" s="3" t="s">
        <v>17</v>
      </c>
      <c r="K579">
        <v>256000</v>
      </c>
      <c r="L579">
        <v>2560000</v>
      </c>
      <c r="M579">
        <v>2048000</v>
      </c>
      <c r="N579">
        <v>512000</v>
      </c>
      <c r="O579" s="3" t="s">
        <v>680</v>
      </c>
      <c r="P579" s="3" t="s">
        <v>102</v>
      </c>
      <c r="Q579" s="3" t="s">
        <v>103</v>
      </c>
      <c r="R579" s="3" t="s">
        <v>103</v>
      </c>
    </row>
    <row r="580" spans="1:18">
      <c r="A580" s="19">
        <v>46254</v>
      </c>
      <c r="B580" s="3" t="s">
        <v>29</v>
      </c>
      <c r="C580" s="3" t="s">
        <v>32</v>
      </c>
      <c r="D580" s="3" t="s">
        <v>13</v>
      </c>
      <c r="E580" s="3" t="s">
        <v>14</v>
      </c>
      <c r="F580" s="3" t="s">
        <v>27</v>
      </c>
      <c r="G580" s="3" t="s">
        <v>22</v>
      </c>
      <c r="H580">
        <v>60000</v>
      </c>
      <c r="I580">
        <v>9</v>
      </c>
      <c r="J580" s="3" t="s">
        <v>17</v>
      </c>
      <c r="K580">
        <v>48000</v>
      </c>
      <c r="L580">
        <v>540000</v>
      </c>
      <c r="M580">
        <v>432000</v>
      </c>
      <c r="N580">
        <v>108000</v>
      </c>
      <c r="O580" s="3" t="s">
        <v>681</v>
      </c>
      <c r="P580" s="3" t="s">
        <v>102</v>
      </c>
      <c r="Q580" s="3" t="s">
        <v>103</v>
      </c>
      <c r="R580" s="3" t="s">
        <v>103</v>
      </c>
    </row>
    <row r="581" spans="1:18">
      <c r="A581" s="19">
        <v>46255</v>
      </c>
      <c r="B581" s="3" t="s">
        <v>18</v>
      </c>
      <c r="C581" s="3" t="s">
        <v>19</v>
      </c>
      <c r="D581" s="3" t="s">
        <v>13</v>
      </c>
      <c r="E581" s="3" t="s">
        <v>20</v>
      </c>
      <c r="F581" s="3" t="s">
        <v>30</v>
      </c>
      <c r="G581" s="3" t="s">
        <v>31</v>
      </c>
      <c r="H581">
        <v>300000</v>
      </c>
      <c r="I581">
        <v>10</v>
      </c>
      <c r="J581" s="3" t="s">
        <v>17</v>
      </c>
      <c r="K581">
        <v>240000</v>
      </c>
      <c r="L581">
        <v>3000000</v>
      </c>
      <c r="M581">
        <v>2400000</v>
      </c>
      <c r="N581">
        <v>600000</v>
      </c>
      <c r="O581" s="3" t="s">
        <v>682</v>
      </c>
      <c r="P581" s="3" t="s">
        <v>102</v>
      </c>
      <c r="Q581" s="3" t="s">
        <v>103</v>
      </c>
      <c r="R581" s="3" t="s">
        <v>103</v>
      </c>
    </row>
    <row r="582" spans="1:18">
      <c r="A582" s="19">
        <v>46256</v>
      </c>
      <c r="B582" s="3" t="s">
        <v>29</v>
      </c>
      <c r="C582" s="3" t="s">
        <v>19</v>
      </c>
      <c r="D582" s="3" t="s">
        <v>23</v>
      </c>
      <c r="E582" s="3" t="s">
        <v>14</v>
      </c>
      <c r="F582" s="3" t="s">
        <v>36</v>
      </c>
      <c r="G582" s="3" t="s">
        <v>31</v>
      </c>
      <c r="H582">
        <v>150000</v>
      </c>
      <c r="I582">
        <v>6</v>
      </c>
      <c r="J582" s="3" t="s">
        <v>35</v>
      </c>
      <c r="K582">
        <v>120000</v>
      </c>
      <c r="L582">
        <v>900000</v>
      </c>
      <c r="M582">
        <v>720000</v>
      </c>
      <c r="N582">
        <v>180000</v>
      </c>
      <c r="O582" s="3" t="s">
        <v>683</v>
      </c>
      <c r="P582" s="3" t="s">
        <v>102</v>
      </c>
      <c r="Q582" s="3" t="s">
        <v>103</v>
      </c>
      <c r="R582" s="3" t="s">
        <v>103</v>
      </c>
    </row>
    <row r="583" spans="1:18">
      <c r="A583" s="19">
        <v>46257</v>
      </c>
      <c r="B583" s="3" t="s">
        <v>25</v>
      </c>
      <c r="C583" s="3" t="s">
        <v>26</v>
      </c>
      <c r="D583" s="3" t="s">
        <v>23</v>
      </c>
      <c r="E583" s="3" t="s">
        <v>14</v>
      </c>
      <c r="F583" s="3" t="s">
        <v>33</v>
      </c>
      <c r="G583" s="3" t="s">
        <v>22</v>
      </c>
      <c r="H583">
        <v>180000</v>
      </c>
      <c r="I583">
        <v>8</v>
      </c>
      <c r="J583" s="3" t="s">
        <v>37</v>
      </c>
      <c r="K583">
        <v>144000</v>
      </c>
      <c r="L583">
        <v>1440000</v>
      </c>
      <c r="M583">
        <v>1152000</v>
      </c>
      <c r="N583">
        <v>288000</v>
      </c>
      <c r="O583" s="3" t="s">
        <v>684</v>
      </c>
      <c r="P583" s="3" t="s">
        <v>102</v>
      </c>
      <c r="Q583" s="3" t="s">
        <v>103</v>
      </c>
      <c r="R583" s="3" t="s">
        <v>103</v>
      </c>
    </row>
    <row r="584" spans="1:18">
      <c r="A584" s="19">
        <v>46258</v>
      </c>
      <c r="B584" s="3" t="s">
        <v>18</v>
      </c>
      <c r="C584" s="3" t="s">
        <v>12</v>
      </c>
      <c r="D584" s="3" t="s">
        <v>13</v>
      </c>
      <c r="E584" s="3" t="s">
        <v>14</v>
      </c>
      <c r="F584" s="3" t="s">
        <v>27</v>
      </c>
      <c r="G584" s="3" t="s">
        <v>22</v>
      </c>
      <c r="H584">
        <v>60000</v>
      </c>
      <c r="I584">
        <v>7</v>
      </c>
      <c r="J584" s="3" t="s">
        <v>39</v>
      </c>
      <c r="K584">
        <v>48000</v>
      </c>
      <c r="L584">
        <v>420000</v>
      </c>
      <c r="M584">
        <v>336000</v>
      </c>
      <c r="N584">
        <v>84000</v>
      </c>
      <c r="O584" s="3" t="s">
        <v>685</v>
      </c>
      <c r="P584" s="3" t="s">
        <v>102</v>
      </c>
      <c r="Q584" s="3" t="s">
        <v>103</v>
      </c>
      <c r="R584" s="3" t="s">
        <v>103</v>
      </c>
    </row>
    <row r="585" spans="1:18">
      <c r="A585" s="19">
        <v>46259</v>
      </c>
      <c r="B585" s="3" t="s">
        <v>18</v>
      </c>
      <c r="C585" s="3" t="s">
        <v>19</v>
      </c>
      <c r="D585" s="3" t="s">
        <v>13</v>
      </c>
      <c r="E585" s="3" t="s">
        <v>20</v>
      </c>
      <c r="F585" s="3" t="s">
        <v>36</v>
      </c>
      <c r="G585" s="3" t="s">
        <v>31</v>
      </c>
      <c r="H585">
        <v>150000</v>
      </c>
      <c r="I585">
        <v>9</v>
      </c>
      <c r="J585" s="3" t="s">
        <v>17</v>
      </c>
      <c r="K585">
        <v>120000</v>
      </c>
      <c r="L585">
        <v>1350000</v>
      </c>
      <c r="M585">
        <v>1080000</v>
      </c>
      <c r="N585">
        <v>270000</v>
      </c>
      <c r="O585" s="3" t="s">
        <v>686</v>
      </c>
      <c r="P585" s="3" t="s">
        <v>102</v>
      </c>
      <c r="Q585" s="3" t="s">
        <v>103</v>
      </c>
      <c r="R585" s="3" t="s">
        <v>103</v>
      </c>
    </row>
    <row r="586" spans="1:18">
      <c r="A586" s="19">
        <v>46260</v>
      </c>
      <c r="B586" s="3" t="s">
        <v>18</v>
      </c>
      <c r="C586" s="3" t="s">
        <v>19</v>
      </c>
      <c r="D586" s="3" t="s">
        <v>13</v>
      </c>
      <c r="E586" s="3" t="s">
        <v>20</v>
      </c>
      <c r="F586" s="3" t="s">
        <v>33</v>
      </c>
      <c r="G586" s="3" t="s">
        <v>22</v>
      </c>
      <c r="H586">
        <v>180000</v>
      </c>
      <c r="I586">
        <v>4</v>
      </c>
      <c r="J586" s="3" t="s">
        <v>35</v>
      </c>
      <c r="K586">
        <v>144000</v>
      </c>
      <c r="L586">
        <v>720000</v>
      </c>
      <c r="M586">
        <v>576000</v>
      </c>
      <c r="N586">
        <v>144000</v>
      </c>
      <c r="O586" s="3" t="s">
        <v>687</v>
      </c>
      <c r="P586" s="3" t="s">
        <v>102</v>
      </c>
      <c r="Q586" s="3" t="s">
        <v>103</v>
      </c>
      <c r="R586" s="3" t="s">
        <v>103</v>
      </c>
    </row>
    <row r="587" spans="1:18">
      <c r="A587" s="19">
        <v>46261</v>
      </c>
      <c r="B587" s="3" t="s">
        <v>11</v>
      </c>
      <c r="C587" s="3" t="s">
        <v>32</v>
      </c>
      <c r="D587" s="3" t="s">
        <v>13</v>
      </c>
      <c r="E587" s="3" t="s">
        <v>20</v>
      </c>
      <c r="F587" s="3" t="s">
        <v>33</v>
      </c>
      <c r="G587" s="3" t="s">
        <v>22</v>
      </c>
      <c r="H587">
        <v>180000</v>
      </c>
      <c r="I587">
        <v>1</v>
      </c>
      <c r="J587" s="3" t="s">
        <v>37</v>
      </c>
      <c r="K587">
        <v>144000</v>
      </c>
      <c r="L587">
        <v>180000</v>
      </c>
      <c r="M587">
        <v>144000</v>
      </c>
      <c r="N587">
        <v>36000</v>
      </c>
      <c r="O587" s="3" t="s">
        <v>688</v>
      </c>
      <c r="P587" s="3" t="s">
        <v>102</v>
      </c>
      <c r="Q587" s="3" t="s">
        <v>103</v>
      </c>
      <c r="R587" s="3" t="s">
        <v>103</v>
      </c>
    </row>
    <row r="588" spans="1:18">
      <c r="A588" s="19">
        <v>46262</v>
      </c>
      <c r="B588" s="3" t="s">
        <v>11</v>
      </c>
      <c r="C588" s="3" t="s">
        <v>12</v>
      </c>
      <c r="D588" s="3" t="s">
        <v>13</v>
      </c>
      <c r="E588" s="3" t="s">
        <v>14</v>
      </c>
      <c r="F588" s="3" t="s">
        <v>27</v>
      </c>
      <c r="G588" s="3" t="s">
        <v>22</v>
      </c>
      <c r="H588">
        <v>60000</v>
      </c>
      <c r="I588">
        <v>6</v>
      </c>
      <c r="J588" s="3" t="s">
        <v>37</v>
      </c>
      <c r="K588">
        <v>48000</v>
      </c>
      <c r="L588">
        <v>360000</v>
      </c>
      <c r="M588">
        <v>288000</v>
      </c>
      <c r="N588">
        <v>72000</v>
      </c>
      <c r="O588" s="3" t="s">
        <v>689</v>
      </c>
      <c r="P588" s="3" t="s">
        <v>102</v>
      </c>
      <c r="Q588" s="3" t="s">
        <v>103</v>
      </c>
      <c r="R588" s="3" t="s">
        <v>103</v>
      </c>
    </row>
    <row r="589" spans="1:18">
      <c r="A589" s="19">
        <v>46263</v>
      </c>
      <c r="B589" s="3" t="s">
        <v>18</v>
      </c>
      <c r="C589" s="3" t="s">
        <v>26</v>
      </c>
      <c r="D589" s="3" t="s">
        <v>23</v>
      </c>
      <c r="E589" s="3" t="s">
        <v>20</v>
      </c>
      <c r="F589" s="3" t="s">
        <v>34</v>
      </c>
      <c r="G589" s="3" t="s">
        <v>16</v>
      </c>
      <c r="H589">
        <v>320000</v>
      </c>
      <c r="I589">
        <v>8</v>
      </c>
      <c r="J589" s="3" t="s">
        <v>35</v>
      </c>
      <c r="K589">
        <v>256000</v>
      </c>
      <c r="L589">
        <v>2560000</v>
      </c>
      <c r="M589">
        <v>2048000</v>
      </c>
      <c r="N589">
        <v>512000</v>
      </c>
      <c r="O589" s="3" t="s">
        <v>690</v>
      </c>
      <c r="P589" s="3" t="s">
        <v>102</v>
      </c>
      <c r="Q589" s="3" t="s">
        <v>103</v>
      </c>
      <c r="R589" s="3" t="s">
        <v>103</v>
      </c>
    </row>
    <row r="590" spans="1:18">
      <c r="A590" s="19">
        <v>46264</v>
      </c>
      <c r="B590" s="3" t="s">
        <v>18</v>
      </c>
      <c r="C590" s="3" t="s">
        <v>26</v>
      </c>
      <c r="D590" s="3" t="s">
        <v>13</v>
      </c>
      <c r="E590" s="3" t="s">
        <v>14</v>
      </c>
      <c r="F590" s="3" t="s">
        <v>33</v>
      </c>
      <c r="G590" s="3" t="s">
        <v>22</v>
      </c>
      <c r="H590">
        <v>180000</v>
      </c>
      <c r="I590">
        <v>6</v>
      </c>
      <c r="J590" s="3" t="s">
        <v>37</v>
      </c>
      <c r="K590">
        <v>144000</v>
      </c>
      <c r="L590">
        <v>1080000</v>
      </c>
      <c r="M590">
        <v>864000</v>
      </c>
      <c r="N590">
        <v>216000</v>
      </c>
      <c r="O590" s="3" t="s">
        <v>691</v>
      </c>
      <c r="P590" s="3" t="s">
        <v>102</v>
      </c>
      <c r="Q590" s="3" t="s">
        <v>103</v>
      </c>
      <c r="R590" s="3" t="s">
        <v>103</v>
      </c>
    </row>
    <row r="591" spans="1:18">
      <c r="A591" s="19">
        <v>46265</v>
      </c>
      <c r="B591" s="3" t="s">
        <v>25</v>
      </c>
      <c r="C591" s="3" t="s">
        <v>19</v>
      </c>
      <c r="D591" s="3" t="s">
        <v>23</v>
      </c>
      <c r="E591" s="3" t="s">
        <v>14</v>
      </c>
      <c r="F591" s="3" t="s">
        <v>27</v>
      </c>
      <c r="G591" s="3" t="s">
        <v>22</v>
      </c>
      <c r="H591">
        <v>60000</v>
      </c>
      <c r="I591">
        <v>8</v>
      </c>
      <c r="J591" s="3" t="s">
        <v>24</v>
      </c>
      <c r="K591">
        <v>48000</v>
      </c>
      <c r="L591">
        <v>480000</v>
      </c>
      <c r="M591">
        <v>384000</v>
      </c>
      <c r="N591">
        <v>96000</v>
      </c>
      <c r="O591" s="3" t="s">
        <v>692</v>
      </c>
      <c r="P591" s="3" t="s">
        <v>102</v>
      </c>
      <c r="Q591" s="3" t="s">
        <v>103</v>
      </c>
      <c r="R591" s="3" t="s">
        <v>103</v>
      </c>
    </row>
    <row r="592" spans="1:18">
      <c r="A592" s="19">
        <v>46266</v>
      </c>
      <c r="B592" s="3" t="s">
        <v>18</v>
      </c>
      <c r="C592" s="3" t="s">
        <v>19</v>
      </c>
      <c r="D592" s="3" t="s">
        <v>23</v>
      </c>
      <c r="E592" s="3" t="s">
        <v>14</v>
      </c>
      <c r="F592" s="3" t="s">
        <v>38</v>
      </c>
      <c r="G592" s="3" t="s">
        <v>31</v>
      </c>
      <c r="H592">
        <v>420000</v>
      </c>
      <c r="I592">
        <v>3</v>
      </c>
      <c r="J592" s="3" t="s">
        <v>17</v>
      </c>
      <c r="K592">
        <v>336000</v>
      </c>
      <c r="L592">
        <v>1260000</v>
      </c>
      <c r="M592">
        <v>1008000</v>
      </c>
      <c r="N592">
        <v>252000</v>
      </c>
      <c r="O592" s="3" t="s">
        <v>693</v>
      </c>
      <c r="P592" s="3" t="s">
        <v>102</v>
      </c>
      <c r="Q592" s="3" t="s">
        <v>103</v>
      </c>
      <c r="R592" s="3" t="s">
        <v>103</v>
      </c>
    </row>
    <row r="593" spans="1:18">
      <c r="A593" s="19">
        <v>46267</v>
      </c>
      <c r="B593" s="3" t="s">
        <v>25</v>
      </c>
      <c r="C593" s="3" t="s">
        <v>26</v>
      </c>
      <c r="D593" s="3" t="s">
        <v>23</v>
      </c>
      <c r="E593" s="3" t="s">
        <v>14</v>
      </c>
      <c r="F593" s="3" t="s">
        <v>41</v>
      </c>
      <c r="G593" s="3" t="s">
        <v>22</v>
      </c>
      <c r="H593">
        <v>220000</v>
      </c>
      <c r="I593">
        <v>5</v>
      </c>
      <c r="J593" s="3" t="s">
        <v>24</v>
      </c>
      <c r="K593">
        <v>176000</v>
      </c>
      <c r="L593">
        <v>1100000</v>
      </c>
      <c r="M593">
        <v>880000</v>
      </c>
      <c r="N593">
        <v>220000</v>
      </c>
      <c r="O593" s="3" t="s">
        <v>694</v>
      </c>
      <c r="P593" s="3" t="s">
        <v>102</v>
      </c>
      <c r="Q593" s="3" t="s">
        <v>103</v>
      </c>
      <c r="R593" s="3" t="s">
        <v>103</v>
      </c>
    </row>
    <row r="594" spans="1:18">
      <c r="A594" s="19">
        <v>46268</v>
      </c>
      <c r="B594" s="3" t="s">
        <v>11</v>
      </c>
      <c r="C594" s="3" t="s">
        <v>32</v>
      </c>
      <c r="D594" s="3" t="s">
        <v>13</v>
      </c>
      <c r="E594" s="3" t="s">
        <v>14</v>
      </c>
      <c r="F594" s="3" t="s">
        <v>27</v>
      </c>
      <c r="G594" s="3" t="s">
        <v>22</v>
      </c>
      <c r="H594">
        <v>60000</v>
      </c>
      <c r="I594">
        <v>6</v>
      </c>
      <c r="J594" s="3" t="s">
        <v>17</v>
      </c>
      <c r="K594">
        <v>48000</v>
      </c>
      <c r="L594">
        <v>360000</v>
      </c>
      <c r="M594">
        <v>288000</v>
      </c>
      <c r="N594">
        <v>72000</v>
      </c>
      <c r="O594" s="3" t="s">
        <v>695</v>
      </c>
      <c r="P594" s="3" t="s">
        <v>102</v>
      </c>
      <c r="Q594" s="3" t="s">
        <v>103</v>
      </c>
      <c r="R594" s="3" t="s">
        <v>103</v>
      </c>
    </row>
    <row r="595" spans="1:18">
      <c r="A595" s="19">
        <v>46269</v>
      </c>
      <c r="B595" s="3" t="s">
        <v>11</v>
      </c>
      <c r="C595" s="3" t="s">
        <v>32</v>
      </c>
      <c r="D595" s="3" t="s">
        <v>13</v>
      </c>
      <c r="E595" s="3" t="s">
        <v>20</v>
      </c>
      <c r="F595" s="3" t="s">
        <v>27</v>
      </c>
      <c r="G595" s="3" t="s">
        <v>22</v>
      </c>
      <c r="H595">
        <v>60000</v>
      </c>
      <c r="I595">
        <v>8</v>
      </c>
      <c r="J595" s="3" t="s">
        <v>39</v>
      </c>
      <c r="K595">
        <v>48000</v>
      </c>
      <c r="L595">
        <v>480000</v>
      </c>
      <c r="M595">
        <v>384000</v>
      </c>
      <c r="N595">
        <v>96000</v>
      </c>
      <c r="O595" s="3" t="s">
        <v>696</v>
      </c>
      <c r="P595" s="3" t="s">
        <v>102</v>
      </c>
      <c r="Q595" s="3" t="s">
        <v>103</v>
      </c>
      <c r="R595" s="3" t="s">
        <v>103</v>
      </c>
    </row>
    <row r="596" spans="1:18">
      <c r="A596" s="19">
        <v>46270</v>
      </c>
      <c r="B596" s="3" t="s">
        <v>11</v>
      </c>
      <c r="C596" s="3" t="s">
        <v>19</v>
      </c>
      <c r="D596" s="3" t="s">
        <v>23</v>
      </c>
      <c r="E596" s="3" t="s">
        <v>14</v>
      </c>
      <c r="F596" s="3" t="s">
        <v>21</v>
      </c>
      <c r="G596" s="3" t="s">
        <v>22</v>
      </c>
      <c r="H596">
        <v>30000</v>
      </c>
      <c r="I596">
        <v>2</v>
      </c>
      <c r="J596" s="3" t="s">
        <v>17</v>
      </c>
      <c r="K596">
        <v>24000</v>
      </c>
      <c r="L596">
        <v>60000</v>
      </c>
      <c r="M596">
        <v>48000</v>
      </c>
      <c r="N596">
        <v>12000</v>
      </c>
      <c r="O596" s="3" t="s">
        <v>697</v>
      </c>
      <c r="P596" s="3" t="s">
        <v>102</v>
      </c>
      <c r="Q596" s="3" t="s">
        <v>103</v>
      </c>
      <c r="R596" s="3" t="s">
        <v>103</v>
      </c>
    </row>
    <row r="597" spans="1:18">
      <c r="A597" s="19">
        <v>46271</v>
      </c>
      <c r="B597" s="3" t="s">
        <v>18</v>
      </c>
      <c r="C597" s="3" t="s">
        <v>12</v>
      </c>
      <c r="D597" s="3" t="s">
        <v>23</v>
      </c>
      <c r="E597" s="3" t="s">
        <v>20</v>
      </c>
      <c r="F597" s="3" t="s">
        <v>30</v>
      </c>
      <c r="G597" s="3" t="s">
        <v>31</v>
      </c>
      <c r="H597">
        <v>300000</v>
      </c>
      <c r="I597">
        <v>3</v>
      </c>
      <c r="J597" s="3" t="s">
        <v>35</v>
      </c>
      <c r="K597">
        <v>240000</v>
      </c>
      <c r="L597">
        <v>900000</v>
      </c>
      <c r="M597">
        <v>720000</v>
      </c>
      <c r="N597">
        <v>180000</v>
      </c>
      <c r="O597" s="3" t="s">
        <v>698</v>
      </c>
      <c r="P597" s="3" t="s">
        <v>102</v>
      </c>
      <c r="Q597" s="3" t="s">
        <v>103</v>
      </c>
      <c r="R597" s="3" t="s">
        <v>103</v>
      </c>
    </row>
    <row r="598" spans="1:18">
      <c r="A598" s="19">
        <v>46272</v>
      </c>
      <c r="B598" s="3" t="s">
        <v>29</v>
      </c>
      <c r="C598" s="3" t="s">
        <v>19</v>
      </c>
      <c r="D598" s="3" t="s">
        <v>23</v>
      </c>
      <c r="E598" s="3" t="s">
        <v>20</v>
      </c>
      <c r="F598" s="3" t="s">
        <v>40</v>
      </c>
      <c r="G598" s="3" t="s">
        <v>31</v>
      </c>
      <c r="H598">
        <v>250000</v>
      </c>
      <c r="I598">
        <v>3</v>
      </c>
      <c r="J598" s="3" t="s">
        <v>24</v>
      </c>
      <c r="K598">
        <v>200000</v>
      </c>
      <c r="L598">
        <v>750000</v>
      </c>
      <c r="M598">
        <v>600000</v>
      </c>
      <c r="N598">
        <v>150000</v>
      </c>
      <c r="O598" s="3" t="s">
        <v>699</v>
      </c>
      <c r="P598" s="3" t="s">
        <v>102</v>
      </c>
      <c r="Q598" s="3" t="s">
        <v>103</v>
      </c>
      <c r="R598" s="3" t="s">
        <v>103</v>
      </c>
    </row>
    <row r="599" spans="1:18">
      <c r="A599" s="19">
        <v>46273</v>
      </c>
      <c r="B599" s="3" t="s">
        <v>29</v>
      </c>
      <c r="C599" s="3" t="s">
        <v>19</v>
      </c>
      <c r="D599" s="3" t="s">
        <v>23</v>
      </c>
      <c r="E599" s="3" t="s">
        <v>20</v>
      </c>
      <c r="F599" s="3" t="s">
        <v>38</v>
      </c>
      <c r="G599" s="3" t="s">
        <v>31</v>
      </c>
      <c r="H599">
        <v>420000</v>
      </c>
      <c r="I599">
        <v>1</v>
      </c>
      <c r="J599" s="3" t="s">
        <v>24</v>
      </c>
      <c r="K599">
        <v>336000</v>
      </c>
      <c r="L599">
        <v>420000</v>
      </c>
      <c r="M599">
        <v>336000</v>
      </c>
      <c r="N599">
        <v>84000</v>
      </c>
      <c r="O599" s="3" t="s">
        <v>700</v>
      </c>
      <c r="P599" s="3" t="s">
        <v>102</v>
      </c>
      <c r="Q599" s="3" t="s">
        <v>103</v>
      </c>
      <c r="R599" s="3" t="s">
        <v>103</v>
      </c>
    </row>
    <row r="600" spans="1:18">
      <c r="A600" s="19">
        <v>46274</v>
      </c>
      <c r="B600" s="3" t="s">
        <v>25</v>
      </c>
      <c r="C600" s="3" t="s">
        <v>12</v>
      </c>
      <c r="D600" s="3" t="s">
        <v>23</v>
      </c>
      <c r="E600" s="3" t="s">
        <v>20</v>
      </c>
      <c r="F600" s="3" t="s">
        <v>21</v>
      </c>
      <c r="G600" s="3" t="s">
        <v>22</v>
      </c>
      <c r="H600">
        <v>30000</v>
      </c>
      <c r="I600">
        <v>1</v>
      </c>
      <c r="J600" s="3" t="s">
        <v>35</v>
      </c>
      <c r="K600">
        <v>24000</v>
      </c>
      <c r="L600">
        <v>30000</v>
      </c>
      <c r="M600">
        <v>24000</v>
      </c>
      <c r="N600">
        <v>6000</v>
      </c>
      <c r="O600" s="3" t="s">
        <v>701</v>
      </c>
      <c r="P600" s="3" t="s">
        <v>102</v>
      </c>
      <c r="Q600" s="3" t="s">
        <v>103</v>
      </c>
      <c r="R600" s="3" t="s">
        <v>103</v>
      </c>
    </row>
    <row r="601" spans="1:18">
      <c r="A601" s="19">
        <v>46275</v>
      </c>
      <c r="B601" s="3" t="s">
        <v>25</v>
      </c>
      <c r="C601" s="3" t="s">
        <v>26</v>
      </c>
      <c r="D601" s="3" t="s">
        <v>13</v>
      </c>
      <c r="E601" s="3" t="s">
        <v>14</v>
      </c>
      <c r="F601" s="3" t="s">
        <v>21</v>
      </c>
      <c r="G601" s="3" t="s">
        <v>22</v>
      </c>
      <c r="H601">
        <v>30000</v>
      </c>
      <c r="I601">
        <v>8</v>
      </c>
      <c r="J601" s="3" t="s">
        <v>37</v>
      </c>
      <c r="K601">
        <v>24000</v>
      </c>
      <c r="L601">
        <v>240000</v>
      </c>
      <c r="M601">
        <v>192000</v>
      </c>
      <c r="N601">
        <v>48000</v>
      </c>
      <c r="O601" s="3" t="s">
        <v>702</v>
      </c>
      <c r="P601" s="3" t="s">
        <v>102</v>
      </c>
      <c r="Q601" s="3" t="s">
        <v>103</v>
      </c>
      <c r="R601" s="3" t="s">
        <v>103</v>
      </c>
    </row>
    <row r="602" spans="1:18">
      <c r="A602" s="19">
        <v>46276</v>
      </c>
      <c r="B602" s="3" t="s">
        <v>29</v>
      </c>
      <c r="C602" s="3" t="s">
        <v>12</v>
      </c>
      <c r="D602" s="3" t="s">
        <v>23</v>
      </c>
      <c r="E602" s="3" t="s">
        <v>14</v>
      </c>
      <c r="F602" s="3" t="s">
        <v>40</v>
      </c>
      <c r="G602" s="3" t="s">
        <v>31</v>
      </c>
      <c r="H602">
        <v>250000</v>
      </c>
      <c r="I602">
        <v>10</v>
      </c>
      <c r="J602" s="3" t="s">
        <v>37</v>
      </c>
      <c r="K602">
        <v>200000</v>
      </c>
      <c r="L602">
        <v>2500000</v>
      </c>
      <c r="M602">
        <v>2000000</v>
      </c>
      <c r="N602">
        <v>500000</v>
      </c>
      <c r="O602" s="3" t="s">
        <v>703</v>
      </c>
      <c r="P602" s="3" t="s">
        <v>102</v>
      </c>
      <c r="Q602" s="3" t="s">
        <v>103</v>
      </c>
      <c r="R602" s="3" t="s">
        <v>103</v>
      </c>
    </row>
    <row r="603" spans="1:18">
      <c r="A603" s="19">
        <v>46277</v>
      </c>
      <c r="B603" s="3" t="s">
        <v>29</v>
      </c>
      <c r="C603" s="3" t="s">
        <v>26</v>
      </c>
      <c r="D603" s="3" t="s">
        <v>23</v>
      </c>
      <c r="E603" s="3" t="s">
        <v>20</v>
      </c>
      <c r="F603" s="3" t="s">
        <v>36</v>
      </c>
      <c r="G603" s="3" t="s">
        <v>31</v>
      </c>
      <c r="H603">
        <v>150000</v>
      </c>
      <c r="I603">
        <v>10</v>
      </c>
      <c r="J603" s="3" t="s">
        <v>24</v>
      </c>
      <c r="K603">
        <v>120000</v>
      </c>
      <c r="L603">
        <v>1500000</v>
      </c>
      <c r="M603">
        <v>1200000</v>
      </c>
      <c r="N603">
        <v>300000</v>
      </c>
      <c r="O603" s="3" t="s">
        <v>704</v>
      </c>
      <c r="P603" s="3" t="s">
        <v>102</v>
      </c>
      <c r="Q603" s="3" t="s">
        <v>103</v>
      </c>
      <c r="R603" s="3" t="s">
        <v>103</v>
      </c>
    </row>
    <row r="604" spans="1:18">
      <c r="A604" s="19">
        <v>46278</v>
      </c>
      <c r="B604" s="3" t="s">
        <v>18</v>
      </c>
      <c r="C604" s="3" t="s">
        <v>32</v>
      </c>
      <c r="D604" s="3" t="s">
        <v>13</v>
      </c>
      <c r="E604" s="3" t="s">
        <v>20</v>
      </c>
      <c r="F604" s="3" t="s">
        <v>40</v>
      </c>
      <c r="G604" s="3" t="s">
        <v>31</v>
      </c>
      <c r="H604">
        <v>250000</v>
      </c>
      <c r="I604">
        <v>8</v>
      </c>
      <c r="J604" s="3" t="s">
        <v>17</v>
      </c>
      <c r="K604">
        <v>200000</v>
      </c>
      <c r="L604">
        <v>2000000</v>
      </c>
      <c r="M604">
        <v>1600000</v>
      </c>
      <c r="N604">
        <v>400000</v>
      </c>
      <c r="O604" s="3" t="s">
        <v>705</v>
      </c>
      <c r="P604" s="3" t="s">
        <v>102</v>
      </c>
      <c r="Q604" s="3" t="s">
        <v>103</v>
      </c>
      <c r="R604" s="3" t="s">
        <v>103</v>
      </c>
    </row>
    <row r="605" spans="1:18">
      <c r="A605" s="19">
        <v>46279</v>
      </c>
      <c r="B605" s="3" t="s">
        <v>29</v>
      </c>
      <c r="C605" s="3" t="s">
        <v>26</v>
      </c>
      <c r="D605" s="3" t="s">
        <v>13</v>
      </c>
      <c r="E605" s="3" t="s">
        <v>20</v>
      </c>
      <c r="F605" s="3" t="s">
        <v>40</v>
      </c>
      <c r="G605" s="3" t="s">
        <v>31</v>
      </c>
      <c r="H605">
        <v>250000</v>
      </c>
      <c r="I605">
        <v>9</v>
      </c>
      <c r="J605" s="3" t="s">
        <v>39</v>
      </c>
      <c r="K605">
        <v>200000</v>
      </c>
      <c r="L605">
        <v>2250000</v>
      </c>
      <c r="M605">
        <v>1800000</v>
      </c>
      <c r="N605">
        <v>450000</v>
      </c>
      <c r="O605" s="3" t="s">
        <v>706</v>
      </c>
      <c r="P605" s="3" t="s">
        <v>102</v>
      </c>
      <c r="Q605" s="3" t="s">
        <v>103</v>
      </c>
      <c r="R605" s="3" t="s">
        <v>103</v>
      </c>
    </row>
    <row r="606" spans="1:18">
      <c r="A606" s="19">
        <v>46280</v>
      </c>
      <c r="B606" s="3" t="s">
        <v>29</v>
      </c>
      <c r="C606" s="3" t="s">
        <v>32</v>
      </c>
      <c r="D606" s="3" t="s">
        <v>13</v>
      </c>
      <c r="E606" s="3" t="s">
        <v>20</v>
      </c>
      <c r="F606" s="3" t="s">
        <v>38</v>
      </c>
      <c r="G606" s="3" t="s">
        <v>31</v>
      </c>
      <c r="H606">
        <v>420000</v>
      </c>
      <c r="I606">
        <v>10</v>
      </c>
      <c r="J606" s="3" t="s">
        <v>28</v>
      </c>
      <c r="K606">
        <v>336000</v>
      </c>
      <c r="L606">
        <v>4200000</v>
      </c>
      <c r="M606">
        <v>3360000</v>
      </c>
      <c r="N606">
        <v>840000</v>
      </c>
      <c r="O606" s="3" t="s">
        <v>707</v>
      </c>
      <c r="P606" s="3" t="s">
        <v>102</v>
      </c>
      <c r="Q606" s="3" t="s">
        <v>103</v>
      </c>
      <c r="R606" s="3" t="s">
        <v>103</v>
      </c>
    </row>
    <row r="607" spans="1:18">
      <c r="A607" s="19">
        <v>46281</v>
      </c>
      <c r="B607" s="3" t="s">
        <v>11</v>
      </c>
      <c r="C607" s="3" t="s">
        <v>19</v>
      </c>
      <c r="D607" s="3" t="s">
        <v>23</v>
      </c>
      <c r="E607" s="3" t="s">
        <v>14</v>
      </c>
      <c r="F607" s="3" t="s">
        <v>15</v>
      </c>
      <c r="G607" s="3" t="s">
        <v>16</v>
      </c>
      <c r="H607">
        <v>85000</v>
      </c>
      <c r="I607">
        <v>4</v>
      </c>
      <c r="J607" s="3" t="s">
        <v>24</v>
      </c>
      <c r="K607">
        <v>68000</v>
      </c>
      <c r="L607">
        <v>340000</v>
      </c>
      <c r="M607">
        <v>272000</v>
      </c>
      <c r="N607">
        <v>68000</v>
      </c>
      <c r="O607" s="3" t="s">
        <v>708</v>
      </c>
      <c r="P607" s="3" t="s">
        <v>102</v>
      </c>
      <c r="Q607" s="3" t="s">
        <v>103</v>
      </c>
      <c r="R607" s="3" t="s">
        <v>103</v>
      </c>
    </row>
    <row r="608" spans="1:18">
      <c r="A608" s="19">
        <v>46282</v>
      </c>
      <c r="B608" s="3" t="s">
        <v>18</v>
      </c>
      <c r="C608" s="3" t="s">
        <v>19</v>
      </c>
      <c r="D608" s="3" t="s">
        <v>13</v>
      </c>
      <c r="E608" s="3" t="s">
        <v>14</v>
      </c>
      <c r="F608" s="3" t="s">
        <v>33</v>
      </c>
      <c r="G608" s="3" t="s">
        <v>22</v>
      </c>
      <c r="H608">
        <v>180000</v>
      </c>
      <c r="I608">
        <v>1</v>
      </c>
      <c r="J608" s="3" t="s">
        <v>39</v>
      </c>
      <c r="K608">
        <v>144000</v>
      </c>
      <c r="L608">
        <v>180000</v>
      </c>
      <c r="M608">
        <v>144000</v>
      </c>
      <c r="N608">
        <v>36000</v>
      </c>
      <c r="O608" s="3" t="s">
        <v>709</v>
      </c>
      <c r="P608" s="3" t="s">
        <v>102</v>
      </c>
      <c r="Q608" s="3" t="s">
        <v>103</v>
      </c>
      <c r="R608" s="3" t="s">
        <v>103</v>
      </c>
    </row>
    <row r="609" spans="1:18">
      <c r="A609" s="19">
        <v>46283</v>
      </c>
      <c r="B609" s="3" t="s">
        <v>25</v>
      </c>
      <c r="C609" s="3" t="s">
        <v>19</v>
      </c>
      <c r="D609" s="3" t="s">
        <v>13</v>
      </c>
      <c r="E609" s="3" t="s">
        <v>20</v>
      </c>
      <c r="F609" s="3" t="s">
        <v>33</v>
      </c>
      <c r="G609" s="3" t="s">
        <v>22</v>
      </c>
      <c r="H609">
        <v>180000</v>
      </c>
      <c r="I609">
        <v>9</v>
      </c>
      <c r="J609" s="3" t="s">
        <v>35</v>
      </c>
      <c r="K609">
        <v>144000</v>
      </c>
      <c r="L609">
        <v>1620000</v>
      </c>
      <c r="M609">
        <v>1296000</v>
      </c>
      <c r="N609">
        <v>324000</v>
      </c>
      <c r="O609" s="3" t="s">
        <v>710</v>
      </c>
      <c r="P609" s="3" t="s">
        <v>102</v>
      </c>
      <c r="Q609" s="3" t="s">
        <v>103</v>
      </c>
      <c r="R609" s="3" t="s">
        <v>103</v>
      </c>
    </row>
    <row r="610" spans="1:18">
      <c r="A610" s="19">
        <v>46284</v>
      </c>
      <c r="B610" s="3" t="s">
        <v>18</v>
      </c>
      <c r="C610" s="3" t="s">
        <v>26</v>
      </c>
      <c r="D610" s="3" t="s">
        <v>23</v>
      </c>
      <c r="E610" s="3" t="s">
        <v>20</v>
      </c>
      <c r="F610" s="3" t="s">
        <v>36</v>
      </c>
      <c r="G610" s="3" t="s">
        <v>31</v>
      </c>
      <c r="H610">
        <v>150000</v>
      </c>
      <c r="I610">
        <v>10</v>
      </c>
      <c r="J610" s="3" t="s">
        <v>28</v>
      </c>
      <c r="K610">
        <v>120000</v>
      </c>
      <c r="L610">
        <v>1500000</v>
      </c>
      <c r="M610">
        <v>1200000</v>
      </c>
      <c r="N610">
        <v>300000</v>
      </c>
      <c r="O610" s="3" t="s">
        <v>711</v>
      </c>
      <c r="P610" s="3" t="s">
        <v>102</v>
      </c>
      <c r="Q610" s="3" t="s">
        <v>103</v>
      </c>
      <c r="R610" s="3" t="s">
        <v>103</v>
      </c>
    </row>
    <row r="611" spans="1:18">
      <c r="A611" s="19">
        <v>46285</v>
      </c>
      <c r="B611" s="3" t="s">
        <v>18</v>
      </c>
      <c r="C611" s="3" t="s">
        <v>32</v>
      </c>
      <c r="D611" s="3" t="s">
        <v>23</v>
      </c>
      <c r="E611" s="3" t="s">
        <v>20</v>
      </c>
      <c r="F611" s="3" t="s">
        <v>30</v>
      </c>
      <c r="G611" s="3" t="s">
        <v>31</v>
      </c>
      <c r="H611">
        <v>300000</v>
      </c>
      <c r="I611">
        <v>1</v>
      </c>
      <c r="J611" s="3" t="s">
        <v>28</v>
      </c>
      <c r="K611">
        <v>240000</v>
      </c>
      <c r="L611">
        <v>300000</v>
      </c>
      <c r="M611">
        <v>240000</v>
      </c>
      <c r="N611">
        <v>60000</v>
      </c>
      <c r="O611" s="3" t="s">
        <v>712</v>
      </c>
      <c r="P611" s="3" t="s">
        <v>102</v>
      </c>
      <c r="Q611" s="3" t="s">
        <v>103</v>
      </c>
      <c r="R611" s="3" t="s">
        <v>103</v>
      </c>
    </row>
    <row r="612" spans="1:18">
      <c r="A612" s="19">
        <v>46286</v>
      </c>
      <c r="B612" s="3" t="s">
        <v>25</v>
      </c>
      <c r="C612" s="3" t="s">
        <v>32</v>
      </c>
      <c r="D612" s="3" t="s">
        <v>13</v>
      </c>
      <c r="E612" s="3" t="s">
        <v>14</v>
      </c>
      <c r="F612" s="3" t="s">
        <v>36</v>
      </c>
      <c r="G612" s="3" t="s">
        <v>31</v>
      </c>
      <c r="H612">
        <v>150000</v>
      </c>
      <c r="I612">
        <v>8</v>
      </c>
      <c r="J612" s="3" t="s">
        <v>17</v>
      </c>
      <c r="K612">
        <v>120000</v>
      </c>
      <c r="L612">
        <v>1200000</v>
      </c>
      <c r="M612">
        <v>960000</v>
      </c>
      <c r="N612">
        <v>240000</v>
      </c>
      <c r="O612" s="3" t="s">
        <v>713</v>
      </c>
      <c r="P612" s="3" t="s">
        <v>102</v>
      </c>
      <c r="Q612" s="3" t="s">
        <v>103</v>
      </c>
      <c r="R612" s="3" t="s">
        <v>103</v>
      </c>
    </row>
    <row r="613" spans="1:18">
      <c r="A613" s="19">
        <v>46287</v>
      </c>
      <c r="B613" s="3" t="s">
        <v>11</v>
      </c>
      <c r="C613" s="3" t="s">
        <v>32</v>
      </c>
      <c r="D613" s="3" t="s">
        <v>13</v>
      </c>
      <c r="E613" s="3" t="s">
        <v>20</v>
      </c>
      <c r="F613" s="3" t="s">
        <v>36</v>
      </c>
      <c r="G613" s="3" t="s">
        <v>31</v>
      </c>
      <c r="H613">
        <v>150000</v>
      </c>
      <c r="I613">
        <v>3</v>
      </c>
      <c r="J613" s="3" t="s">
        <v>35</v>
      </c>
      <c r="K613">
        <v>120000</v>
      </c>
      <c r="L613">
        <v>450000</v>
      </c>
      <c r="M613">
        <v>360000</v>
      </c>
      <c r="N613">
        <v>90000</v>
      </c>
      <c r="O613" s="3" t="s">
        <v>714</v>
      </c>
      <c r="P613" s="3" t="s">
        <v>102</v>
      </c>
      <c r="Q613" s="3" t="s">
        <v>103</v>
      </c>
      <c r="R613" s="3" t="s">
        <v>103</v>
      </c>
    </row>
    <row r="614" spans="1:18">
      <c r="A614" s="19">
        <v>46288</v>
      </c>
      <c r="B614" s="3" t="s">
        <v>29</v>
      </c>
      <c r="C614" s="3" t="s">
        <v>32</v>
      </c>
      <c r="D614" s="3" t="s">
        <v>13</v>
      </c>
      <c r="E614" s="3" t="s">
        <v>20</v>
      </c>
      <c r="F614" s="3" t="s">
        <v>34</v>
      </c>
      <c r="G614" s="3" t="s">
        <v>16</v>
      </c>
      <c r="H614">
        <v>320000</v>
      </c>
      <c r="I614">
        <v>3</v>
      </c>
      <c r="J614" s="3" t="s">
        <v>17</v>
      </c>
      <c r="K614">
        <v>256000</v>
      </c>
      <c r="L614">
        <v>960000</v>
      </c>
      <c r="M614">
        <v>768000</v>
      </c>
      <c r="N614">
        <v>192000</v>
      </c>
      <c r="O614" s="3" t="s">
        <v>715</v>
      </c>
      <c r="P614" s="3" t="s">
        <v>102</v>
      </c>
      <c r="Q614" s="3" t="s">
        <v>103</v>
      </c>
      <c r="R614" s="3" t="s">
        <v>103</v>
      </c>
    </row>
    <row r="615" spans="1:18">
      <c r="A615" s="19">
        <v>46289</v>
      </c>
      <c r="B615" s="3" t="s">
        <v>25</v>
      </c>
      <c r="C615" s="3" t="s">
        <v>26</v>
      </c>
      <c r="D615" s="3" t="s">
        <v>13</v>
      </c>
      <c r="E615" s="3" t="s">
        <v>14</v>
      </c>
      <c r="F615" s="3" t="s">
        <v>33</v>
      </c>
      <c r="G615" s="3" t="s">
        <v>22</v>
      </c>
      <c r="H615">
        <v>180000</v>
      </c>
      <c r="I615">
        <v>8</v>
      </c>
      <c r="J615" s="3" t="s">
        <v>17</v>
      </c>
      <c r="K615">
        <v>144000</v>
      </c>
      <c r="L615">
        <v>1440000</v>
      </c>
      <c r="M615">
        <v>1152000</v>
      </c>
      <c r="N615">
        <v>288000</v>
      </c>
      <c r="O615" s="3" t="s">
        <v>716</v>
      </c>
      <c r="P615" s="3" t="s">
        <v>102</v>
      </c>
      <c r="Q615" s="3" t="s">
        <v>103</v>
      </c>
      <c r="R615" s="3" t="s">
        <v>103</v>
      </c>
    </row>
    <row r="616" spans="1:18">
      <c r="A616" s="19">
        <v>46290</v>
      </c>
      <c r="B616" s="3" t="s">
        <v>25</v>
      </c>
      <c r="C616" s="3" t="s">
        <v>26</v>
      </c>
      <c r="D616" s="3" t="s">
        <v>13</v>
      </c>
      <c r="E616" s="3" t="s">
        <v>20</v>
      </c>
      <c r="F616" s="3" t="s">
        <v>33</v>
      </c>
      <c r="G616" s="3" t="s">
        <v>22</v>
      </c>
      <c r="H616">
        <v>180000</v>
      </c>
      <c r="I616">
        <v>1</v>
      </c>
      <c r="J616" s="3" t="s">
        <v>24</v>
      </c>
      <c r="K616">
        <v>144000</v>
      </c>
      <c r="L616">
        <v>180000</v>
      </c>
      <c r="M616">
        <v>144000</v>
      </c>
      <c r="N616">
        <v>36000</v>
      </c>
      <c r="O616" s="3" t="s">
        <v>717</v>
      </c>
      <c r="P616" s="3" t="s">
        <v>102</v>
      </c>
      <c r="Q616" s="3" t="s">
        <v>103</v>
      </c>
      <c r="R616" s="3" t="s">
        <v>103</v>
      </c>
    </row>
    <row r="617" spans="1:18">
      <c r="A617" s="19">
        <v>46291</v>
      </c>
      <c r="B617" s="3" t="s">
        <v>11</v>
      </c>
      <c r="C617" s="3" t="s">
        <v>19</v>
      </c>
      <c r="D617" s="3" t="s">
        <v>13</v>
      </c>
      <c r="E617" s="3" t="s">
        <v>20</v>
      </c>
      <c r="F617" s="3" t="s">
        <v>27</v>
      </c>
      <c r="G617" s="3" t="s">
        <v>22</v>
      </c>
      <c r="H617">
        <v>60000</v>
      </c>
      <c r="I617">
        <v>7</v>
      </c>
      <c r="J617" s="3" t="s">
        <v>37</v>
      </c>
      <c r="K617">
        <v>48000</v>
      </c>
      <c r="L617">
        <v>420000</v>
      </c>
      <c r="M617">
        <v>336000</v>
      </c>
      <c r="N617">
        <v>84000</v>
      </c>
      <c r="O617" s="3" t="s">
        <v>718</v>
      </c>
      <c r="P617" s="3" t="s">
        <v>102</v>
      </c>
      <c r="Q617" s="3" t="s">
        <v>103</v>
      </c>
      <c r="R617" s="3" t="s">
        <v>103</v>
      </c>
    </row>
    <row r="618" spans="1:18">
      <c r="A618" s="19">
        <v>46292</v>
      </c>
      <c r="B618" s="3" t="s">
        <v>18</v>
      </c>
      <c r="C618" s="3" t="s">
        <v>26</v>
      </c>
      <c r="D618" s="3" t="s">
        <v>23</v>
      </c>
      <c r="E618" s="3" t="s">
        <v>20</v>
      </c>
      <c r="F618" s="3" t="s">
        <v>34</v>
      </c>
      <c r="G618" s="3" t="s">
        <v>16</v>
      </c>
      <c r="H618">
        <v>320000</v>
      </c>
      <c r="I618">
        <v>7</v>
      </c>
      <c r="J618" s="3" t="s">
        <v>24</v>
      </c>
      <c r="K618">
        <v>256000</v>
      </c>
      <c r="L618">
        <v>2240000</v>
      </c>
      <c r="M618">
        <v>1792000</v>
      </c>
      <c r="N618">
        <v>448000</v>
      </c>
      <c r="O618" s="3" t="s">
        <v>719</v>
      </c>
      <c r="P618" s="3" t="s">
        <v>102</v>
      </c>
      <c r="Q618" s="3" t="s">
        <v>103</v>
      </c>
      <c r="R618" s="3" t="s">
        <v>103</v>
      </c>
    </row>
    <row r="619" spans="1:18">
      <c r="A619" s="19">
        <v>46293</v>
      </c>
      <c r="B619" s="3" t="s">
        <v>25</v>
      </c>
      <c r="C619" s="3" t="s">
        <v>19</v>
      </c>
      <c r="D619" s="3" t="s">
        <v>23</v>
      </c>
      <c r="E619" s="3" t="s">
        <v>14</v>
      </c>
      <c r="F619" s="3" t="s">
        <v>15</v>
      </c>
      <c r="G619" s="3" t="s">
        <v>16</v>
      </c>
      <c r="H619">
        <v>85000</v>
      </c>
      <c r="I619">
        <v>9</v>
      </c>
      <c r="J619" s="3" t="s">
        <v>24</v>
      </c>
      <c r="K619">
        <v>68000</v>
      </c>
      <c r="L619">
        <v>765000</v>
      </c>
      <c r="M619">
        <v>612000</v>
      </c>
      <c r="N619">
        <v>153000</v>
      </c>
      <c r="O619" s="3" t="s">
        <v>720</v>
      </c>
      <c r="P619" s="3" t="s">
        <v>102</v>
      </c>
      <c r="Q619" s="3" t="s">
        <v>103</v>
      </c>
      <c r="R619" s="3" t="s">
        <v>103</v>
      </c>
    </row>
    <row r="620" spans="1:18">
      <c r="A620" s="19">
        <v>46294</v>
      </c>
      <c r="B620" s="3" t="s">
        <v>11</v>
      </c>
      <c r="C620" s="3" t="s">
        <v>19</v>
      </c>
      <c r="D620" s="3" t="s">
        <v>13</v>
      </c>
      <c r="E620" s="3" t="s">
        <v>14</v>
      </c>
      <c r="F620" s="3" t="s">
        <v>34</v>
      </c>
      <c r="G620" s="3" t="s">
        <v>16</v>
      </c>
      <c r="H620">
        <v>320000</v>
      </c>
      <c r="I620">
        <v>3</v>
      </c>
      <c r="J620" s="3" t="s">
        <v>37</v>
      </c>
      <c r="K620">
        <v>256000</v>
      </c>
      <c r="L620">
        <v>960000</v>
      </c>
      <c r="M620">
        <v>768000</v>
      </c>
      <c r="N620">
        <v>192000</v>
      </c>
      <c r="O620" s="3" t="s">
        <v>721</v>
      </c>
      <c r="P620" s="3" t="s">
        <v>102</v>
      </c>
      <c r="Q620" s="3" t="s">
        <v>103</v>
      </c>
      <c r="R620" s="3" t="s">
        <v>103</v>
      </c>
    </row>
    <row r="621" spans="1:18">
      <c r="A621" s="19">
        <v>46295</v>
      </c>
      <c r="B621" s="3" t="s">
        <v>25</v>
      </c>
      <c r="C621" s="3" t="s">
        <v>32</v>
      </c>
      <c r="D621" s="3" t="s">
        <v>13</v>
      </c>
      <c r="E621" s="3" t="s">
        <v>14</v>
      </c>
      <c r="F621" s="3" t="s">
        <v>41</v>
      </c>
      <c r="G621" s="3" t="s">
        <v>22</v>
      </c>
      <c r="H621">
        <v>220000</v>
      </c>
      <c r="I621">
        <v>4</v>
      </c>
      <c r="J621" s="3" t="s">
        <v>37</v>
      </c>
      <c r="K621">
        <v>176000</v>
      </c>
      <c r="L621">
        <v>880000</v>
      </c>
      <c r="M621">
        <v>704000</v>
      </c>
      <c r="N621">
        <v>176000</v>
      </c>
      <c r="O621" s="3" t="s">
        <v>722</v>
      </c>
      <c r="P621" s="3" t="s">
        <v>102</v>
      </c>
      <c r="Q621" s="3" t="s">
        <v>103</v>
      </c>
      <c r="R621" s="3" t="s">
        <v>103</v>
      </c>
    </row>
    <row r="622" spans="1:18">
      <c r="A622" s="19">
        <v>46296</v>
      </c>
      <c r="B622" s="3" t="s">
        <v>18</v>
      </c>
      <c r="C622" s="3" t="s">
        <v>26</v>
      </c>
      <c r="D622" s="3" t="s">
        <v>23</v>
      </c>
      <c r="E622" s="3" t="s">
        <v>14</v>
      </c>
      <c r="F622" s="3" t="s">
        <v>34</v>
      </c>
      <c r="G622" s="3" t="s">
        <v>16</v>
      </c>
      <c r="H622">
        <v>320000</v>
      </c>
      <c r="I622">
        <v>7</v>
      </c>
      <c r="J622" s="3" t="s">
        <v>35</v>
      </c>
      <c r="K622">
        <v>256000</v>
      </c>
      <c r="L622">
        <v>2240000</v>
      </c>
      <c r="M622">
        <v>1792000</v>
      </c>
      <c r="N622">
        <v>448000</v>
      </c>
      <c r="O622" s="3" t="s">
        <v>723</v>
      </c>
      <c r="P622" s="3" t="s">
        <v>102</v>
      </c>
      <c r="Q622" s="3" t="s">
        <v>103</v>
      </c>
      <c r="R622" s="3" t="s">
        <v>103</v>
      </c>
    </row>
    <row r="623" spans="1:18">
      <c r="A623" s="19">
        <v>46297</v>
      </c>
      <c r="B623" s="3" t="s">
        <v>18</v>
      </c>
      <c r="C623" s="3" t="s">
        <v>12</v>
      </c>
      <c r="D623" s="3" t="s">
        <v>23</v>
      </c>
      <c r="E623" s="3" t="s">
        <v>14</v>
      </c>
      <c r="F623" s="3" t="s">
        <v>40</v>
      </c>
      <c r="G623" s="3" t="s">
        <v>31</v>
      </c>
      <c r="H623">
        <v>250000</v>
      </c>
      <c r="I623">
        <v>1</v>
      </c>
      <c r="J623" s="3" t="s">
        <v>28</v>
      </c>
      <c r="K623">
        <v>200000</v>
      </c>
      <c r="L623">
        <v>250000</v>
      </c>
      <c r="M623">
        <v>200000</v>
      </c>
      <c r="N623">
        <v>50000</v>
      </c>
      <c r="O623" s="3" t="s">
        <v>724</v>
      </c>
      <c r="P623" s="3" t="s">
        <v>102</v>
      </c>
      <c r="Q623" s="3" t="s">
        <v>103</v>
      </c>
      <c r="R623" s="3" t="s">
        <v>103</v>
      </c>
    </row>
    <row r="624" spans="1:18">
      <c r="A624" s="19">
        <v>46298</v>
      </c>
      <c r="B624" s="3" t="s">
        <v>18</v>
      </c>
      <c r="C624" s="3" t="s">
        <v>26</v>
      </c>
      <c r="D624" s="3" t="s">
        <v>13</v>
      </c>
      <c r="E624" s="3" t="s">
        <v>20</v>
      </c>
      <c r="F624" s="3" t="s">
        <v>21</v>
      </c>
      <c r="G624" s="3" t="s">
        <v>22</v>
      </c>
      <c r="H624">
        <v>30000</v>
      </c>
      <c r="I624">
        <v>5</v>
      </c>
      <c r="J624" s="3" t="s">
        <v>28</v>
      </c>
      <c r="K624">
        <v>24000</v>
      </c>
      <c r="L624">
        <v>150000</v>
      </c>
      <c r="M624">
        <v>120000</v>
      </c>
      <c r="N624">
        <v>30000</v>
      </c>
      <c r="O624" s="3" t="s">
        <v>725</v>
      </c>
      <c r="P624" s="3" t="s">
        <v>102</v>
      </c>
      <c r="Q624" s="3" t="s">
        <v>103</v>
      </c>
      <c r="R624" s="3" t="s">
        <v>103</v>
      </c>
    </row>
    <row r="625" spans="1:18">
      <c r="A625" s="19">
        <v>46299</v>
      </c>
      <c r="B625" s="3" t="s">
        <v>25</v>
      </c>
      <c r="C625" s="3" t="s">
        <v>26</v>
      </c>
      <c r="D625" s="3" t="s">
        <v>23</v>
      </c>
      <c r="E625" s="3" t="s">
        <v>14</v>
      </c>
      <c r="F625" s="3" t="s">
        <v>41</v>
      </c>
      <c r="G625" s="3" t="s">
        <v>22</v>
      </c>
      <c r="H625">
        <v>220000</v>
      </c>
      <c r="I625">
        <v>5</v>
      </c>
      <c r="J625" s="3" t="s">
        <v>24</v>
      </c>
      <c r="K625">
        <v>176000</v>
      </c>
      <c r="L625">
        <v>1100000</v>
      </c>
      <c r="M625">
        <v>880000</v>
      </c>
      <c r="N625">
        <v>220000</v>
      </c>
      <c r="O625" s="3" t="s">
        <v>726</v>
      </c>
      <c r="P625" s="3" t="s">
        <v>102</v>
      </c>
      <c r="Q625" s="3" t="s">
        <v>103</v>
      </c>
      <c r="R625" s="3" t="s">
        <v>103</v>
      </c>
    </row>
    <row r="626" spans="1:18">
      <c r="A626" s="19">
        <v>46300</v>
      </c>
      <c r="B626" s="3" t="s">
        <v>29</v>
      </c>
      <c r="C626" s="3" t="s">
        <v>26</v>
      </c>
      <c r="D626" s="3" t="s">
        <v>23</v>
      </c>
      <c r="E626" s="3" t="s">
        <v>20</v>
      </c>
      <c r="F626" s="3" t="s">
        <v>40</v>
      </c>
      <c r="G626" s="3" t="s">
        <v>31</v>
      </c>
      <c r="H626">
        <v>250000</v>
      </c>
      <c r="I626">
        <v>4</v>
      </c>
      <c r="J626" s="3" t="s">
        <v>35</v>
      </c>
      <c r="K626">
        <v>200000</v>
      </c>
      <c r="L626">
        <v>1000000</v>
      </c>
      <c r="M626">
        <v>800000</v>
      </c>
      <c r="N626">
        <v>200000</v>
      </c>
      <c r="O626" s="3" t="s">
        <v>727</v>
      </c>
      <c r="P626" s="3" t="s">
        <v>102</v>
      </c>
      <c r="Q626" s="3" t="s">
        <v>103</v>
      </c>
      <c r="R626" s="3" t="s">
        <v>103</v>
      </c>
    </row>
    <row r="627" spans="1:18">
      <c r="A627" s="19">
        <v>46301</v>
      </c>
      <c r="B627" s="3" t="s">
        <v>29</v>
      </c>
      <c r="C627" s="3" t="s">
        <v>12</v>
      </c>
      <c r="D627" s="3" t="s">
        <v>13</v>
      </c>
      <c r="E627" s="3" t="s">
        <v>20</v>
      </c>
      <c r="F627" s="3" t="s">
        <v>33</v>
      </c>
      <c r="G627" s="3" t="s">
        <v>22</v>
      </c>
      <c r="H627">
        <v>180000</v>
      </c>
      <c r="I627">
        <v>4</v>
      </c>
      <c r="J627" s="3" t="s">
        <v>17</v>
      </c>
      <c r="K627">
        <v>144000</v>
      </c>
      <c r="L627">
        <v>720000</v>
      </c>
      <c r="M627">
        <v>576000</v>
      </c>
      <c r="N627">
        <v>144000</v>
      </c>
      <c r="O627" s="3" t="s">
        <v>728</v>
      </c>
      <c r="P627" s="3" t="s">
        <v>102</v>
      </c>
      <c r="Q627" s="3" t="s">
        <v>103</v>
      </c>
      <c r="R627" s="3" t="s">
        <v>103</v>
      </c>
    </row>
    <row r="628" spans="1:18">
      <c r="A628" s="19">
        <v>46302</v>
      </c>
      <c r="B628" s="3" t="s">
        <v>25</v>
      </c>
      <c r="C628" s="3" t="s">
        <v>12</v>
      </c>
      <c r="D628" s="3" t="s">
        <v>23</v>
      </c>
      <c r="E628" s="3" t="s">
        <v>20</v>
      </c>
      <c r="F628" s="3" t="s">
        <v>27</v>
      </c>
      <c r="G628" s="3" t="s">
        <v>22</v>
      </c>
      <c r="H628">
        <v>60000</v>
      </c>
      <c r="I628">
        <v>10</v>
      </c>
      <c r="J628" s="3" t="s">
        <v>24</v>
      </c>
      <c r="K628">
        <v>48000</v>
      </c>
      <c r="L628">
        <v>600000</v>
      </c>
      <c r="M628">
        <v>480000</v>
      </c>
      <c r="N628">
        <v>120000</v>
      </c>
      <c r="O628" s="3" t="s">
        <v>729</v>
      </c>
      <c r="P628" s="3" t="s">
        <v>102</v>
      </c>
      <c r="Q628" s="3" t="s">
        <v>103</v>
      </c>
      <c r="R628" s="3" t="s">
        <v>103</v>
      </c>
    </row>
    <row r="629" spans="1:18">
      <c r="A629" s="19">
        <v>46303</v>
      </c>
      <c r="B629" s="3" t="s">
        <v>18</v>
      </c>
      <c r="C629" s="3" t="s">
        <v>26</v>
      </c>
      <c r="D629" s="3" t="s">
        <v>13</v>
      </c>
      <c r="E629" s="3" t="s">
        <v>14</v>
      </c>
      <c r="F629" s="3" t="s">
        <v>34</v>
      </c>
      <c r="G629" s="3" t="s">
        <v>16</v>
      </c>
      <c r="H629">
        <v>320000</v>
      </c>
      <c r="I629">
        <v>10</v>
      </c>
      <c r="J629" s="3" t="s">
        <v>17</v>
      </c>
      <c r="K629">
        <v>256000</v>
      </c>
      <c r="L629">
        <v>3200000</v>
      </c>
      <c r="M629">
        <v>2560000</v>
      </c>
      <c r="N629">
        <v>640000</v>
      </c>
      <c r="O629" s="3" t="s">
        <v>730</v>
      </c>
      <c r="P629" s="3" t="s">
        <v>102</v>
      </c>
      <c r="Q629" s="3" t="s">
        <v>103</v>
      </c>
      <c r="R629" s="3" t="s">
        <v>103</v>
      </c>
    </row>
    <row r="630" spans="1:18">
      <c r="A630" s="19">
        <v>46304</v>
      </c>
      <c r="B630" s="3" t="s">
        <v>18</v>
      </c>
      <c r="C630" s="3" t="s">
        <v>26</v>
      </c>
      <c r="D630" s="3" t="s">
        <v>13</v>
      </c>
      <c r="E630" s="3" t="s">
        <v>20</v>
      </c>
      <c r="F630" s="3" t="s">
        <v>36</v>
      </c>
      <c r="G630" s="3" t="s">
        <v>31</v>
      </c>
      <c r="H630">
        <v>150000</v>
      </c>
      <c r="I630">
        <v>4</v>
      </c>
      <c r="J630" s="3" t="s">
        <v>28</v>
      </c>
      <c r="K630">
        <v>120000</v>
      </c>
      <c r="L630">
        <v>600000</v>
      </c>
      <c r="M630">
        <v>480000</v>
      </c>
      <c r="N630">
        <v>120000</v>
      </c>
      <c r="O630" s="3" t="s">
        <v>731</v>
      </c>
      <c r="P630" s="3" t="s">
        <v>102</v>
      </c>
      <c r="Q630" s="3" t="s">
        <v>103</v>
      </c>
      <c r="R630" s="3" t="s">
        <v>103</v>
      </c>
    </row>
    <row r="631" spans="1:18">
      <c r="A631" s="19">
        <v>46305</v>
      </c>
      <c r="B631" s="3" t="s">
        <v>11</v>
      </c>
      <c r="C631" s="3" t="s">
        <v>12</v>
      </c>
      <c r="D631" s="3" t="s">
        <v>23</v>
      </c>
      <c r="E631" s="3" t="s">
        <v>20</v>
      </c>
      <c r="F631" s="3" t="s">
        <v>34</v>
      </c>
      <c r="G631" s="3" t="s">
        <v>16</v>
      </c>
      <c r="H631">
        <v>320000</v>
      </c>
      <c r="I631">
        <v>4</v>
      </c>
      <c r="J631" s="3" t="s">
        <v>17</v>
      </c>
      <c r="K631">
        <v>256000</v>
      </c>
      <c r="L631">
        <v>1280000</v>
      </c>
      <c r="M631">
        <v>1024000</v>
      </c>
      <c r="N631">
        <v>256000</v>
      </c>
      <c r="O631" s="3" t="s">
        <v>732</v>
      </c>
      <c r="P631" s="3" t="s">
        <v>102</v>
      </c>
      <c r="Q631" s="3" t="s">
        <v>103</v>
      </c>
      <c r="R631" s="3" t="s">
        <v>103</v>
      </c>
    </row>
    <row r="632" spans="1:18">
      <c r="A632" s="19">
        <v>46306</v>
      </c>
      <c r="B632" s="3" t="s">
        <v>25</v>
      </c>
      <c r="C632" s="3" t="s">
        <v>19</v>
      </c>
      <c r="D632" s="3" t="s">
        <v>23</v>
      </c>
      <c r="E632" s="3" t="s">
        <v>14</v>
      </c>
      <c r="F632" s="3" t="s">
        <v>30</v>
      </c>
      <c r="G632" s="3" t="s">
        <v>31</v>
      </c>
      <c r="H632">
        <v>300000</v>
      </c>
      <c r="I632">
        <v>7</v>
      </c>
      <c r="J632" s="3" t="s">
        <v>37</v>
      </c>
      <c r="K632">
        <v>240000</v>
      </c>
      <c r="L632">
        <v>2100000</v>
      </c>
      <c r="M632">
        <v>1680000</v>
      </c>
      <c r="N632">
        <v>420000</v>
      </c>
      <c r="O632" s="3" t="s">
        <v>733</v>
      </c>
      <c r="P632" s="3" t="s">
        <v>102</v>
      </c>
      <c r="Q632" s="3" t="s">
        <v>103</v>
      </c>
      <c r="R632" s="3" t="s">
        <v>103</v>
      </c>
    </row>
    <row r="633" spans="1:18">
      <c r="A633" s="19">
        <v>46307</v>
      </c>
      <c r="B633" s="3" t="s">
        <v>29</v>
      </c>
      <c r="C633" s="3" t="s">
        <v>12</v>
      </c>
      <c r="D633" s="3" t="s">
        <v>23</v>
      </c>
      <c r="E633" s="3" t="s">
        <v>20</v>
      </c>
      <c r="F633" s="3" t="s">
        <v>36</v>
      </c>
      <c r="G633" s="3" t="s">
        <v>31</v>
      </c>
      <c r="H633">
        <v>150000</v>
      </c>
      <c r="I633">
        <v>10</v>
      </c>
      <c r="J633" s="3" t="s">
        <v>17</v>
      </c>
      <c r="K633">
        <v>120000</v>
      </c>
      <c r="L633">
        <v>1500000</v>
      </c>
      <c r="M633">
        <v>1200000</v>
      </c>
      <c r="N633">
        <v>300000</v>
      </c>
      <c r="O633" s="3" t="s">
        <v>734</v>
      </c>
      <c r="P633" s="3" t="s">
        <v>102</v>
      </c>
      <c r="Q633" s="3" t="s">
        <v>103</v>
      </c>
      <c r="R633" s="3" t="s">
        <v>103</v>
      </c>
    </row>
    <row r="634" spans="1:18">
      <c r="A634" s="19">
        <v>46308</v>
      </c>
      <c r="B634" s="3" t="s">
        <v>25</v>
      </c>
      <c r="C634" s="3" t="s">
        <v>19</v>
      </c>
      <c r="D634" s="3" t="s">
        <v>23</v>
      </c>
      <c r="E634" s="3" t="s">
        <v>14</v>
      </c>
      <c r="F634" s="3" t="s">
        <v>41</v>
      </c>
      <c r="G634" s="3" t="s">
        <v>22</v>
      </c>
      <c r="H634">
        <v>220000</v>
      </c>
      <c r="I634">
        <v>9</v>
      </c>
      <c r="J634" s="3" t="s">
        <v>17</v>
      </c>
      <c r="K634">
        <v>176000</v>
      </c>
      <c r="L634">
        <v>1980000</v>
      </c>
      <c r="M634">
        <v>1584000</v>
      </c>
      <c r="N634">
        <v>396000</v>
      </c>
      <c r="O634" s="3" t="s">
        <v>735</v>
      </c>
      <c r="P634" s="3" t="s">
        <v>102</v>
      </c>
      <c r="Q634" s="3" t="s">
        <v>103</v>
      </c>
      <c r="R634" s="3" t="s">
        <v>103</v>
      </c>
    </row>
    <row r="635" spans="1:18">
      <c r="A635" s="19">
        <v>46309</v>
      </c>
      <c r="B635" s="3" t="s">
        <v>11</v>
      </c>
      <c r="C635" s="3" t="s">
        <v>32</v>
      </c>
      <c r="D635" s="3" t="s">
        <v>23</v>
      </c>
      <c r="E635" s="3" t="s">
        <v>20</v>
      </c>
      <c r="F635" s="3" t="s">
        <v>15</v>
      </c>
      <c r="G635" s="3" t="s">
        <v>16</v>
      </c>
      <c r="H635">
        <v>85000</v>
      </c>
      <c r="I635">
        <v>4</v>
      </c>
      <c r="J635" s="3" t="s">
        <v>28</v>
      </c>
      <c r="K635">
        <v>68000</v>
      </c>
      <c r="L635">
        <v>340000</v>
      </c>
      <c r="M635">
        <v>272000</v>
      </c>
      <c r="N635">
        <v>68000</v>
      </c>
      <c r="O635" s="3" t="s">
        <v>736</v>
      </c>
      <c r="P635" s="3" t="s">
        <v>102</v>
      </c>
      <c r="Q635" s="3" t="s">
        <v>103</v>
      </c>
      <c r="R635" s="3" t="s">
        <v>103</v>
      </c>
    </row>
    <row r="636" spans="1:18">
      <c r="A636" s="19">
        <v>46310</v>
      </c>
      <c r="B636" s="3" t="s">
        <v>25</v>
      </c>
      <c r="C636" s="3" t="s">
        <v>26</v>
      </c>
      <c r="D636" s="3" t="s">
        <v>23</v>
      </c>
      <c r="E636" s="3" t="s">
        <v>14</v>
      </c>
      <c r="F636" s="3" t="s">
        <v>34</v>
      </c>
      <c r="G636" s="3" t="s">
        <v>16</v>
      </c>
      <c r="H636">
        <v>320000</v>
      </c>
      <c r="I636">
        <v>1</v>
      </c>
      <c r="J636" s="3" t="s">
        <v>39</v>
      </c>
      <c r="K636">
        <v>256000</v>
      </c>
      <c r="L636">
        <v>320000</v>
      </c>
      <c r="M636">
        <v>256000</v>
      </c>
      <c r="N636">
        <v>64000</v>
      </c>
      <c r="O636" s="3" t="s">
        <v>737</v>
      </c>
      <c r="P636" s="3" t="s">
        <v>102</v>
      </c>
      <c r="Q636" s="3" t="s">
        <v>103</v>
      </c>
      <c r="R636" s="3" t="s">
        <v>103</v>
      </c>
    </row>
    <row r="637" spans="1:18">
      <c r="A637" s="19">
        <v>46311</v>
      </c>
      <c r="B637" s="3" t="s">
        <v>18</v>
      </c>
      <c r="C637" s="3" t="s">
        <v>32</v>
      </c>
      <c r="D637" s="3" t="s">
        <v>23</v>
      </c>
      <c r="E637" s="3" t="s">
        <v>20</v>
      </c>
      <c r="F637" s="3" t="s">
        <v>38</v>
      </c>
      <c r="G637" s="3" t="s">
        <v>31</v>
      </c>
      <c r="H637">
        <v>420000</v>
      </c>
      <c r="I637">
        <v>1</v>
      </c>
      <c r="J637" s="3" t="s">
        <v>35</v>
      </c>
      <c r="K637">
        <v>336000</v>
      </c>
      <c r="L637">
        <v>420000</v>
      </c>
      <c r="M637">
        <v>336000</v>
      </c>
      <c r="N637">
        <v>84000</v>
      </c>
      <c r="O637" s="3" t="s">
        <v>738</v>
      </c>
      <c r="P637" s="3" t="s">
        <v>102</v>
      </c>
      <c r="Q637" s="3" t="s">
        <v>103</v>
      </c>
      <c r="R637" s="3" t="s">
        <v>103</v>
      </c>
    </row>
    <row r="638" spans="1:18">
      <c r="A638" s="19">
        <v>46312</v>
      </c>
      <c r="B638" s="3" t="s">
        <v>25</v>
      </c>
      <c r="C638" s="3" t="s">
        <v>26</v>
      </c>
      <c r="D638" s="3" t="s">
        <v>23</v>
      </c>
      <c r="E638" s="3" t="s">
        <v>20</v>
      </c>
      <c r="F638" s="3" t="s">
        <v>38</v>
      </c>
      <c r="G638" s="3" t="s">
        <v>31</v>
      </c>
      <c r="H638">
        <v>420000</v>
      </c>
      <c r="I638">
        <v>6</v>
      </c>
      <c r="J638" s="3" t="s">
        <v>24</v>
      </c>
      <c r="K638">
        <v>336000</v>
      </c>
      <c r="L638">
        <v>2520000</v>
      </c>
      <c r="M638">
        <v>2016000</v>
      </c>
      <c r="N638">
        <v>504000</v>
      </c>
      <c r="O638" s="3" t="s">
        <v>739</v>
      </c>
      <c r="P638" s="3" t="s">
        <v>102</v>
      </c>
      <c r="Q638" s="3" t="s">
        <v>103</v>
      </c>
      <c r="R638" s="3" t="s">
        <v>103</v>
      </c>
    </row>
    <row r="639" spans="1:18">
      <c r="A639" s="19">
        <v>46313</v>
      </c>
      <c r="B639" s="3" t="s">
        <v>29</v>
      </c>
      <c r="C639" s="3" t="s">
        <v>19</v>
      </c>
      <c r="D639" s="3" t="s">
        <v>23</v>
      </c>
      <c r="E639" s="3" t="s">
        <v>14</v>
      </c>
      <c r="F639" s="3" t="s">
        <v>27</v>
      </c>
      <c r="G639" s="3" t="s">
        <v>22</v>
      </c>
      <c r="H639">
        <v>60000</v>
      </c>
      <c r="I639">
        <v>8</v>
      </c>
      <c r="J639" s="3" t="s">
        <v>37</v>
      </c>
      <c r="K639">
        <v>48000</v>
      </c>
      <c r="L639">
        <v>480000</v>
      </c>
      <c r="M639">
        <v>384000</v>
      </c>
      <c r="N639">
        <v>96000</v>
      </c>
      <c r="O639" s="3" t="s">
        <v>740</v>
      </c>
      <c r="P639" s="3" t="s">
        <v>102</v>
      </c>
      <c r="Q639" s="3" t="s">
        <v>103</v>
      </c>
      <c r="R639" s="3" t="s">
        <v>103</v>
      </c>
    </row>
    <row r="640" spans="1:18">
      <c r="A640" s="19">
        <v>46314</v>
      </c>
      <c r="B640" s="3" t="s">
        <v>18</v>
      </c>
      <c r="C640" s="3" t="s">
        <v>12</v>
      </c>
      <c r="D640" s="3" t="s">
        <v>23</v>
      </c>
      <c r="E640" s="3" t="s">
        <v>20</v>
      </c>
      <c r="F640" s="3" t="s">
        <v>41</v>
      </c>
      <c r="G640" s="3" t="s">
        <v>22</v>
      </c>
      <c r="H640">
        <v>220000</v>
      </c>
      <c r="I640">
        <v>7</v>
      </c>
      <c r="J640" s="3" t="s">
        <v>17</v>
      </c>
      <c r="K640">
        <v>176000</v>
      </c>
      <c r="L640">
        <v>1540000</v>
      </c>
      <c r="M640">
        <v>1232000</v>
      </c>
      <c r="N640">
        <v>308000</v>
      </c>
      <c r="O640" s="3" t="s">
        <v>741</v>
      </c>
      <c r="P640" s="3" t="s">
        <v>102</v>
      </c>
      <c r="Q640" s="3" t="s">
        <v>103</v>
      </c>
      <c r="R640" s="3" t="s">
        <v>103</v>
      </c>
    </row>
    <row r="641" spans="1:18">
      <c r="A641" s="19">
        <v>46315</v>
      </c>
      <c r="B641" s="3" t="s">
        <v>25</v>
      </c>
      <c r="C641" s="3" t="s">
        <v>12</v>
      </c>
      <c r="D641" s="3" t="s">
        <v>23</v>
      </c>
      <c r="E641" s="3" t="s">
        <v>14</v>
      </c>
      <c r="F641" s="3" t="s">
        <v>34</v>
      </c>
      <c r="G641" s="3" t="s">
        <v>16</v>
      </c>
      <c r="H641">
        <v>320000</v>
      </c>
      <c r="I641">
        <v>9</v>
      </c>
      <c r="J641" s="3" t="s">
        <v>35</v>
      </c>
      <c r="K641">
        <v>256000</v>
      </c>
      <c r="L641">
        <v>2880000</v>
      </c>
      <c r="M641">
        <v>2304000</v>
      </c>
      <c r="N641">
        <v>576000</v>
      </c>
      <c r="O641" s="3" t="s">
        <v>742</v>
      </c>
      <c r="P641" s="3" t="s">
        <v>102</v>
      </c>
      <c r="Q641" s="3" t="s">
        <v>103</v>
      </c>
      <c r="R641" s="3" t="s">
        <v>103</v>
      </c>
    </row>
    <row r="642" spans="1:18">
      <c r="A642" s="19">
        <v>46316</v>
      </c>
      <c r="B642" s="3" t="s">
        <v>11</v>
      </c>
      <c r="C642" s="3" t="s">
        <v>32</v>
      </c>
      <c r="D642" s="3" t="s">
        <v>23</v>
      </c>
      <c r="E642" s="3" t="s">
        <v>20</v>
      </c>
      <c r="F642" s="3" t="s">
        <v>30</v>
      </c>
      <c r="G642" s="3" t="s">
        <v>31</v>
      </c>
      <c r="H642">
        <v>300000</v>
      </c>
      <c r="I642">
        <v>2</v>
      </c>
      <c r="J642" s="3" t="s">
        <v>37</v>
      </c>
      <c r="K642">
        <v>240000</v>
      </c>
      <c r="L642">
        <v>600000</v>
      </c>
      <c r="M642">
        <v>480000</v>
      </c>
      <c r="N642">
        <v>120000</v>
      </c>
      <c r="O642" s="3" t="s">
        <v>743</v>
      </c>
      <c r="P642" s="3" t="s">
        <v>102</v>
      </c>
      <c r="Q642" s="3" t="s">
        <v>103</v>
      </c>
      <c r="R642" s="3" t="s">
        <v>103</v>
      </c>
    </row>
    <row r="643" spans="1:18">
      <c r="A643" s="19">
        <v>46317</v>
      </c>
      <c r="B643" s="3" t="s">
        <v>25</v>
      </c>
      <c r="C643" s="3" t="s">
        <v>12</v>
      </c>
      <c r="D643" s="3" t="s">
        <v>23</v>
      </c>
      <c r="E643" s="3" t="s">
        <v>14</v>
      </c>
      <c r="F643" s="3" t="s">
        <v>40</v>
      </c>
      <c r="G643" s="3" t="s">
        <v>31</v>
      </c>
      <c r="H643">
        <v>250000</v>
      </c>
      <c r="I643">
        <v>4</v>
      </c>
      <c r="J643" s="3" t="s">
        <v>37</v>
      </c>
      <c r="K643">
        <v>200000</v>
      </c>
      <c r="L643">
        <v>1000000</v>
      </c>
      <c r="M643">
        <v>800000</v>
      </c>
      <c r="N643">
        <v>200000</v>
      </c>
      <c r="O643" s="3" t="s">
        <v>744</v>
      </c>
      <c r="P643" s="3" t="s">
        <v>102</v>
      </c>
      <c r="Q643" s="3" t="s">
        <v>103</v>
      </c>
      <c r="R643" s="3" t="s">
        <v>103</v>
      </c>
    </row>
    <row r="644" spans="1:18">
      <c r="A644" s="19">
        <v>46318</v>
      </c>
      <c r="B644" s="3" t="s">
        <v>29</v>
      </c>
      <c r="C644" s="3" t="s">
        <v>19</v>
      </c>
      <c r="D644" s="3" t="s">
        <v>13</v>
      </c>
      <c r="E644" s="3" t="s">
        <v>14</v>
      </c>
      <c r="F644" s="3" t="s">
        <v>21</v>
      </c>
      <c r="G644" s="3" t="s">
        <v>22</v>
      </c>
      <c r="H644">
        <v>30000</v>
      </c>
      <c r="I644">
        <v>4</v>
      </c>
      <c r="J644" s="3" t="s">
        <v>37</v>
      </c>
      <c r="K644">
        <v>24000</v>
      </c>
      <c r="L644">
        <v>120000</v>
      </c>
      <c r="M644">
        <v>96000</v>
      </c>
      <c r="N644">
        <v>24000</v>
      </c>
      <c r="O644" s="3" t="s">
        <v>745</v>
      </c>
      <c r="P644" s="3" t="s">
        <v>102</v>
      </c>
      <c r="Q644" s="3" t="s">
        <v>103</v>
      </c>
      <c r="R644" s="3" t="s">
        <v>103</v>
      </c>
    </row>
    <row r="645" spans="1:18">
      <c r="A645" s="19">
        <v>46319</v>
      </c>
      <c r="B645" s="3" t="s">
        <v>11</v>
      </c>
      <c r="C645" s="3" t="s">
        <v>19</v>
      </c>
      <c r="D645" s="3" t="s">
        <v>13</v>
      </c>
      <c r="E645" s="3" t="s">
        <v>20</v>
      </c>
      <c r="F645" s="3" t="s">
        <v>41</v>
      </c>
      <c r="G645" s="3" t="s">
        <v>22</v>
      </c>
      <c r="H645">
        <v>220000</v>
      </c>
      <c r="I645">
        <v>4</v>
      </c>
      <c r="J645" s="3" t="s">
        <v>17</v>
      </c>
      <c r="K645">
        <v>176000</v>
      </c>
      <c r="L645">
        <v>880000</v>
      </c>
      <c r="M645">
        <v>704000</v>
      </c>
      <c r="N645">
        <v>176000</v>
      </c>
      <c r="O645" s="3" t="s">
        <v>746</v>
      </c>
      <c r="P645" s="3" t="s">
        <v>102</v>
      </c>
      <c r="Q645" s="3" t="s">
        <v>103</v>
      </c>
      <c r="R645" s="3" t="s">
        <v>103</v>
      </c>
    </row>
    <row r="646" spans="1:18">
      <c r="A646" s="19">
        <v>46320</v>
      </c>
      <c r="B646" s="3" t="s">
        <v>29</v>
      </c>
      <c r="C646" s="3" t="s">
        <v>32</v>
      </c>
      <c r="D646" s="3" t="s">
        <v>13</v>
      </c>
      <c r="E646" s="3" t="s">
        <v>20</v>
      </c>
      <c r="F646" s="3" t="s">
        <v>30</v>
      </c>
      <c r="G646" s="3" t="s">
        <v>31</v>
      </c>
      <c r="H646">
        <v>300000</v>
      </c>
      <c r="I646">
        <v>2</v>
      </c>
      <c r="J646" s="3" t="s">
        <v>37</v>
      </c>
      <c r="K646">
        <v>240000</v>
      </c>
      <c r="L646">
        <v>600000</v>
      </c>
      <c r="M646">
        <v>480000</v>
      </c>
      <c r="N646">
        <v>120000</v>
      </c>
      <c r="O646" s="3" t="s">
        <v>747</v>
      </c>
      <c r="P646" s="3" t="s">
        <v>102</v>
      </c>
      <c r="Q646" s="3" t="s">
        <v>103</v>
      </c>
      <c r="R646" s="3" t="s">
        <v>103</v>
      </c>
    </row>
    <row r="647" spans="1:18">
      <c r="A647" s="19">
        <v>46321</v>
      </c>
      <c r="B647" s="3" t="s">
        <v>25</v>
      </c>
      <c r="C647" s="3" t="s">
        <v>19</v>
      </c>
      <c r="D647" s="3" t="s">
        <v>13</v>
      </c>
      <c r="E647" s="3" t="s">
        <v>14</v>
      </c>
      <c r="F647" s="3" t="s">
        <v>34</v>
      </c>
      <c r="G647" s="3" t="s">
        <v>16</v>
      </c>
      <c r="H647">
        <v>320000</v>
      </c>
      <c r="I647">
        <v>7</v>
      </c>
      <c r="J647" s="3" t="s">
        <v>24</v>
      </c>
      <c r="K647">
        <v>256000</v>
      </c>
      <c r="L647">
        <v>2240000</v>
      </c>
      <c r="M647">
        <v>1792000</v>
      </c>
      <c r="N647">
        <v>448000</v>
      </c>
      <c r="O647" s="3" t="s">
        <v>748</v>
      </c>
      <c r="P647" s="3" t="s">
        <v>102</v>
      </c>
      <c r="Q647" s="3" t="s">
        <v>103</v>
      </c>
      <c r="R647" s="3" t="s">
        <v>103</v>
      </c>
    </row>
    <row r="648" spans="1:18">
      <c r="A648" s="19">
        <v>46322</v>
      </c>
      <c r="B648" s="3" t="s">
        <v>18</v>
      </c>
      <c r="C648" s="3" t="s">
        <v>32</v>
      </c>
      <c r="D648" s="3" t="s">
        <v>23</v>
      </c>
      <c r="E648" s="3" t="s">
        <v>14</v>
      </c>
      <c r="F648" s="3" t="s">
        <v>27</v>
      </c>
      <c r="G648" s="3" t="s">
        <v>22</v>
      </c>
      <c r="H648">
        <v>60000</v>
      </c>
      <c r="I648">
        <v>5</v>
      </c>
      <c r="J648" s="3" t="s">
        <v>28</v>
      </c>
      <c r="K648">
        <v>48000</v>
      </c>
      <c r="L648">
        <v>300000</v>
      </c>
      <c r="M648">
        <v>240000</v>
      </c>
      <c r="N648">
        <v>60000</v>
      </c>
      <c r="O648" s="3" t="s">
        <v>749</v>
      </c>
      <c r="P648" s="3" t="s">
        <v>102</v>
      </c>
      <c r="Q648" s="3" t="s">
        <v>103</v>
      </c>
      <c r="R648" s="3" t="s">
        <v>103</v>
      </c>
    </row>
    <row r="649" spans="1:18">
      <c r="A649" s="19">
        <v>46323</v>
      </c>
      <c r="B649" s="3" t="s">
        <v>25</v>
      </c>
      <c r="C649" s="3" t="s">
        <v>26</v>
      </c>
      <c r="D649" s="3" t="s">
        <v>13</v>
      </c>
      <c r="E649" s="3" t="s">
        <v>14</v>
      </c>
      <c r="F649" s="3" t="s">
        <v>15</v>
      </c>
      <c r="G649" s="3" t="s">
        <v>16</v>
      </c>
      <c r="H649">
        <v>85000</v>
      </c>
      <c r="I649">
        <v>7</v>
      </c>
      <c r="J649" s="3" t="s">
        <v>35</v>
      </c>
      <c r="K649">
        <v>68000</v>
      </c>
      <c r="L649">
        <v>595000</v>
      </c>
      <c r="M649">
        <v>476000</v>
      </c>
      <c r="N649">
        <v>119000</v>
      </c>
      <c r="O649" s="3" t="s">
        <v>750</v>
      </c>
      <c r="P649" s="3" t="s">
        <v>102</v>
      </c>
      <c r="Q649" s="3" t="s">
        <v>103</v>
      </c>
      <c r="R649" s="3" t="s">
        <v>103</v>
      </c>
    </row>
    <row r="650" spans="1:18">
      <c r="A650" s="19">
        <v>46324</v>
      </c>
      <c r="B650" s="3" t="s">
        <v>11</v>
      </c>
      <c r="C650" s="3" t="s">
        <v>19</v>
      </c>
      <c r="D650" s="3" t="s">
        <v>13</v>
      </c>
      <c r="E650" s="3" t="s">
        <v>20</v>
      </c>
      <c r="F650" s="3" t="s">
        <v>30</v>
      </c>
      <c r="G650" s="3" t="s">
        <v>31</v>
      </c>
      <c r="H650">
        <v>300000</v>
      </c>
      <c r="I650">
        <v>6</v>
      </c>
      <c r="J650" s="3" t="s">
        <v>39</v>
      </c>
      <c r="K650">
        <v>240000</v>
      </c>
      <c r="L650">
        <v>1800000</v>
      </c>
      <c r="M650">
        <v>1440000</v>
      </c>
      <c r="N650">
        <v>360000</v>
      </c>
      <c r="O650" s="3" t="s">
        <v>751</v>
      </c>
      <c r="P650" s="3" t="s">
        <v>102</v>
      </c>
      <c r="Q650" s="3" t="s">
        <v>103</v>
      </c>
      <c r="R650" s="3" t="s">
        <v>103</v>
      </c>
    </row>
    <row r="651" spans="1:18">
      <c r="A651" s="19">
        <v>46325</v>
      </c>
      <c r="B651" s="3" t="s">
        <v>18</v>
      </c>
      <c r="C651" s="3" t="s">
        <v>26</v>
      </c>
      <c r="D651" s="3" t="s">
        <v>23</v>
      </c>
      <c r="E651" s="3" t="s">
        <v>14</v>
      </c>
      <c r="F651" s="3" t="s">
        <v>33</v>
      </c>
      <c r="G651" s="3" t="s">
        <v>22</v>
      </c>
      <c r="H651">
        <v>180000</v>
      </c>
      <c r="I651">
        <v>5</v>
      </c>
      <c r="J651" s="3" t="s">
        <v>28</v>
      </c>
      <c r="K651">
        <v>144000</v>
      </c>
      <c r="L651">
        <v>900000</v>
      </c>
      <c r="M651">
        <v>720000</v>
      </c>
      <c r="N651">
        <v>180000</v>
      </c>
      <c r="O651" s="3" t="s">
        <v>752</v>
      </c>
      <c r="P651" s="3" t="s">
        <v>102</v>
      </c>
      <c r="Q651" s="3" t="s">
        <v>103</v>
      </c>
      <c r="R651" s="3" t="s">
        <v>103</v>
      </c>
    </row>
    <row r="652" spans="1:18">
      <c r="A652" s="19">
        <v>46326</v>
      </c>
      <c r="B652" s="3" t="s">
        <v>18</v>
      </c>
      <c r="C652" s="3" t="s">
        <v>19</v>
      </c>
      <c r="D652" s="3" t="s">
        <v>23</v>
      </c>
      <c r="E652" s="3" t="s">
        <v>20</v>
      </c>
      <c r="F652" s="3" t="s">
        <v>30</v>
      </c>
      <c r="G652" s="3" t="s">
        <v>31</v>
      </c>
      <c r="H652">
        <v>300000</v>
      </c>
      <c r="I652">
        <v>1</v>
      </c>
      <c r="J652" s="3" t="s">
        <v>37</v>
      </c>
      <c r="K652">
        <v>240000</v>
      </c>
      <c r="L652">
        <v>300000</v>
      </c>
      <c r="M652">
        <v>240000</v>
      </c>
      <c r="N652">
        <v>60000</v>
      </c>
      <c r="O652" s="3" t="s">
        <v>753</v>
      </c>
      <c r="P652" s="3" t="s">
        <v>102</v>
      </c>
      <c r="Q652" s="3" t="s">
        <v>103</v>
      </c>
      <c r="R652" s="3" t="s">
        <v>103</v>
      </c>
    </row>
    <row r="653" spans="1:18">
      <c r="A653" s="19">
        <v>46327</v>
      </c>
      <c r="B653" s="3" t="s">
        <v>11</v>
      </c>
      <c r="C653" s="3" t="s">
        <v>12</v>
      </c>
      <c r="D653" s="3" t="s">
        <v>13</v>
      </c>
      <c r="E653" s="3" t="s">
        <v>20</v>
      </c>
      <c r="F653" s="3" t="s">
        <v>27</v>
      </c>
      <c r="G653" s="3" t="s">
        <v>22</v>
      </c>
      <c r="H653">
        <v>60000</v>
      </c>
      <c r="I653">
        <v>7</v>
      </c>
      <c r="J653" s="3" t="s">
        <v>24</v>
      </c>
      <c r="K653">
        <v>48000</v>
      </c>
      <c r="L653">
        <v>420000</v>
      </c>
      <c r="M653">
        <v>336000</v>
      </c>
      <c r="N653">
        <v>84000</v>
      </c>
      <c r="O653" s="3" t="s">
        <v>754</v>
      </c>
      <c r="P653" s="3" t="s">
        <v>102</v>
      </c>
      <c r="Q653" s="3" t="s">
        <v>103</v>
      </c>
      <c r="R653" s="3" t="s">
        <v>103</v>
      </c>
    </row>
    <row r="654" spans="1:18">
      <c r="A654" s="19">
        <v>46328</v>
      </c>
      <c r="B654" s="3" t="s">
        <v>25</v>
      </c>
      <c r="C654" s="3" t="s">
        <v>26</v>
      </c>
      <c r="D654" s="3" t="s">
        <v>13</v>
      </c>
      <c r="E654" s="3" t="s">
        <v>14</v>
      </c>
      <c r="F654" s="3" t="s">
        <v>21</v>
      </c>
      <c r="G654" s="3" t="s">
        <v>22</v>
      </c>
      <c r="H654">
        <v>30000</v>
      </c>
      <c r="I654">
        <v>8</v>
      </c>
      <c r="J654" s="3" t="s">
        <v>28</v>
      </c>
      <c r="K654">
        <v>24000</v>
      </c>
      <c r="L654">
        <v>240000</v>
      </c>
      <c r="M654">
        <v>192000</v>
      </c>
      <c r="N654">
        <v>48000</v>
      </c>
      <c r="O654" s="3" t="s">
        <v>755</v>
      </c>
      <c r="P654" s="3" t="s">
        <v>102</v>
      </c>
      <c r="Q654" s="3" t="s">
        <v>103</v>
      </c>
      <c r="R654" s="3" t="s">
        <v>103</v>
      </c>
    </row>
    <row r="655" spans="1:18">
      <c r="A655" s="19">
        <v>46329</v>
      </c>
      <c r="B655" s="3" t="s">
        <v>11</v>
      </c>
      <c r="C655" s="3" t="s">
        <v>19</v>
      </c>
      <c r="D655" s="3" t="s">
        <v>23</v>
      </c>
      <c r="E655" s="3" t="s">
        <v>14</v>
      </c>
      <c r="F655" s="3" t="s">
        <v>41</v>
      </c>
      <c r="G655" s="3" t="s">
        <v>22</v>
      </c>
      <c r="H655">
        <v>220000</v>
      </c>
      <c r="I655">
        <v>3</v>
      </c>
      <c r="J655" s="3" t="s">
        <v>35</v>
      </c>
      <c r="K655">
        <v>176000</v>
      </c>
      <c r="L655">
        <v>660000</v>
      </c>
      <c r="M655">
        <v>528000</v>
      </c>
      <c r="N655">
        <v>132000</v>
      </c>
      <c r="O655" s="3" t="s">
        <v>756</v>
      </c>
      <c r="P655" s="3" t="s">
        <v>102</v>
      </c>
      <c r="Q655" s="3" t="s">
        <v>103</v>
      </c>
      <c r="R655" s="3" t="s">
        <v>103</v>
      </c>
    </row>
    <row r="656" spans="1:18">
      <c r="A656" s="19">
        <v>46330</v>
      </c>
      <c r="B656" s="3" t="s">
        <v>25</v>
      </c>
      <c r="C656" s="3" t="s">
        <v>19</v>
      </c>
      <c r="D656" s="3" t="s">
        <v>23</v>
      </c>
      <c r="E656" s="3" t="s">
        <v>14</v>
      </c>
      <c r="F656" s="3" t="s">
        <v>41</v>
      </c>
      <c r="G656" s="3" t="s">
        <v>22</v>
      </c>
      <c r="H656">
        <v>220000</v>
      </c>
      <c r="I656">
        <v>7</v>
      </c>
      <c r="J656" s="3" t="s">
        <v>35</v>
      </c>
      <c r="K656">
        <v>176000</v>
      </c>
      <c r="L656">
        <v>1540000</v>
      </c>
      <c r="M656">
        <v>1232000</v>
      </c>
      <c r="N656">
        <v>308000</v>
      </c>
      <c r="O656" s="3" t="s">
        <v>757</v>
      </c>
      <c r="P656" s="3" t="s">
        <v>102</v>
      </c>
      <c r="Q656" s="3" t="s">
        <v>103</v>
      </c>
      <c r="R656" s="3" t="s">
        <v>103</v>
      </c>
    </row>
    <row r="657" spans="1:18">
      <c r="A657" s="19">
        <v>46331</v>
      </c>
      <c r="B657" s="3" t="s">
        <v>29</v>
      </c>
      <c r="C657" s="3" t="s">
        <v>12</v>
      </c>
      <c r="D657" s="3" t="s">
        <v>13</v>
      </c>
      <c r="E657" s="3" t="s">
        <v>20</v>
      </c>
      <c r="F657" s="3" t="s">
        <v>33</v>
      </c>
      <c r="G657" s="3" t="s">
        <v>22</v>
      </c>
      <c r="H657">
        <v>180000</v>
      </c>
      <c r="I657">
        <v>2</v>
      </c>
      <c r="J657" s="3" t="s">
        <v>24</v>
      </c>
      <c r="K657">
        <v>144000</v>
      </c>
      <c r="L657">
        <v>360000</v>
      </c>
      <c r="M657">
        <v>288000</v>
      </c>
      <c r="N657">
        <v>72000</v>
      </c>
      <c r="O657" s="3" t="s">
        <v>758</v>
      </c>
      <c r="P657" s="3" t="s">
        <v>102</v>
      </c>
      <c r="Q657" s="3" t="s">
        <v>103</v>
      </c>
      <c r="R657" s="3" t="s">
        <v>103</v>
      </c>
    </row>
    <row r="658" spans="1:18">
      <c r="A658" s="19">
        <v>46332</v>
      </c>
      <c r="B658" s="3" t="s">
        <v>11</v>
      </c>
      <c r="C658" s="3" t="s">
        <v>26</v>
      </c>
      <c r="D658" s="3" t="s">
        <v>13</v>
      </c>
      <c r="E658" s="3" t="s">
        <v>20</v>
      </c>
      <c r="F658" s="3" t="s">
        <v>27</v>
      </c>
      <c r="G658" s="3" t="s">
        <v>22</v>
      </c>
      <c r="H658">
        <v>60000</v>
      </c>
      <c r="I658">
        <v>8</v>
      </c>
      <c r="J658" s="3" t="s">
        <v>37</v>
      </c>
      <c r="K658">
        <v>48000</v>
      </c>
      <c r="L658">
        <v>480000</v>
      </c>
      <c r="M658">
        <v>384000</v>
      </c>
      <c r="N658">
        <v>96000</v>
      </c>
      <c r="O658" s="3" t="s">
        <v>759</v>
      </c>
      <c r="P658" s="3" t="s">
        <v>102</v>
      </c>
      <c r="Q658" s="3" t="s">
        <v>103</v>
      </c>
      <c r="R658" s="3" t="s">
        <v>103</v>
      </c>
    </row>
    <row r="659" spans="1:18">
      <c r="A659" s="19">
        <v>46333</v>
      </c>
      <c r="B659" s="3" t="s">
        <v>29</v>
      </c>
      <c r="C659" s="3" t="s">
        <v>19</v>
      </c>
      <c r="D659" s="3" t="s">
        <v>13</v>
      </c>
      <c r="E659" s="3" t="s">
        <v>14</v>
      </c>
      <c r="F659" s="3" t="s">
        <v>21</v>
      </c>
      <c r="G659" s="3" t="s">
        <v>22</v>
      </c>
      <c r="H659">
        <v>30000</v>
      </c>
      <c r="I659">
        <v>2</v>
      </c>
      <c r="J659" s="3" t="s">
        <v>35</v>
      </c>
      <c r="K659">
        <v>24000</v>
      </c>
      <c r="L659">
        <v>60000</v>
      </c>
      <c r="M659">
        <v>48000</v>
      </c>
      <c r="N659">
        <v>12000</v>
      </c>
      <c r="O659" s="3" t="s">
        <v>760</v>
      </c>
      <c r="P659" s="3" t="s">
        <v>102</v>
      </c>
      <c r="Q659" s="3" t="s">
        <v>103</v>
      </c>
      <c r="R659" s="3" t="s">
        <v>103</v>
      </c>
    </row>
    <row r="660" spans="1:18">
      <c r="A660" s="19">
        <v>46334</v>
      </c>
      <c r="B660" s="3" t="s">
        <v>29</v>
      </c>
      <c r="C660" s="3" t="s">
        <v>19</v>
      </c>
      <c r="D660" s="3" t="s">
        <v>23</v>
      </c>
      <c r="E660" s="3" t="s">
        <v>14</v>
      </c>
      <c r="F660" s="3" t="s">
        <v>36</v>
      </c>
      <c r="G660" s="3" t="s">
        <v>31</v>
      </c>
      <c r="H660">
        <v>150000</v>
      </c>
      <c r="I660">
        <v>5</v>
      </c>
      <c r="J660" s="3" t="s">
        <v>35</v>
      </c>
      <c r="K660">
        <v>120000</v>
      </c>
      <c r="L660">
        <v>750000</v>
      </c>
      <c r="M660">
        <v>600000</v>
      </c>
      <c r="N660">
        <v>150000</v>
      </c>
      <c r="O660" s="3" t="s">
        <v>761</v>
      </c>
      <c r="P660" s="3" t="s">
        <v>102</v>
      </c>
      <c r="Q660" s="3" t="s">
        <v>103</v>
      </c>
      <c r="R660" s="3" t="s">
        <v>103</v>
      </c>
    </row>
    <row r="661" spans="1:18">
      <c r="A661" s="19">
        <v>46335</v>
      </c>
      <c r="B661" s="3" t="s">
        <v>11</v>
      </c>
      <c r="C661" s="3" t="s">
        <v>19</v>
      </c>
      <c r="D661" s="3" t="s">
        <v>23</v>
      </c>
      <c r="E661" s="3" t="s">
        <v>20</v>
      </c>
      <c r="F661" s="3" t="s">
        <v>40</v>
      </c>
      <c r="G661" s="3" t="s">
        <v>31</v>
      </c>
      <c r="H661">
        <v>250000</v>
      </c>
      <c r="I661">
        <v>5</v>
      </c>
      <c r="J661" s="3" t="s">
        <v>35</v>
      </c>
      <c r="K661">
        <v>200000</v>
      </c>
      <c r="L661">
        <v>1250000</v>
      </c>
      <c r="M661">
        <v>1000000</v>
      </c>
      <c r="N661">
        <v>250000</v>
      </c>
      <c r="O661" s="3" t="s">
        <v>762</v>
      </c>
      <c r="P661" s="3" t="s">
        <v>102</v>
      </c>
      <c r="Q661" s="3" t="s">
        <v>103</v>
      </c>
      <c r="R661" s="3" t="s">
        <v>103</v>
      </c>
    </row>
    <row r="662" spans="1:18">
      <c r="A662" s="19">
        <v>46336</v>
      </c>
      <c r="B662" s="3" t="s">
        <v>25</v>
      </c>
      <c r="C662" s="3" t="s">
        <v>12</v>
      </c>
      <c r="D662" s="3" t="s">
        <v>23</v>
      </c>
      <c r="E662" s="3" t="s">
        <v>14</v>
      </c>
      <c r="F662" s="3" t="s">
        <v>15</v>
      </c>
      <c r="G662" s="3" t="s">
        <v>16</v>
      </c>
      <c r="H662">
        <v>85000</v>
      </c>
      <c r="I662">
        <v>4</v>
      </c>
      <c r="J662" s="3" t="s">
        <v>24</v>
      </c>
      <c r="K662">
        <v>68000</v>
      </c>
      <c r="L662">
        <v>340000</v>
      </c>
      <c r="M662">
        <v>272000</v>
      </c>
      <c r="N662">
        <v>68000</v>
      </c>
      <c r="O662" s="3" t="s">
        <v>763</v>
      </c>
      <c r="P662" s="3" t="s">
        <v>102</v>
      </c>
      <c r="Q662" s="3" t="s">
        <v>103</v>
      </c>
      <c r="R662" s="3" t="s">
        <v>103</v>
      </c>
    </row>
    <row r="663" spans="1:18">
      <c r="A663" s="19">
        <v>46337</v>
      </c>
      <c r="B663" s="3" t="s">
        <v>11</v>
      </c>
      <c r="C663" s="3" t="s">
        <v>26</v>
      </c>
      <c r="D663" s="3" t="s">
        <v>13</v>
      </c>
      <c r="E663" s="3" t="s">
        <v>20</v>
      </c>
      <c r="F663" s="3" t="s">
        <v>30</v>
      </c>
      <c r="G663" s="3" t="s">
        <v>31</v>
      </c>
      <c r="H663">
        <v>300000</v>
      </c>
      <c r="I663">
        <v>10</v>
      </c>
      <c r="J663" s="3" t="s">
        <v>24</v>
      </c>
      <c r="K663">
        <v>240000</v>
      </c>
      <c r="L663">
        <v>3000000</v>
      </c>
      <c r="M663">
        <v>2400000</v>
      </c>
      <c r="N663">
        <v>600000</v>
      </c>
      <c r="O663" s="3" t="s">
        <v>764</v>
      </c>
      <c r="P663" s="3" t="s">
        <v>102</v>
      </c>
      <c r="Q663" s="3" t="s">
        <v>103</v>
      </c>
      <c r="R663" s="3" t="s">
        <v>103</v>
      </c>
    </row>
    <row r="664" spans="1:18">
      <c r="A664" s="19">
        <v>46338</v>
      </c>
      <c r="B664" s="3" t="s">
        <v>25</v>
      </c>
      <c r="C664" s="3" t="s">
        <v>12</v>
      </c>
      <c r="D664" s="3" t="s">
        <v>23</v>
      </c>
      <c r="E664" s="3" t="s">
        <v>14</v>
      </c>
      <c r="F664" s="3" t="s">
        <v>40</v>
      </c>
      <c r="G664" s="3" t="s">
        <v>31</v>
      </c>
      <c r="H664">
        <v>250000</v>
      </c>
      <c r="I664">
        <v>8</v>
      </c>
      <c r="J664" s="3" t="s">
        <v>39</v>
      </c>
      <c r="K664">
        <v>200000</v>
      </c>
      <c r="L664">
        <v>2000000</v>
      </c>
      <c r="M664">
        <v>1600000</v>
      </c>
      <c r="N664">
        <v>400000</v>
      </c>
      <c r="O664" s="3" t="s">
        <v>765</v>
      </c>
      <c r="P664" s="3" t="s">
        <v>102</v>
      </c>
      <c r="Q664" s="3" t="s">
        <v>103</v>
      </c>
      <c r="R664" s="3" t="s">
        <v>103</v>
      </c>
    </row>
    <row r="665" spans="1:18">
      <c r="A665" s="19">
        <v>46339</v>
      </c>
      <c r="B665" s="3" t="s">
        <v>11</v>
      </c>
      <c r="C665" s="3" t="s">
        <v>19</v>
      </c>
      <c r="D665" s="3" t="s">
        <v>13</v>
      </c>
      <c r="E665" s="3" t="s">
        <v>20</v>
      </c>
      <c r="F665" s="3" t="s">
        <v>34</v>
      </c>
      <c r="G665" s="3" t="s">
        <v>16</v>
      </c>
      <c r="H665">
        <v>320000</v>
      </c>
      <c r="I665">
        <v>4</v>
      </c>
      <c r="J665" s="3" t="s">
        <v>39</v>
      </c>
      <c r="K665">
        <v>256000</v>
      </c>
      <c r="L665">
        <v>1280000</v>
      </c>
      <c r="M665">
        <v>1024000</v>
      </c>
      <c r="N665">
        <v>256000</v>
      </c>
      <c r="O665" s="3" t="s">
        <v>766</v>
      </c>
      <c r="P665" s="3" t="s">
        <v>102</v>
      </c>
      <c r="Q665" s="3" t="s">
        <v>103</v>
      </c>
      <c r="R665" s="3" t="s">
        <v>103</v>
      </c>
    </row>
    <row r="666" spans="1:18">
      <c r="A666" s="19">
        <v>46340</v>
      </c>
      <c r="B666" s="3" t="s">
        <v>29</v>
      </c>
      <c r="C666" s="3" t="s">
        <v>19</v>
      </c>
      <c r="D666" s="3" t="s">
        <v>23</v>
      </c>
      <c r="E666" s="3" t="s">
        <v>20</v>
      </c>
      <c r="F666" s="3" t="s">
        <v>21</v>
      </c>
      <c r="G666" s="3" t="s">
        <v>22</v>
      </c>
      <c r="H666">
        <v>30000</v>
      </c>
      <c r="I666">
        <v>10</v>
      </c>
      <c r="J666" s="3" t="s">
        <v>28</v>
      </c>
      <c r="K666">
        <v>24000</v>
      </c>
      <c r="L666">
        <v>300000</v>
      </c>
      <c r="M666">
        <v>240000</v>
      </c>
      <c r="N666">
        <v>60000</v>
      </c>
      <c r="O666" s="3" t="s">
        <v>767</v>
      </c>
      <c r="P666" s="3" t="s">
        <v>102</v>
      </c>
      <c r="Q666" s="3" t="s">
        <v>103</v>
      </c>
      <c r="R666" s="3" t="s">
        <v>103</v>
      </c>
    </row>
    <row r="667" spans="1:18">
      <c r="A667" s="19">
        <v>46341</v>
      </c>
      <c r="B667" s="3" t="s">
        <v>29</v>
      </c>
      <c r="C667" s="3" t="s">
        <v>12</v>
      </c>
      <c r="D667" s="3" t="s">
        <v>23</v>
      </c>
      <c r="E667" s="3" t="s">
        <v>14</v>
      </c>
      <c r="F667" s="3" t="s">
        <v>40</v>
      </c>
      <c r="G667" s="3" t="s">
        <v>31</v>
      </c>
      <c r="H667">
        <v>250000</v>
      </c>
      <c r="I667">
        <v>4</v>
      </c>
      <c r="J667" s="3" t="s">
        <v>37</v>
      </c>
      <c r="K667">
        <v>200000</v>
      </c>
      <c r="L667">
        <v>1000000</v>
      </c>
      <c r="M667">
        <v>800000</v>
      </c>
      <c r="N667">
        <v>200000</v>
      </c>
      <c r="O667" s="3" t="s">
        <v>768</v>
      </c>
      <c r="P667" s="3" t="s">
        <v>102</v>
      </c>
      <c r="Q667" s="3" t="s">
        <v>103</v>
      </c>
      <c r="R667" s="3" t="s">
        <v>103</v>
      </c>
    </row>
    <row r="668" spans="1:18">
      <c r="A668" s="19">
        <v>46342</v>
      </c>
      <c r="B668" s="3" t="s">
        <v>18</v>
      </c>
      <c r="C668" s="3" t="s">
        <v>12</v>
      </c>
      <c r="D668" s="3" t="s">
        <v>23</v>
      </c>
      <c r="E668" s="3" t="s">
        <v>14</v>
      </c>
      <c r="F668" s="3" t="s">
        <v>34</v>
      </c>
      <c r="G668" s="3" t="s">
        <v>16</v>
      </c>
      <c r="H668">
        <v>320000</v>
      </c>
      <c r="I668">
        <v>5</v>
      </c>
      <c r="J668" s="3" t="s">
        <v>28</v>
      </c>
      <c r="K668">
        <v>256000</v>
      </c>
      <c r="L668">
        <v>1600000</v>
      </c>
      <c r="M668">
        <v>1280000</v>
      </c>
      <c r="N668">
        <v>320000</v>
      </c>
      <c r="O668" s="3" t="s">
        <v>769</v>
      </c>
      <c r="P668" s="3" t="s">
        <v>102</v>
      </c>
      <c r="Q668" s="3" t="s">
        <v>103</v>
      </c>
      <c r="R668" s="3" t="s">
        <v>103</v>
      </c>
    </row>
    <row r="669" spans="1:18">
      <c r="A669" s="19">
        <v>46343</v>
      </c>
      <c r="B669" s="3" t="s">
        <v>18</v>
      </c>
      <c r="C669" s="3" t="s">
        <v>19</v>
      </c>
      <c r="D669" s="3" t="s">
        <v>13</v>
      </c>
      <c r="E669" s="3" t="s">
        <v>20</v>
      </c>
      <c r="F669" s="3" t="s">
        <v>34</v>
      </c>
      <c r="G669" s="3" t="s">
        <v>16</v>
      </c>
      <c r="H669">
        <v>320000</v>
      </c>
      <c r="I669">
        <v>9</v>
      </c>
      <c r="J669" s="3" t="s">
        <v>39</v>
      </c>
      <c r="K669">
        <v>256000</v>
      </c>
      <c r="L669">
        <v>2880000</v>
      </c>
      <c r="M669">
        <v>2304000</v>
      </c>
      <c r="N669">
        <v>576000</v>
      </c>
      <c r="O669" s="3" t="s">
        <v>770</v>
      </c>
      <c r="P669" s="3" t="s">
        <v>102</v>
      </c>
      <c r="Q669" s="3" t="s">
        <v>103</v>
      </c>
      <c r="R669" s="3" t="s">
        <v>103</v>
      </c>
    </row>
    <row r="670" spans="1:18">
      <c r="A670" s="19">
        <v>46344</v>
      </c>
      <c r="B670" s="3" t="s">
        <v>18</v>
      </c>
      <c r="C670" s="3" t="s">
        <v>19</v>
      </c>
      <c r="D670" s="3" t="s">
        <v>13</v>
      </c>
      <c r="E670" s="3" t="s">
        <v>14</v>
      </c>
      <c r="F670" s="3" t="s">
        <v>33</v>
      </c>
      <c r="G670" s="3" t="s">
        <v>22</v>
      </c>
      <c r="H670">
        <v>180000</v>
      </c>
      <c r="I670">
        <v>1</v>
      </c>
      <c r="J670" s="3" t="s">
        <v>37</v>
      </c>
      <c r="K670">
        <v>144000</v>
      </c>
      <c r="L670">
        <v>180000</v>
      </c>
      <c r="M670">
        <v>144000</v>
      </c>
      <c r="N670">
        <v>36000</v>
      </c>
      <c r="O670" s="3" t="s">
        <v>771</v>
      </c>
      <c r="P670" s="3" t="s">
        <v>102</v>
      </c>
      <c r="Q670" s="3" t="s">
        <v>103</v>
      </c>
      <c r="R670" s="3" t="s">
        <v>103</v>
      </c>
    </row>
    <row r="671" spans="1:18">
      <c r="A671" s="19">
        <v>46345</v>
      </c>
      <c r="B671" s="3" t="s">
        <v>25</v>
      </c>
      <c r="C671" s="3" t="s">
        <v>12</v>
      </c>
      <c r="D671" s="3" t="s">
        <v>13</v>
      </c>
      <c r="E671" s="3" t="s">
        <v>14</v>
      </c>
      <c r="F671" s="3" t="s">
        <v>21</v>
      </c>
      <c r="G671" s="3" t="s">
        <v>22</v>
      </c>
      <c r="H671">
        <v>30000</v>
      </c>
      <c r="I671">
        <v>7</v>
      </c>
      <c r="J671" s="3" t="s">
        <v>28</v>
      </c>
      <c r="K671">
        <v>24000</v>
      </c>
      <c r="L671">
        <v>210000</v>
      </c>
      <c r="M671">
        <v>168000</v>
      </c>
      <c r="N671">
        <v>42000</v>
      </c>
      <c r="O671" s="3" t="s">
        <v>772</v>
      </c>
      <c r="P671" s="3" t="s">
        <v>102</v>
      </c>
      <c r="Q671" s="3" t="s">
        <v>103</v>
      </c>
      <c r="R671" s="3" t="s">
        <v>103</v>
      </c>
    </row>
    <row r="672" spans="1:18">
      <c r="A672" s="19">
        <v>46346</v>
      </c>
      <c r="B672" s="3" t="s">
        <v>29</v>
      </c>
      <c r="C672" s="3" t="s">
        <v>32</v>
      </c>
      <c r="D672" s="3" t="s">
        <v>23</v>
      </c>
      <c r="E672" s="3" t="s">
        <v>20</v>
      </c>
      <c r="F672" s="3" t="s">
        <v>41</v>
      </c>
      <c r="G672" s="3" t="s">
        <v>22</v>
      </c>
      <c r="H672">
        <v>220000</v>
      </c>
      <c r="I672">
        <v>5</v>
      </c>
      <c r="J672" s="3" t="s">
        <v>35</v>
      </c>
      <c r="K672">
        <v>176000</v>
      </c>
      <c r="L672">
        <v>1100000</v>
      </c>
      <c r="M672">
        <v>880000</v>
      </c>
      <c r="N672">
        <v>220000</v>
      </c>
      <c r="O672" s="3" t="s">
        <v>773</v>
      </c>
      <c r="P672" s="3" t="s">
        <v>102</v>
      </c>
      <c r="Q672" s="3" t="s">
        <v>103</v>
      </c>
      <c r="R672" s="3" t="s">
        <v>103</v>
      </c>
    </row>
    <row r="673" spans="1:18">
      <c r="A673" s="19">
        <v>46347</v>
      </c>
      <c r="B673" s="3" t="s">
        <v>29</v>
      </c>
      <c r="C673" s="3" t="s">
        <v>32</v>
      </c>
      <c r="D673" s="3" t="s">
        <v>23</v>
      </c>
      <c r="E673" s="3" t="s">
        <v>14</v>
      </c>
      <c r="F673" s="3" t="s">
        <v>33</v>
      </c>
      <c r="G673" s="3" t="s">
        <v>22</v>
      </c>
      <c r="H673">
        <v>180000</v>
      </c>
      <c r="I673">
        <v>4</v>
      </c>
      <c r="J673" s="3" t="s">
        <v>39</v>
      </c>
      <c r="K673">
        <v>144000</v>
      </c>
      <c r="L673">
        <v>720000</v>
      </c>
      <c r="M673">
        <v>576000</v>
      </c>
      <c r="N673">
        <v>144000</v>
      </c>
      <c r="O673" s="3" t="s">
        <v>774</v>
      </c>
      <c r="P673" s="3" t="s">
        <v>102</v>
      </c>
      <c r="Q673" s="3" t="s">
        <v>103</v>
      </c>
      <c r="R673" s="3" t="s">
        <v>103</v>
      </c>
    </row>
    <row r="674" spans="1:18">
      <c r="A674" s="19">
        <v>46348</v>
      </c>
      <c r="B674" s="3" t="s">
        <v>25</v>
      </c>
      <c r="C674" s="3" t="s">
        <v>12</v>
      </c>
      <c r="D674" s="3" t="s">
        <v>23</v>
      </c>
      <c r="E674" s="3" t="s">
        <v>14</v>
      </c>
      <c r="F674" s="3" t="s">
        <v>33</v>
      </c>
      <c r="G674" s="3" t="s">
        <v>22</v>
      </c>
      <c r="H674">
        <v>180000</v>
      </c>
      <c r="I674">
        <v>2</v>
      </c>
      <c r="J674" s="3" t="s">
        <v>28</v>
      </c>
      <c r="K674">
        <v>144000</v>
      </c>
      <c r="L674">
        <v>360000</v>
      </c>
      <c r="M674">
        <v>288000</v>
      </c>
      <c r="N674">
        <v>72000</v>
      </c>
      <c r="O674" s="3" t="s">
        <v>775</v>
      </c>
      <c r="P674" s="3" t="s">
        <v>102</v>
      </c>
      <c r="Q674" s="3" t="s">
        <v>103</v>
      </c>
      <c r="R674" s="3" t="s">
        <v>103</v>
      </c>
    </row>
    <row r="675" spans="1:18">
      <c r="A675" s="19">
        <v>46349</v>
      </c>
      <c r="B675" s="3" t="s">
        <v>11</v>
      </c>
      <c r="C675" s="3" t="s">
        <v>26</v>
      </c>
      <c r="D675" s="3" t="s">
        <v>23</v>
      </c>
      <c r="E675" s="3" t="s">
        <v>14</v>
      </c>
      <c r="F675" s="3" t="s">
        <v>41</v>
      </c>
      <c r="G675" s="3" t="s">
        <v>22</v>
      </c>
      <c r="H675">
        <v>220000</v>
      </c>
      <c r="I675">
        <v>2</v>
      </c>
      <c r="J675" s="3" t="s">
        <v>37</v>
      </c>
      <c r="K675">
        <v>176000</v>
      </c>
      <c r="L675">
        <v>440000</v>
      </c>
      <c r="M675">
        <v>352000</v>
      </c>
      <c r="N675">
        <v>88000</v>
      </c>
      <c r="O675" s="3" t="s">
        <v>776</v>
      </c>
      <c r="P675" s="3" t="s">
        <v>102</v>
      </c>
      <c r="Q675" s="3" t="s">
        <v>103</v>
      </c>
      <c r="R675" s="3" t="s">
        <v>103</v>
      </c>
    </row>
    <row r="676" spans="1:18">
      <c r="A676" s="19">
        <v>46350</v>
      </c>
      <c r="B676" s="3" t="s">
        <v>11</v>
      </c>
      <c r="C676" s="3" t="s">
        <v>19</v>
      </c>
      <c r="D676" s="3" t="s">
        <v>23</v>
      </c>
      <c r="E676" s="3" t="s">
        <v>20</v>
      </c>
      <c r="F676" s="3" t="s">
        <v>27</v>
      </c>
      <c r="G676" s="3" t="s">
        <v>22</v>
      </c>
      <c r="H676">
        <v>60000</v>
      </c>
      <c r="I676">
        <v>10</v>
      </c>
      <c r="J676" s="3" t="s">
        <v>37</v>
      </c>
      <c r="K676">
        <v>48000</v>
      </c>
      <c r="L676">
        <v>600000</v>
      </c>
      <c r="M676">
        <v>480000</v>
      </c>
      <c r="N676">
        <v>120000</v>
      </c>
      <c r="O676" s="3" t="s">
        <v>777</v>
      </c>
      <c r="P676" s="3" t="s">
        <v>102</v>
      </c>
      <c r="Q676" s="3" t="s">
        <v>103</v>
      </c>
      <c r="R676" s="3" t="s">
        <v>103</v>
      </c>
    </row>
    <row r="677" spans="1:18">
      <c r="A677" s="19">
        <v>46351</v>
      </c>
      <c r="B677" s="3" t="s">
        <v>29</v>
      </c>
      <c r="C677" s="3" t="s">
        <v>12</v>
      </c>
      <c r="D677" s="3" t="s">
        <v>13</v>
      </c>
      <c r="E677" s="3" t="s">
        <v>20</v>
      </c>
      <c r="F677" s="3" t="s">
        <v>21</v>
      </c>
      <c r="G677" s="3" t="s">
        <v>22</v>
      </c>
      <c r="H677">
        <v>30000</v>
      </c>
      <c r="I677">
        <v>2</v>
      </c>
      <c r="J677" s="3" t="s">
        <v>39</v>
      </c>
      <c r="K677">
        <v>24000</v>
      </c>
      <c r="L677">
        <v>60000</v>
      </c>
      <c r="M677">
        <v>48000</v>
      </c>
      <c r="N677">
        <v>12000</v>
      </c>
      <c r="O677" s="3" t="s">
        <v>778</v>
      </c>
      <c r="P677" s="3" t="s">
        <v>102</v>
      </c>
      <c r="Q677" s="3" t="s">
        <v>103</v>
      </c>
      <c r="R677" s="3" t="s">
        <v>103</v>
      </c>
    </row>
    <row r="678" spans="1:18">
      <c r="A678" s="19">
        <v>46352</v>
      </c>
      <c r="B678" s="3" t="s">
        <v>18</v>
      </c>
      <c r="C678" s="3" t="s">
        <v>19</v>
      </c>
      <c r="D678" s="3" t="s">
        <v>23</v>
      </c>
      <c r="E678" s="3" t="s">
        <v>14</v>
      </c>
      <c r="F678" s="3" t="s">
        <v>30</v>
      </c>
      <c r="G678" s="3" t="s">
        <v>31</v>
      </c>
      <c r="H678">
        <v>300000</v>
      </c>
      <c r="I678">
        <v>3</v>
      </c>
      <c r="J678" s="3" t="s">
        <v>24</v>
      </c>
      <c r="K678">
        <v>240000</v>
      </c>
      <c r="L678">
        <v>900000</v>
      </c>
      <c r="M678">
        <v>720000</v>
      </c>
      <c r="N678">
        <v>180000</v>
      </c>
      <c r="O678" s="3" t="s">
        <v>779</v>
      </c>
      <c r="P678" s="3" t="s">
        <v>102</v>
      </c>
      <c r="Q678" s="3" t="s">
        <v>103</v>
      </c>
      <c r="R678" s="3" t="s">
        <v>103</v>
      </c>
    </row>
    <row r="679" spans="1:18">
      <c r="A679" s="19">
        <v>46353</v>
      </c>
      <c r="B679" s="3" t="s">
        <v>25</v>
      </c>
      <c r="C679" s="3" t="s">
        <v>26</v>
      </c>
      <c r="D679" s="3" t="s">
        <v>13</v>
      </c>
      <c r="E679" s="3" t="s">
        <v>20</v>
      </c>
      <c r="F679" s="3" t="s">
        <v>21</v>
      </c>
      <c r="G679" s="3" t="s">
        <v>22</v>
      </c>
      <c r="H679">
        <v>30000</v>
      </c>
      <c r="I679">
        <v>8</v>
      </c>
      <c r="J679" s="3" t="s">
        <v>17</v>
      </c>
      <c r="K679">
        <v>24000</v>
      </c>
      <c r="L679">
        <v>240000</v>
      </c>
      <c r="M679">
        <v>192000</v>
      </c>
      <c r="N679">
        <v>48000</v>
      </c>
      <c r="O679" s="3" t="s">
        <v>780</v>
      </c>
      <c r="P679" s="3" t="s">
        <v>102</v>
      </c>
      <c r="Q679" s="3" t="s">
        <v>103</v>
      </c>
      <c r="R679" s="3" t="s">
        <v>103</v>
      </c>
    </row>
    <row r="680" spans="1:18">
      <c r="A680" s="19">
        <v>46354</v>
      </c>
      <c r="B680" s="3" t="s">
        <v>29</v>
      </c>
      <c r="C680" s="3" t="s">
        <v>12</v>
      </c>
      <c r="D680" s="3" t="s">
        <v>13</v>
      </c>
      <c r="E680" s="3" t="s">
        <v>14</v>
      </c>
      <c r="F680" s="3" t="s">
        <v>30</v>
      </c>
      <c r="G680" s="3" t="s">
        <v>31</v>
      </c>
      <c r="H680">
        <v>300000</v>
      </c>
      <c r="I680">
        <v>7</v>
      </c>
      <c r="J680" s="3" t="s">
        <v>17</v>
      </c>
      <c r="K680">
        <v>240000</v>
      </c>
      <c r="L680">
        <v>2100000</v>
      </c>
      <c r="M680">
        <v>1680000</v>
      </c>
      <c r="N680">
        <v>420000</v>
      </c>
      <c r="O680" s="3" t="s">
        <v>781</v>
      </c>
      <c r="P680" s="3" t="s">
        <v>102</v>
      </c>
      <c r="Q680" s="3" t="s">
        <v>103</v>
      </c>
      <c r="R680" s="3" t="s">
        <v>103</v>
      </c>
    </row>
    <row r="681" spans="1:18">
      <c r="A681" s="19">
        <v>46355</v>
      </c>
      <c r="B681" s="3" t="s">
        <v>18</v>
      </c>
      <c r="C681" s="3" t="s">
        <v>12</v>
      </c>
      <c r="D681" s="3" t="s">
        <v>13</v>
      </c>
      <c r="E681" s="3" t="s">
        <v>14</v>
      </c>
      <c r="F681" s="3" t="s">
        <v>21</v>
      </c>
      <c r="G681" s="3" t="s">
        <v>22</v>
      </c>
      <c r="H681">
        <v>30000</v>
      </c>
      <c r="I681">
        <v>2</v>
      </c>
      <c r="J681" s="3" t="s">
        <v>35</v>
      </c>
      <c r="K681">
        <v>24000</v>
      </c>
      <c r="L681">
        <v>60000</v>
      </c>
      <c r="M681">
        <v>48000</v>
      </c>
      <c r="N681">
        <v>12000</v>
      </c>
      <c r="O681" s="3" t="s">
        <v>782</v>
      </c>
      <c r="P681" s="3" t="s">
        <v>102</v>
      </c>
      <c r="Q681" s="3" t="s">
        <v>103</v>
      </c>
      <c r="R681" s="3" t="s">
        <v>103</v>
      </c>
    </row>
    <row r="682" spans="1:18">
      <c r="A682" s="19">
        <v>46356</v>
      </c>
      <c r="B682" s="3" t="s">
        <v>18</v>
      </c>
      <c r="C682" s="3" t="s">
        <v>12</v>
      </c>
      <c r="D682" s="3" t="s">
        <v>23</v>
      </c>
      <c r="E682" s="3" t="s">
        <v>20</v>
      </c>
      <c r="F682" s="3" t="s">
        <v>41</v>
      </c>
      <c r="G682" s="3" t="s">
        <v>22</v>
      </c>
      <c r="H682">
        <v>220000</v>
      </c>
      <c r="I682">
        <v>8</v>
      </c>
      <c r="J682" s="3" t="s">
        <v>28</v>
      </c>
      <c r="K682">
        <v>176000</v>
      </c>
      <c r="L682">
        <v>1760000</v>
      </c>
      <c r="M682">
        <v>1408000</v>
      </c>
      <c r="N682">
        <v>352000</v>
      </c>
      <c r="O682" s="3" t="s">
        <v>783</v>
      </c>
      <c r="P682" s="3" t="s">
        <v>102</v>
      </c>
      <c r="Q682" s="3" t="s">
        <v>103</v>
      </c>
      <c r="R682" s="3" t="s">
        <v>103</v>
      </c>
    </row>
    <row r="683" spans="1:18">
      <c r="A683" s="19">
        <v>46357</v>
      </c>
      <c r="B683" s="3" t="s">
        <v>11</v>
      </c>
      <c r="C683" s="3" t="s">
        <v>26</v>
      </c>
      <c r="D683" s="3" t="s">
        <v>13</v>
      </c>
      <c r="E683" s="3" t="s">
        <v>14</v>
      </c>
      <c r="F683" s="3" t="s">
        <v>27</v>
      </c>
      <c r="G683" s="3" t="s">
        <v>22</v>
      </c>
      <c r="H683">
        <v>60000</v>
      </c>
      <c r="I683">
        <v>1</v>
      </c>
      <c r="J683" s="3" t="s">
        <v>17</v>
      </c>
      <c r="K683">
        <v>48000</v>
      </c>
      <c r="L683">
        <v>60000</v>
      </c>
      <c r="M683">
        <v>48000</v>
      </c>
      <c r="N683">
        <v>12000</v>
      </c>
      <c r="O683" s="3" t="s">
        <v>784</v>
      </c>
      <c r="P683" s="3" t="s">
        <v>102</v>
      </c>
      <c r="Q683" s="3" t="s">
        <v>103</v>
      </c>
      <c r="R683" s="3" t="s">
        <v>103</v>
      </c>
    </row>
    <row r="684" spans="1:18">
      <c r="A684" s="19">
        <v>46358</v>
      </c>
      <c r="B684" s="3" t="s">
        <v>25</v>
      </c>
      <c r="C684" s="3" t="s">
        <v>26</v>
      </c>
      <c r="D684" s="3" t="s">
        <v>23</v>
      </c>
      <c r="E684" s="3" t="s">
        <v>14</v>
      </c>
      <c r="F684" s="3" t="s">
        <v>15</v>
      </c>
      <c r="G684" s="3" t="s">
        <v>16</v>
      </c>
      <c r="H684">
        <v>85000</v>
      </c>
      <c r="I684">
        <v>9</v>
      </c>
      <c r="J684" s="3" t="s">
        <v>37</v>
      </c>
      <c r="K684">
        <v>68000</v>
      </c>
      <c r="L684">
        <v>765000</v>
      </c>
      <c r="M684">
        <v>612000</v>
      </c>
      <c r="N684">
        <v>153000</v>
      </c>
      <c r="O684" s="3" t="s">
        <v>785</v>
      </c>
      <c r="P684" s="3" t="s">
        <v>102</v>
      </c>
      <c r="Q684" s="3" t="s">
        <v>103</v>
      </c>
      <c r="R684" s="3" t="s">
        <v>103</v>
      </c>
    </row>
    <row r="685" spans="1:18">
      <c r="A685" s="19">
        <v>46359</v>
      </c>
      <c r="B685" s="3" t="s">
        <v>18</v>
      </c>
      <c r="C685" s="3" t="s">
        <v>19</v>
      </c>
      <c r="D685" s="3" t="s">
        <v>13</v>
      </c>
      <c r="E685" s="3" t="s">
        <v>20</v>
      </c>
      <c r="F685" s="3" t="s">
        <v>15</v>
      </c>
      <c r="G685" s="3" t="s">
        <v>16</v>
      </c>
      <c r="H685">
        <v>85000</v>
      </c>
      <c r="I685">
        <v>4</v>
      </c>
      <c r="J685" s="3" t="s">
        <v>35</v>
      </c>
      <c r="K685">
        <v>68000</v>
      </c>
      <c r="L685">
        <v>340000</v>
      </c>
      <c r="M685">
        <v>272000</v>
      </c>
      <c r="N685">
        <v>68000</v>
      </c>
      <c r="O685" s="3" t="s">
        <v>786</v>
      </c>
      <c r="P685" s="3" t="s">
        <v>102</v>
      </c>
      <c r="Q685" s="3" t="s">
        <v>103</v>
      </c>
      <c r="R685" s="3" t="s">
        <v>103</v>
      </c>
    </row>
    <row r="686" spans="1:18">
      <c r="A686" s="19">
        <v>46360</v>
      </c>
      <c r="B686" s="3" t="s">
        <v>18</v>
      </c>
      <c r="C686" s="3" t="s">
        <v>32</v>
      </c>
      <c r="D686" s="3" t="s">
        <v>23</v>
      </c>
      <c r="E686" s="3" t="s">
        <v>20</v>
      </c>
      <c r="F686" s="3" t="s">
        <v>33</v>
      </c>
      <c r="G686" s="3" t="s">
        <v>22</v>
      </c>
      <c r="H686">
        <v>180000</v>
      </c>
      <c r="I686">
        <v>6</v>
      </c>
      <c r="J686" s="3" t="s">
        <v>17</v>
      </c>
      <c r="K686">
        <v>144000</v>
      </c>
      <c r="L686">
        <v>1080000</v>
      </c>
      <c r="M686">
        <v>864000</v>
      </c>
      <c r="N686">
        <v>216000</v>
      </c>
      <c r="O686" s="3" t="s">
        <v>787</v>
      </c>
      <c r="P686" s="3" t="s">
        <v>102</v>
      </c>
      <c r="Q686" s="3" t="s">
        <v>103</v>
      </c>
      <c r="R686" s="3" t="s">
        <v>103</v>
      </c>
    </row>
    <row r="687" spans="1:18">
      <c r="A687" s="19">
        <v>46361</v>
      </c>
      <c r="B687" s="3" t="s">
        <v>11</v>
      </c>
      <c r="C687" s="3" t="s">
        <v>32</v>
      </c>
      <c r="D687" s="3" t="s">
        <v>13</v>
      </c>
      <c r="E687" s="3" t="s">
        <v>14</v>
      </c>
      <c r="F687" s="3" t="s">
        <v>33</v>
      </c>
      <c r="G687" s="3" t="s">
        <v>22</v>
      </c>
      <c r="H687">
        <v>180000</v>
      </c>
      <c r="I687">
        <v>2</v>
      </c>
      <c r="J687" s="3" t="s">
        <v>39</v>
      </c>
      <c r="K687">
        <v>144000</v>
      </c>
      <c r="L687">
        <v>360000</v>
      </c>
      <c r="M687">
        <v>288000</v>
      </c>
      <c r="N687">
        <v>72000</v>
      </c>
      <c r="O687" s="3" t="s">
        <v>788</v>
      </c>
      <c r="P687" s="3" t="s">
        <v>102</v>
      </c>
      <c r="Q687" s="3" t="s">
        <v>103</v>
      </c>
      <c r="R687" s="3" t="s">
        <v>103</v>
      </c>
    </row>
    <row r="688" spans="1:18">
      <c r="A688" s="19">
        <v>46362</v>
      </c>
      <c r="B688" s="3" t="s">
        <v>29</v>
      </c>
      <c r="C688" s="3" t="s">
        <v>12</v>
      </c>
      <c r="D688" s="3" t="s">
        <v>13</v>
      </c>
      <c r="E688" s="3" t="s">
        <v>14</v>
      </c>
      <c r="F688" s="3" t="s">
        <v>27</v>
      </c>
      <c r="G688" s="3" t="s">
        <v>22</v>
      </c>
      <c r="H688">
        <v>60000</v>
      </c>
      <c r="I688">
        <v>8</v>
      </c>
      <c r="J688" s="3" t="s">
        <v>28</v>
      </c>
      <c r="K688">
        <v>48000</v>
      </c>
      <c r="L688">
        <v>480000</v>
      </c>
      <c r="M688">
        <v>384000</v>
      </c>
      <c r="N688">
        <v>96000</v>
      </c>
      <c r="O688" s="3" t="s">
        <v>789</v>
      </c>
      <c r="P688" s="3" t="s">
        <v>102</v>
      </c>
      <c r="Q688" s="3" t="s">
        <v>103</v>
      </c>
      <c r="R688" s="3" t="s">
        <v>103</v>
      </c>
    </row>
    <row r="689" spans="1:18">
      <c r="A689" s="19">
        <v>46363</v>
      </c>
      <c r="B689" s="3" t="s">
        <v>29</v>
      </c>
      <c r="C689" s="3" t="s">
        <v>32</v>
      </c>
      <c r="D689" s="3" t="s">
        <v>13</v>
      </c>
      <c r="E689" s="3" t="s">
        <v>14</v>
      </c>
      <c r="F689" s="3" t="s">
        <v>34</v>
      </c>
      <c r="G689" s="3" t="s">
        <v>16</v>
      </c>
      <c r="H689">
        <v>320000</v>
      </c>
      <c r="I689">
        <v>4</v>
      </c>
      <c r="J689" s="3" t="s">
        <v>35</v>
      </c>
      <c r="K689">
        <v>256000</v>
      </c>
      <c r="L689">
        <v>1280000</v>
      </c>
      <c r="M689">
        <v>1024000</v>
      </c>
      <c r="N689">
        <v>256000</v>
      </c>
      <c r="O689" s="3" t="s">
        <v>790</v>
      </c>
      <c r="P689" s="3" t="s">
        <v>102</v>
      </c>
      <c r="Q689" s="3" t="s">
        <v>103</v>
      </c>
      <c r="R689" s="3" t="s">
        <v>103</v>
      </c>
    </row>
    <row r="690" spans="1:18">
      <c r="A690" s="19">
        <v>46364</v>
      </c>
      <c r="B690" s="3" t="s">
        <v>18</v>
      </c>
      <c r="C690" s="3" t="s">
        <v>19</v>
      </c>
      <c r="D690" s="3" t="s">
        <v>23</v>
      </c>
      <c r="E690" s="3" t="s">
        <v>14</v>
      </c>
      <c r="F690" s="3" t="s">
        <v>33</v>
      </c>
      <c r="G690" s="3" t="s">
        <v>22</v>
      </c>
      <c r="H690">
        <v>180000</v>
      </c>
      <c r="I690">
        <v>3</v>
      </c>
      <c r="J690" s="3" t="s">
        <v>24</v>
      </c>
      <c r="K690">
        <v>144000</v>
      </c>
      <c r="L690">
        <v>540000</v>
      </c>
      <c r="M690">
        <v>432000</v>
      </c>
      <c r="N690">
        <v>108000</v>
      </c>
      <c r="O690" s="3" t="s">
        <v>791</v>
      </c>
      <c r="P690" s="3" t="s">
        <v>102</v>
      </c>
      <c r="Q690" s="3" t="s">
        <v>103</v>
      </c>
      <c r="R690" s="3" t="s">
        <v>103</v>
      </c>
    </row>
    <row r="691" spans="1:18">
      <c r="A691" s="19">
        <v>46365</v>
      </c>
      <c r="B691" s="3" t="s">
        <v>18</v>
      </c>
      <c r="C691" s="3" t="s">
        <v>12</v>
      </c>
      <c r="D691" s="3" t="s">
        <v>13</v>
      </c>
      <c r="E691" s="3" t="s">
        <v>20</v>
      </c>
      <c r="F691" s="3" t="s">
        <v>36</v>
      </c>
      <c r="G691" s="3" t="s">
        <v>31</v>
      </c>
      <c r="H691">
        <v>150000</v>
      </c>
      <c r="I691">
        <v>9</v>
      </c>
      <c r="J691" s="3" t="s">
        <v>28</v>
      </c>
      <c r="K691">
        <v>120000</v>
      </c>
      <c r="L691">
        <v>1350000</v>
      </c>
      <c r="M691">
        <v>1080000</v>
      </c>
      <c r="N691">
        <v>270000</v>
      </c>
      <c r="O691" s="3" t="s">
        <v>792</v>
      </c>
      <c r="P691" s="3" t="s">
        <v>102</v>
      </c>
      <c r="Q691" s="3" t="s">
        <v>103</v>
      </c>
      <c r="R691" s="3" t="s">
        <v>103</v>
      </c>
    </row>
    <row r="692" spans="1:18">
      <c r="A692" s="19">
        <v>46366</v>
      </c>
      <c r="B692" s="3" t="s">
        <v>18</v>
      </c>
      <c r="C692" s="3" t="s">
        <v>19</v>
      </c>
      <c r="D692" s="3" t="s">
        <v>23</v>
      </c>
      <c r="E692" s="3" t="s">
        <v>20</v>
      </c>
      <c r="F692" s="3" t="s">
        <v>15</v>
      </c>
      <c r="G692" s="3" t="s">
        <v>16</v>
      </c>
      <c r="H692">
        <v>85000</v>
      </c>
      <c r="I692">
        <v>4</v>
      </c>
      <c r="J692" s="3" t="s">
        <v>17</v>
      </c>
      <c r="K692">
        <v>68000</v>
      </c>
      <c r="L692">
        <v>340000</v>
      </c>
      <c r="M692">
        <v>272000</v>
      </c>
      <c r="N692">
        <v>68000</v>
      </c>
      <c r="O692" s="3" t="s">
        <v>793</v>
      </c>
      <c r="P692" s="3" t="s">
        <v>102</v>
      </c>
      <c r="Q692" s="3" t="s">
        <v>103</v>
      </c>
      <c r="R692" s="3" t="s">
        <v>103</v>
      </c>
    </row>
    <row r="693" spans="1:18">
      <c r="A693" s="19">
        <v>46367</v>
      </c>
      <c r="B693" s="3" t="s">
        <v>25</v>
      </c>
      <c r="C693" s="3" t="s">
        <v>26</v>
      </c>
      <c r="D693" s="3" t="s">
        <v>13</v>
      </c>
      <c r="E693" s="3" t="s">
        <v>14</v>
      </c>
      <c r="F693" s="3" t="s">
        <v>41</v>
      </c>
      <c r="G693" s="3" t="s">
        <v>22</v>
      </c>
      <c r="H693">
        <v>220000</v>
      </c>
      <c r="I693">
        <v>4</v>
      </c>
      <c r="J693" s="3" t="s">
        <v>17</v>
      </c>
      <c r="K693">
        <v>176000</v>
      </c>
      <c r="L693">
        <v>880000</v>
      </c>
      <c r="M693">
        <v>704000</v>
      </c>
      <c r="N693">
        <v>176000</v>
      </c>
      <c r="O693" s="3" t="s">
        <v>794</v>
      </c>
      <c r="P693" s="3" t="s">
        <v>102</v>
      </c>
      <c r="Q693" s="3" t="s">
        <v>103</v>
      </c>
      <c r="R693" s="3" t="s">
        <v>103</v>
      </c>
    </row>
    <row r="694" spans="1:18">
      <c r="A694" s="19">
        <v>46368</v>
      </c>
      <c r="B694" s="3" t="s">
        <v>29</v>
      </c>
      <c r="C694" s="3" t="s">
        <v>12</v>
      </c>
      <c r="D694" s="3" t="s">
        <v>13</v>
      </c>
      <c r="E694" s="3" t="s">
        <v>14</v>
      </c>
      <c r="F694" s="3" t="s">
        <v>21</v>
      </c>
      <c r="G694" s="3" t="s">
        <v>22</v>
      </c>
      <c r="H694">
        <v>30000</v>
      </c>
      <c r="I694">
        <v>8</v>
      </c>
      <c r="J694" s="3" t="s">
        <v>37</v>
      </c>
      <c r="K694">
        <v>24000</v>
      </c>
      <c r="L694">
        <v>240000</v>
      </c>
      <c r="M694">
        <v>192000</v>
      </c>
      <c r="N694">
        <v>48000</v>
      </c>
      <c r="O694" s="3" t="s">
        <v>795</v>
      </c>
      <c r="P694" s="3" t="s">
        <v>102</v>
      </c>
      <c r="Q694" s="3" t="s">
        <v>103</v>
      </c>
      <c r="R694" s="3" t="s">
        <v>103</v>
      </c>
    </row>
    <row r="695" spans="1:18">
      <c r="A695" s="19">
        <v>46369</v>
      </c>
      <c r="B695" s="3" t="s">
        <v>25</v>
      </c>
      <c r="C695" s="3" t="s">
        <v>12</v>
      </c>
      <c r="D695" s="3" t="s">
        <v>13</v>
      </c>
      <c r="E695" s="3" t="s">
        <v>14</v>
      </c>
      <c r="F695" s="3" t="s">
        <v>15</v>
      </c>
      <c r="G695" s="3" t="s">
        <v>16</v>
      </c>
      <c r="H695">
        <v>85000</v>
      </c>
      <c r="I695">
        <v>4</v>
      </c>
      <c r="J695" s="3" t="s">
        <v>17</v>
      </c>
      <c r="K695">
        <v>68000</v>
      </c>
      <c r="L695">
        <v>340000</v>
      </c>
      <c r="M695">
        <v>272000</v>
      </c>
      <c r="N695">
        <v>68000</v>
      </c>
      <c r="O695" s="3" t="s">
        <v>796</v>
      </c>
      <c r="P695" s="3" t="s">
        <v>102</v>
      </c>
      <c r="Q695" s="3" t="s">
        <v>103</v>
      </c>
      <c r="R695" s="3" t="s">
        <v>103</v>
      </c>
    </row>
    <row r="696" spans="1:18">
      <c r="A696" s="19">
        <v>46370</v>
      </c>
      <c r="B696" s="3" t="s">
        <v>29</v>
      </c>
      <c r="C696" s="3" t="s">
        <v>12</v>
      </c>
      <c r="D696" s="3" t="s">
        <v>13</v>
      </c>
      <c r="E696" s="3" t="s">
        <v>14</v>
      </c>
      <c r="F696" s="3" t="s">
        <v>30</v>
      </c>
      <c r="G696" s="3" t="s">
        <v>31</v>
      </c>
      <c r="H696">
        <v>300000</v>
      </c>
      <c r="I696">
        <v>2</v>
      </c>
      <c r="J696" s="3" t="s">
        <v>28</v>
      </c>
      <c r="K696">
        <v>240000</v>
      </c>
      <c r="L696">
        <v>600000</v>
      </c>
      <c r="M696">
        <v>480000</v>
      </c>
      <c r="N696">
        <v>120000</v>
      </c>
      <c r="O696" s="3" t="s">
        <v>797</v>
      </c>
      <c r="P696" s="3" t="s">
        <v>102</v>
      </c>
      <c r="Q696" s="3" t="s">
        <v>103</v>
      </c>
      <c r="R696" s="3" t="s">
        <v>103</v>
      </c>
    </row>
    <row r="697" spans="1:18">
      <c r="A697" s="19">
        <v>46371</v>
      </c>
      <c r="B697" s="3" t="s">
        <v>11</v>
      </c>
      <c r="C697" s="3" t="s">
        <v>26</v>
      </c>
      <c r="D697" s="3" t="s">
        <v>23</v>
      </c>
      <c r="E697" s="3" t="s">
        <v>20</v>
      </c>
      <c r="F697" s="3" t="s">
        <v>15</v>
      </c>
      <c r="G697" s="3" t="s">
        <v>16</v>
      </c>
      <c r="H697">
        <v>85000</v>
      </c>
      <c r="I697">
        <v>2</v>
      </c>
      <c r="J697" s="3" t="s">
        <v>37</v>
      </c>
      <c r="K697">
        <v>68000</v>
      </c>
      <c r="L697">
        <v>170000</v>
      </c>
      <c r="M697">
        <v>136000</v>
      </c>
      <c r="N697">
        <v>34000</v>
      </c>
      <c r="O697" s="3" t="s">
        <v>798</v>
      </c>
      <c r="P697" s="3" t="s">
        <v>102</v>
      </c>
      <c r="Q697" s="3" t="s">
        <v>103</v>
      </c>
      <c r="R697" s="3" t="s">
        <v>103</v>
      </c>
    </row>
    <row r="698" spans="1:18">
      <c r="A698" s="19">
        <v>46372</v>
      </c>
      <c r="B698" s="3" t="s">
        <v>11</v>
      </c>
      <c r="C698" s="3" t="s">
        <v>12</v>
      </c>
      <c r="D698" s="3" t="s">
        <v>23</v>
      </c>
      <c r="E698" s="3" t="s">
        <v>14</v>
      </c>
      <c r="F698" s="3" t="s">
        <v>38</v>
      </c>
      <c r="G698" s="3" t="s">
        <v>31</v>
      </c>
      <c r="H698">
        <v>420000</v>
      </c>
      <c r="I698">
        <v>5</v>
      </c>
      <c r="J698" s="3" t="s">
        <v>17</v>
      </c>
      <c r="K698">
        <v>336000</v>
      </c>
      <c r="L698">
        <v>2100000</v>
      </c>
      <c r="M698">
        <v>1680000</v>
      </c>
      <c r="N698">
        <v>420000</v>
      </c>
      <c r="O698" s="3" t="s">
        <v>799</v>
      </c>
      <c r="P698" s="3" t="s">
        <v>102</v>
      </c>
      <c r="Q698" s="3" t="s">
        <v>103</v>
      </c>
      <c r="R698" s="3" t="s">
        <v>103</v>
      </c>
    </row>
    <row r="699" spans="1:18">
      <c r="A699" s="19">
        <v>46373</v>
      </c>
      <c r="B699" s="3" t="s">
        <v>25</v>
      </c>
      <c r="C699" s="3" t="s">
        <v>26</v>
      </c>
      <c r="D699" s="3" t="s">
        <v>23</v>
      </c>
      <c r="E699" s="3" t="s">
        <v>14</v>
      </c>
      <c r="F699" s="3" t="s">
        <v>30</v>
      </c>
      <c r="G699" s="3" t="s">
        <v>31</v>
      </c>
      <c r="H699">
        <v>300000</v>
      </c>
      <c r="I699">
        <v>8</v>
      </c>
      <c r="J699" s="3" t="s">
        <v>24</v>
      </c>
      <c r="K699">
        <v>240000</v>
      </c>
      <c r="L699">
        <v>2400000</v>
      </c>
      <c r="M699">
        <v>1920000</v>
      </c>
      <c r="N699">
        <v>480000</v>
      </c>
      <c r="O699" s="3" t="s">
        <v>800</v>
      </c>
      <c r="P699" s="3" t="s">
        <v>102</v>
      </c>
      <c r="Q699" s="3" t="s">
        <v>103</v>
      </c>
      <c r="R699" s="3" t="s">
        <v>103</v>
      </c>
    </row>
    <row r="700" spans="1:18">
      <c r="A700" s="19">
        <v>46374</v>
      </c>
      <c r="B700" s="3" t="s">
        <v>11</v>
      </c>
      <c r="C700" s="3" t="s">
        <v>19</v>
      </c>
      <c r="D700" s="3" t="s">
        <v>23</v>
      </c>
      <c r="E700" s="3" t="s">
        <v>20</v>
      </c>
      <c r="F700" s="3" t="s">
        <v>27</v>
      </c>
      <c r="G700" s="3" t="s">
        <v>22</v>
      </c>
      <c r="H700">
        <v>60000</v>
      </c>
      <c r="I700">
        <v>1</v>
      </c>
      <c r="J700" s="3" t="s">
        <v>17</v>
      </c>
      <c r="K700">
        <v>48000</v>
      </c>
      <c r="L700">
        <v>60000</v>
      </c>
      <c r="M700">
        <v>48000</v>
      </c>
      <c r="N700">
        <v>12000</v>
      </c>
      <c r="O700" s="3" t="s">
        <v>801</v>
      </c>
      <c r="P700" s="3" t="s">
        <v>102</v>
      </c>
      <c r="Q700" s="3" t="s">
        <v>103</v>
      </c>
      <c r="R700" s="3" t="s">
        <v>103</v>
      </c>
    </row>
    <row r="701" spans="1:18">
      <c r="A701" s="19">
        <v>46375</v>
      </c>
      <c r="B701" s="3" t="s">
        <v>11</v>
      </c>
      <c r="C701" s="3" t="s">
        <v>26</v>
      </c>
      <c r="D701" s="3" t="s">
        <v>13</v>
      </c>
      <c r="E701" s="3" t="s">
        <v>14</v>
      </c>
      <c r="F701" s="3" t="s">
        <v>40</v>
      </c>
      <c r="G701" s="3" t="s">
        <v>31</v>
      </c>
      <c r="H701">
        <v>250000</v>
      </c>
      <c r="I701">
        <v>8</v>
      </c>
      <c r="J701" s="3" t="s">
        <v>17</v>
      </c>
      <c r="K701">
        <v>200000</v>
      </c>
      <c r="L701">
        <v>2000000</v>
      </c>
      <c r="M701">
        <v>1600000</v>
      </c>
      <c r="N701">
        <v>400000</v>
      </c>
      <c r="O701" s="3" t="s">
        <v>802</v>
      </c>
      <c r="P701" s="3" t="s">
        <v>102</v>
      </c>
      <c r="Q701" s="3" t="s">
        <v>103</v>
      </c>
      <c r="R701" s="3" t="s">
        <v>103</v>
      </c>
    </row>
    <row r="702" spans="1:18">
      <c r="A702" s="19">
        <v>46376</v>
      </c>
      <c r="B702" s="3" t="s">
        <v>11</v>
      </c>
      <c r="C702" s="3" t="s">
        <v>19</v>
      </c>
      <c r="D702" s="3" t="s">
        <v>23</v>
      </c>
      <c r="E702" s="3" t="s">
        <v>14</v>
      </c>
      <c r="F702" s="3" t="s">
        <v>30</v>
      </c>
      <c r="G702" s="3" t="s">
        <v>31</v>
      </c>
      <c r="H702">
        <v>300000</v>
      </c>
      <c r="I702">
        <v>4</v>
      </c>
      <c r="J702" s="3" t="s">
        <v>17</v>
      </c>
      <c r="K702">
        <v>240000</v>
      </c>
      <c r="L702">
        <v>1200000</v>
      </c>
      <c r="M702">
        <v>960000</v>
      </c>
      <c r="N702">
        <v>240000</v>
      </c>
      <c r="O702" s="3" t="s">
        <v>803</v>
      </c>
      <c r="P702" s="3" t="s">
        <v>102</v>
      </c>
      <c r="Q702" s="3" t="s">
        <v>103</v>
      </c>
      <c r="R702" s="3" t="s">
        <v>103</v>
      </c>
    </row>
    <row r="703" spans="1:18">
      <c r="A703" s="19">
        <v>46377</v>
      </c>
      <c r="B703" s="3" t="s">
        <v>18</v>
      </c>
      <c r="C703" s="3" t="s">
        <v>26</v>
      </c>
      <c r="D703" s="3" t="s">
        <v>23</v>
      </c>
      <c r="E703" s="3" t="s">
        <v>14</v>
      </c>
      <c r="F703" s="3" t="s">
        <v>30</v>
      </c>
      <c r="G703" s="3" t="s">
        <v>31</v>
      </c>
      <c r="H703">
        <v>300000</v>
      </c>
      <c r="I703">
        <v>10</v>
      </c>
      <c r="J703" s="3" t="s">
        <v>37</v>
      </c>
      <c r="K703">
        <v>240000</v>
      </c>
      <c r="L703">
        <v>3000000</v>
      </c>
      <c r="M703">
        <v>2400000</v>
      </c>
      <c r="N703">
        <v>600000</v>
      </c>
      <c r="O703" s="3" t="s">
        <v>804</v>
      </c>
      <c r="P703" s="3" t="s">
        <v>102</v>
      </c>
      <c r="Q703" s="3" t="s">
        <v>103</v>
      </c>
      <c r="R703" s="3" t="s">
        <v>103</v>
      </c>
    </row>
    <row r="704" spans="1:18">
      <c r="A704" s="19">
        <v>46378</v>
      </c>
      <c r="B704" s="3" t="s">
        <v>25</v>
      </c>
      <c r="C704" s="3" t="s">
        <v>19</v>
      </c>
      <c r="D704" s="3" t="s">
        <v>13</v>
      </c>
      <c r="E704" s="3" t="s">
        <v>14</v>
      </c>
      <c r="F704" s="3" t="s">
        <v>30</v>
      </c>
      <c r="G704" s="3" t="s">
        <v>31</v>
      </c>
      <c r="H704">
        <v>300000</v>
      </c>
      <c r="I704">
        <v>2</v>
      </c>
      <c r="J704" s="3" t="s">
        <v>39</v>
      </c>
      <c r="K704">
        <v>240000</v>
      </c>
      <c r="L704">
        <v>600000</v>
      </c>
      <c r="M704">
        <v>480000</v>
      </c>
      <c r="N704">
        <v>120000</v>
      </c>
      <c r="O704" s="3" t="s">
        <v>805</v>
      </c>
      <c r="P704" s="3" t="s">
        <v>102</v>
      </c>
      <c r="Q704" s="3" t="s">
        <v>103</v>
      </c>
      <c r="R704" s="3" t="s">
        <v>103</v>
      </c>
    </row>
    <row r="705" spans="1:18">
      <c r="A705" s="19">
        <v>46379</v>
      </c>
      <c r="B705" s="3" t="s">
        <v>11</v>
      </c>
      <c r="C705" s="3" t="s">
        <v>32</v>
      </c>
      <c r="D705" s="3" t="s">
        <v>13</v>
      </c>
      <c r="E705" s="3" t="s">
        <v>20</v>
      </c>
      <c r="F705" s="3" t="s">
        <v>15</v>
      </c>
      <c r="G705" s="3" t="s">
        <v>16</v>
      </c>
      <c r="H705">
        <v>85000</v>
      </c>
      <c r="I705">
        <v>2</v>
      </c>
      <c r="J705" s="3" t="s">
        <v>35</v>
      </c>
      <c r="K705">
        <v>68000</v>
      </c>
      <c r="L705">
        <v>170000</v>
      </c>
      <c r="M705">
        <v>136000</v>
      </c>
      <c r="N705">
        <v>34000</v>
      </c>
      <c r="O705" s="3" t="s">
        <v>806</v>
      </c>
      <c r="P705" s="3" t="s">
        <v>102</v>
      </c>
      <c r="Q705" s="3" t="s">
        <v>103</v>
      </c>
      <c r="R705" s="3" t="s">
        <v>103</v>
      </c>
    </row>
    <row r="706" spans="1:18">
      <c r="A706" s="19">
        <v>46380</v>
      </c>
      <c r="B706" s="3" t="s">
        <v>29</v>
      </c>
      <c r="C706" s="3" t="s">
        <v>19</v>
      </c>
      <c r="D706" s="3" t="s">
        <v>13</v>
      </c>
      <c r="E706" s="3" t="s">
        <v>14</v>
      </c>
      <c r="F706" s="3" t="s">
        <v>34</v>
      </c>
      <c r="G706" s="3" t="s">
        <v>16</v>
      </c>
      <c r="H706">
        <v>320000</v>
      </c>
      <c r="I706">
        <v>3</v>
      </c>
      <c r="J706" s="3" t="s">
        <v>28</v>
      </c>
      <c r="K706">
        <v>256000</v>
      </c>
      <c r="L706">
        <v>960000</v>
      </c>
      <c r="M706">
        <v>768000</v>
      </c>
      <c r="N706">
        <v>192000</v>
      </c>
      <c r="O706" s="3" t="s">
        <v>807</v>
      </c>
      <c r="P706" s="3" t="s">
        <v>102</v>
      </c>
      <c r="Q706" s="3" t="s">
        <v>103</v>
      </c>
      <c r="R706" s="3" t="s">
        <v>103</v>
      </c>
    </row>
    <row r="707" spans="1:18">
      <c r="A707" s="19">
        <v>46381</v>
      </c>
      <c r="B707" s="3" t="s">
        <v>11</v>
      </c>
      <c r="C707" s="3" t="s">
        <v>26</v>
      </c>
      <c r="D707" s="3" t="s">
        <v>13</v>
      </c>
      <c r="E707" s="3" t="s">
        <v>20</v>
      </c>
      <c r="F707" s="3" t="s">
        <v>36</v>
      </c>
      <c r="G707" s="3" t="s">
        <v>31</v>
      </c>
      <c r="H707">
        <v>150000</v>
      </c>
      <c r="I707">
        <v>4</v>
      </c>
      <c r="J707" s="3" t="s">
        <v>17</v>
      </c>
      <c r="K707">
        <v>120000</v>
      </c>
      <c r="L707">
        <v>600000</v>
      </c>
      <c r="M707">
        <v>480000</v>
      </c>
      <c r="N707">
        <v>120000</v>
      </c>
      <c r="O707" s="3" t="s">
        <v>808</v>
      </c>
      <c r="P707" s="3" t="s">
        <v>102</v>
      </c>
      <c r="Q707" s="3" t="s">
        <v>103</v>
      </c>
      <c r="R707" s="3" t="s">
        <v>103</v>
      </c>
    </row>
    <row r="708" spans="1:18">
      <c r="A708" s="19">
        <v>46382</v>
      </c>
      <c r="B708" s="3" t="s">
        <v>11</v>
      </c>
      <c r="C708" s="3" t="s">
        <v>26</v>
      </c>
      <c r="D708" s="3" t="s">
        <v>23</v>
      </c>
      <c r="E708" s="3" t="s">
        <v>20</v>
      </c>
      <c r="F708" s="3" t="s">
        <v>27</v>
      </c>
      <c r="G708" s="3" t="s">
        <v>22</v>
      </c>
      <c r="H708">
        <v>60000</v>
      </c>
      <c r="I708">
        <v>8</v>
      </c>
      <c r="J708" s="3" t="s">
        <v>28</v>
      </c>
      <c r="K708">
        <v>48000</v>
      </c>
      <c r="L708">
        <v>480000</v>
      </c>
      <c r="M708">
        <v>384000</v>
      </c>
      <c r="N708">
        <v>96000</v>
      </c>
      <c r="O708" s="3" t="s">
        <v>809</v>
      </c>
      <c r="P708" s="3" t="s">
        <v>102</v>
      </c>
      <c r="Q708" s="3" t="s">
        <v>103</v>
      </c>
      <c r="R708" s="3" t="s">
        <v>103</v>
      </c>
    </row>
    <row r="709" spans="1:18">
      <c r="A709" s="19">
        <v>46383</v>
      </c>
      <c r="B709" s="3" t="s">
        <v>29</v>
      </c>
      <c r="C709" s="3" t="s">
        <v>12</v>
      </c>
      <c r="D709" s="3" t="s">
        <v>23</v>
      </c>
      <c r="E709" s="3" t="s">
        <v>20</v>
      </c>
      <c r="F709" s="3" t="s">
        <v>15</v>
      </c>
      <c r="G709" s="3" t="s">
        <v>16</v>
      </c>
      <c r="H709">
        <v>85000</v>
      </c>
      <c r="I709">
        <v>2</v>
      </c>
      <c r="J709" s="3" t="s">
        <v>17</v>
      </c>
      <c r="K709">
        <v>68000</v>
      </c>
      <c r="L709">
        <v>170000</v>
      </c>
      <c r="M709">
        <v>136000</v>
      </c>
      <c r="N709">
        <v>34000</v>
      </c>
      <c r="O709" s="3" t="s">
        <v>810</v>
      </c>
      <c r="P709" s="3" t="s">
        <v>102</v>
      </c>
      <c r="Q709" s="3" t="s">
        <v>103</v>
      </c>
      <c r="R709" s="3" t="s">
        <v>103</v>
      </c>
    </row>
    <row r="710" spans="1:18">
      <c r="A710" s="19">
        <v>46384</v>
      </c>
      <c r="B710" s="3" t="s">
        <v>29</v>
      </c>
      <c r="C710" s="3" t="s">
        <v>19</v>
      </c>
      <c r="D710" s="3" t="s">
        <v>23</v>
      </c>
      <c r="E710" s="3" t="s">
        <v>20</v>
      </c>
      <c r="F710" s="3" t="s">
        <v>30</v>
      </c>
      <c r="G710" s="3" t="s">
        <v>31</v>
      </c>
      <c r="H710">
        <v>300000</v>
      </c>
      <c r="I710">
        <v>8</v>
      </c>
      <c r="J710" s="3" t="s">
        <v>24</v>
      </c>
      <c r="K710">
        <v>240000</v>
      </c>
      <c r="L710">
        <v>2400000</v>
      </c>
      <c r="M710">
        <v>1920000</v>
      </c>
      <c r="N710">
        <v>480000</v>
      </c>
      <c r="O710" s="3" t="s">
        <v>811</v>
      </c>
      <c r="P710" s="3" t="s">
        <v>102</v>
      </c>
      <c r="Q710" s="3" t="s">
        <v>103</v>
      </c>
      <c r="R710" s="3" t="s">
        <v>103</v>
      </c>
    </row>
    <row r="711" spans="1:18">
      <c r="A711" s="19">
        <v>46385</v>
      </c>
      <c r="B711" s="3" t="s">
        <v>29</v>
      </c>
      <c r="C711" s="3" t="s">
        <v>12</v>
      </c>
      <c r="D711" s="3" t="s">
        <v>13</v>
      </c>
      <c r="E711" s="3" t="s">
        <v>14</v>
      </c>
      <c r="F711" s="3" t="s">
        <v>34</v>
      </c>
      <c r="G711" s="3" t="s">
        <v>16</v>
      </c>
      <c r="H711">
        <v>320000</v>
      </c>
      <c r="I711">
        <v>5</v>
      </c>
      <c r="J711" s="3" t="s">
        <v>37</v>
      </c>
      <c r="K711">
        <v>256000</v>
      </c>
      <c r="L711">
        <v>1600000</v>
      </c>
      <c r="M711">
        <v>1280000</v>
      </c>
      <c r="N711">
        <v>320000</v>
      </c>
      <c r="O711" s="3" t="s">
        <v>812</v>
      </c>
      <c r="P711" s="3" t="s">
        <v>102</v>
      </c>
      <c r="Q711" s="3" t="s">
        <v>103</v>
      </c>
      <c r="R711" s="3" t="s">
        <v>103</v>
      </c>
    </row>
    <row r="712" spans="1:18">
      <c r="A712" s="19">
        <v>46386</v>
      </c>
      <c r="B712" s="3" t="s">
        <v>11</v>
      </c>
      <c r="C712" s="3" t="s">
        <v>19</v>
      </c>
      <c r="D712" s="3" t="s">
        <v>23</v>
      </c>
      <c r="E712" s="3" t="s">
        <v>20</v>
      </c>
      <c r="F712" s="3" t="s">
        <v>21</v>
      </c>
      <c r="G712" s="3" t="s">
        <v>22</v>
      </c>
      <c r="H712">
        <v>30000</v>
      </c>
      <c r="I712">
        <v>3</v>
      </c>
      <c r="J712" s="3" t="s">
        <v>24</v>
      </c>
      <c r="K712">
        <v>24000</v>
      </c>
      <c r="L712">
        <v>90000</v>
      </c>
      <c r="M712">
        <v>72000</v>
      </c>
      <c r="N712">
        <v>18000</v>
      </c>
      <c r="O712" s="3" t="s">
        <v>813</v>
      </c>
      <c r="P712" s="3" t="s">
        <v>102</v>
      </c>
      <c r="Q712" s="3" t="s">
        <v>103</v>
      </c>
      <c r="R712" s="3" t="s">
        <v>103</v>
      </c>
    </row>
    <row r="713" spans="1:18">
      <c r="A713" s="19">
        <v>46387</v>
      </c>
      <c r="B713" s="3" t="s">
        <v>25</v>
      </c>
      <c r="C713" s="3" t="s">
        <v>12</v>
      </c>
      <c r="D713" s="3" t="s">
        <v>13</v>
      </c>
      <c r="E713" s="3" t="s">
        <v>20</v>
      </c>
      <c r="F713" s="3" t="s">
        <v>21</v>
      </c>
      <c r="G713" s="3" t="s">
        <v>22</v>
      </c>
      <c r="H713">
        <v>30000</v>
      </c>
      <c r="I713">
        <v>1</v>
      </c>
      <c r="J713" s="3" t="s">
        <v>24</v>
      </c>
      <c r="K713">
        <v>24000</v>
      </c>
      <c r="L713">
        <v>30000</v>
      </c>
      <c r="M713">
        <v>24000</v>
      </c>
      <c r="N713">
        <v>6000</v>
      </c>
      <c r="O713" s="3" t="s">
        <v>814</v>
      </c>
      <c r="P713" s="3" t="s">
        <v>102</v>
      </c>
      <c r="Q713" s="3" t="s">
        <v>103</v>
      </c>
      <c r="R713" s="3" t="s">
        <v>103</v>
      </c>
    </row>
    <row r="714" spans="1:18">
      <c r="A714" s="19">
        <v>46388</v>
      </c>
      <c r="B714" s="3" t="s">
        <v>25</v>
      </c>
      <c r="C714" s="3" t="s">
        <v>32</v>
      </c>
      <c r="D714" s="3" t="s">
        <v>23</v>
      </c>
      <c r="E714" s="3" t="s">
        <v>20</v>
      </c>
      <c r="F714" s="3" t="s">
        <v>36</v>
      </c>
      <c r="G714" s="3" t="s">
        <v>31</v>
      </c>
      <c r="H714">
        <v>150000</v>
      </c>
      <c r="I714">
        <v>3</v>
      </c>
      <c r="J714" s="3" t="s">
        <v>24</v>
      </c>
      <c r="K714">
        <v>120000</v>
      </c>
      <c r="L714">
        <v>450000</v>
      </c>
      <c r="M714">
        <v>360000</v>
      </c>
      <c r="N714">
        <v>90000</v>
      </c>
      <c r="O714" s="3" t="s">
        <v>815</v>
      </c>
      <c r="P714" s="3" t="s">
        <v>102</v>
      </c>
      <c r="Q714" s="3" t="s">
        <v>103</v>
      </c>
      <c r="R714" s="3" t="s">
        <v>103</v>
      </c>
    </row>
    <row r="715" spans="1:18">
      <c r="A715" s="19">
        <v>46389</v>
      </c>
      <c r="B715" s="3" t="s">
        <v>25</v>
      </c>
      <c r="C715" s="3" t="s">
        <v>26</v>
      </c>
      <c r="D715" s="3" t="s">
        <v>13</v>
      </c>
      <c r="E715" s="3" t="s">
        <v>14</v>
      </c>
      <c r="F715" s="3" t="s">
        <v>21</v>
      </c>
      <c r="G715" s="3" t="s">
        <v>22</v>
      </c>
      <c r="H715">
        <v>30000</v>
      </c>
      <c r="I715">
        <v>5</v>
      </c>
      <c r="J715" s="3" t="s">
        <v>35</v>
      </c>
      <c r="K715">
        <v>24000</v>
      </c>
      <c r="L715">
        <v>150000</v>
      </c>
      <c r="M715">
        <v>120000</v>
      </c>
      <c r="N715">
        <v>30000</v>
      </c>
      <c r="O715" s="3" t="s">
        <v>816</v>
      </c>
      <c r="P715" s="3" t="s">
        <v>102</v>
      </c>
      <c r="Q715" s="3" t="s">
        <v>103</v>
      </c>
      <c r="R715" s="3" t="s">
        <v>103</v>
      </c>
    </row>
    <row r="716" spans="1:18">
      <c r="A716" s="19">
        <v>46390</v>
      </c>
      <c r="B716" s="3" t="s">
        <v>29</v>
      </c>
      <c r="C716" s="3" t="s">
        <v>32</v>
      </c>
      <c r="D716" s="3" t="s">
        <v>23</v>
      </c>
      <c r="E716" s="3" t="s">
        <v>20</v>
      </c>
      <c r="F716" s="3" t="s">
        <v>33</v>
      </c>
      <c r="G716" s="3" t="s">
        <v>22</v>
      </c>
      <c r="H716">
        <v>180000</v>
      </c>
      <c r="I716">
        <v>4</v>
      </c>
      <c r="J716" s="3" t="s">
        <v>24</v>
      </c>
      <c r="K716">
        <v>144000</v>
      </c>
      <c r="L716">
        <v>720000</v>
      </c>
      <c r="M716">
        <v>576000</v>
      </c>
      <c r="N716">
        <v>144000</v>
      </c>
      <c r="O716" s="3" t="s">
        <v>817</v>
      </c>
      <c r="P716" s="3" t="s">
        <v>102</v>
      </c>
      <c r="Q716" s="3" t="s">
        <v>103</v>
      </c>
      <c r="R716" s="3" t="s">
        <v>103</v>
      </c>
    </row>
    <row r="717" spans="1:18">
      <c r="A717" s="19">
        <v>46391</v>
      </c>
      <c r="B717" s="3" t="s">
        <v>25</v>
      </c>
      <c r="C717" s="3" t="s">
        <v>26</v>
      </c>
      <c r="D717" s="3" t="s">
        <v>23</v>
      </c>
      <c r="E717" s="3" t="s">
        <v>20</v>
      </c>
      <c r="F717" s="3" t="s">
        <v>33</v>
      </c>
      <c r="G717" s="3" t="s">
        <v>22</v>
      </c>
      <c r="H717">
        <v>180000</v>
      </c>
      <c r="I717">
        <v>3</v>
      </c>
      <c r="J717" s="3" t="s">
        <v>39</v>
      </c>
      <c r="K717">
        <v>144000</v>
      </c>
      <c r="L717">
        <v>540000</v>
      </c>
      <c r="M717">
        <v>432000</v>
      </c>
      <c r="N717">
        <v>108000</v>
      </c>
      <c r="O717" s="3" t="s">
        <v>818</v>
      </c>
      <c r="P717" s="3" t="s">
        <v>102</v>
      </c>
      <c r="Q717" s="3" t="s">
        <v>103</v>
      </c>
      <c r="R717" s="3" t="s">
        <v>103</v>
      </c>
    </row>
    <row r="718" spans="1:18">
      <c r="A718" s="19">
        <v>46392</v>
      </c>
      <c r="B718" s="3" t="s">
        <v>18</v>
      </c>
      <c r="C718" s="3" t="s">
        <v>19</v>
      </c>
      <c r="D718" s="3" t="s">
        <v>23</v>
      </c>
      <c r="E718" s="3" t="s">
        <v>20</v>
      </c>
      <c r="F718" s="3" t="s">
        <v>30</v>
      </c>
      <c r="G718" s="3" t="s">
        <v>31</v>
      </c>
      <c r="H718">
        <v>300000</v>
      </c>
      <c r="I718">
        <v>8</v>
      </c>
      <c r="J718" s="3" t="s">
        <v>17</v>
      </c>
      <c r="K718">
        <v>240000</v>
      </c>
      <c r="L718">
        <v>2400000</v>
      </c>
      <c r="M718">
        <v>1920000</v>
      </c>
      <c r="N718">
        <v>480000</v>
      </c>
      <c r="O718" s="3" t="s">
        <v>819</v>
      </c>
      <c r="P718" s="3" t="s">
        <v>102</v>
      </c>
      <c r="Q718" s="3" t="s">
        <v>103</v>
      </c>
      <c r="R718" s="3" t="s">
        <v>103</v>
      </c>
    </row>
    <row r="719" spans="1:18">
      <c r="A719" s="19">
        <v>46393</v>
      </c>
      <c r="B719" s="3" t="s">
        <v>18</v>
      </c>
      <c r="C719" s="3" t="s">
        <v>32</v>
      </c>
      <c r="D719" s="3" t="s">
        <v>23</v>
      </c>
      <c r="E719" s="3" t="s">
        <v>14</v>
      </c>
      <c r="F719" s="3" t="s">
        <v>15</v>
      </c>
      <c r="G719" s="3" t="s">
        <v>16</v>
      </c>
      <c r="H719">
        <v>85000</v>
      </c>
      <c r="I719">
        <v>8</v>
      </c>
      <c r="J719" s="3" t="s">
        <v>24</v>
      </c>
      <c r="K719">
        <v>68000</v>
      </c>
      <c r="L719">
        <v>680000</v>
      </c>
      <c r="M719">
        <v>544000</v>
      </c>
      <c r="N719">
        <v>136000</v>
      </c>
      <c r="O719" s="3" t="s">
        <v>820</v>
      </c>
      <c r="P719" s="3" t="s">
        <v>102</v>
      </c>
      <c r="Q719" s="3" t="s">
        <v>103</v>
      </c>
      <c r="R719" s="3" t="s">
        <v>103</v>
      </c>
    </row>
    <row r="720" spans="1:18">
      <c r="A720" s="19">
        <v>46394</v>
      </c>
      <c r="B720" s="3" t="s">
        <v>29</v>
      </c>
      <c r="C720" s="3" t="s">
        <v>19</v>
      </c>
      <c r="D720" s="3" t="s">
        <v>13</v>
      </c>
      <c r="E720" s="3" t="s">
        <v>20</v>
      </c>
      <c r="F720" s="3" t="s">
        <v>33</v>
      </c>
      <c r="G720" s="3" t="s">
        <v>22</v>
      </c>
      <c r="H720">
        <v>180000</v>
      </c>
      <c r="I720">
        <v>1</v>
      </c>
      <c r="J720" s="3" t="s">
        <v>17</v>
      </c>
      <c r="K720">
        <v>144000</v>
      </c>
      <c r="L720">
        <v>180000</v>
      </c>
      <c r="M720">
        <v>144000</v>
      </c>
      <c r="N720">
        <v>36000</v>
      </c>
      <c r="O720" s="3" t="s">
        <v>821</v>
      </c>
      <c r="P720" s="3" t="s">
        <v>102</v>
      </c>
      <c r="Q720" s="3" t="s">
        <v>103</v>
      </c>
      <c r="R720" s="3" t="s">
        <v>103</v>
      </c>
    </row>
    <row r="721" spans="1:18">
      <c r="A721" s="19">
        <v>46395</v>
      </c>
      <c r="B721" s="3" t="s">
        <v>25</v>
      </c>
      <c r="C721" s="3" t="s">
        <v>12</v>
      </c>
      <c r="D721" s="3" t="s">
        <v>23</v>
      </c>
      <c r="E721" s="3" t="s">
        <v>14</v>
      </c>
      <c r="F721" s="3" t="s">
        <v>38</v>
      </c>
      <c r="G721" s="3" t="s">
        <v>31</v>
      </c>
      <c r="H721">
        <v>420000</v>
      </c>
      <c r="I721">
        <v>6</v>
      </c>
      <c r="J721" s="3" t="s">
        <v>24</v>
      </c>
      <c r="K721">
        <v>336000</v>
      </c>
      <c r="L721">
        <v>2520000</v>
      </c>
      <c r="M721">
        <v>2016000</v>
      </c>
      <c r="N721">
        <v>504000</v>
      </c>
      <c r="O721" s="3" t="s">
        <v>822</v>
      </c>
      <c r="P721" s="3" t="s">
        <v>102</v>
      </c>
      <c r="Q721" s="3" t="s">
        <v>103</v>
      </c>
      <c r="R721" s="3" t="s">
        <v>103</v>
      </c>
    </row>
    <row r="722" spans="1:18">
      <c r="A722" s="19">
        <v>46396</v>
      </c>
      <c r="B722" s="3" t="s">
        <v>11</v>
      </c>
      <c r="C722" s="3" t="s">
        <v>32</v>
      </c>
      <c r="D722" s="3" t="s">
        <v>13</v>
      </c>
      <c r="E722" s="3" t="s">
        <v>20</v>
      </c>
      <c r="F722" s="3" t="s">
        <v>38</v>
      </c>
      <c r="G722" s="3" t="s">
        <v>31</v>
      </c>
      <c r="H722">
        <v>420000</v>
      </c>
      <c r="I722">
        <v>4</v>
      </c>
      <c r="J722" s="3" t="s">
        <v>37</v>
      </c>
      <c r="K722">
        <v>336000</v>
      </c>
      <c r="L722">
        <v>1680000</v>
      </c>
      <c r="M722">
        <v>1344000</v>
      </c>
      <c r="N722">
        <v>336000</v>
      </c>
      <c r="O722" s="3" t="s">
        <v>823</v>
      </c>
      <c r="P722" s="3" t="s">
        <v>102</v>
      </c>
      <c r="Q722" s="3" t="s">
        <v>103</v>
      </c>
      <c r="R722" s="3" t="s">
        <v>103</v>
      </c>
    </row>
    <row r="723" spans="1:18">
      <c r="A723" s="19">
        <v>46397</v>
      </c>
      <c r="B723" s="3" t="s">
        <v>18</v>
      </c>
      <c r="C723" s="3" t="s">
        <v>32</v>
      </c>
      <c r="D723" s="3" t="s">
        <v>23</v>
      </c>
      <c r="E723" s="3" t="s">
        <v>20</v>
      </c>
      <c r="F723" s="3" t="s">
        <v>33</v>
      </c>
      <c r="G723" s="3" t="s">
        <v>22</v>
      </c>
      <c r="H723">
        <v>180000</v>
      </c>
      <c r="I723">
        <v>3</v>
      </c>
      <c r="J723" s="3" t="s">
        <v>24</v>
      </c>
      <c r="K723">
        <v>144000</v>
      </c>
      <c r="L723">
        <v>540000</v>
      </c>
      <c r="M723">
        <v>432000</v>
      </c>
      <c r="N723">
        <v>108000</v>
      </c>
      <c r="O723" s="3" t="s">
        <v>824</v>
      </c>
      <c r="P723" s="3" t="s">
        <v>102</v>
      </c>
      <c r="Q723" s="3" t="s">
        <v>103</v>
      </c>
      <c r="R723" s="3" t="s">
        <v>103</v>
      </c>
    </row>
    <row r="724" spans="1:18">
      <c r="A724" s="19">
        <v>46398</v>
      </c>
      <c r="B724" s="3" t="s">
        <v>25</v>
      </c>
      <c r="C724" s="3" t="s">
        <v>19</v>
      </c>
      <c r="D724" s="3" t="s">
        <v>13</v>
      </c>
      <c r="E724" s="3" t="s">
        <v>14</v>
      </c>
      <c r="F724" s="3" t="s">
        <v>27</v>
      </c>
      <c r="G724" s="3" t="s">
        <v>22</v>
      </c>
      <c r="H724">
        <v>60000</v>
      </c>
      <c r="I724">
        <v>3</v>
      </c>
      <c r="J724" s="3" t="s">
        <v>24</v>
      </c>
      <c r="K724">
        <v>48000</v>
      </c>
      <c r="L724">
        <v>180000</v>
      </c>
      <c r="M724">
        <v>144000</v>
      </c>
      <c r="N724">
        <v>36000</v>
      </c>
      <c r="O724" s="3" t="s">
        <v>825</v>
      </c>
      <c r="P724" s="3" t="s">
        <v>102</v>
      </c>
      <c r="Q724" s="3" t="s">
        <v>103</v>
      </c>
      <c r="R724" s="3" t="s">
        <v>103</v>
      </c>
    </row>
    <row r="725" spans="1:18">
      <c r="A725" s="19">
        <v>46399</v>
      </c>
      <c r="B725" s="3" t="s">
        <v>18</v>
      </c>
      <c r="C725" s="3" t="s">
        <v>32</v>
      </c>
      <c r="D725" s="3" t="s">
        <v>13</v>
      </c>
      <c r="E725" s="3" t="s">
        <v>20</v>
      </c>
      <c r="F725" s="3" t="s">
        <v>36</v>
      </c>
      <c r="G725" s="3" t="s">
        <v>31</v>
      </c>
      <c r="H725">
        <v>150000</v>
      </c>
      <c r="I725">
        <v>1</v>
      </c>
      <c r="J725" s="3" t="s">
        <v>28</v>
      </c>
      <c r="K725">
        <v>120000</v>
      </c>
      <c r="L725">
        <v>150000</v>
      </c>
      <c r="M725">
        <v>120000</v>
      </c>
      <c r="N725">
        <v>30000</v>
      </c>
      <c r="O725" s="3" t="s">
        <v>826</v>
      </c>
      <c r="P725" s="3" t="s">
        <v>102</v>
      </c>
      <c r="Q725" s="3" t="s">
        <v>103</v>
      </c>
      <c r="R725" s="3" t="s">
        <v>103</v>
      </c>
    </row>
    <row r="726" spans="1:18">
      <c r="A726" s="19">
        <v>46400</v>
      </c>
      <c r="B726" s="3" t="s">
        <v>25</v>
      </c>
      <c r="C726" s="3" t="s">
        <v>12</v>
      </c>
      <c r="D726" s="3" t="s">
        <v>23</v>
      </c>
      <c r="E726" s="3" t="s">
        <v>14</v>
      </c>
      <c r="F726" s="3" t="s">
        <v>38</v>
      </c>
      <c r="G726" s="3" t="s">
        <v>31</v>
      </c>
      <c r="H726">
        <v>420000</v>
      </c>
      <c r="I726">
        <v>4</v>
      </c>
      <c r="J726" s="3" t="s">
        <v>24</v>
      </c>
      <c r="K726">
        <v>336000</v>
      </c>
      <c r="L726">
        <v>1680000</v>
      </c>
      <c r="M726">
        <v>1344000</v>
      </c>
      <c r="N726">
        <v>336000</v>
      </c>
      <c r="O726" s="3" t="s">
        <v>827</v>
      </c>
      <c r="P726" s="3" t="s">
        <v>102</v>
      </c>
      <c r="Q726" s="3" t="s">
        <v>103</v>
      </c>
      <c r="R726" s="3" t="s">
        <v>103</v>
      </c>
    </row>
    <row r="727" spans="1:18">
      <c r="A727" s="19">
        <v>46401</v>
      </c>
      <c r="B727" s="3" t="s">
        <v>29</v>
      </c>
      <c r="C727" s="3" t="s">
        <v>19</v>
      </c>
      <c r="D727" s="3" t="s">
        <v>23</v>
      </c>
      <c r="E727" s="3" t="s">
        <v>14</v>
      </c>
      <c r="F727" s="3" t="s">
        <v>40</v>
      </c>
      <c r="G727" s="3" t="s">
        <v>31</v>
      </c>
      <c r="H727">
        <v>250000</v>
      </c>
      <c r="I727">
        <v>6</v>
      </c>
      <c r="J727" s="3" t="s">
        <v>28</v>
      </c>
      <c r="K727">
        <v>200000</v>
      </c>
      <c r="L727">
        <v>1500000</v>
      </c>
      <c r="M727">
        <v>1200000</v>
      </c>
      <c r="N727">
        <v>300000</v>
      </c>
      <c r="O727" s="3" t="s">
        <v>828</v>
      </c>
      <c r="P727" s="3" t="s">
        <v>102</v>
      </c>
      <c r="Q727" s="3" t="s">
        <v>103</v>
      </c>
      <c r="R727" s="3" t="s">
        <v>103</v>
      </c>
    </row>
    <row r="728" spans="1:18">
      <c r="A728" s="19">
        <v>46402</v>
      </c>
      <c r="B728" s="3" t="s">
        <v>25</v>
      </c>
      <c r="C728" s="3" t="s">
        <v>12</v>
      </c>
      <c r="D728" s="3" t="s">
        <v>23</v>
      </c>
      <c r="E728" s="3" t="s">
        <v>20</v>
      </c>
      <c r="F728" s="3" t="s">
        <v>34</v>
      </c>
      <c r="G728" s="3" t="s">
        <v>16</v>
      </c>
      <c r="H728">
        <v>320000</v>
      </c>
      <c r="I728">
        <v>1</v>
      </c>
      <c r="J728" s="3" t="s">
        <v>35</v>
      </c>
      <c r="K728">
        <v>256000</v>
      </c>
      <c r="L728">
        <v>320000</v>
      </c>
      <c r="M728">
        <v>256000</v>
      </c>
      <c r="N728">
        <v>64000</v>
      </c>
      <c r="O728" s="3" t="s">
        <v>829</v>
      </c>
      <c r="P728" s="3" t="s">
        <v>102</v>
      </c>
      <c r="Q728" s="3" t="s">
        <v>103</v>
      </c>
      <c r="R728" s="3" t="s">
        <v>103</v>
      </c>
    </row>
    <row r="729" spans="1:18">
      <c r="A729" s="19">
        <v>46403</v>
      </c>
      <c r="B729" s="3" t="s">
        <v>29</v>
      </c>
      <c r="C729" s="3" t="s">
        <v>32</v>
      </c>
      <c r="D729" s="3" t="s">
        <v>23</v>
      </c>
      <c r="E729" s="3" t="s">
        <v>20</v>
      </c>
      <c r="F729" s="3" t="s">
        <v>41</v>
      </c>
      <c r="G729" s="3" t="s">
        <v>22</v>
      </c>
      <c r="H729">
        <v>220000</v>
      </c>
      <c r="I729">
        <v>10</v>
      </c>
      <c r="J729" s="3" t="s">
        <v>39</v>
      </c>
      <c r="K729">
        <v>176000</v>
      </c>
      <c r="L729">
        <v>2200000</v>
      </c>
      <c r="M729">
        <v>1760000</v>
      </c>
      <c r="N729">
        <v>440000</v>
      </c>
      <c r="O729" s="3" t="s">
        <v>830</v>
      </c>
      <c r="P729" s="3" t="s">
        <v>102</v>
      </c>
      <c r="Q729" s="3" t="s">
        <v>103</v>
      </c>
      <c r="R729" s="3" t="s">
        <v>103</v>
      </c>
    </row>
    <row r="730" spans="1:18">
      <c r="A730" s="19">
        <v>46404</v>
      </c>
      <c r="B730" s="3" t="s">
        <v>29</v>
      </c>
      <c r="C730" s="3" t="s">
        <v>19</v>
      </c>
      <c r="D730" s="3" t="s">
        <v>13</v>
      </c>
      <c r="E730" s="3" t="s">
        <v>14</v>
      </c>
      <c r="F730" s="3" t="s">
        <v>41</v>
      </c>
      <c r="G730" s="3" t="s">
        <v>22</v>
      </c>
      <c r="H730">
        <v>220000</v>
      </c>
      <c r="I730">
        <v>5</v>
      </c>
      <c r="J730" s="3" t="s">
        <v>24</v>
      </c>
      <c r="K730">
        <v>176000</v>
      </c>
      <c r="L730">
        <v>1100000</v>
      </c>
      <c r="M730">
        <v>880000</v>
      </c>
      <c r="N730">
        <v>220000</v>
      </c>
      <c r="O730" s="3" t="s">
        <v>831</v>
      </c>
      <c r="P730" s="3" t="s">
        <v>102</v>
      </c>
      <c r="Q730" s="3" t="s">
        <v>103</v>
      </c>
      <c r="R730" s="3" t="s">
        <v>103</v>
      </c>
    </row>
    <row r="731" spans="1:18">
      <c r="A731" s="19">
        <v>46405</v>
      </c>
      <c r="B731" s="3" t="s">
        <v>25</v>
      </c>
      <c r="C731" s="3" t="s">
        <v>26</v>
      </c>
      <c r="D731" s="3" t="s">
        <v>23</v>
      </c>
      <c r="E731" s="3" t="s">
        <v>20</v>
      </c>
      <c r="F731" s="3" t="s">
        <v>41</v>
      </c>
      <c r="G731" s="3" t="s">
        <v>22</v>
      </c>
      <c r="H731">
        <v>220000</v>
      </c>
      <c r="I731">
        <v>8</v>
      </c>
      <c r="J731" s="3" t="s">
        <v>39</v>
      </c>
      <c r="K731">
        <v>176000</v>
      </c>
      <c r="L731">
        <v>1760000</v>
      </c>
      <c r="M731">
        <v>1408000</v>
      </c>
      <c r="N731">
        <v>352000</v>
      </c>
      <c r="O731" s="3" t="s">
        <v>832</v>
      </c>
      <c r="P731" s="3" t="s">
        <v>102</v>
      </c>
      <c r="Q731" s="3" t="s">
        <v>103</v>
      </c>
      <c r="R731" s="3" t="s">
        <v>103</v>
      </c>
    </row>
    <row r="732" spans="1:18">
      <c r="A732" s="19">
        <v>46406</v>
      </c>
      <c r="B732" s="3" t="s">
        <v>18</v>
      </c>
      <c r="C732" s="3" t="s">
        <v>12</v>
      </c>
      <c r="D732" s="3" t="s">
        <v>13</v>
      </c>
      <c r="E732" s="3" t="s">
        <v>14</v>
      </c>
      <c r="F732" s="3" t="s">
        <v>41</v>
      </c>
      <c r="G732" s="3" t="s">
        <v>22</v>
      </c>
      <c r="H732">
        <v>220000</v>
      </c>
      <c r="I732">
        <v>9</v>
      </c>
      <c r="J732" s="3" t="s">
        <v>28</v>
      </c>
      <c r="K732">
        <v>176000</v>
      </c>
      <c r="L732">
        <v>1980000</v>
      </c>
      <c r="M732">
        <v>1584000</v>
      </c>
      <c r="N732">
        <v>396000</v>
      </c>
      <c r="O732" s="3" t="s">
        <v>833</v>
      </c>
      <c r="P732" s="3" t="s">
        <v>102</v>
      </c>
      <c r="Q732" s="3" t="s">
        <v>103</v>
      </c>
      <c r="R732" s="3" t="s">
        <v>103</v>
      </c>
    </row>
    <row r="733" spans="1:18">
      <c r="A733" s="19">
        <v>46407</v>
      </c>
      <c r="B733" s="3" t="s">
        <v>29</v>
      </c>
      <c r="C733" s="3" t="s">
        <v>26</v>
      </c>
      <c r="D733" s="3" t="s">
        <v>23</v>
      </c>
      <c r="E733" s="3" t="s">
        <v>14</v>
      </c>
      <c r="F733" s="3" t="s">
        <v>30</v>
      </c>
      <c r="G733" s="3" t="s">
        <v>31</v>
      </c>
      <c r="H733">
        <v>300000</v>
      </c>
      <c r="I733">
        <v>7</v>
      </c>
      <c r="J733" s="3" t="s">
        <v>39</v>
      </c>
      <c r="K733">
        <v>240000</v>
      </c>
      <c r="L733">
        <v>2100000</v>
      </c>
      <c r="M733">
        <v>1680000</v>
      </c>
      <c r="N733">
        <v>420000</v>
      </c>
      <c r="O733" s="3" t="s">
        <v>834</v>
      </c>
      <c r="P733" s="3" t="s">
        <v>102</v>
      </c>
      <c r="Q733" s="3" t="s">
        <v>103</v>
      </c>
      <c r="R733" s="3" t="s">
        <v>103</v>
      </c>
    </row>
    <row r="734" spans="1:18">
      <c r="A734" s="19">
        <v>46408</v>
      </c>
      <c r="B734" s="3" t="s">
        <v>11</v>
      </c>
      <c r="C734" s="3" t="s">
        <v>32</v>
      </c>
      <c r="D734" s="3" t="s">
        <v>13</v>
      </c>
      <c r="E734" s="3" t="s">
        <v>14</v>
      </c>
      <c r="F734" s="3" t="s">
        <v>38</v>
      </c>
      <c r="G734" s="3" t="s">
        <v>31</v>
      </c>
      <c r="H734">
        <v>420000</v>
      </c>
      <c r="I734">
        <v>1</v>
      </c>
      <c r="J734" s="3" t="s">
        <v>28</v>
      </c>
      <c r="K734">
        <v>336000</v>
      </c>
      <c r="L734">
        <v>420000</v>
      </c>
      <c r="M734">
        <v>336000</v>
      </c>
      <c r="N734">
        <v>84000</v>
      </c>
      <c r="O734" s="3" t="s">
        <v>835</v>
      </c>
      <c r="P734" s="3" t="s">
        <v>102</v>
      </c>
      <c r="Q734" s="3" t="s">
        <v>103</v>
      </c>
      <c r="R734" s="3" t="s">
        <v>103</v>
      </c>
    </row>
    <row r="735" spans="1:18">
      <c r="A735" s="19">
        <v>46409</v>
      </c>
      <c r="B735" s="3" t="s">
        <v>11</v>
      </c>
      <c r="C735" s="3" t="s">
        <v>19</v>
      </c>
      <c r="D735" s="3" t="s">
        <v>23</v>
      </c>
      <c r="E735" s="3" t="s">
        <v>20</v>
      </c>
      <c r="F735" s="3" t="s">
        <v>33</v>
      </c>
      <c r="G735" s="3" t="s">
        <v>22</v>
      </c>
      <c r="H735">
        <v>180000</v>
      </c>
      <c r="I735">
        <v>6</v>
      </c>
      <c r="J735" s="3" t="s">
        <v>28</v>
      </c>
      <c r="K735">
        <v>144000</v>
      </c>
      <c r="L735">
        <v>1080000</v>
      </c>
      <c r="M735">
        <v>864000</v>
      </c>
      <c r="N735">
        <v>216000</v>
      </c>
      <c r="O735" s="3" t="s">
        <v>836</v>
      </c>
      <c r="P735" s="3" t="s">
        <v>102</v>
      </c>
      <c r="Q735" s="3" t="s">
        <v>103</v>
      </c>
      <c r="R735" s="3" t="s">
        <v>103</v>
      </c>
    </row>
    <row r="736" spans="1:18">
      <c r="A736" s="19">
        <v>46410</v>
      </c>
      <c r="B736" s="3" t="s">
        <v>29</v>
      </c>
      <c r="C736" s="3" t="s">
        <v>12</v>
      </c>
      <c r="D736" s="3" t="s">
        <v>13</v>
      </c>
      <c r="E736" s="3" t="s">
        <v>14</v>
      </c>
      <c r="F736" s="3" t="s">
        <v>40</v>
      </c>
      <c r="G736" s="3" t="s">
        <v>31</v>
      </c>
      <c r="H736">
        <v>250000</v>
      </c>
      <c r="I736">
        <v>3</v>
      </c>
      <c r="J736" s="3" t="s">
        <v>28</v>
      </c>
      <c r="K736">
        <v>200000</v>
      </c>
      <c r="L736">
        <v>750000</v>
      </c>
      <c r="M736">
        <v>600000</v>
      </c>
      <c r="N736">
        <v>150000</v>
      </c>
      <c r="O736" s="3" t="s">
        <v>837</v>
      </c>
      <c r="P736" s="3" t="s">
        <v>102</v>
      </c>
      <c r="Q736" s="3" t="s">
        <v>103</v>
      </c>
      <c r="R736" s="3" t="s">
        <v>103</v>
      </c>
    </row>
    <row r="737" spans="1:18">
      <c r="A737" s="19">
        <v>46411</v>
      </c>
      <c r="B737" s="3" t="s">
        <v>29</v>
      </c>
      <c r="C737" s="3" t="s">
        <v>32</v>
      </c>
      <c r="D737" s="3" t="s">
        <v>13</v>
      </c>
      <c r="E737" s="3" t="s">
        <v>14</v>
      </c>
      <c r="F737" s="3" t="s">
        <v>34</v>
      </c>
      <c r="G737" s="3" t="s">
        <v>16</v>
      </c>
      <c r="H737">
        <v>320000</v>
      </c>
      <c r="I737">
        <v>2</v>
      </c>
      <c r="J737" s="3" t="s">
        <v>17</v>
      </c>
      <c r="K737">
        <v>256000</v>
      </c>
      <c r="L737">
        <v>640000</v>
      </c>
      <c r="M737">
        <v>512000</v>
      </c>
      <c r="N737">
        <v>128000</v>
      </c>
      <c r="O737" s="3" t="s">
        <v>838</v>
      </c>
      <c r="P737" s="3" t="s">
        <v>102</v>
      </c>
      <c r="Q737" s="3" t="s">
        <v>103</v>
      </c>
      <c r="R737" s="3" t="s">
        <v>103</v>
      </c>
    </row>
    <row r="738" spans="1:18">
      <c r="A738" s="19">
        <v>46412</v>
      </c>
      <c r="B738" s="3" t="s">
        <v>18</v>
      </c>
      <c r="C738" s="3" t="s">
        <v>19</v>
      </c>
      <c r="D738" s="3" t="s">
        <v>23</v>
      </c>
      <c r="E738" s="3" t="s">
        <v>14</v>
      </c>
      <c r="F738" s="3" t="s">
        <v>27</v>
      </c>
      <c r="G738" s="3" t="s">
        <v>22</v>
      </c>
      <c r="H738">
        <v>60000</v>
      </c>
      <c r="I738">
        <v>3</v>
      </c>
      <c r="J738" s="3" t="s">
        <v>24</v>
      </c>
      <c r="K738">
        <v>48000</v>
      </c>
      <c r="L738">
        <v>180000</v>
      </c>
      <c r="M738">
        <v>144000</v>
      </c>
      <c r="N738">
        <v>36000</v>
      </c>
      <c r="O738" s="3" t="s">
        <v>839</v>
      </c>
      <c r="P738" s="3" t="s">
        <v>102</v>
      </c>
      <c r="Q738" s="3" t="s">
        <v>103</v>
      </c>
      <c r="R738" s="3" t="s">
        <v>103</v>
      </c>
    </row>
    <row r="739" spans="1:18">
      <c r="A739" s="19">
        <v>46413</v>
      </c>
      <c r="B739" s="3" t="s">
        <v>25</v>
      </c>
      <c r="C739" s="3" t="s">
        <v>32</v>
      </c>
      <c r="D739" s="3" t="s">
        <v>23</v>
      </c>
      <c r="E739" s="3" t="s">
        <v>20</v>
      </c>
      <c r="F739" s="3" t="s">
        <v>21</v>
      </c>
      <c r="G739" s="3" t="s">
        <v>22</v>
      </c>
      <c r="H739">
        <v>30000</v>
      </c>
      <c r="I739">
        <v>9</v>
      </c>
      <c r="J739" s="3" t="s">
        <v>24</v>
      </c>
      <c r="K739">
        <v>24000</v>
      </c>
      <c r="L739">
        <v>270000</v>
      </c>
      <c r="M739">
        <v>216000</v>
      </c>
      <c r="N739">
        <v>54000</v>
      </c>
      <c r="O739" s="3" t="s">
        <v>840</v>
      </c>
      <c r="P739" s="3" t="s">
        <v>102</v>
      </c>
      <c r="Q739" s="3" t="s">
        <v>103</v>
      </c>
      <c r="R739" s="3" t="s">
        <v>103</v>
      </c>
    </row>
    <row r="740" spans="1:18">
      <c r="A740" s="19">
        <v>46414</v>
      </c>
      <c r="B740" s="3" t="s">
        <v>18</v>
      </c>
      <c r="C740" s="3" t="s">
        <v>26</v>
      </c>
      <c r="D740" s="3" t="s">
        <v>23</v>
      </c>
      <c r="E740" s="3" t="s">
        <v>20</v>
      </c>
      <c r="F740" s="3" t="s">
        <v>33</v>
      </c>
      <c r="G740" s="3" t="s">
        <v>22</v>
      </c>
      <c r="H740">
        <v>180000</v>
      </c>
      <c r="I740">
        <v>6</v>
      </c>
      <c r="J740" s="3" t="s">
        <v>24</v>
      </c>
      <c r="K740">
        <v>144000</v>
      </c>
      <c r="L740">
        <v>1080000</v>
      </c>
      <c r="M740">
        <v>864000</v>
      </c>
      <c r="N740">
        <v>216000</v>
      </c>
      <c r="O740" s="3" t="s">
        <v>841</v>
      </c>
      <c r="P740" s="3" t="s">
        <v>102</v>
      </c>
      <c r="Q740" s="3" t="s">
        <v>103</v>
      </c>
      <c r="R740" s="3" t="s">
        <v>103</v>
      </c>
    </row>
    <row r="741" spans="1:18">
      <c r="A741" s="19">
        <v>46415</v>
      </c>
      <c r="B741" s="3" t="s">
        <v>25</v>
      </c>
      <c r="C741" s="3" t="s">
        <v>26</v>
      </c>
      <c r="D741" s="3" t="s">
        <v>23</v>
      </c>
      <c r="E741" s="3" t="s">
        <v>14</v>
      </c>
      <c r="F741" s="3" t="s">
        <v>27</v>
      </c>
      <c r="G741" s="3" t="s">
        <v>22</v>
      </c>
      <c r="H741">
        <v>60000</v>
      </c>
      <c r="I741">
        <v>8</v>
      </c>
      <c r="J741" s="3" t="s">
        <v>37</v>
      </c>
      <c r="K741">
        <v>48000</v>
      </c>
      <c r="L741">
        <v>480000</v>
      </c>
      <c r="M741">
        <v>384000</v>
      </c>
      <c r="N741">
        <v>96000</v>
      </c>
      <c r="O741" s="3" t="s">
        <v>842</v>
      </c>
      <c r="P741" s="3" t="s">
        <v>102</v>
      </c>
      <c r="Q741" s="3" t="s">
        <v>103</v>
      </c>
      <c r="R741" s="3" t="s">
        <v>103</v>
      </c>
    </row>
    <row r="742" spans="1:18">
      <c r="A742" s="19">
        <v>46416</v>
      </c>
      <c r="B742" s="3" t="s">
        <v>25</v>
      </c>
      <c r="C742" s="3" t="s">
        <v>26</v>
      </c>
      <c r="D742" s="3" t="s">
        <v>23</v>
      </c>
      <c r="E742" s="3" t="s">
        <v>14</v>
      </c>
      <c r="F742" s="3" t="s">
        <v>27</v>
      </c>
      <c r="G742" s="3" t="s">
        <v>22</v>
      </c>
      <c r="H742">
        <v>60000</v>
      </c>
      <c r="I742">
        <v>8</v>
      </c>
      <c r="J742" s="3" t="s">
        <v>39</v>
      </c>
      <c r="K742">
        <v>48000</v>
      </c>
      <c r="L742">
        <v>480000</v>
      </c>
      <c r="M742">
        <v>384000</v>
      </c>
      <c r="N742">
        <v>96000</v>
      </c>
      <c r="O742" s="3" t="s">
        <v>843</v>
      </c>
      <c r="P742" s="3" t="s">
        <v>102</v>
      </c>
      <c r="Q742" s="3" t="s">
        <v>103</v>
      </c>
      <c r="R742" s="3" t="s">
        <v>103</v>
      </c>
    </row>
    <row r="743" spans="1:18">
      <c r="A743" s="19">
        <v>46417</v>
      </c>
      <c r="B743" s="3" t="s">
        <v>25</v>
      </c>
      <c r="C743" s="3" t="s">
        <v>26</v>
      </c>
      <c r="D743" s="3" t="s">
        <v>23</v>
      </c>
      <c r="E743" s="3" t="s">
        <v>20</v>
      </c>
      <c r="F743" s="3" t="s">
        <v>40</v>
      </c>
      <c r="G743" s="3" t="s">
        <v>31</v>
      </c>
      <c r="H743">
        <v>250000</v>
      </c>
      <c r="I743">
        <v>3</v>
      </c>
      <c r="J743" s="3" t="s">
        <v>35</v>
      </c>
      <c r="K743">
        <v>200000</v>
      </c>
      <c r="L743">
        <v>750000</v>
      </c>
      <c r="M743">
        <v>600000</v>
      </c>
      <c r="N743">
        <v>150000</v>
      </c>
      <c r="O743" s="3" t="s">
        <v>844</v>
      </c>
      <c r="P743" s="3" t="s">
        <v>102</v>
      </c>
      <c r="Q743" s="3" t="s">
        <v>103</v>
      </c>
      <c r="R743" s="3" t="s">
        <v>103</v>
      </c>
    </row>
    <row r="744" spans="1:18">
      <c r="A744" s="19">
        <v>46418</v>
      </c>
      <c r="B744" s="3" t="s">
        <v>29</v>
      </c>
      <c r="C744" s="3" t="s">
        <v>26</v>
      </c>
      <c r="D744" s="3" t="s">
        <v>23</v>
      </c>
      <c r="E744" s="3" t="s">
        <v>20</v>
      </c>
      <c r="F744" s="3" t="s">
        <v>15</v>
      </c>
      <c r="G744" s="3" t="s">
        <v>16</v>
      </c>
      <c r="H744">
        <v>85000</v>
      </c>
      <c r="I744">
        <v>6</v>
      </c>
      <c r="J744" s="3" t="s">
        <v>37</v>
      </c>
      <c r="K744">
        <v>68000</v>
      </c>
      <c r="L744">
        <v>510000</v>
      </c>
      <c r="M744">
        <v>408000</v>
      </c>
      <c r="N744">
        <v>102000</v>
      </c>
      <c r="O744" s="3" t="s">
        <v>845</v>
      </c>
      <c r="P744" s="3" t="s">
        <v>102</v>
      </c>
      <c r="Q744" s="3" t="s">
        <v>103</v>
      </c>
      <c r="R744" s="3" t="s">
        <v>103</v>
      </c>
    </row>
    <row r="745" spans="1:18">
      <c r="A745" s="19">
        <v>46419</v>
      </c>
      <c r="B745" s="3" t="s">
        <v>18</v>
      </c>
      <c r="C745" s="3" t="s">
        <v>32</v>
      </c>
      <c r="D745" s="3" t="s">
        <v>23</v>
      </c>
      <c r="E745" s="3" t="s">
        <v>14</v>
      </c>
      <c r="F745" s="3" t="s">
        <v>41</v>
      </c>
      <c r="G745" s="3" t="s">
        <v>22</v>
      </c>
      <c r="H745">
        <v>220000</v>
      </c>
      <c r="I745">
        <v>9</v>
      </c>
      <c r="J745" s="3" t="s">
        <v>28</v>
      </c>
      <c r="K745">
        <v>176000</v>
      </c>
      <c r="L745">
        <v>1980000</v>
      </c>
      <c r="M745">
        <v>1584000</v>
      </c>
      <c r="N745">
        <v>396000</v>
      </c>
      <c r="O745" s="3" t="s">
        <v>846</v>
      </c>
      <c r="P745" s="3" t="s">
        <v>102</v>
      </c>
      <c r="Q745" s="3" t="s">
        <v>103</v>
      </c>
      <c r="R745" s="3" t="s">
        <v>103</v>
      </c>
    </row>
    <row r="746" spans="1:18">
      <c r="A746" s="19">
        <v>46420</v>
      </c>
      <c r="B746" s="3" t="s">
        <v>29</v>
      </c>
      <c r="C746" s="3" t="s">
        <v>32</v>
      </c>
      <c r="D746" s="3" t="s">
        <v>23</v>
      </c>
      <c r="E746" s="3" t="s">
        <v>20</v>
      </c>
      <c r="F746" s="3" t="s">
        <v>40</v>
      </c>
      <c r="G746" s="3" t="s">
        <v>31</v>
      </c>
      <c r="H746">
        <v>250000</v>
      </c>
      <c r="I746">
        <v>4</v>
      </c>
      <c r="J746" s="3" t="s">
        <v>28</v>
      </c>
      <c r="K746">
        <v>200000</v>
      </c>
      <c r="L746">
        <v>1000000</v>
      </c>
      <c r="M746">
        <v>800000</v>
      </c>
      <c r="N746">
        <v>200000</v>
      </c>
      <c r="O746" s="3" t="s">
        <v>847</v>
      </c>
      <c r="P746" s="3" t="s">
        <v>102</v>
      </c>
      <c r="Q746" s="3" t="s">
        <v>103</v>
      </c>
      <c r="R746" s="3" t="s">
        <v>103</v>
      </c>
    </row>
    <row r="747" spans="1:18">
      <c r="A747" s="19">
        <v>46421</v>
      </c>
      <c r="B747" s="3" t="s">
        <v>25</v>
      </c>
      <c r="C747" s="3" t="s">
        <v>26</v>
      </c>
      <c r="D747" s="3" t="s">
        <v>23</v>
      </c>
      <c r="E747" s="3" t="s">
        <v>20</v>
      </c>
      <c r="F747" s="3" t="s">
        <v>40</v>
      </c>
      <c r="G747" s="3" t="s">
        <v>31</v>
      </c>
      <c r="H747">
        <v>250000</v>
      </c>
      <c r="I747">
        <v>3</v>
      </c>
      <c r="J747" s="3" t="s">
        <v>17</v>
      </c>
      <c r="K747">
        <v>200000</v>
      </c>
      <c r="L747">
        <v>750000</v>
      </c>
      <c r="M747">
        <v>600000</v>
      </c>
      <c r="N747">
        <v>150000</v>
      </c>
      <c r="O747" s="3" t="s">
        <v>848</v>
      </c>
      <c r="P747" s="3" t="s">
        <v>102</v>
      </c>
      <c r="Q747" s="3" t="s">
        <v>103</v>
      </c>
      <c r="R747" s="3" t="s">
        <v>103</v>
      </c>
    </row>
    <row r="748" spans="1:18">
      <c r="A748" s="19">
        <v>46422</v>
      </c>
      <c r="B748" s="3" t="s">
        <v>25</v>
      </c>
      <c r="C748" s="3" t="s">
        <v>32</v>
      </c>
      <c r="D748" s="3" t="s">
        <v>23</v>
      </c>
      <c r="E748" s="3" t="s">
        <v>20</v>
      </c>
      <c r="F748" s="3" t="s">
        <v>21</v>
      </c>
      <c r="G748" s="3" t="s">
        <v>22</v>
      </c>
      <c r="H748">
        <v>30000</v>
      </c>
      <c r="I748">
        <v>10</v>
      </c>
      <c r="J748" s="3" t="s">
        <v>17</v>
      </c>
      <c r="K748">
        <v>24000</v>
      </c>
      <c r="L748">
        <v>300000</v>
      </c>
      <c r="M748">
        <v>240000</v>
      </c>
      <c r="N748">
        <v>60000</v>
      </c>
      <c r="O748" s="3" t="s">
        <v>849</v>
      </c>
      <c r="P748" s="3" t="s">
        <v>102</v>
      </c>
      <c r="Q748" s="3" t="s">
        <v>103</v>
      </c>
      <c r="R748" s="3" t="s">
        <v>103</v>
      </c>
    </row>
    <row r="749" spans="1:18">
      <c r="A749" s="19">
        <v>46423</v>
      </c>
      <c r="B749" s="3" t="s">
        <v>29</v>
      </c>
      <c r="C749" s="3" t="s">
        <v>26</v>
      </c>
      <c r="D749" s="3" t="s">
        <v>23</v>
      </c>
      <c r="E749" s="3" t="s">
        <v>20</v>
      </c>
      <c r="F749" s="3" t="s">
        <v>30</v>
      </c>
      <c r="G749" s="3" t="s">
        <v>31</v>
      </c>
      <c r="H749">
        <v>300000</v>
      </c>
      <c r="I749">
        <v>4</v>
      </c>
      <c r="J749" s="3" t="s">
        <v>39</v>
      </c>
      <c r="K749">
        <v>240000</v>
      </c>
      <c r="L749">
        <v>1200000</v>
      </c>
      <c r="M749">
        <v>960000</v>
      </c>
      <c r="N749">
        <v>240000</v>
      </c>
      <c r="O749" s="3" t="s">
        <v>850</v>
      </c>
      <c r="P749" s="3" t="s">
        <v>102</v>
      </c>
      <c r="Q749" s="3" t="s">
        <v>103</v>
      </c>
      <c r="R749" s="3" t="s">
        <v>103</v>
      </c>
    </row>
    <row r="750" spans="1:18">
      <c r="A750" s="19">
        <v>46424</v>
      </c>
      <c r="B750" s="3" t="s">
        <v>25</v>
      </c>
      <c r="C750" s="3" t="s">
        <v>12</v>
      </c>
      <c r="D750" s="3" t="s">
        <v>23</v>
      </c>
      <c r="E750" s="3" t="s">
        <v>20</v>
      </c>
      <c r="F750" s="3" t="s">
        <v>34</v>
      </c>
      <c r="G750" s="3" t="s">
        <v>16</v>
      </c>
      <c r="H750">
        <v>320000</v>
      </c>
      <c r="I750">
        <v>2</v>
      </c>
      <c r="J750" s="3" t="s">
        <v>35</v>
      </c>
      <c r="K750">
        <v>256000</v>
      </c>
      <c r="L750">
        <v>640000</v>
      </c>
      <c r="M750">
        <v>512000</v>
      </c>
      <c r="N750">
        <v>128000</v>
      </c>
      <c r="O750" s="3" t="s">
        <v>851</v>
      </c>
      <c r="P750" s="3" t="s">
        <v>102</v>
      </c>
      <c r="Q750" s="3" t="s">
        <v>103</v>
      </c>
      <c r="R750" s="3" t="s">
        <v>103</v>
      </c>
    </row>
    <row r="751" spans="1:18">
      <c r="A751" s="19">
        <v>46425</v>
      </c>
      <c r="B751" s="3" t="s">
        <v>25</v>
      </c>
      <c r="C751" s="3" t="s">
        <v>32</v>
      </c>
      <c r="D751" s="3" t="s">
        <v>23</v>
      </c>
      <c r="E751" s="3" t="s">
        <v>20</v>
      </c>
      <c r="F751" s="3" t="s">
        <v>38</v>
      </c>
      <c r="G751" s="3" t="s">
        <v>31</v>
      </c>
      <c r="H751">
        <v>420000</v>
      </c>
      <c r="I751">
        <v>8</v>
      </c>
      <c r="J751" s="3" t="s">
        <v>39</v>
      </c>
      <c r="K751">
        <v>336000</v>
      </c>
      <c r="L751">
        <v>3360000</v>
      </c>
      <c r="M751">
        <v>2688000</v>
      </c>
      <c r="N751">
        <v>672000</v>
      </c>
      <c r="O751" s="3" t="s">
        <v>852</v>
      </c>
      <c r="P751" s="3" t="s">
        <v>102</v>
      </c>
      <c r="Q751" s="3" t="s">
        <v>103</v>
      </c>
      <c r="R751" s="3" t="s">
        <v>103</v>
      </c>
    </row>
    <row r="752" spans="1:18">
      <c r="A752" s="19">
        <v>46426</v>
      </c>
      <c r="B752" s="3" t="s">
        <v>25</v>
      </c>
      <c r="C752" s="3" t="s">
        <v>32</v>
      </c>
      <c r="D752" s="3" t="s">
        <v>23</v>
      </c>
      <c r="E752" s="3" t="s">
        <v>20</v>
      </c>
      <c r="F752" s="3" t="s">
        <v>21</v>
      </c>
      <c r="G752" s="3" t="s">
        <v>22</v>
      </c>
      <c r="H752">
        <v>30000</v>
      </c>
      <c r="I752">
        <v>2</v>
      </c>
      <c r="J752" s="3" t="s">
        <v>24</v>
      </c>
      <c r="K752">
        <v>24000</v>
      </c>
      <c r="L752">
        <v>60000</v>
      </c>
      <c r="M752">
        <v>48000</v>
      </c>
      <c r="N752">
        <v>12000</v>
      </c>
      <c r="O752" s="3" t="s">
        <v>853</v>
      </c>
      <c r="P752" s="3" t="s">
        <v>102</v>
      </c>
      <c r="Q752" s="3" t="s">
        <v>103</v>
      </c>
      <c r="R752" s="3" t="s">
        <v>103</v>
      </c>
    </row>
    <row r="753" spans="1:18">
      <c r="A753" s="19">
        <v>46427</v>
      </c>
      <c r="B753" s="3" t="s">
        <v>29</v>
      </c>
      <c r="C753" s="3" t="s">
        <v>32</v>
      </c>
      <c r="D753" s="3" t="s">
        <v>23</v>
      </c>
      <c r="E753" s="3" t="s">
        <v>20</v>
      </c>
      <c r="F753" s="3" t="s">
        <v>36</v>
      </c>
      <c r="G753" s="3" t="s">
        <v>31</v>
      </c>
      <c r="H753">
        <v>150000</v>
      </c>
      <c r="I753">
        <v>3</v>
      </c>
      <c r="J753" s="3" t="s">
        <v>17</v>
      </c>
      <c r="K753">
        <v>120000</v>
      </c>
      <c r="L753">
        <v>450000</v>
      </c>
      <c r="M753">
        <v>360000</v>
      </c>
      <c r="N753">
        <v>90000</v>
      </c>
      <c r="O753" s="3" t="s">
        <v>854</v>
      </c>
      <c r="P753" s="3" t="s">
        <v>102</v>
      </c>
      <c r="Q753" s="3" t="s">
        <v>103</v>
      </c>
      <c r="R753" s="3" t="s">
        <v>103</v>
      </c>
    </row>
    <row r="754" spans="1:18">
      <c r="A754" s="19">
        <v>46428</v>
      </c>
      <c r="B754" s="3" t="s">
        <v>25</v>
      </c>
      <c r="C754" s="3" t="s">
        <v>19</v>
      </c>
      <c r="D754" s="3" t="s">
        <v>23</v>
      </c>
      <c r="E754" s="3" t="s">
        <v>20</v>
      </c>
      <c r="F754" s="3" t="s">
        <v>41</v>
      </c>
      <c r="G754" s="3" t="s">
        <v>22</v>
      </c>
      <c r="H754">
        <v>220000</v>
      </c>
      <c r="I754">
        <v>6</v>
      </c>
      <c r="J754" s="3" t="s">
        <v>24</v>
      </c>
      <c r="K754">
        <v>176000</v>
      </c>
      <c r="L754">
        <v>1320000</v>
      </c>
      <c r="M754">
        <v>1056000</v>
      </c>
      <c r="N754">
        <v>264000</v>
      </c>
      <c r="O754" s="3" t="s">
        <v>855</v>
      </c>
      <c r="P754" s="3" t="s">
        <v>102</v>
      </c>
      <c r="Q754" s="3" t="s">
        <v>103</v>
      </c>
      <c r="R754" s="3" t="s">
        <v>103</v>
      </c>
    </row>
    <row r="755" spans="1:18">
      <c r="A755" s="19">
        <v>46429</v>
      </c>
      <c r="B755" s="3" t="s">
        <v>11</v>
      </c>
      <c r="C755" s="3" t="s">
        <v>12</v>
      </c>
      <c r="D755" s="3" t="s">
        <v>23</v>
      </c>
      <c r="E755" s="3" t="s">
        <v>14</v>
      </c>
      <c r="F755" s="3" t="s">
        <v>27</v>
      </c>
      <c r="G755" s="3" t="s">
        <v>22</v>
      </c>
      <c r="H755">
        <v>60000</v>
      </c>
      <c r="I755">
        <v>7</v>
      </c>
      <c r="J755" s="3" t="s">
        <v>35</v>
      </c>
      <c r="K755">
        <v>48000</v>
      </c>
      <c r="L755">
        <v>420000</v>
      </c>
      <c r="M755">
        <v>336000</v>
      </c>
      <c r="N755">
        <v>84000</v>
      </c>
      <c r="O755" s="3" t="s">
        <v>856</v>
      </c>
      <c r="P755" s="3" t="s">
        <v>102</v>
      </c>
      <c r="Q755" s="3" t="s">
        <v>103</v>
      </c>
      <c r="R755" s="3" t="s">
        <v>103</v>
      </c>
    </row>
    <row r="756" spans="1:18">
      <c r="A756" s="19">
        <v>46430</v>
      </c>
      <c r="B756" s="3" t="s">
        <v>25</v>
      </c>
      <c r="C756" s="3" t="s">
        <v>12</v>
      </c>
      <c r="D756" s="3" t="s">
        <v>13</v>
      </c>
      <c r="E756" s="3" t="s">
        <v>14</v>
      </c>
      <c r="F756" s="3" t="s">
        <v>15</v>
      </c>
      <c r="G756" s="3" t="s">
        <v>16</v>
      </c>
      <c r="H756">
        <v>85000</v>
      </c>
      <c r="I756">
        <v>7</v>
      </c>
      <c r="J756" s="3" t="s">
        <v>35</v>
      </c>
      <c r="K756">
        <v>68000</v>
      </c>
      <c r="L756">
        <v>595000</v>
      </c>
      <c r="M756">
        <v>476000</v>
      </c>
      <c r="N756">
        <v>119000</v>
      </c>
      <c r="O756" s="3" t="s">
        <v>857</v>
      </c>
      <c r="P756" s="3" t="s">
        <v>102</v>
      </c>
      <c r="Q756" s="3" t="s">
        <v>103</v>
      </c>
      <c r="R756" s="3" t="s">
        <v>103</v>
      </c>
    </row>
    <row r="757" spans="1:18">
      <c r="A757" s="19">
        <v>46431</v>
      </c>
      <c r="B757" s="3" t="s">
        <v>11</v>
      </c>
      <c r="C757" s="3" t="s">
        <v>19</v>
      </c>
      <c r="D757" s="3" t="s">
        <v>13</v>
      </c>
      <c r="E757" s="3" t="s">
        <v>14</v>
      </c>
      <c r="F757" s="3" t="s">
        <v>38</v>
      </c>
      <c r="G757" s="3" t="s">
        <v>31</v>
      </c>
      <c r="H757">
        <v>420000</v>
      </c>
      <c r="I757">
        <v>6</v>
      </c>
      <c r="J757" s="3" t="s">
        <v>17</v>
      </c>
      <c r="K757">
        <v>336000</v>
      </c>
      <c r="L757">
        <v>2520000</v>
      </c>
      <c r="M757">
        <v>2016000</v>
      </c>
      <c r="N757">
        <v>504000</v>
      </c>
      <c r="O757" s="3" t="s">
        <v>858</v>
      </c>
      <c r="P757" s="3" t="s">
        <v>102</v>
      </c>
      <c r="Q757" s="3" t="s">
        <v>103</v>
      </c>
      <c r="R757" s="3" t="s">
        <v>103</v>
      </c>
    </row>
    <row r="758" spans="1:18">
      <c r="A758" s="19">
        <v>46432</v>
      </c>
      <c r="B758" s="3" t="s">
        <v>11</v>
      </c>
      <c r="C758" s="3" t="s">
        <v>12</v>
      </c>
      <c r="D758" s="3" t="s">
        <v>13</v>
      </c>
      <c r="E758" s="3" t="s">
        <v>20</v>
      </c>
      <c r="F758" s="3" t="s">
        <v>30</v>
      </c>
      <c r="G758" s="3" t="s">
        <v>31</v>
      </c>
      <c r="H758">
        <v>300000</v>
      </c>
      <c r="I758">
        <v>3</v>
      </c>
      <c r="J758" s="3" t="s">
        <v>28</v>
      </c>
      <c r="K758">
        <v>240000</v>
      </c>
      <c r="L758">
        <v>900000</v>
      </c>
      <c r="M758">
        <v>720000</v>
      </c>
      <c r="N758">
        <v>180000</v>
      </c>
      <c r="O758" s="3" t="s">
        <v>859</v>
      </c>
      <c r="P758" s="3" t="s">
        <v>102</v>
      </c>
      <c r="Q758" s="3" t="s">
        <v>103</v>
      </c>
      <c r="R758" s="3" t="s">
        <v>103</v>
      </c>
    </row>
    <row r="759" spans="1:18">
      <c r="A759" s="19">
        <v>46433</v>
      </c>
      <c r="B759" s="3" t="s">
        <v>29</v>
      </c>
      <c r="C759" s="3" t="s">
        <v>32</v>
      </c>
      <c r="D759" s="3" t="s">
        <v>13</v>
      </c>
      <c r="E759" s="3" t="s">
        <v>14</v>
      </c>
      <c r="F759" s="3" t="s">
        <v>41</v>
      </c>
      <c r="G759" s="3" t="s">
        <v>22</v>
      </c>
      <c r="H759">
        <v>220000</v>
      </c>
      <c r="I759">
        <v>10</v>
      </c>
      <c r="J759" s="3" t="s">
        <v>17</v>
      </c>
      <c r="K759">
        <v>176000</v>
      </c>
      <c r="L759">
        <v>2200000</v>
      </c>
      <c r="M759">
        <v>1760000</v>
      </c>
      <c r="N759">
        <v>440000</v>
      </c>
      <c r="O759" s="3" t="s">
        <v>860</v>
      </c>
      <c r="P759" s="3" t="s">
        <v>102</v>
      </c>
      <c r="Q759" s="3" t="s">
        <v>103</v>
      </c>
      <c r="R759" s="3" t="s">
        <v>103</v>
      </c>
    </row>
    <row r="760" spans="1:18">
      <c r="A760" s="19">
        <v>46434</v>
      </c>
      <c r="B760" s="3" t="s">
        <v>29</v>
      </c>
      <c r="C760" s="3" t="s">
        <v>12</v>
      </c>
      <c r="D760" s="3" t="s">
        <v>23</v>
      </c>
      <c r="E760" s="3" t="s">
        <v>20</v>
      </c>
      <c r="F760" s="3" t="s">
        <v>15</v>
      </c>
      <c r="G760" s="3" t="s">
        <v>16</v>
      </c>
      <c r="H760">
        <v>85000</v>
      </c>
      <c r="I760">
        <v>4</v>
      </c>
      <c r="J760" s="3" t="s">
        <v>35</v>
      </c>
      <c r="K760">
        <v>68000</v>
      </c>
      <c r="L760">
        <v>340000</v>
      </c>
      <c r="M760">
        <v>272000</v>
      </c>
      <c r="N760">
        <v>68000</v>
      </c>
      <c r="O760" s="3" t="s">
        <v>861</v>
      </c>
      <c r="P760" s="3" t="s">
        <v>102</v>
      </c>
      <c r="Q760" s="3" t="s">
        <v>103</v>
      </c>
      <c r="R760" s="3" t="s">
        <v>103</v>
      </c>
    </row>
    <row r="761" spans="1:18">
      <c r="A761" s="19">
        <v>46435</v>
      </c>
      <c r="B761" s="3" t="s">
        <v>29</v>
      </c>
      <c r="C761" s="3" t="s">
        <v>19</v>
      </c>
      <c r="D761" s="3" t="s">
        <v>13</v>
      </c>
      <c r="E761" s="3" t="s">
        <v>20</v>
      </c>
      <c r="F761" s="3" t="s">
        <v>34</v>
      </c>
      <c r="G761" s="3" t="s">
        <v>16</v>
      </c>
      <c r="H761">
        <v>320000</v>
      </c>
      <c r="I761">
        <v>4</v>
      </c>
      <c r="J761" s="3" t="s">
        <v>39</v>
      </c>
      <c r="K761">
        <v>256000</v>
      </c>
      <c r="L761">
        <v>1280000</v>
      </c>
      <c r="M761">
        <v>1024000</v>
      </c>
      <c r="N761">
        <v>256000</v>
      </c>
      <c r="O761" s="3" t="s">
        <v>862</v>
      </c>
      <c r="P761" s="3" t="s">
        <v>102</v>
      </c>
      <c r="Q761" s="3" t="s">
        <v>103</v>
      </c>
      <c r="R761" s="3" t="s">
        <v>103</v>
      </c>
    </row>
    <row r="762" spans="1:18">
      <c r="A762" s="19">
        <v>46436</v>
      </c>
      <c r="B762" s="3" t="s">
        <v>25</v>
      </c>
      <c r="C762" s="3" t="s">
        <v>32</v>
      </c>
      <c r="D762" s="3" t="s">
        <v>13</v>
      </c>
      <c r="E762" s="3" t="s">
        <v>20</v>
      </c>
      <c r="F762" s="3" t="s">
        <v>36</v>
      </c>
      <c r="G762" s="3" t="s">
        <v>31</v>
      </c>
      <c r="H762">
        <v>150000</v>
      </c>
      <c r="I762">
        <v>6</v>
      </c>
      <c r="J762" s="3" t="s">
        <v>39</v>
      </c>
      <c r="K762">
        <v>120000</v>
      </c>
      <c r="L762">
        <v>900000</v>
      </c>
      <c r="M762">
        <v>720000</v>
      </c>
      <c r="N762">
        <v>180000</v>
      </c>
      <c r="O762" s="3" t="s">
        <v>863</v>
      </c>
      <c r="P762" s="3" t="s">
        <v>102</v>
      </c>
      <c r="Q762" s="3" t="s">
        <v>103</v>
      </c>
      <c r="R762" s="3" t="s">
        <v>103</v>
      </c>
    </row>
    <row r="763" spans="1:18">
      <c r="A763" s="19">
        <v>46437</v>
      </c>
      <c r="B763" s="3" t="s">
        <v>11</v>
      </c>
      <c r="C763" s="3" t="s">
        <v>19</v>
      </c>
      <c r="D763" s="3" t="s">
        <v>13</v>
      </c>
      <c r="E763" s="3" t="s">
        <v>20</v>
      </c>
      <c r="F763" s="3" t="s">
        <v>34</v>
      </c>
      <c r="G763" s="3" t="s">
        <v>16</v>
      </c>
      <c r="H763">
        <v>320000</v>
      </c>
      <c r="I763">
        <v>2</v>
      </c>
      <c r="J763" s="3" t="s">
        <v>39</v>
      </c>
      <c r="K763">
        <v>256000</v>
      </c>
      <c r="L763">
        <v>640000</v>
      </c>
      <c r="M763">
        <v>512000</v>
      </c>
      <c r="N763">
        <v>128000</v>
      </c>
      <c r="O763" s="3" t="s">
        <v>864</v>
      </c>
      <c r="P763" s="3" t="s">
        <v>102</v>
      </c>
      <c r="Q763" s="3" t="s">
        <v>103</v>
      </c>
      <c r="R763" s="3" t="s">
        <v>103</v>
      </c>
    </row>
    <row r="764" spans="1:18">
      <c r="A764" s="19">
        <v>46438</v>
      </c>
      <c r="B764" s="3" t="s">
        <v>29</v>
      </c>
      <c r="C764" s="3" t="s">
        <v>26</v>
      </c>
      <c r="D764" s="3" t="s">
        <v>13</v>
      </c>
      <c r="E764" s="3" t="s">
        <v>14</v>
      </c>
      <c r="F764" s="3" t="s">
        <v>34</v>
      </c>
      <c r="G764" s="3" t="s">
        <v>16</v>
      </c>
      <c r="H764">
        <v>320000</v>
      </c>
      <c r="I764">
        <v>10</v>
      </c>
      <c r="J764" s="3" t="s">
        <v>39</v>
      </c>
      <c r="K764">
        <v>256000</v>
      </c>
      <c r="L764">
        <v>3200000</v>
      </c>
      <c r="M764">
        <v>2560000</v>
      </c>
      <c r="N764">
        <v>640000</v>
      </c>
      <c r="O764" s="3" t="s">
        <v>865</v>
      </c>
      <c r="P764" s="3" t="s">
        <v>102</v>
      </c>
      <c r="Q764" s="3" t="s">
        <v>103</v>
      </c>
      <c r="R764" s="3" t="s">
        <v>103</v>
      </c>
    </row>
    <row r="765" spans="1:18">
      <c r="A765" s="19">
        <v>46439</v>
      </c>
      <c r="B765" s="3" t="s">
        <v>25</v>
      </c>
      <c r="C765" s="3" t="s">
        <v>19</v>
      </c>
      <c r="D765" s="3" t="s">
        <v>23</v>
      </c>
      <c r="E765" s="3" t="s">
        <v>14</v>
      </c>
      <c r="F765" s="3" t="s">
        <v>38</v>
      </c>
      <c r="G765" s="3" t="s">
        <v>31</v>
      </c>
      <c r="H765">
        <v>420000</v>
      </c>
      <c r="I765">
        <v>8</v>
      </c>
      <c r="J765" s="3" t="s">
        <v>17</v>
      </c>
      <c r="K765">
        <v>336000</v>
      </c>
      <c r="L765">
        <v>3360000</v>
      </c>
      <c r="M765">
        <v>2688000</v>
      </c>
      <c r="N765">
        <v>672000</v>
      </c>
      <c r="O765" s="3" t="s">
        <v>866</v>
      </c>
      <c r="P765" s="3" t="s">
        <v>102</v>
      </c>
      <c r="Q765" s="3" t="s">
        <v>103</v>
      </c>
      <c r="R765" s="3" t="s">
        <v>103</v>
      </c>
    </row>
    <row r="766" spans="1:18">
      <c r="A766" s="19">
        <v>46440</v>
      </c>
      <c r="B766" s="3" t="s">
        <v>29</v>
      </c>
      <c r="C766" s="3" t="s">
        <v>12</v>
      </c>
      <c r="D766" s="3" t="s">
        <v>23</v>
      </c>
      <c r="E766" s="3" t="s">
        <v>14</v>
      </c>
      <c r="F766" s="3" t="s">
        <v>36</v>
      </c>
      <c r="G766" s="3" t="s">
        <v>31</v>
      </c>
      <c r="H766">
        <v>150000</v>
      </c>
      <c r="I766">
        <v>5</v>
      </c>
      <c r="J766" s="3" t="s">
        <v>37</v>
      </c>
      <c r="K766">
        <v>120000</v>
      </c>
      <c r="L766">
        <v>750000</v>
      </c>
      <c r="M766">
        <v>600000</v>
      </c>
      <c r="N766">
        <v>150000</v>
      </c>
      <c r="O766" s="3" t="s">
        <v>867</v>
      </c>
      <c r="P766" s="3" t="s">
        <v>102</v>
      </c>
      <c r="Q766" s="3" t="s">
        <v>103</v>
      </c>
      <c r="R766" s="3" t="s">
        <v>103</v>
      </c>
    </row>
    <row r="767" spans="1:18">
      <c r="A767" s="19">
        <v>46441</v>
      </c>
      <c r="B767" s="3" t="s">
        <v>11</v>
      </c>
      <c r="C767" s="3" t="s">
        <v>26</v>
      </c>
      <c r="D767" s="3" t="s">
        <v>23</v>
      </c>
      <c r="E767" s="3" t="s">
        <v>20</v>
      </c>
      <c r="F767" s="3" t="s">
        <v>15</v>
      </c>
      <c r="G767" s="3" t="s">
        <v>16</v>
      </c>
      <c r="H767">
        <v>85000</v>
      </c>
      <c r="I767">
        <v>1</v>
      </c>
      <c r="J767" s="3" t="s">
        <v>37</v>
      </c>
      <c r="K767">
        <v>68000</v>
      </c>
      <c r="L767">
        <v>85000</v>
      </c>
      <c r="M767">
        <v>68000</v>
      </c>
      <c r="N767">
        <v>17000</v>
      </c>
      <c r="O767" s="3" t="s">
        <v>868</v>
      </c>
      <c r="P767" s="3" t="s">
        <v>102</v>
      </c>
      <c r="Q767" s="3" t="s">
        <v>103</v>
      </c>
      <c r="R767" s="3" t="s">
        <v>103</v>
      </c>
    </row>
    <row r="768" spans="1:18">
      <c r="A768" s="19">
        <v>46442</v>
      </c>
      <c r="B768" s="3" t="s">
        <v>18</v>
      </c>
      <c r="C768" s="3" t="s">
        <v>32</v>
      </c>
      <c r="D768" s="3" t="s">
        <v>23</v>
      </c>
      <c r="E768" s="3" t="s">
        <v>20</v>
      </c>
      <c r="F768" s="3" t="s">
        <v>38</v>
      </c>
      <c r="G768" s="3" t="s">
        <v>31</v>
      </c>
      <c r="H768">
        <v>420000</v>
      </c>
      <c r="I768">
        <v>2</v>
      </c>
      <c r="J768" s="3" t="s">
        <v>39</v>
      </c>
      <c r="K768">
        <v>336000</v>
      </c>
      <c r="L768">
        <v>840000</v>
      </c>
      <c r="M768">
        <v>672000</v>
      </c>
      <c r="N768">
        <v>168000</v>
      </c>
      <c r="O768" s="3" t="s">
        <v>869</v>
      </c>
      <c r="P768" s="3" t="s">
        <v>102</v>
      </c>
      <c r="Q768" s="3" t="s">
        <v>103</v>
      </c>
      <c r="R768" s="3" t="s">
        <v>103</v>
      </c>
    </row>
    <row r="769" spans="1:18">
      <c r="A769" s="19">
        <v>46443</v>
      </c>
      <c r="B769" s="3" t="s">
        <v>18</v>
      </c>
      <c r="C769" s="3" t="s">
        <v>32</v>
      </c>
      <c r="D769" s="3" t="s">
        <v>13</v>
      </c>
      <c r="E769" s="3" t="s">
        <v>20</v>
      </c>
      <c r="F769" s="3" t="s">
        <v>33</v>
      </c>
      <c r="G769" s="3" t="s">
        <v>22</v>
      </c>
      <c r="H769">
        <v>180000</v>
      </c>
      <c r="I769">
        <v>6</v>
      </c>
      <c r="J769" s="3" t="s">
        <v>39</v>
      </c>
      <c r="K769">
        <v>144000</v>
      </c>
      <c r="L769">
        <v>1080000</v>
      </c>
      <c r="M769">
        <v>864000</v>
      </c>
      <c r="N769">
        <v>216000</v>
      </c>
      <c r="O769" s="3" t="s">
        <v>870</v>
      </c>
      <c r="P769" s="3" t="s">
        <v>102</v>
      </c>
      <c r="Q769" s="3" t="s">
        <v>103</v>
      </c>
      <c r="R769" s="3" t="s">
        <v>103</v>
      </c>
    </row>
    <row r="770" spans="1:18">
      <c r="A770" s="19">
        <v>46444</v>
      </c>
      <c r="B770" s="3" t="s">
        <v>18</v>
      </c>
      <c r="C770" s="3" t="s">
        <v>12</v>
      </c>
      <c r="D770" s="3" t="s">
        <v>13</v>
      </c>
      <c r="E770" s="3" t="s">
        <v>20</v>
      </c>
      <c r="F770" s="3" t="s">
        <v>41</v>
      </c>
      <c r="G770" s="3" t="s">
        <v>22</v>
      </c>
      <c r="H770">
        <v>220000</v>
      </c>
      <c r="I770">
        <v>7</v>
      </c>
      <c r="J770" s="3" t="s">
        <v>17</v>
      </c>
      <c r="K770">
        <v>176000</v>
      </c>
      <c r="L770">
        <v>1540000</v>
      </c>
      <c r="M770">
        <v>1232000</v>
      </c>
      <c r="N770">
        <v>308000</v>
      </c>
      <c r="O770" s="3" t="s">
        <v>871</v>
      </c>
      <c r="P770" s="3" t="s">
        <v>102</v>
      </c>
      <c r="Q770" s="3" t="s">
        <v>103</v>
      </c>
      <c r="R770" s="3" t="s">
        <v>103</v>
      </c>
    </row>
    <row r="771" spans="1:18">
      <c r="A771" s="19">
        <v>46445</v>
      </c>
      <c r="B771" s="3" t="s">
        <v>18</v>
      </c>
      <c r="C771" s="3" t="s">
        <v>12</v>
      </c>
      <c r="D771" s="3" t="s">
        <v>13</v>
      </c>
      <c r="E771" s="3" t="s">
        <v>14</v>
      </c>
      <c r="F771" s="3" t="s">
        <v>41</v>
      </c>
      <c r="G771" s="3" t="s">
        <v>22</v>
      </c>
      <c r="H771">
        <v>220000</v>
      </c>
      <c r="I771">
        <v>5</v>
      </c>
      <c r="J771" s="3" t="s">
        <v>24</v>
      </c>
      <c r="K771">
        <v>176000</v>
      </c>
      <c r="L771">
        <v>1100000</v>
      </c>
      <c r="M771">
        <v>880000</v>
      </c>
      <c r="N771">
        <v>220000</v>
      </c>
      <c r="O771" s="3" t="s">
        <v>872</v>
      </c>
      <c r="P771" s="3" t="s">
        <v>102</v>
      </c>
      <c r="Q771" s="3" t="s">
        <v>103</v>
      </c>
      <c r="R771" s="3" t="s">
        <v>103</v>
      </c>
    </row>
    <row r="772" spans="1:18">
      <c r="A772" s="19">
        <v>46446</v>
      </c>
      <c r="B772" s="3" t="s">
        <v>29</v>
      </c>
      <c r="C772" s="3" t="s">
        <v>12</v>
      </c>
      <c r="D772" s="3" t="s">
        <v>13</v>
      </c>
      <c r="E772" s="3" t="s">
        <v>20</v>
      </c>
      <c r="F772" s="3" t="s">
        <v>30</v>
      </c>
      <c r="G772" s="3" t="s">
        <v>31</v>
      </c>
      <c r="H772">
        <v>300000</v>
      </c>
      <c r="I772">
        <v>6</v>
      </c>
      <c r="J772" s="3" t="s">
        <v>28</v>
      </c>
      <c r="K772">
        <v>240000</v>
      </c>
      <c r="L772">
        <v>1800000</v>
      </c>
      <c r="M772">
        <v>1440000</v>
      </c>
      <c r="N772">
        <v>360000</v>
      </c>
      <c r="O772" s="3" t="s">
        <v>873</v>
      </c>
      <c r="P772" s="3" t="s">
        <v>102</v>
      </c>
      <c r="Q772" s="3" t="s">
        <v>103</v>
      </c>
      <c r="R772" s="3" t="s">
        <v>103</v>
      </c>
    </row>
    <row r="773" spans="1:18">
      <c r="A773" s="19">
        <v>46447</v>
      </c>
      <c r="B773" s="3" t="s">
        <v>11</v>
      </c>
      <c r="C773" s="3" t="s">
        <v>26</v>
      </c>
      <c r="D773" s="3" t="s">
        <v>13</v>
      </c>
      <c r="E773" s="3" t="s">
        <v>20</v>
      </c>
      <c r="F773" s="3" t="s">
        <v>40</v>
      </c>
      <c r="G773" s="3" t="s">
        <v>31</v>
      </c>
      <c r="H773">
        <v>250000</v>
      </c>
      <c r="I773">
        <v>4</v>
      </c>
      <c r="J773" s="3" t="s">
        <v>28</v>
      </c>
      <c r="K773">
        <v>200000</v>
      </c>
      <c r="L773">
        <v>1000000</v>
      </c>
      <c r="M773">
        <v>800000</v>
      </c>
      <c r="N773">
        <v>200000</v>
      </c>
      <c r="O773" s="3" t="s">
        <v>874</v>
      </c>
      <c r="P773" s="3" t="s">
        <v>102</v>
      </c>
      <c r="Q773" s="3" t="s">
        <v>103</v>
      </c>
      <c r="R773" s="3" t="s">
        <v>103</v>
      </c>
    </row>
    <row r="774" spans="1:18">
      <c r="A774" s="19">
        <v>46448</v>
      </c>
      <c r="B774" s="3" t="s">
        <v>29</v>
      </c>
      <c r="C774" s="3" t="s">
        <v>19</v>
      </c>
      <c r="D774" s="3" t="s">
        <v>23</v>
      </c>
      <c r="E774" s="3" t="s">
        <v>14</v>
      </c>
      <c r="F774" s="3" t="s">
        <v>34</v>
      </c>
      <c r="G774" s="3" t="s">
        <v>16</v>
      </c>
      <c r="H774">
        <v>320000</v>
      </c>
      <c r="I774">
        <v>5</v>
      </c>
      <c r="J774" s="3" t="s">
        <v>24</v>
      </c>
      <c r="K774">
        <v>256000</v>
      </c>
      <c r="L774">
        <v>1600000</v>
      </c>
      <c r="M774">
        <v>1280000</v>
      </c>
      <c r="N774">
        <v>320000</v>
      </c>
      <c r="O774" s="3" t="s">
        <v>875</v>
      </c>
      <c r="P774" s="3" t="s">
        <v>102</v>
      </c>
      <c r="Q774" s="3" t="s">
        <v>103</v>
      </c>
      <c r="R774" s="3" t="s">
        <v>103</v>
      </c>
    </row>
    <row r="775" spans="1:18">
      <c r="A775" s="19">
        <v>46449</v>
      </c>
      <c r="B775" s="3" t="s">
        <v>29</v>
      </c>
      <c r="C775" s="3" t="s">
        <v>12</v>
      </c>
      <c r="D775" s="3" t="s">
        <v>13</v>
      </c>
      <c r="E775" s="3" t="s">
        <v>20</v>
      </c>
      <c r="F775" s="3" t="s">
        <v>30</v>
      </c>
      <c r="G775" s="3" t="s">
        <v>31</v>
      </c>
      <c r="H775">
        <v>300000</v>
      </c>
      <c r="I775">
        <v>10</v>
      </c>
      <c r="J775" s="3" t="s">
        <v>39</v>
      </c>
      <c r="K775">
        <v>240000</v>
      </c>
      <c r="L775">
        <v>3000000</v>
      </c>
      <c r="M775">
        <v>2400000</v>
      </c>
      <c r="N775">
        <v>600000</v>
      </c>
      <c r="O775" s="3" t="s">
        <v>876</v>
      </c>
      <c r="P775" s="3" t="s">
        <v>102</v>
      </c>
      <c r="Q775" s="3" t="s">
        <v>103</v>
      </c>
      <c r="R775" s="3" t="s">
        <v>103</v>
      </c>
    </row>
    <row r="776" spans="1:18">
      <c r="A776" s="19">
        <v>46450</v>
      </c>
      <c r="B776" s="3" t="s">
        <v>29</v>
      </c>
      <c r="C776" s="3" t="s">
        <v>12</v>
      </c>
      <c r="D776" s="3" t="s">
        <v>13</v>
      </c>
      <c r="E776" s="3" t="s">
        <v>20</v>
      </c>
      <c r="F776" s="3" t="s">
        <v>27</v>
      </c>
      <c r="G776" s="3" t="s">
        <v>22</v>
      </c>
      <c r="H776">
        <v>60000</v>
      </c>
      <c r="I776">
        <v>5</v>
      </c>
      <c r="J776" s="3" t="s">
        <v>37</v>
      </c>
      <c r="K776">
        <v>48000</v>
      </c>
      <c r="L776">
        <v>300000</v>
      </c>
      <c r="M776">
        <v>240000</v>
      </c>
      <c r="N776">
        <v>60000</v>
      </c>
      <c r="O776" s="3" t="s">
        <v>877</v>
      </c>
      <c r="P776" s="3" t="s">
        <v>102</v>
      </c>
      <c r="Q776" s="3" t="s">
        <v>103</v>
      </c>
      <c r="R776" s="3" t="s">
        <v>103</v>
      </c>
    </row>
    <row r="777" spans="1:18">
      <c r="A777" s="19">
        <v>46451</v>
      </c>
      <c r="B777" s="3" t="s">
        <v>29</v>
      </c>
      <c r="C777" s="3" t="s">
        <v>26</v>
      </c>
      <c r="D777" s="3" t="s">
        <v>13</v>
      </c>
      <c r="E777" s="3" t="s">
        <v>14</v>
      </c>
      <c r="F777" s="3" t="s">
        <v>38</v>
      </c>
      <c r="G777" s="3" t="s">
        <v>31</v>
      </c>
      <c r="H777">
        <v>420000</v>
      </c>
      <c r="I777">
        <v>8</v>
      </c>
      <c r="J777" s="3" t="s">
        <v>35</v>
      </c>
      <c r="K777">
        <v>336000</v>
      </c>
      <c r="L777">
        <v>3360000</v>
      </c>
      <c r="M777">
        <v>2688000</v>
      </c>
      <c r="N777">
        <v>672000</v>
      </c>
      <c r="O777" s="3" t="s">
        <v>878</v>
      </c>
      <c r="P777" s="3" t="s">
        <v>102</v>
      </c>
      <c r="Q777" s="3" t="s">
        <v>103</v>
      </c>
      <c r="R777" s="3" t="s">
        <v>103</v>
      </c>
    </row>
    <row r="778" spans="1:18">
      <c r="A778" s="19">
        <v>46452</v>
      </c>
      <c r="B778" s="3" t="s">
        <v>11</v>
      </c>
      <c r="C778" s="3" t="s">
        <v>32</v>
      </c>
      <c r="D778" s="3" t="s">
        <v>23</v>
      </c>
      <c r="E778" s="3" t="s">
        <v>14</v>
      </c>
      <c r="F778" s="3" t="s">
        <v>30</v>
      </c>
      <c r="G778" s="3" t="s">
        <v>31</v>
      </c>
      <c r="H778">
        <v>300000</v>
      </c>
      <c r="I778">
        <v>1</v>
      </c>
      <c r="J778" s="3" t="s">
        <v>24</v>
      </c>
      <c r="K778">
        <v>240000</v>
      </c>
      <c r="L778">
        <v>300000</v>
      </c>
      <c r="M778">
        <v>240000</v>
      </c>
      <c r="N778">
        <v>60000</v>
      </c>
      <c r="O778" s="3" t="s">
        <v>879</v>
      </c>
      <c r="P778" s="3" t="s">
        <v>102</v>
      </c>
      <c r="Q778" s="3" t="s">
        <v>103</v>
      </c>
      <c r="R778" s="3" t="s">
        <v>103</v>
      </c>
    </row>
    <row r="779" spans="1:18">
      <c r="A779" s="19">
        <v>46453</v>
      </c>
      <c r="B779" s="3" t="s">
        <v>11</v>
      </c>
      <c r="C779" s="3" t="s">
        <v>26</v>
      </c>
      <c r="D779" s="3" t="s">
        <v>23</v>
      </c>
      <c r="E779" s="3" t="s">
        <v>20</v>
      </c>
      <c r="F779" s="3" t="s">
        <v>38</v>
      </c>
      <c r="G779" s="3" t="s">
        <v>31</v>
      </c>
      <c r="H779">
        <v>420000</v>
      </c>
      <c r="I779">
        <v>2</v>
      </c>
      <c r="J779" s="3" t="s">
        <v>37</v>
      </c>
      <c r="K779">
        <v>336000</v>
      </c>
      <c r="L779">
        <v>840000</v>
      </c>
      <c r="M779">
        <v>672000</v>
      </c>
      <c r="N779">
        <v>168000</v>
      </c>
      <c r="O779" s="3" t="s">
        <v>880</v>
      </c>
      <c r="P779" s="3" t="s">
        <v>102</v>
      </c>
      <c r="Q779" s="3" t="s">
        <v>103</v>
      </c>
      <c r="R779" s="3" t="s">
        <v>103</v>
      </c>
    </row>
    <row r="780" spans="1:18">
      <c r="A780" s="19">
        <v>46454</v>
      </c>
      <c r="B780" s="3" t="s">
        <v>25</v>
      </c>
      <c r="C780" s="3" t="s">
        <v>19</v>
      </c>
      <c r="D780" s="3" t="s">
        <v>23</v>
      </c>
      <c r="E780" s="3" t="s">
        <v>14</v>
      </c>
      <c r="F780" s="3" t="s">
        <v>38</v>
      </c>
      <c r="G780" s="3" t="s">
        <v>31</v>
      </c>
      <c r="H780">
        <v>420000</v>
      </c>
      <c r="I780">
        <v>7</v>
      </c>
      <c r="J780" s="3" t="s">
        <v>35</v>
      </c>
      <c r="K780">
        <v>336000</v>
      </c>
      <c r="L780">
        <v>2940000</v>
      </c>
      <c r="M780">
        <v>2352000</v>
      </c>
      <c r="N780">
        <v>588000</v>
      </c>
      <c r="O780" s="3" t="s">
        <v>881</v>
      </c>
      <c r="P780" s="3" t="s">
        <v>102</v>
      </c>
      <c r="Q780" s="3" t="s">
        <v>103</v>
      </c>
      <c r="R780" s="3" t="s">
        <v>103</v>
      </c>
    </row>
    <row r="781" spans="1:18">
      <c r="A781" s="19">
        <v>46455</v>
      </c>
      <c r="B781" s="3" t="s">
        <v>11</v>
      </c>
      <c r="C781" s="3" t="s">
        <v>26</v>
      </c>
      <c r="D781" s="3" t="s">
        <v>23</v>
      </c>
      <c r="E781" s="3" t="s">
        <v>14</v>
      </c>
      <c r="F781" s="3" t="s">
        <v>33</v>
      </c>
      <c r="G781" s="3" t="s">
        <v>22</v>
      </c>
      <c r="H781">
        <v>180000</v>
      </c>
      <c r="I781">
        <v>8</v>
      </c>
      <c r="J781" s="3" t="s">
        <v>28</v>
      </c>
      <c r="K781">
        <v>144000</v>
      </c>
      <c r="L781">
        <v>1440000</v>
      </c>
      <c r="M781">
        <v>1152000</v>
      </c>
      <c r="N781">
        <v>288000</v>
      </c>
      <c r="O781" s="3" t="s">
        <v>882</v>
      </c>
      <c r="P781" s="3" t="s">
        <v>102</v>
      </c>
      <c r="Q781" s="3" t="s">
        <v>103</v>
      </c>
      <c r="R781" s="3" t="s">
        <v>103</v>
      </c>
    </row>
    <row r="782" spans="1:18">
      <c r="A782" s="19">
        <v>46456</v>
      </c>
      <c r="B782" s="3" t="s">
        <v>11</v>
      </c>
      <c r="C782" s="3" t="s">
        <v>26</v>
      </c>
      <c r="D782" s="3" t="s">
        <v>13</v>
      </c>
      <c r="E782" s="3" t="s">
        <v>14</v>
      </c>
      <c r="F782" s="3" t="s">
        <v>27</v>
      </c>
      <c r="G782" s="3" t="s">
        <v>22</v>
      </c>
      <c r="H782">
        <v>60000</v>
      </c>
      <c r="I782">
        <v>7</v>
      </c>
      <c r="J782" s="3" t="s">
        <v>28</v>
      </c>
      <c r="K782">
        <v>48000</v>
      </c>
      <c r="L782">
        <v>420000</v>
      </c>
      <c r="M782">
        <v>336000</v>
      </c>
      <c r="N782">
        <v>84000</v>
      </c>
      <c r="O782" s="3" t="s">
        <v>883</v>
      </c>
      <c r="P782" s="3" t="s">
        <v>102</v>
      </c>
      <c r="Q782" s="3" t="s">
        <v>103</v>
      </c>
      <c r="R782" s="3" t="s">
        <v>103</v>
      </c>
    </row>
    <row r="783" spans="1:18">
      <c r="A783" s="19">
        <v>46457</v>
      </c>
      <c r="B783" s="3" t="s">
        <v>18</v>
      </c>
      <c r="C783" s="3" t="s">
        <v>19</v>
      </c>
      <c r="D783" s="3" t="s">
        <v>23</v>
      </c>
      <c r="E783" s="3" t="s">
        <v>14</v>
      </c>
      <c r="F783" s="3" t="s">
        <v>38</v>
      </c>
      <c r="G783" s="3" t="s">
        <v>31</v>
      </c>
      <c r="H783">
        <v>420000</v>
      </c>
      <c r="I783">
        <v>7</v>
      </c>
      <c r="J783" s="3" t="s">
        <v>28</v>
      </c>
      <c r="K783">
        <v>336000</v>
      </c>
      <c r="L783">
        <v>2940000</v>
      </c>
      <c r="M783">
        <v>2352000</v>
      </c>
      <c r="N783">
        <v>588000</v>
      </c>
      <c r="O783" s="3" t="s">
        <v>884</v>
      </c>
      <c r="P783" s="3" t="s">
        <v>102</v>
      </c>
      <c r="Q783" s="3" t="s">
        <v>103</v>
      </c>
      <c r="R783" s="3" t="s">
        <v>103</v>
      </c>
    </row>
    <row r="784" spans="1:18">
      <c r="A784" s="19">
        <v>46458</v>
      </c>
      <c r="B784" s="3" t="s">
        <v>18</v>
      </c>
      <c r="C784" s="3" t="s">
        <v>12</v>
      </c>
      <c r="D784" s="3" t="s">
        <v>13</v>
      </c>
      <c r="E784" s="3" t="s">
        <v>14</v>
      </c>
      <c r="F784" s="3" t="s">
        <v>33</v>
      </c>
      <c r="G784" s="3" t="s">
        <v>22</v>
      </c>
      <c r="H784">
        <v>180000</v>
      </c>
      <c r="I784">
        <v>5</v>
      </c>
      <c r="J784" s="3" t="s">
        <v>39</v>
      </c>
      <c r="K784">
        <v>144000</v>
      </c>
      <c r="L784">
        <v>900000</v>
      </c>
      <c r="M784">
        <v>720000</v>
      </c>
      <c r="N784">
        <v>180000</v>
      </c>
      <c r="O784" s="3" t="s">
        <v>885</v>
      </c>
      <c r="P784" s="3" t="s">
        <v>102</v>
      </c>
      <c r="Q784" s="3" t="s">
        <v>103</v>
      </c>
      <c r="R784" s="3" t="s">
        <v>103</v>
      </c>
    </row>
    <row r="785" spans="1:18">
      <c r="A785" s="19">
        <v>46459</v>
      </c>
      <c r="B785" s="3" t="s">
        <v>18</v>
      </c>
      <c r="C785" s="3" t="s">
        <v>26</v>
      </c>
      <c r="D785" s="3" t="s">
        <v>23</v>
      </c>
      <c r="E785" s="3" t="s">
        <v>20</v>
      </c>
      <c r="F785" s="3" t="s">
        <v>38</v>
      </c>
      <c r="G785" s="3" t="s">
        <v>31</v>
      </c>
      <c r="H785">
        <v>420000</v>
      </c>
      <c r="I785">
        <v>9</v>
      </c>
      <c r="J785" s="3" t="s">
        <v>39</v>
      </c>
      <c r="K785">
        <v>336000</v>
      </c>
      <c r="L785">
        <v>3780000</v>
      </c>
      <c r="M785">
        <v>3024000</v>
      </c>
      <c r="N785">
        <v>756000</v>
      </c>
      <c r="O785" s="3" t="s">
        <v>886</v>
      </c>
      <c r="P785" s="3" t="s">
        <v>102</v>
      </c>
      <c r="Q785" s="3" t="s">
        <v>103</v>
      </c>
      <c r="R785" s="3" t="s">
        <v>103</v>
      </c>
    </row>
    <row r="786" spans="1:18">
      <c r="A786" s="19">
        <v>46460</v>
      </c>
      <c r="B786" s="3" t="s">
        <v>18</v>
      </c>
      <c r="C786" s="3" t="s">
        <v>26</v>
      </c>
      <c r="D786" s="3" t="s">
        <v>23</v>
      </c>
      <c r="E786" s="3" t="s">
        <v>20</v>
      </c>
      <c r="F786" s="3" t="s">
        <v>30</v>
      </c>
      <c r="G786" s="3" t="s">
        <v>31</v>
      </c>
      <c r="H786">
        <v>300000</v>
      </c>
      <c r="I786">
        <v>7</v>
      </c>
      <c r="J786" s="3" t="s">
        <v>35</v>
      </c>
      <c r="K786">
        <v>240000</v>
      </c>
      <c r="L786">
        <v>2100000</v>
      </c>
      <c r="M786">
        <v>1680000</v>
      </c>
      <c r="N786">
        <v>420000</v>
      </c>
      <c r="O786" s="3" t="s">
        <v>887</v>
      </c>
      <c r="P786" s="3" t="s">
        <v>102</v>
      </c>
      <c r="Q786" s="3" t="s">
        <v>103</v>
      </c>
      <c r="R786" s="3" t="s">
        <v>103</v>
      </c>
    </row>
    <row r="787" spans="1:18">
      <c r="A787" s="19">
        <v>46461</v>
      </c>
      <c r="B787" s="3" t="s">
        <v>11</v>
      </c>
      <c r="C787" s="3" t="s">
        <v>32</v>
      </c>
      <c r="D787" s="3" t="s">
        <v>13</v>
      </c>
      <c r="E787" s="3" t="s">
        <v>20</v>
      </c>
      <c r="F787" s="3" t="s">
        <v>36</v>
      </c>
      <c r="G787" s="3" t="s">
        <v>31</v>
      </c>
      <c r="H787">
        <v>150000</v>
      </c>
      <c r="I787">
        <v>3</v>
      </c>
      <c r="J787" s="3" t="s">
        <v>24</v>
      </c>
      <c r="K787">
        <v>120000</v>
      </c>
      <c r="L787">
        <v>450000</v>
      </c>
      <c r="M787">
        <v>360000</v>
      </c>
      <c r="N787">
        <v>90000</v>
      </c>
      <c r="O787" s="3" t="s">
        <v>888</v>
      </c>
      <c r="P787" s="3" t="s">
        <v>102</v>
      </c>
      <c r="Q787" s="3" t="s">
        <v>103</v>
      </c>
      <c r="R787" s="3" t="s">
        <v>103</v>
      </c>
    </row>
    <row r="788" spans="1:18">
      <c r="A788" s="19">
        <v>46462</v>
      </c>
      <c r="B788" s="3" t="s">
        <v>11</v>
      </c>
      <c r="C788" s="3" t="s">
        <v>19</v>
      </c>
      <c r="D788" s="3" t="s">
        <v>13</v>
      </c>
      <c r="E788" s="3" t="s">
        <v>20</v>
      </c>
      <c r="F788" s="3" t="s">
        <v>30</v>
      </c>
      <c r="G788" s="3" t="s">
        <v>31</v>
      </c>
      <c r="H788">
        <v>300000</v>
      </c>
      <c r="I788">
        <v>10</v>
      </c>
      <c r="J788" s="3" t="s">
        <v>39</v>
      </c>
      <c r="K788">
        <v>240000</v>
      </c>
      <c r="L788">
        <v>3000000</v>
      </c>
      <c r="M788">
        <v>2400000</v>
      </c>
      <c r="N788">
        <v>600000</v>
      </c>
      <c r="O788" s="3" t="s">
        <v>889</v>
      </c>
      <c r="P788" s="3" t="s">
        <v>102</v>
      </c>
      <c r="Q788" s="3" t="s">
        <v>103</v>
      </c>
      <c r="R788" s="3" t="s">
        <v>103</v>
      </c>
    </row>
    <row r="789" spans="1:18">
      <c r="A789" s="19">
        <v>46463</v>
      </c>
      <c r="B789" s="3" t="s">
        <v>18</v>
      </c>
      <c r="C789" s="3" t="s">
        <v>12</v>
      </c>
      <c r="D789" s="3" t="s">
        <v>13</v>
      </c>
      <c r="E789" s="3" t="s">
        <v>14</v>
      </c>
      <c r="F789" s="3" t="s">
        <v>38</v>
      </c>
      <c r="G789" s="3" t="s">
        <v>31</v>
      </c>
      <c r="H789">
        <v>420000</v>
      </c>
      <c r="I789">
        <v>8</v>
      </c>
      <c r="J789" s="3" t="s">
        <v>39</v>
      </c>
      <c r="K789">
        <v>336000</v>
      </c>
      <c r="L789">
        <v>3360000</v>
      </c>
      <c r="M789">
        <v>2688000</v>
      </c>
      <c r="N789">
        <v>672000</v>
      </c>
      <c r="O789" s="3" t="s">
        <v>890</v>
      </c>
      <c r="P789" s="3" t="s">
        <v>102</v>
      </c>
      <c r="Q789" s="3" t="s">
        <v>103</v>
      </c>
      <c r="R789" s="3" t="s">
        <v>103</v>
      </c>
    </row>
    <row r="790" spans="1:18">
      <c r="A790" s="19">
        <v>46464</v>
      </c>
      <c r="B790" s="3" t="s">
        <v>11</v>
      </c>
      <c r="C790" s="3" t="s">
        <v>26</v>
      </c>
      <c r="D790" s="3" t="s">
        <v>23</v>
      </c>
      <c r="E790" s="3" t="s">
        <v>20</v>
      </c>
      <c r="F790" s="3" t="s">
        <v>41</v>
      </c>
      <c r="G790" s="3" t="s">
        <v>22</v>
      </c>
      <c r="H790">
        <v>220000</v>
      </c>
      <c r="I790">
        <v>2</v>
      </c>
      <c r="J790" s="3" t="s">
        <v>28</v>
      </c>
      <c r="K790">
        <v>176000</v>
      </c>
      <c r="L790">
        <v>440000</v>
      </c>
      <c r="M790">
        <v>352000</v>
      </c>
      <c r="N790">
        <v>88000</v>
      </c>
      <c r="O790" s="3" t="s">
        <v>891</v>
      </c>
      <c r="P790" s="3" t="s">
        <v>102</v>
      </c>
      <c r="Q790" s="3" t="s">
        <v>103</v>
      </c>
      <c r="R790" s="3" t="s">
        <v>103</v>
      </c>
    </row>
    <row r="791" spans="1:18">
      <c r="A791" s="19">
        <v>46465</v>
      </c>
      <c r="B791" s="3" t="s">
        <v>11</v>
      </c>
      <c r="C791" s="3" t="s">
        <v>32</v>
      </c>
      <c r="D791" s="3" t="s">
        <v>13</v>
      </c>
      <c r="E791" s="3" t="s">
        <v>14</v>
      </c>
      <c r="F791" s="3" t="s">
        <v>36</v>
      </c>
      <c r="G791" s="3" t="s">
        <v>31</v>
      </c>
      <c r="H791">
        <v>150000</v>
      </c>
      <c r="I791">
        <v>4</v>
      </c>
      <c r="J791" s="3" t="s">
        <v>17</v>
      </c>
      <c r="K791">
        <v>120000</v>
      </c>
      <c r="L791">
        <v>600000</v>
      </c>
      <c r="M791">
        <v>480000</v>
      </c>
      <c r="N791">
        <v>120000</v>
      </c>
      <c r="O791" s="3" t="s">
        <v>892</v>
      </c>
      <c r="P791" s="3" t="s">
        <v>102</v>
      </c>
      <c r="Q791" s="3" t="s">
        <v>103</v>
      </c>
      <c r="R791" s="3" t="s">
        <v>103</v>
      </c>
    </row>
    <row r="792" spans="1:18">
      <c r="A792" s="19">
        <v>46466</v>
      </c>
      <c r="B792" s="3" t="s">
        <v>11</v>
      </c>
      <c r="C792" s="3" t="s">
        <v>19</v>
      </c>
      <c r="D792" s="3" t="s">
        <v>13</v>
      </c>
      <c r="E792" s="3" t="s">
        <v>14</v>
      </c>
      <c r="F792" s="3" t="s">
        <v>21</v>
      </c>
      <c r="G792" s="3" t="s">
        <v>22</v>
      </c>
      <c r="H792">
        <v>30000</v>
      </c>
      <c r="I792">
        <v>8</v>
      </c>
      <c r="J792" s="3" t="s">
        <v>35</v>
      </c>
      <c r="K792">
        <v>24000</v>
      </c>
      <c r="L792">
        <v>240000</v>
      </c>
      <c r="M792">
        <v>192000</v>
      </c>
      <c r="N792">
        <v>48000</v>
      </c>
      <c r="O792" s="3" t="s">
        <v>893</v>
      </c>
      <c r="P792" s="3" t="s">
        <v>102</v>
      </c>
      <c r="Q792" s="3" t="s">
        <v>103</v>
      </c>
      <c r="R792" s="3" t="s">
        <v>103</v>
      </c>
    </row>
    <row r="793" spans="1:18">
      <c r="A793" s="19">
        <v>46467</v>
      </c>
      <c r="B793" s="3" t="s">
        <v>11</v>
      </c>
      <c r="C793" s="3" t="s">
        <v>26</v>
      </c>
      <c r="D793" s="3" t="s">
        <v>23</v>
      </c>
      <c r="E793" s="3" t="s">
        <v>20</v>
      </c>
      <c r="F793" s="3" t="s">
        <v>38</v>
      </c>
      <c r="G793" s="3" t="s">
        <v>31</v>
      </c>
      <c r="H793">
        <v>420000</v>
      </c>
      <c r="I793">
        <v>3</v>
      </c>
      <c r="J793" s="3" t="s">
        <v>37</v>
      </c>
      <c r="K793">
        <v>336000</v>
      </c>
      <c r="L793">
        <v>1260000</v>
      </c>
      <c r="M793">
        <v>1008000</v>
      </c>
      <c r="N793">
        <v>252000</v>
      </c>
      <c r="O793" s="3" t="s">
        <v>894</v>
      </c>
      <c r="P793" s="3" t="s">
        <v>102</v>
      </c>
      <c r="Q793" s="3" t="s">
        <v>103</v>
      </c>
      <c r="R793" s="3" t="s">
        <v>103</v>
      </c>
    </row>
    <row r="794" spans="1:18">
      <c r="A794" s="19">
        <v>46468</v>
      </c>
      <c r="B794" s="3" t="s">
        <v>11</v>
      </c>
      <c r="C794" s="3" t="s">
        <v>12</v>
      </c>
      <c r="D794" s="3" t="s">
        <v>23</v>
      </c>
      <c r="E794" s="3" t="s">
        <v>20</v>
      </c>
      <c r="F794" s="3" t="s">
        <v>30</v>
      </c>
      <c r="G794" s="3" t="s">
        <v>31</v>
      </c>
      <c r="H794">
        <v>300000</v>
      </c>
      <c r="I794">
        <v>4</v>
      </c>
      <c r="J794" s="3" t="s">
        <v>39</v>
      </c>
      <c r="K794">
        <v>240000</v>
      </c>
      <c r="L794">
        <v>1200000</v>
      </c>
      <c r="M794">
        <v>960000</v>
      </c>
      <c r="N794">
        <v>240000</v>
      </c>
      <c r="O794" s="3" t="s">
        <v>895</v>
      </c>
      <c r="P794" s="3" t="s">
        <v>102</v>
      </c>
      <c r="Q794" s="3" t="s">
        <v>103</v>
      </c>
      <c r="R794" s="3" t="s">
        <v>103</v>
      </c>
    </row>
    <row r="795" spans="1:18">
      <c r="A795" s="19">
        <v>46469</v>
      </c>
      <c r="B795" s="3" t="s">
        <v>11</v>
      </c>
      <c r="C795" s="3" t="s">
        <v>19</v>
      </c>
      <c r="D795" s="3" t="s">
        <v>13</v>
      </c>
      <c r="E795" s="3" t="s">
        <v>14</v>
      </c>
      <c r="F795" s="3" t="s">
        <v>40</v>
      </c>
      <c r="G795" s="3" t="s">
        <v>31</v>
      </c>
      <c r="H795">
        <v>250000</v>
      </c>
      <c r="I795">
        <v>6</v>
      </c>
      <c r="J795" s="3" t="s">
        <v>24</v>
      </c>
      <c r="K795">
        <v>200000</v>
      </c>
      <c r="L795">
        <v>1500000</v>
      </c>
      <c r="M795">
        <v>1200000</v>
      </c>
      <c r="N795">
        <v>300000</v>
      </c>
      <c r="O795" s="3" t="s">
        <v>896</v>
      </c>
      <c r="P795" s="3" t="s">
        <v>102</v>
      </c>
      <c r="Q795" s="3" t="s">
        <v>103</v>
      </c>
      <c r="R795" s="3" t="s">
        <v>103</v>
      </c>
    </row>
    <row r="796" spans="1:18">
      <c r="A796" s="19">
        <v>46470</v>
      </c>
      <c r="B796" s="3" t="s">
        <v>11</v>
      </c>
      <c r="C796" s="3" t="s">
        <v>26</v>
      </c>
      <c r="D796" s="3" t="s">
        <v>23</v>
      </c>
      <c r="E796" s="3" t="s">
        <v>20</v>
      </c>
      <c r="F796" s="3" t="s">
        <v>34</v>
      </c>
      <c r="G796" s="3" t="s">
        <v>16</v>
      </c>
      <c r="H796">
        <v>320000</v>
      </c>
      <c r="I796">
        <v>6</v>
      </c>
      <c r="J796" s="3" t="s">
        <v>35</v>
      </c>
      <c r="K796">
        <v>256000</v>
      </c>
      <c r="L796">
        <v>1920000</v>
      </c>
      <c r="M796">
        <v>1536000</v>
      </c>
      <c r="N796">
        <v>384000</v>
      </c>
      <c r="O796" s="3" t="s">
        <v>897</v>
      </c>
      <c r="P796" s="3" t="s">
        <v>102</v>
      </c>
      <c r="Q796" s="3" t="s">
        <v>103</v>
      </c>
      <c r="R796" s="3" t="s">
        <v>103</v>
      </c>
    </row>
    <row r="797" spans="1:18">
      <c r="A797" s="19">
        <v>46471</v>
      </c>
      <c r="B797" s="3" t="s">
        <v>11</v>
      </c>
      <c r="C797" s="3" t="s">
        <v>26</v>
      </c>
      <c r="D797" s="3" t="s">
        <v>13</v>
      </c>
      <c r="E797" s="3" t="s">
        <v>14</v>
      </c>
      <c r="F797" s="3" t="s">
        <v>33</v>
      </c>
      <c r="G797" s="3" t="s">
        <v>22</v>
      </c>
      <c r="H797">
        <v>180000</v>
      </c>
      <c r="I797">
        <v>5</v>
      </c>
      <c r="J797" s="3" t="s">
        <v>35</v>
      </c>
      <c r="K797">
        <v>144000</v>
      </c>
      <c r="L797">
        <v>900000</v>
      </c>
      <c r="M797">
        <v>720000</v>
      </c>
      <c r="N797">
        <v>180000</v>
      </c>
      <c r="O797" s="3" t="s">
        <v>898</v>
      </c>
      <c r="P797" s="3" t="s">
        <v>102</v>
      </c>
      <c r="Q797" s="3" t="s">
        <v>103</v>
      </c>
      <c r="R797" s="3" t="s">
        <v>103</v>
      </c>
    </row>
    <row r="798" spans="1:18">
      <c r="A798" s="19">
        <v>46472</v>
      </c>
      <c r="B798" s="3" t="s">
        <v>11</v>
      </c>
      <c r="C798" s="3" t="s">
        <v>12</v>
      </c>
      <c r="D798" s="3" t="s">
        <v>13</v>
      </c>
      <c r="E798" s="3" t="s">
        <v>14</v>
      </c>
      <c r="F798" s="3" t="s">
        <v>36</v>
      </c>
      <c r="G798" s="3" t="s">
        <v>31</v>
      </c>
      <c r="H798">
        <v>150000</v>
      </c>
      <c r="I798">
        <v>1</v>
      </c>
      <c r="J798" s="3" t="s">
        <v>28</v>
      </c>
      <c r="K798">
        <v>120000</v>
      </c>
      <c r="L798">
        <v>150000</v>
      </c>
      <c r="M798">
        <v>120000</v>
      </c>
      <c r="N798">
        <v>30000</v>
      </c>
      <c r="O798" s="3" t="s">
        <v>899</v>
      </c>
      <c r="P798" s="3" t="s">
        <v>102</v>
      </c>
      <c r="Q798" s="3" t="s">
        <v>103</v>
      </c>
      <c r="R798" s="3" t="s">
        <v>103</v>
      </c>
    </row>
    <row r="799" spans="1:18">
      <c r="A799" s="19">
        <v>46473</v>
      </c>
      <c r="B799" s="3" t="s">
        <v>11</v>
      </c>
      <c r="C799" s="3" t="s">
        <v>12</v>
      </c>
      <c r="D799" s="3" t="s">
        <v>13</v>
      </c>
      <c r="E799" s="3" t="s">
        <v>20</v>
      </c>
      <c r="F799" s="3" t="s">
        <v>27</v>
      </c>
      <c r="G799" s="3" t="s">
        <v>22</v>
      </c>
      <c r="H799">
        <v>60000</v>
      </c>
      <c r="I799">
        <v>3</v>
      </c>
      <c r="J799" s="3" t="s">
        <v>39</v>
      </c>
      <c r="K799">
        <v>48000</v>
      </c>
      <c r="L799">
        <v>180000</v>
      </c>
      <c r="M799">
        <v>144000</v>
      </c>
      <c r="N799">
        <v>36000</v>
      </c>
      <c r="O799" s="3" t="s">
        <v>900</v>
      </c>
      <c r="P799" s="3" t="s">
        <v>102</v>
      </c>
      <c r="Q799" s="3" t="s">
        <v>103</v>
      </c>
      <c r="R799" s="3" t="s">
        <v>103</v>
      </c>
    </row>
    <row r="800" spans="1:18">
      <c r="A800" s="19">
        <v>46474</v>
      </c>
      <c r="B800" s="3" t="s">
        <v>18</v>
      </c>
      <c r="C800" s="3" t="s">
        <v>32</v>
      </c>
      <c r="D800" s="3" t="s">
        <v>23</v>
      </c>
      <c r="E800" s="3" t="s">
        <v>14</v>
      </c>
      <c r="F800" s="3" t="s">
        <v>15</v>
      </c>
      <c r="G800" s="3" t="s">
        <v>16</v>
      </c>
      <c r="H800">
        <v>85000</v>
      </c>
      <c r="I800">
        <v>10</v>
      </c>
      <c r="J800" s="3" t="s">
        <v>24</v>
      </c>
      <c r="K800">
        <v>68000</v>
      </c>
      <c r="L800">
        <v>850000</v>
      </c>
      <c r="M800">
        <v>680000</v>
      </c>
      <c r="N800">
        <v>170000</v>
      </c>
      <c r="O800" s="3" t="s">
        <v>901</v>
      </c>
      <c r="P800" s="3" t="s">
        <v>102</v>
      </c>
      <c r="Q800" s="3" t="s">
        <v>103</v>
      </c>
      <c r="R800" s="3" t="s">
        <v>103</v>
      </c>
    </row>
    <row r="801" spans="1:18">
      <c r="A801" s="19">
        <v>46475</v>
      </c>
      <c r="B801" s="3" t="s">
        <v>11</v>
      </c>
      <c r="C801" s="3" t="s">
        <v>32</v>
      </c>
      <c r="D801" s="3" t="s">
        <v>23</v>
      </c>
      <c r="E801" s="3" t="s">
        <v>20</v>
      </c>
      <c r="F801" s="3" t="s">
        <v>36</v>
      </c>
      <c r="G801" s="3" t="s">
        <v>31</v>
      </c>
      <c r="H801">
        <v>150000</v>
      </c>
      <c r="I801">
        <v>3</v>
      </c>
      <c r="J801" s="3" t="s">
        <v>37</v>
      </c>
      <c r="K801">
        <v>120000</v>
      </c>
      <c r="L801">
        <v>450000</v>
      </c>
      <c r="M801">
        <v>360000</v>
      </c>
      <c r="N801">
        <v>90000</v>
      </c>
      <c r="O801" s="3" t="s">
        <v>902</v>
      </c>
      <c r="P801" s="3" t="s">
        <v>102</v>
      </c>
      <c r="Q801" s="3" t="s">
        <v>103</v>
      </c>
      <c r="R801" s="3" t="s">
        <v>103</v>
      </c>
    </row>
    <row r="802" spans="1:18">
      <c r="A802" s="19">
        <v>46476</v>
      </c>
      <c r="B802" s="3" t="s">
        <v>25</v>
      </c>
      <c r="C802" s="3" t="s">
        <v>12</v>
      </c>
      <c r="D802" s="3" t="s">
        <v>23</v>
      </c>
      <c r="E802" s="3" t="s">
        <v>20</v>
      </c>
      <c r="F802" s="3" t="s">
        <v>38</v>
      </c>
      <c r="G802" s="3" t="s">
        <v>31</v>
      </c>
      <c r="H802">
        <v>420000</v>
      </c>
      <c r="I802">
        <v>9</v>
      </c>
      <c r="J802" s="3" t="s">
        <v>37</v>
      </c>
      <c r="K802">
        <v>336000</v>
      </c>
      <c r="L802">
        <v>3780000</v>
      </c>
      <c r="M802">
        <v>3024000</v>
      </c>
      <c r="N802">
        <v>756000</v>
      </c>
      <c r="O802" s="3" t="s">
        <v>903</v>
      </c>
      <c r="P802" s="3" t="s">
        <v>102</v>
      </c>
      <c r="Q802" s="3" t="s">
        <v>103</v>
      </c>
      <c r="R802" s="3" t="s">
        <v>103</v>
      </c>
    </row>
    <row r="803" spans="1:18">
      <c r="A803" s="19">
        <v>46477</v>
      </c>
      <c r="B803" s="3" t="s">
        <v>25</v>
      </c>
      <c r="C803" s="3" t="s">
        <v>32</v>
      </c>
      <c r="D803" s="3" t="s">
        <v>13</v>
      </c>
      <c r="E803" s="3" t="s">
        <v>20</v>
      </c>
      <c r="F803" s="3" t="s">
        <v>41</v>
      </c>
      <c r="G803" s="3" t="s">
        <v>22</v>
      </c>
      <c r="H803">
        <v>220000</v>
      </c>
      <c r="I803">
        <v>1</v>
      </c>
      <c r="J803" s="3" t="s">
        <v>35</v>
      </c>
      <c r="K803">
        <v>176000</v>
      </c>
      <c r="L803">
        <v>220000</v>
      </c>
      <c r="M803">
        <v>176000</v>
      </c>
      <c r="N803">
        <v>44000</v>
      </c>
      <c r="O803" s="3" t="s">
        <v>904</v>
      </c>
      <c r="P803" s="3" t="s">
        <v>102</v>
      </c>
      <c r="Q803" s="3" t="s">
        <v>103</v>
      </c>
      <c r="R803" s="3" t="s">
        <v>103</v>
      </c>
    </row>
    <row r="804" spans="1:18">
      <c r="A804" s="19">
        <v>46478</v>
      </c>
      <c r="B804" s="3" t="s">
        <v>18</v>
      </c>
      <c r="C804" s="3" t="s">
        <v>32</v>
      </c>
      <c r="D804" s="3" t="s">
        <v>23</v>
      </c>
      <c r="E804" s="3" t="s">
        <v>14</v>
      </c>
      <c r="F804" s="3" t="s">
        <v>15</v>
      </c>
      <c r="G804" s="3" t="s">
        <v>16</v>
      </c>
      <c r="H804">
        <v>85000</v>
      </c>
      <c r="I804">
        <v>4</v>
      </c>
      <c r="J804" s="3" t="s">
        <v>24</v>
      </c>
      <c r="K804">
        <v>68000</v>
      </c>
      <c r="L804">
        <v>340000</v>
      </c>
      <c r="M804">
        <v>272000</v>
      </c>
      <c r="N804">
        <v>68000</v>
      </c>
      <c r="O804" s="3" t="s">
        <v>905</v>
      </c>
      <c r="P804" s="3" t="s">
        <v>102</v>
      </c>
      <c r="Q804" s="3" t="s">
        <v>103</v>
      </c>
      <c r="R804" s="3" t="s">
        <v>103</v>
      </c>
    </row>
    <row r="805" spans="1:18">
      <c r="A805" s="19">
        <v>46479</v>
      </c>
      <c r="B805" s="3" t="s">
        <v>11</v>
      </c>
      <c r="C805" s="3" t="s">
        <v>12</v>
      </c>
      <c r="D805" s="3" t="s">
        <v>13</v>
      </c>
      <c r="E805" s="3" t="s">
        <v>14</v>
      </c>
      <c r="F805" s="3" t="s">
        <v>38</v>
      </c>
      <c r="G805" s="3" t="s">
        <v>31</v>
      </c>
      <c r="H805">
        <v>420000</v>
      </c>
      <c r="I805">
        <v>6</v>
      </c>
      <c r="J805" s="3" t="s">
        <v>37</v>
      </c>
      <c r="K805">
        <v>336000</v>
      </c>
      <c r="L805">
        <v>2520000</v>
      </c>
      <c r="M805">
        <v>2016000</v>
      </c>
      <c r="N805">
        <v>504000</v>
      </c>
      <c r="O805" s="3" t="s">
        <v>906</v>
      </c>
      <c r="P805" s="3" t="s">
        <v>102</v>
      </c>
      <c r="Q805" s="3" t="s">
        <v>103</v>
      </c>
      <c r="R805" s="3" t="s">
        <v>103</v>
      </c>
    </row>
    <row r="806" spans="1:18">
      <c r="A806" s="19">
        <v>46480</v>
      </c>
      <c r="B806" s="3" t="s">
        <v>29</v>
      </c>
      <c r="C806" s="3" t="s">
        <v>32</v>
      </c>
      <c r="D806" s="3" t="s">
        <v>23</v>
      </c>
      <c r="E806" s="3" t="s">
        <v>14</v>
      </c>
      <c r="F806" s="3" t="s">
        <v>38</v>
      </c>
      <c r="G806" s="3" t="s">
        <v>31</v>
      </c>
      <c r="H806">
        <v>420000</v>
      </c>
      <c r="I806">
        <v>6</v>
      </c>
      <c r="J806" s="3" t="s">
        <v>28</v>
      </c>
      <c r="K806">
        <v>336000</v>
      </c>
      <c r="L806">
        <v>2520000</v>
      </c>
      <c r="M806">
        <v>2016000</v>
      </c>
      <c r="N806">
        <v>504000</v>
      </c>
      <c r="O806" s="3" t="s">
        <v>907</v>
      </c>
      <c r="P806" s="3" t="s">
        <v>102</v>
      </c>
      <c r="Q806" s="3" t="s">
        <v>103</v>
      </c>
      <c r="R806" s="3" t="s">
        <v>103</v>
      </c>
    </row>
    <row r="807" spans="1:18">
      <c r="A807" s="19">
        <v>46481</v>
      </c>
      <c r="B807" s="3" t="s">
        <v>18</v>
      </c>
      <c r="C807" s="3" t="s">
        <v>12</v>
      </c>
      <c r="D807" s="3" t="s">
        <v>13</v>
      </c>
      <c r="E807" s="3" t="s">
        <v>14</v>
      </c>
      <c r="F807" s="3" t="s">
        <v>30</v>
      </c>
      <c r="G807" s="3" t="s">
        <v>31</v>
      </c>
      <c r="H807">
        <v>300000</v>
      </c>
      <c r="I807">
        <v>10</v>
      </c>
      <c r="J807" s="3" t="s">
        <v>35</v>
      </c>
      <c r="K807">
        <v>240000</v>
      </c>
      <c r="L807">
        <v>3000000</v>
      </c>
      <c r="M807">
        <v>2400000</v>
      </c>
      <c r="N807">
        <v>600000</v>
      </c>
      <c r="O807" s="3" t="s">
        <v>908</v>
      </c>
      <c r="P807" s="3" t="s">
        <v>102</v>
      </c>
      <c r="Q807" s="3" t="s">
        <v>103</v>
      </c>
      <c r="R807" s="3" t="s">
        <v>103</v>
      </c>
    </row>
    <row r="808" spans="1:18">
      <c r="A808" s="19">
        <v>46482</v>
      </c>
      <c r="B808" s="3" t="s">
        <v>25</v>
      </c>
      <c r="C808" s="3" t="s">
        <v>19</v>
      </c>
      <c r="D808" s="3" t="s">
        <v>13</v>
      </c>
      <c r="E808" s="3" t="s">
        <v>20</v>
      </c>
      <c r="F808" s="3" t="s">
        <v>41</v>
      </c>
      <c r="G808" s="3" t="s">
        <v>22</v>
      </c>
      <c r="H808">
        <v>220000</v>
      </c>
      <c r="I808">
        <v>4</v>
      </c>
      <c r="J808" s="3" t="s">
        <v>28</v>
      </c>
      <c r="K808">
        <v>176000</v>
      </c>
      <c r="L808">
        <v>880000</v>
      </c>
      <c r="M808">
        <v>704000</v>
      </c>
      <c r="N808">
        <v>176000</v>
      </c>
      <c r="O808" s="3" t="s">
        <v>909</v>
      </c>
      <c r="P808" s="3" t="s">
        <v>102</v>
      </c>
      <c r="Q808" s="3" t="s">
        <v>103</v>
      </c>
      <c r="R808" s="3" t="s">
        <v>103</v>
      </c>
    </row>
    <row r="809" spans="1:18">
      <c r="A809" s="19">
        <v>46483</v>
      </c>
      <c r="B809" s="3" t="s">
        <v>11</v>
      </c>
      <c r="C809" s="3" t="s">
        <v>32</v>
      </c>
      <c r="D809" s="3" t="s">
        <v>13</v>
      </c>
      <c r="E809" s="3" t="s">
        <v>20</v>
      </c>
      <c r="F809" s="3" t="s">
        <v>33</v>
      </c>
      <c r="G809" s="3" t="s">
        <v>22</v>
      </c>
      <c r="H809">
        <v>180000</v>
      </c>
      <c r="I809">
        <v>8</v>
      </c>
      <c r="J809" s="3" t="s">
        <v>37</v>
      </c>
      <c r="K809">
        <v>144000</v>
      </c>
      <c r="L809">
        <v>1440000</v>
      </c>
      <c r="M809">
        <v>1152000</v>
      </c>
      <c r="N809">
        <v>288000</v>
      </c>
      <c r="O809" s="3" t="s">
        <v>910</v>
      </c>
      <c r="P809" s="3" t="s">
        <v>102</v>
      </c>
      <c r="Q809" s="3" t="s">
        <v>103</v>
      </c>
      <c r="R809" s="3" t="s">
        <v>103</v>
      </c>
    </row>
    <row r="810" spans="1:18">
      <c r="A810" s="19">
        <v>46484</v>
      </c>
      <c r="B810" s="3" t="s">
        <v>11</v>
      </c>
      <c r="C810" s="3" t="s">
        <v>32</v>
      </c>
      <c r="D810" s="3" t="s">
        <v>13</v>
      </c>
      <c r="E810" s="3" t="s">
        <v>14</v>
      </c>
      <c r="F810" s="3" t="s">
        <v>40</v>
      </c>
      <c r="G810" s="3" t="s">
        <v>31</v>
      </c>
      <c r="H810">
        <v>250000</v>
      </c>
      <c r="I810">
        <v>3</v>
      </c>
      <c r="J810" s="3" t="s">
        <v>17</v>
      </c>
      <c r="K810">
        <v>200000</v>
      </c>
      <c r="L810">
        <v>750000</v>
      </c>
      <c r="M810">
        <v>600000</v>
      </c>
      <c r="N810">
        <v>150000</v>
      </c>
      <c r="O810" s="3" t="s">
        <v>911</v>
      </c>
      <c r="P810" s="3" t="s">
        <v>102</v>
      </c>
      <c r="Q810" s="3" t="s">
        <v>103</v>
      </c>
      <c r="R810" s="3" t="s">
        <v>103</v>
      </c>
    </row>
    <row r="811" spans="1:18">
      <c r="A811" s="19">
        <v>46485</v>
      </c>
      <c r="B811" s="3" t="s">
        <v>29</v>
      </c>
      <c r="C811" s="3" t="s">
        <v>26</v>
      </c>
      <c r="D811" s="3" t="s">
        <v>23</v>
      </c>
      <c r="E811" s="3" t="s">
        <v>14</v>
      </c>
      <c r="F811" s="3" t="s">
        <v>30</v>
      </c>
      <c r="G811" s="3" t="s">
        <v>31</v>
      </c>
      <c r="H811">
        <v>300000</v>
      </c>
      <c r="I811">
        <v>7</v>
      </c>
      <c r="J811" s="3" t="s">
        <v>17</v>
      </c>
      <c r="K811">
        <v>240000</v>
      </c>
      <c r="L811">
        <v>2100000</v>
      </c>
      <c r="M811">
        <v>1680000</v>
      </c>
      <c r="N811">
        <v>420000</v>
      </c>
      <c r="O811" s="3" t="s">
        <v>912</v>
      </c>
      <c r="P811" s="3" t="s">
        <v>102</v>
      </c>
      <c r="Q811" s="3" t="s">
        <v>103</v>
      </c>
      <c r="R811" s="3" t="s">
        <v>103</v>
      </c>
    </row>
    <row r="812" spans="1:18">
      <c r="A812" s="19">
        <v>46486</v>
      </c>
      <c r="B812" s="3" t="s">
        <v>29</v>
      </c>
      <c r="C812" s="3" t="s">
        <v>32</v>
      </c>
      <c r="D812" s="3" t="s">
        <v>13</v>
      </c>
      <c r="E812" s="3" t="s">
        <v>20</v>
      </c>
      <c r="F812" s="3" t="s">
        <v>30</v>
      </c>
      <c r="G812" s="3" t="s">
        <v>31</v>
      </c>
      <c r="H812">
        <v>300000</v>
      </c>
      <c r="I812">
        <v>7</v>
      </c>
      <c r="J812" s="3" t="s">
        <v>39</v>
      </c>
      <c r="K812">
        <v>240000</v>
      </c>
      <c r="L812">
        <v>2100000</v>
      </c>
      <c r="M812">
        <v>1680000</v>
      </c>
      <c r="N812">
        <v>420000</v>
      </c>
      <c r="O812" s="3" t="s">
        <v>913</v>
      </c>
      <c r="P812" s="3" t="s">
        <v>102</v>
      </c>
      <c r="Q812" s="3" t="s">
        <v>103</v>
      </c>
      <c r="R812" s="3" t="s">
        <v>103</v>
      </c>
    </row>
    <row r="813" spans="1:18">
      <c r="A813" s="19">
        <v>46487</v>
      </c>
      <c r="B813" s="3" t="s">
        <v>29</v>
      </c>
      <c r="C813" s="3" t="s">
        <v>32</v>
      </c>
      <c r="D813" s="3" t="s">
        <v>23</v>
      </c>
      <c r="E813" s="3" t="s">
        <v>20</v>
      </c>
      <c r="F813" s="3" t="s">
        <v>40</v>
      </c>
      <c r="G813" s="3" t="s">
        <v>31</v>
      </c>
      <c r="H813">
        <v>250000</v>
      </c>
      <c r="I813">
        <v>1</v>
      </c>
      <c r="J813" s="3" t="s">
        <v>37</v>
      </c>
      <c r="K813">
        <v>200000</v>
      </c>
      <c r="L813">
        <v>250000</v>
      </c>
      <c r="M813">
        <v>200000</v>
      </c>
      <c r="N813">
        <v>50000</v>
      </c>
      <c r="O813" s="3" t="s">
        <v>914</v>
      </c>
      <c r="P813" s="3" t="s">
        <v>102</v>
      </c>
      <c r="Q813" s="3" t="s">
        <v>103</v>
      </c>
      <c r="R813" s="3" t="s">
        <v>103</v>
      </c>
    </row>
    <row r="814" spans="1:18">
      <c r="A814" s="19">
        <v>46488</v>
      </c>
      <c r="B814" s="3" t="s">
        <v>11</v>
      </c>
      <c r="C814" s="3" t="s">
        <v>19</v>
      </c>
      <c r="D814" s="3" t="s">
        <v>23</v>
      </c>
      <c r="E814" s="3" t="s">
        <v>14</v>
      </c>
      <c r="F814" s="3" t="s">
        <v>30</v>
      </c>
      <c r="G814" s="3" t="s">
        <v>31</v>
      </c>
      <c r="H814">
        <v>300000</v>
      </c>
      <c r="I814">
        <v>3</v>
      </c>
      <c r="J814" s="3" t="s">
        <v>35</v>
      </c>
      <c r="K814">
        <v>240000</v>
      </c>
      <c r="L814">
        <v>900000</v>
      </c>
      <c r="M814">
        <v>720000</v>
      </c>
      <c r="N814">
        <v>180000</v>
      </c>
      <c r="O814" s="3" t="s">
        <v>915</v>
      </c>
      <c r="P814" s="3" t="s">
        <v>102</v>
      </c>
      <c r="Q814" s="3" t="s">
        <v>103</v>
      </c>
      <c r="R814" s="3" t="s">
        <v>103</v>
      </c>
    </row>
    <row r="815" spans="1:18">
      <c r="A815" s="19">
        <v>46489</v>
      </c>
      <c r="B815" s="3" t="s">
        <v>25</v>
      </c>
      <c r="C815" s="3" t="s">
        <v>12</v>
      </c>
      <c r="D815" s="3" t="s">
        <v>13</v>
      </c>
      <c r="E815" s="3" t="s">
        <v>14</v>
      </c>
      <c r="F815" s="3" t="s">
        <v>38</v>
      </c>
      <c r="G815" s="3" t="s">
        <v>31</v>
      </c>
      <c r="H815">
        <v>420000</v>
      </c>
      <c r="I815">
        <v>10</v>
      </c>
      <c r="J815" s="3" t="s">
        <v>28</v>
      </c>
      <c r="K815">
        <v>336000</v>
      </c>
      <c r="L815">
        <v>4200000</v>
      </c>
      <c r="M815">
        <v>3360000</v>
      </c>
      <c r="N815">
        <v>840000</v>
      </c>
      <c r="O815" s="3" t="s">
        <v>916</v>
      </c>
      <c r="P815" s="3" t="s">
        <v>102</v>
      </c>
      <c r="Q815" s="3" t="s">
        <v>103</v>
      </c>
      <c r="R815" s="3" t="s">
        <v>103</v>
      </c>
    </row>
    <row r="816" spans="1:18">
      <c r="A816" s="19">
        <v>46490</v>
      </c>
      <c r="B816" s="3" t="s">
        <v>29</v>
      </c>
      <c r="C816" s="3" t="s">
        <v>26</v>
      </c>
      <c r="D816" s="3" t="s">
        <v>23</v>
      </c>
      <c r="E816" s="3" t="s">
        <v>14</v>
      </c>
      <c r="F816" s="3" t="s">
        <v>27</v>
      </c>
      <c r="G816" s="3" t="s">
        <v>22</v>
      </c>
      <c r="H816">
        <v>60000</v>
      </c>
      <c r="I816">
        <v>9</v>
      </c>
      <c r="J816" s="3" t="s">
        <v>35</v>
      </c>
      <c r="K816">
        <v>48000</v>
      </c>
      <c r="L816">
        <v>540000</v>
      </c>
      <c r="M816">
        <v>432000</v>
      </c>
      <c r="N816">
        <v>108000</v>
      </c>
      <c r="O816" s="3" t="s">
        <v>917</v>
      </c>
      <c r="P816" s="3" t="s">
        <v>102</v>
      </c>
      <c r="Q816" s="3" t="s">
        <v>103</v>
      </c>
      <c r="R816" s="3" t="s">
        <v>103</v>
      </c>
    </row>
    <row r="817" spans="1:18">
      <c r="A817" s="19">
        <v>46491</v>
      </c>
      <c r="B817" s="3" t="s">
        <v>11</v>
      </c>
      <c r="C817" s="3" t="s">
        <v>12</v>
      </c>
      <c r="D817" s="3" t="s">
        <v>13</v>
      </c>
      <c r="E817" s="3" t="s">
        <v>14</v>
      </c>
      <c r="F817" s="3" t="s">
        <v>40</v>
      </c>
      <c r="G817" s="3" t="s">
        <v>31</v>
      </c>
      <c r="H817">
        <v>250000</v>
      </c>
      <c r="I817">
        <v>4</v>
      </c>
      <c r="J817" s="3" t="s">
        <v>28</v>
      </c>
      <c r="K817">
        <v>200000</v>
      </c>
      <c r="L817">
        <v>1000000</v>
      </c>
      <c r="M817">
        <v>800000</v>
      </c>
      <c r="N817">
        <v>200000</v>
      </c>
      <c r="O817" s="3" t="s">
        <v>918</v>
      </c>
      <c r="P817" s="3" t="s">
        <v>102</v>
      </c>
      <c r="Q817" s="3" t="s">
        <v>103</v>
      </c>
      <c r="R817" s="3" t="s">
        <v>103</v>
      </c>
    </row>
    <row r="818" spans="1:18">
      <c r="A818" s="19">
        <v>46492</v>
      </c>
      <c r="B818" s="3" t="s">
        <v>18</v>
      </c>
      <c r="C818" s="3" t="s">
        <v>26</v>
      </c>
      <c r="D818" s="3" t="s">
        <v>13</v>
      </c>
      <c r="E818" s="3" t="s">
        <v>14</v>
      </c>
      <c r="F818" s="3" t="s">
        <v>40</v>
      </c>
      <c r="G818" s="3" t="s">
        <v>31</v>
      </c>
      <c r="H818">
        <v>250000</v>
      </c>
      <c r="I818">
        <v>3</v>
      </c>
      <c r="J818" s="3" t="s">
        <v>37</v>
      </c>
      <c r="K818">
        <v>200000</v>
      </c>
      <c r="L818">
        <v>750000</v>
      </c>
      <c r="M818">
        <v>600000</v>
      </c>
      <c r="N818">
        <v>150000</v>
      </c>
      <c r="O818" s="3" t="s">
        <v>919</v>
      </c>
      <c r="P818" s="3" t="s">
        <v>102</v>
      </c>
      <c r="Q818" s="3" t="s">
        <v>103</v>
      </c>
      <c r="R818" s="3" t="s">
        <v>103</v>
      </c>
    </row>
    <row r="819" spans="1:18">
      <c r="A819" s="19">
        <v>46493</v>
      </c>
      <c r="B819" s="3" t="s">
        <v>11</v>
      </c>
      <c r="C819" s="3" t="s">
        <v>32</v>
      </c>
      <c r="D819" s="3" t="s">
        <v>13</v>
      </c>
      <c r="E819" s="3" t="s">
        <v>20</v>
      </c>
      <c r="F819" s="3" t="s">
        <v>27</v>
      </c>
      <c r="G819" s="3" t="s">
        <v>22</v>
      </c>
      <c r="H819">
        <v>60000</v>
      </c>
      <c r="I819">
        <v>3</v>
      </c>
      <c r="J819" s="3" t="s">
        <v>17</v>
      </c>
      <c r="K819">
        <v>48000</v>
      </c>
      <c r="L819">
        <v>180000</v>
      </c>
      <c r="M819">
        <v>144000</v>
      </c>
      <c r="N819">
        <v>36000</v>
      </c>
      <c r="O819" s="3" t="s">
        <v>920</v>
      </c>
      <c r="P819" s="3" t="s">
        <v>102</v>
      </c>
      <c r="Q819" s="3" t="s">
        <v>103</v>
      </c>
      <c r="R819" s="3" t="s">
        <v>103</v>
      </c>
    </row>
    <row r="820" spans="1:18">
      <c r="A820" s="19">
        <v>46494</v>
      </c>
      <c r="B820" s="3" t="s">
        <v>11</v>
      </c>
      <c r="C820" s="3" t="s">
        <v>19</v>
      </c>
      <c r="D820" s="3" t="s">
        <v>23</v>
      </c>
      <c r="E820" s="3" t="s">
        <v>14</v>
      </c>
      <c r="F820" s="3" t="s">
        <v>34</v>
      </c>
      <c r="G820" s="3" t="s">
        <v>16</v>
      </c>
      <c r="H820">
        <v>320000</v>
      </c>
      <c r="I820">
        <v>1</v>
      </c>
      <c r="J820" s="3" t="s">
        <v>24</v>
      </c>
      <c r="K820">
        <v>256000</v>
      </c>
      <c r="L820">
        <v>320000</v>
      </c>
      <c r="M820">
        <v>256000</v>
      </c>
      <c r="N820">
        <v>64000</v>
      </c>
      <c r="O820" s="3" t="s">
        <v>921</v>
      </c>
      <c r="P820" s="3" t="s">
        <v>102</v>
      </c>
      <c r="Q820" s="3" t="s">
        <v>103</v>
      </c>
      <c r="R820" s="3" t="s">
        <v>103</v>
      </c>
    </row>
    <row r="821" spans="1:18">
      <c r="A821" s="19">
        <v>46495</v>
      </c>
      <c r="B821" s="3" t="s">
        <v>29</v>
      </c>
      <c r="C821" s="3" t="s">
        <v>32</v>
      </c>
      <c r="D821" s="3" t="s">
        <v>23</v>
      </c>
      <c r="E821" s="3" t="s">
        <v>20</v>
      </c>
      <c r="F821" s="3" t="s">
        <v>27</v>
      </c>
      <c r="G821" s="3" t="s">
        <v>22</v>
      </c>
      <c r="H821">
        <v>60000</v>
      </c>
      <c r="I821">
        <v>8</v>
      </c>
      <c r="J821" s="3" t="s">
        <v>24</v>
      </c>
      <c r="K821">
        <v>48000</v>
      </c>
      <c r="L821">
        <v>480000</v>
      </c>
      <c r="M821">
        <v>384000</v>
      </c>
      <c r="N821">
        <v>96000</v>
      </c>
      <c r="O821" s="3" t="s">
        <v>922</v>
      </c>
      <c r="P821" s="3" t="s">
        <v>102</v>
      </c>
      <c r="Q821" s="3" t="s">
        <v>103</v>
      </c>
      <c r="R821" s="3" t="s">
        <v>103</v>
      </c>
    </row>
    <row r="822" spans="1:18">
      <c r="A822" s="19">
        <v>46496</v>
      </c>
      <c r="B822" s="3" t="s">
        <v>18</v>
      </c>
      <c r="C822" s="3" t="s">
        <v>26</v>
      </c>
      <c r="D822" s="3" t="s">
        <v>23</v>
      </c>
      <c r="E822" s="3" t="s">
        <v>20</v>
      </c>
      <c r="F822" s="3" t="s">
        <v>40</v>
      </c>
      <c r="G822" s="3" t="s">
        <v>31</v>
      </c>
      <c r="H822">
        <v>250000</v>
      </c>
      <c r="I822">
        <v>5</v>
      </c>
      <c r="J822" s="3" t="s">
        <v>35</v>
      </c>
      <c r="K822">
        <v>200000</v>
      </c>
      <c r="L822">
        <v>1250000</v>
      </c>
      <c r="M822">
        <v>1000000</v>
      </c>
      <c r="N822">
        <v>250000</v>
      </c>
      <c r="O822" s="3" t="s">
        <v>923</v>
      </c>
      <c r="P822" s="3" t="s">
        <v>102</v>
      </c>
      <c r="Q822" s="3" t="s">
        <v>103</v>
      </c>
      <c r="R822" s="3" t="s">
        <v>103</v>
      </c>
    </row>
    <row r="823" spans="1:18">
      <c r="A823" s="19">
        <v>46497</v>
      </c>
      <c r="B823" s="3" t="s">
        <v>11</v>
      </c>
      <c r="C823" s="3" t="s">
        <v>12</v>
      </c>
      <c r="D823" s="3" t="s">
        <v>23</v>
      </c>
      <c r="E823" s="3" t="s">
        <v>20</v>
      </c>
      <c r="F823" s="3" t="s">
        <v>34</v>
      </c>
      <c r="G823" s="3" t="s">
        <v>16</v>
      </c>
      <c r="H823">
        <v>320000</v>
      </c>
      <c r="I823">
        <v>2</v>
      </c>
      <c r="J823" s="3" t="s">
        <v>39</v>
      </c>
      <c r="K823">
        <v>256000</v>
      </c>
      <c r="L823">
        <v>640000</v>
      </c>
      <c r="M823">
        <v>512000</v>
      </c>
      <c r="N823">
        <v>128000</v>
      </c>
      <c r="O823" s="3" t="s">
        <v>924</v>
      </c>
      <c r="P823" s="3" t="s">
        <v>102</v>
      </c>
      <c r="Q823" s="3" t="s">
        <v>103</v>
      </c>
      <c r="R823" s="3" t="s">
        <v>103</v>
      </c>
    </row>
    <row r="824" spans="1:18">
      <c r="A824" s="19">
        <v>46498</v>
      </c>
      <c r="B824" s="3" t="s">
        <v>25</v>
      </c>
      <c r="C824" s="3" t="s">
        <v>26</v>
      </c>
      <c r="D824" s="3" t="s">
        <v>23</v>
      </c>
      <c r="E824" s="3" t="s">
        <v>14</v>
      </c>
      <c r="F824" s="3" t="s">
        <v>41</v>
      </c>
      <c r="G824" s="3" t="s">
        <v>22</v>
      </c>
      <c r="H824">
        <v>220000</v>
      </c>
      <c r="I824">
        <v>5</v>
      </c>
      <c r="J824" s="3" t="s">
        <v>24</v>
      </c>
      <c r="K824">
        <v>176000</v>
      </c>
      <c r="L824">
        <v>1100000</v>
      </c>
      <c r="M824">
        <v>880000</v>
      </c>
      <c r="N824">
        <v>220000</v>
      </c>
      <c r="O824" s="3" t="s">
        <v>925</v>
      </c>
      <c r="P824" s="3" t="s">
        <v>102</v>
      </c>
      <c r="Q824" s="3" t="s">
        <v>103</v>
      </c>
      <c r="R824" s="3" t="s">
        <v>103</v>
      </c>
    </row>
    <row r="825" spans="1:18">
      <c r="A825" s="19">
        <v>46499</v>
      </c>
      <c r="B825" s="3" t="s">
        <v>11</v>
      </c>
      <c r="C825" s="3" t="s">
        <v>19</v>
      </c>
      <c r="D825" s="3" t="s">
        <v>23</v>
      </c>
      <c r="E825" s="3" t="s">
        <v>20</v>
      </c>
      <c r="F825" s="3" t="s">
        <v>40</v>
      </c>
      <c r="G825" s="3" t="s">
        <v>31</v>
      </c>
      <c r="H825">
        <v>250000</v>
      </c>
      <c r="I825">
        <v>3</v>
      </c>
      <c r="J825" s="3" t="s">
        <v>17</v>
      </c>
      <c r="K825">
        <v>200000</v>
      </c>
      <c r="L825">
        <v>750000</v>
      </c>
      <c r="M825">
        <v>600000</v>
      </c>
      <c r="N825">
        <v>150000</v>
      </c>
      <c r="O825" s="3" t="s">
        <v>926</v>
      </c>
      <c r="P825" s="3" t="s">
        <v>102</v>
      </c>
      <c r="Q825" s="3" t="s">
        <v>103</v>
      </c>
      <c r="R825" s="3" t="s">
        <v>103</v>
      </c>
    </row>
    <row r="826" spans="1:18">
      <c r="A826" s="19">
        <v>46500</v>
      </c>
      <c r="B826" s="3" t="s">
        <v>11</v>
      </c>
      <c r="C826" s="3" t="s">
        <v>26</v>
      </c>
      <c r="D826" s="3" t="s">
        <v>13</v>
      </c>
      <c r="E826" s="3" t="s">
        <v>20</v>
      </c>
      <c r="F826" s="3" t="s">
        <v>15</v>
      </c>
      <c r="G826" s="3" t="s">
        <v>16</v>
      </c>
      <c r="H826">
        <v>85000</v>
      </c>
      <c r="I826">
        <v>10</v>
      </c>
      <c r="J826" s="3" t="s">
        <v>28</v>
      </c>
      <c r="K826">
        <v>68000</v>
      </c>
      <c r="L826">
        <v>850000</v>
      </c>
      <c r="M826">
        <v>680000</v>
      </c>
      <c r="N826">
        <v>170000</v>
      </c>
      <c r="O826" s="3" t="s">
        <v>927</v>
      </c>
      <c r="P826" s="3" t="s">
        <v>102</v>
      </c>
      <c r="Q826" s="3" t="s">
        <v>103</v>
      </c>
      <c r="R826" s="3" t="s">
        <v>103</v>
      </c>
    </row>
    <row r="827" spans="1:18">
      <c r="A827" s="19">
        <v>46501</v>
      </c>
      <c r="B827" s="3" t="s">
        <v>25</v>
      </c>
      <c r="C827" s="3" t="s">
        <v>12</v>
      </c>
      <c r="D827" s="3" t="s">
        <v>13</v>
      </c>
      <c r="E827" s="3" t="s">
        <v>20</v>
      </c>
      <c r="F827" s="3" t="s">
        <v>38</v>
      </c>
      <c r="G827" s="3" t="s">
        <v>31</v>
      </c>
      <c r="H827">
        <v>420000</v>
      </c>
      <c r="I827">
        <v>6</v>
      </c>
      <c r="J827" s="3" t="s">
        <v>35</v>
      </c>
      <c r="K827">
        <v>336000</v>
      </c>
      <c r="L827">
        <v>2520000</v>
      </c>
      <c r="M827">
        <v>2016000</v>
      </c>
      <c r="N827">
        <v>504000</v>
      </c>
      <c r="O827" s="3" t="s">
        <v>928</v>
      </c>
      <c r="P827" s="3" t="s">
        <v>102</v>
      </c>
      <c r="Q827" s="3" t="s">
        <v>103</v>
      </c>
      <c r="R827" s="3" t="s">
        <v>103</v>
      </c>
    </row>
    <row r="828" spans="1:18">
      <c r="A828" s="19">
        <v>46502</v>
      </c>
      <c r="B828" s="3" t="s">
        <v>29</v>
      </c>
      <c r="C828" s="3" t="s">
        <v>19</v>
      </c>
      <c r="D828" s="3" t="s">
        <v>13</v>
      </c>
      <c r="E828" s="3" t="s">
        <v>20</v>
      </c>
      <c r="F828" s="3" t="s">
        <v>36</v>
      </c>
      <c r="G828" s="3" t="s">
        <v>31</v>
      </c>
      <c r="H828">
        <v>150000</v>
      </c>
      <c r="I828">
        <v>5</v>
      </c>
      <c r="J828" s="3" t="s">
        <v>24</v>
      </c>
      <c r="K828">
        <v>120000</v>
      </c>
      <c r="L828">
        <v>750000</v>
      </c>
      <c r="M828">
        <v>600000</v>
      </c>
      <c r="N828">
        <v>150000</v>
      </c>
      <c r="O828" s="3" t="s">
        <v>929</v>
      </c>
      <c r="P828" s="3" t="s">
        <v>102</v>
      </c>
      <c r="Q828" s="3" t="s">
        <v>103</v>
      </c>
      <c r="R828" s="3" t="s">
        <v>103</v>
      </c>
    </row>
    <row r="829" spans="1:18">
      <c r="A829" s="19">
        <v>46503</v>
      </c>
      <c r="B829" s="3" t="s">
        <v>29</v>
      </c>
      <c r="C829" s="3" t="s">
        <v>12</v>
      </c>
      <c r="D829" s="3" t="s">
        <v>13</v>
      </c>
      <c r="E829" s="3" t="s">
        <v>20</v>
      </c>
      <c r="F829" s="3" t="s">
        <v>34</v>
      </c>
      <c r="G829" s="3" t="s">
        <v>16</v>
      </c>
      <c r="H829">
        <v>320000</v>
      </c>
      <c r="I829">
        <v>3</v>
      </c>
      <c r="J829" s="3" t="s">
        <v>37</v>
      </c>
      <c r="K829">
        <v>256000</v>
      </c>
      <c r="L829">
        <v>960000</v>
      </c>
      <c r="M829">
        <v>768000</v>
      </c>
      <c r="N829">
        <v>192000</v>
      </c>
      <c r="O829" s="3" t="s">
        <v>930</v>
      </c>
      <c r="P829" s="3" t="s">
        <v>102</v>
      </c>
      <c r="Q829" s="3" t="s">
        <v>103</v>
      </c>
      <c r="R829" s="3" t="s">
        <v>103</v>
      </c>
    </row>
    <row r="830" spans="1:18">
      <c r="A830" s="19">
        <v>46504</v>
      </c>
      <c r="B830" s="3" t="s">
        <v>29</v>
      </c>
      <c r="C830" s="3" t="s">
        <v>32</v>
      </c>
      <c r="D830" s="3" t="s">
        <v>23</v>
      </c>
      <c r="E830" s="3" t="s">
        <v>14</v>
      </c>
      <c r="F830" s="3" t="s">
        <v>21</v>
      </c>
      <c r="G830" s="3" t="s">
        <v>22</v>
      </c>
      <c r="H830">
        <v>30000</v>
      </c>
      <c r="I830">
        <v>1</v>
      </c>
      <c r="J830" s="3" t="s">
        <v>35</v>
      </c>
      <c r="K830">
        <v>24000</v>
      </c>
      <c r="L830">
        <v>30000</v>
      </c>
      <c r="M830">
        <v>24000</v>
      </c>
      <c r="N830">
        <v>6000</v>
      </c>
      <c r="O830" s="3" t="s">
        <v>931</v>
      </c>
      <c r="P830" s="3" t="s">
        <v>102</v>
      </c>
      <c r="Q830" s="3" t="s">
        <v>103</v>
      </c>
      <c r="R830" s="3" t="s">
        <v>103</v>
      </c>
    </row>
    <row r="831" spans="1:18">
      <c r="A831" s="19">
        <v>46505</v>
      </c>
      <c r="B831" s="3" t="s">
        <v>11</v>
      </c>
      <c r="C831" s="3" t="s">
        <v>26</v>
      </c>
      <c r="D831" s="3" t="s">
        <v>13</v>
      </c>
      <c r="E831" s="3" t="s">
        <v>14</v>
      </c>
      <c r="F831" s="3" t="s">
        <v>33</v>
      </c>
      <c r="G831" s="3" t="s">
        <v>22</v>
      </c>
      <c r="H831">
        <v>180000</v>
      </c>
      <c r="I831">
        <v>10</v>
      </c>
      <c r="J831" s="3" t="s">
        <v>35</v>
      </c>
      <c r="K831">
        <v>144000</v>
      </c>
      <c r="L831">
        <v>1800000</v>
      </c>
      <c r="M831">
        <v>1440000</v>
      </c>
      <c r="N831">
        <v>360000</v>
      </c>
      <c r="O831" s="3" t="s">
        <v>932</v>
      </c>
      <c r="P831" s="3" t="s">
        <v>102</v>
      </c>
      <c r="Q831" s="3" t="s">
        <v>103</v>
      </c>
      <c r="R831" s="3" t="s">
        <v>103</v>
      </c>
    </row>
    <row r="832" spans="1:18">
      <c r="A832" s="19">
        <v>46506</v>
      </c>
      <c r="B832" s="3" t="s">
        <v>25</v>
      </c>
      <c r="C832" s="3" t="s">
        <v>12</v>
      </c>
      <c r="D832" s="3" t="s">
        <v>23</v>
      </c>
      <c r="E832" s="3" t="s">
        <v>20</v>
      </c>
      <c r="F832" s="3" t="s">
        <v>33</v>
      </c>
      <c r="G832" s="3" t="s">
        <v>22</v>
      </c>
      <c r="H832">
        <v>180000</v>
      </c>
      <c r="I832">
        <v>3</v>
      </c>
      <c r="J832" s="3" t="s">
        <v>17</v>
      </c>
      <c r="K832">
        <v>144000</v>
      </c>
      <c r="L832">
        <v>540000</v>
      </c>
      <c r="M832">
        <v>432000</v>
      </c>
      <c r="N832">
        <v>108000</v>
      </c>
      <c r="O832" s="3" t="s">
        <v>933</v>
      </c>
      <c r="P832" s="3" t="s">
        <v>102</v>
      </c>
      <c r="Q832" s="3" t="s">
        <v>103</v>
      </c>
      <c r="R832" s="3" t="s">
        <v>103</v>
      </c>
    </row>
    <row r="833" spans="1:18">
      <c r="A833" s="19">
        <v>46507</v>
      </c>
      <c r="B833" s="3" t="s">
        <v>18</v>
      </c>
      <c r="C833" s="3" t="s">
        <v>12</v>
      </c>
      <c r="D833" s="3" t="s">
        <v>23</v>
      </c>
      <c r="E833" s="3" t="s">
        <v>14</v>
      </c>
      <c r="F833" s="3" t="s">
        <v>38</v>
      </c>
      <c r="G833" s="3" t="s">
        <v>31</v>
      </c>
      <c r="H833">
        <v>420000</v>
      </c>
      <c r="I833">
        <v>3</v>
      </c>
      <c r="J833" s="3" t="s">
        <v>24</v>
      </c>
      <c r="K833">
        <v>336000</v>
      </c>
      <c r="L833">
        <v>1260000</v>
      </c>
      <c r="M833">
        <v>1008000</v>
      </c>
      <c r="N833">
        <v>252000</v>
      </c>
      <c r="O833" s="3" t="s">
        <v>934</v>
      </c>
      <c r="P833" s="3" t="s">
        <v>102</v>
      </c>
      <c r="Q833" s="3" t="s">
        <v>103</v>
      </c>
      <c r="R833" s="3" t="s">
        <v>103</v>
      </c>
    </row>
    <row r="834" spans="1:18">
      <c r="A834" s="19">
        <v>46508</v>
      </c>
      <c r="B834" s="3" t="s">
        <v>18</v>
      </c>
      <c r="C834" s="3" t="s">
        <v>19</v>
      </c>
      <c r="D834" s="3" t="s">
        <v>13</v>
      </c>
      <c r="E834" s="3" t="s">
        <v>14</v>
      </c>
      <c r="F834" s="3" t="s">
        <v>41</v>
      </c>
      <c r="G834" s="3" t="s">
        <v>22</v>
      </c>
      <c r="H834">
        <v>220000</v>
      </c>
      <c r="I834">
        <v>6</v>
      </c>
      <c r="J834" s="3" t="s">
        <v>37</v>
      </c>
      <c r="K834">
        <v>176000</v>
      </c>
      <c r="L834">
        <v>1320000</v>
      </c>
      <c r="M834">
        <v>1056000</v>
      </c>
      <c r="N834">
        <v>264000</v>
      </c>
      <c r="O834" s="3" t="s">
        <v>935</v>
      </c>
      <c r="P834" s="3" t="s">
        <v>102</v>
      </c>
      <c r="Q834" s="3" t="s">
        <v>103</v>
      </c>
      <c r="R834" s="3" t="s">
        <v>103</v>
      </c>
    </row>
    <row r="835" spans="1:18">
      <c r="A835" s="19">
        <v>46509</v>
      </c>
      <c r="B835" s="3" t="s">
        <v>25</v>
      </c>
      <c r="C835" s="3" t="s">
        <v>26</v>
      </c>
      <c r="D835" s="3" t="s">
        <v>13</v>
      </c>
      <c r="E835" s="3" t="s">
        <v>14</v>
      </c>
      <c r="F835" s="3" t="s">
        <v>27</v>
      </c>
      <c r="G835" s="3" t="s">
        <v>22</v>
      </c>
      <c r="H835">
        <v>60000</v>
      </c>
      <c r="I835">
        <v>10</v>
      </c>
      <c r="J835" s="3" t="s">
        <v>35</v>
      </c>
      <c r="K835">
        <v>48000</v>
      </c>
      <c r="L835">
        <v>600000</v>
      </c>
      <c r="M835">
        <v>480000</v>
      </c>
      <c r="N835">
        <v>120000</v>
      </c>
      <c r="O835" s="3" t="s">
        <v>936</v>
      </c>
      <c r="P835" s="3" t="s">
        <v>102</v>
      </c>
      <c r="Q835" s="3" t="s">
        <v>103</v>
      </c>
      <c r="R835" s="3" t="s">
        <v>103</v>
      </c>
    </row>
    <row r="836" spans="1:18">
      <c r="A836" s="19">
        <v>46510</v>
      </c>
      <c r="B836" s="3" t="s">
        <v>25</v>
      </c>
      <c r="C836" s="3" t="s">
        <v>19</v>
      </c>
      <c r="D836" s="3" t="s">
        <v>13</v>
      </c>
      <c r="E836" s="3" t="s">
        <v>20</v>
      </c>
      <c r="F836" s="3" t="s">
        <v>33</v>
      </c>
      <c r="G836" s="3" t="s">
        <v>22</v>
      </c>
      <c r="H836">
        <v>180000</v>
      </c>
      <c r="I836">
        <v>10</v>
      </c>
      <c r="J836" s="3" t="s">
        <v>28</v>
      </c>
      <c r="K836">
        <v>144000</v>
      </c>
      <c r="L836">
        <v>1800000</v>
      </c>
      <c r="M836">
        <v>1440000</v>
      </c>
      <c r="N836">
        <v>360000</v>
      </c>
      <c r="O836" s="3" t="s">
        <v>937</v>
      </c>
      <c r="P836" s="3" t="s">
        <v>102</v>
      </c>
      <c r="Q836" s="3" t="s">
        <v>103</v>
      </c>
      <c r="R836" s="3" t="s">
        <v>103</v>
      </c>
    </row>
    <row r="837" spans="1:18">
      <c r="A837" s="19">
        <v>46511</v>
      </c>
      <c r="B837" s="3" t="s">
        <v>18</v>
      </c>
      <c r="C837" s="3" t="s">
        <v>12</v>
      </c>
      <c r="D837" s="3" t="s">
        <v>23</v>
      </c>
      <c r="E837" s="3" t="s">
        <v>20</v>
      </c>
      <c r="F837" s="3" t="s">
        <v>41</v>
      </c>
      <c r="G837" s="3" t="s">
        <v>22</v>
      </c>
      <c r="H837">
        <v>220000</v>
      </c>
      <c r="I837">
        <v>4</v>
      </c>
      <c r="J837" s="3" t="s">
        <v>24</v>
      </c>
      <c r="K837">
        <v>176000</v>
      </c>
      <c r="L837">
        <v>880000</v>
      </c>
      <c r="M837">
        <v>704000</v>
      </c>
      <c r="N837">
        <v>176000</v>
      </c>
      <c r="O837" s="3" t="s">
        <v>938</v>
      </c>
      <c r="P837" s="3" t="s">
        <v>102</v>
      </c>
      <c r="Q837" s="3" t="s">
        <v>103</v>
      </c>
      <c r="R837" s="3" t="s">
        <v>103</v>
      </c>
    </row>
    <row r="838" spans="1:18">
      <c r="A838" s="19">
        <v>46512</v>
      </c>
      <c r="B838" s="3" t="s">
        <v>25</v>
      </c>
      <c r="C838" s="3" t="s">
        <v>32</v>
      </c>
      <c r="D838" s="3" t="s">
        <v>23</v>
      </c>
      <c r="E838" s="3" t="s">
        <v>20</v>
      </c>
      <c r="F838" s="3" t="s">
        <v>40</v>
      </c>
      <c r="G838" s="3" t="s">
        <v>31</v>
      </c>
      <c r="H838">
        <v>250000</v>
      </c>
      <c r="I838">
        <v>4</v>
      </c>
      <c r="J838" s="3" t="s">
        <v>35</v>
      </c>
      <c r="K838">
        <v>200000</v>
      </c>
      <c r="L838">
        <v>1000000</v>
      </c>
      <c r="M838">
        <v>800000</v>
      </c>
      <c r="N838">
        <v>200000</v>
      </c>
      <c r="O838" s="3" t="s">
        <v>939</v>
      </c>
      <c r="P838" s="3" t="s">
        <v>102</v>
      </c>
      <c r="Q838" s="3" t="s">
        <v>103</v>
      </c>
      <c r="R838" s="3" t="s">
        <v>103</v>
      </c>
    </row>
    <row r="839" spans="1:18">
      <c r="A839" s="19">
        <v>46513</v>
      </c>
      <c r="B839" s="3" t="s">
        <v>25</v>
      </c>
      <c r="C839" s="3" t="s">
        <v>19</v>
      </c>
      <c r="D839" s="3" t="s">
        <v>23</v>
      </c>
      <c r="E839" s="3" t="s">
        <v>20</v>
      </c>
      <c r="F839" s="3" t="s">
        <v>21</v>
      </c>
      <c r="G839" s="3" t="s">
        <v>22</v>
      </c>
      <c r="H839">
        <v>30000</v>
      </c>
      <c r="I839">
        <v>2</v>
      </c>
      <c r="J839" s="3" t="s">
        <v>39</v>
      </c>
      <c r="K839">
        <v>24000</v>
      </c>
      <c r="L839">
        <v>60000</v>
      </c>
      <c r="M839">
        <v>48000</v>
      </c>
      <c r="N839">
        <v>12000</v>
      </c>
      <c r="O839" s="3" t="s">
        <v>940</v>
      </c>
      <c r="P839" s="3" t="s">
        <v>102</v>
      </c>
      <c r="Q839" s="3" t="s">
        <v>103</v>
      </c>
      <c r="R839" s="3" t="s">
        <v>103</v>
      </c>
    </row>
    <row r="840" spans="1:18">
      <c r="A840" s="19">
        <v>46514</v>
      </c>
      <c r="B840" s="3" t="s">
        <v>11</v>
      </c>
      <c r="C840" s="3" t="s">
        <v>26</v>
      </c>
      <c r="D840" s="3" t="s">
        <v>13</v>
      </c>
      <c r="E840" s="3" t="s">
        <v>20</v>
      </c>
      <c r="F840" s="3" t="s">
        <v>33</v>
      </c>
      <c r="G840" s="3" t="s">
        <v>22</v>
      </c>
      <c r="H840">
        <v>180000</v>
      </c>
      <c r="I840">
        <v>6</v>
      </c>
      <c r="J840" s="3" t="s">
        <v>28</v>
      </c>
      <c r="K840">
        <v>144000</v>
      </c>
      <c r="L840">
        <v>1080000</v>
      </c>
      <c r="M840">
        <v>864000</v>
      </c>
      <c r="N840">
        <v>216000</v>
      </c>
      <c r="O840" s="3" t="s">
        <v>941</v>
      </c>
      <c r="P840" s="3" t="s">
        <v>102</v>
      </c>
      <c r="Q840" s="3" t="s">
        <v>103</v>
      </c>
      <c r="R840" s="3" t="s">
        <v>103</v>
      </c>
    </row>
    <row r="841" spans="1:18">
      <c r="A841" s="19">
        <v>46515</v>
      </c>
      <c r="B841" s="3" t="s">
        <v>25</v>
      </c>
      <c r="C841" s="3" t="s">
        <v>32</v>
      </c>
      <c r="D841" s="3" t="s">
        <v>23</v>
      </c>
      <c r="E841" s="3" t="s">
        <v>20</v>
      </c>
      <c r="F841" s="3" t="s">
        <v>33</v>
      </c>
      <c r="G841" s="3" t="s">
        <v>22</v>
      </c>
      <c r="H841">
        <v>180000</v>
      </c>
      <c r="I841">
        <v>8</v>
      </c>
      <c r="J841" s="3" t="s">
        <v>39</v>
      </c>
      <c r="K841">
        <v>144000</v>
      </c>
      <c r="L841">
        <v>1440000</v>
      </c>
      <c r="M841">
        <v>1152000</v>
      </c>
      <c r="N841">
        <v>288000</v>
      </c>
      <c r="O841" s="3" t="s">
        <v>942</v>
      </c>
      <c r="P841" s="3" t="s">
        <v>102</v>
      </c>
      <c r="Q841" s="3" t="s">
        <v>103</v>
      </c>
      <c r="R841" s="3" t="s">
        <v>103</v>
      </c>
    </row>
    <row r="842" spans="1:18">
      <c r="A842" s="19">
        <v>46516</v>
      </c>
      <c r="B842" s="3" t="s">
        <v>11</v>
      </c>
      <c r="C842" s="3" t="s">
        <v>19</v>
      </c>
      <c r="D842" s="3" t="s">
        <v>23</v>
      </c>
      <c r="E842" s="3" t="s">
        <v>20</v>
      </c>
      <c r="F842" s="3" t="s">
        <v>38</v>
      </c>
      <c r="G842" s="3" t="s">
        <v>31</v>
      </c>
      <c r="H842">
        <v>420000</v>
      </c>
      <c r="I842">
        <v>3</v>
      </c>
      <c r="J842" s="3" t="s">
        <v>17</v>
      </c>
      <c r="K842">
        <v>336000</v>
      </c>
      <c r="L842">
        <v>1260000</v>
      </c>
      <c r="M842">
        <v>1008000</v>
      </c>
      <c r="N842">
        <v>252000</v>
      </c>
      <c r="O842" s="3" t="s">
        <v>943</v>
      </c>
      <c r="P842" s="3" t="s">
        <v>102</v>
      </c>
      <c r="Q842" s="3" t="s">
        <v>103</v>
      </c>
      <c r="R842" s="3" t="s">
        <v>103</v>
      </c>
    </row>
    <row r="843" spans="1:18">
      <c r="A843" s="19">
        <v>46517</v>
      </c>
      <c r="B843" s="3" t="s">
        <v>29</v>
      </c>
      <c r="C843" s="3" t="s">
        <v>26</v>
      </c>
      <c r="D843" s="3" t="s">
        <v>23</v>
      </c>
      <c r="E843" s="3" t="s">
        <v>14</v>
      </c>
      <c r="F843" s="3" t="s">
        <v>21</v>
      </c>
      <c r="G843" s="3" t="s">
        <v>22</v>
      </c>
      <c r="H843">
        <v>30000</v>
      </c>
      <c r="I843">
        <v>10</v>
      </c>
      <c r="J843" s="3" t="s">
        <v>28</v>
      </c>
      <c r="K843">
        <v>24000</v>
      </c>
      <c r="L843">
        <v>300000</v>
      </c>
      <c r="M843">
        <v>240000</v>
      </c>
      <c r="N843">
        <v>60000</v>
      </c>
      <c r="O843" s="3" t="s">
        <v>944</v>
      </c>
      <c r="P843" s="3" t="s">
        <v>102</v>
      </c>
      <c r="Q843" s="3" t="s">
        <v>103</v>
      </c>
      <c r="R843" s="3" t="s">
        <v>103</v>
      </c>
    </row>
    <row r="844" spans="1:18">
      <c r="A844" s="19">
        <v>46518</v>
      </c>
      <c r="B844" s="3" t="s">
        <v>18</v>
      </c>
      <c r="C844" s="3" t="s">
        <v>26</v>
      </c>
      <c r="D844" s="3" t="s">
        <v>23</v>
      </c>
      <c r="E844" s="3" t="s">
        <v>14</v>
      </c>
      <c r="F844" s="3" t="s">
        <v>15</v>
      </c>
      <c r="G844" s="3" t="s">
        <v>16</v>
      </c>
      <c r="H844">
        <v>85000</v>
      </c>
      <c r="I844">
        <v>7</v>
      </c>
      <c r="J844" s="3" t="s">
        <v>39</v>
      </c>
      <c r="K844">
        <v>68000</v>
      </c>
      <c r="L844">
        <v>595000</v>
      </c>
      <c r="M844">
        <v>476000</v>
      </c>
      <c r="N844">
        <v>119000</v>
      </c>
      <c r="O844" s="3" t="s">
        <v>945</v>
      </c>
      <c r="P844" s="3" t="s">
        <v>102</v>
      </c>
      <c r="Q844" s="3" t="s">
        <v>103</v>
      </c>
      <c r="R844" s="3" t="s">
        <v>103</v>
      </c>
    </row>
    <row r="845" spans="1:18">
      <c r="A845" s="19">
        <v>46519</v>
      </c>
      <c r="B845" s="3" t="s">
        <v>11</v>
      </c>
      <c r="C845" s="3" t="s">
        <v>12</v>
      </c>
      <c r="D845" s="3" t="s">
        <v>13</v>
      </c>
      <c r="E845" s="3" t="s">
        <v>20</v>
      </c>
      <c r="F845" s="3" t="s">
        <v>21</v>
      </c>
      <c r="G845" s="3" t="s">
        <v>22</v>
      </c>
      <c r="H845">
        <v>30000</v>
      </c>
      <c r="I845">
        <v>5</v>
      </c>
      <c r="J845" s="3" t="s">
        <v>17</v>
      </c>
      <c r="K845">
        <v>24000</v>
      </c>
      <c r="L845">
        <v>150000</v>
      </c>
      <c r="M845">
        <v>120000</v>
      </c>
      <c r="N845">
        <v>30000</v>
      </c>
      <c r="O845" s="3" t="s">
        <v>946</v>
      </c>
      <c r="P845" s="3" t="s">
        <v>102</v>
      </c>
      <c r="Q845" s="3" t="s">
        <v>103</v>
      </c>
      <c r="R845" s="3" t="s">
        <v>103</v>
      </c>
    </row>
    <row r="846" spans="1:18">
      <c r="A846" s="19">
        <v>46520</v>
      </c>
      <c r="B846" s="3" t="s">
        <v>29</v>
      </c>
      <c r="C846" s="3" t="s">
        <v>12</v>
      </c>
      <c r="D846" s="3" t="s">
        <v>13</v>
      </c>
      <c r="E846" s="3" t="s">
        <v>20</v>
      </c>
      <c r="F846" s="3" t="s">
        <v>30</v>
      </c>
      <c r="G846" s="3" t="s">
        <v>31</v>
      </c>
      <c r="H846">
        <v>300000</v>
      </c>
      <c r="I846">
        <v>5</v>
      </c>
      <c r="J846" s="3" t="s">
        <v>39</v>
      </c>
      <c r="K846">
        <v>240000</v>
      </c>
      <c r="L846">
        <v>1500000</v>
      </c>
      <c r="M846">
        <v>1200000</v>
      </c>
      <c r="N846">
        <v>300000</v>
      </c>
      <c r="O846" s="3" t="s">
        <v>947</v>
      </c>
      <c r="P846" s="3" t="s">
        <v>102</v>
      </c>
      <c r="Q846" s="3" t="s">
        <v>103</v>
      </c>
      <c r="R846" s="3" t="s">
        <v>103</v>
      </c>
    </row>
    <row r="847" spans="1:18">
      <c r="A847" s="19">
        <v>46521</v>
      </c>
      <c r="B847" s="3" t="s">
        <v>11</v>
      </c>
      <c r="C847" s="3" t="s">
        <v>26</v>
      </c>
      <c r="D847" s="3" t="s">
        <v>23</v>
      </c>
      <c r="E847" s="3" t="s">
        <v>20</v>
      </c>
      <c r="F847" s="3" t="s">
        <v>15</v>
      </c>
      <c r="G847" s="3" t="s">
        <v>16</v>
      </c>
      <c r="H847">
        <v>85000</v>
      </c>
      <c r="I847">
        <v>8</v>
      </c>
      <c r="J847" s="3" t="s">
        <v>28</v>
      </c>
      <c r="K847">
        <v>68000</v>
      </c>
      <c r="L847">
        <v>680000</v>
      </c>
      <c r="M847">
        <v>544000</v>
      </c>
      <c r="N847">
        <v>136000</v>
      </c>
      <c r="O847" s="3" t="s">
        <v>948</v>
      </c>
      <c r="P847" s="3" t="s">
        <v>102</v>
      </c>
      <c r="Q847" s="3" t="s">
        <v>103</v>
      </c>
      <c r="R847" s="3" t="s">
        <v>103</v>
      </c>
    </row>
    <row r="848" spans="1:18">
      <c r="A848" s="19">
        <v>46522</v>
      </c>
      <c r="B848" s="3" t="s">
        <v>25</v>
      </c>
      <c r="C848" s="3" t="s">
        <v>32</v>
      </c>
      <c r="D848" s="3" t="s">
        <v>23</v>
      </c>
      <c r="E848" s="3" t="s">
        <v>20</v>
      </c>
      <c r="F848" s="3" t="s">
        <v>41</v>
      </c>
      <c r="G848" s="3" t="s">
        <v>22</v>
      </c>
      <c r="H848">
        <v>220000</v>
      </c>
      <c r="I848">
        <v>7</v>
      </c>
      <c r="J848" s="3" t="s">
        <v>24</v>
      </c>
      <c r="K848">
        <v>176000</v>
      </c>
      <c r="L848">
        <v>1540000</v>
      </c>
      <c r="M848">
        <v>1232000</v>
      </c>
      <c r="N848">
        <v>308000</v>
      </c>
      <c r="O848" s="3" t="s">
        <v>949</v>
      </c>
      <c r="P848" s="3" t="s">
        <v>102</v>
      </c>
      <c r="Q848" s="3" t="s">
        <v>103</v>
      </c>
      <c r="R848" s="3" t="s">
        <v>103</v>
      </c>
    </row>
    <row r="849" spans="1:18">
      <c r="A849" s="19">
        <v>46523</v>
      </c>
      <c r="B849" s="3" t="s">
        <v>29</v>
      </c>
      <c r="C849" s="3" t="s">
        <v>19</v>
      </c>
      <c r="D849" s="3" t="s">
        <v>13</v>
      </c>
      <c r="E849" s="3" t="s">
        <v>14</v>
      </c>
      <c r="F849" s="3" t="s">
        <v>15</v>
      </c>
      <c r="G849" s="3" t="s">
        <v>16</v>
      </c>
      <c r="H849">
        <v>85000</v>
      </c>
      <c r="I849">
        <v>8</v>
      </c>
      <c r="J849" s="3" t="s">
        <v>24</v>
      </c>
      <c r="K849">
        <v>68000</v>
      </c>
      <c r="L849">
        <v>680000</v>
      </c>
      <c r="M849">
        <v>544000</v>
      </c>
      <c r="N849">
        <v>136000</v>
      </c>
      <c r="O849" s="3" t="s">
        <v>950</v>
      </c>
      <c r="P849" s="3" t="s">
        <v>102</v>
      </c>
      <c r="Q849" s="3" t="s">
        <v>103</v>
      </c>
      <c r="R849" s="3" t="s">
        <v>103</v>
      </c>
    </row>
    <row r="850" spans="1:18">
      <c r="A850" s="19">
        <v>46524</v>
      </c>
      <c r="B850" s="3" t="s">
        <v>18</v>
      </c>
      <c r="C850" s="3" t="s">
        <v>32</v>
      </c>
      <c r="D850" s="3" t="s">
        <v>23</v>
      </c>
      <c r="E850" s="3" t="s">
        <v>14</v>
      </c>
      <c r="F850" s="3" t="s">
        <v>36</v>
      </c>
      <c r="G850" s="3" t="s">
        <v>31</v>
      </c>
      <c r="H850">
        <v>150000</v>
      </c>
      <c r="I850">
        <v>5</v>
      </c>
      <c r="J850" s="3" t="s">
        <v>35</v>
      </c>
      <c r="K850">
        <v>120000</v>
      </c>
      <c r="L850">
        <v>750000</v>
      </c>
      <c r="M850">
        <v>600000</v>
      </c>
      <c r="N850">
        <v>150000</v>
      </c>
      <c r="O850" s="3" t="s">
        <v>951</v>
      </c>
      <c r="P850" s="3" t="s">
        <v>102</v>
      </c>
      <c r="Q850" s="3" t="s">
        <v>103</v>
      </c>
      <c r="R850" s="3" t="s">
        <v>103</v>
      </c>
    </row>
    <row r="851" spans="1:18">
      <c r="A851" s="19">
        <v>46525</v>
      </c>
      <c r="B851" s="3" t="s">
        <v>18</v>
      </c>
      <c r="C851" s="3" t="s">
        <v>12</v>
      </c>
      <c r="D851" s="3" t="s">
        <v>13</v>
      </c>
      <c r="E851" s="3" t="s">
        <v>20</v>
      </c>
      <c r="F851" s="3" t="s">
        <v>27</v>
      </c>
      <c r="G851" s="3" t="s">
        <v>22</v>
      </c>
      <c r="H851">
        <v>60000</v>
      </c>
      <c r="I851">
        <v>10</v>
      </c>
      <c r="J851" s="3" t="s">
        <v>24</v>
      </c>
      <c r="K851">
        <v>48000</v>
      </c>
      <c r="L851">
        <v>600000</v>
      </c>
      <c r="M851">
        <v>480000</v>
      </c>
      <c r="N851">
        <v>120000</v>
      </c>
      <c r="O851" s="3" t="s">
        <v>952</v>
      </c>
      <c r="P851" s="3" t="s">
        <v>102</v>
      </c>
      <c r="Q851" s="3" t="s">
        <v>103</v>
      </c>
      <c r="R851" s="3" t="s">
        <v>103</v>
      </c>
    </row>
    <row r="852" spans="1:18">
      <c r="A852" s="19">
        <v>46526</v>
      </c>
      <c r="B852" s="3" t="s">
        <v>11</v>
      </c>
      <c r="C852" s="3" t="s">
        <v>26</v>
      </c>
      <c r="D852" s="3" t="s">
        <v>23</v>
      </c>
      <c r="E852" s="3" t="s">
        <v>14</v>
      </c>
      <c r="F852" s="3" t="s">
        <v>41</v>
      </c>
      <c r="G852" s="3" t="s">
        <v>22</v>
      </c>
      <c r="H852">
        <v>220000</v>
      </c>
      <c r="I852">
        <v>1</v>
      </c>
      <c r="J852" s="3" t="s">
        <v>17</v>
      </c>
      <c r="K852">
        <v>176000</v>
      </c>
      <c r="L852">
        <v>220000</v>
      </c>
      <c r="M852">
        <v>176000</v>
      </c>
      <c r="N852">
        <v>44000</v>
      </c>
      <c r="O852" s="3" t="s">
        <v>953</v>
      </c>
      <c r="P852" s="3" t="s">
        <v>102</v>
      </c>
      <c r="Q852" s="3" t="s">
        <v>103</v>
      </c>
      <c r="R852" s="3" t="s">
        <v>103</v>
      </c>
    </row>
    <row r="853" spans="1:18">
      <c r="A853" s="19">
        <v>46527</v>
      </c>
      <c r="B853" s="3" t="s">
        <v>29</v>
      </c>
      <c r="C853" s="3" t="s">
        <v>19</v>
      </c>
      <c r="D853" s="3" t="s">
        <v>23</v>
      </c>
      <c r="E853" s="3" t="s">
        <v>14</v>
      </c>
      <c r="F853" s="3" t="s">
        <v>21</v>
      </c>
      <c r="G853" s="3" t="s">
        <v>22</v>
      </c>
      <c r="H853">
        <v>30000</v>
      </c>
      <c r="I853">
        <v>3</v>
      </c>
      <c r="J853" s="3" t="s">
        <v>28</v>
      </c>
      <c r="K853">
        <v>24000</v>
      </c>
      <c r="L853">
        <v>90000</v>
      </c>
      <c r="M853">
        <v>72000</v>
      </c>
      <c r="N853">
        <v>18000</v>
      </c>
      <c r="O853" s="3" t="s">
        <v>954</v>
      </c>
      <c r="P853" s="3" t="s">
        <v>102</v>
      </c>
      <c r="Q853" s="3" t="s">
        <v>103</v>
      </c>
      <c r="R853" s="3" t="s">
        <v>103</v>
      </c>
    </row>
    <row r="854" spans="1:18">
      <c r="A854" s="19">
        <v>46528</v>
      </c>
      <c r="B854" s="3" t="s">
        <v>25</v>
      </c>
      <c r="C854" s="3" t="s">
        <v>19</v>
      </c>
      <c r="D854" s="3" t="s">
        <v>23</v>
      </c>
      <c r="E854" s="3" t="s">
        <v>14</v>
      </c>
      <c r="F854" s="3" t="s">
        <v>38</v>
      </c>
      <c r="G854" s="3" t="s">
        <v>31</v>
      </c>
      <c r="H854">
        <v>420000</v>
      </c>
      <c r="I854">
        <v>1</v>
      </c>
      <c r="J854" s="3" t="s">
        <v>35</v>
      </c>
      <c r="K854">
        <v>336000</v>
      </c>
      <c r="L854">
        <v>420000</v>
      </c>
      <c r="M854">
        <v>336000</v>
      </c>
      <c r="N854">
        <v>84000</v>
      </c>
      <c r="O854" s="3" t="s">
        <v>955</v>
      </c>
      <c r="P854" s="3" t="s">
        <v>102</v>
      </c>
      <c r="Q854" s="3" t="s">
        <v>103</v>
      </c>
      <c r="R854" s="3" t="s">
        <v>103</v>
      </c>
    </row>
    <row r="855" spans="1:18">
      <c r="A855" s="19">
        <v>46529</v>
      </c>
      <c r="B855" s="3" t="s">
        <v>18</v>
      </c>
      <c r="C855" s="3" t="s">
        <v>12</v>
      </c>
      <c r="D855" s="3" t="s">
        <v>13</v>
      </c>
      <c r="E855" s="3" t="s">
        <v>20</v>
      </c>
      <c r="F855" s="3" t="s">
        <v>21</v>
      </c>
      <c r="G855" s="3" t="s">
        <v>22</v>
      </c>
      <c r="H855">
        <v>30000</v>
      </c>
      <c r="I855">
        <v>5</v>
      </c>
      <c r="J855" s="3" t="s">
        <v>39</v>
      </c>
      <c r="K855">
        <v>24000</v>
      </c>
      <c r="L855">
        <v>150000</v>
      </c>
      <c r="M855">
        <v>120000</v>
      </c>
      <c r="N855">
        <v>30000</v>
      </c>
      <c r="O855" s="3" t="s">
        <v>956</v>
      </c>
      <c r="P855" s="3" t="s">
        <v>102</v>
      </c>
      <c r="Q855" s="3" t="s">
        <v>103</v>
      </c>
      <c r="R855" s="3" t="s">
        <v>103</v>
      </c>
    </row>
    <row r="856" spans="1:18">
      <c r="A856" s="19">
        <v>46530</v>
      </c>
      <c r="B856" s="3" t="s">
        <v>18</v>
      </c>
      <c r="C856" s="3" t="s">
        <v>32</v>
      </c>
      <c r="D856" s="3" t="s">
        <v>23</v>
      </c>
      <c r="E856" s="3" t="s">
        <v>14</v>
      </c>
      <c r="F856" s="3" t="s">
        <v>38</v>
      </c>
      <c r="G856" s="3" t="s">
        <v>31</v>
      </c>
      <c r="H856">
        <v>420000</v>
      </c>
      <c r="I856">
        <v>7</v>
      </c>
      <c r="J856" s="3" t="s">
        <v>17</v>
      </c>
      <c r="K856">
        <v>336000</v>
      </c>
      <c r="L856">
        <v>2940000</v>
      </c>
      <c r="M856">
        <v>2352000</v>
      </c>
      <c r="N856">
        <v>588000</v>
      </c>
      <c r="O856" s="3" t="s">
        <v>957</v>
      </c>
      <c r="P856" s="3" t="s">
        <v>102</v>
      </c>
      <c r="Q856" s="3" t="s">
        <v>103</v>
      </c>
      <c r="R856" s="3" t="s">
        <v>103</v>
      </c>
    </row>
    <row r="857" spans="1:18">
      <c r="A857" s="19">
        <v>46531</v>
      </c>
      <c r="B857" s="3" t="s">
        <v>25</v>
      </c>
      <c r="C857" s="3" t="s">
        <v>19</v>
      </c>
      <c r="D857" s="3" t="s">
        <v>13</v>
      </c>
      <c r="E857" s="3" t="s">
        <v>20</v>
      </c>
      <c r="F857" s="3" t="s">
        <v>33</v>
      </c>
      <c r="G857" s="3" t="s">
        <v>22</v>
      </c>
      <c r="H857">
        <v>180000</v>
      </c>
      <c r="I857">
        <v>8</v>
      </c>
      <c r="J857" s="3" t="s">
        <v>37</v>
      </c>
      <c r="K857">
        <v>144000</v>
      </c>
      <c r="L857">
        <v>1440000</v>
      </c>
      <c r="M857">
        <v>1152000</v>
      </c>
      <c r="N857">
        <v>288000</v>
      </c>
      <c r="O857" s="3" t="s">
        <v>958</v>
      </c>
      <c r="P857" s="3" t="s">
        <v>102</v>
      </c>
      <c r="Q857" s="3" t="s">
        <v>103</v>
      </c>
      <c r="R857" s="3" t="s">
        <v>103</v>
      </c>
    </row>
    <row r="858" spans="1:18">
      <c r="A858" s="19">
        <v>46532</v>
      </c>
      <c r="B858" s="3" t="s">
        <v>11</v>
      </c>
      <c r="C858" s="3" t="s">
        <v>32</v>
      </c>
      <c r="D858" s="3" t="s">
        <v>23</v>
      </c>
      <c r="E858" s="3" t="s">
        <v>20</v>
      </c>
      <c r="F858" s="3" t="s">
        <v>41</v>
      </c>
      <c r="G858" s="3" t="s">
        <v>22</v>
      </c>
      <c r="H858">
        <v>220000</v>
      </c>
      <c r="I858">
        <v>3</v>
      </c>
      <c r="J858" s="3" t="s">
        <v>28</v>
      </c>
      <c r="K858">
        <v>176000</v>
      </c>
      <c r="L858">
        <v>660000</v>
      </c>
      <c r="M858">
        <v>528000</v>
      </c>
      <c r="N858">
        <v>132000</v>
      </c>
      <c r="O858" s="3" t="s">
        <v>959</v>
      </c>
      <c r="P858" s="3" t="s">
        <v>102</v>
      </c>
      <c r="Q858" s="3" t="s">
        <v>103</v>
      </c>
      <c r="R858" s="3" t="s">
        <v>103</v>
      </c>
    </row>
    <row r="859" spans="1:18">
      <c r="A859" s="19">
        <v>46533</v>
      </c>
      <c r="B859" s="3" t="s">
        <v>18</v>
      </c>
      <c r="C859" s="3" t="s">
        <v>32</v>
      </c>
      <c r="D859" s="3" t="s">
        <v>13</v>
      </c>
      <c r="E859" s="3" t="s">
        <v>14</v>
      </c>
      <c r="F859" s="3" t="s">
        <v>38</v>
      </c>
      <c r="G859" s="3" t="s">
        <v>31</v>
      </c>
      <c r="H859">
        <v>420000</v>
      </c>
      <c r="I859">
        <v>3</v>
      </c>
      <c r="J859" s="3" t="s">
        <v>17</v>
      </c>
      <c r="K859">
        <v>336000</v>
      </c>
      <c r="L859">
        <v>1260000</v>
      </c>
      <c r="M859">
        <v>1008000</v>
      </c>
      <c r="N859">
        <v>252000</v>
      </c>
      <c r="O859" s="3" t="s">
        <v>960</v>
      </c>
      <c r="P859" s="3" t="s">
        <v>102</v>
      </c>
      <c r="Q859" s="3" t="s">
        <v>103</v>
      </c>
      <c r="R859" s="3" t="s">
        <v>103</v>
      </c>
    </row>
    <row r="860" spans="1:18">
      <c r="A860" s="19">
        <v>46534</v>
      </c>
      <c r="B860" s="3" t="s">
        <v>18</v>
      </c>
      <c r="C860" s="3" t="s">
        <v>26</v>
      </c>
      <c r="D860" s="3" t="s">
        <v>13</v>
      </c>
      <c r="E860" s="3" t="s">
        <v>14</v>
      </c>
      <c r="F860" s="3" t="s">
        <v>33</v>
      </c>
      <c r="G860" s="3" t="s">
        <v>22</v>
      </c>
      <c r="H860">
        <v>180000</v>
      </c>
      <c r="I860">
        <v>5</v>
      </c>
      <c r="J860" s="3" t="s">
        <v>39</v>
      </c>
      <c r="K860">
        <v>144000</v>
      </c>
      <c r="L860">
        <v>900000</v>
      </c>
      <c r="M860">
        <v>720000</v>
      </c>
      <c r="N860">
        <v>180000</v>
      </c>
      <c r="O860" s="3" t="s">
        <v>961</v>
      </c>
      <c r="P860" s="3" t="s">
        <v>102</v>
      </c>
      <c r="Q860" s="3" t="s">
        <v>103</v>
      </c>
      <c r="R860" s="3" t="s">
        <v>103</v>
      </c>
    </row>
    <row r="861" spans="1:18">
      <c r="A861" s="19">
        <v>46535</v>
      </c>
      <c r="B861" s="3" t="s">
        <v>11</v>
      </c>
      <c r="C861" s="3" t="s">
        <v>26</v>
      </c>
      <c r="D861" s="3" t="s">
        <v>23</v>
      </c>
      <c r="E861" s="3" t="s">
        <v>14</v>
      </c>
      <c r="F861" s="3" t="s">
        <v>41</v>
      </c>
      <c r="G861" s="3" t="s">
        <v>22</v>
      </c>
      <c r="H861">
        <v>220000</v>
      </c>
      <c r="I861">
        <v>5</v>
      </c>
      <c r="J861" s="3" t="s">
        <v>28</v>
      </c>
      <c r="K861">
        <v>176000</v>
      </c>
      <c r="L861">
        <v>1100000</v>
      </c>
      <c r="M861">
        <v>880000</v>
      </c>
      <c r="N861">
        <v>220000</v>
      </c>
      <c r="O861" s="3" t="s">
        <v>962</v>
      </c>
      <c r="P861" s="3" t="s">
        <v>102</v>
      </c>
      <c r="Q861" s="3" t="s">
        <v>103</v>
      </c>
      <c r="R861" s="3" t="s">
        <v>103</v>
      </c>
    </row>
    <row r="862" spans="1:18">
      <c r="A862" s="19">
        <v>46536</v>
      </c>
      <c r="B862" s="3" t="s">
        <v>29</v>
      </c>
      <c r="C862" s="3" t="s">
        <v>32</v>
      </c>
      <c r="D862" s="3" t="s">
        <v>23</v>
      </c>
      <c r="E862" s="3" t="s">
        <v>14</v>
      </c>
      <c r="F862" s="3" t="s">
        <v>40</v>
      </c>
      <c r="G862" s="3" t="s">
        <v>31</v>
      </c>
      <c r="H862">
        <v>250000</v>
      </c>
      <c r="I862">
        <v>2</v>
      </c>
      <c r="J862" s="3" t="s">
        <v>35</v>
      </c>
      <c r="K862">
        <v>200000</v>
      </c>
      <c r="L862">
        <v>500000</v>
      </c>
      <c r="M862">
        <v>400000</v>
      </c>
      <c r="N862">
        <v>100000</v>
      </c>
      <c r="O862" s="3" t="s">
        <v>963</v>
      </c>
      <c r="P862" s="3" t="s">
        <v>102</v>
      </c>
      <c r="Q862" s="3" t="s">
        <v>103</v>
      </c>
      <c r="R862" s="3" t="s">
        <v>103</v>
      </c>
    </row>
    <row r="863" spans="1:18">
      <c r="A863" s="19">
        <v>46537</v>
      </c>
      <c r="B863" s="3" t="s">
        <v>18</v>
      </c>
      <c r="C863" s="3" t="s">
        <v>26</v>
      </c>
      <c r="D863" s="3" t="s">
        <v>23</v>
      </c>
      <c r="E863" s="3" t="s">
        <v>14</v>
      </c>
      <c r="F863" s="3" t="s">
        <v>38</v>
      </c>
      <c r="G863" s="3" t="s">
        <v>31</v>
      </c>
      <c r="H863">
        <v>420000</v>
      </c>
      <c r="I863">
        <v>3</v>
      </c>
      <c r="J863" s="3" t="s">
        <v>35</v>
      </c>
      <c r="K863">
        <v>336000</v>
      </c>
      <c r="L863">
        <v>1260000</v>
      </c>
      <c r="M863">
        <v>1008000</v>
      </c>
      <c r="N863">
        <v>252000</v>
      </c>
      <c r="O863" s="3" t="s">
        <v>964</v>
      </c>
      <c r="P863" s="3" t="s">
        <v>102</v>
      </c>
      <c r="Q863" s="3" t="s">
        <v>103</v>
      </c>
      <c r="R863" s="3" t="s">
        <v>103</v>
      </c>
    </row>
    <row r="864" spans="1:18">
      <c r="A864" s="19">
        <v>46538</v>
      </c>
      <c r="B864" s="3" t="s">
        <v>18</v>
      </c>
      <c r="C864" s="3" t="s">
        <v>19</v>
      </c>
      <c r="D864" s="3" t="s">
        <v>23</v>
      </c>
      <c r="E864" s="3" t="s">
        <v>14</v>
      </c>
      <c r="F864" s="3" t="s">
        <v>38</v>
      </c>
      <c r="G864" s="3" t="s">
        <v>31</v>
      </c>
      <c r="H864">
        <v>420000</v>
      </c>
      <c r="I864">
        <v>8</v>
      </c>
      <c r="J864" s="3" t="s">
        <v>28</v>
      </c>
      <c r="K864">
        <v>336000</v>
      </c>
      <c r="L864">
        <v>3360000</v>
      </c>
      <c r="M864">
        <v>2688000</v>
      </c>
      <c r="N864">
        <v>672000</v>
      </c>
      <c r="O864" s="3" t="s">
        <v>965</v>
      </c>
      <c r="P864" s="3" t="s">
        <v>102</v>
      </c>
      <c r="Q864" s="3" t="s">
        <v>103</v>
      </c>
      <c r="R864" s="3" t="s">
        <v>103</v>
      </c>
    </row>
    <row r="865" spans="1:18">
      <c r="A865" s="19">
        <v>46539</v>
      </c>
      <c r="B865" s="3" t="s">
        <v>18</v>
      </c>
      <c r="C865" s="3" t="s">
        <v>12</v>
      </c>
      <c r="D865" s="3" t="s">
        <v>23</v>
      </c>
      <c r="E865" s="3" t="s">
        <v>14</v>
      </c>
      <c r="F865" s="3" t="s">
        <v>38</v>
      </c>
      <c r="G865" s="3" t="s">
        <v>31</v>
      </c>
      <c r="H865">
        <v>420000</v>
      </c>
      <c r="I865">
        <v>7</v>
      </c>
      <c r="J865" s="3" t="s">
        <v>17</v>
      </c>
      <c r="K865">
        <v>336000</v>
      </c>
      <c r="L865">
        <v>2940000</v>
      </c>
      <c r="M865">
        <v>2352000</v>
      </c>
      <c r="N865">
        <v>588000</v>
      </c>
      <c r="O865" s="3" t="s">
        <v>966</v>
      </c>
      <c r="P865" s="3" t="s">
        <v>102</v>
      </c>
      <c r="Q865" s="3" t="s">
        <v>103</v>
      </c>
      <c r="R865" s="3" t="s">
        <v>103</v>
      </c>
    </row>
    <row r="866" spans="1:18">
      <c r="A866" s="19">
        <v>46540</v>
      </c>
      <c r="B866" s="3" t="s">
        <v>11</v>
      </c>
      <c r="C866" s="3" t="s">
        <v>26</v>
      </c>
      <c r="D866" s="3" t="s">
        <v>23</v>
      </c>
      <c r="E866" s="3" t="s">
        <v>14</v>
      </c>
      <c r="F866" s="3" t="s">
        <v>34</v>
      </c>
      <c r="G866" s="3" t="s">
        <v>16</v>
      </c>
      <c r="H866">
        <v>320000</v>
      </c>
      <c r="I866">
        <v>6</v>
      </c>
      <c r="J866" s="3" t="s">
        <v>28</v>
      </c>
      <c r="K866">
        <v>256000</v>
      </c>
      <c r="L866">
        <v>1920000</v>
      </c>
      <c r="M866">
        <v>1536000</v>
      </c>
      <c r="N866">
        <v>384000</v>
      </c>
      <c r="O866" s="3" t="s">
        <v>967</v>
      </c>
      <c r="P866" s="3" t="s">
        <v>102</v>
      </c>
      <c r="Q866" s="3" t="s">
        <v>103</v>
      </c>
      <c r="R866" s="3" t="s">
        <v>103</v>
      </c>
    </row>
    <row r="867" spans="1:18">
      <c r="A867" s="19">
        <v>46541</v>
      </c>
      <c r="B867" s="3" t="s">
        <v>29</v>
      </c>
      <c r="C867" s="3" t="s">
        <v>26</v>
      </c>
      <c r="D867" s="3" t="s">
        <v>23</v>
      </c>
      <c r="E867" s="3" t="s">
        <v>14</v>
      </c>
      <c r="F867" s="3" t="s">
        <v>27</v>
      </c>
      <c r="G867" s="3" t="s">
        <v>22</v>
      </c>
      <c r="H867">
        <v>60000</v>
      </c>
      <c r="I867">
        <v>3</v>
      </c>
      <c r="J867" s="3" t="s">
        <v>28</v>
      </c>
      <c r="K867">
        <v>48000</v>
      </c>
      <c r="L867">
        <v>180000</v>
      </c>
      <c r="M867">
        <v>144000</v>
      </c>
      <c r="N867">
        <v>36000</v>
      </c>
      <c r="O867" s="3" t="s">
        <v>968</v>
      </c>
      <c r="P867" s="3" t="s">
        <v>102</v>
      </c>
      <c r="Q867" s="3" t="s">
        <v>103</v>
      </c>
      <c r="R867" s="3" t="s">
        <v>103</v>
      </c>
    </row>
    <row r="868" spans="1:18">
      <c r="A868" s="19">
        <v>46542</v>
      </c>
      <c r="B868" s="3" t="s">
        <v>11</v>
      </c>
      <c r="C868" s="3" t="s">
        <v>12</v>
      </c>
      <c r="D868" s="3" t="s">
        <v>23</v>
      </c>
      <c r="E868" s="3" t="s">
        <v>20</v>
      </c>
      <c r="F868" s="3" t="s">
        <v>15</v>
      </c>
      <c r="G868" s="3" t="s">
        <v>16</v>
      </c>
      <c r="H868">
        <v>85000</v>
      </c>
      <c r="I868">
        <v>8</v>
      </c>
      <c r="J868" s="3" t="s">
        <v>17</v>
      </c>
      <c r="K868">
        <v>68000</v>
      </c>
      <c r="L868">
        <v>680000</v>
      </c>
      <c r="M868">
        <v>544000</v>
      </c>
      <c r="N868">
        <v>136000</v>
      </c>
      <c r="O868" s="3" t="s">
        <v>969</v>
      </c>
      <c r="P868" s="3" t="s">
        <v>102</v>
      </c>
      <c r="Q868" s="3" t="s">
        <v>103</v>
      </c>
      <c r="R868" s="3" t="s">
        <v>103</v>
      </c>
    </row>
    <row r="869" spans="1:18">
      <c r="A869" s="19">
        <v>46543</v>
      </c>
      <c r="B869" s="3" t="s">
        <v>11</v>
      </c>
      <c r="C869" s="3" t="s">
        <v>12</v>
      </c>
      <c r="D869" s="3" t="s">
        <v>23</v>
      </c>
      <c r="E869" s="3" t="s">
        <v>20</v>
      </c>
      <c r="F869" s="3" t="s">
        <v>33</v>
      </c>
      <c r="G869" s="3" t="s">
        <v>22</v>
      </c>
      <c r="H869">
        <v>180000</v>
      </c>
      <c r="I869">
        <v>9</v>
      </c>
      <c r="J869" s="3" t="s">
        <v>35</v>
      </c>
      <c r="K869">
        <v>144000</v>
      </c>
      <c r="L869">
        <v>1620000</v>
      </c>
      <c r="M869">
        <v>1296000</v>
      </c>
      <c r="N869">
        <v>324000</v>
      </c>
      <c r="O869" s="3" t="s">
        <v>970</v>
      </c>
      <c r="P869" s="3" t="s">
        <v>102</v>
      </c>
      <c r="Q869" s="3" t="s">
        <v>103</v>
      </c>
      <c r="R869" s="3" t="s">
        <v>103</v>
      </c>
    </row>
    <row r="870" spans="1:18">
      <c r="A870" s="19">
        <v>46544</v>
      </c>
      <c r="B870" s="3" t="s">
        <v>11</v>
      </c>
      <c r="C870" s="3" t="s">
        <v>26</v>
      </c>
      <c r="D870" s="3" t="s">
        <v>23</v>
      </c>
      <c r="E870" s="3" t="s">
        <v>20</v>
      </c>
      <c r="F870" s="3" t="s">
        <v>41</v>
      </c>
      <c r="G870" s="3" t="s">
        <v>22</v>
      </c>
      <c r="H870">
        <v>220000</v>
      </c>
      <c r="I870">
        <v>5</v>
      </c>
      <c r="J870" s="3" t="s">
        <v>35</v>
      </c>
      <c r="K870">
        <v>176000</v>
      </c>
      <c r="L870">
        <v>1100000</v>
      </c>
      <c r="M870">
        <v>880000</v>
      </c>
      <c r="N870">
        <v>220000</v>
      </c>
      <c r="O870" s="3" t="s">
        <v>971</v>
      </c>
      <c r="P870" s="3" t="s">
        <v>102</v>
      </c>
      <c r="Q870" s="3" t="s">
        <v>103</v>
      </c>
      <c r="R870" s="3" t="s">
        <v>103</v>
      </c>
    </row>
    <row r="871" spans="1:18">
      <c r="A871" s="19">
        <v>46545</v>
      </c>
      <c r="B871" s="3" t="s">
        <v>25</v>
      </c>
      <c r="C871" s="3" t="s">
        <v>26</v>
      </c>
      <c r="D871" s="3" t="s">
        <v>23</v>
      </c>
      <c r="E871" s="3" t="s">
        <v>20</v>
      </c>
      <c r="F871" s="3" t="s">
        <v>33</v>
      </c>
      <c r="G871" s="3" t="s">
        <v>22</v>
      </c>
      <c r="H871">
        <v>180000</v>
      </c>
      <c r="I871">
        <v>5</v>
      </c>
      <c r="J871" s="3" t="s">
        <v>35</v>
      </c>
      <c r="K871">
        <v>144000</v>
      </c>
      <c r="L871">
        <v>900000</v>
      </c>
      <c r="M871">
        <v>720000</v>
      </c>
      <c r="N871">
        <v>180000</v>
      </c>
      <c r="O871" s="3" t="s">
        <v>972</v>
      </c>
      <c r="P871" s="3" t="s">
        <v>102</v>
      </c>
      <c r="Q871" s="3" t="s">
        <v>103</v>
      </c>
      <c r="R871" s="3" t="s">
        <v>103</v>
      </c>
    </row>
    <row r="872" spans="1:18">
      <c r="A872" s="19">
        <v>46546</v>
      </c>
      <c r="B872" s="3" t="s">
        <v>11</v>
      </c>
      <c r="C872" s="3" t="s">
        <v>19</v>
      </c>
      <c r="D872" s="3" t="s">
        <v>23</v>
      </c>
      <c r="E872" s="3" t="s">
        <v>14</v>
      </c>
      <c r="F872" s="3" t="s">
        <v>27</v>
      </c>
      <c r="G872" s="3" t="s">
        <v>22</v>
      </c>
      <c r="H872">
        <v>60000</v>
      </c>
      <c r="I872">
        <v>7</v>
      </c>
      <c r="J872" s="3" t="s">
        <v>17</v>
      </c>
      <c r="K872">
        <v>48000</v>
      </c>
      <c r="L872">
        <v>420000</v>
      </c>
      <c r="M872">
        <v>336000</v>
      </c>
      <c r="N872">
        <v>84000</v>
      </c>
      <c r="O872" s="3" t="s">
        <v>973</v>
      </c>
      <c r="P872" s="3" t="s">
        <v>102</v>
      </c>
      <c r="Q872" s="3" t="s">
        <v>103</v>
      </c>
      <c r="R872" s="3" t="s">
        <v>103</v>
      </c>
    </row>
    <row r="873" spans="1:18">
      <c r="A873" s="19">
        <v>46547</v>
      </c>
      <c r="B873" s="3" t="s">
        <v>25</v>
      </c>
      <c r="C873" s="3" t="s">
        <v>26</v>
      </c>
      <c r="D873" s="3" t="s">
        <v>23</v>
      </c>
      <c r="E873" s="3" t="s">
        <v>20</v>
      </c>
      <c r="F873" s="3" t="s">
        <v>36</v>
      </c>
      <c r="G873" s="3" t="s">
        <v>31</v>
      </c>
      <c r="H873">
        <v>150000</v>
      </c>
      <c r="I873">
        <v>7</v>
      </c>
      <c r="J873" s="3" t="s">
        <v>35</v>
      </c>
      <c r="K873">
        <v>120000</v>
      </c>
      <c r="L873">
        <v>1050000</v>
      </c>
      <c r="M873">
        <v>840000</v>
      </c>
      <c r="N873">
        <v>210000</v>
      </c>
      <c r="O873" s="3" t="s">
        <v>974</v>
      </c>
      <c r="P873" s="3" t="s">
        <v>102</v>
      </c>
      <c r="Q873" s="3" t="s">
        <v>103</v>
      </c>
      <c r="R873" s="3" t="s">
        <v>103</v>
      </c>
    </row>
    <row r="874" spans="1:18">
      <c r="A874" s="19">
        <v>46548</v>
      </c>
      <c r="B874" s="3" t="s">
        <v>18</v>
      </c>
      <c r="C874" s="3" t="s">
        <v>12</v>
      </c>
      <c r="D874" s="3" t="s">
        <v>23</v>
      </c>
      <c r="E874" s="3" t="s">
        <v>20</v>
      </c>
      <c r="F874" s="3" t="s">
        <v>21</v>
      </c>
      <c r="G874" s="3" t="s">
        <v>22</v>
      </c>
      <c r="H874">
        <v>30000</v>
      </c>
      <c r="I874">
        <v>4</v>
      </c>
      <c r="J874" s="3" t="s">
        <v>37</v>
      </c>
      <c r="K874">
        <v>24000</v>
      </c>
      <c r="L874">
        <v>120000</v>
      </c>
      <c r="M874">
        <v>96000</v>
      </c>
      <c r="N874">
        <v>24000</v>
      </c>
      <c r="O874" s="3" t="s">
        <v>975</v>
      </c>
      <c r="P874" s="3" t="s">
        <v>102</v>
      </c>
      <c r="Q874" s="3" t="s">
        <v>103</v>
      </c>
      <c r="R874" s="3" t="s">
        <v>103</v>
      </c>
    </row>
    <row r="875" spans="1:18">
      <c r="A875" s="19">
        <v>46549</v>
      </c>
      <c r="B875" s="3" t="s">
        <v>11</v>
      </c>
      <c r="C875" s="3" t="s">
        <v>32</v>
      </c>
      <c r="D875" s="3" t="s">
        <v>23</v>
      </c>
      <c r="E875" s="3" t="s">
        <v>20</v>
      </c>
      <c r="F875" s="3" t="s">
        <v>38</v>
      </c>
      <c r="G875" s="3" t="s">
        <v>31</v>
      </c>
      <c r="H875">
        <v>420000</v>
      </c>
      <c r="I875">
        <v>1</v>
      </c>
      <c r="J875" s="3" t="s">
        <v>37</v>
      </c>
      <c r="K875">
        <v>336000</v>
      </c>
      <c r="L875">
        <v>420000</v>
      </c>
      <c r="M875">
        <v>336000</v>
      </c>
      <c r="N875">
        <v>84000</v>
      </c>
      <c r="O875" s="3" t="s">
        <v>976</v>
      </c>
      <c r="P875" s="3" t="s">
        <v>102</v>
      </c>
      <c r="Q875" s="3" t="s">
        <v>103</v>
      </c>
      <c r="R875" s="3" t="s">
        <v>103</v>
      </c>
    </row>
    <row r="876" spans="1:18">
      <c r="A876" s="19">
        <v>46550</v>
      </c>
      <c r="B876" s="3" t="s">
        <v>11</v>
      </c>
      <c r="C876" s="3" t="s">
        <v>26</v>
      </c>
      <c r="D876" s="3" t="s">
        <v>23</v>
      </c>
      <c r="E876" s="3" t="s">
        <v>20</v>
      </c>
      <c r="F876" s="3" t="s">
        <v>38</v>
      </c>
      <c r="G876" s="3" t="s">
        <v>31</v>
      </c>
      <c r="H876">
        <v>420000</v>
      </c>
      <c r="I876">
        <v>4</v>
      </c>
      <c r="J876" s="3" t="s">
        <v>35</v>
      </c>
      <c r="K876">
        <v>336000</v>
      </c>
      <c r="L876">
        <v>1680000</v>
      </c>
      <c r="M876">
        <v>1344000</v>
      </c>
      <c r="N876">
        <v>336000</v>
      </c>
      <c r="O876" s="3" t="s">
        <v>977</v>
      </c>
      <c r="P876" s="3" t="s">
        <v>102</v>
      </c>
      <c r="Q876" s="3" t="s">
        <v>103</v>
      </c>
      <c r="R876" s="3" t="s">
        <v>103</v>
      </c>
    </row>
    <row r="877" spans="1:18">
      <c r="A877" s="19">
        <v>46551</v>
      </c>
      <c r="B877" s="3" t="s">
        <v>29</v>
      </c>
      <c r="C877" s="3" t="s">
        <v>26</v>
      </c>
      <c r="D877" s="3" t="s">
        <v>23</v>
      </c>
      <c r="E877" s="3" t="s">
        <v>14</v>
      </c>
      <c r="F877" s="3" t="s">
        <v>15</v>
      </c>
      <c r="G877" s="3" t="s">
        <v>16</v>
      </c>
      <c r="H877">
        <v>85000</v>
      </c>
      <c r="I877">
        <v>4</v>
      </c>
      <c r="J877" s="3" t="s">
        <v>35</v>
      </c>
      <c r="K877">
        <v>68000</v>
      </c>
      <c r="L877">
        <v>340000</v>
      </c>
      <c r="M877">
        <v>272000</v>
      </c>
      <c r="N877">
        <v>68000</v>
      </c>
      <c r="O877" s="3" t="s">
        <v>978</v>
      </c>
      <c r="P877" s="3" t="s">
        <v>102</v>
      </c>
      <c r="Q877" s="3" t="s">
        <v>103</v>
      </c>
      <c r="R877" s="3" t="s">
        <v>103</v>
      </c>
    </row>
    <row r="878" spans="1:18">
      <c r="A878" s="19">
        <v>46552</v>
      </c>
      <c r="B878" s="3" t="s">
        <v>11</v>
      </c>
      <c r="C878" s="3" t="s">
        <v>19</v>
      </c>
      <c r="D878" s="3" t="s">
        <v>23</v>
      </c>
      <c r="E878" s="3" t="s">
        <v>20</v>
      </c>
      <c r="F878" s="3" t="s">
        <v>34</v>
      </c>
      <c r="G878" s="3" t="s">
        <v>16</v>
      </c>
      <c r="H878">
        <v>320000</v>
      </c>
      <c r="I878">
        <v>5</v>
      </c>
      <c r="J878" s="3" t="s">
        <v>28</v>
      </c>
      <c r="K878">
        <v>256000</v>
      </c>
      <c r="L878">
        <v>1600000</v>
      </c>
      <c r="M878">
        <v>1280000</v>
      </c>
      <c r="N878">
        <v>320000</v>
      </c>
      <c r="O878" s="3" t="s">
        <v>979</v>
      </c>
      <c r="P878" s="3" t="s">
        <v>102</v>
      </c>
      <c r="Q878" s="3" t="s">
        <v>103</v>
      </c>
      <c r="R878" s="3" t="s">
        <v>103</v>
      </c>
    </row>
    <row r="879" spans="1:18">
      <c r="A879" s="19">
        <v>46553</v>
      </c>
      <c r="B879" s="3" t="s">
        <v>18</v>
      </c>
      <c r="C879" s="3" t="s">
        <v>12</v>
      </c>
      <c r="D879" s="3" t="s">
        <v>23</v>
      </c>
      <c r="E879" s="3" t="s">
        <v>20</v>
      </c>
      <c r="F879" s="3" t="s">
        <v>15</v>
      </c>
      <c r="G879" s="3" t="s">
        <v>16</v>
      </c>
      <c r="H879">
        <v>85000</v>
      </c>
      <c r="I879">
        <v>4</v>
      </c>
      <c r="J879" s="3" t="s">
        <v>28</v>
      </c>
      <c r="K879">
        <v>68000</v>
      </c>
      <c r="L879">
        <v>340000</v>
      </c>
      <c r="M879">
        <v>272000</v>
      </c>
      <c r="N879">
        <v>68000</v>
      </c>
      <c r="O879" s="3" t="s">
        <v>980</v>
      </c>
      <c r="P879" s="3" t="s">
        <v>102</v>
      </c>
      <c r="Q879" s="3" t="s">
        <v>103</v>
      </c>
      <c r="R879" s="3" t="s">
        <v>103</v>
      </c>
    </row>
    <row r="880" spans="1:18">
      <c r="A880" s="19">
        <v>46554</v>
      </c>
      <c r="B880" s="3" t="s">
        <v>11</v>
      </c>
      <c r="C880" s="3" t="s">
        <v>12</v>
      </c>
      <c r="D880" s="3" t="s">
        <v>23</v>
      </c>
      <c r="E880" s="3" t="s">
        <v>20</v>
      </c>
      <c r="F880" s="3" t="s">
        <v>38</v>
      </c>
      <c r="G880" s="3" t="s">
        <v>31</v>
      </c>
      <c r="H880">
        <v>420000</v>
      </c>
      <c r="I880">
        <v>7</v>
      </c>
      <c r="J880" s="3" t="s">
        <v>39</v>
      </c>
      <c r="K880">
        <v>336000</v>
      </c>
      <c r="L880">
        <v>2940000</v>
      </c>
      <c r="M880">
        <v>2352000</v>
      </c>
      <c r="N880">
        <v>588000</v>
      </c>
      <c r="O880" s="3" t="s">
        <v>981</v>
      </c>
      <c r="P880" s="3" t="s">
        <v>102</v>
      </c>
      <c r="Q880" s="3" t="s">
        <v>103</v>
      </c>
      <c r="R880" s="3" t="s">
        <v>103</v>
      </c>
    </row>
    <row r="881" spans="1:18">
      <c r="A881" s="19">
        <v>46555</v>
      </c>
      <c r="B881" s="3" t="s">
        <v>11</v>
      </c>
      <c r="C881" s="3" t="s">
        <v>26</v>
      </c>
      <c r="D881" s="3" t="s">
        <v>23</v>
      </c>
      <c r="E881" s="3" t="s">
        <v>14</v>
      </c>
      <c r="F881" s="3" t="s">
        <v>21</v>
      </c>
      <c r="G881" s="3" t="s">
        <v>22</v>
      </c>
      <c r="H881">
        <v>30000</v>
      </c>
      <c r="I881">
        <v>10</v>
      </c>
      <c r="J881" s="3" t="s">
        <v>28</v>
      </c>
      <c r="K881">
        <v>24000</v>
      </c>
      <c r="L881">
        <v>300000</v>
      </c>
      <c r="M881">
        <v>240000</v>
      </c>
      <c r="N881">
        <v>60000</v>
      </c>
      <c r="O881" s="3" t="s">
        <v>982</v>
      </c>
      <c r="P881" s="3" t="s">
        <v>102</v>
      </c>
      <c r="Q881" s="3" t="s">
        <v>103</v>
      </c>
      <c r="R881" s="3" t="s">
        <v>103</v>
      </c>
    </row>
    <row r="882" spans="1:18">
      <c r="A882" s="19">
        <v>46556</v>
      </c>
      <c r="B882" s="3" t="s">
        <v>11</v>
      </c>
      <c r="C882" s="3" t="s">
        <v>26</v>
      </c>
      <c r="D882" s="3" t="s">
        <v>23</v>
      </c>
      <c r="E882" s="3" t="s">
        <v>14</v>
      </c>
      <c r="F882" s="3" t="s">
        <v>36</v>
      </c>
      <c r="G882" s="3" t="s">
        <v>31</v>
      </c>
      <c r="H882">
        <v>150000</v>
      </c>
      <c r="I882">
        <v>10</v>
      </c>
      <c r="J882" s="3" t="s">
        <v>28</v>
      </c>
      <c r="K882">
        <v>120000</v>
      </c>
      <c r="L882">
        <v>1500000</v>
      </c>
      <c r="M882">
        <v>1200000</v>
      </c>
      <c r="N882">
        <v>300000</v>
      </c>
      <c r="O882" s="3" t="s">
        <v>983</v>
      </c>
      <c r="P882" s="3" t="s">
        <v>102</v>
      </c>
      <c r="Q882" s="3" t="s">
        <v>103</v>
      </c>
      <c r="R882" s="3" t="s">
        <v>103</v>
      </c>
    </row>
    <row r="883" spans="1:18">
      <c r="A883" s="19">
        <v>46557</v>
      </c>
      <c r="B883" s="3" t="s">
        <v>25</v>
      </c>
      <c r="C883" s="3" t="s">
        <v>12</v>
      </c>
      <c r="D883" s="3" t="s">
        <v>23</v>
      </c>
      <c r="E883" s="3" t="s">
        <v>20</v>
      </c>
      <c r="F883" s="3" t="s">
        <v>40</v>
      </c>
      <c r="G883" s="3" t="s">
        <v>31</v>
      </c>
      <c r="H883">
        <v>250000</v>
      </c>
      <c r="I883">
        <v>4</v>
      </c>
      <c r="J883" s="3" t="s">
        <v>37</v>
      </c>
      <c r="K883">
        <v>200000</v>
      </c>
      <c r="L883">
        <v>1000000</v>
      </c>
      <c r="M883">
        <v>800000</v>
      </c>
      <c r="N883">
        <v>200000</v>
      </c>
      <c r="O883" s="3" t="s">
        <v>984</v>
      </c>
      <c r="P883" s="3" t="s">
        <v>102</v>
      </c>
      <c r="Q883" s="3" t="s">
        <v>103</v>
      </c>
      <c r="R883" s="3" t="s">
        <v>103</v>
      </c>
    </row>
    <row r="884" spans="1:18">
      <c r="A884" s="19">
        <v>46558</v>
      </c>
      <c r="B884" s="3" t="s">
        <v>18</v>
      </c>
      <c r="C884" s="3" t="s">
        <v>32</v>
      </c>
      <c r="D884" s="3" t="s">
        <v>13</v>
      </c>
      <c r="E884" s="3" t="s">
        <v>14</v>
      </c>
      <c r="F884" s="3" t="s">
        <v>41</v>
      </c>
      <c r="G884" s="3" t="s">
        <v>22</v>
      </c>
      <c r="H884">
        <v>220000</v>
      </c>
      <c r="I884">
        <v>6</v>
      </c>
      <c r="J884" s="3" t="s">
        <v>37</v>
      </c>
      <c r="K884">
        <v>176000</v>
      </c>
      <c r="L884">
        <v>1320000</v>
      </c>
      <c r="M884">
        <v>1056000</v>
      </c>
      <c r="N884">
        <v>264000</v>
      </c>
      <c r="O884" s="3" t="s">
        <v>985</v>
      </c>
      <c r="P884" s="3" t="s">
        <v>102</v>
      </c>
      <c r="Q884" s="3" t="s">
        <v>103</v>
      </c>
      <c r="R884" s="3" t="s">
        <v>103</v>
      </c>
    </row>
    <row r="885" spans="1:18">
      <c r="A885" s="19">
        <v>46559</v>
      </c>
      <c r="B885" s="3" t="s">
        <v>29</v>
      </c>
      <c r="C885" s="3" t="s">
        <v>12</v>
      </c>
      <c r="D885" s="3" t="s">
        <v>13</v>
      </c>
      <c r="E885" s="3" t="s">
        <v>20</v>
      </c>
      <c r="F885" s="3" t="s">
        <v>36</v>
      </c>
      <c r="G885" s="3" t="s">
        <v>31</v>
      </c>
      <c r="H885">
        <v>150000</v>
      </c>
      <c r="I885">
        <v>10</v>
      </c>
      <c r="J885" s="3" t="s">
        <v>24</v>
      </c>
      <c r="K885">
        <v>120000</v>
      </c>
      <c r="L885">
        <v>1500000</v>
      </c>
      <c r="M885">
        <v>1200000</v>
      </c>
      <c r="N885">
        <v>300000</v>
      </c>
      <c r="O885" s="3" t="s">
        <v>986</v>
      </c>
      <c r="P885" s="3" t="s">
        <v>102</v>
      </c>
      <c r="Q885" s="3" t="s">
        <v>103</v>
      </c>
      <c r="R885" s="3" t="s">
        <v>103</v>
      </c>
    </row>
    <row r="886" spans="1:18">
      <c r="A886" s="19">
        <v>46560</v>
      </c>
      <c r="B886" s="3" t="s">
        <v>18</v>
      </c>
      <c r="C886" s="3" t="s">
        <v>26</v>
      </c>
      <c r="D886" s="3" t="s">
        <v>13</v>
      </c>
      <c r="E886" s="3" t="s">
        <v>14</v>
      </c>
      <c r="F886" s="3" t="s">
        <v>36</v>
      </c>
      <c r="G886" s="3" t="s">
        <v>31</v>
      </c>
      <c r="H886">
        <v>150000</v>
      </c>
      <c r="I886">
        <v>2</v>
      </c>
      <c r="J886" s="3" t="s">
        <v>28</v>
      </c>
      <c r="K886">
        <v>120000</v>
      </c>
      <c r="L886">
        <v>300000</v>
      </c>
      <c r="M886">
        <v>240000</v>
      </c>
      <c r="N886">
        <v>60000</v>
      </c>
      <c r="O886" s="3" t="s">
        <v>987</v>
      </c>
      <c r="P886" s="3" t="s">
        <v>102</v>
      </c>
      <c r="Q886" s="3" t="s">
        <v>103</v>
      </c>
      <c r="R886" s="3" t="s">
        <v>103</v>
      </c>
    </row>
    <row r="887" spans="1:18">
      <c r="A887" s="19">
        <v>46561</v>
      </c>
      <c r="B887" s="3" t="s">
        <v>11</v>
      </c>
      <c r="C887" s="3" t="s">
        <v>12</v>
      </c>
      <c r="D887" s="3" t="s">
        <v>13</v>
      </c>
      <c r="E887" s="3" t="s">
        <v>14</v>
      </c>
      <c r="F887" s="3" t="s">
        <v>40</v>
      </c>
      <c r="G887" s="3" t="s">
        <v>31</v>
      </c>
      <c r="H887">
        <v>250000</v>
      </c>
      <c r="I887">
        <v>4</v>
      </c>
      <c r="J887" s="3" t="s">
        <v>35</v>
      </c>
      <c r="K887">
        <v>200000</v>
      </c>
      <c r="L887">
        <v>1000000</v>
      </c>
      <c r="M887">
        <v>800000</v>
      </c>
      <c r="N887">
        <v>200000</v>
      </c>
      <c r="O887" s="3" t="s">
        <v>988</v>
      </c>
      <c r="P887" s="3" t="s">
        <v>102</v>
      </c>
      <c r="Q887" s="3" t="s">
        <v>103</v>
      </c>
      <c r="R887" s="3" t="s">
        <v>103</v>
      </c>
    </row>
    <row r="888" spans="1:18">
      <c r="A888" s="19">
        <v>46562</v>
      </c>
      <c r="B888" s="3" t="s">
        <v>18</v>
      </c>
      <c r="C888" s="3" t="s">
        <v>12</v>
      </c>
      <c r="D888" s="3" t="s">
        <v>13</v>
      </c>
      <c r="E888" s="3" t="s">
        <v>20</v>
      </c>
      <c r="F888" s="3" t="s">
        <v>36</v>
      </c>
      <c r="G888" s="3" t="s">
        <v>31</v>
      </c>
      <c r="H888">
        <v>150000</v>
      </c>
      <c r="I888">
        <v>9</v>
      </c>
      <c r="J888" s="3" t="s">
        <v>24</v>
      </c>
      <c r="K888">
        <v>120000</v>
      </c>
      <c r="L888">
        <v>1350000</v>
      </c>
      <c r="M888">
        <v>1080000</v>
      </c>
      <c r="N888">
        <v>270000</v>
      </c>
      <c r="O888" s="3" t="s">
        <v>989</v>
      </c>
      <c r="P888" s="3" t="s">
        <v>102</v>
      </c>
      <c r="Q888" s="3" t="s">
        <v>103</v>
      </c>
      <c r="R888" s="3" t="s">
        <v>103</v>
      </c>
    </row>
    <row r="889" spans="1:18">
      <c r="A889" s="19">
        <v>46563</v>
      </c>
      <c r="B889" s="3" t="s">
        <v>29</v>
      </c>
      <c r="C889" s="3" t="s">
        <v>26</v>
      </c>
      <c r="D889" s="3" t="s">
        <v>13</v>
      </c>
      <c r="E889" s="3" t="s">
        <v>20</v>
      </c>
      <c r="F889" s="3" t="s">
        <v>38</v>
      </c>
      <c r="G889" s="3" t="s">
        <v>31</v>
      </c>
      <c r="H889">
        <v>420000</v>
      </c>
      <c r="I889">
        <v>7</v>
      </c>
      <c r="J889" s="3" t="s">
        <v>35</v>
      </c>
      <c r="K889">
        <v>336000</v>
      </c>
      <c r="L889">
        <v>2940000</v>
      </c>
      <c r="M889">
        <v>2352000</v>
      </c>
      <c r="N889">
        <v>588000</v>
      </c>
      <c r="O889" s="3" t="s">
        <v>990</v>
      </c>
      <c r="P889" s="3" t="s">
        <v>102</v>
      </c>
      <c r="Q889" s="3" t="s">
        <v>103</v>
      </c>
      <c r="R889" s="3" t="s">
        <v>103</v>
      </c>
    </row>
    <row r="890" spans="1:18">
      <c r="A890" s="19">
        <v>46564</v>
      </c>
      <c r="B890" s="3" t="s">
        <v>18</v>
      </c>
      <c r="C890" s="3" t="s">
        <v>19</v>
      </c>
      <c r="D890" s="3" t="s">
        <v>13</v>
      </c>
      <c r="E890" s="3" t="s">
        <v>14</v>
      </c>
      <c r="F890" s="3" t="s">
        <v>15</v>
      </c>
      <c r="G890" s="3" t="s">
        <v>16</v>
      </c>
      <c r="H890">
        <v>85000</v>
      </c>
      <c r="I890">
        <v>2</v>
      </c>
      <c r="J890" s="3" t="s">
        <v>17</v>
      </c>
      <c r="K890">
        <v>68000</v>
      </c>
      <c r="L890">
        <v>170000</v>
      </c>
      <c r="M890">
        <v>136000</v>
      </c>
      <c r="N890">
        <v>34000</v>
      </c>
      <c r="O890" s="3" t="s">
        <v>991</v>
      </c>
      <c r="P890" s="3" t="s">
        <v>102</v>
      </c>
      <c r="Q890" s="3" t="s">
        <v>103</v>
      </c>
      <c r="R890" s="3" t="s">
        <v>103</v>
      </c>
    </row>
    <row r="891" spans="1:18">
      <c r="A891" s="19">
        <v>46565</v>
      </c>
      <c r="B891" s="3" t="s">
        <v>25</v>
      </c>
      <c r="C891" s="3" t="s">
        <v>19</v>
      </c>
      <c r="D891" s="3" t="s">
        <v>23</v>
      </c>
      <c r="E891" s="3" t="s">
        <v>20</v>
      </c>
      <c r="F891" s="3" t="s">
        <v>15</v>
      </c>
      <c r="G891" s="3" t="s">
        <v>16</v>
      </c>
      <c r="H891">
        <v>85000</v>
      </c>
      <c r="I891">
        <v>1</v>
      </c>
      <c r="J891" s="3" t="s">
        <v>35</v>
      </c>
      <c r="K891">
        <v>68000</v>
      </c>
      <c r="L891">
        <v>85000</v>
      </c>
      <c r="M891">
        <v>68000</v>
      </c>
      <c r="N891">
        <v>17000</v>
      </c>
      <c r="O891" s="3" t="s">
        <v>992</v>
      </c>
      <c r="P891" s="3" t="s">
        <v>102</v>
      </c>
      <c r="Q891" s="3" t="s">
        <v>103</v>
      </c>
      <c r="R891" s="3" t="s">
        <v>103</v>
      </c>
    </row>
    <row r="892" spans="1:18">
      <c r="A892" s="19">
        <v>46566</v>
      </c>
      <c r="B892" s="3" t="s">
        <v>25</v>
      </c>
      <c r="C892" s="3" t="s">
        <v>26</v>
      </c>
      <c r="D892" s="3" t="s">
        <v>13</v>
      </c>
      <c r="E892" s="3" t="s">
        <v>20</v>
      </c>
      <c r="F892" s="3" t="s">
        <v>38</v>
      </c>
      <c r="G892" s="3" t="s">
        <v>31</v>
      </c>
      <c r="H892">
        <v>420000</v>
      </c>
      <c r="I892">
        <v>9</v>
      </c>
      <c r="J892" s="3" t="s">
        <v>17</v>
      </c>
      <c r="K892">
        <v>336000</v>
      </c>
      <c r="L892">
        <v>3780000</v>
      </c>
      <c r="M892">
        <v>3024000</v>
      </c>
      <c r="N892">
        <v>756000</v>
      </c>
      <c r="O892" s="3" t="s">
        <v>993</v>
      </c>
      <c r="P892" s="3" t="s">
        <v>102</v>
      </c>
      <c r="Q892" s="3" t="s">
        <v>103</v>
      </c>
      <c r="R892" s="3" t="s">
        <v>103</v>
      </c>
    </row>
    <row r="893" spans="1:18">
      <c r="A893" s="19">
        <v>46567</v>
      </c>
      <c r="B893" s="3" t="s">
        <v>29</v>
      </c>
      <c r="C893" s="3" t="s">
        <v>19</v>
      </c>
      <c r="D893" s="3" t="s">
        <v>13</v>
      </c>
      <c r="E893" s="3" t="s">
        <v>20</v>
      </c>
      <c r="F893" s="3" t="s">
        <v>41</v>
      </c>
      <c r="G893" s="3" t="s">
        <v>22</v>
      </c>
      <c r="H893">
        <v>220000</v>
      </c>
      <c r="I893">
        <v>2</v>
      </c>
      <c r="J893" s="3" t="s">
        <v>39</v>
      </c>
      <c r="K893">
        <v>176000</v>
      </c>
      <c r="L893">
        <v>440000</v>
      </c>
      <c r="M893">
        <v>352000</v>
      </c>
      <c r="N893">
        <v>88000</v>
      </c>
      <c r="O893" s="3" t="s">
        <v>994</v>
      </c>
      <c r="P893" s="3" t="s">
        <v>102</v>
      </c>
      <c r="Q893" s="3" t="s">
        <v>103</v>
      </c>
      <c r="R893" s="3" t="s">
        <v>103</v>
      </c>
    </row>
    <row r="894" spans="1:18">
      <c r="A894" s="19">
        <v>46568</v>
      </c>
      <c r="B894" s="3" t="s">
        <v>11</v>
      </c>
      <c r="C894" s="3" t="s">
        <v>26</v>
      </c>
      <c r="D894" s="3" t="s">
        <v>23</v>
      </c>
      <c r="E894" s="3" t="s">
        <v>20</v>
      </c>
      <c r="F894" s="3" t="s">
        <v>41</v>
      </c>
      <c r="G894" s="3" t="s">
        <v>22</v>
      </c>
      <c r="H894">
        <v>220000</v>
      </c>
      <c r="I894">
        <v>8</v>
      </c>
      <c r="J894" s="3" t="s">
        <v>37</v>
      </c>
      <c r="K894">
        <v>176000</v>
      </c>
      <c r="L894">
        <v>1760000</v>
      </c>
      <c r="M894">
        <v>1408000</v>
      </c>
      <c r="N894">
        <v>352000</v>
      </c>
      <c r="O894" s="3" t="s">
        <v>995</v>
      </c>
      <c r="P894" s="3" t="s">
        <v>102</v>
      </c>
      <c r="Q894" s="3" t="s">
        <v>103</v>
      </c>
      <c r="R894" s="3" t="s">
        <v>103</v>
      </c>
    </row>
    <row r="895" spans="1:18">
      <c r="A895" s="19">
        <v>46569</v>
      </c>
      <c r="B895" s="3" t="s">
        <v>29</v>
      </c>
      <c r="C895" s="3" t="s">
        <v>12</v>
      </c>
      <c r="D895" s="3" t="s">
        <v>23</v>
      </c>
      <c r="E895" s="3" t="s">
        <v>14</v>
      </c>
      <c r="F895" s="3" t="s">
        <v>21</v>
      </c>
      <c r="G895" s="3" t="s">
        <v>22</v>
      </c>
      <c r="H895">
        <v>30000</v>
      </c>
      <c r="I895">
        <v>9</v>
      </c>
      <c r="J895" s="3" t="s">
        <v>17</v>
      </c>
      <c r="K895">
        <v>24000</v>
      </c>
      <c r="L895">
        <v>270000</v>
      </c>
      <c r="M895">
        <v>216000</v>
      </c>
      <c r="N895">
        <v>54000</v>
      </c>
      <c r="O895" s="3" t="s">
        <v>996</v>
      </c>
      <c r="P895" s="3" t="s">
        <v>102</v>
      </c>
      <c r="Q895" s="3" t="s">
        <v>103</v>
      </c>
      <c r="R895" s="3" t="s">
        <v>103</v>
      </c>
    </row>
    <row r="896" spans="1:18">
      <c r="A896" s="19">
        <v>46570</v>
      </c>
      <c r="B896" s="3" t="s">
        <v>29</v>
      </c>
      <c r="C896" s="3" t="s">
        <v>32</v>
      </c>
      <c r="D896" s="3" t="s">
        <v>23</v>
      </c>
      <c r="E896" s="3" t="s">
        <v>14</v>
      </c>
      <c r="F896" s="3" t="s">
        <v>34</v>
      </c>
      <c r="G896" s="3" t="s">
        <v>16</v>
      </c>
      <c r="H896">
        <v>320000</v>
      </c>
      <c r="I896">
        <v>3</v>
      </c>
      <c r="J896" s="3" t="s">
        <v>37</v>
      </c>
      <c r="K896">
        <v>256000</v>
      </c>
      <c r="L896">
        <v>960000</v>
      </c>
      <c r="M896">
        <v>768000</v>
      </c>
      <c r="N896">
        <v>192000</v>
      </c>
      <c r="O896" s="3" t="s">
        <v>997</v>
      </c>
      <c r="P896" s="3" t="s">
        <v>102</v>
      </c>
      <c r="Q896" s="3" t="s">
        <v>103</v>
      </c>
      <c r="R896" s="3" t="s">
        <v>103</v>
      </c>
    </row>
    <row r="897" spans="1:18">
      <c r="A897" s="19">
        <v>46571</v>
      </c>
      <c r="B897" s="3" t="s">
        <v>29</v>
      </c>
      <c r="C897" s="3" t="s">
        <v>12</v>
      </c>
      <c r="D897" s="3" t="s">
        <v>13</v>
      </c>
      <c r="E897" s="3" t="s">
        <v>14</v>
      </c>
      <c r="F897" s="3" t="s">
        <v>21</v>
      </c>
      <c r="G897" s="3" t="s">
        <v>22</v>
      </c>
      <c r="H897">
        <v>30000</v>
      </c>
      <c r="I897">
        <v>6</v>
      </c>
      <c r="J897" s="3" t="s">
        <v>35</v>
      </c>
      <c r="K897">
        <v>24000</v>
      </c>
      <c r="L897">
        <v>180000</v>
      </c>
      <c r="M897">
        <v>144000</v>
      </c>
      <c r="N897">
        <v>36000</v>
      </c>
      <c r="O897" s="3" t="s">
        <v>998</v>
      </c>
      <c r="P897" s="3" t="s">
        <v>102</v>
      </c>
      <c r="Q897" s="3" t="s">
        <v>103</v>
      </c>
      <c r="R897" s="3" t="s">
        <v>103</v>
      </c>
    </row>
    <row r="898" spans="1:18">
      <c r="A898" s="19">
        <v>46572</v>
      </c>
      <c r="B898" s="3" t="s">
        <v>29</v>
      </c>
      <c r="C898" s="3" t="s">
        <v>26</v>
      </c>
      <c r="D898" s="3" t="s">
        <v>23</v>
      </c>
      <c r="E898" s="3" t="s">
        <v>14</v>
      </c>
      <c r="F898" s="3" t="s">
        <v>27</v>
      </c>
      <c r="G898" s="3" t="s">
        <v>22</v>
      </c>
      <c r="H898">
        <v>60000</v>
      </c>
      <c r="I898">
        <v>7</v>
      </c>
      <c r="J898" s="3" t="s">
        <v>28</v>
      </c>
      <c r="K898">
        <v>48000</v>
      </c>
      <c r="L898">
        <v>420000</v>
      </c>
      <c r="M898">
        <v>336000</v>
      </c>
      <c r="N898">
        <v>84000</v>
      </c>
      <c r="O898" s="3" t="s">
        <v>999</v>
      </c>
      <c r="P898" s="3" t="s">
        <v>102</v>
      </c>
      <c r="Q898" s="3" t="s">
        <v>103</v>
      </c>
      <c r="R898" s="3" t="s">
        <v>103</v>
      </c>
    </row>
    <row r="899" spans="1:18">
      <c r="A899" s="19">
        <v>46573</v>
      </c>
      <c r="B899" s="3" t="s">
        <v>25</v>
      </c>
      <c r="C899" s="3" t="s">
        <v>26</v>
      </c>
      <c r="D899" s="3" t="s">
        <v>13</v>
      </c>
      <c r="E899" s="3" t="s">
        <v>14</v>
      </c>
      <c r="F899" s="3" t="s">
        <v>33</v>
      </c>
      <c r="G899" s="3" t="s">
        <v>22</v>
      </c>
      <c r="H899">
        <v>180000</v>
      </c>
      <c r="I899">
        <v>2</v>
      </c>
      <c r="J899" s="3" t="s">
        <v>35</v>
      </c>
      <c r="K899">
        <v>144000</v>
      </c>
      <c r="L899">
        <v>360000</v>
      </c>
      <c r="M899">
        <v>288000</v>
      </c>
      <c r="N899">
        <v>72000</v>
      </c>
      <c r="O899" s="3" t="s">
        <v>1000</v>
      </c>
      <c r="P899" s="3" t="s">
        <v>102</v>
      </c>
      <c r="Q899" s="3" t="s">
        <v>103</v>
      </c>
      <c r="R899" s="3" t="s">
        <v>103</v>
      </c>
    </row>
    <row r="900" spans="1:18">
      <c r="A900" s="19">
        <v>46574</v>
      </c>
      <c r="B900" s="3" t="s">
        <v>18</v>
      </c>
      <c r="C900" s="3" t="s">
        <v>32</v>
      </c>
      <c r="D900" s="3" t="s">
        <v>23</v>
      </c>
      <c r="E900" s="3" t="s">
        <v>20</v>
      </c>
      <c r="F900" s="3" t="s">
        <v>21</v>
      </c>
      <c r="G900" s="3" t="s">
        <v>22</v>
      </c>
      <c r="H900">
        <v>30000</v>
      </c>
      <c r="I900">
        <v>5</v>
      </c>
      <c r="J900" s="3" t="s">
        <v>17</v>
      </c>
      <c r="K900">
        <v>24000</v>
      </c>
      <c r="L900">
        <v>150000</v>
      </c>
      <c r="M900">
        <v>120000</v>
      </c>
      <c r="N900">
        <v>30000</v>
      </c>
      <c r="O900" s="3" t="s">
        <v>1001</v>
      </c>
      <c r="P900" s="3" t="s">
        <v>102</v>
      </c>
      <c r="Q900" s="3" t="s">
        <v>103</v>
      </c>
      <c r="R900" s="3" t="s">
        <v>103</v>
      </c>
    </row>
    <row r="901" spans="1:18">
      <c r="A901" s="19">
        <v>46575</v>
      </c>
      <c r="B901" s="3" t="s">
        <v>11</v>
      </c>
      <c r="C901" s="3" t="s">
        <v>19</v>
      </c>
      <c r="D901" s="3" t="s">
        <v>23</v>
      </c>
      <c r="E901" s="3" t="s">
        <v>20</v>
      </c>
      <c r="F901" s="3" t="s">
        <v>36</v>
      </c>
      <c r="G901" s="3" t="s">
        <v>31</v>
      </c>
      <c r="H901">
        <v>150000</v>
      </c>
      <c r="I901">
        <v>2</v>
      </c>
      <c r="J901" s="3" t="s">
        <v>37</v>
      </c>
      <c r="K901">
        <v>120000</v>
      </c>
      <c r="L901">
        <v>300000</v>
      </c>
      <c r="M901">
        <v>240000</v>
      </c>
      <c r="N901">
        <v>60000</v>
      </c>
      <c r="O901" s="3" t="s">
        <v>1002</v>
      </c>
      <c r="P901" s="3" t="s">
        <v>102</v>
      </c>
      <c r="Q901" s="3" t="s">
        <v>103</v>
      </c>
      <c r="R901" s="3" t="s">
        <v>103</v>
      </c>
    </row>
    <row r="902" spans="1:18">
      <c r="A902" s="19">
        <v>46576</v>
      </c>
      <c r="B902" s="3" t="s">
        <v>25</v>
      </c>
      <c r="C902" s="3" t="s">
        <v>12</v>
      </c>
      <c r="D902" s="3" t="s">
        <v>13</v>
      </c>
      <c r="E902" s="3" t="s">
        <v>14</v>
      </c>
      <c r="F902" s="3" t="s">
        <v>21</v>
      </c>
      <c r="G902" s="3" t="s">
        <v>22</v>
      </c>
      <c r="H902">
        <v>30000</v>
      </c>
      <c r="I902">
        <v>9</v>
      </c>
      <c r="J902" s="3" t="s">
        <v>39</v>
      </c>
      <c r="K902">
        <v>24000</v>
      </c>
      <c r="L902">
        <v>270000</v>
      </c>
      <c r="M902">
        <v>216000</v>
      </c>
      <c r="N902">
        <v>54000</v>
      </c>
      <c r="O902" s="3" t="s">
        <v>1003</v>
      </c>
      <c r="P902" s="3" t="s">
        <v>102</v>
      </c>
      <c r="Q902" s="3" t="s">
        <v>103</v>
      </c>
      <c r="R902" s="3" t="s">
        <v>103</v>
      </c>
    </row>
    <row r="903" spans="1:18">
      <c r="A903" s="19">
        <v>46577</v>
      </c>
      <c r="B903" s="3" t="s">
        <v>25</v>
      </c>
      <c r="C903" s="3" t="s">
        <v>26</v>
      </c>
      <c r="D903" s="3" t="s">
        <v>23</v>
      </c>
      <c r="E903" s="3" t="s">
        <v>14</v>
      </c>
      <c r="F903" s="3" t="s">
        <v>36</v>
      </c>
      <c r="G903" s="3" t="s">
        <v>31</v>
      </c>
      <c r="H903">
        <v>150000</v>
      </c>
      <c r="I903">
        <v>5</v>
      </c>
      <c r="J903" s="3" t="s">
        <v>35</v>
      </c>
      <c r="K903">
        <v>120000</v>
      </c>
      <c r="L903">
        <v>750000</v>
      </c>
      <c r="M903">
        <v>600000</v>
      </c>
      <c r="N903">
        <v>150000</v>
      </c>
      <c r="O903" s="3" t="s">
        <v>1004</v>
      </c>
      <c r="P903" s="3" t="s">
        <v>102</v>
      </c>
      <c r="Q903" s="3" t="s">
        <v>103</v>
      </c>
      <c r="R903" s="3" t="s">
        <v>103</v>
      </c>
    </row>
    <row r="904" spans="1:18">
      <c r="A904" s="19">
        <v>46578</v>
      </c>
      <c r="B904" s="3" t="s">
        <v>25</v>
      </c>
      <c r="C904" s="3" t="s">
        <v>26</v>
      </c>
      <c r="D904" s="3" t="s">
        <v>13</v>
      </c>
      <c r="E904" s="3" t="s">
        <v>20</v>
      </c>
      <c r="F904" s="3" t="s">
        <v>27</v>
      </c>
      <c r="G904" s="3" t="s">
        <v>22</v>
      </c>
      <c r="H904">
        <v>60000</v>
      </c>
      <c r="I904">
        <v>8</v>
      </c>
      <c r="J904" s="3" t="s">
        <v>39</v>
      </c>
      <c r="K904">
        <v>48000</v>
      </c>
      <c r="L904">
        <v>480000</v>
      </c>
      <c r="M904">
        <v>384000</v>
      </c>
      <c r="N904">
        <v>96000</v>
      </c>
      <c r="O904" s="3" t="s">
        <v>1005</v>
      </c>
      <c r="P904" s="3" t="s">
        <v>102</v>
      </c>
      <c r="Q904" s="3" t="s">
        <v>103</v>
      </c>
      <c r="R904" s="3" t="s">
        <v>103</v>
      </c>
    </row>
    <row r="905" spans="1:18">
      <c r="A905" s="19">
        <v>46579</v>
      </c>
      <c r="B905" s="3" t="s">
        <v>18</v>
      </c>
      <c r="C905" s="3" t="s">
        <v>19</v>
      </c>
      <c r="D905" s="3" t="s">
        <v>13</v>
      </c>
      <c r="E905" s="3" t="s">
        <v>14</v>
      </c>
      <c r="F905" s="3" t="s">
        <v>36</v>
      </c>
      <c r="G905" s="3" t="s">
        <v>31</v>
      </c>
      <c r="H905">
        <v>150000</v>
      </c>
      <c r="I905">
        <v>8</v>
      </c>
      <c r="J905" s="3" t="s">
        <v>37</v>
      </c>
      <c r="K905">
        <v>120000</v>
      </c>
      <c r="L905">
        <v>1200000</v>
      </c>
      <c r="M905">
        <v>960000</v>
      </c>
      <c r="N905">
        <v>240000</v>
      </c>
      <c r="O905" s="3" t="s">
        <v>1006</v>
      </c>
      <c r="P905" s="3" t="s">
        <v>102</v>
      </c>
      <c r="Q905" s="3" t="s">
        <v>103</v>
      </c>
      <c r="R905" s="3" t="s">
        <v>103</v>
      </c>
    </row>
    <row r="906" spans="1:18">
      <c r="A906" s="19">
        <v>46580</v>
      </c>
      <c r="B906" s="3" t="s">
        <v>18</v>
      </c>
      <c r="C906" s="3" t="s">
        <v>26</v>
      </c>
      <c r="D906" s="3" t="s">
        <v>13</v>
      </c>
      <c r="E906" s="3" t="s">
        <v>20</v>
      </c>
      <c r="F906" s="3" t="s">
        <v>15</v>
      </c>
      <c r="G906" s="3" t="s">
        <v>16</v>
      </c>
      <c r="H906">
        <v>85000</v>
      </c>
      <c r="I906">
        <v>3</v>
      </c>
      <c r="J906" s="3" t="s">
        <v>39</v>
      </c>
      <c r="K906">
        <v>68000</v>
      </c>
      <c r="L906">
        <v>255000</v>
      </c>
      <c r="M906">
        <v>204000</v>
      </c>
      <c r="N906">
        <v>51000</v>
      </c>
      <c r="O906" s="3" t="s">
        <v>1007</v>
      </c>
      <c r="P906" s="3" t="s">
        <v>102</v>
      </c>
      <c r="Q906" s="3" t="s">
        <v>103</v>
      </c>
      <c r="R906" s="3" t="s">
        <v>103</v>
      </c>
    </row>
    <row r="907" spans="1:18">
      <c r="A907" s="19">
        <v>46581</v>
      </c>
      <c r="B907" s="3" t="s">
        <v>25</v>
      </c>
      <c r="C907" s="3" t="s">
        <v>12</v>
      </c>
      <c r="D907" s="3" t="s">
        <v>23</v>
      </c>
      <c r="E907" s="3" t="s">
        <v>14</v>
      </c>
      <c r="F907" s="3" t="s">
        <v>33</v>
      </c>
      <c r="G907" s="3" t="s">
        <v>22</v>
      </c>
      <c r="H907">
        <v>180000</v>
      </c>
      <c r="I907">
        <v>4</v>
      </c>
      <c r="J907" s="3" t="s">
        <v>37</v>
      </c>
      <c r="K907">
        <v>144000</v>
      </c>
      <c r="L907">
        <v>720000</v>
      </c>
      <c r="M907">
        <v>576000</v>
      </c>
      <c r="N907">
        <v>144000</v>
      </c>
      <c r="O907" s="3" t="s">
        <v>1008</v>
      </c>
      <c r="P907" s="3" t="s">
        <v>102</v>
      </c>
      <c r="Q907" s="3" t="s">
        <v>103</v>
      </c>
      <c r="R907" s="3" t="s">
        <v>103</v>
      </c>
    </row>
    <row r="908" spans="1:18">
      <c r="A908" s="19">
        <v>46582</v>
      </c>
      <c r="B908" s="3" t="s">
        <v>29</v>
      </c>
      <c r="C908" s="3" t="s">
        <v>12</v>
      </c>
      <c r="D908" s="3" t="s">
        <v>13</v>
      </c>
      <c r="E908" s="3" t="s">
        <v>14</v>
      </c>
      <c r="F908" s="3" t="s">
        <v>38</v>
      </c>
      <c r="G908" s="3" t="s">
        <v>31</v>
      </c>
      <c r="H908">
        <v>420000</v>
      </c>
      <c r="I908">
        <v>7</v>
      </c>
      <c r="J908" s="3" t="s">
        <v>24</v>
      </c>
      <c r="K908">
        <v>336000</v>
      </c>
      <c r="L908">
        <v>2940000</v>
      </c>
      <c r="M908">
        <v>2352000</v>
      </c>
      <c r="N908">
        <v>588000</v>
      </c>
      <c r="O908" s="3" t="s">
        <v>1009</v>
      </c>
      <c r="P908" s="3" t="s">
        <v>102</v>
      </c>
      <c r="Q908" s="3" t="s">
        <v>103</v>
      </c>
      <c r="R908" s="3" t="s">
        <v>103</v>
      </c>
    </row>
    <row r="909" spans="1:18">
      <c r="A909" s="19">
        <v>46583</v>
      </c>
      <c r="B909" s="3" t="s">
        <v>18</v>
      </c>
      <c r="C909" s="3" t="s">
        <v>19</v>
      </c>
      <c r="D909" s="3" t="s">
        <v>13</v>
      </c>
      <c r="E909" s="3" t="s">
        <v>20</v>
      </c>
      <c r="F909" s="3" t="s">
        <v>27</v>
      </c>
      <c r="G909" s="3" t="s">
        <v>22</v>
      </c>
      <c r="H909">
        <v>60000</v>
      </c>
      <c r="I909">
        <v>8</v>
      </c>
      <c r="J909" s="3" t="s">
        <v>24</v>
      </c>
      <c r="K909">
        <v>48000</v>
      </c>
      <c r="L909">
        <v>480000</v>
      </c>
      <c r="M909">
        <v>384000</v>
      </c>
      <c r="N909">
        <v>96000</v>
      </c>
      <c r="O909" s="3" t="s">
        <v>1010</v>
      </c>
      <c r="P909" s="3" t="s">
        <v>102</v>
      </c>
      <c r="Q909" s="3" t="s">
        <v>103</v>
      </c>
      <c r="R909" s="3" t="s">
        <v>103</v>
      </c>
    </row>
    <row r="910" spans="1:18">
      <c r="A910" s="19">
        <v>46584</v>
      </c>
      <c r="B910" s="3" t="s">
        <v>25</v>
      </c>
      <c r="C910" s="3" t="s">
        <v>26</v>
      </c>
      <c r="D910" s="3" t="s">
        <v>13</v>
      </c>
      <c r="E910" s="3" t="s">
        <v>20</v>
      </c>
      <c r="F910" s="3" t="s">
        <v>30</v>
      </c>
      <c r="G910" s="3" t="s">
        <v>31</v>
      </c>
      <c r="H910">
        <v>300000</v>
      </c>
      <c r="I910">
        <v>1</v>
      </c>
      <c r="J910" s="3" t="s">
        <v>35</v>
      </c>
      <c r="K910">
        <v>240000</v>
      </c>
      <c r="L910">
        <v>300000</v>
      </c>
      <c r="M910">
        <v>240000</v>
      </c>
      <c r="N910">
        <v>60000</v>
      </c>
      <c r="O910" s="3" t="s">
        <v>1011</v>
      </c>
      <c r="P910" s="3" t="s">
        <v>102</v>
      </c>
      <c r="Q910" s="3" t="s">
        <v>103</v>
      </c>
      <c r="R910" s="3" t="s">
        <v>103</v>
      </c>
    </row>
    <row r="911" spans="1:18">
      <c r="A911" s="19">
        <v>46585</v>
      </c>
      <c r="B911" s="3" t="s">
        <v>18</v>
      </c>
      <c r="C911" s="3" t="s">
        <v>26</v>
      </c>
      <c r="D911" s="3" t="s">
        <v>13</v>
      </c>
      <c r="E911" s="3" t="s">
        <v>14</v>
      </c>
      <c r="F911" s="3" t="s">
        <v>21</v>
      </c>
      <c r="G911" s="3" t="s">
        <v>22</v>
      </c>
      <c r="H911">
        <v>30000</v>
      </c>
      <c r="I911">
        <v>6</v>
      </c>
      <c r="J911" s="3" t="s">
        <v>35</v>
      </c>
      <c r="K911">
        <v>24000</v>
      </c>
      <c r="L911">
        <v>180000</v>
      </c>
      <c r="M911">
        <v>144000</v>
      </c>
      <c r="N911">
        <v>36000</v>
      </c>
      <c r="O911" s="3" t="s">
        <v>1012</v>
      </c>
      <c r="P911" s="3" t="s">
        <v>102</v>
      </c>
      <c r="Q911" s="3" t="s">
        <v>103</v>
      </c>
      <c r="R911" s="3" t="s">
        <v>103</v>
      </c>
    </row>
    <row r="912" spans="1:18">
      <c r="A912" s="19">
        <v>46586</v>
      </c>
      <c r="B912" s="3" t="s">
        <v>29</v>
      </c>
      <c r="C912" s="3" t="s">
        <v>19</v>
      </c>
      <c r="D912" s="3" t="s">
        <v>23</v>
      </c>
      <c r="E912" s="3" t="s">
        <v>20</v>
      </c>
      <c r="F912" s="3" t="s">
        <v>40</v>
      </c>
      <c r="G912" s="3" t="s">
        <v>31</v>
      </c>
      <c r="H912">
        <v>250000</v>
      </c>
      <c r="I912">
        <v>9</v>
      </c>
      <c r="J912" s="3" t="s">
        <v>37</v>
      </c>
      <c r="K912">
        <v>200000</v>
      </c>
      <c r="L912">
        <v>2250000</v>
      </c>
      <c r="M912">
        <v>1800000</v>
      </c>
      <c r="N912">
        <v>450000</v>
      </c>
      <c r="O912" s="3" t="s">
        <v>1013</v>
      </c>
      <c r="P912" s="3" t="s">
        <v>102</v>
      </c>
      <c r="Q912" s="3" t="s">
        <v>103</v>
      </c>
      <c r="R912" s="3" t="s">
        <v>103</v>
      </c>
    </row>
    <row r="913" spans="1:18">
      <c r="A913" s="19">
        <v>46587</v>
      </c>
      <c r="B913" s="3" t="s">
        <v>18</v>
      </c>
      <c r="C913" s="3" t="s">
        <v>26</v>
      </c>
      <c r="D913" s="3" t="s">
        <v>23</v>
      </c>
      <c r="E913" s="3" t="s">
        <v>20</v>
      </c>
      <c r="F913" s="3" t="s">
        <v>38</v>
      </c>
      <c r="G913" s="3" t="s">
        <v>31</v>
      </c>
      <c r="H913">
        <v>420000</v>
      </c>
      <c r="I913">
        <v>9</v>
      </c>
      <c r="J913" s="3" t="s">
        <v>35</v>
      </c>
      <c r="K913">
        <v>336000</v>
      </c>
      <c r="L913">
        <v>3780000</v>
      </c>
      <c r="M913">
        <v>3024000</v>
      </c>
      <c r="N913">
        <v>756000</v>
      </c>
      <c r="O913" s="3" t="s">
        <v>1014</v>
      </c>
      <c r="P913" s="3" t="s">
        <v>102</v>
      </c>
      <c r="Q913" s="3" t="s">
        <v>103</v>
      </c>
      <c r="R913" s="3" t="s">
        <v>103</v>
      </c>
    </row>
    <row r="914" spans="1:18">
      <c r="A914" s="19">
        <v>46588</v>
      </c>
      <c r="B914" s="3" t="s">
        <v>18</v>
      </c>
      <c r="C914" s="3" t="s">
        <v>26</v>
      </c>
      <c r="D914" s="3" t="s">
        <v>23</v>
      </c>
      <c r="E914" s="3" t="s">
        <v>20</v>
      </c>
      <c r="F914" s="3" t="s">
        <v>36</v>
      </c>
      <c r="G914" s="3" t="s">
        <v>31</v>
      </c>
      <c r="H914">
        <v>150000</v>
      </c>
      <c r="I914">
        <v>9</v>
      </c>
      <c r="J914" s="3" t="s">
        <v>35</v>
      </c>
      <c r="K914">
        <v>120000</v>
      </c>
      <c r="L914">
        <v>1350000</v>
      </c>
      <c r="M914">
        <v>1080000</v>
      </c>
      <c r="N914">
        <v>270000</v>
      </c>
      <c r="O914" s="3" t="s">
        <v>1015</v>
      </c>
      <c r="P914" s="3" t="s">
        <v>102</v>
      </c>
      <c r="Q914" s="3" t="s">
        <v>103</v>
      </c>
      <c r="R914" s="3" t="s">
        <v>103</v>
      </c>
    </row>
    <row r="915" spans="1:18">
      <c r="A915" s="19">
        <v>46589</v>
      </c>
      <c r="B915" s="3" t="s">
        <v>18</v>
      </c>
      <c r="C915" s="3" t="s">
        <v>19</v>
      </c>
      <c r="D915" s="3" t="s">
        <v>23</v>
      </c>
      <c r="E915" s="3" t="s">
        <v>14</v>
      </c>
      <c r="F915" s="3" t="s">
        <v>30</v>
      </c>
      <c r="G915" s="3" t="s">
        <v>31</v>
      </c>
      <c r="H915">
        <v>300000</v>
      </c>
      <c r="I915">
        <v>5</v>
      </c>
      <c r="J915" s="3" t="s">
        <v>39</v>
      </c>
      <c r="K915">
        <v>240000</v>
      </c>
      <c r="L915">
        <v>1500000</v>
      </c>
      <c r="M915">
        <v>1200000</v>
      </c>
      <c r="N915">
        <v>300000</v>
      </c>
      <c r="O915" s="3" t="s">
        <v>1016</v>
      </c>
      <c r="P915" s="3" t="s">
        <v>102</v>
      </c>
      <c r="Q915" s="3" t="s">
        <v>103</v>
      </c>
      <c r="R915" s="3" t="s">
        <v>103</v>
      </c>
    </row>
    <row r="916" spans="1:18">
      <c r="A916" s="19">
        <v>46590</v>
      </c>
      <c r="B916" s="3" t="s">
        <v>29</v>
      </c>
      <c r="C916" s="3" t="s">
        <v>32</v>
      </c>
      <c r="D916" s="3" t="s">
        <v>13</v>
      </c>
      <c r="E916" s="3" t="s">
        <v>14</v>
      </c>
      <c r="F916" s="3" t="s">
        <v>21</v>
      </c>
      <c r="G916" s="3" t="s">
        <v>22</v>
      </c>
      <c r="H916">
        <v>30000</v>
      </c>
      <c r="I916">
        <v>4</v>
      </c>
      <c r="J916" s="3" t="s">
        <v>35</v>
      </c>
      <c r="K916">
        <v>24000</v>
      </c>
      <c r="L916">
        <v>120000</v>
      </c>
      <c r="M916">
        <v>96000</v>
      </c>
      <c r="N916">
        <v>24000</v>
      </c>
      <c r="O916" s="3" t="s">
        <v>1017</v>
      </c>
      <c r="P916" s="3" t="s">
        <v>102</v>
      </c>
      <c r="Q916" s="3" t="s">
        <v>103</v>
      </c>
      <c r="R916" s="3" t="s">
        <v>103</v>
      </c>
    </row>
    <row r="917" spans="1:18">
      <c r="A917" s="19">
        <v>46591</v>
      </c>
      <c r="B917" s="3" t="s">
        <v>11</v>
      </c>
      <c r="C917" s="3" t="s">
        <v>32</v>
      </c>
      <c r="D917" s="3" t="s">
        <v>13</v>
      </c>
      <c r="E917" s="3" t="s">
        <v>20</v>
      </c>
      <c r="F917" s="3" t="s">
        <v>38</v>
      </c>
      <c r="G917" s="3" t="s">
        <v>31</v>
      </c>
      <c r="H917">
        <v>420000</v>
      </c>
      <c r="I917">
        <v>7</v>
      </c>
      <c r="J917" s="3" t="s">
        <v>39</v>
      </c>
      <c r="K917">
        <v>336000</v>
      </c>
      <c r="L917">
        <v>2940000</v>
      </c>
      <c r="M917">
        <v>2352000</v>
      </c>
      <c r="N917">
        <v>588000</v>
      </c>
      <c r="O917" s="3" t="s">
        <v>1018</v>
      </c>
      <c r="P917" s="3" t="s">
        <v>102</v>
      </c>
      <c r="Q917" s="3" t="s">
        <v>103</v>
      </c>
      <c r="R917" s="3" t="s">
        <v>103</v>
      </c>
    </row>
    <row r="918" spans="1:18">
      <c r="A918" s="19">
        <v>46592</v>
      </c>
      <c r="B918" s="3" t="s">
        <v>18</v>
      </c>
      <c r="C918" s="3" t="s">
        <v>19</v>
      </c>
      <c r="D918" s="3" t="s">
        <v>23</v>
      </c>
      <c r="E918" s="3" t="s">
        <v>20</v>
      </c>
      <c r="F918" s="3" t="s">
        <v>34</v>
      </c>
      <c r="G918" s="3" t="s">
        <v>16</v>
      </c>
      <c r="H918">
        <v>320000</v>
      </c>
      <c r="I918">
        <v>6</v>
      </c>
      <c r="J918" s="3" t="s">
        <v>35</v>
      </c>
      <c r="K918">
        <v>256000</v>
      </c>
      <c r="L918">
        <v>1920000</v>
      </c>
      <c r="M918">
        <v>1536000</v>
      </c>
      <c r="N918">
        <v>384000</v>
      </c>
      <c r="O918" s="3" t="s">
        <v>1019</v>
      </c>
      <c r="P918" s="3" t="s">
        <v>102</v>
      </c>
      <c r="Q918" s="3" t="s">
        <v>103</v>
      </c>
      <c r="R918" s="3" t="s">
        <v>103</v>
      </c>
    </row>
    <row r="919" spans="1:18">
      <c r="A919" s="19">
        <v>46593</v>
      </c>
      <c r="B919" s="3" t="s">
        <v>25</v>
      </c>
      <c r="C919" s="3" t="s">
        <v>32</v>
      </c>
      <c r="D919" s="3" t="s">
        <v>13</v>
      </c>
      <c r="E919" s="3" t="s">
        <v>14</v>
      </c>
      <c r="F919" s="3" t="s">
        <v>15</v>
      </c>
      <c r="G919" s="3" t="s">
        <v>16</v>
      </c>
      <c r="H919">
        <v>85000</v>
      </c>
      <c r="I919">
        <v>2</v>
      </c>
      <c r="J919" s="3" t="s">
        <v>39</v>
      </c>
      <c r="K919">
        <v>68000</v>
      </c>
      <c r="L919">
        <v>170000</v>
      </c>
      <c r="M919">
        <v>136000</v>
      </c>
      <c r="N919">
        <v>34000</v>
      </c>
      <c r="O919" s="3" t="s">
        <v>1020</v>
      </c>
      <c r="P919" s="3" t="s">
        <v>102</v>
      </c>
      <c r="Q919" s="3" t="s">
        <v>103</v>
      </c>
      <c r="R919" s="3" t="s">
        <v>103</v>
      </c>
    </row>
    <row r="920" spans="1:18">
      <c r="A920" s="19">
        <v>46594</v>
      </c>
      <c r="B920" s="3" t="s">
        <v>11</v>
      </c>
      <c r="C920" s="3" t="s">
        <v>19</v>
      </c>
      <c r="D920" s="3" t="s">
        <v>13</v>
      </c>
      <c r="E920" s="3" t="s">
        <v>14</v>
      </c>
      <c r="F920" s="3" t="s">
        <v>36</v>
      </c>
      <c r="G920" s="3" t="s">
        <v>31</v>
      </c>
      <c r="H920">
        <v>150000</v>
      </c>
      <c r="I920">
        <v>1</v>
      </c>
      <c r="J920" s="3" t="s">
        <v>39</v>
      </c>
      <c r="K920">
        <v>120000</v>
      </c>
      <c r="L920">
        <v>150000</v>
      </c>
      <c r="M920">
        <v>120000</v>
      </c>
      <c r="N920">
        <v>30000</v>
      </c>
      <c r="O920" s="3" t="s">
        <v>1021</v>
      </c>
      <c r="P920" s="3" t="s">
        <v>102</v>
      </c>
      <c r="Q920" s="3" t="s">
        <v>103</v>
      </c>
      <c r="R920" s="3" t="s">
        <v>103</v>
      </c>
    </row>
    <row r="921" spans="1:18">
      <c r="A921" s="19">
        <v>46595</v>
      </c>
      <c r="B921" s="3" t="s">
        <v>11</v>
      </c>
      <c r="C921" s="3" t="s">
        <v>12</v>
      </c>
      <c r="D921" s="3" t="s">
        <v>23</v>
      </c>
      <c r="E921" s="3" t="s">
        <v>20</v>
      </c>
      <c r="F921" s="3" t="s">
        <v>15</v>
      </c>
      <c r="G921" s="3" t="s">
        <v>16</v>
      </c>
      <c r="H921">
        <v>85000</v>
      </c>
      <c r="I921">
        <v>2</v>
      </c>
      <c r="J921" s="3" t="s">
        <v>37</v>
      </c>
      <c r="K921">
        <v>68000</v>
      </c>
      <c r="L921">
        <v>170000</v>
      </c>
      <c r="M921">
        <v>136000</v>
      </c>
      <c r="N921">
        <v>34000</v>
      </c>
      <c r="O921" s="3" t="s">
        <v>1022</v>
      </c>
      <c r="P921" s="3" t="s">
        <v>102</v>
      </c>
      <c r="Q921" s="3" t="s">
        <v>103</v>
      </c>
      <c r="R921" s="3" t="s">
        <v>103</v>
      </c>
    </row>
    <row r="922" spans="1:18">
      <c r="A922" s="19">
        <v>46596</v>
      </c>
      <c r="B922" s="3" t="s">
        <v>11</v>
      </c>
      <c r="C922" s="3" t="s">
        <v>32</v>
      </c>
      <c r="D922" s="3" t="s">
        <v>23</v>
      </c>
      <c r="E922" s="3" t="s">
        <v>14</v>
      </c>
      <c r="F922" s="3" t="s">
        <v>15</v>
      </c>
      <c r="G922" s="3" t="s">
        <v>16</v>
      </c>
      <c r="H922">
        <v>85000</v>
      </c>
      <c r="I922">
        <v>1</v>
      </c>
      <c r="J922" s="3" t="s">
        <v>28</v>
      </c>
      <c r="K922">
        <v>68000</v>
      </c>
      <c r="L922">
        <v>85000</v>
      </c>
      <c r="M922">
        <v>68000</v>
      </c>
      <c r="N922">
        <v>17000</v>
      </c>
      <c r="O922" s="3" t="s">
        <v>1023</v>
      </c>
      <c r="P922" s="3" t="s">
        <v>102</v>
      </c>
      <c r="Q922" s="3" t="s">
        <v>103</v>
      </c>
      <c r="R922" s="3" t="s">
        <v>103</v>
      </c>
    </row>
    <row r="923" spans="1:18">
      <c r="A923" s="19">
        <v>46597</v>
      </c>
      <c r="B923" s="3" t="s">
        <v>29</v>
      </c>
      <c r="C923" s="3" t="s">
        <v>26</v>
      </c>
      <c r="D923" s="3" t="s">
        <v>13</v>
      </c>
      <c r="E923" s="3" t="s">
        <v>14</v>
      </c>
      <c r="F923" s="3" t="s">
        <v>33</v>
      </c>
      <c r="G923" s="3" t="s">
        <v>22</v>
      </c>
      <c r="H923">
        <v>180000</v>
      </c>
      <c r="I923">
        <v>4</v>
      </c>
      <c r="J923" s="3" t="s">
        <v>39</v>
      </c>
      <c r="K923">
        <v>144000</v>
      </c>
      <c r="L923">
        <v>720000</v>
      </c>
      <c r="M923">
        <v>576000</v>
      </c>
      <c r="N923">
        <v>144000</v>
      </c>
      <c r="O923" s="3" t="s">
        <v>1024</v>
      </c>
      <c r="P923" s="3" t="s">
        <v>102</v>
      </c>
      <c r="Q923" s="3" t="s">
        <v>103</v>
      </c>
      <c r="R923" s="3" t="s">
        <v>103</v>
      </c>
    </row>
    <row r="924" spans="1:18">
      <c r="A924" s="19">
        <v>46598</v>
      </c>
      <c r="B924" s="3" t="s">
        <v>18</v>
      </c>
      <c r="C924" s="3" t="s">
        <v>12</v>
      </c>
      <c r="D924" s="3" t="s">
        <v>23</v>
      </c>
      <c r="E924" s="3" t="s">
        <v>14</v>
      </c>
      <c r="F924" s="3" t="s">
        <v>38</v>
      </c>
      <c r="G924" s="3" t="s">
        <v>31</v>
      </c>
      <c r="H924">
        <v>420000</v>
      </c>
      <c r="I924">
        <v>8</v>
      </c>
      <c r="J924" s="3" t="s">
        <v>24</v>
      </c>
      <c r="K924">
        <v>336000</v>
      </c>
      <c r="L924">
        <v>3360000</v>
      </c>
      <c r="M924">
        <v>2688000</v>
      </c>
      <c r="N924">
        <v>672000</v>
      </c>
      <c r="O924" s="3" t="s">
        <v>1025</v>
      </c>
      <c r="P924" s="3" t="s">
        <v>102</v>
      </c>
      <c r="Q924" s="3" t="s">
        <v>103</v>
      </c>
      <c r="R924" s="3" t="s">
        <v>103</v>
      </c>
    </row>
    <row r="925" spans="1:18">
      <c r="A925" s="19">
        <v>46599</v>
      </c>
      <c r="B925" s="3" t="s">
        <v>11</v>
      </c>
      <c r="C925" s="3" t="s">
        <v>26</v>
      </c>
      <c r="D925" s="3" t="s">
        <v>23</v>
      </c>
      <c r="E925" s="3" t="s">
        <v>20</v>
      </c>
      <c r="F925" s="3" t="s">
        <v>33</v>
      </c>
      <c r="G925" s="3" t="s">
        <v>22</v>
      </c>
      <c r="H925">
        <v>180000</v>
      </c>
      <c r="I925">
        <v>9</v>
      </c>
      <c r="J925" s="3" t="s">
        <v>24</v>
      </c>
      <c r="K925">
        <v>144000</v>
      </c>
      <c r="L925">
        <v>1620000</v>
      </c>
      <c r="M925">
        <v>1296000</v>
      </c>
      <c r="N925">
        <v>324000</v>
      </c>
      <c r="O925" s="3" t="s">
        <v>1026</v>
      </c>
      <c r="P925" s="3" t="s">
        <v>102</v>
      </c>
      <c r="Q925" s="3" t="s">
        <v>103</v>
      </c>
      <c r="R925" s="3" t="s">
        <v>103</v>
      </c>
    </row>
    <row r="926" spans="1:18">
      <c r="A926" s="19">
        <v>46600</v>
      </c>
      <c r="B926" s="3" t="s">
        <v>29</v>
      </c>
      <c r="C926" s="3" t="s">
        <v>19</v>
      </c>
      <c r="D926" s="3" t="s">
        <v>23</v>
      </c>
      <c r="E926" s="3" t="s">
        <v>20</v>
      </c>
      <c r="F926" s="3" t="s">
        <v>30</v>
      </c>
      <c r="G926" s="3" t="s">
        <v>31</v>
      </c>
      <c r="H926">
        <v>300000</v>
      </c>
      <c r="I926">
        <v>5</v>
      </c>
      <c r="J926" s="3" t="s">
        <v>39</v>
      </c>
      <c r="K926">
        <v>240000</v>
      </c>
      <c r="L926">
        <v>1500000</v>
      </c>
      <c r="M926">
        <v>1200000</v>
      </c>
      <c r="N926">
        <v>300000</v>
      </c>
      <c r="O926" s="3" t="s">
        <v>1027</v>
      </c>
      <c r="P926" s="3" t="s">
        <v>102</v>
      </c>
      <c r="Q926" s="3" t="s">
        <v>103</v>
      </c>
      <c r="R926" s="3" t="s">
        <v>103</v>
      </c>
    </row>
    <row r="927" spans="1:18">
      <c r="A927" s="19">
        <v>46601</v>
      </c>
      <c r="B927" s="3" t="s">
        <v>11</v>
      </c>
      <c r="C927" s="3" t="s">
        <v>26</v>
      </c>
      <c r="D927" s="3" t="s">
        <v>23</v>
      </c>
      <c r="E927" s="3" t="s">
        <v>20</v>
      </c>
      <c r="F927" s="3" t="s">
        <v>27</v>
      </c>
      <c r="G927" s="3" t="s">
        <v>22</v>
      </c>
      <c r="H927">
        <v>60000</v>
      </c>
      <c r="I927">
        <v>4</v>
      </c>
      <c r="J927" s="3" t="s">
        <v>37</v>
      </c>
      <c r="K927">
        <v>48000</v>
      </c>
      <c r="L927">
        <v>240000</v>
      </c>
      <c r="M927">
        <v>192000</v>
      </c>
      <c r="N927">
        <v>48000</v>
      </c>
      <c r="O927" s="3" t="s">
        <v>1028</v>
      </c>
      <c r="P927" s="3" t="s">
        <v>102</v>
      </c>
      <c r="Q927" s="3" t="s">
        <v>103</v>
      </c>
      <c r="R927" s="3" t="s">
        <v>103</v>
      </c>
    </row>
    <row r="928" spans="1:18">
      <c r="A928" s="19">
        <v>46602</v>
      </c>
      <c r="B928" s="3" t="s">
        <v>18</v>
      </c>
      <c r="C928" s="3" t="s">
        <v>19</v>
      </c>
      <c r="D928" s="3" t="s">
        <v>23</v>
      </c>
      <c r="E928" s="3" t="s">
        <v>14</v>
      </c>
      <c r="F928" s="3" t="s">
        <v>40</v>
      </c>
      <c r="G928" s="3" t="s">
        <v>31</v>
      </c>
      <c r="H928">
        <v>250000</v>
      </c>
      <c r="I928">
        <v>4</v>
      </c>
      <c r="J928" s="3" t="s">
        <v>37</v>
      </c>
      <c r="K928">
        <v>200000</v>
      </c>
      <c r="L928">
        <v>1000000</v>
      </c>
      <c r="M928">
        <v>800000</v>
      </c>
      <c r="N928">
        <v>200000</v>
      </c>
      <c r="O928" s="3" t="s">
        <v>1029</v>
      </c>
      <c r="P928" s="3" t="s">
        <v>102</v>
      </c>
      <c r="Q928" s="3" t="s">
        <v>103</v>
      </c>
      <c r="R928" s="3" t="s">
        <v>103</v>
      </c>
    </row>
    <row r="929" spans="1:18">
      <c r="A929" s="19">
        <v>46603</v>
      </c>
      <c r="B929" s="3" t="s">
        <v>29</v>
      </c>
      <c r="C929" s="3" t="s">
        <v>12</v>
      </c>
      <c r="D929" s="3" t="s">
        <v>13</v>
      </c>
      <c r="E929" s="3" t="s">
        <v>20</v>
      </c>
      <c r="F929" s="3" t="s">
        <v>41</v>
      </c>
      <c r="G929" s="3" t="s">
        <v>22</v>
      </c>
      <c r="H929">
        <v>220000</v>
      </c>
      <c r="I929">
        <v>6</v>
      </c>
      <c r="J929" s="3" t="s">
        <v>39</v>
      </c>
      <c r="K929">
        <v>176000</v>
      </c>
      <c r="L929">
        <v>1320000</v>
      </c>
      <c r="M929">
        <v>1056000</v>
      </c>
      <c r="N929">
        <v>264000</v>
      </c>
      <c r="O929" s="3" t="s">
        <v>1030</v>
      </c>
      <c r="P929" s="3" t="s">
        <v>102</v>
      </c>
      <c r="Q929" s="3" t="s">
        <v>103</v>
      </c>
      <c r="R929" s="3" t="s">
        <v>103</v>
      </c>
    </row>
    <row r="930" spans="1:18">
      <c r="A930" s="19">
        <v>46604</v>
      </c>
      <c r="B930" s="3" t="s">
        <v>18</v>
      </c>
      <c r="C930" s="3" t="s">
        <v>19</v>
      </c>
      <c r="D930" s="3" t="s">
        <v>23</v>
      </c>
      <c r="E930" s="3" t="s">
        <v>14</v>
      </c>
      <c r="F930" s="3" t="s">
        <v>30</v>
      </c>
      <c r="G930" s="3" t="s">
        <v>31</v>
      </c>
      <c r="H930">
        <v>300000</v>
      </c>
      <c r="I930">
        <v>7</v>
      </c>
      <c r="J930" s="3" t="s">
        <v>28</v>
      </c>
      <c r="K930">
        <v>240000</v>
      </c>
      <c r="L930">
        <v>2100000</v>
      </c>
      <c r="M930">
        <v>1680000</v>
      </c>
      <c r="N930">
        <v>420000</v>
      </c>
      <c r="O930" s="3" t="s">
        <v>1031</v>
      </c>
      <c r="P930" s="3" t="s">
        <v>102</v>
      </c>
      <c r="Q930" s="3" t="s">
        <v>103</v>
      </c>
      <c r="R930" s="3" t="s">
        <v>103</v>
      </c>
    </row>
    <row r="931" spans="1:18">
      <c r="A931" s="19">
        <v>46605</v>
      </c>
      <c r="B931" s="3" t="s">
        <v>25</v>
      </c>
      <c r="C931" s="3" t="s">
        <v>19</v>
      </c>
      <c r="D931" s="3" t="s">
        <v>13</v>
      </c>
      <c r="E931" s="3" t="s">
        <v>14</v>
      </c>
      <c r="F931" s="3" t="s">
        <v>38</v>
      </c>
      <c r="G931" s="3" t="s">
        <v>31</v>
      </c>
      <c r="H931">
        <v>420000</v>
      </c>
      <c r="I931">
        <v>10</v>
      </c>
      <c r="J931" s="3" t="s">
        <v>28</v>
      </c>
      <c r="K931">
        <v>336000</v>
      </c>
      <c r="L931">
        <v>4200000</v>
      </c>
      <c r="M931">
        <v>3360000</v>
      </c>
      <c r="N931">
        <v>840000</v>
      </c>
      <c r="O931" s="3" t="s">
        <v>1032</v>
      </c>
      <c r="P931" s="3" t="s">
        <v>102</v>
      </c>
      <c r="Q931" s="3" t="s">
        <v>103</v>
      </c>
      <c r="R931" s="3" t="s">
        <v>103</v>
      </c>
    </row>
    <row r="932" spans="1:18">
      <c r="A932" s="19">
        <v>46606</v>
      </c>
      <c r="B932" s="3" t="s">
        <v>11</v>
      </c>
      <c r="C932" s="3" t="s">
        <v>19</v>
      </c>
      <c r="D932" s="3" t="s">
        <v>23</v>
      </c>
      <c r="E932" s="3" t="s">
        <v>20</v>
      </c>
      <c r="F932" s="3" t="s">
        <v>21</v>
      </c>
      <c r="G932" s="3" t="s">
        <v>22</v>
      </c>
      <c r="H932">
        <v>30000</v>
      </c>
      <c r="I932">
        <v>7</v>
      </c>
      <c r="J932" s="3" t="s">
        <v>28</v>
      </c>
      <c r="K932">
        <v>24000</v>
      </c>
      <c r="L932">
        <v>210000</v>
      </c>
      <c r="M932">
        <v>168000</v>
      </c>
      <c r="N932">
        <v>42000</v>
      </c>
      <c r="O932" s="3" t="s">
        <v>1033</v>
      </c>
      <c r="P932" s="3" t="s">
        <v>102</v>
      </c>
      <c r="Q932" s="3" t="s">
        <v>103</v>
      </c>
      <c r="R932" s="3" t="s">
        <v>103</v>
      </c>
    </row>
    <row r="933" spans="1:18">
      <c r="A933" s="19">
        <v>46607</v>
      </c>
      <c r="B933" s="3" t="s">
        <v>29</v>
      </c>
      <c r="C933" s="3" t="s">
        <v>19</v>
      </c>
      <c r="D933" s="3" t="s">
        <v>23</v>
      </c>
      <c r="E933" s="3" t="s">
        <v>14</v>
      </c>
      <c r="F933" s="3" t="s">
        <v>41</v>
      </c>
      <c r="G933" s="3" t="s">
        <v>22</v>
      </c>
      <c r="H933">
        <v>220000</v>
      </c>
      <c r="I933">
        <v>8</v>
      </c>
      <c r="J933" s="3" t="s">
        <v>37</v>
      </c>
      <c r="K933">
        <v>176000</v>
      </c>
      <c r="L933">
        <v>1760000</v>
      </c>
      <c r="M933">
        <v>1408000</v>
      </c>
      <c r="N933">
        <v>352000</v>
      </c>
      <c r="O933" s="3" t="s">
        <v>1034</v>
      </c>
      <c r="P933" s="3" t="s">
        <v>102</v>
      </c>
      <c r="Q933" s="3" t="s">
        <v>103</v>
      </c>
      <c r="R933" s="3" t="s">
        <v>103</v>
      </c>
    </row>
    <row r="934" spans="1:18">
      <c r="A934" s="19">
        <v>46608</v>
      </c>
      <c r="B934" s="3" t="s">
        <v>25</v>
      </c>
      <c r="C934" s="3" t="s">
        <v>32</v>
      </c>
      <c r="D934" s="3" t="s">
        <v>13</v>
      </c>
      <c r="E934" s="3" t="s">
        <v>20</v>
      </c>
      <c r="F934" s="3" t="s">
        <v>34</v>
      </c>
      <c r="G934" s="3" t="s">
        <v>16</v>
      </c>
      <c r="H934">
        <v>320000</v>
      </c>
      <c r="I934">
        <v>9</v>
      </c>
      <c r="J934" s="3" t="s">
        <v>24</v>
      </c>
      <c r="K934">
        <v>256000</v>
      </c>
      <c r="L934">
        <v>2880000</v>
      </c>
      <c r="M934">
        <v>2304000</v>
      </c>
      <c r="N934">
        <v>576000</v>
      </c>
      <c r="O934" s="3" t="s">
        <v>1035</v>
      </c>
      <c r="P934" s="3" t="s">
        <v>102</v>
      </c>
      <c r="Q934" s="3" t="s">
        <v>103</v>
      </c>
      <c r="R934" s="3" t="s">
        <v>103</v>
      </c>
    </row>
    <row r="935" spans="1:18">
      <c r="A935" s="19">
        <v>46609</v>
      </c>
      <c r="B935" s="3" t="s">
        <v>18</v>
      </c>
      <c r="C935" s="3" t="s">
        <v>26</v>
      </c>
      <c r="D935" s="3" t="s">
        <v>23</v>
      </c>
      <c r="E935" s="3" t="s">
        <v>20</v>
      </c>
      <c r="F935" s="3" t="s">
        <v>33</v>
      </c>
      <c r="G935" s="3" t="s">
        <v>22</v>
      </c>
      <c r="H935">
        <v>180000</v>
      </c>
      <c r="I935">
        <v>8</v>
      </c>
      <c r="J935" s="3" t="s">
        <v>28</v>
      </c>
      <c r="K935">
        <v>144000</v>
      </c>
      <c r="L935">
        <v>1440000</v>
      </c>
      <c r="M935">
        <v>1152000</v>
      </c>
      <c r="N935">
        <v>288000</v>
      </c>
      <c r="O935" s="3" t="s">
        <v>1036</v>
      </c>
      <c r="P935" s="3" t="s">
        <v>102</v>
      </c>
      <c r="Q935" s="3" t="s">
        <v>103</v>
      </c>
      <c r="R935" s="3" t="s">
        <v>103</v>
      </c>
    </row>
    <row r="936" spans="1:18">
      <c r="A936" s="19">
        <v>46610</v>
      </c>
      <c r="B936" s="3" t="s">
        <v>29</v>
      </c>
      <c r="C936" s="3" t="s">
        <v>12</v>
      </c>
      <c r="D936" s="3" t="s">
        <v>13</v>
      </c>
      <c r="E936" s="3" t="s">
        <v>14</v>
      </c>
      <c r="F936" s="3" t="s">
        <v>21</v>
      </c>
      <c r="G936" s="3" t="s">
        <v>22</v>
      </c>
      <c r="H936">
        <v>30000</v>
      </c>
      <c r="I936">
        <v>5</v>
      </c>
      <c r="J936" s="3" t="s">
        <v>35</v>
      </c>
      <c r="K936">
        <v>24000</v>
      </c>
      <c r="L936">
        <v>150000</v>
      </c>
      <c r="M936">
        <v>120000</v>
      </c>
      <c r="N936">
        <v>30000</v>
      </c>
      <c r="O936" s="3" t="s">
        <v>1037</v>
      </c>
      <c r="P936" s="3" t="s">
        <v>102</v>
      </c>
      <c r="Q936" s="3" t="s">
        <v>103</v>
      </c>
      <c r="R936" s="3" t="s">
        <v>103</v>
      </c>
    </row>
    <row r="937" spans="1:18">
      <c r="A937" s="19">
        <v>46611</v>
      </c>
      <c r="B937" s="3" t="s">
        <v>25</v>
      </c>
      <c r="C937" s="3" t="s">
        <v>26</v>
      </c>
      <c r="D937" s="3" t="s">
        <v>13</v>
      </c>
      <c r="E937" s="3" t="s">
        <v>20</v>
      </c>
      <c r="F937" s="3" t="s">
        <v>34</v>
      </c>
      <c r="G937" s="3" t="s">
        <v>16</v>
      </c>
      <c r="H937">
        <v>320000</v>
      </c>
      <c r="I937">
        <v>8</v>
      </c>
      <c r="J937" s="3" t="s">
        <v>28</v>
      </c>
      <c r="K937">
        <v>256000</v>
      </c>
      <c r="L937">
        <v>2560000</v>
      </c>
      <c r="M937">
        <v>2048000</v>
      </c>
      <c r="N937">
        <v>512000</v>
      </c>
      <c r="O937" s="3" t="s">
        <v>1038</v>
      </c>
      <c r="P937" s="3" t="s">
        <v>102</v>
      </c>
      <c r="Q937" s="3" t="s">
        <v>103</v>
      </c>
      <c r="R937" s="3" t="s">
        <v>103</v>
      </c>
    </row>
    <row r="938" spans="1:18">
      <c r="A938" s="19">
        <v>46612</v>
      </c>
      <c r="B938" s="3" t="s">
        <v>29</v>
      </c>
      <c r="C938" s="3" t="s">
        <v>19</v>
      </c>
      <c r="D938" s="3" t="s">
        <v>13</v>
      </c>
      <c r="E938" s="3" t="s">
        <v>20</v>
      </c>
      <c r="F938" s="3" t="s">
        <v>34</v>
      </c>
      <c r="G938" s="3" t="s">
        <v>16</v>
      </c>
      <c r="H938">
        <v>320000</v>
      </c>
      <c r="I938">
        <v>8</v>
      </c>
      <c r="J938" s="3" t="s">
        <v>24</v>
      </c>
      <c r="K938">
        <v>256000</v>
      </c>
      <c r="L938">
        <v>2560000</v>
      </c>
      <c r="M938">
        <v>2048000</v>
      </c>
      <c r="N938">
        <v>512000</v>
      </c>
      <c r="O938" s="3" t="s">
        <v>1039</v>
      </c>
      <c r="P938" s="3" t="s">
        <v>102</v>
      </c>
      <c r="Q938" s="3" t="s">
        <v>103</v>
      </c>
      <c r="R938" s="3" t="s">
        <v>103</v>
      </c>
    </row>
    <row r="939" spans="1:18">
      <c r="A939" s="19">
        <v>46613</v>
      </c>
      <c r="B939" s="3" t="s">
        <v>18</v>
      </c>
      <c r="C939" s="3" t="s">
        <v>26</v>
      </c>
      <c r="D939" s="3" t="s">
        <v>23</v>
      </c>
      <c r="E939" s="3" t="s">
        <v>20</v>
      </c>
      <c r="F939" s="3" t="s">
        <v>21</v>
      </c>
      <c r="G939" s="3" t="s">
        <v>22</v>
      </c>
      <c r="H939">
        <v>30000</v>
      </c>
      <c r="I939">
        <v>4</v>
      </c>
      <c r="J939" s="3" t="s">
        <v>28</v>
      </c>
      <c r="K939">
        <v>24000</v>
      </c>
      <c r="L939">
        <v>120000</v>
      </c>
      <c r="M939">
        <v>96000</v>
      </c>
      <c r="N939">
        <v>24000</v>
      </c>
      <c r="O939" s="3" t="s">
        <v>1040</v>
      </c>
      <c r="P939" s="3" t="s">
        <v>102</v>
      </c>
      <c r="Q939" s="3" t="s">
        <v>103</v>
      </c>
      <c r="R939" s="3" t="s">
        <v>103</v>
      </c>
    </row>
    <row r="940" spans="1:18">
      <c r="A940" s="19">
        <v>46614</v>
      </c>
      <c r="B940" s="3" t="s">
        <v>11</v>
      </c>
      <c r="C940" s="3" t="s">
        <v>32</v>
      </c>
      <c r="D940" s="3" t="s">
        <v>13</v>
      </c>
      <c r="E940" s="3" t="s">
        <v>20</v>
      </c>
      <c r="F940" s="3" t="s">
        <v>33</v>
      </c>
      <c r="G940" s="3" t="s">
        <v>22</v>
      </c>
      <c r="H940">
        <v>180000</v>
      </c>
      <c r="I940">
        <v>3</v>
      </c>
      <c r="J940" s="3" t="s">
        <v>35</v>
      </c>
      <c r="K940">
        <v>144000</v>
      </c>
      <c r="L940">
        <v>540000</v>
      </c>
      <c r="M940">
        <v>432000</v>
      </c>
      <c r="N940">
        <v>108000</v>
      </c>
      <c r="O940" s="3" t="s">
        <v>1041</v>
      </c>
      <c r="P940" s="3" t="s">
        <v>102</v>
      </c>
      <c r="Q940" s="3" t="s">
        <v>103</v>
      </c>
      <c r="R940" s="3" t="s">
        <v>103</v>
      </c>
    </row>
    <row r="941" spans="1:18">
      <c r="A941" s="19">
        <v>46615</v>
      </c>
      <c r="B941" s="3" t="s">
        <v>29</v>
      </c>
      <c r="C941" s="3" t="s">
        <v>26</v>
      </c>
      <c r="D941" s="3" t="s">
        <v>13</v>
      </c>
      <c r="E941" s="3" t="s">
        <v>14</v>
      </c>
      <c r="F941" s="3" t="s">
        <v>33</v>
      </c>
      <c r="G941" s="3" t="s">
        <v>22</v>
      </c>
      <c r="H941">
        <v>180000</v>
      </c>
      <c r="I941">
        <v>9</v>
      </c>
      <c r="J941" s="3" t="s">
        <v>35</v>
      </c>
      <c r="K941">
        <v>144000</v>
      </c>
      <c r="L941">
        <v>1620000</v>
      </c>
      <c r="M941">
        <v>1296000</v>
      </c>
      <c r="N941">
        <v>324000</v>
      </c>
      <c r="O941" s="3" t="s">
        <v>1042</v>
      </c>
      <c r="P941" s="3" t="s">
        <v>102</v>
      </c>
      <c r="Q941" s="3" t="s">
        <v>103</v>
      </c>
      <c r="R941" s="3" t="s">
        <v>103</v>
      </c>
    </row>
    <row r="942" spans="1:18">
      <c r="A942" s="19">
        <v>46616</v>
      </c>
      <c r="B942" s="3" t="s">
        <v>29</v>
      </c>
      <c r="C942" s="3" t="s">
        <v>19</v>
      </c>
      <c r="D942" s="3" t="s">
        <v>23</v>
      </c>
      <c r="E942" s="3" t="s">
        <v>20</v>
      </c>
      <c r="F942" s="3" t="s">
        <v>33</v>
      </c>
      <c r="G942" s="3" t="s">
        <v>22</v>
      </c>
      <c r="H942">
        <v>180000</v>
      </c>
      <c r="I942">
        <v>1</v>
      </c>
      <c r="J942" s="3" t="s">
        <v>28</v>
      </c>
      <c r="K942">
        <v>144000</v>
      </c>
      <c r="L942">
        <v>180000</v>
      </c>
      <c r="M942">
        <v>144000</v>
      </c>
      <c r="N942">
        <v>36000</v>
      </c>
      <c r="O942" s="3" t="s">
        <v>1043</v>
      </c>
      <c r="P942" s="3" t="s">
        <v>102</v>
      </c>
      <c r="Q942" s="3" t="s">
        <v>103</v>
      </c>
      <c r="R942" s="3" t="s">
        <v>103</v>
      </c>
    </row>
    <row r="943" spans="1:18">
      <c r="A943" s="19">
        <v>46617</v>
      </c>
      <c r="B943" s="3" t="s">
        <v>11</v>
      </c>
      <c r="C943" s="3" t="s">
        <v>32</v>
      </c>
      <c r="D943" s="3" t="s">
        <v>23</v>
      </c>
      <c r="E943" s="3" t="s">
        <v>14</v>
      </c>
      <c r="F943" s="3" t="s">
        <v>41</v>
      </c>
      <c r="G943" s="3" t="s">
        <v>22</v>
      </c>
      <c r="H943">
        <v>220000</v>
      </c>
      <c r="I943">
        <v>6</v>
      </c>
      <c r="J943" s="3" t="s">
        <v>24</v>
      </c>
      <c r="K943">
        <v>176000</v>
      </c>
      <c r="L943">
        <v>1320000</v>
      </c>
      <c r="M943">
        <v>1056000</v>
      </c>
      <c r="N943">
        <v>264000</v>
      </c>
      <c r="O943" s="3" t="s">
        <v>1044</v>
      </c>
      <c r="P943" s="3" t="s">
        <v>102</v>
      </c>
      <c r="Q943" s="3" t="s">
        <v>103</v>
      </c>
      <c r="R943" s="3" t="s">
        <v>103</v>
      </c>
    </row>
    <row r="944" spans="1:18">
      <c r="A944" s="19">
        <v>46618</v>
      </c>
      <c r="B944" s="3" t="s">
        <v>18</v>
      </c>
      <c r="C944" s="3" t="s">
        <v>19</v>
      </c>
      <c r="D944" s="3" t="s">
        <v>13</v>
      </c>
      <c r="E944" s="3" t="s">
        <v>14</v>
      </c>
      <c r="F944" s="3" t="s">
        <v>30</v>
      </c>
      <c r="G944" s="3" t="s">
        <v>31</v>
      </c>
      <c r="H944">
        <v>300000</v>
      </c>
      <c r="I944">
        <v>3</v>
      </c>
      <c r="J944" s="3" t="s">
        <v>24</v>
      </c>
      <c r="K944">
        <v>240000</v>
      </c>
      <c r="L944">
        <v>900000</v>
      </c>
      <c r="M944">
        <v>720000</v>
      </c>
      <c r="N944">
        <v>180000</v>
      </c>
      <c r="O944" s="3" t="s">
        <v>1045</v>
      </c>
      <c r="P944" s="3" t="s">
        <v>102</v>
      </c>
      <c r="Q944" s="3" t="s">
        <v>103</v>
      </c>
      <c r="R944" s="3" t="s">
        <v>103</v>
      </c>
    </row>
    <row r="945" spans="1:18">
      <c r="A945" s="19">
        <v>46619</v>
      </c>
      <c r="B945" s="3" t="s">
        <v>25</v>
      </c>
      <c r="C945" s="3" t="s">
        <v>19</v>
      </c>
      <c r="D945" s="3" t="s">
        <v>23</v>
      </c>
      <c r="E945" s="3" t="s">
        <v>20</v>
      </c>
      <c r="F945" s="3" t="s">
        <v>34</v>
      </c>
      <c r="G945" s="3" t="s">
        <v>16</v>
      </c>
      <c r="H945">
        <v>320000</v>
      </c>
      <c r="I945">
        <v>1</v>
      </c>
      <c r="J945" s="3" t="s">
        <v>35</v>
      </c>
      <c r="K945">
        <v>256000</v>
      </c>
      <c r="L945">
        <v>320000</v>
      </c>
      <c r="M945">
        <v>256000</v>
      </c>
      <c r="N945">
        <v>64000</v>
      </c>
      <c r="O945" s="3" t="s">
        <v>1046</v>
      </c>
      <c r="P945" s="3" t="s">
        <v>102</v>
      </c>
      <c r="Q945" s="3" t="s">
        <v>103</v>
      </c>
      <c r="R945" s="3" t="s">
        <v>103</v>
      </c>
    </row>
    <row r="946" spans="1:18">
      <c r="A946" s="19">
        <v>46620</v>
      </c>
      <c r="B946" s="3" t="s">
        <v>25</v>
      </c>
      <c r="C946" s="3" t="s">
        <v>12</v>
      </c>
      <c r="D946" s="3" t="s">
        <v>23</v>
      </c>
      <c r="E946" s="3" t="s">
        <v>20</v>
      </c>
      <c r="F946" s="3" t="s">
        <v>36</v>
      </c>
      <c r="G946" s="3" t="s">
        <v>31</v>
      </c>
      <c r="H946">
        <v>150000</v>
      </c>
      <c r="I946">
        <v>6</v>
      </c>
      <c r="J946" s="3" t="s">
        <v>35</v>
      </c>
      <c r="K946">
        <v>120000</v>
      </c>
      <c r="L946">
        <v>900000</v>
      </c>
      <c r="M946">
        <v>720000</v>
      </c>
      <c r="N946">
        <v>180000</v>
      </c>
      <c r="O946" s="3" t="s">
        <v>1047</v>
      </c>
      <c r="P946" s="3" t="s">
        <v>102</v>
      </c>
      <c r="Q946" s="3" t="s">
        <v>103</v>
      </c>
      <c r="R946" s="3" t="s">
        <v>103</v>
      </c>
    </row>
    <row r="947" spans="1:18">
      <c r="A947" s="19">
        <v>46621</v>
      </c>
      <c r="B947" s="3" t="s">
        <v>18</v>
      </c>
      <c r="C947" s="3" t="s">
        <v>19</v>
      </c>
      <c r="D947" s="3" t="s">
        <v>23</v>
      </c>
      <c r="E947" s="3" t="s">
        <v>20</v>
      </c>
      <c r="F947" s="3" t="s">
        <v>41</v>
      </c>
      <c r="G947" s="3" t="s">
        <v>22</v>
      </c>
      <c r="H947">
        <v>220000</v>
      </c>
      <c r="I947">
        <v>7</v>
      </c>
      <c r="J947" s="3" t="s">
        <v>24</v>
      </c>
      <c r="K947">
        <v>176000</v>
      </c>
      <c r="L947">
        <v>1540000</v>
      </c>
      <c r="M947">
        <v>1232000</v>
      </c>
      <c r="N947">
        <v>308000</v>
      </c>
      <c r="O947" s="3" t="s">
        <v>1048</v>
      </c>
      <c r="P947" s="3" t="s">
        <v>102</v>
      </c>
      <c r="Q947" s="3" t="s">
        <v>103</v>
      </c>
      <c r="R947" s="3" t="s">
        <v>103</v>
      </c>
    </row>
    <row r="948" spans="1:18">
      <c r="A948" s="19">
        <v>46622</v>
      </c>
      <c r="B948" s="3" t="s">
        <v>11</v>
      </c>
      <c r="C948" s="3" t="s">
        <v>19</v>
      </c>
      <c r="D948" s="3" t="s">
        <v>13</v>
      </c>
      <c r="E948" s="3" t="s">
        <v>14</v>
      </c>
      <c r="F948" s="3" t="s">
        <v>41</v>
      </c>
      <c r="G948" s="3" t="s">
        <v>22</v>
      </c>
      <c r="H948">
        <v>220000</v>
      </c>
      <c r="I948">
        <v>1</v>
      </c>
      <c r="J948" s="3" t="s">
        <v>28</v>
      </c>
      <c r="K948">
        <v>176000</v>
      </c>
      <c r="L948">
        <v>220000</v>
      </c>
      <c r="M948">
        <v>176000</v>
      </c>
      <c r="N948">
        <v>44000</v>
      </c>
      <c r="O948" s="3" t="s">
        <v>1049</v>
      </c>
      <c r="P948" s="3" t="s">
        <v>102</v>
      </c>
      <c r="Q948" s="3" t="s">
        <v>103</v>
      </c>
      <c r="R948" s="3" t="s">
        <v>103</v>
      </c>
    </row>
    <row r="949" spans="1:18">
      <c r="A949" s="19">
        <v>46623</v>
      </c>
      <c r="B949" s="3" t="s">
        <v>18</v>
      </c>
      <c r="C949" s="3" t="s">
        <v>12</v>
      </c>
      <c r="D949" s="3" t="s">
        <v>13</v>
      </c>
      <c r="E949" s="3" t="s">
        <v>14</v>
      </c>
      <c r="F949" s="3" t="s">
        <v>15</v>
      </c>
      <c r="G949" s="3" t="s">
        <v>16</v>
      </c>
      <c r="H949">
        <v>85000</v>
      </c>
      <c r="I949">
        <v>4</v>
      </c>
      <c r="J949" s="3" t="s">
        <v>35</v>
      </c>
      <c r="K949">
        <v>68000</v>
      </c>
      <c r="L949">
        <v>340000</v>
      </c>
      <c r="M949">
        <v>272000</v>
      </c>
      <c r="N949">
        <v>68000</v>
      </c>
      <c r="O949" s="3" t="s">
        <v>1050</v>
      </c>
      <c r="P949" s="3" t="s">
        <v>102</v>
      </c>
      <c r="Q949" s="3" t="s">
        <v>103</v>
      </c>
      <c r="R949" s="3" t="s">
        <v>103</v>
      </c>
    </row>
    <row r="950" spans="1:18">
      <c r="A950" s="19">
        <v>46624</v>
      </c>
      <c r="B950" s="3" t="s">
        <v>11</v>
      </c>
      <c r="C950" s="3" t="s">
        <v>32</v>
      </c>
      <c r="D950" s="3" t="s">
        <v>23</v>
      </c>
      <c r="E950" s="3" t="s">
        <v>14</v>
      </c>
      <c r="F950" s="3" t="s">
        <v>40</v>
      </c>
      <c r="G950" s="3" t="s">
        <v>31</v>
      </c>
      <c r="H950">
        <v>250000</v>
      </c>
      <c r="I950">
        <v>10</v>
      </c>
      <c r="J950" s="3" t="s">
        <v>35</v>
      </c>
      <c r="K950">
        <v>200000</v>
      </c>
      <c r="L950">
        <v>2500000</v>
      </c>
      <c r="M950">
        <v>2000000</v>
      </c>
      <c r="N950">
        <v>500000</v>
      </c>
      <c r="O950" s="3" t="s">
        <v>1051</v>
      </c>
      <c r="P950" s="3" t="s">
        <v>102</v>
      </c>
      <c r="Q950" s="3" t="s">
        <v>103</v>
      </c>
      <c r="R950" s="3" t="s">
        <v>103</v>
      </c>
    </row>
    <row r="951" spans="1:18">
      <c r="A951" s="19">
        <v>46625</v>
      </c>
      <c r="B951" s="3" t="s">
        <v>29</v>
      </c>
      <c r="C951" s="3" t="s">
        <v>32</v>
      </c>
      <c r="D951" s="3" t="s">
        <v>13</v>
      </c>
      <c r="E951" s="3" t="s">
        <v>20</v>
      </c>
      <c r="F951" s="3" t="s">
        <v>34</v>
      </c>
      <c r="G951" s="3" t="s">
        <v>16</v>
      </c>
      <c r="H951">
        <v>320000</v>
      </c>
      <c r="I951">
        <v>1</v>
      </c>
      <c r="J951" s="3" t="s">
        <v>37</v>
      </c>
      <c r="K951">
        <v>256000</v>
      </c>
      <c r="L951">
        <v>320000</v>
      </c>
      <c r="M951">
        <v>256000</v>
      </c>
      <c r="N951">
        <v>64000</v>
      </c>
      <c r="O951" s="3" t="s">
        <v>1052</v>
      </c>
      <c r="P951" s="3" t="s">
        <v>102</v>
      </c>
      <c r="Q951" s="3" t="s">
        <v>103</v>
      </c>
      <c r="R951" s="3" t="s">
        <v>103</v>
      </c>
    </row>
    <row r="952" spans="1:18">
      <c r="A952" s="19">
        <v>46626</v>
      </c>
      <c r="B952" s="3" t="s">
        <v>11</v>
      </c>
      <c r="C952" s="3" t="s">
        <v>12</v>
      </c>
      <c r="D952" s="3" t="s">
        <v>23</v>
      </c>
      <c r="E952" s="3" t="s">
        <v>20</v>
      </c>
      <c r="F952" s="3" t="s">
        <v>27</v>
      </c>
      <c r="G952" s="3" t="s">
        <v>22</v>
      </c>
      <c r="H952">
        <v>60000</v>
      </c>
      <c r="I952">
        <v>8</v>
      </c>
      <c r="J952" s="3" t="s">
        <v>24</v>
      </c>
      <c r="K952">
        <v>48000</v>
      </c>
      <c r="L952">
        <v>480000</v>
      </c>
      <c r="M952">
        <v>384000</v>
      </c>
      <c r="N952">
        <v>96000</v>
      </c>
      <c r="O952" s="3" t="s">
        <v>1053</v>
      </c>
      <c r="P952" s="3" t="s">
        <v>102</v>
      </c>
      <c r="Q952" s="3" t="s">
        <v>103</v>
      </c>
      <c r="R952" s="3" t="s">
        <v>103</v>
      </c>
    </row>
    <row r="953" spans="1:18">
      <c r="A953" s="19">
        <v>46627</v>
      </c>
      <c r="B953" s="3" t="s">
        <v>29</v>
      </c>
      <c r="C953" s="3" t="s">
        <v>32</v>
      </c>
      <c r="D953" s="3" t="s">
        <v>13</v>
      </c>
      <c r="E953" s="3" t="s">
        <v>20</v>
      </c>
      <c r="F953" s="3" t="s">
        <v>38</v>
      </c>
      <c r="G953" s="3" t="s">
        <v>31</v>
      </c>
      <c r="H953">
        <v>420000</v>
      </c>
      <c r="I953">
        <v>2</v>
      </c>
      <c r="J953" s="3" t="s">
        <v>37</v>
      </c>
      <c r="K953">
        <v>336000</v>
      </c>
      <c r="L953">
        <v>840000</v>
      </c>
      <c r="M953">
        <v>672000</v>
      </c>
      <c r="N953">
        <v>168000</v>
      </c>
      <c r="O953" s="3" t="s">
        <v>1054</v>
      </c>
      <c r="P953" s="3" t="s">
        <v>102</v>
      </c>
      <c r="Q953" s="3" t="s">
        <v>103</v>
      </c>
      <c r="R953" s="3" t="s">
        <v>103</v>
      </c>
    </row>
    <row r="954" spans="1:18">
      <c r="A954" s="19">
        <v>46628</v>
      </c>
      <c r="B954" s="3" t="s">
        <v>29</v>
      </c>
      <c r="C954" s="3" t="s">
        <v>26</v>
      </c>
      <c r="D954" s="3" t="s">
        <v>23</v>
      </c>
      <c r="E954" s="3" t="s">
        <v>14</v>
      </c>
      <c r="F954" s="3" t="s">
        <v>40</v>
      </c>
      <c r="G954" s="3" t="s">
        <v>31</v>
      </c>
      <c r="H954">
        <v>250000</v>
      </c>
      <c r="I954">
        <v>2</v>
      </c>
      <c r="J954" s="3" t="s">
        <v>17</v>
      </c>
      <c r="K954">
        <v>200000</v>
      </c>
      <c r="L954">
        <v>500000</v>
      </c>
      <c r="M954">
        <v>400000</v>
      </c>
      <c r="N954">
        <v>100000</v>
      </c>
      <c r="O954" s="3" t="s">
        <v>1055</v>
      </c>
      <c r="P954" s="3" t="s">
        <v>102</v>
      </c>
      <c r="Q954" s="3" t="s">
        <v>103</v>
      </c>
      <c r="R954" s="3" t="s">
        <v>103</v>
      </c>
    </row>
    <row r="955" spans="1:18">
      <c r="A955" s="19">
        <v>46629</v>
      </c>
      <c r="B955" s="3" t="s">
        <v>11</v>
      </c>
      <c r="C955" s="3" t="s">
        <v>19</v>
      </c>
      <c r="D955" s="3" t="s">
        <v>13</v>
      </c>
      <c r="E955" s="3" t="s">
        <v>20</v>
      </c>
      <c r="F955" s="3" t="s">
        <v>41</v>
      </c>
      <c r="G955" s="3" t="s">
        <v>22</v>
      </c>
      <c r="H955">
        <v>220000</v>
      </c>
      <c r="I955">
        <v>6</v>
      </c>
      <c r="J955" s="3" t="s">
        <v>39</v>
      </c>
      <c r="K955">
        <v>176000</v>
      </c>
      <c r="L955">
        <v>1320000</v>
      </c>
      <c r="M955">
        <v>1056000</v>
      </c>
      <c r="N955">
        <v>264000</v>
      </c>
      <c r="O955" s="3" t="s">
        <v>1056</v>
      </c>
      <c r="P955" s="3" t="s">
        <v>102</v>
      </c>
      <c r="Q955" s="3" t="s">
        <v>103</v>
      </c>
      <c r="R955" s="3" t="s">
        <v>103</v>
      </c>
    </row>
    <row r="956" spans="1:18">
      <c r="A956" s="19">
        <v>46630</v>
      </c>
      <c r="B956" s="3" t="s">
        <v>29</v>
      </c>
      <c r="C956" s="3" t="s">
        <v>19</v>
      </c>
      <c r="D956" s="3" t="s">
        <v>23</v>
      </c>
      <c r="E956" s="3" t="s">
        <v>20</v>
      </c>
      <c r="F956" s="3" t="s">
        <v>27</v>
      </c>
      <c r="G956" s="3" t="s">
        <v>22</v>
      </c>
      <c r="H956">
        <v>60000</v>
      </c>
      <c r="I956">
        <v>1</v>
      </c>
      <c r="J956" s="3" t="s">
        <v>35</v>
      </c>
      <c r="K956">
        <v>48000</v>
      </c>
      <c r="L956">
        <v>60000</v>
      </c>
      <c r="M956">
        <v>48000</v>
      </c>
      <c r="N956">
        <v>12000</v>
      </c>
      <c r="O956" s="3" t="s">
        <v>1057</v>
      </c>
      <c r="P956" s="3" t="s">
        <v>102</v>
      </c>
      <c r="Q956" s="3" t="s">
        <v>103</v>
      </c>
      <c r="R956" s="3" t="s">
        <v>103</v>
      </c>
    </row>
    <row r="957" spans="1:18">
      <c r="A957" s="19">
        <v>46631</v>
      </c>
      <c r="B957" s="3" t="s">
        <v>11</v>
      </c>
      <c r="C957" s="3" t="s">
        <v>12</v>
      </c>
      <c r="D957" s="3" t="s">
        <v>13</v>
      </c>
      <c r="E957" s="3" t="s">
        <v>20</v>
      </c>
      <c r="F957" s="3" t="s">
        <v>15</v>
      </c>
      <c r="G957" s="3" t="s">
        <v>16</v>
      </c>
      <c r="H957">
        <v>85000</v>
      </c>
      <c r="I957">
        <v>9</v>
      </c>
      <c r="J957" s="3" t="s">
        <v>39</v>
      </c>
      <c r="K957">
        <v>68000</v>
      </c>
      <c r="L957">
        <v>765000</v>
      </c>
      <c r="M957">
        <v>612000</v>
      </c>
      <c r="N957">
        <v>153000</v>
      </c>
      <c r="O957" s="3" t="s">
        <v>1058</v>
      </c>
      <c r="P957" s="3" t="s">
        <v>102</v>
      </c>
      <c r="Q957" s="3" t="s">
        <v>103</v>
      </c>
      <c r="R957" s="3" t="s">
        <v>103</v>
      </c>
    </row>
    <row r="958" spans="1:18">
      <c r="A958" s="19">
        <v>46632</v>
      </c>
      <c r="B958" s="3" t="s">
        <v>25</v>
      </c>
      <c r="C958" s="3" t="s">
        <v>19</v>
      </c>
      <c r="D958" s="3" t="s">
        <v>13</v>
      </c>
      <c r="E958" s="3" t="s">
        <v>20</v>
      </c>
      <c r="F958" s="3" t="s">
        <v>27</v>
      </c>
      <c r="G958" s="3" t="s">
        <v>22</v>
      </c>
      <c r="H958">
        <v>60000</v>
      </c>
      <c r="I958">
        <v>9</v>
      </c>
      <c r="J958" s="3" t="s">
        <v>37</v>
      </c>
      <c r="K958">
        <v>48000</v>
      </c>
      <c r="L958">
        <v>540000</v>
      </c>
      <c r="M958">
        <v>432000</v>
      </c>
      <c r="N958">
        <v>108000</v>
      </c>
      <c r="O958" s="3" t="s">
        <v>1059</v>
      </c>
      <c r="P958" s="3" t="s">
        <v>102</v>
      </c>
      <c r="Q958" s="3" t="s">
        <v>103</v>
      </c>
      <c r="R958" s="3" t="s">
        <v>103</v>
      </c>
    </row>
    <row r="959" spans="1:18">
      <c r="A959" s="19">
        <v>46633</v>
      </c>
      <c r="B959" s="3" t="s">
        <v>18</v>
      </c>
      <c r="C959" s="3" t="s">
        <v>26</v>
      </c>
      <c r="D959" s="3" t="s">
        <v>23</v>
      </c>
      <c r="E959" s="3" t="s">
        <v>20</v>
      </c>
      <c r="F959" s="3" t="s">
        <v>15</v>
      </c>
      <c r="G959" s="3" t="s">
        <v>16</v>
      </c>
      <c r="H959">
        <v>85000</v>
      </c>
      <c r="I959">
        <v>7</v>
      </c>
      <c r="J959" s="3" t="s">
        <v>24</v>
      </c>
      <c r="K959">
        <v>68000</v>
      </c>
      <c r="L959">
        <v>595000</v>
      </c>
      <c r="M959">
        <v>476000</v>
      </c>
      <c r="N959">
        <v>119000</v>
      </c>
      <c r="O959" s="3" t="s">
        <v>1060</v>
      </c>
      <c r="P959" s="3" t="s">
        <v>102</v>
      </c>
      <c r="Q959" s="3" t="s">
        <v>103</v>
      </c>
      <c r="R959" s="3" t="s">
        <v>103</v>
      </c>
    </row>
    <row r="960" spans="1:18">
      <c r="A960" s="19">
        <v>46634</v>
      </c>
      <c r="B960" s="3" t="s">
        <v>25</v>
      </c>
      <c r="C960" s="3" t="s">
        <v>32</v>
      </c>
      <c r="D960" s="3" t="s">
        <v>13</v>
      </c>
      <c r="E960" s="3" t="s">
        <v>14</v>
      </c>
      <c r="F960" s="3" t="s">
        <v>34</v>
      </c>
      <c r="G960" s="3" t="s">
        <v>16</v>
      </c>
      <c r="H960">
        <v>320000</v>
      </c>
      <c r="I960">
        <v>4</v>
      </c>
      <c r="J960" s="3" t="s">
        <v>28</v>
      </c>
      <c r="K960">
        <v>256000</v>
      </c>
      <c r="L960">
        <v>1280000</v>
      </c>
      <c r="M960">
        <v>1024000</v>
      </c>
      <c r="N960">
        <v>256000</v>
      </c>
      <c r="O960" s="3" t="s">
        <v>1061</v>
      </c>
      <c r="P960" s="3" t="s">
        <v>102</v>
      </c>
      <c r="Q960" s="3" t="s">
        <v>103</v>
      </c>
      <c r="R960" s="3" t="s">
        <v>103</v>
      </c>
    </row>
    <row r="961" spans="1:18">
      <c r="A961" s="19">
        <v>46635</v>
      </c>
      <c r="B961" s="3" t="s">
        <v>25</v>
      </c>
      <c r="C961" s="3" t="s">
        <v>32</v>
      </c>
      <c r="D961" s="3" t="s">
        <v>23</v>
      </c>
      <c r="E961" s="3" t="s">
        <v>14</v>
      </c>
      <c r="F961" s="3" t="s">
        <v>40</v>
      </c>
      <c r="G961" s="3" t="s">
        <v>31</v>
      </c>
      <c r="H961">
        <v>250000</v>
      </c>
      <c r="I961">
        <v>4</v>
      </c>
      <c r="J961" s="3" t="s">
        <v>35</v>
      </c>
      <c r="K961">
        <v>200000</v>
      </c>
      <c r="L961">
        <v>1000000</v>
      </c>
      <c r="M961">
        <v>800000</v>
      </c>
      <c r="N961">
        <v>200000</v>
      </c>
      <c r="O961" s="3" t="s">
        <v>1062</v>
      </c>
      <c r="P961" s="3" t="s">
        <v>102</v>
      </c>
      <c r="Q961" s="3" t="s">
        <v>103</v>
      </c>
      <c r="R961" s="3" t="s">
        <v>103</v>
      </c>
    </row>
    <row r="962" spans="1:18">
      <c r="A962" s="19">
        <v>46636</v>
      </c>
      <c r="B962" s="3" t="s">
        <v>18</v>
      </c>
      <c r="C962" s="3" t="s">
        <v>26</v>
      </c>
      <c r="D962" s="3" t="s">
        <v>23</v>
      </c>
      <c r="E962" s="3" t="s">
        <v>14</v>
      </c>
      <c r="F962" s="3" t="s">
        <v>27</v>
      </c>
      <c r="G962" s="3" t="s">
        <v>22</v>
      </c>
      <c r="H962">
        <v>60000</v>
      </c>
      <c r="I962">
        <v>8</v>
      </c>
      <c r="J962" s="3" t="s">
        <v>24</v>
      </c>
      <c r="K962">
        <v>48000</v>
      </c>
      <c r="L962">
        <v>480000</v>
      </c>
      <c r="M962">
        <v>384000</v>
      </c>
      <c r="N962">
        <v>96000</v>
      </c>
      <c r="O962" s="3" t="s">
        <v>1063</v>
      </c>
      <c r="P962" s="3" t="s">
        <v>102</v>
      </c>
      <c r="Q962" s="3" t="s">
        <v>103</v>
      </c>
      <c r="R962" s="3" t="s">
        <v>103</v>
      </c>
    </row>
    <row r="963" spans="1:18">
      <c r="A963" s="19">
        <v>46637</v>
      </c>
      <c r="B963" s="3" t="s">
        <v>11</v>
      </c>
      <c r="C963" s="3" t="s">
        <v>26</v>
      </c>
      <c r="D963" s="3" t="s">
        <v>23</v>
      </c>
      <c r="E963" s="3" t="s">
        <v>14</v>
      </c>
      <c r="F963" s="3" t="s">
        <v>38</v>
      </c>
      <c r="G963" s="3" t="s">
        <v>31</v>
      </c>
      <c r="H963">
        <v>420000</v>
      </c>
      <c r="I963">
        <v>2</v>
      </c>
      <c r="J963" s="3" t="s">
        <v>39</v>
      </c>
      <c r="K963">
        <v>336000</v>
      </c>
      <c r="L963">
        <v>840000</v>
      </c>
      <c r="M963">
        <v>672000</v>
      </c>
      <c r="N963">
        <v>168000</v>
      </c>
      <c r="O963" s="3" t="s">
        <v>1064</v>
      </c>
      <c r="P963" s="3" t="s">
        <v>102</v>
      </c>
      <c r="Q963" s="3" t="s">
        <v>103</v>
      </c>
      <c r="R963" s="3" t="s">
        <v>103</v>
      </c>
    </row>
    <row r="964" spans="1:18">
      <c r="A964" s="19">
        <v>46638</v>
      </c>
      <c r="B964" s="3" t="s">
        <v>18</v>
      </c>
      <c r="C964" s="3" t="s">
        <v>32</v>
      </c>
      <c r="D964" s="3" t="s">
        <v>23</v>
      </c>
      <c r="E964" s="3" t="s">
        <v>20</v>
      </c>
      <c r="F964" s="3" t="s">
        <v>36</v>
      </c>
      <c r="G964" s="3" t="s">
        <v>31</v>
      </c>
      <c r="H964">
        <v>150000</v>
      </c>
      <c r="I964">
        <v>1</v>
      </c>
      <c r="J964" s="3" t="s">
        <v>35</v>
      </c>
      <c r="K964">
        <v>120000</v>
      </c>
      <c r="L964">
        <v>150000</v>
      </c>
      <c r="M964">
        <v>120000</v>
      </c>
      <c r="N964">
        <v>30000</v>
      </c>
      <c r="O964" s="3" t="s">
        <v>1065</v>
      </c>
      <c r="P964" s="3" t="s">
        <v>102</v>
      </c>
      <c r="Q964" s="3" t="s">
        <v>103</v>
      </c>
      <c r="R964" s="3" t="s">
        <v>103</v>
      </c>
    </row>
    <row r="965" spans="1:18">
      <c r="A965" s="19">
        <v>46639</v>
      </c>
      <c r="B965" s="3" t="s">
        <v>25</v>
      </c>
      <c r="C965" s="3" t="s">
        <v>19</v>
      </c>
      <c r="D965" s="3" t="s">
        <v>13</v>
      </c>
      <c r="E965" s="3" t="s">
        <v>14</v>
      </c>
      <c r="F965" s="3" t="s">
        <v>40</v>
      </c>
      <c r="G965" s="3" t="s">
        <v>31</v>
      </c>
      <c r="H965">
        <v>250000</v>
      </c>
      <c r="I965">
        <v>8</v>
      </c>
      <c r="J965" s="3" t="s">
        <v>37</v>
      </c>
      <c r="K965">
        <v>200000</v>
      </c>
      <c r="L965">
        <v>2000000</v>
      </c>
      <c r="M965">
        <v>1600000</v>
      </c>
      <c r="N965">
        <v>400000</v>
      </c>
      <c r="O965" s="3" t="s">
        <v>1066</v>
      </c>
      <c r="P965" s="3" t="s">
        <v>102</v>
      </c>
      <c r="Q965" s="3" t="s">
        <v>103</v>
      </c>
      <c r="R965" s="3" t="s">
        <v>103</v>
      </c>
    </row>
    <row r="966" spans="1:18">
      <c r="A966" s="19">
        <v>46640</v>
      </c>
      <c r="B966" s="3" t="s">
        <v>11</v>
      </c>
      <c r="C966" s="3" t="s">
        <v>32</v>
      </c>
      <c r="D966" s="3" t="s">
        <v>13</v>
      </c>
      <c r="E966" s="3" t="s">
        <v>14</v>
      </c>
      <c r="F966" s="3" t="s">
        <v>30</v>
      </c>
      <c r="G966" s="3" t="s">
        <v>31</v>
      </c>
      <c r="H966">
        <v>300000</v>
      </c>
      <c r="I966">
        <v>10</v>
      </c>
      <c r="J966" s="3" t="s">
        <v>39</v>
      </c>
      <c r="K966">
        <v>240000</v>
      </c>
      <c r="L966">
        <v>3000000</v>
      </c>
      <c r="M966">
        <v>2400000</v>
      </c>
      <c r="N966">
        <v>600000</v>
      </c>
      <c r="O966" s="3" t="s">
        <v>1067</v>
      </c>
      <c r="P966" s="3" t="s">
        <v>102</v>
      </c>
      <c r="Q966" s="3" t="s">
        <v>103</v>
      </c>
      <c r="R966" s="3" t="s">
        <v>103</v>
      </c>
    </row>
    <row r="967" spans="1:18">
      <c r="A967" s="19">
        <v>46641</v>
      </c>
      <c r="B967" s="3" t="s">
        <v>18</v>
      </c>
      <c r="C967" s="3" t="s">
        <v>19</v>
      </c>
      <c r="D967" s="3" t="s">
        <v>23</v>
      </c>
      <c r="E967" s="3" t="s">
        <v>20</v>
      </c>
      <c r="F967" s="3" t="s">
        <v>27</v>
      </c>
      <c r="G967" s="3" t="s">
        <v>22</v>
      </c>
      <c r="H967">
        <v>60000</v>
      </c>
      <c r="I967">
        <v>3</v>
      </c>
      <c r="J967" s="3" t="s">
        <v>24</v>
      </c>
      <c r="K967">
        <v>48000</v>
      </c>
      <c r="L967">
        <v>180000</v>
      </c>
      <c r="M967">
        <v>144000</v>
      </c>
      <c r="N967">
        <v>36000</v>
      </c>
      <c r="O967" s="3" t="s">
        <v>1068</v>
      </c>
      <c r="P967" s="3" t="s">
        <v>102</v>
      </c>
      <c r="Q967" s="3" t="s">
        <v>103</v>
      </c>
      <c r="R967" s="3" t="s">
        <v>103</v>
      </c>
    </row>
    <row r="968" spans="1:18">
      <c r="A968" s="19">
        <v>46642</v>
      </c>
      <c r="B968" s="3" t="s">
        <v>11</v>
      </c>
      <c r="C968" s="3" t="s">
        <v>32</v>
      </c>
      <c r="D968" s="3" t="s">
        <v>23</v>
      </c>
      <c r="E968" s="3" t="s">
        <v>14</v>
      </c>
      <c r="F968" s="3" t="s">
        <v>15</v>
      </c>
      <c r="G968" s="3" t="s">
        <v>16</v>
      </c>
      <c r="H968">
        <v>85000</v>
      </c>
      <c r="I968">
        <v>1</v>
      </c>
      <c r="J968" s="3" t="s">
        <v>24</v>
      </c>
      <c r="K968">
        <v>68000</v>
      </c>
      <c r="L968">
        <v>85000</v>
      </c>
      <c r="M968">
        <v>68000</v>
      </c>
      <c r="N968">
        <v>17000</v>
      </c>
      <c r="O968" s="3" t="s">
        <v>1069</v>
      </c>
      <c r="P968" s="3" t="s">
        <v>102</v>
      </c>
      <c r="Q968" s="3" t="s">
        <v>103</v>
      </c>
      <c r="R968" s="3" t="s">
        <v>103</v>
      </c>
    </row>
    <row r="969" spans="1:18">
      <c r="A969" s="19">
        <v>46643</v>
      </c>
      <c r="B969" s="3" t="s">
        <v>18</v>
      </c>
      <c r="C969" s="3" t="s">
        <v>19</v>
      </c>
      <c r="D969" s="3" t="s">
        <v>23</v>
      </c>
      <c r="E969" s="3" t="s">
        <v>14</v>
      </c>
      <c r="F969" s="3" t="s">
        <v>33</v>
      </c>
      <c r="G969" s="3" t="s">
        <v>22</v>
      </c>
      <c r="H969">
        <v>180000</v>
      </c>
      <c r="I969">
        <v>7</v>
      </c>
      <c r="J969" s="3" t="s">
        <v>17</v>
      </c>
      <c r="K969">
        <v>144000</v>
      </c>
      <c r="L969">
        <v>1260000</v>
      </c>
      <c r="M969">
        <v>1008000</v>
      </c>
      <c r="N969">
        <v>252000</v>
      </c>
      <c r="O969" s="3" t="s">
        <v>1070</v>
      </c>
      <c r="P969" s="3" t="s">
        <v>102</v>
      </c>
      <c r="Q969" s="3" t="s">
        <v>103</v>
      </c>
      <c r="R969" s="3" t="s">
        <v>103</v>
      </c>
    </row>
    <row r="970" spans="1:18">
      <c r="A970" s="19">
        <v>46644</v>
      </c>
      <c r="B970" s="3" t="s">
        <v>18</v>
      </c>
      <c r="C970" s="3" t="s">
        <v>26</v>
      </c>
      <c r="D970" s="3" t="s">
        <v>23</v>
      </c>
      <c r="E970" s="3" t="s">
        <v>14</v>
      </c>
      <c r="F970" s="3" t="s">
        <v>40</v>
      </c>
      <c r="G970" s="3" t="s">
        <v>31</v>
      </c>
      <c r="H970">
        <v>250000</v>
      </c>
      <c r="I970">
        <v>6</v>
      </c>
      <c r="J970" s="3" t="s">
        <v>28</v>
      </c>
      <c r="K970">
        <v>200000</v>
      </c>
      <c r="L970">
        <v>1500000</v>
      </c>
      <c r="M970">
        <v>1200000</v>
      </c>
      <c r="N970">
        <v>300000</v>
      </c>
      <c r="O970" s="3" t="s">
        <v>1071</v>
      </c>
      <c r="P970" s="3" t="s">
        <v>102</v>
      </c>
      <c r="Q970" s="3" t="s">
        <v>103</v>
      </c>
      <c r="R970" s="3" t="s">
        <v>103</v>
      </c>
    </row>
    <row r="971" spans="1:18">
      <c r="A971" s="19">
        <v>46645</v>
      </c>
      <c r="B971" s="3" t="s">
        <v>11</v>
      </c>
      <c r="C971" s="3" t="s">
        <v>12</v>
      </c>
      <c r="D971" s="3" t="s">
        <v>23</v>
      </c>
      <c r="E971" s="3" t="s">
        <v>14</v>
      </c>
      <c r="F971" s="3" t="s">
        <v>38</v>
      </c>
      <c r="G971" s="3" t="s">
        <v>31</v>
      </c>
      <c r="H971">
        <v>420000</v>
      </c>
      <c r="I971">
        <v>3</v>
      </c>
      <c r="J971" s="3" t="s">
        <v>17</v>
      </c>
      <c r="K971">
        <v>336000</v>
      </c>
      <c r="L971">
        <v>1260000</v>
      </c>
      <c r="M971">
        <v>1008000</v>
      </c>
      <c r="N971">
        <v>252000</v>
      </c>
      <c r="O971" s="3" t="s">
        <v>1072</v>
      </c>
      <c r="P971" s="3" t="s">
        <v>102</v>
      </c>
      <c r="Q971" s="3" t="s">
        <v>103</v>
      </c>
      <c r="R971" s="3" t="s">
        <v>103</v>
      </c>
    </row>
    <row r="972" spans="1:18">
      <c r="A972" s="19">
        <v>46646</v>
      </c>
      <c r="B972" s="3" t="s">
        <v>11</v>
      </c>
      <c r="C972" s="3" t="s">
        <v>12</v>
      </c>
      <c r="D972" s="3" t="s">
        <v>13</v>
      </c>
      <c r="E972" s="3" t="s">
        <v>14</v>
      </c>
      <c r="F972" s="3" t="s">
        <v>21</v>
      </c>
      <c r="G972" s="3" t="s">
        <v>22</v>
      </c>
      <c r="H972">
        <v>30000</v>
      </c>
      <c r="I972">
        <v>1</v>
      </c>
      <c r="J972" s="3" t="s">
        <v>28</v>
      </c>
      <c r="K972">
        <v>24000</v>
      </c>
      <c r="L972">
        <v>30000</v>
      </c>
      <c r="M972">
        <v>24000</v>
      </c>
      <c r="N972">
        <v>6000</v>
      </c>
      <c r="O972" s="3" t="s">
        <v>1073</v>
      </c>
      <c r="P972" s="3" t="s">
        <v>102</v>
      </c>
      <c r="Q972" s="3" t="s">
        <v>103</v>
      </c>
      <c r="R972" s="3" t="s">
        <v>103</v>
      </c>
    </row>
    <row r="973" spans="1:18">
      <c r="A973" s="19">
        <v>46647</v>
      </c>
      <c r="B973" s="3" t="s">
        <v>29</v>
      </c>
      <c r="C973" s="3" t="s">
        <v>12</v>
      </c>
      <c r="D973" s="3" t="s">
        <v>23</v>
      </c>
      <c r="E973" s="3" t="s">
        <v>20</v>
      </c>
      <c r="F973" s="3" t="s">
        <v>40</v>
      </c>
      <c r="G973" s="3" t="s">
        <v>31</v>
      </c>
      <c r="H973">
        <v>250000</v>
      </c>
      <c r="I973">
        <v>3</v>
      </c>
      <c r="J973" s="3" t="s">
        <v>17</v>
      </c>
      <c r="K973">
        <v>200000</v>
      </c>
      <c r="L973">
        <v>750000</v>
      </c>
      <c r="M973">
        <v>600000</v>
      </c>
      <c r="N973">
        <v>150000</v>
      </c>
      <c r="O973" s="3" t="s">
        <v>1074</v>
      </c>
      <c r="P973" s="3" t="s">
        <v>102</v>
      </c>
      <c r="Q973" s="3" t="s">
        <v>103</v>
      </c>
      <c r="R973" s="3" t="s">
        <v>103</v>
      </c>
    </row>
    <row r="974" spans="1:18">
      <c r="A974" s="19">
        <v>46648</v>
      </c>
      <c r="B974" s="3" t="s">
        <v>18</v>
      </c>
      <c r="C974" s="3" t="s">
        <v>26</v>
      </c>
      <c r="D974" s="3" t="s">
        <v>13</v>
      </c>
      <c r="E974" s="3" t="s">
        <v>14</v>
      </c>
      <c r="F974" s="3" t="s">
        <v>34</v>
      </c>
      <c r="G974" s="3" t="s">
        <v>16</v>
      </c>
      <c r="H974">
        <v>320000</v>
      </c>
      <c r="I974">
        <v>10</v>
      </c>
      <c r="J974" s="3" t="s">
        <v>17</v>
      </c>
      <c r="K974">
        <v>256000</v>
      </c>
      <c r="L974">
        <v>3200000</v>
      </c>
      <c r="M974">
        <v>2560000</v>
      </c>
      <c r="N974">
        <v>640000</v>
      </c>
      <c r="O974" s="3" t="s">
        <v>1075</v>
      </c>
      <c r="P974" s="3" t="s">
        <v>102</v>
      </c>
      <c r="Q974" s="3" t="s">
        <v>103</v>
      </c>
      <c r="R974" s="3" t="s">
        <v>103</v>
      </c>
    </row>
    <row r="975" spans="1:18">
      <c r="A975" s="19">
        <v>46649</v>
      </c>
      <c r="B975" s="3" t="s">
        <v>11</v>
      </c>
      <c r="C975" s="3" t="s">
        <v>12</v>
      </c>
      <c r="D975" s="3" t="s">
        <v>13</v>
      </c>
      <c r="E975" s="3" t="s">
        <v>20</v>
      </c>
      <c r="F975" s="3" t="s">
        <v>40</v>
      </c>
      <c r="G975" s="3" t="s">
        <v>31</v>
      </c>
      <c r="H975">
        <v>250000</v>
      </c>
      <c r="I975">
        <v>7</v>
      </c>
      <c r="J975" s="3" t="s">
        <v>24</v>
      </c>
      <c r="K975">
        <v>200000</v>
      </c>
      <c r="L975">
        <v>1750000</v>
      </c>
      <c r="M975">
        <v>1400000</v>
      </c>
      <c r="N975">
        <v>350000</v>
      </c>
      <c r="O975" s="3" t="s">
        <v>1076</v>
      </c>
      <c r="P975" s="3" t="s">
        <v>102</v>
      </c>
      <c r="Q975" s="3" t="s">
        <v>103</v>
      </c>
      <c r="R975" s="3" t="s">
        <v>103</v>
      </c>
    </row>
    <row r="976" spans="1:18">
      <c r="A976" s="19">
        <v>46650</v>
      </c>
      <c r="B976" s="3" t="s">
        <v>29</v>
      </c>
      <c r="C976" s="3" t="s">
        <v>19</v>
      </c>
      <c r="D976" s="3" t="s">
        <v>23</v>
      </c>
      <c r="E976" s="3" t="s">
        <v>14</v>
      </c>
      <c r="F976" s="3" t="s">
        <v>34</v>
      </c>
      <c r="G976" s="3" t="s">
        <v>16</v>
      </c>
      <c r="H976">
        <v>320000</v>
      </c>
      <c r="I976">
        <v>2</v>
      </c>
      <c r="J976" s="3" t="s">
        <v>28</v>
      </c>
      <c r="K976">
        <v>256000</v>
      </c>
      <c r="L976">
        <v>640000</v>
      </c>
      <c r="M976">
        <v>512000</v>
      </c>
      <c r="N976">
        <v>128000</v>
      </c>
      <c r="O976" s="3" t="s">
        <v>1077</v>
      </c>
      <c r="P976" s="3" t="s">
        <v>102</v>
      </c>
      <c r="Q976" s="3" t="s">
        <v>103</v>
      </c>
      <c r="R976" s="3" t="s">
        <v>103</v>
      </c>
    </row>
    <row r="977" spans="1:18">
      <c r="A977" s="19">
        <v>46651</v>
      </c>
      <c r="B977" s="3" t="s">
        <v>29</v>
      </c>
      <c r="C977" s="3" t="s">
        <v>12</v>
      </c>
      <c r="D977" s="3" t="s">
        <v>23</v>
      </c>
      <c r="E977" s="3" t="s">
        <v>20</v>
      </c>
      <c r="F977" s="3" t="s">
        <v>41</v>
      </c>
      <c r="G977" s="3" t="s">
        <v>22</v>
      </c>
      <c r="H977">
        <v>220000</v>
      </c>
      <c r="I977">
        <v>5</v>
      </c>
      <c r="J977" s="3" t="s">
        <v>35</v>
      </c>
      <c r="K977">
        <v>176000</v>
      </c>
      <c r="L977">
        <v>1100000</v>
      </c>
      <c r="M977">
        <v>880000</v>
      </c>
      <c r="N977">
        <v>220000</v>
      </c>
      <c r="O977" s="3" t="s">
        <v>1078</v>
      </c>
      <c r="P977" s="3" t="s">
        <v>102</v>
      </c>
      <c r="Q977" s="3" t="s">
        <v>103</v>
      </c>
      <c r="R977" s="3" t="s">
        <v>103</v>
      </c>
    </row>
    <row r="978" spans="1:18">
      <c r="A978" s="19">
        <v>46652</v>
      </c>
      <c r="B978" s="3" t="s">
        <v>29</v>
      </c>
      <c r="C978" s="3" t="s">
        <v>32</v>
      </c>
      <c r="D978" s="3" t="s">
        <v>23</v>
      </c>
      <c r="E978" s="3" t="s">
        <v>20</v>
      </c>
      <c r="F978" s="3" t="s">
        <v>38</v>
      </c>
      <c r="G978" s="3" t="s">
        <v>31</v>
      </c>
      <c r="H978">
        <v>420000</v>
      </c>
      <c r="I978">
        <v>3</v>
      </c>
      <c r="J978" s="3" t="s">
        <v>35</v>
      </c>
      <c r="K978">
        <v>336000</v>
      </c>
      <c r="L978">
        <v>1260000</v>
      </c>
      <c r="M978">
        <v>1008000</v>
      </c>
      <c r="N978">
        <v>252000</v>
      </c>
      <c r="O978" s="3" t="s">
        <v>1079</v>
      </c>
      <c r="P978" s="3" t="s">
        <v>102</v>
      </c>
      <c r="Q978" s="3" t="s">
        <v>103</v>
      </c>
      <c r="R978" s="3" t="s">
        <v>103</v>
      </c>
    </row>
    <row r="979" spans="1:18">
      <c r="A979" s="19">
        <v>46653</v>
      </c>
      <c r="B979" s="3" t="s">
        <v>29</v>
      </c>
      <c r="C979" s="3" t="s">
        <v>19</v>
      </c>
      <c r="D979" s="3" t="s">
        <v>23</v>
      </c>
      <c r="E979" s="3" t="s">
        <v>14</v>
      </c>
      <c r="F979" s="3" t="s">
        <v>41</v>
      </c>
      <c r="G979" s="3" t="s">
        <v>22</v>
      </c>
      <c r="H979">
        <v>220000</v>
      </c>
      <c r="I979">
        <v>3</v>
      </c>
      <c r="J979" s="3" t="s">
        <v>28</v>
      </c>
      <c r="K979">
        <v>176000</v>
      </c>
      <c r="L979">
        <v>660000</v>
      </c>
      <c r="M979">
        <v>528000</v>
      </c>
      <c r="N979">
        <v>132000</v>
      </c>
      <c r="O979" s="3" t="s">
        <v>1080</v>
      </c>
      <c r="P979" s="3" t="s">
        <v>102</v>
      </c>
      <c r="Q979" s="3" t="s">
        <v>103</v>
      </c>
      <c r="R979" s="3" t="s">
        <v>103</v>
      </c>
    </row>
    <row r="980" spans="1:18">
      <c r="A980" s="19">
        <v>46654</v>
      </c>
      <c r="B980" s="3" t="s">
        <v>25</v>
      </c>
      <c r="C980" s="3" t="s">
        <v>12</v>
      </c>
      <c r="D980" s="3" t="s">
        <v>23</v>
      </c>
      <c r="E980" s="3" t="s">
        <v>14</v>
      </c>
      <c r="F980" s="3" t="s">
        <v>34</v>
      </c>
      <c r="G980" s="3" t="s">
        <v>16</v>
      </c>
      <c r="H980">
        <v>320000</v>
      </c>
      <c r="I980">
        <v>5</v>
      </c>
      <c r="J980" s="3" t="s">
        <v>24</v>
      </c>
      <c r="K980">
        <v>256000</v>
      </c>
      <c r="L980">
        <v>1600000</v>
      </c>
      <c r="M980">
        <v>1280000</v>
      </c>
      <c r="N980">
        <v>320000</v>
      </c>
      <c r="O980" s="3" t="s">
        <v>1081</v>
      </c>
      <c r="P980" s="3" t="s">
        <v>102</v>
      </c>
      <c r="Q980" s="3" t="s">
        <v>103</v>
      </c>
      <c r="R980" s="3" t="s">
        <v>103</v>
      </c>
    </row>
    <row r="981" spans="1:18">
      <c r="A981" s="19">
        <v>46655</v>
      </c>
      <c r="B981" s="3" t="s">
        <v>18</v>
      </c>
      <c r="C981" s="3" t="s">
        <v>26</v>
      </c>
      <c r="D981" s="3" t="s">
        <v>13</v>
      </c>
      <c r="E981" s="3" t="s">
        <v>20</v>
      </c>
      <c r="F981" s="3" t="s">
        <v>15</v>
      </c>
      <c r="G981" s="3" t="s">
        <v>16</v>
      </c>
      <c r="H981">
        <v>85000</v>
      </c>
      <c r="I981">
        <v>8</v>
      </c>
      <c r="J981" s="3" t="s">
        <v>17</v>
      </c>
      <c r="K981">
        <v>68000</v>
      </c>
      <c r="L981">
        <v>680000</v>
      </c>
      <c r="M981">
        <v>544000</v>
      </c>
      <c r="N981">
        <v>136000</v>
      </c>
      <c r="O981" s="3" t="s">
        <v>1082</v>
      </c>
      <c r="P981" s="3" t="s">
        <v>102</v>
      </c>
      <c r="Q981" s="3" t="s">
        <v>103</v>
      </c>
      <c r="R981" s="3" t="s">
        <v>103</v>
      </c>
    </row>
    <row r="982" spans="1:18">
      <c r="A982" s="19">
        <v>46656</v>
      </c>
      <c r="B982" s="3" t="s">
        <v>18</v>
      </c>
      <c r="C982" s="3" t="s">
        <v>32</v>
      </c>
      <c r="D982" s="3" t="s">
        <v>23</v>
      </c>
      <c r="E982" s="3" t="s">
        <v>20</v>
      </c>
      <c r="F982" s="3" t="s">
        <v>36</v>
      </c>
      <c r="G982" s="3" t="s">
        <v>31</v>
      </c>
      <c r="H982">
        <v>150000</v>
      </c>
      <c r="I982">
        <v>9</v>
      </c>
      <c r="J982" s="3" t="s">
        <v>39</v>
      </c>
      <c r="K982">
        <v>120000</v>
      </c>
      <c r="L982">
        <v>1350000</v>
      </c>
      <c r="M982">
        <v>1080000</v>
      </c>
      <c r="N982">
        <v>270000</v>
      </c>
      <c r="O982" s="3" t="s">
        <v>1083</v>
      </c>
      <c r="P982" s="3" t="s">
        <v>102</v>
      </c>
      <c r="Q982" s="3" t="s">
        <v>103</v>
      </c>
      <c r="R982" s="3" t="s">
        <v>103</v>
      </c>
    </row>
    <row r="983" spans="1:18">
      <c r="A983" s="19">
        <v>46657</v>
      </c>
      <c r="B983" s="3" t="s">
        <v>11</v>
      </c>
      <c r="C983" s="3" t="s">
        <v>12</v>
      </c>
      <c r="D983" s="3" t="s">
        <v>23</v>
      </c>
      <c r="E983" s="3" t="s">
        <v>14</v>
      </c>
      <c r="F983" s="3" t="s">
        <v>40</v>
      </c>
      <c r="G983" s="3" t="s">
        <v>31</v>
      </c>
      <c r="H983">
        <v>250000</v>
      </c>
      <c r="I983">
        <v>4</v>
      </c>
      <c r="J983" s="3" t="s">
        <v>35</v>
      </c>
      <c r="K983">
        <v>200000</v>
      </c>
      <c r="L983">
        <v>1000000</v>
      </c>
      <c r="M983">
        <v>800000</v>
      </c>
      <c r="N983">
        <v>200000</v>
      </c>
      <c r="O983" s="3" t="s">
        <v>1084</v>
      </c>
      <c r="P983" s="3" t="s">
        <v>102</v>
      </c>
      <c r="Q983" s="3" t="s">
        <v>103</v>
      </c>
      <c r="R983" s="3" t="s">
        <v>103</v>
      </c>
    </row>
    <row r="984" spans="1:18">
      <c r="A984" s="19">
        <v>46658</v>
      </c>
      <c r="B984" s="3" t="s">
        <v>29</v>
      </c>
      <c r="C984" s="3" t="s">
        <v>19</v>
      </c>
      <c r="D984" s="3" t="s">
        <v>13</v>
      </c>
      <c r="E984" s="3" t="s">
        <v>20</v>
      </c>
      <c r="F984" s="3" t="s">
        <v>41</v>
      </c>
      <c r="G984" s="3" t="s">
        <v>22</v>
      </c>
      <c r="H984">
        <v>220000</v>
      </c>
      <c r="I984">
        <v>4</v>
      </c>
      <c r="J984" s="3" t="s">
        <v>35</v>
      </c>
      <c r="K984">
        <v>176000</v>
      </c>
      <c r="L984">
        <v>880000</v>
      </c>
      <c r="M984">
        <v>704000</v>
      </c>
      <c r="N984">
        <v>176000</v>
      </c>
      <c r="O984" s="3" t="s">
        <v>1085</v>
      </c>
      <c r="P984" s="3" t="s">
        <v>102</v>
      </c>
      <c r="Q984" s="3" t="s">
        <v>103</v>
      </c>
      <c r="R984" s="3" t="s">
        <v>103</v>
      </c>
    </row>
    <row r="985" spans="1:18">
      <c r="A985" s="19">
        <v>46659</v>
      </c>
      <c r="B985" s="3" t="s">
        <v>29</v>
      </c>
      <c r="C985" s="3" t="s">
        <v>12</v>
      </c>
      <c r="D985" s="3" t="s">
        <v>23</v>
      </c>
      <c r="E985" s="3" t="s">
        <v>20</v>
      </c>
      <c r="F985" s="3" t="s">
        <v>15</v>
      </c>
      <c r="G985" s="3" t="s">
        <v>16</v>
      </c>
      <c r="H985">
        <v>85000</v>
      </c>
      <c r="I985">
        <v>2</v>
      </c>
      <c r="J985" s="3" t="s">
        <v>17</v>
      </c>
      <c r="K985">
        <v>68000</v>
      </c>
      <c r="L985">
        <v>170000</v>
      </c>
      <c r="M985">
        <v>136000</v>
      </c>
      <c r="N985">
        <v>34000</v>
      </c>
      <c r="O985" s="3" t="s">
        <v>1086</v>
      </c>
      <c r="P985" s="3" t="s">
        <v>102</v>
      </c>
      <c r="Q985" s="3" t="s">
        <v>103</v>
      </c>
      <c r="R985" s="3" t="s">
        <v>103</v>
      </c>
    </row>
    <row r="986" spans="1:18">
      <c r="A986" s="19">
        <v>46660</v>
      </c>
      <c r="B986" s="3" t="s">
        <v>18</v>
      </c>
      <c r="C986" s="3" t="s">
        <v>12</v>
      </c>
      <c r="D986" s="3" t="s">
        <v>13</v>
      </c>
      <c r="E986" s="3" t="s">
        <v>14</v>
      </c>
      <c r="F986" s="3" t="s">
        <v>40</v>
      </c>
      <c r="G986" s="3" t="s">
        <v>31</v>
      </c>
      <c r="H986">
        <v>250000</v>
      </c>
      <c r="I986">
        <v>3</v>
      </c>
      <c r="J986" s="3" t="s">
        <v>35</v>
      </c>
      <c r="K986">
        <v>200000</v>
      </c>
      <c r="L986">
        <v>750000</v>
      </c>
      <c r="M986">
        <v>600000</v>
      </c>
      <c r="N986">
        <v>150000</v>
      </c>
      <c r="O986" s="3" t="s">
        <v>1087</v>
      </c>
      <c r="P986" s="3" t="s">
        <v>102</v>
      </c>
      <c r="Q986" s="3" t="s">
        <v>103</v>
      </c>
      <c r="R986" s="3" t="s">
        <v>103</v>
      </c>
    </row>
    <row r="987" spans="1:18">
      <c r="A987" s="19">
        <v>46661</v>
      </c>
      <c r="B987" s="3" t="s">
        <v>29</v>
      </c>
      <c r="C987" s="3" t="s">
        <v>26</v>
      </c>
      <c r="D987" s="3" t="s">
        <v>23</v>
      </c>
      <c r="E987" s="3" t="s">
        <v>14</v>
      </c>
      <c r="F987" s="3" t="s">
        <v>36</v>
      </c>
      <c r="G987" s="3" t="s">
        <v>31</v>
      </c>
      <c r="H987">
        <v>150000</v>
      </c>
      <c r="I987">
        <v>4</v>
      </c>
      <c r="J987" s="3" t="s">
        <v>35</v>
      </c>
      <c r="K987">
        <v>120000</v>
      </c>
      <c r="L987">
        <v>600000</v>
      </c>
      <c r="M987">
        <v>480000</v>
      </c>
      <c r="N987">
        <v>120000</v>
      </c>
      <c r="O987" s="3" t="s">
        <v>1088</v>
      </c>
      <c r="P987" s="3" t="s">
        <v>102</v>
      </c>
      <c r="Q987" s="3" t="s">
        <v>103</v>
      </c>
      <c r="R987" s="3" t="s">
        <v>103</v>
      </c>
    </row>
    <row r="988" spans="1:18">
      <c r="A988" s="19">
        <v>46662</v>
      </c>
      <c r="B988" s="3" t="s">
        <v>29</v>
      </c>
      <c r="C988" s="3" t="s">
        <v>12</v>
      </c>
      <c r="D988" s="3" t="s">
        <v>13</v>
      </c>
      <c r="E988" s="3" t="s">
        <v>14</v>
      </c>
      <c r="F988" s="3" t="s">
        <v>15</v>
      </c>
      <c r="G988" s="3" t="s">
        <v>16</v>
      </c>
      <c r="H988">
        <v>85000</v>
      </c>
      <c r="I988">
        <v>2</v>
      </c>
      <c r="J988" s="3" t="s">
        <v>17</v>
      </c>
      <c r="K988">
        <v>68000</v>
      </c>
      <c r="L988">
        <v>170000</v>
      </c>
      <c r="M988">
        <v>136000</v>
      </c>
      <c r="N988">
        <v>34000</v>
      </c>
      <c r="O988" s="3" t="s">
        <v>1089</v>
      </c>
      <c r="P988" s="3" t="s">
        <v>102</v>
      </c>
      <c r="Q988" s="3" t="s">
        <v>103</v>
      </c>
      <c r="R988" s="3" t="s">
        <v>103</v>
      </c>
    </row>
    <row r="989" spans="1:18">
      <c r="A989" s="19">
        <v>46663</v>
      </c>
      <c r="B989" s="3" t="s">
        <v>11</v>
      </c>
      <c r="C989" s="3" t="s">
        <v>26</v>
      </c>
      <c r="D989" s="3" t="s">
        <v>23</v>
      </c>
      <c r="E989" s="3" t="s">
        <v>20</v>
      </c>
      <c r="F989" s="3" t="s">
        <v>36</v>
      </c>
      <c r="G989" s="3" t="s">
        <v>31</v>
      </c>
      <c r="H989">
        <v>150000</v>
      </c>
      <c r="I989">
        <v>4</v>
      </c>
      <c r="J989" s="3" t="s">
        <v>28</v>
      </c>
      <c r="K989">
        <v>120000</v>
      </c>
      <c r="L989">
        <v>600000</v>
      </c>
      <c r="M989">
        <v>480000</v>
      </c>
      <c r="N989">
        <v>120000</v>
      </c>
      <c r="O989" s="3" t="s">
        <v>1090</v>
      </c>
      <c r="P989" s="3" t="s">
        <v>102</v>
      </c>
      <c r="Q989" s="3" t="s">
        <v>103</v>
      </c>
      <c r="R989" s="3" t="s">
        <v>103</v>
      </c>
    </row>
    <row r="990" spans="1:18">
      <c r="A990" s="19">
        <v>46664</v>
      </c>
      <c r="B990" s="3" t="s">
        <v>29</v>
      </c>
      <c r="C990" s="3" t="s">
        <v>12</v>
      </c>
      <c r="D990" s="3" t="s">
        <v>13</v>
      </c>
      <c r="E990" s="3" t="s">
        <v>14</v>
      </c>
      <c r="F990" s="3" t="s">
        <v>36</v>
      </c>
      <c r="G990" s="3" t="s">
        <v>31</v>
      </c>
      <c r="H990">
        <v>150000</v>
      </c>
      <c r="I990">
        <v>3</v>
      </c>
      <c r="J990" s="3" t="s">
        <v>24</v>
      </c>
      <c r="K990">
        <v>120000</v>
      </c>
      <c r="L990">
        <v>450000</v>
      </c>
      <c r="M990">
        <v>360000</v>
      </c>
      <c r="N990">
        <v>90000</v>
      </c>
      <c r="O990" s="3" t="s">
        <v>1091</v>
      </c>
      <c r="P990" s="3" t="s">
        <v>102</v>
      </c>
      <c r="Q990" s="3" t="s">
        <v>103</v>
      </c>
      <c r="R990" s="3" t="s">
        <v>103</v>
      </c>
    </row>
    <row r="991" spans="1:18">
      <c r="A991" s="19">
        <v>46665</v>
      </c>
      <c r="B991" s="3" t="s">
        <v>29</v>
      </c>
      <c r="C991" s="3" t="s">
        <v>12</v>
      </c>
      <c r="D991" s="3" t="s">
        <v>23</v>
      </c>
      <c r="E991" s="3" t="s">
        <v>14</v>
      </c>
      <c r="F991" s="3" t="s">
        <v>21</v>
      </c>
      <c r="G991" s="3" t="s">
        <v>22</v>
      </c>
      <c r="H991">
        <v>30000</v>
      </c>
      <c r="I991">
        <v>3</v>
      </c>
      <c r="J991" s="3" t="s">
        <v>24</v>
      </c>
      <c r="K991">
        <v>24000</v>
      </c>
      <c r="L991">
        <v>90000</v>
      </c>
      <c r="M991">
        <v>72000</v>
      </c>
      <c r="N991">
        <v>18000</v>
      </c>
      <c r="O991" s="3" t="s">
        <v>1092</v>
      </c>
      <c r="P991" s="3" t="s">
        <v>102</v>
      </c>
      <c r="Q991" s="3" t="s">
        <v>103</v>
      </c>
      <c r="R991" s="3" t="s">
        <v>103</v>
      </c>
    </row>
    <row r="992" spans="1:18">
      <c r="A992" s="19">
        <v>46666</v>
      </c>
      <c r="B992" s="3" t="s">
        <v>29</v>
      </c>
      <c r="C992" s="3" t="s">
        <v>19</v>
      </c>
      <c r="D992" s="3" t="s">
        <v>23</v>
      </c>
      <c r="E992" s="3" t="s">
        <v>20</v>
      </c>
      <c r="F992" s="3" t="s">
        <v>34</v>
      </c>
      <c r="G992" s="3" t="s">
        <v>16</v>
      </c>
      <c r="H992">
        <v>320000</v>
      </c>
      <c r="I992">
        <v>5</v>
      </c>
      <c r="J992" s="3" t="s">
        <v>39</v>
      </c>
      <c r="K992">
        <v>256000</v>
      </c>
      <c r="L992">
        <v>1600000</v>
      </c>
      <c r="M992">
        <v>1280000</v>
      </c>
      <c r="N992">
        <v>320000</v>
      </c>
      <c r="O992" s="3" t="s">
        <v>1093</v>
      </c>
      <c r="P992" s="3" t="s">
        <v>102</v>
      </c>
      <c r="Q992" s="3" t="s">
        <v>103</v>
      </c>
      <c r="R992" s="3" t="s">
        <v>103</v>
      </c>
    </row>
    <row r="993" spans="1:18">
      <c r="A993" s="19">
        <v>46667</v>
      </c>
      <c r="B993" s="3" t="s">
        <v>18</v>
      </c>
      <c r="C993" s="3" t="s">
        <v>32</v>
      </c>
      <c r="D993" s="3" t="s">
        <v>23</v>
      </c>
      <c r="E993" s="3" t="s">
        <v>14</v>
      </c>
      <c r="F993" s="3" t="s">
        <v>40</v>
      </c>
      <c r="G993" s="3" t="s">
        <v>31</v>
      </c>
      <c r="H993">
        <v>250000</v>
      </c>
      <c r="I993">
        <v>3</v>
      </c>
      <c r="J993" s="3" t="s">
        <v>17</v>
      </c>
      <c r="K993">
        <v>200000</v>
      </c>
      <c r="L993">
        <v>750000</v>
      </c>
      <c r="M993">
        <v>600000</v>
      </c>
      <c r="N993">
        <v>150000</v>
      </c>
      <c r="O993" s="3" t="s">
        <v>1094</v>
      </c>
      <c r="P993" s="3" t="s">
        <v>102</v>
      </c>
      <c r="Q993" s="3" t="s">
        <v>103</v>
      </c>
      <c r="R993" s="3" t="s">
        <v>103</v>
      </c>
    </row>
    <row r="994" spans="1:18">
      <c r="A994" s="19">
        <v>46668</v>
      </c>
      <c r="B994" s="3" t="s">
        <v>18</v>
      </c>
      <c r="C994" s="3" t="s">
        <v>26</v>
      </c>
      <c r="D994" s="3" t="s">
        <v>23</v>
      </c>
      <c r="E994" s="3" t="s">
        <v>20</v>
      </c>
      <c r="F994" s="3" t="s">
        <v>27</v>
      </c>
      <c r="G994" s="3" t="s">
        <v>22</v>
      </c>
      <c r="H994">
        <v>60000</v>
      </c>
      <c r="I994">
        <v>10</v>
      </c>
      <c r="J994" s="3" t="s">
        <v>39</v>
      </c>
      <c r="K994">
        <v>48000</v>
      </c>
      <c r="L994">
        <v>600000</v>
      </c>
      <c r="M994">
        <v>480000</v>
      </c>
      <c r="N994">
        <v>120000</v>
      </c>
      <c r="O994" s="3" t="s">
        <v>1095</v>
      </c>
      <c r="P994" s="3" t="s">
        <v>102</v>
      </c>
      <c r="Q994" s="3" t="s">
        <v>103</v>
      </c>
      <c r="R994" s="3" t="s">
        <v>103</v>
      </c>
    </row>
    <row r="995" spans="1:18">
      <c r="A995" s="19">
        <v>46669</v>
      </c>
      <c r="B995" s="3" t="s">
        <v>29</v>
      </c>
      <c r="C995" s="3" t="s">
        <v>12</v>
      </c>
      <c r="D995" s="3" t="s">
        <v>13</v>
      </c>
      <c r="E995" s="3" t="s">
        <v>20</v>
      </c>
      <c r="F995" s="3" t="s">
        <v>27</v>
      </c>
      <c r="G995" s="3" t="s">
        <v>22</v>
      </c>
      <c r="H995">
        <v>60000</v>
      </c>
      <c r="I995">
        <v>3</v>
      </c>
      <c r="J995" s="3" t="s">
        <v>37</v>
      </c>
      <c r="K995">
        <v>48000</v>
      </c>
      <c r="L995">
        <v>180000</v>
      </c>
      <c r="M995">
        <v>144000</v>
      </c>
      <c r="N995">
        <v>36000</v>
      </c>
      <c r="O995" s="3" t="s">
        <v>1096</v>
      </c>
      <c r="P995" s="3" t="s">
        <v>102</v>
      </c>
      <c r="Q995" s="3" t="s">
        <v>103</v>
      </c>
      <c r="R995" s="3" t="s">
        <v>103</v>
      </c>
    </row>
    <row r="996" spans="1:18">
      <c r="A996" s="19">
        <v>46670</v>
      </c>
      <c r="B996" s="3" t="s">
        <v>18</v>
      </c>
      <c r="C996" s="3" t="s">
        <v>19</v>
      </c>
      <c r="D996" s="3" t="s">
        <v>23</v>
      </c>
      <c r="E996" s="3" t="s">
        <v>20</v>
      </c>
      <c r="F996" s="3" t="s">
        <v>15</v>
      </c>
      <c r="G996" s="3" t="s">
        <v>16</v>
      </c>
      <c r="H996">
        <v>85000</v>
      </c>
      <c r="I996">
        <v>9</v>
      </c>
      <c r="J996" s="3" t="s">
        <v>35</v>
      </c>
      <c r="K996">
        <v>68000</v>
      </c>
      <c r="L996">
        <v>765000</v>
      </c>
      <c r="M996">
        <v>612000</v>
      </c>
      <c r="N996">
        <v>153000</v>
      </c>
      <c r="O996" s="3" t="s">
        <v>1097</v>
      </c>
      <c r="P996" s="3" t="s">
        <v>102</v>
      </c>
      <c r="Q996" s="3" t="s">
        <v>103</v>
      </c>
      <c r="R996" s="3" t="s">
        <v>103</v>
      </c>
    </row>
    <row r="997" spans="1:18">
      <c r="A997" s="19">
        <v>46671</v>
      </c>
      <c r="B997" s="3" t="s">
        <v>18</v>
      </c>
      <c r="C997" s="3" t="s">
        <v>32</v>
      </c>
      <c r="D997" s="3" t="s">
        <v>23</v>
      </c>
      <c r="E997" s="3" t="s">
        <v>20</v>
      </c>
      <c r="F997" s="3" t="s">
        <v>38</v>
      </c>
      <c r="G997" s="3" t="s">
        <v>31</v>
      </c>
      <c r="H997">
        <v>420000</v>
      </c>
      <c r="I997">
        <v>4</v>
      </c>
      <c r="J997" s="3" t="s">
        <v>35</v>
      </c>
      <c r="K997">
        <v>336000</v>
      </c>
      <c r="L997">
        <v>1680000</v>
      </c>
      <c r="M997">
        <v>1344000</v>
      </c>
      <c r="N997">
        <v>336000</v>
      </c>
      <c r="O997" s="3" t="s">
        <v>1098</v>
      </c>
      <c r="P997" s="3" t="s">
        <v>102</v>
      </c>
      <c r="Q997" s="3" t="s">
        <v>103</v>
      </c>
      <c r="R997" s="3" t="s">
        <v>103</v>
      </c>
    </row>
    <row r="998" spans="1:18">
      <c r="A998" s="19">
        <v>46672</v>
      </c>
      <c r="B998" s="3" t="s">
        <v>29</v>
      </c>
      <c r="C998" s="3" t="s">
        <v>26</v>
      </c>
      <c r="D998" s="3" t="s">
        <v>23</v>
      </c>
      <c r="E998" s="3" t="s">
        <v>14</v>
      </c>
      <c r="F998" s="3" t="s">
        <v>36</v>
      </c>
      <c r="G998" s="3" t="s">
        <v>31</v>
      </c>
      <c r="H998">
        <v>150000</v>
      </c>
      <c r="I998">
        <v>6</v>
      </c>
      <c r="J998" s="3" t="s">
        <v>37</v>
      </c>
      <c r="K998">
        <v>120000</v>
      </c>
      <c r="L998">
        <v>900000</v>
      </c>
      <c r="M998">
        <v>720000</v>
      </c>
      <c r="N998">
        <v>180000</v>
      </c>
      <c r="O998" s="3" t="s">
        <v>1099</v>
      </c>
      <c r="P998" s="3" t="s">
        <v>102</v>
      </c>
      <c r="Q998" s="3" t="s">
        <v>103</v>
      </c>
      <c r="R998" s="3" t="s">
        <v>103</v>
      </c>
    </row>
    <row r="999" spans="1:18">
      <c r="A999" s="19">
        <v>46673</v>
      </c>
      <c r="B999" s="3" t="s">
        <v>29</v>
      </c>
      <c r="C999" s="3" t="s">
        <v>26</v>
      </c>
      <c r="D999" s="3" t="s">
        <v>23</v>
      </c>
      <c r="E999" s="3" t="s">
        <v>14</v>
      </c>
      <c r="F999" s="3" t="s">
        <v>34</v>
      </c>
      <c r="G999" s="3" t="s">
        <v>16</v>
      </c>
      <c r="H999">
        <v>320000</v>
      </c>
      <c r="I999">
        <v>3</v>
      </c>
      <c r="J999" s="3" t="s">
        <v>35</v>
      </c>
      <c r="K999">
        <v>256000</v>
      </c>
      <c r="L999">
        <v>960000</v>
      </c>
      <c r="M999">
        <v>768000</v>
      </c>
      <c r="N999">
        <v>192000</v>
      </c>
      <c r="O999" s="3" t="s">
        <v>1100</v>
      </c>
      <c r="P999" s="3" t="s">
        <v>102</v>
      </c>
      <c r="Q999" s="3" t="s">
        <v>103</v>
      </c>
      <c r="R999" s="3" t="s">
        <v>103</v>
      </c>
    </row>
    <row r="1000" spans="1:18">
      <c r="A1000" s="19">
        <v>46674</v>
      </c>
      <c r="B1000" s="3" t="s">
        <v>25</v>
      </c>
      <c r="C1000" s="3" t="s">
        <v>32</v>
      </c>
      <c r="D1000" s="3" t="s">
        <v>13</v>
      </c>
      <c r="E1000" s="3" t="s">
        <v>20</v>
      </c>
      <c r="F1000" s="3" t="s">
        <v>30</v>
      </c>
      <c r="G1000" s="3" t="s">
        <v>31</v>
      </c>
      <c r="H1000">
        <v>300000</v>
      </c>
      <c r="I1000">
        <v>2</v>
      </c>
      <c r="J1000" s="3" t="s">
        <v>17</v>
      </c>
      <c r="K1000">
        <v>240000</v>
      </c>
      <c r="L1000">
        <v>600000</v>
      </c>
      <c r="M1000">
        <v>480000</v>
      </c>
      <c r="N1000">
        <v>120000</v>
      </c>
      <c r="O1000" s="3" t="s">
        <v>1101</v>
      </c>
      <c r="P1000" s="3" t="s">
        <v>102</v>
      </c>
      <c r="Q1000" s="3" t="s">
        <v>103</v>
      </c>
      <c r="R1000" s="3" t="s">
        <v>103</v>
      </c>
    </row>
    <row r="1001" spans="1:18">
      <c r="A1001" s="19">
        <v>46675</v>
      </c>
      <c r="B1001" s="3" t="s">
        <v>18</v>
      </c>
      <c r="C1001" s="3" t="s">
        <v>26</v>
      </c>
      <c r="D1001" s="3" t="s">
        <v>23</v>
      </c>
      <c r="E1001" s="3" t="s">
        <v>14</v>
      </c>
      <c r="F1001" s="3" t="s">
        <v>36</v>
      </c>
      <c r="G1001" s="3" t="s">
        <v>31</v>
      </c>
      <c r="H1001">
        <v>150000</v>
      </c>
      <c r="I1001">
        <v>10</v>
      </c>
      <c r="J1001" s="3" t="s">
        <v>37</v>
      </c>
      <c r="K1001">
        <v>120000</v>
      </c>
      <c r="L1001">
        <v>1500000</v>
      </c>
      <c r="M1001">
        <v>1200000</v>
      </c>
      <c r="N1001">
        <v>300000</v>
      </c>
      <c r="O1001" s="3" t="s">
        <v>1102</v>
      </c>
      <c r="P1001" s="3" t="s">
        <v>102</v>
      </c>
      <c r="Q1001" s="3" t="s">
        <v>103</v>
      </c>
      <c r="R1001" s="3" t="s">
        <v>103</v>
      </c>
    </row>
    <row r="1002" spans="1:18">
      <c r="A1002" s="19">
        <v>46676</v>
      </c>
      <c r="B1002" s="3" t="s">
        <v>18</v>
      </c>
      <c r="C1002" s="3" t="s">
        <v>32</v>
      </c>
      <c r="D1002" s="3" t="s">
        <v>13</v>
      </c>
      <c r="E1002" s="3" t="s">
        <v>20</v>
      </c>
      <c r="F1002" s="3" t="s">
        <v>38</v>
      </c>
      <c r="G1002" s="3" t="s">
        <v>31</v>
      </c>
      <c r="H1002">
        <v>420000</v>
      </c>
      <c r="I1002">
        <v>10</v>
      </c>
      <c r="J1002" s="3" t="s">
        <v>28</v>
      </c>
      <c r="K1002">
        <v>336000</v>
      </c>
      <c r="L1002">
        <v>4200000</v>
      </c>
      <c r="M1002">
        <v>3360000</v>
      </c>
      <c r="N1002">
        <v>840000</v>
      </c>
      <c r="O1002" s="3" t="s">
        <v>1103</v>
      </c>
      <c r="P1002" s="3" t="s">
        <v>102</v>
      </c>
      <c r="Q1002" s="3" t="s">
        <v>103</v>
      </c>
      <c r="R1002" s="3" t="s">
        <v>103</v>
      </c>
    </row>
    <row r="1003" spans="1:18">
      <c r="A1003" s="19">
        <v>46677</v>
      </c>
      <c r="B1003" s="3" t="s">
        <v>29</v>
      </c>
      <c r="C1003" s="3" t="s">
        <v>32</v>
      </c>
      <c r="D1003" s="3" t="s">
        <v>23</v>
      </c>
      <c r="E1003" s="3" t="s">
        <v>20</v>
      </c>
      <c r="F1003" s="3" t="s">
        <v>33</v>
      </c>
      <c r="G1003" s="3" t="s">
        <v>22</v>
      </c>
      <c r="H1003">
        <v>180000</v>
      </c>
      <c r="I1003">
        <v>5</v>
      </c>
      <c r="J1003" s="3" t="s">
        <v>37</v>
      </c>
      <c r="K1003">
        <v>144000</v>
      </c>
      <c r="L1003">
        <v>900000</v>
      </c>
      <c r="M1003">
        <v>720000</v>
      </c>
      <c r="N1003">
        <v>180000</v>
      </c>
      <c r="O1003" s="3" t="s">
        <v>1104</v>
      </c>
      <c r="P1003" s="3" t="s">
        <v>102</v>
      </c>
      <c r="Q1003" s="3" t="s">
        <v>103</v>
      </c>
      <c r="R1003" s="3" t="s">
        <v>103</v>
      </c>
    </row>
    <row r="1004" spans="1:18">
      <c r="A1004" s="19">
        <v>46678</v>
      </c>
      <c r="B1004" s="3" t="s">
        <v>18</v>
      </c>
      <c r="C1004" s="3" t="s">
        <v>32</v>
      </c>
      <c r="D1004" s="3" t="s">
        <v>23</v>
      </c>
      <c r="E1004" s="3" t="s">
        <v>20</v>
      </c>
      <c r="F1004" s="3" t="s">
        <v>40</v>
      </c>
      <c r="G1004" s="3" t="s">
        <v>31</v>
      </c>
      <c r="H1004">
        <v>250000</v>
      </c>
      <c r="I1004">
        <v>7</v>
      </c>
      <c r="J1004" s="3" t="s">
        <v>28</v>
      </c>
      <c r="K1004">
        <v>200000</v>
      </c>
      <c r="L1004">
        <v>1750000</v>
      </c>
      <c r="M1004">
        <v>1400000</v>
      </c>
      <c r="N1004">
        <v>350000</v>
      </c>
      <c r="O1004" s="3" t="s">
        <v>1105</v>
      </c>
      <c r="P1004" s="3" t="s">
        <v>102</v>
      </c>
      <c r="Q1004" s="3" t="s">
        <v>103</v>
      </c>
      <c r="R1004" s="3" t="s">
        <v>103</v>
      </c>
    </row>
    <row r="1005" spans="1:18">
      <c r="A1005" s="19">
        <v>46679</v>
      </c>
      <c r="B1005" s="3" t="s">
        <v>11</v>
      </c>
      <c r="C1005" s="3" t="s">
        <v>19</v>
      </c>
      <c r="D1005" s="3" t="s">
        <v>13</v>
      </c>
      <c r="E1005" s="3" t="s">
        <v>20</v>
      </c>
      <c r="F1005" s="3" t="s">
        <v>34</v>
      </c>
      <c r="G1005" s="3" t="s">
        <v>16</v>
      </c>
      <c r="H1005">
        <v>320000</v>
      </c>
      <c r="I1005">
        <v>4</v>
      </c>
      <c r="J1005" s="3" t="s">
        <v>24</v>
      </c>
      <c r="K1005">
        <v>256000</v>
      </c>
      <c r="L1005">
        <v>1280000</v>
      </c>
      <c r="M1005">
        <v>1024000</v>
      </c>
      <c r="N1005">
        <v>256000</v>
      </c>
      <c r="O1005" s="3" t="s">
        <v>1106</v>
      </c>
      <c r="P1005" s="3" t="s">
        <v>102</v>
      </c>
      <c r="Q1005" s="3" t="s">
        <v>103</v>
      </c>
      <c r="R1005" s="3" t="s">
        <v>103</v>
      </c>
    </row>
    <row r="1006" spans="1:18">
      <c r="A1006" s="19">
        <v>46680</v>
      </c>
      <c r="B1006" s="3" t="s">
        <v>18</v>
      </c>
      <c r="C1006" s="3" t="s">
        <v>19</v>
      </c>
      <c r="D1006" s="3" t="s">
        <v>13</v>
      </c>
      <c r="E1006" s="3" t="s">
        <v>14</v>
      </c>
      <c r="F1006" s="3" t="s">
        <v>21</v>
      </c>
      <c r="G1006" s="3" t="s">
        <v>22</v>
      </c>
      <c r="H1006">
        <v>30000</v>
      </c>
      <c r="I1006">
        <v>2</v>
      </c>
      <c r="J1006" s="3" t="s">
        <v>17</v>
      </c>
      <c r="K1006">
        <v>24000</v>
      </c>
      <c r="L1006">
        <v>60000</v>
      </c>
      <c r="M1006">
        <v>48000</v>
      </c>
      <c r="N1006">
        <v>12000</v>
      </c>
      <c r="O1006" s="3" t="s">
        <v>1107</v>
      </c>
      <c r="P1006" s="3" t="s">
        <v>102</v>
      </c>
      <c r="Q1006" s="3" t="s">
        <v>103</v>
      </c>
      <c r="R1006" s="3" t="s">
        <v>103</v>
      </c>
    </row>
    <row r="1007" spans="1:18">
      <c r="A1007" s="19">
        <v>46681</v>
      </c>
      <c r="B1007" s="3" t="s">
        <v>29</v>
      </c>
      <c r="C1007" s="3" t="s">
        <v>32</v>
      </c>
      <c r="D1007" s="3" t="s">
        <v>13</v>
      </c>
      <c r="E1007" s="3" t="s">
        <v>14</v>
      </c>
      <c r="F1007" s="3" t="s">
        <v>36</v>
      </c>
      <c r="G1007" s="3" t="s">
        <v>31</v>
      </c>
      <c r="H1007">
        <v>150000</v>
      </c>
      <c r="I1007">
        <v>4</v>
      </c>
      <c r="J1007" s="3" t="s">
        <v>17</v>
      </c>
      <c r="K1007">
        <v>120000</v>
      </c>
      <c r="L1007">
        <v>600000</v>
      </c>
      <c r="M1007">
        <v>480000</v>
      </c>
      <c r="N1007">
        <v>120000</v>
      </c>
      <c r="O1007" s="3" t="s">
        <v>1108</v>
      </c>
      <c r="P1007" s="3" t="s">
        <v>102</v>
      </c>
      <c r="Q1007" s="3" t="s">
        <v>103</v>
      </c>
      <c r="R1007" s="3" t="s">
        <v>103</v>
      </c>
    </row>
    <row r="1008" spans="1:18">
      <c r="A1008" s="19">
        <v>46682</v>
      </c>
      <c r="B1008" s="3" t="s">
        <v>29</v>
      </c>
      <c r="C1008" s="3" t="s">
        <v>26</v>
      </c>
      <c r="D1008" s="3" t="s">
        <v>23</v>
      </c>
      <c r="E1008" s="3" t="s">
        <v>20</v>
      </c>
      <c r="F1008" s="3" t="s">
        <v>27</v>
      </c>
      <c r="G1008" s="3" t="s">
        <v>22</v>
      </c>
      <c r="H1008">
        <v>60000</v>
      </c>
      <c r="I1008">
        <v>4</v>
      </c>
      <c r="J1008" s="3" t="s">
        <v>28</v>
      </c>
      <c r="K1008">
        <v>48000</v>
      </c>
      <c r="L1008">
        <v>240000</v>
      </c>
      <c r="M1008">
        <v>192000</v>
      </c>
      <c r="N1008">
        <v>48000</v>
      </c>
      <c r="O1008" s="3" t="s">
        <v>1109</v>
      </c>
      <c r="P1008" s="3" t="s">
        <v>102</v>
      </c>
      <c r="Q1008" s="3" t="s">
        <v>103</v>
      </c>
      <c r="R1008" s="3" t="s">
        <v>103</v>
      </c>
    </row>
    <row r="1009" spans="1:18">
      <c r="A1009" s="19">
        <v>46683</v>
      </c>
      <c r="B1009" s="3" t="s">
        <v>18</v>
      </c>
      <c r="C1009" s="3" t="s">
        <v>32</v>
      </c>
      <c r="D1009" s="3" t="s">
        <v>13</v>
      </c>
      <c r="E1009" s="3" t="s">
        <v>20</v>
      </c>
      <c r="F1009" s="3" t="s">
        <v>34</v>
      </c>
      <c r="G1009" s="3" t="s">
        <v>16</v>
      </c>
      <c r="H1009">
        <v>320000</v>
      </c>
      <c r="I1009">
        <v>4</v>
      </c>
      <c r="J1009" s="3" t="s">
        <v>37</v>
      </c>
      <c r="K1009">
        <v>256000</v>
      </c>
      <c r="L1009">
        <v>1280000</v>
      </c>
      <c r="M1009">
        <v>1024000</v>
      </c>
      <c r="N1009">
        <v>256000</v>
      </c>
      <c r="O1009" s="3" t="s">
        <v>1110</v>
      </c>
      <c r="P1009" s="3" t="s">
        <v>102</v>
      </c>
      <c r="Q1009" s="3" t="s">
        <v>103</v>
      </c>
      <c r="R1009" s="3" t="s">
        <v>103</v>
      </c>
    </row>
    <row r="1010" spans="1:18">
      <c r="A1010" s="19">
        <v>46684</v>
      </c>
      <c r="B1010" s="3" t="s">
        <v>29</v>
      </c>
      <c r="C1010" s="3" t="s">
        <v>19</v>
      </c>
      <c r="D1010" s="3" t="s">
        <v>13</v>
      </c>
      <c r="E1010" s="3" t="s">
        <v>14</v>
      </c>
      <c r="F1010" s="3" t="s">
        <v>27</v>
      </c>
      <c r="G1010" s="3" t="s">
        <v>22</v>
      </c>
      <c r="H1010">
        <v>60000</v>
      </c>
      <c r="I1010">
        <v>2</v>
      </c>
      <c r="J1010" s="3" t="s">
        <v>24</v>
      </c>
      <c r="K1010">
        <v>48000</v>
      </c>
      <c r="L1010">
        <v>120000</v>
      </c>
      <c r="M1010">
        <v>96000</v>
      </c>
      <c r="N1010">
        <v>24000</v>
      </c>
      <c r="O1010" s="3" t="s">
        <v>1111</v>
      </c>
      <c r="P1010" s="3" t="s">
        <v>102</v>
      </c>
      <c r="Q1010" s="3" t="s">
        <v>103</v>
      </c>
      <c r="R1010" s="3" t="s">
        <v>103</v>
      </c>
    </row>
    <row r="1011" spans="1:18">
      <c r="A1011" s="19">
        <v>46685</v>
      </c>
      <c r="B1011" s="3" t="s">
        <v>11</v>
      </c>
      <c r="C1011" s="3" t="s">
        <v>12</v>
      </c>
      <c r="D1011" s="3" t="s">
        <v>23</v>
      </c>
      <c r="E1011" s="3" t="s">
        <v>14</v>
      </c>
      <c r="F1011" s="3" t="s">
        <v>21</v>
      </c>
      <c r="G1011" s="3" t="s">
        <v>22</v>
      </c>
      <c r="H1011">
        <v>30000</v>
      </c>
      <c r="I1011">
        <v>7</v>
      </c>
      <c r="J1011" s="3" t="s">
        <v>35</v>
      </c>
      <c r="K1011">
        <v>24000</v>
      </c>
      <c r="L1011">
        <v>210000</v>
      </c>
      <c r="M1011">
        <v>168000</v>
      </c>
      <c r="N1011">
        <v>42000</v>
      </c>
      <c r="O1011" s="3" t="s">
        <v>1112</v>
      </c>
      <c r="P1011" s="3" t="s">
        <v>102</v>
      </c>
      <c r="Q1011" s="3" t="s">
        <v>103</v>
      </c>
      <c r="R1011" s="3" t="s">
        <v>103</v>
      </c>
    </row>
    <row r="1012" spans="1:18">
      <c r="A1012" s="19">
        <v>46686</v>
      </c>
      <c r="B1012" s="3" t="s">
        <v>18</v>
      </c>
      <c r="C1012" s="3" t="s">
        <v>12</v>
      </c>
      <c r="D1012" s="3" t="s">
        <v>13</v>
      </c>
      <c r="E1012" s="3" t="s">
        <v>20</v>
      </c>
      <c r="F1012" s="3" t="s">
        <v>40</v>
      </c>
      <c r="G1012" s="3" t="s">
        <v>31</v>
      </c>
      <c r="H1012">
        <v>250000</v>
      </c>
      <c r="I1012">
        <v>6</v>
      </c>
      <c r="J1012" s="3" t="s">
        <v>35</v>
      </c>
      <c r="K1012">
        <v>200000</v>
      </c>
      <c r="L1012">
        <v>1500000</v>
      </c>
      <c r="M1012">
        <v>1200000</v>
      </c>
      <c r="N1012">
        <v>300000</v>
      </c>
      <c r="O1012" s="3" t="s">
        <v>1113</v>
      </c>
      <c r="P1012" s="3" t="s">
        <v>102</v>
      </c>
      <c r="Q1012" s="3" t="s">
        <v>103</v>
      </c>
      <c r="R1012" s="3" t="s">
        <v>103</v>
      </c>
    </row>
    <row r="1013" spans="1:18">
      <c r="A1013" s="19">
        <v>46687</v>
      </c>
      <c r="B1013" s="3" t="s">
        <v>29</v>
      </c>
      <c r="C1013" s="3" t="s">
        <v>26</v>
      </c>
      <c r="D1013" s="3" t="s">
        <v>13</v>
      </c>
      <c r="E1013" s="3" t="s">
        <v>14</v>
      </c>
      <c r="F1013" s="3" t="s">
        <v>41</v>
      </c>
      <c r="G1013" s="3" t="s">
        <v>22</v>
      </c>
      <c r="H1013">
        <v>220000</v>
      </c>
      <c r="I1013">
        <v>9</v>
      </c>
      <c r="J1013" s="3" t="s">
        <v>17</v>
      </c>
      <c r="K1013">
        <v>176000</v>
      </c>
      <c r="L1013">
        <v>1980000</v>
      </c>
      <c r="M1013">
        <v>1584000</v>
      </c>
      <c r="N1013">
        <v>396000</v>
      </c>
      <c r="O1013" s="3" t="s">
        <v>1114</v>
      </c>
      <c r="P1013" s="3" t="s">
        <v>102</v>
      </c>
      <c r="Q1013" s="3" t="s">
        <v>103</v>
      </c>
      <c r="R1013" s="3" t="s">
        <v>103</v>
      </c>
    </row>
    <row r="1014" spans="1:18">
      <c r="A1014" s="19">
        <v>46688</v>
      </c>
      <c r="B1014" s="3" t="s">
        <v>18</v>
      </c>
      <c r="C1014" s="3" t="s">
        <v>26</v>
      </c>
      <c r="D1014" s="3" t="s">
        <v>23</v>
      </c>
      <c r="E1014" s="3" t="s">
        <v>14</v>
      </c>
      <c r="F1014" s="3" t="s">
        <v>30</v>
      </c>
      <c r="G1014" s="3" t="s">
        <v>31</v>
      </c>
      <c r="H1014">
        <v>300000</v>
      </c>
      <c r="I1014">
        <v>2</v>
      </c>
      <c r="J1014" s="3" t="s">
        <v>24</v>
      </c>
      <c r="K1014">
        <v>240000</v>
      </c>
      <c r="L1014">
        <v>600000</v>
      </c>
      <c r="M1014">
        <v>480000</v>
      </c>
      <c r="N1014">
        <v>120000</v>
      </c>
      <c r="O1014" s="3" t="s">
        <v>1115</v>
      </c>
      <c r="P1014" s="3" t="s">
        <v>102</v>
      </c>
      <c r="Q1014" s="3" t="s">
        <v>103</v>
      </c>
      <c r="R1014" s="3" t="s">
        <v>103</v>
      </c>
    </row>
    <row r="1015" spans="1:18">
      <c r="A1015" s="19">
        <v>46689</v>
      </c>
      <c r="B1015" s="3" t="s">
        <v>11</v>
      </c>
      <c r="C1015" s="3" t="s">
        <v>26</v>
      </c>
      <c r="D1015" s="3" t="s">
        <v>13</v>
      </c>
      <c r="E1015" s="3" t="s">
        <v>20</v>
      </c>
      <c r="F1015" s="3" t="s">
        <v>38</v>
      </c>
      <c r="G1015" s="3" t="s">
        <v>31</v>
      </c>
      <c r="H1015">
        <v>420000</v>
      </c>
      <c r="I1015">
        <v>2</v>
      </c>
      <c r="J1015" s="3" t="s">
        <v>24</v>
      </c>
      <c r="K1015">
        <v>336000</v>
      </c>
      <c r="L1015">
        <v>840000</v>
      </c>
      <c r="M1015">
        <v>672000</v>
      </c>
      <c r="N1015">
        <v>168000</v>
      </c>
      <c r="O1015" s="3" t="s">
        <v>1116</v>
      </c>
      <c r="P1015" s="3" t="s">
        <v>102</v>
      </c>
      <c r="Q1015" s="3" t="s">
        <v>103</v>
      </c>
      <c r="R1015" s="3" t="s">
        <v>103</v>
      </c>
    </row>
    <row r="1016" spans="1:18">
      <c r="A1016" s="19">
        <v>46690</v>
      </c>
      <c r="B1016" s="3" t="s">
        <v>25</v>
      </c>
      <c r="C1016" s="3" t="s">
        <v>19</v>
      </c>
      <c r="D1016" s="3" t="s">
        <v>13</v>
      </c>
      <c r="E1016" s="3" t="s">
        <v>20</v>
      </c>
      <c r="F1016" s="3" t="s">
        <v>41</v>
      </c>
      <c r="G1016" s="3" t="s">
        <v>22</v>
      </c>
      <c r="H1016">
        <v>220000</v>
      </c>
      <c r="I1016">
        <v>3</v>
      </c>
      <c r="J1016" s="3" t="s">
        <v>35</v>
      </c>
      <c r="K1016">
        <v>176000</v>
      </c>
      <c r="L1016">
        <v>660000</v>
      </c>
      <c r="M1016">
        <v>528000</v>
      </c>
      <c r="N1016">
        <v>132000</v>
      </c>
      <c r="O1016" s="3" t="s">
        <v>1117</v>
      </c>
      <c r="P1016" s="3" t="s">
        <v>102</v>
      </c>
      <c r="Q1016" s="3" t="s">
        <v>103</v>
      </c>
      <c r="R1016" s="3" t="s">
        <v>103</v>
      </c>
    </row>
    <row r="1017" spans="1:18">
      <c r="A1017" s="19">
        <v>46691</v>
      </c>
      <c r="B1017" s="3" t="s">
        <v>25</v>
      </c>
      <c r="C1017" s="3" t="s">
        <v>12</v>
      </c>
      <c r="D1017" s="3" t="s">
        <v>23</v>
      </c>
      <c r="E1017" s="3" t="s">
        <v>14</v>
      </c>
      <c r="F1017" s="3" t="s">
        <v>41</v>
      </c>
      <c r="G1017" s="3" t="s">
        <v>22</v>
      </c>
      <c r="H1017">
        <v>220000</v>
      </c>
      <c r="I1017">
        <v>10</v>
      </c>
      <c r="J1017" s="3" t="s">
        <v>35</v>
      </c>
      <c r="K1017">
        <v>176000</v>
      </c>
      <c r="L1017">
        <v>2200000</v>
      </c>
      <c r="M1017">
        <v>1760000</v>
      </c>
      <c r="N1017">
        <v>440000</v>
      </c>
      <c r="O1017" s="3" t="s">
        <v>1118</v>
      </c>
      <c r="P1017" s="3" t="s">
        <v>102</v>
      </c>
      <c r="Q1017" s="3" t="s">
        <v>103</v>
      </c>
      <c r="R1017" s="3" t="s">
        <v>103</v>
      </c>
    </row>
    <row r="1018" spans="1:18">
      <c r="A1018" s="19">
        <v>46692</v>
      </c>
      <c r="B1018" s="3" t="s">
        <v>25</v>
      </c>
      <c r="C1018" s="3" t="s">
        <v>32</v>
      </c>
      <c r="D1018" s="3" t="s">
        <v>23</v>
      </c>
      <c r="E1018" s="3" t="s">
        <v>20</v>
      </c>
      <c r="F1018" s="3" t="s">
        <v>40</v>
      </c>
      <c r="G1018" s="3" t="s">
        <v>31</v>
      </c>
      <c r="H1018">
        <v>250000</v>
      </c>
      <c r="I1018">
        <v>8</v>
      </c>
      <c r="J1018" s="3" t="s">
        <v>17</v>
      </c>
      <c r="K1018">
        <v>200000</v>
      </c>
      <c r="L1018">
        <v>2000000</v>
      </c>
      <c r="M1018">
        <v>1600000</v>
      </c>
      <c r="N1018">
        <v>400000</v>
      </c>
      <c r="O1018" s="3" t="s">
        <v>1119</v>
      </c>
      <c r="P1018" s="3" t="s">
        <v>102</v>
      </c>
      <c r="Q1018" s="3" t="s">
        <v>103</v>
      </c>
      <c r="R1018" s="3" t="s">
        <v>103</v>
      </c>
    </row>
    <row r="1019" spans="1:18">
      <c r="A1019" s="19">
        <v>46693</v>
      </c>
      <c r="B1019" s="3" t="s">
        <v>18</v>
      </c>
      <c r="C1019" s="3" t="s">
        <v>32</v>
      </c>
      <c r="D1019" s="3" t="s">
        <v>13</v>
      </c>
      <c r="E1019" s="3" t="s">
        <v>14</v>
      </c>
      <c r="F1019" s="3" t="s">
        <v>27</v>
      </c>
      <c r="G1019" s="3" t="s">
        <v>22</v>
      </c>
      <c r="H1019">
        <v>60000</v>
      </c>
      <c r="I1019">
        <v>6</v>
      </c>
      <c r="J1019" s="3" t="s">
        <v>28</v>
      </c>
      <c r="K1019">
        <v>48000</v>
      </c>
      <c r="L1019">
        <v>360000</v>
      </c>
      <c r="M1019">
        <v>288000</v>
      </c>
      <c r="N1019">
        <v>72000</v>
      </c>
      <c r="O1019" s="3" t="s">
        <v>1120</v>
      </c>
      <c r="P1019" s="3" t="s">
        <v>102</v>
      </c>
      <c r="Q1019" s="3" t="s">
        <v>103</v>
      </c>
      <c r="R1019" s="3" t="s">
        <v>103</v>
      </c>
    </row>
    <row r="1020" spans="1:18">
      <c r="A1020" s="19">
        <v>46694</v>
      </c>
      <c r="B1020" s="3" t="s">
        <v>18</v>
      </c>
      <c r="C1020" s="3" t="s">
        <v>19</v>
      </c>
      <c r="D1020" s="3" t="s">
        <v>13</v>
      </c>
      <c r="E1020" s="3" t="s">
        <v>14</v>
      </c>
      <c r="F1020" s="3" t="s">
        <v>34</v>
      </c>
      <c r="G1020" s="3" t="s">
        <v>16</v>
      </c>
      <c r="H1020">
        <v>320000</v>
      </c>
      <c r="I1020">
        <v>4</v>
      </c>
      <c r="J1020" s="3" t="s">
        <v>39</v>
      </c>
      <c r="K1020">
        <v>256000</v>
      </c>
      <c r="L1020">
        <v>1280000</v>
      </c>
      <c r="M1020">
        <v>1024000</v>
      </c>
      <c r="N1020">
        <v>256000</v>
      </c>
      <c r="O1020" s="3" t="s">
        <v>1121</v>
      </c>
      <c r="P1020" s="3" t="s">
        <v>102</v>
      </c>
      <c r="Q1020" s="3" t="s">
        <v>103</v>
      </c>
      <c r="R1020" s="3" t="s">
        <v>103</v>
      </c>
    </row>
    <row r="1021" spans="1:18">
      <c r="A1021" s="19">
        <v>46695</v>
      </c>
      <c r="B1021" s="3" t="s">
        <v>18</v>
      </c>
      <c r="C1021" s="3" t="s">
        <v>12</v>
      </c>
      <c r="D1021" s="3" t="s">
        <v>13</v>
      </c>
      <c r="E1021" s="3" t="s">
        <v>20</v>
      </c>
      <c r="F1021" s="3" t="s">
        <v>33</v>
      </c>
      <c r="G1021" s="3" t="s">
        <v>22</v>
      </c>
      <c r="H1021">
        <v>180000</v>
      </c>
      <c r="I1021">
        <v>7</v>
      </c>
      <c r="J1021" s="3" t="s">
        <v>39</v>
      </c>
      <c r="K1021">
        <v>144000</v>
      </c>
      <c r="L1021">
        <v>1260000</v>
      </c>
      <c r="M1021">
        <v>1008000</v>
      </c>
      <c r="N1021">
        <v>252000</v>
      </c>
      <c r="O1021" s="3" t="s">
        <v>1122</v>
      </c>
      <c r="P1021" s="3" t="s">
        <v>102</v>
      </c>
      <c r="Q1021" s="3" t="s">
        <v>103</v>
      </c>
      <c r="R1021" s="3" t="s">
        <v>103</v>
      </c>
    </row>
    <row r="1022" spans="1:18">
      <c r="A1022" s="19">
        <v>46696</v>
      </c>
      <c r="B1022" s="3" t="s">
        <v>18</v>
      </c>
      <c r="C1022" s="3" t="s">
        <v>12</v>
      </c>
      <c r="D1022" s="3" t="s">
        <v>13</v>
      </c>
      <c r="E1022" s="3" t="s">
        <v>14</v>
      </c>
      <c r="F1022" s="3" t="s">
        <v>27</v>
      </c>
      <c r="G1022" s="3" t="s">
        <v>22</v>
      </c>
      <c r="H1022">
        <v>60000</v>
      </c>
      <c r="I1022">
        <v>7</v>
      </c>
      <c r="J1022" s="3" t="s">
        <v>17</v>
      </c>
      <c r="K1022">
        <v>48000</v>
      </c>
      <c r="L1022">
        <v>420000</v>
      </c>
      <c r="M1022">
        <v>336000</v>
      </c>
      <c r="N1022">
        <v>84000</v>
      </c>
      <c r="O1022" s="3" t="s">
        <v>1123</v>
      </c>
      <c r="P1022" s="3" t="s">
        <v>102</v>
      </c>
      <c r="Q1022" s="3" t="s">
        <v>103</v>
      </c>
      <c r="R1022" s="3" t="s">
        <v>103</v>
      </c>
    </row>
    <row r="1023" spans="1:18">
      <c r="A1023" s="19">
        <v>46697</v>
      </c>
      <c r="B1023" s="3" t="s">
        <v>25</v>
      </c>
      <c r="C1023" s="3" t="s">
        <v>32</v>
      </c>
      <c r="D1023" s="3" t="s">
        <v>13</v>
      </c>
      <c r="E1023" s="3" t="s">
        <v>14</v>
      </c>
      <c r="F1023" s="3" t="s">
        <v>33</v>
      </c>
      <c r="G1023" s="3" t="s">
        <v>22</v>
      </c>
      <c r="H1023">
        <v>180000</v>
      </c>
      <c r="I1023">
        <v>9</v>
      </c>
      <c r="J1023" s="3" t="s">
        <v>24</v>
      </c>
      <c r="K1023">
        <v>144000</v>
      </c>
      <c r="L1023">
        <v>1620000</v>
      </c>
      <c r="M1023">
        <v>1296000</v>
      </c>
      <c r="N1023">
        <v>324000</v>
      </c>
      <c r="O1023" s="3" t="s">
        <v>1124</v>
      </c>
      <c r="P1023" s="3" t="s">
        <v>102</v>
      </c>
      <c r="Q1023" s="3" t="s">
        <v>103</v>
      </c>
      <c r="R1023" s="3" t="s">
        <v>103</v>
      </c>
    </row>
    <row r="1024" spans="1:18">
      <c r="A1024" s="19">
        <v>46698</v>
      </c>
      <c r="B1024" s="3" t="s">
        <v>29</v>
      </c>
      <c r="C1024" s="3" t="s">
        <v>12</v>
      </c>
      <c r="D1024" s="3" t="s">
        <v>23</v>
      </c>
      <c r="E1024" s="3" t="s">
        <v>14</v>
      </c>
      <c r="F1024" s="3" t="s">
        <v>21</v>
      </c>
      <c r="G1024" s="3" t="s">
        <v>22</v>
      </c>
      <c r="H1024">
        <v>30000</v>
      </c>
      <c r="I1024">
        <v>6</v>
      </c>
      <c r="J1024" s="3" t="s">
        <v>24</v>
      </c>
      <c r="K1024">
        <v>24000</v>
      </c>
      <c r="L1024">
        <v>180000</v>
      </c>
      <c r="M1024">
        <v>144000</v>
      </c>
      <c r="N1024">
        <v>36000</v>
      </c>
      <c r="O1024" s="3" t="s">
        <v>1125</v>
      </c>
      <c r="P1024" s="3" t="s">
        <v>102</v>
      </c>
      <c r="Q1024" s="3" t="s">
        <v>103</v>
      </c>
      <c r="R1024" s="3" t="s">
        <v>103</v>
      </c>
    </row>
    <row r="1025" spans="1:18">
      <c r="A1025" s="19">
        <v>46699</v>
      </c>
      <c r="B1025" s="3" t="s">
        <v>25</v>
      </c>
      <c r="C1025" s="3" t="s">
        <v>19</v>
      </c>
      <c r="D1025" s="3" t="s">
        <v>13</v>
      </c>
      <c r="E1025" s="3" t="s">
        <v>14</v>
      </c>
      <c r="F1025" s="3" t="s">
        <v>30</v>
      </c>
      <c r="G1025" s="3" t="s">
        <v>31</v>
      </c>
      <c r="H1025">
        <v>300000</v>
      </c>
      <c r="I1025">
        <v>10</v>
      </c>
      <c r="J1025" s="3" t="s">
        <v>37</v>
      </c>
      <c r="K1025">
        <v>240000</v>
      </c>
      <c r="L1025">
        <v>3000000</v>
      </c>
      <c r="M1025">
        <v>2400000</v>
      </c>
      <c r="N1025">
        <v>600000</v>
      </c>
      <c r="O1025" s="3" t="s">
        <v>1126</v>
      </c>
      <c r="P1025" s="3" t="s">
        <v>102</v>
      </c>
      <c r="Q1025" s="3" t="s">
        <v>103</v>
      </c>
      <c r="R1025" s="3" t="s">
        <v>103</v>
      </c>
    </row>
    <row r="1026" spans="1:18">
      <c r="A1026" s="19">
        <v>46700</v>
      </c>
      <c r="B1026" s="3" t="s">
        <v>25</v>
      </c>
      <c r="C1026" s="3" t="s">
        <v>32</v>
      </c>
      <c r="D1026" s="3" t="s">
        <v>23</v>
      </c>
      <c r="E1026" s="3" t="s">
        <v>14</v>
      </c>
      <c r="F1026" s="3" t="s">
        <v>21</v>
      </c>
      <c r="G1026" s="3" t="s">
        <v>22</v>
      </c>
      <c r="H1026">
        <v>30000</v>
      </c>
      <c r="I1026">
        <v>2</v>
      </c>
      <c r="J1026" s="3" t="s">
        <v>28</v>
      </c>
      <c r="K1026">
        <v>24000</v>
      </c>
      <c r="L1026">
        <v>60000</v>
      </c>
      <c r="M1026">
        <v>48000</v>
      </c>
      <c r="N1026">
        <v>12000</v>
      </c>
      <c r="O1026" s="3" t="s">
        <v>1127</v>
      </c>
      <c r="P1026" s="3" t="s">
        <v>102</v>
      </c>
      <c r="Q1026" s="3" t="s">
        <v>103</v>
      </c>
      <c r="R1026" s="3" t="s">
        <v>103</v>
      </c>
    </row>
    <row r="1027" spans="1:18">
      <c r="A1027" s="19">
        <v>46701</v>
      </c>
      <c r="B1027" s="3" t="s">
        <v>18</v>
      </c>
      <c r="C1027" s="3" t="s">
        <v>26</v>
      </c>
      <c r="D1027" s="3" t="s">
        <v>23</v>
      </c>
      <c r="E1027" s="3" t="s">
        <v>14</v>
      </c>
      <c r="F1027" s="3" t="s">
        <v>21</v>
      </c>
      <c r="G1027" s="3" t="s">
        <v>22</v>
      </c>
      <c r="H1027">
        <v>30000</v>
      </c>
      <c r="I1027">
        <v>8</v>
      </c>
      <c r="J1027" s="3" t="s">
        <v>39</v>
      </c>
      <c r="K1027">
        <v>24000</v>
      </c>
      <c r="L1027">
        <v>240000</v>
      </c>
      <c r="M1027">
        <v>192000</v>
      </c>
      <c r="N1027">
        <v>48000</v>
      </c>
      <c r="O1027" s="3" t="s">
        <v>1128</v>
      </c>
      <c r="P1027" s="3" t="s">
        <v>102</v>
      </c>
      <c r="Q1027" s="3" t="s">
        <v>103</v>
      </c>
      <c r="R1027" s="3" t="s">
        <v>103</v>
      </c>
    </row>
    <row r="1028" spans="1:18">
      <c r="A1028" s="19">
        <v>46702</v>
      </c>
      <c r="B1028" s="3" t="s">
        <v>25</v>
      </c>
      <c r="C1028" s="3" t="s">
        <v>26</v>
      </c>
      <c r="D1028" s="3" t="s">
        <v>23</v>
      </c>
      <c r="E1028" s="3" t="s">
        <v>20</v>
      </c>
      <c r="F1028" s="3" t="s">
        <v>21</v>
      </c>
      <c r="G1028" s="3" t="s">
        <v>22</v>
      </c>
      <c r="H1028">
        <v>30000</v>
      </c>
      <c r="I1028">
        <v>9</v>
      </c>
      <c r="J1028" s="3" t="s">
        <v>28</v>
      </c>
      <c r="K1028">
        <v>24000</v>
      </c>
      <c r="L1028">
        <v>270000</v>
      </c>
      <c r="M1028">
        <v>216000</v>
      </c>
      <c r="N1028">
        <v>54000</v>
      </c>
      <c r="O1028" s="3" t="s">
        <v>1129</v>
      </c>
      <c r="P1028" s="3" t="s">
        <v>102</v>
      </c>
      <c r="Q1028" s="3" t="s">
        <v>103</v>
      </c>
      <c r="R1028" s="3" t="s">
        <v>103</v>
      </c>
    </row>
    <row r="1029" spans="1:18">
      <c r="A1029" s="19">
        <v>46703</v>
      </c>
      <c r="B1029" s="3" t="s">
        <v>29</v>
      </c>
      <c r="C1029" s="3" t="s">
        <v>12</v>
      </c>
      <c r="D1029" s="3" t="s">
        <v>13</v>
      </c>
      <c r="E1029" s="3" t="s">
        <v>20</v>
      </c>
      <c r="F1029" s="3" t="s">
        <v>41</v>
      </c>
      <c r="G1029" s="3" t="s">
        <v>22</v>
      </c>
      <c r="H1029">
        <v>220000</v>
      </c>
      <c r="I1029">
        <v>2</v>
      </c>
      <c r="J1029" s="3" t="s">
        <v>39</v>
      </c>
      <c r="K1029">
        <v>176000</v>
      </c>
      <c r="L1029">
        <v>440000</v>
      </c>
      <c r="M1029">
        <v>352000</v>
      </c>
      <c r="N1029">
        <v>88000</v>
      </c>
      <c r="O1029" s="3" t="s">
        <v>1130</v>
      </c>
      <c r="P1029" s="3" t="s">
        <v>102</v>
      </c>
      <c r="Q1029" s="3" t="s">
        <v>103</v>
      </c>
      <c r="R1029" s="3" t="s">
        <v>103</v>
      </c>
    </row>
    <row r="1030" spans="1:18">
      <c r="A1030" s="19">
        <v>46704</v>
      </c>
      <c r="B1030" s="3" t="s">
        <v>25</v>
      </c>
      <c r="C1030" s="3" t="s">
        <v>26</v>
      </c>
      <c r="D1030" s="3" t="s">
        <v>13</v>
      </c>
      <c r="E1030" s="3" t="s">
        <v>20</v>
      </c>
      <c r="F1030" s="3" t="s">
        <v>41</v>
      </c>
      <c r="G1030" s="3" t="s">
        <v>22</v>
      </c>
      <c r="H1030">
        <v>220000</v>
      </c>
      <c r="I1030">
        <v>3</v>
      </c>
      <c r="J1030" s="3" t="s">
        <v>39</v>
      </c>
      <c r="K1030">
        <v>176000</v>
      </c>
      <c r="L1030">
        <v>660000</v>
      </c>
      <c r="M1030">
        <v>528000</v>
      </c>
      <c r="N1030">
        <v>132000</v>
      </c>
      <c r="O1030" s="3" t="s">
        <v>1131</v>
      </c>
      <c r="P1030" s="3" t="s">
        <v>102</v>
      </c>
      <c r="Q1030" s="3" t="s">
        <v>103</v>
      </c>
      <c r="R1030" s="3" t="s">
        <v>103</v>
      </c>
    </row>
    <row r="1031" spans="1:18">
      <c r="A1031" s="19">
        <v>46705</v>
      </c>
      <c r="B1031" s="3" t="s">
        <v>25</v>
      </c>
      <c r="C1031" s="3" t="s">
        <v>32</v>
      </c>
      <c r="D1031" s="3" t="s">
        <v>13</v>
      </c>
      <c r="E1031" s="3" t="s">
        <v>20</v>
      </c>
      <c r="F1031" s="3" t="s">
        <v>15</v>
      </c>
      <c r="G1031" s="3" t="s">
        <v>16</v>
      </c>
      <c r="H1031">
        <v>85000</v>
      </c>
      <c r="I1031">
        <v>3</v>
      </c>
      <c r="J1031" s="3" t="s">
        <v>24</v>
      </c>
      <c r="K1031">
        <v>68000</v>
      </c>
      <c r="L1031">
        <v>255000</v>
      </c>
      <c r="M1031">
        <v>204000</v>
      </c>
      <c r="N1031">
        <v>51000</v>
      </c>
      <c r="O1031" s="3" t="s">
        <v>1132</v>
      </c>
      <c r="P1031" s="3" t="s">
        <v>102</v>
      </c>
      <c r="Q1031" s="3" t="s">
        <v>103</v>
      </c>
      <c r="R1031" s="3" t="s">
        <v>103</v>
      </c>
    </row>
    <row r="1032" spans="1:18">
      <c r="A1032" s="19">
        <v>46706</v>
      </c>
      <c r="B1032" s="3" t="s">
        <v>11</v>
      </c>
      <c r="C1032" s="3" t="s">
        <v>19</v>
      </c>
      <c r="D1032" s="3" t="s">
        <v>23</v>
      </c>
      <c r="E1032" s="3" t="s">
        <v>14</v>
      </c>
      <c r="F1032" s="3" t="s">
        <v>27</v>
      </c>
      <c r="G1032" s="3" t="s">
        <v>22</v>
      </c>
      <c r="H1032">
        <v>60000</v>
      </c>
      <c r="I1032">
        <v>3</v>
      </c>
      <c r="J1032" s="3" t="s">
        <v>35</v>
      </c>
      <c r="K1032">
        <v>48000</v>
      </c>
      <c r="L1032">
        <v>180000</v>
      </c>
      <c r="M1032">
        <v>144000</v>
      </c>
      <c r="N1032">
        <v>36000</v>
      </c>
      <c r="O1032" s="3" t="s">
        <v>1133</v>
      </c>
      <c r="P1032" s="3" t="s">
        <v>102</v>
      </c>
      <c r="Q1032" s="3" t="s">
        <v>103</v>
      </c>
      <c r="R1032" s="3" t="s">
        <v>103</v>
      </c>
    </row>
    <row r="1033" spans="1:18">
      <c r="A1033" s="19">
        <v>46707</v>
      </c>
      <c r="B1033" s="3" t="s">
        <v>11</v>
      </c>
      <c r="C1033" s="3" t="s">
        <v>26</v>
      </c>
      <c r="D1033" s="3" t="s">
        <v>23</v>
      </c>
      <c r="E1033" s="3" t="s">
        <v>20</v>
      </c>
      <c r="F1033" s="3" t="s">
        <v>41</v>
      </c>
      <c r="G1033" s="3" t="s">
        <v>22</v>
      </c>
      <c r="H1033">
        <v>220000</v>
      </c>
      <c r="I1033">
        <v>3</v>
      </c>
      <c r="J1033" s="3" t="s">
        <v>39</v>
      </c>
      <c r="K1033">
        <v>176000</v>
      </c>
      <c r="L1033">
        <v>660000</v>
      </c>
      <c r="M1033">
        <v>528000</v>
      </c>
      <c r="N1033">
        <v>132000</v>
      </c>
      <c r="O1033" s="3" t="s">
        <v>1134</v>
      </c>
      <c r="P1033" s="3" t="s">
        <v>102</v>
      </c>
      <c r="Q1033" s="3" t="s">
        <v>103</v>
      </c>
      <c r="R1033" s="3" t="s">
        <v>103</v>
      </c>
    </row>
    <row r="1034" spans="1:18">
      <c r="A1034" s="19">
        <v>46708</v>
      </c>
      <c r="B1034" s="3" t="s">
        <v>11</v>
      </c>
      <c r="C1034" s="3" t="s">
        <v>12</v>
      </c>
      <c r="D1034" s="3" t="s">
        <v>13</v>
      </c>
      <c r="E1034" s="3" t="s">
        <v>20</v>
      </c>
      <c r="F1034" s="3" t="s">
        <v>21</v>
      </c>
      <c r="G1034" s="3" t="s">
        <v>22</v>
      </c>
      <c r="H1034">
        <v>30000</v>
      </c>
      <c r="I1034">
        <v>1</v>
      </c>
      <c r="J1034" s="3" t="s">
        <v>17</v>
      </c>
      <c r="K1034">
        <v>24000</v>
      </c>
      <c r="L1034">
        <v>30000</v>
      </c>
      <c r="M1034">
        <v>24000</v>
      </c>
      <c r="N1034">
        <v>6000</v>
      </c>
      <c r="O1034" s="3" t="s">
        <v>1135</v>
      </c>
      <c r="P1034" s="3" t="s">
        <v>102</v>
      </c>
      <c r="Q1034" s="3" t="s">
        <v>103</v>
      </c>
      <c r="R1034" s="3" t="s">
        <v>103</v>
      </c>
    </row>
    <row r="1035" spans="1:18">
      <c r="A1035" s="19">
        <v>46709</v>
      </c>
      <c r="B1035" s="3" t="s">
        <v>18</v>
      </c>
      <c r="C1035" s="3" t="s">
        <v>32</v>
      </c>
      <c r="D1035" s="3" t="s">
        <v>23</v>
      </c>
      <c r="E1035" s="3" t="s">
        <v>20</v>
      </c>
      <c r="F1035" s="3" t="s">
        <v>38</v>
      </c>
      <c r="G1035" s="3" t="s">
        <v>31</v>
      </c>
      <c r="H1035">
        <v>420000</v>
      </c>
      <c r="I1035">
        <v>1</v>
      </c>
      <c r="J1035" s="3" t="s">
        <v>39</v>
      </c>
      <c r="K1035">
        <v>336000</v>
      </c>
      <c r="L1035">
        <v>420000</v>
      </c>
      <c r="M1035">
        <v>336000</v>
      </c>
      <c r="N1035">
        <v>84000</v>
      </c>
      <c r="O1035" s="3" t="s">
        <v>1136</v>
      </c>
      <c r="P1035" s="3" t="s">
        <v>102</v>
      </c>
      <c r="Q1035" s="3" t="s">
        <v>103</v>
      </c>
      <c r="R1035" s="3" t="s">
        <v>103</v>
      </c>
    </row>
    <row r="1036" spans="1:18">
      <c r="A1036" s="19">
        <v>46710</v>
      </c>
      <c r="B1036" s="3" t="s">
        <v>11</v>
      </c>
      <c r="C1036" s="3" t="s">
        <v>19</v>
      </c>
      <c r="D1036" s="3" t="s">
        <v>13</v>
      </c>
      <c r="E1036" s="3" t="s">
        <v>20</v>
      </c>
      <c r="F1036" s="3" t="s">
        <v>41</v>
      </c>
      <c r="G1036" s="3" t="s">
        <v>22</v>
      </c>
      <c r="H1036">
        <v>220000</v>
      </c>
      <c r="I1036">
        <v>10</v>
      </c>
      <c r="J1036" s="3" t="s">
        <v>24</v>
      </c>
      <c r="K1036">
        <v>176000</v>
      </c>
      <c r="L1036">
        <v>2200000</v>
      </c>
      <c r="M1036">
        <v>1760000</v>
      </c>
      <c r="N1036">
        <v>440000</v>
      </c>
      <c r="O1036" s="3" t="s">
        <v>1137</v>
      </c>
      <c r="P1036" s="3" t="s">
        <v>102</v>
      </c>
      <c r="Q1036" s="3" t="s">
        <v>103</v>
      </c>
      <c r="R1036" s="3" t="s">
        <v>103</v>
      </c>
    </row>
    <row r="1037" spans="1:18">
      <c r="A1037" s="19">
        <v>46711</v>
      </c>
      <c r="B1037" s="3" t="s">
        <v>25</v>
      </c>
      <c r="C1037" s="3" t="s">
        <v>26</v>
      </c>
      <c r="D1037" s="3" t="s">
        <v>23</v>
      </c>
      <c r="E1037" s="3" t="s">
        <v>20</v>
      </c>
      <c r="F1037" s="3" t="s">
        <v>33</v>
      </c>
      <c r="G1037" s="3" t="s">
        <v>22</v>
      </c>
      <c r="H1037">
        <v>180000</v>
      </c>
      <c r="I1037">
        <v>10</v>
      </c>
      <c r="J1037" s="3" t="s">
        <v>39</v>
      </c>
      <c r="K1037">
        <v>144000</v>
      </c>
      <c r="L1037">
        <v>1800000</v>
      </c>
      <c r="M1037">
        <v>1440000</v>
      </c>
      <c r="N1037">
        <v>360000</v>
      </c>
      <c r="O1037" s="3" t="s">
        <v>1138</v>
      </c>
      <c r="P1037" s="3" t="s">
        <v>102</v>
      </c>
      <c r="Q1037" s="3" t="s">
        <v>103</v>
      </c>
      <c r="R1037" s="3" t="s">
        <v>103</v>
      </c>
    </row>
    <row r="1038" spans="1:18">
      <c r="A1038" s="19">
        <v>46712</v>
      </c>
      <c r="B1038" s="3" t="s">
        <v>25</v>
      </c>
      <c r="C1038" s="3" t="s">
        <v>12</v>
      </c>
      <c r="D1038" s="3" t="s">
        <v>13</v>
      </c>
      <c r="E1038" s="3" t="s">
        <v>14</v>
      </c>
      <c r="F1038" s="3" t="s">
        <v>38</v>
      </c>
      <c r="G1038" s="3" t="s">
        <v>31</v>
      </c>
      <c r="H1038">
        <v>420000</v>
      </c>
      <c r="I1038">
        <v>3</v>
      </c>
      <c r="J1038" s="3" t="s">
        <v>37</v>
      </c>
      <c r="K1038">
        <v>336000</v>
      </c>
      <c r="L1038">
        <v>1260000</v>
      </c>
      <c r="M1038">
        <v>1008000</v>
      </c>
      <c r="N1038">
        <v>252000</v>
      </c>
      <c r="O1038" s="3" t="s">
        <v>1139</v>
      </c>
      <c r="P1038" s="3" t="s">
        <v>102</v>
      </c>
      <c r="Q1038" s="3" t="s">
        <v>103</v>
      </c>
      <c r="R1038" s="3" t="s">
        <v>103</v>
      </c>
    </row>
    <row r="1039" spans="1:18">
      <c r="A1039" s="19">
        <v>46713</v>
      </c>
      <c r="B1039" s="3" t="s">
        <v>11</v>
      </c>
      <c r="C1039" s="3" t="s">
        <v>32</v>
      </c>
      <c r="D1039" s="3" t="s">
        <v>23</v>
      </c>
      <c r="E1039" s="3" t="s">
        <v>14</v>
      </c>
      <c r="F1039" s="3" t="s">
        <v>15</v>
      </c>
      <c r="G1039" s="3" t="s">
        <v>16</v>
      </c>
      <c r="H1039">
        <v>85000</v>
      </c>
      <c r="I1039">
        <v>4</v>
      </c>
      <c r="J1039" s="3" t="s">
        <v>28</v>
      </c>
      <c r="K1039">
        <v>68000</v>
      </c>
      <c r="L1039">
        <v>340000</v>
      </c>
      <c r="M1039">
        <v>272000</v>
      </c>
      <c r="N1039">
        <v>68000</v>
      </c>
      <c r="O1039" s="3" t="s">
        <v>1140</v>
      </c>
      <c r="P1039" s="3" t="s">
        <v>102</v>
      </c>
      <c r="Q1039" s="3" t="s">
        <v>103</v>
      </c>
      <c r="R1039" s="3" t="s">
        <v>103</v>
      </c>
    </row>
    <row r="1040" spans="1:18">
      <c r="A1040" s="19">
        <v>46714</v>
      </c>
      <c r="B1040" s="3" t="s">
        <v>25</v>
      </c>
      <c r="C1040" s="3" t="s">
        <v>26</v>
      </c>
      <c r="D1040" s="3" t="s">
        <v>23</v>
      </c>
      <c r="E1040" s="3" t="s">
        <v>14</v>
      </c>
      <c r="F1040" s="3" t="s">
        <v>34</v>
      </c>
      <c r="G1040" s="3" t="s">
        <v>16</v>
      </c>
      <c r="H1040">
        <v>320000</v>
      </c>
      <c r="I1040">
        <v>4</v>
      </c>
      <c r="J1040" s="3" t="s">
        <v>35</v>
      </c>
      <c r="K1040">
        <v>256000</v>
      </c>
      <c r="L1040">
        <v>1280000</v>
      </c>
      <c r="M1040">
        <v>1024000</v>
      </c>
      <c r="N1040">
        <v>256000</v>
      </c>
      <c r="O1040" s="3" t="s">
        <v>1141</v>
      </c>
      <c r="P1040" s="3" t="s">
        <v>102</v>
      </c>
      <c r="Q1040" s="3" t="s">
        <v>103</v>
      </c>
      <c r="R1040" s="3" t="s">
        <v>103</v>
      </c>
    </row>
    <row r="1041" spans="1:18">
      <c r="A1041" s="19">
        <v>46715</v>
      </c>
      <c r="B1041" s="3" t="s">
        <v>11</v>
      </c>
      <c r="C1041" s="3" t="s">
        <v>32</v>
      </c>
      <c r="D1041" s="3" t="s">
        <v>13</v>
      </c>
      <c r="E1041" s="3" t="s">
        <v>20</v>
      </c>
      <c r="F1041" s="3" t="s">
        <v>41</v>
      </c>
      <c r="G1041" s="3" t="s">
        <v>22</v>
      </c>
      <c r="H1041">
        <v>220000</v>
      </c>
      <c r="I1041">
        <v>1</v>
      </c>
      <c r="J1041" s="3" t="s">
        <v>37</v>
      </c>
      <c r="K1041">
        <v>176000</v>
      </c>
      <c r="L1041">
        <v>220000</v>
      </c>
      <c r="M1041">
        <v>176000</v>
      </c>
      <c r="N1041">
        <v>44000</v>
      </c>
      <c r="O1041" s="3" t="s">
        <v>1142</v>
      </c>
      <c r="P1041" s="3" t="s">
        <v>102</v>
      </c>
      <c r="Q1041" s="3" t="s">
        <v>103</v>
      </c>
      <c r="R1041" s="3" t="s">
        <v>103</v>
      </c>
    </row>
    <row r="1042" spans="1:18">
      <c r="A1042" s="19">
        <v>46716</v>
      </c>
      <c r="B1042" s="3" t="s">
        <v>25</v>
      </c>
      <c r="C1042" s="3" t="s">
        <v>19</v>
      </c>
      <c r="D1042" s="3" t="s">
        <v>23</v>
      </c>
      <c r="E1042" s="3" t="s">
        <v>20</v>
      </c>
      <c r="F1042" s="3" t="s">
        <v>15</v>
      </c>
      <c r="G1042" s="3" t="s">
        <v>16</v>
      </c>
      <c r="H1042">
        <v>85000</v>
      </c>
      <c r="I1042">
        <v>1</v>
      </c>
      <c r="J1042" s="3" t="s">
        <v>24</v>
      </c>
      <c r="K1042">
        <v>68000</v>
      </c>
      <c r="L1042">
        <v>85000</v>
      </c>
      <c r="M1042">
        <v>68000</v>
      </c>
      <c r="N1042">
        <v>17000</v>
      </c>
      <c r="O1042" s="3" t="s">
        <v>1143</v>
      </c>
      <c r="P1042" s="3" t="s">
        <v>102</v>
      </c>
      <c r="Q1042" s="3" t="s">
        <v>103</v>
      </c>
      <c r="R1042" s="3" t="s">
        <v>103</v>
      </c>
    </row>
    <row r="1043" spans="1:18">
      <c r="A1043" s="19">
        <v>46717</v>
      </c>
      <c r="B1043" s="3" t="s">
        <v>11</v>
      </c>
      <c r="C1043" s="3" t="s">
        <v>32</v>
      </c>
      <c r="D1043" s="3" t="s">
        <v>13</v>
      </c>
      <c r="E1043" s="3" t="s">
        <v>14</v>
      </c>
      <c r="F1043" s="3" t="s">
        <v>36</v>
      </c>
      <c r="G1043" s="3" t="s">
        <v>31</v>
      </c>
      <c r="H1043">
        <v>150000</v>
      </c>
      <c r="I1043">
        <v>8</v>
      </c>
      <c r="J1043" s="3" t="s">
        <v>39</v>
      </c>
      <c r="K1043">
        <v>120000</v>
      </c>
      <c r="L1043">
        <v>1200000</v>
      </c>
      <c r="M1043">
        <v>960000</v>
      </c>
      <c r="N1043">
        <v>240000</v>
      </c>
      <c r="O1043" s="3" t="s">
        <v>1144</v>
      </c>
      <c r="P1043" s="3" t="s">
        <v>102</v>
      </c>
      <c r="Q1043" s="3" t="s">
        <v>103</v>
      </c>
      <c r="R1043" s="3" t="s">
        <v>103</v>
      </c>
    </row>
    <row r="1044" spans="1:18">
      <c r="A1044" s="19">
        <v>46718</v>
      </c>
      <c r="B1044" s="3" t="s">
        <v>29</v>
      </c>
      <c r="C1044" s="3" t="s">
        <v>19</v>
      </c>
      <c r="D1044" s="3" t="s">
        <v>23</v>
      </c>
      <c r="E1044" s="3" t="s">
        <v>14</v>
      </c>
      <c r="F1044" s="3" t="s">
        <v>36</v>
      </c>
      <c r="G1044" s="3" t="s">
        <v>31</v>
      </c>
      <c r="H1044">
        <v>150000</v>
      </c>
      <c r="I1044">
        <v>9</v>
      </c>
      <c r="J1044" s="3" t="s">
        <v>17</v>
      </c>
      <c r="K1044">
        <v>120000</v>
      </c>
      <c r="L1044">
        <v>1350000</v>
      </c>
      <c r="M1044">
        <v>1080000</v>
      </c>
      <c r="N1044">
        <v>270000</v>
      </c>
      <c r="O1044" s="3" t="s">
        <v>1145</v>
      </c>
      <c r="P1044" s="3" t="s">
        <v>102</v>
      </c>
      <c r="Q1044" s="3" t="s">
        <v>103</v>
      </c>
      <c r="R1044" s="3" t="s">
        <v>103</v>
      </c>
    </row>
    <row r="1045" spans="1:18">
      <c r="A1045" s="19">
        <v>46719</v>
      </c>
      <c r="B1045" s="3" t="s">
        <v>11</v>
      </c>
      <c r="C1045" s="3" t="s">
        <v>19</v>
      </c>
      <c r="D1045" s="3" t="s">
        <v>23</v>
      </c>
      <c r="E1045" s="3" t="s">
        <v>14</v>
      </c>
      <c r="F1045" s="3" t="s">
        <v>30</v>
      </c>
      <c r="G1045" s="3" t="s">
        <v>31</v>
      </c>
      <c r="H1045">
        <v>300000</v>
      </c>
      <c r="I1045">
        <v>3</v>
      </c>
      <c r="J1045" s="3" t="s">
        <v>17</v>
      </c>
      <c r="K1045">
        <v>240000</v>
      </c>
      <c r="L1045">
        <v>900000</v>
      </c>
      <c r="M1045">
        <v>720000</v>
      </c>
      <c r="N1045">
        <v>180000</v>
      </c>
      <c r="O1045" s="3" t="s">
        <v>1146</v>
      </c>
      <c r="P1045" s="3" t="s">
        <v>102</v>
      </c>
      <c r="Q1045" s="3" t="s">
        <v>103</v>
      </c>
      <c r="R1045" s="3" t="s">
        <v>103</v>
      </c>
    </row>
    <row r="1046" spans="1:18">
      <c r="A1046" s="19">
        <v>46720</v>
      </c>
      <c r="B1046" s="3" t="s">
        <v>29</v>
      </c>
      <c r="C1046" s="3" t="s">
        <v>32</v>
      </c>
      <c r="D1046" s="3" t="s">
        <v>23</v>
      </c>
      <c r="E1046" s="3" t="s">
        <v>14</v>
      </c>
      <c r="F1046" s="3" t="s">
        <v>36</v>
      </c>
      <c r="G1046" s="3" t="s">
        <v>31</v>
      </c>
      <c r="H1046">
        <v>150000</v>
      </c>
      <c r="I1046">
        <v>10</v>
      </c>
      <c r="J1046" s="3" t="s">
        <v>35</v>
      </c>
      <c r="K1046">
        <v>120000</v>
      </c>
      <c r="L1046">
        <v>1500000</v>
      </c>
      <c r="M1046">
        <v>1200000</v>
      </c>
      <c r="N1046">
        <v>300000</v>
      </c>
      <c r="O1046" s="3" t="s">
        <v>1147</v>
      </c>
      <c r="P1046" s="3" t="s">
        <v>102</v>
      </c>
      <c r="Q1046" s="3" t="s">
        <v>103</v>
      </c>
      <c r="R1046" s="3" t="s">
        <v>103</v>
      </c>
    </row>
    <row r="1047" spans="1:18">
      <c r="A1047" s="19">
        <v>46721</v>
      </c>
      <c r="B1047" s="3" t="s">
        <v>11</v>
      </c>
      <c r="C1047" s="3" t="s">
        <v>32</v>
      </c>
      <c r="D1047" s="3" t="s">
        <v>13</v>
      </c>
      <c r="E1047" s="3" t="s">
        <v>20</v>
      </c>
      <c r="F1047" s="3" t="s">
        <v>15</v>
      </c>
      <c r="G1047" s="3" t="s">
        <v>16</v>
      </c>
      <c r="H1047">
        <v>85000</v>
      </c>
      <c r="I1047">
        <v>2</v>
      </c>
      <c r="J1047" s="3" t="s">
        <v>35</v>
      </c>
      <c r="K1047">
        <v>68000</v>
      </c>
      <c r="L1047">
        <v>170000</v>
      </c>
      <c r="M1047">
        <v>136000</v>
      </c>
      <c r="N1047">
        <v>34000</v>
      </c>
      <c r="O1047" s="3" t="s">
        <v>1148</v>
      </c>
      <c r="P1047" s="3" t="s">
        <v>102</v>
      </c>
      <c r="Q1047" s="3" t="s">
        <v>103</v>
      </c>
      <c r="R1047" s="3" t="s">
        <v>103</v>
      </c>
    </row>
    <row r="1048" spans="1:18">
      <c r="A1048" s="19">
        <v>46722</v>
      </c>
      <c r="B1048" s="3" t="s">
        <v>18</v>
      </c>
      <c r="C1048" s="3" t="s">
        <v>12</v>
      </c>
      <c r="D1048" s="3" t="s">
        <v>23</v>
      </c>
      <c r="E1048" s="3" t="s">
        <v>20</v>
      </c>
      <c r="F1048" s="3" t="s">
        <v>38</v>
      </c>
      <c r="G1048" s="3" t="s">
        <v>31</v>
      </c>
      <c r="H1048">
        <v>420000</v>
      </c>
      <c r="I1048">
        <v>9</v>
      </c>
      <c r="J1048" s="3" t="s">
        <v>24</v>
      </c>
      <c r="K1048">
        <v>336000</v>
      </c>
      <c r="L1048">
        <v>3780000</v>
      </c>
      <c r="M1048">
        <v>3024000</v>
      </c>
      <c r="N1048">
        <v>756000</v>
      </c>
      <c r="O1048" s="3" t="s">
        <v>1149</v>
      </c>
      <c r="P1048" s="3" t="s">
        <v>102</v>
      </c>
      <c r="Q1048" s="3" t="s">
        <v>103</v>
      </c>
      <c r="R1048" s="3" t="s">
        <v>103</v>
      </c>
    </row>
    <row r="1049" spans="1:18">
      <c r="A1049" s="19">
        <v>46723</v>
      </c>
      <c r="B1049" s="3" t="s">
        <v>11</v>
      </c>
      <c r="C1049" s="3" t="s">
        <v>19</v>
      </c>
      <c r="D1049" s="3" t="s">
        <v>23</v>
      </c>
      <c r="E1049" s="3" t="s">
        <v>14</v>
      </c>
      <c r="F1049" s="3" t="s">
        <v>30</v>
      </c>
      <c r="G1049" s="3" t="s">
        <v>31</v>
      </c>
      <c r="H1049">
        <v>300000</v>
      </c>
      <c r="I1049">
        <v>2</v>
      </c>
      <c r="J1049" s="3" t="s">
        <v>39</v>
      </c>
      <c r="K1049">
        <v>240000</v>
      </c>
      <c r="L1049">
        <v>600000</v>
      </c>
      <c r="M1049">
        <v>480000</v>
      </c>
      <c r="N1049">
        <v>120000</v>
      </c>
      <c r="O1049" s="3" t="s">
        <v>1150</v>
      </c>
      <c r="P1049" s="3" t="s">
        <v>102</v>
      </c>
      <c r="Q1049" s="3" t="s">
        <v>103</v>
      </c>
      <c r="R1049" s="3" t="s">
        <v>103</v>
      </c>
    </row>
    <row r="1050" spans="1:18">
      <c r="A1050" s="19">
        <v>46724</v>
      </c>
      <c r="B1050" s="3" t="s">
        <v>18</v>
      </c>
      <c r="C1050" s="3" t="s">
        <v>26</v>
      </c>
      <c r="D1050" s="3" t="s">
        <v>23</v>
      </c>
      <c r="E1050" s="3" t="s">
        <v>14</v>
      </c>
      <c r="F1050" s="3" t="s">
        <v>36</v>
      </c>
      <c r="G1050" s="3" t="s">
        <v>31</v>
      </c>
      <c r="H1050">
        <v>150000</v>
      </c>
      <c r="I1050">
        <v>4</v>
      </c>
      <c r="J1050" s="3" t="s">
        <v>37</v>
      </c>
      <c r="K1050">
        <v>120000</v>
      </c>
      <c r="L1050">
        <v>600000</v>
      </c>
      <c r="M1050">
        <v>480000</v>
      </c>
      <c r="N1050">
        <v>120000</v>
      </c>
      <c r="O1050" s="3" t="s">
        <v>1151</v>
      </c>
      <c r="P1050" s="3" t="s">
        <v>102</v>
      </c>
      <c r="Q1050" s="3" t="s">
        <v>103</v>
      </c>
      <c r="R1050" s="3" t="s">
        <v>103</v>
      </c>
    </row>
    <row r="1051" spans="1:18">
      <c r="A1051" s="19">
        <v>46725</v>
      </c>
      <c r="B1051" s="3" t="s">
        <v>18</v>
      </c>
      <c r="C1051" s="3" t="s">
        <v>19</v>
      </c>
      <c r="D1051" s="3" t="s">
        <v>13</v>
      </c>
      <c r="E1051" s="3" t="s">
        <v>14</v>
      </c>
      <c r="F1051" s="3" t="s">
        <v>38</v>
      </c>
      <c r="G1051" s="3" t="s">
        <v>31</v>
      </c>
      <c r="H1051">
        <v>420000</v>
      </c>
      <c r="I1051">
        <v>9</v>
      </c>
      <c r="J1051" s="3" t="s">
        <v>24</v>
      </c>
      <c r="K1051">
        <v>336000</v>
      </c>
      <c r="L1051">
        <v>3780000</v>
      </c>
      <c r="M1051">
        <v>3024000</v>
      </c>
      <c r="N1051">
        <v>756000</v>
      </c>
      <c r="O1051" s="3" t="s">
        <v>1152</v>
      </c>
      <c r="P1051" s="3" t="s">
        <v>102</v>
      </c>
      <c r="Q1051" s="3" t="s">
        <v>103</v>
      </c>
      <c r="R1051" s="3" t="s">
        <v>103</v>
      </c>
    </row>
    <row r="1052" spans="1:18">
      <c r="A1052" s="19">
        <v>46726</v>
      </c>
      <c r="B1052" s="3" t="s">
        <v>29</v>
      </c>
      <c r="C1052" s="3" t="s">
        <v>26</v>
      </c>
      <c r="D1052" s="3" t="s">
        <v>13</v>
      </c>
      <c r="E1052" s="3" t="s">
        <v>20</v>
      </c>
      <c r="F1052" s="3" t="s">
        <v>40</v>
      </c>
      <c r="G1052" s="3" t="s">
        <v>31</v>
      </c>
      <c r="H1052">
        <v>250000</v>
      </c>
      <c r="I1052">
        <v>5</v>
      </c>
      <c r="J1052" s="3" t="s">
        <v>24</v>
      </c>
      <c r="K1052">
        <v>200000</v>
      </c>
      <c r="L1052">
        <v>1250000</v>
      </c>
      <c r="M1052">
        <v>1000000</v>
      </c>
      <c r="N1052">
        <v>250000</v>
      </c>
      <c r="O1052" s="3" t="s">
        <v>1153</v>
      </c>
      <c r="P1052" s="3" t="s">
        <v>102</v>
      </c>
      <c r="Q1052" s="3" t="s">
        <v>103</v>
      </c>
      <c r="R1052" s="3" t="s">
        <v>103</v>
      </c>
    </row>
    <row r="1053" spans="1:18">
      <c r="A1053" s="19">
        <v>46727</v>
      </c>
      <c r="B1053" s="3" t="s">
        <v>29</v>
      </c>
      <c r="C1053" s="3" t="s">
        <v>32</v>
      </c>
      <c r="D1053" s="3" t="s">
        <v>23</v>
      </c>
      <c r="E1053" s="3" t="s">
        <v>14</v>
      </c>
      <c r="F1053" s="3" t="s">
        <v>21</v>
      </c>
      <c r="G1053" s="3" t="s">
        <v>22</v>
      </c>
      <c r="H1053">
        <v>30000</v>
      </c>
      <c r="I1053">
        <v>10</v>
      </c>
      <c r="J1053" s="3" t="s">
        <v>37</v>
      </c>
      <c r="K1053">
        <v>24000</v>
      </c>
      <c r="L1053">
        <v>300000</v>
      </c>
      <c r="M1053">
        <v>240000</v>
      </c>
      <c r="N1053">
        <v>60000</v>
      </c>
      <c r="O1053" s="3" t="s">
        <v>1154</v>
      </c>
      <c r="P1053" s="3" t="s">
        <v>102</v>
      </c>
      <c r="Q1053" s="3" t="s">
        <v>103</v>
      </c>
      <c r="R1053" s="3" t="s">
        <v>103</v>
      </c>
    </row>
    <row r="1054" spans="1:18">
      <c r="A1054" s="19">
        <v>46728</v>
      </c>
      <c r="B1054" s="3" t="s">
        <v>25</v>
      </c>
      <c r="C1054" s="3" t="s">
        <v>26</v>
      </c>
      <c r="D1054" s="3" t="s">
        <v>13</v>
      </c>
      <c r="E1054" s="3" t="s">
        <v>20</v>
      </c>
      <c r="F1054" s="3" t="s">
        <v>38</v>
      </c>
      <c r="G1054" s="3" t="s">
        <v>31</v>
      </c>
      <c r="H1054">
        <v>420000</v>
      </c>
      <c r="I1054">
        <v>3</v>
      </c>
      <c r="J1054" s="3" t="s">
        <v>17</v>
      </c>
      <c r="K1054">
        <v>336000</v>
      </c>
      <c r="L1054">
        <v>1260000</v>
      </c>
      <c r="M1054">
        <v>1008000</v>
      </c>
      <c r="N1054">
        <v>252000</v>
      </c>
      <c r="O1054" s="3" t="s">
        <v>1155</v>
      </c>
      <c r="P1054" s="3" t="s">
        <v>102</v>
      </c>
      <c r="Q1054" s="3" t="s">
        <v>103</v>
      </c>
      <c r="R1054" s="3" t="s">
        <v>103</v>
      </c>
    </row>
    <row r="1055" spans="1:18">
      <c r="A1055" s="19">
        <v>46729</v>
      </c>
      <c r="B1055" s="3" t="s">
        <v>25</v>
      </c>
      <c r="C1055" s="3" t="s">
        <v>32</v>
      </c>
      <c r="D1055" s="3" t="s">
        <v>13</v>
      </c>
      <c r="E1055" s="3" t="s">
        <v>14</v>
      </c>
      <c r="F1055" s="3" t="s">
        <v>34</v>
      </c>
      <c r="G1055" s="3" t="s">
        <v>16</v>
      </c>
      <c r="H1055">
        <v>320000</v>
      </c>
      <c r="I1055">
        <v>8</v>
      </c>
      <c r="J1055" s="3" t="s">
        <v>37</v>
      </c>
      <c r="K1055">
        <v>256000</v>
      </c>
      <c r="L1055">
        <v>2560000</v>
      </c>
      <c r="M1055">
        <v>2048000</v>
      </c>
      <c r="N1055">
        <v>512000</v>
      </c>
      <c r="O1055" s="3" t="s">
        <v>1156</v>
      </c>
      <c r="P1055" s="3" t="s">
        <v>102</v>
      </c>
      <c r="Q1055" s="3" t="s">
        <v>103</v>
      </c>
      <c r="R1055" s="3" t="s">
        <v>103</v>
      </c>
    </row>
    <row r="1056" spans="1:18">
      <c r="A1056" s="19">
        <v>46730</v>
      </c>
      <c r="B1056" s="3" t="s">
        <v>29</v>
      </c>
      <c r="C1056" s="3" t="s">
        <v>19</v>
      </c>
      <c r="D1056" s="3" t="s">
        <v>23</v>
      </c>
      <c r="E1056" s="3" t="s">
        <v>14</v>
      </c>
      <c r="F1056" s="3" t="s">
        <v>38</v>
      </c>
      <c r="G1056" s="3" t="s">
        <v>31</v>
      </c>
      <c r="H1056">
        <v>420000</v>
      </c>
      <c r="I1056">
        <v>8</v>
      </c>
      <c r="J1056" s="3" t="s">
        <v>37</v>
      </c>
      <c r="K1056">
        <v>336000</v>
      </c>
      <c r="L1056">
        <v>3360000</v>
      </c>
      <c r="M1056">
        <v>2688000</v>
      </c>
      <c r="N1056">
        <v>672000</v>
      </c>
      <c r="O1056" s="3" t="s">
        <v>1157</v>
      </c>
      <c r="P1056" s="3" t="s">
        <v>102</v>
      </c>
      <c r="Q1056" s="3" t="s">
        <v>103</v>
      </c>
      <c r="R1056" s="3" t="s">
        <v>103</v>
      </c>
    </row>
    <row r="1057" spans="1:18">
      <c r="A1057" s="19">
        <v>46731</v>
      </c>
      <c r="B1057" s="3" t="s">
        <v>25</v>
      </c>
      <c r="C1057" s="3" t="s">
        <v>26</v>
      </c>
      <c r="D1057" s="3" t="s">
        <v>23</v>
      </c>
      <c r="E1057" s="3" t="s">
        <v>14</v>
      </c>
      <c r="F1057" s="3" t="s">
        <v>36</v>
      </c>
      <c r="G1057" s="3" t="s">
        <v>31</v>
      </c>
      <c r="H1057">
        <v>150000</v>
      </c>
      <c r="I1057">
        <v>1</v>
      </c>
      <c r="J1057" s="3" t="s">
        <v>37</v>
      </c>
      <c r="K1057">
        <v>120000</v>
      </c>
      <c r="L1057">
        <v>150000</v>
      </c>
      <c r="M1057">
        <v>120000</v>
      </c>
      <c r="N1057">
        <v>30000</v>
      </c>
      <c r="O1057" s="3" t="s">
        <v>1158</v>
      </c>
      <c r="P1057" s="3" t="s">
        <v>102</v>
      </c>
      <c r="Q1057" s="3" t="s">
        <v>103</v>
      </c>
      <c r="R1057" s="3" t="s">
        <v>103</v>
      </c>
    </row>
    <row r="1058" spans="1:18">
      <c r="A1058" s="19">
        <v>46732</v>
      </c>
      <c r="B1058" s="3" t="s">
        <v>25</v>
      </c>
      <c r="C1058" s="3" t="s">
        <v>19</v>
      </c>
      <c r="D1058" s="3" t="s">
        <v>13</v>
      </c>
      <c r="E1058" s="3" t="s">
        <v>14</v>
      </c>
      <c r="F1058" s="3" t="s">
        <v>27</v>
      </c>
      <c r="G1058" s="3" t="s">
        <v>22</v>
      </c>
      <c r="H1058">
        <v>60000</v>
      </c>
      <c r="I1058">
        <v>7</v>
      </c>
      <c r="J1058" s="3" t="s">
        <v>35</v>
      </c>
      <c r="K1058">
        <v>48000</v>
      </c>
      <c r="L1058">
        <v>420000</v>
      </c>
      <c r="M1058">
        <v>336000</v>
      </c>
      <c r="N1058">
        <v>84000</v>
      </c>
      <c r="O1058" s="3" t="s">
        <v>1159</v>
      </c>
      <c r="P1058" s="3" t="s">
        <v>102</v>
      </c>
      <c r="Q1058" s="3" t="s">
        <v>103</v>
      </c>
      <c r="R1058" s="3" t="s">
        <v>103</v>
      </c>
    </row>
    <row r="1059" spans="1:18">
      <c r="A1059" s="19">
        <v>46733</v>
      </c>
      <c r="B1059" s="3" t="s">
        <v>25</v>
      </c>
      <c r="C1059" s="3" t="s">
        <v>19</v>
      </c>
      <c r="D1059" s="3" t="s">
        <v>13</v>
      </c>
      <c r="E1059" s="3" t="s">
        <v>20</v>
      </c>
      <c r="F1059" s="3" t="s">
        <v>38</v>
      </c>
      <c r="G1059" s="3" t="s">
        <v>31</v>
      </c>
      <c r="H1059">
        <v>420000</v>
      </c>
      <c r="I1059">
        <v>9</v>
      </c>
      <c r="J1059" s="3" t="s">
        <v>37</v>
      </c>
      <c r="K1059">
        <v>336000</v>
      </c>
      <c r="L1059">
        <v>3780000</v>
      </c>
      <c r="M1059">
        <v>3024000</v>
      </c>
      <c r="N1059">
        <v>756000</v>
      </c>
      <c r="O1059" s="3" t="s">
        <v>1160</v>
      </c>
      <c r="P1059" s="3" t="s">
        <v>102</v>
      </c>
      <c r="Q1059" s="3" t="s">
        <v>103</v>
      </c>
      <c r="R1059" s="3" t="s">
        <v>103</v>
      </c>
    </row>
    <row r="1060" spans="1:18">
      <c r="A1060" s="19">
        <v>46734</v>
      </c>
      <c r="B1060" s="3" t="s">
        <v>18</v>
      </c>
      <c r="C1060" s="3" t="s">
        <v>26</v>
      </c>
      <c r="D1060" s="3" t="s">
        <v>23</v>
      </c>
      <c r="E1060" s="3" t="s">
        <v>20</v>
      </c>
      <c r="F1060" s="3" t="s">
        <v>38</v>
      </c>
      <c r="G1060" s="3" t="s">
        <v>31</v>
      </c>
      <c r="H1060">
        <v>420000</v>
      </c>
      <c r="I1060">
        <v>6</v>
      </c>
      <c r="J1060" s="3" t="s">
        <v>24</v>
      </c>
      <c r="K1060">
        <v>336000</v>
      </c>
      <c r="L1060">
        <v>2520000</v>
      </c>
      <c r="M1060">
        <v>2016000</v>
      </c>
      <c r="N1060">
        <v>504000</v>
      </c>
      <c r="O1060" s="3" t="s">
        <v>1161</v>
      </c>
      <c r="P1060" s="3" t="s">
        <v>102</v>
      </c>
      <c r="Q1060" s="3" t="s">
        <v>103</v>
      </c>
      <c r="R1060" s="3" t="s">
        <v>103</v>
      </c>
    </row>
    <row r="1061" spans="1:18">
      <c r="A1061" s="19">
        <v>46735</v>
      </c>
      <c r="B1061" s="3" t="s">
        <v>18</v>
      </c>
      <c r="C1061" s="3" t="s">
        <v>12</v>
      </c>
      <c r="D1061" s="3" t="s">
        <v>13</v>
      </c>
      <c r="E1061" s="3" t="s">
        <v>14</v>
      </c>
      <c r="F1061" s="3" t="s">
        <v>30</v>
      </c>
      <c r="G1061" s="3" t="s">
        <v>31</v>
      </c>
      <c r="H1061">
        <v>300000</v>
      </c>
      <c r="I1061">
        <v>9</v>
      </c>
      <c r="J1061" s="3" t="s">
        <v>37</v>
      </c>
      <c r="K1061">
        <v>240000</v>
      </c>
      <c r="L1061">
        <v>2700000</v>
      </c>
      <c r="M1061">
        <v>2160000</v>
      </c>
      <c r="N1061">
        <v>540000</v>
      </c>
      <c r="O1061" s="3" t="s">
        <v>1162</v>
      </c>
      <c r="P1061" s="3" t="s">
        <v>102</v>
      </c>
      <c r="Q1061" s="3" t="s">
        <v>103</v>
      </c>
      <c r="R1061" s="3" t="s">
        <v>103</v>
      </c>
    </row>
    <row r="1062" spans="1:18">
      <c r="A1062" s="19">
        <v>46736</v>
      </c>
      <c r="B1062" s="3" t="s">
        <v>29</v>
      </c>
      <c r="C1062" s="3" t="s">
        <v>12</v>
      </c>
      <c r="D1062" s="3" t="s">
        <v>23</v>
      </c>
      <c r="E1062" s="3" t="s">
        <v>14</v>
      </c>
      <c r="F1062" s="3" t="s">
        <v>33</v>
      </c>
      <c r="G1062" s="3" t="s">
        <v>22</v>
      </c>
      <c r="H1062">
        <v>180000</v>
      </c>
      <c r="I1062">
        <v>5</v>
      </c>
      <c r="J1062" s="3" t="s">
        <v>39</v>
      </c>
      <c r="K1062">
        <v>144000</v>
      </c>
      <c r="L1062">
        <v>900000</v>
      </c>
      <c r="M1062">
        <v>720000</v>
      </c>
      <c r="N1062">
        <v>180000</v>
      </c>
      <c r="O1062" s="3" t="s">
        <v>1163</v>
      </c>
      <c r="P1062" s="3" t="s">
        <v>102</v>
      </c>
      <c r="Q1062" s="3" t="s">
        <v>103</v>
      </c>
      <c r="R1062" s="3" t="s">
        <v>103</v>
      </c>
    </row>
    <row r="1063" spans="1:18">
      <c r="A1063" s="19">
        <v>46737</v>
      </c>
      <c r="B1063" s="3" t="s">
        <v>25</v>
      </c>
      <c r="C1063" s="3" t="s">
        <v>26</v>
      </c>
      <c r="D1063" s="3" t="s">
        <v>13</v>
      </c>
      <c r="E1063" s="3" t="s">
        <v>20</v>
      </c>
      <c r="F1063" s="3" t="s">
        <v>36</v>
      </c>
      <c r="G1063" s="3" t="s">
        <v>31</v>
      </c>
      <c r="H1063">
        <v>150000</v>
      </c>
      <c r="I1063">
        <v>5</v>
      </c>
      <c r="J1063" s="3" t="s">
        <v>28</v>
      </c>
      <c r="K1063">
        <v>120000</v>
      </c>
      <c r="L1063">
        <v>750000</v>
      </c>
      <c r="M1063">
        <v>600000</v>
      </c>
      <c r="N1063">
        <v>150000</v>
      </c>
      <c r="O1063" s="3" t="s">
        <v>1164</v>
      </c>
      <c r="P1063" s="3" t="s">
        <v>102</v>
      </c>
      <c r="Q1063" s="3" t="s">
        <v>103</v>
      </c>
      <c r="R1063" s="3" t="s">
        <v>103</v>
      </c>
    </row>
    <row r="1064" spans="1:18">
      <c r="A1064" s="19">
        <v>46738</v>
      </c>
      <c r="B1064" s="3" t="s">
        <v>18</v>
      </c>
      <c r="C1064" s="3" t="s">
        <v>12</v>
      </c>
      <c r="D1064" s="3" t="s">
        <v>13</v>
      </c>
      <c r="E1064" s="3" t="s">
        <v>14</v>
      </c>
      <c r="F1064" s="3" t="s">
        <v>15</v>
      </c>
      <c r="G1064" s="3" t="s">
        <v>16</v>
      </c>
      <c r="H1064">
        <v>85000</v>
      </c>
      <c r="I1064">
        <v>9</v>
      </c>
      <c r="J1064" s="3" t="s">
        <v>28</v>
      </c>
      <c r="K1064">
        <v>68000</v>
      </c>
      <c r="L1064">
        <v>765000</v>
      </c>
      <c r="M1064">
        <v>612000</v>
      </c>
      <c r="N1064">
        <v>153000</v>
      </c>
      <c r="O1064" s="3" t="s">
        <v>1165</v>
      </c>
      <c r="P1064" s="3" t="s">
        <v>102</v>
      </c>
      <c r="Q1064" s="3" t="s">
        <v>103</v>
      </c>
      <c r="R1064" s="3" t="s">
        <v>103</v>
      </c>
    </row>
    <row r="1065" spans="1:18">
      <c r="A1065" s="19">
        <v>46739</v>
      </c>
      <c r="B1065" s="3" t="s">
        <v>11</v>
      </c>
      <c r="C1065" s="3" t="s">
        <v>32</v>
      </c>
      <c r="D1065" s="3" t="s">
        <v>23</v>
      </c>
      <c r="E1065" s="3" t="s">
        <v>14</v>
      </c>
      <c r="F1065" s="3" t="s">
        <v>38</v>
      </c>
      <c r="G1065" s="3" t="s">
        <v>31</v>
      </c>
      <c r="H1065">
        <v>420000</v>
      </c>
      <c r="I1065">
        <v>5</v>
      </c>
      <c r="J1065" s="3" t="s">
        <v>39</v>
      </c>
      <c r="K1065">
        <v>336000</v>
      </c>
      <c r="L1065">
        <v>2100000</v>
      </c>
      <c r="M1065">
        <v>1680000</v>
      </c>
      <c r="N1065">
        <v>420000</v>
      </c>
      <c r="O1065" s="3" t="s">
        <v>1166</v>
      </c>
      <c r="P1065" s="3" t="s">
        <v>102</v>
      </c>
      <c r="Q1065" s="3" t="s">
        <v>103</v>
      </c>
      <c r="R1065" s="3" t="s">
        <v>103</v>
      </c>
    </row>
    <row r="1066" spans="1:18">
      <c r="A1066" s="19">
        <v>46740</v>
      </c>
      <c r="B1066" s="3" t="s">
        <v>18</v>
      </c>
      <c r="C1066" s="3" t="s">
        <v>19</v>
      </c>
      <c r="D1066" s="3" t="s">
        <v>13</v>
      </c>
      <c r="E1066" s="3" t="s">
        <v>20</v>
      </c>
      <c r="F1066" s="3" t="s">
        <v>34</v>
      </c>
      <c r="G1066" s="3" t="s">
        <v>16</v>
      </c>
      <c r="H1066">
        <v>320000</v>
      </c>
      <c r="I1066">
        <v>4</v>
      </c>
      <c r="J1066" s="3" t="s">
        <v>28</v>
      </c>
      <c r="K1066">
        <v>256000</v>
      </c>
      <c r="L1066">
        <v>1280000</v>
      </c>
      <c r="M1066">
        <v>1024000</v>
      </c>
      <c r="N1066">
        <v>256000</v>
      </c>
      <c r="O1066" s="3" t="s">
        <v>1167</v>
      </c>
      <c r="P1066" s="3" t="s">
        <v>102</v>
      </c>
      <c r="Q1066" s="3" t="s">
        <v>103</v>
      </c>
      <c r="R1066" s="3" t="s">
        <v>103</v>
      </c>
    </row>
    <row r="1067" spans="1:18">
      <c r="A1067" s="19">
        <v>46741</v>
      </c>
      <c r="B1067" s="3" t="s">
        <v>18</v>
      </c>
      <c r="C1067" s="3" t="s">
        <v>19</v>
      </c>
      <c r="D1067" s="3" t="s">
        <v>23</v>
      </c>
      <c r="E1067" s="3" t="s">
        <v>14</v>
      </c>
      <c r="F1067" s="3" t="s">
        <v>21</v>
      </c>
      <c r="G1067" s="3" t="s">
        <v>22</v>
      </c>
      <c r="H1067">
        <v>30000</v>
      </c>
      <c r="I1067">
        <v>4</v>
      </c>
      <c r="J1067" s="3" t="s">
        <v>28</v>
      </c>
      <c r="K1067">
        <v>24000</v>
      </c>
      <c r="L1067">
        <v>120000</v>
      </c>
      <c r="M1067">
        <v>96000</v>
      </c>
      <c r="N1067">
        <v>24000</v>
      </c>
      <c r="O1067" s="3" t="s">
        <v>1168</v>
      </c>
      <c r="P1067" s="3" t="s">
        <v>102</v>
      </c>
      <c r="Q1067" s="3" t="s">
        <v>103</v>
      </c>
      <c r="R1067" s="3" t="s">
        <v>103</v>
      </c>
    </row>
    <row r="1068" spans="1:18">
      <c r="A1068" s="19">
        <v>46742</v>
      </c>
      <c r="B1068" s="3" t="s">
        <v>25</v>
      </c>
      <c r="C1068" s="3" t="s">
        <v>32</v>
      </c>
      <c r="D1068" s="3" t="s">
        <v>23</v>
      </c>
      <c r="E1068" s="3" t="s">
        <v>20</v>
      </c>
      <c r="F1068" s="3" t="s">
        <v>36</v>
      </c>
      <c r="G1068" s="3" t="s">
        <v>31</v>
      </c>
      <c r="H1068">
        <v>150000</v>
      </c>
      <c r="I1068">
        <v>3</v>
      </c>
      <c r="J1068" s="3" t="s">
        <v>37</v>
      </c>
      <c r="K1068">
        <v>120000</v>
      </c>
      <c r="L1068">
        <v>450000</v>
      </c>
      <c r="M1068">
        <v>360000</v>
      </c>
      <c r="N1068">
        <v>90000</v>
      </c>
      <c r="O1068" s="3" t="s">
        <v>1169</v>
      </c>
      <c r="P1068" s="3" t="s">
        <v>102</v>
      </c>
      <c r="Q1068" s="3" t="s">
        <v>103</v>
      </c>
      <c r="R1068" s="3" t="s">
        <v>103</v>
      </c>
    </row>
    <row r="1069" spans="1:18">
      <c r="A1069" s="19">
        <v>46743</v>
      </c>
      <c r="B1069" s="3" t="s">
        <v>11</v>
      </c>
      <c r="C1069" s="3" t="s">
        <v>19</v>
      </c>
      <c r="D1069" s="3" t="s">
        <v>13</v>
      </c>
      <c r="E1069" s="3" t="s">
        <v>14</v>
      </c>
      <c r="F1069" s="3" t="s">
        <v>41</v>
      </c>
      <c r="G1069" s="3" t="s">
        <v>22</v>
      </c>
      <c r="H1069">
        <v>220000</v>
      </c>
      <c r="I1069">
        <v>7</v>
      </c>
      <c r="J1069" s="3" t="s">
        <v>17</v>
      </c>
      <c r="K1069">
        <v>176000</v>
      </c>
      <c r="L1069">
        <v>1540000</v>
      </c>
      <c r="M1069">
        <v>1232000</v>
      </c>
      <c r="N1069">
        <v>308000</v>
      </c>
      <c r="O1069" s="3" t="s">
        <v>1170</v>
      </c>
      <c r="P1069" s="3" t="s">
        <v>102</v>
      </c>
      <c r="Q1069" s="3" t="s">
        <v>103</v>
      </c>
      <c r="R1069" s="3" t="s">
        <v>103</v>
      </c>
    </row>
    <row r="1070" spans="1:18">
      <c r="A1070" s="19">
        <v>46744</v>
      </c>
      <c r="B1070" s="3" t="s">
        <v>18</v>
      </c>
      <c r="C1070" s="3" t="s">
        <v>12</v>
      </c>
      <c r="D1070" s="3" t="s">
        <v>13</v>
      </c>
      <c r="E1070" s="3" t="s">
        <v>20</v>
      </c>
      <c r="F1070" s="3" t="s">
        <v>33</v>
      </c>
      <c r="G1070" s="3" t="s">
        <v>22</v>
      </c>
      <c r="H1070">
        <v>180000</v>
      </c>
      <c r="I1070">
        <v>10</v>
      </c>
      <c r="J1070" s="3" t="s">
        <v>35</v>
      </c>
      <c r="K1070">
        <v>144000</v>
      </c>
      <c r="L1070">
        <v>1800000</v>
      </c>
      <c r="M1070">
        <v>1440000</v>
      </c>
      <c r="N1070">
        <v>360000</v>
      </c>
      <c r="O1070" s="3" t="s">
        <v>1171</v>
      </c>
      <c r="P1070" s="3" t="s">
        <v>102</v>
      </c>
      <c r="Q1070" s="3" t="s">
        <v>103</v>
      </c>
      <c r="R1070" s="3" t="s">
        <v>103</v>
      </c>
    </row>
    <row r="1071" spans="1:18">
      <c r="A1071" s="19">
        <v>46745</v>
      </c>
      <c r="B1071" s="3" t="s">
        <v>11</v>
      </c>
      <c r="C1071" s="3" t="s">
        <v>32</v>
      </c>
      <c r="D1071" s="3" t="s">
        <v>23</v>
      </c>
      <c r="E1071" s="3" t="s">
        <v>14</v>
      </c>
      <c r="F1071" s="3" t="s">
        <v>15</v>
      </c>
      <c r="G1071" s="3" t="s">
        <v>16</v>
      </c>
      <c r="H1071">
        <v>85000</v>
      </c>
      <c r="I1071">
        <v>7</v>
      </c>
      <c r="J1071" s="3" t="s">
        <v>24</v>
      </c>
      <c r="K1071">
        <v>68000</v>
      </c>
      <c r="L1071">
        <v>595000</v>
      </c>
      <c r="M1071">
        <v>476000</v>
      </c>
      <c r="N1071">
        <v>119000</v>
      </c>
      <c r="O1071" s="3" t="s">
        <v>1172</v>
      </c>
      <c r="P1071" s="3" t="s">
        <v>102</v>
      </c>
      <c r="Q1071" s="3" t="s">
        <v>103</v>
      </c>
      <c r="R1071" s="3" t="s">
        <v>103</v>
      </c>
    </row>
    <row r="1072" spans="1:18">
      <c r="A1072" s="19">
        <v>46746</v>
      </c>
      <c r="B1072" s="3" t="s">
        <v>18</v>
      </c>
      <c r="C1072" s="3" t="s">
        <v>19</v>
      </c>
      <c r="D1072" s="3" t="s">
        <v>13</v>
      </c>
      <c r="E1072" s="3" t="s">
        <v>14</v>
      </c>
      <c r="F1072" s="3" t="s">
        <v>21</v>
      </c>
      <c r="G1072" s="3" t="s">
        <v>22</v>
      </c>
      <c r="H1072">
        <v>30000</v>
      </c>
      <c r="I1072">
        <v>3</v>
      </c>
      <c r="J1072" s="3" t="s">
        <v>24</v>
      </c>
      <c r="K1072">
        <v>24000</v>
      </c>
      <c r="L1072">
        <v>90000</v>
      </c>
      <c r="M1072">
        <v>72000</v>
      </c>
      <c r="N1072">
        <v>18000</v>
      </c>
      <c r="O1072" s="3" t="s">
        <v>1173</v>
      </c>
      <c r="P1072" s="3" t="s">
        <v>102</v>
      </c>
      <c r="Q1072" s="3" t="s">
        <v>103</v>
      </c>
      <c r="R1072" s="3" t="s">
        <v>103</v>
      </c>
    </row>
    <row r="1073" spans="1:18">
      <c r="A1073" s="19">
        <v>46747</v>
      </c>
      <c r="B1073" s="3" t="s">
        <v>29</v>
      </c>
      <c r="C1073" s="3" t="s">
        <v>12</v>
      </c>
      <c r="D1073" s="3" t="s">
        <v>23</v>
      </c>
      <c r="E1073" s="3" t="s">
        <v>14</v>
      </c>
      <c r="F1073" s="3" t="s">
        <v>34</v>
      </c>
      <c r="G1073" s="3" t="s">
        <v>16</v>
      </c>
      <c r="H1073">
        <v>320000</v>
      </c>
      <c r="I1073">
        <v>9</v>
      </c>
      <c r="J1073" s="3" t="s">
        <v>37</v>
      </c>
      <c r="K1073">
        <v>256000</v>
      </c>
      <c r="L1073">
        <v>2880000</v>
      </c>
      <c r="M1073">
        <v>2304000</v>
      </c>
      <c r="N1073">
        <v>576000</v>
      </c>
      <c r="O1073" s="3" t="s">
        <v>1174</v>
      </c>
      <c r="P1073" s="3" t="s">
        <v>102</v>
      </c>
      <c r="Q1073" s="3" t="s">
        <v>103</v>
      </c>
      <c r="R1073" s="3" t="s">
        <v>103</v>
      </c>
    </row>
    <row r="1074" spans="1:18">
      <c r="A1074" s="19">
        <v>46748</v>
      </c>
      <c r="B1074" s="3" t="s">
        <v>11</v>
      </c>
      <c r="C1074" s="3" t="s">
        <v>19</v>
      </c>
      <c r="D1074" s="3" t="s">
        <v>13</v>
      </c>
      <c r="E1074" s="3" t="s">
        <v>20</v>
      </c>
      <c r="F1074" s="3" t="s">
        <v>36</v>
      </c>
      <c r="G1074" s="3" t="s">
        <v>31</v>
      </c>
      <c r="H1074">
        <v>150000</v>
      </c>
      <c r="I1074">
        <v>2</v>
      </c>
      <c r="J1074" s="3" t="s">
        <v>24</v>
      </c>
      <c r="K1074">
        <v>120000</v>
      </c>
      <c r="L1074">
        <v>300000</v>
      </c>
      <c r="M1074">
        <v>240000</v>
      </c>
      <c r="N1074">
        <v>60000</v>
      </c>
      <c r="O1074" s="3" t="s">
        <v>1175</v>
      </c>
      <c r="P1074" s="3" t="s">
        <v>102</v>
      </c>
      <c r="Q1074" s="3" t="s">
        <v>103</v>
      </c>
      <c r="R1074" s="3" t="s">
        <v>103</v>
      </c>
    </row>
    <row r="1075" spans="1:18">
      <c r="A1075" s="19">
        <v>46749</v>
      </c>
      <c r="B1075" s="3" t="s">
        <v>18</v>
      </c>
      <c r="C1075" s="3" t="s">
        <v>19</v>
      </c>
      <c r="D1075" s="3" t="s">
        <v>23</v>
      </c>
      <c r="E1075" s="3" t="s">
        <v>20</v>
      </c>
      <c r="F1075" s="3" t="s">
        <v>33</v>
      </c>
      <c r="G1075" s="3" t="s">
        <v>22</v>
      </c>
      <c r="H1075">
        <v>180000</v>
      </c>
      <c r="I1075">
        <v>8</v>
      </c>
      <c r="J1075" s="3" t="s">
        <v>37</v>
      </c>
      <c r="K1075">
        <v>144000</v>
      </c>
      <c r="L1075">
        <v>1440000</v>
      </c>
      <c r="M1075">
        <v>1152000</v>
      </c>
      <c r="N1075">
        <v>288000</v>
      </c>
      <c r="O1075" s="3" t="s">
        <v>1176</v>
      </c>
      <c r="P1075" s="3" t="s">
        <v>102</v>
      </c>
      <c r="Q1075" s="3" t="s">
        <v>103</v>
      </c>
      <c r="R1075" s="3" t="s">
        <v>103</v>
      </c>
    </row>
    <row r="1076" spans="1:18">
      <c r="A1076" s="19">
        <v>46750</v>
      </c>
      <c r="B1076" s="3" t="s">
        <v>18</v>
      </c>
      <c r="C1076" s="3" t="s">
        <v>19</v>
      </c>
      <c r="D1076" s="3" t="s">
        <v>23</v>
      </c>
      <c r="E1076" s="3" t="s">
        <v>20</v>
      </c>
      <c r="F1076" s="3" t="s">
        <v>15</v>
      </c>
      <c r="G1076" s="3" t="s">
        <v>16</v>
      </c>
      <c r="H1076">
        <v>85000</v>
      </c>
      <c r="I1076">
        <v>7</v>
      </c>
      <c r="J1076" s="3" t="s">
        <v>17</v>
      </c>
      <c r="K1076">
        <v>68000</v>
      </c>
      <c r="L1076">
        <v>595000</v>
      </c>
      <c r="M1076">
        <v>476000</v>
      </c>
      <c r="N1076">
        <v>119000</v>
      </c>
      <c r="O1076" s="3" t="s">
        <v>1177</v>
      </c>
      <c r="P1076" s="3" t="s">
        <v>102</v>
      </c>
      <c r="Q1076" s="3" t="s">
        <v>103</v>
      </c>
      <c r="R1076" s="3" t="s">
        <v>103</v>
      </c>
    </row>
    <row r="1077" spans="1:18">
      <c r="A1077" s="19">
        <v>46751</v>
      </c>
      <c r="B1077" s="3" t="s">
        <v>11</v>
      </c>
      <c r="C1077" s="3" t="s">
        <v>32</v>
      </c>
      <c r="D1077" s="3" t="s">
        <v>23</v>
      </c>
      <c r="E1077" s="3" t="s">
        <v>14</v>
      </c>
      <c r="F1077" s="3" t="s">
        <v>33</v>
      </c>
      <c r="G1077" s="3" t="s">
        <v>22</v>
      </c>
      <c r="H1077">
        <v>180000</v>
      </c>
      <c r="I1077">
        <v>8</v>
      </c>
      <c r="J1077" s="3" t="s">
        <v>39</v>
      </c>
      <c r="K1077">
        <v>144000</v>
      </c>
      <c r="L1077">
        <v>1440000</v>
      </c>
      <c r="M1077">
        <v>1152000</v>
      </c>
      <c r="N1077">
        <v>288000</v>
      </c>
      <c r="O1077" s="3" t="s">
        <v>1178</v>
      </c>
      <c r="P1077" s="3" t="s">
        <v>102</v>
      </c>
      <c r="Q1077" s="3" t="s">
        <v>103</v>
      </c>
      <c r="R1077" s="3" t="s">
        <v>103</v>
      </c>
    </row>
    <row r="1078" spans="1:18">
      <c r="A1078" s="19">
        <v>46752</v>
      </c>
      <c r="B1078" s="3" t="s">
        <v>29</v>
      </c>
      <c r="C1078" s="3" t="s">
        <v>12</v>
      </c>
      <c r="D1078" s="3" t="s">
        <v>23</v>
      </c>
      <c r="E1078" s="3" t="s">
        <v>14</v>
      </c>
      <c r="F1078" s="3" t="s">
        <v>41</v>
      </c>
      <c r="G1078" s="3" t="s">
        <v>22</v>
      </c>
      <c r="H1078">
        <v>220000</v>
      </c>
      <c r="I1078">
        <v>5</v>
      </c>
      <c r="J1078" s="3" t="s">
        <v>39</v>
      </c>
      <c r="K1078">
        <v>176000</v>
      </c>
      <c r="L1078">
        <v>1100000</v>
      </c>
      <c r="M1078">
        <v>880000</v>
      </c>
      <c r="N1078">
        <v>220000</v>
      </c>
      <c r="O1078" s="3" t="s">
        <v>1179</v>
      </c>
      <c r="P1078" s="3" t="s">
        <v>102</v>
      </c>
      <c r="Q1078" s="3" t="s">
        <v>103</v>
      </c>
      <c r="R1078" s="3" t="s">
        <v>103</v>
      </c>
    </row>
    <row r="1079" spans="1:18">
      <c r="A1079" s="19">
        <v>46753</v>
      </c>
      <c r="B1079" s="3" t="s">
        <v>29</v>
      </c>
      <c r="C1079" s="3" t="s">
        <v>26</v>
      </c>
      <c r="D1079" s="3" t="s">
        <v>13</v>
      </c>
      <c r="E1079" s="3" t="s">
        <v>14</v>
      </c>
      <c r="F1079" s="3" t="s">
        <v>30</v>
      </c>
      <c r="G1079" s="3" t="s">
        <v>31</v>
      </c>
      <c r="H1079">
        <v>300000</v>
      </c>
      <c r="I1079">
        <v>5</v>
      </c>
      <c r="J1079" s="3" t="s">
        <v>37</v>
      </c>
      <c r="K1079">
        <v>240000</v>
      </c>
      <c r="L1079">
        <v>1500000</v>
      </c>
      <c r="M1079">
        <v>1200000</v>
      </c>
      <c r="N1079">
        <v>300000</v>
      </c>
      <c r="O1079" s="3" t="s">
        <v>1180</v>
      </c>
      <c r="P1079" s="3" t="s">
        <v>102</v>
      </c>
      <c r="Q1079" s="3" t="s">
        <v>103</v>
      </c>
      <c r="R1079" s="3" t="s">
        <v>103</v>
      </c>
    </row>
    <row r="1080" spans="1:18">
      <c r="A1080" s="19">
        <v>46754</v>
      </c>
      <c r="B1080" s="3" t="s">
        <v>29</v>
      </c>
      <c r="C1080" s="3" t="s">
        <v>32</v>
      </c>
      <c r="D1080" s="3" t="s">
        <v>13</v>
      </c>
      <c r="E1080" s="3" t="s">
        <v>20</v>
      </c>
      <c r="F1080" s="3" t="s">
        <v>40</v>
      </c>
      <c r="G1080" s="3" t="s">
        <v>31</v>
      </c>
      <c r="H1080">
        <v>250000</v>
      </c>
      <c r="I1080">
        <v>7</v>
      </c>
      <c r="J1080" s="3" t="s">
        <v>17</v>
      </c>
      <c r="K1080">
        <v>200000</v>
      </c>
      <c r="L1080">
        <v>1750000</v>
      </c>
      <c r="M1080">
        <v>1400000</v>
      </c>
      <c r="N1080">
        <v>350000</v>
      </c>
      <c r="O1080" s="3" t="s">
        <v>1181</v>
      </c>
      <c r="P1080" s="3" t="s">
        <v>102</v>
      </c>
      <c r="Q1080" s="3" t="s">
        <v>103</v>
      </c>
      <c r="R1080" s="3" t="s">
        <v>103</v>
      </c>
    </row>
    <row r="1081" spans="1:18">
      <c r="A1081" s="19">
        <v>46755</v>
      </c>
      <c r="B1081" s="3" t="s">
        <v>11</v>
      </c>
      <c r="C1081" s="3" t="s">
        <v>32</v>
      </c>
      <c r="D1081" s="3" t="s">
        <v>23</v>
      </c>
      <c r="E1081" s="3" t="s">
        <v>20</v>
      </c>
      <c r="F1081" s="3" t="s">
        <v>27</v>
      </c>
      <c r="G1081" s="3" t="s">
        <v>22</v>
      </c>
      <c r="H1081">
        <v>60000</v>
      </c>
      <c r="I1081">
        <v>7</v>
      </c>
      <c r="J1081" s="3" t="s">
        <v>37</v>
      </c>
      <c r="K1081">
        <v>48000</v>
      </c>
      <c r="L1081">
        <v>420000</v>
      </c>
      <c r="M1081">
        <v>336000</v>
      </c>
      <c r="N1081">
        <v>84000</v>
      </c>
      <c r="O1081" s="3" t="s">
        <v>1182</v>
      </c>
      <c r="P1081" s="3" t="s">
        <v>102</v>
      </c>
      <c r="Q1081" s="3" t="s">
        <v>103</v>
      </c>
      <c r="R1081" s="3" t="s">
        <v>103</v>
      </c>
    </row>
    <row r="1082" spans="1:18">
      <c r="A1082" s="19">
        <v>46756</v>
      </c>
      <c r="B1082" s="3" t="s">
        <v>18</v>
      </c>
      <c r="C1082" s="3" t="s">
        <v>12</v>
      </c>
      <c r="D1082" s="3" t="s">
        <v>23</v>
      </c>
      <c r="E1082" s="3" t="s">
        <v>14</v>
      </c>
      <c r="F1082" s="3" t="s">
        <v>15</v>
      </c>
      <c r="G1082" s="3" t="s">
        <v>16</v>
      </c>
      <c r="H1082">
        <v>85000</v>
      </c>
      <c r="I1082">
        <v>2</v>
      </c>
      <c r="J1082" s="3" t="s">
        <v>35</v>
      </c>
      <c r="K1082">
        <v>68000</v>
      </c>
      <c r="L1082">
        <v>170000</v>
      </c>
      <c r="M1082">
        <v>136000</v>
      </c>
      <c r="N1082">
        <v>34000</v>
      </c>
      <c r="O1082" s="3" t="s">
        <v>1183</v>
      </c>
      <c r="P1082" s="3" t="s">
        <v>102</v>
      </c>
      <c r="Q1082" s="3" t="s">
        <v>103</v>
      </c>
      <c r="R1082" s="3" t="s">
        <v>103</v>
      </c>
    </row>
    <row r="1083" spans="1:18">
      <c r="A1083" s="19">
        <v>46757</v>
      </c>
      <c r="B1083" s="3" t="s">
        <v>11</v>
      </c>
      <c r="C1083" s="3" t="s">
        <v>12</v>
      </c>
      <c r="D1083" s="3" t="s">
        <v>13</v>
      </c>
      <c r="E1083" s="3" t="s">
        <v>20</v>
      </c>
      <c r="F1083" s="3" t="s">
        <v>27</v>
      </c>
      <c r="G1083" s="3" t="s">
        <v>22</v>
      </c>
      <c r="H1083">
        <v>60000</v>
      </c>
      <c r="I1083">
        <v>2</v>
      </c>
      <c r="J1083" s="3" t="s">
        <v>39</v>
      </c>
      <c r="K1083">
        <v>48000</v>
      </c>
      <c r="L1083">
        <v>120000</v>
      </c>
      <c r="M1083">
        <v>96000</v>
      </c>
      <c r="N1083">
        <v>24000</v>
      </c>
      <c r="O1083" s="3" t="s">
        <v>1184</v>
      </c>
      <c r="P1083" s="3" t="s">
        <v>102</v>
      </c>
      <c r="Q1083" s="3" t="s">
        <v>103</v>
      </c>
      <c r="R1083" s="3" t="s">
        <v>103</v>
      </c>
    </row>
    <row r="1084" spans="1:18">
      <c r="A1084" s="19">
        <v>46758</v>
      </c>
      <c r="B1084" s="3" t="s">
        <v>18</v>
      </c>
      <c r="C1084" s="3" t="s">
        <v>32</v>
      </c>
      <c r="D1084" s="3" t="s">
        <v>23</v>
      </c>
      <c r="E1084" s="3" t="s">
        <v>14</v>
      </c>
      <c r="F1084" s="3" t="s">
        <v>21</v>
      </c>
      <c r="G1084" s="3" t="s">
        <v>22</v>
      </c>
      <c r="H1084">
        <v>30000</v>
      </c>
      <c r="I1084">
        <v>10</v>
      </c>
      <c r="J1084" s="3" t="s">
        <v>39</v>
      </c>
      <c r="K1084">
        <v>24000</v>
      </c>
      <c r="L1084">
        <v>300000</v>
      </c>
      <c r="M1084">
        <v>240000</v>
      </c>
      <c r="N1084">
        <v>60000</v>
      </c>
      <c r="O1084" s="3" t="s">
        <v>1185</v>
      </c>
      <c r="P1084" s="3" t="s">
        <v>102</v>
      </c>
      <c r="Q1084" s="3" t="s">
        <v>103</v>
      </c>
      <c r="R1084" s="3" t="s">
        <v>103</v>
      </c>
    </row>
    <row r="1085" spans="1:18">
      <c r="A1085" s="19">
        <v>46759</v>
      </c>
      <c r="B1085" s="3" t="s">
        <v>29</v>
      </c>
      <c r="C1085" s="3" t="s">
        <v>19</v>
      </c>
      <c r="D1085" s="3" t="s">
        <v>23</v>
      </c>
      <c r="E1085" s="3" t="s">
        <v>20</v>
      </c>
      <c r="F1085" s="3" t="s">
        <v>38</v>
      </c>
      <c r="G1085" s="3" t="s">
        <v>31</v>
      </c>
      <c r="H1085">
        <v>420000</v>
      </c>
      <c r="I1085">
        <v>8</v>
      </c>
      <c r="J1085" s="3" t="s">
        <v>24</v>
      </c>
      <c r="K1085">
        <v>336000</v>
      </c>
      <c r="L1085">
        <v>3360000</v>
      </c>
      <c r="M1085">
        <v>2688000</v>
      </c>
      <c r="N1085">
        <v>672000</v>
      </c>
      <c r="O1085" s="3" t="s">
        <v>1186</v>
      </c>
      <c r="P1085" s="3" t="s">
        <v>102</v>
      </c>
      <c r="Q1085" s="3" t="s">
        <v>103</v>
      </c>
      <c r="R1085" s="3" t="s">
        <v>103</v>
      </c>
    </row>
    <row r="1086" spans="1:18">
      <c r="A1086" s="19">
        <v>46760</v>
      </c>
      <c r="B1086" s="3" t="s">
        <v>11</v>
      </c>
      <c r="C1086" s="3" t="s">
        <v>19</v>
      </c>
      <c r="D1086" s="3" t="s">
        <v>23</v>
      </c>
      <c r="E1086" s="3" t="s">
        <v>14</v>
      </c>
      <c r="F1086" s="3" t="s">
        <v>27</v>
      </c>
      <c r="G1086" s="3" t="s">
        <v>22</v>
      </c>
      <c r="H1086">
        <v>60000</v>
      </c>
      <c r="I1086">
        <v>2</v>
      </c>
      <c r="J1086" s="3" t="s">
        <v>37</v>
      </c>
      <c r="K1086">
        <v>48000</v>
      </c>
      <c r="L1086">
        <v>120000</v>
      </c>
      <c r="M1086">
        <v>96000</v>
      </c>
      <c r="N1086">
        <v>24000</v>
      </c>
      <c r="O1086" s="3" t="s">
        <v>1187</v>
      </c>
      <c r="P1086" s="3" t="s">
        <v>102</v>
      </c>
      <c r="Q1086" s="3" t="s">
        <v>103</v>
      </c>
      <c r="R1086" s="3" t="s">
        <v>103</v>
      </c>
    </row>
    <row r="1087" spans="1:18">
      <c r="A1087" s="19">
        <v>46761</v>
      </c>
      <c r="B1087" s="3" t="s">
        <v>25</v>
      </c>
      <c r="C1087" s="3" t="s">
        <v>26</v>
      </c>
      <c r="D1087" s="3" t="s">
        <v>23</v>
      </c>
      <c r="E1087" s="3" t="s">
        <v>20</v>
      </c>
      <c r="F1087" s="3" t="s">
        <v>15</v>
      </c>
      <c r="G1087" s="3" t="s">
        <v>16</v>
      </c>
      <c r="H1087">
        <v>85000</v>
      </c>
      <c r="I1087">
        <v>8</v>
      </c>
      <c r="J1087" s="3" t="s">
        <v>39</v>
      </c>
      <c r="K1087">
        <v>68000</v>
      </c>
      <c r="L1087">
        <v>680000</v>
      </c>
      <c r="M1087">
        <v>544000</v>
      </c>
      <c r="N1087">
        <v>136000</v>
      </c>
      <c r="O1087" s="3" t="s">
        <v>1188</v>
      </c>
      <c r="P1087" s="3" t="s">
        <v>102</v>
      </c>
      <c r="Q1087" s="3" t="s">
        <v>103</v>
      </c>
      <c r="R1087" s="3" t="s">
        <v>103</v>
      </c>
    </row>
    <row r="1088" spans="1:18">
      <c r="A1088" s="19">
        <v>46762</v>
      </c>
      <c r="B1088" s="3" t="s">
        <v>11</v>
      </c>
      <c r="C1088" s="3" t="s">
        <v>12</v>
      </c>
      <c r="D1088" s="3" t="s">
        <v>13</v>
      </c>
      <c r="E1088" s="3" t="s">
        <v>20</v>
      </c>
      <c r="F1088" s="3" t="s">
        <v>38</v>
      </c>
      <c r="G1088" s="3" t="s">
        <v>31</v>
      </c>
      <c r="H1088">
        <v>420000</v>
      </c>
      <c r="I1088">
        <v>7</v>
      </c>
      <c r="J1088" s="3" t="s">
        <v>35</v>
      </c>
      <c r="K1088">
        <v>336000</v>
      </c>
      <c r="L1088">
        <v>2940000</v>
      </c>
      <c r="M1088">
        <v>2352000</v>
      </c>
      <c r="N1088">
        <v>588000</v>
      </c>
      <c r="O1088" s="3" t="s">
        <v>1189</v>
      </c>
      <c r="P1088" s="3" t="s">
        <v>102</v>
      </c>
      <c r="Q1088" s="3" t="s">
        <v>103</v>
      </c>
      <c r="R1088" s="3" t="s">
        <v>103</v>
      </c>
    </row>
    <row r="1089" spans="1:18">
      <c r="A1089" s="19">
        <v>46763</v>
      </c>
      <c r="B1089" s="3" t="s">
        <v>18</v>
      </c>
      <c r="C1089" s="3" t="s">
        <v>32</v>
      </c>
      <c r="D1089" s="3" t="s">
        <v>13</v>
      </c>
      <c r="E1089" s="3" t="s">
        <v>20</v>
      </c>
      <c r="F1089" s="3" t="s">
        <v>30</v>
      </c>
      <c r="G1089" s="3" t="s">
        <v>31</v>
      </c>
      <c r="H1089">
        <v>300000</v>
      </c>
      <c r="I1089">
        <v>6</v>
      </c>
      <c r="J1089" s="3" t="s">
        <v>39</v>
      </c>
      <c r="K1089">
        <v>240000</v>
      </c>
      <c r="L1089">
        <v>1800000</v>
      </c>
      <c r="M1089">
        <v>1440000</v>
      </c>
      <c r="N1089">
        <v>360000</v>
      </c>
      <c r="O1089" s="3" t="s">
        <v>1190</v>
      </c>
      <c r="P1089" s="3" t="s">
        <v>102</v>
      </c>
      <c r="Q1089" s="3" t="s">
        <v>103</v>
      </c>
      <c r="R1089" s="3" t="s">
        <v>103</v>
      </c>
    </row>
    <row r="1090" spans="1:18">
      <c r="A1090" s="19">
        <v>46764</v>
      </c>
      <c r="B1090" s="3" t="s">
        <v>29</v>
      </c>
      <c r="C1090" s="3" t="s">
        <v>12</v>
      </c>
      <c r="D1090" s="3" t="s">
        <v>13</v>
      </c>
      <c r="E1090" s="3" t="s">
        <v>14</v>
      </c>
      <c r="F1090" s="3" t="s">
        <v>38</v>
      </c>
      <c r="G1090" s="3" t="s">
        <v>31</v>
      </c>
      <c r="H1090">
        <v>420000</v>
      </c>
      <c r="I1090">
        <v>2</v>
      </c>
      <c r="J1090" s="3" t="s">
        <v>37</v>
      </c>
      <c r="K1090">
        <v>336000</v>
      </c>
      <c r="L1090">
        <v>840000</v>
      </c>
      <c r="M1090">
        <v>672000</v>
      </c>
      <c r="N1090">
        <v>168000</v>
      </c>
      <c r="O1090" s="3" t="s">
        <v>1191</v>
      </c>
      <c r="P1090" s="3" t="s">
        <v>102</v>
      </c>
      <c r="Q1090" s="3" t="s">
        <v>103</v>
      </c>
      <c r="R1090" s="3" t="s">
        <v>103</v>
      </c>
    </row>
    <row r="1091" spans="1:18">
      <c r="A1091" s="19">
        <v>46765</v>
      </c>
      <c r="B1091" s="3" t="s">
        <v>29</v>
      </c>
      <c r="C1091" s="3" t="s">
        <v>12</v>
      </c>
      <c r="D1091" s="3" t="s">
        <v>23</v>
      </c>
      <c r="E1091" s="3" t="s">
        <v>14</v>
      </c>
      <c r="F1091" s="3" t="s">
        <v>30</v>
      </c>
      <c r="G1091" s="3" t="s">
        <v>31</v>
      </c>
      <c r="H1091">
        <v>300000</v>
      </c>
      <c r="I1091">
        <v>8</v>
      </c>
      <c r="J1091" s="3" t="s">
        <v>35</v>
      </c>
      <c r="K1091">
        <v>240000</v>
      </c>
      <c r="L1091">
        <v>2400000</v>
      </c>
      <c r="M1091">
        <v>1920000</v>
      </c>
      <c r="N1091">
        <v>480000</v>
      </c>
      <c r="O1091" s="3" t="s">
        <v>1192</v>
      </c>
      <c r="P1091" s="3" t="s">
        <v>102</v>
      </c>
      <c r="Q1091" s="3" t="s">
        <v>103</v>
      </c>
      <c r="R1091" s="3" t="s">
        <v>103</v>
      </c>
    </row>
    <row r="1092" spans="1:18">
      <c r="A1092" s="19">
        <v>46766</v>
      </c>
      <c r="B1092" s="3" t="s">
        <v>29</v>
      </c>
      <c r="C1092" s="3" t="s">
        <v>26</v>
      </c>
      <c r="D1092" s="3" t="s">
        <v>13</v>
      </c>
      <c r="E1092" s="3" t="s">
        <v>14</v>
      </c>
      <c r="F1092" s="3" t="s">
        <v>40</v>
      </c>
      <c r="G1092" s="3" t="s">
        <v>31</v>
      </c>
      <c r="H1092">
        <v>250000</v>
      </c>
      <c r="I1092">
        <v>5</v>
      </c>
      <c r="J1092" s="3" t="s">
        <v>35</v>
      </c>
      <c r="K1092">
        <v>200000</v>
      </c>
      <c r="L1092">
        <v>1250000</v>
      </c>
      <c r="M1092">
        <v>1000000</v>
      </c>
      <c r="N1092">
        <v>250000</v>
      </c>
      <c r="O1092" s="3" t="s">
        <v>1193</v>
      </c>
      <c r="P1092" s="3" t="s">
        <v>102</v>
      </c>
      <c r="Q1092" s="3" t="s">
        <v>103</v>
      </c>
      <c r="R1092" s="3" t="s">
        <v>103</v>
      </c>
    </row>
    <row r="1093" spans="1:18">
      <c r="A1093" s="19">
        <v>46767</v>
      </c>
      <c r="B1093" s="3" t="s">
        <v>18</v>
      </c>
      <c r="C1093" s="3" t="s">
        <v>32</v>
      </c>
      <c r="D1093" s="3" t="s">
        <v>23</v>
      </c>
      <c r="E1093" s="3" t="s">
        <v>20</v>
      </c>
      <c r="F1093" s="3" t="s">
        <v>38</v>
      </c>
      <c r="G1093" s="3" t="s">
        <v>31</v>
      </c>
      <c r="H1093">
        <v>420000</v>
      </c>
      <c r="I1093">
        <v>5</v>
      </c>
      <c r="J1093" s="3" t="s">
        <v>35</v>
      </c>
      <c r="K1093">
        <v>336000</v>
      </c>
      <c r="L1093">
        <v>2100000</v>
      </c>
      <c r="M1093">
        <v>1680000</v>
      </c>
      <c r="N1093">
        <v>420000</v>
      </c>
      <c r="O1093" s="3" t="s">
        <v>1194</v>
      </c>
      <c r="P1093" s="3" t="s">
        <v>102</v>
      </c>
      <c r="Q1093" s="3" t="s">
        <v>103</v>
      </c>
      <c r="R1093" s="3" t="s">
        <v>103</v>
      </c>
    </row>
    <row r="1094" spans="1:18">
      <c r="A1094" s="19">
        <v>46768</v>
      </c>
      <c r="B1094" s="3" t="s">
        <v>18</v>
      </c>
      <c r="C1094" s="3" t="s">
        <v>26</v>
      </c>
      <c r="D1094" s="3" t="s">
        <v>23</v>
      </c>
      <c r="E1094" s="3" t="s">
        <v>14</v>
      </c>
      <c r="F1094" s="3" t="s">
        <v>38</v>
      </c>
      <c r="G1094" s="3" t="s">
        <v>31</v>
      </c>
      <c r="H1094">
        <v>420000</v>
      </c>
      <c r="I1094">
        <v>10</v>
      </c>
      <c r="J1094" s="3" t="s">
        <v>24</v>
      </c>
      <c r="K1094">
        <v>336000</v>
      </c>
      <c r="L1094">
        <v>4200000</v>
      </c>
      <c r="M1094">
        <v>3360000</v>
      </c>
      <c r="N1094">
        <v>840000</v>
      </c>
      <c r="O1094" s="3" t="s">
        <v>1195</v>
      </c>
      <c r="P1094" s="3" t="s">
        <v>102</v>
      </c>
      <c r="Q1094" s="3" t="s">
        <v>103</v>
      </c>
      <c r="R1094" s="3" t="s">
        <v>103</v>
      </c>
    </row>
    <row r="1095" spans="1:18">
      <c r="A1095" s="19">
        <v>46769</v>
      </c>
      <c r="B1095" s="3" t="s">
        <v>29</v>
      </c>
      <c r="C1095" s="3" t="s">
        <v>26</v>
      </c>
      <c r="D1095" s="3" t="s">
        <v>13</v>
      </c>
      <c r="E1095" s="3" t="s">
        <v>14</v>
      </c>
      <c r="F1095" s="3" t="s">
        <v>34</v>
      </c>
      <c r="G1095" s="3" t="s">
        <v>16</v>
      </c>
      <c r="H1095">
        <v>320000</v>
      </c>
      <c r="I1095">
        <v>1</v>
      </c>
      <c r="J1095" s="3" t="s">
        <v>28</v>
      </c>
      <c r="K1095">
        <v>256000</v>
      </c>
      <c r="L1095">
        <v>320000</v>
      </c>
      <c r="M1095">
        <v>256000</v>
      </c>
      <c r="N1095">
        <v>64000</v>
      </c>
      <c r="O1095" s="3" t="s">
        <v>1196</v>
      </c>
      <c r="P1095" s="3" t="s">
        <v>102</v>
      </c>
      <c r="Q1095" s="3" t="s">
        <v>103</v>
      </c>
      <c r="R1095" s="3" t="s">
        <v>103</v>
      </c>
    </row>
    <row r="1096" spans="1:18">
      <c r="A1096" s="19">
        <v>46770</v>
      </c>
      <c r="B1096" s="3" t="s">
        <v>25</v>
      </c>
      <c r="C1096" s="3" t="s">
        <v>32</v>
      </c>
      <c r="D1096" s="3" t="s">
        <v>13</v>
      </c>
      <c r="E1096" s="3" t="s">
        <v>14</v>
      </c>
      <c r="F1096" s="3" t="s">
        <v>34</v>
      </c>
      <c r="G1096" s="3" t="s">
        <v>16</v>
      </c>
      <c r="H1096">
        <v>320000</v>
      </c>
      <c r="I1096">
        <v>1</v>
      </c>
      <c r="J1096" s="3" t="s">
        <v>35</v>
      </c>
      <c r="K1096">
        <v>256000</v>
      </c>
      <c r="L1096">
        <v>320000</v>
      </c>
      <c r="M1096">
        <v>256000</v>
      </c>
      <c r="N1096">
        <v>64000</v>
      </c>
      <c r="O1096" s="3" t="s">
        <v>1197</v>
      </c>
      <c r="P1096" s="3" t="s">
        <v>102</v>
      </c>
      <c r="Q1096" s="3" t="s">
        <v>103</v>
      </c>
      <c r="R1096" s="3" t="s">
        <v>103</v>
      </c>
    </row>
    <row r="1097" spans="1:18">
      <c r="A1097" s="19">
        <v>46771</v>
      </c>
      <c r="B1097" s="3" t="s">
        <v>29</v>
      </c>
      <c r="C1097" s="3" t="s">
        <v>26</v>
      </c>
      <c r="D1097" s="3" t="s">
        <v>23</v>
      </c>
      <c r="E1097" s="3" t="s">
        <v>20</v>
      </c>
      <c r="F1097" s="3" t="s">
        <v>36</v>
      </c>
      <c r="G1097" s="3" t="s">
        <v>31</v>
      </c>
      <c r="H1097">
        <v>150000</v>
      </c>
      <c r="I1097">
        <v>1</v>
      </c>
      <c r="J1097" s="3" t="s">
        <v>39</v>
      </c>
      <c r="K1097">
        <v>120000</v>
      </c>
      <c r="L1097">
        <v>150000</v>
      </c>
      <c r="M1097">
        <v>120000</v>
      </c>
      <c r="N1097">
        <v>30000</v>
      </c>
      <c r="O1097" s="3" t="s">
        <v>1198</v>
      </c>
      <c r="P1097" s="3" t="s">
        <v>102</v>
      </c>
      <c r="Q1097" s="3" t="s">
        <v>103</v>
      </c>
      <c r="R1097" s="3" t="s">
        <v>103</v>
      </c>
    </row>
    <row r="1098" spans="1:18">
      <c r="A1098" s="19">
        <v>46772</v>
      </c>
      <c r="B1098" s="3" t="s">
        <v>18</v>
      </c>
      <c r="C1098" s="3" t="s">
        <v>12</v>
      </c>
      <c r="D1098" s="3" t="s">
        <v>23</v>
      </c>
      <c r="E1098" s="3" t="s">
        <v>14</v>
      </c>
      <c r="F1098" s="3" t="s">
        <v>33</v>
      </c>
      <c r="G1098" s="3" t="s">
        <v>22</v>
      </c>
      <c r="H1098">
        <v>180000</v>
      </c>
      <c r="I1098">
        <v>10</v>
      </c>
      <c r="J1098" s="3" t="s">
        <v>28</v>
      </c>
      <c r="K1098">
        <v>144000</v>
      </c>
      <c r="L1098">
        <v>1800000</v>
      </c>
      <c r="M1098">
        <v>1440000</v>
      </c>
      <c r="N1098">
        <v>360000</v>
      </c>
      <c r="O1098" s="3" t="s">
        <v>1199</v>
      </c>
      <c r="P1098" s="3" t="s">
        <v>102</v>
      </c>
      <c r="Q1098" s="3" t="s">
        <v>103</v>
      </c>
      <c r="R1098" s="3" t="s">
        <v>103</v>
      </c>
    </row>
    <row r="1099" spans="1:18">
      <c r="A1099" s="19">
        <v>46773</v>
      </c>
      <c r="B1099" s="3" t="s">
        <v>29</v>
      </c>
      <c r="C1099" s="3" t="s">
        <v>26</v>
      </c>
      <c r="D1099" s="3" t="s">
        <v>13</v>
      </c>
      <c r="E1099" s="3" t="s">
        <v>20</v>
      </c>
      <c r="F1099" s="3" t="s">
        <v>38</v>
      </c>
      <c r="G1099" s="3" t="s">
        <v>31</v>
      </c>
      <c r="H1099">
        <v>420000</v>
      </c>
      <c r="I1099">
        <v>3</v>
      </c>
      <c r="J1099" s="3" t="s">
        <v>24</v>
      </c>
      <c r="K1099">
        <v>336000</v>
      </c>
      <c r="L1099">
        <v>1260000</v>
      </c>
      <c r="M1099">
        <v>1008000</v>
      </c>
      <c r="N1099">
        <v>252000</v>
      </c>
      <c r="O1099" s="3" t="s">
        <v>1200</v>
      </c>
      <c r="P1099" s="3" t="s">
        <v>102</v>
      </c>
      <c r="Q1099" s="3" t="s">
        <v>103</v>
      </c>
      <c r="R1099" s="3" t="s">
        <v>103</v>
      </c>
    </row>
    <row r="1100" spans="1:18">
      <c r="A1100" s="19">
        <v>46774</v>
      </c>
      <c r="B1100" s="3" t="s">
        <v>29</v>
      </c>
      <c r="C1100" s="3" t="s">
        <v>32</v>
      </c>
      <c r="D1100" s="3" t="s">
        <v>13</v>
      </c>
      <c r="E1100" s="3" t="s">
        <v>14</v>
      </c>
      <c r="F1100" s="3" t="s">
        <v>41</v>
      </c>
      <c r="G1100" s="3" t="s">
        <v>22</v>
      </c>
      <c r="H1100">
        <v>220000</v>
      </c>
      <c r="I1100">
        <v>10</v>
      </c>
      <c r="J1100" s="3" t="s">
        <v>39</v>
      </c>
      <c r="K1100">
        <v>176000</v>
      </c>
      <c r="L1100">
        <v>2200000</v>
      </c>
      <c r="M1100">
        <v>1760000</v>
      </c>
      <c r="N1100">
        <v>440000</v>
      </c>
      <c r="O1100" s="3" t="s">
        <v>1201</v>
      </c>
      <c r="P1100" s="3" t="s">
        <v>102</v>
      </c>
      <c r="Q1100" s="3" t="s">
        <v>103</v>
      </c>
      <c r="R1100" s="3" t="s">
        <v>103</v>
      </c>
    </row>
    <row r="1101" spans="1:18">
      <c r="A1101" s="19">
        <v>46775</v>
      </c>
      <c r="B1101" s="3" t="s">
        <v>18</v>
      </c>
      <c r="C1101" s="3" t="s">
        <v>32</v>
      </c>
      <c r="D1101" s="3" t="s">
        <v>23</v>
      </c>
      <c r="E1101" s="3" t="s">
        <v>20</v>
      </c>
      <c r="F1101" s="3" t="s">
        <v>38</v>
      </c>
      <c r="G1101" s="3" t="s">
        <v>31</v>
      </c>
      <c r="H1101">
        <v>420000</v>
      </c>
      <c r="I1101">
        <v>9</v>
      </c>
      <c r="J1101" s="3" t="s">
        <v>35</v>
      </c>
      <c r="K1101">
        <v>336000</v>
      </c>
      <c r="L1101">
        <v>3780000</v>
      </c>
      <c r="M1101">
        <v>3024000</v>
      </c>
      <c r="N1101">
        <v>756000</v>
      </c>
      <c r="O1101" s="3" t="s">
        <v>1202</v>
      </c>
      <c r="P1101" s="3" t="s">
        <v>102</v>
      </c>
      <c r="Q1101" s="3" t="s">
        <v>103</v>
      </c>
      <c r="R1101" s="3" t="s">
        <v>103</v>
      </c>
    </row>
    <row r="1102" spans="1:18">
      <c r="A1102" s="19">
        <v>46776</v>
      </c>
      <c r="B1102" s="3" t="s">
        <v>11</v>
      </c>
      <c r="C1102" s="3" t="s">
        <v>32</v>
      </c>
      <c r="D1102" s="3" t="s">
        <v>13</v>
      </c>
      <c r="E1102" s="3" t="s">
        <v>20</v>
      </c>
      <c r="F1102" s="3" t="s">
        <v>21</v>
      </c>
      <c r="G1102" s="3" t="s">
        <v>22</v>
      </c>
      <c r="H1102">
        <v>30000</v>
      </c>
      <c r="I1102">
        <v>6</v>
      </c>
      <c r="J1102" s="3" t="s">
        <v>39</v>
      </c>
      <c r="K1102">
        <v>24000</v>
      </c>
      <c r="L1102">
        <v>180000</v>
      </c>
      <c r="M1102">
        <v>144000</v>
      </c>
      <c r="N1102">
        <v>36000</v>
      </c>
      <c r="O1102" s="3" t="s">
        <v>1203</v>
      </c>
      <c r="P1102" s="3" t="s">
        <v>102</v>
      </c>
      <c r="Q1102" s="3" t="s">
        <v>103</v>
      </c>
      <c r="R1102" s="3" t="s">
        <v>103</v>
      </c>
    </row>
    <row r="1103" spans="1:18">
      <c r="A1103" s="19">
        <v>46777</v>
      </c>
      <c r="B1103" s="3" t="s">
        <v>29</v>
      </c>
      <c r="C1103" s="3" t="s">
        <v>12</v>
      </c>
      <c r="D1103" s="3" t="s">
        <v>13</v>
      </c>
      <c r="E1103" s="3" t="s">
        <v>20</v>
      </c>
      <c r="F1103" s="3" t="s">
        <v>40</v>
      </c>
      <c r="G1103" s="3" t="s">
        <v>31</v>
      </c>
      <c r="H1103">
        <v>250000</v>
      </c>
      <c r="I1103">
        <v>10</v>
      </c>
      <c r="J1103" s="3" t="s">
        <v>24</v>
      </c>
      <c r="K1103">
        <v>200000</v>
      </c>
      <c r="L1103">
        <v>2500000</v>
      </c>
      <c r="M1103">
        <v>2000000</v>
      </c>
      <c r="N1103">
        <v>500000</v>
      </c>
      <c r="O1103" s="3" t="s">
        <v>1204</v>
      </c>
      <c r="P1103" s="3" t="s">
        <v>102</v>
      </c>
      <c r="Q1103" s="3" t="s">
        <v>103</v>
      </c>
      <c r="R1103" s="3" t="s">
        <v>103</v>
      </c>
    </row>
    <row r="1104" spans="1:18">
      <c r="A1104" s="19">
        <v>46778</v>
      </c>
      <c r="B1104" s="3" t="s">
        <v>18</v>
      </c>
      <c r="C1104" s="3" t="s">
        <v>26</v>
      </c>
      <c r="D1104" s="3" t="s">
        <v>13</v>
      </c>
      <c r="E1104" s="3" t="s">
        <v>20</v>
      </c>
      <c r="F1104" s="3" t="s">
        <v>15</v>
      </c>
      <c r="G1104" s="3" t="s">
        <v>16</v>
      </c>
      <c r="H1104">
        <v>85000</v>
      </c>
      <c r="I1104">
        <v>6</v>
      </c>
      <c r="J1104" s="3" t="s">
        <v>39</v>
      </c>
      <c r="K1104">
        <v>68000</v>
      </c>
      <c r="L1104">
        <v>510000</v>
      </c>
      <c r="M1104">
        <v>408000</v>
      </c>
      <c r="N1104">
        <v>102000</v>
      </c>
      <c r="O1104" s="3" t="s">
        <v>1205</v>
      </c>
      <c r="P1104" s="3" t="s">
        <v>102</v>
      </c>
      <c r="Q1104" s="3" t="s">
        <v>103</v>
      </c>
      <c r="R1104" s="3" t="s">
        <v>103</v>
      </c>
    </row>
    <row r="1105" spans="1:18">
      <c r="A1105" s="19">
        <v>46779</v>
      </c>
      <c r="B1105" s="3" t="s">
        <v>29</v>
      </c>
      <c r="C1105" s="3" t="s">
        <v>19</v>
      </c>
      <c r="D1105" s="3" t="s">
        <v>23</v>
      </c>
      <c r="E1105" s="3" t="s">
        <v>20</v>
      </c>
      <c r="F1105" s="3" t="s">
        <v>38</v>
      </c>
      <c r="G1105" s="3" t="s">
        <v>31</v>
      </c>
      <c r="H1105">
        <v>420000</v>
      </c>
      <c r="I1105">
        <v>3</v>
      </c>
      <c r="J1105" s="3" t="s">
        <v>37</v>
      </c>
      <c r="K1105">
        <v>336000</v>
      </c>
      <c r="L1105">
        <v>1260000</v>
      </c>
      <c r="M1105">
        <v>1008000</v>
      </c>
      <c r="N1105">
        <v>252000</v>
      </c>
      <c r="O1105" s="3" t="s">
        <v>1206</v>
      </c>
      <c r="P1105" s="3" t="s">
        <v>102</v>
      </c>
      <c r="Q1105" s="3" t="s">
        <v>103</v>
      </c>
      <c r="R1105" s="3" t="s">
        <v>103</v>
      </c>
    </row>
    <row r="1106" spans="1:18">
      <c r="A1106" s="19">
        <v>46780</v>
      </c>
      <c r="B1106" s="3" t="s">
        <v>18</v>
      </c>
      <c r="C1106" s="3" t="s">
        <v>32</v>
      </c>
      <c r="D1106" s="3" t="s">
        <v>13</v>
      </c>
      <c r="E1106" s="3" t="s">
        <v>14</v>
      </c>
      <c r="F1106" s="3" t="s">
        <v>36</v>
      </c>
      <c r="G1106" s="3" t="s">
        <v>31</v>
      </c>
      <c r="H1106">
        <v>150000</v>
      </c>
      <c r="I1106">
        <v>8</v>
      </c>
      <c r="J1106" s="3" t="s">
        <v>17</v>
      </c>
      <c r="K1106">
        <v>120000</v>
      </c>
      <c r="L1106">
        <v>1200000</v>
      </c>
      <c r="M1106">
        <v>960000</v>
      </c>
      <c r="N1106">
        <v>240000</v>
      </c>
      <c r="O1106" s="3" t="s">
        <v>1207</v>
      </c>
      <c r="P1106" s="3" t="s">
        <v>102</v>
      </c>
      <c r="Q1106" s="3" t="s">
        <v>103</v>
      </c>
      <c r="R1106" s="3" t="s">
        <v>103</v>
      </c>
    </row>
    <row r="1107" spans="1:18">
      <c r="A1107" s="19">
        <v>46781</v>
      </c>
      <c r="B1107" s="3" t="s">
        <v>11</v>
      </c>
      <c r="C1107" s="3" t="s">
        <v>19</v>
      </c>
      <c r="D1107" s="3" t="s">
        <v>23</v>
      </c>
      <c r="E1107" s="3" t="s">
        <v>14</v>
      </c>
      <c r="F1107" s="3" t="s">
        <v>27</v>
      </c>
      <c r="G1107" s="3" t="s">
        <v>22</v>
      </c>
      <c r="H1107">
        <v>60000</v>
      </c>
      <c r="I1107">
        <v>5</v>
      </c>
      <c r="J1107" s="3" t="s">
        <v>35</v>
      </c>
      <c r="K1107">
        <v>48000</v>
      </c>
      <c r="L1107">
        <v>300000</v>
      </c>
      <c r="M1107">
        <v>240000</v>
      </c>
      <c r="N1107">
        <v>60000</v>
      </c>
      <c r="O1107" s="3" t="s">
        <v>1208</v>
      </c>
      <c r="P1107" s="3" t="s">
        <v>102</v>
      </c>
      <c r="Q1107" s="3" t="s">
        <v>103</v>
      </c>
      <c r="R1107" s="3" t="s">
        <v>103</v>
      </c>
    </row>
    <row r="1108" spans="1:18">
      <c r="A1108" s="19">
        <v>46782</v>
      </c>
      <c r="B1108" s="3" t="s">
        <v>11</v>
      </c>
      <c r="C1108" s="3" t="s">
        <v>26</v>
      </c>
      <c r="D1108" s="3" t="s">
        <v>23</v>
      </c>
      <c r="E1108" s="3" t="s">
        <v>20</v>
      </c>
      <c r="F1108" s="3" t="s">
        <v>34</v>
      </c>
      <c r="G1108" s="3" t="s">
        <v>16</v>
      </c>
      <c r="H1108">
        <v>320000</v>
      </c>
      <c r="I1108">
        <v>9</v>
      </c>
      <c r="J1108" s="3" t="s">
        <v>37</v>
      </c>
      <c r="K1108">
        <v>256000</v>
      </c>
      <c r="L1108">
        <v>2880000</v>
      </c>
      <c r="M1108">
        <v>2304000</v>
      </c>
      <c r="N1108">
        <v>576000</v>
      </c>
      <c r="O1108" s="3" t="s">
        <v>1209</v>
      </c>
      <c r="P1108" s="3" t="s">
        <v>102</v>
      </c>
      <c r="Q1108" s="3" t="s">
        <v>103</v>
      </c>
      <c r="R1108" s="3" t="s">
        <v>103</v>
      </c>
    </row>
    <row r="1109" spans="1:18">
      <c r="A1109" s="19">
        <v>46783</v>
      </c>
      <c r="B1109" s="3" t="s">
        <v>11</v>
      </c>
      <c r="C1109" s="3" t="s">
        <v>19</v>
      </c>
      <c r="D1109" s="3" t="s">
        <v>23</v>
      </c>
      <c r="E1109" s="3" t="s">
        <v>14</v>
      </c>
      <c r="F1109" s="3" t="s">
        <v>38</v>
      </c>
      <c r="G1109" s="3" t="s">
        <v>31</v>
      </c>
      <c r="H1109">
        <v>420000</v>
      </c>
      <c r="I1109">
        <v>5</v>
      </c>
      <c r="J1109" s="3" t="s">
        <v>17</v>
      </c>
      <c r="K1109">
        <v>336000</v>
      </c>
      <c r="L1109">
        <v>2100000</v>
      </c>
      <c r="M1109">
        <v>1680000</v>
      </c>
      <c r="N1109">
        <v>420000</v>
      </c>
      <c r="O1109" s="3" t="s">
        <v>1210</v>
      </c>
      <c r="P1109" s="3" t="s">
        <v>102</v>
      </c>
      <c r="Q1109" s="3" t="s">
        <v>103</v>
      </c>
      <c r="R1109" s="3" t="s">
        <v>103</v>
      </c>
    </row>
    <row r="1110" spans="1:18">
      <c r="A1110" s="19">
        <v>46784</v>
      </c>
      <c r="B1110" s="3" t="s">
        <v>29</v>
      </c>
      <c r="C1110" s="3" t="s">
        <v>19</v>
      </c>
      <c r="D1110" s="3" t="s">
        <v>23</v>
      </c>
      <c r="E1110" s="3" t="s">
        <v>14</v>
      </c>
      <c r="F1110" s="3" t="s">
        <v>27</v>
      </c>
      <c r="G1110" s="3" t="s">
        <v>22</v>
      </c>
      <c r="H1110">
        <v>60000</v>
      </c>
      <c r="I1110">
        <v>9</v>
      </c>
      <c r="J1110" s="3" t="s">
        <v>28</v>
      </c>
      <c r="K1110">
        <v>48000</v>
      </c>
      <c r="L1110">
        <v>540000</v>
      </c>
      <c r="M1110">
        <v>432000</v>
      </c>
      <c r="N1110">
        <v>108000</v>
      </c>
      <c r="O1110" s="3" t="s">
        <v>1211</v>
      </c>
      <c r="P1110" s="3" t="s">
        <v>102</v>
      </c>
      <c r="Q1110" s="3" t="s">
        <v>103</v>
      </c>
      <c r="R1110" s="3" t="s">
        <v>103</v>
      </c>
    </row>
    <row r="1111" spans="1:18">
      <c r="A1111" s="19">
        <v>46785</v>
      </c>
      <c r="B1111" s="3" t="s">
        <v>25</v>
      </c>
      <c r="C1111" s="3" t="s">
        <v>19</v>
      </c>
      <c r="D1111" s="3" t="s">
        <v>13</v>
      </c>
      <c r="E1111" s="3" t="s">
        <v>14</v>
      </c>
      <c r="F1111" s="3" t="s">
        <v>38</v>
      </c>
      <c r="G1111" s="3" t="s">
        <v>31</v>
      </c>
      <c r="H1111">
        <v>420000</v>
      </c>
      <c r="I1111">
        <v>1</v>
      </c>
      <c r="J1111" s="3" t="s">
        <v>39</v>
      </c>
      <c r="K1111">
        <v>336000</v>
      </c>
      <c r="L1111">
        <v>420000</v>
      </c>
      <c r="M1111">
        <v>336000</v>
      </c>
      <c r="N1111">
        <v>84000</v>
      </c>
      <c r="O1111" s="3" t="s">
        <v>1212</v>
      </c>
      <c r="P1111" s="3" t="s">
        <v>102</v>
      </c>
      <c r="Q1111" s="3" t="s">
        <v>103</v>
      </c>
      <c r="R1111" s="3" t="s">
        <v>103</v>
      </c>
    </row>
    <row r="1112" spans="1:18">
      <c r="A1112" s="19">
        <v>46786</v>
      </c>
      <c r="B1112" s="3" t="s">
        <v>18</v>
      </c>
      <c r="C1112" s="3" t="s">
        <v>32</v>
      </c>
      <c r="D1112" s="3" t="s">
        <v>13</v>
      </c>
      <c r="E1112" s="3" t="s">
        <v>14</v>
      </c>
      <c r="F1112" s="3" t="s">
        <v>36</v>
      </c>
      <c r="G1112" s="3" t="s">
        <v>31</v>
      </c>
      <c r="H1112">
        <v>150000</v>
      </c>
      <c r="I1112">
        <v>9</v>
      </c>
      <c r="J1112" s="3" t="s">
        <v>37</v>
      </c>
      <c r="K1112">
        <v>120000</v>
      </c>
      <c r="L1112">
        <v>1350000</v>
      </c>
      <c r="M1112">
        <v>1080000</v>
      </c>
      <c r="N1112">
        <v>270000</v>
      </c>
      <c r="O1112" s="3" t="s">
        <v>1213</v>
      </c>
      <c r="P1112" s="3" t="s">
        <v>102</v>
      </c>
      <c r="Q1112" s="3" t="s">
        <v>103</v>
      </c>
      <c r="R1112" s="3" t="s">
        <v>103</v>
      </c>
    </row>
    <row r="1113" spans="1:18">
      <c r="A1113" s="19">
        <v>46787</v>
      </c>
      <c r="B1113" s="3" t="s">
        <v>25</v>
      </c>
      <c r="C1113" s="3" t="s">
        <v>32</v>
      </c>
      <c r="D1113" s="3" t="s">
        <v>23</v>
      </c>
      <c r="E1113" s="3" t="s">
        <v>20</v>
      </c>
      <c r="F1113" s="3" t="s">
        <v>41</v>
      </c>
      <c r="G1113" s="3" t="s">
        <v>22</v>
      </c>
      <c r="H1113">
        <v>220000</v>
      </c>
      <c r="I1113">
        <v>7</v>
      </c>
      <c r="J1113" s="3" t="s">
        <v>17</v>
      </c>
      <c r="K1113">
        <v>176000</v>
      </c>
      <c r="L1113">
        <v>1540000</v>
      </c>
      <c r="M1113">
        <v>1232000</v>
      </c>
      <c r="N1113">
        <v>308000</v>
      </c>
      <c r="O1113" s="3" t="s">
        <v>1214</v>
      </c>
      <c r="P1113" s="3" t="s">
        <v>102</v>
      </c>
      <c r="Q1113" s="3" t="s">
        <v>103</v>
      </c>
      <c r="R1113" s="3" t="s">
        <v>103</v>
      </c>
    </row>
    <row r="1114" spans="1:18">
      <c r="A1114" s="19">
        <v>46788</v>
      </c>
      <c r="B1114" s="3" t="s">
        <v>29</v>
      </c>
      <c r="C1114" s="3" t="s">
        <v>12</v>
      </c>
      <c r="D1114" s="3" t="s">
        <v>13</v>
      </c>
      <c r="E1114" s="3" t="s">
        <v>20</v>
      </c>
      <c r="F1114" s="3" t="s">
        <v>34</v>
      </c>
      <c r="G1114" s="3" t="s">
        <v>16</v>
      </c>
      <c r="H1114">
        <v>320000</v>
      </c>
      <c r="I1114">
        <v>3</v>
      </c>
      <c r="J1114" s="3" t="s">
        <v>35</v>
      </c>
      <c r="K1114">
        <v>256000</v>
      </c>
      <c r="L1114">
        <v>960000</v>
      </c>
      <c r="M1114">
        <v>768000</v>
      </c>
      <c r="N1114">
        <v>192000</v>
      </c>
      <c r="O1114" s="3" t="s">
        <v>1215</v>
      </c>
      <c r="P1114" s="3" t="s">
        <v>102</v>
      </c>
      <c r="Q1114" s="3" t="s">
        <v>103</v>
      </c>
      <c r="R1114" s="3" t="s">
        <v>103</v>
      </c>
    </row>
    <row r="1115" spans="1:18">
      <c r="A1115" s="19">
        <v>46789</v>
      </c>
      <c r="B1115" s="3" t="s">
        <v>25</v>
      </c>
      <c r="C1115" s="3" t="s">
        <v>19</v>
      </c>
      <c r="D1115" s="3" t="s">
        <v>23</v>
      </c>
      <c r="E1115" s="3" t="s">
        <v>14</v>
      </c>
      <c r="F1115" s="3" t="s">
        <v>34</v>
      </c>
      <c r="G1115" s="3" t="s">
        <v>16</v>
      </c>
      <c r="H1115">
        <v>320000</v>
      </c>
      <c r="I1115">
        <v>8</v>
      </c>
      <c r="J1115" s="3" t="s">
        <v>37</v>
      </c>
      <c r="K1115">
        <v>256000</v>
      </c>
      <c r="L1115">
        <v>2560000</v>
      </c>
      <c r="M1115">
        <v>2048000</v>
      </c>
      <c r="N1115">
        <v>512000</v>
      </c>
      <c r="O1115" s="3" t="s">
        <v>1216</v>
      </c>
      <c r="P1115" s="3" t="s">
        <v>102</v>
      </c>
      <c r="Q1115" s="3" t="s">
        <v>103</v>
      </c>
      <c r="R1115" s="3" t="s">
        <v>103</v>
      </c>
    </row>
    <row r="1116" spans="1:18">
      <c r="A1116" s="19">
        <v>46790</v>
      </c>
      <c r="B1116" s="3" t="s">
        <v>25</v>
      </c>
      <c r="C1116" s="3" t="s">
        <v>26</v>
      </c>
      <c r="D1116" s="3" t="s">
        <v>23</v>
      </c>
      <c r="E1116" s="3" t="s">
        <v>14</v>
      </c>
      <c r="F1116" s="3" t="s">
        <v>36</v>
      </c>
      <c r="G1116" s="3" t="s">
        <v>31</v>
      </c>
      <c r="H1116">
        <v>150000</v>
      </c>
      <c r="I1116">
        <v>3</v>
      </c>
      <c r="J1116" s="3" t="s">
        <v>37</v>
      </c>
      <c r="K1116">
        <v>120000</v>
      </c>
      <c r="L1116">
        <v>450000</v>
      </c>
      <c r="M1116">
        <v>360000</v>
      </c>
      <c r="N1116">
        <v>90000</v>
      </c>
      <c r="O1116" s="3" t="s">
        <v>1217</v>
      </c>
      <c r="P1116" s="3" t="s">
        <v>102</v>
      </c>
      <c r="Q1116" s="3" t="s">
        <v>103</v>
      </c>
      <c r="R1116" s="3" t="s">
        <v>103</v>
      </c>
    </row>
    <row r="1117" spans="1:18">
      <c r="A1117" s="19">
        <v>46791</v>
      </c>
      <c r="B1117" s="3" t="s">
        <v>11</v>
      </c>
      <c r="C1117" s="3" t="s">
        <v>32</v>
      </c>
      <c r="D1117" s="3" t="s">
        <v>13</v>
      </c>
      <c r="E1117" s="3" t="s">
        <v>14</v>
      </c>
      <c r="F1117" s="3" t="s">
        <v>40</v>
      </c>
      <c r="G1117" s="3" t="s">
        <v>31</v>
      </c>
      <c r="H1117">
        <v>250000</v>
      </c>
      <c r="I1117">
        <v>9</v>
      </c>
      <c r="J1117" s="3" t="s">
        <v>17</v>
      </c>
      <c r="K1117">
        <v>200000</v>
      </c>
      <c r="L1117">
        <v>2250000</v>
      </c>
      <c r="M1117">
        <v>1800000</v>
      </c>
      <c r="N1117">
        <v>450000</v>
      </c>
      <c r="O1117" s="3" t="s">
        <v>1218</v>
      </c>
      <c r="P1117" s="3" t="s">
        <v>102</v>
      </c>
      <c r="Q1117" s="3" t="s">
        <v>103</v>
      </c>
      <c r="R1117" s="3" t="s">
        <v>103</v>
      </c>
    </row>
    <row r="1118" spans="1:18">
      <c r="A1118" s="19">
        <v>46792</v>
      </c>
      <c r="B1118" s="3" t="s">
        <v>11</v>
      </c>
      <c r="C1118" s="3" t="s">
        <v>19</v>
      </c>
      <c r="D1118" s="3" t="s">
        <v>13</v>
      </c>
      <c r="E1118" s="3" t="s">
        <v>20</v>
      </c>
      <c r="F1118" s="3" t="s">
        <v>38</v>
      </c>
      <c r="G1118" s="3" t="s">
        <v>31</v>
      </c>
      <c r="H1118">
        <v>420000</v>
      </c>
      <c r="I1118">
        <v>7</v>
      </c>
      <c r="J1118" s="3" t="s">
        <v>28</v>
      </c>
      <c r="K1118">
        <v>336000</v>
      </c>
      <c r="L1118">
        <v>2940000</v>
      </c>
      <c r="M1118">
        <v>2352000</v>
      </c>
      <c r="N1118">
        <v>588000</v>
      </c>
      <c r="O1118" s="3" t="s">
        <v>1219</v>
      </c>
      <c r="P1118" s="3" t="s">
        <v>102</v>
      </c>
      <c r="Q1118" s="3" t="s">
        <v>103</v>
      </c>
      <c r="R1118" s="3" t="s">
        <v>103</v>
      </c>
    </row>
    <row r="1119" spans="1:18">
      <c r="A1119" s="19">
        <v>46793</v>
      </c>
      <c r="B1119" s="3" t="s">
        <v>11</v>
      </c>
      <c r="C1119" s="3" t="s">
        <v>12</v>
      </c>
      <c r="D1119" s="3" t="s">
        <v>23</v>
      </c>
      <c r="E1119" s="3" t="s">
        <v>20</v>
      </c>
      <c r="F1119" s="3" t="s">
        <v>40</v>
      </c>
      <c r="G1119" s="3" t="s">
        <v>31</v>
      </c>
      <c r="H1119">
        <v>250000</v>
      </c>
      <c r="I1119">
        <v>10</v>
      </c>
      <c r="J1119" s="3" t="s">
        <v>24</v>
      </c>
      <c r="K1119">
        <v>200000</v>
      </c>
      <c r="L1119">
        <v>2500000</v>
      </c>
      <c r="M1119">
        <v>2000000</v>
      </c>
      <c r="N1119">
        <v>500000</v>
      </c>
      <c r="O1119" s="3" t="s">
        <v>1220</v>
      </c>
      <c r="P1119" s="3" t="s">
        <v>102</v>
      </c>
      <c r="Q1119" s="3" t="s">
        <v>103</v>
      </c>
      <c r="R1119" s="3" t="s">
        <v>103</v>
      </c>
    </row>
    <row r="1120" spans="1:18">
      <c r="A1120" s="19">
        <v>46794</v>
      </c>
      <c r="B1120" s="3" t="s">
        <v>18</v>
      </c>
      <c r="C1120" s="3" t="s">
        <v>26</v>
      </c>
      <c r="D1120" s="3" t="s">
        <v>13</v>
      </c>
      <c r="E1120" s="3" t="s">
        <v>14</v>
      </c>
      <c r="F1120" s="3" t="s">
        <v>27</v>
      </c>
      <c r="G1120" s="3" t="s">
        <v>22</v>
      </c>
      <c r="H1120">
        <v>60000</v>
      </c>
      <c r="I1120">
        <v>4</v>
      </c>
      <c r="J1120" s="3" t="s">
        <v>24</v>
      </c>
      <c r="K1120">
        <v>48000</v>
      </c>
      <c r="L1120">
        <v>240000</v>
      </c>
      <c r="M1120">
        <v>192000</v>
      </c>
      <c r="N1120">
        <v>48000</v>
      </c>
      <c r="O1120" s="3" t="s">
        <v>1221</v>
      </c>
      <c r="P1120" s="3" t="s">
        <v>102</v>
      </c>
      <c r="Q1120" s="3" t="s">
        <v>103</v>
      </c>
      <c r="R1120" s="3" t="s">
        <v>103</v>
      </c>
    </row>
    <row r="1121" spans="1:18">
      <c r="A1121" s="19">
        <v>46795</v>
      </c>
      <c r="B1121" s="3" t="s">
        <v>29</v>
      </c>
      <c r="C1121" s="3" t="s">
        <v>19</v>
      </c>
      <c r="D1121" s="3" t="s">
        <v>13</v>
      </c>
      <c r="E1121" s="3" t="s">
        <v>14</v>
      </c>
      <c r="F1121" s="3" t="s">
        <v>40</v>
      </c>
      <c r="G1121" s="3" t="s">
        <v>31</v>
      </c>
      <c r="H1121">
        <v>250000</v>
      </c>
      <c r="I1121">
        <v>4</v>
      </c>
      <c r="J1121" s="3" t="s">
        <v>17</v>
      </c>
      <c r="K1121">
        <v>200000</v>
      </c>
      <c r="L1121">
        <v>1000000</v>
      </c>
      <c r="M1121">
        <v>800000</v>
      </c>
      <c r="N1121">
        <v>200000</v>
      </c>
      <c r="O1121" s="3" t="s">
        <v>1222</v>
      </c>
      <c r="P1121" s="3" t="s">
        <v>102</v>
      </c>
      <c r="Q1121" s="3" t="s">
        <v>103</v>
      </c>
      <c r="R1121" s="3" t="s">
        <v>103</v>
      </c>
    </row>
    <row r="1122" spans="1:18">
      <c r="A1122" s="19">
        <v>46796</v>
      </c>
      <c r="B1122" s="3" t="s">
        <v>29</v>
      </c>
      <c r="C1122" s="3" t="s">
        <v>12</v>
      </c>
      <c r="D1122" s="3" t="s">
        <v>13</v>
      </c>
      <c r="E1122" s="3" t="s">
        <v>14</v>
      </c>
      <c r="F1122" s="3" t="s">
        <v>30</v>
      </c>
      <c r="G1122" s="3" t="s">
        <v>31</v>
      </c>
      <c r="H1122">
        <v>300000</v>
      </c>
      <c r="I1122">
        <v>3</v>
      </c>
      <c r="J1122" s="3" t="s">
        <v>39</v>
      </c>
      <c r="K1122">
        <v>240000</v>
      </c>
      <c r="L1122">
        <v>900000</v>
      </c>
      <c r="M1122">
        <v>720000</v>
      </c>
      <c r="N1122">
        <v>180000</v>
      </c>
      <c r="O1122" s="3" t="s">
        <v>1223</v>
      </c>
      <c r="P1122" s="3" t="s">
        <v>102</v>
      </c>
      <c r="Q1122" s="3" t="s">
        <v>103</v>
      </c>
      <c r="R1122" s="3" t="s">
        <v>103</v>
      </c>
    </row>
    <row r="1123" spans="1:18">
      <c r="A1123" s="19">
        <v>46797</v>
      </c>
      <c r="B1123" s="3" t="s">
        <v>25</v>
      </c>
      <c r="C1123" s="3" t="s">
        <v>19</v>
      </c>
      <c r="D1123" s="3" t="s">
        <v>23</v>
      </c>
      <c r="E1123" s="3" t="s">
        <v>14</v>
      </c>
      <c r="F1123" s="3" t="s">
        <v>38</v>
      </c>
      <c r="G1123" s="3" t="s">
        <v>31</v>
      </c>
      <c r="H1123">
        <v>420000</v>
      </c>
      <c r="I1123">
        <v>9</v>
      </c>
      <c r="J1123" s="3" t="s">
        <v>37</v>
      </c>
      <c r="K1123">
        <v>336000</v>
      </c>
      <c r="L1123">
        <v>3780000</v>
      </c>
      <c r="M1123">
        <v>3024000</v>
      </c>
      <c r="N1123">
        <v>756000</v>
      </c>
      <c r="O1123" s="3" t="s">
        <v>1224</v>
      </c>
      <c r="P1123" s="3" t="s">
        <v>102</v>
      </c>
      <c r="Q1123" s="3" t="s">
        <v>103</v>
      </c>
      <c r="R1123" s="3" t="s">
        <v>103</v>
      </c>
    </row>
    <row r="1124" spans="1:18">
      <c r="A1124" s="19">
        <v>46798</v>
      </c>
      <c r="B1124" s="3" t="s">
        <v>25</v>
      </c>
      <c r="C1124" s="3" t="s">
        <v>19</v>
      </c>
      <c r="D1124" s="3" t="s">
        <v>23</v>
      </c>
      <c r="E1124" s="3" t="s">
        <v>14</v>
      </c>
      <c r="F1124" s="3" t="s">
        <v>38</v>
      </c>
      <c r="G1124" s="3" t="s">
        <v>31</v>
      </c>
      <c r="H1124">
        <v>420000</v>
      </c>
      <c r="I1124">
        <v>7</v>
      </c>
      <c r="J1124" s="3" t="s">
        <v>28</v>
      </c>
      <c r="K1124">
        <v>336000</v>
      </c>
      <c r="L1124">
        <v>2940000</v>
      </c>
      <c r="M1124">
        <v>2352000</v>
      </c>
      <c r="N1124">
        <v>588000</v>
      </c>
      <c r="O1124" s="3" t="s">
        <v>1225</v>
      </c>
      <c r="P1124" s="3" t="s">
        <v>102</v>
      </c>
      <c r="Q1124" s="3" t="s">
        <v>103</v>
      </c>
      <c r="R1124" s="3" t="s">
        <v>103</v>
      </c>
    </row>
    <row r="1125" spans="1:18">
      <c r="A1125" s="19">
        <v>46799</v>
      </c>
      <c r="B1125" s="3" t="s">
        <v>18</v>
      </c>
      <c r="C1125" s="3" t="s">
        <v>26</v>
      </c>
      <c r="D1125" s="3" t="s">
        <v>13</v>
      </c>
      <c r="E1125" s="3" t="s">
        <v>14</v>
      </c>
      <c r="F1125" s="3" t="s">
        <v>41</v>
      </c>
      <c r="G1125" s="3" t="s">
        <v>22</v>
      </c>
      <c r="H1125">
        <v>220000</v>
      </c>
      <c r="I1125">
        <v>9</v>
      </c>
      <c r="J1125" s="3" t="s">
        <v>39</v>
      </c>
      <c r="K1125">
        <v>176000</v>
      </c>
      <c r="L1125">
        <v>1980000</v>
      </c>
      <c r="M1125">
        <v>1584000</v>
      </c>
      <c r="N1125">
        <v>396000</v>
      </c>
      <c r="O1125" s="3" t="s">
        <v>1226</v>
      </c>
      <c r="P1125" s="3" t="s">
        <v>102</v>
      </c>
      <c r="Q1125" s="3" t="s">
        <v>103</v>
      </c>
      <c r="R1125" s="3" t="s">
        <v>103</v>
      </c>
    </row>
    <row r="1126" spans="1:18">
      <c r="A1126" s="19">
        <v>46800</v>
      </c>
      <c r="B1126" s="3" t="s">
        <v>18</v>
      </c>
      <c r="C1126" s="3" t="s">
        <v>32</v>
      </c>
      <c r="D1126" s="3" t="s">
        <v>23</v>
      </c>
      <c r="E1126" s="3" t="s">
        <v>14</v>
      </c>
      <c r="F1126" s="3" t="s">
        <v>15</v>
      </c>
      <c r="G1126" s="3" t="s">
        <v>16</v>
      </c>
      <c r="H1126">
        <v>85000</v>
      </c>
      <c r="I1126">
        <v>8</v>
      </c>
      <c r="J1126" s="3" t="s">
        <v>28</v>
      </c>
      <c r="K1126">
        <v>68000</v>
      </c>
      <c r="L1126">
        <v>680000</v>
      </c>
      <c r="M1126">
        <v>544000</v>
      </c>
      <c r="N1126">
        <v>136000</v>
      </c>
      <c r="O1126" s="3" t="s">
        <v>1227</v>
      </c>
      <c r="P1126" s="3" t="s">
        <v>102</v>
      </c>
      <c r="Q1126" s="3" t="s">
        <v>103</v>
      </c>
      <c r="R1126" s="3" t="s">
        <v>103</v>
      </c>
    </row>
    <row r="1127" spans="1:18">
      <c r="A1127" s="19">
        <v>46801</v>
      </c>
      <c r="B1127" s="3" t="s">
        <v>25</v>
      </c>
      <c r="C1127" s="3" t="s">
        <v>12</v>
      </c>
      <c r="D1127" s="3" t="s">
        <v>23</v>
      </c>
      <c r="E1127" s="3" t="s">
        <v>20</v>
      </c>
      <c r="F1127" s="3" t="s">
        <v>15</v>
      </c>
      <c r="G1127" s="3" t="s">
        <v>16</v>
      </c>
      <c r="H1127">
        <v>85000</v>
      </c>
      <c r="I1127">
        <v>5</v>
      </c>
      <c r="J1127" s="3" t="s">
        <v>35</v>
      </c>
      <c r="K1127">
        <v>68000</v>
      </c>
      <c r="L1127">
        <v>425000</v>
      </c>
      <c r="M1127">
        <v>340000</v>
      </c>
      <c r="N1127">
        <v>85000</v>
      </c>
      <c r="O1127" s="3" t="s">
        <v>1228</v>
      </c>
      <c r="P1127" s="3" t="s">
        <v>102</v>
      </c>
      <c r="Q1127" s="3" t="s">
        <v>103</v>
      </c>
      <c r="R1127" s="3" t="s">
        <v>103</v>
      </c>
    </row>
    <row r="1128" spans="1:18">
      <c r="A1128" s="19">
        <v>46802</v>
      </c>
      <c r="B1128" s="3" t="s">
        <v>25</v>
      </c>
      <c r="C1128" s="3" t="s">
        <v>32</v>
      </c>
      <c r="D1128" s="3" t="s">
        <v>13</v>
      </c>
      <c r="E1128" s="3" t="s">
        <v>20</v>
      </c>
      <c r="F1128" s="3" t="s">
        <v>40</v>
      </c>
      <c r="G1128" s="3" t="s">
        <v>31</v>
      </c>
      <c r="H1128">
        <v>250000</v>
      </c>
      <c r="I1128">
        <v>6</v>
      </c>
      <c r="J1128" s="3" t="s">
        <v>39</v>
      </c>
      <c r="K1128">
        <v>200000</v>
      </c>
      <c r="L1128">
        <v>1500000</v>
      </c>
      <c r="M1128">
        <v>1200000</v>
      </c>
      <c r="N1128">
        <v>300000</v>
      </c>
      <c r="O1128" s="3" t="s">
        <v>1229</v>
      </c>
      <c r="P1128" s="3" t="s">
        <v>102</v>
      </c>
      <c r="Q1128" s="3" t="s">
        <v>103</v>
      </c>
      <c r="R1128" s="3" t="s">
        <v>103</v>
      </c>
    </row>
    <row r="1129" spans="1:18">
      <c r="A1129" s="19">
        <v>46803</v>
      </c>
      <c r="B1129" s="3" t="s">
        <v>18</v>
      </c>
      <c r="C1129" s="3" t="s">
        <v>26</v>
      </c>
      <c r="D1129" s="3" t="s">
        <v>23</v>
      </c>
      <c r="E1129" s="3" t="s">
        <v>20</v>
      </c>
      <c r="F1129" s="3" t="s">
        <v>21</v>
      </c>
      <c r="G1129" s="3" t="s">
        <v>22</v>
      </c>
      <c r="H1129">
        <v>30000</v>
      </c>
      <c r="I1129">
        <v>8</v>
      </c>
      <c r="J1129" s="3" t="s">
        <v>39</v>
      </c>
      <c r="K1129">
        <v>24000</v>
      </c>
      <c r="L1129">
        <v>240000</v>
      </c>
      <c r="M1129">
        <v>192000</v>
      </c>
      <c r="N1129">
        <v>48000</v>
      </c>
      <c r="O1129" s="3" t="s">
        <v>1230</v>
      </c>
      <c r="P1129" s="3" t="s">
        <v>102</v>
      </c>
      <c r="Q1129" s="3" t="s">
        <v>103</v>
      </c>
      <c r="R1129" s="3" t="s">
        <v>103</v>
      </c>
    </row>
    <row r="1130" spans="1:18">
      <c r="A1130" s="19">
        <v>46804</v>
      </c>
      <c r="B1130" s="3" t="s">
        <v>29</v>
      </c>
      <c r="C1130" s="3" t="s">
        <v>12</v>
      </c>
      <c r="D1130" s="3" t="s">
        <v>23</v>
      </c>
      <c r="E1130" s="3" t="s">
        <v>14</v>
      </c>
      <c r="F1130" s="3" t="s">
        <v>40</v>
      </c>
      <c r="G1130" s="3" t="s">
        <v>31</v>
      </c>
      <c r="H1130">
        <v>250000</v>
      </c>
      <c r="I1130">
        <v>6</v>
      </c>
      <c r="J1130" s="3" t="s">
        <v>37</v>
      </c>
      <c r="K1130">
        <v>200000</v>
      </c>
      <c r="L1130">
        <v>1500000</v>
      </c>
      <c r="M1130">
        <v>1200000</v>
      </c>
      <c r="N1130">
        <v>300000</v>
      </c>
      <c r="O1130" s="3" t="s">
        <v>1231</v>
      </c>
      <c r="P1130" s="3" t="s">
        <v>102</v>
      </c>
      <c r="Q1130" s="3" t="s">
        <v>103</v>
      </c>
      <c r="R1130" s="3" t="s">
        <v>103</v>
      </c>
    </row>
    <row r="1131" spans="1:18">
      <c r="A1131" s="19">
        <v>46805</v>
      </c>
      <c r="B1131" s="3" t="s">
        <v>25</v>
      </c>
      <c r="C1131" s="3" t="s">
        <v>19</v>
      </c>
      <c r="D1131" s="3" t="s">
        <v>23</v>
      </c>
      <c r="E1131" s="3" t="s">
        <v>20</v>
      </c>
      <c r="F1131" s="3" t="s">
        <v>34</v>
      </c>
      <c r="G1131" s="3" t="s">
        <v>16</v>
      </c>
      <c r="H1131">
        <v>320000</v>
      </c>
      <c r="I1131">
        <v>10</v>
      </c>
      <c r="J1131" s="3" t="s">
        <v>35</v>
      </c>
      <c r="K1131">
        <v>256000</v>
      </c>
      <c r="L1131">
        <v>3200000</v>
      </c>
      <c r="M1131">
        <v>2560000</v>
      </c>
      <c r="N1131">
        <v>640000</v>
      </c>
      <c r="O1131" s="3" t="s">
        <v>1232</v>
      </c>
      <c r="P1131" s="3" t="s">
        <v>102</v>
      </c>
      <c r="Q1131" s="3" t="s">
        <v>103</v>
      </c>
      <c r="R1131" s="3" t="s">
        <v>103</v>
      </c>
    </row>
    <row r="1132" spans="1:18">
      <c r="A1132" s="19">
        <v>46806</v>
      </c>
      <c r="B1132" s="3" t="s">
        <v>18</v>
      </c>
      <c r="C1132" s="3" t="s">
        <v>32</v>
      </c>
      <c r="D1132" s="3" t="s">
        <v>13</v>
      </c>
      <c r="E1132" s="3" t="s">
        <v>20</v>
      </c>
      <c r="F1132" s="3" t="s">
        <v>21</v>
      </c>
      <c r="G1132" s="3" t="s">
        <v>22</v>
      </c>
      <c r="H1132">
        <v>30000</v>
      </c>
      <c r="I1132">
        <v>4</v>
      </c>
      <c r="J1132" s="3" t="s">
        <v>35</v>
      </c>
      <c r="K1132">
        <v>24000</v>
      </c>
      <c r="L1132">
        <v>120000</v>
      </c>
      <c r="M1132">
        <v>96000</v>
      </c>
      <c r="N1132">
        <v>24000</v>
      </c>
      <c r="O1132" s="3" t="s">
        <v>1233</v>
      </c>
      <c r="P1132" s="3" t="s">
        <v>102</v>
      </c>
      <c r="Q1132" s="3" t="s">
        <v>103</v>
      </c>
      <c r="R1132" s="3" t="s">
        <v>103</v>
      </c>
    </row>
    <row r="1133" spans="1:18">
      <c r="A1133" s="19">
        <v>46807</v>
      </c>
      <c r="B1133" s="3" t="s">
        <v>25</v>
      </c>
      <c r="C1133" s="3" t="s">
        <v>32</v>
      </c>
      <c r="D1133" s="3" t="s">
        <v>13</v>
      </c>
      <c r="E1133" s="3" t="s">
        <v>20</v>
      </c>
      <c r="F1133" s="3" t="s">
        <v>15</v>
      </c>
      <c r="G1133" s="3" t="s">
        <v>16</v>
      </c>
      <c r="H1133">
        <v>85000</v>
      </c>
      <c r="I1133">
        <v>10</v>
      </c>
      <c r="J1133" s="3" t="s">
        <v>17</v>
      </c>
      <c r="K1133">
        <v>68000</v>
      </c>
      <c r="L1133">
        <v>850000</v>
      </c>
      <c r="M1133">
        <v>680000</v>
      </c>
      <c r="N1133">
        <v>170000</v>
      </c>
      <c r="O1133" s="3" t="s">
        <v>1234</v>
      </c>
      <c r="P1133" s="3" t="s">
        <v>102</v>
      </c>
      <c r="Q1133" s="3" t="s">
        <v>103</v>
      </c>
      <c r="R1133" s="3" t="s">
        <v>103</v>
      </c>
    </row>
    <row r="1134" spans="1:18">
      <c r="A1134" s="19">
        <v>46808</v>
      </c>
      <c r="B1134" s="3" t="s">
        <v>29</v>
      </c>
      <c r="C1134" s="3" t="s">
        <v>32</v>
      </c>
      <c r="D1134" s="3" t="s">
        <v>23</v>
      </c>
      <c r="E1134" s="3" t="s">
        <v>20</v>
      </c>
      <c r="F1134" s="3" t="s">
        <v>40</v>
      </c>
      <c r="G1134" s="3" t="s">
        <v>31</v>
      </c>
      <c r="H1134">
        <v>250000</v>
      </c>
      <c r="I1134">
        <v>6</v>
      </c>
      <c r="J1134" s="3" t="s">
        <v>28</v>
      </c>
      <c r="K1134">
        <v>200000</v>
      </c>
      <c r="L1134">
        <v>1500000</v>
      </c>
      <c r="M1134">
        <v>1200000</v>
      </c>
      <c r="N1134">
        <v>300000</v>
      </c>
      <c r="O1134" s="3" t="s">
        <v>1235</v>
      </c>
      <c r="P1134" s="3" t="s">
        <v>102</v>
      </c>
      <c r="Q1134" s="3" t="s">
        <v>103</v>
      </c>
      <c r="R1134" s="3" t="s">
        <v>103</v>
      </c>
    </row>
    <row r="1135" spans="1:18">
      <c r="A1135" s="19">
        <v>46809</v>
      </c>
      <c r="B1135" s="3" t="s">
        <v>25</v>
      </c>
      <c r="C1135" s="3" t="s">
        <v>19</v>
      </c>
      <c r="D1135" s="3" t="s">
        <v>13</v>
      </c>
      <c r="E1135" s="3" t="s">
        <v>20</v>
      </c>
      <c r="F1135" s="3" t="s">
        <v>27</v>
      </c>
      <c r="G1135" s="3" t="s">
        <v>22</v>
      </c>
      <c r="H1135">
        <v>60000</v>
      </c>
      <c r="I1135">
        <v>10</v>
      </c>
      <c r="J1135" s="3" t="s">
        <v>24</v>
      </c>
      <c r="K1135">
        <v>48000</v>
      </c>
      <c r="L1135">
        <v>600000</v>
      </c>
      <c r="M1135">
        <v>480000</v>
      </c>
      <c r="N1135">
        <v>120000</v>
      </c>
      <c r="O1135" s="3" t="s">
        <v>1236</v>
      </c>
      <c r="P1135" s="3" t="s">
        <v>102</v>
      </c>
      <c r="Q1135" s="3" t="s">
        <v>103</v>
      </c>
      <c r="R1135" s="3" t="s">
        <v>103</v>
      </c>
    </row>
    <row r="1136" spans="1:18">
      <c r="A1136" s="19">
        <v>46810</v>
      </c>
      <c r="B1136" s="3" t="s">
        <v>18</v>
      </c>
      <c r="C1136" s="3" t="s">
        <v>19</v>
      </c>
      <c r="D1136" s="3" t="s">
        <v>13</v>
      </c>
      <c r="E1136" s="3" t="s">
        <v>20</v>
      </c>
      <c r="F1136" s="3" t="s">
        <v>30</v>
      </c>
      <c r="G1136" s="3" t="s">
        <v>31</v>
      </c>
      <c r="H1136">
        <v>300000</v>
      </c>
      <c r="I1136">
        <v>3</v>
      </c>
      <c r="J1136" s="3" t="s">
        <v>24</v>
      </c>
      <c r="K1136">
        <v>240000</v>
      </c>
      <c r="L1136">
        <v>900000</v>
      </c>
      <c r="M1136">
        <v>720000</v>
      </c>
      <c r="N1136">
        <v>180000</v>
      </c>
      <c r="O1136" s="3" t="s">
        <v>1237</v>
      </c>
      <c r="P1136" s="3" t="s">
        <v>102</v>
      </c>
      <c r="Q1136" s="3" t="s">
        <v>103</v>
      </c>
      <c r="R1136" s="3" t="s">
        <v>103</v>
      </c>
    </row>
    <row r="1137" spans="1:18">
      <c r="A1137" s="19">
        <v>46811</v>
      </c>
      <c r="B1137" s="3" t="s">
        <v>11</v>
      </c>
      <c r="C1137" s="3" t="s">
        <v>32</v>
      </c>
      <c r="D1137" s="3" t="s">
        <v>13</v>
      </c>
      <c r="E1137" s="3" t="s">
        <v>20</v>
      </c>
      <c r="F1137" s="3" t="s">
        <v>36</v>
      </c>
      <c r="G1137" s="3" t="s">
        <v>31</v>
      </c>
      <c r="H1137">
        <v>150000</v>
      </c>
      <c r="I1137">
        <v>10</v>
      </c>
      <c r="J1137" s="3" t="s">
        <v>39</v>
      </c>
      <c r="K1137">
        <v>120000</v>
      </c>
      <c r="L1137">
        <v>1500000</v>
      </c>
      <c r="M1137">
        <v>1200000</v>
      </c>
      <c r="N1137">
        <v>300000</v>
      </c>
      <c r="O1137" s="3" t="s">
        <v>1238</v>
      </c>
      <c r="P1137" s="3" t="s">
        <v>102</v>
      </c>
      <c r="Q1137" s="3" t="s">
        <v>103</v>
      </c>
      <c r="R1137" s="3" t="s">
        <v>103</v>
      </c>
    </row>
    <row r="1138" spans="1:18">
      <c r="A1138" s="19">
        <v>46812</v>
      </c>
      <c r="B1138" s="3" t="s">
        <v>25</v>
      </c>
      <c r="C1138" s="3" t="s">
        <v>19</v>
      </c>
      <c r="D1138" s="3" t="s">
        <v>23</v>
      </c>
      <c r="E1138" s="3" t="s">
        <v>20</v>
      </c>
      <c r="F1138" s="3" t="s">
        <v>21</v>
      </c>
      <c r="G1138" s="3" t="s">
        <v>22</v>
      </c>
      <c r="H1138">
        <v>30000</v>
      </c>
      <c r="I1138">
        <v>7</v>
      </c>
      <c r="J1138" s="3" t="s">
        <v>35</v>
      </c>
      <c r="K1138">
        <v>24000</v>
      </c>
      <c r="L1138">
        <v>210000</v>
      </c>
      <c r="M1138">
        <v>168000</v>
      </c>
      <c r="N1138">
        <v>42000</v>
      </c>
      <c r="O1138" s="3" t="s">
        <v>1239</v>
      </c>
      <c r="P1138" s="3" t="s">
        <v>102</v>
      </c>
      <c r="Q1138" s="3" t="s">
        <v>103</v>
      </c>
      <c r="R1138" s="3" t="s">
        <v>103</v>
      </c>
    </row>
    <row r="1139" spans="1:18">
      <c r="A1139" s="19">
        <v>46813</v>
      </c>
      <c r="B1139" s="3" t="s">
        <v>18</v>
      </c>
      <c r="C1139" s="3" t="s">
        <v>19</v>
      </c>
      <c r="D1139" s="3" t="s">
        <v>23</v>
      </c>
      <c r="E1139" s="3" t="s">
        <v>20</v>
      </c>
      <c r="F1139" s="3" t="s">
        <v>30</v>
      </c>
      <c r="G1139" s="3" t="s">
        <v>31</v>
      </c>
      <c r="H1139">
        <v>300000</v>
      </c>
      <c r="I1139">
        <v>9</v>
      </c>
      <c r="J1139" s="3" t="s">
        <v>37</v>
      </c>
      <c r="K1139">
        <v>240000</v>
      </c>
      <c r="L1139">
        <v>2700000</v>
      </c>
      <c r="M1139">
        <v>2160000</v>
      </c>
      <c r="N1139">
        <v>540000</v>
      </c>
      <c r="O1139" s="3" t="s">
        <v>1240</v>
      </c>
      <c r="P1139" s="3" t="s">
        <v>102</v>
      </c>
      <c r="Q1139" s="3" t="s">
        <v>103</v>
      </c>
      <c r="R1139" s="3" t="s">
        <v>103</v>
      </c>
    </row>
    <row r="1140" spans="1:18">
      <c r="A1140" s="19">
        <v>46814</v>
      </c>
      <c r="B1140" s="3" t="s">
        <v>29</v>
      </c>
      <c r="C1140" s="3" t="s">
        <v>32</v>
      </c>
      <c r="D1140" s="3" t="s">
        <v>23</v>
      </c>
      <c r="E1140" s="3" t="s">
        <v>20</v>
      </c>
      <c r="F1140" s="3" t="s">
        <v>41</v>
      </c>
      <c r="G1140" s="3" t="s">
        <v>22</v>
      </c>
      <c r="H1140">
        <v>220000</v>
      </c>
      <c r="I1140">
        <v>4</v>
      </c>
      <c r="J1140" s="3" t="s">
        <v>28</v>
      </c>
      <c r="K1140">
        <v>176000</v>
      </c>
      <c r="L1140">
        <v>880000</v>
      </c>
      <c r="M1140">
        <v>704000</v>
      </c>
      <c r="N1140">
        <v>176000</v>
      </c>
      <c r="O1140" s="3" t="s">
        <v>1241</v>
      </c>
      <c r="P1140" s="3" t="s">
        <v>102</v>
      </c>
      <c r="Q1140" s="3" t="s">
        <v>103</v>
      </c>
      <c r="R1140" s="3" t="s">
        <v>103</v>
      </c>
    </row>
    <row r="1141" spans="1:18">
      <c r="A1141" s="19">
        <v>46815</v>
      </c>
      <c r="B1141" s="3" t="s">
        <v>18</v>
      </c>
      <c r="C1141" s="3" t="s">
        <v>26</v>
      </c>
      <c r="D1141" s="3" t="s">
        <v>23</v>
      </c>
      <c r="E1141" s="3" t="s">
        <v>14</v>
      </c>
      <c r="F1141" s="3" t="s">
        <v>40</v>
      </c>
      <c r="G1141" s="3" t="s">
        <v>31</v>
      </c>
      <c r="H1141">
        <v>250000</v>
      </c>
      <c r="I1141">
        <v>9</v>
      </c>
      <c r="J1141" s="3" t="s">
        <v>17</v>
      </c>
      <c r="K1141">
        <v>200000</v>
      </c>
      <c r="L1141">
        <v>2250000</v>
      </c>
      <c r="M1141">
        <v>1800000</v>
      </c>
      <c r="N1141">
        <v>450000</v>
      </c>
      <c r="O1141" s="3" t="s">
        <v>1242</v>
      </c>
      <c r="P1141" s="3" t="s">
        <v>102</v>
      </c>
      <c r="Q1141" s="3" t="s">
        <v>103</v>
      </c>
      <c r="R1141" s="3" t="s">
        <v>103</v>
      </c>
    </row>
    <row r="1142" spans="1:18">
      <c r="A1142" s="19">
        <v>46816</v>
      </c>
      <c r="B1142" s="3" t="s">
        <v>11</v>
      </c>
      <c r="C1142" s="3" t="s">
        <v>12</v>
      </c>
      <c r="D1142" s="3" t="s">
        <v>23</v>
      </c>
      <c r="E1142" s="3" t="s">
        <v>20</v>
      </c>
      <c r="F1142" s="3" t="s">
        <v>30</v>
      </c>
      <c r="G1142" s="3" t="s">
        <v>31</v>
      </c>
      <c r="H1142">
        <v>300000</v>
      </c>
      <c r="I1142">
        <v>4</v>
      </c>
      <c r="J1142" s="3" t="s">
        <v>39</v>
      </c>
      <c r="K1142">
        <v>240000</v>
      </c>
      <c r="L1142">
        <v>1200000</v>
      </c>
      <c r="M1142">
        <v>960000</v>
      </c>
      <c r="N1142">
        <v>240000</v>
      </c>
      <c r="O1142" s="3" t="s">
        <v>1243</v>
      </c>
      <c r="P1142" s="3" t="s">
        <v>102</v>
      </c>
      <c r="Q1142" s="3" t="s">
        <v>103</v>
      </c>
      <c r="R1142" s="3" t="s">
        <v>103</v>
      </c>
    </row>
    <row r="1143" spans="1:18">
      <c r="A1143" s="19">
        <v>46817</v>
      </c>
      <c r="B1143" s="3" t="s">
        <v>11</v>
      </c>
      <c r="C1143" s="3" t="s">
        <v>12</v>
      </c>
      <c r="D1143" s="3" t="s">
        <v>13</v>
      </c>
      <c r="E1143" s="3" t="s">
        <v>20</v>
      </c>
      <c r="F1143" s="3" t="s">
        <v>27</v>
      </c>
      <c r="G1143" s="3" t="s">
        <v>22</v>
      </c>
      <c r="H1143">
        <v>60000</v>
      </c>
      <c r="I1143">
        <v>10</v>
      </c>
      <c r="J1143" s="3" t="s">
        <v>37</v>
      </c>
      <c r="K1143">
        <v>48000</v>
      </c>
      <c r="L1143">
        <v>600000</v>
      </c>
      <c r="M1143">
        <v>480000</v>
      </c>
      <c r="N1143">
        <v>120000</v>
      </c>
      <c r="O1143" s="3" t="s">
        <v>1244</v>
      </c>
      <c r="P1143" s="3" t="s">
        <v>102</v>
      </c>
      <c r="Q1143" s="3" t="s">
        <v>103</v>
      </c>
      <c r="R1143" s="3" t="s">
        <v>103</v>
      </c>
    </row>
    <row r="1144" spans="1:18">
      <c r="A1144" s="19">
        <v>46818</v>
      </c>
      <c r="B1144" s="3" t="s">
        <v>29</v>
      </c>
      <c r="C1144" s="3" t="s">
        <v>26</v>
      </c>
      <c r="D1144" s="3" t="s">
        <v>23</v>
      </c>
      <c r="E1144" s="3" t="s">
        <v>14</v>
      </c>
      <c r="F1144" s="3" t="s">
        <v>38</v>
      </c>
      <c r="G1144" s="3" t="s">
        <v>31</v>
      </c>
      <c r="H1144">
        <v>420000</v>
      </c>
      <c r="I1144">
        <v>10</v>
      </c>
      <c r="J1144" s="3" t="s">
        <v>28</v>
      </c>
      <c r="K1144">
        <v>336000</v>
      </c>
      <c r="L1144">
        <v>4200000</v>
      </c>
      <c r="M1144">
        <v>3360000</v>
      </c>
      <c r="N1144">
        <v>840000</v>
      </c>
      <c r="O1144" s="3" t="s">
        <v>1245</v>
      </c>
      <c r="P1144" s="3" t="s">
        <v>102</v>
      </c>
      <c r="Q1144" s="3" t="s">
        <v>103</v>
      </c>
      <c r="R1144" s="3" t="s">
        <v>103</v>
      </c>
    </row>
    <row r="1145" spans="1:18">
      <c r="A1145" s="19">
        <v>46819</v>
      </c>
      <c r="B1145" s="3" t="s">
        <v>11</v>
      </c>
      <c r="C1145" s="3" t="s">
        <v>26</v>
      </c>
      <c r="D1145" s="3" t="s">
        <v>13</v>
      </c>
      <c r="E1145" s="3" t="s">
        <v>20</v>
      </c>
      <c r="F1145" s="3" t="s">
        <v>36</v>
      </c>
      <c r="G1145" s="3" t="s">
        <v>31</v>
      </c>
      <c r="H1145">
        <v>150000</v>
      </c>
      <c r="I1145">
        <v>1</v>
      </c>
      <c r="J1145" s="3" t="s">
        <v>39</v>
      </c>
      <c r="K1145">
        <v>120000</v>
      </c>
      <c r="L1145">
        <v>150000</v>
      </c>
      <c r="M1145">
        <v>120000</v>
      </c>
      <c r="N1145">
        <v>30000</v>
      </c>
      <c r="O1145" s="3" t="s">
        <v>1246</v>
      </c>
      <c r="P1145" s="3" t="s">
        <v>102</v>
      </c>
      <c r="Q1145" s="3" t="s">
        <v>103</v>
      </c>
      <c r="R1145" s="3" t="s">
        <v>103</v>
      </c>
    </row>
    <row r="1146" spans="1:18">
      <c r="A1146" s="19">
        <v>46820</v>
      </c>
      <c r="B1146" s="3" t="s">
        <v>25</v>
      </c>
      <c r="C1146" s="3" t="s">
        <v>26</v>
      </c>
      <c r="D1146" s="3" t="s">
        <v>13</v>
      </c>
      <c r="E1146" s="3" t="s">
        <v>20</v>
      </c>
      <c r="F1146" s="3" t="s">
        <v>40</v>
      </c>
      <c r="G1146" s="3" t="s">
        <v>31</v>
      </c>
      <c r="H1146">
        <v>250000</v>
      </c>
      <c r="I1146">
        <v>7</v>
      </c>
      <c r="J1146" s="3" t="s">
        <v>24</v>
      </c>
      <c r="K1146">
        <v>200000</v>
      </c>
      <c r="L1146">
        <v>1750000</v>
      </c>
      <c r="M1146">
        <v>1400000</v>
      </c>
      <c r="N1146">
        <v>350000</v>
      </c>
      <c r="O1146" s="3" t="s">
        <v>1247</v>
      </c>
      <c r="P1146" s="3" t="s">
        <v>102</v>
      </c>
      <c r="Q1146" s="3" t="s">
        <v>103</v>
      </c>
      <c r="R1146" s="3" t="s">
        <v>103</v>
      </c>
    </row>
    <row r="1147" spans="1:18">
      <c r="A1147" s="19">
        <v>46821</v>
      </c>
      <c r="B1147" s="3" t="s">
        <v>25</v>
      </c>
      <c r="C1147" s="3" t="s">
        <v>32</v>
      </c>
      <c r="D1147" s="3" t="s">
        <v>13</v>
      </c>
      <c r="E1147" s="3" t="s">
        <v>20</v>
      </c>
      <c r="F1147" s="3" t="s">
        <v>30</v>
      </c>
      <c r="G1147" s="3" t="s">
        <v>31</v>
      </c>
      <c r="H1147">
        <v>300000</v>
      </c>
      <c r="I1147">
        <v>9</v>
      </c>
      <c r="J1147" s="3" t="s">
        <v>28</v>
      </c>
      <c r="K1147">
        <v>240000</v>
      </c>
      <c r="L1147">
        <v>2700000</v>
      </c>
      <c r="M1147">
        <v>2160000</v>
      </c>
      <c r="N1147">
        <v>540000</v>
      </c>
      <c r="O1147" s="3" t="s">
        <v>1248</v>
      </c>
      <c r="P1147" s="3" t="s">
        <v>102</v>
      </c>
      <c r="Q1147" s="3" t="s">
        <v>103</v>
      </c>
      <c r="R1147" s="3" t="s">
        <v>103</v>
      </c>
    </row>
    <row r="1148" spans="1:18">
      <c r="A1148" s="19">
        <v>46822</v>
      </c>
      <c r="B1148" s="3" t="s">
        <v>29</v>
      </c>
      <c r="C1148" s="3" t="s">
        <v>12</v>
      </c>
      <c r="D1148" s="3" t="s">
        <v>13</v>
      </c>
      <c r="E1148" s="3" t="s">
        <v>20</v>
      </c>
      <c r="F1148" s="3" t="s">
        <v>36</v>
      </c>
      <c r="G1148" s="3" t="s">
        <v>31</v>
      </c>
      <c r="H1148">
        <v>150000</v>
      </c>
      <c r="I1148">
        <v>2</v>
      </c>
      <c r="J1148" s="3" t="s">
        <v>37</v>
      </c>
      <c r="K1148">
        <v>120000</v>
      </c>
      <c r="L1148">
        <v>300000</v>
      </c>
      <c r="M1148">
        <v>240000</v>
      </c>
      <c r="N1148">
        <v>60000</v>
      </c>
      <c r="O1148" s="3" t="s">
        <v>1249</v>
      </c>
      <c r="P1148" s="3" t="s">
        <v>102</v>
      </c>
      <c r="Q1148" s="3" t="s">
        <v>103</v>
      </c>
      <c r="R1148" s="3" t="s">
        <v>103</v>
      </c>
    </row>
    <row r="1149" spans="1:18">
      <c r="A1149" s="19">
        <v>46823</v>
      </c>
      <c r="B1149" s="3" t="s">
        <v>11</v>
      </c>
      <c r="C1149" s="3" t="s">
        <v>19</v>
      </c>
      <c r="D1149" s="3" t="s">
        <v>13</v>
      </c>
      <c r="E1149" s="3" t="s">
        <v>20</v>
      </c>
      <c r="F1149" s="3" t="s">
        <v>41</v>
      </c>
      <c r="G1149" s="3" t="s">
        <v>22</v>
      </c>
      <c r="H1149">
        <v>220000</v>
      </c>
      <c r="I1149">
        <v>9</v>
      </c>
      <c r="J1149" s="3" t="s">
        <v>24</v>
      </c>
      <c r="K1149">
        <v>176000</v>
      </c>
      <c r="L1149">
        <v>1980000</v>
      </c>
      <c r="M1149">
        <v>1584000</v>
      </c>
      <c r="N1149">
        <v>396000</v>
      </c>
      <c r="O1149" s="3" t="s">
        <v>1250</v>
      </c>
      <c r="P1149" s="3" t="s">
        <v>102</v>
      </c>
      <c r="Q1149" s="3" t="s">
        <v>103</v>
      </c>
      <c r="R1149" s="3" t="s">
        <v>103</v>
      </c>
    </row>
    <row r="1150" spans="1:18">
      <c r="A1150" s="19">
        <v>46824</v>
      </c>
      <c r="B1150" s="3" t="s">
        <v>29</v>
      </c>
      <c r="C1150" s="3" t="s">
        <v>32</v>
      </c>
      <c r="D1150" s="3" t="s">
        <v>13</v>
      </c>
      <c r="E1150" s="3" t="s">
        <v>20</v>
      </c>
      <c r="F1150" s="3" t="s">
        <v>27</v>
      </c>
      <c r="G1150" s="3" t="s">
        <v>22</v>
      </c>
      <c r="H1150">
        <v>60000</v>
      </c>
      <c r="I1150">
        <v>5</v>
      </c>
      <c r="J1150" s="3" t="s">
        <v>17</v>
      </c>
      <c r="K1150">
        <v>48000</v>
      </c>
      <c r="L1150">
        <v>300000</v>
      </c>
      <c r="M1150">
        <v>240000</v>
      </c>
      <c r="N1150">
        <v>60000</v>
      </c>
      <c r="O1150" s="3" t="s">
        <v>1251</v>
      </c>
      <c r="P1150" s="3" t="s">
        <v>102</v>
      </c>
      <c r="Q1150" s="3" t="s">
        <v>103</v>
      </c>
      <c r="R1150" s="3" t="s">
        <v>103</v>
      </c>
    </row>
    <row r="1151" spans="1:18">
      <c r="A1151" s="19">
        <v>46825</v>
      </c>
      <c r="B1151" s="3" t="s">
        <v>11</v>
      </c>
      <c r="C1151" s="3" t="s">
        <v>12</v>
      </c>
      <c r="D1151" s="3" t="s">
        <v>23</v>
      </c>
      <c r="E1151" s="3" t="s">
        <v>20</v>
      </c>
      <c r="F1151" s="3" t="s">
        <v>33</v>
      </c>
      <c r="G1151" s="3" t="s">
        <v>22</v>
      </c>
      <c r="H1151">
        <v>180000</v>
      </c>
      <c r="I1151">
        <v>6</v>
      </c>
      <c r="J1151" s="3" t="s">
        <v>35</v>
      </c>
      <c r="K1151">
        <v>144000</v>
      </c>
      <c r="L1151">
        <v>1080000</v>
      </c>
      <c r="M1151">
        <v>864000</v>
      </c>
      <c r="N1151">
        <v>216000</v>
      </c>
      <c r="O1151" s="3" t="s">
        <v>1252</v>
      </c>
      <c r="P1151" s="3" t="s">
        <v>102</v>
      </c>
      <c r="Q1151" s="3" t="s">
        <v>103</v>
      </c>
      <c r="R1151" s="3" t="s">
        <v>103</v>
      </c>
    </row>
    <row r="1152" spans="1:18">
      <c r="A1152" s="19">
        <v>46826</v>
      </c>
      <c r="B1152" s="3" t="s">
        <v>18</v>
      </c>
      <c r="C1152" s="3" t="s">
        <v>12</v>
      </c>
      <c r="D1152" s="3" t="s">
        <v>23</v>
      </c>
      <c r="E1152" s="3" t="s">
        <v>20</v>
      </c>
      <c r="F1152" s="3" t="s">
        <v>40</v>
      </c>
      <c r="G1152" s="3" t="s">
        <v>31</v>
      </c>
      <c r="H1152">
        <v>250000</v>
      </c>
      <c r="I1152">
        <v>10</v>
      </c>
      <c r="J1152" s="3" t="s">
        <v>17</v>
      </c>
      <c r="K1152">
        <v>200000</v>
      </c>
      <c r="L1152">
        <v>2500000</v>
      </c>
      <c r="M1152">
        <v>2000000</v>
      </c>
      <c r="N1152">
        <v>500000</v>
      </c>
      <c r="O1152" s="3" t="s">
        <v>1253</v>
      </c>
      <c r="P1152" s="3" t="s">
        <v>102</v>
      </c>
      <c r="Q1152" s="3" t="s">
        <v>103</v>
      </c>
      <c r="R1152" s="3" t="s">
        <v>103</v>
      </c>
    </row>
    <row r="1153" spans="1:18">
      <c r="A1153" s="19">
        <v>46827</v>
      </c>
      <c r="B1153" s="3" t="s">
        <v>18</v>
      </c>
      <c r="C1153" s="3" t="s">
        <v>32</v>
      </c>
      <c r="D1153" s="3" t="s">
        <v>13</v>
      </c>
      <c r="E1153" s="3" t="s">
        <v>20</v>
      </c>
      <c r="F1153" s="3" t="s">
        <v>15</v>
      </c>
      <c r="G1153" s="3" t="s">
        <v>16</v>
      </c>
      <c r="H1153">
        <v>85000</v>
      </c>
      <c r="I1153">
        <v>1</v>
      </c>
      <c r="J1153" s="3" t="s">
        <v>37</v>
      </c>
      <c r="K1153">
        <v>68000</v>
      </c>
      <c r="L1153">
        <v>85000</v>
      </c>
      <c r="M1153">
        <v>68000</v>
      </c>
      <c r="N1153">
        <v>17000</v>
      </c>
      <c r="O1153" s="3" t="s">
        <v>1254</v>
      </c>
      <c r="P1153" s="3" t="s">
        <v>102</v>
      </c>
      <c r="Q1153" s="3" t="s">
        <v>103</v>
      </c>
      <c r="R1153" s="3" t="s">
        <v>103</v>
      </c>
    </row>
    <row r="1154" spans="1:18">
      <c r="A1154" s="19">
        <v>46828</v>
      </c>
      <c r="B1154" s="3" t="s">
        <v>29</v>
      </c>
      <c r="C1154" s="3" t="s">
        <v>12</v>
      </c>
      <c r="D1154" s="3" t="s">
        <v>13</v>
      </c>
      <c r="E1154" s="3" t="s">
        <v>14</v>
      </c>
      <c r="F1154" s="3" t="s">
        <v>40</v>
      </c>
      <c r="G1154" s="3" t="s">
        <v>31</v>
      </c>
      <c r="H1154">
        <v>250000</v>
      </c>
      <c r="I1154">
        <v>9</v>
      </c>
      <c r="J1154" s="3" t="s">
        <v>24</v>
      </c>
      <c r="K1154">
        <v>200000</v>
      </c>
      <c r="L1154">
        <v>2250000</v>
      </c>
      <c r="M1154">
        <v>1800000</v>
      </c>
      <c r="N1154">
        <v>450000</v>
      </c>
      <c r="O1154" s="3" t="s">
        <v>1255</v>
      </c>
      <c r="P1154" s="3" t="s">
        <v>102</v>
      </c>
      <c r="Q1154" s="3" t="s">
        <v>103</v>
      </c>
      <c r="R1154" s="3" t="s">
        <v>103</v>
      </c>
    </row>
    <row r="1155" spans="1:18">
      <c r="A1155" s="19">
        <v>46829</v>
      </c>
      <c r="B1155" s="3" t="s">
        <v>18</v>
      </c>
      <c r="C1155" s="3" t="s">
        <v>19</v>
      </c>
      <c r="D1155" s="3" t="s">
        <v>13</v>
      </c>
      <c r="E1155" s="3" t="s">
        <v>14</v>
      </c>
      <c r="F1155" s="3" t="s">
        <v>40</v>
      </c>
      <c r="G1155" s="3" t="s">
        <v>31</v>
      </c>
      <c r="H1155">
        <v>250000</v>
      </c>
      <c r="I1155">
        <v>2</v>
      </c>
      <c r="J1155" s="3" t="s">
        <v>24</v>
      </c>
      <c r="K1155">
        <v>200000</v>
      </c>
      <c r="L1155">
        <v>500000</v>
      </c>
      <c r="M1155">
        <v>400000</v>
      </c>
      <c r="N1155">
        <v>100000</v>
      </c>
      <c r="O1155" s="3" t="s">
        <v>1256</v>
      </c>
      <c r="P1155" s="3" t="s">
        <v>102</v>
      </c>
      <c r="Q1155" s="3" t="s">
        <v>103</v>
      </c>
      <c r="R1155" s="3" t="s">
        <v>103</v>
      </c>
    </row>
    <row r="1156" spans="1:18">
      <c r="A1156" s="19">
        <v>46830</v>
      </c>
      <c r="B1156" s="3" t="s">
        <v>25</v>
      </c>
      <c r="C1156" s="3" t="s">
        <v>19</v>
      </c>
      <c r="D1156" s="3" t="s">
        <v>13</v>
      </c>
      <c r="E1156" s="3" t="s">
        <v>14</v>
      </c>
      <c r="F1156" s="3" t="s">
        <v>40</v>
      </c>
      <c r="G1156" s="3" t="s">
        <v>31</v>
      </c>
      <c r="H1156">
        <v>250000</v>
      </c>
      <c r="I1156">
        <v>1</v>
      </c>
      <c r="J1156" s="3" t="s">
        <v>39</v>
      </c>
      <c r="K1156">
        <v>200000</v>
      </c>
      <c r="L1156">
        <v>250000</v>
      </c>
      <c r="M1156">
        <v>200000</v>
      </c>
      <c r="N1156">
        <v>50000</v>
      </c>
      <c r="O1156" s="3" t="s">
        <v>1257</v>
      </c>
      <c r="P1156" s="3" t="s">
        <v>102</v>
      </c>
      <c r="Q1156" s="3" t="s">
        <v>103</v>
      </c>
      <c r="R1156" s="3" t="s">
        <v>103</v>
      </c>
    </row>
    <row r="1157" spans="1:18">
      <c r="A1157" s="19">
        <v>46831</v>
      </c>
      <c r="B1157" s="3" t="s">
        <v>11</v>
      </c>
      <c r="C1157" s="3" t="s">
        <v>12</v>
      </c>
      <c r="D1157" s="3" t="s">
        <v>23</v>
      </c>
      <c r="E1157" s="3" t="s">
        <v>20</v>
      </c>
      <c r="F1157" s="3" t="s">
        <v>30</v>
      </c>
      <c r="G1157" s="3" t="s">
        <v>31</v>
      </c>
      <c r="H1157">
        <v>300000</v>
      </c>
      <c r="I1157">
        <v>9</v>
      </c>
      <c r="J1157" s="3" t="s">
        <v>28</v>
      </c>
      <c r="K1157">
        <v>240000</v>
      </c>
      <c r="L1157">
        <v>2700000</v>
      </c>
      <c r="M1157">
        <v>2160000</v>
      </c>
      <c r="N1157">
        <v>540000</v>
      </c>
      <c r="O1157" s="3" t="s">
        <v>1258</v>
      </c>
      <c r="P1157" s="3" t="s">
        <v>102</v>
      </c>
      <c r="Q1157" s="3" t="s">
        <v>103</v>
      </c>
      <c r="R1157" s="3" t="s">
        <v>103</v>
      </c>
    </row>
    <row r="1158" spans="1:18">
      <c r="A1158" s="19">
        <v>46832</v>
      </c>
      <c r="B1158" s="3" t="s">
        <v>11</v>
      </c>
      <c r="C1158" s="3" t="s">
        <v>19</v>
      </c>
      <c r="D1158" s="3" t="s">
        <v>23</v>
      </c>
      <c r="E1158" s="3" t="s">
        <v>14</v>
      </c>
      <c r="F1158" s="3" t="s">
        <v>34</v>
      </c>
      <c r="G1158" s="3" t="s">
        <v>16</v>
      </c>
      <c r="H1158">
        <v>320000</v>
      </c>
      <c r="I1158">
        <v>10</v>
      </c>
      <c r="J1158" s="3" t="s">
        <v>24</v>
      </c>
      <c r="K1158">
        <v>256000</v>
      </c>
      <c r="L1158">
        <v>3200000</v>
      </c>
      <c r="M1158">
        <v>2560000</v>
      </c>
      <c r="N1158">
        <v>640000</v>
      </c>
      <c r="O1158" s="3" t="s">
        <v>1259</v>
      </c>
      <c r="P1158" s="3" t="s">
        <v>102</v>
      </c>
      <c r="Q1158" s="3" t="s">
        <v>103</v>
      </c>
      <c r="R1158" s="3" t="s">
        <v>103</v>
      </c>
    </row>
    <row r="1159" spans="1:18">
      <c r="A1159" s="19">
        <v>46833</v>
      </c>
      <c r="B1159" s="3" t="s">
        <v>25</v>
      </c>
      <c r="C1159" s="3" t="s">
        <v>19</v>
      </c>
      <c r="D1159" s="3" t="s">
        <v>23</v>
      </c>
      <c r="E1159" s="3" t="s">
        <v>14</v>
      </c>
      <c r="F1159" s="3" t="s">
        <v>33</v>
      </c>
      <c r="G1159" s="3" t="s">
        <v>22</v>
      </c>
      <c r="H1159">
        <v>180000</v>
      </c>
      <c r="I1159">
        <v>9</v>
      </c>
      <c r="J1159" s="3" t="s">
        <v>37</v>
      </c>
      <c r="K1159">
        <v>144000</v>
      </c>
      <c r="L1159">
        <v>1620000</v>
      </c>
      <c r="M1159">
        <v>1296000</v>
      </c>
      <c r="N1159">
        <v>324000</v>
      </c>
      <c r="O1159" s="3" t="s">
        <v>1260</v>
      </c>
      <c r="P1159" s="3" t="s">
        <v>102</v>
      </c>
      <c r="Q1159" s="3" t="s">
        <v>103</v>
      </c>
      <c r="R1159" s="3" t="s">
        <v>103</v>
      </c>
    </row>
    <row r="1160" spans="1:18">
      <c r="A1160" s="19">
        <v>46834</v>
      </c>
      <c r="B1160" s="3" t="s">
        <v>25</v>
      </c>
      <c r="C1160" s="3" t="s">
        <v>26</v>
      </c>
      <c r="D1160" s="3" t="s">
        <v>23</v>
      </c>
      <c r="E1160" s="3" t="s">
        <v>14</v>
      </c>
      <c r="F1160" s="3" t="s">
        <v>40</v>
      </c>
      <c r="G1160" s="3" t="s">
        <v>31</v>
      </c>
      <c r="H1160">
        <v>250000</v>
      </c>
      <c r="I1160">
        <v>1</v>
      </c>
      <c r="J1160" s="3" t="s">
        <v>39</v>
      </c>
      <c r="K1160">
        <v>200000</v>
      </c>
      <c r="L1160">
        <v>250000</v>
      </c>
      <c r="M1160">
        <v>200000</v>
      </c>
      <c r="N1160">
        <v>50000</v>
      </c>
      <c r="O1160" s="3" t="s">
        <v>1261</v>
      </c>
      <c r="P1160" s="3" t="s">
        <v>102</v>
      </c>
      <c r="Q1160" s="3" t="s">
        <v>103</v>
      </c>
      <c r="R1160" s="3" t="s">
        <v>103</v>
      </c>
    </row>
    <row r="1161" spans="1:18">
      <c r="A1161" s="19">
        <v>46835</v>
      </c>
      <c r="B1161" s="3" t="s">
        <v>25</v>
      </c>
      <c r="C1161" s="3" t="s">
        <v>32</v>
      </c>
      <c r="D1161" s="3" t="s">
        <v>23</v>
      </c>
      <c r="E1161" s="3" t="s">
        <v>14</v>
      </c>
      <c r="F1161" s="3" t="s">
        <v>15</v>
      </c>
      <c r="G1161" s="3" t="s">
        <v>16</v>
      </c>
      <c r="H1161">
        <v>85000</v>
      </c>
      <c r="I1161">
        <v>7</v>
      </c>
      <c r="J1161" s="3" t="s">
        <v>39</v>
      </c>
      <c r="K1161">
        <v>68000</v>
      </c>
      <c r="L1161">
        <v>595000</v>
      </c>
      <c r="M1161">
        <v>476000</v>
      </c>
      <c r="N1161">
        <v>119000</v>
      </c>
      <c r="O1161" s="3" t="s">
        <v>1262</v>
      </c>
      <c r="P1161" s="3" t="s">
        <v>102</v>
      </c>
      <c r="Q1161" s="3" t="s">
        <v>103</v>
      </c>
      <c r="R1161" s="3" t="s">
        <v>103</v>
      </c>
    </row>
    <row r="1162" spans="1:18">
      <c r="A1162" s="19">
        <v>46836</v>
      </c>
      <c r="B1162" s="3" t="s">
        <v>11</v>
      </c>
      <c r="C1162" s="3" t="s">
        <v>12</v>
      </c>
      <c r="D1162" s="3" t="s">
        <v>13</v>
      </c>
      <c r="E1162" s="3" t="s">
        <v>20</v>
      </c>
      <c r="F1162" s="3" t="s">
        <v>21</v>
      </c>
      <c r="G1162" s="3" t="s">
        <v>22</v>
      </c>
      <c r="H1162">
        <v>30000</v>
      </c>
      <c r="I1162">
        <v>6</v>
      </c>
      <c r="J1162" s="3" t="s">
        <v>28</v>
      </c>
      <c r="K1162">
        <v>24000</v>
      </c>
      <c r="L1162">
        <v>180000</v>
      </c>
      <c r="M1162">
        <v>144000</v>
      </c>
      <c r="N1162">
        <v>36000</v>
      </c>
      <c r="O1162" s="3" t="s">
        <v>1263</v>
      </c>
      <c r="P1162" s="3" t="s">
        <v>102</v>
      </c>
      <c r="Q1162" s="3" t="s">
        <v>103</v>
      </c>
      <c r="R1162" s="3" t="s">
        <v>103</v>
      </c>
    </row>
    <row r="1163" spans="1:18">
      <c r="A1163" s="19">
        <v>46837</v>
      </c>
      <c r="B1163" s="3" t="s">
        <v>11</v>
      </c>
      <c r="C1163" s="3" t="s">
        <v>19</v>
      </c>
      <c r="D1163" s="3" t="s">
        <v>13</v>
      </c>
      <c r="E1163" s="3" t="s">
        <v>20</v>
      </c>
      <c r="F1163" s="3" t="s">
        <v>21</v>
      </c>
      <c r="G1163" s="3" t="s">
        <v>22</v>
      </c>
      <c r="H1163">
        <v>30000</v>
      </c>
      <c r="I1163">
        <v>6</v>
      </c>
      <c r="J1163" s="3" t="s">
        <v>24</v>
      </c>
      <c r="K1163">
        <v>24000</v>
      </c>
      <c r="L1163">
        <v>180000</v>
      </c>
      <c r="M1163">
        <v>144000</v>
      </c>
      <c r="N1163">
        <v>36000</v>
      </c>
      <c r="O1163" s="3" t="s">
        <v>1264</v>
      </c>
      <c r="P1163" s="3" t="s">
        <v>102</v>
      </c>
      <c r="Q1163" s="3" t="s">
        <v>103</v>
      </c>
      <c r="R1163" s="3" t="s">
        <v>103</v>
      </c>
    </row>
    <row r="1164" spans="1:18">
      <c r="A1164" s="19">
        <v>46838</v>
      </c>
      <c r="B1164" s="3" t="s">
        <v>11</v>
      </c>
      <c r="C1164" s="3" t="s">
        <v>12</v>
      </c>
      <c r="D1164" s="3" t="s">
        <v>23</v>
      </c>
      <c r="E1164" s="3" t="s">
        <v>20</v>
      </c>
      <c r="F1164" s="3" t="s">
        <v>34</v>
      </c>
      <c r="G1164" s="3" t="s">
        <v>16</v>
      </c>
      <c r="H1164">
        <v>320000</v>
      </c>
      <c r="I1164">
        <v>2</v>
      </c>
      <c r="J1164" s="3" t="s">
        <v>37</v>
      </c>
      <c r="K1164">
        <v>256000</v>
      </c>
      <c r="L1164">
        <v>640000</v>
      </c>
      <c r="M1164">
        <v>512000</v>
      </c>
      <c r="N1164">
        <v>128000</v>
      </c>
      <c r="O1164" s="3" t="s">
        <v>1265</v>
      </c>
      <c r="P1164" s="3" t="s">
        <v>102</v>
      </c>
      <c r="Q1164" s="3" t="s">
        <v>103</v>
      </c>
      <c r="R1164" s="3" t="s">
        <v>103</v>
      </c>
    </row>
    <row r="1165" spans="1:18">
      <c r="A1165" s="19">
        <v>46839</v>
      </c>
      <c r="B1165" s="3" t="s">
        <v>11</v>
      </c>
      <c r="C1165" s="3" t="s">
        <v>32</v>
      </c>
      <c r="D1165" s="3" t="s">
        <v>13</v>
      </c>
      <c r="E1165" s="3" t="s">
        <v>20</v>
      </c>
      <c r="F1165" s="3" t="s">
        <v>27</v>
      </c>
      <c r="G1165" s="3" t="s">
        <v>22</v>
      </c>
      <c r="H1165">
        <v>60000</v>
      </c>
      <c r="I1165">
        <v>6</v>
      </c>
      <c r="J1165" s="3" t="s">
        <v>24</v>
      </c>
      <c r="K1165">
        <v>48000</v>
      </c>
      <c r="L1165">
        <v>360000</v>
      </c>
      <c r="M1165">
        <v>288000</v>
      </c>
      <c r="N1165">
        <v>72000</v>
      </c>
      <c r="O1165" s="3" t="s">
        <v>1266</v>
      </c>
      <c r="P1165" s="3" t="s">
        <v>102</v>
      </c>
      <c r="Q1165" s="3" t="s">
        <v>103</v>
      </c>
      <c r="R1165" s="3" t="s">
        <v>103</v>
      </c>
    </row>
    <row r="1166" spans="1:18">
      <c r="A1166" s="19">
        <v>46840</v>
      </c>
      <c r="B1166" s="3" t="s">
        <v>11</v>
      </c>
      <c r="C1166" s="3" t="s">
        <v>19</v>
      </c>
      <c r="D1166" s="3" t="s">
        <v>13</v>
      </c>
      <c r="E1166" s="3" t="s">
        <v>20</v>
      </c>
      <c r="F1166" s="3" t="s">
        <v>41</v>
      </c>
      <c r="G1166" s="3" t="s">
        <v>22</v>
      </c>
      <c r="H1166">
        <v>220000</v>
      </c>
      <c r="I1166">
        <v>10</v>
      </c>
      <c r="J1166" s="3" t="s">
        <v>39</v>
      </c>
      <c r="K1166">
        <v>176000</v>
      </c>
      <c r="L1166">
        <v>2200000</v>
      </c>
      <c r="M1166">
        <v>1760000</v>
      </c>
      <c r="N1166">
        <v>440000</v>
      </c>
      <c r="O1166" s="3" t="s">
        <v>1267</v>
      </c>
      <c r="P1166" s="3" t="s">
        <v>102</v>
      </c>
      <c r="Q1166" s="3" t="s">
        <v>103</v>
      </c>
      <c r="R1166" s="3" t="s">
        <v>103</v>
      </c>
    </row>
    <row r="1167" spans="1:18">
      <c r="A1167" s="19">
        <v>46841</v>
      </c>
      <c r="B1167" s="3" t="s">
        <v>11</v>
      </c>
      <c r="C1167" s="3" t="s">
        <v>32</v>
      </c>
      <c r="D1167" s="3" t="s">
        <v>13</v>
      </c>
      <c r="E1167" s="3" t="s">
        <v>14</v>
      </c>
      <c r="F1167" s="3" t="s">
        <v>27</v>
      </c>
      <c r="G1167" s="3" t="s">
        <v>22</v>
      </c>
      <c r="H1167">
        <v>60000</v>
      </c>
      <c r="I1167">
        <v>6</v>
      </c>
      <c r="J1167" s="3" t="s">
        <v>39</v>
      </c>
      <c r="K1167">
        <v>48000</v>
      </c>
      <c r="L1167">
        <v>360000</v>
      </c>
      <c r="M1167">
        <v>288000</v>
      </c>
      <c r="N1167">
        <v>72000</v>
      </c>
      <c r="O1167" s="3" t="s">
        <v>1268</v>
      </c>
      <c r="P1167" s="3" t="s">
        <v>102</v>
      </c>
      <c r="Q1167" s="3" t="s">
        <v>103</v>
      </c>
      <c r="R1167" s="3" t="s">
        <v>103</v>
      </c>
    </row>
    <row r="1168" spans="1:18">
      <c r="A1168" s="19">
        <v>46842</v>
      </c>
      <c r="B1168" s="3" t="s">
        <v>11</v>
      </c>
      <c r="C1168" s="3" t="s">
        <v>26</v>
      </c>
      <c r="D1168" s="3" t="s">
        <v>13</v>
      </c>
      <c r="E1168" s="3" t="s">
        <v>14</v>
      </c>
      <c r="F1168" s="3" t="s">
        <v>41</v>
      </c>
      <c r="G1168" s="3" t="s">
        <v>22</v>
      </c>
      <c r="H1168">
        <v>220000</v>
      </c>
      <c r="I1168">
        <v>7</v>
      </c>
      <c r="J1168" s="3" t="s">
        <v>37</v>
      </c>
      <c r="K1168">
        <v>176000</v>
      </c>
      <c r="L1168">
        <v>1540000</v>
      </c>
      <c r="M1168">
        <v>1232000</v>
      </c>
      <c r="N1168">
        <v>308000</v>
      </c>
      <c r="O1168" s="3" t="s">
        <v>1269</v>
      </c>
      <c r="P1168" s="3" t="s">
        <v>102</v>
      </c>
      <c r="Q1168" s="3" t="s">
        <v>103</v>
      </c>
      <c r="R1168" s="3" t="s">
        <v>103</v>
      </c>
    </row>
    <row r="1169" spans="1:18">
      <c r="A1169" s="19">
        <v>46843</v>
      </c>
      <c r="B1169" s="3" t="s">
        <v>18</v>
      </c>
      <c r="C1169" s="3" t="s">
        <v>19</v>
      </c>
      <c r="D1169" s="3" t="s">
        <v>23</v>
      </c>
      <c r="E1169" s="3" t="s">
        <v>20</v>
      </c>
      <c r="F1169" s="3" t="s">
        <v>38</v>
      </c>
      <c r="G1169" s="3" t="s">
        <v>31</v>
      </c>
      <c r="H1169">
        <v>420000</v>
      </c>
      <c r="I1169">
        <v>8</v>
      </c>
      <c r="J1169" s="3" t="s">
        <v>37</v>
      </c>
      <c r="K1169">
        <v>336000</v>
      </c>
      <c r="L1169">
        <v>3360000</v>
      </c>
      <c r="M1169">
        <v>2688000</v>
      </c>
      <c r="N1169">
        <v>672000</v>
      </c>
      <c r="O1169" s="3" t="s">
        <v>1270</v>
      </c>
      <c r="P1169" s="3" t="s">
        <v>102</v>
      </c>
      <c r="Q1169" s="3" t="s">
        <v>103</v>
      </c>
      <c r="R1169" s="3" t="s">
        <v>103</v>
      </c>
    </row>
    <row r="1170" spans="1:18">
      <c r="A1170" s="19">
        <v>46844</v>
      </c>
      <c r="B1170" s="3" t="s">
        <v>18</v>
      </c>
      <c r="C1170" s="3" t="s">
        <v>19</v>
      </c>
      <c r="D1170" s="3" t="s">
        <v>13</v>
      </c>
      <c r="E1170" s="3" t="s">
        <v>20</v>
      </c>
      <c r="F1170" s="3" t="s">
        <v>38</v>
      </c>
      <c r="G1170" s="3" t="s">
        <v>31</v>
      </c>
      <c r="H1170">
        <v>420000</v>
      </c>
      <c r="I1170">
        <v>1</v>
      </c>
      <c r="J1170" s="3" t="s">
        <v>39</v>
      </c>
      <c r="K1170">
        <v>336000</v>
      </c>
      <c r="L1170">
        <v>420000</v>
      </c>
      <c r="M1170">
        <v>336000</v>
      </c>
      <c r="N1170">
        <v>84000</v>
      </c>
      <c r="O1170" s="3" t="s">
        <v>1271</v>
      </c>
      <c r="P1170" s="3" t="s">
        <v>102</v>
      </c>
      <c r="Q1170" s="3" t="s">
        <v>103</v>
      </c>
      <c r="R1170" s="3" t="s">
        <v>103</v>
      </c>
    </row>
    <row r="1171" spans="1:18">
      <c r="A1171" s="19">
        <v>46845</v>
      </c>
      <c r="B1171" s="3" t="s">
        <v>18</v>
      </c>
      <c r="C1171" s="3" t="s">
        <v>12</v>
      </c>
      <c r="D1171" s="3" t="s">
        <v>23</v>
      </c>
      <c r="E1171" s="3" t="s">
        <v>20</v>
      </c>
      <c r="F1171" s="3" t="s">
        <v>40</v>
      </c>
      <c r="G1171" s="3" t="s">
        <v>31</v>
      </c>
      <c r="H1171">
        <v>250000</v>
      </c>
      <c r="I1171">
        <v>9</v>
      </c>
      <c r="J1171" s="3" t="s">
        <v>37</v>
      </c>
      <c r="K1171">
        <v>200000</v>
      </c>
      <c r="L1171">
        <v>2250000</v>
      </c>
      <c r="M1171">
        <v>1800000</v>
      </c>
      <c r="N1171">
        <v>450000</v>
      </c>
      <c r="O1171" s="3" t="s">
        <v>1272</v>
      </c>
      <c r="P1171" s="3" t="s">
        <v>102</v>
      </c>
      <c r="Q1171" s="3" t="s">
        <v>103</v>
      </c>
      <c r="R1171" s="3" t="s">
        <v>103</v>
      </c>
    </row>
    <row r="1172" spans="1:18">
      <c r="A1172" s="19">
        <v>46846</v>
      </c>
      <c r="B1172" s="3" t="s">
        <v>29</v>
      </c>
      <c r="C1172" s="3" t="s">
        <v>32</v>
      </c>
      <c r="D1172" s="3" t="s">
        <v>13</v>
      </c>
      <c r="E1172" s="3" t="s">
        <v>14</v>
      </c>
      <c r="F1172" s="3" t="s">
        <v>21</v>
      </c>
      <c r="G1172" s="3" t="s">
        <v>22</v>
      </c>
      <c r="H1172">
        <v>30000</v>
      </c>
      <c r="I1172">
        <v>3</v>
      </c>
      <c r="J1172" s="3" t="s">
        <v>24</v>
      </c>
      <c r="K1172">
        <v>24000</v>
      </c>
      <c r="L1172">
        <v>90000</v>
      </c>
      <c r="M1172">
        <v>72000</v>
      </c>
      <c r="N1172">
        <v>18000</v>
      </c>
      <c r="O1172" s="3" t="s">
        <v>1273</v>
      </c>
      <c r="P1172" s="3" t="s">
        <v>102</v>
      </c>
      <c r="Q1172" s="3" t="s">
        <v>103</v>
      </c>
      <c r="R1172" s="3" t="s">
        <v>103</v>
      </c>
    </row>
    <row r="1173" spans="1:18">
      <c r="A1173" s="19">
        <v>46847</v>
      </c>
      <c r="B1173" s="3" t="s">
        <v>29</v>
      </c>
      <c r="C1173" s="3" t="s">
        <v>26</v>
      </c>
      <c r="D1173" s="3" t="s">
        <v>13</v>
      </c>
      <c r="E1173" s="3" t="s">
        <v>14</v>
      </c>
      <c r="F1173" s="3" t="s">
        <v>34</v>
      </c>
      <c r="G1173" s="3" t="s">
        <v>16</v>
      </c>
      <c r="H1173">
        <v>320000</v>
      </c>
      <c r="I1173">
        <v>1</v>
      </c>
      <c r="J1173" s="3" t="s">
        <v>39</v>
      </c>
      <c r="K1173">
        <v>256000</v>
      </c>
      <c r="L1173">
        <v>320000</v>
      </c>
      <c r="M1173">
        <v>256000</v>
      </c>
      <c r="N1173">
        <v>64000</v>
      </c>
      <c r="O1173" s="3" t="s">
        <v>1274</v>
      </c>
      <c r="P1173" s="3" t="s">
        <v>102</v>
      </c>
      <c r="Q1173" s="3" t="s">
        <v>103</v>
      </c>
      <c r="R1173" s="3" t="s">
        <v>103</v>
      </c>
    </row>
    <row r="1174" spans="1:18">
      <c r="A1174" s="19">
        <v>46848</v>
      </c>
      <c r="B1174" s="3" t="s">
        <v>11</v>
      </c>
      <c r="C1174" s="3" t="s">
        <v>32</v>
      </c>
      <c r="D1174" s="3" t="s">
        <v>23</v>
      </c>
      <c r="E1174" s="3" t="s">
        <v>14</v>
      </c>
      <c r="F1174" s="3" t="s">
        <v>34</v>
      </c>
      <c r="G1174" s="3" t="s">
        <v>16</v>
      </c>
      <c r="H1174">
        <v>320000</v>
      </c>
      <c r="I1174">
        <v>10</v>
      </c>
      <c r="J1174" s="3" t="s">
        <v>28</v>
      </c>
      <c r="K1174">
        <v>256000</v>
      </c>
      <c r="L1174">
        <v>3200000</v>
      </c>
      <c r="M1174">
        <v>2560000</v>
      </c>
      <c r="N1174">
        <v>640000</v>
      </c>
      <c r="O1174" s="3" t="s">
        <v>1275</v>
      </c>
      <c r="P1174" s="3" t="s">
        <v>102</v>
      </c>
      <c r="Q1174" s="3" t="s">
        <v>103</v>
      </c>
      <c r="R1174" s="3" t="s">
        <v>103</v>
      </c>
    </row>
    <row r="1175" spans="1:18">
      <c r="A1175" s="19">
        <v>46849</v>
      </c>
      <c r="B1175" s="3" t="s">
        <v>29</v>
      </c>
      <c r="C1175" s="3" t="s">
        <v>19</v>
      </c>
      <c r="D1175" s="3" t="s">
        <v>23</v>
      </c>
      <c r="E1175" s="3" t="s">
        <v>14</v>
      </c>
      <c r="F1175" s="3" t="s">
        <v>33</v>
      </c>
      <c r="G1175" s="3" t="s">
        <v>22</v>
      </c>
      <c r="H1175">
        <v>180000</v>
      </c>
      <c r="I1175">
        <v>4</v>
      </c>
      <c r="J1175" s="3" t="s">
        <v>28</v>
      </c>
      <c r="K1175">
        <v>144000</v>
      </c>
      <c r="L1175">
        <v>720000</v>
      </c>
      <c r="M1175">
        <v>576000</v>
      </c>
      <c r="N1175">
        <v>144000</v>
      </c>
      <c r="O1175" s="3" t="s">
        <v>1276</v>
      </c>
      <c r="P1175" s="3" t="s">
        <v>102</v>
      </c>
      <c r="Q1175" s="3" t="s">
        <v>103</v>
      </c>
      <c r="R1175" s="3" t="s">
        <v>103</v>
      </c>
    </row>
    <row r="1176" spans="1:18">
      <c r="A1176" s="19">
        <v>46850</v>
      </c>
      <c r="B1176" s="3" t="s">
        <v>11</v>
      </c>
      <c r="C1176" s="3" t="s">
        <v>19</v>
      </c>
      <c r="D1176" s="3" t="s">
        <v>13</v>
      </c>
      <c r="E1176" s="3" t="s">
        <v>20</v>
      </c>
      <c r="F1176" s="3" t="s">
        <v>38</v>
      </c>
      <c r="G1176" s="3" t="s">
        <v>31</v>
      </c>
      <c r="H1176">
        <v>420000</v>
      </c>
      <c r="I1176">
        <v>5</v>
      </c>
      <c r="J1176" s="3" t="s">
        <v>37</v>
      </c>
      <c r="K1176">
        <v>336000</v>
      </c>
      <c r="L1176">
        <v>2100000</v>
      </c>
      <c r="M1176">
        <v>1680000</v>
      </c>
      <c r="N1176">
        <v>420000</v>
      </c>
      <c r="O1176" s="3" t="s">
        <v>1277</v>
      </c>
      <c r="P1176" s="3" t="s">
        <v>102</v>
      </c>
      <c r="Q1176" s="3" t="s">
        <v>103</v>
      </c>
      <c r="R1176" s="3" t="s">
        <v>103</v>
      </c>
    </row>
    <row r="1177" spans="1:18">
      <c r="A1177" s="19">
        <v>46851</v>
      </c>
      <c r="B1177" s="3" t="s">
        <v>29</v>
      </c>
      <c r="C1177" s="3" t="s">
        <v>32</v>
      </c>
      <c r="D1177" s="3" t="s">
        <v>13</v>
      </c>
      <c r="E1177" s="3" t="s">
        <v>14</v>
      </c>
      <c r="F1177" s="3" t="s">
        <v>27</v>
      </c>
      <c r="G1177" s="3" t="s">
        <v>22</v>
      </c>
      <c r="H1177">
        <v>60000</v>
      </c>
      <c r="I1177">
        <v>5</v>
      </c>
      <c r="J1177" s="3" t="s">
        <v>24</v>
      </c>
      <c r="K1177">
        <v>48000</v>
      </c>
      <c r="L1177">
        <v>300000</v>
      </c>
      <c r="M1177">
        <v>240000</v>
      </c>
      <c r="N1177">
        <v>60000</v>
      </c>
      <c r="O1177" s="3" t="s">
        <v>1278</v>
      </c>
      <c r="P1177" s="3" t="s">
        <v>102</v>
      </c>
      <c r="Q1177" s="3" t="s">
        <v>103</v>
      </c>
      <c r="R1177" s="3" t="s">
        <v>103</v>
      </c>
    </row>
    <row r="1178" spans="1:18">
      <c r="A1178" s="19">
        <v>46852</v>
      </c>
      <c r="B1178" s="3" t="s">
        <v>29</v>
      </c>
      <c r="C1178" s="3" t="s">
        <v>32</v>
      </c>
      <c r="D1178" s="3" t="s">
        <v>13</v>
      </c>
      <c r="E1178" s="3" t="s">
        <v>20</v>
      </c>
      <c r="F1178" s="3" t="s">
        <v>27</v>
      </c>
      <c r="G1178" s="3" t="s">
        <v>22</v>
      </c>
      <c r="H1178">
        <v>60000</v>
      </c>
      <c r="I1178">
        <v>9</v>
      </c>
      <c r="J1178" s="3" t="s">
        <v>37</v>
      </c>
      <c r="K1178">
        <v>48000</v>
      </c>
      <c r="L1178">
        <v>540000</v>
      </c>
      <c r="M1178">
        <v>432000</v>
      </c>
      <c r="N1178">
        <v>108000</v>
      </c>
      <c r="O1178" s="3" t="s">
        <v>1279</v>
      </c>
      <c r="P1178" s="3" t="s">
        <v>102</v>
      </c>
      <c r="Q1178" s="3" t="s">
        <v>103</v>
      </c>
      <c r="R1178" s="3" t="s">
        <v>103</v>
      </c>
    </row>
    <row r="1179" spans="1:18">
      <c r="A1179" s="19">
        <v>46853</v>
      </c>
      <c r="B1179" s="3" t="s">
        <v>18</v>
      </c>
      <c r="C1179" s="3" t="s">
        <v>26</v>
      </c>
      <c r="D1179" s="3" t="s">
        <v>23</v>
      </c>
      <c r="E1179" s="3" t="s">
        <v>20</v>
      </c>
      <c r="F1179" s="3" t="s">
        <v>30</v>
      </c>
      <c r="G1179" s="3" t="s">
        <v>31</v>
      </c>
      <c r="H1179">
        <v>300000</v>
      </c>
      <c r="I1179">
        <v>10</v>
      </c>
      <c r="J1179" s="3" t="s">
        <v>24</v>
      </c>
      <c r="K1179">
        <v>240000</v>
      </c>
      <c r="L1179">
        <v>3000000</v>
      </c>
      <c r="M1179">
        <v>2400000</v>
      </c>
      <c r="N1179">
        <v>600000</v>
      </c>
      <c r="O1179" s="3" t="s">
        <v>1280</v>
      </c>
      <c r="P1179" s="3" t="s">
        <v>102</v>
      </c>
      <c r="Q1179" s="3" t="s">
        <v>103</v>
      </c>
      <c r="R1179" s="3" t="s">
        <v>103</v>
      </c>
    </row>
    <row r="1180" spans="1:18">
      <c r="A1180" s="19">
        <v>46854</v>
      </c>
      <c r="B1180" s="3" t="s">
        <v>25</v>
      </c>
      <c r="C1180" s="3" t="s">
        <v>32</v>
      </c>
      <c r="D1180" s="3" t="s">
        <v>13</v>
      </c>
      <c r="E1180" s="3" t="s">
        <v>20</v>
      </c>
      <c r="F1180" s="3" t="s">
        <v>38</v>
      </c>
      <c r="G1180" s="3" t="s">
        <v>31</v>
      </c>
      <c r="H1180">
        <v>420000</v>
      </c>
      <c r="I1180">
        <v>8</v>
      </c>
      <c r="J1180" s="3" t="s">
        <v>39</v>
      </c>
      <c r="K1180">
        <v>336000</v>
      </c>
      <c r="L1180">
        <v>3360000</v>
      </c>
      <c r="M1180">
        <v>2688000</v>
      </c>
      <c r="N1180">
        <v>672000</v>
      </c>
      <c r="O1180" s="3" t="s">
        <v>1281</v>
      </c>
      <c r="P1180" s="3" t="s">
        <v>102</v>
      </c>
      <c r="Q1180" s="3" t="s">
        <v>103</v>
      </c>
      <c r="R1180" s="3" t="s">
        <v>103</v>
      </c>
    </row>
    <row r="1181" spans="1:18">
      <c r="A1181" s="19">
        <v>46855</v>
      </c>
      <c r="B1181" s="3" t="s">
        <v>25</v>
      </c>
      <c r="C1181" s="3" t="s">
        <v>26</v>
      </c>
      <c r="D1181" s="3" t="s">
        <v>23</v>
      </c>
      <c r="E1181" s="3" t="s">
        <v>20</v>
      </c>
      <c r="F1181" s="3" t="s">
        <v>33</v>
      </c>
      <c r="G1181" s="3" t="s">
        <v>22</v>
      </c>
      <c r="H1181">
        <v>180000</v>
      </c>
      <c r="I1181">
        <v>4</v>
      </c>
      <c r="J1181" s="3" t="s">
        <v>24</v>
      </c>
      <c r="K1181">
        <v>144000</v>
      </c>
      <c r="L1181">
        <v>720000</v>
      </c>
      <c r="M1181">
        <v>576000</v>
      </c>
      <c r="N1181">
        <v>144000</v>
      </c>
      <c r="O1181" s="3" t="s">
        <v>1282</v>
      </c>
      <c r="P1181" s="3" t="s">
        <v>102</v>
      </c>
      <c r="Q1181" s="3" t="s">
        <v>103</v>
      </c>
      <c r="R1181" s="3" t="s">
        <v>103</v>
      </c>
    </row>
    <row r="1182" spans="1:18">
      <c r="A1182" s="19">
        <v>46856</v>
      </c>
      <c r="B1182" s="3" t="s">
        <v>18</v>
      </c>
      <c r="C1182" s="3" t="s">
        <v>26</v>
      </c>
      <c r="D1182" s="3" t="s">
        <v>13</v>
      </c>
      <c r="E1182" s="3" t="s">
        <v>20</v>
      </c>
      <c r="F1182" s="3" t="s">
        <v>21</v>
      </c>
      <c r="G1182" s="3" t="s">
        <v>22</v>
      </c>
      <c r="H1182">
        <v>30000</v>
      </c>
      <c r="I1182">
        <v>5</v>
      </c>
      <c r="J1182" s="3" t="s">
        <v>37</v>
      </c>
      <c r="K1182">
        <v>24000</v>
      </c>
      <c r="L1182">
        <v>150000</v>
      </c>
      <c r="M1182">
        <v>120000</v>
      </c>
      <c r="N1182">
        <v>30000</v>
      </c>
      <c r="O1182" s="3" t="s">
        <v>1283</v>
      </c>
      <c r="P1182" s="3" t="s">
        <v>102</v>
      </c>
      <c r="Q1182" s="3" t="s">
        <v>103</v>
      </c>
      <c r="R1182" s="3" t="s">
        <v>103</v>
      </c>
    </row>
    <row r="1183" spans="1:18">
      <c r="A1183" s="19">
        <v>46857</v>
      </c>
      <c r="B1183" s="3" t="s">
        <v>29</v>
      </c>
      <c r="C1183" s="3" t="s">
        <v>19</v>
      </c>
      <c r="D1183" s="3" t="s">
        <v>13</v>
      </c>
      <c r="E1183" s="3" t="s">
        <v>14</v>
      </c>
      <c r="F1183" s="3" t="s">
        <v>40</v>
      </c>
      <c r="G1183" s="3" t="s">
        <v>31</v>
      </c>
      <c r="H1183">
        <v>250000</v>
      </c>
      <c r="I1183">
        <v>3</v>
      </c>
      <c r="J1183" s="3" t="s">
        <v>24</v>
      </c>
      <c r="K1183">
        <v>200000</v>
      </c>
      <c r="L1183">
        <v>750000</v>
      </c>
      <c r="M1183">
        <v>600000</v>
      </c>
      <c r="N1183">
        <v>150000</v>
      </c>
      <c r="O1183" s="3" t="s">
        <v>1284</v>
      </c>
      <c r="P1183" s="3" t="s">
        <v>102</v>
      </c>
      <c r="Q1183" s="3" t="s">
        <v>103</v>
      </c>
      <c r="R1183" s="3" t="s">
        <v>103</v>
      </c>
    </row>
    <row r="1184" spans="1:18">
      <c r="A1184" s="19">
        <v>46858</v>
      </c>
      <c r="B1184" s="3" t="s">
        <v>18</v>
      </c>
      <c r="C1184" s="3" t="s">
        <v>26</v>
      </c>
      <c r="D1184" s="3" t="s">
        <v>23</v>
      </c>
      <c r="E1184" s="3" t="s">
        <v>20</v>
      </c>
      <c r="F1184" s="3" t="s">
        <v>15</v>
      </c>
      <c r="G1184" s="3" t="s">
        <v>16</v>
      </c>
      <c r="H1184">
        <v>85000</v>
      </c>
      <c r="I1184">
        <v>8</v>
      </c>
      <c r="J1184" s="3" t="s">
        <v>28</v>
      </c>
      <c r="K1184">
        <v>68000</v>
      </c>
      <c r="L1184">
        <v>680000</v>
      </c>
      <c r="M1184">
        <v>544000</v>
      </c>
      <c r="N1184">
        <v>136000</v>
      </c>
      <c r="O1184" s="3" t="s">
        <v>1285</v>
      </c>
      <c r="P1184" s="3" t="s">
        <v>102</v>
      </c>
      <c r="Q1184" s="3" t="s">
        <v>103</v>
      </c>
      <c r="R1184" s="3" t="s">
        <v>103</v>
      </c>
    </row>
    <row r="1185" spans="1:18">
      <c r="A1185" s="19">
        <v>46859</v>
      </c>
      <c r="B1185" s="3" t="s">
        <v>25</v>
      </c>
      <c r="C1185" s="3" t="s">
        <v>12</v>
      </c>
      <c r="D1185" s="3" t="s">
        <v>23</v>
      </c>
      <c r="E1185" s="3" t="s">
        <v>14</v>
      </c>
      <c r="F1185" s="3" t="s">
        <v>27</v>
      </c>
      <c r="G1185" s="3" t="s">
        <v>22</v>
      </c>
      <c r="H1185">
        <v>60000</v>
      </c>
      <c r="I1185">
        <v>8</v>
      </c>
      <c r="J1185" s="3" t="s">
        <v>37</v>
      </c>
      <c r="K1185">
        <v>48000</v>
      </c>
      <c r="L1185">
        <v>480000</v>
      </c>
      <c r="M1185">
        <v>384000</v>
      </c>
      <c r="N1185">
        <v>96000</v>
      </c>
      <c r="O1185" s="3" t="s">
        <v>1286</v>
      </c>
      <c r="P1185" s="3" t="s">
        <v>102</v>
      </c>
      <c r="Q1185" s="3" t="s">
        <v>103</v>
      </c>
      <c r="R1185" s="3" t="s">
        <v>103</v>
      </c>
    </row>
    <row r="1186" spans="1:18">
      <c r="A1186" s="19">
        <v>46860</v>
      </c>
      <c r="B1186" s="3" t="s">
        <v>25</v>
      </c>
      <c r="C1186" s="3" t="s">
        <v>12</v>
      </c>
      <c r="D1186" s="3" t="s">
        <v>23</v>
      </c>
      <c r="E1186" s="3" t="s">
        <v>20</v>
      </c>
      <c r="F1186" s="3" t="s">
        <v>36</v>
      </c>
      <c r="G1186" s="3" t="s">
        <v>31</v>
      </c>
      <c r="H1186">
        <v>150000</v>
      </c>
      <c r="I1186">
        <v>5</v>
      </c>
      <c r="J1186" s="3" t="s">
        <v>17</v>
      </c>
      <c r="K1186">
        <v>120000</v>
      </c>
      <c r="L1186">
        <v>750000</v>
      </c>
      <c r="M1186">
        <v>600000</v>
      </c>
      <c r="N1186">
        <v>150000</v>
      </c>
      <c r="O1186" s="3" t="s">
        <v>1287</v>
      </c>
      <c r="P1186" s="3" t="s">
        <v>102</v>
      </c>
      <c r="Q1186" s="3" t="s">
        <v>103</v>
      </c>
      <c r="R1186" s="3" t="s">
        <v>103</v>
      </c>
    </row>
    <row r="1187" spans="1:18">
      <c r="A1187" s="19">
        <v>46861</v>
      </c>
      <c r="B1187" s="3" t="s">
        <v>29</v>
      </c>
      <c r="C1187" s="3" t="s">
        <v>12</v>
      </c>
      <c r="D1187" s="3" t="s">
        <v>23</v>
      </c>
      <c r="E1187" s="3" t="s">
        <v>14</v>
      </c>
      <c r="F1187" s="3" t="s">
        <v>34</v>
      </c>
      <c r="G1187" s="3" t="s">
        <v>16</v>
      </c>
      <c r="H1187">
        <v>320000</v>
      </c>
      <c r="I1187">
        <v>9</v>
      </c>
      <c r="J1187" s="3" t="s">
        <v>35</v>
      </c>
      <c r="K1187">
        <v>256000</v>
      </c>
      <c r="L1187">
        <v>2880000</v>
      </c>
      <c r="M1187">
        <v>2304000</v>
      </c>
      <c r="N1187">
        <v>576000</v>
      </c>
      <c r="O1187" s="3" t="s">
        <v>1288</v>
      </c>
      <c r="P1187" s="3" t="s">
        <v>102</v>
      </c>
      <c r="Q1187" s="3" t="s">
        <v>103</v>
      </c>
      <c r="R1187" s="3" t="s">
        <v>103</v>
      </c>
    </row>
    <row r="1188" spans="1:18">
      <c r="A1188" s="19">
        <v>46862</v>
      </c>
      <c r="B1188" s="3" t="s">
        <v>29</v>
      </c>
      <c r="C1188" s="3" t="s">
        <v>32</v>
      </c>
      <c r="D1188" s="3" t="s">
        <v>23</v>
      </c>
      <c r="E1188" s="3" t="s">
        <v>14</v>
      </c>
      <c r="F1188" s="3" t="s">
        <v>38</v>
      </c>
      <c r="G1188" s="3" t="s">
        <v>31</v>
      </c>
      <c r="H1188">
        <v>420000</v>
      </c>
      <c r="I1188">
        <v>7</v>
      </c>
      <c r="J1188" s="3" t="s">
        <v>17</v>
      </c>
      <c r="K1188">
        <v>336000</v>
      </c>
      <c r="L1188">
        <v>2940000</v>
      </c>
      <c r="M1188">
        <v>2352000</v>
      </c>
      <c r="N1188">
        <v>588000</v>
      </c>
      <c r="O1188" s="3" t="s">
        <v>1289</v>
      </c>
      <c r="P1188" s="3" t="s">
        <v>102</v>
      </c>
      <c r="Q1188" s="3" t="s">
        <v>103</v>
      </c>
      <c r="R1188" s="3" t="s">
        <v>103</v>
      </c>
    </row>
    <row r="1189" spans="1:18">
      <c r="A1189" s="19">
        <v>46863</v>
      </c>
      <c r="B1189" s="3" t="s">
        <v>25</v>
      </c>
      <c r="C1189" s="3" t="s">
        <v>26</v>
      </c>
      <c r="D1189" s="3" t="s">
        <v>23</v>
      </c>
      <c r="E1189" s="3" t="s">
        <v>20</v>
      </c>
      <c r="F1189" s="3" t="s">
        <v>27</v>
      </c>
      <c r="G1189" s="3" t="s">
        <v>22</v>
      </c>
      <c r="H1189">
        <v>60000</v>
      </c>
      <c r="I1189">
        <v>6</v>
      </c>
      <c r="J1189" s="3" t="s">
        <v>37</v>
      </c>
      <c r="K1189">
        <v>48000</v>
      </c>
      <c r="L1189">
        <v>360000</v>
      </c>
      <c r="M1189">
        <v>288000</v>
      </c>
      <c r="N1189">
        <v>72000</v>
      </c>
      <c r="O1189" s="3" t="s">
        <v>1290</v>
      </c>
      <c r="P1189" s="3" t="s">
        <v>102</v>
      </c>
      <c r="Q1189" s="3" t="s">
        <v>103</v>
      </c>
      <c r="R1189" s="3" t="s">
        <v>103</v>
      </c>
    </row>
    <row r="1190" spans="1:18">
      <c r="A1190" s="19">
        <v>46864</v>
      </c>
      <c r="B1190" s="3" t="s">
        <v>29</v>
      </c>
      <c r="C1190" s="3" t="s">
        <v>12</v>
      </c>
      <c r="D1190" s="3" t="s">
        <v>13</v>
      </c>
      <c r="E1190" s="3" t="s">
        <v>20</v>
      </c>
      <c r="F1190" s="3" t="s">
        <v>36</v>
      </c>
      <c r="G1190" s="3" t="s">
        <v>31</v>
      </c>
      <c r="H1190">
        <v>150000</v>
      </c>
      <c r="I1190">
        <v>7</v>
      </c>
      <c r="J1190" s="3" t="s">
        <v>39</v>
      </c>
      <c r="K1190">
        <v>120000</v>
      </c>
      <c r="L1190">
        <v>1050000</v>
      </c>
      <c r="M1190">
        <v>840000</v>
      </c>
      <c r="N1190">
        <v>210000</v>
      </c>
      <c r="O1190" s="3" t="s">
        <v>1291</v>
      </c>
      <c r="P1190" s="3" t="s">
        <v>102</v>
      </c>
      <c r="Q1190" s="3" t="s">
        <v>103</v>
      </c>
      <c r="R1190" s="3" t="s">
        <v>103</v>
      </c>
    </row>
    <row r="1191" spans="1:18">
      <c r="A1191" s="19">
        <v>46865</v>
      </c>
      <c r="B1191" s="3" t="s">
        <v>18</v>
      </c>
      <c r="C1191" s="3" t="s">
        <v>26</v>
      </c>
      <c r="D1191" s="3" t="s">
        <v>13</v>
      </c>
      <c r="E1191" s="3" t="s">
        <v>20</v>
      </c>
      <c r="F1191" s="3" t="s">
        <v>34</v>
      </c>
      <c r="G1191" s="3" t="s">
        <v>16</v>
      </c>
      <c r="H1191">
        <v>320000</v>
      </c>
      <c r="I1191">
        <v>10</v>
      </c>
      <c r="J1191" s="3" t="s">
        <v>28</v>
      </c>
      <c r="K1191">
        <v>256000</v>
      </c>
      <c r="L1191">
        <v>3200000</v>
      </c>
      <c r="M1191">
        <v>2560000</v>
      </c>
      <c r="N1191">
        <v>640000</v>
      </c>
      <c r="O1191" s="3" t="s">
        <v>1292</v>
      </c>
      <c r="P1191" s="3" t="s">
        <v>102</v>
      </c>
      <c r="Q1191" s="3" t="s">
        <v>103</v>
      </c>
      <c r="R1191" s="3" t="s">
        <v>103</v>
      </c>
    </row>
    <row r="1192" spans="1:18">
      <c r="A1192" s="19">
        <v>46866</v>
      </c>
      <c r="B1192" s="3" t="s">
        <v>18</v>
      </c>
      <c r="C1192" s="3" t="s">
        <v>12</v>
      </c>
      <c r="D1192" s="3" t="s">
        <v>23</v>
      </c>
      <c r="E1192" s="3" t="s">
        <v>14</v>
      </c>
      <c r="F1192" s="3" t="s">
        <v>30</v>
      </c>
      <c r="G1192" s="3" t="s">
        <v>31</v>
      </c>
      <c r="H1192">
        <v>300000</v>
      </c>
      <c r="I1192">
        <v>8</v>
      </c>
      <c r="J1192" s="3" t="s">
        <v>24</v>
      </c>
      <c r="K1192">
        <v>240000</v>
      </c>
      <c r="L1192">
        <v>2400000</v>
      </c>
      <c r="M1192">
        <v>1920000</v>
      </c>
      <c r="N1192">
        <v>480000</v>
      </c>
      <c r="O1192" s="3" t="s">
        <v>1293</v>
      </c>
      <c r="P1192" s="3" t="s">
        <v>102</v>
      </c>
      <c r="Q1192" s="3" t="s">
        <v>103</v>
      </c>
      <c r="R1192" s="3" t="s">
        <v>103</v>
      </c>
    </row>
    <row r="1193" spans="1:18">
      <c r="A1193" s="19">
        <v>46867</v>
      </c>
      <c r="B1193" s="3" t="s">
        <v>11</v>
      </c>
      <c r="C1193" s="3" t="s">
        <v>12</v>
      </c>
      <c r="D1193" s="3" t="s">
        <v>13</v>
      </c>
      <c r="E1193" s="3" t="s">
        <v>14</v>
      </c>
      <c r="F1193" s="3" t="s">
        <v>38</v>
      </c>
      <c r="G1193" s="3" t="s">
        <v>31</v>
      </c>
      <c r="H1193">
        <v>420000</v>
      </c>
      <c r="I1193">
        <v>5</v>
      </c>
      <c r="J1193" s="3" t="s">
        <v>35</v>
      </c>
      <c r="K1193">
        <v>336000</v>
      </c>
      <c r="L1193">
        <v>2100000</v>
      </c>
      <c r="M1193">
        <v>1680000</v>
      </c>
      <c r="N1193">
        <v>420000</v>
      </c>
      <c r="O1193" s="3" t="s">
        <v>1294</v>
      </c>
      <c r="P1193" s="3" t="s">
        <v>102</v>
      </c>
      <c r="Q1193" s="3" t="s">
        <v>103</v>
      </c>
      <c r="R1193" s="3" t="s">
        <v>103</v>
      </c>
    </row>
    <row r="1194" spans="1:18">
      <c r="A1194" s="19">
        <v>46868</v>
      </c>
      <c r="B1194" s="3" t="s">
        <v>18</v>
      </c>
      <c r="C1194" s="3" t="s">
        <v>26</v>
      </c>
      <c r="D1194" s="3" t="s">
        <v>13</v>
      </c>
      <c r="E1194" s="3" t="s">
        <v>20</v>
      </c>
      <c r="F1194" s="3" t="s">
        <v>41</v>
      </c>
      <c r="G1194" s="3" t="s">
        <v>22</v>
      </c>
      <c r="H1194">
        <v>220000</v>
      </c>
      <c r="I1194">
        <v>5</v>
      </c>
      <c r="J1194" s="3" t="s">
        <v>17</v>
      </c>
      <c r="K1194">
        <v>176000</v>
      </c>
      <c r="L1194">
        <v>1100000</v>
      </c>
      <c r="M1194">
        <v>880000</v>
      </c>
      <c r="N1194">
        <v>220000</v>
      </c>
      <c r="O1194" s="3" t="s">
        <v>1295</v>
      </c>
      <c r="P1194" s="3" t="s">
        <v>102</v>
      </c>
      <c r="Q1194" s="3" t="s">
        <v>103</v>
      </c>
      <c r="R1194" s="3" t="s">
        <v>103</v>
      </c>
    </row>
    <row r="1195" spans="1:18">
      <c r="A1195" s="19">
        <v>46869</v>
      </c>
      <c r="B1195" s="3" t="s">
        <v>11</v>
      </c>
      <c r="C1195" s="3" t="s">
        <v>12</v>
      </c>
      <c r="D1195" s="3" t="s">
        <v>23</v>
      </c>
      <c r="E1195" s="3" t="s">
        <v>20</v>
      </c>
      <c r="F1195" s="3" t="s">
        <v>34</v>
      </c>
      <c r="G1195" s="3" t="s">
        <v>16</v>
      </c>
      <c r="H1195">
        <v>320000</v>
      </c>
      <c r="I1195">
        <v>3</v>
      </c>
      <c r="J1195" s="3" t="s">
        <v>24</v>
      </c>
      <c r="K1195">
        <v>256000</v>
      </c>
      <c r="L1195">
        <v>960000</v>
      </c>
      <c r="M1195">
        <v>768000</v>
      </c>
      <c r="N1195">
        <v>192000</v>
      </c>
      <c r="O1195" s="3" t="s">
        <v>1296</v>
      </c>
      <c r="P1195" s="3" t="s">
        <v>102</v>
      </c>
      <c r="Q1195" s="3" t="s">
        <v>103</v>
      </c>
      <c r="R1195" s="3" t="s">
        <v>103</v>
      </c>
    </row>
    <row r="1196" spans="1:18">
      <c r="A1196" s="19">
        <v>46870</v>
      </c>
      <c r="B1196" s="3" t="s">
        <v>18</v>
      </c>
      <c r="C1196" s="3" t="s">
        <v>12</v>
      </c>
      <c r="D1196" s="3" t="s">
        <v>13</v>
      </c>
      <c r="E1196" s="3" t="s">
        <v>14</v>
      </c>
      <c r="F1196" s="3" t="s">
        <v>33</v>
      </c>
      <c r="G1196" s="3" t="s">
        <v>22</v>
      </c>
      <c r="H1196">
        <v>180000</v>
      </c>
      <c r="I1196">
        <v>9</v>
      </c>
      <c r="J1196" s="3" t="s">
        <v>39</v>
      </c>
      <c r="K1196">
        <v>144000</v>
      </c>
      <c r="L1196">
        <v>1620000</v>
      </c>
      <c r="M1196">
        <v>1296000</v>
      </c>
      <c r="N1196">
        <v>324000</v>
      </c>
      <c r="O1196" s="3" t="s">
        <v>1297</v>
      </c>
      <c r="P1196" s="3" t="s">
        <v>102</v>
      </c>
      <c r="Q1196" s="3" t="s">
        <v>103</v>
      </c>
      <c r="R1196" s="3" t="s">
        <v>103</v>
      </c>
    </row>
    <row r="1197" spans="1:18">
      <c r="A1197" s="19">
        <v>46871</v>
      </c>
      <c r="B1197" s="3" t="s">
        <v>29</v>
      </c>
      <c r="C1197" s="3" t="s">
        <v>12</v>
      </c>
      <c r="D1197" s="3" t="s">
        <v>13</v>
      </c>
      <c r="E1197" s="3" t="s">
        <v>14</v>
      </c>
      <c r="F1197" s="3" t="s">
        <v>30</v>
      </c>
      <c r="G1197" s="3" t="s">
        <v>31</v>
      </c>
      <c r="H1197">
        <v>300000</v>
      </c>
      <c r="I1197">
        <v>1</v>
      </c>
      <c r="J1197" s="3" t="s">
        <v>39</v>
      </c>
      <c r="K1197">
        <v>240000</v>
      </c>
      <c r="L1197">
        <v>300000</v>
      </c>
      <c r="M1197">
        <v>240000</v>
      </c>
      <c r="N1197">
        <v>60000</v>
      </c>
      <c r="O1197" s="3" t="s">
        <v>1298</v>
      </c>
      <c r="P1197" s="3" t="s">
        <v>102</v>
      </c>
      <c r="Q1197" s="3" t="s">
        <v>103</v>
      </c>
      <c r="R1197" s="3" t="s">
        <v>103</v>
      </c>
    </row>
    <row r="1198" spans="1:18">
      <c r="A1198" s="19">
        <v>46872</v>
      </c>
      <c r="B1198" s="3" t="s">
        <v>29</v>
      </c>
      <c r="C1198" s="3" t="s">
        <v>26</v>
      </c>
      <c r="D1198" s="3" t="s">
        <v>13</v>
      </c>
      <c r="E1198" s="3" t="s">
        <v>20</v>
      </c>
      <c r="F1198" s="3" t="s">
        <v>41</v>
      </c>
      <c r="G1198" s="3" t="s">
        <v>22</v>
      </c>
      <c r="H1198">
        <v>220000</v>
      </c>
      <c r="I1198">
        <v>7</v>
      </c>
      <c r="J1198" s="3" t="s">
        <v>39</v>
      </c>
      <c r="K1198">
        <v>176000</v>
      </c>
      <c r="L1198">
        <v>1540000</v>
      </c>
      <c r="M1198">
        <v>1232000</v>
      </c>
      <c r="N1198">
        <v>308000</v>
      </c>
      <c r="O1198" s="3" t="s">
        <v>1299</v>
      </c>
      <c r="P1198" s="3" t="s">
        <v>102</v>
      </c>
      <c r="Q1198" s="3" t="s">
        <v>103</v>
      </c>
      <c r="R1198" s="3" t="s">
        <v>103</v>
      </c>
    </row>
    <row r="1199" spans="1:18">
      <c r="A1199" s="19">
        <v>46873</v>
      </c>
      <c r="B1199" s="3" t="s">
        <v>18</v>
      </c>
      <c r="C1199" s="3" t="s">
        <v>19</v>
      </c>
      <c r="D1199" s="3" t="s">
        <v>23</v>
      </c>
      <c r="E1199" s="3" t="s">
        <v>20</v>
      </c>
      <c r="F1199" s="3" t="s">
        <v>15</v>
      </c>
      <c r="G1199" s="3" t="s">
        <v>16</v>
      </c>
      <c r="H1199">
        <v>85000</v>
      </c>
      <c r="I1199">
        <v>9</v>
      </c>
      <c r="J1199" s="3" t="s">
        <v>24</v>
      </c>
      <c r="K1199">
        <v>68000</v>
      </c>
      <c r="L1199">
        <v>765000</v>
      </c>
      <c r="M1199">
        <v>612000</v>
      </c>
      <c r="N1199">
        <v>153000</v>
      </c>
      <c r="O1199" s="3" t="s">
        <v>1300</v>
      </c>
      <c r="P1199" s="3" t="s">
        <v>102</v>
      </c>
      <c r="Q1199" s="3" t="s">
        <v>103</v>
      </c>
      <c r="R1199" s="3" t="s">
        <v>103</v>
      </c>
    </row>
    <row r="1200" spans="1:18">
      <c r="A1200" s="19">
        <v>46874</v>
      </c>
      <c r="B1200" s="3" t="s">
        <v>18</v>
      </c>
      <c r="C1200" s="3" t="s">
        <v>19</v>
      </c>
      <c r="D1200" s="3" t="s">
        <v>13</v>
      </c>
      <c r="E1200" s="3" t="s">
        <v>14</v>
      </c>
      <c r="F1200" s="3" t="s">
        <v>15</v>
      </c>
      <c r="G1200" s="3" t="s">
        <v>16</v>
      </c>
      <c r="H1200">
        <v>85000</v>
      </c>
      <c r="I1200">
        <v>4</v>
      </c>
      <c r="J1200" s="3" t="s">
        <v>28</v>
      </c>
      <c r="K1200">
        <v>68000</v>
      </c>
      <c r="L1200">
        <v>340000</v>
      </c>
      <c r="M1200">
        <v>272000</v>
      </c>
      <c r="N1200">
        <v>68000</v>
      </c>
      <c r="O1200" s="3" t="s">
        <v>1301</v>
      </c>
      <c r="P1200" s="3" t="s">
        <v>102</v>
      </c>
      <c r="Q1200" s="3" t="s">
        <v>103</v>
      </c>
      <c r="R1200" s="3" t="s">
        <v>103</v>
      </c>
    </row>
    <row r="1201" spans="1:18">
      <c r="A1201" s="19">
        <v>46875</v>
      </c>
      <c r="B1201" s="3" t="s">
        <v>18</v>
      </c>
      <c r="C1201" s="3" t="s">
        <v>32</v>
      </c>
      <c r="D1201" s="3" t="s">
        <v>13</v>
      </c>
      <c r="E1201" s="3" t="s">
        <v>20</v>
      </c>
      <c r="F1201" s="3" t="s">
        <v>27</v>
      </c>
      <c r="G1201" s="3" t="s">
        <v>22</v>
      </c>
      <c r="H1201">
        <v>60000</v>
      </c>
      <c r="I1201">
        <v>8</v>
      </c>
      <c r="J1201" s="3" t="s">
        <v>28</v>
      </c>
      <c r="K1201">
        <v>48000</v>
      </c>
      <c r="L1201">
        <v>480000</v>
      </c>
      <c r="M1201">
        <v>384000</v>
      </c>
      <c r="N1201">
        <v>96000</v>
      </c>
      <c r="O1201" s="3" t="s">
        <v>1302</v>
      </c>
      <c r="P1201" s="3" t="s">
        <v>102</v>
      </c>
      <c r="Q1201" s="3" t="s">
        <v>103</v>
      </c>
      <c r="R1201" s="3" t="s">
        <v>103</v>
      </c>
    </row>
    <row r="1202" spans="1:18">
      <c r="A1202" s="19">
        <v>46876</v>
      </c>
      <c r="B1202" s="3" t="s">
        <v>25</v>
      </c>
      <c r="C1202" s="3" t="s">
        <v>19</v>
      </c>
      <c r="D1202" s="3" t="s">
        <v>23</v>
      </c>
      <c r="E1202" s="3" t="s">
        <v>20</v>
      </c>
      <c r="F1202" s="3" t="s">
        <v>36</v>
      </c>
      <c r="G1202" s="3" t="s">
        <v>31</v>
      </c>
      <c r="H1202">
        <v>150000</v>
      </c>
      <c r="I1202">
        <v>6</v>
      </c>
      <c r="J1202" s="3" t="s">
        <v>35</v>
      </c>
      <c r="K1202">
        <v>120000</v>
      </c>
      <c r="L1202">
        <v>900000</v>
      </c>
      <c r="M1202">
        <v>720000</v>
      </c>
      <c r="N1202">
        <v>180000</v>
      </c>
      <c r="O1202" s="3" t="s">
        <v>1303</v>
      </c>
      <c r="P1202" s="3" t="s">
        <v>102</v>
      </c>
      <c r="Q1202" s="3" t="s">
        <v>103</v>
      </c>
      <c r="R1202" s="3" t="s">
        <v>103</v>
      </c>
    </row>
    <row r="1203" spans="1:18">
      <c r="A1203" s="19">
        <v>46877</v>
      </c>
      <c r="B1203" s="3" t="s">
        <v>18</v>
      </c>
      <c r="C1203" s="3" t="s">
        <v>26</v>
      </c>
      <c r="D1203" s="3" t="s">
        <v>23</v>
      </c>
      <c r="E1203" s="3" t="s">
        <v>14</v>
      </c>
      <c r="F1203" s="3" t="s">
        <v>15</v>
      </c>
      <c r="G1203" s="3" t="s">
        <v>16</v>
      </c>
      <c r="H1203">
        <v>85000</v>
      </c>
      <c r="I1203">
        <v>10</v>
      </c>
      <c r="J1203" s="3" t="s">
        <v>28</v>
      </c>
      <c r="K1203">
        <v>68000</v>
      </c>
      <c r="L1203">
        <v>850000</v>
      </c>
      <c r="M1203">
        <v>680000</v>
      </c>
      <c r="N1203">
        <v>170000</v>
      </c>
      <c r="O1203" s="3" t="s">
        <v>1304</v>
      </c>
      <c r="P1203" s="3" t="s">
        <v>102</v>
      </c>
      <c r="Q1203" s="3" t="s">
        <v>103</v>
      </c>
      <c r="R1203" s="3" t="s">
        <v>103</v>
      </c>
    </row>
    <row r="1204" spans="1:18">
      <c r="A1204" s="19">
        <v>46878</v>
      </c>
      <c r="B1204" s="3" t="s">
        <v>11</v>
      </c>
      <c r="C1204" s="3" t="s">
        <v>19</v>
      </c>
      <c r="D1204" s="3" t="s">
        <v>23</v>
      </c>
      <c r="E1204" s="3" t="s">
        <v>20</v>
      </c>
      <c r="F1204" s="3" t="s">
        <v>15</v>
      </c>
      <c r="G1204" s="3" t="s">
        <v>16</v>
      </c>
      <c r="H1204">
        <v>85000</v>
      </c>
      <c r="I1204">
        <v>3</v>
      </c>
      <c r="J1204" s="3" t="s">
        <v>39</v>
      </c>
      <c r="K1204">
        <v>68000</v>
      </c>
      <c r="L1204">
        <v>255000</v>
      </c>
      <c r="M1204">
        <v>204000</v>
      </c>
      <c r="N1204">
        <v>51000</v>
      </c>
      <c r="O1204" s="3" t="s">
        <v>1305</v>
      </c>
      <c r="P1204" s="3" t="s">
        <v>102</v>
      </c>
      <c r="Q1204" s="3" t="s">
        <v>103</v>
      </c>
      <c r="R1204" s="3" t="s">
        <v>103</v>
      </c>
    </row>
    <row r="1205" spans="1:18">
      <c r="A1205" s="19">
        <v>46879</v>
      </c>
      <c r="B1205" s="3" t="s">
        <v>11</v>
      </c>
      <c r="C1205" s="3" t="s">
        <v>26</v>
      </c>
      <c r="D1205" s="3" t="s">
        <v>23</v>
      </c>
      <c r="E1205" s="3" t="s">
        <v>14</v>
      </c>
      <c r="F1205" s="3" t="s">
        <v>30</v>
      </c>
      <c r="G1205" s="3" t="s">
        <v>31</v>
      </c>
      <c r="H1205">
        <v>300000</v>
      </c>
      <c r="I1205">
        <v>8</v>
      </c>
      <c r="J1205" s="3" t="s">
        <v>35</v>
      </c>
      <c r="K1205">
        <v>240000</v>
      </c>
      <c r="L1205">
        <v>2400000</v>
      </c>
      <c r="M1205">
        <v>1920000</v>
      </c>
      <c r="N1205">
        <v>480000</v>
      </c>
      <c r="O1205" s="3" t="s">
        <v>1306</v>
      </c>
      <c r="P1205" s="3" t="s">
        <v>102</v>
      </c>
      <c r="Q1205" s="3" t="s">
        <v>103</v>
      </c>
      <c r="R1205" s="3" t="s">
        <v>103</v>
      </c>
    </row>
    <row r="1206" spans="1:18">
      <c r="A1206" s="19">
        <v>46880</v>
      </c>
      <c r="B1206" s="3" t="s">
        <v>11</v>
      </c>
      <c r="C1206" s="3" t="s">
        <v>12</v>
      </c>
      <c r="D1206" s="3" t="s">
        <v>23</v>
      </c>
      <c r="E1206" s="3" t="s">
        <v>14</v>
      </c>
      <c r="F1206" s="3" t="s">
        <v>38</v>
      </c>
      <c r="G1206" s="3" t="s">
        <v>31</v>
      </c>
      <c r="H1206">
        <v>420000</v>
      </c>
      <c r="I1206">
        <v>6</v>
      </c>
      <c r="J1206" s="3" t="s">
        <v>37</v>
      </c>
      <c r="K1206">
        <v>336000</v>
      </c>
      <c r="L1206">
        <v>2520000</v>
      </c>
      <c r="M1206">
        <v>2016000</v>
      </c>
      <c r="N1206">
        <v>504000</v>
      </c>
      <c r="O1206" s="3" t="s">
        <v>1307</v>
      </c>
      <c r="P1206" s="3" t="s">
        <v>102</v>
      </c>
      <c r="Q1206" s="3" t="s">
        <v>103</v>
      </c>
      <c r="R1206" s="3" t="s">
        <v>103</v>
      </c>
    </row>
    <row r="1207" spans="1:18">
      <c r="A1207" s="19">
        <v>46881</v>
      </c>
      <c r="B1207" s="3" t="s">
        <v>25</v>
      </c>
      <c r="C1207" s="3" t="s">
        <v>26</v>
      </c>
      <c r="D1207" s="3" t="s">
        <v>23</v>
      </c>
      <c r="E1207" s="3" t="s">
        <v>14</v>
      </c>
      <c r="F1207" s="3" t="s">
        <v>40</v>
      </c>
      <c r="G1207" s="3" t="s">
        <v>31</v>
      </c>
      <c r="H1207">
        <v>250000</v>
      </c>
      <c r="I1207">
        <v>3</v>
      </c>
      <c r="J1207" s="3" t="s">
        <v>24</v>
      </c>
      <c r="K1207">
        <v>200000</v>
      </c>
      <c r="L1207">
        <v>750000</v>
      </c>
      <c r="M1207">
        <v>600000</v>
      </c>
      <c r="N1207">
        <v>150000</v>
      </c>
      <c r="O1207" s="3" t="s">
        <v>1308</v>
      </c>
      <c r="P1207" s="3" t="s">
        <v>102</v>
      </c>
      <c r="Q1207" s="3" t="s">
        <v>103</v>
      </c>
      <c r="R1207" s="3" t="s">
        <v>103</v>
      </c>
    </row>
    <row r="1208" spans="1:18">
      <c r="A1208" s="19">
        <v>46882</v>
      </c>
      <c r="B1208" s="3" t="s">
        <v>11</v>
      </c>
      <c r="C1208" s="3" t="s">
        <v>32</v>
      </c>
      <c r="D1208" s="3" t="s">
        <v>13</v>
      </c>
      <c r="E1208" s="3" t="s">
        <v>20</v>
      </c>
      <c r="F1208" s="3" t="s">
        <v>40</v>
      </c>
      <c r="G1208" s="3" t="s">
        <v>31</v>
      </c>
      <c r="H1208">
        <v>250000</v>
      </c>
      <c r="I1208">
        <v>8</v>
      </c>
      <c r="J1208" s="3" t="s">
        <v>28</v>
      </c>
      <c r="K1208">
        <v>200000</v>
      </c>
      <c r="L1208">
        <v>2000000</v>
      </c>
      <c r="M1208">
        <v>1600000</v>
      </c>
      <c r="N1208">
        <v>400000</v>
      </c>
      <c r="O1208" s="3" t="s">
        <v>1309</v>
      </c>
      <c r="P1208" s="3" t="s">
        <v>102</v>
      </c>
      <c r="Q1208" s="3" t="s">
        <v>103</v>
      </c>
      <c r="R1208" s="3" t="s">
        <v>103</v>
      </c>
    </row>
    <row r="1209" spans="1:18">
      <c r="A1209" s="19">
        <v>46883</v>
      </c>
      <c r="B1209" s="3" t="s">
        <v>29</v>
      </c>
      <c r="C1209" s="3" t="s">
        <v>19</v>
      </c>
      <c r="D1209" s="3" t="s">
        <v>23</v>
      </c>
      <c r="E1209" s="3" t="s">
        <v>14</v>
      </c>
      <c r="F1209" s="3" t="s">
        <v>15</v>
      </c>
      <c r="G1209" s="3" t="s">
        <v>16</v>
      </c>
      <c r="H1209">
        <v>85000</v>
      </c>
      <c r="I1209">
        <v>3</v>
      </c>
      <c r="J1209" s="3" t="s">
        <v>28</v>
      </c>
      <c r="K1209">
        <v>68000</v>
      </c>
      <c r="L1209">
        <v>255000</v>
      </c>
      <c r="M1209">
        <v>204000</v>
      </c>
      <c r="N1209">
        <v>51000</v>
      </c>
      <c r="O1209" s="3" t="s">
        <v>1310</v>
      </c>
      <c r="P1209" s="3" t="s">
        <v>102</v>
      </c>
      <c r="Q1209" s="3" t="s">
        <v>103</v>
      </c>
      <c r="R1209" s="3" t="s">
        <v>103</v>
      </c>
    </row>
    <row r="1210" spans="1:18">
      <c r="A1210" s="19">
        <v>46884</v>
      </c>
      <c r="B1210" s="3" t="s">
        <v>29</v>
      </c>
      <c r="C1210" s="3" t="s">
        <v>32</v>
      </c>
      <c r="D1210" s="3" t="s">
        <v>23</v>
      </c>
      <c r="E1210" s="3" t="s">
        <v>14</v>
      </c>
      <c r="F1210" s="3" t="s">
        <v>21</v>
      </c>
      <c r="G1210" s="3" t="s">
        <v>22</v>
      </c>
      <c r="H1210">
        <v>30000</v>
      </c>
      <c r="I1210">
        <v>7</v>
      </c>
      <c r="J1210" s="3" t="s">
        <v>28</v>
      </c>
      <c r="K1210">
        <v>24000</v>
      </c>
      <c r="L1210">
        <v>210000</v>
      </c>
      <c r="M1210">
        <v>168000</v>
      </c>
      <c r="N1210">
        <v>42000</v>
      </c>
      <c r="O1210" s="3" t="s">
        <v>1311</v>
      </c>
      <c r="P1210" s="3" t="s">
        <v>102</v>
      </c>
      <c r="Q1210" s="3" t="s">
        <v>103</v>
      </c>
      <c r="R1210" s="3" t="s">
        <v>103</v>
      </c>
    </row>
    <row r="1211" spans="1:18">
      <c r="A1211" s="19">
        <v>46885</v>
      </c>
      <c r="B1211" s="3" t="s">
        <v>18</v>
      </c>
      <c r="C1211" s="3" t="s">
        <v>26</v>
      </c>
      <c r="D1211" s="3" t="s">
        <v>13</v>
      </c>
      <c r="E1211" s="3" t="s">
        <v>20</v>
      </c>
      <c r="F1211" s="3" t="s">
        <v>27</v>
      </c>
      <c r="G1211" s="3" t="s">
        <v>22</v>
      </c>
      <c r="H1211">
        <v>60000</v>
      </c>
      <c r="I1211">
        <v>7</v>
      </c>
      <c r="J1211" s="3" t="s">
        <v>35</v>
      </c>
      <c r="K1211">
        <v>48000</v>
      </c>
      <c r="L1211">
        <v>420000</v>
      </c>
      <c r="M1211">
        <v>336000</v>
      </c>
      <c r="N1211">
        <v>84000</v>
      </c>
      <c r="O1211" s="3" t="s">
        <v>1312</v>
      </c>
      <c r="P1211" s="3" t="s">
        <v>102</v>
      </c>
      <c r="Q1211" s="3" t="s">
        <v>103</v>
      </c>
      <c r="R1211" s="3" t="s">
        <v>103</v>
      </c>
    </row>
    <row r="1212" spans="1:18">
      <c r="A1212" s="19">
        <v>46886</v>
      </c>
      <c r="B1212" s="3" t="s">
        <v>25</v>
      </c>
      <c r="C1212" s="3" t="s">
        <v>12</v>
      </c>
      <c r="D1212" s="3" t="s">
        <v>13</v>
      </c>
      <c r="E1212" s="3" t="s">
        <v>20</v>
      </c>
      <c r="F1212" s="3" t="s">
        <v>41</v>
      </c>
      <c r="G1212" s="3" t="s">
        <v>22</v>
      </c>
      <c r="H1212">
        <v>220000</v>
      </c>
      <c r="I1212">
        <v>10</v>
      </c>
      <c r="J1212" s="3" t="s">
        <v>24</v>
      </c>
      <c r="K1212">
        <v>176000</v>
      </c>
      <c r="L1212">
        <v>2200000</v>
      </c>
      <c r="M1212">
        <v>1760000</v>
      </c>
      <c r="N1212">
        <v>440000</v>
      </c>
      <c r="O1212" s="3" t="s">
        <v>1313</v>
      </c>
      <c r="P1212" s="3" t="s">
        <v>102</v>
      </c>
      <c r="Q1212" s="3" t="s">
        <v>103</v>
      </c>
      <c r="R1212" s="3" t="s">
        <v>103</v>
      </c>
    </row>
    <row r="1213" spans="1:18">
      <c r="A1213" s="19">
        <v>46887</v>
      </c>
      <c r="B1213" s="3" t="s">
        <v>25</v>
      </c>
      <c r="C1213" s="3" t="s">
        <v>19</v>
      </c>
      <c r="D1213" s="3" t="s">
        <v>13</v>
      </c>
      <c r="E1213" s="3" t="s">
        <v>20</v>
      </c>
      <c r="F1213" s="3" t="s">
        <v>40</v>
      </c>
      <c r="G1213" s="3" t="s">
        <v>31</v>
      </c>
      <c r="H1213">
        <v>250000</v>
      </c>
      <c r="I1213">
        <v>5</v>
      </c>
      <c r="J1213" s="3" t="s">
        <v>39</v>
      </c>
      <c r="K1213">
        <v>200000</v>
      </c>
      <c r="L1213">
        <v>1250000</v>
      </c>
      <c r="M1213">
        <v>1000000</v>
      </c>
      <c r="N1213">
        <v>250000</v>
      </c>
      <c r="O1213" s="3" t="s">
        <v>1314</v>
      </c>
      <c r="P1213" s="3" t="s">
        <v>102</v>
      </c>
      <c r="Q1213" s="3" t="s">
        <v>103</v>
      </c>
      <c r="R1213" s="3" t="s">
        <v>103</v>
      </c>
    </row>
    <row r="1214" spans="1:18">
      <c r="A1214" s="19">
        <v>46888</v>
      </c>
      <c r="B1214" s="3" t="s">
        <v>25</v>
      </c>
      <c r="C1214" s="3" t="s">
        <v>32</v>
      </c>
      <c r="D1214" s="3" t="s">
        <v>13</v>
      </c>
      <c r="E1214" s="3" t="s">
        <v>14</v>
      </c>
      <c r="F1214" s="3" t="s">
        <v>15</v>
      </c>
      <c r="G1214" s="3" t="s">
        <v>16</v>
      </c>
      <c r="H1214">
        <v>85000</v>
      </c>
      <c r="I1214">
        <v>7</v>
      </c>
      <c r="J1214" s="3" t="s">
        <v>39</v>
      </c>
      <c r="K1214">
        <v>68000</v>
      </c>
      <c r="L1214">
        <v>595000</v>
      </c>
      <c r="M1214">
        <v>476000</v>
      </c>
      <c r="N1214">
        <v>119000</v>
      </c>
      <c r="O1214" s="3" t="s">
        <v>1315</v>
      </c>
      <c r="P1214" s="3" t="s">
        <v>102</v>
      </c>
      <c r="Q1214" s="3" t="s">
        <v>103</v>
      </c>
      <c r="R1214" s="3" t="s">
        <v>103</v>
      </c>
    </row>
    <row r="1215" spans="1:18">
      <c r="A1215" s="19">
        <v>46889</v>
      </c>
      <c r="B1215" s="3" t="s">
        <v>11</v>
      </c>
      <c r="C1215" s="3" t="s">
        <v>19</v>
      </c>
      <c r="D1215" s="3" t="s">
        <v>23</v>
      </c>
      <c r="E1215" s="3" t="s">
        <v>14</v>
      </c>
      <c r="F1215" s="3" t="s">
        <v>36</v>
      </c>
      <c r="G1215" s="3" t="s">
        <v>31</v>
      </c>
      <c r="H1215">
        <v>150000</v>
      </c>
      <c r="I1215">
        <v>4</v>
      </c>
      <c r="J1215" s="3" t="s">
        <v>28</v>
      </c>
      <c r="K1215">
        <v>120000</v>
      </c>
      <c r="L1215">
        <v>600000</v>
      </c>
      <c r="M1215">
        <v>480000</v>
      </c>
      <c r="N1215">
        <v>120000</v>
      </c>
      <c r="O1215" s="3" t="s">
        <v>1316</v>
      </c>
      <c r="P1215" s="3" t="s">
        <v>102</v>
      </c>
      <c r="Q1215" s="3" t="s">
        <v>103</v>
      </c>
      <c r="R1215" s="3" t="s">
        <v>103</v>
      </c>
    </row>
    <row r="1216" spans="1:18">
      <c r="A1216" s="19">
        <v>46890</v>
      </c>
      <c r="B1216" s="3" t="s">
        <v>25</v>
      </c>
      <c r="C1216" s="3" t="s">
        <v>32</v>
      </c>
      <c r="D1216" s="3" t="s">
        <v>13</v>
      </c>
      <c r="E1216" s="3" t="s">
        <v>14</v>
      </c>
      <c r="F1216" s="3" t="s">
        <v>38</v>
      </c>
      <c r="G1216" s="3" t="s">
        <v>31</v>
      </c>
      <c r="H1216">
        <v>420000</v>
      </c>
      <c r="I1216">
        <v>5</v>
      </c>
      <c r="J1216" s="3" t="s">
        <v>24</v>
      </c>
      <c r="K1216">
        <v>336000</v>
      </c>
      <c r="L1216">
        <v>2100000</v>
      </c>
      <c r="M1216">
        <v>1680000</v>
      </c>
      <c r="N1216">
        <v>420000</v>
      </c>
      <c r="O1216" s="3" t="s">
        <v>1317</v>
      </c>
      <c r="P1216" s="3" t="s">
        <v>102</v>
      </c>
      <c r="Q1216" s="3" t="s">
        <v>103</v>
      </c>
      <c r="R1216" s="3" t="s">
        <v>103</v>
      </c>
    </row>
    <row r="1217" spans="1:18">
      <c r="A1217" s="19">
        <v>46891</v>
      </c>
      <c r="B1217" s="3" t="s">
        <v>18</v>
      </c>
      <c r="C1217" s="3" t="s">
        <v>26</v>
      </c>
      <c r="D1217" s="3" t="s">
        <v>13</v>
      </c>
      <c r="E1217" s="3" t="s">
        <v>14</v>
      </c>
      <c r="F1217" s="3" t="s">
        <v>27</v>
      </c>
      <c r="G1217" s="3" t="s">
        <v>22</v>
      </c>
      <c r="H1217">
        <v>60000</v>
      </c>
      <c r="I1217">
        <v>5</v>
      </c>
      <c r="J1217" s="3" t="s">
        <v>17</v>
      </c>
      <c r="K1217">
        <v>48000</v>
      </c>
      <c r="L1217">
        <v>300000</v>
      </c>
      <c r="M1217">
        <v>240000</v>
      </c>
      <c r="N1217">
        <v>60000</v>
      </c>
      <c r="O1217" s="3" t="s">
        <v>1318</v>
      </c>
      <c r="P1217" s="3" t="s">
        <v>102</v>
      </c>
      <c r="Q1217" s="3" t="s">
        <v>103</v>
      </c>
      <c r="R1217" s="3" t="s">
        <v>103</v>
      </c>
    </row>
    <row r="1218" spans="1:18">
      <c r="A1218" s="19">
        <v>46892</v>
      </c>
      <c r="B1218" s="3" t="s">
        <v>25</v>
      </c>
      <c r="C1218" s="3" t="s">
        <v>12</v>
      </c>
      <c r="D1218" s="3" t="s">
        <v>23</v>
      </c>
      <c r="E1218" s="3" t="s">
        <v>14</v>
      </c>
      <c r="F1218" s="3" t="s">
        <v>40</v>
      </c>
      <c r="G1218" s="3" t="s">
        <v>31</v>
      </c>
      <c r="H1218">
        <v>250000</v>
      </c>
      <c r="I1218">
        <v>10</v>
      </c>
      <c r="J1218" s="3" t="s">
        <v>24</v>
      </c>
      <c r="K1218">
        <v>200000</v>
      </c>
      <c r="L1218">
        <v>2500000</v>
      </c>
      <c r="M1218">
        <v>2000000</v>
      </c>
      <c r="N1218">
        <v>500000</v>
      </c>
      <c r="O1218" s="3" t="s">
        <v>1319</v>
      </c>
      <c r="P1218" s="3" t="s">
        <v>102</v>
      </c>
      <c r="Q1218" s="3" t="s">
        <v>103</v>
      </c>
      <c r="R1218" s="3" t="s">
        <v>103</v>
      </c>
    </row>
    <row r="1219" spans="1:18">
      <c r="A1219" s="19">
        <v>46893</v>
      </c>
      <c r="B1219" s="3" t="s">
        <v>11</v>
      </c>
      <c r="C1219" s="3" t="s">
        <v>19</v>
      </c>
      <c r="D1219" s="3" t="s">
        <v>13</v>
      </c>
      <c r="E1219" s="3" t="s">
        <v>14</v>
      </c>
      <c r="F1219" s="3" t="s">
        <v>27</v>
      </c>
      <c r="G1219" s="3" t="s">
        <v>22</v>
      </c>
      <c r="H1219">
        <v>60000</v>
      </c>
      <c r="I1219">
        <v>3</v>
      </c>
      <c r="J1219" s="3" t="s">
        <v>24</v>
      </c>
      <c r="K1219">
        <v>48000</v>
      </c>
      <c r="L1219">
        <v>180000</v>
      </c>
      <c r="M1219">
        <v>144000</v>
      </c>
      <c r="N1219">
        <v>36000</v>
      </c>
      <c r="O1219" s="3" t="s">
        <v>1320</v>
      </c>
      <c r="P1219" s="3" t="s">
        <v>102</v>
      </c>
      <c r="Q1219" s="3" t="s">
        <v>103</v>
      </c>
      <c r="R1219" s="3" t="s">
        <v>103</v>
      </c>
    </row>
    <row r="1220" spans="1:18">
      <c r="A1220" s="19">
        <v>46894</v>
      </c>
      <c r="B1220" s="3" t="s">
        <v>11</v>
      </c>
      <c r="C1220" s="3" t="s">
        <v>32</v>
      </c>
      <c r="D1220" s="3" t="s">
        <v>23</v>
      </c>
      <c r="E1220" s="3" t="s">
        <v>14</v>
      </c>
      <c r="F1220" s="3" t="s">
        <v>41</v>
      </c>
      <c r="G1220" s="3" t="s">
        <v>22</v>
      </c>
      <c r="H1220">
        <v>220000</v>
      </c>
      <c r="I1220">
        <v>5</v>
      </c>
      <c r="J1220" s="3" t="s">
        <v>37</v>
      </c>
      <c r="K1220">
        <v>176000</v>
      </c>
      <c r="L1220">
        <v>1100000</v>
      </c>
      <c r="M1220">
        <v>880000</v>
      </c>
      <c r="N1220">
        <v>220000</v>
      </c>
      <c r="O1220" s="3" t="s">
        <v>1321</v>
      </c>
      <c r="P1220" s="3" t="s">
        <v>102</v>
      </c>
      <c r="Q1220" s="3" t="s">
        <v>103</v>
      </c>
      <c r="R1220" s="3" t="s">
        <v>103</v>
      </c>
    </row>
    <row r="1221" spans="1:18">
      <c r="A1221" s="19">
        <v>46895</v>
      </c>
      <c r="B1221" s="3" t="s">
        <v>25</v>
      </c>
      <c r="C1221" s="3" t="s">
        <v>12</v>
      </c>
      <c r="D1221" s="3" t="s">
        <v>23</v>
      </c>
      <c r="E1221" s="3" t="s">
        <v>20</v>
      </c>
      <c r="F1221" s="3" t="s">
        <v>38</v>
      </c>
      <c r="G1221" s="3" t="s">
        <v>31</v>
      </c>
      <c r="H1221">
        <v>420000</v>
      </c>
      <c r="I1221">
        <v>3</v>
      </c>
      <c r="J1221" s="3" t="s">
        <v>28</v>
      </c>
      <c r="K1221">
        <v>336000</v>
      </c>
      <c r="L1221">
        <v>1260000</v>
      </c>
      <c r="M1221">
        <v>1008000</v>
      </c>
      <c r="N1221">
        <v>252000</v>
      </c>
      <c r="O1221" s="3" t="s">
        <v>1322</v>
      </c>
      <c r="P1221" s="3" t="s">
        <v>102</v>
      </c>
      <c r="Q1221" s="3" t="s">
        <v>103</v>
      </c>
      <c r="R1221" s="3" t="s">
        <v>103</v>
      </c>
    </row>
    <row r="1222" spans="1:18">
      <c r="A1222" s="19">
        <v>46896</v>
      </c>
      <c r="B1222" s="3" t="s">
        <v>11</v>
      </c>
      <c r="C1222" s="3" t="s">
        <v>19</v>
      </c>
      <c r="D1222" s="3" t="s">
        <v>23</v>
      </c>
      <c r="E1222" s="3" t="s">
        <v>20</v>
      </c>
      <c r="F1222" s="3" t="s">
        <v>27</v>
      </c>
      <c r="G1222" s="3" t="s">
        <v>22</v>
      </c>
      <c r="H1222">
        <v>60000</v>
      </c>
      <c r="I1222">
        <v>7</v>
      </c>
      <c r="J1222" s="3" t="s">
        <v>35</v>
      </c>
      <c r="K1222">
        <v>48000</v>
      </c>
      <c r="L1222">
        <v>420000</v>
      </c>
      <c r="M1222">
        <v>336000</v>
      </c>
      <c r="N1222">
        <v>84000</v>
      </c>
      <c r="O1222" s="3" t="s">
        <v>1323</v>
      </c>
      <c r="P1222" s="3" t="s">
        <v>102</v>
      </c>
      <c r="Q1222" s="3" t="s">
        <v>103</v>
      </c>
      <c r="R1222" s="3" t="s">
        <v>103</v>
      </c>
    </row>
    <row r="1223" spans="1:18">
      <c r="A1223" s="19">
        <v>46897</v>
      </c>
      <c r="B1223" s="3" t="s">
        <v>11</v>
      </c>
      <c r="C1223" s="3" t="s">
        <v>12</v>
      </c>
      <c r="D1223" s="3" t="s">
        <v>13</v>
      </c>
      <c r="E1223" s="3" t="s">
        <v>14</v>
      </c>
      <c r="F1223" s="3" t="s">
        <v>41</v>
      </c>
      <c r="G1223" s="3" t="s">
        <v>22</v>
      </c>
      <c r="H1223">
        <v>220000</v>
      </c>
      <c r="I1223">
        <v>8</v>
      </c>
      <c r="J1223" s="3" t="s">
        <v>28</v>
      </c>
      <c r="K1223">
        <v>176000</v>
      </c>
      <c r="L1223">
        <v>1760000</v>
      </c>
      <c r="M1223">
        <v>1408000</v>
      </c>
      <c r="N1223">
        <v>352000</v>
      </c>
      <c r="O1223" s="3" t="s">
        <v>1324</v>
      </c>
      <c r="P1223" s="3" t="s">
        <v>102</v>
      </c>
      <c r="Q1223" s="3" t="s">
        <v>103</v>
      </c>
      <c r="R1223" s="3" t="s">
        <v>103</v>
      </c>
    </row>
    <row r="1224" spans="1:18">
      <c r="A1224" s="19">
        <v>46898</v>
      </c>
      <c r="B1224" s="3" t="s">
        <v>11</v>
      </c>
      <c r="C1224" s="3" t="s">
        <v>32</v>
      </c>
      <c r="D1224" s="3" t="s">
        <v>23</v>
      </c>
      <c r="E1224" s="3" t="s">
        <v>20</v>
      </c>
      <c r="F1224" s="3" t="s">
        <v>40</v>
      </c>
      <c r="G1224" s="3" t="s">
        <v>31</v>
      </c>
      <c r="H1224">
        <v>250000</v>
      </c>
      <c r="I1224">
        <v>6</v>
      </c>
      <c r="J1224" s="3" t="s">
        <v>37</v>
      </c>
      <c r="K1224">
        <v>200000</v>
      </c>
      <c r="L1224">
        <v>1500000</v>
      </c>
      <c r="M1224">
        <v>1200000</v>
      </c>
      <c r="N1224">
        <v>300000</v>
      </c>
      <c r="O1224" s="3" t="s">
        <v>1325</v>
      </c>
      <c r="P1224" s="3" t="s">
        <v>102</v>
      </c>
      <c r="Q1224" s="3" t="s">
        <v>103</v>
      </c>
      <c r="R1224" s="3" t="s">
        <v>103</v>
      </c>
    </row>
    <row r="1225" spans="1:18">
      <c r="A1225" s="19">
        <v>46899</v>
      </c>
      <c r="B1225" s="3" t="s">
        <v>11</v>
      </c>
      <c r="C1225" s="3" t="s">
        <v>19</v>
      </c>
      <c r="D1225" s="3" t="s">
        <v>23</v>
      </c>
      <c r="E1225" s="3" t="s">
        <v>14</v>
      </c>
      <c r="F1225" s="3" t="s">
        <v>36</v>
      </c>
      <c r="G1225" s="3" t="s">
        <v>31</v>
      </c>
      <c r="H1225">
        <v>150000</v>
      </c>
      <c r="I1225">
        <v>5</v>
      </c>
      <c r="J1225" s="3" t="s">
        <v>28</v>
      </c>
      <c r="K1225">
        <v>120000</v>
      </c>
      <c r="L1225">
        <v>750000</v>
      </c>
      <c r="M1225">
        <v>600000</v>
      </c>
      <c r="N1225">
        <v>150000</v>
      </c>
      <c r="O1225" s="3" t="s">
        <v>1326</v>
      </c>
      <c r="P1225" s="3" t="s">
        <v>102</v>
      </c>
      <c r="Q1225" s="3" t="s">
        <v>103</v>
      </c>
      <c r="R1225" s="3" t="s">
        <v>103</v>
      </c>
    </row>
    <row r="1226" spans="1:18">
      <c r="A1226" s="19">
        <v>46900</v>
      </c>
      <c r="B1226" s="3" t="s">
        <v>29</v>
      </c>
      <c r="C1226" s="3" t="s">
        <v>19</v>
      </c>
      <c r="D1226" s="3" t="s">
        <v>23</v>
      </c>
      <c r="E1226" s="3" t="s">
        <v>14</v>
      </c>
      <c r="F1226" s="3" t="s">
        <v>15</v>
      </c>
      <c r="G1226" s="3" t="s">
        <v>16</v>
      </c>
      <c r="H1226">
        <v>85000</v>
      </c>
      <c r="I1226">
        <v>2</v>
      </c>
      <c r="J1226" s="3" t="s">
        <v>35</v>
      </c>
      <c r="K1226">
        <v>68000</v>
      </c>
      <c r="L1226">
        <v>170000</v>
      </c>
      <c r="M1226">
        <v>136000</v>
      </c>
      <c r="N1226">
        <v>34000</v>
      </c>
      <c r="O1226" s="3" t="s">
        <v>1327</v>
      </c>
      <c r="P1226" s="3" t="s">
        <v>102</v>
      </c>
      <c r="Q1226" s="3" t="s">
        <v>103</v>
      </c>
      <c r="R1226" s="3" t="s">
        <v>103</v>
      </c>
    </row>
    <row r="1227" spans="1:18">
      <c r="A1227" s="19">
        <v>46901</v>
      </c>
      <c r="B1227" s="3" t="s">
        <v>25</v>
      </c>
      <c r="C1227" s="3" t="s">
        <v>12</v>
      </c>
      <c r="D1227" s="3" t="s">
        <v>23</v>
      </c>
      <c r="E1227" s="3" t="s">
        <v>20</v>
      </c>
      <c r="F1227" s="3" t="s">
        <v>15</v>
      </c>
      <c r="G1227" s="3" t="s">
        <v>16</v>
      </c>
      <c r="H1227">
        <v>85000</v>
      </c>
      <c r="I1227">
        <v>6</v>
      </c>
      <c r="J1227" s="3" t="s">
        <v>24</v>
      </c>
      <c r="K1227">
        <v>68000</v>
      </c>
      <c r="L1227">
        <v>510000</v>
      </c>
      <c r="M1227">
        <v>408000</v>
      </c>
      <c r="N1227">
        <v>102000</v>
      </c>
      <c r="O1227" s="3" t="s">
        <v>1328</v>
      </c>
      <c r="P1227" s="3" t="s">
        <v>102</v>
      </c>
      <c r="Q1227" s="3" t="s">
        <v>103</v>
      </c>
      <c r="R1227" s="3" t="s">
        <v>103</v>
      </c>
    </row>
    <row r="1228" spans="1:18">
      <c r="A1228" s="19">
        <v>46902</v>
      </c>
      <c r="B1228" s="3" t="s">
        <v>11</v>
      </c>
      <c r="C1228" s="3" t="s">
        <v>32</v>
      </c>
      <c r="D1228" s="3" t="s">
        <v>23</v>
      </c>
      <c r="E1228" s="3" t="s">
        <v>14</v>
      </c>
      <c r="F1228" s="3" t="s">
        <v>36</v>
      </c>
      <c r="G1228" s="3" t="s">
        <v>31</v>
      </c>
      <c r="H1228">
        <v>150000</v>
      </c>
      <c r="I1228">
        <v>5</v>
      </c>
      <c r="J1228" s="3" t="s">
        <v>35</v>
      </c>
      <c r="K1228">
        <v>120000</v>
      </c>
      <c r="L1228">
        <v>750000</v>
      </c>
      <c r="M1228">
        <v>600000</v>
      </c>
      <c r="N1228">
        <v>150000</v>
      </c>
      <c r="O1228" s="3" t="s">
        <v>1329</v>
      </c>
      <c r="P1228" s="3" t="s">
        <v>102</v>
      </c>
      <c r="Q1228" s="3" t="s">
        <v>103</v>
      </c>
      <c r="R1228" s="3" t="s">
        <v>103</v>
      </c>
    </row>
    <row r="1229" spans="1:18">
      <c r="A1229" s="19">
        <v>46903</v>
      </c>
      <c r="B1229" s="3" t="s">
        <v>11</v>
      </c>
      <c r="C1229" s="3" t="s">
        <v>26</v>
      </c>
      <c r="D1229" s="3" t="s">
        <v>23</v>
      </c>
      <c r="E1229" s="3" t="s">
        <v>20</v>
      </c>
      <c r="F1229" s="3" t="s">
        <v>38</v>
      </c>
      <c r="G1229" s="3" t="s">
        <v>31</v>
      </c>
      <c r="H1229">
        <v>420000</v>
      </c>
      <c r="I1229">
        <v>4</v>
      </c>
      <c r="J1229" s="3" t="s">
        <v>37</v>
      </c>
      <c r="K1229">
        <v>336000</v>
      </c>
      <c r="L1229">
        <v>1680000</v>
      </c>
      <c r="M1229">
        <v>1344000</v>
      </c>
      <c r="N1229">
        <v>336000</v>
      </c>
      <c r="O1229" s="3" t="s">
        <v>1330</v>
      </c>
      <c r="P1229" s="3" t="s">
        <v>102</v>
      </c>
      <c r="Q1229" s="3" t="s">
        <v>103</v>
      </c>
      <c r="R1229" s="3" t="s">
        <v>103</v>
      </c>
    </row>
    <row r="1230" spans="1:18">
      <c r="A1230" s="19">
        <v>46904</v>
      </c>
      <c r="B1230" s="3" t="s">
        <v>18</v>
      </c>
      <c r="C1230" s="3" t="s">
        <v>26</v>
      </c>
      <c r="D1230" s="3" t="s">
        <v>23</v>
      </c>
      <c r="E1230" s="3" t="s">
        <v>20</v>
      </c>
      <c r="F1230" s="3" t="s">
        <v>30</v>
      </c>
      <c r="G1230" s="3" t="s">
        <v>31</v>
      </c>
      <c r="H1230">
        <v>300000</v>
      </c>
      <c r="I1230">
        <v>6</v>
      </c>
      <c r="J1230" s="3" t="s">
        <v>39</v>
      </c>
      <c r="K1230">
        <v>240000</v>
      </c>
      <c r="L1230">
        <v>1800000</v>
      </c>
      <c r="M1230">
        <v>1440000</v>
      </c>
      <c r="N1230">
        <v>360000</v>
      </c>
      <c r="O1230" s="3" t="s">
        <v>1331</v>
      </c>
      <c r="P1230" s="3" t="s">
        <v>102</v>
      </c>
      <c r="Q1230" s="3" t="s">
        <v>103</v>
      </c>
      <c r="R1230" s="3" t="s">
        <v>103</v>
      </c>
    </row>
    <row r="1231" spans="1:18">
      <c r="A1231" s="19">
        <v>46905</v>
      </c>
      <c r="B1231" s="3" t="s">
        <v>29</v>
      </c>
      <c r="C1231" s="3" t="s">
        <v>12</v>
      </c>
      <c r="D1231" s="3" t="s">
        <v>23</v>
      </c>
      <c r="E1231" s="3" t="s">
        <v>14</v>
      </c>
      <c r="F1231" s="3" t="s">
        <v>27</v>
      </c>
      <c r="G1231" s="3" t="s">
        <v>22</v>
      </c>
      <c r="H1231">
        <v>60000</v>
      </c>
      <c r="I1231">
        <v>2</v>
      </c>
      <c r="J1231" s="3" t="s">
        <v>37</v>
      </c>
      <c r="K1231">
        <v>48000</v>
      </c>
      <c r="L1231">
        <v>120000</v>
      </c>
      <c r="M1231">
        <v>96000</v>
      </c>
      <c r="N1231">
        <v>24000</v>
      </c>
      <c r="O1231" s="3" t="s">
        <v>1332</v>
      </c>
      <c r="P1231" s="3" t="s">
        <v>102</v>
      </c>
      <c r="Q1231" s="3" t="s">
        <v>103</v>
      </c>
      <c r="R1231" s="3" t="s">
        <v>103</v>
      </c>
    </row>
    <row r="1232" spans="1:18">
      <c r="A1232" s="19">
        <v>46906</v>
      </c>
      <c r="B1232" s="3" t="s">
        <v>29</v>
      </c>
      <c r="C1232" s="3" t="s">
        <v>32</v>
      </c>
      <c r="D1232" s="3" t="s">
        <v>23</v>
      </c>
      <c r="E1232" s="3" t="s">
        <v>14</v>
      </c>
      <c r="F1232" s="3" t="s">
        <v>15</v>
      </c>
      <c r="G1232" s="3" t="s">
        <v>16</v>
      </c>
      <c r="H1232">
        <v>85000</v>
      </c>
      <c r="I1232">
        <v>5</v>
      </c>
      <c r="J1232" s="3" t="s">
        <v>35</v>
      </c>
      <c r="K1232">
        <v>68000</v>
      </c>
      <c r="L1232">
        <v>425000</v>
      </c>
      <c r="M1232">
        <v>340000</v>
      </c>
      <c r="N1232">
        <v>85000</v>
      </c>
      <c r="O1232" s="3" t="s">
        <v>1333</v>
      </c>
      <c r="P1232" s="3" t="s">
        <v>102</v>
      </c>
      <c r="Q1232" s="3" t="s">
        <v>103</v>
      </c>
      <c r="R1232" s="3" t="s">
        <v>103</v>
      </c>
    </row>
    <row r="1233" spans="1:18">
      <c r="A1233" s="19">
        <v>46907</v>
      </c>
      <c r="B1233" s="3" t="s">
        <v>11</v>
      </c>
      <c r="C1233" s="3" t="s">
        <v>32</v>
      </c>
      <c r="D1233" s="3" t="s">
        <v>13</v>
      </c>
      <c r="E1233" s="3" t="s">
        <v>20</v>
      </c>
      <c r="F1233" s="3" t="s">
        <v>27</v>
      </c>
      <c r="G1233" s="3" t="s">
        <v>22</v>
      </c>
      <c r="H1233">
        <v>60000</v>
      </c>
      <c r="I1233">
        <v>3</v>
      </c>
      <c r="J1233" s="3" t="s">
        <v>24</v>
      </c>
      <c r="K1233">
        <v>48000</v>
      </c>
      <c r="L1233">
        <v>180000</v>
      </c>
      <c r="M1233">
        <v>144000</v>
      </c>
      <c r="N1233">
        <v>36000</v>
      </c>
      <c r="O1233" s="3" t="s">
        <v>1334</v>
      </c>
      <c r="P1233" s="3" t="s">
        <v>102</v>
      </c>
      <c r="Q1233" s="3" t="s">
        <v>103</v>
      </c>
      <c r="R1233" s="3" t="s">
        <v>103</v>
      </c>
    </row>
    <row r="1234" spans="1:18">
      <c r="A1234" s="19">
        <v>46908</v>
      </c>
      <c r="B1234" s="3" t="s">
        <v>29</v>
      </c>
      <c r="C1234" s="3" t="s">
        <v>32</v>
      </c>
      <c r="D1234" s="3" t="s">
        <v>23</v>
      </c>
      <c r="E1234" s="3" t="s">
        <v>14</v>
      </c>
      <c r="F1234" s="3" t="s">
        <v>15</v>
      </c>
      <c r="G1234" s="3" t="s">
        <v>16</v>
      </c>
      <c r="H1234">
        <v>85000</v>
      </c>
      <c r="I1234">
        <v>7</v>
      </c>
      <c r="J1234" s="3" t="s">
        <v>35</v>
      </c>
      <c r="K1234">
        <v>68000</v>
      </c>
      <c r="L1234">
        <v>595000</v>
      </c>
      <c r="M1234">
        <v>476000</v>
      </c>
      <c r="N1234">
        <v>119000</v>
      </c>
      <c r="O1234" s="3" t="s">
        <v>1335</v>
      </c>
      <c r="P1234" s="3" t="s">
        <v>102</v>
      </c>
      <c r="Q1234" s="3" t="s">
        <v>103</v>
      </c>
      <c r="R1234" s="3" t="s">
        <v>103</v>
      </c>
    </row>
    <row r="1235" spans="1:18">
      <c r="A1235" s="19">
        <v>46909</v>
      </c>
      <c r="B1235" s="3" t="s">
        <v>29</v>
      </c>
      <c r="C1235" s="3" t="s">
        <v>19</v>
      </c>
      <c r="D1235" s="3" t="s">
        <v>23</v>
      </c>
      <c r="E1235" s="3" t="s">
        <v>14</v>
      </c>
      <c r="F1235" s="3" t="s">
        <v>33</v>
      </c>
      <c r="G1235" s="3" t="s">
        <v>22</v>
      </c>
      <c r="H1235">
        <v>180000</v>
      </c>
      <c r="I1235">
        <v>5</v>
      </c>
      <c r="J1235" s="3" t="s">
        <v>39</v>
      </c>
      <c r="K1235">
        <v>144000</v>
      </c>
      <c r="L1235">
        <v>900000</v>
      </c>
      <c r="M1235">
        <v>720000</v>
      </c>
      <c r="N1235">
        <v>180000</v>
      </c>
      <c r="O1235" s="3" t="s">
        <v>1336</v>
      </c>
      <c r="P1235" s="3" t="s">
        <v>102</v>
      </c>
      <c r="Q1235" s="3" t="s">
        <v>103</v>
      </c>
      <c r="R1235" s="3" t="s">
        <v>103</v>
      </c>
    </row>
    <row r="1236" spans="1:18">
      <c r="A1236" s="19">
        <v>46910</v>
      </c>
      <c r="B1236" s="3" t="s">
        <v>18</v>
      </c>
      <c r="C1236" s="3" t="s">
        <v>19</v>
      </c>
      <c r="D1236" s="3" t="s">
        <v>13</v>
      </c>
      <c r="E1236" s="3" t="s">
        <v>14</v>
      </c>
      <c r="F1236" s="3" t="s">
        <v>38</v>
      </c>
      <c r="G1236" s="3" t="s">
        <v>31</v>
      </c>
      <c r="H1236">
        <v>420000</v>
      </c>
      <c r="I1236">
        <v>5</v>
      </c>
      <c r="J1236" s="3" t="s">
        <v>28</v>
      </c>
      <c r="K1236">
        <v>336000</v>
      </c>
      <c r="L1236">
        <v>2100000</v>
      </c>
      <c r="M1236">
        <v>1680000</v>
      </c>
      <c r="N1236">
        <v>420000</v>
      </c>
      <c r="O1236" s="3" t="s">
        <v>1337</v>
      </c>
      <c r="P1236" s="3" t="s">
        <v>102</v>
      </c>
      <c r="Q1236" s="3" t="s">
        <v>103</v>
      </c>
      <c r="R1236" s="3" t="s">
        <v>103</v>
      </c>
    </row>
    <row r="1237" spans="1:18">
      <c r="A1237" s="19">
        <v>46911</v>
      </c>
      <c r="B1237" s="3" t="s">
        <v>18</v>
      </c>
      <c r="C1237" s="3" t="s">
        <v>32</v>
      </c>
      <c r="D1237" s="3" t="s">
        <v>23</v>
      </c>
      <c r="E1237" s="3" t="s">
        <v>20</v>
      </c>
      <c r="F1237" s="3" t="s">
        <v>15</v>
      </c>
      <c r="G1237" s="3" t="s">
        <v>16</v>
      </c>
      <c r="H1237">
        <v>85000</v>
      </c>
      <c r="I1237">
        <v>6</v>
      </c>
      <c r="J1237" s="3" t="s">
        <v>28</v>
      </c>
      <c r="K1237">
        <v>68000</v>
      </c>
      <c r="L1237">
        <v>510000</v>
      </c>
      <c r="M1237">
        <v>408000</v>
      </c>
      <c r="N1237">
        <v>102000</v>
      </c>
      <c r="O1237" s="3" t="s">
        <v>1338</v>
      </c>
      <c r="P1237" s="3" t="s">
        <v>102</v>
      </c>
      <c r="Q1237" s="3" t="s">
        <v>103</v>
      </c>
      <c r="R1237" s="3" t="s">
        <v>103</v>
      </c>
    </row>
    <row r="1238" spans="1:18">
      <c r="A1238" s="19">
        <v>46912</v>
      </c>
      <c r="B1238" s="3" t="s">
        <v>29</v>
      </c>
      <c r="C1238" s="3" t="s">
        <v>12</v>
      </c>
      <c r="D1238" s="3" t="s">
        <v>13</v>
      </c>
      <c r="E1238" s="3" t="s">
        <v>20</v>
      </c>
      <c r="F1238" s="3" t="s">
        <v>38</v>
      </c>
      <c r="G1238" s="3" t="s">
        <v>31</v>
      </c>
      <c r="H1238">
        <v>420000</v>
      </c>
      <c r="I1238">
        <v>7</v>
      </c>
      <c r="J1238" s="3" t="s">
        <v>17</v>
      </c>
      <c r="K1238">
        <v>336000</v>
      </c>
      <c r="L1238">
        <v>2940000</v>
      </c>
      <c r="M1238">
        <v>2352000</v>
      </c>
      <c r="N1238">
        <v>588000</v>
      </c>
      <c r="O1238" s="3" t="s">
        <v>1339</v>
      </c>
      <c r="P1238" s="3" t="s">
        <v>102</v>
      </c>
      <c r="Q1238" s="3" t="s">
        <v>103</v>
      </c>
      <c r="R1238" s="3" t="s">
        <v>103</v>
      </c>
    </row>
    <row r="1239" spans="1:18">
      <c r="A1239" s="19">
        <v>46913</v>
      </c>
      <c r="B1239" s="3" t="s">
        <v>25</v>
      </c>
      <c r="C1239" s="3" t="s">
        <v>32</v>
      </c>
      <c r="D1239" s="3" t="s">
        <v>23</v>
      </c>
      <c r="E1239" s="3" t="s">
        <v>14</v>
      </c>
      <c r="F1239" s="3" t="s">
        <v>38</v>
      </c>
      <c r="G1239" s="3" t="s">
        <v>31</v>
      </c>
      <c r="H1239">
        <v>420000</v>
      </c>
      <c r="I1239">
        <v>9</v>
      </c>
      <c r="J1239" s="3" t="s">
        <v>39</v>
      </c>
      <c r="K1239">
        <v>336000</v>
      </c>
      <c r="L1239">
        <v>3780000</v>
      </c>
      <c r="M1239">
        <v>3024000</v>
      </c>
      <c r="N1239">
        <v>756000</v>
      </c>
      <c r="O1239" s="3" t="s">
        <v>1340</v>
      </c>
      <c r="P1239" s="3" t="s">
        <v>102</v>
      </c>
      <c r="Q1239" s="3" t="s">
        <v>103</v>
      </c>
      <c r="R1239" s="3" t="s">
        <v>103</v>
      </c>
    </row>
    <row r="1240" spans="1:18">
      <c r="A1240" s="19">
        <v>46914</v>
      </c>
      <c r="B1240" s="3" t="s">
        <v>11</v>
      </c>
      <c r="C1240" s="3" t="s">
        <v>19</v>
      </c>
      <c r="D1240" s="3" t="s">
        <v>23</v>
      </c>
      <c r="E1240" s="3" t="s">
        <v>14</v>
      </c>
      <c r="F1240" s="3" t="s">
        <v>30</v>
      </c>
      <c r="G1240" s="3" t="s">
        <v>31</v>
      </c>
      <c r="H1240">
        <v>300000</v>
      </c>
      <c r="I1240">
        <v>3</v>
      </c>
      <c r="J1240" s="3" t="s">
        <v>37</v>
      </c>
      <c r="K1240">
        <v>240000</v>
      </c>
      <c r="L1240">
        <v>900000</v>
      </c>
      <c r="M1240">
        <v>720000</v>
      </c>
      <c r="N1240">
        <v>180000</v>
      </c>
      <c r="O1240" s="3" t="s">
        <v>1341</v>
      </c>
      <c r="P1240" s="3" t="s">
        <v>102</v>
      </c>
      <c r="Q1240" s="3" t="s">
        <v>103</v>
      </c>
      <c r="R1240" s="3" t="s">
        <v>103</v>
      </c>
    </row>
    <row r="1241" spans="1:18">
      <c r="A1241" s="19">
        <v>46915</v>
      </c>
      <c r="B1241" s="3" t="s">
        <v>18</v>
      </c>
      <c r="C1241" s="3" t="s">
        <v>26</v>
      </c>
      <c r="D1241" s="3" t="s">
        <v>13</v>
      </c>
      <c r="E1241" s="3" t="s">
        <v>14</v>
      </c>
      <c r="F1241" s="3" t="s">
        <v>15</v>
      </c>
      <c r="G1241" s="3" t="s">
        <v>16</v>
      </c>
      <c r="H1241">
        <v>85000</v>
      </c>
      <c r="I1241">
        <v>9</v>
      </c>
      <c r="J1241" s="3" t="s">
        <v>37</v>
      </c>
      <c r="K1241">
        <v>68000</v>
      </c>
      <c r="L1241">
        <v>765000</v>
      </c>
      <c r="M1241">
        <v>612000</v>
      </c>
      <c r="N1241">
        <v>153000</v>
      </c>
      <c r="O1241" s="3" t="s">
        <v>1342</v>
      </c>
      <c r="P1241" s="3" t="s">
        <v>102</v>
      </c>
      <c r="Q1241" s="3" t="s">
        <v>103</v>
      </c>
      <c r="R1241" s="3" t="s">
        <v>103</v>
      </c>
    </row>
    <row r="1242" spans="1:18">
      <c r="A1242" s="19">
        <v>46916</v>
      </c>
      <c r="B1242" s="3" t="s">
        <v>25</v>
      </c>
      <c r="C1242" s="3" t="s">
        <v>12</v>
      </c>
      <c r="D1242" s="3" t="s">
        <v>23</v>
      </c>
      <c r="E1242" s="3" t="s">
        <v>20</v>
      </c>
      <c r="F1242" s="3" t="s">
        <v>41</v>
      </c>
      <c r="G1242" s="3" t="s">
        <v>22</v>
      </c>
      <c r="H1242">
        <v>220000</v>
      </c>
      <c r="I1242">
        <v>7</v>
      </c>
      <c r="J1242" s="3" t="s">
        <v>35</v>
      </c>
      <c r="K1242">
        <v>176000</v>
      </c>
      <c r="L1242">
        <v>1540000</v>
      </c>
      <c r="M1242">
        <v>1232000</v>
      </c>
      <c r="N1242">
        <v>308000</v>
      </c>
      <c r="O1242" s="3" t="s">
        <v>1343</v>
      </c>
      <c r="P1242" s="3" t="s">
        <v>102</v>
      </c>
      <c r="Q1242" s="3" t="s">
        <v>103</v>
      </c>
      <c r="R1242" s="3" t="s">
        <v>103</v>
      </c>
    </row>
    <row r="1243" spans="1:18">
      <c r="A1243" s="19">
        <v>46917</v>
      </c>
      <c r="B1243" s="3" t="s">
        <v>11</v>
      </c>
      <c r="C1243" s="3" t="s">
        <v>19</v>
      </c>
      <c r="D1243" s="3" t="s">
        <v>23</v>
      </c>
      <c r="E1243" s="3" t="s">
        <v>20</v>
      </c>
      <c r="F1243" s="3" t="s">
        <v>30</v>
      </c>
      <c r="G1243" s="3" t="s">
        <v>31</v>
      </c>
      <c r="H1243">
        <v>300000</v>
      </c>
      <c r="I1243">
        <v>10</v>
      </c>
      <c r="J1243" s="3" t="s">
        <v>17</v>
      </c>
      <c r="K1243">
        <v>240000</v>
      </c>
      <c r="L1243">
        <v>3000000</v>
      </c>
      <c r="M1243">
        <v>2400000</v>
      </c>
      <c r="N1243">
        <v>600000</v>
      </c>
      <c r="O1243" s="3" t="s">
        <v>1344</v>
      </c>
      <c r="P1243" s="3" t="s">
        <v>102</v>
      </c>
      <c r="Q1243" s="3" t="s">
        <v>103</v>
      </c>
      <c r="R1243" s="3" t="s">
        <v>103</v>
      </c>
    </row>
    <row r="1244" spans="1:18">
      <c r="A1244" s="19">
        <v>46918</v>
      </c>
      <c r="B1244" s="3" t="s">
        <v>11</v>
      </c>
      <c r="C1244" s="3" t="s">
        <v>12</v>
      </c>
      <c r="D1244" s="3" t="s">
        <v>13</v>
      </c>
      <c r="E1244" s="3" t="s">
        <v>20</v>
      </c>
      <c r="F1244" s="3" t="s">
        <v>15</v>
      </c>
      <c r="G1244" s="3" t="s">
        <v>16</v>
      </c>
      <c r="H1244">
        <v>85000</v>
      </c>
      <c r="I1244">
        <v>8</v>
      </c>
      <c r="J1244" s="3" t="s">
        <v>37</v>
      </c>
      <c r="K1244">
        <v>68000</v>
      </c>
      <c r="L1244">
        <v>680000</v>
      </c>
      <c r="M1244">
        <v>544000</v>
      </c>
      <c r="N1244">
        <v>136000</v>
      </c>
      <c r="O1244" s="3" t="s">
        <v>1345</v>
      </c>
      <c r="P1244" s="3" t="s">
        <v>102</v>
      </c>
      <c r="Q1244" s="3" t="s">
        <v>103</v>
      </c>
      <c r="R1244" s="3" t="s">
        <v>103</v>
      </c>
    </row>
    <row r="1245" spans="1:18">
      <c r="A1245" s="19">
        <v>46919</v>
      </c>
      <c r="B1245" s="3" t="s">
        <v>18</v>
      </c>
      <c r="C1245" s="3" t="s">
        <v>19</v>
      </c>
      <c r="D1245" s="3" t="s">
        <v>23</v>
      </c>
      <c r="E1245" s="3" t="s">
        <v>14</v>
      </c>
      <c r="F1245" s="3" t="s">
        <v>21</v>
      </c>
      <c r="G1245" s="3" t="s">
        <v>22</v>
      </c>
      <c r="H1245">
        <v>30000</v>
      </c>
      <c r="I1245">
        <v>3</v>
      </c>
      <c r="J1245" s="3" t="s">
        <v>37</v>
      </c>
      <c r="K1245">
        <v>24000</v>
      </c>
      <c r="L1245">
        <v>90000</v>
      </c>
      <c r="M1245">
        <v>72000</v>
      </c>
      <c r="N1245">
        <v>18000</v>
      </c>
      <c r="O1245" s="3" t="s">
        <v>1346</v>
      </c>
      <c r="P1245" s="3" t="s">
        <v>102</v>
      </c>
      <c r="Q1245" s="3" t="s">
        <v>103</v>
      </c>
      <c r="R1245" s="3" t="s">
        <v>103</v>
      </c>
    </row>
    <row r="1246" spans="1:18">
      <c r="A1246" s="19">
        <v>46920</v>
      </c>
      <c r="B1246" s="3" t="s">
        <v>25</v>
      </c>
      <c r="C1246" s="3" t="s">
        <v>26</v>
      </c>
      <c r="D1246" s="3" t="s">
        <v>23</v>
      </c>
      <c r="E1246" s="3" t="s">
        <v>20</v>
      </c>
      <c r="F1246" s="3" t="s">
        <v>15</v>
      </c>
      <c r="G1246" s="3" t="s">
        <v>16</v>
      </c>
      <c r="H1246">
        <v>85000</v>
      </c>
      <c r="I1246">
        <v>8</v>
      </c>
      <c r="J1246" s="3" t="s">
        <v>35</v>
      </c>
      <c r="K1246">
        <v>68000</v>
      </c>
      <c r="L1246">
        <v>680000</v>
      </c>
      <c r="M1246">
        <v>544000</v>
      </c>
      <c r="N1246">
        <v>136000</v>
      </c>
      <c r="O1246" s="3" t="s">
        <v>1347</v>
      </c>
      <c r="P1246" s="3" t="s">
        <v>102</v>
      </c>
      <c r="Q1246" s="3" t="s">
        <v>103</v>
      </c>
      <c r="R1246" s="3" t="s">
        <v>103</v>
      </c>
    </row>
    <row r="1247" spans="1:18">
      <c r="A1247" s="19">
        <v>46921</v>
      </c>
      <c r="B1247" s="3" t="s">
        <v>11</v>
      </c>
      <c r="C1247" s="3" t="s">
        <v>26</v>
      </c>
      <c r="D1247" s="3" t="s">
        <v>13</v>
      </c>
      <c r="E1247" s="3" t="s">
        <v>20</v>
      </c>
      <c r="F1247" s="3" t="s">
        <v>33</v>
      </c>
      <c r="G1247" s="3" t="s">
        <v>22</v>
      </c>
      <c r="H1247">
        <v>180000</v>
      </c>
      <c r="I1247">
        <v>3</v>
      </c>
      <c r="J1247" s="3" t="s">
        <v>35</v>
      </c>
      <c r="K1247">
        <v>144000</v>
      </c>
      <c r="L1247">
        <v>540000</v>
      </c>
      <c r="M1247">
        <v>432000</v>
      </c>
      <c r="N1247">
        <v>108000</v>
      </c>
      <c r="O1247" s="3" t="s">
        <v>1348</v>
      </c>
      <c r="P1247" s="3" t="s">
        <v>102</v>
      </c>
      <c r="Q1247" s="3" t="s">
        <v>103</v>
      </c>
      <c r="R1247" s="3" t="s">
        <v>103</v>
      </c>
    </row>
    <row r="1248" spans="1:18">
      <c r="A1248" s="19">
        <v>46922</v>
      </c>
      <c r="B1248" s="3" t="s">
        <v>29</v>
      </c>
      <c r="C1248" s="3" t="s">
        <v>12</v>
      </c>
      <c r="D1248" s="3" t="s">
        <v>13</v>
      </c>
      <c r="E1248" s="3" t="s">
        <v>14</v>
      </c>
      <c r="F1248" s="3" t="s">
        <v>41</v>
      </c>
      <c r="G1248" s="3" t="s">
        <v>22</v>
      </c>
      <c r="H1248">
        <v>220000</v>
      </c>
      <c r="I1248">
        <v>7</v>
      </c>
      <c r="J1248" s="3" t="s">
        <v>37</v>
      </c>
      <c r="K1248">
        <v>176000</v>
      </c>
      <c r="L1248">
        <v>1540000</v>
      </c>
      <c r="M1248">
        <v>1232000</v>
      </c>
      <c r="N1248">
        <v>308000</v>
      </c>
      <c r="O1248" s="3" t="s">
        <v>1349</v>
      </c>
      <c r="P1248" s="3" t="s">
        <v>102</v>
      </c>
      <c r="Q1248" s="3" t="s">
        <v>103</v>
      </c>
      <c r="R1248" s="3" t="s">
        <v>103</v>
      </c>
    </row>
    <row r="1249" spans="1:18">
      <c r="A1249" s="19">
        <v>46923</v>
      </c>
      <c r="B1249" s="3" t="s">
        <v>29</v>
      </c>
      <c r="C1249" s="3" t="s">
        <v>26</v>
      </c>
      <c r="D1249" s="3" t="s">
        <v>13</v>
      </c>
      <c r="E1249" s="3" t="s">
        <v>14</v>
      </c>
      <c r="F1249" s="3" t="s">
        <v>33</v>
      </c>
      <c r="G1249" s="3" t="s">
        <v>22</v>
      </c>
      <c r="H1249">
        <v>180000</v>
      </c>
      <c r="I1249">
        <v>8</v>
      </c>
      <c r="J1249" s="3" t="s">
        <v>39</v>
      </c>
      <c r="K1249">
        <v>144000</v>
      </c>
      <c r="L1249">
        <v>1440000</v>
      </c>
      <c r="M1249">
        <v>1152000</v>
      </c>
      <c r="N1249">
        <v>288000</v>
      </c>
      <c r="O1249" s="3" t="s">
        <v>1350</v>
      </c>
      <c r="P1249" s="3" t="s">
        <v>102</v>
      </c>
      <c r="Q1249" s="3" t="s">
        <v>103</v>
      </c>
      <c r="R1249" s="3" t="s">
        <v>103</v>
      </c>
    </row>
    <row r="1250" spans="1:18">
      <c r="A1250" s="19">
        <v>46924</v>
      </c>
      <c r="B1250" s="3" t="s">
        <v>25</v>
      </c>
      <c r="C1250" s="3" t="s">
        <v>32</v>
      </c>
      <c r="D1250" s="3" t="s">
        <v>13</v>
      </c>
      <c r="E1250" s="3" t="s">
        <v>14</v>
      </c>
      <c r="F1250" s="3" t="s">
        <v>21</v>
      </c>
      <c r="G1250" s="3" t="s">
        <v>22</v>
      </c>
      <c r="H1250">
        <v>30000</v>
      </c>
      <c r="I1250">
        <v>1</v>
      </c>
      <c r="J1250" s="3" t="s">
        <v>28</v>
      </c>
      <c r="K1250">
        <v>24000</v>
      </c>
      <c r="L1250">
        <v>30000</v>
      </c>
      <c r="M1250">
        <v>24000</v>
      </c>
      <c r="N1250">
        <v>6000</v>
      </c>
      <c r="O1250" s="3" t="s">
        <v>1351</v>
      </c>
      <c r="P1250" s="3" t="s">
        <v>102</v>
      </c>
      <c r="Q1250" s="3" t="s">
        <v>103</v>
      </c>
      <c r="R1250" s="3" t="s">
        <v>103</v>
      </c>
    </row>
    <row r="1251" spans="1:18">
      <c r="A1251" s="19">
        <v>46925</v>
      </c>
      <c r="B1251" s="3" t="s">
        <v>18</v>
      </c>
      <c r="C1251" s="3" t="s">
        <v>19</v>
      </c>
      <c r="D1251" s="3" t="s">
        <v>13</v>
      </c>
      <c r="E1251" s="3" t="s">
        <v>14</v>
      </c>
      <c r="F1251" s="3" t="s">
        <v>21</v>
      </c>
      <c r="G1251" s="3" t="s">
        <v>22</v>
      </c>
      <c r="H1251">
        <v>30000</v>
      </c>
      <c r="I1251">
        <v>8</v>
      </c>
      <c r="J1251" s="3" t="s">
        <v>35</v>
      </c>
      <c r="K1251">
        <v>24000</v>
      </c>
      <c r="L1251">
        <v>240000</v>
      </c>
      <c r="M1251">
        <v>192000</v>
      </c>
      <c r="N1251">
        <v>48000</v>
      </c>
      <c r="O1251" s="3" t="s">
        <v>1352</v>
      </c>
      <c r="P1251" s="3" t="s">
        <v>102</v>
      </c>
      <c r="Q1251" s="3" t="s">
        <v>103</v>
      </c>
      <c r="R1251" s="3" t="s">
        <v>103</v>
      </c>
    </row>
    <row r="1252" spans="1:18">
      <c r="A1252" s="19">
        <v>46926</v>
      </c>
      <c r="B1252" s="3" t="s">
        <v>25</v>
      </c>
      <c r="C1252" s="3" t="s">
        <v>12</v>
      </c>
      <c r="D1252" s="3" t="s">
        <v>13</v>
      </c>
      <c r="E1252" s="3" t="s">
        <v>14</v>
      </c>
      <c r="F1252" s="3" t="s">
        <v>33</v>
      </c>
      <c r="G1252" s="3" t="s">
        <v>22</v>
      </c>
      <c r="H1252">
        <v>180000</v>
      </c>
      <c r="I1252">
        <v>3</v>
      </c>
      <c r="J1252" s="3" t="s">
        <v>39</v>
      </c>
      <c r="K1252">
        <v>144000</v>
      </c>
      <c r="L1252">
        <v>540000</v>
      </c>
      <c r="M1252">
        <v>432000</v>
      </c>
      <c r="N1252">
        <v>108000</v>
      </c>
      <c r="O1252" s="3" t="s">
        <v>1353</v>
      </c>
      <c r="P1252" s="3" t="s">
        <v>102</v>
      </c>
      <c r="Q1252" s="3" t="s">
        <v>103</v>
      </c>
      <c r="R1252" s="3" t="s">
        <v>103</v>
      </c>
    </row>
    <row r="1253" spans="1:18">
      <c r="A1253" s="19">
        <v>46927</v>
      </c>
      <c r="B1253" s="3" t="s">
        <v>25</v>
      </c>
      <c r="C1253" s="3" t="s">
        <v>19</v>
      </c>
      <c r="D1253" s="3" t="s">
        <v>13</v>
      </c>
      <c r="E1253" s="3" t="s">
        <v>20</v>
      </c>
      <c r="F1253" s="3" t="s">
        <v>15</v>
      </c>
      <c r="G1253" s="3" t="s">
        <v>16</v>
      </c>
      <c r="H1253">
        <v>85000</v>
      </c>
      <c r="I1253">
        <v>7</v>
      </c>
      <c r="J1253" s="3" t="s">
        <v>24</v>
      </c>
      <c r="K1253">
        <v>68000</v>
      </c>
      <c r="L1253">
        <v>595000</v>
      </c>
      <c r="M1253">
        <v>476000</v>
      </c>
      <c r="N1253">
        <v>119000</v>
      </c>
      <c r="O1253" s="3" t="s">
        <v>1354</v>
      </c>
      <c r="P1253" s="3" t="s">
        <v>102</v>
      </c>
      <c r="Q1253" s="3" t="s">
        <v>103</v>
      </c>
      <c r="R1253" s="3" t="s">
        <v>103</v>
      </c>
    </row>
    <row r="1254" spans="1:18">
      <c r="A1254" s="19">
        <v>46928</v>
      </c>
      <c r="B1254" s="3" t="s">
        <v>11</v>
      </c>
      <c r="C1254" s="3" t="s">
        <v>19</v>
      </c>
      <c r="D1254" s="3" t="s">
        <v>13</v>
      </c>
      <c r="E1254" s="3" t="s">
        <v>20</v>
      </c>
      <c r="F1254" s="3" t="s">
        <v>21</v>
      </c>
      <c r="G1254" s="3" t="s">
        <v>22</v>
      </c>
      <c r="H1254">
        <v>30000</v>
      </c>
      <c r="I1254">
        <v>7</v>
      </c>
      <c r="J1254" s="3" t="s">
        <v>28</v>
      </c>
      <c r="K1254">
        <v>24000</v>
      </c>
      <c r="L1254">
        <v>210000</v>
      </c>
      <c r="M1254">
        <v>168000</v>
      </c>
      <c r="N1254">
        <v>42000</v>
      </c>
      <c r="O1254" s="3" t="s">
        <v>1355</v>
      </c>
      <c r="P1254" s="3" t="s">
        <v>102</v>
      </c>
      <c r="Q1254" s="3" t="s">
        <v>103</v>
      </c>
      <c r="R1254" s="3" t="s">
        <v>103</v>
      </c>
    </row>
    <row r="1255" spans="1:18">
      <c r="A1255" s="19">
        <v>46929</v>
      </c>
      <c r="B1255" s="3" t="s">
        <v>29</v>
      </c>
      <c r="C1255" s="3" t="s">
        <v>32</v>
      </c>
      <c r="D1255" s="3" t="s">
        <v>13</v>
      </c>
      <c r="E1255" s="3" t="s">
        <v>20</v>
      </c>
      <c r="F1255" s="3" t="s">
        <v>27</v>
      </c>
      <c r="G1255" s="3" t="s">
        <v>22</v>
      </c>
      <c r="H1255">
        <v>60000</v>
      </c>
      <c r="I1255">
        <v>3</v>
      </c>
      <c r="J1255" s="3" t="s">
        <v>28</v>
      </c>
      <c r="K1255">
        <v>48000</v>
      </c>
      <c r="L1255">
        <v>180000</v>
      </c>
      <c r="M1255">
        <v>144000</v>
      </c>
      <c r="N1255">
        <v>36000</v>
      </c>
      <c r="O1255" s="3" t="s">
        <v>1356</v>
      </c>
      <c r="P1255" s="3" t="s">
        <v>102</v>
      </c>
      <c r="Q1255" s="3" t="s">
        <v>103</v>
      </c>
      <c r="R1255" s="3" t="s">
        <v>103</v>
      </c>
    </row>
    <row r="1256" spans="1:18">
      <c r="A1256" s="19">
        <v>46930</v>
      </c>
      <c r="B1256" s="3" t="s">
        <v>29</v>
      </c>
      <c r="C1256" s="3" t="s">
        <v>32</v>
      </c>
      <c r="D1256" s="3" t="s">
        <v>13</v>
      </c>
      <c r="E1256" s="3" t="s">
        <v>20</v>
      </c>
      <c r="F1256" s="3" t="s">
        <v>15</v>
      </c>
      <c r="G1256" s="3" t="s">
        <v>16</v>
      </c>
      <c r="H1256">
        <v>85000</v>
      </c>
      <c r="I1256">
        <v>5</v>
      </c>
      <c r="J1256" s="3" t="s">
        <v>17</v>
      </c>
      <c r="K1256">
        <v>68000</v>
      </c>
      <c r="L1256">
        <v>425000</v>
      </c>
      <c r="M1256">
        <v>340000</v>
      </c>
      <c r="N1256">
        <v>85000</v>
      </c>
      <c r="O1256" s="3" t="s">
        <v>1357</v>
      </c>
      <c r="P1256" s="3" t="s">
        <v>102</v>
      </c>
      <c r="Q1256" s="3" t="s">
        <v>103</v>
      </c>
      <c r="R1256" s="3" t="s">
        <v>103</v>
      </c>
    </row>
    <row r="1257" spans="1:18">
      <c r="A1257" s="19">
        <v>46931</v>
      </c>
      <c r="B1257" s="3" t="s">
        <v>18</v>
      </c>
      <c r="C1257" s="3" t="s">
        <v>32</v>
      </c>
      <c r="D1257" s="3" t="s">
        <v>23</v>
      </c>
      <c r="E1257" s="3" t="s">
        <v>14</v>
      </c>
      <c r="F1257" s="3" t="s">
        <v>38</v>
      </c>
      <c r="G1257" s="3" t="s">
        <v>31</v>
      </c>
      <c r="H1257">
        <v>420000</v>
      </c>
      <c r="I1257">
        <v>1</v>
      </c>
      <c r="J1257" s="3" t="s">
        <v>17</v>
      </c>
      <c r="K1257">
        <v>336000</v>
      </c>
      <c r="L1257">
        <v>420000</v>
      </c>
      <c r="M1257">
        <v>336000</v>
      </c>
      <c r="N1257">
        <v>84000</v>
      </c>
      <c r="O1257" s="3" t="s">
        <v>1358</v>
      </c>
      <c r="P1257" s="3" t="s">
        <v>102</v>
      </c>
      <c r="Q1257" s="3" t="s">
        <v>103</v>
      </c>
      <c r="R1257" s="3" t="s">
        <v>103</v>
      </c>
    </row>
    <row r="1258" spans="1:18">
      <c r="A1258" s="19">
        <v>46932</v>
      </c>
      <c r="B1258" s="3" t="s">
        <v>25</v>
      </c>
      <c r="C1258" s="3" t="s">
        <v>26</v>
      </c>
      <c r="D1258" s="3" t="s">
        <v>23</v>
      </c>
      <c r="E1258" s="3" t="s">
        <v>20</v>
      </c>
      <c r="F1258" s="3" t="s">
        <v>21</v>
      </c>
      <c r="G1258" s="3" t="s">
        <v>22</v>
      </c>
      <c r="H1258">
        <v>30000</v>
      </c>
      <c r="I1258">
        <v>5</v>
      </c>
      <c r="J1258" s="3" t="s">
        <v>17</v>
      </c>
      <c r="K1258">
        <v>24000</v>
      </c>
      <c r="L1258">
        <v>150000</v>
      </c>
      <c r="M1258">
        <v>120000</v>
      </c>
      <c r="N1258">
        <v>30000</v>
      </c>
      <c r="O1258" s="3" t="s">
        <v>1359</v>
      </c>
      <c r="P1258" s="3" t="s">
        <v>102</v>
      </c>
      <c r="Q1258" s="3" t="s">
        <v>103</v>
      </c>
      <c r="R1258" s="3" t="s">
        <v>103</v>
      </c>
    </row>
    <row r="1259" spans="1:18">
      <c r="A1259" s="19">
        <v>46933</v>
      </c>
      <c r="B1259" s="3" t="s">
        <v>11</v>
      </c>
      <c r="C1259" s="3" t="s">
        <v>26</v>
      </c>
      <c r="D1259" s="3" t="s">
        <v>13</v>
      </c>
      <c r="E1259" s="3" t="s">
        <v>14</v>
      </c>
      <c r="F1259" s="3" t="s">
        <v>40</v>
      </c>
      <c r="G1259" s="3" t="s">
        <v>31</v>
      </c>
      <c r="H1259">
        <v>250000</v>
      </c>
      <c r="I1259">
        <v>9</v>
      </c>
      <c r="J1259" s="3" t="s">
        <v>35</v>
      </c>
      <c r="K1259">
        <v>200000</v>
      </c>
      <c r="L1259">
        <v>2250000</v>
      </c>
      <c r="M1259">
        <v>1800000</v>
      </c>
      <c r="N1259">
        <v>450000</v>
      </c>
      <c r="O1259" s="3" t="s">
        <v>1360</v>
      </c>
      <c r="P1259" s="3" t="s">
        <v>102</v>
      </c>
      <c r="Q1259" s="3" t="s">
        <v>103</v>
      </c>
      <c r="R1259" s="3" t="s">
        <v>103</v>
      </c>
    </row>
    <row r="1260" spans="1:18">
      <c r="A1260" s="19">
        <v>46934</v>
      </c>
      <c r="B1260" s="3" t="s">
        <v>29</v>
      </c>
      <c r="C1260" s="3" t="s">
        <v>19</v>
      </c>
      <c r="D1260" s="3" t="s">
        <v>23</v>
      </c>
      <c r="E1260" s="3" t="s">
        <v>14</v>
      </c>
      <c r="F1260" s="3" t="s">
        <v>36</v>
      </c>
      <c r="G1260" s="3" t="s">
        <v>31</v>
      </c>
      <c r="H1260">
        <v>150000</v>
      </c>
      <c r="I1260">
        <v>3</v>
      </c>
      <c r="J1260" s="3" t="s">
        <v>39</v>
      </c>
      <c r="K1260">
        <v>120000</v>
      </c>
      <c r="L1260">
        <v>450000</v>
      </c>
      <c r="M1260">
        <v>360000</v>
      </c>
      <c r="N1260">
        <v>90000</v>
      </c>
      <c r="O1260" s="3" t="s">
        <v>1361</v>
      </c>
      <c r="P1260" s="3" t="s">
        <v>102</v>
      </c>
      <c r="Q1260" s="3" t="s">
        <v>103</v>
      </c>
      <c r="R1260" s="3" t="s">
        <v>103</v>
      </c>
    </row>
    <row r="1261" spans="1:18">
      <c r="A1261" s="19">
        <v>46935</v>
      </c>
      <c r="B1261" s="3" t="s">
        <v>18</v>
      </c>
      <c r="C1261" s="3" t="s">
        <v>19</v>
      </c>
      <c r="D1261" s="3" t="s">
        <v>23</v>
      </c>
      <c r="E1261" s="3" t="s">
        <v>14</v>
      </c>
      <c r="F1261" s="3" t="s">
        <v>30</v>
      </c>
      <c r="G1261" s="3" t="s">
        <v>31</v>
      </c>
      <c r="H1261">
        <v>300000</v>
      </c>
      <c r="I1261">
        <v>5</v>
      </c>
      <c r="J1261" s="3" t="s">
        <v>39</v>
      </c>
      <c r="K1261">
        <v>240000</v>
      </c>
      <c r="L1261">
        <v>1500000</v>
      </c>
      <c r="M1261">
        <v>1200000</v>
      </c>
      <c r="N1261">
        <v>300000</v>
      </c>
      <c r="O1261" s="3" t="s">
        <v>1362</v>
      </c>
      <c r="P1261" s="3" t="s">
        <v>102</v>
      </c>
      <c r="Q1261" s="3" t="s">
        <v>103</v>
      </c>
      <c r="R1261" s="3" t="s">
        <v>103</v>
      </c>
    </row>
    <row r="1262" spans="1:18">
      <c r="A1262" s="19">
        <v>46936</v>
      </c>
      <c r="B1262" s="3" t="s">
        <v>11</v>
      </c>
      <c r="C1262" s="3" t="s">
        <v>12</v>
      </c>
      <c r="D1262" s="3" t="s">
        <v>13</v>
      </c>
      <c r="E1262" s="3" t="s">
        <v>20</v>
      </c>
      <c r="F1262" s="3" t="s">
        <v>34</v>
      </c>
      <c r="G1262" s="3" t="s">
        <v>16</v>
      </c>
      <c r="H1262">
        <v>320000</v>
      </c>
      <c r="I1262">
        <v>5</v>
      </c>
      <c r="J1262" s="3" t="s">
        <v>17</v>
      </c>
      <c r="K1262">
        <v>256000</v>
      </c>
      <c r="L1262">
        <v>1600000</v>
      </c>
      <c r="M1262">
        <v>1280000</v>
      </c>
      <c r="N1262">
        <v>320000</v>
      </c>
      <c r="O1262" s="3" t="s">
        <v>1363</v>
      </c>
      <c r="P1262" s="3" t="s">
        <v>102</v>
      </c>
      <c r="Q1262" s="3" t="s">
        <v>103</v>
      </c>
      <c r="R1262" s="3" t="s">
        <v>103</v>
      </c>
    </row>
    <row r="1263" spans="1:18">
      <c r="A1263" s="19">
        <v>46937</v>
      </c>
      <c r="B1263" s="3" t="s">
        <v>11</v>
      </c>
      <c r="C1263" s="3" t="s">
        <v>32</v>
      </c>
      <c r="D1263" s="3" t="s">
        <v>23</v>
      </c>
      <c r="E1263" s="3" t="s">
        <v>20</v>
      </c>
      <c r="F1263" s="3" t="s">
        <v>15</v>
      </c>
      <c r="G1263" s="3" t="s">
        <v>16</v>
      </c>
      <c r="H1263">
        <v>85000</v>
      </c>
      <c r="I1263">
        <v>10</v>
      </c>
      <c r="J1263" s="3" t="s">
        <v>37</v>
      </c>
      <c r="K1263">
        <v>68000</v>
      </c>
      <c r="L1263">
        <v>850000</v>
      </c>
      <c r="M1263">
        <v>680000</v>
      </c>
      <c r="N1263">
        <v>170000</v>
      </c>
      <c r="O1263" s="3" t="s">
        <v>1364</v>
      </c>
      <c r="P1263" s="3" t="s">
        <v>102</v>
      </c>
      <c r="Q1263" s="3" t="s">
        <v>103</v>
      </c>
      <c r="R1263" s="3" t="s">
        <v>103</v>
      </c>
    </row>
    <row r="1264" spans="1:18">
      <c r="A1264" s="19">
        <v>46938</v>
      </c>
      <c r="B1264" s="3" t="s">
        <v>11</v>
      </c>
      <c r="C1264" s="3" t="s">
        <v>19</v>
      </c>
      <c r="D1264" s="3" t="s">
        <v>13</v>
      </c>
      <c r="E1264" s="3" t="s">
        <v>20</v>
      </c>
      <c r="F1264" s="3" t="s">
        <v>33</v>
      </c>
      <c r="G1264" s="3" t="s">
        <v>22</v>
      </c>
      <c r="H1264">
        <v>180000</v>
      </c>
      <c r="I1264">
        <v>3</v>
      </c>
      <c r="J1264" s="3" t="s">
        <v>37</v>
      </c>
      <c r="K1264">
        <v>144000</v>
      </c>
      <c r="L1264">
        <v>540000</v>
      </c>
      <c r="M1264">
        <v>432000</v>
      </c>
      <c r="N1264">
        <v>108000</v>
      </c>
      <c r="O1264" s="3" t="s">
        <v>1365</v>
      </c>
      <c r="P1264" s="3" t="s">
        <v>102</v>
      </c>
      <c r="Q1264" s="3" t="s">
        <v>103</v>
      </c>
      <c r="R1264" s="3" t="s">
        <v>103</v>
      </c>
    </row>
    <row r="1265" spans="1:18">
      <c r="A1265" s="19">
        <v>46939</v>
      </c>
      <c r="B1265" s="3" t="s">
        <v>18</v>
      </c>
      <c r="C1265" s="3" t="s">
        <v>32</v>
      </c>
      <c r="D1265" s="3" t="s">
        <v>23</v>
      </c>
      <c r="E1265" s="3" t="s">
        <v>20</v>
      </c>
      <c r="F1265" s="3" t="s">
        <v>21</v>
      </c>
      <c r="G1265" s="3" t="s">
        <v>22</v>
      </c>
      <c r="H1265">
        <v>30000</v>
      </c>
      <c r="I1265">
        <v>3</v>
      </c>
      <c r="J1265" s="3" t="s">
        <v>39</v>
      </c>
      <c r="K1265">
        <v>24000</v>
      </c>
      <c r="L1265">
        <v>90000</v>
      </c>
      <c r="M1265">
        <v>72000</v>
      </c>
      <c r="N1265">
        <v>18000</v>
      </c>
      <c r="O1265" s="3" t="s">
        <v>1366</v>
      </c>
      <c r="P1265" s="3" t="s">
        <v>102</v>
      </c>
      <c r="Q1265" s="3" t="s">
        <v>103</v>
      </c>
      <c r="R1265" s="3" t="s">
        <v>103</v>
      </c>
    </row>
    <row r="1266" spans="1:18">
      <c r="A1266" s="19">
        <v>46940</v>
      </c>
      <c r="B1266" s="3" t="s">
        <v>29</v>
      </c>
      <c r="C1266" s="3" t="s">
        <v>19</v>
      </c>
      <c r="D1266" s="3" t="s">
        <v>13</v>
      </c>
      <c r="E1266" s="3" t="s">
        <v>20</v>
      </c>
      <c r="F1266" s="3" t="s">
        <v>36</v>
      </c>
      <c r="G1266" s="3" t="s">
        <v>31</v>
      </c>
      <c r="H1266">
        <v>150000</v>
      </c>
      <c r="I1266">
        <v>5</v>
      </c>
      <c r="J1266" s="3" t="s">
        <v>37</v>
      </c>
      <c r="K1266">
        <v>120000</v>
      </c>
      <c r="L1266">
        <v>750000</v>
      </c>
      <c r="M1266">
        <v>600000</v>
      </c>
      <c r="N1266">
        <v>150000</v>
      </c>
      <c r="O1266" s="3" t="s">
        <v>1367</v>
      </c>
      <c r="P1266" s="3" t="s">
        <v>102</v>
      </c>
      <c r="Q1266" s="3" t="s">
        <v>103</v>
      </c>
      <c r="R1266" s="3" t="s">
        <v>103</v>
      </c>
    </row>
    <row r="1267" spans="1:18">
      <c r="A1267" s="19">
        <v>46941</v>
      </c>
      <c r="B1267" s="3" t="s">
        <v>29</v>
      </c>
      <c r="C1267" s="3" t="s">
        <v>26</v>
      </c>
      <c r="D1267" s="3" t="s">
        <v>13</v>
      </c>
      <c r="E1267" s="3" t="s">
        <v>14</v>
      </c>
      <c r="F1267" s="3" t="s">
        <v>30</v>
      </c>
      <c r="G1267" s="3" t="s">
        <v>31</v>
      </c>
      <c r="H1267">
        <v>300000</v>
      </c>
      <c r="I1267">
        <v>4</v>
      </c>
      <c r="J1267" s="3" t="s">
        <v>35</v>
      </c>
      <c r="K1267">
        <v>240000</v>
      </c>
      <c r="L1267">
        <v>1200000</v>
      </c>
      <c r="M1267">
        <v>960000</v>
      </c>
      <c r="N1267">
        <v>240000</v>
      </c>
      <c r="O1267" s="3" t="s">
        <v>1368</v>
      </c>
      <c r="P1267" s="3" t="s">
        <v>102</v>
      </c>
      <c r="Q1267" s="3" t="s">
        <v>103</v>
      </c>
      <c r="R1267" s="3" t="s">
        <v>103</v>
      </c>
    </row>
    <row r="1268" spans="1:18">
      <c r="A1268" s="19">
        <v>46942</v>
      </c>
      <c r="B1268" s="3" t="s">
        <v>18</v>
      </c>
      <c r="C1268" s="3" t="s">
        <v>26</v>
      </c>
      <c r="D1268" s="3" t="s">
        <v>23</v>
      </c>
      <c r="E1268" s="3" t="s">
        <v>20</v>
      </c>
      <c r="F1268" s="3" t="s">
        <v>21</v>
      </c>
      <c r="G1268" s="3" t="s">
        <v>22</v>
      </c>
      <c r="H1268">
        <v>30000</v>
      </c>
      <c r="I1268">
        <v>8</v>
      </c>
      <c r="J1268" s="3" t="s">
        <v>37</v>
      </c>
      <c r="K1268">
        <v>24000</v>
      </c>
      <c r="L1268">
        <v>240000</v>
      </c>
      <c r="M1268">
        <v>192000</v>
      </c>
      <c r="N1268">
        <v>48000</v>
      </c>
      <c r="O1268" s="3" t="s">
        <v>1369</v>
      </c>
      <c r="P1268" s="3" t="s">
        <v>102</v>
      </c>
      <c r="Q1268" s="3" t="s">
        <v>103</v>
      </c>
      <c r="R1268" s="3" t="s">
        <v>103</v>
      </c>
    </row>
    <row r="1269" spans="1:18">
      <c r="A1269" s="19">
        <v>46943</v>
      </c>
      <c r="B1269" s="3" t="s">
        <v>11</v>
      </c>
      <c r="C1269" s="3" t="s">
        <v>12</v>
      </c>
      <c r="D1269" s="3" t="s">
        <v>13</v>
      </c>
      <c r="E1269" s="3" t="s">
        <v>20</v>
      </c>
      <c r="F1269" s="3" t="s">
        <v>41</v>
      </c>
      <c r="G1269" s="3" t="s">
        <v>22</v>
      </c>
      <c r="H1269">
        <v>220000</v>
      </c>
      <c r="I1269">
        <v>10</v>
      </c>
      <c r="J1269" s="3" t="s">
        <v>24</v>
      </c>
      <c r="K1269">
        <v>176000</v>
      </c>
      <c r="L1269">
        <v>2200000</v>
      </c>
      <c r="M1269">
        <v>1760000</v>
      </c>
      <c r="N1269">
        <v>440000</v>
      </c>
      <c r="O1269" s="3" t="s">
        <v>1370</v>
      </c>
      <c r="P1269" s="3" t="s">
        <v>102</v>
      </c>
      <c r="Q1269" s="3" t="s">
        <v>103</v>
      </c>
      <c r="R1269" s="3" t="s">
        <v>103</v>
      </c>
    </row>
    <row r="1270" spans="1:18">
      <c r="A1270" s="19">
        <v>46944</v>
      </c>
      <c r="B1270" s="3" t="s">
        <v>25</v>
      </c>
      <c r="C1270" s="3" t="s">
        <v>26</v>
      </c>
      <c r="D1270" s="3" t="s">
        <v>13</v>
      </c>
      <c r="E1270" s="3" t="s">
        <v>14</v>
      </c>
      <c r="F1270" s="3" t="s">
        <v>21</v>
      </c>
      <c r="G1270" s="3" t="s">
        <v>22</v>
      </c>
      <c r="H1270">
        <v>30000</v>
      </c>
      <c r="I1270">
        <v>10</v>
      </c>
      <c r="J1270" s="3" t="s">
        <v>28</v>
      </c>
      <c r="K1270">
        <v>24000</v>
      </c>
      <c r="L1270">
        <v>300000</v>
      </c>
      <c r="M1270">
        <v>240000</v>
      </c>
      <c r="N1270">
        <v>60000</v>
      </c>
      <c r="O1270" s="3" t="s">
        <v>1371</v>
      </c>
      <c r="P1270" s="3" t="s">
        <v>102</v>
      </c>
      <c r="Q1270" s="3" t="s">
        <v>103</v>
      </c>
      <c r="R1270" s="3" t="s">
        <v>103</v>
      </c>
    </row>
    <row r="1271" spans="1:18">
      <c r="A1271" s="19">
        <v>46945</v>
      </c>
      <c r="B1271" s="3" t="s">
        <v>18</v>
      </c>
      <c r="C1271" s="3" t="s">
        <v>19</v>
      </c>
      <c r="D1271" s="3" t="s">
        <v>23</v>
      </c>
      <c r="E1271" s="3" t="s">
        <v>20</v>
      </c>
      <c r="F1271" s="3" t="s">
        <v>40</v>
      </c>
      <c r="G1271" s="3" t="s">
        <v>31</v>
      </c>
      <c r="H1271">
        <v>250000</v>
      </c>
      <c r="I1271">
        <v>5</v>
      </c>
      <c r="J1271" s="3" t="s">
        <v>17</v>
      </c>
      <c r="K1271">
        <v>200000</v>
      </c>
      <c r="L1271">
        <v>1250000</v>
      </c>
      <c r="M1271">
        <v>1000000</v>
      </c>
      <c r="N1271">
        <v>250000</v>
      </c>
      <c r="O1271" s="3" t="s">
        <v>1372</v>
      </c>
      <c r="P1271" s="3" t="s">
        <v>102</v>
      </c>
      <c r="Q1271" s="3" t="s">
        <v>103</v>
      </c>
      <c r="R1271" s="3" t="s">
        <v>103</v>
      </c>
    </row>
    <row r="1272" spans="1:18">
      <c r="A1272" s="19">
        <v>46946</v>
      </c>
      <c r="B1272" s="3" t="s">
        <v>25</v>
      </c>
      <c r="C1272" s="3" t="s">
        <v>19</v>
      </c>
      <c r="D1272" s="3" t="s">
        <v>23</v>
      </c>
      <c r="E1272" s="3" t="s">
        <v>20</v>
      </c>
      <c r="F1272" s="3" t="s">
        <v>36</v>
      </c>
      <c r="G1272" s="3" t="s">
        <v>31</v>
      </c>
      <c r="H1272">
        <v>150000</v>
      </c>
      <c r="I1272">
        <v>8</v>
      </c>
      <c r="J1272" s="3" t="s">
        <v>17</v>
      </c>
      <c r="K1272">
        <v>120000</v>
      </c>
      <c r="L1272">
        <v>1200000</v>
      </c>
      <c r="M1272">
        <v>960000</v>
      </c>
      <c r="N1272">
        <v>240000</v>
      </c>
      <c r="O1272" s="3" t="s">
        <v>1373</v>
      </c>
      <c r="P1272" s="3" t="s">
        <v>102</v>
      </c>
      <c r="Q1272" s="3" t="s">
        <v>103</v>
      </c>
      <c r="R1272" s="3" t="s">
        <v>103</v>
      </c>
    </row>
    <row r="1273" spans="1:18">
      <c r="A1273" s="19">
        <v>46947</v>
      </c>
      <c r="B1273" s="3" t="s">
        <v>25</v>
      </c>
      <c r="C1273" s="3" t="s">
        <v>12</v>
      </c>
      <c r="D1273" s="3" t="s">
        <v>13</v>
      </c>
      <c r="E1273" s="3" t="s">
        <v>20</v>
      </c>
      <c r="F1273" s="3" t="s">
        <v>15</v>
      </c>
      <c r="G1273" s="3" t="s">
        <v>16</v>
      </c>
      <c r="H1273">
        <v>85000</v>
      </c>
      <c r="I1273">
        <v>1</v>
      </c>
      <c r="J1273" s="3" t="s">
        <v>17</v>
      </c>
      <c r="K1273">
        <v>68000</v>
      </c>
      <c r="L1273">
        <v>85000</v>
      </c>
      <c r="M1273">
        <v>68000</v>
      </c>
      <c r="N1273">
        <v>17000</v>
      </c>
      <c r="O1273" s="3" t="s">
        <v>1374</v>
      </c>
      <c r="P1273" s="3" t="s">
        <v>102</v>
      </c>
      <c r="Q1273" s="3" t="s">
        <v>103</v>
      </c>
      <c r="R1273" s="3" t="s">
        <v>103</v>
      </c>
    </row>
    <row r="1274" spans="1:18">
      <c r="A1274" s="19">
        <v>46948</v>
      </c>
      <c r="B1274" s="3" t="s">
        <v>18</v>
      </c>
      <c r="C1274" s="3" t="s">
        <v>26</v>
      </c>
      <c r="D1274" s="3" t="s">
        <v>13</v>
      </c>
      <c r="E1274" s="3" t="s">
        <v>14</v>
      </c>
      <c r="F1274" s="3" t="s">
        <v>41</v>
      </c>
      <c r="G1274" s="3" t="s">
        <v>22</v>
      </c>
      <c r="H1274">
        <v>220000</v>
      </c>
      <c r="I1274">
        <v>2</v>
      </c>
      <c r="J1274" s="3" t="s">
        <v>37</v>
      </c>
      <c r="K1274">
        <v>176000</v>
      </c>
      <c r="L1274">
        <v>440000</v>
      </c>
      <c r="M1274">
        <v>352000</v>
      </c>
      <c r="N1274">
        <v>88000</v>
      </c>
      <c r="O1274" s="3" t="s">
        <v>1375</v>
      </c>
      <c r="P1274" s="3" t="s">
        <v>102</v>
      </c>
      <c r="Q1274" s="3" t="s">
        <v>103</v>
      </c>
      <c r="R1274" s="3" t="s">
        <v>103</v>
      </c>
    </row>
    <row r="1275" spans="1:18">
      <c r="A1275" s="19">
        <v>46949</v>
      </c>
      <c r="B1275" s="3" t="s">
        <v>25</v>
      </c>
      <c r="C1275" s="3" t="s">
        <v>19</v>
      </c>
      <c r="D1275" s="3" t="s">
        <v>23</v>
      </c>
      <c r="E1275" s="3" t="s">
        <v>14</v>
      </c>
      <c r="F1275" s="3" t="s">
        <v>27</v>
      </c>
      <c r="G1275" s="3" t="s">
        <v>22</v>
      </c>
      <c r="H1275">
        <v>60000</v>
      </c>
      <c r="I1275">
        <v>9</v>
      </c>
      <c r="J1275" s="3" t="s">
        <v>28</v>
      </c>
      <c r="K1275">
        <v>48000</v>
      </c>
      <c r="L1275">
        <v>540000</v>
      </c>
      <c r="M1275">
        <v>432000</v>
      </c>
      <c r="N1275">
        <v>108000</v>
      </c>
      <c r="O1275" s="3" t="s">
        <v>1376</v>
      </c>
      <c r="P1275" s="3" t="s">
        <v>102</v>
      </c>
      <c r="Q1275" s="3" t="s">
        <v>103</v>
      </c>
      <c r="R1275" s="3" t="s">
        <v>103</v>
      </c>
    </row>
    <row r="1276" spans="1:18">
      <c r="A1276" s="19">
        <v>46950</v>
      </c>
      <c r="B1276" s="3" t="s">
        <v>29</v>
      </c>
      <c r="C1276" s="3" t="s">
        <v>26</v>
      </c>
      <c r="D1276" s="3" t="s">
        <v>13</v>
      </c>
      <c r="E1276" s="3" t="s">
        <v>14</v>
      </c>
      <c r="F1276" s="3" t="s">
        <v>40</v>
      </c>
      <c r="G1276" s="3" t="s">
        <v>31</v>
      </c>
      <c r="H1276">
        <v>250000</v>
      </c>
      <c r="I1276">
        <v>9</v>
      </c>
      <c r="J1276" s="3" t="s">
        <v>35</v>
      </c>
      <c r="K1276">
        <v>200000</v>
      </c>
      <c r="L1276">
        <v>2250000</v>
      </c>
      <c r="M1276">
        <v>1800000</v>
      </c>
      <c r="N1276">
        <v>450000</v>
      </c>
      <c r="O1276" s="3" t="s">
        <v>1377</v>
      </c>
      <c r="P1276" s="3" t="s">
        <v>102</v>
      </c>
      <c r="Q1276" s="3" t="s">
        <v>103</v>
      </c>
      <c r="R1276" s="3" t="s">
        <v>103</v>
      </c>
    </row>
    <row r="1277" spans="1:18">
      <c r="A1277" s="19">
        <v>46951</v>
      </c>
      <c r="B1277" s="3" t="s">
        <v>18</v>
      </c>
      <c r="C1277" s="3" t="s">
        <v>12</v>
      </c>
      <c r="D1277" s="3" t="s">
        <v>13</v>
      </c>
      <c r="E1277" s="3" t="s">
        <v>20</v>
      </c>
      <c r="F1277" s="3" t="s">
        <v>15</v>
      </c>
      <c r="G1277" s="3" t="s">
        <v>16</v>
      </c>
      <c r="H1277">
        <v>85000</v>
      </c>
      <c r="I1277">
        <v>7</v>
      </c>
      <c r="J1277" s="3" t="s">
        <v>37</v>
      </c>
      <c r="K1277">
        <v>68000</v>
      </c>
      <c r="L1277">
        <v>595000</v>
      </c>
      <c r="M1277">
        <v>476000</v>
      </c>
      <c r="N1277">
        <v>119000</v>
      </c>
      <c r="O1277" s="3" t="s">
        <v>1378</v>
      </c>
      <c r="P1277" s="3" t="s">
        <v>102</v>
      </c>
      <c r="Q1277" s="3" t="s">
        <v>103</v>
      </c>
      <c r="R1277" s="3" t="s">
        <v>103</v>
      </c>
    </row>
    <row r="1278" spans="1:18">
      <c r="A1278" s="19">
        <v>46952</v>
      </c>
      <c r="B1278" s="3" t="s">
        <v>25</v>
      </c>
      <c r="C1278" s="3" t="s">
        <v>26</v>
      </c>
      <c r="D1278" s="3" t="s">
        <v>13</v>
      </c>
      <c r="E1278" s="3" t="s">
        <v>20</v>
      </c>
      <c r="F1278" s="3" t="s">
        <v>36</v>
      </c>
      <c r="G1278" s="3" t="s">
        <v>31</v>
      </c>
      <c r="H1278">
        <v>150000</v>
      </c>
      <c r="I1278">
        <v>7</v>
      </c>
      <c r="J1278" s="3" t="s">
        <v>35</v>
      </c>
      <c r="K1278">
        <v>120000</v>
      </c>
      <c r="L1278">
        <v>1050000</v>
      </c>
      <c r="M1278">
        <v>840000</v>
      </c>
      <c r="N1278">
        <v>210000</v>
      </c>
      <c r="O1278" s="3" t="s">
        <v>1379</v>
      </c>
      <c r="P1278" s="3" t="s">
        <v>102</v>
      </c>
      <c r="Q1278" s="3" t="s">
        <v>103</v>
      </c>
      <c r="R1278" s="3" t="s">
        <v>103</v>
      </c>
    </row>
    <row r="1279" spans="1:18">
      <c r="A1279" s="19">
        <v>46953</v>
      </c>
      <c r="B1279" s="3" t="s">
        <v>18</v>
      </c>
      <c r="C1279" s="3" t="s">
        <v>26</v>
      </c>
      <c r="D1279" s="3" t="s">
        <v>23</v>
      </c>
      <c r="E1279" s="3" t="s">
        <v>14</v>
      </c>
      <c r="F1279" s="3" t="s">
        <v>21</v>
      </c>
      <c r="G1279" s="3" t="s">
        <v>22</v>
      </c>
      <c r="H1279">
        <v>30000</v>
      </c>
      <c r="I1279">
        <v>3</v>
      </c>
      <c r="J1279" s="3" t="s">
        <v>24</v>
      </c>
      <c r="K1279">
        <v>24000</v>
      </c>
      <c r="L1279">
        <v>90000</v>
      </c>
      <c r="M1279">
        <v>72000</v>
      </c>
      <c r="N1279">
        <v>18000</v>
      </c>
      <c r="O1279" s="3" t="s">
        <v>1380</v>
      </c>
      <c r="P1279" s="3" t="s">
        <v>102</v>
      </c>
      <c r="Q1279" s="3" t="s">
        <v>103</v>
      </c>
      <c r="R1279" s="3" t="s">
        <v>103</v>
      </c>
    </row>
    <row r="1280" spans="1:18">
      <c r="A1280" s="19">
        <v>46954</v>
      </c>
      <c r="B1280" s="3" t="s">
        <v>18</v>
      </c>
      <c r="C1280" s="3" t="s">
        <v>26</v>
      </c>
      <c r="D1280" s="3" t="s">
        <v>23</v>
      </c>
      <c r="E1280" s="3" t="s">
        <v>20</v>
      </c>
      <c r="F1280" s="3" t="s">
        <v>21</v>
      </c>
      <c r="G1280" s="3" t="s">
        <v>22</v>
      </c>
      <c r="H1280">
        <v>30000</v>
      </c>
      <c r="I1280">
        <v>3</v>
      </c>
      <c r="J1280" s="3" t="s">
        <v>39</v>
      </c>
      <c r="K1280">
        <v>24000</v>
      </c>
      <c r="L1280">
        <v>90000</v>
      </c>
      <c r="M1280">
        <v>72000</v>
      </c>
      <c r="N1280">
        <v>18000</v>
      </c>
      <c r="O1280" s="3" t="s">
        <v>1381</v>
      </c>
      <c r="P1280" s="3" t="s">
        <v>102</v>
      </c>
      <c r="Q1280" s="3" t="s">
        <v>103</v>
      </c>
      <c r="R1280" s="3" t="s">
        <v>103</v>
      </c>
    </row>
    <row r="1281" spans="1:18">
      <c r="A1281" s="19">
        <v>46955</v>
      </c>
      <c r="B1281" s="3" t="s">
        <v>29</v>
      </c>
      <c r="C1281" s="3" t="s">
        <v>32</v>
      </c>
      <c r="D1281" s="3" t="s">
        <v>13</v>
      </c>
      <c r="E1281" s="3" t="s">
        <v>14</v>
      </c>
      <c r="F1281" s="3" t="s">
        <v>21</v>
      </c>
      <c r="G1281" s="3" t="s">
        <v>22</v>
      </c>
      <c r="H1281">
        <v>30000</v>
      </c>
      <c r="I1281">
        <v>4</v>
      </c>
      <c r="J1281" s="3" t="s">
        <v>37</v>
      </c>
      <c r="K1281">
        <v>24000</v>
      </c>
      <c r="L1281">
        <v>120000</v>
      </c>
      <c r="M1281">
        <v>96000</v>
      </c>
      <c r="N1281">
        <v>24000</v>
      </c>
      <c r="O1281" s="3" t="s">
        <v>1382</v>
      </c>
      <c r="P1281" s="3" t="s">
        <v>102</v>
      </c>
      <c r="Q1281" s="3" t="s">
        <v>103</v>
      </c>
      <c r="R1281" s="3" t="s">
        <v>103</v>
      </c>
    </row>
    <row r="1282" spans="1:18">
      <c r="A1282" s="19">
        <v>46956</v>
      </c>
      <c r="B1282" s="3" t="s">
        <v>25</v>
      </c>
      <c r="C1282" s="3" t="s">
        <v>19</v>
      </c>
      <c r="D1282" s="3" t="s">
        <v>13</v>
      </c>
      <c r="E1282" s="3" t="s">
        <v>20</v>
      </c>
      <c r="F1282" s="3" t="s">
        <v>27</v>
      </c>
      <c r="G1282" s="3" t="s">
        <v>22</v>
      </c>
      <c r="H1282">
        <v>60000</v>
      </c>
      <c r="I1282">
        <v>9</v>
      </c>
      <c r="J1282" s="3" t="s">
        <v>24</v>
      </c>
      <c r="K1282">
        <v>48000</v>
      </c>
      <c r="L1282">
        <v>540000</v>
      </c>
      <c r="M1282">
        <v>432000</v>
      </c>
      <c r="N1282">
        <v>108000</v>
      </c>
      <c r="O1282" s="3" t="s">
        <v>1383</v>
      </c>
      <c r="P1282" s="3" t="s">
        <v>102</v>
      </c>
      <c r="Q1282" s="3" t="s">
        <v>103</v>
      </c>
      <c r="R1282" s="3" t="s">
        <v>103</v>
      </c>
    </row>
    <row r="1283" spans="1:18">
      <c r="A1283" s="19">
        <v>46957</v>
      </c>
      <c r="B1283" s="3" t="s">
        <v>25</v>
      </c>
      <c r="C1283" s="3" t="s">
        <v>32</v>
      </c>
      <c r="D1283" s="3" t="s">
        <v>23</v>
      </c>
      <c r="E1283" s="3" t="s">
        <v>14</v>
      </c>
      <c r="F1283" s="3" t="s">
        <v>27</v>
      </c>
      <c r="G1283" s="3" t="s">
        <v>22</v>
      </c>
      <c r="H1283">
        <v>60000</v>
      </c>
      <c r="I1283">
        <v>9</v>
      </c>
      <c r="J1283" s="3" t="s">
        <v>35</v>
      </c>
      <c r="K1283">
        <v>48000</v>
      </c>
      <c r="L1283">
        <v>540000</v>
      </c>
      <c r="M1283">
        <v>432000</v>
      </c>
      <c r="N1283">
        <v>108000</v>
      </c>
      <c r="O1283" s="3" t="s">
        <v>1384</v>
      </c>
      <c r="P1283" s="3" t="s">
        <v>102</v>
      </c>
      <c r="Q1283" s="3" t="s">
        <v>103</v>
      </c>
      <c r="R1283" s="3" t="s">
        <v>103</v>
      </c>
    </row>
    <row r="1284" spans="1:18">
      <c r="A1284" s="19">
        <v>46958</v>
      </c>
      <c r="B1284" s="3" t="s">
        <v>25</v>
      </c>
      <c r="C1284" s="3" t="s">
        <v>12</v>
      </c>
      <c r="D1284" s="3" t="s">
        <v>23</v>
      </c>
      <c r="E1284" s="3" t="s">
        <v>14</v>
      </c>
      <c r="F1284" s="3" t="s">
        <v>38</v>
      </c>
      <c r="G1284" s="3" t="s">
        <v>31</v>
      </c>
      <c r="H1284">
        <v>420000</v>
      </c>
      <c r="I1284">
        <v>2</v>
      </c>
      <c r="J1284" s="3" t="s">
        <v>28</v>
      </c>
      <c r="K1284">
        <v>336000</v>
      </c>
      <c r="L1284">
        <v>840000</v>
      </c>
      <c r="M1284">
        <v>672000</v>
      </c>
      <c r="N1284">
        <v>168000</v>
      </c>
      <c r="O1284" s="3" t="s">
        <v>1385</v>
      </c>
      <c r="P1284" s="3" t="s">
        <v>102</v>
      </c>
      <c r="Q1284" s="3" t="s">
        <v>103</v>
      </c>
      <c r="R1284" s="3" t="s">
        <v>103</v>
      </c>
    </row>
    <row r="1285" spans="1:18">
      <c r="A1285" s="19">
        <v>46959</v>
      </c>
      <c r="B1285" s="3" t="s">
        <v>29</v>
      </c>
      <c r="C1285" s="3" t="s">
        <v>26</v>
      </c>
      <c r="D1285" s="3" t="s">
        <v>13</v>
      </c>
      <c r="E1285" s="3" t="s">
        <v>20</v>
      </c>
      <c r="F1285" s="3" t="s">
        <v>34</v>
      </c>
      <c r="G1285" s="3" t="s">
        <v>16</v>
      </c>
      <c r="H1285">
        <v>320000</v>
      </c>
      <c r="I1285">
        <v>1</v>
      </c>
      <c r="J1285" s="3" t="s">
        <v>39</v>
      </c>
      <c r="K1285">
        <v>256000</v>
      </c>
      <c r="L1285">
        <v>320000</v>
      </c>
      <c r="M1285">
        <v>256000</v>
      </c>
      <c r="N1285">
        <v>64000</v>
      </c>
      <c r="O1285" s="3" t="s">
        <v>1386</v>
      </c>
      <c r="P1285" s="3" t="s">
        <v>102</v>
      </c>
      <c r="Q1285" s="3" t="s">
        <v>103</v>
      </c>
      <c r="R1285" s="3" t="s">
        <v>103</v>
      </c>
    </row>
    <row r="1286" spans="1:18">
      <c r="A1286" s="19">
        <v>46960</v>
      </c>
      <c r="B1286" s="3" t="s">
        <v>11</v>
      </c>
      <c r="C1286" s="3" t="s">
        <v>12</v>
      </c>
      <c r="D1286" s="3" t="s">
        <v>13</v>
      </c>
      <c r="E1286" s="3" t="s">
        <v>20</v>
      </c>
      <c r="F1286" s="3" t="s">
        <v>21</v>
      </c>
      <c r="G1286" s="3" t="s">
        <v>22</v>
      </c>
      <c r="H1286">
        <v>30000</v>
      </c>
      <c r="I1286">
        <v>5</v>
      </c>
      <c r="J1286" s="3" t="s">
        <v>24</v>
      </c>
      <c r="K1286">
        <v>24000</v>
      </c>
      <c r="L1286">
        <v>150000</v>
      </c>
      <c r="M1286">
        <v>120000</v>
      </c>
      <c r="N1286">
        <v>30000</v>
      </c>
      <c r="O1286" s="3" t="s">
        <v>1387</v>
      </c>
      <c r="P1286" s="3" t="s">
        <v>102</v>
      </c>
      <c r="Q1286" s="3" t="s">
        <v>103</v>
      </c>
      <c r="R1286" s="3" t="s">
        <v>103</v>
      </c>
    </row>
    <row r="1287" spans="1:18">
      <c r="A1287" s="19">
        <v>46961</v>
      </c>
      <c r="B1287" s="3" t="s">
        <v>11</v>
      </c>
      <c r="C1287" s="3" t="s">
        <v>26</v>
      </c>
      <c r="D1287" s="3" t="s">
        <v>23</v>
      </c>
      <c r="E1287" s="3" t="s">
        <v>20</v>
      </c>
      <c r="F1287" s="3" t="s">
        <v>15</v>
      </c>
      <c r="G1287" s="3" t="s">
        <v>16</v>
      </c>
      <c r="H1287">
        <v>85000</v>
      </c>
      <c r="I1287">
        <v>5</v>
      </c>
      <c r="J1287" s="3" t="s">
        <v>39</v>
      </c>
      <c r="K1287">
        <v>68000</v>
      </c>
      <c r="L1287">
        <v>425000</v>
      </c>
      <c r="M1287">
        <v>340000</v>
      </c>
      <c r="N1287">
        <v>85000</v>
      </c>
      <c r="O1287" s="3" t="s">
        <v>1388</v>
      </c>
      <c r="P1287" s="3" t="s">
        <v>102</v>
      </c>
      <c r="Q1287" s="3" t="s">
        <v>103</v>
      </c>
      <c r="R1287" s="3" t="s">
        <v>103</v>
      </c>
    </row>
    <row r="1288" spans="1:18">
      <c r="A1288" s="19">
        <v>46962</v>
      </c>
      <c r="B1288" s="3" t="s">
        <v>11</v>
      </c>
      <c r="C1288" s="3" t="s">
        <v>26</v>
      </c>
      <c r="D1288" s="3" t="s">
        <v>23</v>
      </c>
      <c r="E1288" s="3" t="s">
        <v>14</v>
      </c>
      <c r="F1288" s="3" t="s">
        <v>38</v>
      </c>
      <c r="G1288" s="3" t="s">
        <v>31</v>
      </c>
      <c r="H1288">
        <v>420000</v>
      </c>
      <c r="I1288">
        <v>10</v>
      </c>
      <c r="J1288" s="3" t="s">
        <v>35</v>
      </c>
      <c r="K1288">
        <v>336000</v>
      </c>
      <c r="L1288">
        <v>4200000</v>
      </c>
      <c r="M1288">
        <v>3360000</v>
      </c>
      <c r="N1288">
        <v>840000</v>
      </c>
      <c r="O1288" s="3" t="s">
        <v>1389</v>
      </c>
      <c r="P1288" s="3" t="s">
        <v>102</v>
      </c>
      <c r="Q1288" s="3" t="s">
        <v>103</v>
      </c>
      <c r="R1288" s="3" t="s">
        <v>103</v>
      </c>
    </row>
    <row r="1289" spans="1:18">
      <c r="A1289" s="19">
        <v>46963</v>
      </c>
      <c r="B1289" s="3" t="s">
        <v>18</v>
      </c>
      <c r="C1289" s="3" t="s">
        <v>12</v>
      </c>
      <c r="D1289" s="3" t="s">
        <v>23</v>
      </c>
      <c r="E1289" s="3" t="s">
        <v>14</v>
      </c>
      <c r="F1289" s="3" t="s">
        <v>40</v>
      </c>
      <c r="G1289" s="3" t="s">
        <v>31</v>
      </c>
      <c r="H1289">
        <v>250000</v>
      </c>
      <c r="I1289">
        <v>8</v>
      </c>
      <c r="J1289" s="3" t="s">
        <v>37</v>
      </c>
      <c r="K1289">
        <v>200000</v>
      </c>
      <c r="L1289">
        <v>2000000</v>
      </c>
      <c r="M1289">
        <v>1600000</v>
      </c>
      <c r="N1289">
        <v>400000</v>
      </c>
      <c r="O1289" s="3" t="s">
        <v>1390</v>
      </c>
      <c r="P1289" s="3" t="s">
        <v>102</v>
      </c>
      <c r="Q1289" s="3" t="s">
        <v>103</v>
      </c>
      <c r="R1289" s="3" t="s">
        <v>103</v>
      </c>
    </row>
    <row r="1290" spans="1:18">
      <c r="A1290" s="19">
        <v>46964</v>
      </c>
      <c r="B1290" s="3" t="s">
        <v>11</v>
      </c>
      <c r="C1290" s="3" t="s">
        <v>19</v>
      </c>
      <c r="D1290" s="3" t="s">
        <v>23</v>
      </c>
      <c r="E1290" s="3" t="s">
        <v>20</v>
      </c>
      <c r="F1290" s="3" t="s">
        <v>40</v>
      </c>
      <c r="G1290" s="3" t="s">
        <v>31</v>
      </c>
      <c r="H1290">
        <v>250000</v>
      </c>
      <c r="I1290">
        <v>10</v>
      </c>
      <c r="J1290" s="3" t="s">
        <v>35</v>
      </c>
      <c r="K1290">
        <v>200000</v>
      </c>
      <c r="L1290">
        <v>2500000</v>
      </c>
      <c r="M1290">
        <v>2000000</v>
      </c>
      <c r="N1290">
        <v>500000</v>
      </c>
      <c r="O1290" s="3" t="s">
        <v>1391</v>
      </c>
      <c r="P1290" s="3" t="s">
        <v>102</v>
      </c>
      <c r="Q1290" s="3" t="s">
        <v>103</v>
      </c>
      <c r="R1290" s="3" t="s">
        <v>103</v>
      </c>
    </row>
    <row r="1291" spans="1:18">
      <c r="A1291" s="19">
        <v>46965</v>
      </c>
      <c r="B1291" s="3" t="s">
        <v>18</v>
      </c>
      <c r="C1291" s="3" t="s">
        <v>19</v>
      </c>
      <c r="D1291" s="3" t="s">
        <v>23</v>
      </c>
      <c r="E1291" s="3" t="s">
        <v>20</v>
      </c>
      <c r="F1291" s="3" t="s">
        <v>36</v>
      </c>
      <c r="G1291" s="3" t="s">
        <v>31</v>
      </c>
      <c r="H1291">
        <v>150000</v>
      </c>
      <c r="I1291">
        <v>4</v>
      </c>
      <c r="J1291" s="3" t="s">
        <v>28</v>
      </c>
      <c r="K1291">
        <v>120000</v>
      </c>
      <c r="L1291">
        <v>600000</v>
      </c>
      <c r="M1291">
        <v>480000</v>
      </c>
      <c r="N1291">
        <v>120000</v>
      </c>
      <c r="O1291" s="3" t="s">
        <v>1392</v>
      </c>
      <c r="P1291" s="3" t="s">
        <v>102</v>
      </c>
      <c r="Q1291" s="3" t="s">
        <v>103</v>
      </c>
      <c r="R1291" s="3" t="s">
        <v>103</v>
      </c>
    </row>
    <row r="1292" spans="1:18">
      <c r="A1292" s="19">
        <v>46966</v>
      </c>
      <c r="B1292" s="3" t="s">
        <v>18</v>
      </c>
      <c r="C1292" s="3" t="s">
        <v>19</v>
      </c>
      <c r="D1292" s="3" t="s">
        <v>23</v>
      </c>
      <c r="E1292" s="3" t="s">
        <v>14</v>
      </c>
      <c r="F1292" s="3" t="s">
        <v>33</v>
      </c>
      <c r="G1292" s="3" t="s">
        <v>22</v>
      </c>
      <c r="H1292">
        <v>180000</v>
      </c>
      <c r="I1292">
        <v>6</v>
      </c>
      <c r="J1292" s="3" t="s">
        <v>28</v>
      </c>
      <c r="K1292">
        <v>144000</v>
      </c>
      <c r="L1292">
        <v>1080000</v>
      </c>
      <c r="M1292">
        <v>864000</v>
      </c>
      <c r="N1292">
        <v>216000</v>
      </c>
      <c r="O1292" s="3" t="s">
        <v>1393</v>
      </c>
      <c r="P1292" s="3" t="s">
        <v>102</v>
      </c>
      <c r="Q1292" s="3" t="s">
        <v>103</v>
      </c>
      <c r="R1292" s="3" t="s">
        <v>103</v>
      </c>
    </row>
    <row r="1293" spans="1:18">
      <c r="A1293" s="19">
        <v>46967</v>
      </c>
      <c r="B1293" s="3" t="s">
        <v>18</v>
      </c>
      <c r="C1293" s="3" t="s">
        <v>26</v>
      </c>
      <c r="D1293" s="3" t="s">
        <v>23</v>
      </c>
      <c r="E1293" s="3" t="s">
        <v>20</v>
      </c>
      <c r="F1293" s="3" t="s">
        <v>21</v>
      </c>
      <c r="G1293" s="3" t="s">
        <v>22</v>
      </c>
      <c r="H1293">
        <v>30000</v>
      </c>
      <c r="I1293">
        <v>6</v>
      </c>
      <c r="J1293" s="3" t="s">
        <v>28</v>
      </c>
      <c r="K1293">
        <v>24000</v>
      </c>
      <c r="L1293">
        <v>180000</v>
      </c>
      <c r="M1293">
        <v>144000</v>
      </c>
      <c r="N1293">
        <v>36000</v>
      </c>
      <c r="O1293" s="3" t="s">
        <v>1394</v>
      </c>
      <c r="P1293" s="3" t="s">
        <v>102</v>
      </c>
      <c r="Q1293" s="3" t="s">
        <v>103</v>
      </c>
      <c r="R1293" s="3" t="s">
        <v>103</v>
      </c>
    </row>
    <row r="1294" spans="1:18">
      <c r="A1294" s="19">
        <v>46968</v>
      </c>
      <c r="B1294" s="3" t="s">
        <v>11</v>
      </c>
      <c r="C1294" s="3" t="s">
        <v>19</v>
      </c>
      <c r="D1294" s="3" t="s">
        <v>23</v>
      </c>
      <c r="E1294" s="3" t="s">
        <v>14</v>
      </c>
      <c r="F1294" s="3" t="s">
        <v>40</v>
      </c>
      <c r="G1294" s="3" t="s">
        <v>31</v>
      </c>
      <c r="H1294">
        <v>250000</v>
      </c>
      <c r="I1294">
        <v>5</v>
      </c>
      <c r="J1294" s="3" t="s">
        <v>35</v>
      </c>
      <c r="K1294">
        <v>200000</v>
      </c>
      <c r="L1294">
        <v>1250000</v>
      </c>
      <c r="M1294">
        <v>1000000</v>
      </c>
      <c r="N1294">
        <v>250000</v>
      </c>
      <c r="O1294" s="3" t="s">
        <v>1395</v>
      </c>
      <c r="P1294" s="3" t="s">
        <v>102</v>
      </c>
      <c r="Q1294" s="3" t="s">
        <v>103</v>
      </c>
      <c r="R1294" s="3" t="s">
        <v>103</v>
      </c>
    </row>
    <row r="1295" spans="1:18">
      <c r="A1295" s="19">
        <v>46969</v>
      </c>
      <c r="B1295" s="3" t="s">
        <v>25</v>
      </c>
      <c r="C1295" s="3" t="s">
        <v>19</v>
      </c>
      <c r="D1295" s="3" t="s">
        <v>23</v>
      </c>
      <c r="E1295" s="3" t="s">
        <v>14</v>
      </c>
      <c r="F1295" s="3" t="s">
        <v>34</v>
      </c>
      <c r="G1295" s="3" t="s">
        <v>16</v>
      </c>
      <c r="H1295">
        <v>320000</v>
      </c>
      <c r="I1295">
        <v>2</v>
      </c>
      <c r="J1295" s="3" t="s">
        <v>39</v>
      </c>
      <c r="K1295">
        <v>256000</v>
      </c>
      <c r="L1295">
        <v>640000</v>
      </c>
      <c r="M1295">
        <v>512000</v>
      </c>
      <c r="N1295">
        <v>128000</v>
      </c>
      <c r="O1295" s="3" t="s">
        <v>1396</v>
      </c>
      <c r="P1295" s="3" t="s">
        <v>102</v>
      </c>
      <c r="Q1295" s="3" t="s">
        <v>103</v>
      </c>
      <c r="R1295" s="3" t="s">
        <v>103</v>
      </c>
    </row>
    <row r="1296" spans="1:18">
      <c r="A1296" s="19">
        <v>46970</v>
      </c>
      <c r="B1296" s="3" t="s">
        <v>18</v>
      </c>
      <c r="C1296" s="3" t="s">
        <v>19</v>
      </c>
      <c r="D1296" s="3" t="s">
        <v>23</v>
      </c>
      <c r="E1296" s="3" t="s">
        <v>20</v>
      </c>
      <c r="F1296" s="3" t="s">
        <v>30</v>
      </c>
      <c r="G1296" s="3" t="s">
        <v>31</v>
      </c>
      <c r="H1296">
        <v>300000</v>
      </c>
      <c r="I1296">
        <v>10</v>
      </c>
      <c r="J1296" s="3" t="s">
        <v>35</v>
      </c>
      <c r="K1296">
        <v>240000</v>
      </c>
      <c r="L1296">
        <v>3000000</v>
      </c>
      <c r="M1296">
        <v>2400000</v>
      </c>
      <c r="N1296">
        <v>600000</v>
      </c>
      <c r="O1296" s="3" t="s">
        <v>1397</v>
      </c>
      <c r="P1296" s="3" t="s">
        <v>102</v>
      </c>
      <c r="Q1296" s="3" t="s">
        <v>103</v>
      </c>
      <c r="R1296" s="3" t="s">
        <v>103</v>
      </c>
    </row>
    <row r="1297" spans="1:18">
      <c r="A1297" s="19">
        <v>46971</v>
      </c>
      <c r="B1297" s="3" t="s">
        <v>11</v>
      </c>
      <c r="C1297" s="3" t="s">
        <v>19</v>
      </c>
      <c r="D1297" s="3" t="s">
        <v>23</v>
      </c>
      <c r="E1297" s="3" t="s">
        <v>20</v>
      </c>
      <c r="F1297" s="3" t="s">
        <v>30</v>
      </c>
      <c r="G1297" s="3" t="s">
        <v>31</v>
      </c>
      <c r="H1297">
        <v>300000</v>
      </c>
      <c r="I1297">
        <v>7</v>
      </c>
      <c r="J1297" s="3" t="s">
        <v>37</v>
      </c>
      <c r="K1297">
        <v>240000</v>
      </c>
      <c r="L1297">
        <v>2100000</v>
      </c>
      <c r="M1297">
        <v>1680000</v>
      </c>
      <c r="N1297">
        <v>420000</v>
      </c>
      <c r="O1297" s="3" t="s">
        <v>1398</v>
      </c>
      <c r="P1297" s="3" t="s">
        <v>102</v>
      </c>
      <c r="Q1297" s="3" t="s">
        <v>103</v>
      </c>
      <c r="R1297" s="3" t="s">
        <v>103</v>
      </c>
    </row>
    <row r="1298" spans="1:18">
      <c r="A1298" s="19">
        <v>46972</v>
      </c>
      <c r="B1298" s="3" t="s">
        <v>29</v>
      </c>
      <c r="C1298" s="3" t="s">
        <v>12</v>
      </c>
      <c r="D1298" s="3" t="s">
        <v>23</v>
      </c>
      <c r="E1298" s="3" t="s">
        <v>14</v>
      </c>
      <c r="F1298" s="3" t="s">
        <v>33</v>
      </c>
      <c r="G1298" s="3" t="s">
        <v>22</v>
      </c>
      <c r="H1298">
        <v>180000</v>
      </c>
      <c r="I1298">
        <v>1</v>
      </c>
      <c r="J1298" s="3" t="s">
        <v>39</v>
      </c>
      <c r="K1298">
        <v>144000</v>
      </c>
      <c r="L1298">
        <v>180000</v>
      </c>
      <c r="M1298">
        <v>144000</v>
      </c>
      <c r="N1298">
        <v>36000</v>
      </c>
      <c r="O1298" s="3" t="s">
        <v>1399</v>
      </c>
      <c r="P1298" s="3" t="s">
        <v>102</v>
      </c>
      <c r="Q1298" s="3" t="s">
        <v>103</v>
      </c>
      <c r="R1298" s="3" t="s">
        <v>103</v>
      </c>
    </row>
    <row r="1299" spans="1:18">
      <c r="A1299" s="19">
        <v>46973</v>
      </c>
      <c r="B1299" s="3" t="s">
        <v>18</v>
      </c>
      <c r="C1299" s="3" t="s">
        <v>26</v>
      </c>
      <c r="D1299" s="3" t="s">
        <v>23</v>
      </c>
      <c r="E1299" s="3" t="s">
        <v>20</v>
      </c>
      <c r="F1299" s="3" t="s">
        <v>30</v>
      </c>
      <c r="G1299" s="3" t="s">
        <v>31</v>
      </c>
      <c r="H1299">
        <v>300000</v>
      </c>
      <c r="I1299">
        <v>10</v>
      </c>
      <c r="J1299" s="3" t="s">
        <v>17</v>
      </c>
      <c r="K1299">
        <v>240000</v>
      </c>
      <c r="L1299">
        <v>3000000</v>
      </c>
      <c r="M1299">
        <v>2400000</v>
      </c>
      <c r="N1299">
        <v>600000</v>
      </c>
      <c r="O1299" s="3" t="s">
        <v>1400</v>
      </c>
      <c r="P1299" s="3" t="s">
        <v>102</v>
      </c>
      <c r="Q1299" s="3" t="s">
        <v>103</v>
      </c>
      <c r="R1299" s="3" t="s">
        <v>103</v>
      </c>
    </row>
    <row r="1300" spans="1:18">
      <c r="A1300" s="19">
        <v>46974</v>
      </c>
      <c r="B1300" s="3" t="s">
        <v>11</v>
      </c>
      <c r="C1300" s="3" t="s">
        <v>32</v>
      </c>
      <c r="D1300" s="3" t="s">
        <v>23</v>
      </c>
      <c r="E1300" s="3" t="s">
        <v>14</v>
      </c>
      <c r="F1300" s="3" t="s">
        <v>33</v>
      </c>
      <c r="G1300" s="3" t="s">
        <v>22</v>
      </c>
      <c r="H1300">
        <v>180000</v>
      </c>
      <c r="I1300">
        <v>7</v>
      </c>
      <c r="J1300" s="3" t="s">
        <v>37</v>
      </c>
      <c r="K1300">
        <v>144000</v>
      </c>
      <c r="L1300">
        <v>1260000</v>
      </c>
      <c r="M1300">
        <v>1008000</v>
      </c>
      <c r="N1300">
        <v>252000</v>
      </c>
      <c r="O1300" s="3" t="s">
        <v>1401</v>
      </c>
      <c r="P1300" s="3" t="s">
        <v>102</v>
      </c>
      <c r="Q1300" s="3" t="s">
        <v>103</v>
      </c>
      <c r="R1300" s="3" t="s">
        <v>103</v>
      </c>
    </row>
    <row r="1301" spans="1:18">
      <c r="A1301" s="19">
        <v>46975</v>
      </c>
      <c r="B1301" s="3" t="s">
        <v>11</v>
      </c>
      <c r="C1301" s="3" t="s">
        <v>19</v>
      </c>
      <c r="D1301" s="3" t="s">
        <v>23</v>
      </c>
      <c r="E1301" s="3" t="s">
        <v>14</v>
      </c>
      <c r="F1301" s="3" t="s">
        <v>21</v>
      </c>
      <c r="G1301" s="3" t="s">
        <v>22</v>
      </c>
      <c r="H1301">
        <v>30000</v>
      </c>
      <c r="I1301">
        <v>7</v>
      </c>
      <c r="J1301" s="3" t="s">
        <v>28</v>
      </c>
      <c r="K1301">
        <v>24000</v>
      </c>
      <c r="L1301">
        <v>210000</v>
      </c>
      <c r="M1301">
        <v>168000</v>
      </c>
      <c r="N1301">
        <v>42000</v>
      </c>
      <c r="O1301" s="3" t="s">
        <v>1402</v>
      </c>
      <c r="P1301" s="3" t="s">
        <v>102</v>
      </c>
      <c r="Q1301" s="3" t="s">
        <v>103</v>
      </c>
      <c r="R1301" s="3" t="s">
        <v>103</v>
      </c>
    </row>
    <row r="1302" spans="1:18">
      <c r="A1302" s="19">
        <v>46976</v>
      </c>
      <c r="B1302" s="3" t="s">
        <v>18</v>
      </c>
      <c r="C1302" s="3" t="s">
        <v>12</v>
      </c>
      <c r="D1302" s="3" t="s">
        <v>23</v>
      </c>
      <c r="E1302" s="3" t="s">
        <v>14</v>
      </c>
      <c r="F1302" s="3" t="s">
        <v>21</v>
      </c>
      <c r="G1302" s="3" t="s">
        <v>22</v>
      </c>
      <c r="H1302">
        <v>30000</v>
      </c>
      <c r="I1302">
        <v>6</v>
      </c>
      <c r="J1302" s="3" t="s">
        <v>24</v>
      </c>
      <c r="K1302">
        <v>24000</v>
      </c>
      <c r="L1302">
        <v>180000</v>
      </c>
      <c r="M1302">
        <v>144000</v>
      </c>
      <c r="N1302">
        <v>36000</v>
      </c>
      <c r="O1302" s="3" t="s">
        <v>1403</v>
      </c>
      <c r="P1302" s="3" t="s">
        <v>102</v>
      </c>
      <c r="Q1302" s="3" t="s">
        <v>103</v>
      </c>
      <c r="R1302" s="3" t="s">
        <v>103</v>
      </c>
    </row>
    <row r="1303" spans="1:18">
      <c r="A1303" s="19">
        <v>46977</v>
      </c>
      <c r="B1303" s="3" t="s">
        <v>18</v>
      </c>
      <c r="C1303" s="3" t="s">
        <v>19</v>
      </c>
      <c r="D1303" s="3" t="s">
        <v>23</v>
      </c>
      <c r="E1303" s="3" t="s">
        <v>14</v>
      </c>
      <c r="F1303" s="3" t="s">
        <v>15</v>
      </c>
      <c r="G1303" s="3" t="s">
        <v>16</v>
      </c>
      <c r="H1303">
        <v>85000</v>
      </c>
      <c r="I1303">
        <v>7</v>
      </c>
      <c r="J1303" s="3" t="s">
        <v>35</v>
      </c>
      <c r="K1303">
        <v>68000</v>
      </c>
      <c r="L1303">
        <v>595000</v>
      </c>
      <c r="M1303">
        <v>476000</v>
      </c>
      <c r="N1303">
        <v>119000</v>
      </c>
      <c r="O1303" s="3" t="s">
        <v>1404</v>
      </c>
      <c r="P1303" s="3" t="s">
        <v>102</v>
      </c>
      <c r="Q1303" s="3" t="s">
        <v>103</v>
      </c>
      <c r="R1303" s="3" t="s">
        <v>103</v>
      </c>
    </row>
    <row r="1304" spans="1:18">
      <c r="A1304" s="19">
        <v>46978</v>
      </c>
      <c r="B1304" s="3" t="s">
        <v>18</v>
      </c>
      <c r="C1304" s="3" t="s">
        <v>12</v>
      </c>
      <c r="D1304" s="3" t="s">
        <v>23</v>
      </c>
      <c r="E1304" s="3" t="s">
        <v>20</v>
      </c>
      <c r="F1304" s="3" t="s">
        <v>40</v>
      </c>
      <c r="G1304" s="3" t="s">
        <v>31</v>
      </c>
      <c r="H1304">
        <v>250000</v>
      </c>
      <c r="I1304">
        <v>3</v>
      </c>
      <c r="J1304" s="3" t="s">
        <v>35</v>
      </c>
      <c r="K1304">
        <v>200000</v>
      </c>
      <c r="L1304">
        <v>750000</v>
      </c>
      <c r="M1304">
        <v>600000</v>
      </c>
      <c r="N1304">
        <v>150000</v>
      </c>
      <c r="O1304" s="3" t="s">
        <v>1405</v>
      </c>
      <c r="P1304" s="3" t="s">
        <v>102</v>
      </c>
      <c r="Q1304" s="3" t="s">
        <v>103</v>
      </c>
      <c r="R1304" s="3" t="s">
        <v>103</v>
      </c>
    </row>
    <row r="1305" spans="1:18">
      <c r="A1305" s="19">
        <v>46979</v>
      </c>
      <c r="B1305" s="3" t="s">
        <v>11</v>
      </c>
      <c r="C1305" s="3" t="s">
        <v>19</v>
      </c>
      <c r="D1305" s="3" t="s">
        <v>23</v>
      </c>
      <c r="E1305" s="3" t="s">
        <v>14</v>
      </c>
      <c r="F1305" s="3" t="s">
        <v>34</v>
      </c>
      <c r="G1305" s="3" t="s">
        <v>16</v>
      </c>
      <c r="H1305">
        <v>320000</v>
      </c>
      <c r="I1305">
        <v>7</v>
      </c>
      <c r="J1305" s="3" t="s">
        <v>28</v>
      </c>
      <c r="K1305">
        <v>256000</v>
      </c>
      <c r="L1305">
        <v>2240000</v>
      </c>
      <c r="M1305">
        <v>1792000</v>
      </c>
      <c r="N1305">
        <v>448000</v>
      </c>
      <c r="O1305" s="3" t="s">
        <v>1406</v>
      </c>
      <c r="P1305" s="3" t="s">
        <v>102</v>
      </c>
      <c r="Q1305" s="3" t="s">
        <v>103</v>
      </c>
      <c r="R1305" s="3" t="s">
        <v>103</v>
      </c>
    </row>
    <row r="1306" spans="1:18">
      <c r="A1306" s="19">
        <v>46980</v>
      </c>
      <c r="B1306" s="3" t="s">
        <v>25</v>
      </c>
      <c r="C1306" s="3" t="s">
        <v>26</v>
      </c>
      <c r="D1306" s="3" t="s">
        <v>23</v>
      </c>
      <c r="E1306" s="3" t="s">
        <v>20</v>
      </c>
      <c r="F1306" s="3" t="s">
        <v>21</v>
      </c>
      <c r="G1306" s="3" t="s">
        <v>22</v>
      </c>
      <c r="H1306">
        <v>30000</v>
      </c>
      <c r="I1306">
        <v>7</v>
      </c>
      <c r="J1306" s="3" t="s">
        <v>35</v>
      </c>
      <c r="K1306">
        <v>24000</v>
      </c>
      <c r="L1306">
        <v>210000</v>
      </c>
      <c r="M1306">
        <v>168000</v>
      </c>
      <c r="N1306">
        <v>42000</v>
      </c>
      <c r="O1306" s="3" t="s">
        <v>1407</v>
      </c>
      <c r="P1306" s="3" t="s">
        <v>102</v>
      </c>
      <c r="Q1306" s="3" t="s">
        <v>103</v>
      </c>
      <c r="R1306" s="3" t="s">
        <v>103</v>
      </c>
    </row>
    <row r="1307" spans="1:18">
      <c r="A1307" s="19">
        <v>46981</v>
      </c>
      <c r="B1307" s="3" t="s">
        <v>11</v>
      </c>
      <c r="C1307" s="3" t="s">
        <v>26</v>
      </c>
      <c r="D1307" s="3" t="s">
        <v>23</v>
      </c>
      <c r="E1307" s="3" t="s">
        <v>14</v>
      </c>
      <c r="F1307" s="3" t="s">
        <v>34</v>
      </c>
      <c r="G1307" s="3" t="s">
        <v>16</v>
      </c>
      <c r="H1307">
        <v>320000</v>
      </c>
      <c r="I1307">
        <v>8</v>
      </c>
      <c r="J1307" s="3" t="s">
        <v>17</v>
      </c>
      <c r="K1307">
        <v>256000</v>
      </c>
      <c r="L1307">
        <v>2560000</v>
      </c>
      <c r="M1307">
        <v>2048000</v>
      </c>
      <c r="N1307">
        <v>512000</v>
      </c>
      <c r="O1307" s="3" t="s">
        <v>1408</v>
      </c>
      <c r="P1307" s="3" t="s">
        <v>102</v>
      </c>
      <c r="Q1307" s="3" t="s">
        <v>103</v>
      </c>
      <c r="R1307" s="3" t="s">
        <v>103</v>
      </c>
    </row>
    <row r="1308" spans="1:18">
      <c r="A1308" s="19">
        <v>46982</v>
      </c>
      <c r="B1308" s="3" t="s">
        <v>29</v>
      </c>
      <c r="C1308" s="3" t="s">
        <v>32</v>
      </c>
      <c r="D1308" s="3" t="s">
        <v>23</v>
      </c>
      <c r="E1308" s="3" t="s">
        <v>14</v>
      </c>
      <c r="F1308" s="3" t="s">
        <v>34</v>
      </c>
      <c r="G1308" s="3" t="s">
        <v>16</v>
      </c>
      <c r="H1308">
        <v>320000</v>
      </c>
      <c r="I1308">
        <v>7</v>
      </c>
      <c r="J1308" s="3" t="s">
        <v>37</v>
      </c>
      <c r="K1308">
        <v>256000</v>
      </c>
      <c r="L1308">
        <v>2240000</v>
      </c>
      <c r="M1308">
        <v>1792000</v>
      </c>
      <c r="N1308">
        <v>448000</v>
      </c>
      <c r="O1308" s="3" t="s">
        <v>1409</v>
      </c>
      <c r="P1308" s="3" t="s">
        <v>102</v>
      </c>
      <c r="Q1308" s="3" t="s">
        <v>103</v>
      </c>
      <c r="R1308" s="3" t="s">
        <v>103</v>
      </c>
    </row>
    <row r="1309" spans="1:18">
      <c r="A1309" s="19">
        <v>46983</v>
      </c>
      <c r="B1309" s="3" t="s">
        <v>18</v>
      </c>
      <c r="C1309" s="3" t="s">
        <v>19</v>
      </c>
      <c r="D1309" s="3" t="s">
        <v>23</v>
      </c>
      <c r="E1309" s="3" t="s">
        <v>20</v>
      </c>
      <c r="F1309" s="3" t="s">
        <v>27</v>
      </c>
      <c r="G1309" s="3" t="s">
        <v>22</v>
      </c>
      <c r="H1309">
        <v>60000</v>
      </c>
      <c r="I1309">
        <v>2</v>
      </c>
      <c r="J1309" s="3" t="s">
        <v>28</v>
      </c>
      <c r="K1309">
        <v>48000</v>
      </c>
      <c r="L1309">
        <v>120000</v>
      </c>
      <c r="M1309">
        <v>96000</v>
      </c>
      <c r="N1309">
        <v>24000</v>
      </c>
      <c r="O1309" s="3" t="s">
        <v>1410</v>
      </c>
      <c r="P1309" s="3" t="s">
        <v>102</v>
      </c>
      <c r="Q1309" s="3" t="s">
        <v>103</v>
      </c>
      <c r="R1309" s="3" t="s">
        <v>103</v>
      </c>
    </row>
    <row r="1310" spans="1:18">
      <c r="A1310" s="19">
        <v>46984</v>
      </c>
      <c r="B1310" s="3" t="s">
        <v>11</v>
      </c>
      <c r="C1310" s="3" t="s">
        <v>12</v>
      </c>
      <c r="D1310" s="3" t="s">
        <v>23</v>
      </c>
      <c r="E1310" s="3" t="s">
        <v>20</v>
      </c>
      <c r="F1310" s="3" t="s">
        <v>41</v>
      </c>
      <c r="G1310" s="3" t="s">
        <v>22</v>
      </c>
      <c r="H1310">
        <v>220000</v>
      </c>
      <c r="I1310">
        <v>8</v>
      </c>
      <c r="J1310" s="3" t="s">
        <v>37</v>
      </c>
      <c r="K1310">
        <v>176000</v>
      </c>
      <c r="L1310">
        <v>1760000</v>
      </c>
      <c r="M1310">
        <v>1408000</v>
      </c>
      <c r="N1310">
        <v>352000</v>
      </c>
      <c r="O1310" s="3" t="s">
        <v>1411</v>
      </c>
      <c r="P1310" s="3" t="s">
        <v>102</v>
      </c>
      <c r="Q1310" s="3" t="s">
        <v>103</v>
      </c>
      <c r="R1310" s="3" t="s">
        <v>103</v>
      </c>
    </row>
    <row r="1311" spans="1:18">
      <c r="A1311" s="19">
        <v>46985</v>
      </c>
      <c r="B1311" s="3" t="s">
        <v>25</v>
      </c>
      <c r="C1311" s="3" t="s">
        <v>26</v>
      </c>
      <c r="D1311" s="3" t="s">
        <v>23</v>
      </c>
      <c r="E1311" s="3" t="s">
        <v>14</v>
      </c>
      <c r="F1311" s="3" t="s">
        <v>27</v>
      </c>
      <c r="G1311" s="3" t="s">
        <v>22</v>
      </c>
      <c r="H1311">
        <v>60000</v>
      </c>
      <c r="I1311">
        <v>2</v>
      </c>
      <c r="J1311" s="3" t="s">
        <v>28</v>
      </c>
      <c r="K1311">
        <v>48000</v>
      </c>
      <c r="L1311">
        <v>120000</v>
      </c>
      <c r="M1311">
        <v>96000</v>
      </c>
      <c r="N1311">
        <v>24000</v>
      </c>
      <c r="O1311" s="3" t="s">
        <v>1412</v>
      </c>
      <c r="P1311" s="3" t="s">
        <v>102</v>
      </c>
      <c r="Q1311" s="3" t="s">
        <v>103</v>
      </c>
      <c r="R1311" s="3" t="s">
        <v>103</v>
      </c>
    </row>
    <row r="1312" spans="1:18">
      <c r="A1312" s="19">
        <v>46986</v>
      </c>
      <c r="B1312" s="3" t="s">
        <v>11</v>
      </c>
      <c r="C1312" s="3" t="s">
        <v>26</v>
      </c>
      <c r="D1312" s="3" t="s">
        <v>23</v>
      </c>
      <c r="E1312" s="3" t="s">
        <v>14</v>
      </c>
      <c r="F1312" s="3" t="s">
        <v>34</v>
      </c>
      <c r="G1312" s="3" t="s">
        <v>16</v>
      </c>
      <c r="H1312">
        <v>320000</v>
      </c>
      <c r="I1312">
        <v>2</v>
      </c>
      <c r="J1312" s="3" t="s">
        <v>39</v>
      </c>
      <c r="K1312">
        <v>256000</v>
      </c>
      <c r="L1312">
        <v>640000</v>
      </c>
      <c r="M1312">
        <v>512000</v>
      </c>
      <c r="N1312">
        <v>128000</v>
      </c>
      <c r="O1312" s="3" t="s">
        <v>1413</v>
      </c>
      <c r="P1312" s="3" t="s">
        <v>102</v>
      </c>
      <c r="Q1312" s="3" t="s">
        <v>103</v>
      </c>
      <c r="R1312" s="3" t="s">
        <v>103</v>
      </c>
    </row>
    <row r="1313" spans="1:18">
      <c r="A1313" s="19">
        <v>46987</v>
      </c>
      <c r="B1313" s="3" t="s">
        <v>18</v>
      </c>
      <c r="C1313" s="3" t="s">
        <v>12</v>
      </c>
      <c r="D1313" s="3" t="s">
        <v>23</v>
      </c>
      <c r="E1313" s="3" t="s">
        <v>20</v>
      </c>
      <c r="F1313" s="3" t="s">
        <v>21</v>
      </c>
      <c r="G1313" s="3" t="s">
        <v>22</v>
      </c>
      <c r="H1313">
        <v>30000</v>
      </c>
      <c r="I1313">
        <v>2</v>
      </c>
      <c r="J1313" s="3" t="s">
        <v>35</v>
      </c>
      <c r="K1313">
        <v>24000</v>
      </c>
      <c r="L1313">
        <v>60000</v>
      </c>
      <c r="M1313">
        <v>48000</v>
      </c>
      <c r="N1313">
        <v>12000</v>
      </c>
      <c r="O1313" s="3" t="s">
        <v>1414</v>
      </c>
      <c r="P1313" s="3" t="s">
        <v>102</v>
      </c>
      <c r="Q1313" s="3" t="s">
        <v>103</v>
      </c>
      <c r="R1313" s="3" t="s">
        <v>103</v>
      </c>
    </row>
    <row r="1314" spans="1:18">
      <c r="A1314" s="19">
        <v>46988</v>
      </c>
      <c r="B1314" s="3" t="s">
        <v>29</v>
      </c>
      <c r="C1314" s="3" t="s">
        <v>19</v>
      </c>
      <c r="D1314" s="3" t="s">
        <v>23</v>
      </c>
      <c r="E1314" s="3" t="s">
        <v>20</v>
      </c>
      <c r="F1314" s="3" t="s">
        <v>21</v>
      </c>
      <c r="G1314" s="3" t="s">
        <v>22</v>
      </c>
      <c r="H1314">
        <v>30000</v>
      </c>
      <c r="I1314">
        <v>7</v>
      </c>
      <c r="J1314" s="3" t="s">
        <v>35</v>
      </c>
      <c r="K1314">
        <v>24000</v>
      </c>
      <c r="L1314">
        <v>210000</v>
      </c>
      <c r="M1314">
        <v>168000</v>
      </c>
      <c r="N1314">
        <v>42000</v>
      </c>
      <c r="O1314" s="3" t="s">
        <v>1415</v>
      </c>
      <c r="P1314" s="3" t="s">
        <v>102</v>
      </c>
      <c r="Q1314" s="3" t="s">
        <v>103</v>
      </c>
      <c r="R1314" s="3" t="s">
        <v>103</v>
      </c>
    </row>
    <row r="1315" spans="1:18">
      <c r="A1315" s="19">
        <v>46989</v>
      </c>
      <c r="B1315" s="3" t="s">
        <v>29</v>
      </c>
      <c r="C1315" s="3" t="s">
        <v>12</v>
      </c>
      <c r="D1315" s="3" t="s">
        <v>23</v>
      </c>
      <c r="E1315" s="3" t="s">
        <v>20</v>
      </c>
      <c r="F1315" s="3" t="s">
        <v>40</v>
      </c>
      <c r="G1315" s="3" t="s">
        <v>31</v>
      </c>
      <c r="H1315">
        <v>250000</v>
      </c>
      <c r="I1315">
        <v>10</v>
      </c>
      <c r="J1315" s="3" t="s">
        <v>35</v>
      </c>
      <c r="K1315">
        <v>200000</v>
      </c>
      <c r="L1315">
        <v>2500000</v>
      </c>
      <c r="M1315">
        <v>2000000</v>
      </c>
      <c r="N1315">
        <v>500000</v>
      </c>
      <c r="O1315" s="3" t="s">
        <v>1416</v>
      </c>
      <c r="P1315" s="3" t="s">
        <v>102</v>
      </c>
      <c r="Q1315" s="3" t="s">
        <v>103</v>
      </c>
      <c r="R1315" s="3" t="s">
        <v>103</v>
      </c>
    </row>
    <row r="1316" spans="1:18">
      <c r="A1316" s="19">
        <v>46990</v>
      </c>
      <c r="B1316" s="3" t="s">
        <v>18</v>
      </c>
      <c r="C1316" s="3" t="s">
        <v>32</v>
      </c>
      <c r="D1316" s="3" t="s">
        <v>23</v>
      </c>
      <c r="E1316" s="3" t="s">
        <v>20</v>
      </c>
      <c r="F1316" s="3" t="s">
        <v>30</v>
      </c>
      <c r="G1316" s="3" t="s">
        <v>31</v>
      </c>
      <c r="H1316">
        <v>300000</v>
      </c>
      <c r="I1316">
        <v>9</v>
      </c>
      <c r="J1316" s="3" t="s">
        <v>28</v>
      </c>
      <c r="K1316">
        <v>240000</v>
      </c>
      <c r="L1316">
        <v>2700000</v>
      </c>
      <c r="M1316">
        <v>2160000</v>
      </c>
      <c r="N1316">
        <v>540000</v>
      </c>
      <c r="O1316" s="3" t="s">
        <v>1417</v>
      </c>
      <c r="P1316" s="3" t="s">
        <v>102</v>
      </c>
      <c r="Q1316" s="3" t="s">
        <v>103</v>
      </c>
      <c r="R1316" s="3" t="s">
        <v>103</v>
      </c>
    </row>
    <row r="1317" spans="1:18">
      <c r="A1317" s="19">
        <v>46991</v>
      </c>
      <c r="B1317" s="3" t="s">
        <v>25</v>
      </c>
      <c r="C1317" s="3" t="s">
        <v>26</v>
      </c>
      <c r="D1317" s="3" t="s">
        <v>23</v>
      </c>
      <c r="E1317" s="3" t="s">
        <v>20</v>
      </c>
      <c r="F1317" s="3" t="s">
        <v>15</v>
      </c>
      <c r="G1317" s="3" t="s">
        <v>16</v>
      </c>
      <c r="H1317">
        <v>85000</v>
      </c>
      <c r="I1317">
        <v>6</v>
      </c>
      <c r="J1317" s="3" t="s">
        <v>37</v>
      </c>
      <c r="K1317">
        <v>68000</v>
      </c>
      <c r="L1317">
        <v>510000</v>
      </c>
      <c r="M1317">
        <v>408000</v>
      </c>
      <c r="N1317">
        <v>102000</v>
      </c>
      <c r="O1317" s="3" t="s">
        <v>1418</v>
      </c>
      <c r="P1317" s="3" t="s">
        <v>102</v>
      </c>
      <c r="Q1317" s="3" t="s">
        <v>103</v>
      </c>
      <c r="R1317" s="3" t="s">
        <v>103</v>
      </c>
    </row>
    <row r="1318" spans="1:18">
      <c r="A1318" s="19">
        <v>46992</v>
      </c>
      <c r="B1318" s="3" t="s">
        <v>11</v>
      </c>
      <c r="C1318" s="3" t="s">
        <v>12</v>
      </c>
      <c r="D1318" s="3" t="s">
        <v>23</v>
      </c>
      <c r="E1318" s="3" t="s">
        <v>20</v>
      </c>
      <c r="F1318" s="3" t="s">
        <v>21</v>
      </c>
      <c r="G1318" s="3" t="s">
        <v>22</v>
      </c>
      <c r="H1318">
        <v>30000</v>
      </c>
      <c r="I1318">
        <v>4</v>
      </c>
      <c r="J1318" s="3" t="s">
        <v>17</v>
      </c>
      <c r="K1318">
        <v>24000</v>
      </c>
      <c r="L1318">
        <v>120000</v>
      </c>
      <c r="M1318">
        <v>96000</v>
      </c>
      <c r="N1318">
        <v>24000</v>
      </c>
      <c r="O1318" s="3" t="s">
        <v>1419</v>
      </c>
      <c r="P1318" s="3" t="s">
        <v>102</v>
      </c>
      <c r="Q1318" s="3" t="s">
        <v>103</v>
      </c>
      <c r="R1318" s="3" t="s">
        <v>103</v>
      </c>
    </row>
    <row r="1319" spans="1:18">
      <c r="A1319" s="19">
        <v>46993</v>
      </c>
      <c r="B1319" s="3" t="s">
        <v>25</v>
      </c>
      <c r="C1319" s="3" t="s">
        <v>32</v>
      </c>
      <c r="D1319" s="3" t="s">
        <v>23</v>
      </c>
      <c r="E1319" s="3" t="s">
        <v>14</v>
      </c>
      <c r="F1319" s="3" t="s">
        <v>30</v>
      </c>
      <c r="G1319" s="3" t="s">
        <v>31</v>
      </c>
      <c r="H1319">
        <v>300000</v>
      </c>
      <c r="I1319">
        <v>4</v>
      </c>
      <c r="J1319" s="3" t="s">
        <v>17</v>
      </c>
      <c r="K1319">
        <v>240000</v>
      </c>
      <c r="L1319">
        <v>1200000</v>
      </c>
      <c r="M1319">
        <v>960000</v>
      </c>
      <c r="N1319">
        <v>240000</v>
      </c>
      <c r="O1319" s="3" t="s">
        <v>1420</v>
      </c>
      <c r="P1319" s="3" t="s">
        <v>102</v>
      </c>
      <c r="Q1319" s="3" t="s">
        <v>103</v>
      </c>
      <c r="R1319" s="3" t="s">
        <v>103</v>
      </c>
    </row>
    <row r="1320" spans="1:18">
      <c r="A1320" s="19">
        <v>46994</v>
      </c>
      <c r="B1320" s="3" t="s">
        <v>25</v>
      </c>
      <c r="C1320" s="3" t="s">
        <v>32</v>
      </c>
      <c r="D1320" s="3" t="s">
        <v>23</v>
      </c>
      <c r="E1320" s="3" t="s">
        <v>20</v>
      </c>
      <c r="F1320" s="3" t="s">
        <v>41</v>
      </c>
      <c r="G1320" s="3" t="s">
        <v>22</v>
      </c>
      <c r="H1320">
        <v>220000</v>
      </c>
      <c r="I1320">
        <v>5</v>
      </c>
      <c r="J1320" s="3" t="s">
        <v>35</v>
      </c>
      <c r="K1320">
        <v>176000</v>
      </c>
      <c r="L1320">
        <v>1100000</v>
      </c>
      <c r="M1320">
        <v>880000</v>
      </c>
      <c r="N1320">
        <v>220000</v>
      </c>
      <c r="O1320" s="3" t="s">
        <v>1421</v>
      </c>
      <c r="P1320" s="3" t="s">
        <v>102</v>
      </c>
      <c r="Q1320" s="3" t="s">
        <v>103</v>
      </c>
      <c r="R1320" s="3" t="s">
        <v>103</v>
      </c>
    </row>
    <row r="1321" spans="1:18">
      <c r="A1321" s="19">
        <v>46995</v>
      </c>
      <c r="B1321" s="3" t="s">
        <v>18</v>
      </c>
      <c r="C1321" s="3" t="s">
        <v>32</v>
      </c>
      <c r="D1321" s="3" t="s">
        <v>23</v>
      </c>
      <c r="E1321" s="3" t="s">
        <v>20</v>
      </c>
      <c r="F1321" s="3" t="s">
        <v>41</v>
      </c>
      <c r="G1321" s="3" t="s">
        <v>22</v>
      </c>
      <c r="H1321">
        <v>220000</v>
      </c>
      <c r="I1321">
        <v>4</v>
      </c>
      <c r="J1321" s="3" t="s">
        <v>35</v>
      </c>
      <c r="K1321">
        <v>176000</v>
      </c>
      <c r="L1321">
        <v>880000</v>
      </c>
      <c r="M1321">
        <v>704000</v>
      </c>
      <c r="N1321">
        <v>176000</v>
      </c>
      <c r="O1321" s="3" t="s">
        <v>1422</v>
      </c>
      <c r="P1321" s="3" t="s">
        <v>102</v>
      </c>
      <c r="Q1321" s="3" t="s">
        <v>103</v>
      </c>
      <c r="R1321" s="3" t="s">
        <v>103</v>
      </c>
    </row>
    <row r="1322" spans="1:18">
      <c r="A1322" s="19">
        <v>46996</v>
      </c>
      <c r="B1322" s="3" t="s">
        <v>18</v>
      </c>
      <c r="C1322" s="3" t="s">
        <v>32</v>
      </c>
      <c r="D1322" s="3" t="s">
        <v>23</v>
      </c>
      <c r="E1322" s="3" t="s">
        <v>14</v>
      </c>
      <c r="F1322" s="3" t="s">
        <v>21</v>
      </c>
      <c r="G1322" s="3" t="s">
        <v>22</v>
      </c>
      <c r="H1322">
        <v>30000</v>
      </c>
      <c r="I1322">
        <v>1</v>
      </c>
      <c r="J1322" s="3" t="s">
        <v>39</v>
      </c>
      <c r="K1322">
        <v>24000</v>
      </c>
      <c r="L1322">
        <v>30000</v>
      </c>
      <c r="M1322">
        <v>24000</v>
      </c>
      <c r="N1322">
        <v>6000</v>
      </c>
      <c r="O1322" s="3" t="s">
        <v>1423</v>
      </c>
      <c r="P1322" s="3" t="s">
        <v>102</v>
      </c>
      <c r="Q1322" s="3" t="s">
        <v>103</v>
      </c>
      <c r="R1322" s="3" t="s">
        <v>103</v>
      </c>
    </row>
    <row r="1323" spans="1:18">
      <c r="A1323" s="19">
        <v>46997</v>
      </c>
      <c r="B1323" s="3" t="s">
        <v>25</v>
      </c>
      <c r="C1323" s="3" t="s">
        <v>19</v>
      </c>
      <c r="D1323" s="3" t="s">
        <v>13</v>
      </c>
      <c r="E1323" s="3" t="s">
        <v>14</v>
      </c>
      <c r="F1323" s="3" t="s">
        <v>38</v>
      </c>
      <c r="G1323" s="3" t="s">
        <v>31</v>
      </c>
      <c r="H1323">
        <v>420000</v>
      </c>
      <c r="I1323">
        <v>9</v>
      </c>
      <c r="J1323" s="3" t="s">
        <v>24</v>
      </c>
      <c r="K1323">
        <v>336000</v>
      </c>
      <c r="L1323">
        <v>3780000</v>
      </c>
      <c r="M1323">
        <v>3024000</v>
      </c>
      <c r="N1323">
        <v>756000</v>
      </c>
      <c r="O1323" s="3" t="s">
        <v>1424</v>
      </c>
      <c r="P1323" s="3" t="s">
        <v>102</v>
      </c>
      <c r="Q1323" s="3" t="s">
        <v>103</v>
      </c>
      <c r="R1323" s="3" t="s">
        <v>103</v>
      </c>
    </row>
    <row r="1324" spans="1:18">
      <c r="A1324" s="19">
        <v>46998</v>
      </c>
      <c r="B1324" s="3" t="s">
        <v>11</v>
      </c>
      <c r="C1324" s="3" t="s">
        <v>19</v>
      </c>
      <c r="D1324" s="3" t="s">
        <v>23</v>
      </c>
      <c r="E1324" s="3" t="s">
        <v>14</v>
      </c>
      <c r="F1324" s="3" t="s">
        <v>27</v>
      </c>
      <c r="G1324" s="3" t="s">
        <v>22</v>
      </c>
      <c r="H1324">
        <v>60000</v>
      </c>
      <c r="I1324">
        <v>6</v>
      </c>
      <c r="J1324" s="3" t="s">
        <v>24</v>
      </c>
      <c r="K1324">
        <v>48000</v>
      </c>
      <c r="L1324">
        <v>360000</v>
      </c>
      <c r="M1324">
        <v>288000</v>
      </c>
      <c r="N1324">
        <v>72000</v>
      </c>
      <c r="O1324" s="3" t="s">
        <v>1425</v>
      </c>
      <c r="P1324" s="3" t="s">
        <v>102</v>
      </c>
      <c r="Q1324" s="3" t="s">
        <v>103</v>
      </c>
      <c r="R1324" s="3" t="s">
        <v>103</v>
      </c>
    </row>
    <row r="1325" spans="1:18">
      <c r="A1325" s="19">
        <v>46999</v>
      </c>
      <c r="B1325" s="3" t="s">
        <v>11</v>
      </c>
      <c r="C1325" s="3" t="s">
        <v>32</v>
      </c>
      <c r="D1325" s="3" t="s">
        <v>13</v>
      </c>
      <c r="E1325" s="3" t="s">
        <v>14</v>
      </c>
      <c r="F1325" s="3" t="s">
        <v>33</v>
      </c>
      <c r="G1325" s="3" t="s">
        <v>22</v>
      </c>
      <c r="H1325">
        <v>180000</v>
      </c>
      <c r="I1325">
        <v>2</v>
      </c>
      <c r="J1325" s="3" t="s">
        <v>28</v>
      </c>
      <c r="K1325">
        <v>144000</v>
      </c>
      <c r="L1325">
        <v>360000</v>
      </c>
      <c r="M1325">
        <v>288000</v>
      </c>
      <c r="N1325">
        <v>72000</v>
      </c>
      <c r="O1325" s="3" t="s">
        <v>1426</v>
      </c>
      <c r="P1325" s="3" t="s">
        <v>102</v>
      </c>
      <c r="Q1325" s="3" t="s">
        <v>103</v>
      </c>
      <c r="R1325" s="3" t="s">
        <v>103</v>
      </c>
    </row>
    <row r="1326" spans="1:18">
      <c r="A1326" s="19">
        <v>47000</v>
      </c>
      <c r="B1326" s="3" t="s">
        <v>18</v>
      </c>
      <c r="C1326" s="3" t="s">
        <v>19</v>
      </c>
      <c r="D1326" s="3" t="s">
        <v>13</v>
      </c>
      <c r="E1326" s="3" t="s">
        <v>14</v>
      </c>
      <c r="F1326" s="3" t="s">
        <v>15</v>
      </c>
      <c r="G1326" s="3" t="s">
        <v>16</v>
      </c>
      <c r="H1326">
        <v>85000</v>
      </c>
      <c r="I1326">
        <v>1</v>
      </c>
      <c r="J1326" s="3" t="s">
        <v>24</v>
      </c>
      <c r="K1326">
        <v>68000</v>
      </c>
      <c r="L1326">
        <v>85000</v>
      </c>
      <c r="M1326">
        <v>68000</v>
      </c>
      <c r="N1326">
        <v>17000</v>
      </c>
      <c r="O1326" s="3" t="s">
        <v>1427</v>
      </c>
      <c r="P1326" s="3" t="s">
        <v>102</v>
      </c>
      <c r="Q1326" s="3" t="s">
        <v>103</v>
      </c>
      <c r="R1326" s="3" t="s">
        <v>103</v>
      </c>
    </row>
    <row r="1327" spans="1:18">
      <c r="A1327" s="19">
        <v>47001</v>
      </c>
      <c r="B1327" s="3" t="s">
        <v>11</v>
      </c>
      <c r="C1327" s="3" t="s">
        <v>26</v>
      </c>
      <c r="D1327" s="3" t="s">
        <v>13</v>
      </c>
      <c r="E1327" s="3" t="s">
        <v>20</v>
      </c>
      <c r="F1327" s="3" t="s">
        <v>40</v>
      </c>
      <c r="G1327" s="3" t="s">
        <v>31</v>
      </c>
      <c r="H1327">
        <v>250000</v>
      </c>
      <c r="I1327">
        <v>2</v>
      </c>
      <c r="J1327" s="3" t="s">
        <v>17</v>
      </c>
      <c r="K1327">
        <v>200000</v>
      </c>
      <c r="L1327">
        <v>500000</v>
      </c>
      <c r="M1327">
        <v>400000</v>
      </c>
      <c r="N1327">
        <v>100000</v>
      </c>
      <c r="O1327" s="3" t="s">
        <v>1428</v>
      </c>
      <c r="P1327" s="3" t="s">
        <v>102</v>
      </c>
      <c r="Q1327" s="3" t="s">
        <v>103</v>
      </c>
      <c r="R1327" s="3" t="s">
        <v>103</v>
      </c>
    </row>
    <row r="1328" spans="1:18">
      <c r="A1328" s="19">
        <v>47002</v>
      </c>
      <c r="B1328" s="3" t="s">
        <v>29</v>
      </c>
      <c r="C1328" s="3" t="s">
        <v>32</v>
      </c>
      <c r="D1328" s="3" t="s">
        <v>13</v>
      </c>
      <c r="E1328" s="3" t="s">
        <v>20</v>
      </c>
      <c r="F1328" s="3" t="s">
        <v>21</v>
      </c>
      <c r="G1328" s="3" t="s">
        <v>22</v>
      </c>
      <c r="H1328">
        <v>30000</v>
      </c>
      <c r="I1328">
        <v>7</v>
      </c>
      <c r="J1328" s="3" t="s">
        <v>35</v>
      </c>
      <c r="K1328">
        <v>24000</v>
      </c>
      <c r="L1328">
        <v>210000</v>
      </c>
      <c r="M1328">
        <v>168000</v>
      </c>
      <c r="N1328">
        <v>42000</v>
      </c>
      <c r="O1328" s="3" t="s">
        <v>1429</v>
      </c>
      <c r="P1328" s="3" t="s">
        <v>102</v>
      </c>
      <c r="Q1328" s="3" t="s">
        <v>103</v>
      </c>
      <c r="R1328" s="3" t="s">
        <v>103</v>
      </c>
    </row>
    <row r="1329" spans="1:18">
      <c r="A1329" s="19">
        <v>47003</v>
      </c>
      <c r="B1329" s="3" t="s">
        <v>11</v>
      </c>
      <c r="C1329" s="3" t="s">
        <v>19</v>
      </c>
      <c r="D1329" s="3" t="s">
        <v>13</v>
      </c>
      <c r="E1329" s="3" t="s">
        <v>20</v>
      </c>
      <c r="F1329" s="3" t="s">
        <v>38</v>
      </c>
      <c r="G1329" s="3" t="s">
        <v>31</v>
      </c>
      <c r="H1329">
        <v>420000</v>
      </c>
      <c r="I1329">
        <v>9</v>
      </c>
      <c r="J1329" s="3" t="s">
        <v>35</v>
      </c>
      <c r="K1329">
        <v>336000</v>
      </c>
      <c r="L1329">
        <v>3780000</v>
      </c>
      <c r="M1329">
        <v>3024000</v>
      </c>
      <c r="N1329">
        <v>756000</v>
      </c>
      <c r="O1329" s="3" t="s">
        <v>1430</v>
      </c>
      <c r="P1329" s="3" t="s">
        <v>102</v>
      </c>
      <c r="Q1329" s="3" t="s">
        <v>103</v>
      </c>
      <c r="R1329" s="3" t="s">
        <v>103</v>
      </c>
    </row>
    <row r="1330" spans="1:18">
      <c r="A1330" s="19">
        <v>47004</v>
      </c>
      <c r="B1330" s="3" t="s">
        <v>25</v>
      </c>
      <c r="C1330" s="3" t="s">
        <v>32</v>
      </c>
      <c r="D1330" s="3" t="s">
        <v>13</v>
      </c>
      <c r="E1330" s="3" t="s">
        <v>14</v>
      </c>
      <c r="F1330" s="3" t="s">
        <v>27</v>
      </c>
      <c r="G1330" s="3" t="s">
        <v>22</v>
      </c>
      <c r="H1330">
        <v>60000</v>
      </c>
      <c r="I1330">
        <v>7</v>
      </c>
      <c r="J1330" s="3" t="s">
        <v>24</v>
      </c>
      <c r="K1330">
        <v>48000</v>
      </c>
      <c r="L1330">
        <v>420000</v>
      </c>
      <c r="M1330">
        <v>336000</v>
      </c>
      <c r="N1330">
        <v>84000</v>
      </c>
      <c r="O1330" s="3" t="s">
        <v>1431</v>
      </c>
      <c r="P1330" s="3" t="s">
        <v>102</v>
      </c>
      <c r="Q1330" s="3" t="s">
        <v>103</v>
      </c>
      <c r="R1330" s="3" t="s">
        <v>103</v>
      </c>
    </row>
    <row r="1331" spans="1:18">
      <c r="A1331" s="19">
        <v>47005</v>
      </c>
      <c r="B1331" s="3" t="s">
        <v>29</v>
      </c>
      <c r="C1331" s="3" t="s">
        <v>26</v>
      </c>
      <c r="D1331" s="3" t="s">
        <v>13</v>
      </c>
      <c r="E1331" s="3" t="s">
        <v>20</v>
      </c>
      <c r="F1331" s="3" t="s">
        <v>30</v>
      </c>
      <c r="G1331" s="3" t="s">
        <v>31</v>
      </c>
      <c r="H1331">
        <v>300000</v>
      </c>
      <c r="I1331">
        <v>7</v>
      </c>
      <c r="J1331" s="3" t="s">
        <v>35</v>
      </c>
      <c r="K1331">
        <v>240000</v>
      </c>
      <c r="L1331">
        <v>2100000</v>
      </c>
      <c r="M1331">
        <v>1680000</v>
      </c>
      <c r="N1331">
        <v>420000</v>
      </c>
      <c r="O1331" s="3" t="s">
        <v>1432</v>
      </c>
      <c r="P1331" s="3" t="s">
        <v>102</v>
      </c>
      <c r="Q1331" s="3" t="s">
        <v>103</v>
      </c>
      <c r="R1331" s="3" t="s">
        <v>103</v>
      </c>
    </row>
    <row r="1332" spans="1:18">
      <c r="A1332" s="19">
        <v>47006</v>
      </c>
      <c r="B1332" s="3" t="s">
        <v>18</v>
      </c>
      <c r="C1332" s="3" t="s">
        <v>12</v>
      </c>
      <c r="D1332" s="3" t="s">
        <v>23</v>
      </c>
      <c r="E1332" s="3" t="s">
        <v>14</v>
      </c>
      <c r="F1332" s="3" t="s">
        <v>36</v>
      </c>
      <c r="G1332" s="3" t="s">
        <v>31</v>
      </c>
      <c r="H1332">
        <v>150000</v>
      </c>
      <c r="I1332">
        <v>9</v>
      </c>
      <c r="J1332" s="3" t="s">
        <v>39</v>
      </c>
      <c r="K1332">
        <v>120000</v>
      </c>
      <c r="L1332">
        <v>1350000</v>
      </c>
      <c r="M1332">
        <v>1080000</v>
      </c>
      <c r="N1332">
        <v>270000</v>
      </c>
      <c r="O1332" s="3" t="s">
        <v>1433</v>
      </c>
      <c r="P1332" s="3" t="s">
        <v>102</v>
      </c>
      <c r="Q1332" s="3" t="s">
        <v>103</v>
      </c>
      <c r="R1332" s="3" t="s">
        <v>103</v>
      </c>
    </row>
    <row r="1333" spans="1:18">
      <c r="A1333" s="19">
        <v>47007</v>
      </c>
      <c r="B1333" s="3" t="s">
        <v>25</v>
      </c>
      <c r="C1333" s="3" t="s">
        <v>26</v>
      </c>
      <c r="D1333" s="3" t="s">
        <v>23</v>
      </c>
      <c r="E1333" s="3" t="s">
        <v>14</v>
      </c>
      <c r="F1333" s="3" t="s">
        <v>30</v>
      </c>
      <c r="G1333" s="3" t="s">
        <v>31</v>
      </c>
      <c r="H1333">
        <v>300000</v>
      </c>
      <c r="I1333">
        <v>7</v>
      </c>
      <c r="J1333" s="3" t="s">
        <v>28</v>
      </c>
      <c r="K1333">
        <v>240000</v>
      </c>
      <c r="L1333">
        <v>2100000</v>
      </c>
      <c r="M1333">
        <v>1680000</v>
      </c>
      <c r="N1333">
        <v>420000</v>
      </c>
      <c r="O1333" s="3" t="s">
        <v>1434</v>
      </c>
      <c r="P1333" s="3" t="s">
        <v>102</v>
      </c>
      <c r="Q1333" s="3" t="s">
        <v>103</v>
      </c>
      <c r="R1333" s="3" t="s">
        <v>103</v>
      </c>
    </row>
    <row r="1334" spans="1:18">
      <c r="A1334" s="19">
        <v>47008</v>
      </c>
      <c r="B1334" s="3" t="s">
        <v>11</v>
      </c>
      <c r="C1334" s="3" t="s">
        <v>19</v>
      </c>
      <c r="D1334" s="3" t="s">
        <v>13</v>
      </c>
      <c r="E1334" s="3" t="s">
        <v>14</v>
      </c>
      <c r="F1334" s="3" t="s">
        <v>40</v>
      </c>
      <c r="G1334" s="3" t="s">
        <v>31</v>
      </c>
      <c r="H1334">
        <v>250000</v>
      </c>
      <c r="I1334">
        <v>1</v>
      </c>
      <c r="J1334" s="3" t="s">
        <v>37</v>
      </c>
      <c r="K1334">
        <v>200000</v>
      </c>
      <c r="L1334">
        <v>250000</v>
      </c>
      <c r="M1334">
        <v>200000</v>
      </c>
      <c r="N1334">
        <v>50000</v>
      </c>
      <c r="O1334" s="3" t="s">
        <v>1435</v>
      </c>
      <c r="P1334" s="3" t="s">
        <v>102</v>
      </c>
      <c r="Q1334" s="3" t="s">
        <v>103</v>
      </c>
      <c r="R1334" s="3" t="s">
        <v>103</v>
      </c>
    </row>
    <row r="1335" spans="1:18">
      <c r="A1335" s="19">
        <v>47009</v>
      </c>
      <c r="B1335" s="3" t="s">
        <v>11</v>
      </c>
      <c r="C1335" s="3" t="s">
        <v>19</v>
      </c>
      <c r="D1335" s="3" t="s">
        <v>23</v>
      </c>
      <c r="E1335" s="3" t="s">
        <v>14</v>
      </c>
      <c r="F1335" s="3" t="s">
        <v>40</v>
      </c>
      <c r="G1335" s="3" t="s">
        <v>31</v>
      </c>
      <c r="H1335">
        <v>250000</v>
      </c>
      <c r="I1335">
        <v>6</v>
      </c>
      <c r="J1335" s="3" t="s">
        <v>28</v>
      </c>
      <c r="K1335">
        <v>200000</v>
      </c>
      <c r="L1335">
        <v>1500000</v>
      </c>
      <c r="M1335">
        <v>1200000</v>
      </c>
      <c r="N1335">
        <v>300000</v>
      </c>
      <c r="O1335" s="3" t="s">
        <v>1436</v>
      </c>
      <c r="P1335" s="3" t="s">
        <v>102</v>
      </c>
      <c r="Q1335" s="3" t="s">
        <v>103</v>
      </c>
      <c r="R1335" s="3" t="s">
        <v>103</v>
      </c>
    </row>
    <row r="1336" spans="1:18">
      <c r="A1336" s="19">
        <v>47010</v>
      </c>
      <c r="B1336" s="3" t="s">
        <v>18</v>
      </c>
      <c r="C1336" s="3" t="s">
        <v>26</v>
      </c>
      <c r="D1336" s="3" t="s">
        <v>23</v>
      </c>
      <c r="E1336" s="3" t="s">
        <v>20</v>
      </c>
      <c r="F1336" s="3" t="s">
        <v>38</v>
      </c>
      <c r="G1336" s="3" t="s">
        <v>31</v>
      </c>
      <c r="H1336">
        <v>420000</v>
      </c>
      <c r="I1336">
        <v>9</v>
      </c>
      <c r="J1336" s="3" t="s">
        <v>39</v>
      </c>
      <c r="K1336">
        <v>336000</v>
      </c>
      <c r="L1336">
        <v>3780000</v>
      </c>
      <c r="M1336">
        <v>3024000</v>
      </c>
      <c r="N1336">
        <v>756000</v>
      </c>
      <c r="O1336" s="3" t="s">
        <v>1437</v>
      </c>
      <c r="P1336" s="3" t="s">
        <v>102</v>
      </c>
      <c r="Q1336" s="3" t="s">
        <v>103</v>
      </c>
      <c r="R1336" s="3" t="s">
        <v>103</v>
      </c>
    </row>
    <row r="1337" spans="1:18">
      <c r="A1337" s="19">
        <v>47011</v>
      </c>
      <c r="B1337" s="3" t="s">
        <v>25</v>
      </c>
      <c r="C1337" s="3" t="s">
        <v>32</v>
      </c>
      <c r="D1337" s="3" t="s">
        <v>23</v>
      </c>
      <c r="E1337" s="3" t="s">
        <v>14</v>
      </c>
      <c r="F1337" s="3" t="s">
        <v>33</v>
      </c>
      <c r="G1337" s="3" t="s">
        <v>22</v>
      </c>
      <c r="H1337">
        <v>180000</v>
      </c>
      <c r="I1337">
        <v>6</v>
      </c>
      <c r="J1337" s="3" t="s">
        <v>24</v>
      </c>
      <c r="K1337">
        <v>144000</v>
      </c>
      <c r="L1337">
        <v>1080000</v>
      </c>
      <c r="M1337">
        <v>864000</v>
      </c>
      <c r="N1337">
        <v>216000</v>
      </c>
      <c r="O1337" s="3" t="s">
        <v>1438</v>
      </c>
      <c r="P1337" s="3" t="s">
        <v>102</v>
      </c>
      <c r="Q1337" s="3" t="s">
        <v>103</v>
      </c>
      <c r="R1337" s="3" t="s">
        <v>103</v>
      </c>
    </row>
    <row r="1338" spans="1:18">
      <c r="A1338" s="19">
        <v>47012</v>
      </c>
      <c r="B1338" s="3" t="s">
        <v>25</v>
      </c>
      <c r="C1338" s="3" t="s">
        <v>26</v>
      </c>
      <c r="D1338" s="3" t="s">
        <v>23</v>
      </c>
      <c r="E1338" s="3" t="s">
        <v>14</v>
      </c>
      <c r="F1338" s="3" t="s">
        <v>15</v>
      </c>
      <c r="G1338" s="3" t="s">
        <v>16</v>
      </c>
      <c r="H1338">
        <v>85000</v>
      </c>
      <c r="I1338">
        <v>5</v>
      </c>
      <c r="J1338" s="3" t="s">
        <v>39</v>
      </c>
      <c r="K1338">
        <v>68000</v>
      </c>
      <c r="L1338">
        <v>425000</v>
      </c>
      <c r="M1338">
        <v>340000</v>
      </c>
      <c r="N1338">
        <v>85000</v>
      </c>
      <c r="O1338" s="3" t="s">
        <v>1439</v>
      </c>
      <c r="P1338" s="3" t="s">
        <v>102</v>
      </c>
      <c r="Q1338" s="3" t="s">
        <v>103</v>
      </c>
      <c r="R1338" s="3" t="s">
        <v>103</v>
      </c>
    </row>
    <row r="1339" spans="1:18">
      <c r="A1339" s="19">
        <v>47013</v>
      </c>
      <c r="B1339" s="3" t="s">
        <v>11</v>
      </c>
      <c r="C1339" s="3" t="s">
        <v>26</v>
      </c>
      <c r="D1339" s="3" t="s">
        <v>23</v>
      </c>
      <c r="E1339" s="3" t="s">
        <v>14</v>
      </c>
      <c r="F1339" s="3" t="s">
        <v>41</v>
      </c>
      <c r="G1339" s="3" t="s">
        <v>22</v>
      </c>
      <c r="H1339">
        <v>220000</v>
      </c>
      <c r="I1339">
        <v>5</v>
      </c>
      <c r="J1339" s="3" t="s">
        <v>39</v>
      </c>
      <c r="K1339">
        <v>176000</v>
      </c>
      <c r="L1339">
        <v>1100000</v>
      </c>
      <c r="M1339">
        <v>880000</v>
      </c>
      <c r="N1339">
        <v>220000</v>
      </c>
      <c r="O1339" s="3" t="s">
        <v>1440</v>
      </c>
      <c r="P1339" s="3" t="s">
        <v>102</v>
      </c>
      <c r="Q1339" s="3" t="s">
        <v>103</v>
      </c>
      <c r="R1339" s="3" t="s">
        <v>103</v>
      </c>
    </row>
    <row r="1340" spans="1:18">
      <c r="A1340" s="19">
        <v>47014</v>
      </c>
      <c r="B1340" s="3" t="s">
        <v>18</v>
      </c>
      <c r="C1340" s="3" t="s">
        <v>32</v>
      </c>
      <c r="D1340" s="3" t="s">
        <v>13</v>
      </c>
      <c r="E1340" s="3" t="s">
        <v>14</v>
      </c>
      <c r="F1340" s="3" t="s">
        <v>27</v>
      </c>
      <c r="G1340" s="3" t="s">
        <v>22</v>
      </c>
      <c r="H1340">
        <v>60000</v>
      </c>
      <c r="I1340">
        <v>8</v>
      </c>
      <c r="J1340" s="3" t="s">
        <v>37</v>
      </c>
      <c r="K1340">
        <v>48000</v>
      </c>
      <c r="L1340">
        <v>480000</v>
      </c>
      <c r="M1340">
        <v>384000</v>
      </c>
      <c r="N1340">
        <v>96000</v>
      </c>
      <c r="O1340" s="3" t="s">
        <v>1441</v>
      </c>
      <c r="P1340" s="3" t="s">
        <v>102</v>
      </c>
      <c r="Q1340" s="3" t="s">
        <v>103</v>
      </c>
      <c r="R1340" s="3" t="s">
        <v>103</v>
      </c>
    </row>
    <row r="1341" spans="1:18">
      <c r="A1341" s="19">
        <v>47015</v>
      </c>
      <c r="B1341" s="3" t="s">
        <v>18</v>
      </c>
      <c r="C1341" s="3" t="s">
        <v>32</v>
      </c>
      <c r="D1341" s="3" t="s">
        <v>23</v>
      </c>
      <c r="E1341" s="3" t="s">
        <v>20</v>
      </c>
      <c r="F1341" s="3" t="s">
        <v>15</v>
      </c>
      <c r="G1341" s="3" t="s">
        <v>16</v>
      </c>
      <c r="H1341">
        <v>85000</v>
      </c>
      <c r="I1341">
        <v>10</v>
      </c>
      <c r="J1341" s="3" t="s">
        <v>35</v>
      </c>
      <c r="K1341">
        <v>68000</v>
      </c>
      <c r="L1341">
        <v>850000</v>
      </c>
      <c r="M1341">
        <v>680000</v>
      </c>
      <c r="N1341">
        <v>170000</v>
      </c>
      <c r="O1341" s="3" t="s">
        <v>1442</v>
      </c>
      <c r="P1341" s="3" t="s">
        <v>102</v>
      </c>
      <c r="Q1341" s="3" t="s">
        <v>103</v>
      </c>
      <c r="R1341" s="3" t="s">
        <v>103</v>
      </c>
    </row>
    <row r="1342" spans="1:18">
      <c r="A1342" s="19">
        <v>47016</v>
      </c>
      <c r="B1342" s="3" t="s">
        <v>29</v>
      </c>
      <c r="C1342" s="3" t="s">
        <v>19</v>
      </c>
      <c r="D1342" s="3" t="s">
        <v>13</v>
      </c>
      <c r="E1342" s="3" t="s">
        <v>20</v>
      </c>
      <c r="F1342" s="3" t="s">
        <v>21</v>
      </c>
      <c r="G1342" s="3" t="s">
        <v>22</v>
      </c>
      <c r="H1342">
        <v>30000</v>
      </c>
      <c r="I1342">
        <v>6</v>
      </c>
      <c r="J1342" s="3" t="s">
        <v>39</v>
      </c>
      <c r="K1342">
        <v>24000</v>
      </c>
      <c r="L1342">
        <v>180000</v>
      </c>
      <c r="M1342">
        <v>144000</v>
      </c>
      <c r="N1342">
        <v>36000</v>
      </c>
      <c r="O1342" s="3" t="s">
        <v>1443</v>
      </c>
      <c r="P1342" s="3" t="s">
        <v>102</v>
      </c>
      <c r="Q1342" s="3" t="s">
        <v>103</v>
      </c>
      <c r="R1342" s="3" t="s">
        <v>103</v>
      </c>
    </row>
    <row r="1343" spans="1:18">
      <c r="A1343" s="19">
        <v>47017</v>
      </c>
      <c r="B1343" s="3" t="s">
        <v>11</v>
      </c>
      <c r="C1343" s="3" t="s">
        <v>19</v>
      </c>
      <c r="D1343" s="3" t="s">
        <v>23</v>
      </c>
      <c r="E1343" s="3" t="s">
        <v>20</v>
      </c>
      <c r="F1343" s="3" t="s">
        <v>34</v>
      </c>
      <c r="G1343" s="3" t="s">
        <v>16</v>
      </c>
      <c r="H1343">
        <v>320000</v>
      </c>
      <c r="I1343">
        <v>10</v>
      </c>
      <c r="J1343" s="3" t="s">
        <v>24</v>
      </c>
      <c r="K1343">
        <v>256000</v>
      </c>
      <c r="L1343">
        <v>3200000</v>
      </c>
      <c r="M1343">
        <v>2560000</v>
      </c>
      <c r="N1343">
        <v>640000</v>
      </c>
      <c r="O1343" s="3" t="s">
        <v>1444</v>
      </c>
      <c r="P1343" s="3" t="s">
        <v>102</v>
      </c>
      <c r="Q1343" s="3" t="s">
        <v>103</v>
      </c>
      <c r="R1343" s="3" t="s">
        <v>103</v>
      </c>
    </row>
    <row r="1344" spans="1:18">
      <c r="A1344" s="19">
        <v>47018</v>
      </c>
      <c r="B1344" s="3" t="s">
        <v>25</v>
      </c>
      <c r="C1344" s="3" t="s">
        <v>32</v>
      </c>
      <c r="D1344" s="3" t="s">
        <v>23</v>
      </c>
      <c r="E1344" s="3" t="s">
        <v>20</v>
      </c>
      <c r="F1344" s="3" t="s">
        <v>27</v>
      </c>
      <c r="G1344" s="3" t="s">
        <v>22</v>
      </c>
      <c r="H1344">
        <v>60000</v>
      </c>
      <c r="I1344">
        <v>2</v>
      </c>
      <c r="J1344" s="3" t="s">
        <v>24</v>
      </c>
      <c r="K1344">
        <v>48000</v>
      </c>
      <c r="L1344">
        <v>120000</v>
      </c>
      <c r="M1344">
        <v>96000</v>
      </c>
      <c r="N1344">
        <v>24000</v>
      </c>
      <c r="O1344" s="3" t="s">
        <v>1445</v>
      </c>
      <c r="P1344" s="3" t="s">
        <v>102</v>
      </c>
      <c r="Q1344" s="3" t="s">
        <v>103</v>
      </c>
      <c r="R1344" s="3" t="s">
        <v>103</v>
      </c>
    </row>
    <row r="1345" spans="1:18">
      <c r="A1345" s="19">
        <v>47019</v>
      </c>
      <c r="B1345" s="3" t="s">
        <v>18</v>
      </c>
      <c r="C1345" s="3" t="s">
        <v>19</v>
      </c>
      <c r="D1345" s="3" t="s">
        <v>23</v>
      </c>
      <c r="E1345" s="3" t="s">
        <v>20</v>
      </c>
      <c r="F1345" s="3" t="s">
        <v>38</v>
      </c>
      <c r="G1345" s="3" t="s">
        <v>31</v>
      </c>
      <c r="H1345">
        <v>420000</v>
      </c>
      <c r="I1345">
        <v>3</v>
      </c>
      <c r="J1345" s="3" t="s">
        <v>17</v>
      </c>
      <c r="K1345">
        <v>336000</v>
      </c>
      <c r="L1345">
        <v>1260000</v>
      </c>
      <c r="M1345">
        <v>1008000</v>
      </c>
      <c r="N1345">
        <v>252000</v>
      </c>
      <c r="O1345" s="3" t="s">
        <v>1446</v>
      </c>
      <c r="P1345" s="3" t="s">
        <v>102</v>
      </c>
      <c r="Q1345" s="3" t="s">
        <v>103</v>
      </c>
      <c r="R1345" s="3" t="s">
        <v>103</v>
      </c>
    </row>
    <row r="1346" spans="1:18">
      <c r="A1346" s="19">
        <v>47020</v>
      </c>
      <c r="B1346" s="3" t="s">
        <v>18</v>
      </c>
      <c r="C1346" s="3" t="s">
        <v>19</v>
      </c>
      <c r="D1346" s="3" t="s">
        <v>13</v>
      </c>
      <c r="E1346" s="3" t="s">
        <v>14</v>
      </c>
      <c r="F1346" s="3" t="s">
        <v>36</v>
      </c>
      <c r="G1346" s="3" t="s">
        <v>31</v>
      </c>
      <c r="H1346">
        <v>150000</v>
      </c>
      <c r="I1346">
        <v>5</v>
      </c>
      <c r="J1346" s="3" t="s">
        <v>28</v>
      </c>
      <c r="K1346">
        <v>120000</v>
      </c>
      <c r="L1346">
        <v>750000</v>
      </c>
      <c r="M1346">
        <v>600000</v>
      </c>
      <c r="N1346">
        <v>150000</v>
      </c>
      <c r="O1346" s="3" t="s">
        <v>1447</v>
      </c>
      <c r="P1346" s="3" t="s">
        <v>102</v>
      </c>
      <c r="Q1346" s="3" t="s">
        <v>103</v>
      </c>
      <c r="R1346" s="3" t="s">
        <v>103</v>
      </c>
    </row>
    <row r="1347" spans="1:18">
      <c r="A1347" s="19">
        <v>47021</v>
      </c>
      <c r="B1347" s="3" t="s">
        <v>25</v>
      </c>
      <c r="C1347" s="3" t="s">
        <v>19</v>
      </c>
      <c r="D1347" s="3" t="s">
        <v>13</v>
      </c>
      <c r="E1347" s="3" t="s">
        <v>20</v>
      </c>
      <c r="F1347" s="3" t="s">
        <v>36</v>
      </c>
      <c r="G1347" s="3" t="s">
        <v>31</v>
      </c>
      <c r="H1347">
        <v>150000</v>
      </c>
      <c r="I1347">
        <v>9</v>
      </c>
      <c r="J1347" s="3" t="s">
        <v>35</v>
      </c>
      <c r="K1347">
        <v>120000</v>
      </c>
      <c r="L1347">
        <v>1350000</v>
      </c>
      <c r="M1347">
        <v>1080000</v>
      </c>
      <c r="N1347">
        <v>270000</v>
      </c>
      <c r="O1347" s="3" t="s">
        <v>1448</v>
      </c>
      <c r="P1347" s="3" t="s">
        <v>102</v>
      </c>
      <c r="Q1347" s="3" t="s">
        <v>103</v>
      </c>
      <c r="R1347" s="3" t="s">
        <v>103</v>
      </c>
    </row>
    <row r="1348" spans="1:18">
      <c r="A1348" s="19">
        <v>47022</v>
      </c>
      <c r="B1348" s="3" t="s">
        <v>25</v>
      </c>
      <c r="C1348" s="3" t="s">
        <v>12</v>
      </c>
      <c r="D1348" s="3" t="s">
        <v>23</v>
      </c>
      <c r="E1348" s="3" t="s">
        <v>20</v>
      </c>
      <c r="F1348" s="3" t="s">
        <v>15</v>
      </c>
      <c r="G1348" s="3" t="s">
        <v>16</v>
      </c>
      <c r="H1348">
        <v>85000</v>
      </c>
      <c r="I1348">
        <v>5</v>
      </c>
      <c r="J1348" s="3" t="s">
        <v>37</v>
      </c>
      <c r="K1348">
        <v>68000</v>
      </c>
      <c r="L1348">
        <v>425000</v>
      </c>
      <c r="M1348">
        <v>340000</v>
      </c>
      <c r="N1348">
        <v>85000</v>
      </c>
      <c r="O1348" s="3" t="s">
        <v>1449</v>
      </c>
      <c r="P1348" s="3" t="s">
        <v>102</v>
      </c>
      <c r="Q1348" s="3" t="s">
        <v>103</v>
      </c>
      <c r="R1348" s="3" t="s">
        <v>103</v>
      </c>
    </row>
    <row r="1349" spans="1:18">
      <c r="A1349" s="19">
        <v>47023</v>
      </c>
      <c r="B1349" s="3" t="s">
        <v>29</v>
      </c>
      <c r="C1349" s="3" t="s">
        <v>19</v>
      </c>
      <c r="D1349" s="3" t="s">
        <v>23</v>
      </c>
      <c r="E1349" s="3" t="s">
        <v>14</v>
      </c>
      <c r="F1349" s="3" t="s">
        <v>34</v>
      </c>
      <c r="G1349" s="3" t="s">
        <v>16</v>
      </c>
      <c r="H1349">
        <v>320000</v>
      </c>
      <c r="I1349">
        <v>1</v>
      </c>
      <c r="J1349" s="3" t="s">
        <v>24</v>
      </c>
      <c r="K1349">
        <v>256000</v>
      </c>
      <c r="L1349">
        <v>320000</v>
      </c>
      <c r="M1349">
        <v>256000</v>
      </c>
      <c r="N1349">
        <v>64000</v>
      </c>
      <c r="O1349" s="3" t="s">
        <v>1450</v>
      </c>
      <c r="P1349" s="3" t="s">
        <v>102</v>
      </c>
      <c r="Q1349" s="3" t="s">
        <v>103</v>
      </c>
      <c r="R1349" s="3" t="s">
        <v>103</v>
      </c>
    </row>
    <row r="1350" spans="1:18">
      <c r="A1350" s="19">
        <v>47024</v>
      </c>
      <c r="B1350" s="3" t="s">
        <v>18</v>
      </c>
      <c r="C1350" s="3" t="s">
        <v>12</v>
      </c>
      <c r="D1350" s="3" t="s">
        <v>13</v>
      </c>
      <c r="E1350" s="3" t="s">
        <v>20</v>
      </c>
      <c r="F1350" s="3" t="s">
        <v>21</v>
      </c>
      <c r="G1350" s="3" t="s">
        <v>22</v>
      </c>
      <c r="H1350">
        <v>30000</v>
      </c>
      <c r="I1350">
        <v>4</v>
      </c>
      <c r="J1350" s="3" t="s">
        <v>28</v>
      </c>
      <c r="K1350">
        <v>24000</v>
      </c>
      <c r="L1350">
        <v>120000</v>
      </c>
      <c r="M1350">
        <v>96000</v>
      </c>
      <c r="N1350">
        <v>24000</v>
      </c>
      <c r="O1350" s="3" t="s">
        <v>1451</v>
      </c>
      <c r="P1350" s="3" t="s">
        <v>102</v>
      </c>
      <c r="Q1350" s="3" t="s">
        <v>103</v>
      </c>
      <c r="R1350" s="3" t="s">
        <v>103</v>
      </c>
    </row>
    <row r="1351" spans="1:18">
      <c r="A1351" s="19">
        <v>47025</v>
      </c>
      <c r="B1351" s="3" t="s">
        <v>25</v>
      </c>
      <c r="C1351" s="3" t="s">
        <v>26</v>
      </c>
      <c r="D1351" s="3" t="s">
        <v>23</v>
      </c>
      <c r="E1351" s="3" t="s">
        <v>20</v>
      </c>
      <c r="F1351" s="3" t="s">
        <v>41</v>
      </c>
      <c r="G1351" s="3" t="s">
        <v>22</v>
      </c>
      <c r="H1351">
        <v>220000</v>
      </c>
      <c r="I1351">
        <v>8</v>
      </c>
      <c r="J1351" s="3" t="s">
        <v>37</v>
      </c>
      <c r="K1351">
        <v>176000</v>
      </c>
      <c r="L1351">
        <v>1760000</v>
      </c>
      <c r="M1351">
        <v>1408000</v>
      </c>
      <c r="N1351">
        <v>352000</v>
      </c>
      <c r="O1351" s="3" t="s">
        <v>1452</v>
      </c>
      <c r="P1351" s="3" t="s">
        <v>102</v>
      </c>
      <c r="Q1351" s="3" t="s">
        <v>103</v>
      </c>
      <c r="R1351" s="3" t="s">
        <v>103</v>
      </c>
    </row>
    <row r="1352" spans="1:18">
      <c r="A1352" s="19">
        <v>47026</v>
      </c>
      <c r="B1352" s="3" t="s">
        <v>11</v>
      </c>
      <c r="C1352" s="3" t="s">
        <v>32</v>
      </c>
      <c r="D1352" s="3" t="s">
        <v>23</v>
      </c>
      <c r="E1352" s="3" t="s">
        <v>20</v>
      </c>
      <c r="F1352" s="3" t="s">
        <v>34</v>
      </c>
      <c r="G1352" s="3" t="s">
        <v>16</v>
      </c>
      <c r="H1352">
        <v>320000</v>
      </c>
      <c r="I1352">
        <v>5</v>
      </c>
      <c r="J1352" s="3" t="s">
        <v>39</v>
      </c>
      <c r="K1352">
        <v>256000</v>
      </c>
      <c r="L1352">
        <v>1600000</v>
      </c>
      <c r="M1352">
        <v>1280000</v>
      </c>
      <c r="N1352">
        <v>320000</v>
      </c>
      <c r="O1352" s="3" t="s">
        <v>1453</v>
      </c>
      <c r="P1352" s="3" t="s">
        <v>102</v>
      </c>
      <c r="Q1352" s="3" t="s">
        <v>103</v>
      </c>
      <c r="R1352" s="3" t="s">
        <v>103</v>
      </c>
    </row>
    <row r="1353" spans="1:18">
      <c r="A1353" s="19">
        <v>47027</v>
      </c>
      <c r="B1353" s="3" t="s">
        <v>11</v>
      </c>
      <c r="C1353" s="3" t="s">
        <v>32</v>
      </c>
      <c r="D1353" s="3" t="s">
        <v>23</v>
      </c>
      <c r="E1353" s="3" t="s">
        <v>20</v>
      </c>
      <c r="F1353" s="3" t="s">
        <v>15</v>
      </c>
      <c r="G1353" s="3" t="s">
        <v>16</v>
      </c>
      <c r="H1353">
        <v>85000</v>
      </c>
      <c r="I1353">
        <v>3</v>
      </c>
      <c r="J1353" s="3" t="s">
        <v>37</v>
      </c>
      <c r="K1353">
        <v>68000</v>
      </c>
      <c r="L1353">
        <v>255000</v>
      </c>
      <c r="M1353">
        <v>204000</v>
      </c>
      <c r="N1353">
        <v>51000</v>
      </c>
      <c r="O1353" s="3" t="s">
        <v>1454</v>
      </c>
      <c r="P1353" s="3" t="s">
        <v>102</v>
      </c>
      <c r="Q1353" s="3" t="s">
        <v>103</v>
      </c>
      <c r="R1353" s="3" t="s">
        <v>103</v>
      </c>
    </row>
    <row r="1354" spans="1:18">
      <c r="A1354" s="19">
        <v>47028</v>
      </c>
      <c r="B1354" s="3" t="s">
        <v>18</v>
      </c>
      <c r="C1354" s="3" t="s">
        <v>26</v>
      </c>
      <c r="D1354" s="3" t="s">
        <v>13</v>
      </c>
      <c r="E1354" s="3" t="s">
        <v>20</v>
      </c>
      <c r="F1354" s="3" t="s">
        <v>34</v>
      </c>
      <c r="G1354" s="3" t="s">
        <v>16</v>
      </c>
      <c r="H1354">
        <v>320000</v>
      </c>
      <c r="I1354">
        <v>10</v>
      </c>
      <c r="J1354" s="3" t="s">
        <v>17</v>
      </c>
      <c r="K1354">
        <v>256000</v>
      </c>
      <c r="L1354">
        <v>3200000</v>
      </c>
      <c r="M1354">
        <v>2560000</v>
      </c>
      <c r="N1354">
        <v>640000</v>
      </c>
      <c r="O1354" s="3" t="s">
        <v>1455</v>
      </c>
      <c r="P1354" s="3" t="s">
        <v>102</v>
      </c>
      <c r="Q1354" s="3" t="s">
        <v>103</v>
      </c>
      <c r="R1354" s="3" t="s">
        <v>103</v>
      </c>
    </row>
    <row r="1355" spans="1:18">
      <c r="A1355" s="19">
        <v>47029</v>
      </c>
      <c r="B1355" s="3" t="s">
        <v>11</v>
      </c>
      <c r="C1355" s="3" t="s">
        <v>26</v>
      </c>
      <c r="D1355" s="3" t="s">
        <v>13</v>
      </c>
      <c r="E1355" s="3" t="s">
        <v>14</v>
      </c>
      <c r="F1355" s="3" t="s">
        <v>38</v>
      </c>
      <c r="G1355" s="3" t="s">
        <v>31</v>
      </c>
      <c r="H1355">
        <v>420000</v>
      </c>
      <c r="I1355">
        <v>2</v>
      </c>
      <c r="J1355" s="3" t="s">
        <v>39</v>
      </c>
      <c r="K1355">
        <v>336000</v>
      </c>
      <c r="L1355">
        <v>840000</v>
      </c>
      <c r="M1355">
        <v>672000</v>
      </c>
      <c r="N1355">
        <v>168000</v>
      </c>
      <c r="O1355" s="3" t="s">
        <v>1456</v>
      </c>
      <c r="P1355" s="3" t="s">
        <v>102</v>
      </c>
      <c r="Q1355" s="3" t="s">
        <v>103</v>
      </c>
      <c r="R1355" s="3" t="s">
        <v>103</v>
      </c>
    </row>
    <row r="1356" spans="1:18">
      <c r="A1356" s="19">
        <v>47030</v>
      </c>
      <c r="B1356" s="3" t="s">
        <v>29</v>
      </c>
      <c r="C1356" s="3" t="s">
        <v>32</v>
      </c>
      <c r="D1356" s="3" t="s">
        <v>13</v>
      </c>
      <c r="E1356" s="3" t="s">
        <v>14</v>
      </c>
      <c r="F1356" s="3" t="s">
        <v>21</v>
      </c>
      <c r="G1356" s="3" t="s">
        <v>22</v>
      </c>
      <c r="H1356">
        <v>30000</v>
      </c>
      <c r="I1356">
        <v>3</v>
      </c>
      <c r="J1356" s="3" t="s">
        <v>17</v>
      </c>
      <c r="K1356">
        <v>24000</v>
      </c>
      <c r="L1356">
        <v>90000</v>
      </c>
      <c r="M1356">
        <v>72000</v>
      </c>
      <c r="N1356">
        <v>18000</v>
      </c>
      <c r="O1356" s="3" t="s">
        <v>1457</v>
      </c>
      <c r="P1356" s="3" t="s">
        <v>102</v>
      </c>
      <c r="Q1356" s="3" t="s">
        <v>103</v>
      </c>
      <c r="R1356" s="3" t="s">
        <v>103</v>
      </c>
    </row>
    <row r="1357" spans="1:18">
      <c r="A1357" s="19">
        <v>47031</v>
      </c>
      <c r="B1357" s="3" t="s">
        <v>11</v>
      </c>
      <c r="C1357" s="3" t="s">
        <v>32</v>
      </c>
      <c r="D1357" s="3" t="s">
        <v>23</v>
      </c>
      <c r="E1357" s="3" t="s">
        <v>14</v>
      </c>
      <c r="F1357" s="3" t="s">
        <v>21</v>
      </c>
      <c r="G1357" s="3" t="s">
        <v>22</v>
      </c>
      <c r="H1357">
        <v>30000</v>
      </c>
      <c r="I1357">
        <v>1</v>
      </c>
      <c r="J1357" s="3" t="s">
        <v>39</v>
      </c>
      <c r="K1357">
        <v>24000</v>
      </c>
      <c r="L1357">
        <v>30000</v>
      </c>
      <c r="M1357">
        <v>24000</v>
      </c>
      <c r="N1357">
        <v>6000</v>
      </c>
      <c r="O1357" s="3" t="s">
        <v>1458</v>
      </c>
      <c r="P1357" s="3" t="s">
        <v>102</v>
      </c>
      <c r="Q1357" s="3" t="s">
        <v>103</v>
      </c>
      <c r="R1357" s="3" t="s">
        <v>103</v>
      </c>
    </row>
    <row r="1358" spans="1:18">
      <c r="A1358" s="19">
        <v>47032</v>
      </c>
      <c r="B1358" s="3" t="s">
        <v>18</v>
      </c>
      <c r="C1358" s="3" t="s">
        <v>26</v>
      </c>
      <c r="D1358" s="3" t="s">
        <v>13</v>
      </c>
      <c r="E1358" s="3" t="s">
        <v>20</v>
      </c>
      <c r="F1358" s="3" t="s">
        <v>38</v>
      </c>
      <c r="G1358" s="3" t="s">
        <v>31</v>
      </c>
      <c r="H1358">
        <v>420000</v>
      </c>
      <c r="I1358">
        <v>10</v>
      </c>
      <c r="J1358" s="3" t="s">
        <v>39</v>
      </c>
      <c r="K1358">
        <v>336000</v>
      </c>
      <c r="L1358">
        <v>4200000</v>
      </c>
      <c r="M1358">
        <v>3360000</v>
      </c>
      <c r="N1358">
        <v>840000</v>
      </c>
      <c r="O1358" s="3" t="s">
        <v>1459</v>
      </c>
      <c r="P1358" s="3" t="s">
        <v>102</v>
      </c>
      <c r="Q1358" s="3" t="s">
        <v>103</v>
      </c>
      <c r="R1358" s="3" t="s">
        <v>103</v>
      </c>
    </row>
    <row r="1359" spans="1:18">
      <c r="A1359" s="19">
        <v>47033</v>
      </c>
      <c r="B1359" s="3" t="s">
        <v>25</v>
      </c>
      <c r="C1359" s="3" t="s">
        <v>26</v>
      </c>
      <c r="D1359" s="3" t="s">
        <v>13</v>
      </c>
      <c r="E1359" s="3" t="s">
        <v>20</v>
      </c>
      <c r="F1359" s="3" t="s">
        <v>36</v>
      </c>
      <c r="G1359" s="3" t="s">
        <v>31</v>
      </c>
      <c r="H1359">
        <v>150000</v>
      </c>
      <c r="I1359">
        <v>8</v>
      </c>
      <c r="J1359" s="3" t="s">
        <v>17</v>
      </c>
      <c r="K1359">
        <v>120000</v>
      </c>
      <c r="L1359">
        <v>1200000</v>
      </c>
      <c r="M1359">
        <v>960000</v>
      </c>
      <c r="N1359">
        <v>240000</v>
      </c>
      <c r="O1359" s="3" t="s">
        <v>1460</v>
      </c>
      <c r="P1359" s="3" t="s">
        <v>102</v>
      </c>
      <c r="Q1359" s="3" t="s">
        <v>103</v>
      </c>
      <c r="R1359" s="3" t="s">
        <v>103</v>
      </c>
    </row>
    <row r="1360" spans="1:18">
      <c r="A1360" s="19">
        <v>47034</v>
      </c>
      <c r="B1360" s="3" t="s">
        <v>29</v>
      </c>
      <c r="C1360" s="3" t="s">
        <v>19</v>
      </c>
      <c r="D1360" s="3" t="s">
        <v>23</v>
      </c>
      <c r="E1360" s="3" t="s">
        <v>20</v>
      </c>
      <c r="F1360" s="3" t="s">
        <v>41</v>
      </c>
      <c r="G1360" s="3" t="s">
        <v>22</v>
      </c>
      <c r="H1360">
        <v>220000</v>
      </c>
      <c r="I1360">
        <v>8</v>
      </c>
      <c r="J1360" s="3" t="s">
        <v>17</v>
      </c>
      <c r="K1360">
        <v>176000</v>
      </c>
      <c r="L1360">
        <v>1760000</v>
      </c>
      <c r="M1360">
        <v>1408000</v>
      </c>
      <c r="N1360">
        <v>352000</v>
      </c>
      <c r="O1360" s="3" t="s">
        <v>1461</v>
      </c>
      <c r="P1360" s="3" t="s">
        <v>102</v>
      </c>
      <c r="Q1360" s="3" t="s">
        <v>103</v>
      </c>
      <c r="R1360" s="3" t="s">
        <v>103</v>
      </c>
    </row>
    <row r="1361" spans="1:18">
      <c r="A1361" s="19">
        <v>47035</v>
      </c>
      <c r="B1361" s="3" t="s">
        <v>18</v>
      </c>
      <c r="C1361" s="3" t="s">
        <v>32</v>
      </c>
      <c r="D1361" s="3" t="s">
        <v>13</v>
      </c>
      <c r="E1361" s="3" t="s">
        <v>20</v>
      </c>
      <c r="F1361" s="3" t="s">
        <v>34</v>
      </c>
      <c r="G1361" s="3" t="s">
        <v>16</v>
      </c>
      <c r="H1361">
        <v>320000</v>
      </c>
      <c r="I1361">
        <v>9</v>
      </c>
      <c r="J1361" s="3" t="s">
        <v>35</v>
      </c>
      <c r="K1361">
        <v>256000</v>
      </c>
      <c r="L1361">
        <v>2880000</v>
      </c>
      <c r="M1361">
        <v>2304000</v>
      </c>
      <c r="N1361">
        <v>576000</v>
      </c>
      <c r="O1361" s="3" t="s">
        <v>1462</v>
      </c>
      <c r="P1361" s="3" t="s">
        <v>102</v>
      </c>
      <c r="Q1361" s="3" t="s">
        <v>103</v>
      </c>
      <c r="R1361" s="3" t="s">
        <v>103</v>
      </c>
    </row>
    <row r="1362" spans="1:18">
      <c r="A1362" s="19">
        <v>47036</v>
      </c>
      <c r="B1362" s="3" t="s">
        <v>29</v>
      </c>
      <c r="C1362" s="3" t="s">
        <v>12</v>
      </c>
      <c r="D1362" s="3" t="s">
        <v>13</v>
      </c>
      <c r="E1362" s="3" t="s">
        <v>20</v>
      </c>
      <c r="F1362" s="3" t="s">
        <v>41</v>
      </c>
      <c r="G1362" s="3" t="s">
        <v>22</v>
      </c>
      <c r="H1362">
        <v>220000</v>
      </c>
      <c r="I1362">
        <v>3</v>
      </c>
      <c r="J1362" s="3" t="s">
        <v>39</v>
      </c>
      <c r="K1362">
        <v>176000</v>
      </c>
      <c r="L1362">
        <v>660000</v>
      </c>
      <c r="M1362">
        <v>528000</v>
      </c>
      <c r="N1362">
        <v>132000</v>
      </c>
      <c r="O1362" s="3" t="s">
        <v>1463</v>
      </c>
      <c r="P1362" s="3" t="s">
        <v>102</v>
      </c>
      <c r="Q1362" s="3" t="s">
        <v>103</v>
      </c>
      <c r="R1362" s="3" t="s">
        <v>103</v>
      </c>
    </row>
    <row r="1363" spans="1:18">
      <c r="A1363" s="19">
        <v>47037</v>
      </c>
      <c r="B1363" s="3" t="s">
        <v>11</v>
      </c>
      <c r="C1363" s="3" t="s">
        <v>26</v>
      </c>
      <c r="D1363" s="3" t="s">
        <v>23</v>
      </c>
      <c r="E1363" s="3" t="s">
        <v>14</v>
      </c>
      <c r="F1363" s="3" t="s">
        <v>33</v>
      </c>
      <c r="G1363" s="3" t="s">
        <v>22</v>
      </c>
      <c r="H1363">
        <v>180000</v>
      </c>
      <c r="I1363">
        <v>8</v>
      </c>
      <c r="J1363" s="3" t="s">
        <v>35</v>
      </c>
      <c r="K1363">
        <v>144000</v>
      </c>
      <c r="L1363">
        <v>1440000</v>
      </c>
      <c r="M1363">
        <v>1152000</v>
      </c>
      <c r="N1363">
        <v>288000</v>
      </c>
      <c r="O1363" s="3" t="s">
        <v>1464</v>
      </c>
      <c r="P1363" s="3" t="s">
        <v>102</v>
      </c>
      <c r="Q1363" s="3" t="s">
        <v>103</v>
      </c>
      <c r="R1363" s="3" t="s">
        <v>103</v>
      </c>
    </row>
    <row r="1364" spans="1:18">
      <c r="A1364" s="19">
        <v>47038</v>
      </c>
      <c r="B1364" s="3" t="s">
        <v>29</v>
      </c>
      <c r="C1364" s="3" t="s">
        <v>26</v>
      </c>
      <c r="D1364" s="3" t="s">
        <v>13</v>
      </c>
      <c r="E1364" s="3" t="s">
        <v>20</v>
      </c>
      <c r="F1364" s="3" t="s">
        <v>40</v>
      </c>
      <c r="G1364" s="3" t="s">
        <v>31</v>
      </c>
      <c r="H1364">
        <v>250000</v>
      </c>
      <c r="I1364">
        <v>4</v>
      </c>
      <c r="J1364" s="3" t="s">
        <v>28</v>
      </c>
      <c r="K1364">
        <v>200000</v>
      </c>
      <c r="L1364">
        <v>1000000</v>
      </c>
      <c r="M1364">
        <v>800000</v>
      </c>
      <c r="N1364">
        <v>200000</v>
      </c>
      <c r="O1364" s="3" t="s">
        <v>1465</v>
      </c>
      <c r="P1364" s="3" t="s">
        <v>102</v>
      </c>
      <c r="Q1364" s="3" t="s">
        <v>103</v>
      </c>
      <c r="R1364" s="3" t="s">
        <v>103</v>
      </c>
    </row>
    <row r="1365" spans="1:18">
      <c r="A1365" s="19">
        <v>47039</v>
      </c>
      <c r="B1365" s="3" t="s">
        <v>29</v>
      </c>
      <c r="C1365" s="3" t="s">
        <v>19</v>
      </c>
      <c r="D1365" s="3" t="s">
        <v>23</v>
      </c>
      <c r="E1365" s="3" t="s">
        <v>20</v>
      </c>
      <c r="F1365" s="3" t="s">
        <v>27</v>
      </c>
      <c r="G1365" s="3" t="s">
        <v>22</v>
      </c>
      <c r="H1365">
        <v>60000</v>
      </c>
      <c r="I1365">
        <v>7</v>
      </c>
      <c r="J1365" s="3" t="s">
        <v>35</v>
      </c>
      <c r="K1365">
        <v>48000</v>
      </c>
      <c r="L1365">
        <v>420000</v>
      </c>
      <c r="M1365">
        <v>336000</v>
      </c>
      <c r="N1365">
        <v>84000</v>
      </c>
      <c r="O1365" s="3" t="s">
        <v>1466</v>
      </c>
      <c r="P1365" s="3" t="s">
        <v>102</v>
      </c>
      <c r="Q1365" s="3" t="s">
        <v>103</v>
      </c>
      <c r="R1365" s="3" t="s">
        <v>103</v>
      </c>
    </row>
    <row r="1366" spans="1:18">
      <c r="A1366" s="19">
        <v>47040</v>
      </c>
      <c r="B1366" s="3" t="s">
        <v>29</v>
      </c>
      <c r="C1366" s="3" t="s">
        <v>12</v>
      </c>
      <c r="D1366" s="3" t="s">
        <v>23</v>
      </c>
      <c r="E1366" s="3" t="s">
        <v>20</v>
      </c>
      <c r="F1366" s="3" t="s">
        <v>41</v>
      </c>
      <c r="G1366" s="3" t="s">
        <v>22</v>
      </c>
      <c r="H1366">
        <v>220000</v>
      </c>
      <c r="I1366">
        <v>10</v>
      </c>
      <c r="J1366" s="3" t="s">
        <v>39</v>
      </c>
      <c r="K1366">
        <v>176000</v>
      </c>
      <c r="L1366">
        <v>2200000</v>
      </c>
      <c r="M1366">
        <v>1760000</v>
      </c>
      <c r="N1366">
        <v>440000</v>
      </c>
      <c r="O1366" s="3" t="s">
        <v>1467</v>
      </c>
      <c r="P1366" s="3" t="s">
        <v>102</v>
      </c>
      <c r="Q1366" s="3" t="s">
        <v>103</v>
      </c>
      <c r="R1366" s="3" t="s">
        <v>103</v>
      </c>
    </row>
    <row r="1367" spans="1:18">
      <c r="A1367" s="19">
        <v>47041</v>
      </c>
      <c r="B1367" s="3" t="s">
        <v>25</v>
      </c>
      <c r="C1367" s="3" t="s">
        <v>26</v>
      </c>
      <c r="D1367" s="3" t="s">
        <v>13</v>
      </c>
      <c r="E1367" s="3" t="s">
        <v>14</v>
      </c>
      <c r="F1367" s="3" t="s">
        <v>27</v>
      </c>
      <c r="G1367" s="3" t="s">
        <v>22</v>
      </c>
      <c r="H1367">
        <v>60000</v>
      </c>
      <c r="I1367">
        <v>9</v>
      </c>
      <c r="J1367" s="3" t="s">
        <v>39</v>
      </c>
      <c r="K1367">
        <v>48000</v>
      </c>
      <c r="L1367">
        <v>540000</v>
      </c>
      <c r="M1367">
        <v>432000</v>
      </c>
      <c r="N1367">
        <v>108000</v>
      </c>
      <c r="O1367" s="3" t="s">
        <v>1468</v>
      </c>
      <c r="P1367" s="3" t="s">
        <v>102</v>
      </c>
      <c r="Q1367" s="3" t="s">
        <v>103</v>
      </c>
      <c r="R1367" s="3" t="s">
        <v>103</v>
      </c>
    </row>
    <row r="1368" spans="1:18">
      <c r="A1368" s="19">
        <v>47042</v>
      </c>
      <c r="B1368" s="3" t="s">
        <v>11</v>
      </c>
      <c r="C1368" s="3" t="s">
        <v>26</v>
      </c>
      <c r="D1368" s="3" t="s">
        <v>23</v>
      </c>
      <c r="E1368" s="3" t="s">
        <v>14</v>
      </c>
      <c r="F1368" s="3" t="s">
        <v>27</v>
      </c>
      <c r="G1368" s="3" t="s">
        <v>22</v>
      </c>
      <c r="H1368">
        <v>60000</v>
      </c>
      <c r="I1368">
        <v>2</v>
      </c>
      <c r="J1368" s="3" t="s">
        <v>28</v>
      </c>
      <c r="K1368">
        <v>48000</v>
      </c>
      <c r="L1368">
        <v>120000</v>
      </c>
      <c r="M1368">
        <v>96000</v>
      </c>
      <c r="N1368">
        <v>24000</v>
      </c>
      <c r="O1368" s="3" t="s">
        <v>1469</v>
      </c>
      <c r="P1368" s="3" t="s">
        <v>102</v>
      </c>
      <c r="Q1368" s="3" t="s">
        <v>103</v>
      </c>
      <c r="R1368" s="3" t="s">
        <v>103</v>
      </c>
    </row>
    <row r="1369" spans="1:18">
      <c r="A1369" s="19">
        <v>47043</v>
      </c>
      <c r="B1369" s="3" t="s">
        <v>18</v>
      </c>
      <c r="C1369" s="3" t="s">
        <v>19</v>
      </c>
      <c r="D1369" s="3" t="s">
        <v>23</v>
      </c>
      <c r="E1369" s="3" t="s">
        <v>14</v>
      </c>
      <c r="F1369" s="3" t="s">
        <v>36</v>
      </c>
      <c r="G1369" s="3" t="s">
        <v>31</v>
      </c>
      <c r="H1369">
        <v>150000</v>
      </c>
      <c r="I1369">
        <v>3</v>
      </c>
      <c r="J1369" s="3" t="s">
        <v>17</v>
      </c>
      <c r="K1369">
        <v>120000</v>
      </c>
      <c r="L1369">
        <v>450000</v>
      </c>
      <c r="M1369">
        <v>360000</v>
      </c>
      <c r="N1369">
        <v>90000</v>
      </c>
      <c r="O1369" s="3" t="s">
        <v>1470</v>
      </c>
      <c r="P1369" s="3" t="s">
        <v>102</v>
      </c>
      <c r="Q1369" s="3" t="s">
        <v>103</v>
      </c>
      <c r="R1369" s="3" t="s">
        <v>103</v>
      </c>
    </row>
    <row r="1370" spans="1:18">
      <c r="A1370" s="19">
        <v>47044</v>
      </c>
      <c r="B1370" s="3" t="s">
        <v>11</v>
      </c>
      <c r="C1370" s="3" t="s">
        <v>19</v>
      </c>
      <c r="D1370" s="3" t="s">
        <v>23</v>
      </c>
      <c r="E1370" s="3" t="s">
        <v>14</v>
      </c>
      <c r="F1370" s="3" t="s">
        <v>36</v>
      </c>
      <c r="G1370" s="3" t="s">
        <v>31</v>
      </c>
      <c r="H1370">
        <v>150000</v>
      </c>
      <c r="I1370">
        <v>10</v>
      </c>
      <c r="J1370" s="3" t="s">
        <v>17</v>
      </c>
      <c r="K1370">
        <v>120000</v>
      </c>
      <c r="L1370">
        <v>1500000</v>
      </c>
      <c r="M1370">
        <v>1200000</v>
      </c>
      <c r="N1370">
        <v>300000</v>
      </c>
      <c r="O1370" s="3" t="s">
        <v>1471</v>
      </c>
      <c r="P1370" s="3" t="s">
        <v>102</v>
      </c>
      <c r="Q1370" s="3" t="s">
        <v>103</v>
      </c>
      <c r="R1370" s="3" t="s">
        <v>103</v>
      </c>
    </row>
    <row r="1371" spans="1:18">
      <c r="A1371" s="19">
        <v>47045</v>
      </c>
      <c r="B1371" s="3" t="s">
        <v>29</v>
      </c>
      <c r="C1371" s="3" t="s">
        <v>26</v>
      </c>
      <c r="D1371" s="3" t="s">
        <v>23</v>
      </c>
      <c r="E1371" s="3" t="s">
        <v>14</v>
      </c>
      <c r="F1371" s="3" t="s">
        <v>36</v>
      </c>
      <c r="G1371" s="3" t="s">
        <v>31</v>
      </c>
      <c r="H1371">
        <v>150000</v>
      </c>
      <c r="I1371">
        <v>9</v>
      </c>
      <c r="J1371" s="3" t="s">
        <v>35</v>
      </c>
      <c r="K1371">
        <v>120000</v>
      </c>
      <c r="L1371">
        <v>1350000</v>
      </c>
      <c r="M1371">
        <v>1080000</v>
      </c>
      <c r="N1371">
        <v>270000</v>
      </c>
      <c r="O1371" s="3" t="s">
        <v>1472</v>
      </c>
      <c r="P1371" s="3" t="s">
        <v>102</v>
      </c>
      <c r="Q1371" s="3" t="s">
        <v>103</v>
      </c>
      <c r="R1371" s="3" t="s">
        <v>103</v>
      </c>
    </row>
    <row r="1372" spans="1:18">
      <c r="A1372" s="19">
        <v>47046</v>
      </c>
      <c r="B1372" s="3" t="s">
        <v>11</v>
      </c>
      <c r="C1372" s="3" t="s">
        <v>32</v>
      </c>
      <c r="D1372" s="3" t="s">
        <v>13</v>
      </c>
      <c r="E1372" s="3" t="s">
        <v>14</v>
      </c>
      <c r="F1372" s="3" t="s">
        <v>34</v>
      </c>
      <c r="G1372" s="3" t="s">
        <v>16</v>
      </c>
      <c r="H1372">
        <v>320000</v>
      </c>
      <c r="I1372">
        <v>5</v>
      </c>
      <c r="J1372" s="3" t="s">
        <v>39</v>
      </c>
      <c r="K1372">
        <v>256000</v>
      </c>
      <c r="L1372">
        <v>1600000</v>
      </c>
      <c r="M1372">
        <v>1280000</v>
      </c>
      <c r="N1372">
        <v>320000</v>
      </c>
      <c r="O1372" s="3" t="s">
        <v>1473</v>
      </c>
      <c r="P1372" s="3" t="s">
        <v>102</v>
      </c>
      <c r="Q1372" s="3" t="s">
        <v>103</v>
      </c>
      <c r="R1372" s="3" t="s">
        <v>103</v>
      </c>
    </row>
    <row r="1373" spans="1:18">
      <c r="A1373" s="19">
        <v>47047</v>
      </c>
      <c r="B1373" s="3" t="s">
        <v>18</v>
      </c>
      <c r="C1373" s="3" t="s">
        <v>32</v>
      </c>
      <c r="D1373" s="3" t="s">
        <v>13</v>
      </c>
      <c r="E1373" s="3" t="s">
        <v>14</v>
      </c>
      <c r="F1373" s="3" t="s">
        <v>33</v>
      </c>
      <c r="G1373" s="3" t="s">
        <v>22</v>
      </c>
      <c r="H1373">
        <v>180000</v>
      </c>
      <c r="I1373">
        <v>3</v>
      </c>
      <c r="J1373" s="3" t="s">
        <v>17</v>
      </c>
      <c r="K1373">
        <v>144000</v>
      </c>
      <c r="L1373">
        <v>540000</v>
      </c>
      <c r="M1373">
        <v>432000</v>
      </c>
      <c r="N1373">
        <v>108000</v>
      </c>
      <c r="O1373" s="3" t="s">
        <v>1474</v>
      </c>
      <c r="P1373" s="3" t="s">
        <v>102</v>
      </c>
      <c r="Q1373" s="3" t="s">
        <v>103</v>
      </c>
      <c r="R1373" s="3" t="s">
        <v>103</v>
      </c>
    </row>
    <row r="1374" spans="1:18">
      <c r="A1374" s="19">
        <v>47048</v>
      </c>
      <c r="B1374" s="3" t="s">
        <v>11</v>
      </c>
      <c r="C1374" s="3" t="s">
        <v>26</v>
      </c>
      <c r="D1374" s="3" t="s">
        <v>23</v>
      </c>
      <c r="E1374" s="3" t="s">
        <v>14</v>
      </c>
      <c r="F1374" s="3" t="s">
        <v>15</v>
      </c>
      <c r="G1374" s="3" t="s">
        <v>16</v>
      </c>
      <c r="H1374">
        <v>85000</v>
      </c>
      <c r="I1374">
        <v>4</v>
      </c>
      <c r="J1374" s="3" t="s">
        <v>35</v>
      </c>
      <c r="K1374">
        <v>68000</v>
      </c>
      <c r="L1374">
        <v>340000</v>
      </c>
      <c r="M1374">
        <v>272000</v>
      </c>
      <c r="N1374">
        <v>68000</v>
      </c>
      <c r="O1374" s="3" t="s">
        <v>1475</v>
      </c>
      <c r="P1374" s="3" t="s">
        <v>102</v>
      </c>
      <c r="Q1374" s="3" t="s">
        <v>103</v>
      </c>
      <c r="R1374" s="3" t="s">
        <v>103</v>
      </c>
    </row>
    <row r="1375" spans="1:18">
      <c r="A1375" s="19">
        <v>47049</v>
      </c>
      <c r="B1375" s="3" t="s">
        <v>11</v>
      </c>
      <c r="C1375" s="3" t="s">
        <v>32</v>
      </c>
      <c r="D1375" s="3" t="s">
        <v>23</v>
      </c>
      <c r="E1375" s="3" t="s">
        <v>20</v>
      </c>
      <c r="F1375" s="3" t="s">
        <v>34</v>
      </c>
      <c r="G1375" s="3" t="s">
        <v>16</v>
      </c>
      <c r="H1375">
        <v>320000</v>
      </c>
      <c r="I1375">
        <v>7</v>
      </c>
      <c r="J1375" s="3" t="s">
        <v>39</v>
      </c>
      <c r="K1375">
        <v>256000</v>
      </c>
      <c r="L1375">
        <v>2240000</v>
      </c>
      <c r="M1375">
        <v>1792000</v>
      </c>
      <c r="N1375">
        <v>448000</v>
      </c>
      <c r="O1375" s="3" t="s">
        <v>1476</v>
      </c>
      <c r="P1375" s="3" t="s">
        <v>102</v>
      </c>
      <c r="Q1375" s="3" t="s">
        <v>103</v>
      </c>
      <c r="R1375" s="3" t="s">
        <v>103</v>
      </c>
    </row>
    <row r="1376" spans="1:18">
      <c r="A1376" s="19">
        <v>47050</v>
      </c>
      <c r="B1376" s="3" t="s">
        <v>25</v>
      </c>
      <c r="C1376" s="3" t="s">
        <v>19</v>
      </c>
      <c r="D1376" s="3" t="s">
        <v>13</v>
      </c>
      <c r="E1376" s="3" t="s">
        <v>20</v>
      </c>
      <c r="F1376" s="3" t="s">
        <v>41</v>
      </c>
      <c r="G1376" s="3" t="s">
        <v>22</v>
      </c>
      <c r="H1376">
        <v>220000</v>
      </c>
      <c r="I1376">
        <v>5</v>
      </c>
      <c r="J1376" s="3" t="s">
        <v>35</v>
      </c>
      <c r="K1376">
        <v>176000</v>
      </c>
      <c r="L1376">
        <v>1100000</v>
      </c>
      <c r="M1376">
        <v>880000</v>
      </c>
      <c r="N1376">
        <v>220000</v>
      </c>
      <c r="O1376" s="3" t="s">
        <v>1477</v>
      </c>
      <c r="P1376" s="3" t="s">
        <v>102</v>
      </c>
      <c r="Q1376" s="3" t="s">
        <v>103</v>
      </c>
      <c r="R1376" s="3" t="s">
        <v>103</v>
      </c>
    </row>
    <row r="1377" spans="1:18">
      <c r="A1377" s="19">
        <v>47051</v>
      </c>
      <c r="B1377" s="3" t="s">
        <v>25</v>
      </c>
      <c r="C1377" s="3" t="s">
        <v>19</v>
      </c>
      <c r="D1377" s="3" t="s">
        <v>23</v>
      </c>
      <c r="E1377" s="3" t="s">
        <v>20</v>
      </c>
      <c r="F1377" s="3" t="s">
        <v>36</v>
      </c>
      <c r="G1377" s="3" t="s">
        <v>31</v>
      </c>
      <c r="H1377">
        <v>150000</v>
      </c>
      <c r="I1377">
        <v>3</v>
      </c>
      <c r="J1377" s="3" t="s">
        <v>17</v>
      </c>
      <c r="K1377">
        <v>120000</v>
      </c>
      <c r="L1377">
        <v>450000</v>
      </c>
      <c r="M1377">
        <v>360000</v>
      </c>
      <c r="N1377">
        <v>90000</v>
      </c>
      <c r="O1377" s="3" t="s">
        <v>1478</v>
      </c>
      <c r="P1377" s="3" t="s">
        <v>102</v>
      </c>
      <c r="Q1377" s="3" t="s">
        <v>103</v>
      </c>
      <c r="R1377" s="3" t="s">
        <v>103</v>
      </c>
    </row>
    <row r="1378" spans="1:18">
      <c r="A1378" s="19">
        <v>47052</v>
      </c>
      <c r="B1378" s="3" t="s">
        <v>11</v>
      </c>
      <c r="C1378" s="3" t="s">
        <v>19</v>
      </c>
      <c r="D1378" s="3" t="s">
        <v>23</v>
      </c>
      <c r="E1378" s="3" t="s">
        <v>14</v>
      </c>
      <c r="F1378" s="3" t="s">
        <v>38</v>
      </c>
      <c r="G1378" s="3" t="s">
        <v>31</v>
      </c>
      <c r="H1378">
        <v>420000</v>
      </c>
      <c r="I1378">
        <v>8</v>
      </c>
      <c r="J1378" s="3" t="s">
        <v>24</v>
      </c>
      <c r="K1378">
        <v>336000</v>
      </c>
      <c r="L1378">
        <v>3360000</v>
      </c>
      <c r="M1378">
        <v>2688000</v>
      </c>
      <c r="N1378">
        <v>672000</v>
      </c>
      <c r="O1378" s="3" t="s">
        <v>1479</v>
      </c>
      <c r="P1378" s="3" t="s">
        <v>102</v>
      </c>
      <c r="Q1378" s="3" t="s">
        <v>103</v>
      </c>
      <c r="R1378" s="3" t="s">
        <v>103</v>
      </c>
    </row>
    <row r="1379" spans="1:18">
      <c r="A1379" s="19">
        <v>47053</v>
      </c>
      <c r="B1379" s="3" t="s">
        <v>18</v>
      </c>
      <c r="C1379" s="3" t="s">
        <v>32</v>
      </c>
      <c r="D1379" s="3" t="s">
        <v>13</v>
      </c>
      <c r="E1379" s="3" t="s">
        <v>14</v>
      </c>
      <c r="F1379" s="3" t="s">
        <v>41</v>
      </c>
      <c r="G1379" s="3" t="s">
        <v>22</v>
      </c>
      <c r="H1379">
        <v>220000</v>
      </c>
      <c r="I1379">
        <v>9</v>
      </c>
      <c r="J1379" s="3" t="s">
        <v>24</v>
      </c>
      <c r="K1379">
        <v>176000</v>
      </c>
      <c r="L1379">
        <v>1980000</v>
      </c>
      <c r="M1379">
        <v>1584000</v>
      </c>
      <c r="N1379">
        <v>396000</v>
      </c>
      <c r="O1379" s="3" t="s">
        <v>1480</v>
      </c>
      <c r="P1379" s="3" t="s">
        <v>102</v>
      </c>
      <c r="Q1379" s="3" t="s">
        <v>103</v>
      </c>
      <c r="R1379" s="3" t="s">
        <v>103</v>
      </c>
    </row>
    <row r="1380" spans="1:18">
      <c r="A1380" s="19">
        <v>47054</v>
      </c>
      <c r="B1380" s="3" t="s">
        <v>29</v>
      </c>
      <c r="C1380" s="3" t="s">
        <v>12</v>
      </c>
      <c r="D1380" s="3" t="s">
        <v>13</v>
      </c>
      <c r="E1380" s="3" t="s">
        <v>14</v>
      </c>
      <c r="F1380" s="3" t="s">
        <v>38</v>
      </c>
      <c r="G1380" s="3" t="s">
        <v>31</v>
      </c>
      <c r="H1380">
        <v>420000</v>
      </c>
      <c r="I1380">
        <v>3</v>
      </c>
      <c r="J1380" s="3" t="s">
        <v>39</v>
      </c>
      <c r="K1380">
        <v>336000</v>
      </c>
      <c r="L1380">
        <v>1260000</v>
      </c>
      <c r="M1380">
        <v>1008000</v>
      </c>
      <c r="N1380">
        <v>252000</v>
      </c>
      <c r="O1380" s="3" t="s">
        <v>1481</v>
      </c>
      <c r="P1380" s="3" t="s">
        <v>102</v>
      </c>
      <c r="Q1380" s="3" t="s">
        <v>103</v>
      </c>
      <c r="R1380" s="3" t="s">
        <v>103</v>
      </c>
    </row>
    <row r="1381" spans="1:18">
      <c r="A1381" s="19">
        <v>47055</v>
      </c>
      <c r="B1381" s="3" t="s">
        <v>29</v>
      </c>
      <c r="C1381" s="3" t="s">
        <v>12</v>
      </c>
      <c r="D1381" s="3" t="s">
        <v>13</v>
      </c>
      <c r="E1381" s="3" t="s">
        <v>20</v>
      </c>
      <c r="F1381" s="3" t="s">
        <v>40</v>
      </c>
      <c r="G1381" s="3" t="s">
        <v>31</v>
      </c>
      <c r="H1381">
        <v>250000</v>
      </c>
      <c r="I1381">
        <v>1</v>
      </c>
      <c r="J1381" s="3" t="s">
        <v>28</v>
      </c>
      <c r="K1381">
        <v>200000</v>
      </c>
      <c r="L1381">
        <v>250000</v>
      </c>
      <c r="M1381">
        <v>200000</v>
      </c>
      <c r="N1381">
        <v>50000</v>
      </c>
      <c r="O1381" s="3" t="s">
        <v>1482</v>
      </c>
      <c r="P1381" s="3" t="s">
        <v>102</v>
      </c>
      <c r="Q1381" s="3" t="s">
        <v>103</v>
      </c>
      <c r="R1381" s="3" t="s">
        <v>103</v>
      </c>
    </row>
    <row r="1382" spans="1:18">
      <c r="A1382" s="19">
        <v>47056</v>
      </c>
      <c r="B1382" s="3" t="s">
        <v>18</v>
      </c>
      <c r="C1382" s="3" t="s">
        <v>19</v>
      </c>
      <c r="D1382" s="3" t="s">
        <v>13</v>
      </c>
      <c r="E1382" s="3" t="s">
        <v>20</v>
      </c>
      <c r="F1382" s="3" t="s">
        <v>34</v>
      </c>
      <c r="G1382" s="3" t="s">
        <v>16</v>
      </c>
      <c r="H1382">
        <v>320000</v>
      </c>
      <c r="I1382">
        <v>7</v>
      </c>
      <c r="J1382" s="3" t="s">
        <v>37</v>
      </c>
      <c r="K1382">
        <v>256000</v>
      </c>
      <c r="L1382">
        <v>2240000</v>
      </c>
      <c r="M1382">
        <v>1792000</v>
      </c>
      <c r="N1382">
        <v>448000</v>
      </c>
      <c r="O1382" s="3" t="s">
        <v>1483</v>
      </c>
      <c r="P1382" s="3" t="s">
        <v>102</v>
      </c>
      <c r="Q1382" s="3" t="s">
        <v>103</v>
      </c>
      <c r="R1382" s="3" t="s">
        <v>103</v>
      </c>
    </row>
    <row r="1383" spans="1:18">
      <c r="A1383" s="19">
        <v>47057</v>
      </c>
      <c r="B1383" s="3" t="s">
        <v>29</v>
      </c>
      <c r="C1383" s="3" t="s">
        <v>19</v>
      </c>
      <c r="D1383" s="3" t="s">
        <v>13</v>
      </c>
      <c r="E1383" s="3" t="s">
        <v>14</v>
      </c>
      <c r="F1383" s="3" t="s">
        <v>38</v>
      </c>
      <c r="G1383" s="3" t="s">
        <v>31</v>
      </c>
      <c r="H1383">
        <v>420000</v>
      </c>
      <c r="I1383">
        <v>2</v>
      </c>
      <c r="J1383" s="3" t="s">
        <v>39</v>
      </c>
      <c r="K1383">
        <v>336000</v>
      </c>
      <c r="L1383">
        <v>840000</v>
      </c>
      <c r="M1383">
        <v>672000</v>
      </c>
      <c r="N1383">
        <v>168000</v>
      </c>
      <c r="O1383" s="3" t="s">
        <v>1484</v>
      </c>
      <c r="P1383" s="3" t="s">
        <v>102</v>
      </c>
      <c r="Q1383" s="3" t="s">
        <v>103</v>
      </c>
      <c r="R1383" s="3" t="s">
        <v>103</v>
      </c>
    </row>
    <row r="1384" spans="1:18">
      <c r="A1384" s="19">
        <v>47058</v>
      </c>
      <c r="B1384" s="3" t="s">
        <v>25</v>
      </c>
      <c r="C1384" s="3" t="s">
        <v>12</v>
      </c>
      <c r="D1384" s="3" t="s">
        <v>13</v>
      </c>
      <c r="E1384" s="3" t="s">
        <v>20</v>
      </c>
      <c r="F1384" s="3" t="s">
        <v>34</v>
      </c>
      <c r="G1384" s="3" t="s">
        <v>16</v>
      </c>
      <c r="H1384">
        <v>320000</v>
      </c>
      <c r="I1384">
        <v>3</v>
      </c>
      <c r="J1384" s="3" t="s">
        <v>28</v>
      </c>
      <c r="K1384">
        <v>256000</v>
      </c>
      <c r="L1384">
        <v>960000</v>
      </c>
      <c r="M1384">
        <v>768000</v>
      </c>
      <c r="N1384">
        <v>192000</v>
      </c>
      <c r="O1384" s="3" t="s">
        <v>1485</v>
      </c>
      <c r="P1384" s="3" t="s">
        <v>102</v>
      </c>
      <c r="Q1384" s="3" t="s">
        <v>103</v>
      </c>
      <c r="R1384" s="3" t="s">
        <v>103</v>
      </c>
    </row>
    <row r="1385" spans="1:18">
      <c r="A1385" s="19">
        <v>47059</v>
      </c>
      <c r="B1385" s="3" t="s">
        <v>25</v>
      </c>
      <c r="C1385" s="3" t="s">
        <v>12</v>
      </c>
      <c r="D1385" s="3" t="s">
        <v>23</v>
      </c>
      <c r="E1385" s="3" t="s">
        <v>14</v>
      </c>
      <c r="F1385" s="3" t="s">
        <v>36</v>
      </c>
      <c r="G1385" s="3" t="s">
        <v>31</v>
      </c>
      <c r="H1385">
        <v>150000</v>
      </c>
      <c r="I1385">
        <v>2</v>
      </c>
      <c r="J1385" s="3" t="s">
        <v>37</v>
      </c>
      <c r="K1385">
        <v>120000</v>
      </c>
      <c r="L1385">
        <v>300000</v>
      </c>
      <c r="M1385">
        <v>240000</v>
      </c>
      <c r="N1385">
        <v>60000</v>
      </c>
      <c r="O1385" s="3" t="s">
        <v>1486</v>
      </c>
      <c r="P1385" s="3" t="s">
        <v>102</v>
      </c>
      <c r="Q1385" s="3" t="s">
        <v>103</v>
      </c>
      <c r="R1385" s="3" t="s">
        <v>103</v>
      </c>
    </row>
    <row r="1386" spans="1:18">
      <c r="A1386" s="19">
        <v>47060</v>
      </c>
      <c r="B1386" s="3" t="s">
        <v>11</v>
      </c>
      <c r="C1386" s="3" t="s">
        <v>19</v>
      </c>
      <c r="D1386" s="3" t="s">
        <v>23</v>
      </c>
      <c r="E1386" s="3" t="s">
        <v>20</v>
      </c>
      <c r="F1386" s="3" t="s">
        <v>38</v>
      </c>
      <c r="G1386" s="3" t="s">
        <v>31</v>
      </c>
      <c r="H1386">
        <v>420000</v>
      </c>
      <c r="I1386">
        <v>8</v>
      </c>
      <c r="J1386" s="3" t="s">
        <v>28</v>
      </c>
      <c r="K1386">
        <v>336000</v>
      </c>
      <c r="L1386">
        <v>3360000</v>
      </c>
      <c r="M1386">
        <v>2688000</v>
      </c>
      <c r="N1386">
        <v>672000</v>
      </c>
      <c r="O1386" s="3" t="s">
        <v>1487</v>
      </c>
      <c r="P1386" s="3" t="s">
        <v>102</v>
      </c>
      <c r="Q1386" s="3" t="s">
        <v>103</v>
      </c>
      <c r="R1386" s="3" t="s">
        <v>103</v>
      </c>
    </row>
    <row r="1387" spans="1:18">
      <c r="A1387" s="19">
        <v>47061</v>
      </c>
      <c r="B1387" s="3" t="s">
        <v>18</v>
      </c>
      <c r="C1387" s="3" t="s">
        <v>12</v>
      </c>
      <c r="D1387" s="3" t="s">
        <v>23</v>
      </c>
      <c r="E1387" s="3" t="s">
        <v>20</v>
      </c>
      <c r="F1387" s="3" t="s">
        <v>38</v>
      </c>
      <c r="G1387" s="3" t="s">
        <v>31</v>
      </c>
      <c r="H1387">
        <v>420000</v>
      </c>
      <c r="I1387">
        <v>1</v>
      </c>
      <c r="J1387" s="3" t="s">
        <v>39</v>
      </c>
      <c r="K1387">
        <v>336000</v>
      </c>
      <c r="L1387">
        <v>420000</v>
      </c>
      <c r="M1387">
        <v>336000</v>
      </c>
      <c r="N1387">
        <v>84000</v>
      </c>
      <c r="O1387" s="3" t="s">
        <v>1488</v>
      </c>
      <c r="P1387" s="3" t="s">
        <v>102</v>
      </c>
      <c r="Q1387" s="3" t="s">
        <v>103</v>
      </c>
      <c r="R1387" s="3" t="s">
        <v>103</v>
      </c>
    </row>
    <row r="1388" spans="1:18">
      <c r="A1388" s="19">
        <v>47062</v>
      </c>
      <c r="B1388" s="3" t="s">
        <v>11</v>
      </c>
      <c r="C1388" s="3" t="s">
        <v>32</v>
      </c>
      <c r="D1388" s="3" t="s">
        <v>13</v>
      </c>
      <c r="E1388" s="3" t="s">
        <v>14</v>
      </c>
      <c r="F1388" s="3" t="s">
        <v>30</v>
      </c>
      <c r="G1388" s="3" t="s">
        <v>31</v>
      </c>
      <c r="H1388">
        <v>300000</v>
      </c>
      <c r="I1388">
        <v>5</v>
      </c>
      <c r="J1388" s="3" t="s">
        <v>35</v>
      </c>
      <c r="K1388">
        <v>240000</v>
      </c>
      <c r="L1388">
        <v>1500000</v>
      </c>
      <c r="M1388">
        <v>1200000</v>
      </c>
      <c r="N1388">
        <v>300000</v>
      </c>
      <c r="O1388" s="3" t="s">
        <v>1489</v>
      </c>
      <c r="P1388" s="3" t="s">
        <v>102</v>
      </c>
      <c r="Q1388" s="3" t="s">
        <v>103</v>
      </c>
      <c r="R1388" s="3" t="s">
        <v>103</v>
      </c>
    </row>
    <row r="1389" spans="1:18">
      <c r="A1389" s="19">
        <v>47063</v>
      </c>
      <c r="B1389" s="3" t="s">
        <v>18</v>
      </c>
      <c r="C1389" s="3" t="s">
        <v>12</v>
      </c>
      <c r="D1389" s="3" t="s">
        <v>13</v>
      </c>
      <c r="E1389" s="3" t="s">
        <v>20</v>
      </c>
      <c r="F1389" s="3" t="s">
        <v>33</v>
      </c>
      <c r="G1389" s="3" t="s">
        <v>22</v>
      </c>
      <c r="H1389">
        <v>180000</v>
      </c>
      <c r="I1389">
        <v>7</v>
      </c>
      <c r="J1389" s="3" t="s">
        <v>37</v>
      </c>
      <c r="K1389">
        <v>144000</v>
      </c>
      <c r="L1389">
        <v>1260000</v>
      </c>
      <c r="M1389">
        <v>1008000</v>
      </c>
      <c r="N1389">
        <v>252000</v>
      </c>
      <c r="O1389" s="3" t="s">
        <v>1490</v>
      </c>
      <c r="P1389" s="3" t="s">
        <v>102</v>
      </c>
      <c r="Q1389" s="3" t="s">
        <v>103</v>
      </c>
      <c r="R1389" s="3" t="s">
        <v>103</v>
      </c>
    </row>
    <row r="1390" spans="1:18">
      <c r="A1390" s="19">
        <v>47064</v>
      </c>
      <c r="B1390" s="3" t="s">
        <v>11</v>
      </c>
      <c r="C1390" s="3" t="s">
        <v>32</v>
      </c>
      <c r="D1390" s="3" t="s">
        <v>13</v>
      </c>
      <c r="E1390" s="3" t="s">
        <v>20</v>
      </c>
      <c r="F1390" s="3" t="s">
        <v>36</v>
      </c>
      <c r="G1390" s="3" t="s">
        <v>31</v>
      </c>
      <c r="H1390">
        <v>150000</v>
      </c>
      <c r="I1390">
        <v>10</v>
      </c>
      <c r="J1390" s="3" t="s">
        <v>24</v>
      </c>
      <c r="K1390">
        <v>120000</v>
      </c>
      <c r="L1390">
        <v>1500000</v>
      </c>
      <c r="M1390">
        <v>1200000</v>
      </c>
      <c r="N1390">
        <v>300000</v>
      </c>
      <c r="O1390" s="3" t="s">
        <v>1491</v>
      </c>
      <c r="P1390" s="3" t="s">
        <v>102</v>
      </c>
      <c r="Q1390" s="3" t="s">
        <v>103</v>
      </c>
      <c r="R1390" s="3" t="s">
        <v>103</v>
      </c>
    </row>
    <row r="1391" spans="1:18">
      <c r="A1391" s="19">
        <v>47065</v>
      </c>
      <c r="B1391" s="3" t="s">
        <v>11</v>
      </c>
      <c r="C1391" s="3" t="s">
        <v>32</v>
      </c>
      <c r="D1391" s="3" t="s">
        <v>23</v>
      </c>
      <c r="E1391" s="3" t="s">
        <v>14</v>
      </c>
      <c r="F1391" s="3" t="s">
        <v>30</v>
      </c>
      <c r="G1391" s="3" t="s">
        <v>31</v>
      </c>
      <c r="H1391">
        <v>300000</v>
      </c>
      <c r="I1391">
        <v>7</v>
      </c>
      <c r="J1391" s="3" t="s">
        <v>35</v>
      </c>
      <c r="K1391">
        <v>240000</v>
      </c>
      <c r="L1391">
        <v>2100000</v>
      </c>
      <c r="M1391">
        <v>1680000</v>
      </c>
      <c r="N1391">
        <v>420000</v>
      </c>
      <c r="O1391" s="3" t="s">
        <v>1492</v>
      </c>
      <c r="P1391" s="3" t="s">
        <v>102</v>
      </c>
      <c r="Q1391" s="3" t="s">
        <v>103</v>
      </c>
      <c r="R1391" s="3" t="s">
        <v>103</v>
      </c>
    </row>
    <row r="1392" spans="1:18">
      <c r="A1392" s="19">
        <v>47066</v>
      </c>
      <c r="B1392" s="3" t="s">
        <v>29</v>
      </c>
      <c r="C1392" s="3" t="s">
        <v>19</v>
      </c>
      <c r="D1392" s="3" t="s">
        <v>13</v>
      </c>
      <c r="E1392" s="3" t="s">
        <v>20</v>
      </c>
      <c r="F1392" s="3" t="s">
        <v>41</v>
      </c>
      <c r="G1392" s="3" t="s">
        <v>22</v>
      </c>
      <c r="H1392">
        <v>220000</v>
      </c>
      <c r="I1392">
        <v>2</v>
      </c>
      <c r="J1392" s="3" t="s">
        <v>17</v>
      </c>
      <c r="K1392">
        <v>176000</v>
      </c>
      <c r="L1392">
        <v>440000</v>
      </c>
      <c r="M1392">
        <v>352000</v>
      </c>
      <c r="N1392">
        <v>88000</v>
      </c>
      <c r="O1392" s="3" t="s">
        <v>1493</v>
      </c>
      <c r="P1392" s="3" t="s">
        <v>102</v>
      </c>
      <c r="Q1392" s="3" t="s">
        <v>103</v>
      </c>
      <c r="R1392" s="3" t="s">
        <v>103</v>
      </c>
    </row>
    <row r="1393" spans="1:18">
      <c r="A1393" s="19">
        <v>47067</v>
      </c>
      <c r="B1393" s="3" t="s">
        <v>18</v>
      </c>
      <c r="C1393" s="3" t="s">
        <v>12</v>
      </c>
      <c r="D1393" s="3" t="s">
        <v>13</v>
      </c>
      <c r="E1393" s="3" t="s">
        <v>20</v>
      </c>
      <c r="F1393" s="3" t="s">
        <v>15</v>
      </c>
      <c r="G1393" s="3" t="s">
        <v>16</v>
      </c>
      <c r="H1393">
        <v>85000</v>
      </c>
      <c r="I1393">
        <v>8</v>
      </c>
      <c r="J1393" s="3" t="s">
        <v>28</v>
      </c>
      <c r="K1393">
        <v>68000</v>
      </c>
      <c r="L1393">
        <v>680000</v>
      </c>
      <c r="M1393">
        <v>544000</v>
      </c>
      <c r="N1393">
        <v>136000</v>
      </c>
      <c r="O1393" s="3" t="s">
        <v>1494</v>
      </c>
      <c r="P1393" s="3" t="s">
        <v>102</v>
      </c>
      <c r="Q1393" s="3" t="s">
        <v>103</v>
      </c>
      <c r="R1393" s="3" t="s">
        <v>103</v>
      </c>
    </row>
    <row r="1394" spans="1:18">
      <c r="A1394" s="19">
        <v>47068</v>
      </c>
      <c r="B1394" s="3" t="s">
        <v>11</v>
      </c>
      <c r="C1394" s="3" t="s">
        <v>19</v>
      </c>
      <c r="D1394" s="3" t="s">
        <v>13</v>
      </c>
      <c r="E1394" s="3" t="s">
        <v>14</v>
      </c>
      <c r="F1394" s="3" t="s">
        <v>41</v>
      </c>
      <c r="G1394" s="3" t="s">
        <v>22</v>
      </c>
      <c r="H1394">
        <v>220000</v>
      </c>
      <c r="I1394">
        <v>7</v>
      </c>
      <c r="J1394" s="3" t="s">
        <v>39</v>
      </c>
      <c r="K1394">
        <v>176000</v>
      </c>
      <c r="L1394">
        <v>1540000</v>
      </c>
      <c r="M1394">
        <v>1232000</v>
      </c>
      <c r="N1394">
        <v>308000</v>
      </c>
      <c r="O1394" s="3" t="s">
        <v>1495</v>
      </c>
      <c r="P1394" s="3" t="s">
        <v>102</v>
      </c>
      <c r="Q1394" s="3" t="s">
        <v>103</v>
      </c>
      <c r="R1394" s="3" t="s">
        <v>103</v>
      </c>
    </row>
    <row r="1395" spans="1:18">
      <c r="A1395" s="19">
        <v>47069</v>
      </c>
      <c r="B1395" s="3" t="s">
        <v>29</v>
      </c>
      <c r="C1395" s="3" t="s">
        <v>32</v>
      </c>
      <c r="D1395" s="3" t="s">
        <v>13</v>
      </c>
      <c r="E1395" s="3" t="s">
        <v>20</v>
      </c>
      <c r="F1395" s="3" t="s">
        <v>41</v>
      </c>
      <c r="G1395" s="3" t="s">
        <v>22</v>
      </c>
      <c r="H1395">
        <v>220000</v>
      </c>
      <c r="I1395">
        <v>6</v>
      </c>
      <c r="J1395" s="3" t="s">
        <v>35</v>
      </c>
      <c r="K1395">
        <v>176000</v>
      </c>
      <c r="L1395">
        <v>1320000</v>
      </c>
      <c r="M1395">
        <v>1056000</v>
      </c>
      <c r="N1395">
        <v>264000</v>
      </c>
      <c r="O1395" s="3" t="s">
        <v>1496</v>
      </c>
      <c r="P1395" s="3" t="s">
        <v>102</v>
      </c>
      <c r="Q1395" s="3" t="s">
        <v>103</v>
      </c>
      <c r="R1395" s="3" t="s">
        <v>103</v>
      </c>
    </row>
    <row r="1396" spans="1:18">
      <c r="A1396" s="19">
        <v>47070</v>
      </c>
      <c r="B1396" s="3" t="s">
        <v>29</v>
      </c>
      <c r="C1396" s="3" t="s">
        <v>12</v>
      </c>
      <c r="D1396" s="3" t="s">
        <v>13</v>
      </c>
      <c r="E1396" s="3" t="s">
        <v>20</v>
      </c>
      <c r="F1396" s="3" t="s">
        <v>33</v>
      </c>
      <c r="G1396" s="3" t="s">
        <v>22</v>
      </c>
      <c r="H1396">
        <v>180000</v>
      </c>
      <c r="I1396">
        <v>3</v>
      </c>
      <c r="J1396" s="3" t="s">
        <v>28</v>
      </c>
      <c r="K1396">
        <v>144000</v>
      </c>
      <c r="L1396">
        <v>540000</v>
      </c>
      <c r="M1396">
        <v>432000</v>
      </c>
      <c r="N1396">
        <v>108000</v>
      </c>
      <c r="O1396" s="3" t="s">
        <v>1497</v>
      </c>
      <c r="P1396" s="3" t="s">
        <v>102</v>
      </c>
      <c r="Q1396" s="3" t="s">
        <v>103</v>
      </c>
      <c r="R1396" s="3" t="s">
        <v>103</v>
      </c>
    </row>
    <row r="1397" spans="1:18">
      <c r="A1397" s="19">
        <v>47071</v>
      </c>
      <c r="B1397" s="3" t="s">
        <v>25</v>
      </c>
      <c r="C1397" s="3" t="s">
        <v>19</v>
      </c>
      <c r="D1397" s="3" t="s">
        <v>13</v>
      </c>
      <c r="E1397" s="3" t="s">
        <v>14</v>
      </c>
      <c r="F1397" s="3" t="s">
        <v>40</v>
      </c>
      <c r="G1397" s="3" t="s">
        <v>31</v>
      </c>
      <c r="H1397">
        <v>250000</v>
      </c>
      <c r="I1397">
        <v>6</v>
      </c>
      <c r="J1397" s="3" t="s">
        <v>35</v>
      </c>
      <c r="K1397">
        <v>200000</v>
      </c>
      <c r="L1397">
        <v>1500000</v>
      </c>
      <c r="M1397">
        <v>1200000</v>
      </c>
      <c r="N1397">
        <v>300000</v>
      </c>
      <c r="O1397" s="3" t="s">
        <v>1498</v>
      </c>
      <c r="P1397" s="3" t="s">
        <v>102</v>
      </c>
      <c r="Q1397" s="3" t="s">
        <v>103</v>
      </c>
      <c r="R1397" s="3" t="s">
        <v>103</v>
      </c>
    </row>
    <row r="1398" spans="1:18">
      <c r="A1398" s="19">
        <v>47072</v>
      </c>
      <c r="B1398" s="3" t="s">
        <v>11</v>
      </c>
      <c r="C1398" s="3" t="s">
        <v>26</v>
      </c>
      <c r="D1398" s="3" t="s">
        <v>23</v>
      </c>
      <c r="E1398" s="3" t="s">
        <v>20</v>
      </c>
      <c r="F1398" s="3" t="s">
        <v>36</v>
      </c>
      <c r="G1398" s="3" t="s">
        <v>31</v>
      </c>
      <c r="H1398">
        <v>150000</v>
      </c>
      <c r="I1398">
        <v>7</v>
      </c>
      <c r="J1398" s="3" t="s">
        <v>37</v>
      </c>
      <c r="K1398">
        <v>120000</v>
      </c>
      <c r="L1398">
        <v>1050000</v>
      </c>
      <c r="M1398">
        <v>840000</v>
      </c>
      <c r="N1398">
        <v>210000</v>
      </c>
      <c r="O1398" s="3" t="s">
        <v>1499</v>
      </c>
      <c r="P1398" s="3" t="s">
        <v>102</v>
      </c>
      <c r="Q1398" s="3" t="s">
        <v>103</v>
      </c>
      <c r="R1398" s="3" t="s">
        <v>103</v>
      </c>
    </row>
    <row r="1399" spans="1:18">
      <c r="A1399" s="19">
        <v>47073</v>
      </c>
      <c r="B1399" s="3" t="s">
        <v>25</v>
      </c>
      <c r="C1399" s="3" t="s">
        <v>12</v>
      </c>
      <c r="D1399" s="3" t="s">
        <v>13</v>
      </c>
      <c r="E1399" s="3" t="s">
        <v>14</v>
      </c>
      <c r="F1399" s="3" t="s">
        <v>30</v>
      </c>
      <c r="G1399" s="3" t="s">
        <v>31</v>
      </c>
      <c r="H1399">
        <v>300000</v>
      </c>
      <c r="I1399">
        <v>9</v>
      </c>
      <c r="J1399" s="3" t="s">
        <v>17</v>
      </c>
      <c r="K1399">
        <v>240000</v>
      </c>
      <c r="L1399">
        <v>2700000</v>
      </c>
      <c r="M1399">
        <v>2160000</v>
      </c>
      <c r="N1399">
        <v>540000</v>
      </c>
      <c r="O1399" s="3" t="s">
        <v>1500</v>
      </c>
      <c r="P1399" s="3" t="s">
        <v>102</v>
      </c>
      <c r="Q1399" s="3" t="s">
        <v>103</v>
      </c>
      <c r="R1399" s="3" t="s">
        <v>103</v>
      </c>
    </row>
    <row r="1400" spans="1:18">
      <c r="A1400" s="19">
        <v>47074</v>
      </c>
      <c r="B1400" s="3" t="s">
        <v>11</v>
      </c>
      <c r="C1400" s="3" t="s">
        <v>26</v>
      </c>
      <c r="D1400" s="3" t="s">
        <v>13</v>
      </c>
      <c r="E1400" s="3" t="s">
        <v>14</v>
      </c>
      <c r="F1400" s="3" t="s">
        <v>38</v>
      </c>
      <c r="G1400" s="3" t="s">
        <v>31</v>
      </c>
      <c r="H1400">
        <v>420000</v>
      </c>
      <c r="I1400">
        <v>5</v>
      </c>
      <c r="J1400" s="3" t="s">
        <v>28</v>
      </c>
      <c r="K1400">
        <v>336000</v>
      </c>
      <c r="L1400">
        <v>2100000</v>
      </c>
      <c r="M1400">
        <v>1680000</v>
      </c>
      <c r="N1400">
        <v>420000</v>
      </c>
      <c r="O1400" s="3" t="s">
        <v>1501</v>
      </c>
      <c r="P1400" s="3" t="s">
        <v>102</v>
      </c>
      <c r="Q1400" s="3" t="s">
        <v>103</v>
      </c>
      <c r="R1400" s="3" t="s">
        <v>103</v>
      </c>
    </row>
    <row r="1401" spans="1:18">
      <c r="A1401" s="19">
        <v>47075</v>
      </c>
      <c r="B1401" s="3" t="s">
        <v>25</v>
      </c>
      <c r="C1401" s="3" t="s">
        <v>12</v>
      </c>
      <c r="D1401" s="3" t="s">
        <v>13</v>
      </c>
      <c r="E1401" s="3" t="s">
        <v>20</v>
      </c>
      <c r="F1401" s="3" t="s">
        <v>30</v>
      </c>
      <c r="G1401" s="3" t="s">
        <v>31</v>
      </c>
      <c r="H1401">
        <v>300000</v>
      </c>
      <c r="I1401">
        <v>3</v>
      </c>
      <c r="J1401" s="3" t="s">
        <v>28</v>
      </c>
      <c r="K1401">
        <v>240000</v>
      </c>
      <c r="L1401">
        <v>900000</v>
      </c>
      <c r="M1401">
        <v>720000</v>
      </c>
      <c r="N1401">
        <v>180000</v>
      </c>
      <c r="O1401" s="3" t="s">
        <v>1502</v>
      </c>
      <c r="P1401" s="3" t="s">
        <v>102</v>
      </c>
      <c r="Q1401" s="3" t="s">
        <v>103</v>
      </c>
      <c r="R1401" s="3" t="s">
        <v>103</v>
      </c>
    </row>
    <row r="1402" spans="1:18">
      <c r="A1402" s="19">
        <v>47076</v>
      </c>
      <c r="B1402" s="3" t="s">
        <v>18</v>
      </c>
      <c r="C1402" s="3" t="s">
        <v>12</v>
      </c>
      <c r="D1402" s="3" t="s">
        <v>23</v>
      </c>
      <c r="E1402" s="3" t="s">
        <v>20</v>
      </c>
      <c r="F1402" s="3" t="s">
        <v>40</v>
      </c>
      <c r="G1402" s="3" t="s">
        <v>31</v>
      </c>
      <c r="H1402">
        <v>250000</v>
      </c>
      <c r="I1402">
        <v>5</v>
      </c>
      <c r="J1402" s="3" t="s">
        <v>17</v>
      </c>
      <c r="K1402">
        <v>200000</v>
      </c>
      <c r="L1402">
        <v>1250000</v>
      </c>
      <c r="M1402">
        <v>1000000</v>
      </c>
      <c r="N1402">
        <v>250000</v>
      </c>
      <c r="O1402" s="3" t="s">
        <v>1503</v>
      </c>
      <c r="P1402" s="3" t="s">
        <v>102</v>
      </c>
      <c r="Q1402" s="3" t="s">
        <v>103</v>
      </c>
      <c r="R1402" s="3" t="s">
        <v>103</v>
      </c>
    </row>
    <row r="1403" spans="1:18">
      <c r="A1403" s="19">
        <v>47077</v>
      </c>
      <c r="B1403" s="3" t="s">
        <v>11</v>
      </c>
      <c r="C1403" s="3" t="s">
        <v>32</v>
      </c>
      <c r="D1403" s="3" t="s">
        <v>23</v>
      </c>
      <c r="E1403" s="3" t="s">
        <v>20</v>
      </c>
      <c r="F1403" s="3" t="s">
        <v>36</v>
      </c>
      <c r="G1403" s="3" t="s">
        <v>31</v>
      </c>
      <c r="H1403">
        <v>150000</v>
      </c>
      <c r="I1403">
        <v>2</v>
      </c>
      <c r="J1403" s="3" t="s">
        <v>35</v>
      </c>
      <c r="K1403">
        <v>120000</v>
      </c>
      <c r="L1403">
        <v>300000</v>
      </c>
      <c r="M1403">
        <v>240000</v>
      </c>
      <c r="N1403">
        <v>60000</v>
      </c>
      <c r="O1403" s="3" t="s">
        <v>1504</v>
      </c>
      <c r="P1403" s="3" t="s">
        <v>102</v>
      </c>
      <c r="Q1403" s="3" t="s">
        <v>103</v>
      </c>
      <c r="R1403" s="3" t="s">
        <v>103</v>
      </c>
    </row>
    <row r="1404" spans="1:18">
      <c r="A1404" s="19">
        <v>47078</v>
      </c>
      <c r="B1404" s="3" t="s">
        <v>18</v>
      </c>
      <c r="C1404" s="3" t="s">
        <v>19</v>
      </c>
      <c r="D1404" s="3" t="s">
        <v>23</v>
      </c>
      <c r="E1404" s="3" t="s">
        <v>14</v>
      </c>
      <c r="F1404" s="3" t="s">
        <v>41</v>
      </c>
      <c r="G1404" s="3" t="s">
        <v>22</v>
      </c>
      <c r="H1404">
        <v>220000</v>
      </c>
      <c r="I1404">
        <v>3</v>
      </c>
      <c r="J1404" s="3" t="s">
        <v>39</v>
      </c>
      <c r="K1404">
        <v>176000</v>
      </c>
      <c r="L1404">
        <v>660000</v>
      </c>
      <c r="M1404">
        <v>528000</v>
      </c>
      <c r="N1404">
        <v>132000</v>
      </c>
      <c r="O1404" s="3" t="s">
        <v>1505</v>
      </c>
      <c r="P1404" s="3" t="s">
        <v>102</v>
      </c>
      <c r="Q1404" s="3" t="s">
        <v>103</v>
      </c>
      <c r="R1404" s="3" t="s">
        <v>103</v>
      </c>
    </row>
    <row r="1405" spans="1:18">
      <c r="A1405" s="19">
        <v>47079</v>
      </c>
      <c r="B1405" s="3" t="s">
        <v>18</v>
      </c>
      <c r="C1405" s="3" t="s">
        <v>19</v>
      </c>
      <c r="D1405" s="3" t="s">
        <v>23</v>
      </c>
      <c r="E1405" s="3" t="s">
        <v>20</v>
      </c>
      <c r="F1405" s="3" t="s">
        <v>30</v>
      </c>
      <c r="G1405" s="3" t="s">
        <v>31</v>
      </c>
      <c r="H1405">
        <v>300000</v>
      </c>
      <c r="I1405">
        <v>6</v>
      </c>
      <c r="J1405" s="3" t="s">
        <v>24</v>
      </c>
      <c r="K1405">
        <v>240000</v>
      </c>
      <c r="L1405">
        <v>1800000</v>
      </c>
      <c r="M1405">
        <v>1440000</v>
      </c>
      <c r="N1405">
        <v>360000</v>
      </c>
      <c r="O1405" s="3" t="s">
        <v>1506</v>
      </c>
      <c r="P1405" s="3" t="s">
        <v>102</v>
      </c>
      <c r="Q1405" s="3" t="s">
        <v>103</v>
      </c>
      <c r="R1405" s="3" t="s">
        <v>103</v>
      </c>
    </row>
    <row r="1406" spans="1:18">
      <c r="A1406" s="19">
        <v>47080</v>
      </c>
      <c r="B1406" s="3" t="s">
        <v>25</v>
      </c>
      <c r="C1406" s="3" t="s">
        <v>19</v>
      </c>
      <c r="D1406" s="3" t="s">
        <v>13</v>
      </c>
      <c r="E1406" s="3" t="s">
        <v>20</v>
      </c>
      <c r="F1406" s="3" t="s">
        <v>33</v>
      </c>
      <c r="G1406" s="3" t="s">
        <v>22</v>
      </c>
      <c r="H1406">
        <v>180000</v>
      </c>
      <c r="I1406">
        <v>2</v>
      </c>
      <c r="J1406" s="3" t="s">
        <v>39</v>
      </c>
      <c r="K1406">
        <v>144000</v>
      </c>
      <c r="L1406">
        <v>360000</v>
      </c>
      <c r="M1406">
        <v>288000</v>
      </c>
      <c r="N1406">
        <v>72000</v>
      </c>
      <c r="O1406" s="3" t="s">
        <v>1507</v>
      </c>
      <c r="P1406" s="3" t="s">
        <v>102</v>
      </c>
      <c r="Q1406" s="3" t="s">
        <v>103</v>
      </c>
      <c r="R1406" s="3" t="s">
        <v>103</v>
      </c>
    </row>
    <row r="1407" spans="1:18">
      <c r="A1407" s="19">
        <v>47081</v>
      </c>
      <c r="B1407" s="3" t="s">
        <v>18</v>
      </c>
      <c r="C1407" s="3" t="s">
        <v>32</v>
      </c>
      <c r="D1407" s="3" t="s">
        <v>13</v>
      </c>
      <c r="E1407" s="3" t="s">
        <v>14</v>
      </c>
      <c r="F1407" s="3" t="s">
        <v>36</v>
      </c>
      <c r="G1407" s="3" t="s">
        <v>31</v>
      </c>
      <c r="H1407">
        <v>150000</v>
      </c>
      <c r="I1407">
        <v>5</v>
      </c>
      <c r="J1407" s="3" t="s">
        <v>37</v>
      </c>
      <c r="K1407">
        <v>120000</v>
      </c>
      <c r="L1407">
        <v>750000</v>
      </c>
      <c r="M1407">
        <v>600000</v>
      </c>
      <c r="N1407">
        <v>150000</v>
      </c>
      <c r="O1407" s="3" t="s">
        <v>1508</v>
      </c>
      <c r="P1407" s="3" t="s">
        <v>102</v>
      </c>
      <c r="Q1407" s="3" t="s">
        <v>103</v>
      </c>
      <c r="R1407" s="3" t="s">
        <v>103</v>
      </c>
    </row>
    <row r="1408" spans="1:18">
      <c r="A1408" s="19">
        <v>47082</v>
      </c>
      <c r="B1408" s="3" t="s">
        <v>18</v>
      </c>
      <c r="C1408" s="3" t="s">
        <v>26</v>
      </c>
      <c r="D1408" s="3" t="s">
        <v>23</v>
      </c>
      <c r="E1408" s="3" t="s">
        <v>20</v>
      </c>
      <c r="F1408" s="3" t="s">
        <v>15</v>
      </c>
      <c r="G1408" s="3" t="s">
        <v>16</v>
      </c>
      <c r="H1408">
        <v>85000</v>
      </c>
      <c r="I1408">
        <v>1</v>
      </c>
      <c r="J1408" s="3" t="s">
        <v>37</v>
      </c>
      <c r="K1408">
        <v>68000</v>
      </c>
      <c r="L1408">
        <v>85000</v>
      </c>
      <c r="M1408">
        <v>68000</v>
      </c>
      <c r="N1408">
        <v>17000</v>
      </c>
      <c r="O1408" s="3" t="s">
        <v>1509</v>
      </c>
      <c r="P1408" s="3" t="s">
        <v>102</v>
      </c>
      <c r="Q1408" s="3" t="s">
        <v>103</v>
      </c>
      <c r="R1408" s="3" t="s">
        <v>103</v>
      </c>
    </row>
    <row r="1409" spans="1:18">
      <c r="A1409" s="19">
        <v>47083</v>
      </c>
      <c r="B1409" s="3" t="s">
        <v>11</v>
      </c>
      <c r="C1409" s="3" t="s">
        <v>12</v>
      </c>
      <c r="D1409" s="3" t="s">
        <v>13</v>
      </c>
      <c r="E1409" s="3" t="s">
        <v>14</v>
      </c>
      <c r="F1409" s="3" t="s">
        <v>21</v>
      </c>
      <c r="G1409" s="3" t="s">
        <v>22</v>
      </c>
      <c r="H1409">
        <v>30000</v>
      </c>
      <c r="I1409">
        <v>1</v>
      </c>
      <c r="J1409" s="3" t="s">
        <v>35</v>
      </c>
      <c r="K1409">
        <v>24000</v>
      </c>
      <c r="L1409">
        <v>30000</v>
      </c>
      <c r="M1409">
        <v>24000</v>
      </c>
      <c r="N1409">
        <v>6000</v>
      </c>
      <c r="O1409" s="3" t="s">
        <v>1510</v>
      </c>
      <c r="P1409" s="3" t="s">
        <v>102</v>
      </c>
      <c r="Q1409" s="3" t="s">
        <v>103</v>
      </c>
      <c r="R1409" s="3" t="s">
        <v>103</v>
      </c>
    </row>
    <row r="1410" spans="1:18">
      <c r="A1410" s="19">
        <v>47084</v>
      </c>
      <c r="B1410" s="3" t="s">
        <v>18</v>
      </c>
      <c r="C1410" s="3" t="s">
        <v>19</v>
      </c>
      <c r="D1410" s="3" t="s">
        <v>13</v>
      </c>
      <c r="E1410" s="3" t="s">
        <v>20</v>
      </c>
      <c r="F1410" s="3" t="s">
        <v>15</v>
      </c>
      <c r="G1410" s="3" t="s">
        <v>16</v>
      </c>
      <c r="H1410">
        <v>85000</v>
      </c>
      <c r="I1410">
        <v>1</v>
      </c>
      <c r="J1410" s="3" t="s">
        <v>37</v>
      </c>
      <c r="K1410">
        <v>68000</v>
      </c>
      <c r="L1410">
        <v>85000</v>
      </c>
      <c r="M1410">
        <v>68000</v>
      </c>
      <c r="N1410">
        <v>17000</v>
      </c>
      <c r="O1410" s="3" t="s">
        <v>1511</v>
      </c>
      <c r="P1410" s="3" t="s">
        <v>102</v>
      </c>
      <c r="Q1410" s="3" t="s">
        <v>103</v>
      </c>
      <c r="R1410" s="3" t="s">
        <v>103</v>
      </c>
    </row>
    <row r="1411" spans="1:18">
      <c r="A1411" s="19">
        <v>47085</v>
      </c>
      <c r="B1411" s="3" t="s">
        <v>25</v>
      </c>
      <c r="C1411" s="3" t="s">
        <v>19</v>
      </c>
      <c r="D1411" s="3" t="s">
        <v>13</v>
      </c>
      <c r="E1411" s="3" t="s">
        <v>20</v>
      </c>
      <c r="F1411" s="3" t="s">
        <v>21</v>
      </c>
      <c r="G1411" s="3" t="s">
        <v>22</v>
      </c>
      <c r="H1411">
        <v>30000</v>
      </c>
      <c r="I1411">
        <v>2</v>
      </c>
      <c r="J1411" s="3" t="s">
        <v>37</v>
      </c>
      <c r="K1411">
        <v>24000</v>
      </c>
      <c r="L1411">
        <v>60000</v>
      </c>
      <c r="M1411">
        <v>48000</v>
      </c>
      <c r="N1411">
        <v>12000</v>
      </c>
      <c r="O1411" s="3" t="s">
        <v>1512</v>
      </c>
      <c r="P1411" s="3" t="s">
        <v>102</v>
      </c>
      <c r="Q1411" s="3" t="s">
        <v>103</v>
      </c>
      <c r="R1411" s="3" t="s">
        <v>103</v>
      </c>
    </row>
    <row r="1412" spans="1:18">
      <c r="A1412" s="19">
        <v>47086</v>
      </c>
      <c r="B1412" s="3" t="s">
        <v>18</v>
      </c>
      <c r="C1412" s="3" t="s">
        <v>12</v>
      </c>
      <c r="D1412" s="3" t="s">
        <v>13</v>
      </c>
      <c r="E1412" s="3" t="s">
        <v>20</v>
      </c>
      <c r="F1412" s="3" t="s">
        <v>38</v>
      </c>
      <c r="G1412" s="3" t="s">
        <v>31</v>
      </c>
      <c r="H1412">
        <v>420000</v>
      </c>
      <c r="I1412">
        <v>3</v>
      </c>
      <c r="J1412" s="3" t="s">
        <v>17</v>
      </c>
      <c r="K1412">
        <v>336000</v>
      </c>
      <c r="L1412">
        <v>1260000</v>
      </c>
      <c r="M1412">
        <v>1008000</v>
      </c>
      <c r="N1412">
        <v>252000</v>
      </c>
      <c r="O1412" s="3" t="s">
        <v>1513</v>
      </c>
      <c r="P1412" s="3" t="s">
        <v>102</v>
      </c>
      <c r="Q1412" s="3" t="s">
        <v>103</v>
      </c>
      <c r="R1412" s="3" t="s">
        <v>103</v>
      </c>
    </row>
    <row r="1413" spans="1:18">
      <c r="A1413" s="19">
        <v>47087</v>
      </c>
      <c r="B1413" s="3" t="s">
        <v>11</v>
      </c>
      <c r="C1413" s="3" t="s">
        <v>19</v>
      </c>
      <c r="D1413" s="3" t="s">
        <v>13</v>
      </c>
      <c r="E1413" s="3" t="s">
        <v>20</v>
      </c>
      <c r="F1413" s="3" t="s">
        <v>21</v>
      </c>
      <c r="G1413" s="3" t="s">
        <v>22</v>
      </c>
      <c r="H1413">
        <v>30000</v>
      </c>
      <c r="I1413">
        <v>2</v>
      </c>
      <c r="J1413" s="3" t="s">
        <v>35</v>
      </c>
      <c r="K1413">
        <v>24000</v>
      </c>
      <c r="L1413">
        <v>60000</v>
      </c>
      <c r="M1413">
        <v>48000</v>
      </c>
      <c r="N1413">
        <v>12000</v>
      </c>
      <c r="O1413" s="3" t="s">
        <v>1514</v>
      </c>
      <c r="P1413" s="3" t="s">
        <v>102</v>
      </c>
      <c r="Q1413" s="3" t="s">
        <v>103</v>
      </c>
      <c r="R1413" s="3" t="s">
        <v>103</v>
      </c>
    </row>
    <row r="1414" spans="1:18">
      <c r="A1414" s="19">
        <v>47088</v>
      </c>
      <c r="B1414" s="3" t="s">
        <v>25</v>
      </c>
      <c r="C1414" s="3" t="s">
        <v>32</v>
      </c>
      <c r="D1414" s="3" t="s">
        <v>13</v>
      </c>
      <c r="E1414" s="3" t="s">
        <v>20</v>
      </c>
      <c r="F1414" s="3" t="s">
        <v>30</v>
      </c>
      <c r="G1414" s="3" t="s">
        <v>31</v>
      </c>
      <c r="H1414">
        <v>300000</v>
      </c>
      <c r="I1414">
        <v>9</v>
      </c>
      <c r="J1414" s="3" t="s">
        <v>28</v>
      </c>
      <c r="K1414">
        <v>240000</v>
      </c>
      <c r="L1414">
        <v>2700000</v>
      </c>
      <c r="M1414">
        <v>2160000</v>
      </c>
      <c r="N1414">
        <v>540000</v>
      </c>
      <c r="O1414" s="3" t="s">
        <v>1515</v>
      </c>
      <c r="P1414" s="3" t="s">
        <v>102</v>
      </c>
      <c r="Q1414" s="3" t="s">
        <v>103</v>
      </c>
      <c r="R1414" s="3" t="s">
        <v>103</v>
      </c>
    </row>
    <row r="1415" spans="1:18">
      <c r="A1415" s="19">
        <v>47089</v>
      </c>
      <c r="B1415" s="3" t="s">
        <v>18</v>
      </c>
      <c r="C1415" s="3" t="s">
        <v>26</v>
      </c>
      <c r="D1415" s="3" t="s">
        <v>23</v>
      </c>
      <c r="E1415" s="3" t="s">
        <v>20</v>
      </c>
      <c r="F1415" s="3" t="s">
        <v>36</v>
      </c>
      <c r="G1415" s="3" t="s">
        <v>31</v>
      </c>
      <c r="H1415">
        <v>150000</v>
      </c>
      <c r="I1415">
        <v>4</v>
      </c>
      <c r="J1415" s="3" t="s">
        <v>35</v>
      </c>
      <c r="K1415">
        <v>120000</v>
      </c>
      <c r="L1415">
        <v>600000</v>
      </c>
      <c r="M1415">
        <v>480000</v>
      </c>
      <c r="N1415">
        <v>120000</v>
      </c>
      <c r="O1415" s="3" t="s">
        <v>1516</v>
      </c>
      <c r="P1415" s="3" t="s">
        <v>102</v>
      </c>
      <c r="Q1415" s="3" t="s">
        <v>103</v>
      </c>
      <c r="R1415" s="3" t="s">
        <v>103</v>
      </c>
    </row>
    <row r="1416" spans="1:18">
      <c r="A1416" s="19">
        <v>47090</v>
      </c>
      <c r="B1416" s="3" t="s">
        <v>18</v>
      </c>
      <c r="C1416" s="3" t="s">
        <v>12</v>
      </c>
      <c r="D1416" s="3" t="s">
        <v>13</v>
      </c>
      <c r="E1416" s="3" t="s">
        <v>20</v>
      </c>
      <c r="F1416" s="3" t="s">
        <v>41</v>
      </c>
      <c r="G1416" s="3" t="s">
        <v>22</v>
      </c>
      <c r="H1416">
        <v>220000</v>
      </c>
      <c r="I1416">
        <v>2</v>
      </c>
      <c r="J1416" s="3" t="s">
        <v>39</v>
      </c>
      <c r="K1416">
        <v>176000</v>
      </c>
      <c r="L1416">
        <v>440000</v>
      </c>
      <c r="M1416">
        <v>352000</v>
      </c>
      <c r="N1416">
        <v>88000</v>
      </c>
      <c r="O1416" s="3" t="s">
        <v>1517</v>
      </c>
      <c r="P1416" s="3" t="s">
        <v>102</v>
      </c>
      <c r="Q1416" s="3" t="s">
        <v>103</v>
      </c>
      <c r="R1416" s="3" t="s">
        <v>103</v>
      </c>
    </row>
    <row r="1417" spans="1:18">
      <c r="A1417" s="19">
        <v>47091</v>
      </c>
      <c r="B1417" s="3" t="s">
        <v>25</v>
      </c>
      <c r="C1417" s="3" t="s">
        <v>19</v>
      </c>
      <c r="D1417" s="3" t="s">
        <v>13</v>
      </c>
      <c r="E1417" s="3" t="s">
        <v>20</v>
      </c>
      <c r="F1417" s="3" t="s">
        <v>15</v>
      </c>
      <c r="G1417" s="3" t="s">
        <v>16</v>
      </c>
      <c r="H1417">
        <v>85000</v>
      </c>
      <c r="I1417">
        <v>6</v>
      </c>
      <c r="J1417" s="3" t="s">
        <v>17</v>
      </c>
      <c r="K1417">
        <v>68000</v>
      </c>
      <c r="L1417">
        <v>510000</v>
      </c>
      <c r="M1417">
        <v>408000</v>
      </c>
      <c r="N1417">
        <v>102000</v>
      </c>
      <c r="O1417" s="3" t="s">
        <v>1518</v>
      </c>
      <c r="P1417" s="3" t="s">
        <v>102</v>
      </c>
      <c r="Q1417" s="3" t="s">
        <v>103</v>
      </c>
      <c r="R1417" s="3" t="s">
        <v>103</v>
      </c>
    </row>
    <row r="1418" spans="1:18">
      <c r="A1418" s="19">
        <v>47092</v>
      </c>
      <c r="B1418" s="3" t="s">
        <v>11</v>
      </c>
      <c r="C1418" s="3" t="s">
        <v>19</v>
      </c>
      <c r="D1418" s="3" t="s">
        <v>13</v>
      </c>
      <c r="E1418" s="3" t="s">
        <v>20</v>
      </c>
      <c r="F1418" s="3" t="s">
        <v>30</v>
      </c>
      <c r="G1418" s="3" t="s">
        <v>31</v>
      </c>
      <c r="H1418">
        <v>300000</v>
      </c>
      <c r="I1418">
        <v>8</v>
      </c>
      <c r="J1418" s="3" t="s">
        <v>17</v>
      </c>
      <c r="K1418">
        <v>240000</v>
      </c>
      <c r="L1418">
        <v>2400000</v>
      </c>
      <c r="M1418">
        <v>1920000</v>
      </c>
      <c r="N1418">
        <v>480000</v>
      </c>
      <c r="O1418" s="3" t="s">
        <v>1519</v>
      </c>
      <c r="P1418" s="3" t="s">
        <v>102</v>
      </c>
      <c r="Q1418" s="3" t="s">
        <v>103</v>
      </c>
      <c r="R1418" s="3" t="s">
        <v>103</v>
      </c>
    </row>
    <row r="1419" spans="1:18">
      <c r="A1419" s="19">
        <v>47093</v>
      </c>
      <c r="B1419" s="3" t="s">
        <v>25</v>
      </c>
      <c r="C1419" s="3" t="s">
        <v>26</v>
      </c>
      <c r="D1419" s="3" t="s">
        <v>23</v>
      </c>
      <c r="E1419" s="3" t="s">
        <v>20</v>
      </c>
      <c r="F1419" s="3" t="s">
        <v>38</v>
      </c>
      <c r="G1419" s="3" t="s">
        <v>31</v>
      </c>
      <c r="H1419">
        <v>420000</v>
      </c>
      <c r="I1419">
        <v>2</v>
      </c>
      <c r="J1419" s="3" t="s">
        <v>35</v>
      </c>
      <c r="K1419">
        <v>336000</v>
      </c>
      <c r="L1419">
        <v>840000</v>
      </c>
      <c r="M1419">
        <v>672000</v>
      </c>
      <c r="N1419">
        <v>168000</v>
      </c>
      <c r="O1419" s="3" t="s">
        <v>1520</v>
      </c>
      <c r="P1419" s="3" t="s">
        <v>102</v>
      </c>
      <c r="Q1419" s="3" t="s">
        <v>103</v>
      </c>
      <c r="R1419" s="3" t="s">
        <v>103</v>
      </c>
    </row>
    <row r="1420" spans="1:18">
      <c r="A1420" s="19">
        <v>47094</v>
      </c>
      <c r="B1420" s="3" t="s">
        <v>18</v>
      </c>
      <c r="C1420" s="3" t="s">
        <v>26</v>
      </c>
      <c r="D1420" s="3" t="s">
        <v>13</v>
      </c>
      <c r="E1420" s="3" t="s">
        <v>20</v>
      </c>
      <c r="F1420" s="3" t="s">
        <v>41</v>
      </c>
      <c r="G1420" s="3" t="s">
        <v>22</v>
      </c>
      <c r="H1420">
        <v>220000</v>
      </c>
      <c r="I1420">
        <v>3</v>
      </c>
      <c r="J1420" s="3" t="s">
        <v>24</v>
      </c>
      <c r="K1420">
        <v>176000</v>
      </c>
      <c r="L1420">
        <v>660000</v>
      </c>
      <c r="M1420">
        <v>528000</v>
      </c>
      <c r="N1420">
        <v>132000</v>
      </c>
      <c r="O1420" s="3" t="s">
        <v>1521</v>
      </c>
      <c r="P1420" s="3" t="s">
        <v>102</v>
      </c>
      <c r="Q1420" s="3" t="s">
        <v>103</v>
      </c>
      <c r="R1420" s="3" t="s">
        <v>103</v>
      </c>
    </row>
    <row r="1421" spans="1:18">
      <c r="A1421" s="19">
        <v>47095</v>
      </c>
      <c r="B1421" s="3" t="s">
        <v>18</v>
      </c>
      <c r="C1421" s="3" t="s">
        <v>19</v>
      </c>
      <c r="D1421" s="3" t="s">
        <v>13</v>
      </c>
      <c r="E1421" s="3" t="s">
        <v>20</v>
      </c>
      <c r="F1421" s="3" t="s">
        <v>38</v>
      </c>
      <c r="G1421" s="3" t="s">
        <v>31</v>
      </c>
      <c r="H1421">
        <v>420000</v>
      </c>
      <c r="I1421">
        <v>10</v>
      </c>
      <c r="J1421" s="3" t="s">
        <v>17</v>
      </c>
      <c r="K1421">
        <v>336000</v>
      </c>
      <c r="L1421">
        <v>4200000</v>
      </c>
      <c r="M1421">
        <v>3360000</v>
      </c>
      <c r="N1421">
        <v>840000</v>
      </c>
      <c r="O1421" s="3" t="s">
        <v>1522</v>
      </c>
      <c r="P1421" s="3" t="s">
        <v>102</v>
      </c>
      <c r="Q1421" s="3" t="s">
        <v>103</v>
      </c>
      <c r="R1421" s="3" t="s">
        <v>103</v>
      </c>
    </row>
    <row r="1422" spans="1:18">
      <c r="A1422" s="19">
        <v>47096</v>
      </c>
      <c r="B1422" s="3" t="s">
        <v>29</v>
      </c>
      <c r="C1422" s="3" t="s">
        <v>19</v>
      </c>
      <c r="D1422" s="3" t="s">
        <v>13</v>
      </c>
      <c r="E1422" s="3" t="s">
        <v>20</v>
      </c>
      <c r="F1422" s="3" t="s">
        <v>30</v>
      </c>
      <c r="G1422" s="3" t="s">
        <v>31</v>
      </c>
      <c r="H1422">
        <v>300000</v>
      </c>
      <c r="I1422">
        <v>7</v>
      </c>
      <c r="J1422" s="3" t="s">
        <v>24</v>
      </c>
      <c r="K1422">
        <v>240000</v>
      </c>
      <c r="L1422">
        <v>2100000</v>
      </c>
      <c r="M1422">
        <v>1680000</v>
      </c>
      <c r="N1422">
        <v>420000</v>
      </c>
      <c r="O1422" s="3" t="s">
        <v>1523</v>
      </c>
      <c r="P1422" s="3" t="s">
        <v>102</v>
      </c>
      <c r="Q1422" s="3" t="s">
        <v>103</v>
      </c>
      <c r="R1422" s="3" t="s">
        <v>103</v>
      </c>
    </row>
    <row r="1423" spans="1:18">
      <c r="A1423" s="19">
        <v>47097</v>
      </c>
      <c r="B1423" s="3" t="s">
        <v>18</v>
      </c>
      <c r="C1423" s="3" t="s">
        <v>26</v>
      </c>
      <c r="D1423" s="3" t="s">
        <v>13</v>
      </c>
      <c r="E1423" s="3" t="s">
        <v>20</v>
      </c>
      <c r="F1423" s="3" t="s">
        <v>21</v>
      </c>
      <c r="G1423" s="3" t="s">
        <v>22</v>
      </c>
      <c r="H1423">
        <v>30000</v>
      </c>
      <c r="I1423">
        <v>1</v>
      </c>
      <c r="J1423" s="3" t="s">
        <v>28</v>
      </c>
      <c r="K1423">
        <v>24000</v>
      </c>
      <c r="L1423">
        <v>30000</v>
      </c>
      <c r="M1423">
        <v>24000</v>
      </c>
      <c r="N1423">
        <v>6000</v>
      </c>
      <c r="O1423" s="3" t="s">
        <v>1524</v>
      </c>
      <c r="P1423" s="3" t="s">
        <v>102</v>
      </c>
      <c r="Q1423" s="3" t="s">
        <v>103</v>
      </c>
      <c r="R1423" s="3" t="s">
        <v>103</v>
      </c>
    </row>
    <row r="1424" spans="1:18">
      <c r="A1424" s="19">
        <v>47098</v>
      </c>
      <c r="B1424" s="3" t="s">
        <v>18</v>
      </c>
      <c r="C1424" s="3" t="s">
        <v>19</v>
      </c>
      <c r="D1424" s="3" t="s">
        <v>23</v>
      </c>
      <c r="E1424" s="3" t="s">
        <v>20</v>
      </c>
      <c r="F1424" s="3" t="s">
        <v>21</v>
      </c>
      <c r="G1424" s="3" t="s">
        <v>22</v>
      </c>
      <c r="H1424">
        <v>30000</v>
      </c>
      <c r="I1424">
        <v>7</v>
      </c>
      <c r="J1424" s="3" t="s">
        <v>17</v>
      </c>
      <c r="K1424">
        <v>24000</v>
      </c>
      <c r="L1424">
        <v>210000</v>
      </c>
      <c r="M1424">
        <v>168000</v>
      </c>
      <c r="N1424">
        <v>42000</v>
      </c>
      <c r="O1424" s="3" t="s">
        <v>1525</v>
      </c>
      <c r="P1424" s="3" t="s">
        <v>102</v>
      </c>
      <c r="Q1424" s="3" t="s">
        <v>103</v>
      </c>
      <c r="R1424" s="3" t="s">
        <v>103</v>
      </c>
    </row>
    <row r="1425" spans="1:18">
      <c r="A1425" s="19">
        <v>47099</v>
      </c>
      <c r="B1425" s="3" t="s">
        <v>29</v>
      </c>
      <c r="C1425" s="3" t="s">
        <v>32</v>
      </c>
      <c r="D1425" s="3" t="s">
        <v>23</v>
      </c>
      <c r="E1425" s="3" t="s">
        <v>20</v>
      </c>
      <c r="F1425" s="3" t="s">
        <v>15</v>
      </c>
      <c r="G1425" s="3" t="s">
        <v>16</v>
      </c>
      <c r="H1425">
        <v>85000</v>
      </c>
      <c r="I1425">
        <v>8</v>
      </c>
      <c r="J1425" s="3" t="s">
        <v>35</v>
      </c>
      <c r="K1425">
        <v>68000</v>
      </c>
      <c r="L1425">
        <v>680000</v>
      </c>
      <c r="M1425">
        <v>544000</v>
      </c>
      <c r="N1425">
        <v>136000</v>
      </c>
      <c r="O1425" s="3" t="s">
        <v>1526</v>
      </c>
      <c r="P1425" s="3" t="s">
        <v>102</v>
      </c>
      <c r="Q1425" s="3" t="s">
        <v>103</v>
      </c>
      <c r="R1425" s="3" t="s">
        <v>103</v>
      </c>
    </row>
    <row r="1426" spans="1:18">
      <c r="A1426" s="19">
        <v>47100</v>
      </c>
      <c r="B1426" s="3" t="s">
        <v>18</v>
      </c>
      <c r="C1426" s="3" t="s">
        <v>19</v>
      </c>
      <c r="D1426" s="3" t="s">
        <v>13</v>
      </c>
      <c r="E1426" s="3" t="s">
        <v>20</v>
      </c>
      <c r="F1426" s="3" t="s">
        <v>40</v>
      </c>
      <c r="G1426" s="3" t="s">
        <v>31</v>
      </c>
      <c r="H1426">
        <v>250000</v>
      </c>
      <c r="I1426">
        <v>10</v>
      </c>
      <c r="J1426" s="3" t="s">
        <v>24</v>
      </c>
      <c r="K1426">
        <v>200000</v>
      </c>
      <c r="L1426">
        <v>2500000</v>
      </c>
      <c r="M1426">
        <v>2000000</v>
      </c>
      <c r="N1426">
        <v>500000</v>
      </c>
      <c r="O1426" s="3" t="s">
        <v>1527</v>
      </c>
      <c r="P1426" s="3" t="s">
        <v>102</v>
      </c>
      <c r="Q1426" s="3" t="s">
        <v>103</v>
      </c>
      <c r="R1426" s="3" t="s">
        <v>103</v>
      </c>
    </row>
    <row r="1427" spans="1:18">
      <c r="A1427" s="19">
        <v>47101</v>
      </c>
      <c r="B1427" s="3" t="s">
        <v>11</v>
      </c>
      <c r="C1427" s="3" t="s">
        <v>19</v>
      </c>
      <c r="D1427" s="3" t="s">
        <v>13</v>
      </c>
      <c r="E1427" s="3" t="s">
        <v>20</v>
      </c>
      <c r="F1427" s="3" t="s">
        <v>15</v>
      </c>
      <c r="G1427" s="3" t="s">
        <v>16</v>
      </c>
      <c r="H1427">
        <v>85000</v>
      </c>
      <c r="I1427">
        <v>4</v>
      </c>
      <c r="J1427" s="3" t="s">
        <v>39</v>
      </c>
      <c r="K1427">
        <v>68000</v>
      </c>
      <c r="L1427">
        <v>340000</v>
      </c>
      <c r="M1427">
        <v>272000</v>
      </c>
      <c r="N1427">
        <v>68000</v>
      </c>
      <c r="O1427" s="3" t="s">
        <v>1528</v>
      </c>
      <c r="P1427" s="3" t="s">
        <v>102</v>
      </c>
      <c r="Q1427" s="3" t="s">
        <v>103</v>
      </c>
      <c r="R1427" s="3" t="s">
        <v>103</v>
      </c>
    </row>
    <row r="1428" spans="1:18">
      <c r="A1428" s="19">
        <v>47102</v>
      </c>
      <c r="B1428" s="3" t="s">
        <v>11</v>
      </c>
      <c r="C1428" s="3" t="s">
        <v>32</v>
      </c>
      <c r="D1428" s="3" t="s">
        <v>13</v>
      </c>
      <c r="E1428" s="3" t="s">
        <v>20</v>
      </c>
      <c r="F1428" s="3" t="s">
        <v>40</v>
      </c>
      <c r="G1428" s="3" t="s">
        <v>31</v>
      </c>
      <c r="H1428">
        <v>250000</v>
      </c>
      <c r="I1428">
        <v>6</v>
      </c>
      <c r="J1428" s="3" t="s">
        <v>39</v>
      </c>
      <c r="K1428">
        <v>200000</v>
      </c>
      <c r="L1428">
        <v>1500000</v>
      </c>
      <c r="M1428">
        <v>1200000</v>
      </c>
      <c r="N1428">
        <v>300000</v>
      </c>
      <c r="O1428" s="3" t="s">
        <v>1529</v>
      </c>
      <c r="P1428" s="3" t="s">
        <v>102</v>
      </c>
      <c r="Q1428" s="3" t="s">
        <v>103</v>
      </c>
      <c r="R1428" s="3" t="s">
        <v>103</v>
      </c>
    </row>
    <row r="1429" spans="1:18">
      <c r="A1429" s="19">
        <v>47103</v>
      </c>
      <c r="B1429" s="3" t="s">
        <v>18</v>
      </c>
      <c r="C1429" s="3" t="s">
        <v>32</v>
      </c>
      <c r="D1429" s="3" t="s">
        <v>23</v>
      </c>
      <c r="E1429" s="3" t="s">
        <v>20</v>
      </c>
      <c r="F1429" s="3" t="s">
        <v>34</v>
      </c>
      <c r="G1429" s="3" t="s">
        <v>16</v>
      </c>
      <c r="H1429">
        <v>320000</v>
      </c>
      <c r="I1429">
        <v>7</v>
      </c>
      <c r="J1429" s="3" t="s">
        <v>37</v>
      </c>
      <c r="K1429">
        <v>256000</v>
      </c>
      <c r="L1429">
        <v>2240000</v>
      </c>
      <c r="M1429">
        <v>1792000</v>
      </c>
      <c r="N1429">
        <v>448000</v>
      </c>
      <c r="O1429" s="3" t="s">
        <v>1530</v>
      </c>
      <c r="P1429" s="3" t="s">
        <v>102</v>
      </c>
      <c r="Q1429" s="3" t="s">
        <v>103</v>
      </c>
      <c r="R1429" s="3" t="s">
        <v>103</v>
      </c>
    </row>
    <row r="1430" spans="1:18">
      <c r="A1430" s="19">
        <v>47104</v>
      </c>
      <c r="B1430" s="3" t="s">
        <v>18</v>
      </c>
      <c r="C1430" s="3" t="s">
        <v>32</v>
      </c>
      <c r="D1430" s="3" t="s">
        <v>23</v>
      </c>
      <c r="E1430" s="3" t="s">
        <v>20</v>
      </c>
      <c r="F1430" s="3" t="s">
        <v>33</v>
      </c>
      <c r="G1430" s="3" t="s">
        <v>22</v>
      </c>
      <c r="H1430">
        <v>180000</v>
      </c>
      <c r="I1430">
        <v>2</v>
      </c>
      <c r="J1430" s="3" t="s">
        <v>17</v>
      </c>
      <c r="K1430">
        <v>144000</v>
      </c>
      <c r="L1430">
        <v>360000</v>
      </c>
      <c r="M1430">
        <v>288000</v>
      </c>
      <c r="N1430">
        <v>72000</v>
      </c>
      <c r="O1430" s="3" t="s">
        <v>1531</v>
      </c>
      <c r="P1430" s="3" t="s">
        <v>102</v>
      </c>
      <c r="Q1430" s="3" t="s">
        <v>103</v>
      </c>
      <c r="R1430" s="3" t="s">
        <v>103</v>
      </c>
    </row>
    <row r="1431" spans="1:18">
      <c r="A1431" s="19">
        <v>47105</v>
      </c>
      <c r="B1431" s="3" t="s">
        <v>29</v>
      </c>
      <c r="C1431" s="3" t="s">
        <v>32</v>
      </c>
      <c r="D1431" s="3" t="s">
        <v>23</v>
      </c>
      <c r="E1431" s="3" t="s">
        <v>20</v>
      </c>
      <c r="F1431" s="3" t="s">
        <v>41</v>
      </c>
      <c r="G1431" s="3" t="s">
        <v>22</v>
      </c>
      <c r="H1431">
        <v>220000</v>
      </c>
      <c r="I1431">
        <v>2</v>
      </c>
      <c r="J1431" s="3" t="s">
        <v>39</v>
      </c>
      <c r="K1431">
        <v>176000</v>
      </c>
      <c r="L1431">
        <v>440000</v>
      </c>
      <c r="M1431">
        <v>352000</v>
      </c>
      <c r="N1431">
        <v>88000</v>
      </c>
      <c r="O1431" s="3" t="s">
        <v>1532</v>
      </c>
      <c r="P1431" s="3" t="s">
        <v>102</v>
      </c>
      <c r="Q1431" s="3" t="s">
        <v>103</v>
      </c>
      <c r="R1431" s="3" t="s">
        <v>103</v>
      </c>
    </row>
    <row r="1432" spans="1:18">
      <c r="A1432" s="19">
        <v>47106</v>
      </c>
      <c r="B1432" s="3" t="s">
        <v>29</v>
      </c>
      <c r="C1432" s="3" t="s">
        <v>26</v>
      </c>
      <c r="D1432" s="3" t="s">
        <v>23</v>
      </c>
      <c r="E1432" s="3" t="s">
        <v>20</v>
      </c>
      <c r="F1432" s="3" t="s">
        <v>33</v>
      </c>
      <c r="G1432" s="3" t="s">
        <v>22</v>
      </c>
      <c r="H1432">
        <v>180000</v>
      </c>
      <c r="I1432">
        <v>6</v>
      </c>
      <c r="J1432" s="3" t="s">
        <v>24</v>
      </c>
      <c r="K1432">
        <v>144000</v>
      </c>
      <c r="L1432">
        <v>1080000</v>
      </c>
      <c r="M1432">
        <v>864000</v>
      </c>
      <c r="N1432">
        <v>216000</v>
      </c>
      <c r="O1432" s="3" t="s">
        <v>1533</v>
      </c>
      <c r="P1432" s="3" t="s">
        <v>102</v>
      </c>
      <c r="Q1432" s="3" t="s">
        <v>103</v>
      </c>
      <c r="R1432" s="3" t="s">
        <v>103</v>
      </c>
    </row>
    <row r="1433" spans="1:18">
      <c r="A1433" s="19">
        <v>47107</v>
      </c>
      <c r="B1433" s="3" t="s">
        <v>11</v>
      </c>
      <c r="C1433" s="3" t="s">
        <v>32</v>
      </c>
      <c r="D1433" s="3" t="s">
        <v>13</v>
      </c>
      <c r="E1433" s="3" t="s">
        <v>20</v>
      </c>
      <c r="F1433" s="3" t="s">
        <v>33</v>
      </c>
      <c r="G1433" s="3" t="s">
        <v>22</v>
      </c>
      <c r="H1433">
        <v>180000</v>
      </c>
      <c r="I1433">
        <v>3</v>
      </c>
      <c r="J1433" s="3" t="s">
        <v>24</v>
      </c>
      <c r="K1433">
        <v>144000</v>
      </c>
      <c r="L1433">
        <v>540000</v>
      </c>
      <c r="M1433">
        <v>432000</v>
      </c>
      <c r="N1433">
        <v>108000</v>
      </c>
      <c r="O1433" s="3" t="s">
        <v>1534</v>
      </c>
      <c r="P1433" s="3" t="s">
        <v>102</v>
      </c>
      <c r="Q1433" s="3" t="s">
        <v>103</v>
      </c>
      <c r="R1433" s="3" t="s">
        <v>103</v>
      </c>
    </row>
    <row r="1434" spans="1:18">
      <c r="A1434" s="19">
        <v>47108</v>
      </c>
      <c r="B1434" s="3" t="s">
        <v>11</v>
      </c>
      <c r="C1434" s="3" t="s">
        <v>26</v>
      </c>
      <c r="D1434" s="3" t="s">
        <v>13</v>
      </c>
      <c r="E1434" s="3" t="s">
        <v>20</v>
      </c>
      <c r="F1434" s="3" t="s">
        <v>27</v>
      </c>
      <c r="G1434" s="3" t="s">
        <v>22</v>
      </c>
      <c r="H1434">
        <v>60000</v>
      </c>
      <c r="I1434">
        <v>2</v>
      </c>
      <c r="J1434" s="3" t="s">
        <v>24</v>
      </c>
      <c r="K1434">
        <v>48000</v>
      </c>
      <c r="L1434">
        <v>120000</v>
      </c>
      <c r="M1434">
        <v>96000</v>
      </c>
      <c r="N1434">
        <v>24000</v>
      </c>
      <c r="O1434" s="3" t="s">
        <v>1535</v>
      </c>
      <c r="P1434" s="3" t="s">
        <v>102</v>
      </c>
      <c r="Q1434" s="3" t="s">
        <v>103</v>
      </c>
      <c r="R1434" s="3" t="s">
        <v>103</v>
      </c>
    </row>
    <row r="1435" spans="1:18">
      <c r="A1435" s="19">
        <v>47109</v>
      </c>
      <c r="B1435" s="3" t="s">
        <v>29</v>
      </c>
      <c r="C1435" s="3" t="s">
        <v>32</v>
      </c>
      <c r="D1435" s="3" t="s">
        <v>23</v>
      </c>
      <c r="E1435" s="3" t="s">
        <v>20</v>
      </c>
      <c r="F1435" s="3" t="s">
        <v>30</v>
      </c>
      <c r="G1435" s="3" t="s">
        <v>31</v>
      </c>
      <c r="H1435">
        <v>300000</v>
      </c>
      <c r="I1435">
        <v>1</v>
      </c>
      <c r="J1435" s="3" t="s">
        <v>37</v>
      </c>
      <c r="K1435">
        <v>240000</v>
      </c>
      <c r="L1435">
        <v>300000</v>
      </c>
      <c r="M1435">
        <v>240000</v>
      </c>
      <c r="N1435">
        <v>60000</v>
      </c>
      <c r="O1435" s="3" t="s">
        <v>1536</v>
      </c>
      <c r="P1435" s="3" t="s">
        <v>102</v>
      </c>
      <c r="Q1435" s="3" t="s">
        <v>103</v>
      </c>
      <c r="R1435" s="3" t="s">
        <v>103</v>
      </c>
    </row>
    <row r="1436" spans="1:18">
      <c r="A1436" s="19">
        <v>47110</v>
      </c>
      <c r="B1436" s="3" t="s">
        <v>25</v>
      </c>
      <c r="C1436" s="3" t="s">
        <v>26</v>
      </c>
      <c r="D1436" s="3" t="s">
        <v>23</v>
      </c>
      <c r="E1436" s="3" t="s">
        <v>20</v>
      </c>
      <c r="F1436" s="3" t="s">
        <v>38</v>
      </c>
      <c r="G1436" s="3" t="s">
        <v>31</v>
      </c>
      <c r="H1436">
        <v>420000</v>
      </c>
      <c r="I1436">
        <v>2</v>
      </c>
      <c r="J1436" s="3" t="s">
        <v>24</v>
      </c>
      <c r="K1436">
        <v>336000</v>
      </c>
      <c r="L1436">
        <v>840000</v>
      </c>
      <c r="M1436">
        <v>672000</v>
      </c>
      <c r="N1436">
        <v>168000</v>
      </c>
      <c r="O1436" s="3" t="s">
        <v>1537</v>
      </c>
      <c r="P1436" s="3" t="s">
        <v>102</v>
      </c>
      <c r="Q1436" s="3" t="s">
        <v>103</v>
      </c>
      <c r="R1436" s="3" t="s">
        <v>103</v>
      </c>
    </row>
    <row r="1437" spans="1:18">
      <c r="A1437" s="19">
        <v>47111</v>
      </c>
      <c r="B1437" s="3" t="s">
        <v>11</v>
      </c>
      <c r="C1437" s="3" t="s">
        <v>19</v>
      </c>
      <c r="D1437" s="3" t="s">
        <v>13</v>
      </c>
      <c r="E1437" s="3" t="s">
        <v>20</v>
      </c>
      <c r="F1437" s="3" t="s">
        <v>40</v>
      </c>
      <c r="G1437" s="3" t="s">
        <v>31</v>
      </c>
      <c r="H1437">
        <v>250000</v>
      </c>
      <c r="I1437">
        <v>9</v>
      </c>
      <c r="J1437" s="3" t="s">
        <v>24</v>
      </c>
      <c r="K1437">
        <v>200000</v>
      </c>
      <c r="L1437">
        <v>2250000</v>
      </c>
      <c r="M1437">
        <v>1800000</v>
      </c>
      <c r="N1437">
        <v>450000</v>
      </c>
      <c r="O1437" s="3" t="s">
        <v>1538</v>
      </c>
      <c r="P1437" s="3" t="s">
        <v>102</v>
      </c>
      <c r="Q1437" s="3" t="s">
        <v>103</v>
      </c>
      <c r="R1437" s="3" t="s">
        <v>103</v>
      </c>
    </row>
    <row r="1438" spans="1:18">
      <c r="A1438" s="19">
        <v>47112</v>
      </c>
      <c r="B1438" s="3" t="s">
        <v>25</v>
      </c>
      <c r="C1438" s="3" t="s">
        <v>12</v>
      </c>
      <c r="D1438" s="3" t="s">
        <v>23</v>
      </c>
      <c r="E1438" s="3" t="s">
        <v>20</v>
      </c>
      <c r="F1438" s="3" t="s">
        <v>33</v>
      </c>
      <c r="G1438" s="3" t="s">
        <v>22</v>
      </c>
      <c r="H1438">
        <v>180000</v>
      </c>
      <c r="I1438">
        <v>5</v>
      </c>
      <c r="J1438" s="3" t="s">
        <v>37</v>
      </c>
      <c r="K1438">
        <v>144000</v>
      </c>
      <c r="L1438">
        <v>900000</v>
      </c>
      <c r="M1438">
        <v>720000</v>
      </c>
      <c r="N1438">
        <v>180000</v>
      </c>
      <c r="O1438" s="3" t="s">
        <v>1539</v>
      </c>
      <c r="P1438" s="3" t="s">
        <v>102</v>
      </c>
      <c r="Q1438" s="3" t="s">
        <v>103</v>
      </c>
      <c r="R1438" s="3" t="s">
        <v>103</v>
      </c>
    </row>
    <row r="1439" spans="1:18">
      <c r="A1439" s="19">
        <v>47113</v>
      </c>
      <c r="B1439" s="3" t="s">
        <v>25</v>
      </c>
      <c r="C1439" s="3" t="s">
        <v>19</v>
      </c>
      <c r="D1439" s="3" t="s">
        <v>23</v>
      </c>
      <c r="E1439" s="3" t="s">
        <v>20</v>
      </c>
      <c r="F1439" s="3" t="s">
        <v>36</v>
      </c>
      <c r="G1439" s="3" t="s">
        <v>31</v>
      </c>
      <c r="H1439">
        <v>150000</v>
      </c>
      <c r="I1439">
        <v>5</v>
      </c>
      <c r="J1439" s="3" t="s">
        <v>35</v>
      </c>
      <c r="K1439">
        <v>120000</v>
      </c>
      <c r="L1439">
        <v>750000</v>
      </c>
      <c r="M1439">
        <v>600000</v>
      </c>
      <c r="N1439">
        <v>150000</v>
      </c>
      <c r="O1439" s="3" t="s">
        <v>1540</v>
      </c>
      <c r="P1439" s="3" t="s">
        <v>102</v>
      </c>
      <c r="Q1439" s="3" t="s">
        <v>103</v>
      </c>
      <c r="R1439" s="3" t="s">
        <v>103</v>
      </c>
    </row>
    <row r="1440" spans="1:18">
      <c r="A1440" s="19">
        <v>47114</v>
      </c>
      <c r="B1440" s="3" t="s">
        <v>11</v>
      </c>
      <c r="C1440" s="3" t="s">
        <v>32</v>
      </c>
      <c r="D1440" s="3" t="s">
        <v>13</v>
      </c>
      <c r="E1440" s="3" t="s">
        <v>20</v>
      </c>
      <c r="F1440" s="3" t="s">
        <v>34</v>
      </c>
      <c r="G1440" s="3" t="s">
        <v>16</v>
      </c>
      <c r="H1440">
        <v>320000</v>
      </c>
      <c r="I1440">
        <v>4</v>
      </c>
      <c r="J1440" s="3" t="s">
        <v>39</v>
      </c>
      <c r="K1440">
        <v>256000</v>
      </c>
      <c r="L1440">
        <v>1280000</v>
      </c>
      <c r="M1440">
        <v>1024000</v>
      </c>
      <c r="N1440">
        <v>256000</v>
      </c>
      <c r="O1440" s="3" t="s">
        <v>1541</v>
      </c>
      <c r="P1440" s="3" t="s">
        <v>102</v>
      </c>
      <c r="Q1440" s="3" t="s">
        <v>103</v>
      </c>
      <c r="R1440" s="3" t="s">
        <v>103</v>
      </c>
    </row>
    <row r="1441" spans="1:18">
      <c r="A1441" s="19">
        <v>47115</v>
      </c>
      <c r="B1441" s="3" t="s">
        <v>25</v>
      </c>
      <c r="C1441" s="3" t="s">
        <v>26</v>
      </c>
      <c r="D1441" s="3" t="s">
        <v>13</v>
      </c>
      <c r="E1441" s="3" t="s">
        <v>20</v>
      </c>
      <c r="F1441" s="3" t="s">
        <v>33</v>
      </c>
      <c r="G1441" s="3" t="s">
        <v>22</v>
      </c>
      <c r="H1441">
        <v>180000</v>
      </c>
      <c r="I1441">
        <v>10</v>
      </c>
      <c r="J1441" s="3" t="s">
        <v>35</v>
      </c>
      <c r="K1441">
        <v>144000</v>
      </c>
      <c r="L1441">
        <v>1800000</v>
      </c>
      <c r="M1441">
        <v>1440000</v>
      </c>
      <c r="N1441">
        <v>360000</v>
      </c>
      <c r="O1441" s="3" t="s">
        <v>1542</v>
      </c>
      <c r="P1441" s="3" t="s">
        <v>102</v>
      </c>
      <c r="Q1441" s="3" t="s">
        <v>103</v>
      </c>
      <c r="R1441" s="3" t="s">
        <v>103</v>
      </c>
    </row>
    <row r="1442" spans="1:18">
      <c r="A1442" s="19">
        <v>47116</v>
      </c>
      <c r="B1442" s="3" t="s">
        <v>29</v>
      </c>
      <c r="C1442" s="3" t="s">
        <v>12</v>
      </c>
      <c r="D1442" s="3" t="s">
        <v>23</v>
      </c>
      <c r="E1442" s="3" t="s">
        <v>20</v>
      </c>
      <c r="F1442" s="3" t="s">
        <v>38</v>
      </c>
      <c r="G1442" s="3" t="s">
        <v>31</v>
      </c>
      <c r="H1442">
        <v>420000</v>
      </c>
      <c r="I1442">
        <v>2</v>
      </c>
      <c r="J1442" s="3" t="s">
        <v>37</v>
      </c>
      <c r="K1442">
        <v>336000</v>
      </c>
      <c r="L1442">
        <v>840000</v>
      </c>
      <c r="M1442">
        <v>672000</v>
      </c>
      <c r="N1442">
        <v>168000</v>
      </c>
      <c r="O1442" s="3" t="s">
        <v>1543</v>
      </c>
      <c r="P1442" s="3" t="s">
        <v>102</v>
      </c>
      <c r="Q1442" s="3" t="s">
        <v>103</v>
      </c>
      <c r="R1442" s="3" t="s">
        <v>103</v>
      </c>
    </row>
    <row r="1443" spans="1:18">
      <c r="A1443" s="19">
        <v>47117</v>
      </c>
      <c r="B1443" s="3" t="s">
        <v>25</v>
      </c>
      <c r="C1443" s="3" t="s">
        <v>12</v>
      </c>
      <c r="D1443" s="3" t="s">
        <v>23</v>
      </c>
      <c r="E1443" s="3" t="s">
        <v>20</v>
      </c>
      <c r="F1443" s="3" t="s">
        <v>36</v>
      </c>
      <c r="G1443" s="3" t="s">
        <v>31</v>
      </c>
      <c r="H1443">
        <v>150000</v>
      </c>
      <c r="I1443">
        <v>6</v>
      </c>
      <c r="J1443" s="3" t="s">
        <v>37</v>
      </c>
      <c r="K1443">
        <v>120000</v>
      </c>
      <c r="L1443">
        <v>900000</v>
      </c>
      <c r="M1443">
        <v>720000</v>
      </c>
      <c r="N1443">
        <v>180000</v>
      </c>
      <c r="O1443" s="3" t="s">
        <v>1544</v>
      </c>
      <c r="P1443" s="3" t="s">
        <v>102</v>
      </c>
      <c r="Q1443" s="3" t="s">
        <v>103</v>
      </c>
      <c r="R1443" s="3" t="s">
        <v>103</v>
      </c>
    </row>
    <row r="1444" spans="1:18">
      <c r="A1444" s="19">
        <v>47118</v>
      </c>
      <c r="B1444" s="3" t="s">
        <v>11</v>
      </c>
      <c r="C1444" s="3" t="s">
        <v>19</v>
      </c>
      <c r="D1444" s="3" t="s">
        <v>23</v>
      </c>
      <c r="E1444" s="3" t="s">
        <v>20</v>
      </c>
      <c r="F1444" s="3" t="s">
        <v>36</v>
      </c>
      <c r="G1444" s="3" t="s">
        <v>31</v>
      </c>
      <c r="H1444">
        <v>150000</v>
      </c>
      <c r="I1444">
        <v>4</v>
      </c>
      <c r="J1444" s="3" t="s">
        <v>24</v>
      </c>
      <c r="K1444">
        <v>120000</v>
      </c>
      <c r="L1444">
        <v>600000</v>
      </c>
      <c r="M1444">
        <v>480000</v>
      </c>
      <c r="N1444">
        <v>120000</v>
      </c>
      <c r="O1444" s="3" t="s">
        <v>1545</v>
      </c>
      <c r="P1444" s="3" t="s">
        <v>102</v>
      </c>
      <c r="Q1444" s="3" t="s">
        <v>103</v>
      </c>
      <c r="R1444" s="3" t="s">
        <v>103</v>
      </c>
    </row>
    <row r="1445" spans="1:18">
      <c r="A1445" s="19">
        <v>47119</v>
      </c>
      <c r="B1445" s="3" t="s">
        <v>18</v>
      </c>
      <c r="C1445" s="3" t="s">
        <v>12</v>
      </c>
      <c r="D1445" s="3" t="s">
        <v>23</v>
      </c>
      <c r="E1445" s="3" t="s">
        <v>20</v>
      </c>
      <c r="F1445" s="3" t="s">
        <v>40</v>
      </c>
      <c r="G1445" s="3" t="s">
        <v>31</v>
      </c>
      <c r="H1445">
        <v>250000</v>
      </c>
      <c r="I1445">
        <v>9</v>
      </c>
      <c r="J1445" s="3" t="s">
        <v>37</v>
      </c>
      <c r="K1445">
        <v>200000</v>
      </c>
      <c r="L1445">
        <v>2250000</v>
      </c>
      <c r="M1445">
        <v>1800000</v>
      </c>
      <c r="N1445">
        <v>450000</v>
      </c>
      <c r="O1445" s="3" t="s">
        <v>1546</v>
      </c>
      <c r="P1445" s="3" t="s">
        <v>102</v>
      </c>
      <c r="Q1445" s="3" t="s">
        <v>103</v>
      </c>
      <c r="R1445" s="3" t="s">
        <v>103</v>
      </c>
    </row>
    <row r="1446" spans="1:18">
      <c r="A1446" s="19">
        <v>47120</v>
      </c>
      <c r="B1446" s="3" t="s">
        <v>25</v>
      </c>
      <c r="C1446" s="3" t="s">
        <v>19</v>
      </c>
      <c r="D1446" s="3" t="s">
        <v>23</v>
      </c>
      <c r="E1446" s="3" t="s">
        <v>20</v>
      </c>
      <c r="F1446" s="3" t="s">
        <v>41</v>
      </c>
      <c r="G1446" s="3" t="s">
        <v>22</v>
      </c>
      <c r="H1446">
        <v>220000</v>
      </c>
      <c r="I1446">
        <v>8</v>
      </c>
      <c r="J1446" s="3" t="s">
        <v>39</v>
      </c>
      <c r="K1446">
        <v>176000</v>
      </c>
      <c r="L1446">
        <v>1760000</v>
      </c>
      <c r="M1446">
        <v>1408000</v>
      </c>
      <c r="N1446">
        <v>352000</v>
      </c>
      <c r="O1446" s="3" t="s">
        <v>1547</v>
      </c>
      <c r="P1446" s="3" t="s">
        <v>102</v>
      </c>
      <c r="Q1446" s="3" t="s">
        <v>103</v>
      </c>
      <c r="R1446" s="3" t="s">
        <v>103</v>
      </c>
    </row>
    <row r="1447" spans="1:18">
      <c r="A1447" s="19">
        <v>47121</v>
      </c>
      <c r="B1447" s="3" t="s">
        <v>29</v>
      </c>
      <c r="C1447" s="3" t="s">
        <v>26</v>
      </c>
      <c r="D1447" s="3" t="s">
        <v>13</v>
      </c>
      <c r="E1447" s="3" t="s">
        <v>20</v>
      </c>
      <c r="F1447" s="3" t="s">
        <v>36</v>
      </c>
      <c r="G1447" s="3" t="s">
        <v>31</v>
      </c>
      <c r="H1447">
        <v>150000</v>
      </c>
      <c r="I1447">
        <v>2</v>
      </c>
      <c r="J1447" s="3" t="s">
        <v>28</v>
      </c>
      <c r="K1447">
        <v>120000</v>
      </c>
      <c r="L1447">
        <v>300000</v>
      </c>
      <c r="M1447">
        <v>240000</v>
      </c>
      <c r="N1447">
        <v>60000</v>
      </c>
      <c r="O1447" s="3" t="s">
        <v>1548</v>
      </c>
      <c r="P1447" s="3" t="s">
        <v>102</v>
      </c>
      <c r="Q1447" s="3" t="s">
        <v>103</v>
      </c>
      <c r="R1447" s="3" t="s">
        <v>103</v>
      </c>
    </row>
    <row r="1448" spans="1:18">
      <c r="A1448" s="19">
        <v>47122</v>
      </c>
      <c r="B1448" s="3" t="s">
        <v>11</v>
      </c>
      <c r="C1448" s="3" t="s">
        <v>19</v>
      </c>
      <c r="D1448" s="3" t="s">
        <v>23</v>
      </c>
      <c r="E1448" s="3" t="s">
        <v>20</v>
      </c>
      <c r="F1448" s="3" t="s">
        <v>41</v>
      </c>
      <c r="G1448" s="3" t="s">
        <v>22</v>
      </c>
      <c r="H1448">
        <v>220000</v>
      </c>
      <c r="I1448">
        <v>4</v>
      </c>
      <c r="J1448" s="3" t="s">
        <v>28</v>
      </c>
      <c r="K1448">
        <v>176000</v>
      </c>
      <c r="L1448">
        <v>880000</v>
      </c>
      <c r="M1448">
        <v>704000</v>
      </c>
      <c r="N1448">
        <v>176000</v>
      </c>
      <c r="O1448" s="3" t="s">
        <v>1549</v>
      </c>
      <c r="P1448" s="3" t="s">
        <v>102</v>
      </c>
      <c r="Q1448" s="3" t="s">
        <v>103</v>
      </c>
      <c r="R1448" s="3" t="s">
        <v>103</v>
      </c>
    </row>
    <row r="1449" spans="1:18">
      <c r="A1449" s="19">
        <v>47123</v>
      </c>
      <c r="B1449" s="3" t="s">
        <v>25</v>
      </c>
      <c r="C1449" s="3" t="s">
        <v>12</v>
      </c>
      <c r="D1449" s="3" t="s">
        <v>23</v>
      </c>
      <c r="E1449" s="3" t="s">
        <v>20</v>
      </c>
      <c r="F1449" s="3" t="s">
        <v>21</v>
      </c>
      <c r="G1449" s="3" t="s">
        <v>22</v>
      </c>
      <c r="H1449">
        <v>30000</v>
      </c>
      <c r="I1449">
        <v>6</v>
      </c>
      <c r="J1449" s="3" t="s">
        <v>37</v>
      </c>
      <c r="K1449">
        <v>24000</v>
      </c>
      <c r="L1449">
        <v>180000</v>
      </c>
      <c r="M1449">
        <v>144000</v>
      </c>
      <c r="N1449">
        <v>36000</v>
      </c>
      <c r="O1449" s="3" t="s">
        <v>1550</v>
      </c>
      <c r="P1449" s="3" t="s">
        <v>102</v>
      </c>
      <c r="Q1449" s="3" t="s">
        <v>103</v>
      </c>
      <c r="R1449" s="3" t="s">
        <v>103</v>
      </c>
    </row>
    <row r="1450" spans="1:18">
      <c r="A1450" s="19">
        <v>47124</v>
      </c>
      <c r="B1450" s="3" t="s">
        <v>18</v>
      </c>
      <c r="C1450" s="3" t="s">
        <v>32</v>
      </c>
      <c r="D1450" s="3" t="s">
        <v>13</v>
      </c>
      <c r="E1450" s="3" t="s">
        <v>20</v>
      </c>
      <c r="F1450" s="3" t="s">
        <v>15</v>
      </c>
      <c r="G1450" s="3" t="s">
        <v>16</v>
      </c>
      <c r="H1450">
        <v>85000</v>
      </c>
      <c r="I1450">
        <v>3</v>
      </c>
      <c r="J1450" s="3" t="s">
        <v>28</v>
      </c>
      <c r="K1450">
        <v>68000</v>
      </c>
      <c r="L1450">
        <v>255000</v>
      </c>
      <c r="M1450">
        <v>204000</v>
      </c>
      <c r="N1450">
        <v>51000</v>
      </c>
      <c r="O1450" s="3" t="s">
        <v>1551</v>
      </c>
      <c r="P1450" s="3" t="s">
        <v>102</v>
      </c>
      <c r="Q1450" s="3" t="s">
        <v>103</v>
      </c>
      <c r="R1450" s="3" t="s">
        <v>103</v>
      </c>
    </row>
    <row r="1451" spans="1:18">
      <c r="A1451" s="19">
        <v>47125</v>
      </c>
      <c r="B1451" s="3" t="s">
        <v>18</v>
      </c>
      <c r="C1451" s="3" t="s">
        <v>19</v>
      </c>
      <c r="D1451" s="3" t="s">
        <v>13</v>
      </c>
      <c r="E1451" s="3" t="s">
        <v>20</v>
      </c>
      <c r="F1451" s="3" t="s">
        <v>15</v>
      </c>
      <c r="G1451" s="3" t="s">
        <v>16</v>
      </c>
      <c r="H1451">
        <v>85000</v>
      </c>
      <c r="I1451">
        <v>2</v>
      </c>
      <c r="J1451" s="3" t="s">
        <v>17</v>
      </c>
      <c r="K1451">
        <v>68000</v>
      </c>
      <c r="L1451">
        <v>170000</v>
      </c>
      <c r="M1451">
        <v>136000</v>
      </c>
      <c r="N1451">
        <v>34000</v>
      </c>
      <c r="O1451" s="3" t="s">
        <v>1552</v>
      </c>
      <c r="P1451" s="3" t="s">
        <v>102</v>
      </c>
      <c r="Q1451" s="3" t="s">
        <v>103</v>
      </c>
      <c r="R1451" s="3" t="s">
        <v>103</v>
      </c>
    </row>
    <row r="1452" spans="1:18">
      <c r="A1452" s="19">
        <v>47126</v>
      </c>
      <c r="B1452" s="3" t="s">
        <v>29</v>
      </c>
      <c r="C1452" s="3" t="s">
        <v>19</v>
      </c>
      <c r="D1452" s="3" t="s">
        <v>13</v>
      </c>
      <c r="E1452" s="3" t="s">
        <v>20</v>
      </c>
      <c r="F1452" s="3" t="s">
        <v>40</v>
      </c>
      <c r="G1452" s="3" t="s">
        <v>31</v>
      </c>
      <c r="H1452">
        <v>250000</v>
      </c>
      <c r="I1452">
        <v>10</v>
      </c>
      <c r="J1452" s="3" t="s">
        <v>28</v>
      </c>
      <c r="K1452">
        <v>200000</v>
      </c>
      <c r="L1452">
        <v>2500000</v>
      </c>
      <c r="M1452">
        <v>2000000</v>
      </c>
      <c r="N1452">
        <v>500000</v>
      </c>
      <c r="O1452" s="3" t="s">
        <v>1553</v>
      </c>
      <c r="P1452" s="3" t="s">
        <v>102</v>
      </c>
      <c r="Q1452" s="3" t="s">
        <v>103</v>
      </c>
      <c r="R1452" s="3" t="s">
        <v>103</v>
      </c>
    </row>
    <row r="1453" spans="1:18">
      <c r="A1453" s="19">
        <v>47127</v>
      </c>
      <c r="B1453" s="3" t="s">
        <v>11</v>
      </c>
      <c r="C1453" s="3" t="s">
        <v>19</v>
      </c>
      <c r="D1453" s="3" t="s">
        <v>23</v>
      </c>
      <c r="E1453" s="3" t="s">
        <v>20</v>
      </c>
      <c r="F1453" s="3" t="s">
        <v>41</v>
      </c>
      <c r="G1453" s="3" t="s">
        <v>22</v>
      </c>
      <c r="H1453">
        <v>220000</v>
      </c>
      <c r="I1453">
        <v>2</v>
      </c>
      <c r="J1453" s="3" t="s">
        <v>37</v>
      </c>
      <c r="K1453">
        <v>176000</v>
      </c>
      <c r="L1453">
        <v>440000</v>
      </c>
      <c r="M1453">
        <v>352000</v>
      </c>
      <c r="N1453">
        <v>88000</v>
      </c>
      <c r="O1453" s="3" t="s">
        <v>1554</v>
      </c>
      <c r="P1453" s="3" t="s">
        <v>102</v>
      </c>
      <c r="Q1453" s="3" t="s">
        <v>103</v>
      </c>
      <c r="R1453" s="3" t="s">
        <v>103</v>
      </c>
    </row>
    <row r="1454" spans="1:18">
      <c r="A1454" s="19">
        <v>47128</v>
      </c>
      <c r="B1454" s="3" t="s">
        <v>11</v>
      </c>
      <c r="C1454" s="3" t="s">
        <v>12</v>
      </c>
      <c r="D1454" s="3" t="s">
        <v>23</v>
      </c>
      <c r="E1454" s="3" t="s">
        <v>20</v>
      </c>
      <c r="F1454" s="3" t="s">
        <v>30</v>
      </c>
      <c r="G1454" s="3" t="s">
        <v>31</v>
      </c>
      <c r="H1454">
        <v>300000</v>
      </c>
      <c r="I1454">
        <v>9</v>
      </c>
      <c r="J1454" s="3" t="s">
        <v>37</v>
      </c>
      <c r="K1454">
        <v>240000</v>
      </c>
      <c r="L1454">
        <v>2700000</v>
      </c>
      <c r="M1454">
        <v>2160000</v>
      </c>
      <c r="N1454">
        <v>540000</v>
      </c>
      <c r="O1454" s="3" t="s">
        <v>1555</v>
      </c>
      <c r="P1454" s="3" t="s">
        <v>102</v>
      </c>
      <c r="Q1454" s="3" t="s">
        <v>103</v>
      </c>
      <c r="R1454" s="3" t="s">
        <v>103</v>
      </c>
    </row>
    <row r="1455" spans="1:18">
      <c r="A1455" s="19">
        <v>47129</v>
      </c>
      <c r="B1455" s="3" t="s">
        <v>18</v>
      </c>
      <c r="C1455" s="3" t="s">
        <v>32</v>
      </c>
      <c r="D1455" s="3" t="s">
        <v>13</v>
      </c>
      <c r="E1455" s="3" t="s">
        <v>20</v>
      </c>
      <c r="F1455" s="3" t="s">
        <v>41</v>
      </c>
      <c r="G1455" s="3" t="s">
        <v>22</v>
      </c>
      <c r="H1455">
        <v>220000</v>
      </c>
      <c r="I1455">
        <v>3</v>
      </c>
      <c r="J1455" s="3" t="s">
        <v>24</v>
      </c>
      <c r="K1455">
        <v>176000</v>
      </c>
      <c r="L1455">
        <v>660000</v>
      </c>
      <c r="M1455">
        <v>528000</v>
      </c>
      <c r="N1455">
        <v>132000</v>
      </c>
      <c r="O1455" s="3" t="s">
        <v>1556</v>
      </c>
      <c r="P1455" s="3" t="s">
        <v>102</v>
      </c>
      <c r="Q1455" s="3" t="s">
        <v>103</v>
      </c>
      <c r="R1455" s="3" t="s">
        <v>103</v>
      </c>
    </row>
    <row r="1456" spans="1:18">
      <c r="A1456" s="19">
        <v>47130</v>
      </c>
      <c r="B1456" s="3" t="s">
        <v>18</v>
      </c>
      <c r="C1456" s="3" t="s">
        <v>32</v>
      </c>
      <c r="D1456" s="3" t="s">
        <v>23</v>
      </c>
      <c r="E1456" s="3" t="s">
        <v>20</v>
      </c>
      <c r="F1456" s="3" t="s">
        <v>40</v>
      </c>
      <c r="G1456" s="3" t="s">
        <v>31</v>
      </c>
      <c r="H1456">
        <v>250000</v>
      </c>
      <c r="I1456">
        <v>8</v>
      </c>
      <c r="J1456" s="3" t="s">
        <v>28</v>
      </c>
      <c r="K1456">
        <v>200000</v>
      </c>
      <c r="L1456">
        <v>2000000</v>
      </c>
      <c r="M1456">
        <v>1600000</v>
      </c>
      <c r="N1456">
        <v>400000</v>
      </c>
      <c r="O1456" s="3" t="s">
        <v>1557</v>
      </c>
      <c r="P1456" s="3" t="s">
        <v>102</v>
      </c>
      <c r="Q1456" s="3" t="s">
        <v>103</v>
      </c>
      <c r="R1456" s="3" t="s">
        <v>103</v>
      </c>
    </row>
    <row r="1457" spans="1:18">
      <c r="A1457" s="19">
        <v>47131</v>
      </c>
      <c r="B1457" s="3" t="s">
        <v>25</v>
      </c>
      <c r="C1457" s="3" t="s">
        <v>19</v>
      </c>
      <c r="D1457" s="3" t="s">
        <v>23</v>
      </c>
      <c r="E1457" s="3" t="s">
        <v>20</v>
      </c>
      <c r="F1457" s="3" t="s">
        <v>40</v>
      </c>
      <c r="G1457" s="3" t="s">
        <v>31</v>
      </c>
      <c r="H1457">
        <v>250000</v>
      </c>
      <c r="I1457">
        <v>5</v>
      </c>
      <c r="J1457" s="3" t="s">
        <v>39</v>
      </c>
      <c r="K1457">
        <v>200000</v>
      </c>
      <c r="L1457">
        <v>1250000</v>
      </c>
      <c r="M1457">
        <v>1000000</v>
      </c>
      <c r="N1457">
        <v>250000</v>
      </c>
      <c r="O1457" s="3" t="s">
        <v>1558</v>
      </c>
      <c r="P1457" s="3" t="s">
        <v>102</v>
      </c>
      <c r="Q1457" s="3" t="s">
        <v>103</v>
      </c>
      <c r="R1457" s="3" t="s">
        <v>103</v>
      </c>
    </row>
    <row r="1458" spans="1:18">
      <c r="A1458" s="19">
        <v>47132</v>
      </c>
      <c r="B1458" s="3" t="s">
        <v>29</v>
      </c>
      <c r="C1458" s="3" t="s">
        <v>32</v>
      </c>
      <c r="D1458" s="3" t="s">
        <v>13</v>
      </c>
      <c r="E1458" s="3" t="s">
        <v>20</v>
      </c>
      <c r="F1458" s="3" t="s">
        <v>38</v>
      </c>
      <c r="G1458" s="3" t="s">
        <v>31</v>
      </c>
      <c r="H1458">
        <v>420000</v>
      </c>
      <c r="I1458">
        <v>5</v>
      </c>
      <c r="J1458" s="3" t="s">
        <v>24</v>
      </c>
      <c r="K1458">
        <v>336000</v>
      </c>
      <c r="L1458">
        <v>2100000</v>
      </c>
      <c r="M1458">
        <v>1680000</v>
      </c>
      <c r="N1458">
        <v>420000</v>
      </c>
      <c r="O1458" s="3" t="s">
        <v>1559</v>
      </c>
      <c r="P1458" s="3" t="s">
        <v>102</v>
      </c>
      <c r="Q1458" s="3" t="s">
        <v>103</v>
      </c>
      <c r="R1458" s="3" t="s">
        <v>103</v>
      </c>
    </row>
    <row r="1459" spans="1:18">
      <c r="A1459" s="19">
        <v>47133</v>
      </c>
      <c r="B1459" s="3" t="s">
        <v>25</v>
      </c>
      <c r="C1459" s="3" t="s">
        <v>19</v>
      </c>
      <c r="D1459" s="3" t="s">
        <v>13</v>
      </c>
      <c r="E1459" s="3" t="s">
        <v>20</v>
      </c>
      <c r="F1459" s="3" t="s">
        <v>27</v>
      </c>
      <c r="G1459" s="3" t="s">
        <v>22</v>
      </c>
      <c r="H1459">
        <v>60000</v>
      </c>
      <c r="I1459">
        <v>7</v>
      </c>
      <c r="J1459" s="3" t="s">
        <v>39</v>
      </c>
      <c r="K1459">
        <v>48000</v>
      </c>
      <c r="L1459">
        <v>420000</v>
      </c>
      <c r="M1459">
        <v>336000</v>
      </c>
      <c r="N1459">
        <v>84000</v>
      </c>
      <c r="O1459" s="3" t="s">
        <v>1560</v>
      </c>
      <c r="P1459" s="3" t="s">
        <v>102</v>
      </c>
      <c r="Q1459" s="3" t="s">
        <v>103</v>
      </c>
      <c r="R1459" s="3" t="s">
        <v>103</v>
      </c>
    </row>
    <row r="1460" spans="1:18">
      <c r="A1460" s="19">
        <v>47134</v>
      </c>
      <c r="B1460" s="3" t="s">
        <v>18</v>
      </c>
      <c r="C1460" s="3" t="s">
        <v>26</v>
      </c>
      <c r="D1460" s="3" t="s">
        <v>13</v>
      </c>
      <c r="E1460" s="3" t="s">
        <v>20</v>
      </c>
      <c r="F1460" s="3" t="s">
        <v>21</v>
      </c>
      <c r="G1460" s="3" t="s">
        <v>22</v>
      </c>
      <c r="H1460">
        <v>30000</v>
      </c>
      <c r="I1460">
        <v>8</v>
      </c>
      <c r="J1460" s="3" t="s">
        <v>17</v>
      </c>
      <c r="K1460">
        <v>24000</v>
      </c>
      <c r="L1460">
        <v>240000</v>
      </c>
      <c r="M1460">
        <v>192000</v>
      </c>
      <c r="N1460">
        <v>48000</v>
      </c>
      <c r="O1460" s="3" t="s">
        <v>1561</v>
      </c>
      <c r="P1460" s="3" t="s">
        <v>102</v>
      </c>
      <c r="Q1460" s="3" t="s">
        <v>103</v>
      </c>
      <c r="R1460" s="3" t="s">
        <v>103</v>
      </c>
    </row>
    <row r="1461" spans="1:18">
      <c r="A1461" s="19">
        <v>47135</v>
      </c>
      <c r="B1461" s="3" t="s">
        <v>29</v>
      </c>
      <c r="C1461" s="3" t="s">
        <v>12</v>
      </c>
      <c r="D1461" s="3" t="s">
        <v>23</v>
      </c>
      <c r="E1461" s="3" t="s">
        <v>20</v>
      </c>
      <c r="F1461" s="3" t="s">
        <v>40</v>
      </c>
      <c r="G1461" s="3" t="s">
        <v>31</v>
      </c>
      <c r="H1461">
        <v>250000</v>
      </c>
      <c r="I1461">
        <v>2</v>
      </c>
      <c r="J1461" s="3" t="s">
        <v>28</v>
      </c>
      <c r="K1461">
        <v>200000</v>
      </c>
      <c r="L1461">
        <v>500000</v>
      </c>
      <c r="M1461">
        <v>400000</v>
      </c>
      <c r="N1461">
        <v>100000</v>
      </c>
      <c r="O1461" s="3" t="s">
        <v>1562</v>
      </c>
      <c r="P1461" s="3" t="s">
        <v>102</v>
      </c>
      <c r="Q1461" s="3" t="s">
        <v>103</v>
      </c>
      <c r="R1461" s="3" t="s">
        <v>103</v>
      </c>
    </row>
    <row r="1462" spans="1:18">
      <c r="A1462" s="19">
        <v>47136</v>
      </c>
      <c r="B1462" s="3" t="s">
        <v>18</v>
      </c>
      <c r="C1462" s="3" t="s">
        <v>12</v>
      </c>
      <c r="D1462" s="3" t="s">
        <v>13</v>
      </c>
      <c r="E1462" s="3" t="s">
        <v>20</v>
      </c>
      <c r="F1462" s="3" t="s">
        <v>27</v>
      </c>
      <c r="G1462" s="3" t="s">
        <v>22</v>
      </c>
      <c r="H1462">
        <v>60000</v>
      </c>
      <c r="I1462">
        <v>8</v>
      </c>
      <c r="J1462" s="3" t="s">
        <v>39</v>
      </c>
      <c r="K1462">
        <v>48000</v>
      </c>
      <c r="L1462">
        <v>480000</v>
      </c>
      <c r="M1462">
        <v>384000</v>
      </c>
      <c r="N1462">
        <v>96000</v>
      </c>
      <c r="O1462" s="3" t="s">
        <v>1563</v>
      </c>
      <c r="P1462" s="3" t="s">
        <v>102</v>
      </c>
      <c r="Q1462" s="3" t="s">
        <v>103</v>
      </c>
      <c r="R1462" s="3" t="s">
        <v>103</v>
      </c>
    </row>
    <row r="1463" spans="1:18">
      <c r="A1463" s="19">
        <v>47137</v>
      </c>
      <c r="B1463" s="3" t="s">
        <v>11</v>
      </c>
      <c r="C1463" s="3" t="s">
        <v>12</v>
      </c>
      <c r="D1463" s="3" t="s">
        <v>13</v>
      </c>
      <c r="E1463" s="3" t="s">
        <v>20</v>
      </c>
      <c r="F1463" s="3" t="s">
        <v>21</v>
      </c>
      <c r="G1463" s="3" t="s">
        <v>22</v>
      </c>
      <c r="H1463">
        <v>30000</v>
      </c>
      <c r="I1463">
        <v>7</v>
      </c>
      <c r="J1463" s="3" t="s">
        <v>37</v>
      </c>
      <c r="K1463">
        <v>24000</v>
      </c>
      <c r="L1463">
        <v>210000</v>
      </c>
      <c r="M1463">
        <v>168000</v>
      </c>
      <c r="N1463">
        <v>42000</v>
      </c>
      <c r="O1463" s="3" t="s">
        <v>1564</v>
      </c>
      <c r="P1463" s="3" t="s">
        <v>102</v>
      </c>
      <c r="Q1463" s="3" t="s">
        <v>103</v>
      </c>
      <c r="R1463" s="3" t="s">
        <v>103</v>
      </c>
    </row>
    <row r="1464" spans="1:18">
      <c r="A1464" s="19">
        <v>47138</v>
      </c>
      <c r="B1464" s="3" t="s">
        <v>25</v>
      </c>
      <c r="C1464" s="3" t="s">
        <v>19</v>
      </c>
      <c r="D1464" s="3" t="s">
        <v>23</v>
      </c>
      <c r="E1464" s="3" t="s">
        <v>20</v>
      </c>
      <c r="F1464" s="3" t="s">
        <v>21</v>
      </c>
      <c r="G1464" s="3" t="s">
        <v>22</v>
      </c>
      <c r="H1464">
        <v>30000</v>
      </c>
      <c r="I1464">
        <v>3</v>
      </c>
      <c r="J1464" s="3" t="s">
        <v>17</v>
      </c>
      <c r="K1464">
        <v>24000</v>
      </c>
      <c r="L1464">
        <v>90000</v>
      </c>
      <c r="M1464">
        <v>72000</v>
      </c>
      <c r="N1464">
        <v>18000</v>
      </c>
      <c r="O1464" s="3" t="s">
        <v>1565</v>
      </c>
      <c r="P1464" s="3" t="s">
        <v>102</v>
      </c>
      <c r="Q1464" s="3" t="s">
        <v>103</v>
      </c>
      <c r="R1464" s="3" t="s">
        <v>103</v>
      </c>
    </row>
    <row r="1465" spans="1:18">
      <c r="A1465" s="19">
        <v>47139</v>
      </c>
      <c r="B1465" s="3" t="s">
        <v>25</v>
      </c>
      <c r="C1465" s="3" t="s">
        <v>26</v>
      </c>
      <c r="D1465" s="3" t="s">
        <v>23</v>
      </c>
      <c r="E1465" s="3" t="s">
        <v>20</v>
      </c>
      <c r="F1465" s="3" t="s">
        <v>33</v>
      </c>
      <c r="G1465" s="3" t="s">
        <v>22</v>
      </c>
      <c r="H1465">
        <v>180000</v>
      </c>
      <c r="I1465">
        <v>5</v>
      </c>
      <c r="J1465" s="3" t="s">
        <v>37</v>
      </c>
      <c r="K1465">
        <v>144000</v>
      </c>
      <c r="L1465">
        <v>900000</v>
      </c>
      <c r="M1465">
        <v>720000</v>
      </c>
      <c r="N1465">
        <v>180000</v>
      </c>
      <c r="O1465" s="3" t="s">
        <v>1566</v>
      </c>
      <c r="P1465" s="3" t="s">
        <v>102</v>
      </c>
      <c r="Q1465" s="3" t="s">
        <v>103</v>
      </c>
      <c r="R1465" s="3" t="s">
        <v>103</v>
      </c>
    </row>
    <row r="1466" spans="1:18">
      <c r="A1466" s="19">
        <v>47140</v>
      </c>
      <c r="B1466" s="3" t="s">
        <v>18</v>
      </c>
      <c r="C1466" s="3" t="s">
        <v>32</v>
      </c>
      <c r="D1466" s="3" t="s">
        <v>13</v>
      </c>
      <c r="E1466" s="3" t="s">
        <v>20</v>
      </c>
      <c r="F1466" s="3" t="s">
        <v>40</v>
      </c>
      <c r="G1466" s="3" t="s">
        <v>31</v>
      </c>
      <c r="H1466">
        <v>250000</v>
      </c>
      <c r="I1466">
        <v>5</v>
      </c>
      <c r="J1466" s="3" t="s">
        <v>35</v>
      </c>
      <c r="K1466">
        <v>200000</v>
      </c>
      <c r="L1466">
        <v>1250000</v>
      </c>
      <c r="M1466">
        <v>1000000</v>
      </c>
      <c r="N1466">
        <v>250000</v>
      </c>
      <c r="O1466" s="3" t="s">
        <v>1567</v>
      </c>
      <c r="P1466" s="3" t="s">
        <v>102</v>
      </c>
      <c r="Q1466" s="3" t="s">
        <v>103</v>
      </c>
      <c r="R1466" s="3" t="s">
        <v>103</v>
      </c>
    </row>
    <row r="1467" spans="1:18">
      <c r="A1467" s="19">
        <v>47141</v>
      </c>
      <c r="B1467" s="3" t="s">
        <v>18</v>
      </c>
      <c r="C1467" s="3" t="s">
        <v>12</v>
      </c>
      <c r="D1467" s="3" t="s">
        <v>13</v>
      </c>
      <c r="E1467" s="3" t="s">
        <v>20</v>
      </c>
      <c r="F1467" s="3" t="s">
        <v>15</v>
      </c>
      <c r="G1467" s="3" t="s">
        <v>16</v>
      </c>
      <c r="H1467">
        <v>85000</v>
      </c>
      <c r="I1467">
        <v>3</v>
      </c>
      <c r="J1467" s="3" t="s">
        <v>37</v>
      </c>
      <c r="K1467">
        <v>68000</v>
      </c>
      <c r="L1467">
        <v>255000</v>
      </c>
      <c r="M1467">
        <v>204000</v>
      </c>
      <c r="N1467">
        <v>51000</v>
      </c>
      <c r="O1467" s="3" t="s">
        <v>1568</v>
      </c>
      <c r="P1467" s="3" t="s">
        <v>102</v>
      </c>
      <c r="Q1467" s="3" t="s">
        <v>103</v>
      </c>
      <c r="R1467" s="3" t="s">
        <v>103</v>
      </c>
    </row>
    <row r="1468" spans="1:18">
      <c r="A1468" s="19">
        <v>47142</v>
      </c>
      <c r="B1468" s="3" t="s">
        <v>29</v>
      </c>
      <c r="C1468" s="3" t="s">
        <v>12</v>
      </c>
      <c r="D1468" s="3" t="s">
        <v>23</v>
      </c>
      <c r="E1468" s="3" t="s">
        <v>20</v>
      </c>
      <c r="F1468" s="3" t="s">
        <v>21</v>
      </c>
      <c r="G1468" s="3" t="s">
        <v>22</v>
      </c>
      <c r="H1468">
        <v>30000</v>
      </c>
      <c r="I1468">
        <v>1</v>
      </c>
      <c r="J1468" s="3" t="s">
        <v>24</v>
      </c>
      <c r="K1468">
        <v>24000</v>
      </c>
      <c r="L1468">
        <v>30000</v>
      </c>
      <c r="M1468">
        <v>24000</v>
      </c>
      <c r="N1468">
        <v>6000</v>
      </c>
      <c r="O1468" s="3" t="s">
        <v>1569</v>
      </c>
      <c r="P1468" s="3" t="s">
        <v>102</v>
      </c>
      <c r="Q1468" s="3" t="s">
        <v>103</v>
      </c>
      <c r="R1468" s="3" t="s">
        <v>103</v>
      </c>
    </row>
    <row r="1469" spans="1:18">
      <c r="A1469" s="19">
        <v>47143</v>
      </c>
      <c r="B1469" s="3" t="s">
        <v>25</v>
      </c>
      <c r="C1469" s="3" t="s">
        <v>26</v>
      </c>
      <c r="D1469" s="3" t="s">
        <v>23</v>
      </c>
      <c r="E1469" s="3" t="s">
        <v>20</v>
      </c>
      <c r="F1469" s="3" t="s">
        <v>30</v>
      </c>
      <c r="G1469" s="3" t="s">
        <v>31</v>
      </c>
      <c r="H1469">
        <v>300000</v>
      </c>
      <c r="I1469">
        <v>10</v>
      </c>
      <c r="J1469" s="3" t="s">
        <v>35</v>
      </c>
      <c r="K1469">
        <v>240000</v>
      </c>
      <c r="L1469">
        <v>3000000</v>
      </c>
      <c r="M1469">
        <v>2400000</v>
      </c>
      <c r="N1469">
        <v>600000</v>
      </c>
      <c r="O1469" s="3" t="s">
        <v>1570</v>
      </c>
      <c r="P1469" s="3" t="s">
        <v>102</v>
      </c>
      <c r="Q1469" s="3" t="s">
        <v>103</v>
      </c>
      <c r="R1469" s="3" t="s">
        <v>103</v>
      </c>
    </row>
    <row r="1470" spans="1:18">
      <c r="A1470" s="19">
        <v>47144</v>
      </c>
      <c r="B1470" s="3" t="s">
        <v>25</v>
      </c>
      <c r="C1470" s="3" t="s">
        <v>19</v>
      </c>
      <c r="D1470" s="3" t="s">
        <v>23</v>
      </c>
      <c r="E1470" s="3" t="s">
        <v>20</v>
      </c>
      <c r="F1470" s="3" t="s">
        <v>38</v>
      </c>
      <c r="G1470" s="3" t="s">
        <v>31</v>
      </c>
      <c r="H1470">
        <v>420000</v>
      </c>
      <c r="I1470">
        <v>5</v>
      </c>
      <c r="J1470" s="3" t="s">
        <v>37</v>
      </c>
      <c r="K1470">
        <v>336000</v>
      </c>
      <c r="L1470">
        <v>2100000</v>
      </c>
      <c r="M1470">
        <v>1680000</v>
      </c>
      <c r="N1470">
        <v>420000</v>
      </c>
      <c r="O1470" s="3" t="s">
        <v>1571</v>
      </c>
      <c r="P1470" s="3" t="s">
        <v>102</v>
      </c>
      <c r="Q1470" s="3" t="s">
        <v>103</v>
      </c>
      <c r="R1470" s="3" t="s">
        <v>103</v>
      </c>
    </row>
    <row r="1471" spans="1:18">
      <c r="A1471" s="19">
        <v>47145</v>
      </c>
      <c r="B1471" s="3" t="s">
        <v>18</v>
      </c>
      <c r="C1471" s="3" t="s">
        <v>12</v>
      </c>
      <c r="D1471" s="3" t="s">
        <v>23</v>
      </c>
      <c r="E1471" s="3" t="s">
        <v>20</v>
      </c>
      <c r="F1471" s="3" t="s">
        <v>40</v>
      </c>
      <c r="G1471" s="3" t="s">
        <v>31</v>
      </c>
      <c r="H1471">
        <v>250000</v>
      </c>
      <c r="I1471">
        <v>4</v>
      </c>
      <c r="J1471" s="3" t="s">
        <v>37</v>
      </c>
      <c r="K1471">
        <v>200000</v>
      </c>
      <c r="L1471">
        <v>1000000</v>
      </c>
      <c r="M1471">
        <v>800000</v>
      </c>
      <c r="N1471">
        <v>200000</v>
      </c>
      <c r="O1471" s="3" t="s">
        <v>1572</v>
      </c>
      <c r="P1471" s="3" t="s">
        <v>102</v>
      </c>
      <c r="Q1471" s="3" t="s">
        <v>103</v>
      </c>
      <c r="R1471" s="3" t="s">
        <v>103</v>
      </c>
    </row>
    <row r="1472" spans="1:18">
      <c r="A1472" s="19">
        <v>47146</v>
      </c>
      <c r="B1472" s="3" t="s">
        <v>25</v>
      </c>
      <c r="C1472" s="3" t="s">
        <v>26</v>
      </c>
      <c r="D1472" s="3" t="s">
        <v>13</v>
      </c>
      <c r="E1472" s="3" t="s">
        <v>20</v>
      </c>
      <c r="F1472" s="3" t="s">
        <v>41</v>
      </c>
      <c r="G1472" s="3" t="s">
        <v>22</v>
      </c>
      <c r="H1472">
        <v>220000</v>
      </c>
      <c r="I1472">
        <v>3</v>
      </c>
      <c r="J1472" s="3" t="s">
        <v>17</v>
      </c>
      <c r="K1472">
        <v>176000</v>
      </c>
      <c r="L1472">
        <v>660000</v>
      </c>
      <c r="M1472">
        <v>528000</v>
      </c>
      <c r="N1472">
        <v>132000</v>
      </c>
      <c r="O1472" s="3" t="s">
        <v>1573</v>
      </c>
      <c r="P1472" s="3" t="s">
        <v>102</v>
      </c>
      <c r="Q1472" s="3" t="s">
        <v>103</v>
      </c>
      <c r="R1472" s="3" t="s">
        <v>103</v>
      </c>
    </row>
    <row r="1473" spans="1:18">
      <c r="A1473" s="19">
        <v>47147</v>
      </c>
      <c r="B1473" s="3" t="s">
        <v>29</v>
      </c>
      <c r="C1473" s="3" t="s">
        <v>32</v>
      </c>
      <c r="D1473" s="3" t="s">
        <v>13</v>
      </c>
      <c r="E1473" s="3" t="s">
        <v>20</v>
      </c>
      <c r="F1473" s="3" t="s">
        <v>34</v>
      </c>
      <c r="G1473" s="3" t="s">
        <v>16</v>
      </c>
      <c r="H1473">
        <v>320000</v>
      </c>
      <c r="I1473">
        <v>2</v>
      </c>
      <c r="J1473" s="3" t="s">
        <v>28</v>
      </c>
      <c r="K1473">
        <v>256000</v>
      </c>
      <c r="L1473">
        <v>640000</v>
      </c>
      <c r="M1473">
        <v>512000</v>
      </c>
      <c r="N1473">
        <v>128000</v>
      </c>
      <c r="O1473" s="3" t="s">
        <v>1574</v>
      </c>
      <c r="P1473" s="3" t="s">
        <v>102</v>
      </c>
      <c r="Q1473" s="3" t="s">
        <v>103</v>
      </c>
      <c r="R1473" s="3" t="s">
        <v>103</v>
      </c>
    </row>
    <row r="1474" spans="1:18">
      <c r="A1474" s="19">
        <v>47148</v>
      </c>
      <c r="B1474" s="3" t="s">
        <v>11</v>
      </c>
      <c r="C1474" s="3" t="s">
        <v>32</v>
      </c>
      <c r="D1474" s="3" t="s">
        <v>23</v>
      </c>
      <c r="E1474" s="3" t="s">
        <v>20</v>
      </c>
      <c r="F1474" s="3" t="s">
        <v>34</v>
      </c>
      <c r="G1474" s="3" t="s">
        <v>16</v>
      </c>
      <c r="H1474">
        <v>320000</v>
      </c>
      <c r="I1474">
        <v>9</v>
      </c>
      <c r="J1474" s="3" t="s">
        <v>39</v>
      </c>
      <c r="K1474">
        <v>256000</v>
      </c>
      <c r="L1474">
        <v>2880000</v>
      </c>
      <c r="M1474">
        <v>2304000</v>
      </c>
      <c r="N1474">
        <v>576000</v>
      </c>
      <c r="O1474" s="3" t="s">
        <v>1575</v>
      </c>
      <c r="P1474" s="3" t="s">
        <v>102</v>
      </c>
      <c r="Q1474" s="3" t="s">
        <v>103</v>
      </c>
      <c r="R1474" s="3" t="s">
        <v>103</v>
      </c>
    </row>
    <row r="1475" spans="1:18">
      <c r="A1475" s="19">
        <v>47149</v>
      </c>
      <c r="B1475" s="3" t="s">
        <v>29</v>
      </c>
      <c r="C1475" s="3" t="s">
        <v>19</v>
      </c>
      <c r="D1475" s="3" t="s">
        <v>13</v>
      </c>
      <c r="E1475" s="3" t="s">
        <v>20</v>
      </c>
      <c r="F1475" s="3" t="s">
        <v>41</v>
      </c>
      <c r="G1475" s="3" t="s">
        <v>22</v>
      </c>
      <c r="H1475">
        <v>220000</v>
      </c>
      <c r="I1475">
        <v>10</v>
      </c>
      <c r="J1475" s="3" t="s">
        <v>24</v>
      </c>
      <c r="K1475">
        <v>176000</v>
      </c>
      <c r="L1475">
        <v>2200000</v>
      </c>
      <c r="M1475">
        <v>1760000</v>
      </c>
      <c r="N1475">
        <v>440000</v>
      </c>
      <c r="O1475" s="3" t="s">
        <v>1576</v>
      </c>
      <c r="P1475" s="3" t="s">
        <v>102</v>
      </c>
      <c r="Q1475" s="3" t="s">
        <v>103</v>
      </c>
      <c r="R1475" s="3" t="s">
        <v>103</v>
      </c>
    </row>
    <row r="1476" spans="1:18">
      <c r="A1476" s="19">
        <v>47150</v>
      </c>
      <c r="B1476" s="3" t="s">
        <v>25</v>
      </c>
      <c r="C1476" s="3" t="s">
        <v>12</v>
      </c>
      <c r="D1476" s="3" t="s">
        <v>13</v>
      </c>
      <c r="E1476" s="3" t="s">
        <v>20</v>
      </c>
      <c r="F1476" s="3" t="s">
        <v>15</v>
      </c>
      <c r="G1476" s="3" t="s">
        <v>16</v>
      </c>
      <c r="H1476">
        <v>85000</v>
      </c>
      <c r="I1476">
        <v>1</v>
      </c>
      <c r="J1476" s="3" t="s">
        <v>28</v>
      </c>
      <c r="K1476">
        <v>68000</v>
      </c>
      <c r="L1476">
        <v>85000</v>
      </c>
      <c r="M1476">
        <v>68000</v>
      </c>
      <c r="N1476">
        <v>17000</v>
      </c>
      <c r="O1476" s="3" t="s">
        <v>1577</v>
      </c>
      <c r="P1476" s="3" t="s">
        <v>102</v>
      </c>
      <c r="Q1476" s="3" t="s">
        <v>103</v>
      </c>
      <c r="R1476" s="3" t="s">
        <v>103</v>
      </c>
    </row>
    <row r="1477" spans="1:18">
      <c r="A1477" s="19">
        <v>47151</v>
      </c>
      <c r="B1477" s="3" t="s">
        <v>25</v>
      </c>
      <c r="C1477" s="3" t="s">
        <v>32</v>
      </c>
      <c r="D1477" s="3" t="s">
        <v>13</v>
      </c>
      <c r="E1477" s="3" t="s">
        <v>14</v>
      </c>
      <c r="F1477" s="3" t="s">
        <v>30</v>
      </c>
      <c r="G1477" s="3" t="s">
        <v>31</v>
      </c>
      <c r="H1477">
        <v>300000</v>
      </c>
      <c r="I1477">
        <v>4</v>
      </c>
      <c r="J1477" s="3" t="s">
        <v>28</v>
      </c>
      <c r="K1477">
        <v>240000</v>
      </c>
      <c r="L1477">
        <v>1200000</v>
      </c>
      <c r="M1477">
        <v>960000</v>
      </c>
      <c r="N1477">
        <v>240000</v>
      </c>
      <c r="O1477" s="3" t="s">
        <v>1578</v>
      </c>
      <c r="P1477" s="3" t="s">
        <v>102</v>
      </c>
      <c r="Q1477" s="3" t="s">
        <v>103</v>
      </c>
      <c r="R1477" s="3" t="s">
        <v>103</v>
      </c>
    </row>
    <row r="1478" spans="1:18">
      <c r="A1478" s="19">
        <v>47152</v>
      </c>
      <c r="B1478" s="3" t="s">
        <v>25</v>
      </c>
      <c r="C1478" s="3" t="s">
        <v>32</v>
      </c>
      <c r="D1478" s="3" t="s">
        <v>23</v>
      </c>
      <c r="E1478" s="3" t="s">
        <v>20</v>
      </c>
      <c r="F1478" s="3" t="s">
        <v>15</v>
      </c>
      <c r="G1478" s="3" t="s">
        <v>16</v>
      </c>
      <c r="H1478">
        <v>85000</v>
      </c>
      <c r="I1478">
        <v>5</v>
      </c>
      <c r="J1478" s="3" t="s">
        <v>24</v>
      </c>
      <c r="K1478">
        <v>68000</v>
      </c>
      <c r="L1478">
        <v>425000</v>
      </c>
      <c r="M1478">
        <v>340000</v>
      </c>
      <c r="N1478">
        <v>85000</v>
      </c>
      <c r="O1478" s="3" t="s">
        <v>1579</v>
      </c>
      <c r="P1478" s="3" t="s">
        <v>102</v>
      </c>
      <c r="Q1478" s="3" t="s">
        <v>103</v>
      </c>
      <c r="R1478" s="3" t="s">
        <v>103</v>
      </c>
    </row>
    <row r="1479" spans="1:18">
      <c r="A1479" s="19">
        <v>47153</v>
      </c>
      <c r="B1479" s="3" t="s">
        <v>25</v>
      </c>
      <c r="C1479" s="3" t="s">
        <v>32</v>
      </c>
      <c r="D1479" s="3" t="s">
        <v>23</v>
      </c>
      <c r="E1479" s="3" t="s">
        <v>14</v>
      </c>
      <c r="F1479" s="3" t="s">
        <v>30</v>
      </c>
      <c r="G1479" s="3" t="s">
        <v>31</v>
      </c>
      <c r="H1479">
        <v>300000</v>
      </c>
      <c r="I1479">
        <v>5</v>
      </c>
      <c r="J1479" s="3" t="s">
        <v>39</v>
      </c>
      <c r="K1479">
        <v>240000</v>
      </c>
      <c r="L1479">
        <v>1500000</v>
      </c>
      <c r="M1479">
        <v>1200000</v>
      </c>
      <c r="N1479">
        <v>300000</v>
      </c>
      <c r="O1479" s="3" t="s">
        <v>1580</v>
      </c>
      <c r="P1479" s="3" t="s">
        <v>102</v>
      </c>
      <c r="Q1479" s="3" t="s">
        <v>103</v>
      </c>
      <c r="R1479" s="3" t="s">
        <v>103</v>
      </c>
    </row>
    <row r="1480" spans="1:18">
      <c r="A1480" s="19">
        <v>47154</v>
      </c>
      <c r="B1480" s="3" t="s">
        <v>25</v>
      </c>
      <c r="C1480" s="3" t="s">
        <v>32</v>
      </c>
      <c r="D1480" s="3" t="s">
        <v>13</v>
      </c>
      <c r="E1480" s="3" t="s">
        <v>20</v>
      </c>
      <c r="F1480" s="3" t="s">
        <v>30</v>
      </c>
      <c r="G1480" s="3" t="s">
        <v>31</v>
      </c>
      <c r="H1480">
        <v>300000</v>
      </c>
      <c r="I1480">
        <v>5</v>
      </c>
      <c r="J1480" s="3" t="s">
        <v>17</v>
      </c>
      <c r="K1480">
        <v>240000</v>
      </c>
      <c r="L1480">
        <v>1500000</v>
      </c>
      <c r="M1480">
        <v>1200000</v>
      </c>
      <c r="N1480">
        <v>300000</v>
      </c>
      <c r="O1480" s="3" t="s">
        <v>1581</v>
      </c>
      <c r="P1480" s="3" t="s">
        <v>102</v>
      </c>
      <c r="Q1480" s="3" t="s">
        <v>103</v>
      </c>
      <c r="R1480" s="3" t="s">
        <v>103</v>
      </c>
    </row>
    <row r="1481" spans="1:18">
      <c r="A1481" s="19">
        <v>47155</v>
      </c>
      <c r="B1481" s="3" t="s">
        <v>11</v>
      </c>
      <c r="C1481" s="3" t="s">
        <v>19</v>
      </c>
      <c r="D1481" s="3" t="s">
        <v>23</v>
      </c>
      <c r="E1481" s="3" t="s">
        <v>20</v>
      </c>
      <c r="F1481" s="3" t="s">
        <v>21</v>
      </c>
      <c r="G1481" s="3" t="s">
        <v>22</v>
      </c>
      <c r="H1481">
        <v>30000</v>
      </c>
      <c r="I1481">
        <v>10</v>
      </c>
      <c r="J1481" s="3" t="s">
        <v>17</v>
      </c>
      <c r="K1481">
        <v>24000</v>
      </c>
      <c r="L1481">
        <v>300000</v>
      </c>
      <c r="M1481">
        <v>240000</v>
      </c>
      <c r="N1481">
        <v>60000</v>
      </c>
      <c r="O1481" s="3" t="s">
        <v>1582</v>
      </c>
      <c r="P1481" s="3" t="s">
        <v>102</v>
      </c>
      <c r="Q1481" s="3" t="s">
        <v>103</v>
      </c>
      <c r="R1481" s="3" t="s">
        <v>103</v>
      </c>
    </row>
    <row r="1482" spans="1:18">
      <c r="A1482" s="19">
        <v>47156</v>
      </c>
      <c r="B1482" s="3" t="s">
        <v>25</v>
      </c>
      <c r="C1482" s="3" t="s">
        <v>26</v>
      </c>
      <c r="D1482" s="3" t="s">
        <v>13</v>
      </c>
      <c r="E1482" s="3" t="s">
        <v>14</v>
      </c>
      <c r="F1482" s="3" t="s">
        <v>41</v>
      </c>
      <c r="G1482" s="3" t="s">
        <v>22</v>
      </c>
      <c r="H1482">
        <v>220000</v>
      </c>
      <c r="I1482">
        <v>6</v>
      </c>
      <c r="J1482" s="3" t="s">
        <v>35</v>
      </c>
      <c r="K1482">
        <v>176000</v>
      </c>
      <c r="L1482">
        <v>1320000</v>
      </c>
      <c r="M1482">
        <v>1056000</v>
      </c>
      <c r="N1482">
        <v>264000</v>
      </c>
      <c r="O1482" s="3" t="s">
        <v>1583</v>
      </c>
      <c r="P1482" s="3" t="s">
        <v>102</v>
      </c>
      <c r="Q1482" s="3" t="s">
        <v>103</v>
      </c>
      <c r="R1482" s="3" t="s">
        <v>103</v>
      </c>
    </row>
    <row r="1483" spans="1:18">
      <c r="A1483" s="19">
        <v>47157</v>
      </c>
      <c r="B1483" s="3" t="s">
        <v>11</v>
      </c>
      <c r="C1483" s="3" t="s">
        <v>32</v>
      </c>
      <c r="D1483" s="3" t="s">
        <v>23</v>
      </c>
      <c r="E1483" s="3" t="s">
        <v>14</v>
      </c>
      <c r="F1483" s="3" t="s">
        <v>15</v>
      </c>
      <c r="G1483" s="3" t="s">
        <v>16</v>
      </c>
      <c r="H1483">
        <v>85000</v>
      </c>
      <c r="I1483">
        <v>9</v>
      </c>
      <c r="J1483" s="3" t="s">
        <v>24</v>
      </c>
      <c r="K1483">
        <v>68000</v>
      </c>
      <c r="L1483">
        <v>765000</v>
      </c>
      <c r="M1483">
        <v>612000</v>
      </c>
      <c r="N1483">
        <v>153000</v>
      </c>
      <c r="O1483" s="3" t="s">
        <v>1584</v>
      </c>
      <c r="P1483" s="3" t="s">
        <v>102</v>
      </c>
      <c r="Q1483" s="3" t="s">
        <v>103</v>
      </c>
      <c r="R1483" s="3" t="s">
        <v>103</v>
      </c>
    </row>
    <row r="1484" spans="1:18">
      <c r="A1484" s="19">
        <v>47158</v>
      </c>
      <c r="B1484" s="3" t="s">
        <v>18</v>
      </c>
      <c r="C1484" s="3" t="s">
        <v>32</v>
      </c>
      <c r="D1484" s="3" t="s">
        <v>13</v>
      </c>
      <c r="E1484" s="3" t="s">
        <v>14</v>
      </c>
      <c r="F1484" s="3" t="s">
        <v>38</v>
      </c>
      <c r="G1484" s="3" t="s">
        <v>31</v>
      </c>
      <c r="H1484">
        <v>420000</v>
      </c>
      <c r="I1484">
        <v>10</v>
      </c>
      <c r="J1484" s="3" t="s">
        <v>28</v>
      </c>
      <c r="K1484">
        <v>336000</v>
      </c>
      <c r="L1484">
        <v>4200000</v>
      </c>
      <c r="M1484">
        <v>3360000</v>
      </c>
      <c r="N1484">
        <v>840000</v>
      </c>
      <c r="O1484" s="3" t="s">
        <v>1585</v>
      </c>
      <c r="P1484" s="3" t="s">
        <v>102</v>
      </c>
      <c r="Q1484" s="3" t="s">
        <v>103</v>
      </c>
      <c r="R1484" s="3" t="s">
        <v>103</v>
      </c>
    </row>
    <row r="1485" spans="1:18">
      <c r="A1485" s="19">
        <v>47159</v>
      </c>
      <c r="B1485" s="3" t="s">
        <v>29</v>
      </c>
      <c r="C1485" s="3" t="s">
        <v>12</v>
      </c>
      <c r="D1485" s="3" t="s">
        <v>23</v>
      </c>
      <c r="E1485" s="3" t="s">
        <v>20</v>
      </c>
      <c r="F1485" s="3" t="s">
        <v>38</v>
      </c>
      <c r="G1485" s="3" t="s">
        <v>31</v>
      </c>
      <c r="H1485">
        <v>420000</v>
      </c>
      <c r="I1485">
        <v>1</v>
      </c>
      <c r="J1485" s="3" t="s">
        <v>35</v>
      </c>
      <c r="K1485">
        <v>336000</v>
      </c>
      <c r="L1485">
        <v>420000</v>
      </c>
      <c r="M1485">
        <v>336000</v>
      </c>
      <c r="N1485">
        <v>84000</v>
      </c>
      <c r="O1485" s="3" t="s">
        <v>1586</v>
      </c>
      <c r="P1485" s="3" t="s">
        <v>102</v>
      </c>
      <c r="Q1485" s="3" t="s">
        <v>103</v>
      </c>
      <c r="R1485" s="3" t="s">
        <v>103</v>
      </c>
    </row>
    <row r="1486" spans="1:18">
      <c r="A1486" s="19">
        <v>47160</v>
      </c>
      <c r="B1486" s="3" t="s">
        <v>11</v>
      </c>
      <c r="C1486" s="3" t="s">
        <v>19</v>
      </c>
      <c r="D1486" s="3" t="s">
        <v>13</v>
      </c>
      <c r="E1486" s="3" t="s">
        <v>20</v>
      </c>
      <c r="F1486" s="3" t="s">
        <v>27</v>
      </c>
      <c r="G1486" s="3" t="s">
        <v>22</v>
      </c>
      <c r="H1486">
        <v>60000</v>
      </c>
      <c r="I1486">
        <v>6</v>
      </c>
      <c r="J1486" s="3" t="s">
        <v>28</v>
      </c>
      <c r="K1486">
        <v>48000</v>
      </c>
      <c r="L1486">
        <v>360000</v>
      </c>
      <c r="M1486">
        <v>288000</v>
      </c>
      <c r="N1486">
        <v>72000</v>
      </c>
      <c r="O1486" s="3" t="s">
        <v>1587</v>
      </c>
      <c r="P1486" s="3" t="s">
        <v>102</v>
      </c>
      <c r="Q1486" s="3" t="s">
        <v>103</v>
      </c>
      <c r="R1486" s="3" t="s">
        <v>103</v>
      </c>
    </row>
    <row r="1487" spans="1:18">
      <c r="A1487" s="19">
        <v>47161</v>
      </c>
      <c r="B1487" s="3" t="s">
        <v>25</v>
      </c>
      <c r="C1487" s="3" t="s">
        <v>32</v>
      </c>
      <c r="D1487" s="3" t="s">
        <v>13</v>
      </c>
      <c r="E1487" s="3" t="s">
        <v>20</v>
      </c>
      <c r="F1487" s="3" t="s">
        <v>36</v>
      </c>
      <c r="G1487" s="3" t="s">
        <v>31</v>
      </c>
      <c r="H1487">
        <v>150000</v>
      </c>
      <c r="I1487">
        <v>1</v>
      </c>
      <c r="J1487" s="3" t="s">
        <v>28</v>
      </c>
      <c r="K1487">
        <v>120000</v>
      </c>
      <c r="L1487">
        <v>150000</v>
      </c>
      <c r="M1487">
        <v>120000</v>
      </c>
      <c r="N1487">
        <v>30000</v>
      </c>
      <c r="O1487" s="3" t="s">
        <v>1588</v>
      </c>
      <c r="P1487" s="3" t="s">
        <v>102</v>
      </c>
      <c r="Q1487" s="3" t="s">
        <v>103</v>
      </c>
      <c r="R1487" s="3" t="s">
        <v>103</v>
      </c>
    </row>
    <row r="1488" spans="1:18">
      <c r="A1488" s="19">
        <v>47162</v>
      </c>
      <c r="B1488" s="3" t="s">
        <v>29</v>
      </c>
      <c r="C1488" s="3" t="s">
        <v>26</v>
      </c>
      <c r="D1488" s="3" t="s">
        <v>13</v>
      </c>
      <c r="E1488" s="3" t="s">
        <v>14</v>
      </c>
      <c r="F1488" s="3" t="s">
        <v>40</v>
      </c>
      <c r="G1488" s="3" t="s">
        <v>31</v>
      </c>
      <c r="H1488">
        <v>250000</v>
      </c>
      <c r="I1488">
        <v>5</v>
      </c>
      <c r="J1488" s="3" t="s">
        <v>28</v>
      </c>
      <c r="K1488">
        <v>200000</v>
      </c>
      <c r="L1488">
        <v>1250000</v>
      </c>
      <c r="M1488">
        <v>1000000</v>
      </c>
      <c r="N1488">
        <v>250000</v>
      </c>
      <c r="O1488" s="3" t="s">
        <v>1589</v>
      </c>
      <c r="P1488" s="3" t="s">
        <v>102</v>
      </c>
      <c r="Q1488" s="3" t="s">
        <v>103</v>
      </c>
      <c r="R1488" s="3" t="s">
        <v>103</v>
      </c>
    </row>
    <row r="1489" spans="1:18">
      <c r="A1489" s="19">
        <v>47163</v>
      </c>
      <c r="B1489" s="3" t="s">
        <v>18</v>
      </c>
      <c r="C1489" s="3" t="s">
        <v>32</v>
      </c>
      <c r="D1489" s="3" t="s">
        <v>13</v>
      </c>
      <c r="E1489" s="3" t="s">
        <v>20</v>
      </c>
      <c r="F1489" s="3" t="s">
        <v>41</v>
      </c>
      <c r="G1489" s="3" t="s">
        <v>22</v>
      </c>
      <c r="H1489">
        <v>220000</v>
      </c>
      <c r="I1489">
        <v>5</v>
      </c>
      <c r="J1489" s="3" t="s">
        <v>28</v>
      </c>
      <c r="K1489">
        <v>176000</v>
      </c>
      <c r="L1489">
        <v>1100000</v>
      </c>
      <c r="M1489">
        <v>880000</v>
      </c>
      <c r="N1489">
        <v>220000</v>
      </c>
      <c r="O1489" s="3" t="s">
        <v>1590</v>
      </c>
      <c r="P1489" s="3" t="s">
        <v>102</v>
      </c>
      <c r="Q1489" s="3" t="s">
        <v>103</v>
      </c>
      <c r="R1489" s="3" t="s">
        <v>103</v>
      </c>
    </row>
    <row r="1490" spans="1:18">
      <c r="A1490" s="19">
        <v>47164</v>
      </c>
      <c r="B1490" s="3" t="s">
        <v>11</v>
      </c>
      <c r="C1490" s="3" t="s">
        <v>19</v>
      </c>
      <c r="D1490" s="3" t="s">
        <v>23</v>
      </c>
      <c r="E1490" s="3" t="s">
        <v>20</v>
      </c>
      <c r="F1490" s="3" t="s">
        <v>27</v>
      </c>
      <c r="G1490" s="3" t="s">
        <v>22</v>
      </c>
      <c r="H1490">
        <v>60000</v>
      </c>
      <c r="I1490">
        <v>2</v>
      </c>
      <c r="J1490" s="3" t="s">
        <v>28</v>
      </c>
      <c r="K1490">
        <v>48000</v>
      </c>
      <c r="L1490">
        <v>120000</v>
      </c>
      <c r="M1490">
        <v>96000</v>
      </c>
      <c r="N1490">
        <v>24000</v>
      </c>
      <c r="O1490" s="3" t="s">
        <v>1591</v>
      </c>
      <c r="P1490" s="3" t="s">
        <v>102</v>
      </c>
      <c r="Q1490" s="3" t="s">
        <v>103</v>
      </c>
      <c r="R1490" s="3" t="s">
        <v>103</v>
      </c>
    </row>
    <row r="1491" spans="1:18">
      <c r="A1491" s="19">
        <v>47165</v>
      </c>
      <c r="B1491" s="3" t="s">
        <v>18</v>
      </c>
      <c r="C1491" s="3" t="s">
        <v>32</v>
      </c>
      <c r="D1491" s="3" t="s">
        <v>23</v>
      </c>
      <c r="E1491" s="3" t="s">
        <v>20</v>
      </c>
      <c r="F1491" s="3" t="s">
        <v>36</v>
      </c>
      <c r="G1491" s="3" t="s">
        <v>31</v>
      </c>
      <c r="H1491">
        <v>150000</v>
      </c>
      <c r="I1491">
        <v>3</v>
      </c>
      <c r="J1491" s="3" t="s">
        <v>39</v>
      </c>
      <c r="K1491">
        <v>120000</v>
      </c>
      <c r="L1491">
        <v>450000</v>
      </c>
      <c r="M1491">
        <v>360000</v>
      </c>
      <c r="N1491">
        <v>90000</v>
      </c>
      <c r="O1491" s="3" t="s">
        <v>1592</v>
      </c>
      <c r="P1491" s="3" t="s">
        <v>102</v>
      </c>
      <c r="Q1491" s="3" t="s">
        <v>103</v>
      </c>
      <c r="R1491" s="3" t="s">
        <v>103</v>
      </c>
    </row>
    <row r="1492" spans="1:18">
      <c r="A1492" s="19">
        <v>47166</v>
      </c>
      <c r="B1492" s="3" t="s">
        <v>25</v>
      </c>
      <c r="C1492" s="3" t="s">
        <v>19</v>
      </c>
      <c r="D1492" s="3" t="s">
        <v>23</v>
      </c>
      <c r="E1492" s="3" t="s">
        <v>20</v>
      </c>
      <c r="F1492" s="3" t="s">
        <v>15</v>
      </c>
      <c r="G1492" s="3" t="s">
        <v>16</v>
      </c>
      <c r="H1492">
        <v>85000</v>
      </c>
      <c r="I1492">
        <v>3</v>
      </c>
      <c r="J1492" s="3" t="s">
        <v>37</v>
      </c>
      <c r="K1492">
        <v>68000</v>
      </c>
      <c r="L1492">
        <v>255000</v>
      </c>
      <c r="M1492">
        <v>204000</v>
      </c>
      <c r="N1492">
        <v>51000</v>
      </c>
      <c r="O1492" s="3" t="s">
        <v>1593</v>
      </c>
      <c r="P1492" s="3" t="s">
        <v>102</v>
      </c>
      <c r="Q1492" s="3" t="s">
        <v>103</v>
      </c>
      <c r="R1492" s="3" t="s">
        <v>103</v>
      </c>
    </row>
    <row r="1493" spans="1:18">
      <c r="A1493" s="19">
        <v>47167</v>
      </c>
      <c r="B1493" s="3" t="s">
        <v>29</v>
      </c>
      <c r="C1493" s="3" t="s">
        <v>32</v>
      </c>
      <c r="D1493" s="3" t="s">
        <v>13</v>
      </c>
      <c r="E1493" s="3" t="s">
        <v>20</v>
      </c>
      <c r="F1493" s="3" t="s">
        <v>33</v>
      </c>
      <c r="G1493" s="3" t="s">
        <v>22</v>
      </c>
      <c r="H1493">
        <v>180000</v>
      </c>
      <c r="I1493">
        <v>7</v>
      </c>
      <c r="J1493" s="3" t="s">
        <v>39</v>
      </c>
      <c r="K1493">
        <v>144000</v>
      </c>
      <c r="L1493">
        <v>1260000</v>
      </c>
      <c r="M1493">
        <v>1008000</v>
      </c>
      <c r="N1493">
        <v>252000</v>
      </c>
      <c r="O1493" s="3" t="s">
        <v>1594</v>
      </c>
      <c r="P1493" s="3" t="s">
        <v>102</v>
      </c>
      <c r="Q1493" s="3" t="s">
        <v>103</v>
      </c>
      <c r="R1493" s="3" t="s">
        <v>103</v>
      </c>
    </row>
    <row r="1494" spans="1:18">
      <c r="A1494" s="19">
        <v>47168</v>
      </c>
      <c r="B1494" s="3" t="s">
        <v>29</v>
      </c>
      <c r="C1494" s="3" t="s">
        <v>19</v>
      </c>
      <c r="D1494" s="3" t="s">
        <v>23</v>
      </c>
      <c r="E1494" s="3" t="s">
        <v>14</v>
      </c>
      <c r="F1494" s="3" t="s">
        <v>33</v>
      </c>
      <c r="G1494" s="3" t="s">
        <v>22</v>
      </c>
      <c r="H1494">
        <v>180000</v>
      </c>
      <c r="I1494">
        <v>10</v>
      </c>
      <c r="J1494" s="3" t="s">
        <v>37</v>
      </c>
      <c r="K1494">
        <v>144000</v>
      </c>
      <c r="L1494">
        <v>1800000</v>
      </c>
      <c r="M1494">
        <v>1440000</v>
      </c>
      <c r="N1494">
        <v>360000</v>
      </c>
      <c r="O1494" s="3" t="s">
        <v>1595</v>
      </c>
      <c r="P1494" s="3" t="s">
        <v>102</v>
      </c>
      <c r="Q1494" s="3" t="s">
        <v>103</v>
      </c>
      <c r="R1494" s="3" t="s">
        <v>103</v>
      </c>
    </row>
    <row r="1495" spans="1:18">
      <c r="A1495" s="19">
        <v>47169</v>
      </c>
      <c r="B1495" s="3" t="s">
        <v>29</v>
      </c>
      <c r="C1495" s="3" t="s">
        <v>12</v>
      </c>
      <c r="D1495" s="3" t="s">
        <v>23</v>
      </c>
      <c r="E1495" s="3" t="s">
        <v>20</v>
      </c>
      <c r="F1495" s="3" t="s">
        <v>33</v>
      </c>
      <c r="G1495" s="3" t="s">
        <v>22</v>
      </c>
      <c r="H1495">
        <v>180000</v>
      </c>
      <c r="I1495">
        <v>1</v>
      </c>
      <c r="J1495" s="3" t="s">
        <v>28</v>
      </c>
      <c r="K1495">
        <v>144000</v>
      </c>
      <c r="L1495">
        <v>180000</v>
      </c>
      <c r="M1495">
        <v>144000</v>
      </c>
      <c r="N1495">
        <v>36000</v>
      </c>
      <c r="O1495" s="3" t="s">
        <v>1596</v>
      </c>
      <c r="P1495" s="3" t="s">
        <v>102</v>
      </c>
      <c r="Q1495" s="3" t="s">
        <v>103</v>
      </c>
      <c r="R1495" s="3" t="s">
        <v>103</v>
      </c>
    </row>
    <row r="1496" spans="1:18">
      <c r="A1496" s="19">
        <v>47170</v>
      </c>
      <c r="B1496" s="3" t="s">
        <v>11</v>
      </c>
      <c r="C1496" s="3" t="s">
        <v>32</v>
      </c>
      <c r="D1496" s="3" t="s">
        <v>13</v>
      </c>
      <c r="E1496" s="3" t="s">
        <v>14</v>
      </c>
      <c r="F1496" s="3" t="s">
        <v>34</v>
      </c>
      <c r="G1496" s="3" t="s">
        <v>16</v>
      </c>
      <c r="H1496">
        <v>320000</v>
      </c>
      <c r="I1496">
        <v>5</v>
      </c>
      <c r="J1496" s="3" t="s">
        <v>28</v>
      </c>
      <c r="K1496">
        <v>256000</v>
      </c>
      <c r="L1496">
        <v>1600000</v>
      </c>
      <c r="M1496">
        <v>1280000</v>
      </c>
      <c r="N1496">
        <v>320000</v>
      </c>
      <c r="O1496" s="3" t="s">
        <v>1597</v>
      </c>
      <c r="P1496" s="3" t="s">
        <v>102</v>
      </c>
      <c r="Q1496" s="3" t="s">
        <v>103</v>
      </c>
      <c r="R1496" s="3" t="s">
        <v>103</v>
      </c>
    </row>
    <row r="1497" spans="1:18">
      <c r="A1497" s="19">
        <v>47171</v>
      </c>
      <c r="B1497" s="3" t="s">
        <v>18</v>
      </c>
      <c r="C1497" s="3" t="s">
        <v>19</v>
      </c>
      <c r="D1497" s="3" t="s">
        <v>13</v>
      </c>
      <c r="E1497" s="3" t="s">
        <v>20</v>
      </c>
      <c r="F1497" s="3" t="s">
        <v>38</v>
      </c>
      <c r="G1497" s="3" t="s">
        <v>31</v>
      </c>
      <c r="H1497">
        <v>420000</v>
      </c>
      <c r="I1497">
        <v>5</v>
      </c>
      <c r="J1497" s="3" t="s">
        <v>35</v>
      </c>
      <c r="K1497">
        <v>336000</v>
      </c>
      <c r="L1497">
        <v>2100000</v>
      </c>
      <c r="M1497">
        <v>1680000</v>
      </c>
      <c r="N1497">
        <v>420000</v>
      </c>
      <c r="O1497" s="3" t="s">
        <v>1598</v>
      </c>
      <c r="P1497" s="3" t="s">
        <v>102</v>
      </c>
      <c r="Q1497" s="3" t="s">
        <v>103</v>
      </c>
      <c r="R1497" s="3" t="s">
        <v>103</v>
      </c>
    </row>
    <row r="1498" spans="1:18">
      <c r="A1498" s="19">
        <v>47172</v>
      </c>
      <c r="B1498" s="3" t="s">
        <v>11</v>
      </c>
      <c r="C1498" s="3" t="s">
        <v>26</v>
      </c>
      <c r="D1498" s="3" t="s">
        <v>23</v>
      </c>
      <c r="E1498" s="3" t="s">
        <v>14</v>
      </c>
      <c r="F1498" s="3" t="s">
        <v>33</v>
      </c>
      <c r="G1498" s="3" t="s">
        <v>22</v>
      </c>
      <c r="H1498">
        <v>180000</v>
      </c>
      <c r="I1498">
        <v>2</v>
      </c>
      <c r="J1498" s="3" t="s">
        <v>17</v>
      </c>
      <c r="K1498">
        <v>144000</v>
      </c>
      <c r="L1498">
        <v>360000</v>
      </c>
      <c r="M1498">
        <v>288000</v>
      </c>
      <c r="N1498">
        <v>72000</v>
      </c>
      <c r="O1498" s="3" t="s">
        <v>1599</v>
      </c>
      <c r="P1498" s="3" t="s">
        <v>102</v>
      </c>
      <c r="Q1498" s="3" t="s">
        <v>103</v>
      </c>
      <c r="R1498" s="3" t="s">
        <v>103</v>
      </c>
    </row>
    <row r="1499" spans="1:18">
      <c r="A1499" s="19">
        <v>47173</v>
      </c>
      <c r="B1499" s="3" t="s">
        <v>25</v>
      </c>
      <c r="C1499" s="3" t="s">
        <v>26</v>
      </c>
      <c r="D1499" s="3" t="s">
        <v>13</v>
      </c>
      <c r="E1499" s="3" t="s">
        <v>20</v>
      </c>
      <c r="F1499" s="3" t="s">
        <v>41</v>
      </c>
      <c r="G1499" s="3" t="s">
        <v>22</v>
      </c>
      <c r="H1499">
        <v>220000</v>
      </c>
      <c r="I1499">
        <v>1</v>
      </c>
      <c r="J1499" s="3" t="s">
        <v>24</v>
      </c>
      <c r="K1499">
        <v>176000</v>
      </c>
      <c r="L1499">
        <v>220000</v>
      </c>
      <c r="M1499">
        <v>176000</v>
      </c>
      <c r="N1499">
        <v>44000</v>
      </c>
      <c r="O1499" s="3" t="s">
        <v>1600</v>
      </c>
      <c r="P1499" s="3" t="s">
        <v>102</v>
      </c>
      <c r="Q1499" s="3" t="s">
        <v>103</v>
      </c>
      <c r="R1499" s="3" t="s">
        <v>103</v>
      </c>
    </row>
    <row r="1500" spans="1:18">
      <c r="A1500" s="19">
        <v>47174</v>
      </c>
      <c r="B1500" s="3" t="s">
        <v>11</v>
      </c>
      <c r="C1500" s="3" t="s">
        <v>26</v>
      </c>
      <c r="D1500" s="3" t="s">
        <v>23</v>
      </c>
      <c r="E1500" s="3" t="s">
        <v>14</v>
      </c>
      <c r="F1500" s="3" t="s">
        <v>34</v>
      </c>
      <c r="G1500" s="3" t="s">
        <v>16</v>
      </c>
      <c r="H1500">
        <v>320000</v>
      </c>
      <c r="I1500">
        <v>4</v>
      </c>
      <c r="J1500" s="3" t="s">
        <v>37</v>
      </c>
      <c r="K1500">
        <v>256000</v>
      </c>
      <c r="L1500">
        <v>1280000</v>
      </c>
      <c r="M1500">
        <v>1024000</v>
      </c>
      <c r="N1500">
        <v>256000</v>
      </c>
      <c r="O1500" s="3" t="s">
        <v>1601</v>
      </c>
      <c r="P1500" s="3" t="s">
        <v>102</v>
      </c>
      <c r="Q1500" s="3" t="s">
        <v>103</v>
      </c>
      <c r="R1500" s="3" t="s">
        <v>103</v>
      </c>
    </row>
    <row r="1501" spans="1:18">
      <c r="A1501" s="19">
        <v>47175</v>
      </c>
      <c r="B1501" s="3" t="s">
        <v>25</v>
      </c>
      <c r="C1501" s="3" t="s">
        <v>26</v>
      </c>
      <c r="D1501" s="3" t="s">
        <v>13</v>
      </c>
      <c r="E1501" s="3" t="s">
        <v>14</v>
      </c>
      <c r="F1501" s="3" t="s">
        <v>40</v>
      </c>
      <c r="G1501" s="3" t="s">
        <v>31</v>
      </c>
      <c r="H1501">
        <v>250000</v>
      </c>
      <c r="I1501">
        <v>4</v>
      </c>
      <c r="J1501" s="3" t="s">
        <v>24</v>
      </c>
      <c r="K1501">
        <v>200000</v>
      </c>
      <c r="L1501">
        <v>1000000</v>
      </c>
      <c r="M1501">
        <v>800000</v>
      </c>
      <c r="N1501">
        <v>200000</v>
      </c>
      <c r="O1501" s="3" t="s">
        <v>1602</v>
      </c>
      <c r="P1501" s="3" t="s">
        <v>102</v>
      </c>
      <c r="Q1501" s="3" t="s">
        <v>103</v>
      </c>
      <c r="R1501" s="3" t="s">
        <v>103</v>
      </c>
    </row>
    <row r="1502" spans="1:18">
      <c r="A1502" s="19">
        <v>47176</v>
      </c>
      <c r="B1502" s="3" t="s">
        <v>25</v>
      </c>
      <c r="C1502" s="3" t="s">
        <v>12</v>
      </c>
      <c r="D1502" s="3" t="s">
        <v>13</v>
      </c>
      <c r="E1502" s="3" t="s">
        <v>20</v>
      </c>
      <c r="F1502" s="3" t="s">
        <v>27</v>
      </c>
      <c r="G1502" s="3" t="s">
        <v>22</v>
      </c>
      <c r="H1502">
        <v>60000</v>
      </c>
      <c r="I1502">
        <v>10</v>
      </c>
      <c r="J1502" s="3" t="s">
        <v>39</v>
      </c>
      <c r="K1502">
        <v>48000</v>
      </c>
      <c r="L1502">
        <v>600000</v>
      </c>
      <c r="M1502">
        <v>480000</v>
      </c>
      <c r="N1502">
        <v>120000</v>
      </c>
      <c r="O1502" s="3" t="s">
        <v>1603</v>
      </c>
      <c r="P1502" s="3" t="s">
        <v>102</v>
      </c>
      <c r="Q1502" s="3" t="s">
        <v>103</v>
      </c>
      <c r="R1502" s="3" t="s">
        <v>103</v>
      </c>
    </row>
    <row r="1503" spans="1:18">
      <c r="A1503" s="19">
        <v>47177</v>
      </c>
      <c r="B1503" s="3" t="s">
        <v>18</v>
      </c>
      <c r="C1503" s="3" t="s">
        <v>32</v>
      </c>
      <c r="D1503" s="3" t="s">
        <v>23</v>
      </c>
      <c r="E1503" s="3" t="s">
        <v>14</v>
      </c>
      <c r="F1503" s="3" t="s">
        <v>33</v>
      </c>
      <c r="G1503" s="3" t="s">
        <v>22</v>
      </c>
      <c r="H1503">
        <v>180000</v>
      </c>
      <c r="I1503">
        <v>10</v>
      </c>
      <c r="J1503" s="3" t="s">
        <v>37</v>
      </c>
      <c r="K1503">
        <v>144000</v>
      </c>
      <c r="L1503">
        <v>1800000</v>
      </c>
      <c r="M1503">
        <v>1440000</v>
      </c>
      <c r="N1503">
        <v>360000</v>
      </c>
      <c r="O1503" s="3" t="s">
        <v>1604</v>
      </c>
      <c r="P1503" s="3" t="s">
        <v>102</v>
      </c>
      <c r="Q1503" s="3" t="s">
        <v>103</v>
      </c>
      <c r="R1503" s="3" t="s">
        <v>103</v>
      </c>
    </row>
    <row r="1504" spans="1:18">
      <c r="A1504" s="19">
        <v>47178</v>
      </c>
      <c r="B1504" s="3" t="s">
        <v>18</v>
      </c>
      <c r="C1504" s="3" t="s">
        <v>26</v>
      </c>
      <c r="D1504" s="3" t="s">
        <v>23</v>
      </c>
      <c r="E1504" s="3" t="s">
        <v>20</v>
      </c>
      <c r="F1504" s="3" t="s">
        <v>30</v>
      </c>
      <c r="G1504" s="3" t="s">
        <v>31</v>
      </c>
      <c r="H1504">
        <v>300000</v>
      </c>
      <c r="I1504">
        <v>5</v>
      </c>
      <c r="J1504" s="3" t="s">
        <v>35</v>
      </c>
      <c r="K1504">
        <v>240000</v>
      </c>
      <c r="L1504">
        <v>1500000</v>
      </c>
      <c r="M1504">
        <v>1200000</v>
      </c>
      <c r="N1504">
        <v>300000</v>
      </c>
      <c r="O1504" s="3" t="s">
        <v>1605</v>
      </c>
      <c r="P1504" s="3" t="s">
        <v>102</v>
      </c>
      <c r="Q1504" s="3" t="s">
        <v>103</v>
      </c>
      <c r="R1504" s="3" t="s">
        <v>103</v>
      </c>
    </row>
    <row r="1505" spans="1:18">
      <c r="A1505" s="19">
        <v>47179</v>
      </c>
      <c r="B1505" s="3" t="s">
        <v>18</v>
      </c>
      <c r="C1505" s="3" t="s">
        <v>32</v>
      </c>
      <c r="D1505" s="3" t="s">
        <v>13</v>
      </c>
      <c r="E1505" s="3" t="s">
        <v>20</v>
      </c>
      <c r="F1505" s="3" t="s">
        <v>15</v>
      </c>
      <c r="G1505" s="3" t="s">
        <v>16</v>
      </c>
      <c r="H1505">
        <v>85000</v>
      </c>
      <c r="I1505">
        <v>7</v>
      </c>
      <c r="J1505" s="3" t="s">
        <v>37</v>
      </c>
      <c r="K1505">
        <v>68000</v>
      </c>
      <c r="L1505">
        <v>595000</v>
      </c>
      <c r="M1505">
        <v>476000</v>
      </c>
      <c r="N1505">
        <v>119000</v>
      </c>
      <c r="O1505" s="3" t="s">
        <v>1606</v>
      </c>
      <c r="P1505" s="3" t="s">
        <v>102</v>
      </c>
      <c r="Q1505" s="3" t="s">
        <v>103</v>
      </c>
      <c r="R1505" s="3" t="s">
        <v>103</v>
      </c>
    </row>
    <row r="1506" spans="1:18">
      <c r="A1506" s="19">
        <v>47180</v>
      </c>
      <c r="B1506" s="3" t="s">
        <v>18</v>
      </c>
      <c r="C1506" s="3" t="s">
        <v>12</v>
      </c>
      <c r="D1506" s="3" t="s">
        <v>13</v>
      </c>
      <c r="E1506" s="3" t="s">
        <v>14</v>
      </c>
      <c r="F1506" s="3" t="s">
        <v>33</v>
      </c>
      <c r="G1506" s="3" t="s">
        <v>22</v>
      </c>
      <c r="H1506">
        <v>180000</v>
      </c>
      <c r="I1506">
        <v>5</v>
      </c>
      <c r="J1506" s="3" t="s">
        <v>28</v>
      </c>
      <c r="K1506">
        <v>144000</v>
      </c>
      <c r="L1506">
        <v>900000</v>
      </c>
      <c r="M1506">
        <v>720000</v>
      </c>
      <c r="N1506">
        <v>180000</v>
      </c>
      <c r="O1506" s="3" t="s">
        <v>1607</v>
      </c>
      <c r="P1506" s="3" t="s">
        <v>102</v>
      </c>
      <c r="Q1506" s="3" t="s">
        <v>103</v>
      </c>
      <c r="R1506" s="3" t="s">
        <v>103</v>
      </c>
    </row>
    <row r="1507" spans="1:18">
      <c r="A1507" s="19">
        <v>47181</v>
      </c>
      <c r="B1507" s="3" t="s">
        <v>18</v>
      </c>
      <c r="C1507" s="3" t="s">
        <v>26</v>
      </c>
      <c r="D1507" s="3" t="s">
        <v>23</v>
      </c>
      <c r="E1507" s="3" t="s">
        <v>20</v>
      </c>
      <c r="F1507" s="3" t="s">
        <v>34</v>
      </c>
      <c r="G1507" s="3" t="s">
        <v>16</v>
      </c>
      <c r="H1507">
        <v>320000</v>
      </c>
      <c r="I1507">
        <v>4</v>
      </c>
      <c r="J1507" s="3" t="s">
        <v>24</v>
      </c>
      <c r="K1507">
        <v>256000</v>
      </c>
      <c r="L1507">
        <v>1280000</v>
      </c>
      <c r="M1507">
        <v>1024000</v>
      </c>
      <c r="N1507">
        <v>256000</v>
      </c>
      <c r="O1507" s="3" t="s">
        <v>1608</v>
      </c>
      <c r="P1507" s="3" t="s">
        <v>102</v>
      </c>
      <c r="Q1507" s="3" t="s">
        <v>103</v>
      </c>
      <c r="R1507" s="3" t="s">
        <v>103</v>
      </c>
    </row>
    <row r="1508" spans="1:18">
      <c r="A1508" s="19">
        <v>47182</v>
      </c>
      <c r="B1508" s="3" t="s">
        <v>11</v>
      </c>
      <c r="C1508" s="3" t="s">
        <v>12</v>
      </c>
      <c r="D1508" s="3" t="s">
        <v>23</v>
      </c>
      <c r="E1508" s="3" t="s">
        <v>14</v>
      </c>
      <c r="F1508" s="3" t="s">
        <v>33</v>
      </c>
      <c r="G1508" s="3" t="s">
        <v>22</v>
      </c>
      <c r="H1508">
        <v>180000</v>
      </c>
      <c r="I1508">
        <v>8</v>
      </c>
      <c r="J1508" s="3" t="s">
        <v>28</v>
      </c>
      <c r="K1508">
        <v>144000</v>
      </c>
      <c r="L1508">
        <v>1440000</v>
      </c>
      <c r="M1508">
        <v>1152000</v>
      </c>
      <c r="N1508">
        <v>288000</v>
      </c>
      <c r="O1508" s="3" t="s">
        <v>1609</v>
      </c>
      <c r="P1508" s="3" t="s">
        <v>102</v>
      </c>
      <c r="Q1508" s="3" t="s">
        <v>103</v>
      </c>
      <c r="R1508" s="3" t="s">
        <v>103</v>
      </c>
    </row>
    <row r="1509" spans="1:18">
      <c r="A1509" s="19">
        <v>47183</v>
      </c>
      <c r="B1509" s="3" t="s">
        <v>29</v>
      </c>
      <c r="C1509" s="3" t="s">
        <v>26</v>
      </c>
      <c r="D1509" s="3" t="s">
        <v>13</v>
      </c>
      <c r="E1509" s="3" t="s">
        <v>14</v>
      </c>
      <c r="F1509" s="3" t="s">
        <v>21</v>
      </c>
      <c r="G1509" s="3" t="s">
        <v>22</v>
      </c>
      <c r="H1509">
        <v>30000</v>
      </c>
      <c r="I1509">
        <v>3</v>
      </c>
      <c r="J1509" s="3" t="s">
        <v>37</v>
      </c>
      <c r="K1509">
        <v>24000</v>
      </c>
      <c r="L1509">
        <v>90000</v>
      </c>
      <c r="M1509">
        <v>72000</v>
      </c>
      <c r="N1509">
        <v>18000</v>
      </c>
      <c r="O1509" s="3" t="s">
        <v>1610</v>
      </c>
      <c r="P1509" s="3" t="s">
        <v>102</v>
      </c>
      <c r="Q1509" s="3" t="s">
        <v>103</v>
      </c>
      <c r="R1509" s="3" t="s">
        <v>103</v>
      </c>
    </row>
    <row r="1510" spans="1:18">
      <c r="A1510" s="19">
        <v>47184</v>
      </c>
      <c r="B1510" s="3" t="s">
        <v>29</v>
      </c>
      <c r="C1510" s="3" t="s">
        <v>32</v>
      </c>
      <c r="D1510" s="3" t="s">
        <v>23</v>
      </c>
      <c r="E1510" s="3" t="s">
        <v>20</v>
      </c>
      <c r="F1510" s="3" t="s">
        <v>41</v>
      </c>
      <c r="G1510" s="3" t="s">
        <v>22</v>
      </c>
      <c r="H1510">
        <v>220000</v>
      </c>
      <c r="I1510">
        <v>3</v>
      </c>
      <c r="J1510" s="3" t="s">
        <v>24</v>
      </c>
      <c r="K1510">
        <v>176000</v>
      </c>
      <c r="L1510">
        <v>660000</v>
      </c>
      <c r="M1510">
        <v>528000</v>
      </c>
      <c r="N1510">
        <v>132000</v>
      </c>
      <c r="O1510" s="3" t="s">
        <v>1611</v>
      </c>
      <c r="P1510" s="3" t="s">
        <v>102</v>
      </c>
      <c r="Q1510" s="3" t="s">
        <v>103</v>
      </c>
      <c r="R1510" s="3" t="s">
        <v>103</v>
      </c>
    </row>
    <row r="1511" spans="1:18">
      <c r="A1511" s="19">
        <v>47185</v>
      </c>
      <c r="B1511" s="3" t="s">
        <v>18</v>
      </c>
      <c r="C1511" s="3" t="s">
        <v>26</v>
      </c>
      <c r="D1511" s="3" t="s">
        <v>13</v>
      </c>
      <c r="E1511" s="3" t="s">
        <v>14</v>
      </c>
      <c r="F1511" s="3" t="s">
        <v>15</v>
      </c>
      <c r="G1511" s="3" t="s">
        <v>16</v>
      </c>
      <c r="H1511">
        <v>85000</v>
      </c>
      <c r="I1511">
        <v>4</v>
      </c>
      <c r="J1511" s="3" t="s">
        <v>24</v>
      </c>
      <c r="K1511">
        <v>68000</v>
      </c>
      <c r="L1511">
        <v>340000</v>
      </c>
      <c r="M1511">
        <v>272000</v>
      </c>
      <c r="N1511">
        <v>68000</v>
      </c>
      <c r="O1511" s="3" t="s">
        <v>1612</v>
      </c>
      <c r="P1511" s="3" t="s">
        <v>102</v>
      </c>
      <c r="Q1511" s="3" t="s">
        <v>103</v>
      </c>
      <c r="R1511" s="3" t="s">
        <v>103</v>
      </c>
    </row>
    <row r="1512" spans="1:18">
      <c r="A1512" s="19">
        <v>47186</v>
      </c>
      <c r="B1512" s="3" t="s">
        <v>29</v>
      </c>
      <c r="C1512" s="3" t="s">
        <v>19</v>
      </c>
      <c r="D1512" s="3" t="s">
        <v>13</v>
      </c>
      <c r="E1512" s="3" t="s">
        <v>14</v>
      </c>
      <c r="F1512" s="3" t="s">
        <v>33</v>
      </c>
      <c r="G1512" s="3" t="s">
        <v>22</v>
      </c>
      <c r="H1512">
        <v>180000</v>
      </c>
      <c r="I1512">
        <v>6</v>
      </c>
      <c r="J1512" s="3" t="s">
        <v>24</v>
      </c>
      <c r="K1512">
        <v>144000</v>
      </c>
      <c r="L1512">
        <v>1080000</v>
      </c>
      <c r="M1512">
        <v>864000</v>
      </c>
      <c r="N1512">
        <v>216000</v>
      </c>
      <c r="O1512" s="3" t="s">
        <v>1613</v>
      </c>
      <c r="P1512" s="3" t="s">
        <v>102</v>
      </c>
      <c r="Q1512" s="3" t="s">
        <v>103</v>
      </c>
      <c r="R1512" s="3" t="s">
        <v>103</v>
      </c>
    </row>
    <row r="1513" spans="1:18">
      <c r="A1513" s="19">
        <v>47187</v>
      </c>
      <c r="B1513" s="3" t="s">
        <v>29</v>
      </c>
      <c r="C1513" s="3" t="s">
        <v>26</v>
      </c>
      <c r="D1513" s="3" t="s">
        <v>23</v>
      </c>
      <c r="E1513" s="3" t="s">
        <v>20</v>
      </c>
      <c r="F1513" s="3" t="s">
        <v>41</v>
      </c>
      <c r="G1513" s="3" t="s">
        <v>22</v>
      </c>
      <c r="H1513">
        <v>220000</v>
      </c>
      <c r="I1513">
        <v>8</v>
      </c>
      <c r="J1513" s="3" t="s">
        <v>17</v>
      </c>
      <c r="K1513">
        <v>176000</v>
      </c>
      <c r="L1513">
        <v>1760000</v>
      </c>
      <c r="M1513">
        <v>1408000</v>
      </c>
      <c r="N1513">
        <v>352000</v>
      </c>
      <c r="O1513" s="3" t="s">
        <v>1614</v>
      </c>
      <c r="P1513" s="3" t="s">
        <v>102</v>
      </c>
      <c r="Q1513" s="3" t="s">
        <v>103</v>
      </c>
      <c r="R1513" s="3" t="s">
        <v>103</v>
      </c>
    </row>
    <row r="1514" spans="1:18">
      <c r="A1514" s="19">
        <v>47188</v>
      </c>
      <c r="B1514" s="3" t="s">
        <v>25</v>
      </c>
      <c r="C1514" s="3" t="s">
        <v>19</v>
      </c>
      <c r="D1514" s="3" t="s">
        <v>13</v>
      </c>
      <c r="E1514" s="3" t="s">
        <v>20</v>
      </c>
      <c r="F1514" s="3" t="s">
        <v>36</v>
      </c>
      <c r="G1514" s="3" t="s">
        <v>31</v>
      </c>
      <c r="H1514">
        <v>150000</v>
      </c>
      <c r="I1514">
        <v>1</v>
      </c>
      <c r="J1514" s="3" t="s">
        <v>39</v>
      </c>
      <c r="K1514">
        <v>120000</v>
      </c>
      <c r="L1514">
        <v>150000</v>
      </c>
      <c r="M1514">
        <v>120000</v>
      </c>
      <c r="N1514">
        <v>30000</v>
      </c>
      <c r="O1514" s="3" t="s">
        <v>1615</v>
      </c>
      <c r="P1514" s="3" t="s">
        <v>102</v>
      </c>
      <c r="Q1514" s="3" t="s">
        <v>103</v>
      </c>
      <c r="R1514" s="3" t="s">
        <v>103</v>
      </c>
    </row>
    <row r="1515" spans="1:18">
      <c r="A1515" s="19">
        <v>47189</v>
      </c>
      <c r="B1515" s="3" t="s">
        <v>29</v>
      </c>
      <c r="C1515" s="3" t="s">
        <v>26</v>
      </c>
      <c r="D1515" s="3" t="s">
        <v>23</v>
      </c>
      <c r="E1515" s="3" t="s">
        <v>14</v>
      </c>
      <c r="F1515" s="3" t="s">
        <v>33</v>
      </c>
      <c r="G1515" s="3" t="s">
        <v>22</v>
      </c>
      <c r="H1515">
        <v>180000</v>
      </c>
      <c r="I1515">
        <v>9</v>
      </c>
      <c r="J1515" s="3" t="s">
        <v>35</v>
      </c>
      <c r="K1515">
        <v>144000</v>
      </c>
      <c r="L1515">
        <v>1620000</v>
      </c>
      <c r="M1515">
        <v>1296000</v>
      </c>
      <c r="N1515">
        <v>324000</v>
      </c>
      <c r="O1515" s="3" t="s">
        <v>1616</v>
      </c>
      <c r="P1515" s="3" t="s">
        <v>102</v>
      </c>
      <c r="Q1515" s="3" t="s">
        <v>103</v>
      </c>
      <c r="R1515" s="3" t="s">
        <v>103</v>
      </c>
    </row>
    <row r="1516" spans="1:18">
      <c r="A1516" s="19">
        <v>47190</v>
      </c>
      <c r="B1516" s="3" t="s">
        <v>29</v>
      </c>
      <c r="C1516" s="3" t="s">
        <v>26</v>
      </c>
      <c r="D1516" s="3" t="s">
        <v>23</v>
      </c>
      <c r="E1516" s="3" t="s">
        <v>20</v>
      </c>
      <c r="F1516" s="3" t="s">
        <v>38</v>
      </c>
      <c r="G1516" s="3" t="s">
        <v>31</v>
      </c>
      <c r="H1516">
        <v>420000</v>
      </c>
      <c r="I1516">
        <v>10</v>
      </c>
      <c r="J1516" s="3" t="s">
        <v>17</v>
      </c>
      <c r="K1516">
        <v>336000</v>
      </c>
      <c r="L1516">
        <v>4200000</v>
      </c>
      <c r="M1516">
        <v>3360000</v>
      </c>
      <c r="N1516">
        <v>840000</v>
      </c>
      <c r="O1516" s="3" t="s">
        <v>1617</v>
      </c>
      <c r="P1516" s="3" t="s">
        <v>102</v>
      </c>
      <c r="Q1516" s="3" t="s">
        <v>103</v>
      </c>
      <c r="R1516" s="3" t="s">
        <v>103</v>
      </c>
    </row>
    <row r="1517" spans="1:18">
      <c r="A1517" s="19">
        <v>47191</v>
      </c>
      <c r="B1517" s="3" t="s">
        <v>11</v>
      </c>
      <c r="C1517" s="3" t="s">
        <v>32</v>
      </c>
      <c r="D1517" s="3" t="s">
        <v>13</v>
      </c>
      <c r="E1517" s="3" t="s">
        <v>14</v>
      </c>
      <c r="F1517" s="3" t="s">
        <v>40</v>
      </c>
      <c r="G1517" s="3" t="s">
        <v>31</v>
      </c>
      <c r="H1517">
        <v>250000</v>
      </c>
      <c r="I1517">
        <v>10</v>
      </c>
      <c r="J1517" s="3" t="s">
        <v>17</v>
      </c>
      <c r="K1517">
        <v>200000</v>
      </c>
      <c r="L1517">
        <v>2500000</v>
      </c>
      <c r="M1517">
        <v>2000000</v>
      </c>
      <c r="N1517">
        <v>500000</v>
      </c>
      <c r="O1517" s="3" t="s">
        <v>1618</v>
      </c>
      <c r="P1517" s="3" t="s">
        <v>102</v>
      </c>
      <c r="Q1517" s="3" t="s">
        <v>103</v>
      </c>
      <c r="R1517" s="3" t="s">
        <v>103</v>
      </c>
    </row>
    <row r="1518" spans="1:18">
      <c r="A1518" s="19">
        <v>47192</v>
      </c>
      <c r="B1518" s="3" t="s">
        <v>18</v>
      </c>
      <c r="C1518" s="3" t="s">
        <v>26</v>
      </c>
      <c r="D1518" s="3" t="s">
        <v>13</v>
      </c>
      <c r="E1518" s="3" t="s">
        <v>20</v>
      </c>
      <c r="F1518" s="3" t="s">
        <v>41</v>
      </c>
      <c r="G1518" s="3" t="s">
        <v>22</v>
      </c>
      <c r="H1518">
        <v>220000</v>
      </c>
      <c r="I1518">
        <v>3</v>
      </c>
      <c r="J1518" s="3" t="s">
        <v>24</v>
      </c>
      <c r="K1518">
        <v>176000</v>
      </c>
      <c r="L1518">
        <v>660000</v>
      </c>
      <c r="M1518">
        <v>528000</v>
      </c>
      <c r="N1518">
        <v>132000</v>
      </c>
      <c r="O1518" s="3" t="s">
        <v>1619</v>
      </c>
      <c r="P1518" s="3" t="s">
        <v>102</v>
      </c>
      <c r="Q1518" s="3" t="s">
        <v>103</v>
      </c>
      <c r="R1518" s="3" t="s">
        <v>103</v>
      </c>
    </row>
    <row r="1519" spans="1:18">
      <c r="A1519" s="19">
        <v>47193</v>
      </c>
      <c r="B1519" s="3" t="s">
        <v>29</v>
      </c>
      <c r="C1519" s="3" t="s">
        <v>32</v>
      </c>
      <c r="D1519" s="3" t="s">
        <v>13</v>
      </c>
      <c r="E1519" s="3" t="s">
        <v>14</v>
      </c>
      <c r="F1519" s="3" t="s">
        <v>21</v>
      </c>
      <c r="G1519" s="3" t="s">
        <v>22</v>
      </c>
      <c r="H1519">
        <v>30000</v>
      </c>
      <c r="I1519">
        <v>4</v>
      </c>
      <c r="J1519" s="3" t="s">
        <v>35</v>
      </c>
      <c r="K1519">
        <v>24000</v>
      </c>
      <c r="L1519">
        <v>120000</v>
      </c>
      <c r="M1519">
        <v>96000</v>
      </c>
      <c r="N1519">
        <v>24000</v>
      </c>
      <c r="O1519" s="3" t="s">
        <v>1620</v>
      </c>
      <c r="P1519" s="3" t="s">
        <v>102</v>
      </c>
      <c r="Q1519" s="3" t="s">
        <v>103</v>
      </c>
      <c r="R1519" s="3" t="s">
        <v>103</v>
      </c>
    </row>
    <row r="1520" spans="1:18">
      <c r="A1520" s="19">
        <v>47194</v>
      </c>
      <c r="B1520" s="3" t="s">
        <v>18</v>
      </c>
      <c r="C1520" s="3" t="s">
        <v>32</v>
      </c>
      <c r="D1520" s="3" t="s">
        <v>13</v>
      </c>
      <c r="E1520" s="3" t="s">
        <v>20</v>
      </c>
      <c r="F1520" s="3" t="s">
        <v>33</v>
      </c>
      <c r="G1520" s="3" t="s">
        <v>22</v>
      </c>
      <c r="H1520">
        <v>180000</v>
      </c>
      <c r="I1520">
        <v>9</v>
      </c>
      <c r="J1520" s="3" t="s">
        <v>35</v>
      </c>
      <c r="K1520">
        <v>144000</v>
      </c>
      <c r="L1520">
        <v>1620000</v>
      </c>
      <c r="M1520">
        <v>1296000</v>
      </c>
      <c r="N1520">
        <v>324000</v>
      </c>
      <c r="O1520" s="3" t="s">
        <v>1621</v>
      </c>
      <c r="P1520" s="3" t="s">
        <v>102</v>
      </c>
      <c r="Q1520" s="3" t="s">
        <v>103</v>
      </c>
      <c r="R1520" s="3" t="s">
        <v>103</v>
      </c>
    </row>
    <row r="1521" spans="1:18">
      <c r="A1521" s="19">
        <v>47195</v>
      </c>
      <c r="B1521" s="3" t="s">
        <v>11</v>
      </c>
      <c r="C1521" s="3" t="s">
        <v>26</v>
      </c>
      <c r="D1521" s="3" t="s">
        <v>13</v>
      </c>
      <c r="E1521" s="3" t="s">
        <v>20</v>
      </c>
      <c r="F1521" s="3" t="s">
        <v>33</v>
      </c>
      <c r="G1521" s="3" t="s">
        <v>22</v>
      </c>
      <c r="H1521">
        <v>180000</v>
      </c>
      <c r="I1521">
        <v>7</v>
      </c>
      <c r="J1521" s="3" t="s">
        <v>35</v>
      </c>
      <c r="K1521">
        <v>144000</v>
      </c>
      <c r="L1521">
        <v>1260000</v>
      </c>
      <c r="M1521">
        <v>1008000</v>
      </c>
      <c r="N1521">
        <v>252000</v>
      </c>
      <c r="O1521" s="3" t="s">
        <v>1622</v>
      </c>
      <c r="P1521" s="3" t="s">
        <v>102</v>
      </c>
      <c r="Q1521" s="3" t="s">
        <v>103</v>
      </c>
      <c r="R1521" s="3" t="s">
        <v>103</v>
      </c>
    </row>
    <row r="1522" spans="1:18">
      <c r="A1522" s="19">
        <v>47196</v>
      </c>
      <c r="B1522" s="3" t="s">
        <v>18</v>
      </c>
      <c r="C1522" s="3" t="s">
        <v>12</v>
      </c>
      <c r="D1522" s="3" t="s">
        <v>23</v>
      </c>
      <c r="E1522" s="3" t="s">
        <v>20</v>
      </c>
      <c r="F1522" s="3" t="s">
        <v>36</v>
      </c>
      <c r="G1522" s="3" t="s">
        <v>31</v>
      </c>
      <c r="H1522">
        <v>150000</v>
      </c>
      <c r="I1522">
        <v>7</v>
      </c>
      <c r="J1522" s="3" t="s">
        <v>17</v>
      </c>
      <c r="K1522">
        <v>120000</v>
      </c>
      <c r="L1522">
        <v>1050000</v>
      </c>
      <c r="M1522">
        <v>840000</v>
      </c>
      <c r="N1522">
        <v>210000</v>
      </c>
      <c r="O1522" s="3" t="s">
        <v>1623</v>
      </c>
      <c r="P1522" s="3" t="s">
        <v>102</v>
      </c>
      <c r="Q1522" s="3" t="s">
        <v>103</v>
      </c>
      <c r="R1522" s="3" t="s">
        <v>103</v>
      </c>
    </row>
    <row r="1523" spans="1:18">
      <c r="A1523" s="19">
        <v>47197</v>
      </c>
      <c r="B1523" s="3" t="s">
        <v>18</v>
      </c>
      <c r="C1523" s="3" t="s">
        <v>32</v>
      </c>
      <c r="D1523" s="3" t="s">
        <v>13</v>
      </c>
      <c r="E1523" s="3" t="s">
        <v>14</v>
      </c>
      <c r="F1523" s="3" t="s">
        <v>21</v>
      </c>
      <c r="G1523" s="3" t="s">
        <v>22</v>
      </c>
      <c r="H1523">
        <v>30000</v>
      </c>
      <c r="I1523">
        <v>4</v>
      </c>
      <c r="J1523" s="3" t="s">
        <v>28</v>
      </c>
      <c r="K1523">
        <v>24000</v>
      </c>
      <c r="L1523">
        <v>120000</v>
      </c>
      <c r="M1523">
        <v>96000</v>
      </c>
      <c r="N1523">
        <v>24000</v>
      </c>
      <c r="O1523" s="3" t="s">
        <v>1624</v>
      </c>
      <c r="P1523" s="3" t="s">
        <v>102</v>
      </c>
      <c r="Q1523" s="3" t="s">
        <v>103</v>
      </c>
      <c r="R1523" s="3" t="s">
        <v>103</v>
      </c>
    </row>
    <row r="1524" spans="1:18">
      <c r="A1524" s="19">
        <v>47198</v>
      </c>
      <c r="B1524" s="3" t="s">
        <v>18</v>
      </c>
      <c r="C1524" s="3" t="s">
        <v>19</v>
      </c>
      <c r="D1524" s="3" t="s">
        <v>13</v>
      </c>
      <c r="E1524" s="3" t="s">
        <v>14</v>
      </c>
      <c r="F1524" s="3" t="s">
        <v>34</v>
      </c>
      <c r="G1524" s="3" t="s">
        <v>16</v>
      </c>
      <c r="H1524">
        <v>320000</v>
      </c>
      <c r="I1524">
        <v>2</v>
      </c>
      <c r="J1524" s="3" t="s">
        <v>35</v>
      </c>
      <c r="K1524">
        <v>256000</v>
      </c>
      <c r="L1524">
        <v>640000</v>
      </c>
      <c r="M1524">
        <v>512000</v>
      </c>
      <c r="N1524">
        <v>128000</v>
      </c>
      <c r="O1524" s="3" t="s">
        <v>1625</v>
      </c>
      <c r="P1524" s="3" t="s">
        <v>102</v>
      </c>
      <c r="Q1524" s="3" t="s">
        <v>103</v>
      </c>
      <c r="R1524" s="3" t="s">
        <v>103</v>
      </c>
    </row>
    <row r="1525" spans="1:18">
      <c r="A1525" s="19">
        <v>47199</v>
      </c>
      <c r="B1525" s="3" t="s">
        <v>18</v>
      </c>
      <c r="C1525" s="3" t="s">
        <v>19</v>
      </c>
      <c r="D1525" s="3" t="s">
        <v>23</v>
      </c>
      <c r="E1525" s="3" t="s">
        <v>20</v>
      </c>
      <c r="F1525" s="3" t="s">
        <v>34</v>
      </c>
      <c r="G1525" s="3" t="s">
        <v>16</v>
      </c>
      <c r="H1525">
        <v>320000</v>
      </c>
      <c r="I1525">
        <v>6</v>
      </c>
      <c r="J1525" s="3" t="s">
        <v>37</v>
      </c>
      <c r="K1525">
        <v>256000</v>
      </c>
      <c r="L1525">
        <v>1920000</v>
      </c>
      <c r="M1525">
        <v>1536000</v>
      </c>
      <c r="N1525">
        <v>384000</v>
      </c>
      <c r="O1525" s="3" t="s">
        <v>1626</v>
      </c>
      <c r="P1525" s="3" t="s">
        <v>102</v>
      </c>
      <c r="Q1525" s="3" t="s">
        <v>103</v>
      </c>
      <c r="R1525" s="3" t="s">
        <v>103</v>
      </c>
    </row>
    <row r="1526" spans="1:18">
      <c r="A1526" s="19">
        <v>47200</v>
      </c>
      <c r="B1526" s="3" t="s">
        <v>18</v>
      </c>
      <c r="C1526" s="3" t="s">
        <v>26</v>
      </c>
      <c r="D1526" s="3" t="s">
        <v>23</v>
      </c>
      <c r="E1526" s="3" t="s">
        <v>20</v>
      </c>
      <c r="F1526" s="3" t="s">
        <v>38</v>
      </c>
      <c r="G1526" s="3" t="s">
        <v>31</v>
      </c>
      <c r="H1526">
        <v>420000</v>
      </c>
      <c r="I1526">
        <v>10</v>
      </c>
      <c r="J1526" s="3" t="s">
        <v>24</v>
      </c>
      <c r="K1526">
        <v>336000</v>
      </c>
      <c r="L1526">
        <v>4200000</v>
      </c>
      <c r="M1526">
        <v>3360000</v>
      </c>
      <c r="N1526">
        <v>840000</v>
      </c>
      <c r="O1526" s="3" t="s">
        <v>1627</v>
      </c>
      <c r="P1526" s="3" t="s">
        <v>102</v>
      </c>
      <c r="Q1526" s="3" t="s">
        <v>103</v>
      </c>
      <c r="R1526" s="3" t="s">
        <v>103</v>
      </c>
    </row>
    <row r="1527" spans="1:18">
      <c r="A1527" s="19">
        <v>47201</v>
      </c>
      <c r="B1527" s="3" t="s">
        <v>25</v>
      </c>
      <c r="C1527" s="3" t="s">
        <v>32</v>
      </c>
      <c r="D1527" s="3" t="s">
        <v>13</v>
      </c>
      <c r="E1527" s="3" t="s">
        <v>14</v>
      </c>
      <c r="F1527" s="3" t="s">
        <v>41</v>
      </c>
      <c r="G1527" s="3" t="s">
        <v>22</v>
      </c>
      <c r="H1527">
        <v>220000</v>
      </c>
      <c r="I1527">
        <v>8</v>
      </c>
      <c r="J1527" s="3" t="s">
        <v>17</v>
      </c>
      <c r="K1527">
        <v>176000</v>
      </c>
      <c r="L1527">
        <v>1760000</v>
      </c>
      <c r="M1527">
        <v>1408000</v>
      </c>
      <c r="N1527">
        <v>352000</v>
      </c>
      <c r="O1527" s="3" t="s">
        <v>1628</v>
      </c>
      <c r="P1527" s="3" t="s">
        <v>102</v>
      </c>
      <c r="Q1527" s="3" t="s">
        <v>103</v>
      </c>
      <c r="R1527" s="3" t="s">
        <v>103</v>
      </c>
    </row>
    <row r="1528" spans="1:18">
      <c r="A1528" s="19">
        <v>47202</v>
      </c>
      <c r="B1528" s="3" t="s">
        <v>18</v>
      </c>
      <c r="C1528" s="3" t="s">
        <v>12</v>
      </c>
      <c r="D1528" s="3" t="s">
        <v>13</v>
      </c>
      <c r="E1528" s="3" t="s">
        <v>14</v>
      </c>
      <c r="F1528" s="3" t="s">
        <v>30</v>
      </c>
      <c r="G1528" s="3" t="s">
        <v>31</v>
      </c>
      <c r="H1528">
        <v>300000</v>
      </c>
      <c r="I1528">
        <v>10</v>
      </c>
      <c r="J1528" s="3" t="s">
        <v>17</v>
      </c>
      <c r="K1528">
        <v>240000</v>
      </c>
      <c r="L1528">
        <v>3000000</v>
      </c>
      <c r="M1528">
        <v>2400000</v>
      </c>
      <c r="N1528">
        <v>600000</v>
      </c>
      <c r="O1528" s="3" t="s">
        <v>1629</v>
      </c>
      <c r="P1528" s="3" t="s">
        <v>102</v>
      </c>
      <c r="Q1528" s="3" t="s">
        <v>103</v>
      </c>
      <c r="R1528" s="3" t="s">
        <v>103</v>
      </c>
    </row>
    <row r="1529" spans="1:18">
      <c r="A1529" s="19">
        <v>47203</v>
      </c>
      <c r="B1529" s="3" t="s">
        <v>25</v>
      </c>
      <c r="C1529" s="3" t="s">
        <v>32</v>
      </c>
      <c r="D1529" s="3" t="s">
        <v>23</v>
      </c>
      <c r="E1529" s="3" t="s">
        <v>20</v>
      </c>
      <c r="F1529" s="3" t="s">
        <v>30</v>
      </c>
      <c r="G1529" s="3" t="s">
        <v>31</v>
      </c>
      <c r="H1529">
        <v>300000</v>
      </c>
      <c r="I1529">
        <v>3</v>
      </c>
      <c r="J1529" s="3" t="s">
        <v>28</v>
      </c>
      <c r="K1529">
        <v>240000</v>
      </c>
      <c r="L1529">
        <v>900000</v>
      </c>
      <c r="M1529">
        <v>720000</v>
      </c>
      <c r="N1529">
        <v>180000</v>
      </c>
      <c r="O1529" s="3" t="s">
        <v>1630</v>
      </c>
      <c r="P1529" s="3" t="s">
        <v>102</v>
      </c>
      <c r="Q1529" s="3" t="s">
        <v>103</v>
      </c>
      <c r="R1529" s="3" t="s">
        <v>103</v>
      </c>
    </row>
    <row r="1530" spans="1:18">
      <c r="A1530" s="19">
        <v>47204</v>
      </c>
      <c r="B1530" s="3" t="s">
        <v>29</v>
      </c>
      <c r="C1530" s="3" t="s">
        <v>12</v>
      </c>
      <c r="D1530" s="3" t="s">
        <v>13</v>
      </c>
      <c r="E1530" s="3" t="s">
        <v>14</v>
      </c>
      <c r="F1530" s="3" t="s">
        <v>34</v>
      </c>
      <c r="G1530" s="3" t="s">
        <v>16</v>
      </c>
      <c r="H1530">
        <v>320000</v>
      </c>
      <c r="I1530">
        <v>5</v>
      </c>
      <c r="J1530" s="3" t="s">
        <v>37</v>
      </c>
      <c r="K1530">
        <v>256000</v>
      </c>
      <c r="L1530">
        <v>1600000</v>
      </c>
      <c r="M1530">
        <v>1280000</v>
      </c>
      <c r="N1530">
        <v>320000</v>
      </c>
      <c r="O1530" s="3" t="s">
        <v>1631</v>
      </c>
      <c r="P1530" s="3" t="s">
        <v>102</v>
      </c>
      <c r="Q1530" s="3" t="s">
        <v>103</v>
      </c>
      <c r="R1530" s="3" t="s">
        <v>103</v>
      </c>
    </row>
    <row r="1531" spans="1:18">
      <c r="A1531" s="19">
        <v>47205</v>
      </c>
      <c r="B1531" s="3" t="s">
        <v>18</v>
      </c>
      <c r="C1531" s="3" t="s">
        <v>32</v>
      </c>
      <c r="D1531" s="3" t="s">
        <v>13</v>
      </c>
      <c r="E1531" s="3" t="s">
        <v>14</v>
      </c>
      <c r="F1531" s="3" t="s">
        <v>15</v>
      </c>
      <c r="G1531" s="3" t="s">
        <v>16</v>
      </c>
      <c r="H1531">
        <v>85000</v>
      </c>
      <c r="I1531">
        <v>7</v>
      </c>
      <c r="J1531" s="3" t="s">
        <v>17</v>
      </c>
      <c r="K1531">
        <v>68000</v>
      </c>
      <c r="L1531">
        <v>595000</v>
      </c>
      <c r="M1531">
        <v>476000</v>
      </c>
      <c r="N1531">
        <v>119000</v>
      </c>
      <c r="O1531" s="3" t="s">
        <v>1632</v>
      </c>
      <c r="P1531" s="3" t="s">
        <v>102</v>
      </c>
      <c r="Q1531" s="3" t="s">
        <v>103</v>
      </c>
      <c r="R1531" s="3" t="s">
        <v>103</v>
      </c>
    </row>
    <row r="1532" spans="1:18">
      <c r="A1532" s="19">
        <v>47206</v>
      </c>
      <c r="B1532" s="3" t="s">
        <v>11</v>
      </c>
      <c r="C1532" s="3" t="s">
        <v>26</v>
      </c>
      <c r="D1532" s="3" t="s">
        <v>13</v>
      </c>
      <c r="E1532" s="3" t="s">
        <v>20</v>
      </c>
      <c r="F1532" s="3" t="s">
        <v>41</v>
      </c>
      <c r="G1532" s="3" t="s">
        <v>22</v>
      </c>
      <c r="H1532">
        <v>220000</v>
      </c>
      <c r="I1532">
        <v>2</v>
      </c>
      <c r="J1532" s="3" t="s">
        <v>37</v>
      </c>
      <c r="K1532">
        <v>176000</v>
      </c>
      <c r="L1532">
        <v>440000</v>
      </c>
      <c r="M1532">
        <v>352000</v>
      </c>
      <c r="N1532">
        <v>88000</v>
      </c>
      <c r="O1532" s="3" t="s">
        <v>1633</v>
      </c>
      <c r="P1532" s="3" t="s">
        <v>102</v>
      </c>
      <c r="Q1532" s="3" t="s">
        <v>103</v>
      </c>
      <c r="R1532" s="3" t="s">
        <v>103</v>
      </c>
    </row>
    <row r="1533" spans="1:18">
      <c r="A1533" s="19">
        <v>47207</v>
      </c>
      <c r="B1533" s="3" t="s">
        <v>29</v>
      </c>
      <c r="C1533" s="3" t="s">
        <v>32</v>
      </c>
      <c r="D1533" s="3" t="s">
        <v>13</v>
      </c>
      <c r="E1533" s="3" t="s">
        <v>20</v>
      </c>
      <c r="F1533" s="3" t="s">
        <v>30</v>
      </c>
      <c r="G1533" s="3" t="s">
        <v>31</v>
      </c>
      <c r="H1533">
        <v>300000</v>
      </c>
      <c r="I1533">
        <v>2</v>
      </c>
      <c r="J1533" s="3" t="s">
        <v>28</v>
      </c>
      <c r="K1533">
        <v>240000</v>
      </c>
      <c r="L1533">
        <v>600000</v>
      </c>
      <c r="M1533">
        <v>480000</v>
      </c>
      <c r="N1533">
        <v>120000</v>
      </c>
      <c r="O1533" s="3" t="s">
        <v>1634</v>
      </c>
      <c r="P1533" s="3" t="s">
        <v>102</v>
      </c>
      <c r="Q1533" s="3" t="s">
        <v>103</v>
      </c>
      <c r="R1533" s="3" t="s">
        <v>103</v>
      </c>
    </row>
    <row r="1534" spans="1:18">
      <c r="A1534" s="19">
        <v>47208</v>
      </c>
      <c r="B1534" s="3" t="s">
        <v>25</v>
      </c>
      <c r="C1534" s="3" t="s">
        <v>19</v>
      </c>
      <c r="D1534" s="3" t="s">
        <v>23</v>
      </c>
      <c r="E1534" s="3" t="s">
        <v>14</v>
      </c>
      <c r="F1534" s="3" t="s">
        <v>15</v>
      </c>
      <c r="G1534" s="3" t="s">
        <v>16</v>
      </c>
      <c r="H1534">
        <v>85000</v>
      </c>
      <c r="I1534">
        <v>3</v>
      </c>
      <c r="J1534" s="3" t="s">
        <v>24</v>
      </c>
      <c r="K1534">
        <v>68000</v>
      </c>
      <c r="L1534">
        <v>255000</v>
      </c>
      <c r="M1534">
        <v>204000</v>
      </c>
      <c r="N1534">
        <v>51000</v>
      </c>
      <c r="O1534" s="3" t="s">
        <v>1635</v>
      </c>
      <c r="P1534" s="3" t="s">
        <v>102</v>
      </c>
      <c r="Q1534" s="3" t="s">
        <v>103</v>
      </c>
      <c r="R1534" s="3" t="s">
        <v>103</v>
      </c>
    </row>
    <row r="1535" spans="1:18">
      <c r="A1535" s="19">
        <v>47209</v>
      </c>
      <c r="B1535" s="3" t="s">
        <v>29</v>
      </c>
      <c r="C1535" s="3" t="s">
        <v>32</v>
      </c>
      <c r="D1535" s="3" t="s">
        <v>13</v>
      </c>
      <c r="E1535" s="3" t="s">
        <v>20</v>
      </c>
      <c r="F1535" s="3" t="s">
        <v>41</v>
      </c>
      <c r="G1535" s="3" t="s">
        <v>22</v>
      </c>
      <c r="H1535">
        <v>220000</v>
      </c>
      <c r="I1535">
        <v>7</v>
      </c>
      <c r="J1535" s="3" t="s">
        <v>37</v>
      </c>
      <c r="K1535">
        <v>176000</v>
      </c>
      <c r="L1535">
        <v>1540000</v>
      </c>
      <c r="M1535">
        <v>1232000</v>
      </c>
      <c r="N1535">
        <v>308000</v>
      </c>
      <c r="O1535" s="3" t="s">
        <v>1636</v>
      </c>
      <c r="P1535" s="3" t="s">
        <v>102</v>
      </c>
      <c r="Q1535" s="3" t="s">
        <v>103</v>
      </c>
      <c r="R1535" s="3" t="s">
        <v>103</v>
      </c>
    </row>
    <row r="1536" spans="1:18">
      <c r="A1536" s="19">
        <v>47210</v>
      </c>
      <c r="B1536" s="3" t="s">
        <v>18</v>
      </c>
      <c r="C1536" s="3" t="s">
        <v>26</v>
      </c>
      <c r="D1536" s="3" t="s">
        <v>23</v>
      </c>
      <c r="E1536" s="3" t="s">
        <v>14</v>
      </c>
      <c r="F1536" s="3" t="s">
        <v>36</v>
      </c>
      <c r="G1536" s="3" t="s">
        <v>31</v>
      </c>
      <c r="H1536">
        <v>150000</v>
      </c>
      <c r="I1536">
        <v>3</v>
      </c>
      <c r="J1536" s="3" t="s">
        <v>28</v>
      </c>
      <c r="K1536">
        <v>120000</v>
      </c>
      <c r="L1536">
        <v>450000</v>
      </c>
      <c r="M1536">
        <v>360000</v>
      </c>
      <c r="N1536">
        <v>90000</v>
      </c>
      <c r="O1536" s="3" t="s">
        <v>1637</v>
      </c>
      <c r="P1536" s="3" t="s">
        <v>102</v>
      </c>
      <c r="Q1536" s="3" t="s">
        <v>103</v>
      </c>
      <c r="R1536" s="3" t="s">
        <v>103</v>
      </c>
    </row>
    <row r="1537" spans="1:18">
      <c r="A1537" s="19">
        <v>47211</v>
      </c>
      <c r="B1537" s="3" t="s">
        <v>18</v>
      </c>
      <c r="C1537" s="3" t="s">
        <v>19</v>
      </c>
      <c r="D1537" s="3" t="s">
        <v>13</v>
      </c>
      <c r="E1537" s="3" t="s">
        <v>20</v>
      </c>
      <c r="F1537" s="3" t="s">
        <v>38</v>
      </c>
      <c r="G1537" s="3" t="s">
        <v>31</v>
      </c>
      <c r="H1537">
        <v>420000</v>
      </c>
      <c r="I1537">
        <v>10</v>
      </c>
      <c r="J1537" s="3" t="s">
        <v>37</v>
      </c>
      <c r="K1537">
        <v>336000</v>
      </c>
      <c r="L1537">
        <v>4200000</v>
      </c>
      <c r="M1537">
        <v>3360000</v>
      </c>
      <c r="N1537">
        <v>840000</v>
      </c>
      <c r="O1537" s="3" t="s">
        <v>1638</v>
      </c>
      <c r="P1537" s="3" t="s">
        <v>102</v>
      </c>
      <c r="Q1537" s="3" t="s">
        <v>103</v>
      </c>
      <c r="R1537" s="3" t="s">
        <v>103</v>
      </c>
    </row>
    <row r="1538" spans="1:18">
      <c r="A1538" s="19">
        <v>47212</v>
      </c>
      <c r="B1538" s="3" t="s">
        <v>29</v>
      </c>
      <c r="C1538" s="3" t="s">
        <v>19</v>
      </c>
      <c r="D1538" s="3" t="s">
        <v>13</v>
      </c>
      <c r="E1538" s="3" t="s">
        <v>20</v>
      </c>
      <c r="F1538" s="3" t="s">
        <v>27</v>
      </c>
      <c r="G1538" s="3" t="s">
        <v>22</v>
      </c>
      <c r="H1538">
        <v>60000</v>
      </c>
      <c r="I1538">
        <v>3</v>
      </c>
      <c r="J1538" s="3" t="s">
        <v>35</v>
      </c>
      <c r="K1538">
        <v>48000</v>
      </c>
      <c r="L1538">
        <v>180000</v>
      </c>
      <c r="M1538">
        <v>144000</v>
      </c>
      <c r="N1538">
        <v>36000</v>
      </c>
      <c r="O1538" s="3" t="s">
        <v>1639</v>
      </c>
      <c r="P1538" s="3" t="s">
        <v>102</v>
      </c>
      <c r="Q1538" s="3" t="s">
        <v>103</v>
      </c>
      <c r="R1538" s="3" t="s">
        <v>103</v>
      </c>
    </row>
    <row r="1539" spans="1:18">
      <c r="A1539" s="19">
        <v>47213</v>
      </c>
      <c r="B1539" s="3" t="s">
        <v>18</v>
      </c>
      <c r="C1539" s="3" t="s">
        <v>19</v>
      </c>
      <c r="D1539" s="3" t="s">
        <v>23</v>
      </c>
      <c r="E1539" s="3" t="s">
        <v>14</v>
      </c>
      <c r="F1539" s="3" t="s">
        <v>30</v>
      </c>
      <c r="G1539" s="3" t="s">
        <v>31</v>
      </c>
      <c r="H1539">
        <v>300000</v>
      </c>
      <c r="I1539">
        <v>9</v>
      </c>
      <c r="J1539" s="3" t="s">
        <v>24</v>
      </c>
      <c r="K1539">
        <v>240000</v>
      </c>
      <c r="L1539">
        <v>2700000</v>
      </c>
      <c r="M1539">
        <v>2160000</v>
      </c>
      <c r="N1539">
        <v>540000</v>
      </c>
      <c r="O1539" s="3" t="s">
        <v>1640</v>
      </c>
      <c r="P1539" s="3" t="s">
        <v>102</v>
      </c>
      <c r="Q1539" s="3" t="s">
        <v>103</v>
      </c>
      <c r="R1539" s="3" t="s">
        <v>103</v>
      </c>
    </row>
    <row r="1540" spans="1:18">
      <c r="A1540" s="19">
        <v>47214</v>
      </c>
      <c r="B1540" s="3" t="s">
        <v>25</v>
      </c>
      <c r="C1540" s="3" t="s">
        <v>19</v>
      </c>
      <c r="D1540" s="3" t="s">
        <v>23</v>
      </c>
      <c r="E1540" s="3" t="s">
        <v>14</v>
      </c>
      <c r="F1540" s="3" t="s">
        <v>27</v>
      </c>
      <c r="G1540" s="3" t="s">
        <v>22</v>
      </c>
      <c r="H1540">
        <v>60000</v>
      </c>
      <c r="I1540">
        <v>7</v>
      </c>
      <c r="J1540" s="3" t="s">
        <v>17</v>
      </c>
      <c r="K1540">
        <v>48000</v>
      </c>
      <c r="L1540">
        <v>420000</v>
      </c>
      <c r="M1540">
        <v>336000</v>
      </c>
      <c r="N1540">
        <v>84000</v>
      </c>
      <c r="O1540" s="3" t="s">
        <v>1641</v>
      </c>
      <c r="P1540" s="3" t="s">
        <v>102</v>
      </c>
      <c r="Q1540" s="3" t="s">
        <v>103</v>
      </c>
      <c r="R1540" s="3" t="s">
        <v>103</v>
      </c>
    </row>
    <row r="1541" spans="1:18">
      <c r="A1541" s="19">
        <v>47215</v>
      </c>
      <c r="B1541" s="3" t="s">
        <v>11</v>
      </c>
      <c r="C1541" s="3" t="s">
        <v>12</v>
      </c>
      <c r="D1541" s="3" t="s">
        <v>13</v>
      </c>
      <c r="E1541" s="3" t="s">
        <v>14</v>
      </c>
      <c r="F1541" s="3" t="s">
        <v>34</v>
      </c>
      <c r="G1541" s="3" t="s">
        <v>16</v>
      </c>
      <c r="H1541">
        <v>320000</v>
      </c>
      <c r="I1541">
        <v>3</v>
      </c>
      <c r="J1541" s="3" t="s">
        <v>28</v>
      </c>
      <c r="K1541">
        <v>256000</v>
      </c>
      <c r="L1541">
        <v>960000</v>
      </c>
      <c r="M1541">
        <v>768000</v>
      </c>
      <c r="N1541">
        <v>192000</v>
      </c>
      <c r="O1541" s="3" t="s">
        <v>1642</v>
      </c>
      <c r="P1541" s="3" t="s">
        <v>102</v>
      </c>
      <c r="Q1541" s="3" t="s">
        <v>103</v>
      </c>
      <c r="R1541" s="3" t="s">
        <v>103</v>
      </c>
    </row>
    <row r="1542" spans="1:18">
      <c r="A1542" s="19">
        <v>47216</v>
      </c>
      <c r="B1542" s="3" t="s">
        <v>29</v>
      </c>
      <c r="C1542" s="3" t="s">
        <v>19</v>
      </c>
      <c r="D1542" s="3" t="s">
        <v>23</v>
      </c>
      <c r="E1542" s="3" t="s">
        <v>14</v>
      </c>
      <c r="F1542" s="3" t="s">
        <v>41</v>
      </c>
      <c r="G1542" s="3" t="s">
        <v>22</v>
      </c>
      <c r="H1542">
        <v>220000</v>
      </c>
      <c r="I1542">
        <v>5</v>
      </c>
      <c r="J1542" s="3" t="s">
        <v>17</v>
      </c>
      <c r="K1542">
        <v>176000</v>
      </c>
      <c r="L1542">
        <v>1100000</v>
      </c>
      <c r="M1542">
        <v>880000</v>
      </c>
      <c r="N1542">
        <v>220000</v>
      </c>
      <c r="O1542" s="3" t="s">
        <v>1643</v>
      </c>
      <c r="P1542" s="3" t="s">
        <v>102</v>
      </c>
      <c r="Q1542" s="3" t="s">
        <v>103</v>
      </c>
      <c r="R1542" s="3" t="s">
        <v>103</v>
      </c>
    </row>
    <row r="1543" spans="1:18">
      <c r="A1543" s="19">
        <v>47217</v>
      </c>
      <c r="B1543" s="3" t="s">
        <v>18</v>
      </c>
      <c r="C1543" s="3" t="s">
        <v>19</v>
      </c>
      <c r="D1543" s="3" t="s">
        <v>23</v>
      </c>
      <c r="E1543" s="3" t="s">
        <v>14</v>
      </c>
      <c r="F1543" s="3" t="s">
        <v>41</v>
      </c>
      <c r="G1543" s="3" t="s">
        <v>22</v>
      </c>
      <c r="H1543">
        <v>220000</v>
      </c>
      <c r="I1543">
        <v>2</v>
      </c>
      <c r="J1543" s="3" t="s">
        <v>17</v>
      </c>
      <c r="K1543">
        <v>176000</v>
      </c>
      <c r="L1543">
        <v>440000</v>
      </c>
      <c r="M1543">
        <v>352000</v>
      </c>
      <c r="N1543">
        <v>88000</v>
      </c>
      <c r="O1543" s="3" t="s">
        <v>1644</v>
      </c>
      <c r="P1543" s="3" t="s">
        <v>102</v>
      </c>
      <c r="Q1543" s="3" t="s">
        <v>103</v>
      </c>
      <c r="R1543" s="3" t="s">
        <v>103</v>
      </c>
    </row>
    <row r="1544" spans="1:18">
      <c r="A1544" s="19">
        <v>47218</v>
      </c>
      <c r="B1544" s="3" t="s">
        <v>11</v>
      </c>
      <c r="C1544" s="3" t="s">
        <v>12</v>
      </c>
      <c r="D1544" s="3" t="s">
        <v>13</v>
      </c>
      <c r="E1544" s="3" t="s">
        <v>20</v>
      </c>
      <c r="F1544" s="3" t="s">
        <v>36</v>
      </c>
      <c r="G1544" s="3" t="s">
        <v>31</v>
      </c>
      <c r="H1544">
        <v>150000</v>
      </c>
      <c r="I1544">
        <v>10</v>
      </c>
      <c r="J1544" s="3" t="s">
        <v>24</v>
      </c>
      <c r="K1544">
        <v>120000</v>
      </c>
      <c r="L1544">
        <v>1500000</v>
      </c>
      <c r="M1544">
        <v>1200000</v>
      </c>
      <c r="N1544">
        <v>300000</v>
      </c>
      <c r="O1544" s="3" t="s">
        <v>1645</v>
      </c>
      <c r="P1544" s="3" t="s">
        <v>102</v>
      </c>
      <c r="Q1544" s="3" t="s">
        <v>103</v>
      </c>
      <c r="R1544" s="3" t="s">
        <v>103</v>
      </c>
    </row>
    <row r="1545" spans="1:18">
      <c r="A1545" s="19">
        <v>47219</v>
      </c>
      <c r="B1545" s="3" t="s">
        <v>29</v>
      </c>
      <c r="C1545" s="3" t="s">
        <v>26</v>
      </c>
      <c r="D1545" s="3" t="s">
        <v>13</v>
      </c>
      <c r="E1545" s="3" t="s">
        <v>20</v>
      </c>
      <c r="F1545" s="3" t="s">
        <v>21</v>
      </c>
      <c r="G1545" s="3" t="s">
        <v>22</v>
      </c>
      <c r="H1545">
        <v>30000</v>
      </c>
      <c r="I1545">
        <v>8</v>
      </c>
      <c r="J1545" s="3" t="s">
        <v>39</v>
      </c>
      <c r="K1545">
        <v>24000</v>
      </c>
      <c r="L1545">
        <v>240000</v>
      </c>
      <c r="M1545">
        <v>192000</v>
      </c>
      <c r="N1545">
        <v>48000</v>
      </c>
      <c r="O1545" s="3" t="s">
        <v>1646</v>
      </c>
      <c r="P1545" s="3" t="s">
        <v>102</v>
      </c>
      <c r="Q1545" s="3" t="s">
        <v>103</v>
      </c>
      <c r="R1545" s="3" t="s">
        <v>103</v>
      </c>
    </row>
    <row r="1546" spans="1:18">
      <c r="A1546" s="19">
        <v>47220</v>
      </c>
      <c r="B1546" s="3" t="s">
        <v>18</v>
      </c>
      <c r="C1546" s="3" t="s">
        <v>19</v>
      </c>
      <c r="D1546" s="3" t="s">
        <v>13</v>
      </c>
      <c r="E1546" s="3" t="s">
        <v>20</v>
      </c>
      <c r="F1546" s="3" t="s">
        <v>21</v>
      </c>
      <c r="G1546" s="3" t="s">
        <v>22</v>
      </c>
      <c r="H1546">
        <v>30000</v>
      </c>
      <c r="I1546">
        <v>9</v>
      </c>
      <c r="J1546" s="3" t="s">
        <v>35</v>
      </c>
      <c r="K1546">
        <v>24000</v>
      </c>
      <c r="L1546">
        <v>270000</v>
      </c>
      <c r="M1546">
        <v>216000</v>
      </c>
      <c r="N1546">
        <v>54000</v>
      </c>
      <c r="O1546" s="3" t="s">
        <v>1647</v>
      </c>
      <c r="P1546" s="3" t="s">
        <v>102</v>
      </c>
      <c r="Q1546" s="3" t="s">
        <v>103</v>
      </c>
      <c r="R1546" s="3" t="s">
        <v>103</v>
      </c>
    </row>
    <row r="1547" spans="1:18">
      <c r="A1547" s="19">
        <v>47221</v>
      </c>
      <c r="B1547" s="3" t="s">
        <v>18</v>
      </c>
      <c r="C1547" s="3" t="s">
        <v>12</v>
      </c>
      <c r="D1547" s="3" t="s">
        <v>13</v>
      </c>
      <c r="E1547" s="3" t="s">
        <v>20</v>
      </c>
      <c r="F1547" s="3" t="s">
        <v>36</v>
      </c>
      <c r="G1547" s="3" t="s">
        <v>31</v>
      </c>
      <c r="H1547">
        <v>150000</v>
      </c>
      <c r="I1547">
        <v>3</v>
      </c>
      <c r="J1547" s="3" t="s">
        <v>24</v>
      </c>
      <c r="K1547">
        <v>120000</v>
      </c>
      <c r="L1547">
        <v>450000</v>
      </c>
      <c r="M1547">
        <v>360000</v>
      </c>
      <c r="N1547">
        <v>90000</v>
      </c>
      <c r="O1547" s="3" t="s">
        <v>1648</v>
      </c>
      <c r="P1547" s="3" t="s">
        <v>102</v>
      </c>
      <c r="Q1547" s="3" t="s">
        <v>103</v>
      </c>
      <c r="R1547" s="3" t="s">
        <v>103</v>
      </c>
    </row>
    <row r="1548" spans="1:18">
      <c r="A1548" s="19">
        <v>47222</v>
      </c>
      <c r="B1548" s="3" t="s">
        <v>18</v>
      </c>
      <c r="C1548" s="3" t="s">
        <v>12</v>
      </c>
      <c r="D1548" s="3" t="s">
        <v>23</v>
      </c>
      <c r="E1548" s="3" t="s">
        <v>14</v>
      </c>
      <c r="F1548" s="3" t="s">
        <v>27</v>
      </c>
      <c r="G1548" s="3" t="s">
        <v>22</v>
      </c>
      <c r="H1548">
        <v>60000</v>
      </c>
      <c r="I1548">
        <v>6</v>
      </c>
      <c r="J1548" s="3" t="s">
        <v>28</v>
      </c>
      <c r="K1548">
        <v>48000</v>
      </c>
      <c r="L1548">
        <v>360000</v>
      </c>
      <c r="M1548">
        <v>288000</v>
      </c>
      <c r="N1548">
        <v>72000</v>
      </c>
      <c r="O1548" s="3" t="s">
        <v>1649</v>
      </c>
      <c r="P1548" s="3" t="s">
        <v>102</v>
      </c>
      <c r="Q1548" s="3" t="s">
        <v>103</v>
      </c>
      <c r="R1548" s="3" t="s">
        <v>103</v>
      </c>
    </row>
    <row r="1549" spans="1:18">
      <c r="A1549" s="19">
        <v>47223</v>
      </c>
      <c r="B1549" s="3" t="s">
        <v>18</v>
      </c>
      <c r="C1549" s="3" t="s">
        <v>12</v>
      </c>
      <c r="D1549" s="3" t="s">
        <v>23</v>
      </c>
      <c r="E1549" s="3" t="s">
        <v>20</v>
      </c>
      <c r="F1549" s="3" t="s">
        <v>40</v>
      </c>
      <c r="G1549" s="3" t="s">
        <v>31</v>
      </c>
      <c r="H1549">
        <v>250000</v>
      </c>
      <c r="I1549">
        <v>1</v>
      </c>
      <c r="J1549" s="3" t="s">
        <v>28</v>
      </c>
      <c r="K1549">
        <v>200000</v>
      </c>
      <c r="L1549">
        <v>250000</v>
      </c>
      <c r="M1549">
        <v>200000</v>
      </c>
      <c r="N1549">
        <v>50000</v>
      </c>
      <c r="O1549" s="3" t="s">
        <v>1650</v>
      </c>
      <c r="P1549" s="3" t="s">
        <v>102</v>
      </c>
      <c r="Q1549" s="3" t="s">
        <v>103</v>
      </c>
      <c r="R1549" s="3" t="s">
        <v>103</v>
      </c>
    </row>
    <row r="1550" spans="1:18">
      <c r="A1550" s="19">
        <v>47224</v>
      </c>
      <c r="B1550" s="3" t="s">
        <v>11</v>
      </c>
      <c r="C1550" s="3" t="s">
        <v>26</v>
      </c>
      <c r="D1550" s="3" t="s">
        <v>13</v>
      </c>
      <c r="E1550" s="3" t="s">
        <v>20</v>
      </c>
      <c r="F1550" s="3" t="s">
        <v>15</v>
      </c>
      <c r="G1550" s="3" t="s">
        <v>16</v>
      </c>
      <c r="H1550">
        <v>85000</v>
      </c>
      <c r="I1550">
        <v>8</v>
      </c>
      <c r="J1550" s="3" t="s">
        <v>28</v>
      </c>
      <c r="K1550">
        <v>68000</v>
      </c>
      <c r="L1550">
        <v>680000</v>
      </c>
      <c r="M1550">
        <v>544000</v>
      </c>
      <c r="N1550">
        <v>136000</v>
      </c>
      <c r="O1550" s="3" t="s">
        <v>1651</v>
      </c>
      <c r="P1550" s="3" t="s">
        <v>102</v>
      </c>
      <c r="Q1550" s="3" t="s">
        <v>103</v>
      </c>
      <c r="R1550" s="3" t="s">
        <v>103</v>
      </c>
    </row>
    <row r="1551" spans="1:18">
      <c r="A1551" s="19">
        <v>47225</v>
      </c>
      <c r="B1551" s="3" t="s">
        <v>29</v>
      </c>
      <c r="C1551" s="3" t="s">
        <v>12</v>
      </c>
      <c r="D1551" s="3" t="s">
        <v>13</v>
      </c>
      <c r="E1551" s="3" t="s">
        <v>20</v>
      </c>
      <c r="F1551" s="3" t="s">
        <v>33</v>
      </c>
      <c r="G1551" s="3" t="s">
        <v>22</v>
      </c>
      <c r="H1551">
        <v>180000</v>
      </c>
      <c r="I1551">
        <v>8</v>
      </c>
      <c r="J1551" s="3" t="s">
        <v>28</v>
      </c>
      <c r="K1551">
        <v>144000</v>
      </c>
      <c r="L1551">
        <v>1440000</v>
      </c>
      <c r="M1551">
        <v>1152000</v>
      </c>
      <c r="N1551">
        <v>288000</v>
      </c>
      <c r="O1551" s="3" t="s">
        <v>1652</v>
      </c>
      <c r="P1551" s="3" t="s">
        <v>102</v>
      </c>
      <c r="Q1551" s="3" t="s">
        <v>103</v>
      </c>
      <c r="R1551" s="3" t="s">
        <v>103</v>
      </c>
    </row>
    <row r="1552" spans="1:18">
      <c r="A1552" s="19">
        <v>47226</v>
      </c>
      <c r="B1552" s="3" t="s">
        <v>18</v>
      </c>
      <c r="C1552" s="3" t="s">
        <v>32</v>
      </c>
      <c r="D1552" s="3" t="s">
        <v>23</v>
      </c>
      <c r="E1552" s="3" t="s">
        <v>20</v>
      </c>
      <c r="F1552" s="3" t="s">
        <v>41</v>
      </c>
      <c r="G1552" s="3" t="s">
        <v>22</v>
      </c>
      <c r="H1552">
        <v>220000</v>
      </c>
      <c r="I1552">
        <v>9</v>
      </c>
      <c r="J1552" s="3" t="s">
        <v>37</v>
      </c>
      <c r="K1552">
        <v>176000</v>
      </c>
      <c r="L1552">
        <v>1980000</v>
      </c>
      <c r="M1552">
        <v>1584000</v>
      </c>
      <c r="N1552">
        <v>396000</v>
      </c>
      <c r="O1552" s="3" t="s">
        <v>1653</v>
      </c>
      <c r="P1552" s="3" t="s">
        <v>102</v>
      </c>
      <c r="Q1552" s="3" t="s">
        <v>103</v>
      </c>
      <c r="R1552" s="3" t="s">
        <v>103</v>
      </c>
    </row>
    <row r="1553" spans="1:18">
      <c r="A1553" s="19">
        <v>47227</v>
      </c>
      <c r="B1553" s="3" t="s">
        <v>11</v>
      </c>
      <c r="C1553" s="3" t="s">
        <v>12</v>
      </c>
      <c r="D1553" s="3" t="s">
        <v>13</v>
      </c>
      <c r="E1553" s="3" t="s">
        <v>20</v>
      </c>
      <c r="F1553" s="3" t="s">
        <v>40</v>
      </c>
      <c r="G1553" s="3" t="s">
        <v>31</v>
      </c>
      <c r="H1553">
        <v>250000</v>
      </c>
      <c r="I1553">
        <v>3</v>
      </c>
      <c r="J1553" s="3" t="s">
        <v>28</v>
      </c>
      <c r="K1553">
        <v>200000</v>
      </c>
      <c r="L1553">
        <v>750000</v>
      </c>
      <c r="M1553">
        <v>600000</v>
      </c>
      <c r="N1553">
        <v>150000</v>
      </c>
      <c r="O1553" s="3" t="s">
        <v>1654</v>
      </c>
      <c r="P1553" s="3" t="s">
        <v>102</v>
      </c>
      <c r="Q1553" s="3" t="s">
        <v>103</v>
      </c>
      <c r="R1553" s="3" t="s">
        <v>103</v>
      </c>
    </row>
    <row r="1554" spans="1:18">
      <c r="A1554" s="19">
        <v>47228</v>
      </c>
      <c r="B1554" s="3" t="s">
        <v>29</v>
      </c>
      <c r="C1554" s="3" t="s">
        <v>32</v>
      </c>
      <c r="D1554" s="3" t="s">
        <v>13</v>
      </c>
      <c r="E1554" s="3" t="s">
        <v>14</v>
      </c>
      <c r="F1554" s="3" t="s">
        <v>38</v>
      </c>
      <c r="G1554" s="3" t="s">
        <v>31</v>
      </c>
      <c r="H1554">
        <v>420000</v>
      </c>
      <c r="I1554">
        <v>6</v>
      </c>
      <c r="J1554" s="3" t="s">
        <v>39</v>
      </c>
      <c r="K1554">
        <v>336000</v>
      </c>
      <c r="L1554">
        <v>2520000</v>
      </c>
      <c r="M1554">
        <v>2016000</v>
      </c>
      <c r="N1554">
        <v>504000</v>
      </c>
      <c r="O1554" s="3" t="s">
        <v>1655</v>
      </c>
      <c r="P1554" s="3" t="s">
        <v>102</v>
      </c>
      <c r="Q1554" s="3" t="s">
        <v>103</v>
      </c>
      <c r="R1554" s="3" t="s">
        <v>103</v>
      </c>
    </row>
    <row r="1555" spans="1:18">
      <c r="A1555" s="19">
        <v>47229</v>
      </c>
      <c r="B1555" s="3" t="s">
        <v>18</v>
      </c>
      <c r="C1555" s="3" t="s">
        <v>19</v>
      </c>
      <c r="D1555" s="3" t="s">
        <v>23</v>
      </c>
      <c r="E1555" s="3" t="s">
        <v>20</v>
      </c>
      <c r="F1555" s="3" t="s">
        <v>33</v>
      </c>
      <c r="G1555" s="3" t="s">
        <v>22</v>
      </c>
      <c r="H1555">
        <v>180000</v>
      </c>
      <c r="I1555">
        <v>3</v>
      </c>
      <c r="J1555" s="3" t="s">
        <v>17</v>
      </c>
      <c r="K1555">
        <v>144000</v>
      </c>
      <c r="L1555">
        <v>540000</v>
      </c>
      <c r="M1555">
        <v>432000</v>
      </c>
      <c r="N1555">
        <v>108000</v>
      </c>
      <c r="O1555" s="3" t="s">
        <v>1656</v>
      </c>
      <c r="P1555" s="3" t="s">
        <v>102</v>
      </c>
      <c r="Q1555" s="3" t="s">
        <v>103</v>
      </c>
      <c r="R1555" s="3" t="s">
        <v>103</v>
      </c>
    </row>
    <row r="1556" spans="1:18">
      <c r="A1556" s="19">
        <v>47230</v>
      </c>
      <c r="B1556" s="3" t="s">
        <v>25</v>
      </c>
      <c r="C1556" s="3" t="s">
        <v>26</v>
      </c>
      <c r="D1556" s="3" t="s">
        <v>23</v>
      </c>
      <c r="E1556" s="3" t="s">
        <v>20</v>
      </c>
      <c r="F1556" s="3" t="s">
        <v>33</v>
      </c>
      <c r="G1556" s="3" t="s">
        <v>22</v>
      </c>
      <c r="H1556">
        <v>180000</v>
      </c>
      <c r="I1556">
        <v>9</v>
      </c>
      <c r="J1556" s="3" t="s">
        <v>17</v>
      </c>
      <c r="K1556">
        <v>144000</v>
      </c>
      <c r="L1556">
        <v>1620000</v>
      </c>
      <c r="M1556">
        <v>1296000</v>
      </c>
      <c r="N1556">
        <v>324000</v>
      </c>
      <c r="O1556" s="3" t="s">
        <v>1657</v>
      </c>
      <c r="P1556" s="3" t="s">
        <v>102</v>
      </c>
      <c r="Q1556" s="3" t="s">
        <v>103</v>
      </c>
      <c r="R1556" s="3" t="s">
        <v>103</v>
      </c>
    </row>
    <row r="1557" spans="1:18">
      <c r="A1557" s="19">
        <v>47231</v>
      </c>
      <c r="B1557" s="3" t="s">
        <v>18</v>
      </c>
      <c r="C1557" s="3" t="s">
        <v>26</v>
      </c>
      <c r="D1557" s="3" t="s">
        <v>13</v>
      </c>
      <c r="E1557" s="3" t="s">
        <v>14</v>
      </c>
      <c r="F1557" s="3" t="s">
        <v>38</v>
      </c>
      <c r="G1557" s="3" t="s">
        <v>31</v>
      </c>
      <c r="H1557">
        <v>420000</v>
      </c>
      <c r="I1557">
        <v>5</v>
      </c>
      <c r="J1557" s="3" t="s">
        <v>17</v>
      </c>
      <c r="K1557">
        <v>336000</v>
      </c>
      <c r="L1557">
        <v>2100000</v>
      </c>
      <c r="M1557">
        <v>1680000</v>
      </c>
      <c r="N1557">
        <v>420000</v>
      </c>
      <c r="O1557" s="3" t="s">
        <v>1658</v>
      </c>
      <c r="P1557" s="3" t="s">
        <v>102</v>
      </c>
      <c r="Q1557" s="3" t="s">
        <v>103</v>
      </c>
      <c r="R1557" s="3" t="s">
        <v>103</v>
      </c>
    </row>
    <row r="1558" spans="1:18">
      <c r="A1558" s="19">
        <v>47232</v>
      </c>
      <c r="B1558" s="3" t="s">
        <v>29</v>
      </c>
      <c r="C1558" s="3" t="s">
        <v>26</v>
      </c>
      <c r="D1558" s="3" t="s">
        <v>13</v>
      </c>
      <c r="E1558" s="3" t="s">
        <v>20</v>
      </c>
      <c r="F1558" s="3" t="s">
        <v>33</v>
      </c>
      <c r="G1558" s="3" t="s">
        <v>22</v>
      </c>
      <c r="H1558">
        <v>180000</v>
      </c>
      <c r="I1558">
        <v>6</v>
      </c>
      <c r="J1558" s="3" t="s">
        <v>39</v>
      </c>
      <c r="K1558">
        <v>144000</v>
      </c>
      <c r="L1558">
        <v>1080000</v>
      </c>
      <c r="M1558">
        <v>864000</v>
      </c>
      <c r="N1558">
        <v>216000</v>
      </c>
      <c r="O1558" s="3" t="s">
        <v>1659</v>
      </c>
      <c r="P1558" s="3" t="s">
        <v>102</v>
      </c>
      <c r="Q1558" s="3" t="s">
        <v>103</v>
      </c>
      <c r="R1558" s="3" t="s">
        <v>103</v>
      </c>
    </row>
    <row r="1559" spans="1:18">
      <c r="A1559" s="19">
        <v>47233</v>
      </c>
      <c r="B1559" s="3" t="s">
        <v>18</v>
      </c>
      <c r="C1559" s="3" t="s">
        <v>26</v>
      </c>
      <c r="D1559" s="3" t="s">
        <v>23</v>
      </c>
      <c r="E1559" s="3" t="s">
        <v>14</v>
      </c>
      <c r="F1559" s="3" t="s">
        <v>30</v>
      </c>
      <c r="G1559" s="3" t="s">
        <v>31</v>
      </c>
      <c r="H1559">
        <v>300000</v>
      </c>
      <c r="I1559">
        <v>3</v>
      </c>
      <c r="J1559" s="3" t="s">
        <v>28</v>
      </c>
      <c r="K1559">
        <v>240000</v>
      </c>
      <c r="L1559">
        <v>900000</v>
      </c>
      <c r="M1559">
        <v>720000</v>
      </c>
      <c r="N1559">
        <v>180000</v>
      </c>
      <c r="O1559" s="3" t="s">
        <v>1660</v>
      </c>
      <c r="P1559" s="3" t="s">
        <v>102</v>
      </c>
      <c r="Q1559" s="3" t="s">
        <v>103</v>
      </c>
      <c r="R1559" s="3" t="s">
        <v>103</v>
      </c>
    </row>
    <row r="1560" spans="1:18">
      <c r="A1560" s="19">
        <v>47234</v>
      </c>
      <c r="B1560" s="3" t="s">
        <v>11</v>
      </c>
      <c r="C1560" s="3" t="s">
        <v>26</v>
      </c>
      <c r="D1560" s="3" t="s">
        <v>13</v>
      </c>
      <c r="E1560" s="3" t="s">
        <v>14</v>
      </c>
      <c r="F1560" s="3" t="s">
        <v>41</v>
      </c>
      <c r="G1560" s="3" t="s">
        <v>22</v>
      </c>
      <c r="H1560">
        <v>220000</v>
      </c>
      <c r="I1560">
        <v>7</v>
      </c>
      <c r="J1560" s="3" t="s">
        <v>17</v>
      </c>
      <c r="K1560">
        <v>176000</v>
      </c>
      <c r="L1560">
        <v>1540000</v>
      </c>
      <c r="M1560">
        <v>1232000</v>
      </c>
      <c r="N1560">
        <v>308000</v>
      </c>
      <c r="O1560" s="3" t="s">
        <v>1661</v>
      </c>
      <c r="P1560" s="3" t="s">
        <v>102</v>
      </c>
      <c r="Q1560" s="3" t="s">
        <v>103</v>
      </c>
      <c r="R1560" s="3" t="s">
        <v>103</v>
      </c>
    </row>
    <row r="1561" spans="1:18">
      <c r="A1561" s="19">
        <v>47235</v>
      </c>
      <c r="B1561" s="3" t="s">
        <v>25</v>
      </c>
      <c r="C1561" s="3" t="s">
        <v>19</v>
      </c>
      <c r="D1561" s="3" t="s">
        <v>13</v>
      </c>
      <c r="E1561" s="3" t="s">
        <v>14</v>
      </c>
      <c r="F1561" s="3" t="s">
        <v>27</v>
      </c>
      <c r="G1561" s="3" t="s">
        <v>22</v>
      </c>
      <c r="H1561">
        <v>60000</v>
      </c>
      <c r="I1561">
        <v>2</v>
      </c>
      <c r="J1561" s="3" t="s">
        <v>17</v>
      </c>
      <c r="K1561">
        <v>48000</v>
      </c>
      <c r="L1561">
        <v>120000</v>
      </c>
      <c r="M1561">
        <v>96000</v>
      </c>
      <c r="N1561">
        <v>24000</v>
      </c>
      <c r="O1561" s="3" t="s">
        <v>1662</v>
      </c>
      <c r="P1561" s="3" t="s">
        <v>102</v>
      </c>
      <c r="Q1561" s="3" t="s">
        <v>103</v>
      </c>
      <c r="R1561" s="3" t="s">
        <v>103</v>
      </c>
    </row>
    <row r="1562" spans="1:18">
      <c r="A1562" s="19">
        <v>47236</v>
      </c>
      <c r="B1562" s="3" t="s">
        <v>25</v>
      </c>
      <c r="C1562" s="3" t="s">
        <v>19</v>
      </c>
      <c r="D1562" s="3" t="s">
        <v>23</v>
      </c>
      <c r="E1562" s="3" t="s">
        <v>14</v>
      </c>
      <c r="F1562" s="3" t="s">
        <v>21</v>
      </c>
      <c r="G1562" s="3" t="s">
        <v>22</v>
      </c>
      <c r="H1562">
        <v>30000</v>
      </c>
      <c r="I1562">
        <v>4</v>
      </c>
      <c r="J1562" s="3" t="s">
        <v>35</v>
      </c>
      <c r="K1562">
        <v>24000</v>
      </c>
      <c r="L1562">
        <v>120000</v>
      </c>
      <c r="M1562">
        <v>96000</v>
      </c>
      <c r="N1562">
        <v>24000</v>
      </c>
      <c r="O1562" s="3" t="s">
        <v>1663</v>
      </c>
      <c r="P1562" s="3" t="s">
        <v>102</v>
      </c>
      <c r="Q1562" s="3" t="s">
        <v>103</v>
      </c>
      <c r="R1562" s="3" t="s">
        <v>103</v>
      </c>
    </row>
    <row r="1563" spans="1:18">
      <c r="A1563" s="19">
        <v>47237</v>
      </c>
      <c r="B1563" s="3" t="s">
        <v>11</v>
      </c>
      <c r="C1563" s="3" t="s">
        <v>19</v>
      </c>
      <c r="D1563" s="3" t="s">
        <v>23</v>
      </c>
      <c r="E1563" s="3" t="s">
        <v>20</v>
      </c>
      <c r="F1563" s="3" t="s">
        <v>34</v>
      </c>
      <c r="G1563" s="3" t="s">
        <v>16</v>
      </c>
      <c r="H1563">
        <v>320000</v>
      </c>
      <c r="I1563">
        <v>8</v>
      </c>
      <c r="J1563" s="3" t="s">
        <v>35</v>
      </c>
      <c r="K1563">
        <v>256000</v>
      </c>
      <c r="L1563">
        <v>2560000</v>
      </c>
      <c r="M1563">
        <v>2048000</v>
      </c>
      <c r="N1563">
        <v>512000</v>
      </c>
      <c r="O1563" s="3" t="s">
        <v>1664</v>
      </c>
      <c r="P1563" s="3" t="s">
        <v>102</v>
      </c>
      <c r="Q1563" s="3" t="s">
        <v>103</v>
      </c>
      <c r="R1563" s="3" t="s">
        <v>103</v>
      </c>
    </row>
    <row r="1564" spans="1:18">
      <c r="A1564" s="19">
        <v>47238</v>
      </c>
      <c r="B1564" s="3" t="s">
        <v>11</v>
      </c>
      <c r="C1564" s="3" t="s">
        <v>32</v>
      </c>
      <c r="D1564" s="3" t="s">
        <v>23</v>
      </c>
      <c r="E1564" s="3" t="s">
        <v>20</v>
      </c>
      <c r="F1564" s="3" t="s">
        <v>33</v>
      </c>
      <c r="G1564" s="3" t="s">
        <v>22</v>
      </c>
      <c r="H1564">
        <v>180000</v>
      </c>
      <c r="I1564">
        <v>5</v>
      </c>
      <c r="J1564" s="3" t="s">
        <v>28</v>
      </c>
      <c r="K1564">
        <v>144000</v>
      </c>
      <c r="L1564">
        <v>900000</v>
      </c>
      <c r="M1564">
        <v>720000</v>
      </c>
      <c r="N1564">
        <v>180000</v>
      </c>
      <c r="O1564" s="3" t="s">
        <v>1665</v>
      </c>
      <c r="P1564" s="3" t="s">
        <v>102</v>
      </c>
      <c r="Q1564" s="3" t="s">
        <v>103</v>
      </c>
      <c r="R1564" s="3" t="s">
        <v>103</v>
      </c>
    </row>
    <row r="1565" spans="1:18">
      <c r="A1565" s="19">
        <v>47239</v>
      </c>
      <c r="B1565" s="3" t="s">
        <v>18</v>
      </c>
      <c r="C1565" s="3" t="s">
        <v>12</v>
      </c>
      <c r="D1565" s="3" t="s">
        <v>13</v>
      </c>
      <c r="E1565" s="3" t="s">
        <v>20</v>
      </c>
      <c r="F1565" s="3" t="s">
        <v>34</v>
      </c>
      <c r="G1565" s="3" t="s">
        <v>16</v>
      </c>
      <c r="H1565">
        <v>320000</v>
      </c>
      <c r="I1565">
        <v>6</v>
      </c>
      <c r="J1565" s="3" t="s">
        <v>28</v>
      </c>
      <c r="K1565">
        <v>256000</v>
      </c>
      <c r="L1565">
        <v>1920000</v>
      </c>
      <c r="M1565">
        <v>1536000</v>
      </c>
      <c r="N1565">
        <v>384000</v>
      </c>
      <c r="O1565" s="3" t="s">
        <v>1666</v>
      </c>
      <c r="P1565" s="3" t="s">
        <v>102</v>
      </c>
      <c r="Q1565" s="3" t="s">
        <v>103</v>
      </c>
      <c r="R1565" s="3" t="s">
        <v>103</v>
      </c>
    </row>
    <row r="1566" spans="1:18">
      <c r="A1566" s="19">
        <v>47240</v>
      </c>
      <c r="B1566" s="3" t="s">
        <v>25</v>
      </c>
      <c r="C1566" s="3" t="s">
        <v>19</v>
      </c>
      <c r="D1566" s="3" t="s">
        <v>13</v>
      </c>
      <c r="E1566" s="3" t="s">
        <v>14</v>
      </c>
      <c r="F1566" s="3" t="s">
        <v>38</v>
      </c>
      <c r="G1566" s="3" t="s">
        <v>31</v>
      </c>
      <c r="H1566">
        <v>420000</v>
      </c>
      <c r="I1566">
        <v>3</v>
      </c>
      <c r="J1566" s="3" t="s">
        <v>28</v>
      </c>
      <c r="K1566">
        <v>336000</v>
      </c>
      <c r="L1566">
        <v>1260000</v>
      </c>
      <c r="M1566">
        <v>1008000</v>
      </c>
      <c r="N1566">
        <v>252000</v>
      </c>
      <c r="O1566" s="3" t="s">
        <v>1667</v>
      </c>
      <c r="P1566" s="3" t="s">
        <v>102</v>
      </c>
      <c r="Q1566" s="3" t="s">
        <v>103</v>
      </c>
      <c r="R1566" s="3" t="s">
        <v>103</v>
      </c>
    </row>
    <row r="1567" spans="1:18">
      <c r="A1567" s="19">
        <v>47241</v>
      </c>
      <c r="B1567" s="3" t="s">
        <v>29</v>
      </c>
      <c r="C1567" s="3" t="s">
        <v>32</v>
      </c>
      <c r="D1567" s="3" t="s">
        <v>23</v>
      </c>
      <c r="E1567" s="3" t="s">
        <v>14</v>
      </c>
      <c r="F1567" s="3" t="s">
        <v>36</v>
      </c>
      <c r="G1567" s="3" t="s">
        <v>31</v>
      </c>
      <c r="H1567">
        <v>150000</v>
      </c>
      <c r="I1567">
        <v>2</v>
      </c>
      <c r="J1567" s="3" t="s">
        <v>39</v>
      </c>
      <c r="K1567">
        <v>120000</v>
      </c>
      <c r="L1567">
        <v>300000</v>
      </c>
      <c r="M1567">
        <v>240000</v>
      </c>
      <c r="N1567">
        <v>60000</v>
      </c>
      <c r="O1567" s="3" t="s">
        <v>1668</v>
      </c>
      <c r="P1567" s="3" t="s">
        <v>102</v>
      </c>
      <c r="Q1567" s="3" t="s">
        <v>103</v>
      </c>
      <c r="R1567" s="3" t="s">
        <v>103</v>
      </c>
    </row>
    <row r="1568" spans="1:18">
      <c r="A1568" s="19">
        <v>47242</v>
      </c>
      <c r="B1568" s="3" t="s">
        <v>11</v>
      </c>
      <c r="C1568" s="3" t="s">
        <v>32</v>
      </c>
      <c r="D1568" s="3" t="s">
        <v>13</v>
      </c>
      <c r="E1568" s="3" t="s">
        <v>14</v>
      </c>
      <c r="F1568" s="3" t="s">
        <v>33</v>
      </c>
      <c r="G1568" s="3" t="s">
        <v>22</v>
      </c>
      <c r="H1568">
        <v>180000</v>
      </c>
      <c r="I1568">
        <v>8</v>
      </c>
      <c r="J1568" s="3" t="s">
        <v>35</v>
      </c>
      <c r="K1568">
        <v>144000</v>
      </c>
      <c r="L1568">
        <v>1440000</v>
      </c>
      <c r="M1568">
        <v>1152000</v>
      </c>
      <c r="N1568">
        <v>288000</v>
      </c>
      <c r="O1568" s="3" t="s">
        <v>1669</v>
      </c>
      <c r="P1568" s="3" t="s">
        <v>102</v>
      </c>
      <c r="Q1568" s="3" t="s">
        <v>103</v>
      </c>
      <c r="R1568" s="3" t="s">
        <v>103</v>
      </c>
    </row>
    <row r="1569" spans="1:18">
      <c r="A1569" s="19">
        <v>47243</v>
      </c>
      <c r="B1569" s="3" t="s">
        <v>29</v>
      </c>
      <c r="C1569" s="3" t="s">
        <v>19</v>
      </c>
      <c r="D1569" s="3" t="s">
        <v>13</v>
      </c>
      <c r="E1569" s="3" t="s">
        <v>14</v>
      </c>
      <c r="F1569" s="3" t="s">
        <v>36</v>
      </c>
      <c r="G1569" s="3" t="s">
        <v>31</v>
      </c>
      <c r="H1569">
        <v>150000</v>
      </c>
      <c r="I1569">
        <v>4</v>
      </c>
      <c r="J1569" s="3" t="s">
        <v>35</v>
      </c>
      <c r="K1569">
        <v>120000</v>
      </c>
      <c r="L1569">
        <v>600000</v>
      </c>
      <c r="M1569">
        <v>480000</v>
      </c>
      <c r="N1569">
        <v>120000</v>
      </c>
      <c r="O1569" s="3" t="s">
        <v>1670</v>
      </c>
      <c r="P1569" s="3" t="s">
        <v>102</v>
      </c>
      <c r="Q1569" s="3" t="s">
        <v>103</v>
      </c>
      <c r="R1569" s="3" t="s">
        <v>103</v>
      </c>
    </row>
    <row r="1570" spans="1:18">
      <c r="A1570" s="19">
        <v>47244</v>
      </c>
      <c r="B1570" s="3" t="s">
        <v>29</v>
      </c>
      <c r="C1570" s="3" t="s">
        <v>26</v>
      </c>
      <c r="D1570" s="3" t="s">
        <v>23</v>
      </c>
      <c r="E1570" s="3" t="s">
        <v>20</v>
      </c>
      <c r="F1570" s="3" t="s">
        <v>27</v>
      </c>
      <c r="G1570" s="3" t="s">
        <v>22</v>
      </c>
      <c r="H1570">
        <v>60000</v>
      </c>
      <c r="I1570">
        <v>8</v>
      </c>
      <c r="J1570" s="3" t="s">
        <v>28</v>
      </c>
      <c r="K1570">
        <v>48000</v>
      </c>
      <c r="L1570">
        <v>480000</v>
      </c>
      <c r="M1570">
        <v>384000</v>
      </c>
      <c r="N1570">
        <v>96000</v>
      </c>
      <c r="O1570" s="3" t="s">
        <v>1671</v>
      </c>
      <c r="P1570" s="3" t="s">
        <v>102</v>
      </c>
      <c r="Q1570" s="3" t="s">
        <v>103</v>
      </c>
      <c r="R1570" s="3" t="s">
        <v>103</v>
      </c>
    </row>
    <row r="1571" spans="1:18">
      <c r="A1571" s="19">
        <v>47245</v>
      </c>
      <c r="B1571" s="3" t="s">
        <v>29</v>
      </c>
      <c r="C1571" s="3" t="s">
        <v>12</v>
      </c>
      <c r="D1571" s="3" t="s">
        <v>23</v>
      </c>
      <c r="E1571" s="3" t="s">
        <v>20</v>
      </c>
      <c r="F1571" s="3" t="s">
        <v>38</v>
      </c>
      <c r="G1571" s="3" t="s">
        <v>31</v>
      </c>
      <c r="H1571">
        <v>420000</v>
      </c>
      <c r="I1571">
        <v>5</v>
      </c>
      <c r="J1571" s="3" t="s">
        <v>37</v>
      </c>
      <c r="K1571">
        <v>336000</v>
      </c>
      <c r="L1571">
        <v>2100000</v>
      </c>
      <c r="M1571">
        <v>1680000</v>
      </c>
      <c r="N1571">
        <v>420000</v>
      </c>
      <c r="O1571" s="3" t="s">
        <v>1672</v>
      </c>
      <c r="P1571" s="3" t="s">
        <v>102</v>
      </c>
      <c r="Q1571" s="3" t="s">
        <v>103</v>
      </c>
      <c r="R1571" s="3" t="s">
        <v>103</v>
      </c>
    </row>
    <row r="1572" spans="1:18">
      <c r="A1572" s="19">
        <v>47246</v>
      </c>
      <c r="B1572" s="3" t="s">
        <v>29</v>
      </c>
      <c r="C1572" s="3" t="s">
        <v>12</v>
      </c>
      <c r="D1572" s="3" t="s">
        <v>13</v>
      </c>
      <c r="E1572" s="3" t="s">
        <v>20</v>
      </c>
      <c r="F1572" s="3" t="s">
        <v>38</v>
      </c>
      <c r="G1572" s="3" t="s">
        <v>31</v>
      </c>
      <c r="H1572">
        <v>420000</v>
      </c>
      <c r="I1572">
        <v>6</v>
      </c>
      <c r="J1572" s="3" t="s">
        <v>39</v>
      </c>
      <c r="K1572">
        <v>336000</v>
      </c>
      <c r="L1572">
        <v>2520000</v>
      </c>
      <c r="M1572">
        <v>2016000</v>
      </c>
      <c r="N1572">
        <v>504000</v>
      </c>
      <c r="O1572" s="3" t="s">
        <v>1673</v>
      </c>
      <c r="P1572" s="3" t="s">
        <v>102</v>
      </c>
      <c r="Q1572" s="3" t="s">
        <v>103</v>
      </c>
      <c r="R1572" s="3" t="s">
        <v>103</v>
      </c>
    </row>
    <row r="1573" spans="1:18">
      <c r="A1573" s="19">
        <v>47247</v>
      </c>
      <c r="B1573" s="3" t="s">
        <v>25</v>
      </c>
      <c r="C1573" s="3" t="s">
        <v>12</v>
      </c>
      <c r="D1573" s="3" t="s">
        <v>13</v>
      </c>
      <c r="E1573" s="3" t="s">
        <v>20</v>
      </c>
      <c r="F1573" s="3" t="s">
        <v>30</v>
      </c>
      <c r="G1573" s="3" t="s">
        <v>31</v>
      </c>
      <c r="H1573">
        <v>300000</v>
      </c>
      <c r="I1573">
        <v>4</v>
      </c>
      <c r="J1573" s="3" t="s">
        <v>24</v>
      </c>
      <c r="K1573">
        <v>240000</v>
      </c>
      <c r="L1573">
        <v>1200000</v>
      </c>
      <c r="M1573">
        <v>960000</v>
      </c>
      <c r="N1573">
        <v>240000</v>
      </c>
      <c r="O1573" s="3" t="s">
        <v>1674</v>
      </c>
      <c r="P1573" s="3" t="s">
        <v>102</v>
      </c>
      <c r="Q1573" s="3" t="s">
        <v>103</v>
      </c>
      <c r="R1573" s="3" t="s">
        <v>103</v>
      </c>
    </row>
    <row r="1574" spans="1:18">
      <c r="A1574" s="19">
        <v>47248</v>
      </c>
      <c r="B1574" s="3" t="s">
        <v>18</v>
      </c>
      <c r="C1574" s="3" t="s">
        <v>32</v>
      </c>
      <c r="D1574" s="3" t="s">
        <v>13</v>
      </c>
      <c r="E1574" s="3" t="s">
        <v>14</v>
      </c>
      <c r="F1574" s="3" t="s">
        <v>33</v>
      </c>
      <c r="G1574" s="3" t="s">
        <v>22</v>
      </c>
      <c r="H1574">
        <v>180000</v>
      </c>
      <c r="I1574">
        <v>1</v>
      </c>
      <c r="J1574" s="3" t="s">
        <v>39</v>
      </c>
      <c r="K1574">
        <v>144000</v>
      </c>
      <c r="L1574">
        <v>180000</v>
      </c>
      <c r="M1574">
        <v>144000</v>
      </c>
      <c r="N1574">
        <v>36000</v>
      </c>
      <c r="O1574" s="3" t="s">
        <v>1675</v>
      </c>
      <c r="P1574" s="3" t="s">
        <v>102</v>
      </c>
      <c r="Q1574" s="3" t="s">
        <v>103</v>
      </c>
      <c r="R1574" s="3" t="s">
        <v>103</v>
      </c>
    </row>
    <row r="1575" spans="1:18">
      <c r="A1575" s="19">
        <v>47249</v>
      </c>
      <c r="B1575" s="3" t="s">
        <v>29</v>
      </c>
      <c r="C1575" s="3" t="s">
        <v>32</v>
      </c>
      <c r="D1575" s="3" t="s">
        <v>23</v>
      </c>
      <c r="E1575" s="3" t="s">
        <v>14</v>
      </c>
      <c r="F1575" s="3" t="s">
        <v>38</v>
      </c>
      <c r="G1575" s="3" t="s">
        <v>31</v>
      </c>
      <c r="H1575">
        <v>420000</v>
      </c>
      <c r="I1575">
        <v>5</v>
      </c>
      <c r="J1575" s="3" t="s">
        <v>37</v>
      </c>
      <c r="K1575">
        <v>336000</v>
      </c>
      <c r="L1575">
        <v>2100000</v>
      </c>
      <c r="M1575">
        <v>1680000</v>
      </c>
      <c r="N1575">
        <v>420000</v>
      </c>
      <c r="O1575" s="3" t="s">
        <v>1676</v>
      </c>
      <c r="P1575" s="3" t="s">
        <v>102</v>
      </c>
      <c r="Q1575" s="3" t="s">
        <v>103</v>
      </c>
      <c r="R1575" s="3" t="s">
        <v>103</v>
      </c>
    </row>
    <row r="1576" spans="1:18">
      <c r="A1576" s="19">
        <v>47250</v>
      </c>
      <c r="B1576" s="3" t="s">
        <v>11</v>
      </c>
      <c r="C1576" s="3" t="s">
        <v>19</v>
      </c>
      <c r="D1576" s="3" t="s">
        <v>23</v>
      </c>
      <c r="E1576" s="3" t="s">
        <v>20</v>
      </c>
      <c r="F1576" s="3" t="s">
        <v>40</v>
      </c>
      <c r="G1576" s="3" t="s">
        <v>31</v>
      </c>
      <c r="H1576">
        <v>250000</v>
      </c>
      <c r="I1576">
        <v>7</v>
      </c>
      <c r="J1576" s="3" t="s">
        <v>39</v>
      </c>
      <c r="K1576">
        <v>200000</v>
      </c>
      <c r="L1576">
        <v>1750000</v>
      </c>
      <c r="M1576">
        <v>1400000</v>
      </c>
      <c r="N1576">
        <v>350000</v>
      </c>
      <c r="O1576" s="3" t="s">
        <v>1677</v>
      </c>
      <c r="P1576" s="3" t="s">
        <v>102</v>
      </c>
      <c r="Q1576" s="3" t="s">
        <v>103</v>
      </c>
      <c r="R1576" s="3" t="s">
        <v>103</v>
      </c>
    </row>
    <row r="1577" spans="1:18">
      <c r="A1577" s="19">
        <v>47251</v>
      </c>
      <c r="B1577" s="3" t="s">
        <v>25</v>
      </c>
      <c r="C1577" s="3" t="s">
        <v>32</v>
      </c>
      <c r="D1577" s="3" t="s">
        <v>23</v>
      </c>
      <c r="E1577" s="3" t="s">
        <v>14</v>
      </c>
      <c r="F1577" s="3" t="s">
        <v>21</v>
      </c>
      <c r="G1577" s="3" t="s">
        <v>22</v>
      </c>
      <c r="H1577">
        <v>30000</v>
      </c>
      <c r="I1577">
        <v>1</v>
      </c>
      <c r="J1577" s="3" t="s">
        <v>39</v>
      </c>
      <c r="K1577">
        <v>24000</v>
      </c>
      <c r="L1577">
        <v>30000</v>
      </c>
      <c r="M1577">
        <v>24000</v>
      </c>
      <c r="N1577">
        <v>6000</v>
      </c>
      <c r="O1577" s="3" t="s">
        <v>1678</v>
      </c>
      <c r="P1577" s="3" t="s">
        <v>102</v>
      </c>
      <c r="Q1577" s="3" t="s">
        <v>103</v>
      </c>
      <c r="R1577" s="3" t="s">
        <v>103</v>
      </c>
    </row>
    <row r="1578" spans="1:18">
      <c r="A1578" s="19">
        <v>47252</v>
      </c>
      <c r="B1578" s="3" t="s">
        <v>25</v>
      </c>
      <c r="C1578" s="3" t="s">
        <v>19</v>
      </c>
      <c r="D1578" s="3" t="s">
        <v>23</v>
      </c>
      <c r="E1578" s="3" t="s">
        <v>14</v>
      </c>
      <c r="F1578" s="3" t="s">
        <v>33</v>
      </c>
      <c r="G1578" s="3" t="s">
        <v>22</v>
      </c>
      <c r="H1578">
        <v>180000</v>
      </c>
      <c r="I1578">
        <v>9</v>
      </c>
      <c r="J1578" s="3" t="s">
        <v>35</v>
      </c>
      <c r="K1578">
        <v>144000</v>
      </c>
      <c r="L1578">
        <v>1620000</v>
      </c>
      <c r="M1578">
        <v>1296000</v>
      </c>
      <c r="N1578">
        <v>324000</v>
      </c>
      <c r="O1578" s="3" t="s">
        <v>1679</v>
      </c>
      <c r="P1578" s="3" t="s">
        <v>102</v>
      </c>
      <c r="Q1578" s="3" t="s">
        <v>103</v>
      </c>
      <c r="R1578" s="3" t="s">
        <v>103</v>
      </c>
    </row>
    <row r="1579" spans="1:18">
      <c r="A1579" s="19">
        <v>47253</v>
      </c>
      <c r="B1579" s="3" t="s">
        <v>29</v>
      </c>
      <c r="C1579" s="3" t="s">
        <v>19</v>
      </c>
      <c r="D1579" s="3" t="s">
        <v>23</v>
      </c>
      <c r="E1579" s="3" t="s">
        <v>14</v>
      </c>
      <c r="F1579" s="3" t="s">
        <v>30</v>
      </c>
      <c r="G1579" s="3" t="s">
        <v>31</v>
      </c>
      <c r="H1579">
        <v>300000</v>
      </c>
      <c r="I1579">
        <v>7</v>
      </c>
      <c r="J1579" s="3" t="s">
        <v>39</v>
      </c>
      <c r="K1579">
        <v>240000</v>
      </c>
      <c r="L1579">
        <v>2100000</v>
      </c>
      <c r="M1579">
        <v>1680000</v>
      </c>
      <c r="N1579">
        <v>420000</v>
      </c>
      <c r="O1579" s="3" t="s">
        <v>1680</v>
      </c>
      <c r="P1579" s="3" t="s">
        <v>102</v>
      </c>
      <c r="Q1579" s="3" t="s">
        <v>103</v>
      </c>
      <c r="R1579" s="3" t="s">
        <v>103</v>
      </c>
    </row>
    <row r="1580" spans="1:18">
      <c r="A1580" s="19">
        <v>47254</v>
      </c>
      <c r="B1580" s="3" t="s">
        <v>18</v>
      </c>
      <c r="C1580" s="3" t="s">
        <v>19</v>
      </c>
      <c r="D1580" s="3" t="s">
        <v>13</v>
      </c>
      <c r="E1580" s="3" t="s">
        <v>14</v>
      </c>
      <c r="F1580" s="3" t="s">
        <v>27</v>
      </c>
      <c r="G1580" s="3" t="s">
        <v>22</v>
      </c>
      <c r="H1580">
        <v>60000</v>
      </c>
      <c r="I1580">
        <v>2</v>
      </c>
      <c r="J1580" s="3" t="s">
        <v>39</v>
      </c>
      <c r="K1580">
        <v>48000</v>
      </c>
      <c r="L1580">
        <v>120000</v>
      </c>
      <c r="M1580">
        <v>96000</v>
      </c>
      <c r="N1580">
        <v>24000</v>
      </c>
      <c r="O1580" s="3" t="s">
        <v>1681</v>
      </c>
      <c r="P1580" s="3" t="s">
        <v>102</v>
      </c>
      <c r="Q1580" s="3" t="s">
        <v>103</v>
      </c>
      <c r="R1580" s="3" t="s">
        <v>103</v>
      </c>
    </row>
    <row r="1581" spans="1:18">
      <c r="A1581" s="19">
        <v>47255</v>
      </c>
      <c r="B1581" s="3" t="s">
        <v>11</v>
      </c>
      <c r="C1581" s="3" t="s">
        <v>32</v>
      </c>
      <c r="D1581" s="3" t="s">
        <v>23</v>
      </c>
      <c r="E1581" s="3" t="s">
        <v>14</v>
      </c>
      <c r="F1581" s="3" t="s">
        <v>40</v>
      </c>
      <c r="G1581" s="3" t="s">
        <v>31</v>
      </c>
      <c r="H1581">
        <v>250000</v>
      </c>
      <c r="I1581">
        <v>5</v>
      </c>
      <c r="J1581" s="3" t="s">
        <v>28</v>
      </c>
      <c r="K1581">
        <v>200000</v>
      </c>
      <c r="L1581">
        <v>1250000</v>
      </c>
      <c r="M1581">
        <v>1000000</v>
      </c>
      <c r="N1581">
        <v>250000</v>
      </c>
      <c r="O1581" s="3" t="s">
        <v>1682</v>
      </c>
      <c r="P1581" s="3" t="s">
        <v>102</v>
      </c>
      <c r="Q1581" s="3" t="s">
        <v>103</v>
      </c>
      <c r="R1581" s="3" t="s">
        <v>103</v>
      </c>
    </row>
    <row r="1582" spans="1:18">
      <c r="A1582" s="19">
        <v>47256</v>
      </c>
      <c r="B1582" s="3" t="s">
        <v>29</v>
      </c>
      <c r="C1582" s="3" t="s">
        <v>32</v>
      </c>
      <c r="D1582" s="3" t="s">
        <v>23</v>
      </c>
      <c r="E1582" s="3" t="s">
        <v>20</v>
      </c>
      <c r="F1582" s="3" t="s">
        <v>15</v>
      </c>
      <c r="G1582" s="3" t="s">
        <v>16</v>
      </c>
      <c r="H1582">
        <v>85000</v>
      </c>
      <c r="I1582">
        <v>9</v>
      </c>
      <c r="J1582" s="3" t="s">
        <v>35</v>
      </c>
      <c r="K1582">
        <v>68000</v>
      </c>
      <c r="L1582">
        <v>765000</v>
      </c>
      <c r="M1582">
        <v>612000</v>
      </c>
      <c r="N1582">
        <v>153000</v>
      </c>
      <c r="O1582" s="3" t="s">
        <v>1683</v>
      </c>
      <c r="P1582" s="3" t="s">
        <v>102</v>
      </c>
      <c r="Q1582" s="3" t="s">
        <v>103</v>
      </c>
      <c r="R1582" s="3" t="s">
        <v>103</v>
      </c>
    </row>
    <row r="1583" spans="1:18">
      <c r="A1583" s="19">
        <v>47257</v>
      </c>
      <c r="B1583" s="3" t="s">
        <v>29</v>
      </c>
      <c r="C1583" s="3" t="s">
        <v>26</v>
      </c>
      <c r="D1583" s="3" t="s">
        <v>13</v>
      </c>
      <c r="E1583" s="3" t="s">
        <v>14</v>
      </c>
      <c r="F1583" s="3" t="s">
        <v>38</v>
      </c>
      <c r="G1583" s="3" t="s">
        <v>31</v>
      </c>
      <c r="H1583">
        <v>420000</v>
      </c>
      <c r="I1583">
        <v>5</v>
      </c>
      <c r="J1583" s="3" t="s">
        <v>28</v>
      </c>
      <c r="K1583">
        <v>336000</v>
      </c>
      <c r="L1583">
        <v>2100000</v>
      </c>
      <c r="M1583">
        <v>1680000</v>
      </c>
      <c r="N1583">
        <v>420000</v>
      </c>
      <c r="O1583" s="3" t="s">
        <v>1684</v>
      </c>
      <c r="P1583" s="3" t="s">
        <v>102</v>
      </c>
      <c r="Q1583" s="3" t="s">
        <v>103</v>
      </c>
      <c r="R1583" s="3" t="s">
        <v>103</v>
      </c>
    </row>
    <row r="1584" spans="1:18">
      <c r="A1584" s="19">
        <v>47258</v>
      </c>
      <c r="B1584" s="3" t="s">
        <v>18</v>
      </c>
      <c r="C1584" s="3" t="s">
        <v>32</v>
      </c>
      <c r="D1584" s="3" t="s">
        <v>13</v>
      </c>
      <c r="E1584" s="3" t="s">
        <v>14</v>
      </c>
      <c r="F1584" s="3" t="s">
        <v>38</v>
      </c>
      <c r="G1584" s="3" t="s">
        <v>31</v>
      </c>
      <c r="H1584">
        <v>420000</v>
      </c>
      <c r="I1584">
        <v>7</v>
      </c>
      <c r="J1584" s="3" t="s">
        <v>28</v>
      </c>
      <c r="K1584">
        <v>336000</v>
      </c>
      <c r="L1584">
        <v>2940000</v>
      </c>
      <c r="M1584">
        <v>2352000</v>
      </c>
      <c r="N1584">
        <v>588000</v>
      </c>
      <c r="O1584" s="3" t="s">
        <v>1685</v>
      </c>
      <c r="P1584" s="3" t="s">
        <v>102</v>
      </c>
      <c r="Q1584" s="3" t="s">
        <v>103</v>
      </c>
      <c r="R1584" s="3" t="s">
        <v>103</v>
      </c>
    </row>
    <row r="1585" spans="1:18">
      <c r="A1585" s="19">
        <v>47259</v>
      </c>
      <c r="B1585" s="3" t="s">
        <v>29</v>
      </c>
      <c r="C1585" s="3" t="s">
        <v>12</v>
      </c>
      <c r="D1585" s="3" t="s">
        <v>13</v>
      </c>
      <c r="E1585" s="3" t="s">
        <v>20</v>
      </c>
      <c r="F1585" s="3" t="s">
        <v>34</v>
      </c>
      <c r="G1585" s="3" t="s">
        <v>16</v>
      </c>
      <c r="H1585">
        <v>320000</v>
      </c>
      <c r="I1585">
        <v>3</v>
      </c>
      <c r="J1585" s="3" t="s">
        <v>28</v>
      </c>
      <c r="K1585">
        <v>256000</v>
      </c>
      <c r="L1585">
        <v>960000</v>
      </c>
      <c r="M1585">
        <v>768000</v>
      </c>
      <c r="N1585">
        <v>192000</v>
      </c>
      <c r="O1585" s="3" t="s">
        <v>1686</v>
      </c>
      <c r="P1585" s="3" t="s">
        <v>102</v>
      </c>
      <c r="Q1585" s="3" t="s">
        <v>103</v>
      </c>
      <c r="R1585" s="3" t="s">
        <v>103</v>
      </c>
    </row>
    <row r="1586" spans="1:18">
      <c r="A1586" s="19">
        <v>47260</v>
      </c>
      <c r="B1586" s="3" t="s">
        <v>25</v>
      </c>
      <c r="C1586" s="3" t="s">
        <v>12</v>
      </c>
      <c r="D1586" s="3" t="s">
        <v>23</v>
      </c>
      <c r="E1586" s="3" t="s">
        <v>20</v>
      </c>
      <c r="F1586" s="3" t="s">
        <v>40</v>
      </c>
      <c r="G1586" s="3" t="s">
        <v>31</v>
      </c>
      <c r="H1586">
        <v>250000</v>
      </c>
      <c r="I1586">
        <v>10</v>
      </c>
      <c r="J1586" s="3" t="s">
        <v>28</v>
      </c>
      <c r="K1586">
        <v>200000</v>
      </c>
      <c r="L1586">
        <v>2500000</v>
      </c>
      <c r="M1586">
        <v>2000000</v>
      </c>
      <c r="N1586">
        <v>500000</v>
      </c>
      <c r="O1586" s="3" t="s">
        <v>1687</v>
      </c>
      <c r="P1586" s="3" t="s">
        <v>102</v>
      </c>
      <c r="Q1586" s="3" t="s">
        <v>103</v>
      </c>
      <c r="R1586" s="3" t="s">
        <v>103</v>
      </c>
    </row>
    <row r="1587" spans="1:18">
      <c r="A1587" s="19">
        <v>47261</v>
      </c>
      <c r="B1587" s="3" t="s">
        <v>18</v>
      </c>
      <c r="C1587" s="3" t="s">
        <v>26</v>
      </c>
      <c r="D1587" s="3" t="s">
        <v>13</v>
      </c>
      <c r="E1587" s="3" t="s">
        <v>14</v>
      </c>
      <c r="F1587" s="3" t="s">
        <v>36</v>
      </c>
      <c r="G1587" s="3" t="s">
        <v>31</v>
      </c>
      <c r="H1587">
        <v>150000</v>
      </c>
      <c r="I1587">
        <v>9</v>
      </c>
      <c r="J1587" s="3" t="s">
        <v>39</v>
      </c>
      <c r="K1587">
        <v>120000</v>
      </c>
      <c r="L1587">
        <v>1350000</v>
      </c>
      <c r="M1587">
        <v>1080000</v>
      </c>
      <c r="N1587">
        <v>270000</v>
      </c>
      <c r="O1587" s="3" t="s">
        <v>1688</v>
      </c>
      <c r="P1587" s="3" t="s">
        <v>102</v>
      </c>
      <c r="Q1587" s="3" t="s">
        <v>103</v>
      </c>
      <c r="R1587" s="3" t="s">
        <v>103</v>
      </c>
    </row>
    <row r="1588" spans="1:18">
      <c r="A1588" s="19">
        <v>47262</v>
      </c>
      <c r="B1588" s="3" t="s">
        <v>11</v>
      </c>
      <c r="C1588" s="3" t="s">
        <v>12</v>
      </c>
      <c r="D1588" s="3" t="s">
        <v>23</v>
      </c>
      <c r="E1588" s="3" t="s">
        <v>14</v>
      </c>
      <c r="F1588" s="3" t="s">
        <v>30</v>
      </c>
      <c r="G1588" s="3" t="s">
        <v>31</v>
      </c>
      <c r="H1588">
        <v>300000</v>
      </c>
      <c r="I1588">
        <v>10</v>
      </c>
      <c r="J1588" s="3" t="s">
        <v>17</v>
      </c>
      <c r="K1588">
        <v>240000</v>
      </c>
      <c r="L1588">
        <v>3000000</v>
      </c>
      <c r="M1588">
        <v>2400000</v>
      </c>
      <c r="N1588">
        <v>600000</v>
      </c>
      <c r="O1588" s="3" t="s">
        <v>1689</v>
      </c>
      <c r="P1588" s="3" t="s">
        <v>102</v>
      </c>
      <c r="Q1588" s="3" t="s">
        <v>103</v>
      </c>
      <c r="R1588" s="3" t="s">
        <v>103</v>
      </c>
    </row>
    <row r="1589" spans="1:18">
      <c r="A1589" s="19">
        <v>47263</v>
      </c>
      <c r="B1589" s="3" t="s">
        <v>18</v>
      </c>
      <c r="C1589" s="3" t="s">
        <v>12</v>
      </c>
      <c r="D1589" s="3" t="s">
        <v>23</v>
      </c>
      <c r="E1589" s="3" t="s">
        <v>20</v>
      </c>
      <c r="F1589" s="3" t="s">
        <v>30</v>
      </c>
      <c r="G1589" s="3" t="s">
        <v>31</v>
      </c>
      <c r="H1589">
        <v>300000</v>
      </c>
      <c r="I1589">
        <v>2</v>
      </c>
      <c r="J1589" s="3" t="s">
        <v>35</v>
      </c>
      <c r="K1589">
        <v>240000</v>
      </c>
      <c r="L1589">
        <v>600000</v>
      </c>
      <c r="M1589">
        <v>480000</v>
      </c>
      <c r="N1589">
        <v>120000</v>
      </c>
      <c r="O1589" s="3" t="s">
        <v>1690</v>
      </c>
      <c r="P1589" s="3" t="s">
        <v>102</v>
      </c>
      <c r="Q1589" s="3" t="s">
        <v>103</v>
      </c>
      <c r="R1589" s="3" t="s">
        <v>103</v>
      </c>
    </row>
    <row r="1590" spans="1:18">
      <c r="A1590" s="19">
        <v>47264</v>
      </c>
      <c r="B1590" s="3" t="s">
        <v>18</v>
      </c>
      <c r="C1590" s="3" t="s">
        <v>32</v>
      </c>
      <c r="D1590" s="3" t="s">
        <v>13</v>
      </c>
      <c r="E1590" s="3" t="s">
        <v>20</v>
      </c>
      <c r="F1590" s="3" t="s">
        <v>33</v>
      </c>
      <c r="G1590" s="3" t="s">
        <v>22</v>
      </c>
      <c r="H1590">
        <v>180000</v>
      </c>
      <c r="I1590">
        <v>2</v>
      </c>
      <c r="J1590" s="3" t="s">
        <v>35</v>
      </c>
      <c r="K1590">
        <v>144000</v>
      </c>
      <c r="L1590">
        <v>360000</v>
      </c>
      <c r="M1590">
        <v>288000</v>
      </c>
      <c r="N1590">
        <v>72000</v>
      </c>
      <c r="O1590" s="3" t="s">
        <v>1691</v>
      </c>
      <c r="P1590" s="3" t="s">
        <v>102</v>
      </c>
      <c r="Q1590" s="3" t="s">
        <v>103</v>
      </c>
      <c r="R1590" s="3" t="s">
        <v>103</v>
      </c>
    </row>
    <row r="1591" spans="1:18">
      <c r="A1591" s="19">
        <v>47265</v>
      </c>
      <c r="B1591" s="3" t="s">
        <v>11</v>
      </c>
      <c r="C1591" s="3" t="s">
        <v>32</v>
      </c>
      <c r="D1591" s="3" t="s">
        <v>23</v>
      </c>
      <c r="E1591" s="3" t="s">
        <v>20</v>
      </c>
      <c r="F1591" s="3" t="s">
        <v>34</v>
      </c>
      <c r="G1591" s="3" t="s">
        <v>16</v>
      </c>
      <c r="H1591">
        <v>320000</v>
      </c>
      <c r="I1591">
        <v>10</v>
      </c>
      <c r="J1591" s="3" t="s">
        <v>39</v>
      </c>
      <c r="K1591">
        <v>256000</v>
      </c>
      <c r="L1591">
        <v>3200000</v>
      </c>
      <c r="M1591">
        <v>2560000</v>
      </c>
      <c r="N1591">
        <v>640000</v>
      </c>
      <c r="O1591" s="3" t="s">
        <v>1692</v>
      </c>
      <c r="P1591" s="3" t="s">
        <v>102</v>
      </c>
      <c r="Q1591" s="3" t="s">
        <v>103</v>
      </c>
      <c r="R1591" s="3" t="s">
        <v>103</v>
      </c>
    </row>
    <row r="1592" spans="1:18">
      <c r="A1592" s="19">
        <v>47266</v>
      </c>
      <c r="B1592" s="3" t="s">
        <v>29</v>
      </c>
      <c r="C1592" s="3" t="s">
        <v>12</v>
      </c>
      <c r="D1592" s="3" t="s">
        <v>23</v>
      </c>
      <c r="E1592" s="3" t="s">
        <v>20</v>
      </c>
      <c r="F1592" s="3" t="s">
        <v>34</v>
      </c>
      <c r="G1592" s="3" t="s">
        <v>16</v>
      </c>
      <c r="H1592">
        <v>320000</v>
      </c>
      <c r="I1592">
        <v>1</v>
      </c>
      <c r="J1592" s="3" t="s">
        <v>37</v>
      </c>
      <c r="K1592">
        <v>256000</v>
      </c>
      <c r="L1592">
        <v>320000</v>
      </c>
      <c r="M1592">
        <v>256000</v>
      </c>
      <c r="N1592">
        <v>64000</v>
      </c>
      <c r="O1592" s="3" t="s">
        <v>1693</v>
      </c>
      <c r="P1592" s="3" t="s">
        <v>102</v>
      </c>
      <c r="Q1592" s="3" t="s">
        <v>103</v>
      </c>
      <c r="R1592" s="3" t="s">
        <v>103</v>
      </c>
    </row>
    <row r="1593" spans="1:18">
      <c r="A1593" s="19">
        <v>47267</v>
      </c>
      <c r="B1593" s="3" t="s">
        <v>29</v>
      </c>
      <c r="C1593" s="3" t="s">
        <v>32</v>
      </c>
      <c r="D1593" s="3" t="s">
        <v>13</v>
      </c>
      <c r="E1593" s="3" t="s">
        <v>20</v>
      </c>
      <c r="F1593" s="3" t="s">
        <v>36</v>
      </c>
      <c r="G1593" s="3" t="s">
        <v>31</v>
      </c>
      <c r="H1593">
        <v>150000</v>
      </c>
      <c r="I1593">
        <v>6</v>
      </c>
      <c r="J1593" s="3" t="s">
        <v>35</v>
      </c>
      <c r="K1593">
        <v>120000</v>
      </c>
      <c r="L1593">
        <v>900000</v>
      </c>
      <c r="M1593">
        <v>720000</v>
      </c>
      <c r="N1593">
        <v>180000</v>
      </c>
      <c r="O1593" s="3" t="s">
        <v>1694</v>
      </c>
      <c r="P1593" s="3" t="s">
        <v>102</v>
      </c>
      <c r="Q1593" s="3" t="s">
        <v>103</v>
      </c>
      <c r="R1593" s="3" t="s">
        <v>103</v>
      </c>
    </row>
    <row r="1594" spans="1:18">
      <c r="A1594" s="19">
        <v>47268</v>
      </c>
      <c r="B1594" s="3" t="s">
        <v>29</v>
      </c>
      <c r="C1594" s="3" t="s">
        <v>19</v>
      </c>
      <c r="D1594" s="3" t="s">
        <v>23</v>
      </c>
      <c r="E1594" s="3" t="s">
        <v>20</v>
      </c>
      <c r="F1594" s="3" t="s">
        <v>15</v>
      </c>
      <c r="G1594" s="3" t="s">
        <v>16</v>
      </c>
      <c r="H1594">
        <v>85000</v>
      </c>
      <c r="I1594">
        <v>9</v>
      </c>
      <c r="J1594" s="3" t="s">
        <v>35</v>
      </c>
      <c r="K1594">
        <v>68000</v>
      </c>
      <c r="L1594">
        <v>765000</v>
      </c>
      <c r="M1594">
        <v>612000</v>
      </c>
      <c r="N1594">
        <v>153000</v>
      </c>
      <c r="O1594" s="3" t="s">
        <v>1695</v>
      </c>
      <c r="P1594" s="3" t="s">
        <v>102</v>
      </c>
      <c r="Q1594" s="3" t="s">
        <v>103</v>
      </c>
      <c r="R1594" s="3" t="s">
        <v>103</v>
      </c>
    </row>
    <row r="1595" spans="1:18">
      <c r="A1595" s="19">
        <v>47269</v>
      </c>
      <c r="B1595" s="3" t="s">
        <v>11</v>
      </c>
      <c r="C1595" s="3" t="s">
        <v>12</v>
      </c>
      <c r="D1595" s="3" t="s">
        <v>13</v>
      </c>
      <c r="E1595" s="3" t="s">
        <v>14</v>
      </c>
      <c r="F1595" s="3" t="s">
        <v>38</v>
      </c>
      <c r="G1595" s="3" t="s">
        <v>31</v>
      </c>
      <c r="H1595">
        <v>420000</v>
      </c>
      <c r="I1595">
        <v>7</v>
      </c>
      <c r="J1595" s="3" t="s">
        <v>17</v>
      </c>
      <c r="K1595">
        <v>336000</v>
      </c>
      <c r="L1595">
        <v>2940000</v>
      </c>
      <c r="M1595">
        <v>2352000</v>
      </c>
      <c r="N1595">
        <v>588000</v>
      </c>
      <c r="O1595" s="3" t="s">
        <v>1696</v>
      </c>
      <c r="P1595" s="3" t="s">
        <v>102</v>
      </c>
      <c r="Q1595" s="3" t="s">
        <v>103</v>
      </c>
      <c r="R1595" s="3" t="s">
        <v>103</v>
      </c>
    </row>
    <row r="1596" spans="1:18">
      <c r="A1596" s="19">
        <v>47270</v>
      </c>
      <c r="B1596" s="3" t="s">
        <v>18</v>
      </c>
      <c r="C1596" s="3" t="s">
        <v>12</v>
      </c>
      <c r="D1596" s="3" t="s">
        <v>13</v>
      </c>
      <c r="E1596" s="3" t="s">
        <v>14</v>
      </c>
      <c r="F1596" s="3" t="s">
        <v>21</v>
      </c>
      <c r="G1596" s="3" t="s">
        <v>22</v>
      </c>
      <c r="H1596">
        <v>30000</v>
      </c>
      <c r="I1596">
        <v>3</v>
      </c>
      <c r="J1596" s="3" t="s">
        <v>35</v>
      </c>
      <c r="K1596">
        <v>24000</v>
      </c>
      <c r="L1596">
        <v>90000</v>
      </c>
      <c r="M1596">
        <v>72000</v>
      </c>
      <c r="N1596">
        <v>18000</v>
      </c>
      <c r="O1596" s="3" t="s">
        <v>1697</v>
      </c>
      <c r="P1596" s="3" t="s">
        <v>102</v>
      </c>
      <c r="Q1596" s="3" t="s">
        <v>103</v>
      </c>
      <c r="R1596" s="3" t="s">
        <v>103</v>
      </c>
    </row>
    <row r="1597" spans="1:18">
      <c r="A1597" s="19">
        <v>47271</v>
      </c>
      <c r="B1597" s="3" t="s">
        <v>18</v>
      </c>
      <c r="C1597" s="3" t="s">
        <v>19</v>
      </c>
      <c r="D1597" s="3" t="s">
        <v>23</v>
      </c>
      <c r="E1597" s="3" t="s">
        <v>20</v>
      </c>
      <c r="F1597" s="3" t="s">
        <v>21</v>
      </c>
      <c r="G1597" s="3" t="s">
        <v>22</v>
      </c>
      <c r="H1597">
        <v>30000</v>
      </c>
      <c r="I1597">
        <v>9</v>
      </c>
      <c r="J1597" s="3" t="s">
        <v>17</v>
      </c>
      <c r="K1597">
        <v>24000</v>
      </c>
      <c r="L1597">
        <v>270000</v>
      </c>
      <c r="M1597">
        <v>216000</v>
      </c>
      <c r="N1597">
        <v>54000</v>
      </c>
      <c r="O1597" s="3" t="s">
        <v>1698</v>
      </c>
      <c r="P1597" s="3" t="s">
        <v>102</v>
      </c>
      <c r="Q1597" s="3" t="s">
        <v>103</v>
      </c>
      <c r="R1597" s="3" t="s">
        <v>103</v>
      </c>
    </row>
    <row r="1598" spans="1:18">
      <c r="A1598" s="19">
        <v>47272</v>
      </c>
      <c r="B1598" s="3" t="s">
        <v>25</v>
      </c>
      <c r="C1598" s="3" t="s">
        <v>12</v>
      </c>
      <c r="D1598" s="3" t="s">
        <v>23</v>
      </c>
      <c r="E1598" s="3" t="s">
        <v>20</v>
      </c>
      <c r="F1598" s="3" t="s">
        <v>27</v>
      </c>
      <c r="G1598" s="3" t="s">
        <v>22</v>
      </c>
      <c r="H1598">
        <v>60000</v>
      </c>
      <c r="I1598">
        <v>1</v>
      </c>
      <c r="J1598" s="3" t="s">
        <v>37</v>
      </c>
      <c r="K1598">
        <v>48000</v>
      </c>
      <c r="L1598">
        <v>60000</v>
      </c>
      <c r="M1598">
        <v>48000</v>
      </c>
      <c r="N1598">
        <v>12000</v>
      </c>
      <c r="O1598" s="3" t="s">
        <v>1699</v>
      </c>
      <c r="P1598" s="3" t="s">
        <v>102</v>
      </c>
      <c r="Q1598" s="3" t="s">
        <v>103</v>
      </c>
      <c r="R1598" s="3" t="s">
        <v>103</v>
      </c>
    </row>
    <row r="1599" spans="1:18">
      <c r="A1599" s="19">
        <v>47273</v>
      </c>
      <c r="B1599" s="3" t="s">
        <v>29</v>
      </c>
      <c r="C1599" s="3" t="s">
        <v>12</v>
      </c>
      <c r="D1599" s="3" t="s">
        <v>23</v>
      </c>
      <c r="E1599" s="3" t="s">
        <v>14</v>
      </c>
      <c r="F1599" s="3" t="s">
        <v>40</v>
      </c>
      <c r="G1599" s="3" t="s">
        <v>31</v>
      </c>
      <c r="H1599">
        <v>250000</v>
      </c>
      <c r="I1599">
        <v>1</v>
      </c>
      <c r="J1599" s="3" t="s">
        <v>39</v>
      </c>
      <c r="K1599">
        <v>200000</v>
      </c>
      <c r="L1599">
        <v>250000</v>
      </c>
      <c r="M1599">
        <v>200000</v>
      </c>
      <c r="N1599">
        <v>50000</v>
      </c>
      <c r="O1599" s="3" t="s">
        <v>1700</v>
      </c>
      <c r="P1599" s="3" t="s">
        <v>102</v>
      </c>
      <c r="Q1599" s="3" t="s">
        <v>103</v>
      </c>
      <c r="R1599" s="3" t="s">
        <v>103</v>
      </c>
    </row>
    <row r="1600" spans="1:18">
      <c r="A1600" s="19">
        <v>47274</v>
      </c>
      <c r="B1600" s="3" t="s">
        <v>29</v>
      </c>
      <c r="C1600" s="3" t="s">
        <v>19</v>
      </c>
      <c r="D1600" s="3" t="s">
        <v>23</v>
      </c>
      <c r="E1600" s="3" t="s">
        <v>14</v>
      </c>
      <c r="F1600" s="3" t="s">
        <v>36</v>
      </c>
      <c r="G1600" s="3" t="s">
        <v>31</v>
      </c>
      <c r="H1600">
        <v>150000</v>
      </c>
      <c r="I1600">
        <v>9</v>
      </c>
      <c r="J1600" s="3" t="s">
        <v>17</v>
      </c>
      <c r="K1600">
        <v>120000</v>
      </c>
      <c r="L1600">
        <v>1350000</v>
      </c>
      <c r="M1600">
        <v>1080000</v>
      </c>
      <c r="N1600">
        <v>270000</v>
      </c>
      <c r="O1600" s="3" t="s">
        <v>1701</v>
      </c>
      <c r="P1600" s="3" t="s">
        <v>102</v>
      </c>
      <c r="Q1600" s="3" t="s">
        <v>103</v>
      </c>
      <c r="R1600" s="3" t="s">
        <v>103</v>
      </c>
    </row>
    <row r="1601" spans="1:18">
      <c r="A1601" s="19">
        <v>47275</v>
      </c>
      <c r="B1601" s="3" t="s">
        <v>11</v>
      </c>
      <c r="C1601" s="3" t="s">
        <v>26</v>
      </c>
      <c r="D1601" s="3" t="s">
        <v>23</v>
      </c>
      <c r="E1601" s="3" t="s">
        <v>14</v>
      </c>
      <c r="F1601" s="3" t="s">
        <v>36</v>
      </c>
      <c r="G1601" s="3" t="s">
        <v>31</v>
      </c>
      <c r="H1601">
        <v>150000</v>
      </c>
      <c r="I1601">
        <v>8</v>
      </c>
      <c r="J1601" s="3" t="s">
        <v>24</v>
      </c>
      <c r="K1601">
        <v>120000</v>
      </c>
      <c r="L1601">
        <v>1200000</v>
      </c>
      <c r="M1601">
        <v>960000</v>
      </c>
      <c r="N1601">
        <v>240000</v>
      </c>
      <c r="O1601" s="3" t="s">
        <v>1702</v>
      </c>
      <c r="P1601" s="3" t="s">
        <v>102</v>
      </c>
      <c r="Q1601" s="3" t="s">
        <v>103</v>
      </c>
      <c r="R1601" s="3" t="s">
        <v>103</v>
      </c>
    </row>
    <row r="1602" spans="1:18">
      <c r="A1602" s="19">
        <v>47276</v>
      </c>
      <c r="B1602" s="3" t="s">
        <v>25</v>
      </c>
      <c r="C1602" s="3" t="s">
        <v>12</v>
      </c>
      <c r="D1602" s="3" t="s">
        <v>13</v>
      </c>
      <c r="E1602" s="3" t="s">
        <v>20</v>
      </c>
      <c r="F1602" s="3" t="s">
        <v>27</v>
      </c>
      <c r="G1602" s="3" t="s">
        <v>22</v>
      </c>
      <c r="H1602">
        <v>60000</v>
      </c>
      <c r="I1602">
        <v>4</v>
      </c>
      <c r="J1602" s="3" t="s">
        <v>24</v>
      </c>
      <c r="K1602">
        <v>48000</v>
      </c>
      <c r="L1602">
        <v>240000</v>
      </c>
      <c r="M1602">
        <v>192000</v>
      </c>
      <c r="N1602">
        <v>48000</v>
      </c>
      <c r="O1602" s="3" t="s">
        <v>1703</v>
      </c>
      <c r="P1602" s="3" t="s">
        <v>102</v>
      </c>
      <c r="Q1602" s="3" t="s">
        <v>103</v>
      </c>
      <c r="R1602" s="3" t="s">
        <v>103</v>
      </c>
    </row>
    <row r="1603" spans="1:18">
      <c r="A1603" s="19">
        <v>47277</v>
      </c>
      <c r="B1603" s="3" t="s">
        <v>11</v>
      </c>
      <c r="C1603" s="3" t="s">
        <v>32</v>
      </c>
      <c r="D1603" s="3" t="s">
        <v>13</v>
      </c>
      <c r="E1603" s="3" t="s">
        <v>20</v>
      </c>
      <c r="F1603" s="3" t="s">
        <v>21</v>
      </c>
      <c r="G1603" s="3" t="s">
        <v>22</v>
      </c>
      <c r="H1603">
        <v>30000</v>
      </c>
      <c r="I1603">
        <v>3</v>
      </c>
      <c r="J1603" s="3" t="s">
        <v>35</v>
      </c>
      <c r="K1603">
        <v>24000</v>
      </c>
      <c r="L1603">
        <v>90000</v>
      </c>
      <c r="M1603">
        <v>72000</v>
      </c>
      <c r="N1603">
        <v>18000</v>
      </c>
      <c r="O1603" s="3" t="s">
        <v>1704</v>
      </c>
      <c r="P1603" s="3" t="s">
        <v>102</v>
      </c>
      <c r="Q1603" s="3" t="s">
        <v>103</v>
      </c>
      <c r="R1603" s="3" t="s">
        <v>103</v>
      </c>
    </row>
    <row r="1604" spans="1:18">
      <c r="A1604" s="19">
        <v>47278</v>
      </c>
      <c r="B1604" s="3" t="s">
        <v>11</v>
      </c>
      <c r="C1604" s="3" t="s">
        <v>12</v>
      </c>
      <c r="D1604" s="3" t="s">
        <v>13</v>
      </c>
      <c r="E1604" s="3" t="s">
        <v>20</v>
      </c>
      <c r="F1604" s="3" t="s">
        <v>34</v>
      </c>
      <c r="G1604" s="3" t="s">
        <v>16</v>
      </c>
      <c r="H1604">
        <v>320000</v>
      </c>
      <c r="I1604">
        <v>4</v>
      </c>
      <c r="J1604" s="3" t="s">
        <v>35</v>
      </c>
      <c r="K1604">
        <v>256000</v>
      </c>
      <c r="L1604">
        <v>1280000</v>
      </c>
      <c r="M1604">
        <v>1024000</v>
      </c>
      <c r="N1604">
        <v>256000</v>
      </c>
      <c r="O1604" s="3" t="s">
        <v>1705</v>
      </c>
      <c r="P1604" s="3" t="s">
        <v>102</v>
      </c>
      <c r="Q1604" s="3" t="s">
        <v>103</v>
      </c>
      <c r="R1604" s="3" t="s">
        <v>103</v>
      </c>
    </row>
    <row r="1605" spans="1:18">
      <c r="A1605" s="19">
        <v>47279</v>
      </c>
      <c r="B1605" s="3" t="s">
        <v>29</v>
      </c>
      <c r="C1605" s="3" t="s">
        <v>26</v>
      </c>
      <c r="D1605" s="3" t="s">
        <v>23</v>
      </c>
      <c r="E1605" s="3" t="s">
        <v>14</v>
      </c>
      <c r="F1605" s="3" t="s">
        <v>33</v>
      </c>
      <c r="G1605" s="3" t="s">
        <v>22</v>
      </c>
      <c r="H1605">
        <v>180000</v>
      </c>
      <c r="I1605">
        <v>8</v>
      </c>
      <c r="J1605" s="3" t="s">
        <v>28</v>
      </c>
      <c r="K1605">
        <v>144000</v>
      </c>
      <c r="L1605">
        <v>1440000</v>
      </c>
      <c r="M1605">
        <v>1152000</v>
      </c>
      <c r="N1605">
        <v>288000</v>
      </c>
      <c r="O1605" s="3" t="s">
        <v>1706</v>
      </c>
      <c r="P1605" s="3" t="s">
        <v>102</v>
      </c>
      <c r="Q1605" s="3" t="s">
        <v>103</v>
      </c>
      <c r="R1605" s="3" t="s">
        <v>103</v>
      </c>
    </row>
    <row r="1606" spans="1:18">
      <c r="A1606" s="19">
        <v>47280</v>
      </c>
      <c r="B1606" s="3" t="s">
        <v>18</v>
      </c>
      <c r="C1606" s="3" t="s">
        <v>32</v>
      </c>
      <c r="D1606" s="3" t="s">
        <v>13</v>
      </c>
      <c r="E1606" s="3" t="s">
        <v>20</v>
      </c>
      <c r="F1606" s="3" t="s">
        <v>15</v>
      </c>
      <c r="G1606" s="3" t="s">
        <v>16</v>
      </c>
      <c r="H1606">
        <v>85000</v>
      </c>
      <c r="I1606">
        <v>4</v>
      </c>
      <c r="J1606" s="3" t="s">
        <v>24</v>
      </c>
      <c r="K1606">
        <v>68000</v>
      </c>
      <c r="L1606">
        <v>340000</v>
      </c>
      <c r="M1606">
        <v>272000</v>
      </c>
      <c r="N1606">
        <v>68000</v>
      </c>
      <c r="O1606" s="3" t="s">
        <v>1707</v>
      </c>
      <c r="P1606" s="3" t="s">
        <v>102</v>
      </c>
      <c r="Q1606" s="3" t="s">
        <v>103</v>
      </c>
      <c r="R1606" s="3" t="s">
        <v>103</v>
      </c>
    </row>
    <row r="1607" spans="1:18">
      <c r="A1607" s="19">
        <v>47281</v>
      </c>
      <c r="B1607" s="3" t="s">
        <v>29</v>
      </c>
      <c r="C1607" s="3" t="s">
        <v>19</v>
      </c>
      <c r="D1607" s="3" t="s">
        <v>23</v>
      </c>
      <c r="E1607" s="3" t="s">
        <v>20</v>
      </c>
      <c r="F1607" s="3" t="s">
        <v>41</v>
      </c>
      <c r="G1607" s="3" t="s">
        <v>22</v>
      </c>
      <c r="H1607">
        <v>220000</v>
      </c>
      <c r="I1607">
        <v>10</v>
      </c>
      <c r="J1607" s="3" t="s">
        <v>17</v>
      </c>
      <c r="K1607">
        <v>176000</v>
      </c>
      <c r="L1607">
        <v>2200000</v>
      </c>
      <c r="M1607">
        <v>1760000</v>
      </c>
      <c r="N1607">
        <v>440000</v>
      </c>
      <c r="O1607" s="3" t="s">
        <v>1708</v>
      </c>
      <c r="P1607" s="3" t="s">
        <v>102</v>
      </c>
      <c r="Q1607" s="3" t="s">
        <v>103</v>
      </c>
      <c r="R1607" s="3" t="s">
        <v>103</v>
      </c>
    </row>
    <row r="1608" spans="1:18">
      <c r="A1608" s="19">
        <v>47282</v>
      </c>
      <c r="B1608" s="3" t="s">
        <v>25</v>
      </c>
      <c r="C1608" s="3" t="s">
        <v>12</v>
      </c>
      <c r="D1608" s="3" t="s">
        <v>23</v>
      </c>
      <c r="E1608" s="3" t="s">
        <v>20</v>
      </c>
      <c r="F1608" s="3" t="s">
        <v>15</v>
      </c>
      <c r="G1608" s="3" t="s">
        <v>16</v>
      </c>
      <c r="H1608">
        <v>85000</v>
      </c>
      <c r="I1608">
        <v>5</v>
      </c>
      <c r="J1608" s="3" t="s">
        <v>35</v>
      </c>
      <c r="K1608">
        <v>68000</v>
      </c>
      <c r="L1608">
        <v>425000</v>
      </c>
      <c r="M1608">
        <v>340000</v>
      </c>
      <c r="N1608">
        <v>85000</v>
      </c>
      <c r="O1608" s="3" t="s">
        <v>1709</v>
      </c>
      <c r="P1608" s="3" t="s">
        <v>102</v>
      </c>
      <c r="Q1608" s="3" t="s">
        <v>103</v>
      </c>
      <c r="R1608" s="3" t="s">
        <v>103</v>
      </c>
    </row>
    <row r="1609" spans="1:18">
      <c r="A1609" s="19">
        <v>47283</v>
      </c>
      <c r="B1609" s="3" t="s">
        <v>11</v>
      </c>
      <c r="C1609" s="3" t="s">
        <v>19</v>
      </c>
      <c r="D1609" s="3" t="s">
        <v>13</v>
      </c>
      <c r="E1609" s="3" t="s">
        <v>20</v>
      </c>
      <c r="F1609" s="3" t="s">
        <v>30</v>
      </c>
      <c r="G1609" s="3" t="s">
        <v>31</v>
      </c>
      <c r="H1609">
        <v>300000</v>
      </c>
      <c r="I1609">
        <v>2</v>
      </c>
      <c r="J1609" s="3" t="s">
        <v>37</v>
      </c>
      <c r="K1609">
        <v>240000</v>
      </c>
      <c r="L1609">
        <v>600000</v>
      </c>
      <c r="M1609">
        <v>480000</v>
      </c>
      <c r="N1609">
        <v>120000</v>
      </c>
      <c r="O1609" s="3" t="s">
        <v>1710</v>
      </c>
      <c r="P1609" s="3" t="s">
        <v>102</v>
      </c>
      <c r="Q1609" s="3" t="s">
        <v>103</v>
      </c>
      <c r="R1609" s="3" t="s">
        <v>103</v>
      </c>
    </row>
    <row r="1610" spans="1:18">
      <c r="A1610" s="19">
        <v>47284</v>
      </c>
      <c r="B1610" s="3" t="s">
        <v>18</v>
      </c>
      <c r="C1610" s="3" t="s">
        <v>32</v>
      </c>
      <c r="D1610" s="3" t="s">
        <v>23</v>
      </c>
      <c r="E1610" s="3" t="s">
        <v>14</v>
      </c>
      <c r="F1610" s="3" t="s">
        <v>33</v>
      </c>
      <c r="G1610" s="3" t="s">
        <v>22</v>
      </c>
      <c r="H1610">
        <v>180000</v>
      </c>
      <c r="I1610">
        <v>1</v>
      </c>
      <c r="J1610" s="3" t="s">
        <v>35</v>
      </c>
      <c r="K1610">
        <v>144000</v>
      </c>
      <c r="L1610">
        <v>180000</v>
      </c>
      <c r="M1610">
        <v>144000</v>
      </c>
      <c r="N1610">
        <v>36000</v>
      </c>
      <c r="O1610" s="3" t="s">
        <v>1711</v>
      </c>
      <c r="P1610" s="3" t="s">
        <v>102</v>
      </c>
      <c r="Q1610" s="3" t="s">
        <v>103</v>
      </c>
      <c r="R1610" s="3" t="s">
        <v>103</v>
      </c>
    </row>
    <row r="1611" spans="1:18">
      <c r="A1611" s="19">
        <v>47285</v>
      </c>
      <c r="B1611" s="3" t="s">
        <v>25</v>
      </c>
      <c r="C1611" s="3" t="s">
        <v>32</v>
      </c>
      <c r="D1611" s="3" t="s">
        <v>13</v>
      </c>
      <c r="E1611" s="3" t="s">
        <v>14</v>
      </c>
      <c r="F1611" s="3" t="s">
        <v>36</v>
      </c>
      <c r="G1611" s="3" t="s">
        <v>31</v>
      </c>
      <c r="H1611">
        <v>150000</v>
      </c>
      <c r="I1611">
        <v>3</v>
      </c>
      <c r="J1611" s="3" t="s">
        <v>35</v>
      </c>
      <c r="K1611">
        <v>120000</v>
      </c>
      <c r="L1611">
        <v>450000</v>
      </c>
      <c r="M1611">
        <v>360000</v>
      </c>
      <c r="N1611">
        <v>90000</v>
      </c>
      <c r="O1611" s="3" t="s">
        <v>1712</v>
      </c>
      <c r="P1611" s="3" t="s">
        <v>102</v>
      </c>
      <c r="Q1611" s="3" t="s">
        <v>103</v>
      </c>
      <c r="R1611" s="3" t="s">
        <v>103</v>
      </c>
    </row>
    <row r="1612" spans="1:18">
      <c r="A1612" s="19">
        <v>47286</v>
      </c>
      <c r="B1612" s="3" t="s">
        <v>25</v>
      </c>
      <c r="C1612" s="3" t="s">
        <v>26</v>
      </c>
      <c r="D1612" s="3" t="s">
        <v>23</v>
      </c>
      <c r="E1612" s="3" t="s">
        <v>20</v>
      </c>
      <c r="F1612" s="3" t="s">
        <v>33</v>
      </c>
      <c r="G1612" s="3" t="s">
        <v>22</v>
      </c>
      <c r="H1612">
        <v>180000</v>
      </c>
      <c r="I1612">
        <v>3</v>
      </c>
      <c r="J1612" s="3" t="s">
        <v>28</v>
      </c>
      <c r="K1612">
        <v>144000</v>
      </c>
      <c r="L1612">
        <v>540000</v>
      </c>
      <c r="M1612">
        <v>432000</v>
      </c>
      <c r="N1612">
        <v>108000</v>
      </c>
      <c r="O1612" s="3" t="s">
        <v>1713</v>
      </c>
      <c r="P1612" s="3" t="s">
        <v>102</v>
      </c>
      <c r="Q1612" s="3" t="s">
        <v>103</v>
      </c>
      <c r="R1612" s="3" t="s">
        <v>103</v>
      </c>
    </row>
    <row r="1613" spans="1:18">
      <c r="A1613" s="19">
        <v>47287</v>
      </c>
      <c r="B1613" s="3" t="s">
        <v>29</v>
      </c>
      <c r="C1613" s="3" t="s">
        <v>26</v>
      </c>
      <c r="D1613" s="3" t="s">
        <v>13</v>
      </c>
      <c r="E1613" s="3" t="s">
        <v>14</v>
      </c>
      <c r="F1613" s="3" t="s">
        <v>36</v>
      </c>
      <c r="G1613" s="3" t="s">
        <v>31</v>
      </c>
      <c r="H1613">
        <v>150000</v>
      </c>
      <c r="I1613">
        <v>5</v>
      </c>
      <c r="J1613" s="3" t="s">
        <v>24</v>
      </c>
      <c r="K1613">
        <v>120000</v>
      </c>
      <c r="L1613">
        <v>750000</v>
      </c>
      <c r="M1613">
        <v>600000</v>
      </c>
      <c r="N1613">
        <v>150000</v>
      </c>
      <c r="O1613" s="3" t="s">
        <v>1714</v>
      </c>
      <c r="P1613" s="3" t="s">
        <v>102</v>
      </c>
      <c r="Q1613" s="3" t="s">
        <v>103</v>
      </c>
      <c r="R1613" s="3" t="s">
        <v>103</v>
      </c>
    </row>
    <row r="1614" spans="1:18">
      <c r="A1614" s="19">
        <v>47288</v>
      </c>
      <c r="B1614" s="3" t="s">
        <v>18</v>
      </c>
      <c r="C1614" s="3" t="s">
        <v>32</v>
      </c>
      <c r="D1614" s="3" t="s">
        <v>23</v>
      </c>
      <c r="E1614" s="3" t="s">
        <v>14</v>
      </c>
      <c r="F1614" s="3" t="s">
        <v>27</v>
      </c>
      <c r="G1614" s="3" t="s">
        <v>22</v>
      </c>
      <c r="H1614">
        <v>60000</v>
      </c>
      <c r="I1614">
        <v>8</v>
      </c>
      <c r="J1614" s="3" t="s">
        <v>24</v>
      </c>
      <c r="K1614">
        <v>48000</v>
      </c>
      <c r="L1614">
        <v>480000</v>
      </c>
      <c r="M1614">
        <v>384000</v>
      </c>
      <c r="N1614">
        <v>96000</v>
      </c>
      <c r="O1614" s="3" t="s">
        <v>1715</v>
      </c>
      <c r="P1614" s="3" t="s">
        <v>102</v>
      </c>
      <c r="Q1614" s="3" t="s">
        <v>103</v>
      </c>
      <c r="R1614" s="3" t="s">
        <v>103</v>
      </c>
    </row>
    <row r="1615" spans="1:18">
      <c r="A1615" s="19">
        <v>47289</v>
      </c>
      <c r="B1615" s="3" t="s">
        <v>18</v>
      </c>
      <c r="C1615" s="3" t="s">
        <v>12</v>
      </c>
      <c r="D1615" s="3" t="s">
        <v>13</v>
      </c>
      <c r="E1615" s="3" t="s">
        <v>20</v>
      </c>
      <c r="F1615" s="3" t="s">
        <v>40</v>
      </c>
      <c r="G1615" s="3" t="s">
        <v>31</v>
      </c>
      <c r="H1615">
        <v>250000</v>
      </c>
      <c r="I1615">
        <v>5</v>
      </c>
      <c r="J1615" s="3" t="s">
        <v>24</v>
      </c>
      <c r="K1615">
        <v>200000</v>
      </c>
      <c r="L1615">
        <v>1250000</v>
      </c>
      <c r="M1615">
        <v>1000000</v>
      </c>
      <c r="N1615">
        <v>250000</v>
      </c>
      <c r="O1615" s="3" t="s">
        <v>1716</v>
      </c>
      <c r="P1615" s="3" t="s">
        <v>102</v>
      </c>
      <c r="Q1615" s="3" t="s">
        <v>103</v>
      </c>
      <c r="R1615" s="3" t="s">
        <v>103</v>
      </c>
    </row>
    <row r="1616" spans="1:18">
      <c r="A1616" s="19">
        <v>47290</v>
      </c>
      <c r="B1616" s="3" t="s">
        <v>18</v>
      </c>
      <c r="C1616" s="3" t="s">
        <v>26</v>
      </c>
      <c r="D1616" s="3" t="s">
        <v>13</v>
      </c>
      <c r="E1616" s="3" t="s">
        <v>14</v>
      </c>
      <c r="F1616" s="3" t="s">
        <v>33</v>
      </c>
      <c r="G1616" s="3" t="s">
        <v>22</v>
      </c>
      <c r="H1616">
        <v>180000</v>
      </c>
      <c r="I1616">
        <v>3</v>
      </c>
      <c r="J1616" s="3" t="s">
        <v>17</v>
      </c>
      <c r="K1616">
        <v>144000</v>
      </c>
      <c r="L1616">
        <v>540000</v>
      </c>
      <c r="M1616">
        <v>432000</v>
      </c>
      <c r="N1616">
        <v>108000</v>
      </c>
      <c r="O1616" s="3" t="s">
        <v>1717</v>
      </c>
      <c r="P1616" s="3" t="s">
        <v>102</v>
      </c>
      <c r="Q1616" s="3" t="s">
        <v>103</v>
      </c>
      <c r="R1616" s="3" t="s">
        <v>103</v>
      </c>
    </row>
    <row r="1617" spans="1:18">
      <c r="A1617" s="19">
        <v>47291</v>
      </c>
      <c r="B1617" s="3" t="s">
        <v>29</v>
      </c>
      <c r="C1617" s="3" t="s">
        <v>12</v>
      </c>
      <c r="D1617" s="3" t="s">
        <v>23</v>
      </c>
      <c r="E1617" s="3" t="s">
        <v>14</v>
      </c>
      <c r="F1617" s="3" t="s">
        <v>34</v>
      </c>
      <c r="G1617" s="3" t="s">
        <v>16</v>
      </c>
      <c r="H1617">
        <v>320000</v>
      </c>
      <c r="I1617">
        <v>9</v>
      </c>
      <c r="J1617" s="3" t="s">
        <v>17</v>
      </c>
      <c r="K1617">
        <v>256000</v>
      </c>
      <c r="L1617">
        <v>2880000</v>
      </c>
      <c r="M1617">
        <v>2304000</v>
      </c>
      <c r="N1617">
        <v>576000</v>
      </c>
      <c r="O1617" s="3" t="s">
        <v>1718</v>
      </c>
      <c r="P1617" s="3" t="s">
        <v>102</v>
      </c>
      <c r="Q1617" s="3" t="s">
        <v>103</v>
      </c>
      <c r="R1617" s="3" t="s">
        <v>103</v>
      </c>
    </row>
    <row r="1618" spans="1:18">
      <c r="A1618" s="19">
        <v>47292</v>
      </c>
      <c r="B1618" s="3" t="s">
        <v>11</v>
      </c>
      <c r="C1618" s="3" t="s">
        <v>12</v>
      </c>
      <c r="D1618" s="3" t="s">
        <v>23</v>
      </c>
      <c r="E1618" s="3" t="s">
        <v>20</v>
      </c>
      <c r="F1618" s="3" t="s">
        <v>15</v>
      </c>
      <c r="G1618" s="3" t="s">
        <v>16</v>
      </c>
      <c r="H1618">
        <v>85000</v>
      </c>
      <c r="I1618">
        <v>5</v>
      </c>
      <c r="J1618" s="3" t="s">
        <v>28</v>
      </c>
      <c r="K1618">
        <v>68000</v>
      </c>
      <c r="L1618">
        <v>425000</v>
      </c>
      <c r="M1618">
        <v>340000</v>
      </c>
      <c r="N1618">
        <v>85000</v>
      </c>
      <c r="O1618" s="3" t="s">
        <v>1719</v>
      </c>
      <c r="P1618" s="3" t="s">
        <v>102</v>
      </c>
      <c r="Q1618" s="3" t="s">
        <v>103</v>
      </c>
      <c r="R1618" s="3" t="s">
        <v>103</v>
      </c>
    </row>
    <row r="1619" spans="1:18">
      <c r="A1619" s="19">
        <v>47293</v>
      </c>
      <c r="B1619" s="3" t="s">
        <v>25</v>
      </c>
      <c r="C1619" s="3" t="s">
        <v>19</v>
      </c>
      <c r="D1619" s="3" t="s">
        <v>13</v>
      </c>
      <c r="E1619" s="3" t="s">
        <v>14</v>
      </c>
      <c r="F1619" s="3" t="s">
        <v>41</v>
      </c>
      <c r="G1619" s="3" t="s">
        <v>22</v>
      </c>
      <c r="H1619">
        <v>220000</v>
      </c>
      <c r="I1619">
        <v>1</v>
      </c>
      <c r="J1619" s="3" t="s">
        <v>37</v>
      </c>
      <c r="K1619">
        <v>176000</v>
      </c>
      <c r="L1619">
        <v>220000</v>
      </c>
      <c r="M1619">
        <v>176000</v>
      </c>
      <c r="N1619">
        <v>44000</v>
      </c>
      <c r="O1619" s="3" t="s">
        <v>1720</v>
      </c>
      <c r="P1619" s="3" t="s">
        <v>102</v>
      </c>
      <c r="Q1619" s="3" t="s">
        <v>103</v>
      </c>
      <c r="R1619" s="3" t="s">
        <v>103</v>
      </c>
    </row>
    <row r="1620" spans="1:18">
      <c r="A1620" s="19">
        <v>47294</v>
      </c>
      <c r="B1620" s="3" t="s">
        <v>18</v>
      </c>
      <c r="C1620" s="3" t="s">
        <v>19</v>
      </c>
      <c r="D1620" s="3" t="s">
        <v>13</v>
      </c>
      <c r="E1620" s="3" t="s">
        <v>20</v>
      </c>
      <c r="F1620" s="3" t="s">
        <v>33</v>
      </c>
      <c r="G1620" s="3" t="s">
        <v>22</v>
      </c>
      <c r="H1620">
        <v>180000</v>
      </c>
      <c r="I1620">
        <v>2</v>
      </c>
      <c r="J1620" s="3" t="s">
        <v>28</v>
      </c>
      <c r="K1620">
        <v>144000</v>
      </c>
      <c r="L1620">
        <v>360000</v>
      </c>
      <c r="M1620">
        <v>288000</v>
      </c>
      <c r="N1620">
        <v>72000</v>
      </c>
      <c r="O1620" s="3" t="s">
        <v>1721</v>
      </c>
      <c r="P1620" s="3" t="s">
        <v>102</v>
      </c>
      <c r="Q1620" s="3" t="s">
        <v>103</v>
      </c>
      <c r="R1620" s="3" t="s">
        <v>103</v>
      </c>
    </row>
    <row r="1621" spans="1:18">
      <c r="A1621" s="19">
        <v>47295</v>
      </c>
      <c r="B1621" s="3" t="s">
        <v>18</v>
      </c>
      <c r="C1621" s="3" t="s">
        <v>19</v>
      </c>
      <c r="D1621" s="3" t="s">
        <v>23</v>
      </c>
      <c r="E1621" s="3" t="s">
        <v>20</v>
      </c>
      <c r="F1621" s="3" t="s">
        <v>36</v>
      </c>
      <c r="G1621" s="3" t="s">
        <v>31</v>
      </c>
      <c r="H1621">
        <v>150000</v>
      </c>
      <c r="I1621">
        <v>1</v>
      </c>
      <c r="J1621" s="3" t="s">
        <v>35</v>
      </c>
      <c r="K1621">
        <v>120000</v>
      </c>
      <c r="L1621">
        <v>150000</v>
      </c>
      <c r="M1621">
        <v>120000</v>
      </c>
      <c r="N1621">
        <v>30000</v>
      </c>
      <c r="O1621" s="3" t="s">
        <v>1722</v>
      </c>
      <c r="P1621" s="3" t="s">
        <v>102</v>
      </c>
      <c r="Q1621" s="3" t="s">
        <v>103</v>
      </c>
      <c r="R1621" s="3" t="s">
        <v>103</v>
      </c>
    </row>
    <row r="1622" spans="1:18">
      <c r="A1622" s="19">
        <v>47296</v>
      </c>
      <c r="B1622" s="3" t="s">
        <v>11</v>
      </c>
      <c r="C1622" s="3" t="s">
        <v>26</v>
      </c>
      <c r="D1622" s="3" t="s">
        <v>13</v>
      </c>
      <c r="E1622" s="3" t="s">
        <v>20</v>
      </c>
      <c r="F1622" s="3" t="s">
        <v>33</v>
      </c>
      <c r="G1622" s="3" t="s">
        <v>22</v>
      </c>
      <c r="H1622">
        <v>180000</v>
      </c>
      <c r="I1622">
        <v>2</v>
      </c>
      <c r="J1622" s="3" t="s">
        <v>24</v>
      </c>
      <c r="K1622">
        <v>144000</v>
      </c>
      <c r="L1622">
        <v>360000</v>
      </c>
      <c r="M1622">
        <v>288000</v>
      </c>
      <c r="N1622">
        <v>72000</v>
      </c>
      <c r="O1622" s="3" t="s">
        <v>1723</v>
      </c>
      <c r="P1622" s="3" t="s">
        <v>102</v>
      </c>
      <c r="Q1622" s="3" t="s">
        <v>103</v>
      </c>
      <c r="R1622" s="3" t="s">
        <v>103</v>
      </c>
    </row>
    <row r="1623" spans="1:18">
      <c r="A1623" s="19">
        <v>47297</v>
      </c>
      <c r="B1623" s="3" t="s">
        <v>29</v>
      </c>
      <c r="C1623" s="3" t="s">
        <v>32</v>
      </c>
      <c r="D1623" s="3" t="s">
        <v>23</v>
      </c>
      <c r="E1623" s="3" t="s">
        <v>14</v>
      </c>
      <c r="F1623" s="3" t="s">
        <v>34</v>
      </c>
      <c r="G1623" s="3" t="s">
        <v>16</v>
      </c>
      <c r="H1623">
        <v>320000</v>
      </c>
      <c r="I1623">
        <v>4</v>
      </c>
      <c r="J1623" s="3" t="s">
        <v>39</v>
      </c>
      <c r="K1623">
        <v>256000</v>
      </c>
      <c r="L1623">
        <v>1280000</v>
      </c>
      <c r="M1623">
        <v>1024000</v>
      </c>
      <c r="N1623">
        <v>256000</v>
      </c>
      <c r="O1623" s="3" t="s">
        <v>1724</v>
      </c>
      <c r="P1623" s="3" t="s">
        <v>102</v>
      </c>
      <c r="Q1623" s="3" t="s">
        <v>103</v>
      </c>
      <c r="R1623" s="3" t="s">
        <v>103</v>
      </c>
    </row>
    <row r="1624" spans="1:18">
      <c r="A1624" s="19">
        <v>47298</v>
      </c>
      <c r="B1624" s="3" t="s">
        <v>29</v>
      </c>
      <c r="C1624" s="3" t="s">
        <v>32</v>
      </c>
      <c r="D1624" s="3" t="s">
        <v>13</v>
      </c>
      <c r="E1624" s="3" t="s">
        <v>20</v>
      </c>
      <c r="F1624" s="3" t="s">
        <v>36</v>
      </c>
      <c r="G1624" s="3" t="s">
        <v>31</v>
      </c>
      <c r="H1624">
        <v>150000</v>
      </c>
      <c r="I1624">
        <v>10</v>
      </c>
      <c r="J1624" s="3" t="s">
        <v>17</v>
      </c>
      <c r="K1624">
        <v>120000</v>
      </c>
      <c r="L1624">
        <v>1500000</v>
      </c>
      <c r="M1624">
        <v>1200000</v>
      </c>
      <c r="N1624">
        <v>300000</v>
      </c>
      <c r="O1624" s="3" t="s">
        <v>1725</v>
      </c>
      <c r="P1624" s="3" t="s">
        <v>102</v>
      </c>
      <c r="Q1624" s="3" t="s">
        <v>103</v>
      </c>
      <c r="R1624" s="3" t="s">
        <v>103</v>
      </c>
    </row>
    <row r="1625" spans="1:18">
      <c r="A1625" s="19">
        <v>47299</v>
      </c>
      <c r="B1625" s="3" t="s">
        <v>25</v>
      </c>
      <c r="C1625" s="3" t="s">
        <v>26</v>
      </c>
      <c r="D1625" s="3" t="s">
        <v>23</v>
      </c>
      <c r="E1625" s="3" t="s">
        <v>20</v>
      </c>
      <c r="F1625" s="3" t="s">
        <v>21</v>
      </c>
      <c r="G1625" s="3" t="s">
        <v>22</v>
      </c>
      <c r="H1625">
        <v>30000</v>
      </c>
      <c r="I1625">
        <v>3</v>
      </c>
      <c r="J1625" s="3" t="s">
        <v>35</v>
      </c>
      <c r="K1625">
        <v>24000</v>
      </c>
      <c r="L1625">
        <v>90000</v>
      </c>
      <c r="M1625">
        <v>72000</v>
      </c>
      <c r="N1625">
        <v>18000</v>
      </c>
      <c r="O1625" s="3" t="s">
        <v>1726</v>
      </c>
      <c r="P1625" s="3" t="s">
        <v>102</v>
      </c>
      <c r="Q1625" s="3" t="s">
        <v>103</v>
      </c>
      <c r="R1625" s="3" t="s">
        <v>103</v>
      </c>
    </row>
    <row r="1626" spans="1:18">
      <c r="A1626" s="19">
        <v>47300</v>
      </c>
      <c r="B1626" s="3" t="s">
        <v>25</v>
      </c>
      <c r="C1626" s="3" t="s">
        <v>26</v>
      </c>
      <c r="D1626" s="3" t="s">
        <v>13</v>
      </c>
      <c r="E1626" s="3" t="s">
        <v>20</v>
      </c>
      <c r="F1626" s="3" t="s">
        <v>15</v>
      </c>
      <c r="G1626" s="3" t="s">
        <v>16</v>
      </c>
      <c r="H1626">
        <v>85000</v>
      </c>
      <c r="I1626">
        <v>4</v>
      </c>
      <c r="J1626" s="3" t="s">
        <v>35</v>
      </c>
      <c r="K1626">
        <v>68000</v>
      </c>
      <c r="L1626">
        <v>340000</v>
      </c>
      <c r="M1626">
        <v>272000</v>
      </c>
      <c r="N1626">
        <v>68000</v>
      </c>
      <c r="O1626" s="3" t="s">
        <v>1727</v>
      </c>
      <c r="P1626" s="3" t="s">
        <v>102</v>
      </c>
      <c r="Q1626" s="3" t="s">
        <v>103</v>
      </c>
      <c r="R1626" s="3" t="s">
        <v>103</v>
      </c>
    </row>
    <row r="1627" spans="1:18">
      <c r="A1627" s="19">
        <v>47301</v>
      </c>
      <c r="B1627" s="3" t="s">
        <v>11</v>
      </c>
      <c r="C1627" s="3" t="s">
        <v>32</v>
      </c>
      <c r="D1627" s="3" t="s">
        <v>13</v>
      </c>
      <c r="E1627" s="3" t="s">
        <v>20</v>
      </c>
      <c r="F1627" s="3" t="s">
        <v>33</v>
      </c>
      <c r="G1627" s="3" t="s">
        <v>22</v>
      </c>
      <c r="H1627">
        <v>180000</v>
      </c>
      <c r="I1627">
        <v>10</v>
      </c>
      <c r="J1627" s="3" t="s">
        <v>35</v>
      </c>
      <c r="K1627">
        <v>144000</v>
      </c>
      <c r="L1627">
        <v>1800000</v>
      </c>
      <c r="M1627">
        <v>1440000</v>
      </c>
      <c r="N1627">
        <v>360000</v>
      </c>
      <c r="O1627" s="3" t="s">
        <v>1728</v>
      </c>
      <c r="P1627" s="3" t="s">
        <v>102</v>
      </c>
      <c r="Q1627" s="3" t="s">
        <v>103</v>
      </c>
      <c r="R1627" s="3" t="s">
        <v>103</v>
      </c>
    </row>
    <row r="1628" spans="1:18">
      <c r="A1628" s="19">
        <v>47302</v>
      </c>
      <c r="B1628" s="3" t="s">
        <v>11</v>
      </c>
      <c r="C1628" s="3" t="s">
        <v>19</v>
      </c>
      <c r="D1628" s="3" t="s">
        <v>23</v>
      </c>
      <c r="E1628" s="3" t="s">
        <v>20</v>
      </c>
      <c r="F1628" s="3" t="s">
        <v>34</v>
      </c>
      <c r="G1628" s="3" t="s">
        <v>16</v>
      </c>
      <c r="H1628">
        <v>320000</v>
      </c>
      <c r="I1628">
        <v>9</v>
      </c>
      <c r="J1628" s="3" t="s">
        <v>37</v>
      </c>
      <c r="K1628">
        <v>256000</v>
      </c>
      <c r="L1628">
        <v>2880000</v>
      </c>
      <c r="M1628">
        <v>2304000</v>
      </c>
      <c r="N1628">
        <v>576000</v>
      </c>
      <c r="O1628" s="3" t="s">
        <v>1729</v>
      </c>
      <c r="P1628" s="3" t="s">
        <v>102</v>
      </c>
      <c r="Q1628" s="3" t="s">
        <v>103</v>
      </c>
      <c r="R1628" s="3" t="s">
        <v>103</v>
      </c>
    </row>
    <row r="1629" spans="1:18">
      <c r="A1629" s="19">
        <v>47303</v>
      </c>
      <c r="B1629" s="3" t="s">
        <v>25</v>
      </c>
      <c r="C1629" s="3" t="s">
        <v>19</v>
      </c>
      <c r="D1629" s="3" t="s">
        <v>23</v>
      </c>
      <c r="E1629" s="3" t="s">
        <v>14</v>
      </c>
      <c r="F1629" s="3" t="s">
        <v>36</v>
      </c>
      <c r="G1629" s="3" t="s">
        <v>31</v>
      </c>
      <c r="H1629">
        <v>150000</v>
      </c>
      <c r="I1629">
        <v>3</v>
      </c>
      <c r="J1629" s="3" t="s">
        <v>39</v>
      </c>
      <c r="K1629">
        <v>120000</v>
      </c>
      <c r="L1629">
        <v>450000</v>
      </c>
      <c r="M1629">
        <v>360000</v>
      </c>
      <c r="N1629">
        <v>90000</v>
      </c>
      <c r="O1629" s="3" t="s">
        <v>1730</v>
      </c>
      <c r="P1629" s="3" t="s">
        <v>102</v>
      </c>
      <c r="Q1629" s="3" t="s">
        <v>103</v>
      </c>
      <c r="R1629" s="3" t="s">
        <v>103</v>
      </c>
    </row>
    <row r="1630" spans="1:18">
      <c r="A1630" s="19">
        <v>47304</v>
      </c>
      <c r="B1630" s="3" t="s">
        <v>29</v>
      </c>
      <c r="C1630" s="3" t="s">
        <v>19</v>
      </c>
      <c r="D1630" s="3" t="s">
        <v>13</v>
      </c>
      <c r="E1630" s="3" t="s">
        <v>14</v>
      </c>
      <c r="F1630" s="3" t="s">
        <v>41</v>
      </c>
      <c r="G1630" s="3" t="s">
        <v>22</v>
      </c>
      <c r="H1630">
        <v>220000</v>
      </c>
      <c r="I1630">
        <v>5</v>
      </c>
      <c r="J1630" s="3" t="s">
        <v>39</v>
      </c>
      <c r="K1630">
        <v>176000</v>
      </c>
      <c r="L1630">
        <v>1100000</v>
      </c>
      <c r="M1630">
        <v>880000</v>
      </c>
      <c r="N1630">
        <v>220000</v>
      </c>
      <c r="O1630" s="3" t="s">
        <v>1731</v>
      </c>
      <c r="P1630" s="3" t="s">
        <v>102</v>
      </c>
      <c r="Q1630" s="3" t="s">
        <v>103</v>
      </c>
      <c r="R1630" s="3" t="s">
        <v>103</v>
      </c>
    </row>
    <row r="1631" spans="1:18">
      <c r="A1631" s="19">
        <v>47305</v>
      </c>
      <c r="B1631" s="3" t="s">
        <v>29</v>
      </c>
      <c r="C1631" s="3" t="s">
        <v>32</v>
      </c>
      <c r="D1631" s="3" t="s">
        <v>23</v>
      </c>
      <c r="E1631" s="3" t="s">
        <v>20</v>
      </c>
      <c r="F1631" s="3" t="s">
        <v>30</v>
      </c>
      <c r="G1631" s="3" t="s">
        <v>31</v>
      </c>
      <c r="H1631">
        <v>300000</v>
      </c>
      <c r="I1631">
        <v>2</v>
      </c>
      <c r="J1631" s="3" t="s">
        <v>17</v>
      </c>
      <c r="K1631">
        <v>240000</v>
      </c>
      <c r="L1631">
        <v>600000</v>
      </c>
      <c r="M1631">
        <v>480000</v>
      </c>
      <c r="N1631">
        <v>120000</v>
      </c>
      <c r="O1631" s="3" t="s">
        <v>1732</v>
      </c>
      <c r="P1631" s="3" t="s">
        <v>102</v>
      </c>
      <c r="Q1631" s="3" t="s">
        <v>103</v>
      </c>
      <c r="R1631" s="3" t="s">
        <v>103</v>
      </c>
    </row>
    <row r="1632" spans="1:18">
      <c r="A1632" s="19">
        <v>47306</v>
      </c>
      <c r="B1632" s="3" t="s">
        <v>18</v>
      </c>
      <c r="C1632" s="3" t="s">
        <v>12</v>
      </c>
      <c r="D1632" s="3" t="s">
        <v>23</v>
      </c>
      <c r="E1632" s="3" t="s">
        <v>14</v>
      </c>
      <c r="F1632" s="3" t="s">
        <v>30</v>
      </c>
      <c r="G1632" s="3" t="s">
        <v>31</v>
      </c>
      <c r="H1632">
        <v>300000</v>
      </c>
      <c r="I1632">
        <v>6</v>
      </c>
      <c r="J1632" s="3" t="s">
        <v>39</v>
      </c>
      <c r="K1632">
        <v>240000</v>
      </c>
      <c r="L1632">
        <v>1800000</v>
      </c>
      <c r="M1632">
        <v>1440000</v>
      </c>
      <c r="N1632">
        <v>360000</v>
      </c>
      <c r="O1632" s="3" t="s">
        <v>1733</v>
      </c>
      <c r="P1632" s="3" t="s">
        <v>102</v>
      </c>
      <c r="Q1632" s="3" t="s">
        <v>103</v>
      </c>
      <c r="R1632" s="3" t="s">
        <v>103</v>
      </c>
    </row>
    <row r="1633" spans="1:18">
      <c r="A1633" s="19">
        <v>47307</v>
      </c>
      <c r="B1633" s="3" t="s">
        <v>29</v>
      </c>
      <c r="C1633" s="3" t="s">
        <v>32</v>
      </c>
      <c r="D1633" s="3" t="s">
        <v>23</v>
      </c>
      <c r="E1633" s="3" t="s">
        <v>14</v>
      </c>
      <c r="F1633" s="3" t="s">
        <v>33</v>
      </c>
      <c r="G1633" s="3" t="s">
        <v>22</v>
      </c>
      <c r="H1633">
        <v>180000</v>
      </c>
      <c r="I1633">
        <v>7</v>
      </c>
      <c r="J1633" s="3" t="s">
        <v>39</v>
      </c>
      <c r="K1633">
        <v>144000</v>
      </c>
      <c r="L1633">
        <v>1260000</v>
      </c>
      <c r="M1633">
        <v>1008000</v>
      </c>
      <c r="N1633">
        <v>252000</v>
      </c>
      <c r="O1633" s="3" t="s">
        <v>1734</v>
      </c>
      <c r="P1633" s="3" t="s">
        <v>102</v>
      </c>
      <c r="Q1633" s="3" t="s">
        <v>103</v>
      </c>
      <c r="R1633" s="3" t="s">
        <v>103</v>
      </c>
    </row>
    <row r="1634" spans="1:18">
      <c r="A1634" s="19">
        <v>47308</v>
      </c>
      <c r="B1634" s="3" t="s">
        <v>11</v>
      </c>
      <c r="C1634" s="3" t="s">
        <v>26</v>
      </c>
      <c r="D1634" s="3" t="s">
        <v>23</v>
      </c>
      <c r="E1634" s="3" t="s">
        <v>20</v>
      </c>
      <c r="F1634" s="3" t="s">
        <v>34</v>
      </c>
      <c r="G1634" s="3" t="s">
        <v>16</v>
      </c>
      <c r="H1634">
        <v>320000</v>
      </c>
      <c r="I1634">
        <v>6</v>
      </c>
      <c r="J1634" s="3" t="s">
        <v>17</v>
      </c>
      <c r="K1634">
        <v>256000</v>
      </c>
      <c r="L1634">
        <v>1920000</v>
      </c>
      <c r="M1634">
        <v>1536000</v>
      </c>
      <c r="N1634">
        <v>384000</v>
      </c>
      <c r="O1634" s="3" t="s">
        <v>1735</v>
      </c>
      <c r="P1634" s="3" t="s">
        <v>102</v>
      </c>
      <c r="Q1634" s="3" t="s">
        <v>103</v>
      </c>
      <c r="R1634" s="3" t="s">
        <v>103</v>
      </c>
    </row>
    <row r="1635" spans="1:18">
      <c r="A1635" s="19">
        <v>47309</v>
      </c>
      <c r="B1635" s="3" t="s">
        <v>29</v>
      </c>
      <c r="C1635" s="3" t="s">
        <v>19</v>
      </c>
      <c r="D1635" s="3" t="s">
        <v>13</v>
      </c>
      <c r="E1635" s="3" t="s">
        <v>20</v>
      </c>
      <c r="F1635" s="3" t="s">
        <v>40</v>
      </c>
      <c r="G1635" s="3" t="s">
        <v>31</v>
      </c>
      <c r="H1635">
        <v>250000</v>
      </c>
      <c r="I1635">
        <v>5</v>
      </c>
      <c r="J1635" s="3" t="s">
        <v>35</v>
      </c>
      <c r="K1635">
        <v>200000</v>
      </c>
      <c r="L1635">
        <v>1250000</v>
      </c>
      <c r="M1635">
        <v>1000000</v>
      </c>
      <c r="N1635">
        <v>250000</v>
      </c>
      <c r="O1635" s="3" t="s">
        <v>1736</v>
      </c>
      <c r="P1635" s="3" t="s">
        <v>102</v>
      </c>
      <c r="Q1635" s="3" t="s">
        <v>103</v>
      </c>
      <c r="R1635" s="3" t="s">
        <v>103</v>
      </c>
    </row>
    <row r="1636" spans="1:18">
      <c r="A1636" s="19">
        <v>47310</v>
      </c>
      <c r="B1636" s="3" t="s">
        <v>11</v>
      </c>
      <c r="C1636" s="3" t="s">
        <v>19</v>
      </c>
      <c r="D1636" s="3" t="s">
        <v>13</v>
      </c>
      <c r="E1636" s="3" t="s">
        <v>14</v>
      </c>
      <c r="F1636" s="3" t="s">
        <v>30</v>
      </c>
      <c r="G1636" s="3" t="s">
        <v>31</v>
      </c>
      <c r="H1636">
        <v>300000</v>
      </c>
      <c r="I1636">
        <v>3</v>
      </c>
      <c r="J1636" s="3" t="s">
        <v>39</v>
      </c>
      <c r="K1636">
        <v>240000</v>
      </c>
      <c r="L1636">
        <v>900000</v>
      </c>
      <c r="M1636">
        <v>720000</v>
      </c>
      <c r="N1636">
        <v>180000</v>
      </c>
      <c r="O1636" s="3" t="s">
        <v>1737</v>
      </c>
      <c r="P1636" s="3" t="s">
        <v>102</v>
      </c>
      <c r="Q1636" s="3" t="s">
        <v>103</v>
      </c>
      <c r="R1636" s="3" t="s">
        <v>103</v>
      </c>
    </row>
    <row r="1637" spans="1:18">
      <c r="A1637" s="19">
        <v>47311</v>
      </c>
      <c r="B1637" s="3" t="s">
        <v>11</v>
      </c>
      <c r="C1637" s="3" t="s">
        <v>32</v>
      </c>
      <c r="D1637" s="3" t="s">
        <v>13</v>
      </c>
      <c r="E1637" s="3" t="s">
        <v>20</v>
      </c>
      <c r="F1637" s="3" t="s">
        <v>33</v>
      </c>
      <c r="G1637" s="3" t="s">
        <v>22</v>
      </c>
      <c r="H1637">
        <v>180000</v>
      </c>
      <c r="I1637">
        <v>8</v>
      </c>
      <c r="J1637" s="3" t="s">
        <v>39</v>
      </c>
      <c r="K1637">
        <v>144000</v>
      </c>
      <c r="L1637">
        <v>1440000</v>
      </c>
      <c r="M1637">
        <v>1152000</v>
      </c>
      <c r="N1637">
        <v>288000</v>
      </c>
      <c r="O1637" s="3" t="s">
        <v>1738</v>
      </c>
      <c r="P1637" s="3" t="s">
        <v>102</v>
      </c>
      <c r="Q1637" s="3" t="s">
        <v>103</v>
      </c>
      <c r="R1637" s="3" t="s">
        <v>103</v>
      </c>
    </row>
    <row r="1638" spans="1:18">
      <c r="A1638" s="19">
        <v>47312</v>
      </c>
      <c r="B1638" s="3" t="s">
        <v>18</v>
      </c>
      <c r="C1638" s="3" t="s">
        <v>32</v>
      </c>
      <c r="D1638" s="3" t="s">
        <v>13</v>
      </c>
      <c r="E1638" s="3" t="s">
        <v>20</v>
      </c>
      <c r="F1638" s="3" t="s">
        <v>34</v>
      </c>
      <c r="G1638" s="3" t="s">
        <v>16</v>
      </c>
      <c r="H1638">
        <v>320000</v>
      </c>
      <c r="I1638">
        <v>5</v>
      </c>
      <c r="J1638" s="3" t="s">
        <v>24</v>
      </c>
      <c r="K1638">
        <v>256000</v>
      </c>
      <c r="L1638">
        <v>1600000</v>
      </c>
      <c r="M1638">
        <v>1280000</v>
      </c>
      <c r="N1638">
        <v>320000</v>
      </c>
      <c r="O1638" s="3" t="s">
        <v>1739</v>
      </c>
      <c r="P1638" s="3" t="s">
        <v>102</v>
      </c>
      <c r="Q1638" s="3" t="s">
        <v>103</v>
      </c>
      <c r="R1638" s="3" t="s">
        <v>103</v>
      </c>
    </row>
    <row r="1639" spans="1:18">
      <c r="A1639" s="19">
        <v>47313</v>
      </c>
      <c r="B1639" s="3" t="s">
        <v>11</v>
      </c>
      <c r="C1639" s="3" t="s">
        <v>32</v>
      </c>
      <c r="D1639" s="3" t="s">
        <v>13</v>
      </c>
      <c r="E1639" s="3" t="s">
        <v>14</v>
      </c>
      <c r="F1639" s="3" t="s">
        <v>40</v>
      </c>
      <c r="G1639" s="3" t="s">
        <v>31</v>
      </c>
      <c r="H1639">
        <v>250000</v>
      </c>
      <c r="I1639">
        <v>7</v>
      </c>
      <c r="J1639" s="3" t="s">
        <v>24</v>
      </c>
      <c r="K1639">
        <v>200000</v>
      </c>
      <c r="L1639">
        <v>1750000</v>
      </c>
      <c r="M1639">
        <v>1400000</v>
      </c>
      <c r="N1639">
        <v>350000</v>
      </c>
      <c r="O1639" s="3" t="s">
        <v>1740</v>
      </c>
      <c r="P1639" s="3" t="s">
        <v>102</v>
      </c>
      <c r="Q1639" s="3" t="s">
        <v>103</v>
      </c>
      <c r="R1639" s="3" t="s">
        <v>103</v>
      </c>
    </row>
    <row r="1640" spans="1:18">
      <c r="A1640" s="19">
        <v>47314</v>
      </c>
      <c r="B1640" s="3" t="s">
        <v>11</v>
      </c>
      <c r="C1640" s="3" t="s">
        <v>19</v>
      </c>
      <c r="D1640" s="3" t="s">
        <v>13</v>
      </c>
      <c r="E1640" s="3" t="s">
        <v>20</v>
      </c>
      <c r="F1640" s="3" t="s">
        <v>30</v>
      </c>
      <c r="G1640" s="3" t="s">
        <v>31</v>
      </c>
      <c r="H1640">
        <v>300000</v>
      </c>
      <c r="I1640">
        <v>8</v>
      </c>
      <c r="J1640" s="3" t="s">
        <v>17</v>
      </c>
      <c r="K1640">
        <v>240000</v>
      </c>
      <c r="L1640">
        <v>2400000</v>
      </c>
      <c r="M1640">
        <v>1920000</v>
      </c>
      <c r="N1640">
        <v>480000</v>
      </c>
      <c r="O1640" s="3" t="s">
        <v>1741</v>
      </c>
      <c r="P1640" s="3" t="s">
        <v>102</v>
      </c>
      <c r="Q1640" s="3" t="s">
        <v>103</v>
      </c>
      <c r="R1640" s="3" t="s">
        <v>103</v>
      </c>
    </row>
    <row r="1641" spans="1:18">
      <c r="A1641" s="19">
        <v>47315</v>
      </c>
      <c r="B1641" s="3" t="s">
        <v>11</v>
      </c>
      <c r="C1641" s="3" t="s">
        <v>19</v>
      </c>
      <c r="D1641" s="3" t="s">
        <v>23</v>
      </c>
      <c r="E1641" s="3" t="s">
        <v>14</v>
      </c>
      <c r="F1641" s="3" t="s">
        <v>38</v>
      </c>
      <c r="G1641" s="3" t="s">
        <v>31</v>
      </c>
      <c r="H1641">
        <v>420000</v>
      </c>
      <c r="I1641">
        <v>4</v>
      </c>
      <c r="J1641" s="3" t="s">
        <v>39</v>
      </c>
      <c r="K1641">
        <v>336000</v>
      </c>
      <c r="L1641">
        <v>1680000</v>
      </c>
      <c r="M1641">
        <v>1344000</v>
      </c>
      <c r="N1641">
        <v>336000</v>
      </c>
      <c r="O1641" s="3" t="s">
        <v>1742</v>
      </c>
      <c r="P1641" s="3" t="s">
        <v>102</v>
      </c>
      <c r="Q1641" s="3" t="s">
        <v>103</v>
      </c>
      <c r="R1641" s="3" t="s">
        <v>103</v>
      </c>
    </row>
    <row r="1642" spans="1:18">
      <c r="A1642" s="19">
        <v>47316</v>
      </c>
      <c r="B1642" s="3" t="s">
        <v>11</v>
      </c>
      <c r="C1642" s="3" t="s">
        <v>12</v>
      </c>
      <c r="D1642" s="3" t="s">
        <v>23</v>
      </c>
      <c r="E1642" s="3" t="s">
        <v>20</v>
      </c>
      <c r="F1642" s="3" t="s">
        <v>40</v>
      </c>
      <c r="G1642" s="3" t="s">
        <v>31</v>
      </c>
      <c r="H1642">
        <v>250000</v>
      </c>
      <c r="I1642">
        <v>6</v>
      </c>
      <c r="J1642" s="3" t="s">
        <v>28</v>
      </c>
      <c r="K1642">
        <v>200000</v>
      </c>
      <c r="L1642">
        <v>1500000</v>
      </c>
      <c r="M1642">
        <v>1200000</v>
      </c>
      <c r="N1642">
        <v>300000</v>
      </c>
      <c r="O1642" s="3" t="s">
        <v>1743</v>
      </c>
      <c r="P1642" s="3" t="s">
        <v>102</v>
      </c>
      <c r="Q1642" s="3" t="s">
        <v>103</v>
      </c>
      <c r="R1642" s="3" t="s">
        <v>103</v>
      </c>
    </row>
    <row r="1643" spans="1:18">
      <c r="A1643" s="19">
        <v>47317</v>
      </c>
      <c r="B1643" s="3" t="s">
        <v>18</v>
      </c>
      <c r="C1643" s="3" t="s">
        <v>32</v>
      </c>
      <c r="D1643" s="3" t="s">
        <v>13</v>
      </c>
      <c r="E1643" s="3" t="s">
        <v>14</v>
      </c>
      <c r="F1643" s="3" t="s">
        <v>36</v>
      </c>
      <c r="G1643" s="3" t="s">
        <v>31</v>
      </c>
      <c r="H1643">
        <v>150000</v>
      </c>
      <c r="I1643">
        <v>3</v>
      </c>
      <c r="J1643" s="3" t="s">
        <v>28</v>
      </c>
      <c r="K1643">
        <v>120000</v>
      </c>
      <c r="L1643">
        <v>450000</v>
      </c>
      <c r="M1643">
        <v>360000</v>
      </c>
      <c r="N1643">
        <v>90000</v>
      </c>
      <c r="O1643" s="3" t="s">
        <v>1744</v>
      </c>
      <c r="P1643" s="3" t="s">
        <v>102</v>
      </c>
      <c r="Q1643" s="3" t="s">
        <v>103</v>
      </c>
      <c r="R1643" s="3" t="s">
        <v>103</v>
      </c>
    </row>
    <row r="1644" spans="1:18">
      <c r="A1644" s="19">
        <v>47318</v>
      </c>
      <c r="B1644" s="3" t="s">
        <v>29</v>
      </c>
      <c r="C1644" s="3" t="s">
        <v>12</v>
      </c>
      <c r="D1644" s="3" t="s">
        <v>23</v>
      </c>
      <c r="E1644" s="3" t="s">
        <v>20</v>
      </c>
      <c r="F1644" s="3" t="s">
        <v>30</v>
      </c>
      <c r="G1644" s="3" t="s">
        <v>31</v>
      </c>
      <c r="H1644">
        <v>300000</v>
      </c>
      <c r="I1644">
        <v>6</v>
      </c>
      <c r="J1644" s="3" t="s">
        <v>37</v>
      </c>
      <c r="K1644">
        <v>240000</v>
      </c>
      <c r="L1644">
        <v>1800000</v>
      </c>
      <c r="M1644">
        <v>1440000</v>
      </c>
      <c r="N1644">
        <v>360000</v>
      </c>
      <c r="O1644" s="3" t="s">
        <v>1745</v>
      </c>
      <c r="P1644" s="3" t="s">
        <v>102</v>
      </c>
      <c r="Q1644" s="3" t="s">
        <v>103</v>
      </c>
      <c r="R1644" s="3" t="s">
        <v>103</v>
      </c>
    </row>
    <row r="1645" spans="1:18">
      <c r="A1645" s="19">
        <v>47319</v>
      </c>
      <c r="B1645" s="3" t="s">
        <v>25</v>
      </c>
      <c r="C1645" s="3" t="s">
        <v>12</v>
      </c>
      <c r="D1645" s="3" t="s">
        <v>13</v>
      </c>
      <c r="E1645" s="3" t="s">
        <v>20</v>
      </c>
      <c r="F1645" s="3" t="s">
        <v>33</v>
      </c>
      <c r="G1645" s="3" t="s">
        <v>22</v>
      </c>
      <c r="H1645">
        <v>180000</v>
      </c>
      <c r="I1645">
        <v>2</v>
      </c>
      <c r="J1645" s="3" t="s">
        <v>28</v>
      </c>
      <c r="K1645">
        <v>144000</v>
      </c>
      <c r="L1645">
        <v>360000</v>
      </c>
      <c r="M1645">
        <v>288000</v>
      </c>
      <c r="N1645">
        <v>72000</v>
      </c>
      <c r="O1645" s="3" t="s">
        <v>1746</v>
      </c>
      <c r="P1645" s="3" t="s">
        <v>102</v>
      </c>
      <c r="Q1645" s="3" t="s">
        <v>103</v>
      </c>
      <c r="R1645" s="3" t="s">
        <v>103</v>
      </c>
    </row>
    <row r="1646" spans="1:18">
      <c r="A1646" s="19">
        <v>47320</v>
      </c>
      <c r="B1646" s="3" t="s">
        <v>18</v>
      </c>
      <c r="C1646" s="3" t="s">
        <v>19</v>
      </c>
      <c r="D1646" s="3" t="s">
        <v>23</v>
      </c>
      <c r="E1646" s="3" t="s">
        <v>20</v>
      </c>
      <c r="F1646" s="3" t="s">
        <v>36</v>
      </c>
      <c r="G1646" s="3" t="s">
        <v>31</v>
      </c>
      <c r="H1646">
        <v>150000</v>
      </c>
      <c r="I1646">
        <v>6</v>
      </c>
      <c r="J1646" s="3" t="s">
        <v>24</v>
      </c>
      <c r="K1646">
        <v>120000</v>
      </c>
      <c r="L1646">
        <v>900000</v>
      </c>
      <c r="M1646">
        <v>720000</v>
      </c>
      <c r="N1646">
        <v>180000</v>
      </c>
      <c r="O1646" s="3" t="s">
        <v>1747</v>
      </c>
      <c r="P1646" s="3" t="s">
        <v>102</v>
      </c>
      <c r="Q1646" s="3" t="s">
        <v>103</v>
      </c>
      <c r="R1646" s="3" t="s">
        <v>103</v>
      </c>
    </row>
    <row r="1647" spans="1:18">
      <c r="A1647" s="19">
        <v>47321</v>
      </c>
      <c r="B1647" s="3" t="s">
        <v>25</v>
      </c>
      <c r="C1647" s="3" t="s">
        <v>26</v>
      </c>
      <c r="D1647" s="3" t="s">
        <v>13</v>
      </c>
      <c r="E1647" s="3" t="s">
        <v>20</v>
      </c>
      <c r="F1647" s="3" t="s">
        <v>27</v>
      </c>
      <c r="G1647" s="3" t="s">
        <v>22</v>
      </c>
      <c r="H1647">
        <v>60000</v>
      </c>
      <c r="I1647">
        <v>8</v>
      </c>
      <c r="J1647" s="3" t="s">
        <v>37</v>
      </c>
      <c r="K1647">
        <v>48000</v>
      </c>
      <c r="L1647">
        <v>480000</v>
      </c>
      <c r="M1647">
        <v>384000</v>
      </c>
      <c r="N1647">
        <v>96000</v>
      </c>
      <c r="O1647" s="3" t="s">
        <v>1748</v>
      </c>
      <c r="P1647" s="3" t="s">
        <v>102</v>
      </c>
      <c r="Q1647" s="3" t="s">
        <v>103</v>
      </c>
      <c r="R1647" s="3" t="s">
        <v>103</v>
      </c>
    </row>
    <row r="1648" spans="1:18">
      <c r="A1648" s="19">
        <v>47322</v>
      </c>
      <c r="B1648" s="3" t="s">
        <v>11</v>
      </c>
      <c r="C1648" s="3" t="s">
        <v>19</v>
      </c>
      <c r="D1648" s="3" t="s">
        <v>13</v>
      </c>
      <c r="E1648" s="3" t="s">
        <v>20</v>
      </c>
      <c r="F1648" s="3" t="s">
        <v>41</v>
      </c>
      <c r="G1648" s="3" t="s">
        <v>22</v>
      </c>
      <c r="H1648">
        <v>220000</v>
      </c>
      <c r="I1648">
        <v>9</v>
      </c>
      <c r="J1648" s="3" t="s">
        <v>28</v>
      </c>
      <c r="K1648">
        <v>176000</v>
      </c>
      <c r="L1648">
        <v>1980000</v>
      </c>
      <c r="M1648">
        <v>1584000</v>
      </c>
      <c r="N1648">
        <v>396000</v>
      </c>
      <c r="O1648" s="3" t="s">
        <v>1749</v>
      </c>
      <c r="P1648" s="3" t="s">
        <v>102</v>
      </c>
      <c r="Q1648" s="3" t="s">
        <v>103</v>
      </c>
      <c r="R1648" s="3" t="s">
        <v>103</v>
      </c>
    </row>
    <row r="1649" spans="1:18">
      <c r="A1649" s="19">
        <v>47323</v>
      </c>
      <c r="B1649" s="3" t="s">
        <v>29</v>
      </c>
      <c r="C1649" s="3" t="s">
        <v>32</v>
      </c>
      <c r="D1649" s="3" t="s">
        <v>23</v>
      </c>
      <c r="E1649" s="3" t="s">
        <v>14</v>
      </c>
      <c r="F1649" s="3" t="s">
        <v>30</v>
      </c>
      <c r="G1649" s="3" t="s">
        <v>31</v>
      </c>
      <c r="H1649">
        <v>300000</v>
      </c>
      <c r="I1649">
        <v>9</v>
      </c>
      <c r="J1649" s="3" t="s">
        <v>35</v>
      </c>
      <c r="K1649">
        <v>240000</v>
      </c>
      <c r="L1649">
        <v>2700000</v>
      </c>
      <c r="M1649">
        <v>2160000</v>
      </c>
      <c r="N1649">
        <v>540000</v>
      </c>
      <c r="O1649" s="3" t="s">
        <v>1750</v>
      </c>
      <c r="P1649" s="3" t="s">
        <v>102</v>
      </c>
      <c r="Q1649" s="3" t="s">
        <v>103</v>
      </c>
      <c r="R1649" s="3" t="s">
        <v>103</v>
      </c>
    </row>
    <row r="1650" spans="1:18">
      <c r="A1650" s="19">
        <v>47324</v>
      </c>
      <c r="B1650" s="3" t="s">
        <v>11</v>
      </c>
      <c r="C1650" s="3" t="s">
        <v>32</v>
      </c>
      <c r="D1650" s="3" t="s">
        <v>13</v>
      </c>
      <c r="E1650" s="3" t="s">
        <v>14</v>
      </c>
      <c r="F1650" s="3" t="s">
        <v>38</v>
      </c>
      <c r="G1650" s="3" t="s">
        <v>31</v>
      </c>
      <c r="H1650">
        <v>420000</v>
      </c>
      <c r="I1650">
        <v>1</v>
      </c>
      <c r="J1650" s="3" t="s">
        <v>37</v>
      </c>
      <c r="K1650">
        <v>336000</v>
      </c>
      <c r="L1650">
        <v>420000</v>
      </c>
      <c r="M1650">
        <v>336000</v>
      </c>
      <c r="N1650">
        <v>84000</v>
      </c>
      <c r="O1650" s="3" t="s">
        <v>1751</v>
      </c>
      <c r="P1650" s="3" t="s">
        <v>102</v>
      </c>
      <c r="Q1650" s="3" t="s">
        <v>103</v>
      </c>
      <c r="R1650" s="3" t="s">
        <v>103</v>
      </c>
    </row>
    <row r="1651" spans="1:18">
      <c r="A1651" s="19">
        <v>47325</v>
      </c>
      <c r="B1651" s="3" t="s">
        <v>25</v>
      </c>
      <c r="C1651" s="3" t="s">
        <v>32</v>
      </c>
      <c r="D1651" s="3" t="s">
        <v>13</v>
      </c>
      <c r="E1651" s="3" t="s">
        <v>20</v>
      </c>
      <c r="F1651" s="3" t="s">
        <v>41</v>
      </c>
      <c r="G1651" s="3" t="s">
        <v>22</v>
      </c>
      <c r="H1651">
        <v>220000</v>
      </c>
      <c r="I1651">
        <v>6</v>
      </c>
      <c r="J1651" s="3" t="s">
        <v>35</v>
      </c>
      <c r="K1651">
        <v>176000</v>
      </c>
      <c r="L1651">
        <v>1320000</v>
      </c>
      <c r="M1651">
        <v>1056000</v>
      </c>
      <c r="N1651">
        <v>264000</v>
      </c>
      <c r="O1651" s="3" t="s">
        <v>1752</v>
      </c>
      <c r="P1651" s="3" t="s">
        <v>102</v>
      </c>
      <c r="Q1651" s="3" t="s">
        <v>103</v>
      </c>
      <c r="R1651" s="3" t="s">
        <v>103</v>
      </c>
    </row>
    <row r="1652" spans="1:18">
      <c r="A1652" s="19">
        <v>47326</v>
      </c>
      <c r="B1652" s="3" t="s">
        <v>11</v>
      </c>
      <c r="C1652" s="3" t="s">
        <v>19</v>
      </c>
      <c r="D1652" s="3" t="s">
        <v>13</v>
      </c>
      <c r="E1652" s="3" t="s">
        <v>20</v>
      </c>
      <c r="F1652" s="3" t="s">
        <v>21</v>
      </c>
      <c r="G1652" s="3" t="s">
        <v>22</v>
      </c>
      <c r="H1652">
        <v>30000</v>
      </c>
      <c r="I1652">
        <v>5</v>
      </c>
      <c r="J1652" s="3" t="s">
        <v>28</v>
      </c>
      <c r="K1652">
        <v>24000</v>
      </c>
      <c r="L1652">
        <v>150000</v>
      </c>
      <c r="M1652">
        <v>120000</v>
      </c>
      <c r="N1652">
        <v>30000</v>
      </c>
      <c r="O1652" s="3" t="s">
        <v>1753</v>
      </c>
      <c r="P1652" s="3" t="s">
        <v>102</v>
      </c>
      <c r="Q1652" s="3" t="s">
        <v>103</v>
      </c>
      <c r="R1652" s="3" t="s">
        <v>103</v>
      </c>
    </row>
    <row r="1653" spans="1:18">
      <c r="A1653" s="19">
        <v>47327</v>
      </c>
      <c r="B1653" s="3" t="s">
        <v>29</v>
      </c>
      <c r="C1653" s="3" t="s">
        <v>26</v>
      </c>
      <c r="D1653" s="3" t="s">
        <v>23</v>
      </c>
      <c r="E1653" s="3" t="s">
        <v>14</v>
      </c>
      <c r="F1653" s="3" t="s">
        <v>21</v>
      </c>
      <c r="G1653" s="3" t="s">
        <v>22</v>
      </c>
      <c r="H1653">
        <v>30000</v>
      </c>
      <c r="I1653">
        <v>9</v>
      </c>
      <c r="J1653" s="3" t="s">
        <v>28</v>
      </c>
      <c r="K1653">
        <v>24000</v>
      </c>
      <c r="L1653">
        <v>270000</v>
      </c>
      <c r="M1653">
        <v>216000</v>
      </c>
      <c r="N1653">
        <v>54000</v>
      </c>
      <c r="O1653" s="3" t="s">
        <v>1754</v>
      </c>
      <c r="P1653" s="3" t="s">
        <v>102</v>
      </c>
      <c r="Q1653" s="3" t="s">
        <v>103</v>
      </c>
      <c r="R1653" s="3" t="s">
        <v>103</v>
      </c>
    </row>
    <row r="1654" spans="1:18">
      <c r="A1654" s="19">
        <v>47328</v>
      </c>
      <c r="B1654" s="3" t="s">
        <v>25</v>
      </c>
      <c r="C1654" s="3" t="s">
        <v>12</v>
      </c>
      <c r="D1654" s="3" t="s">
        <v>13</v>
      </c>
      <c r="E1654" s="3" t="s">
        <v>14</v>
      </c>
      <c r="F1654" s="3" t="s">
        <v>40</v>
      </c>
      <c r="G1654" s="3" t="s">
        <v>31</v>
      </c>
      <c r="H1654">
        <v>250000</v>
      </c>
      <c r="I1654">
        <v>1</v>
      </c>
      <c r="J1654" s="3" t="s">
        <v>35</v>
      </c>
      <c r="K1654">
        <v>200000</v>
      </c>
      <c r="L1654">
        <v>250000</v>
      </c>
      <c r="M1654">
        <v>200000</v>
      </c>
      <c r="N1654">
        <v>50000</v>
      </c>
      <c r="O1654" s="3" t="s">
        <v>1755</v>
      </c>
      <c r="P1654" s="3" t="s">
        <v>102</v>
      </c>
      <c r="Q1654" s="3" t="s">
        <v>103</v>
      </c>
      <c r="R1654" s="3" t="s">
        <v>103</v>
      </c>
    </row>
    <row r="1655" spans="1:18">
      <c r="A1655" s="19">
        <v>47329</v>
      </c>
      <c r="B1655" s="3" t="s">
        <v>25</v>
      </c>
      <c r="C1655" s="3" t="s">
        <v>32</v>
      </c>
      <c r="D1655" s="3" t="s">
        <v>13</v>
      </c>
      <c r="E1655" s="3" t="s">
        <v>14</v>
      </c>
      <c r="F1655" s="3" t="s">
        <v>41</v>
      </c>
      <c r="G1655" s="3" t="s">
        <v>22</v>
      </c>
      <c r="H1655">
        <v>220000</v>
      </c>
      <c r="I1655">
        <v>8</v>
      </c>
      <c r="J1655" s="3" t="s">
        <v>24</v>
      </c>
      <c r="K1655">
        <v>176000</v>
      </c>
      <c r="L1655">
        <v>1760000</v>
      </c>
      <c r="M1655">
        <v>1408000</v>
      </c>
      <c r="N1655">
        <v>352000</v>
      </c>
      <c r="O1655" s="3" t="s">
        <v>1756</v>
      </c>
      <c r="P1655" s="3" t="s">
        <v>102</v>
      </c>
      <c r="Q1655" s="3" t="s">
        <v>103</v>
      </c>
      <c r="R1655" s="3" t="s">
        <v>103</v>
      </c>
    </row>
    <row r="1656" spans="1:18">
      <c r="A1656" s="19">
        <v>47330</v>
      </c>
      <c r="B1656" s="3" t="s">
        <v>18</v>
      </c>
      <c r="C1656" s="3" t="s">
        <v>19</v>
      </c>
      <c r="D1656" s="3" t="s">
        <v>13</v>
      </c>
      <c r="E1656" s="3" t="s">
        <v>14</v>
      </c>
      <c r="F1656" s="3" t="s">
        <v>38</v>
      </c>
      <c r="G1656" s="3" t="s">
        <v>31</v>
      </c>
      <c r="H1656">
        <v>420000</v>
      </c>
      <c r="I1656">
        <v>8</v>
      </c>
      <c r="J1656" s="3" t="s">
        <v>39</v>
      </c>
      <c r="K1656">
        <v>336000</v>
      </c>
      <c r="L1656">
        <v>3360000</v>
      </c>
      <c r="M1656">
        <v>2688000</v>
      </c>
      <c r="N1656">
        <v>672000</v>
      </c>
      <c r="O1656" s="3" t="s">
        <v>1757</v>
      </c>
      <c r="P1656" s="3" t="s">
        <v>102</v>
      </c>
      <c r="Q1656" s="3" t="s">
        <v>103</v>
      </c>
      <c r="R1656" s="3" t="s">
        <v>103</v>
      </c>
    </row>
    <row r="1657" spans="1:18">
      <c r="A1657" s="19">
        <v>47331</v>
      </c>
      <c r="B1657" s="3" t="s">
        <v>29</v>
      </c>
      <c r="C1657" s="3" t="s">
        <v>26</v>
      </c>
      <c r="D1657" s="3" t="s">
        <v>13</v>
      </c>
      <c r="E1657" s="3" t="s">
        <v>14</v>
      </c>
      <c r="F1657" s="3" t="s">
        <v>30</v>
      </c>
      <c r="G1657" s="3" t="s">
        <v>31</v>
      </c>
      <c r="H1657">
        <v>300000</v>
      </c>
      <c r="I1657">
        <v>10</v>
      </c>
      <c r="J1657" s="3" t="s">
        <v>35</v>
      </c>
      <c r="K1657">
        <v>240000</v>
      </c>
      <c r="L1657">
        <v>3000000</v>
      </c>
      <c r="M1657">
        <v>2400000</v>
      </c>
      <c r="N1657">
        <v>600000</v>
      </c>
      <c r="O1657" s="3" t="s">
        <v>1758</v>
      </c>
      <c r="P1657" s="3" t="s">
        <v>102</v>
      </c>
      <c r="Q1657" s="3" t="s">
        <v>103</v>
      </c>
      <c r="R1657" s="3" t="s">
        <v>103</v>
      </c>
    </row>
    <row r="1658" spans="1:18">
      <c r="A1658" s="19">
        <v>47332</v>
      </c>
      <c r="B1658" s="3" t="s">
        <v>29</v>
      </c>
      <c r="C1658" s="3" t="s">
        <v>32</v>
      </c>
      <c r="D1658" s="3" t="s">
        <v>13</v>
      </c>
      <c r="E1658" s="3" t="s">
        <v>14</v>
      </c>
      <c r="F1658" s="3" t="s">
        <v>36</v>
      </c>
      <c r="G1658" s="3" t="s">
        <v>31</v>
      </c>
      <c r="H1658">
        <v>150000</v>
      </c>
      <c r="I1658">
        <v>1</v>
      </c>
      <c r="J1658" s="3" t="s">
        <v>35</v>
      </c>
      <c r="K1658">
        <v>120000</v>
      </c>
      <c r="L1658">
        <v>150000</v>
      </c>
      <c r="M1658">
        <v>120000</v>
      </c>
      <c r="N1658">
        <v>30000</v>
      </c>
      <c r="O1658" s="3" t="s">
        <v>1759</v>
      </c>
      <c r="P1658" s="3" t="s">
        <v>102</v>
      </c>
      <c r="Q1658" s="3" t="s">
        <v>103</v>
      </c>
      <c r="R1658" s="3" t="s">
        <v>103</v>
      </c>
    </row>
    <row r="1659" spans="1:18">
      <c r="A1659" s="19">
        <v>47333</v>
      </c>
      <c r="B1659" s="3" t="s">
        <v>29</v>
      </c>
      <c r="C1659" s="3" t="s">
        <v>32</v>
      </c>
      <c r="D1659" s="3" t="s">
        <v>13</v>
      </c>
      <c r="E1659" s="3" t="s">
        <v>20</v>
      </c>
      <c r="F1659" s="3" t="s">
        <v>41</v>
      </c>
      <c r="G1659" s="3" t="s">
        <v>22</v>
      </c>
      <c r="H1659">
        <v>220000</v>
      </c>
      <c r="I1659">
        <v>6</v>
      </c>
      <c r="J1659" s="3" t="s">
        <v>28</v>
      </c>
      <c r="K1659">
        <v>176000</v>
      </c>
      <c r="L1659">
        <v>1320000</v>
      </c>
      <c r="M1659">
        <v>1056000</v>
      </c>
      <c r="N1659">
        <v>264000</v>
      </c>
      <c r="O1659" s="3" t="s">
        <v>1760</v>
      </c>
      <c r="P1659" s="3" t="s">
        <v>102</v>
      </c>
      <c r="Q1659" s="3" t="s">
        <v>103</v>
      </c>
      <c r="R1659" s="3" t="s">
        <v>103</v>
      </c>
    </row>
    <row r="1660" spans="1:18">
      <c r="A1660" s="19">
        <v>47334</v>
      </c>
      <c r="B1660" s="3" t="s">
        <v>29</v>
      </c>
      <c r="C1660" s="3" t="s">
        <v>19</v>
      </c>
      <c r="D1660" s="3" t="s">
        <v>23</v>
      </c>
      <c r="E1660" s="3" t="s">
        <v>14</v>
      </c>
      <c r="F1660" s="3" t="s">
        <v>33</v>
      </c>
      <c r="G1660" s="3" t="s">
        <v>22</v>
      </c>
      <c r="H1660">
        <v>180000</v>
      </c>
      <c r="I1660">
        <v>3</v>
      </c>
      <c r="J1660" s="3" t="s">
        <v>39</v>
      </c>
      <c r="K1660">
        <v>144000</v>
      </c>
      <c r="L1660">
        <v>540000</v>
      </c>
      <c r="M1660">
        <v>432000</v>
      </c>
      <c r="N1660">
        <v>108000</v>
      </c>
      <c r="O1660" s="3" t="s">
        <v>1761</v>
      </c>
      <c r="P1660" s="3" t="s">
        <v>102</v>
      </c>
      <c r="Q1660" s="3" t="s">
        <v>103</v>
      </c>
      <c r="R1660" s="3" t="s">
        <v>103</v>
      </c>
    </row>
    <row r="1661" spans="1:18">
      <c r="A1661" s="19">
        <v>47335</v>
      </c>
      <c r="B1661" s="3" t="s">
        <v>29</v>
      </c>
      <c r="C1661" s="3" t="s">
        <v>12</v>
      </c>
      <c r="D1661" s="3" t="s">
        <v>13</v>
      </c>
      <c r="E1661" s="3" t="s">
        <v>20</v>
      </c>
      <c r="F1661" s="3" t="s">
        <v>27</v>
      </c>
      <c r="G1661" s="3" t="s">
        <v>22</v>
      </c>
      <c r="H1661">
        <v>60000</v>
      </c>
      <c r="I1661">
        <v>10</v>
      </c>
      <c r="J1661" s="3" t="s">
        <v>35</v>
      </c>
      <c r="K1661">
        <v>48000</v>
      </c>
      <c r="L1661">
        <v>600000</v>
      </c>
      <c r="M1661">
        <v>480000</v>
      </c>
      <c r="N1661">
        <v>120000</v>
      </c>
      <c r="O1661" s="3" t="s">
        <v>1762</v>
      </c>
      <c r="P1661" s="3" t="s">
        <v>102</v>
      </c>
      <c r="Q1661" s="3" t="s">
        <v>103</v>
      </c>
      <c r="R1661" s="3" t="s">
        <v>103</v>
      </c>
    </row>
    <row r="1662" spans="1:18">
      <c r="A1662" s="19">
        <v>47336</v>
      </c>
      <c r="B1662" s="3" t="s">
        <v>25</v>
      </c>
      <c r="C1662" s="3" t="s">
        <v>12</v>
      </c>
      <c r="D1662" s="3" t="s">
        <v>23</v>
      </c>
      <c r="E1662" s="3" t="s">
        <v>14</v>
      </c>
      <c r="F1662" s="3" t="s">
        <v>41</v>
      </c>
      <c r="G1662" s="3" t="s">
        <v>22</v>
      </c>
      <c r="H1662">
        <v>220000</v>
      </c>
      <c r="I1662">
        <v>1</v>
      </c>
      <c r="J1662" s="3" t="s">
        <v>37</v>
      </c>
      <c r="K1662">
        <v>176000</v>
      </c>
      <c r="L1662">
        <v>220000</v>
      </c>
      <c r="M1662">
        <v>176000</v>
      </c>
      <c r="N1662">
        <v>44000</v>
      </c>
      <c r="O1662" s="3" t="s">
        <v>1763</v>
      </c>
      <c r="P1662" s="3" t="s">
        <v>102</v>
      </c>
      <c r="Q1662" s="3" t="s">
        <v>103</v>
      </c>
      <c r="R1662" s="3" t="s">
        <v>103</v>
      </c>
    </row>
    <row r="1663" spans="1:18">
      <c r="A1663" s="19">
        <v>47337</v>
      </c>
      <c r="B1663" s="3" t="s">
        <v>29</v>
      </c>
      <c r="C1663" s="3" t="s">
        <v>26</v>
      </c>
      <c r="D1663" s="3" t="s">
        <v>13</v>
      </c>
      <c r="E1663" s="3" t="s">
        <v>20</v>
      </c>
      <c r="F1663" s="3" t="s">
        <v>40</v>
      </c>
      <c r="G1663" s="3" t="s">
        <v>31</v>
      </c>
      <c r="H1663">
        <v>250000</v>
      </c>
      <c r="I1663">
        <v>5</v>
      </c>
      <c r="J1663" s="3" t="s">
        <v>28</v>
      </c>
      <c r="K1663">
        <v>200000</v>
      </c>
      <c r="L1663">
        <v>1250000</v>
      </c>
      <c r="M1663">
        <v>1000000</v>
      </c>
      <c r="N1663">
        <v>250000</v>
      </c>
      <c r="O1663" s="3" t="s">
        <v>1764</v>
      </c>
      <c r="P1663" s="3" t="s">
        <v>102</v>
      </c>
      <c r="Q1663" s="3" t="s">
        <v>103</v>
      </c>
      <c r="R1663" s="3" t="s">
        <v>103</v>
      </c>
    </row>
    <row r="1664" spans="1:18">
      <c r="A1664" s="19">
        <v>47338</v>
      </c>
      <c r="B1664" s="3" t="s">
        <v>25</v>
      </c>
      <c r="C1664" s="3" t="s">
        <v>19</v>
      </c>
      <c r="D1664" s="3" t="s">
        <v>23</v>
      </c>
      <c r="E1664" s="3" t="s">
        <v>20</v>
      </c>
      <c r="F1664" s="3" t="s">
        <v>40</v>
      </c>
      <c r="G1664" s="3" t="s">
        <v>31</v>
      </c>
      <c r="H1664">
        <v>250000</v>
      </c>
      <c r="I1664">
        <v>8</v>
      </c>
      <c r="J1664" s="3" t="s">
        <v>35</v>
      </c>
      <c r="K1664">
        <v>200000</v>
      </c>
      <c r="L1664">
        <v>2000000</v>
      </c>
      <c r="M1664">
        <v>1600000</v>
      </c>
      <c r="N1664">
        <v>400000</v>
      </c>
      <c r="O1664" s="3" t="s">
        <v>1765</v>
      </c>
      <c r="P1664" s="3" t="s">
        <v>102</v>
      </c>
      <c r="Q1664" s="3" t="s">
        <v>103</v>
      </c>
      <c r="R1664" s="3" t="s">
        <v>103</v>
      </c>
    </row>
    <row r="1665" spans="1:18">
      <c r="A1665" s="19">
        <v>47339</v>
      </c>
      <c r="B1665" s="3" t="s">
        <v>11</v>
      </c>
      <c r="C1665" s="3" t="s">
        <v>32</v>
      </c>
      <c r="D1665" s="3" t="s">
        <v>23</v>
      </c>
      <c r="E1665" s="3" t="s">
        <v>14</v>
      </c>
      <c r="F1665" s="3" t="s">
        <v>36</v>
      </c>
      <c r="G1665" s="3" t="s">
        <v>31</v>
      </c>
      <c r="H1665">
        <v>150000</v>
      </c>
      <c r="I1665">
        <v>4</v>
      </c>
      <c r="J1665" s="3" t="s">
        <v>24</v>
      </c>
      <c r="K1665">
        <v>120000</v>
      </c>
      <c r="L1665">
        <v>600000</v>
      </c>
      <c r="M1665">
        <v>480000</v>
      </c>
      <c r="N1665">
        <v>120000</v>
      </c>
      <c r="O1665" s="3" t="s">
        <v>1766</v>
      </c>
      <c r="P1665" s="3" t="s">
        <v>102</v>
      </c>
      <c r="Q1665" s="3" t="s">
        <v>103</v>
      </c>
      <c r="R1665" s="3" t="s">
        <v>103</v>
      </c>
    </row>
    <row r="1666" spans="1:18">
      <c r="A1666" s="19">
        <v>47340</v>
      </c>
      <c r="B1666" s="3" t="s">
        <v>25</v>
      </c>
      <c r="C1666" s="3" t="s">
        <v>19</v>
      </c>
      <c r="D1666" s="3" t="s">
        <v>13</v>
      </c>
      <c r="E1666" s="3" t="s">
        <v>14</v>
      </c>
      <c r="F1666" s="3" t="s">
        <v>41</v>
      </c>
      <c r="G1666" s="3" t="s">
        <v>22</v>
      </c>
      <c r="H1666">
        <v>220000</v>
      </c>
      <c r="I1666">
        <v>3</v>
      </c>
      <c r="J1666" s="3" t="s">
        <v>37</v>
      </c>
      <c r="K1666">
        <v>176000</v>
      </c>
      <c r="L1666">
        <v>660000</v>
      </c>
      <c r="M1666">
        <v>528000</v>
      </c>
      <c r="N1666">
        <v>132000</v>
      </c>
      <c r="O1666" s="3" t="s">
        <v>1767</v>
      </c>
      <c r="P1666" s="3" t="s">
        <v>102</v>
      </c>
      <c r="Q1666" s="3" t="s">
        <v>103</v>
      </c>
      <c r="R1666" s="3" t="s">
        <v>103</v>
      </c>
    </row>
    <row r="1667" spans="1:18">
      <c r="A1667" s="19">
        <v>47341</v>
      </c>
      <c r="B1667" s="3" t="s">
        <v>25</v>
      </c>
      <c r="C1667" s="3" t="s">
        <v>26</v>
      </c>
      <c r="D1667" s="3" t="s">
        <v>13</v>
      </c>
      <c r="E1667" s="3" t="s">
        <v>14</v>
      </c>
      <c r="F1667" s="3" t="s">
        <v>33</v>
      </c>
      <c r="G1667" s="3" t="s">
        <v>22</v>
      </c>
      <c r="H1667">
        <v>180000</v>
      </c>
      <c r="I1667">
        <v>7</v>
      </c>
      <c r="J1667" s="3" t="s">
        <v>37</v>
      </c>
      <c r="K1667">
        <v>144000</v>
      </c>
      <c r="L1667">
        <v>1260000</v>
      </c>
      <c r="M1667">
        <v>1008000</v>
      </c>
      <c r="N1667">
        <v>252000</v>
      </c>
      <c r="O1667" s="3" t="s">
        <v>1768</v>
      </c>
      <c r="P1667" s="3" t="s">
        <v>102</v>
      </c>
      <c r="Q1667" s="3" t="s">
        <v>103</v>
      </c>
      <c r="R1667" s="3" t="s">
        <v>103</v>
      </c>
    </row>
    <row r="1668" spans="1:18">
      <c r="A1668" s="19">
        <v>47342</v>
      </c>
      <c r="B1668" s="3" t="s">
        <v>25</v>
      </c>
      <c r="C1668" s="3" t="s">
        <v>19</v>
      </c>
      <c r="D1668" s="3" t="s">
        <v>23</v>
      </c>
      <c r="E1668" s="3" t="s">
        <v>20</v>
      </c>
      <c r="F1668" s="3" t="s">
        <v>36</v>
      </c>
      <c r="G1668" s="3" t="s">
        <v>31</v>
      </c>
      <c r="H1668">
        <v>150000</v>
      </c>
      <c r="I1668">
        <v>4</v>
      </c>
      <c r="J1668" s="3" t="s">
        <v>35</v>
      </c>
      <c r="K1668">
        <v>120000</v>
      </c>
      <c r="L1668">
        <v>600000</v>
      </c>
      <c r="M1668">
        <v>480000</v>
      </c>
      <c r="N1668">
        <v>120000</v>
      </c>
      <c r="O1668" s="3" t="s">
        <v>1769</v>
      </c>
      <c r="P1668" s="3" t="s">
        <v>102</v>
      </c>
      <c r="Q1668" s="3" t="s">
        <v>103</v>
      </c>
      <c r="R1668" s="3" t="s">
        <v>103</v>
      </c>
    </row>
    <row r="1669" spans="1:18">
      <c r="A1669" s="19">
        <v>47343</v>
      </c>
      <c r="B1669" s="3" t="s">
        <v>18</v>
      </c>
      <c r="C1669" s="3" t="s">
        <v>26</v>
      </c>
      <c r="D1669" s="3" t="s">
        <v>23</v>
      </c>
      <c r="E1669" s="3" t="s">
        <v>14</v>
      </c>
      <c r="F1669" s="3" t="s">
        <v>36</v>
      </c>
      <c r="G1669" s="3" t="s">
        <v>31</v>
      </c>
      <c r="H1669">
        <v>150000</v>
      </c>
      <c r="I1669">
        <v>10</v>
      </c>
      <c r="J1669" s="3" t="s">
        <v>24</v>
      </c>
      <c r="K1669">
        <v>120000</v>
      </c>
      <c r="L1669">
        <v>1500000</v>
      </c>
      <c r="M1669">
        <v>1200000</v>
      </c>
      <c r="N1669">
        <v>300000</v>
      </c>
      <c r="O1669" s="3" t="s">
        <v>1770</v>
      </c>
      <c r="P1669" s="3" t="s">
        <v>102</v>
      </c>
      <c r="Q1669" s="3" t="s">
        <v>103</v>
      </c>
      <c r="R1669" s="3" t="s">
        <v>103</v>
      </c>
    </row>
    <row r="1670" spans="1:18">
      <c r="A1670" s="19">
        <v>47344</v>
      </c>
      <c r="B1670" s="3" t="s">
        <v>11</v>
      </c>
      <c r="C1670" s="3" t="s">
        <v>19</v>
      </c>
      <c r="D1670" s="3" t="s">
        <v>13</v>
      </c>
      <c r="E1670" s="3" t="s">
        <v>14</v>
      </c>
      <c r="F1670" s="3" t="s">
        <v>36</v>
      </c>
      <c r="G1670" s="3" t="s">
        <v>31</v>
      </c>
      <c r="H1670">
        <v>150000</v>
      </c>
      <c r="I1670">
        <v>1</v>
      </c>
      <c r="J1670" s="3" t="s">
        <v>39</v>
      </c>
      <c r="K1670">
        <v>120000</v>
      </c>
      <c r="L1670">
        <v>150000</v>
      </c>
      <c r="M1670">
        <v>120000</v>
      </c>
      <c r="N1670">
        <v>30000</v>
      </c>
      <c r="O1670" s="3" t="s">
        <v>1771</v>
      </c>
      <c r="P1670" s="3" t="s">
        <v>102</v>
      </c>
      <c r="Q1670" s="3" t="s">
        <v>103</v>
      </c>
      <c r="R1670" s="3" t="s">
        <v>103</v>
      </c>
    </row>
    <row r="1671" spans="1:18">
      <c r="A1671" s="19">
        <v>47345</v>
      </c>
      <c r="B1671" s="3" t="s">
        <v>29</v>
      </c>
      <c r="C1671" s="3" t="s">
        <v>26</v>
      </c>
      <c r="D1671" s="3" t="s">
        <v>23</v>
      </c>
      <c r="E1671" s="3" t="s">
        <v>20</v>
      </c>
      <c r="F1671" s="3" t="s">
        <v>36</v>
      </c>
      <c r="G1671" s="3" t="s">
        <v>31</v>
      </c>
      <c r="H1671">
        <v>150000</v>
      </c>
      <c r="I1671">
        <v>4</v>
      </c>
      <c r="J1671" s="3" t="s">
        <v>24</v>
      </c>
      <c r="K1671">
        <v>120000</v>
      </c>
      <c r="L1671">
        <v>600000</v>
      </c>
      <c r="M1671">
        <v>480000</v>
      </c>
      <c r="N1671">
        <v>120000</v>
      </c>
      <c r="O1671" s="3" t="s">
        <v>1772</v>
      </c>
      <c r="P1671" s="3" t="s">
        <v>102</v>
      </c>
      <c r="Q1671" s="3" t="s">
        <v>103</v>
      </c>
      <c r="R1671" s="3" t="s">
        <v>103</v>
      </c>
    </row>
    <row r="1672" spans="1:18">
      <c r="A1672" s="19">
        <v>47346</v>
      </c>
      <c r="B1672" s="3" t="s">
        <v>11</v>
      </c>
      <c r="C1672" s="3" t="s">
        <v>26</v>
      </c>
      <c r="D1672" s="3" t="s">
        <v>23</v>
      </c>
      <c r="E1672" s="3" t="s">
        <v>14</v>
      </c>
      <c r="F1672" s="3" t="s">
        <v>27</v>
      </c>
      <c r="G1672" s="3" t="s">
        <v>22</v>
      </c>
      <c r="H1672">
        <v>60000</v>
      </c>
      <c r="I1672">
        <v>5</v>
      </c>
      <c r="J1672" s="3" t="s">
        <v>37</v>
      </c>
      <c r="K1672">
        <v>48000</v>
      </c>
      <c r="L1672">
        <v>300000</v>
      </c>
      <c r="M1672">
        <v>240000</v>
      </c>
      <c r="N1672">
        <v>60000</v>
      </c>
      <c r="O1672" s="3" t="s">
        <v>1773</v>
      </c>
      <c r="P1672" s="3" t="s">
        <v>102</v>
      </c>
      <c r="Q1672" s="3" t="s">
        <v>103</v>
      </c>
      <c r="R1672" s="3" t="s">
        <v>103</v>
      </c>
    </row>
    <row r="1673" spans="1:18">
      <c r="A1673" s="19">
        <v>47347</v>
      </c>
      <c r="B1673" s="3" t="s">
        <v>25</v>
      </c>
      <c r="C1673" s="3" t="s">
        <v>32</v>
      </c>
      <c r="D1673" s="3" t="s">
        <v>13</v>
      </c>
      <c r="E1673" s="3" t="s">
        <v>20</v>
      </c>
      <c r="F1673" s="3" t="s">
        <v>41</v>
      </c>
      <c r="G1673" s="3" t="s">
        <v>22</v>
      </c>
      <c r="H1673">
        <v>220000</v>
      </c>
      <c r="I1673">
        <v>7</v>
      </c>
      <c r="J1673" s="3" t="s">
        <v>17</v>
      </c>
      <c r="K1673">
        <v>176000</v>
      </c>
      <c r="L1673">
        <v>1540000</v>
      </c>
      <c r="M1673">
        <v>1232000</v>
      </c>
      <c r="N1673">
        <v>308000</v>
      </c>
      <c r="O1673" s="3" t="s">
        <v>1774</v>
      </c>
      <c r="P1673" s="3" t="s">
        <v>102</v>
      </c>
      <c r="Q1673" s="3" t="s">
        <v>103</v>
      </c>
      <c r="R1673" s="3" t="s">
        <v>103</v>
      </c>
    </row>
    <row r="1674" spans="1:18">
      <c r="A1674" s="19">
        <v>47348</v>
      </c>
      <c r="B1674" s="3" t="s">
        <v>29</v>
      </c>
      <c r="C1674" s="3" t="s">
        <v>19</v>
      </c>
      <c r="D1674" s="3" t="s">
        <v>13</v>
      </c>
      <c r="E1674" s="3" t="s">
        <v>20</v>
      </c>
      <c r="F1674" s="3" t="s">
        <v>36</v>
      </c>
      <c r="G1674" s="3" t="s">
        <v>31</v>
      </c>
      <c r="H1674">
        <v>150000</v>
      </c>
      <c r="I1674">
        <v>4</v>
      </c>
      <c r="J1674" s="3" t="s">
        <v>39</v>
      </c>
      <c r="K1674">
        <v>120000</v>
      </c>
      <c r="L1674">
        <v>600000</v>
      </c>
      <c r="M1674">
        <v>480000</v>
      </c>
      <c r="N1674">
        <v>120000</v>
      </c>
      <c r="O1674" s="3" t="s">
        <v>1775</v>
      </c>
      <c r="P1674" s="3" t="s">
        <v>102</v>
      </c>
      <c r="Q1674" s="3" t="s">
        <v>103</v>
      </c>
      <c r="R1674" s="3" t="s">
        <v>103</v>
      </c>
    </row>
    <row r="1675" spans="1:18">
      <c r="A1675" s="19">
        <v>47349</v>
      </c>
      <c r="B1675" s="3" t="s">
        <v>18</v>
      </c>
      <c r="C1675" s="3" t="s">
        <v>26</v>
      </c>
      <c r="D1675" s="3" t="s">
        <v>23</v>
      </c>
      <c r="E1675" s="3" t="s">
        <v>14</v>
      </c>
      <c r="F1675" s="3" t="s">
        <v>34</v>
      </c>
      <c r="G1675" s="3" t="s">
        <v>16</v>
      </c>
      <c r="H1675">
        <v>320000</v>
      </c>
      <c r="I1675">
        <v>6</v>
      </c>
      <c r="J1675" s="3" t="s">
        <v>17</v>
      </c>
      <c r="K1675">
        <v>256000</v>
      </c>
      <c r="L1675">
        <v>1920000</v>
      </c>
      <c r="M1675">
        <v>1536000</v>
      </c>
      <c r="N1675">
        <v>384000</v>
      </c>
      <c r="O1675" s="3" t="s">
        <v>1776</v>
      </c>
      <c r="P1675" s="3" t="s">
        <v>102</v>
      </c>
      <c r="Q1675" s="3" t="s">
        <v>103</v>
      </c>
      <c r="R1675" s="3" t="s">
        <v>103</v>
      </c>
    </row>
    <row r="1676" spans="1:18">
      <c r="A1676" s="19">
        <v>47350</v>
      </c>
      <c r="B1676" s="3" t="s">
        <v>25</v>
      </c>
      <c r="C1676" s="3" t="s">
        <v>12</v>
      </c>
      <c r="D1676" s="3" t="s">
        <v>13</v>
      </c>
      <c r="E1676" s="3" t="s">
        <v>20</v>
      </c>
      <c r="F1676" s="3" t="s">
        <v>34</v>
      </c>
      <c r="G1676" s="3" t="s">
        <v>16</v>
      </c>
      <c r="H1676">
        <v>320000</v>
      </c>
      <c r="I1676">
        <v>6</v>
      </c>
      <c r="J1676" s="3" t="s">
        <v>37</v>
      </c>
      <c r="K1676">
        <v>256000</v>
      </c>
      <c r="L1676">
        <v>1920000</v>
      </c>
      <c r="M1676">
        <v>1536000</v>
      </c>
      <c r="N1676">
        <v>384000</v>
      </c>
      <c r="O1676" s="3" t="s">
        <v>1777</v>
      </c>
      <c r="P1676" s="3" t="s">
        <v>102</v>
      </c>
      <c r="Q1676" s="3" t="s">
        <v>103</v>
      </c>
      <c r="R1676" s="3" t="s">
        <v>103</v>
      </c>
    </row>
    <row r="1677" spans="1:18">
      <c r="A1677" s="19">
        <v>47351</v>
      </c>
      <c r="B1677" s="3" t="s">
        <v>11</v>
      </c>
      <c r="C1677" s="3" t="s">
        <v>12</v>
      </c>
      <c r="D1677" s="3" t="s">
        <v>23</v>
      </c>
      <c r="E1677" s="3" t="s">
        <v>20</v>
      </c>
      <c r="F1677" s="3" t="s">
        <v>27</v>
      </c>
      <c r="G1677" s="3" t="s">
        <v>22</v>
      </c>
      <c r="H1677">
        <v>60000</v>
      </c>
      <c r="I1677">
        <v>4</v>
      </c>
      <c r="J1677" s="3" t="s">
        <v>37</v>
      </c>
      <c r="K1677">
        <v>48000</v>
      </c>
      <c r="L1677">
        <v>240000</v>
      </c>
      <c r="M1677">
        <v>192000</v>
      </c>
      <c r="N1677">
        <v>48000</v>
      </c>
      <c r="O1677" s="3" t="s">
        <v>1778</v>
      </c>
      <c r="P1677" s="3" t="s">
        <v>102</v>
      </c>
      <c r="Q1677" s="3" t="s">
        <v>103</v>
      </c>
      <c r="R1677" s="3" t="s">
        <v>103</v>
      </c>
    </row>
    <row r="1678" spans="1:18">
      <c r="A1678" s="19">
        <v>47352</v>
      </c>
      <c r="B1678" s="3" t="s">
        <v>29</v>
      </c>
      <c r="C1678" s="3" t="s">
        <v>19</v>
      </c>
      <c r="D1678" s="3" t="s">
        <v>13</v>
      </c>
      <c r="E1678" s="3" t="s">
        <v>14</v>
      </c>
      <c r="F1678" s="3" t="s">
        <v>15</v>
      </c>
      <c r="G1678" s="3" t="s">
        <v>16</v>
      </c>
      <c r="H1678">
        <v>85000</v>
      </c>
      <c r="I1678">
        <v>8</v>
      </c>
      <c r="J1678" s="3" t="s">
        <v>24</v>
      </c>
      <c r="K1678">
        <v>68000</v>
      </c>
      <c r="L1678">
        <v>680000</v>
      </c>
      <c r="M1678">
        <v>544000</v>
      </c>
      <c r="N1678">
        <v>136000</v>
      </c>
      <c r="O1678" s="3" t="s">
        <v>1779</v>
      </c>
      <c r="P1678" s="3" t="s">
        <v>102</v>
      </c>
      <c r="Q1678" s="3" t="s">
        <v>103</v>
      </c>
      <c r="R1678" s="3" t="s">
        <v>103</v>
      </c>
    </row>
    <row r="1679" spans="1:18">
      <c r="A1679" s="19">
        <v>47353</v>
      </c>
      <c r="B1679" s="3" t="s">
        <v>25</v>
      </c>
      <c r="C1679" s="3" t="s">
        <v>26</v>
      </c>
      <c r="D1679" s="3" t="s">
        <v>23</v>
      </c>
      <c r="E1679" s="3" t="s">
        <v>14</v>
      </c>
      <c r="F1679" s="3" t="s">
        <v>15</v>
      </c>
      <c r="G1679" s="3" t="s">
        <v>16</v>
      </c>
      <c r="H1679">
        <v>85000</v>
      </c>
      <c r="I1679">
        <v>2</v>
      </c>
      <c r="J1679" s="3" t="s">
        <v>39</v>
      </c>
      <c r="K1679">
        <v>68000</v>
      </c>
      <c r="L1679">
        <v>170000</v>
      </c>
      <c r="M1679">
        <v>136000</v>
      </c>
      <c r="N1679">
        <v>34000</v>
      </c>
      <c r="O1679" s="3" t="s">
        <v>1780</v>
      </c>
      <c r="P1679" s="3" t="s">
        <v>102</v>
      </c>
      <c r="Q1679" s="3" t="s">
        <v>103</v>
      </c>
      <c r="R1679" s="3" t="s">
        <v>103</v>
      </c>
    </row>
    <row r="1680" spans="1:18">
      <c r="A1680" s="19">
        <v>47354</v>
      </c>
      <c r="B1680" s="3" t="s">
        <v>29</v>
      </c>
      <c r="C1680" s="3" t="s">
        <v>26</v>
      </c>
      <c r="D1680" s="3" t="s">
        <v>23</v>
      </c>
      <c r="E1680" s="3" t="s">
        <v>20</v>
      </c>
      <c r="F1680" s="3" t="s">
        <v>15</v>
      </c>
      <c r="G1680" s="3" t="s">
        <v>16</v>
      </c>
      <c r="H1680">
        <v>85000</v>
      </c>
      <c r="I1680">
        <v>9</v>
      </c>
      <c r="J1680" s="3" t="s">
        <v>17</v>
      </c>
      <c r="K1680">
        <v>68000</v>
      </c>
      <c r="L1680">
        <v>765000</v>
      </c>
      <c r="M1680">
        <v>612000</v>
      </c>
      <c r="N1680">
        <v>153000</v>
      </c>
      <c r="O1680" s="3" t="s">
        <v>1781</v>
      </c>
      <c r="P1680" s="3" t="s">
        <v>102</v>
      </c>
      <c r="Q1680" s="3" t="s">
        <v>103</v>
      </c>
      <c r="R1680" s="3" t="s">
        <v>103</v>
      </c>
    </row>
    <row r="1681" spans="1:18">
      <c r="A1681" s="19">
        <v>47355</v>
      </c>
      <c r="B1681" s="3" t="s">
        <v>25</v>
      </c>
      <c r="C1681" s="3" t="s">
        <v>26</v>
      </c>
      <c r="D1681" s="3" t="s">
        <v>13</v>
      </c>
      <c r="E1681" s="3" t="s">
        <v>20</v>
      </c>
      <c r="F1681" s="3" t="s">
        <v>38</v>
      </c>
      <c r="G1681" s="3" t="s">
        <v>31</v>
      </c>
      <c r="H1681">
        <v>420000</v>
      </c>
      <c r="I1681">
        <v>3</v>
      </c>
      <c r="J1681" s="3" t="s">
        <v>35</v>
      </c>
      <c r="K1681">
        <v>336000</v>
      </c>
      <c r="L1681">
        <v>1260000</v>
      </c>
      <c r="M1681">
        <v>1008000</v>
      </c>
      <c r="N1681">
        <v>252000</v>
      </c>
      <c r="O1681" s="3" t="s">
        <v>1782</v>
      </c>
      <c r="P1681" s="3" t="s">
        <v>102</v>
      </c>
      <c r="Q1681" s="3" t="s">
        <v>103</v>
      </c>
      <c r="R1681" s="3" t="s">
        <v>103</v>
      </c>
    </row>
    <row r="1682" spans="1:18">
      <c r="A1682" s="19">
        <v>47356</v>
      </c>
      <c r="B1682" s="3" t="s">
        <v>29</v>
      </c>
      <c r="C1682" s="3" t="s">
        <v>19</v>
      </c>
      <c r="D1682" s="3" t="s">
        <v>13</v>
      </c>
      <c r="E1682" s="3" t="s">
        <v>14</v>
      </c>
      <c r="F1682" s="3" t="s">
        <v>30</v>
      </c>
      <c r="G1682" s="3" t="s">
        <v>31</v>
      </c>
      <c r="H1682">
        <v>300000</v>
      </c>
      <c r="I1682">
        <v>5</v>
      </c>
      <c r="J1682" s="3" t="s">
        <v>35</v>
      </c>
      <c r="K1682">
        <v>240000</v>
      </c>
      <c r="L1682">
        <v>1500000</v>
      </c>
      <c r="M1682">
        <v>1200000</v>
      </c>
      <c r="N1682">
        <v>300000</v>
      </c>
      <c r="O1682" s="3" t="s">
        <v>1783</v>
      </c>
      <c r="P1682" s="3" t="s">
        <v>102</v>
      </c>
      <c r="Q1682" s="3" t="s">
        <v>103</v>
      </c>
      <c r="R1682" s="3" t="s">
        <v>103</v>
      </c>
    </row>
    <row r="1683" spans="1:18">
      <c r="A1683" s="19">
        <v>47357</v>
      </c>
      <c r="B1683" s="3" t="s">
        <v>18</v>
      </c>
      <c r="C1683" s="3" t="s">
        <v>26</v>
      </c>
      <c r="D1683" s="3" t="s">
        <v>23</v>
      </c>
      <c r="E1683" s="3" t="s">
        <v>20</v>
      </c>
      <c r="F1683" s="3" t="s">
        <v>21</v>
      </c>
      <c r="G1683" s="3" t="s">
        <v>22</v>
      </c>
      <c r="H1683">
        <v>30000</v>
      </c>
      <c r="I1683">
        <v>1</v>
      </c>
      <c r="J1683" s="3" t="s">
        <v>17</v>
      </c>
      <c r="K1683">
        <v>24000</v>
      </c>
      <c r="L1683">
        <v>30000</v>
      </c>
      <c r="M1683">
        <v>24000</v>
      </c>
      <c r="N1683">
        <v>6000</v>
      </c>
      <c r="O1683" s="3" t="s">
        <v>1784</v>
      </c>
      <c r="P1683" s="3" t="s">
        <v>102</v>
      </c>
      <c r="Q1683" s="3" t="s">
        <v>103</v>
      </c>
      <c r="R1683" s="3" t="s">
        <v>103</v>
      </c>
    </row>
    <row r="1684" spans="1:18">
      <c r="A1684" s="19">
        <v>47358</v>
      </c>
      <c r="B1684" s="3" t="s">
        <v>11</v>
      </c>
      <c r="C1684" s="3" t="s">
        <v>32</v>
      </c>
      <c r="D1684" s="3" t="s">
        <v>23</v>
      </c>
      <c r="E1684" s="3" t="s">
        <v>20</v>
      </c>
      <c r="F1684" s="3" t="s">
        <v>41</v>
      </c>
      <c r="G1684" s="3" t="s">
        <v>22</v>
      </c>
      <c r="H1684">
        <v>220000</v>
      </c>
      <c r="I1684">
        <v>8</v>
      </c>
      <c r="J1684" s="3" t="s">
        <v>37</v>
      </c>
      <c r="K1684">
        <v>176000</v>
      </c>
      <c r="L1684">
        <v>1760000</v>
      </c>
      <c r="M1684">
        <v>1408000</v>
      </c>
      <c r="N1684">
        <v>352000</v>
      </c>
      <c r="O1684" s="3" t="s">
        <v>1785</v>
      </c>
      <c r="P1684" s="3" t="s">
        <v>102</v>
      </c>
      <c r="Q1684" s="3" t="s">
        <v>103</v>
      </c>
      <c r="R1684" s="3" t="s">
        <v>103</v>
      </c>
    </row>
    <row r="1685" spans="1:18">
      <c r="A1685" s="19">
        <v>47359</v>
      </c>
      <c r="B1685" s="3" t="s">
        <v>29</v>
      </c>
      <c r="C1685" s="3" t="s">
        <v>12</v>
      </c>
      <c r="D1685" s="3" t="s">
        <v>23</v>
      </c>
      <c r="E1685" s="3" t="s">
        <v>14</v>
      </c>
      <c r="F1685" s="3" t="s">
        <v>34</v>
      </c>
      <c r="G1685" s="3" t="s">
        <v>16</v>
      </c>
      <c r="H1685">
        <v>320000</v>
      </c>
      <c r="I1685">
        <v>5</v>
      </c>
      <c r="J1685" s="3" t="s">
        <v>17</v>
      </c>
      <c r="K1685">
        <v>256000</v>
      </c>
      <c r="L1685">
        <v>1600000</v>
      </c>
      <c r="M1685">
        <v>1280000</v>
      </c>
      <c r="N1685">
        <v>320000</v>
      </c>
      <c r="O1685" s="3" t="s">
        <v>1786</v>
      </c>
      <c r="P1685" s="3" t="s">
        <v>102</v>
      </c>
      <c r="Q1685" s="3" t="s">
        <v>103</v>
      </c>
      <c r="R1685" s="3" t="s">
        <v>103</v>
      </c>
    </row>
    <row r="1686" spans="1:18">
      <c r="A1686" s="19">
        <v>47360</v>
      </c>
      <c r="B1686" s="3" t="s">
        <v>18</v>
      </c>
      <c r="C1686" s="3" t="s">
        <v>19</v>
      </c>
      <c r="D1686" s="3" t="s">
        <v>23</v>
      </c>
      <c r="E1686" s="3" t="s">
        <v>14</v>
      </c>
      <c r="F1686" s="3" t="s">
        <v>30</v>
      </c>
      <c r="G1686" s="3" t="s">
        <v>31</v>
      </c>
      <c r="H1686">
        <v>300000</v>
      </c>
      <c r="I1686">
        <v>10</v>
      </c>
      <c r="J1686" s="3" t="s">
        <v>35</v>
      </c>
      <c r="K1686">
        <v>240000</v>
      </c>
      <c r="L1686">
        <v>3000000</v>
      </c>
      <c r="M1686">
        <v>2400000</v>
      </c>
      <c r="N1686">
        <v>600000</v>
      </c>
      <c r="O1686" s="3" t="s">
        <v>1787</v>
      </c>
      <c r="P1686" s="3" t="s">
        <v>102</v>
      </c>
      <c r="Q1686" s="3" t="s">
        <v>103</v>
      </c>
      <c r="R1686" s="3" t="s">
        <v>103</v>
      </c>
    </row>
    <row r="1687" spans="1:18">
      <c r="A1687" s="19">
        <v>47361</v>
      </c>
      <c r="B1687" s="3" t="s">
        <v>29</v>
      </c>
      <c r="C1687" s="3" t="s">
        <v>12</v>
      </c>
      <c r="D1687" s="3" t="s">
        <v>13</v>
      </c>
      <c r="E1687" s="3" t="s">
        <v>20</v>
      </c>
      <c r="F1687" s="3" t="s">
        <v>41</v>
      </c>
      <c r="G1687" s="3" t="s">
        <v>22</v>
      </c>
      <c r="H1687">
        <v>220000</v>
      </c>
      <c r="I1687">
        <v>1</v>
      </c>
      <c r="J1687" s="3" t="s">
        <v>17</v>
      </c>
      <c r="K1687">
        <v>176000</v>
      </c>
      <c r="L1687">
        <v>220000</v>
      </c>
      <c r="M1687">
        <v>176000</v>
      </c>
      <c r="N1687">
        <v>44000</v>
      </c>
      <c r="O1687" s="3" t="s">
        <v>1788</v>
      </c>
      <c r="P1687" s="3" t="s">
        <v>102</v>
      </c>
      <c r="Q1687" s="3" t="s">
        <v>103</v>
      </c>
      <c r="R1687" s="3" t="s">
        <v>103</v>
      </c>
    </row>
    <row r="1688" spans="1:18">
      <c r="A1688" s="19">
        <v>47362</v>
      </c>
      <c r="B1688" s="3" t="s">
        <v>25</v>
      </c>
      <c r="C1688" s="3" t="s">
        <v>26</v>
      </c>
      <c r="D1688" s="3" t="s">
        <v>23</v>
      </c>
      <c r="E1688" s="3" t="s">
        <v>14</v>
      </c>
      <c r="F1688" s="3" t="s">
        <v>21</v>
      </c>
      <c r="G1688" s="3" t="s">
        <v>22</v>
      </c>
      <c r="H1688">
        <v>30000</v>
      </c>
      <c r="I1688">
        <v>6</v>
      </c>
      <c r="J1688" s="3" t="s">
        <v>24</v>
      </c>
      <c r="K1688">
        <v>24000</v>
      </c>
      <c r="L1688">
        <v>180000</v>
      </c>
      <c r="M1688">
        <v>144000</v>
      </c>
      <c r="N1688">
        <v>36000</v>
      </c>
      <c r="O1688" s="3" t="s">
        <v>1789</v>
      </c>
      <c r="P1688" s="3" t="s">
        <v>102</v>
      </c>
      <c r="Q1688" s="3" t="s">
        <v>103</v>
      </c>
      <c r="R1688" s="3" t="s">
        <v>103</v>
      </c>
    </row>
    <row r="1689" spans="1:18">
      <c r="A1689" s="19">
        <v>47363</v>
      </c>
      <c r="B1689" s="3" t="s">
        <v>29</v>
      </c>
      <c r="C1689" s="3" t="s">
        <v>19</v>
      </c>
      <c r="D1689" s="3" t="s">
        <v>13</v>
      </c>
      <c r="E1689" s="3" t="s">
        <v>14</v>
      </c>
      <c r="F1689" s="3" t="s">
        <v>38</v>
      </c>
      <c r="G1689" s="3" t="s">
        <v>31</v>
      </c>
      <c r="H1689">
        <v>420000</v>
      </c>
      <c r="I1689">
        <v>1</v>
      </c>
      <c r="J1689" s="3" t="s">
        <v>39</v>
      </c>
      <c r="K1689">
        <v>336000</v>
      </c>
      <c r="L1689">
        <v>420000</v>
      </c>
      <c r="M1689">
        <v>336000</v>
      </c>
      <c r="N1689">
        <v>84000</v>
      </c>
      <c r="O1689" s="3" t="s">
        <v>1790</v>
      </c>
      <c r="P1689" s="3" t="s">
        <v>102</v>
      </c>
      <c r="Q1689" s="3" t="s">
        <v>103</v>
      </c>
      <c r="R1689" s="3" t="s">
        <v>103</v>
      </c>
    </row>
    <row r="1690" spans="1:18">
      <c r="A1690" s="19">
        <v>47364</v>
      </c>
      <c r="B1690" s="3" t="s">
        <v>25</v>
      </c>
      <c r="C1690" s="3" t="s">
        <v>32</v>
      </c>
      <c r="D1690" s="3" t="s">
        <v>23</v>
      </c>
      <c r="E1690" s="3" t="s">
        <v>20</v>
      </c>
      <c r="F1690" s="3" t="s">
        <v>38</v>
      </c>
      <c r="G1690" s="3" t="s">
        <v>31</v>
      </c>
      <c r="H1690">
        <v>420000</v>
      </c>
      <c r="I1690">
        <v>6</v>
      </c>
      <c r="J1690" s="3" t="s">
        <v>37</v>
      </c>
      <c r="K1690">
        <v>336000</v>
      </c>
      <c r="L1690">
        <v>2520000</v>
      </c>
      <c r="M1690">
        <v>2016000</v>
      </c>
      <c r="N1690">
        <v>504000</v>
      </c>
      <c r="O1690" s="3" t="s">
        <v>1791</v>
      </c>
      <c r="P1690" s="3" t="s">
        <v>102</v>
      </c>
      <c r="Q1690" s="3" t="s">
        <v>103</v>
      </c>
      <c r="R1690" s="3" t="s">
        <v>103</v>
      </c>
    </row>
    <row r="1691" spans="1:18">
      <c r="A1691" s="19">
        <v>47365</v>
      </c>
      <c r="B1691" s="3" t="s">
        <v>25</v>
      </c>
      <c r="C1691" s="3" t="s">
        <v>32</v>
      </c>
      <c r="D1691" s="3" t="s">
        <v>13</v>
      </c>
      <c r="E1691" s="3" t="s">
        <v>20</v>
      </c>
      <c r="F1691" s="3" t="s">
        <v>15</v>
      </c>
      <c r="G1691" s="3" t="s">
        <v>16</v>
      </c>
      <c r="H1691">
        <v>85000</v>
      </c>
      <c r="I1691">
        <v>7</v>
      </c>
      <c r="J1691" s="3" t="s">
        <v>35</v>
      </c>
      <c r="K1691">
        <v>68000</v>
      </c>
      <c r="L1691">
        <v>595000</v>
      </c>
      <c r="M1691">
        <v>476000</v>
      </c>
      <c r="N1691">
        <v>119000</v>
      </c>
      <c r="O1691" s="3" t="s">
        <v>1792</v>
      </c>
      <c r="P1691" s="3" t="s">
        <v>102</v>
      </c>
      <c r="Q1691" s="3" t="s">
        <v>103</v>
      </c>
      <c r="R1691" s="3" t="s">
        <v>103</v>
      </c>
    </row>
    <row r="1692" spans="1:18">
      <c r="A1692" s="19">
        <v>47366</v>
      </c>
      <c r="B1692" s="3" t="s">
        <v>25</v>
      </c>
      <c r="C1692" s="3" t="s">
        <v>19</v>
      </c>
      <c r="D1692" s="3" t="s">
        <v>23</v>
      </c>
      <c r="E1692" s="3" t="s">
        <v>20</v>
      </c>
      <c r="F1692" s="3" t="s">
        <v>36</v>
      </c>
      <c r="G1692" s="3" t="s">
        <v>31</v>
      </c>
      <c r="H1692">
        <v>150000</v>
      </c>
      <c r="I1692">
        <v>7</v>
      </c>
      <c r="J1692" s="3" t="s">
        <v>39</v>
      </c>
      <c r="K1692">
        <v>120000</v>
      </c>
      <c r="L1692">
        <v>1050000</v>
      </c>
      <c r="M1692">
        <v>840000</v>
      </c>
      <c r="N1692">
        <v>210000</v>
      </c>
      <c r="O1692" s="3" t="s">
        <v>1793</v>
      </c>
      <c r="P1692" s="3" t="s">
        <v>102</v>
      </c>
      <c r="Q1692" s="3" t="s">
        <v>103</v>
      </c>
      <c r="R1692" s="3" t="s">
        <v>103</v>
      </c>
    </row>
    <row r="1693" spans="1:18">
      <c r="A1693" s="19">
        <v>47367</v>
      </c>
      <c r="B1693" s="3" t="s">
        <v>11</v>
      </c>
      <c r="C1693" s="3" t="s">
        <v>19</v>
      </c>
      <c r="D1693" s="3" t="s">
        <v>13</v>
      </c>
      <c r="E1693" s="3" t="s">
        <v>20</v>
      </c>
      <c r="F1693" s="3" t="s">
        <v>36</v>
      </c>
      <c r="G1693" s="3" t="s">
        <v>31</v>
      </c>
      <c r="H1693">
        <v>150000</v>
      </c>
      <c r="I1693">
        <v>10</v>
      </c>
      <c r="J1693" s="3" t="s">
        <v>17</v>
      </c>
      <c r="K1693">
        <v>120000</v>
      </c>
      <c r="L1693">
        <v>1500000</v>
      </c>
      <c r="M1693">
        <v>1200000</v>
      </c>
      <c r="N1693">
        <v>300000</v>
      </c>
      <c r="O1693" s="3" t="s">
        <v>1794</v>
      </c>
      <c r="P1693" s="3" t="s">
        <v>102</v>
      </c>
      <c r="Q1693" s="3" t="s">
        <v>103</v>
      </c>
      <c r="R1693" s="3" t="s">
        <v>103</v>
      </c>
    </row>
    <row r="1694" spans="1:18">
      <c r="A1694" s="19">
        <v>47368</v>
      </c>
      <c r="B1694" s="3" t="s">
        <v>18</v>
      </c>
      <c r="C1694" s="3" t="s">
        <v>12</v>
      </c>
      <c r="D1694" s="3" t="s">
        <v>13</v>
      </c>
      <c r="E1694" s="3" t="s">
        <v>20</v>
      </c>
      <c r="F1694" s="3" t="s">
        <v>21</v>
      </c>
      <c r="G1694" s="3" t="s">
        <v>22</v>
      </c>
      <c r="H1694">
        <v>30000</v>
      </c>
      <c r="I1694">
        <v>9</v>
      </c>
      <c r="J1694" s="3" t="s">
        <v>17</v>
      </c>
      <c r="K1694">
        <v>24000</v>
      </c>
      <c r="L1694">
        <v>270000</v>
      </c>
      <c r="M1694">
        <v>216000</v>
      </c>
      <c r="N1694">
        <v>54000</v>
      </c>
      <c r="O1694" s="3" t="s">
        <v>1795</v>
      </c>
      <c r="P1694" s="3" t="s">
        <v>102</v>
      </c>
      <c r="Q1694" s="3" t="s">
        <v>103</v>
      </c>
      <c r="R1694" s="3" t="s">
        <v>103</v>
      </c>
    </row>
    <row r="1695" spans="1:18">
      <c r="A1695" s="19">
        <v>47369</v>
      </c>
      <c r="B1695" s="3" t="s">
        <v>25</v>
      </c>
      <c r="C1695" s="3" t="s">
        <v>26</v>
      </c>
      <c r="D1695" s="3" t="s">
        <v>23</v>
      </c>
      <c r="E1695" s="3" t="s">
        <v>14</v>
      </c>
      <c r="F1695" s="3" t="s">
        <v>34</v>
      </c>
      <c r="G1695" s="3" t="s">
        <v>16</v>
      </c>
      <c r="H1695">
        <v>320000</v>
      </c>
      <c r="I1695">
        <v>8</v>
      </c>
      <c r="J1695" s="3" t="s">
        <v>37</v>
      </c>
      <c r="K1695">
        <v>256000</v>
      </c>
      <c r="L1695">
        <v>2560000</v>
      </c>
      <c r="M1695">
        <v>2048000</v>
      </c>
      <c r="N1695">
        <v>512000</v>
      </c>
      <c r="O1695" s="3" t="s">
        <v>1796</v>
      </c>
      <c r="P1695" s="3" t="s">
        <v>102</v>
      </c>
      <c r="Q1695" s="3" t="s">
        <v>103</v>
      </c>
      <c r="R1695" s="3" t="s">
        <v>103</v>
      </c>
    </row>
    <row r="1696" spans="1:18">
      <c r="A1696" s="19">
        <v>47370</v>
      </c>
      <c r="B1696" s="3" t="s">
        <v>18</v>
      </c>
      <c r="C1696" s="3" t="s">
        <v>32</v>
      </c>
      <c r="D1696" s="3" t="s">
        <v>13</v>
      </c>
      <c r="E1696" s="3" t="s">
        <v>20</v>
      </c>
      <c r="F1696" s="3" t="s">
        <v>21</v>
      </c>
      <c r="G1696" s="3" t="s">
        <v>22</v>
      </c>
      <c r="H1696">
        <v>30000</v>
      </c>
      <c r="I1696">
        <v>9</v>
      </c>
      <c r="J1696" s="3" t="s">
        <v>28</v>
      </c>
      <c r="K1696">
        <v>24000</v>
      </c>
      <c r="L1696">
        <v>270000</v>
      </c>
      <c r="M1696">
        <v>216000</v>
      </c>
      <c r="N1696">
        <v>54000</v>
      </c>
      <c r="O1696" s="3" t="s">
        <v>1797</v>
      </c>
      <c r="P1696" s="3" t="s">
        <v>102</v>
      </c>
      <c r="Q1696" s="3" t="s">
        <v>103</v>
      </c>
      <c r="R1696" s="3" t="s">
        <v>103</v>
      </c>
    </row>
    <row r="1697" spans="1:18">
      <c r="A1697" s="19">
        <v>47371</v>
      </c>
      <c r="B1697" s="3" t="s">
        <v>18</v>
      </c>
      <c r="C1697" s="3" t="s">
        <v>26</v>
      </c>
      <c r="D1697" s="3" t="s">
        <v>23</v>
      </c>
      <c r="E1697" s="3" t="s">
        <v>14</v>
      </c>
      <c r="F1697" s="3" t="s">
        <v>40</v>
      </c>
      <c r="G1697" s="3" t="s">
        <v>31</v>
      </c>
      <c r="H1697">
        <v>250000</v>
      </c>
      <c r="I1697">
        <v>3</v>
      </c>
      <c r="J1697" s="3" t="s">
        <v>24</v>
      </c>
      <c r="K1697">
        <v>200000</v>
      </c>
      <c r="L1697">
        <v>750000</v>
      </c>
      <c r="M1697">
        <v>600000</v>
      </c>
      <c r="N1697">
        <v>150000</v>
      </c>
      <c r="O1697" s="3" t="s">
        <v>1798</v>
      </c>
      <c r="P1697" s="3" t="s">
        <v>102</v>
      </c>
      <c r="Q1697" s="3" t="s">
        <v>103</v>
      </c>
      <c r="R1697" s="3" t="s">
        <v>103</v>
      </c>
    </row>
    <row r="1698" spans="1:18">
      <c r="A1698" s="19">
        <v>47372</v>
      </c>
      <c r="B1698" s="3" t="s">
        <v>18</v>
      </c>
      <c r="C1698" s="3" t="s">
        <v>19</v>
      </c>
      <c r="D1698" s="3" t="s">
        <v>23</v>
      </c>
      <c r="E1698" s="3" t="s">
        <v>14</v>
      </c>
      <c r="F1698" s="3" t="s">
        <v>27</v>
      </c>
      <c r="G1698" s="3" t="s">
        <v>22</v>
      </c>
      <c r="H1698">
        <v>60000</v>
      </c>
      <c r="I1698">
        <v>2</v>
      </c>
      <c r="J1698" s="3" t="s">
        <v>24</v>
      </c>
      <c r="K1698">
        <v>48000</v>
      </c>
      <c r="L1698">
        <v>120000</v>
      </c>
      <c r="M1698">
        <v>96000</v>
      </c>
      <c r="N1698">
        <v>24000</v>
      </c>
      <c r="O1698" s="3" t="s">
        <v>1799</v>
      </c>
      <c r="P1698" s="3" t="s">
        <v>102</v>
      </c>
      <c r="Q1698" s="3" t="s">
        <v>103</v>
      </c>
      <c r="R1698" s="3" t="s">
        <v>103</v>
      </c>
    </row>
    <row r="1699" spans="1:18">
      <c r="A1699" s="19">
        <v>47373</v>
      </c>
      <c r="B1699" s="3" t="s">
        <v>11</v>
      </c>
      <c r="C1699" s="3" t="s">
        <v>32</v>
      </c>
      <c r="D1699" s="3" t="s">
        <v>13</v>
      </c>
      <c r="E1699" s="3" t="s">
        <v>20</v>
      </c>
      <c r="F1699" s="3" t="s">
        <v>34</v>
      </c>
      <c r="G1699" s="3" t="s">
        <v>16</v>
      </c>
      <c r="H1699">
        <v>320000</v>
      </c>
      <c r="I1699">
        <v>3</v>
      </c>
      <c r="J1699" s="3" t="s">
        <v>28</v>
      </c>
      <c r="K1699">
        <v>256000</v>
      </c>
      <c r="L1699">
        <v>960000</v>
      </c>
      <c r="M1699">
        <v>768000</v>
      </c>
      <c r="N1699">
        <v>192000</v>
      </c>
      <c r="O1699" s="3" t="s">
        <v>1800</v>
      </c>
      <c r="P1699" s="3" t="s">
        <v>102</v>
      </c>
      <c r="Q1699" s="3" t="s">
        <v>103</v>
      </c>
      <c r="R1699" s="3" t="s">
        <v>103</v>
      </c>
    </row>
    <row r="1700" spans="1:18">
      <c r="A1700" s="19">
        <v>47374</v>
      </c>
      <c r="B1700" s="3" t="s">
        <v>18</v>
      </c>
      <c r="C1700" s="3" t="s">
        <v>26</v>
      </c>
      <c r="D1700" s="3" t="s">
        <v>13</v>
      </c>
      <c r="E1700" s="3" t="s">
        <v>14</v>
      </c>
      <c r="F1700" s="3" t="s">
        <v>30</v>
      </c>
      <c r="G1700" s="3" t="s">
        <v>31</v>
      </c>
      <c r="H1700">
        <v>300000</v>
      </c>
      <c r="I1700">
        <v>9</v>
      </c>
      <c r="J1700" s="3" t="s">
        <v>24</v>
      </c>
      <c r="K1700">
        <v>240000</v>
      </c>
      <c r="L1700">
        <v>2700000</v>
      </c>
      <c r="M1700">
        <v>2160000</v>
      </c>
      <c r="N1700">
        <v>540000</v>
      </c>
      <c r="O1700" s="3" t="s">
        <v>1801</v>
      </c>
      <c r="P1700" s="3" t="s">
        <v>102</v>
      </c>
      <c r="Q1700" s="3" t="s">
        <v>103</v>
      </c>
      <c r="R1700" s="3" t="s">
        <v>103</v>
      </c>
    </row>
    <row r="1701" spans="1:18">
      <c r="A1701" s="19">
        <v>47375</v>
      </c>
      <c r="B1701" s="3" t="s">
        <v>18</v>
      </c>
      <c r="C1701" s="3" t="s">
        <v>32</v>
      </c>
      <c r="D1701" s="3" t="s">
        <v>13</v>
      </c>
      <c r="E1701" s="3" t="s">
        <v>14</v>
      </c>
      <c r="F1701" s="3" t="s">
        <v>38</v>
      </c>
      <c r="G1701" s="3" t="s">
        <v>31</v>
      </c>
      <c r="H1701">
        <v>420000</v>
      </c>
      <c r="I1701">
        <v>4</v>
      </c>
      <c r="J1701" s="3" t="s">
        <v>39</v>
      </c>
      <c r="K1701">
        <v>336000</v>
      </c>
      <c r="L1701">
        <v>1680000</v>
      </c>
      <c r="M1701">
        <v>1344000</v>
      </c>
      <c r="N1701">
        <v>336000</v>
      </c>
      <c r="O1701" s="3" t="s">
        <v>1802</v>
      </c>
      <c r="P1701" s="3" t="s">
        <v>102</v>
      </c>
      <c r="Q1701" s="3" t="s">
        <v>103</v>
      </c>
      <c r="R1701" s="3" t="s">
        <v>103</v>
      </c>
    </row>
    <row r="1702" spans="1:18">
      <c r="A1702" s="19">
        <v>47376</v>
      </c>
      <c r="B1702" s="3" t="s">
        <v>11</v>
      </c>
      <c r="C1702" s="3" t="s">
        <v>12</v>
      </c>
      <c r="D1702" s="3" t="s">
        <v>13</v>
      </c>
      <c r="E1702" s="3" t="s">
        <v>20</v>
      </c>
      <c r="F1702" s="3" t="s">
        <v>34</v>
      </c>
      <c r="G1702" s="3" t="s">
        <v>16</v>
      </c>
      <c r="H1702">
        <v>320000</v>
      </c>
      <c r="I1702">
        <v>6</v>
      </c>
      <c r="J1702" s="3" t="s">
        <v>35</v>
      </c>
      <c r="K1702">
        <v>256000</v>
      </c>
      <c r="L1702">
        <v>1920000</v>
      </c>
      <c r="M1702">
        <v>1536000</v>
      </c>
      <c r="N1702">
        <v>384000</v>
      </c>
      <c r="O1702" s="3" t="s">
        <v>1803</v>
      </c>
      <c r="P1702" s="3" t="s">
        <v>102</v>
      </c>
      <c r="Q1702" s="3" t="s">
        <v>103</v>
      </c>
      <c r="R1702" s="3" t="s">
        <v>103</v>
      </c>
    </row>
    <row r="1703" spans="1:18">
      <c r="A1703" s="19">
        <v>47377</v>
      </c>
      <c r="B1703" s="3" t="s">
        <v>11</v>
      </c>
      <c r="C1703" s="3" t="s">
        <v>32</v>
      </c>
      <c r="D1703" s="3" t="s">
        <v>13</v>
      </c>
      <c r="E1703" s="3" t="s">
        <v>20</v>
      </c>
      <c r="F1703" s="3" t="s">
        <v>41</v>
      </c>
      <c r="G1703" s="3" t="s">
        <v>22</v>
      </c>
      <c r="H1703">
        <v>220000</v>
      </c>
      <c r="I1703">
        <v>4</v>
      </c>
      <c r="J1703" s="3" t="s">
        <v>39</v>
      </c>
      <c r="K1703">
        <v>176000</v>
      </c>
      <c r="L1703">
        <v>880000</v>
      </c>
      <c r="M1703">
        <v>704000</v>
      </c>
      <c r="N1703">
        <v>176000</v>
      </c>
      <c r="O1703" s="3" t="s">
        <v>1804</v>
      </c>
      <c r="P1703" s="3" t="s">
        <v>102</v>
      </c>
      <c r="Q1703" s="3" t="s">
        <v>103</v>
      </c>
      <c r="R1703" s="3" t="s">
        <v>103</v>
      </c>
    </row>
    <row r="1704" spans="1:18">
      <c r="A1704" s="19">
        <v>47378</v>
      </c>
      <c r="B1704" s="3" t="s">
        <v>25</v>
      </c>
      <c r="C1704" s="3" t="s">
        <v>32</v>
      </c>
      <c r="D1704" s="3" t="s">
        <v>13</v>
      </c>
      <c r="E1704" s="3" t="s">
        <v>20</v>
      </c>
      <c r="F1704" s="3" t="s">
        <v>15</v>
      </c>
      <c r="G1704" s="3" t="s">
        <v>16</v>
      </c>
      <c r="H1704">
        <v>85000</v>
      </c>
      <c r="I1704">
        <v>8</v>
      </c>
      <c r="J1704" s="3" t="s">
        <v>24</v>
      </c>
      <c r="K1704">
        <v>68000</v>
      </c>
      <c r="L1704">
        <v>680000</v>
      </c>
      <c r="M1704">
        <v>544000</v>
      </c>
      <c r="N1704">
        <v>136000</v>
      </c>
      <c r="O1704" s="3" t="s">
        <v>1805</v>
      </c>
      <c r="P1704" s="3" t="s">
        <v>102</v>
      </c>
      <c r="Q1704" s="3" t="s">
        <v>103</v>
      </c>
      <c r="R1704" s="3" t="s">
        <v>103</v>
      </c>
    </row>
    <row r="1705" spans="1:18">
      <c r="A1705" s="19">
        <v>47379</v>
      </c>
      <c r="B1705" s="3" t="s">
        <v>11</v>
      </c>
      <c r="C1705" s="3" t="s">
        <v>12</v>
      </c>
      <c r="D1705" s="3" t="s">
        <v>13</v>
      </c>
      <c r="E1705" s="3" t="s">
        <v>20</v>
      </c>
      <c r="F1705" s="3" t="s">
        <v>38</v>
      </c>
      <c r="G1705" s="3" t="s">
        <v>31</v>
      </c>
      <c r="H1705">
        <v>420000</v>
      </c>
      <c r="I1705">
        <v>7</v>
      </c>
      <c r="J1705" s="3" t="s">
        <v>28</v>
      </c>
      <c r="K1705">
        <v>336000</v>
      </c>
      <c r="L1705">
        <v>2940000</v>
      </c>
      <c r="M1705">
        <v>2352000</v>
      </c>
      <c r="N1705">
        <v>588000</v>
      </c>
      <c r="O1705" s="3" t="s">
        <v>1806</v>
      </c>
      <c r="P1705" s="3" t="s">
        <v>102</v>
      </c>
      <c r="Q1705" s="3" t="s">
        <v>103</v>
      </c>
      <c r="R1705" s="3" t="s">
        <v>103</v>
      </c>
    </row>
    <row r="1706" spans="1:18">
      <c r="A1706" s="19">
        <v>47380</v>
      </c>
      <c r="B1706" s="3" t="s">
        <v>18</v>
      </c>
      <c r="C1706" s="3" t="s">
        <v>32</v>
      </c>
      <c r="D1706" s="3" t="s">
        <v>23</v>
      </c>
      <c r="E1706" s="3" t="s">
        <v>20</v>
      </c>
      <c r="F1706" s="3" t="s">
        <v>41</v>
      </c>
      <c r="G1706" s="3" t="s">
        <v>22</v>
      </c>
      <c r="H1706">
        <v>220000</v>
      </c>
      <c r="I1706">
        <v>2</v>
      </c>
      <c r="J1706" s="3" t="s">
        <v>17</v>
      </c>
      <c r="K1706">
        <v>176000</v>
      </c>
      <c r="L1706">
        <v>440000</v>
      </c>
      <c r="M1706">
        <v>352000</v>
      </c>
      <c r="N1706">
        <v>88000</v>
      </c>
      <c r="O1706" s="3" t="s">
        <v>1807</v>
      </c>
      <c r="P1706" s="3" t="s">
        <v>102</v>
      </c>
      <c r="Q1706" s="3" t="s">
        <v>103</v>
      </c>
      <c r="R1706" s="3" t="s">
        <v>103</v>
      </c>
    </row>
    <row r="1707" spans="1:18">
      <c r="A1707" s="19">
        <v>47381</v>
      </c>
      <c r="B1707" s="3" t="s">
        <v>29</v>
      </c>
      <c r="C1707" s="3" t="s">
        <v>26</v>
      </c>
      <c r="D1707" s="3" t="s">
        <v>13</v>
      </c>
      <c r="E1707" s="3" t="s">
        <v>14</v>
      </c>
      <c r="F1707" s="3" t="s">
        <v>36</v>
      </c>
      <c r="G1707" s="3" t="s">
        <v>31</v>
      </c>
      <c r="H1707">
        <v>150000</v>
      </c>
      <c r="I1707">
        <v>1</v>
      </c>
      <c r="J1707" s="3" t="s">
        <v>35</v>
      </c>
      <c r="K1707">
        <v>120000</v>
      </c>
      <c r="L1707">
        <v>150000</v>
      </c>
      <c r="M1707">
        <v>120000</v>
      </c>
      <c r="N1707">
        <v>30000</v>
      </c>
      <c r="O1707" s="3" t="s">
        <v>1808</v>
      </c>
      <c r="P1707" s="3" t="s">
        <v>102</v>
      </c>
      <c r="Q1707" s="3" t="s">
        <v>103</v>
      </c>
      <c r="R1707" s="3" t="s">
        <v>103</v>
      </c>
    </row>
    <row r="1708" spans="1:18">
      <c r="A1708" s="19">
        <v>47382</v>
      </c>
      <c r="B1708" s="3" t="s">
        <v>29</v>
      </c>
      <c r="C1708" s="3" t="s">
        <v>12</v>
      </c>
      <c r="D1708" s="3" t="s">
        <v>23</v>
      </c>
      <c r="E1708" s="3" t="s">
        <v>20</v>
      </c>
      <c r="F1708" s="3" t="s">
        <v>38</v>
      </c>
      <c r="G1708" s="3" t="s">
        <v>31</v>
      </c>
      <c r="H1708">
        <v>420000</v>
      </c>
      <c r="I1708">
        <v>4</v>
      </c>
      <c r="J1708" s="3" t="s">
        <v>37</v>
      </c>
      <c r="K1708">
        <v>336000</v>
      </c>
      <c r="L1708">
        <v>1680000</v>
      </c>
      <c r="M1708">
        <v>1344000</v>
      </c>
      <c r="N1708">
        <v>336000</v>
      </c>
      <c r="O1708" s="3" t="s">
        <v>1809</v>
      </c>
      <c r="P1708" s="3" t="s">
        <v>102</v>
      </c>
      <c r="Q1708" s="3" t="s">
        <v>103</v>
      </c>
      <c r="R1708" s="3" t="s">
        <v>103</v>
      </c>
    </row>
    <row r="1709" spans="1:18">
      <c r="A1709" s="19">
        <v>47383</v>
      </c>
      <c r="B1709" s="3" t="s">
        <v>25</v>
      </c>
      <c r="C1709" s="3" t="s">
        <v>19</v>
      </c>
      <c r="D1709" s="3" t="s">
        <v>23</v>
      </c>
      <c r="E1709" s="3" t="s">
        <v>14</v>
      </c>
      <c r="F1709" s="3" t="s">
        <v>30</v>
      </c>
      <c r="G1709" s="3" t="s">
        <v>31</v>
      </c>
      <c r="H1709">
        <v>300000</v>
      </c>
      <c r="I1709">
        <v>1</v>
      </c>
      <c r="J1709" s="3" t="s">
        <v>28</v>
      </c>
      <c r="K1709">
        <v>240000</v>
      </c>
      <c r="L1709">
        <v>300000</v>
      </c>
      <c r="M1709">
        <v>240000</v>
      </c>
      <c r="N1709">
        <v>60000</v>
      </c>
      <c r="O1709" s="3" t="s">
        <v>1810</v>
      </c>
      <c r="P1709" s="3" t="s">
        <v>102</v>
      </c>
      <c r="Q1709" s="3" t="s">
        <v>103</v>
      </c>
      <c r="R1709" s="3" t="s">
        <v>103</v>
      </c>
    </row>
    <row r="1710" spans="1:18">
      <c r="A1710" s="19">
        <v>47384</v>
      </c>
      <c r="B1710" s="3" t="s">
        <v>11</v>
      </c>
      <c r="C1710" s="3" t="s">
        <v>19</v>
      </c>
      <c r="D1710" s="3" t="s">
        <v>13</v>
      </c>
      <c r="E1710" s="3" t="s">
        <v>20</v>
      </c>
      <c r="F1710" s="3" t="s">
        <v>30</v>
      </c>
      <c r="G1710" s="3" t="s">
        <v>31</v>
      </c>
      <c r="H1710">
        <v>300000</v>
      </c>
      <c r="I1710">
        <v>9</v>
      </c>
      <c r="J1710" s="3" t="s">
        <v>24</v>
      </c>
      <c r="K1710">
        <v>240000</v>
      </c>
      <c r="L1710">
        <v>2700000</v>
      </c>
      <c r="M1710">
        <v>2160000</v>
      </c>
      <c r="N1710">
        <v>540000</v>
      </c>
      <c r="O1710" s="3" t="s">
        <v>1811</v>
      </c>
      <c r="P1710" s="3" t="s">
        <v>102</v>
      </c>
      <c r="Q1710" s="3" t="s">
        <v>103</v>
      </c>
      <c r="R1710" s="3" t="s">
        <v>103</v>
      </c>
    </row>
    <row r="1711" spans="1:18">
      <c r="A1711" s="19">
        <v>47385</v>
      </c>
      <c r="B1711" s="3" t="s">
        <v>25</v>
      </c>
      <c r="C1711" s="3" t="s">
        <v>32</v>
      </c>
      <c r="D1711" s="3" t="s">
        <v>13</v>
      </c>
      <c r="E1711" s="3" t="s">
        <v>14</v>
      </c>
      <c r="F1711" s="3" t="s">
        <v>40</v>
      </c>
      <c r="G1711" s="3" t="s">
        <v>31</v>
      </c>
      <c r="H1711">
        <v>250000</v>
      </c>
      <c r="I1711">
        <v>6</v>
      </c>
      <c r="J1711" s="3" t="s">
        <v>24</v>
      </c>
      <c r="K1711">
        <v>200000</v>
      </c>
      <c r="L1711">
        <v>1500000</v>
      </c>
      <c r="M1711">
        <v>1200000</v>
      </c>
      <c r="N1711">
        <v>300000</v>
      </c>
      <c r="O1711" s="3" t="s">
        <v>1812</v>
      </c>
      <c r="P1711" s="3" t="s">
        <v>102</v>
      </c>
      <c r="Q1711" s="3" t="s">
        <v>103</v>
      </c>
      <c r="R1711" s="3" t="s">
        <v>103</v>
      </c>
    </row>
    <row r="1712" spans="1:18">
      <c r="A1712" s="19">
        <v>47386</v>
      </c>
      <c r="B1712" s="3" t="s">
        <v>29</v>
      </c>
      <c r="C1712" s="3" t="s">
        <v>26</v>
      </c>
      <c r="D1712" s="3" t="s">
        <v>13</v>
      </c>
      <c r="E1712" s="3" t="s">
        <v>20</v>
      </c>
      <c r="F1712" s="3" t="s">
        <v>21</v>
      </c>
      <c r="G1712" s="3" t="s">
        <v>22</v>
      </c>
      <c r="H1712">
        <v>30000</v>
      </c>
      <c r="I1712">
        <v>7</v>
      </c>
      <c r="J1712" s="3" t="s">
        <v>28</v>
      </c>
      <c r="K1712">
        <v>24000</v>
      </c>
      <c r="L1712">
        <v>210000</v>
      </c>
      <c r="M1712">
        <v>168000</v>
      </c>
      <c r="N1712">
        <v>42000</v>
      </c>
      <c r="O1712" s="3" t="s">
        <v>1813</v>
      </c>
      <c r="P1712" s="3" t="s">
        <v>102</v>
      </c>
      <c r="Q1712" s="3" t="s">
        <v>103</v>
      </c>
      <c r="R1712" s="3" t="s">
        <v>103</v>
      </c>
    </row>
    <row r="1713" spans="1:18">
      <c r="A1713" s="19">
        <v>47387</v>
      </c>
      <c r="B1713" s="3" t="s">
        <v>25</v>
      </c>
      <c r="C1713" s="3" t="s">
        <v>12</v>
      </c>
      <c r="D1713" s="3" t="s">
        <v>23</v>
      </c>
      <c r="E1713" s="3" t="s">
        <v>14</v>
      </c>
      <c r="F1713" s="3" t="s">
        <v>15</v>
      </c>
      <c r="G1713" s="3" t="s">
        <v>16</v>
      </c>
      <c r="H1713">
        <v>85000</v>
      </c>
      <c r="I1713">
        <v>7</v>
      </c>
      <c r="J1713" s="3" t="s">
        <v>39</v>
      </c>
      <c r="K1713">
        <v>68000</v>
      </c>
      <c r="L1713">
        <v>595000</v>
      </c>
      <c r="M1713">
        <v>476000</v>
      </c>
      <c r="N1713">
        <v>119000</v>
      </c>
      <c r="O1713" s="3" t="s">
        <v>1814</v>
      </c>
      <c r="P1713" s="3" t="s">
        <v>102</v>
      </c>
      <c r="Q1713" s="3" t="s">
        <v>103</v>
      </c>
      <c r="R1713" s="3" t="s">
        <v>103</v>
      </c>
    </row>
    <row r="1714" spans="1:18">
      <c r="A1714" s="19">
        <v>47388</v>
      </c>
      <c r="B1714" s="3" t="s">
        <v>11</v>
      </c>
      <c r="C1714" s="3" t="s">
        <v>32</v>
      </c>
      <c r="D1714" s="3" t="s">
        <v>23</v>
      </c>
      <c r="E1714" s="3" t="s">
        <v>14</v>
      </c>
      <c r="F1714" s="3" t="s">
        <v>15</v>
      </c>
      <c r="G1714" s="3" t="s">
        <v>16</v>
      </c>
      <c r="H1714">
        <v>85000</v>
      </c>
      <c r="I1714">
        <v>7</v>
      </c>
      <c r="J1714" s="3" t="s">
        <v>39</v>
      </c>
      <c r="K1714">
        <v>68000</v>
      </c>
      <c r="L1714">
        <v>595000</v>
      </c>
      <c r="M1714">
        <v>476000</v>
      </c>
      <c r="N1714">
        <v>119000</v>
      </c>
      <c r="O1714" s="3" t="s">
        <v>1815</v>
      </c>
      <c r="P1714" s="3" t="s">
        <v>102</v>
      </c>
      <c r="Q1714" s="3" t="s">
        <v>103</v>
      </c>
      <c r="R1714" s="3" t="s">
        <v>103</v>
      </c>
    </row>
    <row r="1715" spans="1:18">
      <c r="A1715" s="19">
        <v>47389</v>
      </c>
      <c r="B1715" s="3" t="s">
        <v>25</v>
      </c>
      <c r="C1715" s="3" t="s">
        <v>26</v>
      </c>
      <c r="D1715" s="3" t="s">
        <v>13</v>
      </c>
      <c r="E1715" s="3" t="s">
        <v>14</v>
      </c>
      <c r="F1715" s="3" t="s">
        <v>21</v>
      </c>
      <c r="G1715" s="3" t="s">
        <v>22</v>
      </c>
      <c r="H1715">
        <v>30000</v>
      </c>
      <c r="I1715">
        <v>4</v>
      </c>
      <c r="J1715" s="3" t="s">
        <v>17</v>
      </c>
      <c r="K1715">
        <v>24000</v>
      </c>
      <c r="L1715">
        <v>120000</v>
      </c>
      <c r="M1715">
        <v>96000</v>
      </c>
      <c r="N1715">
        <v>24000</v>
      </c>
      <c r="O1715" s="3" t="s">
        <v>1816</v>
      </c>
      <c r="P1715" s="3" t="s">
        <v>102</v>
      </c>
      <c r="Q1715" s="3" t="s">
        <v>103</v>
      </c>
      <c r="R1715" s="3" t="s">
        <v>103</v>
      </c>
    </row>
    <row r="1716" spans="1:18">
      <c r="A1716" s="19">
        <v>47390</v>
      </c>
      <c r="B1716" s="3" t="s">
        <v>11</v>
      </c>
      <c r="C1716" s="3" t="s">
        <v>26</v>
      </c>
      <c r="D1716" s="3" t="s">
        <v>13</v>
      </c>
      <c r="E1716" s="3" t="s">
        <v>14</v>
      </c>
      <c r="F1716" s="3" t="s">
        <v>36</v>
      </c>
      <c r="G1716" s="3" t="s">
        <v>31</v>
      </c>
      <c r="H1716">
        <v>150000</v>
      </c>
      <c r="I1716">
        <v>9</v>
      </c>
      <c r="J1716" s="3" t="s">
        <v>24</v>
      </c>
      <c r="K1716">
        <v>120000</v>
      </c>
      <c r="L1716">
        <v>1350000</v>
      </c>
      <c r="M1716">
        <v>1080000</v>
      </c>
      <c r="N1716">
        <v>270000</v>
      </c>
      <c r="O1716" s="3" t="s">
        <v>1817</v>
      </c>
      <c r="P1716" s="3" t="s">
        <v>102</v>
      </c>
      <c r="Q1716" s="3" t="s">
        <v>103</v>
      </c>
      <c r="R1716" s="3" t="s">
        <v>103</v>
      </c>
    </row>
    <row r="1717" spans="1:18">
      <c r="A1717" s="19">
        <v>47391</v>
      </c>
      <c r="B1717" s="3" t="s">
        <v>29</v>
      </c>
      <c r="C1717" s="3" t="s">
        <v>12</v>
      </c>
      <c r="D1717" s="3" t="s">
        <v>23</v>
      </c>
      <c r="E1717" s="3" t="s">
        <v>20</v>
      </c>
      <c r="F1717" s="3" t="s">
        <v>41</v>
      </c>
      <c r="G1717" s="3" t="s">
        <v>22</v>
      </c>
      <c r="H1717">
        <v>220000</v>
      </c>
      <c r="I1717">
        <v>9</v>
      </c>
      <c r="J1717" s="3" t="s">
        <v>39</v>
      </c>
      <c r="K1717">
        <v>176000</v>
      </c>
      <c r="L1717">
        <v>1980000</v>
      </c>
      <c r="M1717">
        <v>1584000</v>
      </c>
      <c r="N1717">
        <v>396000</v>
      </c>
      <c r="O1717" s="3" t="s">
        <v>1818</v>
      </c>
      <c r="P1717" s="3" t="s">
        <v>102</v>
      </c>
      <c r="Q1717" s="3" t="s">
        <v>103</v>
      </c>
      <c r="R1717" s="3" t="s">
        <v>103</v>
      </c>
    </row>
    <row r="1718" spans="1:18">
      <c r="A1718" s="19">
        <v>47392</v>
      </c>
      <c r="B1718" s="3" t="s">
        <v>18</v>
      </c>
      <c r="C1718" s="3" t="s">
        <v>26</v>
      </c>
      <c r="D1718" s="3" t="s">
        <v>23</v>
      </c>
      <c r="E1718" s="3" t="s">
        <v>14</v>
      </c>
      <c r="F1718" s="3" t="s">
        <v>21</v>
      </c>
      <c r="G1718" s="3" t="s">
        <v>22</v>
      </c>
      <c r="H1718">
        <v>30000</v>
      </c>
      <c r="I1718">
        <v>8</v>
      </c>
      <c r="J1718" s="3" t="s">
        <v>37</v>
      </c>
      <c r="K1718">
        <v>24000</v>
      </c>
      <c r="L1718">
        <v>240000</v>
      </c>
      <c r="M1718">
        <v>192000</v>
      </c>
      <c r="N1718">
        <v>48000</v>
      </c>
      <c r="O1718" s="3" t="s">
        <v>1819</v>
      </c>
      <c r="P1718" s="3" t="s">
        <v>102</v>
      </c>
      <c r="Q1718" s="3" t="s">
        <v>103</v>
      </c>
      <c r="R1718" s="3" t="s">
        <v>103</v>
      </c>
    </row>
    <row r="1719" spans="1:18">
      <c r="A1719" s="19">
        <v>47393</v>
      </c>
      <c r="B1719" s="3" t="s">
        <v>18</v>
      </c>
      <c r="C1719" s="3" t="s">
        <v>26</v>
      </c>
      <c r="D1719" s="3" t="s">
        <v>13</v>
      </c>
      <c r="E1719" s="3" t="s">
        <v>14</v>
      </c>
      <c r="F1719" s="3" t="s">
        <v>15</v>
      </c>
      <c r="G1719" s="3" t="s">
        <v>16</v>
      </c>
      <c r="H1719">
        <v>85000</v>
      </c>
      <c r="I1719">
        <v>2</v>
      </c>
      <c r="J1719" s="3" t="s">
        <v>24</v>
      </c>
      <c r="K1719">
        <v>68000</v>
      </c>
      <c r="L1719">
        <v>170000</v>
      </c>
      <c r="M1719">
        <v>136000</v>
      </c>
      <c r="N1719">
        <v>34000</v>
      </c>
      <c r="O1719" s="3" t="s">
        <v>1820</v>
      </c>
      <c r="P1719" s="3" t="s">
        <v>102</v>
      </c>
      <c r="Q1719" s="3" t="s">
        <v>103</v>
      </c>
      <c r="R1719" s="3" t="s">
        <v>103</v>
      </c>
    </row>
    <row r="1720" spans="1:18">
      <c r="A1720" s="19">
        <v>47394</v>
      </c>
      <c r="B1720" s="3" t="s">
        <v>25</v>
      </c>
      <c r="C1720" s="3" t="s">
        <v>19</v>
      </c>
      <c r="D1720" s="3" t="s">
        <v>23</v>
      </c>
      <c r="E1720" s="3" t="s">
        <v>14</v>
      </c>
      <c r="F1720" s="3" t="s">
        <v>33</v>
      </c>
      <c r="G1720" s="3" t="s">
        <v>22</v>
      </c>
      <c r="H1720">
        <v>180000</v>
      </c>
      <c r="I1720">
        <v>9</v>
      </c>
      <c r="J1720" s="3" t="s">
        <v>24</v>
      </c>
      <c r="K1720">
        <v>144000</v>
      </c>
      <c r="L1720">
        <v>1620000</v>
      </c>
      <c r="M1720">
        <v>1296000</v>
      </c>
      <c r="N1720">
        <v>324000</v>
      </c>
      <c r="O1720" s="3" t="s">
        <v>1821</v>
      </c>
      <c r="P1720" s="3" t="s">
        <v>102</v>
      </c>
      <c r="Q1720" s="3" t="s">
        <v>103</v>
      </c>
      <c r="R1720" s="3" t="s">
        <v>103</v>
      </c>
    </row>
    <row r="1721" spans="1:18">
      <c r="A1721" s="19">
        <v>47395</v>
      </c>
      <c r="B1721" s="3" t="s">
        <v>18</v>
      </c>
      <c r="C1721" s="3" t="s">
        <v>26</v>
      </c>
      <c r="D1721" s="3" t="s">
        <v>13</v>
      </c>
      <c r="E1721" s="3" t="s">
        <v>14</v>
      </c>
      <c r="F1721" s="3" t="s">
        <v>36</v>
      </c>
      <c r="G1721" s="3" t="s">
        <v>31</v>
      </c>
      <c r="H1721">
        <v>150000</v>
      </c>
      <c r="I1721">
        <v>8</v>
      </c>
      <c r="J1721" s="3" t="s">
        <v>39</v>
      </c>
      <c r="K1721">
        <v>120000</v>
      </c>
      <c r="L1721">
        <v>1200000</v>
      </c>
      <c r="M1721">
        <v>960000</v>
      </c>
      <c r="N1721">
        <v>240000</v>
      </c>
      <c r="O1721" s="3" t="s">
        <v>1822</v>
      </c>
      <c r="P1721" s="3" t="s">
        <v>102</v>
      </c>
      <c r="Q1721" s="3" t="s">
        <v>103</v>
      </c>
      <c r="R1721" s="3" t="s">
        <v>103</v>
      </c>
    </row>
    <row r="1722" spans="1:18">
      <c r="A1722" s="19">
        <v>47396</v>
      </c>
      <c r="B1722" s="3" t="s">
        <v>29</v>
      </c>
      <c r="C1722" s="3" t="s">
        <v>12</v>
      </c>
      <c r="D1722" s="3" t="s">
        <v>13</v>
      </c>
      <c r="E1722" s="3" t="s">
        <v>14</v>
      </c>
      <c r="F1722" s="3" t="s">
        <v>27</v>
      </c>
      <c r="G1722" s="3" t="s">
        <v>22</v>
      </c>
      <c r="H1722">
        <v>60000</v>
      </c>
      <c r="I1722">
        <v>8</v>
      </c>
      <c r="J1722" s="3" t="s">
        <v>37</v>
      </c>
      <c r="K1722">
        <v>48000</v>
      </c>
      <c r="L1722">
        <v>480000</v>
      </c>
      <c r="M1722">
        <v>384000</v>
      </c>
      <c r="N1722">
        <v>96000</v>
      </c>
      <c r="O1722" s="3" t="s">
        <v>1823</v>
      </c>
      <c r="P1722" s="3" t="s">
        <v>102</v>
      </c>
      <c r="Q1722" s="3" t="s">
        <v>103</v>
      </c>
      <c r="R1722" s="3" t="s">
        <v>103</v>
      </c>
    </row>
    <row r="1723" spans="1:18">
      <c r="A1723" s="19">
        <v>47397</v>
      </c>
      <c r="B1723" s="3" t="s">
        <v>11</v>
      </c>
      <c r="C1723" s="3" t="s">
        <v>12</v>
      </c>
      <c r="D1723" s="3" t="s">
        <v>13</v>
      </c>
      <c r="E1723" s="3" t="s">
        <v>20</v>
      </c>
      <c r="F1723" s="3" t="s">
        <v>30</v>
      </c>
      <c r="G1723" s="3" t="s">
        <v>31</v>
      </c>
      <c r="H1723">
        <v>300000</v>
      </c>
      <c r="I1723">
        <v>5</v>
      </c>
      <c r="J1723" s="3" t="s">
        <v>28</v>
      </c>
      <c r="K1723">
        <v>240000</v>
      </c>
      <c r="L1723">
        <v>1500000</v>
      </c>
      <c r="M1723">
        <v>1200000</v>
      </c>
      <c r="N1723">
        <v>300000</v>
      </c>
      <c r="O1723" s="3" t="s">
        <v>1824</v>
      </c>
      <c r="P1723" s="3" t="s">
        <v>102</v>
      </c>
      <c r="Q1723" s="3" t="s">
        <v>103</v>
      </c>
      <c r="R1723" s="3" t="s">
        <v>103</v>
      </c>
    </row>
    <row r="1724" spans="1:18">
      <c r="A1724" s="19">
        <v>47398</v>
      </c>
      <c r="B1724" s="3" t="s">
        <v>29</v>
      </c>
      <c r="C1724" s="3" t="s">
        <v>19</v>
      </c>
      <c r="D1724" s="3" t="s">
        <v>13</v>
      </c>
      <c r="E1724" s="3" t="s">
        <v>14</v>
      </c>
      <c r="F1724" s="3" t="s">
        <v>21</v>
      </c>
      <c r="G1724" s="3" t="s">
        <v>22</v>
      </c>
      <c r="H1724">
        <v>30000</v>
      </c>
      <c r="I1724">
        <v>8</v>
      </c>
      <c r="J1724" s="3" t="s">
        <v>35</v>
      </c>
      <c r="K1724">
        <v>24000</v>
      </c>
      <c r="L1724">
        <v>240000</v>
      </c>
      <c r="M1724">
        <v>192000</v>
      </c>
      <c r="N1724">
        <v>48000</v>
      </c>
      <c r="O1724" s="3" t="s">
        <v>1825</v>
      </c>
      <c r="P1724" s="3" t="s">
        <v>102</v>
      </c>
      <c r="Q1724" s="3" t="s">
        <v>103</v>
      </c>
      <c r="R1724" s="3" t="s">
        <v>103</v>
      </c>
    </row>
    <row r="1725" spans="1:18">
      <c r="A1725" s="19">
        <v>47399</v>
      </c>
      <c r="B1725" s="3" t="s">
        <v>29</v>
      </c>
      <c r="C1725" s="3" t="s">
        <v>12</v>
      </c>
      <c r="D1725" s="3" t="s">
        <v>23</v>
      </c>
      <c r="E1725" s="3" t="s">
        <v>20</v>
      </c>
      <c r="F1725" s="3" t="s">
        <v>38</v>
      </c>
      <c r="G1725" s="3" t="s">
        <v>31</v>
      </c>
      <c r="H1725">
        <v>420000</v>
      </c>
      <c r="I1725">
        <v>3</v>
      </c>
      <c r="J1725" s="3" t="s">
        <v>24</v>
      </c>
      <c r="K1725">
        <v>336000</v>
      </c>
      <c r="L1725">
        <v>1260000</v>
      </c>
      <c r="M1725">
        <v>1008000</v>
      </c>
      <c r="N1725">
        <v>252000</v>
      </c>
      <c r="O1725" s="3" t="s">
        <v>1826</v>
      </c>
      <c r="P1725" s="3" t="s">
        <v>102</v>
      </c>
      <c r="Q1725" s="3" t="s">
        <v>103</v>
      </c>
      <c r="R1725" s="3" t="s">
        <v>103</v>
      </c>
    </row>
    <row r="1726" spans="1:18">
      <c r="A1726" s="19">
        <v>47400</v>
      </c>
      <c r="B1726" s="3" t="s">
        <v>11</v>
      </c>
      <c r="C1726" s="3" t="s">
        <v>12</v>
      </c>
      <c r="D1726" s="3" t="s">
        <v>23</v>
      </c>
      <c r="E1726" s="3" t="s">
        <v>14</v>
      </c>
      <c r="F1726" s="3" t="s">
        <v>38</v>
      </c>
      <c r="G1726" s="3" t="s">
        <v>31</v>
      </c>
      <c r="H1726">
        <v>420000</v>
      </c>
      <c r="I1726">
        <v>7</v>
      </c>
      <c r="J1726" s="3" t="s">
        <v>39</v>
      </c>
      <c r="K1726">
        <v>336000</v>
      </c>
      <c r="L1726">
        <v>2940000</v>
      </c>
      <c r="M1726">
        <v>2352000</v>
      </c>
      <c r="N1726">
        <v>588000</v>
      </c>
      <c r="O1726" s="3" t="s">
        <v>1827</v>
      </c>
      <c r="P1726" s="3" t="s">
        <v>102</v>
      </c>
      <c r="Q1726" s="3" t="s">
        <v>103</v>
      </c>
      <c r="R1726" s="3" t="s">
        <v>103</v>
      </c>
    </row>
    <row r="1727" spans="1:18">
      <c r="A1727" s="19">
        <v>47401</v>
      </c>
      <c r="B1727" s="3" t="s">
        <v>18</v>
      </c>
      <c r="C1727" s="3" t="s">
        <v>19</v>
      </c>
      <c r="D1727" s="3" t="s">
        <v>23</v>
      </c>
      <c r="E1727" s="3" t="s">
        <v>14</v>
      </c>
      <c r="F1727" s="3" t="s">
        <v>15</v>
      </c>
      <c r="G1727" s="3" t="s">
        <v>16</v>
      </c>
      <c r="H1727">
        <v>85000</v>
      </c>
      <c r="I1727">
        <v>9</v>
      </c>
      <c r="J1727" s="3" t="s">
        <v>39</v>
      </c>
      <c r="K1727">
        <v>68000</v>
      </c>
      <c r="L1727">
        <v>765000</v>
      </c>
      <c r="M1727">
        <v>612000</v>
      </c>
      <c r="N1727">
        <v>153000</v>
      </c>
      <c r="O1727" s="3" t="s">
        <v>1828</v>
      </c>
      <c r="P1727" s="3" t="s">
        <v>102</v>
      </c>
      <c r="Q1727" s="3" t="s">
        <v>103</v>
      </c>
      <c r="R1727" s="3" t="s">
        <v>103</v>
      </c>
    </row>
    <row r="1728" spans="1:18">
      <c r="A1728" s="19">
        <v>47402</v>
      </c>
      <c r="B1728" s="3" t="s">
        <v>18</v>
      </c>
      <c r="C1728" s="3" t="s">
        <v>19</v>
      </c>
      <c r="D1728" s="3" t="s">
        <v>23</v>
      </c>
      <c r="E1728" s="3" t="s">
        <v>14</v>
      </c>
      <c r="F1728" s="3" t="s">
        <v>30</v>
      </c>
      <c r="G1728" s="3" t="s">
        <v>31</v>
      </c>
      <c r="H1728">
        <v>300000</v>
      </c>
      <c r="I1728">
        <v>8</v>
      </c>
      <c r="J1728" s="3" t="s">
        <v>28</v>
      </c>
      <c r="K1728">
        <v>240000</v>
      </c>
      <c r="L1728">
        <v>2400000</v>
      </c>
      <c r="M1728">
        <v>1920000</v>
      </c>
      <c r="N1728">
        <v>480000</v>
      </c>
      <c r="O1728" s="3" t="s">
        <v>1829</v>
      </c>
      <c r="P1728" s="3" t="s">
        <v>102</v>
      </c>
      <c r="Q1728" s="3" t="s">
        <v>103</v>
      </c>
      <c r="R1728" s="3" t="s">
        <v>103</v>
      </c>
    </row>
    <row r="1729" spans="1:18">
      <c r="A1729" s="19">
        <v>47403</v>
      </c>
      <c r="B1729" s="3" t="s">
        <v>29</v>
      </c>
      <c r="C1729" s="3" t="s">
        <v>32</v>
      </c>
      <c r="D1729" s="3" t="s">
        <v>13</v>
      </c>
      <c r="E1729" s="3" t="s">
        <v>20</v>
      </c>
      <c r="F1729" s="3" t="s">
        <v>38</v>
      </c>
      <c r="G1729" s="3" t="s">
        <v>31</v>
      </c>
      <c r="H1729">
        <v>420000</v>
      </c>
      <c r="I1729">
        <v>6</v>
      </c>
      <c r="J1729" s="3" t="s">
        <v>17</v>
      </c>
      <c r="K1729">
        <v>336000</v>
      </c>
      <c r="L1729">
        <v>2520000</v>
      </c>
      <c r="M1729">
        <v>2016000</v>
      </c>
      <c r="N1729">
        <v>504000</v>
      </c>
      <c r="O1729" s="3" t="s">
        <v>1830</v>
      </c>
      <c r="P1729" s="3" t="s">
        <v>102</v>
      </c>
      <c r="Q1729" s="3" t="s">
        <v>103</v>
      </c>
      <c r="R1729" s="3" t="s">
        <v>103</v>
      </c>
    </row>
    <row r="1730" spans="1:18">
      <c r="A1730" s="19">
        <v>47404</v>
      </c>
      <c r="B1730" s="3" t="s">
        <v>25</v>
      </c>
      <c r="C1730" s="3" t="s">
        <v>32</v>
      </c>
      <c r="D1730" s="3" t="s">
        <v>23</v>
      </c>
      <c r="E1730" s="3" t="s">
        <v>14</v>
      </c>
      <c r="F1730" s="3" t="s">
        <v>36</v>
      </c>
      <c r="G1730" s="3" t="s">
        <v>31</v>
      </c>
      <c r="H1730">
        <v>150000</v>
      </c>
      <c r="I1730">
        <v>9</v>
      </c>
      <c r="J1730" s="3" t="s">
        <v>35</v>
      </c>
      <c r="K1730">
        <v>120000</v>
      </c>
      <c r="L1730">
        <v>1350000</v>
      </c>
      <c r="M1730">
        <v>1080000</v>
      </c>
      <c r="N1730">
        <v>270000</v>
      </c>
      <c r="O1730" s="3" t="s">
        <v>1831</v>
      </c>
      <c r="P1730" s="3" t="s">
        <v>102</v>
      </c>
      <c r="Q1730" s="3" t="s">
        <v>103</v>
      </c>
      <c r="R1730" s="3" t="s">
        <v>103</v>
      </c>
    </row>
    <row r="1731" spans="1:18">
      <c r="A1731" s="19">
        <v>47405</v>
      </c>
      <c r="B1731" s="3" t="s">
        <v>18</v>
      </c>
      <c r="C1731" s="3" t="s">
        <v>26</v>
      </c>
      <c r="D1731" s="3" t="s">
        <v>13</v>
      </c>
      <c r="E1731" s="3" t="s">
        <v>20</v>
      </c>
      <c r="F1731" s="3" t="s">
        <v>21</v>
      </c>
      <c r="G1731" s="3" t="s">
        <v>22</v>
      </c>
      <c r="H1731">
        <v>30000</v>
      </c>
      <c r="I1731">
        <v>3</v>
      </c>
      <c r="J1731" s="3" t="s">
        <v>28</v>
      </c>
      <c r="K1731">
        <v>24000</v>
      </c>
      <c r="L1731">
        <v>90000</v>
      </c>
      <c r="M1731">
        <v>72000</v>
      </c>
      <c r="N1731">
        <v>18000</v>
      </c>
      <c r="O1731" s="3" t="s">
        <v>1832</v>
      </c>
      <c r="P1731" s="3" t="s">
        <v>102</v>
      </c>
      <c r="Q1731" s="3" t="s">
        <v>103</v>
      </c>
      <c r="R1731" s="3" t="s">
        <v>103</v>
      </c>
    </row>
    <row r="1732" spans="1:18">
      <c r="A1732" s="19">
        <v>47406</v>
      </c>
      <c r="B1732" s="3" t="s">
        <v>18</v>
      </c>
      <c r="C1732" s="3" t="s">
        <v>26</v>
      </c>
      <c r="D1732" s="3" t="s">
        <v>13</v>
      </c>
      <c r="E1732" s="3" t="s">
        <v>20</v>
      </c>
      <c r="F1732" s="3" t="s">
        <v>21</v>
      </c>
      <c r="G1732" s="3" t="s">
        <v>22</v>
      </c>
      <c r="H1732">
        <v>30000</v>
      </c>
      <c r="I1732">
        <v>4</v>
      </c>
      <c r="J1732" s="3" t="s">
        <v>37</v>
      </c>
      <c r="K1732">
        <v>24000</v>
      </c>
      <c r="L1732">
        <v>120000</v>
      </c>
      <c r="M1732">
        <v>96000</v>
      </c>
      <c r="N1732">
        <v>24000</v>
      </c>
      <c r="O1732" s="3" t="s">
        <v>1833</v>
      </c>
      <c r="P1732" s="3" t="s">
        <v>102</v>
      </c>
      <c r="Q1732" s="3" t="s">
        <v>103</v>
      </c>
      <c r="R1732" s="3" t="s">
        <v>103</v>
      </c>
    </row>
    <row r="1733" spans="1:18">
      <c r="A1733" s="19">
        <v>47407</v>
      </c>
      <c r="B1733" s="3" t="s">
        <v>29</v>
      </c>
      <c r="C1733" s="3" t="s">
        <v>19</v>
      </c>
      <c r="D1733" s="3" t="s">
        <v>23</v>
      </c>
      <c r="E1733" s="3" t="s">
        <v>14</v>
      </c>
      <c r="F1733" s="3" t="s">
        <v>27</v>
      </c>
      <c r="G1733" s="3" t="s">
        <v>22</v>
      </c>
      <c r="H1733">
        <v>60000</v>
      </c>
      <c r="I1733">
        <v>4</v>
      </c>
      <c r="J1733" s="3" t="s">
        <v>37</v>
      </c>
      <c r="K1733">
        <v>48000</v>
      </c>
      <c r="L1733">
        <v>240000</v>
      </c>
      <c r="M1733">
        <v>192000</v>
      </c>
      <c r="N1733">
        <v>48000</v>
      </c>
      <c r="O1733" s="3" t="s">
        <v>1834</v>
      </c>
      <c r="P1733" s="3" t="s">
        <v>102</v>
      </c>
      <c r="Q1733" s="3" t="s">
        <v>103</v>
      </c>
      <c r="R1733" s="3" t="s">
        <v>103</v>
      </c>
    </row>
    <row r="1734" spans="1:18">
      <c r="A1734" s="19">
        <v>47408</v>
      </c>
      <c r="B1734" s="3" t="s">
        <v>29</v>
      </c>
      <c r="C1734" s="3" t="s">
        <v>26</v>
      </c>
      <c r="D1734" s="3" t="s">
        <v>13</v>
      </c>
      <c r="E1734" s="3" t="s">
        <v>20</v>
      </c>
      <c r="F1734" s="3" t="s">
        <v>40</v>
      </c>
      <c r="G1734" s="3" t="s">
        <v>31</v>
      </c>
      <c r="H1734">
        <v>250000</v>
      </c>
      <c r="I1734">
        <v>8</v>
      </c>
      <c r="J1734" s="3" t="s">
        <v>17</v>
      </c>
      <c r="K1734">
        <v>200000</v>
      </c>
      <c r="L1734">
        <v>2000000</v>
      </c>
      <c r="M1734">
        <v>1600000</v>
      </c>
      <c r="N1734">
        <v>400000</v>
      </c>
      <c r="O1734" s="3" t="s">
        <v>1835</v>
      </c>
      <c r="P1734" s="3" t="s">
        <v>102</v>
      </c>
      <c r="Q1734" s="3" t="s">
        <v>103</v>
      </c>
      <c r="R1734" s="3" t="s">
        <v>103</v>
      </c>
    </row>
    <row r="1735" spans="1:18">
      <c r="A1735" s="19">
        <v>47409</v>
      </c>
      <c r="B1735" s="3" t="s">
        <v>29</v>
      </c>
      <c r="C1735" s="3" t="s">
        <v>32</v>
      </c>
      <c r="D1735" s="3" t="s">
        <v>23</v>
      </c>
      <c r="E1735" s="3" t="s">
        <v>14</v>
      </c>
      <c r="F1735" s="3" t="s">
        <v>21</v>
      </c>
      <c r="G1735" s="3" t="s">
        <v>22</v>
      </c>
      <c r="H1735">
        <v>30000</v>
      </c>
      <c r="I1735">
        <v>6</v>
      </c>
      <c r="J1735" s="3" t="s">
        <v>28</v>
      </c>
      <c r="K1735">
        <v>24000</v>
      </c>
      <c r="L1735">
        <v>180000</v>
      </c>
      <c r="M1735">
        <v>144000</v>
      </c>
      <c r="N1735">
        <v>36000</v>
      </c>
      <c r="O1735" s="3" t="s">
        <v>1836</v>
      </c>
      <c r="P1735" s="3" t="s">
        <v>102</v>
      </c>
      <c r="Q1735" s="3" t="s">
        <v>103</v>
      </c>
      <c r="R1735" s="3" t="s">
        <v>103</v>
      </c>
    </row>
    <row r="1736" spans="1:18">
      <c r="A1736" s="19">
        <v>47410</v>
      </c>
      <c r="B1736" s="3" t="s">
        <v>25</v>
      </c>
      <c r="C1736" s="3" t="s">
        <v>19</v>
      </c>
      <c r="D1736" s="3" t="s">
        <v>23</v>
      </c>
      <c r="E1736" s="3" t="s">
        <v>20</v>
      </c>
      <c r="F1736" s="3" t="s">
        <v>40</v>
      </c>
      <c r="G1736" s="3" t="s">
        <v>31</v>
      </c>
      <c r="H1736">
        <v>250000</v>
      </c>
      <c r="I1736">
        <v>1</v>
      </c>
      <c r="J1736" s="3" t="s">
        <v>24</v>
      </c>
      <c r="K1736">
        <v>200000</v>
      </c>
      <c r="L1736">
        <v>250000</v>
      </c>
      <c r="M1736">
        <v>200000</v>
      </c>
      <c r="N1736">
        <v>50000</v>
      </c>
      <c r="O1736" s="3" t="s">
        <v>1837</v>
      </c>
      <c r="P1736" s="3" t="s">
        <v>102</v>
      </c>
      <c r="Q1736" s="3" t="s">
        <v>103</v>
      </c>
      <c r="R1736" s="3" t="s">
        <v>103</v>
      </c>
    </row>
    <row r="1737" spans="1:18">
      <c r="A1737" s="19">
        <v>47411</v>
      </c>
      <c r="B1737" s="3" t="s">
        <v>11</v>
      </c>
      <c r="C1737" s="3" t="s">
        <v>12</v>
      </c>
      <c r="D1737" s="3" t="s">
        <v>13</v>
      </c>
      <c r="E1737" s="3" t="s">
        <v>14</v>
      </c>
      <c r="F1737" s="3" t="s">
        <v>15</v>
      </c>
      <c r="G1737" s="3" t="s">
        <v>16</v>
      </c>
      <c r="H1737">
        <v>85000</v>
      </c>
      <c r="I1737">
        <v>1</v>
      </c>
      <c r="J1737" s="3" t="s">
        <v>35</v>
      </c>
      <c r="K1737">
        <v>68000</v>
      </c>
      <c r="L1737">
        <v>85000</v>
      </c>
      <c r="M1737">
        <v>68000</v>
      </c>
      <c r="N1737">
        <v>17000</v>
      </c>
      <c r="O1737" s="3" t="s">
        <v>1838</v>
      </c>
      <c r="P1737" s="3" t="s">
        <v>102</v>
      </c>
      <c r="Q1737" s="3" t="s">
        <v>103</v>
      </c>
      <c r="R1737" s="3" t="s">
        <v>103</v>
      </c>
    </row>
    <row r="1738" spans="1:18">
      <c r="A1738" s="19">
        <v>47412</v>
      </c>
      <c r="B1738" s="3" t="s">
        <v>29</v>
      </c>
      <c r="C1738" s="3" t="s">
        <v>12</v>
      </c>
      <c r="D1738" s="3" t="s">
        <v>23</v>
      </c>
      <c r="E1738" s="3" t="s">
        <v>20</v>
      </c>
      <c r="F1738" s="3" t="s">
        <v>21</v>
      </c>
      <c r="G1738" s="3" t="s">
        <v>22</v>
      </c>
      <c r="H1738">
        <v>30000</v>
      </c>
      <c r="I1738">
        <v>9</v>
      </c>
      <c r="J1738" s="3" t="s">
        <v>17</v>
      </c>
      <c r="K1738">
        <v>24000</v>
      </c>
      <c r="L1738">
        <v>270000</v>
      </c>
      <c r="M1738">
        <v>216000</v>
      </c>
      <c r="N1738">
        <v>54000</v>
      </c>
      <c r="O1738" s="3" t="s">
        <v>1839</v>
      </c>
      <c r="P1738" s="3" t="s">
        <v>102</v>
      </c>
      <c r="Q1738" s="3" t="s">
        <v>103</v>
      </c>
      <c r="R1738" s="3" t="s">
        <v>103</v>
      </c>
    </row>
    <row r="1739" spans="1:18">
      <c r="A1739" s="19">
        <v>47413</v>
      </c>
      <c r="B1739" s="3" t="s">
        <v>25</v>
      </c>
      <c r="C1739" s="3" t="s">
        <v>32</v>
      </c>
      <c r="D1739" s="3" t="s">
        <v>23</v>
      </c>
      <c r="E1739" s="3" t="s">
        <v>20</v>
      </c>
      <c r="F1739" s="3" t="s">
        <v>21</v>
      </c>
      <c r="G1739" s="3" t="s">
        <v>22</v>
      </c>
      <c r="H1739">
        <v>30000</v>
      </c>
      <c r="I1739">
        <v>3</v>
      </c>
      <c r="J1739" s="3" t="s">
        <v>17</v>
      </c>
      <c r="K1739">
        <v>24000</v>
      </c>
      <c r="L1739">
        <v>90000</v>
      </c>
      <c r="M1739">
        <v>72000</v>
      </c>
      <c r="N1739">
        <v>18000</v>
      </c>
      <c r="O1739" s="3" t="s">
        <v>1840</v>
      </c>
      <c r="P1739" s="3" t="s">
        <v>102</v>
      </c>
      <c r="Q1739" s="3" t="s">
        <v>103</v>
      </c>
      <c r="R1739" s="3" t="s">
        <v>103</v>
      </c>
    </row>
    <row r="1740" spans="1:18">
      <c r="A1740" s="19">
        <v>47414</v>
      </c>
      <c r="B1740" s="3" t="s">
        <v>25</v>
      </c>
      <c r="C1740" s="3" t="s">
        <v>12</v>
      </c>
      <c r="D1740" s="3" t="s">
        <v>23</v>
      </c>
      <c r="E1740" s="3" t="s">
        <v>20</v>
      </c>
      <c r="F1740" s="3" t="s">
        <v>36</v>
      </c>
      <c r="G1740" s="3" t="s">
        <v>31</v>
      </c>
      <c r="H1740">
        <v>150000</v>
      </c>
      <c r="I1740">
        <v>8</v>
      </c>
      <c r="J1740" s="3" t="s">
        <v>28</v>
      </c>
      <c r="K1740">
        <v>120000</v>
      </c>
      <c r="L1740">
        <v>1200000</v>
      </c>
      <c r="M1740">
        <v>960000</v>
      </c>
      <c r="N1740">
        <v>240000</v>
      </c>
      <c r="O1740" s="3" t="s">
        <v>1841</v>
      </c>
      <c r="P1740" s="3" t="s">
        <v>102</v>
      </c>
      <c r="Q1740" s="3" t="s">
        <v>103</v>
      </c>
      <c r="R1740" s="3" t="s">
        <v>103</v>
      </c>
    </row>
    <row r="1741" spans="1:18">
      <c r="A1741" s="19">
        <v>47415</v>
      </c>
      <c r="B1741" s="3" t="s">
        <v>29</v>
      </c>
      <c r="C1741" s="3" t="s">
        <v>26</v>
      </c>
      <c r="D1741" s="3" t="s">
        <v>13</v>
      </c>
      <c r="E1741" s="3" t="s">
        <v>20</v>
      </c>
      <c r="F1741" s="3" t="s">
        <v>15</v>
      </c>
      <c r="G1741" s="3" t="s">
        <v>16</v>
      </c>
      <c r="H1741">
        <v>85000</v>
      </c>
      <c r="I1741">
        <v>4</v>
      </c>
      <c r="J1741" s="3" t="s">
        <v>24</v>
      </c>
      <c r="K1741">
        <v>68000</v>
      </c>
      <c r="L1741">
        <v>340000</v>
      </c>
      <c r="M1741">
        <v>272000</v>
      </c>
      <c r="N1741">
        <v>68000</v>
      </c>
      <c r="O1741" s="3" t="s">
        <v>1842</v>
      </c>
      <c r="P1741" s="3" t="s">
        <v>102</v>
      </c>
      <c r="Q1741" s="3" t="s">
        <v>103</v>
      </c>
      <c r="R1741" s="3" t="s">
        <v>103</v>
      </c>
    </row>
    <row r="1742" spans="1:18">
      <c r="A1742" s="19">
        <v>47416</v>
      </c>
      <c r="B1742" s="3" t="s">
        <v>11</v>
      </c>
      <c r="C1742" s="3" t="s">
        <v>26</v>
      </c>
      <c r="D1742" s="3" t="s">
        <v>23</v>
      </c>
      <c r="E1742" s="3" t="s">
        <v>20</v>
      </c>
      <c r="F1742" s="3" t="s">
        <v>34</v>
      </c>
      <c r="G1742" s="3" t="s">
        <v>16</v>
      </c>
      <c r="H1742">
        <v>320000</v>
      </c>
      <c r="I1742">
        <v>3</v>
      </c>
      <c r="J1742" s="3" t="s">
        <v>28</v>
      </c>
      <c r="K1742">
        <v>256000</v>
      </c>
      <c r="L1742">
        <v>960000</v>
      </c>
      <c r="M1742">
        <v>768000</v>
      </c>
      <c r="N1742">
        <v>192000</v>
      </c>
      <c r="O1742" s="3" t="s">
        <v>1843</v>
      </c>
      <c r="P1742" s="3" t="s">
        <v>102</v>
      </c>
      <c r="Q1742" s="3" t="s">
        <v>103</v>
      </c>
      <c r="R1742" s="3" t="s">
        <v>103</v>
      </c>
    </row>
    <row r="1743" spans="1:18">
      <c r="A1743" s="19">
        <v>47417</v>
      </c>
      <c r="B1743" s="3" t="s">
        <v>18</v>
      </c>
      <c r="C1743" s="3" t="s">
        <v>32</v>
      </c>
      <c r="D1743" s="3" t="s">
        <v>13</v>
      </c>
      <c r="E1743" s="3" t="s">
        <v>14</v>
      </c>
      <c r="F1743" s="3" t="s">
        <v>27</v>
      </c>
      <c r="G1743" s="3" t="s">
        <v>22</v>
      </c>
      <c r="H1743">
        <v>60000</v>
      </c>
      <c r="I1743">
        <v>7</v>
      </c>
      <c r="J1743" s="3" t="s">
        <v>24</v>
      </c>
      <c r="K1743">
        <v>48000</v>
      </c>
      <c r="L1743">
        <v>420000</v>
      </c>
      <c r="M1743">
        <v>336000</v>
      </c>
      <c r="N1743">
        <v>84000</v>
      </c>
      <c r="O1743" s="3" t="s">
        <v>1844</v>
      </c>
      <c r="P1743" s="3" t="s">
        <v>102</v>
      </c>
      <c r="Q1743" s="3" t="s">
        <v>103</v>
      </c>
      <c r="R1743" s="3" t="s">
        <v>103</v>
      </c>
    </row>
    <row r="1744" spans="1:18">
      <c r="A1744" s="19">
        <v>47418</v>
      </c>
      <c r="B1744" s="3" t="s">
        <v>18</v>
      </c>
      <c r="C1744" s="3" t="s">
        <v>32</v>
      </c>
      <c r="D1744" s="3" t="s">
        <v>23</v>
      </c>
      <c r="E1744" s="3" t="s">
        <v>20</v>
      </c>
      <c r="F1744" s="3" t="s">
        <v>30</v>
      </c>
      <c r="G1744" s="3" t="s">
        <v>31</v>
      </c>
      <c r="H1744">
        <v>300000</v>
      </c>
      <c r="I1744">
        <v>6</v>
      </c>
      <c r="J1744" s="3" t="s">
        <v>24</v>
      </c>
      <c r="K1744">
        <v>240000</v>
      </c>
      <c r="L1744">
        <v>1800000</v>
      </c>
      <c r="M1744">
        <v>1440000</v>
      </c>
      <c r="N1744">
        <v>360000</v>
      </c>
      <c r="O1744" s="3" t="s">
        <v>1845</v>
      </c>
      <c r="P1744" s="3" t="s">
        <v>102</v>
      </c>
      <c r="Q1744" s="3" t="s">
        <v>103</v>
      </c>
      <c r="R1744" s="3" t="s">
        <v>103</v>
      </c>
    </row>
    <row r="1745" spans="1:18">
      <c r="A1745" s="19">
        <v>47419</v>
      </c>
      <c r="B1745" s="3" t="s">
        <v>25</v>
      </c>
      <c r="C1745" s="3" t="s">
        <v>32</v>
      </c>
      <c r="D1745" s="3" t="s">
        <v>13</v>
      </c>
      <c r="E1745" s="3" t="s">
        <v>14</v>
      </c>
      <c r="F1745" s="3" t="s">
        <v>36</v>
      </c>
      <c r="G1745" s="3" t="s">
        <v>31</v>
      </c>
      <c r="H1745">
        <v>150000</v>
      </c>
      <c r="I1745">
        <v>6</v>
      </c>
      <c r="J1745" s="3" t="s">
        <v>35</v>
      </c>
      <c r="K1745">
        <v>120000</v>
      </c>
      <c r="L1745">
        <v>900000</v>
      </c>
      <c r="M1745">
        <v>720000</v>
      </c>
      <c r="N1745">
        <v>180000</v>
      </c>
      <c r="O1745" s="3" t="s">
        <v>1846</v>
      </c>
      <c r="P1745" s="3" t="s">
        <v>102</v>
      </c>
      <c r="Q1745" s="3" t="s">
        <v>103</v>
      </c>
      <c r="R1745" s="3" t="s">
        <v>103</v>
      </c>
    </row>
    <row r="1746" spans="1:18">
      <c r="A1746" s="19">
        <v>47420</v>
      </c>
      <c r="B1746" s="3" t="s">
        <v>25</v>
      </c>
      <c r="C1746" s="3" t="s">
        <v>12</v>
      </c>
      <c r="D1746" s="3" t="s">
        <v>23</v>
      </c>
      <c r="E1746" s="3" t="s">
        <v>14</v>
      </c>
      <c r="F1746" s="3" t="s">
        <v>30</v>
      </c>
      <c r="G1746" s="3" t="s">
        <v>31</v>
      </c>
      <c r="H1746">
        <v>300000</v>
      </c>
      <c r="I1746">
        <v>10</v>
      </c>
      <c r="J1746" s="3" t="s">
        <v>28</v>
      </c>
      <c r="K1746">
        <v>240000</v>
      </c>
      <c r="L1746">
        <v>3000000</v>
      </c>
      <c r="M1746">
        <v>2400000</v>
      </c>
      <c r="N1746">
        <v>600000</v>
      </c>
      <c r="O1746" s="3" t="s">
        <v>1847</v>
      </c>
      <c r="P1746" s="3" t="s">
        <v>102</v>
      </c>
      <c r="Q1746" s="3" t="s">
        <v>103</v>
      </c>
      <c r="R1746" s="3" t="s">
        <v>103</v>
      </c>
    </row>
    <row r="1747" spans="1:18">
      <c r="A1747" s="19">
        <v>47421</v>
      </c>
      <c r="B1747" s="3" t="s">
        <v>18</v>
      </c>
      <c r="C1747" s="3" t="s">
        <v>19</v>
      </c>
      <c r="D1747" s="3" t="s">
        <v>13</v>
      </c>
      <c r="E1747" s="3" t="s">
        <v>14</v>
      </c>
      <c r="F1747" s="3" t="s">
        <v>38</v>
      </c>
      <c r="G1747" s="3" t="s">
        <v>31</v>
      </c>
      <c r="H1747">
        <v>420000</v>
      </c>
      <c r="I1747">
        <v>1</v>
      </c>
      <c r="J1747" s="3" t="s">
        <v>17</v>
      </c>
      <c r="K1747">
        <v>336000</v>
      </c>
      <c r="L1747">
        <v>420000</v>
      </c>
      <c r="M1747">
        <v>336000</v>
      </c>
      <c r="N1747">
        <v>84000</v>
      </c>
      <c r="O1747" s="3" t="s">
        <v>1848</v>
      </c>
      <c r="P1747" s="3" t="s">
        <v>102</v>
      </c>
      <c r="Q1747" s="3" t="s">
        <v>103</v>
      </c>
      <c r="R1747" s="3" t="s">
        <v>103</v>
      </c>
    </row>
    <row r="1748" spans="1:18">
      <c r="A1748" s="19">
        <v>47422</v>
      </c>
      <c r="B1748" s="3" t="s">
        <v>11</v>
      </c>
      <c r="C1748" s="3" t="s">
        <v>12</v>
      </c>
      <c r="D1748" s="3" t="s">
        <v>13</v>
      </c>
      <c r="E1748" s="3" t="s">
        <v>20</v>
      </c>
      <c r="F1748" s="3" t="s">
        <v>27</v>
      </c>
      <c r="G1748" s="3" t="s">
        <v>22</v>
      </c>
      <c r="H1748">
        <v>60000</v>
      </c>
      <c r="I1748">
        <v>1</v>
      </c>
      <c r="J1748" s="3" t="s">
        <v>24</v>
      </c>
      <c r="K1748">
        <v>48000</v>
      </c>
      <c r="L1748">
        <v>60000</v>
      </c>
      <c r="M1748">
        <v>48000</v>
      </c>
      <c r="N1748">
        <v>12000</v>
      </c>
      <c r="O1748" s="3" t="s">
        <v>1849</v>
      </c>
      <c r="P1748" s="3" t="s">
        <v>102</v>
      </c>
      <c r="Q1748" s="3" t="s">
        <v>103</v>
      </c>
      <c r="R1748" s="3" t="s">
        <v>103</v>
      </c>
    </row>
    <row r="1749" spans="1:18">
      <c r="A1749" s="19">
        <v>47423</v>
      </c>
      <c r="B1749" s="3" t="s">
        <v>29</v>
      </c>
      <c r="C1749" s="3" t="s">
        <v>19</v>
      </c>
      <c r="D1749" s="3" t="s">
        <v>13</v>
      </c>
      <c r="E1749" s="3" t="s">
        <v>14</v>
      </c>
      <c r="F1749" s="3" t="s">
        <v>36</v>
      </c>
      <c r="G1749" s="3" t="s">
        <v>31</v>
      </c>
      <c r="H1749">
        <v>150000</v>
      </c>
      <c r="I1749">
        <v>10</v>
      </c>
      <c r="J1749" s="3" t="s">
        <v>39</v>
      </c>
      <c r="K1749">
        <v>120000</v>
      </c>
      <c r="L1749">
        <v>1500000</v>
      </c>
      <c r="M1749">
        <v>1200000</v>
      </c>
      <c r="N1749">
        <v>300000</v>
      </c>
      <c r="O1749" s="3" t="s">
        <v>1850</v>
      </c>
      <c r="P1749" s="3" t="s">
        <v>102</v>
      </c>
      <c r="Q1749" s="3" t="s">
        <v>103</v>
      </c>
      <c r="R1749" s="3" t="s">
        <v>103</v>
      </c>
    </row>
    <row r="1750" spans="1:18">
      <c r="A1750" s="19">
        <v>47424</v>
      </c>
      <c r="B1750" s="3" t="s">
        <v>11</v>
      </c>
      <c r="C1750" s="3" t="s">
        <v>32</v>
      </c>
      <c r="D1750" s="3" t="s">
        <v>13</v>
      </c>
      <c r="E1750" s="3" t="s">
        <v>14</v>
      </c>
      <c r="F1750" s="3" t="s">
        <v>33</v>
      </c>
      <c r="G1750" s="3" t="s">
        <v>22</v>
      </c>
      <c r="H1750">
        <v>180000</v>
      </c>
      <c r="I1750">
        <v>10</v>
      </c>
      <c r="J1750" s="3" t="s">
        <v>28</v>
      </c>
      <c r="K1750">
        <v>144000</v>
      </c>
      <c r="L1750">
        <v>1800000</v>
      </c>
      <c r="M1750">
        <v>1440000</v>
      </c>
      <c r="N1750">
        <v>360000</v>
      </c>
      <c r="O1750" s="3" t="s">
        <v>1851</v>
      </c>
      <c r="P1750" s="3" t="s">
        <v>102</v>
      </c>
      <c r="Q1750" s="3" t="s">
        <v>103</v>
      </c>
      <c r="R1750" s="3" t="s">
        <v>103</v>
      </c>
    </row>
    <row r="1751" spans="1:18">
      <c r="A1751" s="19">
        <v>47425</v>
      </c>
      <c r="B1751" s="3" t="s">
        <v>25</v>
      </c>
      <c r="C1751" s="3" t="s">
        <v>12</v>
      </c>
      <c r="D1751" s="3" t="s">
        <v>23</v>
      </c>
      <c r="E1751" s="3" t="s">
        <v>14</v>
      </c>
      <c r="F1751" s="3" t="s">
        <v>36</v>
      </c>
      <c r="G1751" s="3" t="s">
        <v>31</v>
      </c>
      <c r="H1751">
        <v>150000</v>
      </c>
      <c r="I1751">
        <v>10</v>
      </c>
      <c r="J1751" s="3" t="s">
        <v>24</v>
      </c>
      <c r="K1751">
        <v>120000</v>
      </c>
      <c r="L1751">
        <v>1500000</v>
      </c>
      <c r="M1751">
        <v>1200000</v>
      </c>
      <c r="N1751">
        <v>300000</v>
      </c>
      <c r="O1751" s="3" t="s">
        <v>1852</v>
      </c>
      <c r="P1751" s="3" t="s">
        <v>102</v>
      </c>
      <c r="Q1751" s="3" t="s">
        <v>103</v>
      </c>
      <c r="R1751" s="3" t="s">
        <v>103</v>
      </c>
    </row>
    <row r="1752" spans="1:18">
      <c r="A1752" s="19">
        <v>47426</v>
      </c>
      <c r="B1752" s="3" t="s">
        <v>18</v>
      </c>
      <c r="C1752" s="3" t="s">
        <v>12</v>
      </c>
      <c r="D1752" s="3" t="s">
        <v>23</v>
      </c>
      <c r="E1752" s="3" t="s">
        <v>20</v>
      </c>
      <c r="F1752" s="3" t="s">
        <v>27</v>
      </c>
      <c r="G1752" s="3" t="s">
        <v>22</v>
      </c>
      <c r="H1752">
        <v>60000</v>
      </c>
      <c r="I1752">
        <v>8</v>
      </c>
      <c r="J1752" s="3" t="s">
        <v>39</v>
      </c>
      <c r="K1752">
        <v>48000</v>
      </c>
      <c r="L1752">
        <v>480000</v>
      </c>
      <c r="M1752">
        <v>384000</v>
      </c>
      <c r="N1752">
        <v>96000</v>
      </c>
      <c r="O1752" s="3" t="s">
        <v>1853</v>
      </c>
      <c r="P1752" s="3" t="s">
        <v>102</v>
      </c>
      <c r="Q1752" s="3" t="s">
        <v>103</v>
      </c>
      <c r="R1752" s="3" t="s">
        <v>103</v>
      </c>
    </row>
    <row r="1753" spans="1:18">
      <c r="A1753" s="19">
        <v>47427</v>
      </c>
      <c r="B1753" s="3" t="s">
        <v>29</v>
      </c>
      <c r="C1753" s="3" t="s">
        <v>12</v>
      </c>
      <c r="D1753" s="3" t="s">
        <v>13</v>
      </c>
      <c r="E1753" s="3" t="s">
        <v>14</v>
      </c>
      <c r="F1753" s="3" t="s">
        <v>41</v>
      </c>
      <c r="G1753" s="3" t="s">
        <v>22</v>
      </c>
      <c r="H1753">
        <v>220000</v>
      </c>
      <c r="I1753">
        <v>7</v>
      </c>
      <c r="J1753" s="3" t="s">
        <v>37</v>
      </c>
      <c r="K1753">
        <v>176000</v>
      </c>
      <c r="L1753">
        <v>1540000</v>
      </c>
      <c r="M1753">
        <v>1232000</v>
      </c>
      <c r="N1753">
        <v>308000</v>
      </c>
      <c r="O1753" s="3" t="s">
        <v>1854</v>
      </c>
      <c r="P1753" s="3" t="s">
        <v>102</v>
      </c>
      <c r="Q1753" s="3" t="s">
        <v>103</v>
      </c>
      <c r="R1753" s="3" t="s">
        <v>103</v>
      </c>
    </row>
    <row r="1754" spans="1:18">
      <c r="A1754" s="19">
        <v>47428</v>
      </c>
      <c r="B1754" s="3" t="s">
        <v>18</v>
      </c>
      <c r="C1754" s="3" t="s">
        <v>32</v>
      </c>
      <c r="D1754" s="3" t="s">
        <v>13</v>
      </c>
      <c r="E1754" s="3" t="s">
        <v>14</v>
      </c>
      <c r="F1754" s="3" t="s">
        <v>21</v>
      </c>
      <c r="G1754" s="3" t="s">
        <v>22</v>
      </c>
      <c r="H1754">
        <v>30000</v>
      </c>
      <c r="I1754">
        <v>1</v>
      </c>
      <c r="J1754" s="3" t="s">
        <v>35</v>
      </c>
      <c r="K1754">
        <v>24000</v>
      </c>
      <c r="L1754">
        <v>30000</v>
      </c>
      <c r="M1754">
        <v>24000</v>
      </c>
      <c r="N1754">
        <v>6000</v>
      </c>
      <c r="O1754" s="3" t="s">
        <v>1855</v>
      </c>
      <c r="P1754" s="3" t="s">
        <v>102</v>
      </c>
      <c r="Q1754" s="3" t="s">
        <v>103</v>
      </c>
      <c r="R1754" s="3" t="s">
        <v>103</v>
      </c>
    </row>
    <row r="1755" spans="1:18">
      <c r="A1755" s="19">
        <v>47429</v>
      </c>
      <c r="B1755" s="3" t="s">
        <v>18</v>
      </c>
      <c r="C1755" s="3" t="s">
        <v>19</v>
      </c>
      <c r="D1755" s="3" t="s">
        <v>23</v>
      </c>
      <c r="E1755" s="3" t="s">
        <v>20</v>
      </c>
      <c r="F1755" s="3" t="s">
        <v>36</v>
      </c>
      <c r="G1755" s="3" t="s">
        <v>31</v>
      </c>
      <c r="H1755">
        <v>150000</v>
      </c>
      <c r="I1755">
        <v>6</v>
      </c>
      <c r="J1755" s="3" t="s">
        <v>17</v>
      </c>
      <c r="K1755">
        <v>120000</v>
      </c>
      <c r="L1755">
        <v>900000</v>
      </c>
      <c r="M1755">
        <v>720000</v>
      </c>
      <c r="N1755">
        <v>180000</v>
      </c>
      <c r="O1755" s="3" t="s">
        <v>1856</v>
      </c>
      <c r="P1755" s="3" t="s">
        <v>102</v>
      </c>
      <c r="Q1755" s="3" t="s">
        <v>103</v>
      </c>
      <c r="R1755" s="3" t="s">
        <v>103</v>
      </c>
    </row>
    <row r="1756" spans="1:18">
      <c r="A1756" s="19">
        <v>47430</v>
      </c>
      <c r="B1756" s="3" t="s">
        <v>25</v>
      </c>
      <c r="C1756" s="3" t="s">
        <v>32</v>
      </c>
      <c r="D1756" s="3" t="s">
        <v>13</v>
      </c>
      <c r="E1756" s="3" t="s">
        <v>20</v>
      </c>
      <c r="F1756" s="3" t="s">
        <v>21</v>
      </c>
      <c r="G1756" s="3" t="s">
        <v>22</v>
      </c>
      <c r="H1756">
        <v>30000</v>
      </c>
      <c r="I1756">
        <v>4</v>
      </c>
      <c r="J1756" s="3" t="s">
        <v>17</v>
      </c>
      <c r="K1756">
        <v>24000</v>
      </c>
      <c r="L1756">
        <v>120000</v>
      </c>
      <c r="M1756">
        <v>96000</v>
      </c>
      <c r="N1756">
        <v>24000</v>
      </c>
      <c r="O1756" s="3" t="s">
        <v>1857</v>
      </c>
      <c r="P1756" s="3" t="s">
        <v>102</v>
      </c>
      <c r="Q1756" s="3" t="s">
        <v>103</v>
      </c>
      <c r="R1756" s="3" t="s">
        <v>103</v>
      </c>
    </row>
    <row r="1757" spans="1:18">
      <c r="A1757" s="19">
        <v>47431</v>
      </c>
      <c r="B1757" s="3" t="s">
        <v>25</v>
      </c>
      <c r="C1757" s="3" t="s">
        <v>26</v>
      </c>
      <c r="D1757" s="3" t="s">
        <v>23</v>
      </c>
      <c r="E1757" s="3" t="s">
        <v>14</v>
      </c>
      <c r="F1757" s="3" t="s">
        <v>41</v>
      </c>
      <c r="G1757" s="3" t="s">
        <v>22</v>
      </c>
      <c r="H1757">
        <v>220000</v>
      </c>
      <c r="I1757">
        <v>1</v>
      </c>
      <c r="J1757" s="3" t="s">
        <v>28</v>
      </c>
      <c r="K1757">
        <v>176000</v>
      </c>
      <c r="L1757">
        <v>220000</v>
      </c>
      <c r="M1757">
        <v>176000</v>
      </c>
      <c r="N1757">
        <v>44000</v>
      </c>
      <c r="O1757" s="3" t="s">
        <v>1858</v>
      </c>
      <c r="P1757" s="3" t="s">
        <v>102</v>
      </c>
      <c r="Q1757" s="3" t="s">
        <v>103</v>
      </c>
      <c r="R1757" s="3" t="s">
        <v>103</v>
      </c>
    </row>
    <row r="1758" spans="1:18">
      <c r="A1758" s="19">
        <v>47432</v>
      </c>
      <c r="B1758" s="3" t="s">
        <v>25</v>
      </c>
      <c r="C1758" s="3" t="s">
        <v>19</v>
      </c>
      <c r="D1758" s="3" t="s">
        <v>13</v>
      </c>
      <c r="E1758" s="3" t="s">
        <v>14</v>
      </c>
      <c r="F1758" s="3" t="s">
        <v>27</v>
      </c>
      <c r="G1758" s="3" t="s">
        <v>22</v>
      </c>
      <c r="H1758">
        <v>60000</v>
      </c>
      <c r="I1758">
        <v>6</v>
      </c>
      <c r="J1758" s="3" t="s">
        <v>24</v>
      </c>
      <c r="K1758">
        <v>48000</v>
      </c>
      <c r="L1758">
        <v>360000</v>
      </c>
      <c r="M1758">
        <v>288000</v>
      </c>
      <c r="N1758">
        <v>72000</v>
      </c>
      <c r="O1758" s="3" t="s">
        <v>1859</v>
      </c>
      <c r="P1758" s="3" t="s">
        <v>102</v>
      </c>
      <c r="Q1758" s="3" t="s">
        <v>103</v>
      </c>
      <c r="R1758" s="3" t="s">
        <v>103</v>
      </c>
    </row>
    <row r="1759" spans="1:18">
      <c r="A1759" s="19">
        <v>47433</v>
      </c>
      <c r="B1759" s="3" t="s">
        <v>25</v>
      </c>
      <c r="C1759" s="3" t="s">
        <v>12</v>
      </c>
      <c r="D1759" s="3" t="s">
        <v>23</v>
      </c>
      <c r="E1759" s="3" t="s">
        <v>20</v>
      </c>
      <c r="F1759" s="3" t="s">
        <v>40</v>
      </c>
      <c r="G1759" s="3" t="s">
        <v>31</v>
      </c>
      <c r="H1759">
        <v>250000</v>
      </c>
      <c r="I1759">
        <v>7</v>
      </c>
      <c r="J1759" s="3" t="s">
        <v>39</v>
      </c>
      <c r="K1759">
        <v>200000</v>
      </c>
      <c r="L1759">
        <v>1750000</v>
      </c>
      <c r="M1759">
        <v>1400000</v>
      </c>
      <c r="N1759">
        <v>350000</v>
      </c>
      <c r="O1759" s="3" t="s">
        <v>1860</v>
      </c>
      <c r="P1759" s="3" t="s">
        <v>102</v>
      </c>
      <c r="Q1759" s="3" t="s">
        <v>103</v>
      </c>
      <c r="R1759" s="3" t="s">
        <v>103</v>
      </c>
    </row>
    <row r="1760" spans="1:18">
      <c r="A1760" s="19">
        <v>47434</v>
      </c>
      <c r="B1760" s="3" t="s">
        <v>18</v>
      </c>
      <c r="C1760" s="3" t="s">
        <v>26</v>
      </c>
      <c r="D1760" s="3" t="s">
        <v>23</v>
      </c>
      <c r="E1760" s="3" t="s">
        <v>14</v>
      </c>
      <c r="F1760" s="3" t="s">
        <v>41</v>
      </c>
      <c r="G1760" s="3" t="s">
        <v>22</v>
      </c>
      <c r="H1760">
        <v>220000</v>
      </c>
      <c r="I1760">
        <v>9</v>
      </c>
      <c r="J1760" s="3" t="s">
        <v>35</v>
      </c>
      <c r="K1760">
        <v>176000</v>
      </c>
      <c r="L1760">
        <v>1980000</v>
      </c>
      <c r="M1760">
        <v>1584000</v>
      </c>
      <c r="N1760">
        <v>396000</v>
      </c>
      <c r="O1760" s="3" t="s">
        <v>1861</v>
      </c>
      <c r="P1760" s="3" t="s">
        <v>102</v>
      </c>
      <c r="Q1760" s="3" t="s">
        <v>103</v>
      </c>
      <c r="R1760" s="3" t="s">
        <v>103</v>
      </c>
    </row>
    <row r="1761" spans="1:18">
      <c r="A1761" s="19">
        <v>47435</v>
      </c>
      <c r="B1761" s="3" t="s">
        <v>25</v>
      </c>
      <c r="C1761" s="3" t="s">
        <v>26</v>
      </c>
      <c r="D1761" s="3" t="s">
        <v>23</v>
      </c>
      <c r="E1761" s="3" t="s">
        <v>14</v>
      </c>
      <c r="F1761" s="3" t="s">
        <v>21</v>
      </c>
      <c r="G1761" s="3" t="s">
        <v>22</v>
      </c>
      <c r="H1761">
        <v>30000</v>
      </c>
      <c r="I1761">
        <v>10</v>
      </c>
      <c r="J1761" s="3" t="s">
        <v>28</v>
      </c>
      <c r="K1761">
        <v>24000</v>
      </c>
      <c r="L1761">
        <v>300000</v>
      </c>
      <c r="M1761">
        <v>240000</v>
      </c>
      <c r="N1761">
        <v>60000</v>
      </c>
      <c r="O1761" s="3" t="s">
        <v>1862</v>
      </c>
      <c r="P1761" s="3" t="s">
        <v>102</v>
      </c>
      <c r="Q1761" s="3" t="s">
        <v>103</v>
      </c>
      <c r="R1761" s="3" t="s">
        <v>103</v>
      </c>
    </row>
    <row r="1762" spans="1:18">
      <c r="A1762" s="19">
        <v>47436</v>
      </c>
      <c r="B1762" s="3" t="s">
        <v>18</v>
      </c>
      <c r="C1762" s="3" t="s">
        <v>26</v>
      </c>
      <c r="D1762" s="3" t="s">
        <v>13</v>
      </c>
      <c r="E1762" s="3" t="s">
        <v>14</v>
      </c>
      <c r="F1762" s="3" t="s">
        <v>36</v>
      </c>
      <c r="G1762" s="3" t="s">
        <v>31</v>
      </c>
      <c r="H1762">
        <v>150000</v>
      </c>
      <c r="I1762">
        <v>1</v>
      </c>
      <c r="J1762" s="3" t="s">
        <v>24</v>
      </c>
      <c r="K1762">
        <v>120000</v>
      </c>
      <c r="L1762">
        <v>150000</v>
      </c>
      <c r="M1762">
        <v>120000</v>
      </c>
      <c r="N1762">
        <v>30000</v>
      </c>
      <c r="O1762" s="3" t="s">
        <v>1863</v>
      </c>
      <c r="P1762" s="3" t="s">
        <v>102</v>
      </c>
      <c r="Q1762" s="3" t="s">
        <v>103</v>
      </c>
      <c r="R1762" s="3" t="s">
        <v>103</v>
      </c>
    </row>
    <row r="1763" spans="1:18">
      <c r="A1763" s="19">
        <v>47437</v>
      </c>
      <c r="B1763" s="3" t="s">
        <v>29</v>
      </c>
      <c r="C1763" s="3" t="s">
        <v>12</v>
      </c>
      <c r="D1763" s="3" t="s">
        <v>13</v>
      </c>
      <c r="E1763" s="3" t="s">
        <v>14</v>
      </c>
      <c r="F1763" s="3" t="s">
        <v>33</v>
      </c>
      <c r="G1763" s="3" t="s">
        <v>22</v>
      </c>
      <c r="H1763">
        <v>180000</v>
      </c>
      <c r="I1763">
        <v>3</v>
      </c>
      <c r="J1763" s="3" t="s">
        <v>35</v>
      </c>
      <c r="K1763">
        <v>144000</v>
      </c>
      <c r="L1763">
        <v>540000</v>
      </c>
      <c r="M1763">
        <v>432000</v>
      </c>
      <c r="N1763">
        <v>108000</v>
      </c>
      <c r="O1763" s="3" t="s">
        <v>1864</v>
      </c>
      <c r="P1763" s="3" t="s">
        <v>102</v>
      </c>
      <c r="Q1763" s="3" t="s">
        <v>103</v>
      </c>
      <c r="R1763" s="3" t="s">
        <v>103</v>
      </c>
    </row>
    <row r="1764" spans="1:18">
      <c r="A1764" s="19">
        <v>47438</v>
      </c>
      <c r="B1764" s="3" t="s">
        <v>25</v>
      </c>
      <c r="C1764" s="3" t="s">
        <v>12</v>
      </c>
      <c r="D1764" s="3" t="s">
        <v>23</v>
      </c>
      <c r="E1764" s="3" t="s">
        <v>14</v>
      </c>
      <c r="F1764" s="3" t="s">
        <v>38</v>
      </c>
      <c r="G1764" s="3" t="s">
        <v>31</v>
      </c>
      <c r="H1764">
        <v>420000</v>
      </c>
      <c r="I1764">
        <v>10</v>
      </c>
      <c r="J1764" s="3" t="s">
        <v>35</v>
      </c>
      <c r="K1764">
        <v>336000</v>
      </c>
      <c r="L1764">
        <v>4200000</v>
      </c>
      <c r="M1764">
        <v>3360000</v>
      </c>
      <c r="N1764">
        <v>840000</v>
      </c>
      <c r="O1764" s="3" t="s">
        <v>1865</v>
      </c>
      <c r="P1764" s="3" t="s">
        <v>102</v>
      </c>
      <c r="Q1764" s="3" t="s">
        <v>103</v>
      </c>
      <c r="R1764" s="3" t="s">
        <v>103</v>
      </c>
    </row>
    <row r="1765" spans="1:18">
      <c r="A1765" s="19">
        <v>47439</v>
      </c>
      <c r="B1765" s="3" t="s">
        <v>29</v>
      </c>
      <c r="C1765" s="3" t="s">
        <v>12</v>
      </c>
      <c r="D1765" s="3" t="s">
        <v>23</v>
      </c>
      <c r="E1765" s="3" t="s">
        <v>14</v>
      </c>
      <c r="F1765" s="3" t="s">
        <v>15</v>
      </c>
      <c r="G1765" s="3" t="s">
        <v>16</v>
      </c>
      <c r="H1765">
        <v>85000</v>
      </c>
      <c r="I1765">
        <v>2</v>
      </c>
      <c r="J1765" s="3" t="s">
        <v>37</v>
      </c>
      <c r="K1765">
        <v>68000</v>
      </c>
      <c r="L1765">
        <v>170000</v>
      </c>
      <c r="M1765">
        <v>136000</v>
      </c>
      <c r="N1765">
        <v>34000</v>
      </c>
      <c r="O1765" s="3" t="s">
        <v>1866</v>
      </c>
      <c r="P1765" s="3" t="s">
        <v>102</v>
      </c>
      <c r="Q1765" s="3" t="s">
        <v>103</v>
      </c>
      <c r="R1765" s="3" t="s">
        <v>103</v>
      </c>
    </row>
    <row r="1766" spans="1:18">
      <c r="A1766" s="19">
        <v>47440</v>
      </c>
      <c r="B1766" s="3" t="s">
        <v>11</v>
      </c>
      <c r="C1766" s="3" t="s">
        <v>26</v>
      </c>
      <c r="D1766" s="3" t="s">
        <v>23</v>
      </c>
      <c r="E1766" s="3" t="s">
        <v>14</v>
      </c>
      <c r="F1766" s="3" t="s">
        <v>27</v>
      </c>
      <c r="G1766" s="3" t="s">
        <v>22</v>
      </c>
      <c r="H1766">
        <v>60000</v>
      </c>
      <c r="I1766">
        <v>4</v>
      </c>
      <c r="J1766" s="3" t="s">
        <v>37</v>
      </c>
      <c r="K1766">
        <v>48000</v>
      </c>
      <c r="L1766">
        <v>240000</v>
      </c>
      <c r="M1766">
        <v>192000</v>
      </c>
      <c r="N1766">
        <v>48000</v>
      </c>
      <c r="O1766" s="3" t="s">
        <v>1867</v>
      </c>
      <c r="P1766" s="3" t="s">
        <v>102</v>
      </c>
      <c r="Q1766" s="3" t="s">
        <v>103</v>
      </c>
      <c r="R1766" s="3" t="s">
        <v>103</v>
      </c>
    </row>
    <row r="1767" spans="1:18">
      <c r="A1767" s="19">
        <v>47441</v>
      </c>
      <c r="B1767" s="3" t="s">
        <v>29</v>
      </c>
      <c r="C1767" s="3" t="s">
        <v>19</v>
      </c>
      <c r="D1767" s="3" t="s">
        <v>23</v>
      </c>
      <c r="E1767" s="3" t="s">
        <v>14</v>
      </c>
      <c r="F1767" s="3" t="s">
        <v>36</v>
      </c>
      <c r="G1767" s="3" t="s">
        <v>31</v>
      </c>
      <c r="H1767">
        <v>150000</v>
      </c>
      <c r="I1767">
        <v>9</v>
      </c>
      <c r="J1767" s="3" t="s">
        <v>37</v>
      </c>
      <c r="K1767">
        <v>120000</v>
      </c>
      <c r="L1767">
        <v>1350000</v>
      </c>
      <c r="M1767">
        <v>1080000</v>
      </c>
      <c r="N1767">
        <v>270000</v>
      </c>
      <c r="O1767" s="3" t="s">
        <v>1868</v>
      </c>
      <c r="P1767" s="3" t="s">
        <v>102</v>
      </c>
      <c r="Q1767" s="3" t="s">
        <v>103</v>
      </c>
      <c r="R1767" s="3" t="s">
        <v>103</v>
      </c>
    </row>
    <row r="1768" spans="1:18">
      <c r="A1768" s="19">
        <v>47442</v>
      </c>
      <c r="B1768" s="3" t="s">
        <v>25</v>
      </c>
      <c r="C1768" s="3" t="s">
        <v>32</v>
      </c>
      <c r="D1768" s="3" t="s">
        <v>13</v>
      </c>
      <c r="E1768" s="3" t="s">
        <v>20</v>
      </c>
      <c r="F1768" s="3" t="s">
        <v>38</v>
      </c>
      <c r="G1768" s="3" t="s">
        <v>31</v>
      </c>
      <c r="H1768">
        <v>420000</v>
      </c>
      <c r="I1768">
        <v>1</v>
      </c>
      <c r="J1768" s="3" t="s">
        <v>35</v>
      </c>
      <c r="K1768">
        <v>336000</v>
      </c>
      <c r="L1768">
        <v>420000</v>
      </c>
      <c r="M1768">
        <v>336000</v>
      </c>
      <c r="N1768">
        <v>84000</v>
      </c>
      <c r="O1768" s="3" t="s">
        <v>1869</v>
      </c>
      <c r="P1768" s="3" t="s">
        <v>102</v>
      </c>
      <c r="Q1768" s="3" t="s">
        <v>103</v>
      </c>
      <c r="R1768" s="3" t="s">
        <v>103</v>
      </c>
    </row>
    <row r="1769" spans="1:18">
      <c r="A1769" s="19">
        <v>47443</v>
      </c>
      <c r="B1769" s="3" t="s">
        <v>18</v>
      </c>
      <c r="C1769" s="3" t="s">
        <v>19</v>
      </c>
      <c r="D1769" s="3" t="s">
        <v>13</v>
      </c>
      <c r="E1769" s="3" t="s">
        <v>14</v>
      </c>
      <c r="F1769" s="3" t="s">
        <v>38</v>
      </c>
      <c r="G1769" s="3" t="s">
        <v>31</v>
      </c>
      <c r="H1769">
        <v>420000</v>
      </c>
      <c r="I1769">
        <v>9</v>
      </c>
      <c r="J1769" s="3" t="s">
        <v>37</v>
      </c>
      <c r="K1769">
        <v>336000</v>
      </c>
      <c r="L1769">
        <v>3780000</v>
      </c>
      <c r="M1769">
        <v>3024000</v>
      </c>
      <c r="N1769">
        <v>756000</v>
      </c>
      <c r="O1769" s="3" t="s">
        <v>1870</v>
      </c>
      <c r="P1769" s="3" t="s">
        <v>102</v>
      </c>
      <c r="Q1769" s="3" t="s">
        <v>103</v>
      </c>
      <c r="R1769" s="3" t="s">
        <v>103</v>
      </c>
    </row>
    <row r="1770" spans="1:18">
      <c r="A1770" s="19">
        <v>47444</v>
      </c>
      <c r="B1770" s="3" t="s">
        <v>11</v>
      </c>
      <c r="C1770" s="3" t="s">
        <v>32</v>
      </c>
      <c r="D1770" s="3" t="s">
        <v>23</v>
      </c>
      <c r="E1770" s="3" t="s">
        <v>20</v>
      </c>
      <c r="F1770" s="3" t="s">
        <v>38</v>
      </c>
      <c r="G1770" s="3" t="s">
        <v>31</v>
      </c>
      <c r="H1770">
        <v>420000</v>
      </c>
      <c r="I1770">
        <v>9</v>
      </c>
      <c r="J1770" s="3" t="s">
        <v>39</v>
      </c>
      <c r="K1770">
        <v>336000</v>
      </c>
      <c r="L1770">
        <v>3780000</v>
      </c>
      <c r="M1770">
        <v>3024000</v>
      </c>
      <c r="N1770">
        <v>756000</v>
      </c>
      <c r="O1770" s="3" t="s">
        <v>1871</v>
      </c>
      <c r="P1770" s="3" t="s">
        <v>102</v>
      </c>
      <c r="Q1770" s="3" t="s">
        <v>103</v>
      </c>
      <c r="R1770" s="3" t="s">
        <v>103</v>
      </c>
    </row>
    <row r="1771" spans="1:18">
      <c r="A1771" s="19">
        <v>47445</v>
      </c>
      <c r="B1771" s="3" t="s">
        <v>11</v>
      </c>
      <c r="C1771" s="3" t="s">
        <v>32</v>
      </c>
      <c r="D1771" s="3" t="s">
        <v>13</v>
      </c>
      <c r="E1771" s="3" t="s">
        <v>20</v>
      </c>
      <c r="F1771" s="3" t="s">
        <v>15</v>
      </c>
      <c r="G1771" s="3" t="s">
        <v>16</v>
      </c>
      <c r="H1771">
        <v>85000</v>
      </c>
      <c r="I1771">
        <v>6</v>
      </c>
      <c r="J1771" s="3" t="s">
        <v>24</v>
      </c>
      <c r="K1771">
        <v>68000</v>
      </c>
      <c r="L1771">
        <v>510000</v>
      </c>
      <c r="M1771">
        <v>408000</v>
      </c>
      <c r="N1771">
        <v>102000</v>
      </c>
      <c r="O1771" s="3" t="s">
        <v>1872</v>
      </c>
      <c r="P1771" s="3" t="s">
        <v>102</v>
      </c>
      <c r="Q1771" s="3" t="s">
        <v>103</v>
      </c>
      <c r="R1771" s="3" t="s">
        <v>103</v>
      </c>
    </row>
    <row r="1772" spans="1:18">
      <c r="A1772" s="19">
        <v>47446</v>
      </c>
      <c r="B1772" s="3" t="s">
        <v>29</v>
      </c>
      <c r="C1772" s="3" t="s">
        <v>32</v>
      </c>
      <c r="D1772" s="3" t="s">
        <v>23</v>
      </c>
      <c r="E1772" s="3" t="s">
        <v>14</v>
      </c>
      <c r="F1772" s="3" t="s">
        <v>34</v>
      </c>
      <c r="G1772" s="3" t="s">
        <v>16</v>
      </c>
      <c r="H1772">
        <v>320000</v>
      </c>
      <c r="I1772">
        <v>3</v>
      </c>
      <c r="J1772" s="3" t="s">
        <v>35</v>
      </c>
      <c r="K1772">
        <v>256000</v>
      </c>
      <c r="L1772">
        <v>960000</v>
      </c>
      <c r="M1772">
        <v>768000</v>
      </c>
      <c r="N1772">
        <v>192000</v>
      </c>
      <c r="O1772" s="3" t="s">
        <v>1873</v>
      </c>
      <c r="P1772" s="3" t="s">
        <v>102</v>
      </c>
      <c r="Q1772" s="3" t="s">
        <v>103</v>
      </c>
      <c r="R1772" s="3" t="s">
        <v>103</v>
      </c>
    </row>
    <row r="1773" spans="1:18">
      <c r="A1773" s="19">
        <v>47447</v>
      </c>
      <c r="B1773" s="3" t="s">
        <v>29</v>
      </c>
      <c r="C1773" s="3" t="s">
        <v>19</v>
      </c>
      <c r="D1773" s="3" t="s">
        <v>23</v>
      </c>
      <c r="E1773" s="3" t="s">
        <v>14</v>
      </c>
      <c r="F1773" s="3" t="s">
        <v>33</v>
      </c>
      <c r="G1773" s="3" t="s">
        <v>22</v>
      </c>
      <c r="H1773">
        <v>180000</v>
      </c>
      <c r="I1773">
        <v>8</v>
      </c>
      <c r="J1773" s="3" t="s">
        <v>28</v>
      </c>
      <c r="K1773">
        <v>144000</v>
      </c>
      <c r="L1773">
        <v>1440000</v>
      </c>
      <c r="M1773">
        <v>1152000</v>
      </c>
      <c r="N1773">
        <v>288000</v>
      </c>
      <c r="O1773" s="3" t="s">
        <v>1874</v>
      </c>
      <c r="P1773" s="3" t="s">
        <v>102</v>
      </c>
      <c r="Q1773" s="3" t="s">
        <v>103</v>
      </c>
      <c r="R1773" s="3" t="s">
        <v>103</v>
      </c>
    </row>
    <row r="1774" spans="1:18">
      <c r="A1774" s="19">
        <v>47448</v>
      </c>
      <c r="B1774" s="3" t="s">
        <v>11</v>
      </c>
      <c r="C1774" s="3" t="s">
        <v>12</v>
      </c>
      <c r="D1774" s="3" t="s">
        <v>13</v>
      </c>
      <c r="E1774" s="3" t="s">
        <v>14</v>
      </c>
      <c r="F1774" s="3" t="s">
        <v>15</v>
      </c>
      <c r="G1774" s="3" t="s">
        <v>16</v>
      </c>
      <c r="H1774">
        <v>85000</v>
      </c>
      <c r="I1774">
        <v>6</v>
      </c>
      <c r="J1774" s="3" t="s">
        <v>35</v>
      </c>
      <c r="K1774">
        <v>68000</v>
      </c>
      <c r="L1774">
        <v>510000</v>
      </c>
      <c r="M1774">
        <v>408000</v>
      </c>
      <c r="N1774">
        <v>102000</v>
      </c>
      <c r="O1774" s="3" t="s">
        <v>1875</v>
      </c>
      <c r="P1774" s="3" t="s">
        <v>102</v>
      </c>
      <c r="Q1774" s="3" t="s">
        <v>103</v>
      </c>
      <c r="R1774" s="3" t="s">
        <v>103</v>
      </c>
    </row>
    <row r="1775" spans="1:18">
      <c r="A1775" s="19">
        <v>47449</v>
      </c>
      <c r="B1775" s="3" t="s">
        <v>11</v>
      </c>
      <c r="C1775" s="3" t="s">
        <v>32</v>
      </c>
      <c r="D1775" s="3" t="s">
        <v>13</v>
      </c>
      <c r="E1775" s="3" t="s">
        <v>14</v>
      </c>
      <c r="F1775" s="3" t="s">
        <v>30</v>
      </c>
      <c r="G1775" s="3" t="s">
        <v>31</v>
      </c>
      <c r="H1775">
        <v>300000</v>
      </c>
      <c r="I1775">
        <v>3</v>
      </c>
      <c r="J1775" s="3" t="s">
        <v>17</v>
      </c>
      <c r="K1775">
        <v>240000</v>
      </c>
      <c r="L1775">
        <v>900000</v>
      </c>
      <c r="M1775">
        <v>720000</v>
      </c>
      <c r="N1775">
        <v>180000</v>
      </c>
      <c r="O1775" s="3" t="s">
        <v>1876</v>
      </c>
      <c r="P1775" s="3" t="s">
        <v>102</v>
      </c>
      <c r="Q1775" s="3" t="s">
        <v>103</v>
      </c>
      <c r="R1775" s="3" t="s">
        <v>103</v>
      </c>
    </row>
    <row r="1776" spans="1:18">
      <c r="A1776" s="19">
        <v>47450</v>
      </c>
      <c r="B1776" s="3" t="s">
        <v>29</v>
      </c>
      <c r="C1776" s="3" t="s">
        <v>12</v>
      </c>
      <c r="D1776" s="3" t="s">
        <v>23</v>
      </c>
      <c r="E1776" s="3" t="s">
        <v>20</v>
      </c>
      <c r="F1776" s="3" t="s">
        <v>33</v>
      </c>
      <c r="G1776" s="3" t="s">
        <v>22</v>
      </c>
      <c r="H1776">
        <v>180000</v>
      </c>
      <c r="I1776">
        <v>1</v>
      </c>
      <c r="J1776" s="3" t="s">
        <v>28</v>
      </c>
      <c r="K1776">
        <v>144000</v>
      </c>
      <c r="L1776">
        <v>180000</v>
      </c>
      <c r="M1776">
        <v>144000</v>
      </c>
      <c r="N1776">
        <v>36000</v>
      </c>
      <c r="O1776" s="3" t="s">
        <v>1877</v>
      </c>
      <c r="P1776" s="3" t="s">
        <v>102</v>
      </c>
      <c r="Q1776" s="3" t="s">
        <v>103</v>
      </c>
      <c r="R1776" s="3" t="s">
        <v>103</v>
      </c>
    </row>
    <row r="1777" spans="1:18">
      <c r="A1777" s="19">
        <v>47451</v>
      </c>
      <c r="B1777" s="3" t="s">
        <v>18</v>
      </c>
      <c r="C1777" s="3" t="s">
        <v>26</v>
      </c>
      <c r="D1777" s="3" t="s">
        <v>13</v>
      </c>
      <c r="E1777" s="3" t="s">
        <v>14</v>
      </c>
      <c r="F1777" s="3" t="s">
        <v>41</v>
      </c>
      <c r="G1777" s="3" t="s">
        <v>22</v>
      </c>
      <c r="H1777">
        <v>220000</v>
      </c>
      <c r="I1777">
        <v>1</v>
      </c>
      <c r="J1777" s="3" t="s">
        <v>37</v>
      </c>
      <c r="K1777">
        <v>176000</v>
      </c>
      <c r="L1777">
        <v>220000</v>
      </c>
      <c r="M1777">
        <v>176000</v>
      </c>
      <c r="N1777">
        <v>44000</v>
      </c>
      <c r="O1777" s="3" t="s">
        <v>1878</v>
      </c>
      <c r="P1777" s="3" t="s">
        <v>102</v>
      </c>
      <c r="Q1777" s="3" t="s">
        <v>103</v>
      </c>
      <c r="R1777" s="3" t="s">
        <v>103</v>
      </c>
    </row>
    <row r="1778" spans="1:18">
      <c r="A1778" s="19">
        <v>47452</v>
      </c>
      <c r="B1778" s="3" t="s">
        <v>25</v>
      </c>
      <c r="C1778" s="3" t="s">
        <v>32</v>
      </c>
      <c r="D1778" s="3" t="s">
        <v>13</v>
      </c>
      <c r="E1778" s="3" t="s">
        <v>20</v>
      </c>
      <c r="F1778" s="3" t="s">
        <v>21</v>
      </c>
      <c r="G1778" s="3" t="s">
        <v>22</v>
      </c>
      <c r="H1778">
        <v>30000</v>
      </c>
      <c r="I1778">
        <v>1</v>
      </c>
      <c r="J1778" s="3" t="s">
        <v>37</v>
      </c>
      <c r="K1778">
        <v>24000</v>
      </c>
      <c r="L1778">
        <v>30000</v>
      </c>
      <c r="M1778">
        <v>24000</v>
      </c>
      <c r="N1778">
        <v>6000</v>
      </c>
      <c r="O1778" s="3" t="s">
        <v>1879</v>
      </c>
      <c r="P1778" s="3" t="s">
        <v>102</v>
      </c>
      <c r="Q1778" s="3" t="s">
        <v>103</v>
      </c>
      <c r="R1778" s="3" t="s">
        <v>103</v>
      </c>
    </row>
    <row r="1779" spans="1:18">
      <c r="A1779" s="19">
        <v>47453</v>
      </c>
      <c r="B1779" s="3" t="s">
        <v>18</v>
      </c>
      <c r="C1779" s="3" t="s">
        <v>12</v>
      </c>
      <c r="D1779" s="3" t="s">
        <v>23</v>
      </c>
      <c r="E1779" s="3" t="s">
        <v>20</v>
      </c>
      <c r="F1779" s="3" t="s">
        <v>27</v>
      </c>
      <c r="G1779" s="3" t="s">
        <v>22</v>
      </c>
      <c r="H1779">
        <v>60000</v>
      </c>
      <c r="I1779">
        <v>2</v>
      </c>
      <c r="J1779" s="3" t="s">
        <v>39</v>
      </c>
      <c r="K1779">
        <v>48000</v>
      </c>
      <c r="L1779">
        <v>120000</v>
      </c>
      <c r="M1779">
        <v>96000</v>
      </c>
      <c r="N1779">
        <v>24000</v>
      </c>
      <c r="O1779" s="3" t="s">
        <v>1880</v>
      </c>
      <c r="P1779" s="3" t="s">
        <v>102</v>
      </c>
      <c r="Q1779" s="3" t="s">
        <v>103</v>
      </c>
      <c r="R1779" s="3" t="s">
        <v>103</v>
      </c>
    </row>
    <row r="1780" spans="1:18">
      <c r="A1780" s="19">
        <v>47454</v>
      </c>
      <c r="B1780" s="3" t="s">
        <v>11</v>
      </c>
      <c r="C1780" s="3" t="s">
        <v>19</v>
      </c>
      <c r="D1780" s="3" t="s">
        <v>13</v>
      </c>
      <c r="E1780" s="3" t="s">
        <v>20</v>
      </c>
      <c r="F1780" s="3" t="s">
        <v>40</v>
      </c>
      <c r="G1780" s="3" t="s">
        <v>31</v>
      </c>
      <c r="H1780">
        <v>250000</v>
      </c>
      <c r="I1780">
        <v>7</v>
      </c>
      <c r="J1780" s="3" t="s">
        <v>37</v>
      </c>
      <c r="K1780">
        <v>200000</v>
      </c>
      <c r="L1780">
        <v>1750000</v>
      </c>
      <c r="M1780">
        <v>1400000</v>
      </c>
      <c r="N1780">
        <v>350000</v>
      </c>
      <c r="O1780" s="3" t="s">
        <v>1881</v>
      </c>
      <c r="P1780" s="3" t="s">
        <v>102</v>
      </c>
      <c r="Q1780" s="3" t="s">
        <v>103</v>
      </c>
      <c r="R1780" s="3" t="s">
        <v>103</v>
      </c>
    </row>
    <row r="1781" spans="1:18">
      <c r="A1781" s="19">
        <v>47455</v>
      </c>
      <c r="B1781" s="3" t="s">
        <v>11</v>
      </c>
      <c r="C1781" s="3" t="s">
        <v>26</v>
      </c>
      <c r="D1781" s="3" t="s">
        <v>23</v>
      </c>
      <c r="E1781" s="3" t="s">
        <v>14</v>
      </c>
      <c r="F1781" s="3" t="s">
        <v>38</v>
      </c>
      <c r="G1781" s="3" t="s">
        <v>31</v>
      </c>
      <c r="H1781">
        <v>420000</v>
      </c>
      <c r="I1781">
        <v>10</v>
      </c>
      <c r="J1781" s="3" t="s">
        <v>28</v>
      </c>
      <c r="K1781">
        <v>336000</v>
      </c>
      <c r="L1781">
        <v>4200000</v>
      </c>
      <c r="M1781">
        <v>3360000</v>
      </c>
      <c r="N1781">
        <v>840000</v>
      </c>
      <c r="O1781" s="3" t="s">
        <v>1882</v>
      </c>
      <c r="P1781" s="3" t="s">
        <v>102</v>
      </c>
      <c r="Q1781" s="3" t="s">
        <v>103</v>
      </c>
      <c r="R1781" s="3" t="s">
        <v>103</v>
      </c>
    </row>
    <row r="1782" spans="1:18">
      <c r="A1782" s="19">
        <v>47456</v>
      </c>
      <c r="B1782" s="3" t="s">
        <v>11</v>
      </c>
      <c r="C1782" s="3" t="s">
        <v>12</v>
      </c>
      <c r="D1782" s="3" t="s">
        <v>23</v>
      </c>
      <c r="E1782" s="3" t="s">
        <v>14</v>
      </c>
      <c r="F1782" s="3" t="s">
        <v>34</v>
      </c>
      <c r="G1782" s="3" t="s">
        <v>16</v>
      </c>
      <c r="H1782">
        <v>320000</v>
      </c>
      <c r="I1782">
        <v>10</v>
      </c>
      <c r="J1782" s="3" t="s">
        <v>35</v>
      </c>
      <c r="K1782">
        <v>256000</v>
      </c>
      <c r="L1782">
        <v>3200000</v>
      </c>
      <c r="M1782">
        <v>2560000</v>
      </c>
      <c r="N1782">
        <v>640000</v>
      </c>
      <c r="O1782" s="3" t="s">
        <v>1883</v>
      </c>
      <c r="P1782" s="3" t="s">
        <v>102</v>
      </c>
      <c r="Q1782" s="3" t="s">
        <v>103</v>
      </c>
      <c r="R1782" s="3" t="s">
        <v>103</v>
      </c>
    </row>
    <row r="1783" spans="1:18">
      <c r="A1783" s="19">
        <v>47457</v>
      </c>
      <c r="B1783" s="3" t="s">
        <v>25</v>
      </c>
      <c r="C1783" s="3" t="s">
        <v>32</v>
      </c>
      <c r="D1783" s="3" t="s">
        <v>13</v>
      </c>
      <c r="E1783" s="3" t="s">
        <v>14</v>
      </c>
      <c r="F1783" s="3" t="s">
        <v>30</v>
      </c>
      <c r="G1783" s="3" t="s">
        <v>31</v>
      </c>
      <c r="H1783">
        <v>300000</v>
      </c>
      <c r="I1783">
        <v>1</v>
      </c>
      <c r="J1783" s="3" t="s">
        <v>28</v>
      </c>
      <c r="K1783">
        <v>240000</v>
      </c>
      <c r="L1783">
        <v>300000</v>
      </c>
      <c r="M1783">
        <v>240000</v>
      </c>
      <c r="N1783">
        <v>60000</v>
      </c>
      <c r="O1783" s="3" t="s">
        <v>1884</v>
      </c>
      <c r="P1783" s="3" t="s">
        <v>102</v>
      </c>
      <c r="Q1783" s="3" t="s">
        <v>103</v>
      </c>
      <c r="R1783" s="3" t="s">
        <v>103</v>
      </c>
    </row>
    <row r="1784" spans="1:18">
      <c r="A1784" s="19">
        <v>47458</v>
      </c>
      <c r="B1784" s="3" t="s">
        <v>25</v>
      </c>
      <c r="C1784" s="3" t="s">
        <v>26</v>
      </c>
      <c r="D1784" s="3" t="s">
        <v>23</v>
      </c>
      <c r="E1784" s="3" t="s">
        <v>20</v>
      </c>
      <c r="F1784" s="3" t="s">
        <v>36</v>
      </c>
      <c r="G1784" s="3" t="s">
        <v>31</v>
      </c>
      <c r="H1784">
        <v>150000</v>
      </c>
      <c r="I1784">
        <v>3</v>
      </c>
      <c r="J1784" s="3" t="s">
        <v>24</v>
      </c>
      <c r="K1784">
        <v>120000</v>
      </c>
      <c r="L1784">
        <v>450000</v>
      </c>
      <c r="M1784">
        <v>360000</v>
      </c>
      <c r="N1784">
        <v>90000</v>
      </c>
      <c r="O1784" s="3" t="s">
        <v>1885</v>
      </c>
      <c r="P1784" s="3" t="s">
        <v>102</v>
      </c>
      <c r="Q1784" s="3" t="s">
        <v>103</v>
      </c>
      <c r="R1784" s="3" t="s">
        <v>103</v>
      </c>
    </row>
    <row r="1785" spans="1:18">
      <c r="A1785" s="19">
        <v>47459</v>
      </c>
      <c r="B1785" s="3" t="s">
        <v>11</v>
      </c>
      <c r="C1785" s="3" t="s">
        <v>26</v>
      </c>
      <c r="D1785" s="3" t="s">
        <v>23</v>
      </c>
      <c r="E1785" s="3" t="s">
        <v>14</v>
      </c>
      <c r="F1785" s="3" t="s">
        <v>40</v>
      </c>
      <c r="G1785" s="3" t="s">
        <v>31</v>
      </c>
      <c r="H1785">
        <v>250000</v>
      </c>
      <c r="I1785">
        <v>3</v>
      </c>
      <c r="J1785" s="3" t="s">
        <v>37</v>
      </c>
      <c r="K1785">
        <v>200000</v>
      </c>
      <c r="L1785">
        <v>750000</v>
      </c>
      <c r="M1785">
        <v>600000</v>
      </c>
      <c r="N1785">
        <v>150000</v>
      </c>
      <c r="O1785" s="3" t="s">
        <v>1886</v>
      </c>
      <c r="P1785" s="3" t="s">
        <v>102</v>
      </c>
      <c r="Q1785" s="3" t="s">
        <v>103</v>
      </c>
      <c r="R1785" s="3" t="s">
        <v>103</v>
      </c>
    </row>
    <row r="1786" spans="1:18">
      <c r="A1786" s="19">
        <v>47460</v>
      </c>
      <c r="B1786" s="3" t="s">
        <v>29</v>
      </c>
      <c r="C1786" s="3" t="s">
        <v>19</v>
      </c>
      <c r="D1786" s="3" t="s">
        <v>13</v>
      </c>
      <c r="E1786" s="3" t="s">
        <v>20</v>
      </c>
      <c r="F1786" s="3" t="s">
        <v>38</v>
      </c>
      <c r="G1786" s="3" t="s">
        <v>31</v>
      </c>
      <c r="H1786">
        <v>420000</v>
      </c>
      <c r="I1786">
        <v>4</v>
      </c>
      <c r="J1786" s="3" t="s">
        <v>24</v>
      </c>
      <c r="K1786">
        <v>336000</v>
      </c>
      <c r="L1786">
        <v>1680000</v>
      </c>
      <c r="M1786">
        <v>1344000</v>
      </c>
      <c r="N1786">
        <v>336000</v>
      </c>
      <c r="O1786" s="3" t="s">
        <v>1887</v>
      </c>
      <c r="P1786" s="3" t="s">
        <v>102</v>
      </c>
      <c r="Q1786" s="3" t="s">
        <v>103</v>
      </c>
      <c r="R1786" s="3" t="s">
        <v>103</v>
      </c>
    </row>
    <row r="1787" spans="1:18">
      <c r="A1787" s="19">
        <v>47461</v>
      </c>
      <c r="B1787" s="3" t="s">
        <v>29</v>
      </c>
      <c r="C1787" s="3" t="s">
        <v>19</v>
      </c>
      <c r="D1787" s="3" t="s">
        <v>23</v>
      </c>
      <c r="E1787" s="3" t="s">
        <v>14</v>
      </c>
      <c r="F1787" s="3" t="s">
        <v>33</v>
      </c>
      <c r="G1787" s="3" t="s">
        <v>22</v>
      </c>
      <c r="H1787">
        <v>180000</v>
      </c>
      <c r="I1787">
        <v>1</v>
      </c>
      <c r="J1787" s="3" t="s">
        <v>17</v>
      </c>
      <c r="K1787">
        <v>144000</v>
      </c>
      <c r="L1787">
        <v>180000</v>
      </c>
      <c r="M1787">
        <v>144000</v>
      </c>
      <c r="N1787">
        <v>36000</v>
      </c>
      <c r="O1787" s="3" t="s">
        <v>1888</v>
      </c>
      <c r="P1787" s="3" t="s">
        <v>102</v>
      </c>
      <c r="Q1787" s="3" t="s">
        <v>103</v>
      </c>
      <c r="R1787" s="3" t="s">
        <v>103</v>
      </c>
    </row>
    <row r="1788" spans="1:18">
      <c r="A1788" s="19">
        <v>47462</v>
      </c>
      <c r="B1788" s="3" t="s">
        <v>29</v>
      </c>
      <c r="C1788" s="3" t="s">
        <v>12</v>
      </c>
      <c r="D1788" s="3" t="s">
        <v>23</v>
      </c>
      <c r="E1788" s="3" t="s">
        <v>20</v>
      </c>
      <c r="F1788" s="3" t="s">
        <v>36</v>
      </c>
      <c r="G1788" s="3" t="s">
        <v>31</v>
      </c>
      <c r="H1788">
        <v>150000</v>
      </c>
      <c r="I1788">
        <v>3</v>
      </c>
      <c r="J1788" s="3" t="s">
        <v>35</v>
      </c>
      <c r="K1788">
        <v>120000</v>
      </c>
      <c r="L1788">
        <v>450000</v>
      </c>
      <c r="M1788">
        <v>360000</v>
      </c>
      <c r="N1788">
        <v>90000</v>
      </c>
      <c r="O1788" s="3" t="s">
        <v>1889</v>
      </c>
      <c r="P1788" s="3" t="s">
        <v>102</v>
      </c>
      <c r="Q1788" s="3" t="s">
        <v>103</v>
      </c>
      <c r="R1788" s="3" t="s">
        <v>103</v>
      </c>
    </row>
    <row r="1789" spans="1:18">
      <c r="A1789" s="19">
        <v>47463</v>
      </c>
      <c r="B1789" s="3" t="s">
        <v>25</v>
      </c>
      <c r="C1789" s="3" t="s">
        <v>32</v>
      </c>
      <c r="D1789" s="3" t="s">
        <v>23</v>
      </c>
      <c r="E1789" s="3" t="s">
        <v>14</v>
      </c>
      <c r="F1789" s="3" t="s">
        <v>41</v>
      </c>
      <c r="G1789" s="3" t="s">
        <v>22</v>
      </c>
      <c r="H1789">
        <v>220000</v>
      </c>
      <c r="I1789">
        <v>9</v>
      </c>
      <c r="J1789" s="3" t="s">
        <v>28</v>
      </c>
      <c r="K1789">
        <v>176000</v>
      </c>
      <c r="L1789">
        <v>1980000</v>
      </c>
      <c r="M1789">
        <v>1584000</v>
      </c>
      <c r="N1789">
        <v>396000</v>
      </c>
      <c r="O1789" s="3" t="s">
        <v>1890</v>
      </c>
      <c r="P1789" s="3" t="s">
        <v>102</v>
      </c>
      <c r="Q1789" s="3" t="s">
        <v>103</v>
      </c>
      <c r="R1789" s="3" t="s">
        <v>103</v>
      </c>
    </row>
    <row r="1790" spans="1:18">
      <c r="A1790" s="19">
        <v>47464</v>
      </c>
      <c r="B1790" s="3" t="s">
        <v>29</v>
      </c>
      <c r="C1790" s="3" t="s">
        <v>26</v>
      </c>
      <c r="D1790" s="3" t="s">
        <v>23</v>
      </c>
      <c r="E1790" s="3" t="s">
        <v>14</v>
      </c>
      <c r="F1790" s="3" t="s">
        <v>38</v>
      </c>
      <c r="G1790" s="3" t="s">
        <v>31</v>
      </c>
      <c r="H1790">
        <v>420000</v>
      </c>
      <c r="I1790">
        <v>4</v>
      </c>
      <c r="J1790" s="3" t="s">
        <v>28</v>
      </c>
      <c r="K1790">
        <v>336000</v>
      </c>
      <c r="L1790">
        <v>1680000</v>
      </c>
      <c r="M1790">
        <v>1344000</v>
      </c>
      <c r="N1790">
        <v>336000</v>
      </c>
      <c r="O1790" s="3" t="s">
        <v>1891</v>
      </c>
      <c r="P1790" s="3" t="s">
        <v>102</v>
      </c>
      <c r="Q1790" s="3" t="s">
        <v>103</v>
      </c>
      <c r="R1790" s="3" t="s">
        <v>103</v>
      </c>
    </row>
    <row r="1791" spans="1:18">
      <c r="A1791" s="19">
        <v>47465</v>
      </c>
      <c r="B1791" s="3" t="s">
        <v>29</v>
      </c>
      <c r="C1791" s="3" t="s">
        <v>26</v>
      </c>
      <c r="D1791" s="3" t="s">
        <v>23</v>
      </c>
      <c r="E1791" s="3" t="s">
        <v>20</v>
      </c>
      <c r="F1791" s="3" t="s">
        <v>30</v>
      </c>
      <c r="G1791" s="3" t="s">
        <v>31</v>
      </c>
      <c r="H1791">
        <v>300000</v>
      </c>
      <c r="I1791">
        <v>2</v>
      </c>
      <c r="J1791" s="3" t="s">
        <v>39</v>
      </c>
      <c r="K1791">
        <v>240000</v>
      </c>
      <c r="L1791">
        <v>600000</v>
      </c>
      <c r="M1791">
        <v>480000</v>
      </c>
      <c r="N1791">
        <v>120000</v>
      </c>
      <c r="O1791" s="3" t="s">
        <v>1892</v>
      </c>
      <c r="P1791" s="3" t="s">
        <v>102</v>
      </c>
      <c r="Q1791" s="3" t="s">
        <v>103</v>
      </c>
      <c r="R1791" s="3" t="s">
        <v>103</v>
      </c>
    </row>
    <row r="1792" spans="1:18">
      <c r="A1792" s="19">
        <v>47466</v>
      </c>
      <c r="B1792" s="3" t="s">
        <v>18</v>
      </c>
      <c r="C1792" s="3" t="s">
        <v>19</v>
      </c>
      <c r="D1792" s="3" t="s">
        <v>23</v>
      </c>
      <c r="E1792" s="3" t="s">
        <v>20</v>
      </c>
      <c r="F1792" s="3" t="s">
        <v>15</v>
      </c>
      <c r="G1792" s="3" t="s">
        <v>16</v>
      </c>
      <c r="H1792">
        <v>85000</v>
      </c>
      <c r="I1792">
        <v>8</v>
      </c>
      <c r="J1792" s="3" t="s">
        <v>24</v>
      </c>
      <c r="K1792">
        <v>68000</v>
      </c>
      <c r="L1792">
        <v>680000</v>
      </c>
      <c r="M1792">
        <v>544000</v>
      </c>
      <c r="N1792">
        <v>136000</v>
      </c>
      <c r="O1792" s="3" t="s">
        <v>1893</v>
      </c>
      <c r="P1792" s="3" t="s">
        <v>102</v>
      </c>
      <c r="Q1792" s="3" t="s">
        <v>103</v>
      </c>
      <c r="R1792" s="3" t="s">
        <v>103</v>
      </c>
    </row>
    <row r="1793" spans="1:18">
      <c r="A1793" s="19">
        <v>47467</v>
      </c>
      <c r="B1793" s="3" t="s">
        <v>25</v>
      </c>
      <c r="C1793" s="3" t="s">
        <v>32</v>
      </c>
      <c r="D1793" s="3" t="s">
        <v>13</v>
      </c>
      <c r="E1793" s="3" t="s">
        <v>20</v>
      </c>
      <c r="F1793" s="3" t="s">
        <v>41</v>
      </c>
      <c r="G1793" s="3" t="s">
        <v>22</v>
      </c>
      <c r="H1793">
        <v>220000</v>
      </c>
      <c r="I1793">
        <v>10</v>
      </c>
      <c r="J1793" s="3" t="s">
        <v>28</v>
      </c>
      <c r="K1793">
        <v>176000</v>
      </c>
      <c r="L1793">
        <v>2200000</v>
      </c>
      <c r="M1793">
        <v>1760000</v>
      </c>
      <c r="N1793">
        <v>440000</v>
      </c>
      <c r="O1793" s="3" t="s">
        <v>1894</v>
      </c>
      <c r="P1793" s="3" t="s">
        <v>102</v>
      </c>
      <c r="Q1793" s="3" t="s">
        <v>103</v>
      </c>
      <c r="R1793" s="3" t="s">
        <v>103</v>
      </c>
    </row>
    <row r="1794" spans="1:18">
      <c r="A1794" s="19">
        <v>47468</v>
      </c>
      <c r="B1794" s="3" t="s">
        <v>11</v>
      </c>
      <c r="C1794" s="3" t="s">
        <v>12</v>
      </c>
      <c r="D1794" s="3" t="s">
        <v>13</v>
      </c>
      <c r="E1794" s="3" t="s">
        <v>20</v>
      </c>
      <c r="F1794" s="3" t="s">
        <v>41</v>
      </c>
      <c r="G1794" s="3" t="s">
        <v>22</v>
      </c>
      <c r="H1794">
        <v>220000</v>
      </c>
      <c r="I1794">
        <v>7</v>
      </c>
      <c r="J1794" s="3" t="s">
        <v>28</v>
      </c>
      <c r="K1794">
        <v>176000</v>
      </c>
      <c r="L1794">
        <v>1540000</v>
      </c>
      <c r="M1794">
        <v>1232000</v>
      </c>
      <c r="N1794">
        <v>308000</v>
      </c>
      <c r="O1794" s="3" t="s">
        <v>1895</v>
      </c>
      <c r="P1794" s="3" t="s">
        <v>102</v>
      </c>
      <c r="Q1794" s="3" t="s">
        <v>103</v>
      </c>
      <c r="R1794" s="3" t="s">
        <v>103</v>
      </c>
    </row>
    <row r="1795" spans="1:18">
      <c r="A1795" s="19">
        <v>47469</v>
      </c>
      <c r="B1795" s="3" t="s">
        <v>18</v>
      </c>
      <c r="C1795" s="3" t="s">
        <v>26</v>
      </c>
      <c r="D1795" s="3" t="s">
        <v>13</v>
      </c>
      <c r="E1795" s="3" t="s">
        <v>20</v>
      </c>
      <c r="F1795" s="3" t="s">
        <v>34</v>
      </c>
      <c r="G1795" s="3" t="s">
        <v>16</v>
      </c>
      <c r="H1795">
        <v>320000</v>
      </c>
      <c r="I1795">
        <v>10</v>
      </c>
      <c r="J1795" s="3" t="s">
        <v>28</v>
      </c>
      <c r="K1795">
        <v>256000</v>
      </c>
      <c r="L1795">
        <v>3200000</v>
      </c>
      <c r="M1795">
        <v>2560000</v>
      </c>
      <c r="N1795">
        <v>640000</v>
      </c>
      <c r="O1795" s="3" t="s">
        <v>1896</v>
      </c>
      <c r="P1795" s="3" t="s">
        <v>102</v>
      </c>
      <c r="Q1795" s="3" t="s">
        <v>103</v>
      </c>
      <c r="R1795" s="3" t="s">
        <v>103</v>
      </c>
    </row>
    <row r="1796" spans="1:18">
      <c r="A1796" s="19">
        <v>47470</v>
      </c>
      <c r="B1796" s="3" t="s">
        <v>11</v>
      </c>
      <c r="C1796" s="3" t="s">
        <v>19</v>
      </c>
      <c r="D1796" s="3" t="s">
        <v>23</v>
      </c>
      <c r="E1796" s="3" t="s">
        <v>14</v>
      </c>
      <c r="F1796" s="3" t="s">
        <v>33</v>
      </c>
      <c r="G1796" s="3" t="s">
        <v>22</v>
      </c>
      <c r="H1796">
        <v>180000</v>
      </c>
      <c r="I1796">
        <v>9</v>
      </c>
      <c r="J1796" s="3" t="s">
        <v>37</v>
      </c>
      <c r="K1796">
        <v>144000</v>
      </c>
      <c r="L1796">
        <v>1620000</v>
      </c>
      <c r="M1796">
        <v>1296000</v>
      </c>
      <c r="N1796">
        <v>324000</v>
      </c>
      <c r="O1796" s="3" t="s">
        <v>1897</v>
      </c>
      <c r="P1796" s="3" t="s">
        <v>102</v>
      </c>
      <c r="Q1796" s="3" t="s">
        <v>103</v>
      </c>
      <c r="R1796" s="3" t="s">
        <v>103</v>
      </c>
    </row>
    <row r="1797" spans="1:18">
      <c r="A1797" s="19">
        <v>47471</v>
      </c>
      <c r="B1797" s="3" t="s">
        <v>29</v>
      </c>
      <c r="C1797" s="3" t="s">
        <v>26</v>
      </c>
      <c r="D1797" s="3" t="s">
        <v>23</v>
      </c>
      <c r="E1797" s="3" t="s">
        <v>14</v>
      </c>
      <c r="F1797" s="3" t="s">
        <v>27</v>
      </c>
      <c r="G1797" s="3" t="s">
        <v>22</v>
      </c>
      <c r="H1797">
        <v>60000</v>
      </c>
      <c r="I1797">
        <v>4</v>
      </c>
      <c r="J1797" s="3" t="s">
        <v>39</v>
      </c>
      <c r="K1797">
        <v>48000</v>
      </c>
      <c r="L1797">
        <v>240000</v>
      </c>
      <c r="M1797">
        <v>192000</v>
      </c>
      <c r="N1797">
        <v>48000</v>
      </c>
      <c r="O1797" s="3" t="s">
        <v>1898</v>
      </c>
      <c r="P1797" s="3" t="s">
        <v>102</v>
      </c>
      <c r="Q1797" s="3" t="s">
        <v>103</v>
      </c>
      <c r="R1797" s="3" t="s">
        <v>103</v>
      </c>
    </row>
    <row r="1798" spans="1:18">
      <c r="A1798" s="19">
        <v>47472</v>
      </c>
      <c r="B1798" s="3" t="s">
        <v>25</v>
      </c>
      <c r="C1798" s="3" t="s">
        <v>26</v>
      </c>
      <c r="D1798" s="3" t="s">
        <v>23</v>
      </c>
      <c r="E1798" s="3" t="s">
        <v>20</v>
      </c>
      <c r="F1798" s="3" t="s">
        <v>40</v>
      </c>
      <c r="G1798" s="3" t="s">
        <v>31</v>
      </c>
      <c r="H1798">
        <v>250000</v>
      </c>
      <c r="I1798">
        <v>10</v>
      </c>
      <c r="J1798" s="3" t="s">
        <v>39</v>
      </c>
      <c r="K1798">
        <v>200000</v>
      </c>
      <c r="L1798">
        <v>2500000</v>
      </c>
      <c r="M1798">
        <v>2000000</v>
      </c>
      <c r="N1798">
        <v>500000</v>
      </c>
      <c r="O1798" s="3" t="s">
        <v>1899</v>
      </c>
      <c r="P1798" s="3" t="s">
        <v>102</v>
      </c>
      <c r="Q1798" s="3" t="s">
        <v>103</v>
      </c>
      <c r="R1798" s="3" t="s">
        <v>103</v>
      </c>
    </row>
    <row r="1799" spans="1:18">
      <c r="A1799" s="19">
        <v>47473</v>
      </c>
      <c r="B1799" s="3" t="s">
        <v>29</v>
      </c>
      <c r="C1799" s="3" t="s">
        <v>26</v>
      </c>
      <c r="D1799" s="3" t="s">
        <v>23</v>
      </c>
      <c r="E1799" s="3" t="s">
        <v>14</v>
      </c>
      <c r="F1799" s="3" t="s">
        <v>34</v>
      </c>
      <c r="G1799" s="3" t="s">
        <v>16</v>
      </c>
      <c r="H1799">
        <v>320000</v>
      </c>
      <c r="I1799">
        <v>2</v>
      </c>
      <c r="J1799" s="3" t="s">
        <v>28</v>
      </c>
      <c r="K1799">
        <v>256000</v>
      </c>
      <c r="L1799">
        <v>640000</v>
      </c>
      <c r="M1799">
        <v>512000</v>
      </c>
      <c r="N1799">
        <v>128000</v>
      </c>
      <c r="O1799" s="3" t="s">
        <v>1900</v>
      </c>
      <c r="P1799" s="3" t="s">
        <v>102</v>
      </c>
      <c r="Q1799" s="3" t="s">
        <v>103</v>
      </c>
      <c r="R1799" s="3" t="s">
        <v>103</v>
      </c>
    </row>
    <row r="1800" spans="1:18">
      <c r="A1800" s="19">
        <v>47474</v>
      </c>
      <c r="B1800" s="3" t="s">
        <v>25</v>
      </c>
      <c r="C1800" s="3" t="s">
        <v>32</v>
      </c>
      <c r="D1800" s="3" t="s">
        <v>23</v>
      </c>
      <c r="E1800" s="3" t="s">
        <v>20</v>
      </c>
      <c r="F1800" s="3" t="s">
        <v>38</v>
      </c>
      <c r="G1800" s="3" t="s">
        <v>31</v>
      </c>
      <c r="H1800">
        <v>420000</v>
      </c>
      <c r="I1800">
        <v>7</v>
      </c>
      <c r="J1800" s="3" t="s">
        <v>35</v>
      </c>
      <c r="K1800">
        <v>336000</v>
      </c>
      <c r="L1800">
        <v>2940000</v>
      </c>
      <c r="M1800">
        <v>2352000</v>
      </c>
      <c r="N1800">
        <v>588000</v>
      </c>
      <c r="O1800" s="3" t="s">
        <v>1901</v>
      </c>
      <c r="P1800" s="3" t="s">
        <v>102</v>
      </c>
      <c r="Q1800" s="3" t="s">
        <v>103</v>
      </c>
      <c r="R1800" s="3" t="s">
        <v>103</v>
      </c>
    </row>
    <row r="1801" spans="1:18">
      <c r="A1801" s="19">
        <v>47475</v>
      </c>
      <c r="B1801" s="3" t="s">
        <v>29</v>
      </c>
      <c r="C1801" s="3" t="s">
        <v>26</v>
      </c>
      <c r="D1801" s="3" t="s">
        <v>23</v>
      </c>
      <c r="E1801" s="3" t="s">
        <v>20</v>
      </c>
      <c r="F1801" s="3" t="s">
        <v>30</v>
      </c>
      <c r="G1801" s="3" t="s">
        <v>31</v>
      </c>
      <c r="H1801">
        <v>300000</v>
      </c>
      <c r="I1801">
        <v>5</v>
      </c>
      <c r="J1801" s="3" t="s">
        <v>35</v>
      </c>
      <c r="K1801">
        <v>240000</v>
      </c>
      <c r="L1801">
        <v>1500000</v>
      </c>
      <c r="M1801">
        <v>1200000</v>
      </c>
      <c r="N1801">
        <v>300000</v>
      </c>
      <c r="O1801" s="3" t="s">
        <v>1902</v>
      </c>
      <c r="P1801" s="3" t="s">
        <v>102</v>
      </c>
      <c r="Q1801" s="3" t="s">
        <v>103</v>
      </c>
      <c r="R1801" s="3" t="s">
        <v>103</v>
      </c>
    </row>
    <row r="1802" spans="1:18">
      <c r="A1802" s="19">
        <v>47476</v>
      </c>
      <c r="B1802" s="3" t="s">
        <v>25</v>
      </c>
      <c r="C1802" s="3" t="s">
        <v>12</v>
      </c>
      <c r="D1802" s="3" t="s">
        <v>23</v>
      </c>
      <c r="E1802" s="3" t="s">
        <v>20</v>
      </c>
      <c r="F1802" s="3" t="s">
        <v>27</v>
      </c>
      <c r="G1802" s="3" t="s">
        <v>22</v>
      </c>
      <c r="H1802">
        <v>60000</v>
      </c>
      <c r="I1802">
        <v>5</v>
      </c>
      <c r="J1802" s="3" t="s">
        <v>37</v>
      </c>
      <c r="K1802">
        <v>48000</v>
      </c>
      <c r="L1802">
        <v>300000</v>
      </c>
      <c r="M1802">
        <v>240000</v>
      </c>
      <c r="N1802">
        <v>60000</v>
      </c>
      <c r="O1802" s="3" t="s">
        <v>1903</v>
      </c>
      <c r="P1802" s="3" t="s">
        <v>102</v>
      </c>
      <c r="Q1802" s="3" t="s">
        <v>103</v>
      </c>
      <c r="R1802" s="3" t="s">
        <v>103</v>
      </c>
    </row>
    <row r="1803" spans="1:18">
      <c r="A1803" s="19">
        <v>47477</v>
      </c>
      <c r="B1803" s="3" t="s">
        <v>18</v>
      </c>
      <c r="C1803" s="3" t="s">
        <v>12</v>
      </c>
      <c r="D1803" s="3" t="s">
        <v>13</v>
      </c>
      <c r="E1803" s="3" t="s">
        <v>20</v>
      </c>
      <c r="F1803" s="3" t="s">
        <v>38</v>
      </c>
      <c r="G1803" s="3" t="s">
        <v>31</v>
      </c>
      <c r="H1803">
        <v>420000</v>
      </c>
      <c r="I1803">
        <v>9</v>
      </c>
      <c r="J1803" s="3" t="s">
        <v>28</v>
      </c>
      <c r="K1803">
        <v>336000</v>
      </c>
      <c r="L1803">
        <v>3780000</v>
      </c>
      <c r="M1803">
        <v>3024000</v>
      </c>
      <c r="N1803">
        <v>756000</v>
      </c>
      <c r="O1803" s="3" t="s">
        <v>1904</v>
      </c>
      <c r="P1803" s="3" t="s">
        <v>102</v>
      </c>
      <c r="Q1803" s="3" t="s">
        <v>103</v>
      </c>
      <c r="R1803" s="3" t="s">
        <v>103</v>
      </c>
    </row>
    <row r="1804" spans="1:18">
      <c r="A1804" s="19">
        <v>47478</v>
      </c>
      <c r="B1804" s="3" t="s">
        <v>25</v>
      </c>
      <c r="C1804" s="3" t="s">
        <v>12</v>
      </c>
      <c r="D1804" s="3" t="s">
        <v>13</v>
      </c>
      <c r="E1804" s="3" t="s">
        <v>20</v>
      </c>
      <c r="F1804" s="3" t="s">
        <v>40</v>
      </c>
      <c r="G1804" s="3" t="s">
        <v>31</v>
      </c>
      <c r="H1804">
        <v>250000</v>
      </c>
      <c r="I1804">
        <v>9</v>
      </c>
      <c r="J1804" s="3" t="s">
        <v>39</v>
      </c>
      <c r="K1804">
        <v>200000</v>
      </c>
      <c r="L1804">
        <v>2250000</v>
      </c>
      <c r="M1804">
        <v>1800000</v>
      </c>
      <c r="N1804">
        <v>450000</v>
      </c>
      <c r="O1804" s="3" t="s">
        <v>1905</v>
      </c>
      <c r="P1804" s="3" t="s">
        <v>102</v>
      </c>
      <c r="Q1804" s="3" t="s">
        <v>103</v>
      </c>
      <c r="R1804" s="3" t="s">
        <v>103</v>
      </c>
    </row>
    <row r="1805" spans="1:18">
      <c r="A1805" s="19">
        <v>47479</v>
      </c>
      <c r="B1805" s="3" t="s">
        <v>11</v>
      </c>
      <c r="C1805" s="3" t="s">
        <v>32</v>
      </c>
      <c r="D1805" s="3" t="s">
        <v>13</v>
      </c>
      <c r="E1805" s="3" t="s">
        <v>20</v>
      </c>
      <c r="F1805" s="3" t="s">
        <v>41</v>
      </c>
      <c r="G1805" s="3" t="s">
        <v>22</v>
      </c>
      <c r="H1805">
        <v>220000</v>
      </c>
      <c r="I1805">
        <v>1</v>
      </c>
      <c r="J1805" s="3" t="s">
        <v>39</v>
      </c>
      <c r="K1805">
        <v>176000</v>
      </c>
      <c r="L1805">
        <v>220000</v>
      </c>
      <c r="M1805">
        <v>176000</v>
      </c>
      <c r="N1805">
        <v>44000</v>
      </c>
      <c r="O1805" s="3" t="s">
        <v>1906</v>
      </c>
      <c r="P1805" s="3" t="s">
        <v>102</v>
      </c>
      <c r="Q1805" s="3" t="s">
        <v>103</v>
      </c>
      <c r="R1805" s="3" t="s">
        <v>103</v>
      </c>
    </row>
    <row r="1806" spans="1:18">
      <c r="A1806" s="19">
        <v>47480</v>
      </c>
      <c r="B1806" s="3" t="s">
        <v>11</v>
      </c>
      <c r="C1806" s="3" t="s">
        <v>19</v>
      </c>
      <c r="D1806" s="3" t="s">
        <v>13</v>
      </c>
      <c r="E1806" s="3" t="s">
        <v>20</v>
      </c>
      <c r="F1806" s="3" t="s">
        <v>41</v>
      </c>
      <c r="G1806" s="3" t="s">
        <v>22</v>
      </c>
      <c r="H1806">
        <v>220000</v>
      </c>
      <c r="I1806">
        <v>3</v>
      </c>
      <c r="J1806" s="3" t="s">
        <v>39</v>
      </c>
      <c r="K1806">
        <v>176000</v>
      </c>
      <c r="L1806">
        <v>660000</v>
      </c>
      <c r="M1806">
        <v>528000</v>
      </c>
      <c r="N1806">
        <v>132000</v>
      </c>
      <c r="O1806" s="3" t="s">
        <v>1907</v>
      </c>
      <c r="P1806" s="3" t="s">
        <v>102</v>
      </c>
      <c r="Q1806" s="3" t="s">
        <v>103</v>
      </c>
      <c r="R1806" s="3" t="s">
        <v>103</v>
      </c>
    </row>
    <row r="1807" spans="1:18">
      <c r="A1807" s="19">
        <v>47481</v>
      </c>
      <c r="B1807" s="3" t="s">
        <v>11</v>
      </c>
      <c r="C1807" s="3" t="s">
        <v>19</v>
      </c>
      <c r="D1807" s="3" t="s">
        <v>23</v>
      </c>
      <c r="E1807" s="3" t="s">
        <v>20</v>
      </c>
      <c r="F1807" s="3" t="s">
        <v>40</v>
      </c>
      <c r="G1807" s="3" t="s">
        <v>31</v>
      </c>
      <c r="H1807">
        <v>250000</v>
      </c>
      <c r="I1807">
        <v>8</v>
      </c>
      <c r="J1807" s="3" t="s">
        <v>28</v>
      </c>
      <c r="K1807">
        <v>200000</v>
      </c>
      <c r="L1807">
        <v>2000000</v>
      </c>
      <c r="M1807">
        <v>1600000</v>
      </c>
      <c r="N1807">
        <v>400000</v>
      </c>
      <c r="O1807" s="3" t="s">
        <v>1908</v>
      </c>
      <c r="P1807" s="3" t="s">
        <v>102</v>
      </c>
      <c r="Q1807" s="3" t="s">
        <v>103</v>
      </c>
      <c r="R1807" s="3" t="s">
        <v>103</v>
      </c>
    </row>
    <row r="1808" spans="1:18">
      <c r="A1808" s="19">
        <v>47482</v>
      </c>
      <c r="B1808" s="3" t="s">
        <v>11</v>
      </c>
      <c r="C1808" s="3" t="s">
        <v>26</v>
      </c>
      <c r="D1808" s="3" t="s">
        <v>13</v>
      </c>
      <c r="E1808" s="3" t="s">
        <v>20</v>
      </c>
      <c r="F1808" s="3" t="s">
        <v>21</v>
      </c>
      <c r="G1808" s="3" t="s">
        <v>22</v>
      </c>
      <c r="H1808">
        <v>30000</v>
      </c>
      <c r="I1808">
        <v>1</v>
      </c>
      <c r="J1808" s="3" t="s">
        <v>35</v>
      </c>
      <c r="K1808">
        <v>24000</v>
      </c>
      <c r="L1808">
        <v>30000</v>
      </c>
      <c r="M1808">
        <v>24000</v>
      </c>
      <c r="N1808">
        <v>6000</v>
      </c>
      <c r="O1808" s="3" t="s">
        <v>1909</v>
      </c>
      <c r="P1808" s="3" t="s">
        <v>102</v>
      </c>
      <c r="Q1808" s="3" t="s">
        <v>103</v>
      </c>
      <c r="R1808" s="3" t="s">
        <v>103</v>
      </c>
    </row>
    <row r="1809" spans="1:18">
      <c r="A1809" s="19">
        <v>47483</v>
      </c>
      <c r="B1809" s="3" t="s">
        <v>11</v>
      </c>
      <c r="C1809" s="3" t="s">
        <v>32</v>
      </c>
      <c r="D1809" s="3" t="s">
        <v>23</v>
      </c>
      <c r="E1809" s="3" t="s">
        <v>20</v>
      </c>
      <c r="F1809" s="3" t="s">
        <v>21</v>
      </c>
      <c r="G1809" s="3" t="s">
        <v>22</v>
      </c>
      <c r="H1809">
        <v>30000</v>
      </c>
      <c r="I1809">
        <v>1</v>
      </c>
      <c r="J1809" s="3" t="s">
        <v>37</v>
      </c>
      <c r="K1809">
        <v>24000</v>
      </c>
      <c r="L1809">
        <v>30000</v>
      </c>
      <c r="M1809">
        <v>24000</v>
      </c>
      <c r="N1809">
        <v>6000</v>
      </c>
      <c r="O1809" s="3" t="s">
        <v>1910</v>
      </c>
      <c r="P1809" s="3" t="s">
        <v>102</v>
      </c>
      <c r="Q1809" s="3" t="s">
        <v>103</v>
      </c>
      <c r="R1809" s="3" t="s">
        <v>103</v>
      </c>
    </row>
    <row r="1810" spans="1:18">
      <c r="A1810" s="19">
        <v>47484</v>
      </c>
      <c r="B1810" s="3" t="s">
        <v>29</v>
      </c>
      <c r="C1810" s="3" t="s">
        <v>26</v>
      </c>
      <c r="D1810" s="3" t="s">
        <v>13</v>
      </c>
      <c r="E1810" s="3" t="s">
        <v>20</v>
      </c>
      <c r="F1810" s="3" t="s">
        <v>21</v>
      </c>
      <c r="G1810" s="3" t="s">
        <v>22</v>
      </c>
      <c r="H1810">
        <v>30000</v>
      </c>
      <c r="I1810">
        <v>8</v>
      </c>
      <c r="J1810" s="3" t="s">
        <v>17</v>
      </c>
      <c r="K1810">
        <v>24000</v>
      </c>
      <c r="L1810">
        <v>240000</v>
      </c>
      <c r="M1810">
        <v>192000</v>
      </c>
      <c r="N1810">
        <v>48000</v>
      </c>
      <c r="O1810" s="3" t="s">
        <v>1911</v>
      </c>
      <c r="P1810" s="3" t="s">
        <v>102</v>
      </c>
      <c r="Q1810" s="3" t="s">
        <v>103</v>
      </c>
      <c r="R1810" s="3" t="s">
        <v>103</v>
      </c>
    </row>
    <row r="1811" spans="1:18">
      <c r="A1811" s="19">
        <v>47485</v>
      </c>
      <c r="B1811" s="3" t="s">
        <v>11</v>
      </c>
      <c r="C1811" s="3" t="s">
        <v>12</v>
      </c>
      <c r="D1811" s="3" t="s">
        <v>13</v>
      </c>
      <c r="E1811" s="3" t="s">
        <v>20</v>
      </c>
      <c r="F1811" s="3" t="s">
        <v>27</v>
      </c>
      <c r="G1811" s="3" t="s">
        <v>22</v>
      </c>
      <c r="H1811">
        <v>60000</v>
      </c>
      <c r="I1811">
        <v>6</v>
      </c>
      <c r="J1811" s="3" t="s">
        <v>35</v>
      </c>
      <c r="K1811">
        <v>48000</v>
      </c>
      <c r="L1811">
        <v>360000</v>
      </c>
      <c r="M1811">
        <v>288000</v>
      </c>
      <c r="N1811">
        <v>72000</v>
      </c>
      <c r="O1811" s="3" t="s">
        <v>1912</v>
      </c>
      <c r="P1811" s="3" t="s">
        <v>102</v>
      </c>
      <c r="Q1811" s="3" t="s">
        <v>103</v>
      </c>
      <c r="R1811" s="3" t="s">
        <v>103</v>
      </c>
    </row>
    <row r="1812" spans="1:18">
      <c r="A1812" s="19">
        <v>47486</v>
      </c>
      <c r="B1812" s="3" t="s">
        <v>11</v>
      </c>
      <c r="C1812" s="3" t="s">
        <v>12</v>
      </c>
      <c r="D1812" s="3" t="s">
        <v>23</v>
      </c>
      <c r="E1812" s="3" t="s">
        <v>20</v>
      </c>
      <c r="F1812" s="3" t="s">
        <v>40</v>
      </c>
      <c r="G1812" s="3" t="s">
        <v>31</v>
      </c>
      <c r="H1812">
        <v>250000</v>
      </c>
      <c r="I1812">
        <v>5</v>
      </c>
      <c r="J1812" s="3" t="s">
        <v>24</v>
      </c>
      <c r="K1812">
        <v>200000</v>
      </c>
      <c r="L1812">
        <v>1250000</v>
      </c>
      <c r="M1812">
        <v>1000000</v>
      </c>
      <c r="N1812">
        <v>250000</v>
      </c>
      <c r="O1812" s="3" t="s">
        <v>1913</v>
      </c>
      <c r="P1812" s="3" t="s">
        <v>102</v>
      </c>
      <c r="Q1812" s="3" t="s">
        <v>103</v>
      </c>
      <c r="R1812" s="3" t="s">
        <v>103</v>
      </c>
    </row>
    <row r="1813" spans="1:18">
      <c r="A1813" s="19">
        <v>47487</v>
      </c>
      <c r="B1813" s="3" t="s">
        <v>25</v>
      </c>
      <c r="C1813" s="3" t="s">
        <v>32</v>
      </c>
      <c r="D1813" s="3" t="s">
        <v>13</v>
      </c>
      <c r="E1813" s="3" t="s">
        <v>20</v>
      </c>
      <c r="F1813" s="3" t="s">
        <v>21</v>
      </c>
      <c r="G1813" s="3" t="s">
        <v>22</v>
      </c>
      <c r="H1813">
        <v>30000</v>
      </c>
      <c r="I1813">
        <v>1</v>
      </c>
      <c r="J1813" s="3" t="s">
        <v>37</v>
      </c>
      <c r="K1813">
        <v>24000</v>
      </c>
      <c r="L1813">
        <v>30000</v>
      </c>
      <c r="M1813">
        <v>24000</v>
      </c>
      <c r="N1813">
        <v>6000</v>
      </c>
      <c r="O1813" s="3" t="s">
        <v>1914</v>
      </c>
      <c r="P1813" s="3" t="s">
        <v>102</v>
      </c>
      <c r="Q1813" s="3" t="s">
        <v>103</v>
      </c>
      <c r="R1813" s="3" t="s">
        <v>103</v>
      </c>
    </row>
    <row r="1814" spans="1:18">
      <c r="A1814" s="19">
        <v>47488</v>
      </c>
      <c r="B1814" s="3" t="s">
        <v>25</v>
      </c>
      <c r="C1814" s="3" t="s">
        <v>26</v>
      </c>
      <c r="D1814" s="3" t="s">
        <v>23</v>
      </c>
      <c r="E1814" s="3" t="s">
        <v>20</v>
      </c>
      <c r="F1814" s="3" t="s">
        <v>36</v>
      </c>
      <c r="G1814" s="3" t="s">
        <v>31</v>
      </c>
      <c r="H1814">
        <v>150000</v>
      </c>
      <c r="I1814">
        <v>9</v>
      </c>
      <c r="J1814" s="3" t="s">
        <v>37</v>
      </c>
      <c r="K1814">
        <v>120000</v>
      </c>
      <c r="L1814">
        <v>1350000</v>
      </c>
      <c r="M1814">
        <v>1080000</v>
      </c>
      <c r="N1814">
        <v>270000</v>
      </c>
      <c r="O1814" s="3" t="s">
        <v>1915</v>
      </c>
      <c r="P1814" s="3" t="s">
        <v>102</v>
      </c>
      <c r="Q1814" s="3" t="s">
        <v>103</v>
      </c>
      <c r="R1814" s="3" t="s">
        <v>103</v>
      </c>
    </row>
    <row r="1815" spans="1:18">
      <c r="A1815" s="19">
        <v>47489</v>
      </c>
      <c r="B1815" s="3" t="s">
        <v>18</v>
      </c>
      <c r="C1815" s="3" t="s">
        <v>32</v>
      </c>
      <c r="D1815" s="3" t="s">
        <v>13</v>
      </c>
      <c r="E1815" s="3" t="s">
        <v>20</v>
      </c>
      <c r="F1815" s="3" t="s">
        <v>33</v>
      </c>
      <c r="G1815" s="3" t="s">
        <v>22</v>
      </c>
      <c r="H1815">
        <v>180000</v>
      </c>
      <c r="I1815">
        <v>2</v>
      </c>
      <c r="J1815" s="3" t="s">
        <v>37</v>
      </c>
      <c r="K1815">
        <v>144000</v>
      </c>
      <c r="L1815">
        <v>360000</v>
      </c>
      <c r="M1815">
        <v>288000</v>
      </c>
      <c r="N1815">
        <v>72000</v>
      </c>
      <c r="O1815" s="3" t="s">
        <v>1916</v>
      </c>
      <c r="P1815" s="3" t="s">
        <v>102</v>
      </c>
      <c r="Q1815" s="3" t="s">
        <v>103</v>
      </c>
      <c r="R1815" s="3" t="s">
        <v>103</v>
      </c>
    </row>
    <row r="1816" spans="1:18">
      <c r="A1816" s="19">
        <v>47490</v>
      </c>
      <c r="B1816" s="3" t="s">
        <v>18</v>
      </c>
      <c r="C1816" s="3" t="s">
        <v>32</v>
      </c>
      <c r="D1816" s="3" t="s">
        <v>13</v>
      </c>
      <c r="E1816" s="3" t="s">
        <v>20</v>
      </c>
      <c r="F1816" s="3" t="s">
        <v>38</v>
      </c>
      <c r="G1816" s="3" t="s">
        <v>31</v>
      </c>
      <c r="H1816">
        <v>420000</v>
      </c>
      <c r="I1816">
        <v>10</v>
      </c>
      <c r="J1816" s="3" t="s">
        <v>28</v>
      </c>
      <c r="K1816">
        <v>336000</v>
      </c>
      <c r="L1816">
        <v>4200000</v>
      </c>
      <c r="M1816">
        <v>3360000</v>
      </c>
      <c r="N1816">
        <v>840000</v>
      </c>
      <c r="O1816" s="3" t="s">
        <v>1917</v>
      </c>
      <c r="P1816" s="3" t="s">
        <v>102</v>
      </c>
      <c r="Q1816" s="3" t="s">
        <v>103</v>
      </c>
      <c r="R1816" s="3" t="s">
        <v>103</v>
      </c>
    </row>
    <row r="1817" spans="1:18">
      <c r="A1817" s="19">
        <v>47491</v>
      </c>
      <c r="B1817" s="3" t="s">
        <v>11</v>
      </c>
      <c r="C1817" s="3" t="s">
        <v>26</v>
      </c>
      <c r="D1817" s="3" t="s">
        <v>23</v>
      </c>
      <c r="E1817" s="3" t="s">
        <v>20</v>
      </c>
      <c r="F1817" s="3" t="s">
        <v>30</v>
      </c>
      <c r="G1817" s="3" t="s">
        <v>31</v>
      </c>
      <c r="H1817">
        <v>300000</v>
      </c>
      <c r="I1817">
        <v>4</v>
      </c>
      <c r="J1817" s="3" t="s">
        <v>39</v>
      </c>
      <c r="K1817">
        <v>240000</v>
      </c>
      <c r="L1817">
        <v>1200000</v>
      </c>
      <c r="M1817">
        <v>960000</v>
      </c>
      <c r="N1817">
        <v>240000</v>
      </c>
      <c r="O1817" s="3" t="s">
        <v>1918</v>
      </c>
      <c r="P1817" s="3" t="s">
        <v>102</v>
      </c>
      <c r="Q1817" s="3" t="s">
        <v>103</v>
      </c>
      <c r="R1817" s="3" t="s">
        <v>103</v>
      </c>
    </row>
    <row r="1818" spans="1:18">
      <c r="A1818" s="19">
        <v>47492</v>
      </c>
      <c r="B1818" s="3" t="s">
        <v>11</v>
      </c>
      <c r="C1818" s="3" t="s">
        <v>12</v>
      </c>
      <c r="D1818" s="3" t="s">
        <v>13</v>
      </c>
      <c r="E1818" s="3" t="s">
        <v>20</v>
      </c>
      <c r="F1818" s="3" t="s">
        <v>33</v>
      </c>
      <c r="G1818" s="3" t="s">
        <v>22</v>
      </c>
      <c r="H1818">
        <v>180000</v>
      </c>
      <c r="I1818">
        <v>8</v>
      </c>
      <c r="J1818" s="3" t="s">
        <v>37</v>
      </c>
      <c r="K1818">
        <v>144000</v>
      </c>
      <c r="L1818">
        <v>1440000</v>
      </c>
      <c r="M1818">
        <v>1152000</v>
      </c>
      <c r="N1818">
        <v>288000</v>
      </c>
      <c r="O1818" s="3" t="s">
        <v>1919</v>
      </c>
      <c r="P1818" s="3" t="s">
        <v>102</v>
      </c>
      <c r="Q1818" s="3" t="s">
        <v>103</v>
      </c>
      <c r="R1818" s="3" t="s">
        <v>103</v>
      </c>
    </row>
    <row r="1819" spans="1:18">
      <c r="A1819" s="19">
        <v>47493</v>
      </c>
      <c r="B1819" s="3" t="s">
        <v>18</v>
      </c>
      <c r="C1819" s="3" t="s">
        <v>32</v>
      </c>
      <c r="D1819" s="3" t="s">
        <v>13</v>
      </c>
      <c r="E1819" s="3" t="s">
        <v>20</v>
      </c>
      <c r="F1819" s="3" t="s">
        <v>38</v>
      </c>
      <c r="G1819" s="3" t="s">
        <v>31</v>
      </c>
      <c r="H1819">
        <v>420000</v>
      </c>
      <c r="I1819">
        <v>5</v>
      </c>
      <c r="J1819" s="3" t="s">
        <v>37</v>
      </c>
      <c r="K1819">
        <v>336000</v>
      </c>
      <c r="L1819">
        <v>2100000</v>
      </c>
      <c r="M1819">
        <v>1680000</v>
      </c>
      <c r="N1819">
        <v>420000</v>
      </c>
      <c r="O1819" s="3" t="s">
        <v>1920</v>
      </c>
      <c r="P1819" s="3" t="s">
        <v>102</v>
      </c>
      <c r="Q1819" s="3" t="s">
        <v>103</v>
      </c>
      <c r="R1819" s="3" t="s">
        <v>103</v>
      </c>
    </row>
    <row r="1820" spans="1:18">
      <c r="A1820" s="19">
        <v>47494</v>
      </c>
      <c r="B1820" s="3" t="s">
        <v>25</v>
      </c>
      <c r="C1820" s="3" t="s">
        <v>19</v>
      </c>
      <c r="D1820" s="3" t="s">
        <v>23</v>
      </c>
      <c r="E1820" s="3" t="s">
        <v>20</v>
      </c>
      <c r="F1820" s="3" t="s">
        <v>33</v>
      </c>
      <c r="G1820" s="3" t="s">
        <v>22</v>
      </c>
      <c r="H1820">
        <v>180000</v>
      </c>
      <c r="I1820">
        <v>5</v>
      </c>
      <c r="J1820" s="3" t="s">
        <v>17</v>
      </c>
      <c r="K1820">
        <v>144000</v>
      </c>
      <c r="L1820">
        <v>900000</v>
      </c>
      <c r="M1820">
        <v>720000</v>
      </c>
      <c r="N1820">
        <v>180000</v>
      </c>
      <c r="O1820" s="3" t="s">
        <v>1921</v>
      </c>
      <c r="P1820" s="3" t="s">
        <v>102</v>
      </c>
      <c r="Q1820" s="3" t="s">
        <v>103</v>
      </c>
      <c r="R1820" s="3" t="s">
        <v>103</v>
      </c>
    </row>
    <row r="1821" spans="1:18">
      <c r="A1821" s="19">
        <v>47495</v>
      </c>
      <c r="B1821" s="3" t="s">
        <v>11</v>
      </c>
      <c r="C1821" s="3" t="s">
        <v>12</v>
      </c>
      <c r="D1821" s="3" t="s">
        <v>23</v>
      </c>
      <c r="E1821" s="3" t="s">
        <v>20</v>
      </c>
      <c r="F1821" s="3" t="s">
        <v>30</v>
      </c>
      <c r="G1821" s="3" t="s">
        <v>31</v>
      </c>
      <c r="H1821">
        <v>300000</v>
      </c>
      <c r="I1821">
        <v>1</v>
      </c>
      <c r="J1821" s="3" t="s">
        <v>37</v>
      </c>
      <c r="K1821">
        <v>240000</v>
      </c>
      <c r="L1821">
        <v>300000</v>
      </c>
      <c r="M1821">
        <v>240000</v>
      </c>
      <c r="N1821">
        <v>60000</v>
      </c>
      <c r="O1821" s="3" t="s">
        <v>1922</v>
      </c>
      <c r="P1821" s="3" t="s">
        <v>102</v>
      </c>
      <c r="Q1821" s="3" t="s">
        <v>103</v>
      </c>
      <c r="R1821" s="3" t="s">
        <v>103</v>
      </c>
    </row>
    <row r="1822" spans="1:18">
      <c r="A1822" s="19">
        <v>47496</v>
      </c>
      <c r="B1822" s="3" t="s">
        <v>25</v>
      </c>
      <c r="C1822" s="3" t="s">
        <v>12</v>
      </c>
      <c r="D1822" s="3" t="s">
        <v>13</v>
      </c>
      <c r="E1822" s="3" t="s">
        <v>20</v>
      </c>
      <c r="F1822" s="3" t="s">
        <v>33</v>
      </c>
      <c r="G1822" s="3" t="s">
        <v>22</v>
      </c>
      <c r="H1822">
        <v>180000</v>
      </c>
      <c r="I1822">
        <v>7</v>
      </c>
      <c r="J1822" s="3" t="s">
        <v>37</v>
      </c>
      <c r="K1822">
        <v>144000</v>
      </c>
      <c r="L1822">
        <v>1260000</v>
      </c>
      <c r="M1822">
        <v>1008000</v>
      </c>
      <c r="N1822">
        <v>252000</v>
      </c>
      <c r="O1822" s="3" t="s">
        <v>1923</v>
      </c>
      <c r="P1822" s="3" t="s">
        <v>102</v>
      </c>
      <c r="Q1822" s="3" t="s">
        <v>103</v>
      </c>
      <c r="R1822" s="3" t="s">
        <v>103</v>
      </c>
    </row>
    <row r="1823" spans="1:18">
      <c r="A1823" s="19">
        <v>47497</v>
      </c>
      <c r="B1823" s="3" t="s">
        <v>18</v>
      </c>
      <c r="C1823" s="3" t="s">
        <v>26</v>
      </c>
      <c r="D1823" s="3" t="s">
        <v>23</v>
      </c>
      <c r="E1823" s="3" t="s">
        <v>20</v>
      </c>
      <c r="F1823" s="3" t="s">
        <v>21</v>
      </c>
      <c r="G1823" s="3" t="s">
        <v>22</v>
      </c>
      <c r="H1823">
        <v>30000</v>
      </c>
      <c r="I1823">
        <v>8</v>
      </c>
      <c r="J1823" s="3" t="s">
        <v>37</v>
      </c>
      <c r="K1823">
        <v>24000</v>
      </c>
      <c r="L1823">
        <v>240000</v>
      </c>
      <c r="M1823">
        <v>192000</v>
      </c>
      <c r="N1823">
        <v>48000</v>
      </c>
      <c r="O1823" s="3" t="s">
        <v>1924</v>
      </c>
      <c r="P1823" s="3" t="s">
        <v>102</v>
      </c>
      <c r="Q1823" s="3" t="s">
        <v>103</v>
      </c>
      <c r="R1823" s="3" t="s">
        <v>103</v>
      </c>
    </row>
    <row r="1824" spans="1:18">
      <c r="A1824" s="19">
        <v>47498</v>
      </c>
      <c r="B1824" s="3" t="s">
        <v>29</v>
      </c>
      <c r="C1824" s="3" t="s">
        <v>12</v>
      </c>
      <c r="D1824" s="3" t="s">
        <v>13</v>
      </c>
      <c r="E1824" s="3" t="s">
        <v>20</v>
      </c>
      <c r="F1824" s="3" t="s">
        <v>15</v>
      </c>
      <c r="G1824" s="3" t="s">
        <v>16</v>
      </c>
      <c r="H1824">
        <v>85000</v>
      </c>
      <c r="I1824">
        <v>10</v>
      </c>
      <c r="J1824" s="3" t="s">
        <v>28</v>
      </c>
      <c r="K1824">
        <v>68000</v>
      </c>
      <c r="L1824">
        <v>850000</v>
      </c>
      <c r="M1824">
        <v>680000</v>
      </c>
      <c r="N1824">
        <v>170000</v>
      </c>
      <c r="O1824" s="3" t="s">
        <v>1925</v>
      </c>
      <c r="P1824" s="3" t="s">
        <v>102</v>
      </c>
      <c r="Q1824" s="3" t="s">
        <v>103</v>
      </c>
      <c r="R1824" s="3" t="s">
        <v>103</v>
      </c>
    </row>
    <row r="1825" spans="1:18">
      <c r="A1825" s="19">
        <v>47499</v>
      </c>
      <c r="B1825" s="3" t="s">
        <v>18</v>
      </c>
      <c r="C1825" s="3" t="s">
        <v>26</v>
      </c>
      <c r="D1825" s="3" t="s">
        <v>13</v>
      </c>
      <c r="E1825" s="3" t="s">
        <v>20</v>
      </c>
      <c r="F1825" s="3" t="s">
        <v>15</v>
      </c>
      <c r="G1825" s="3" t="s">
        <v>16</v>
      </c>
      <c r="H1825">
        <v>85000</v>
      </c>
      <c r="I1825">
        <v>1</v>
      </c>
      <c r="J1825" s="3" t="s">
        <v>17</v>
      </c>
      <c r="K1825">
        <v>68000</v>
      </c>
      <c r="L1825">
        <v>85000</v>
      </c>
      <c r="M1825">
        <v>68000</v>
      </c>
      <c r="N1825">
        <v>17000</v>
      </c>
      <c r="O1825" s="3" t="s">
        <v>1926</v>
      </c>
      <c r="P1825" s="3" t="s">
        <v>102</v>
      </c>
      <c r="Q1825" s="3" t="s">
        <v>103</v>
      </c>
      <c r="R1825" s="3" t="s">
        <v>103</v>
      </c>
    </row>
    <row r="1826" spans="1:18">
      <c r="A1826" s="19">
        <v>47500</v>
      </c>
      <c r="B1826" s="3" t="s">
        <v>29</v>
      </c>
      <c r="C1826" s="3" t="s">
        <v>19</v>
      </c>
      <c r="D1826" s="3" t="s">
        <v>23</v>
      </c>
      <c r="E1826" s="3" t="s">
        <v>20</v>
      </c>
      <c r="F1826" s="3" t="s">
        <v>36</v>
      </c>
      <c r="G1826" s="3" t="s">
        <v>31</v>
      </c>
      <c r="H1826">
        <v>150000</v>
      </c>
      <c r="I1826">
        <v>8</v>
      </c>
      <c r="J1826" s="3" t="s">
        <v>37</v>
      </c>
      <c r="K1826">
        <v>120000</v>
      </c>
      <c r="L1826">
        <v>1200000</v>
      </c>
      <c r="M1826">
        <v>960000</v>
      </c>
      <c r="N1826">
        <v>240000</v>
      </c>
      <c r="O1826" s="3" t="s">
        <v>1927</v>
      </c>
      <c r="P1826" s="3" t="s">
        <v>102</v>
      </c>
      <c r="Q1826" s="3" t="s">
        <v>103</v>
      </c>
      <c r="R1826" s="3" t="s">
        <v>103</v>
      </c>
    </row>
    <row r="1827" spans="1:18">
      <c r="A1827" s="19">
        <v>47501</v>
      </c>
      <c r="B1827" s="3" t="s">
        <v>11</v>
      </c>
      <c r="C1827" s="3" t="s">
        <v>19</v>
      </c>
      <c r="D1827" s="3" t="s">
        <v>23</v>
      </c>
      <c r="E1827" s="3" t="s">
        <v>20</v>
      </c>
      <c r="F1827" s="3" t="s">
        <v>38</v>
      </c>
      <c r="G1827" s="3" t="s">
        <v>31</v>
      </c>
      <c r="H1827">
        <v>420000</v>
      </c>
      <c r="I1827">
        <v>6</v>
      </c>
      <c r="J1827" s="3" t="s">
        <v>35</v>
      </c>
      <c r="K1827">
        <v>336000</v>
      </c>
      <c r="L1827">
        <v>2520000</v>
      </c>
      <c r="M1827">
        <v>2016000</v>
      </c>
      <c r="N1827">
        <v>504000</v>
      </c>
      <c r="O1827" s="3" t="s">
        <v>1928</v>
      </c>
      <c r="P1827" s="3" t="s">
        <v>102</v>
      </c>
      <c r="Q1827" s="3" t="s">
        <v>103</v>
      </c>
      <c r="R1827" s="3" t="s">
        <v>103</v>
      </c>
    </row>
    <row r="1828" spans="1:18">
      <c r="A1828" s="19">
        <v>47502</v>
      </c>
      <c r="B1828" s="3" t="s">
        <v>25</v>
      </c>
      <c r="C1828" s="3" t="s">
        <v>32</v>
      </c>
      <c r="D1828" s="3" t="s">
        <v>13</v>
      </c>
      <c r="E1828" s="3" t="s">
        <v>20</v>
      </c>
      <c r="F1828" s="3" t="s">
        <v>27</v>
      </c>
      <c r="G1828" s="3" t="s">
        <v>22</v>
      </c>
      <c r="H1828">
        <v>60000</v>
      </c>
      <c r="I1828">
        <v>8</v>
      </c>
      <c r="J1828" s="3" t="s">
        <v>35</v>
      </c>
      <c r="K1828">
        <v>48000</v>
      </c>
      <c r="L1828">
        <v>480000</v>
      </c>
      <c r="M1828">
        <v>384000</v>
      </c>
      <c r="N1828">
        <v>96000</v>
      </c>
      <c r="O1828" s="3" t="s">
        <v>1929</v>
      </c>
      <c r="P1828" s="3" t="s">
        <v>102</v>
      </c>
      <c r="Q1828" s="3" t="s">
        <v>103</v>
      </c>
      <c r="R1828" s="3" t="s">
        <v>103</v>
      </c>
    </row>
    <row r="1829" spans="1:18">
      <c r="A1829" s="19">
        <v>47503</v>
      </c>
      <c r="B1829" s="3" t="s">
        <v>25</v>
      </c>
      <c r="C1829" s="3" t="s">
        <v>12</v>
      </c>
      <c r="D1829" s="3" t="s">
        <v>13</v>
      </c>
      <c r="E1829" s="3" t="s">
        <v>20</v>
      </c>
      <c r="F1829" s="3" t="s">
        <v>30</v>
      </c>
      <c r="G1829" s="3" t="s">
        <v>31</v>
      </c>
      <c r="H1829">
        <v>300000</v>
      </c>
      <c r="I1829">
        <v>7</v>
      </c>
      <c r="J1829" s="3" t="s">
        <v>28</v>
      </c>
      <c r="K1829">
        <v>240000</v>
      </c>
      <c r="L1829">
        <v>2100000</v>
      </c>
      <c r="M1829">
        <v>1680000</v>
      </c>
      <c r="N1829">
        <v>420000</v>
      </c>
      <c r="O1829" s="3" t="s">
        <v>1930</v>
      </c>
      <c r="P1829" s="3" t="s">
        <v>102</v>
      </c>
      <c r="Q1829" s="3" t="s">
        <v>103</v>
      </c>
      <c r="R1829" s="3" t="s">
        <v>103</v>
      </c>
    </row>
    <row r="1830" spans="1:18">
      <c r="A1830" s="19">
        <v>47504</v>
      </c>
      <c r="B1830" s="3" t="s">
        <v>18</v>
      </c>
      <c r="C1830" s="3" t="s">
        <v>19</v>
      </c>
      <c r="D1830" s="3" t="s">
        <v>23</v>
      </c>
      <c r="E1830" s="3" t="s">
        <v>20</v>
      </c>
      <c r="F1830" s="3" t="s">
        <v>36</v>
      </c>
      <c r="G1830" s="3" t="s">
        <v>31</v>
      </c>
      <c r="H1830">
        <v>150000</v>
      </c>
      <c r="I1830">
        <v>8</v>
      </c>
      <c r="J1830" s="3" t="s">
        <v>37</v>
      </c>
      <c r="K1830">
        <v>120000</v>
      </c>
      <c r="L1830">
        <v>1200000</v>
      </c>
      <c r="M1830">
        <v>960000</v>
      </c>
      <c r="N1830">
        <v>240000</v>
      </c>
      <c r="O1830" s="3" t="s">
        <v>1931</v>
      </c>
      <c r="P1830" s="3" t="s">
        <v>102</v>
      </c>
      <c r="Q1830" s="3" t="s">
        <v>103</v>
      </c>
      <c r="R1830" s="3" t="s">
        <v>103</v>
      </c>
    </row>
    <row r="1831" spans="1:18">
      <c r="A1831" s="19">
        <v>47505</v>
      </c>
      <c r="B1831" s="3" t="s">
        <v>18</v>
      </c>
      <c r="C1831" s="3" t="s">
        <v>12</v>
      </c>
      <c r="D1831" s="3" t="s">
        <v>23</v>
      </c>
      <c r="E1831" s="3" t="s">
        <v>20</v>
      </c>
      <c r="F1831" s="3" t="s">
        <v>27</v>
      </c>
      <c r="G1831" s="3" t="s">
        <v>22</v>
      </c>
      <c r="H1831">
        <v>60000</v>
      </c>
      <c r="I1831">
        <v>10</v>
      </c>
      <c r="J1831" s="3" t="s">
        <v>17</v>
      </c>
      <c r="K1831">
        <v>48000</v>
      </c>
      <c r="L1831">
        <v>600000</v>
      </c>
      <c r="M1831">
        <v>480000</v>
      </c>
      <c r="N1831">
        <v>120000</v>
      </c>
      <c r="O1831" s="3" t="s">
        <v>1932</v>
      </c>
      <c r="P1831" s="3" t="s">
        <v>102</v>
      </c>
      <c r="Q1831" s="3" t="s">
        <v>103</v>
      </c>
      <c r="R1831" s="3" t="s">
        <v>103</v>
      </c>
    </row>
    <row r="1832" spans="1:18">
      <c r="A1832" s="19">
        <v>47506</v>
      </c>
      <c r="B1832" s="3" t="s">
        <v>29</v>
      </c>
      <c r="C1832" s="3" t="s">
        <v>26</v>
      </c>
      <c r="D1832" s="3" t="s">
        <v>13</v>
      </c>
      <c r="E1832" s="3" t="s">
        <v>20</v>
      </c>
      <c r="F1832" s="3" t="s">
        <v>34</v>
      </c>
      <c r="G1832" s="3" t="s">
        <v>16</v>
      </c>
      <c r="H1832">
        <v>320000</v>
      </c>
      <c r="I1832">
        <v>9</v>
      </c>
      <c r="J1832" s="3" t="s">
        <v>35</v>
      </c>
      <c r="K1832">
        <v>256000</v>
      </c>
      <c r="L1832">
        <v>2880000</v>
      </c>
      <c r="M1832">
        <v>2304000</v>
      </c>
      <c r="N1832">
        <v>576000</v>
      </c>
      <c r="O1832" s="3" t="s">
        <v>1933</v>
      </c>
      <c r="P1832" s="3" t="s">
        <v>102</v>
      </c>
      <c r="Q1832" s="3" t="s">
        <v>103</v>
      </c>
      <c r="R1832" s="3" t="s">
        <v>103</v>
      </c>
    </row>
    <row r="1833" spans="1:18">
      <c r="A1833" s="19">
        <v>47507</v>
      </c>
      <c r="B1833" s="3" t="s">
        <v>11</v>
      </c>
      <c r="C1833" s="3" t="s">
        <v>12</v>
      </c>
      <c r="D1833" s="3" t="s">
        <v>13</v>
      </c>
      <c r="E1833" s="3" t="s">
        <v>20</v>
      </c>
      <c r="F1833" s="3" t="s">
        <v>40</v>
      </c>
      <c r="G1833" s="3" t="s">
        <v>31</v>
      </c>
      <c r="H1833">
        <v>250000</v>
      </c>
      <c r="I1833">
        <v>9</v>
      </c>
      <c r="J1833" s="3" t="s">
        <v>28</v>
      </c>
      <c r="K1833">
        <v>200000</v>
      </c>
      <c r="L1833">
        <v>2250000</v>
      </c>
      <c r="M1833">
        <v>1800000</v>
      </c>
      <c r="N1833">
        <v>450000</v>
      </c>
      <c r="O1833" s="3" t="s">
        <v>1934</v>
      </c>
      <c r="P1833" s="3" t="s">
        <v>102</v>
      </c>
      <c r="Q1833" s="3" t="s">
        <v>103</v>
      </c>
      <c r="R1833" s="3" t="s">
        <v>103</v>
      </c>
    </row>
    <row r="1834" spans="1:18">
      <c r="A1834" s="19">
        <v>47508</v>
      </c>
      <c r="B1834" s="3" t="s">
        <v>25</v>
      </c>
      <c r="C1834" s="3" t="s">
        <v>26</v>
      </c>
      <c r="D1834" s="3" t="s">
        <v>13</v>
      </c>
      <c r="E1834" s="3" t="s">
        <v>20</v>
      </c>
      <c r="F1834" s="3" t="s">
        <v>41</v>
      </c>
      <c r="G1834" s="3" t="s">
        <v>22</v>
      </c>
      <c r="H1834">
        <v>220000</v>
      </c>
      <c r="I1834">
        <v>7</v>
      </c>
      <c r="J1834" s="3" t="s">
        <v>35</v>
      </c>
      <c r="K1834">
        <v>176000</v>
      </c>
      <c r="L1834">
        <v>1540000</v>
      </c>
      <c r="M1834">
        <v>1232000</v>
      </c>
      <c r="N1834">
        <v>308000</v>
      </c>
      <c r="O1834" s="3" t="s">
        <v>1935</v>
      </c>
      <c r="P1834" s="3" t="s">
        <v>102</v>
      </c>
      <c r="Q1834" s="3" t="s">
        <v>103</v>
      </c>
      <c r="R1834" s="3" t="s">
        <v>103</v>
      </c>
    </row>
    <row r="1835" spans="1:18">
      <c r="A1835" s="19">
        <v>47509</v>
      </c>
      <c r="B1835" s="3" t="s">
        <v>25</v>
      </c>
      <c r="C1835" s="3" t="s">
        <v>19</v>
      </c>
      <c r="D1835" s="3" t="s">
        <v>13</v>
      </c>
      <c r="E1835" s="3" t="s">
        <v>20</v>
      </c>
      <c r="F1835" s="3" t="s">
        <v>34</v>
      </c>
      <c r="G1835" s="3" t="s">
        <v>16</v>
      </c>
      <c r="H1835">
        <v>320000</v>
      </c>
      <c r="I1835">
        <v>4</v>
      </c>
      <c r="J1835" s="3" t="s">
        <v>24</v>
      </c>
      <c r="K1835">
        <v>256000</v>
      </c>
      <c r="L1835">
        <v>1280000</v>
      </c>
      <c r="M1835">
        <v>1024000</v>
      </c>
      <c r="N1835">
        <v>256000</v>
      </c>
      <c r="O1835" s="3" t="s">
        <v>1936</v>
      </c>
      <c r="P1835" s="3" t="s">
        <v>102</v>
      </c>
      <c r="Q1835" s="3" t="s">
        <v>103</v>
      </c>
      <c r="R1835" s="3" t="s">
        <v>103</v>
      </c>
    </row>
    <row r="1836" spans="1:18">
      <c r="A1836" s="19">
        <v>47510</v>
      </c>
      <c r="B1836" s="3" t="s">
        <v>25</v>
      </c>
      <c r="C1836" s="3" t="s">
        <v>19</v>
      </c>
      <c r="D1836" s="3" t="s">
        <v>23</v>
      </c>
      <c r="E1836" s="3" t="s">
        <v>20</v>
      </c>
      <c r="F1836" s="3" t="s">
        <v>41</v>
      </c>
      <c r="G1836" s="3" t="s">
        <v>22</v>
      </c>
      <c r="H1836">
        <v>220000</v>
      </c>
      <c r="I1836">
        <v>1</v>
      </c>
      <c r="J1836" s="3" t="s">
        <v>37</v>
      </c>
      <c r="K1836">
        <v>176000</v>
      </c>
      <c r="L1836">
        <v>220000</v>
      </c>
      <c r="M1836">
        <v>176000</v>
      </c>
      <c r="N1836">
        <v>44000</v>
      </c>
      <c r="O1836" s="3" t="s">
        <v>1937</v>
      </c>
      <c r="P1836" s="3" t="s">
        <v>102</v>
      </c>
      <c r="Q1836" s="3" t="s">
        <v>103</v>
      </c>
      <c r="R1836" s="3" t="s">
        <v>103</v>
      </c>
    </row>
    <row r="1837" spans="1:18">
      <c r="A1837" s="19">
        <v>47511</v>
      </c>
      <c r="B1837" s="3" t="s">
        <v>11</v>
      </c>
      <c r="C1837" s="3" t="s">
        <v>19</v>
      </c>
      <c r="D1837" s="3" t="s">
        <v>13</v>
      </c>
      <c r="E1837" s="3" t="s">
        <v>20</v>
      </c>
      <c r="F1837" s="3" t="s">
        <v>21</v>
      </c>
      <c r="G1837" s="3" t="s">
        <v>22</v>
      </c>
      <c r="H1837">
        <v>30000</v>
      </c>
      <c r="I1837">
        <v>9</v>
      </c>
      <c r="J1837" s="3" t="s">
        <v>37</v>
      </c>
      <c r="K1837">
        <v>24000</v>
      </c>
      <c r="L1837">
        <v>270000</v>
      </c>
      <c r="M1837">
        <v>216000</v>
      </c>
      <c r="N1837">
        <v>54000</v>
      </c>
      <c r="O1837" s="3" t="s">
        <v>1938</v>
      </c>
      <c r="P1837" s="3" t="s">
        <v>102</v>
      </c>
      <c r="Q1837" s="3" t="s">
        <v>103</v>
      </c>
      <c r="R1837" s="3" t="s">
        <v>103</v>
      </c>
    </row>
    <row r="1838" spans="1:18">
      <c r="A1838" s="19">
        <v>47512</v>
      </c>
      <c r="B1838" s="3" t="s">
        <v>29</v>
      </c>
      <c r="C1838" s="3" t="s">
        <v>19</v>
      </c>
      <c r="D1838" s="3" t="s">
        <v>23</v>
      </c>
      <c r="E1838" s="3" t="s">
        <v>20</v>
      </c>
      <c r="F1838" s="3" t="s">
        <v>21</v>
      </c>
      <c r="G1838" s="3" t="s">
        <v>22</v>
      </c>
      <c r="H1838">
        <v>30000</v>
      </c>
      <c r="I1838">
        <v>8</v>
      </c>
      <c r="J1838" s="3" t="s">
        <v>37</v>
      </c>
      <c r="K1838">
        <v>24000</v>
      </c>
      <c r="L1838">
        <v>240000</v>
      </c>
      <c r="M1838">
        <v>192000</v>
      </c>
      <c r="N1838">
        <v>48000</v>
      </c>
      <c r="O1838" s="3" t="s">
        <v>1939</v>
      </c>
      <c r="P1838" s="3" t="s">
        <v>102</v>
      </c>
      <c r="Q1838" s="3" t="s">
        <v>103</v>
      </c>
      <c r="R1838" s="3" t="s">
        <v>103</v>
      </c>
    </row>
    <row r="1839" spans="1:18">
      <c r="A1839" s="19">
        <v>47513</v>
      </c>
      <c r="B1839" s="3" t="s">
        <v>25</v>
      </c>
      <c r="C1839" s="3" t="s">
        <v>19</v>
      </c>
      <c r="D1839" s="3" t="s">
        <v>23</v>
      </c>
      <c r="E1839" s="3" t="s">
        <v>20</v>
      </c>
      <c r="F1839" s="3" t="s">
        <v>27</v>
      </c>
      <c r="G1839" s="3" t="s">
        <v>22</v>
      </c>
      <c r="H1839">
        <v>60000</v>
      </c>
      <c r="I1839">
        <v>7</v>
      </c>
      <c r="J1839" s="3" t="s">
        <v>24</v>
      </c>
      <c r="K1839">
        <v>48000</v>
      </c>
      <c r="L1839">
        <v>420000</v>
      </c>
      <c r="M1839">
        <v>336000</v>
      </c>
      <c r="N1839">
        <v>84000</v>
      </c>
      <c r="O1839" s="3" t="s">
        <v>1940</v>
      </c>
      <c r="P1839" s="3" t="s">
        <v>102</v>
      </c>
      <c r="Q1839" s="3" t="s">
        <v>103</v>
      </c>
      <c r="R1839" s="3" t="s">
        <v>103</v>
      </c>
    </row>
    <row r="1840" spans="1:18">
      <c r="A1840" s="19">
        <v>47514</v>
      </c>
      <c r="B1840" s="3" t="s">
        <v>11</v>
      </c>
      <c r="C1840" s="3" t="s">
        <v>26</v>
      </c>
      <c r="D1840" s="3" t="s">
        <v>13</v>
      </c>
      <c r="E1840" s="3" t="s">
        <v>20</v>
      </c>
      <c r="F1840" s="3" t="s">
        <v>21</v>
      </c>
      <c r="G1840" s="3" t="s">
        <v>22</v>
      </c>
      <c r="H1840">
        <v>30000</v>
      </c>
      <c r="I1840">
        <v>7</v>
      </c>
      <c r="J1840" s="3" t="s">
        <v>39</v>
      </c>
      <c r="K1840">
        <v>24000</v>
      </c>
      <c r="L1840">
        <v>210000</v>
      </c>
      <c r="M1840">
        <v>168000</v>
      </c>
      <c r="N1840">
        <v>42000</v>
      </c>
      <c r="O1840" s="3" t="s">
        <v>1941</v>
      </c>
      <c r="P1840" s="3" t="s">
        <v>102</v>
      </c>
      <c r="Q1840" s="3" t="s">
        <v>103</v>
      </c>
      <c r="R1840" s="3" t="s">
        <v>103</v>
      </c>
    </row>
    <row r="1841" spans="1:18">
      <c r="A1841" s="19">
        <v>47515</v>
      </c>
      <c r="B1841" s="3" t="s">
        <v>11</v>
      </c>
      <c r="C1841" s="3" t="s">
        <v>12</v>
      </c>
      <c r="D1841" s="3" t="s">
        <v>13</v>
      </c>
      <c r="E1841" s="3" t="s">
        <v>20</v>
      </c>
      <c r="F1841" s="3" t="s">
        <v>30</v>
      </c>
      <c r="G1841" s="3" t="s">
        <v>31</v>
      </c>
      <c r="H1841">
        <v>300000</v>
      </c>
      <c r="I1841">
        <v>6</v>
      </c>
      <c r="J1841" s="3" t="s">
        <v>37</v>
      </c>
      <c r="K1841">
        <v>240000</v>
      </c>
      <c r="L1841">
        <v>1800000</v>
      </c>
      <c r="M1841">
        <v>1440000</v>
      </c>
      <c r="N1841">
        <v>360000</v>
      </c>
      <c r="O1841" s="3" t="s">
        <v>1942</v>
      </c>
      <c r="P1841" s="3" t="s">
        <v>102</v>
      </c>
      <c r="Q1841" s="3" t="s">
        <v>103</v>
      </c>
      <c r="R1841" s="3" t="s">
        <v>103</v>
      </c>
    </row>
    <row r="1842" spans="1:18">
      <c r="A1842" s="19">
        <v>47516</v>
      </c>
      <c r="B1842" s="3" t="s">
        <v>29</v>
      </c>
      <c r="C1842" s="3" t="s">
        <v>32</v>
      </c>
      <c r="D1842" s="3" t="s">
        <v>23</v>
      </c>
      <c r="E1842" s="3" t="s">
        <v>20</v>
      </c>
      <c r="F1842" s="3" t="s">
        <v>30</v>
      </c>
      <c r="G1842" s="3" t="s">
        <v>31</v>
      </c>
      <c r="H1842">
        <v>300000</v>
      </c>
      <c r="I1842">
        <v>4</v>
      </c>
      <c r="J1842" s="3" t="s">
        <v>39</v>
      </c>
      <c r="K1842">
        <v>240000</v>
      </c>
      <c r="L1842">
        <v>1200000</v>
      </c>
      <c r="M1842">
        <v>960000</v>
      </c>
      <c r="N1842">
        <v>240000</v>
      </c>
      <c r="O1842" s="3" t="s">
        <v>1943</v>
      </c>
      <c r="P1842" s="3" t="s">
        <v>102</v>
      </c>
      <c r="Q1842" s="3" t="s">
        <v>103</v>
      </c>
      <c r="R1842" s="3" t="s">
        <v>103</v>
      </c>
    </row>
    <row r="1843" spans="1:18">
      <c r="A1843" s="19">
        <v>47517</v>
      </c>
      <c r="B1843" s="3" t="s">
        <v>25</v>
      </c>
      <c r="C1843" s="3" t="s">
        <v>26</v>
      </c>
      <c r="D1843" s="3" t="s">
        <v>13</v>
      </c>
      <c r="E1843" s="3" t="s">
        <v>20</v>
      </c>
      <c r="F1843" s="3" t="s">
        <v>15</v>
      </c>
      <c r="G1843" s="3" t="s">
        <v>16</v>
      </c>
      <c r="H1843">
        <v>85000</v>
      </c>
      <c r="I1843">
        <v>2</v>
      </c>
      <c r="J1843" s="3" t="s">
        <v>17</v>
      </c>
      <c r="K1843">
        <v>68000</v>
      </c>
      <c r="L1843">
        <v>170000</v>
      </c>
      <c r="M1843">
        <v>136000</v>
      </c>
      <c r="N1843">
        <v>34000</v>
      </c>
      <c r="O1843" s="3" t="s">
        <v>1944</v>
      </c>
      <c r="P1843" s="3" t="s">
        <v>102</v>
      </c>
      <c r="Q1843" s="3" t="s">
        <v>103</v>
      </c>
      <c r="R1843" s="3" t="s">
        <v>103</v>
      </c>
    </row>
    <row r="1844" spans="1:18">
      <c r="A1844" s="19">
        <v>47518</v>
      </c>
      <c r="B1844" s="3" t="s">
        <v>29</v>
      </c>
      <c r="C1844" s="3" t="s">
        <v>26</v>
      </c>
      <c r="D1844" s="3" t="s">
        <v>23</v>
      </c>
      <c r="E1844" s="3" t="s">
        <v>20</v>
      </c>
      <c r="F1844" s="3" t="s">
        <v>36</v>
      </c>
      <c r="G1844" s="3" t="s">
        <v>31</v>
      </c>
      <c r="H1844">
        <v>150000</v>
      </c>
      <c r="I1844">
        <v>3</v>
      </c>
      <c r="J1844" s="3" t="s">
        <v>24</v>
      </c>
      <c r="K1844">
        <v>120000</v>
      </c>
      <c r="L1844">
        <v>450000</v>
      </c>
      <c r="M1844">
        <v>360000</v>
      </c>
      <c r="N1844">
        <v>90000</v>
      </c>
      <c r="O1844" s="3" t="s">
        <v>1945</v>
      </c>
      <c r="P1844" s="3" t="s">
        <v>102</v>
      </c>
      <c r="Q1844" s="3" t="s">
        <v>103</v>
      </c>
      <c r="R1844" s="3" t="s">
        <v>103</v>
      </c>
    </row>
    <row r="1845" spans="1:18">
      <c r="A1845" s="19">
        <v>47519</v>
      </c>
      <c r="B1845" s="3" t="s">
        <v>11</v>
      </c>
      <c r="C1845" s="3" t="s">
        <v>32</v>
      </c>
      <c r="D1845" s="3" t="s">
        <v>23</v>
      </c>
      <c r="E1845" s="3" t="s">
        <v>20</v>
      </c>
      <c r="F1845" s="3" t="s">
        <v>40</v>
      </c>
      <c r="G1845" s="3" t="s">
        <v>31</v>
      </c>
      <c r="H1845">
        <v>250000</v>
      </c>
      <c r="I1845">
        <v>4</v>
      </c>
      <c r="J1845" s="3" t="s">
        <v>28</v>
      </c>
      <c r="K1845">
        <v>200000</v>
      </c>
      <c r="L1845">
        <v>1000000</v>
      </c>
      <c r="M1845">
        <v>800000</v>
      </c>
      <c r="N1845">
        <v>200000</v>
      </c>
      <c r="O1845" s="3" t="s">
        <v>1946</v>
      </c>
      <c r="P1845" s="3" t="s">
        <v>102</v>
      </c>
      <c r="Q1845" s="3" t="s">
        <v>103</v>
      </c>
      <c r="R1845" s="3" t="s">
        <v>103</v>
      </c>
    </row>
    <row r="1846" spans="1:18">
      <c r="A1846" s="19">
        <v>47520</v>
      </c>
      <c r="B1846" s="3" t="s">
        <v>29</v>
      </c>
      <c r="C1846" s="3" t="s">
        <v>12</v>
      </c>
      <c r="D1846" s="3" t="s">
        <v>13</v>
      </c>
      <c r="E1846" s="3" t="s">
        <v>20</v>
      </c>
      <c r="F1846" s="3" t="s">
        <v>40</v>
      </c>
      <c r="G1846" s="3" t="s">
        <v>31</v>
      </c>
      <c r="H1846">
        <v>250000</v>
      </c>
      <c r="I1846">
        <v>7</v>
      </c>
      <c r="J1846" s="3" t="s">
        <v>17</v>
      </c>
      <c r="K1846">
        <v>200000</v>
      </c>
      <c r="L1846">
        <v>1750000</v>
      </c>
      <c r="M1846">
        <v>1400000</v>
      </c>
      <c r="N1846">
        <v>350000</v>
      </c>
      <c r="O1846" s="3" t="s">
        <v>1947</v>
      </c>
      <c r="P1846" s="3" t="s">
        <v>102</v>
      </c>
      <c r="Q1846" s="3" t="s">
        <v>103</v>
      </c>
      <c r="R1846" s="3" t="s">
        <v>103</v>
      </c>
    </row>
    <row r="1847" spans="1:18">
      <c r="A1847" s="19">
        <v>47521</v>
      </c>
      <c r="B1847" s="3" t="s">
        <v>11</v>
      </c>
      <c r="C1847" s="3" t="s">
        <v>19</v>
      </c>
      <c r="D1847" s="3" t="s">
        <v>13</v>
      </c>
      <c r="E1847" s="3" t="s">
        <v>20</v>
      </c>
      <c r="F1847" s="3" t="s">
        <v>40</v>
      </c>
      <c r="G1847" s="3" t="s">
        <v>31</v>
      </c>
      <c r="H1847">
        <v>250000</v>
      </c>
      <c r="I1847">
        <v>3</v>
      </c>
      <c r="J1847" s="3" t="s">
        <v>24</v>
      </c>
      <c r="K1847">
        <v>200000</v>
      </c>
      <c r="L1847">
        <v>750000</v>
      </c>
      <c r="M1847">
        <v>600000</v>
      </c>
      <c r="N1847">
        <v>150000</v>
      </c>
      <c r="O1847" s="3" t="s">
        <v>1948</v>
      </c>
      <c r="P1847" s="3" t="s">
        <v>102</v>
      </c>
      <c r="Q1847" s="3" t="s">
        <v>103</v>
      </c>
      <c r="R1847" s="3" t="s">
        <v>103</v>
      </c>
    </row>
    <row r="1848" spans="1:18">
      <c r="A1848" s="19">
        <v>47522</v>
      </c>
      <c r="B1848" s="3" t="s">
        <v>18</v>
      </c>
      <c r="C1848" s="3" t="s">
        <v>26</v>
      </c>
      <c r="D1848" s="3" t="s">
        <v>13</v>
      </c>
      <c r="E1848" s="3" t="s">
        <v>20</v>
      </c>
      <c r="F1848" s="3" t="s">
        <v>36</v>
      </c>
      <c r="G1848" s="3" t="s">
        <v>31</v>
      </c>
      <c r="H1848">
        <v>150000</v>
      </c>
      <c r="I1848">
        <v>8</v>
      </c>
      <c r="J1848" s="3" t="s">
        <v>17</v>
      </c>
      <c r="K1848">
        <v>120000</v>
      </c>
      <c r="L1848">
        <v>1200000</v>
      </c>
      <c r="M1848">
        <v>960000</v>
      </c>
      <c r="N1848">
        <v>240000</v>
      </c>
      <c r="O1848" s="3" t="s">
        <v>1949</v>
      </c>
      <c r="P1848" s="3" t="s">
        <v>102</v>
      </c>
      <c r="Q1848" s="3" t="s">
        <v>103</v>
      </c>
      <c r="R1848" s="3" t="s">
        <v>103</v>
      </c>
    </row>
    <row r="1849" spans="1:18">
      <c r="A1849" s="19">
        <v>47523</v>
      </c>
      <c r="B1849" s="3" t="s">
        <v>18</v>
      </c>
      <c r="C1849" s="3" t="s">
        <v>26</v>
      </c>
      <c r="D1849" s="3" t="s">
        <v>23</v>
      </c>
      <c r="E1849" s="3" t="s">
        <v>20</v>
      </c>
      <c r="F1849" s="3" t="s">
        <v>15</v>
      </c>
      <c r="G1849" s="3" t="s">
        <v>16</v>
      </c>
      <c r="H1849">
        <v>85000</v>
      </c>
      <c r="I1849">
        <v>1</v>
      </c>
      <c r="J1849" s="3" t="s">
        <v>37</v>
      </c>
      <c r="K1849">
        <v>68000</v>
      </c>
      <c r="L1849">
        <v>85000</v>
      </c>
      <c r="M1849">
        <v>68000</v>
      </c>
      <c r="N1849">
        <v>17000</v>
      </c>
      <c r="O1849" s="3" t="s">
        <v>1950</v>
      </c>
      <c r="P1849" s="3" t="s">
        <v>102</v>
      </c>
      <c r="Q1849" s="3" t="s">
        <v>103</v>
      </c>
      <c r="R1849" s="3" t="s">
        <v>103</v>
      </c>
    </row>
    <row r="1850" spans="1:18">
      <c r="A1850" s="19">
        <v>47524</v>
      </c>
      <c r="B1850" s="3" t="s">
        <v>18</v>
      </c>
      <c r="C1850" s="3" t="s">
        <v>32</v>
      </c>
      <c r="D1850" s="3" t="s">
        <v>13</v>
      </c>
      <c r="E1850" s="3" t="s">
        <v>20</v>
      </c>
      <c r="F1850" s="3" t="s">
        <v>41</v>
      </c>
      <c r="G1850" s="3" t="s">
        <v>22</v>
      </c>
      <c r="H1850">
        <v>220000</v>
      </c>
      <c r="I1850">
        <v>6</v>
      </c>
      <c r="J1850" s="3" t="s">
        <v>17</v>
      </c>
      <c r="K1850">
        <v>176000</v>
      </c>
      <c r="L1850">
        <v>1320000</v>
      </c>
      <c r="M1850">
        <v>1056000</v>
      </c>
      <c r="N1850">
        <v>264000</v>
      </c>
      <c r="O1850" s="3" t="s">
        <v>1951</v>
      </c>
      <c r="P1850" s="3" t="s">
        <v>102</v>
      </c>
      <c r="Q1850" s="3" t="s">
        <v>103</v>
      </c>
      <c r="R1850" s="3" t="s">
        <v>103</v>
      </c>
    </row>
    <row r="1851" spans="1:18">
      <c r="A1851" s="19">
        <v>47525</v>
      </c>
      <c r="B1851" s="3" t="s">
        <v>18</v>
      </c>
      <c r="C1851" s="3" t="s">
        <v>12</v>
      </c>
      <c r="D1851" s="3" t="s">
        <v>23</v>
      </c>
      <c r="E1851" s="3" t="s">
        <v>20</v>
      </c>
      <c r="F1851" s="3" t="s">
        <v>21</v>
      </c>
      <c r="G1851" s="3" t="s">
        <v>22</v>
      </c>
      <c r="H1851">
        <v>30000</v>
      </c>
      <c r="I1851">
        <v>3</v>
      </c>
      <c r="J1851" s="3" t="s">
        <v>17</v>
      </c>
      <c r="K1851">
        <v>24000</v>
      </c>
      <c r="L1851">
        <v>90000</v>
      </c>
      <c r="M1851">
        <v>72000</v>
      </c>
      <c r="N1851">
        <v>18000</v>
      </c>
      <c r="O1851" s="3" t="s">
        <v>1952</v>
      </c>
      <c r="P1851" s="3" t="s">
        <v>102</v>
      </c>
      <c r="Q1851" s="3" t="s">
        <v>103</v>
      </c>
      <c r="R1851" s="3" t="s">
        <v>103</v>
      </c>
    </row>
    <row r="1852" spans="1:18">
      <c r="A1852" s="19">
        <v>47526</v>
      </c>
      <c r="B1852" s="3" t="s">
        <v>29</v>
      </c>
      <c r="C1852" s="3" t="s">
        <v>32</v>
      </c>
      <c r="D1852" s="3" t="s">
        <v>23</v>
      </c>
      <c r="E1852" s="3" t="s">
        <v>20</v>
      </c>
      <c r="F1852" s="3" t="s">
        <v>30</v>
      </c>
      <c r="G1852" s="3" t="s">
        <v>31</v>
      </c>
      <c r="H1852">
        <v>300000</v>
      </c>
      <c r="I1852">
        <v>3</v>
      </c>
      <c r="J1852" s="3" t="s">
        <v>24</v>
      </c>
      <c r="K1852">
        <v>240000</v>
      </c>
      <c r="L1852">
        <v>900000</v>
      </c>
      <c r="M1852">
        <v>720000</v>
      </c>
      <c r="N1852">
        <v>180000</v>
      </c>
      <c r="O1852" s="3" t="s">
        <v>1953</v>
      </c>
      <c r="P1852" s="3" t="s">
        <v>102</v>
      </c>
      <c r="Q1852" s="3" t="s">
        <v>103</v>
      </c>
      <c r="R1852" s="3" t="s">
        <v>103</v>
      </c>
    </row>
    <row r="1853" spans="1:18">
      <c r="A1853" s="19">
        <v>47527</v>
      </c>
      <c r="B1853" s="3" t="s">
        <v>18</v>
      </c>
      <c r="C1853" s="3" t="s">
        <v>26</v>
      </c>
      <c r="D1853" s="3" t="s">
        <v>13</v>
      </c>
      <c r="E1853" s="3" t="s">
        <v>20</v>
      </c>
      <c r="F1853" s="3" t="s">
        <v>40</v>
      </c>
      <c r="G1853" s="3" t="s">
        <v>31</v>
      </c>
      <c r="H1853">
        <v>250000</v>
      </c>
      <c r="I1853">
        <v>10</v>
      </c>
      <c r="J1853" s="3" t="s">
        <v>37</v>
      </c>
      <c r="K1853">
        <v>200000</v>
      </c>
      <c r="L1853">
        <v>2500000</v>
      </c>
      <c r="M1853">
        <v>2000000</v>
      </c>
      <c r="N1853">
        <v>500000</v>
      </c>
      <c r="O1853" s="3" t="s">
        <v>1954</v>
      </c>
      <c r="P1853" s="3" t="s">
        <v>102</v>
      </c>
      <c r="Q1853" s="3" t="s">
        <v>103</v>
      </c>
      <c r="R1853" s="3" t="s">
        <v>103</v>
      </c>
    </row>
    <row r="1854" spans="1:18">
      <c r="A1854" s="19">
        <v>47528</v>
      </c>
      <c r="B1854" s="3" t="s">
        <v>18</v>
      </c>
      <c r="C1854" s="3" t="s">
        <v>19</v>
      </c>
      <c r="D1854" s="3" t="s">
        <v>13</v>
      </c>
      <c r="E1854" s="3" t="s">
        <v>20</v>
      </c>
      <c r="F1854" s="3" t="s">
        <v>30</v>
      </c>
      <c r="G1854" s="3" t="s">
        <v>31</v>
      </c>
      <c r="H1854">
        <v>300000</v>
      </c>
      <c r="I1854">
        <v>4</v>
      </c>
      <c r="J1854" s="3" t="s">
        <v>35</v>
      </c>
      <c r="K1854">
        <v>240000</v>
      </c>
      <c r="L1854">
        <v>1200000</v>
      </c>
      <c r="M1854">
        <v>960000</v>
      </c>
      <c r="N1854">
        <v>240000</v>
      </c>
      <c r="O1854" s="3" t="s">
        <v>1955</v>
      </c>
      <c r="P1854" s="3" t="s">
        <v>102</v>
      </c>
      <c r="Q1854" s="3" t="s">
        <v>103</v>
      </c>
      <c r="R1854" s="3" t="s">
        <v>103</v>
      </c>
    </row>
    <row r="1855" spans="1:18">
      <c r="A1855" s="19">
        <v>47529</v>
      </c>
      <c r="B1855" s="3" t="s">
        <v>25</v>
      </c>
      <c r="C1855" s="3" t="s">
        <v>26</v>
      </c>
      <c r="D1855" s="3" t="s">
        <v>13</v>
      </c>
      <c r="E1855" s="3" t="s">
        <v>20</v>
      </c>
      <c r="F1855" s="3" t="s">
        <v>34</v>
      </c>
      <c r="G1855" s="3" t="s">
        <v>16</v>
      </c>
      <c r="H1855">
        <v>320000</v>
      </c>
      <c r="I1855">
        <v>5</v>
      </c>
      <c r="J1855" s="3" t="s">
        <v>39</v>
      </c>
      <c r="K1855">
        <v>256000</v>
      </c>
      <c r="L1855">
        <v>1600000</v>
      </c>
      <c r="M1855">
        <v>1280000</v>
      </c>
      <c r="N1855">
        <v>320000</v>
      </c>
      <c r="O1855" s="3" t="s">
        <v>1956</v>
      </c>
      <c r="P1855" s="3" t="s">
        <v>102</v>
      </c>
      <c r="Q1855" s="3" t="s">
        <v>103</v>
      </c>
      <c r="R1855" s="3" t="s">
        <v>103</v>
      </c>
    </row>
    <row r="1856" spans="1:18">
      <c r="A1856" s="19">
        <v>47530</v>
      </c>
      <c r="B1856" s="3" t="s">
        <v>25</v>
      </c>
      <c r="C1856" s="3" t="s">
        <v>19</v>
      </c>
      <c r="D1856" s="3" t="s">
        <v>13</v>
      </c>
      <c r="E1856" s="3" t="s">
        <v>20</v>
      </c>
      <c r="F1856" s="3" t="s">
        <v>34</v>
      </c>
      <c r="G1856" s="3" t="s">
        <v>16</v>
      </c>
      <c r="H1856">
        <v>320000</v>
      </c>
      <c r="I1856">
        <v>1</v>
      </c>
      <c r="J1856" s="3" t="s">
        <v>24</v>
      </c>
      <c r="K1856">
        <v>256000</v>
      </c>
      <c r="L1856">
        <v>320000</v>
      </c>
      <c r="M1856">
        <v>256000</v>
      </c>
      <c r="N1856">
        <v>64000</v>
      </c>
      <c r="O1856" s="3" t="s">
        <v>1957</v>
      </c>
      <c r="P1856" s="3" t="s">
        <v>102</v>
      </c>
      <c r="Q1856" s="3" t="s">
        <v>103</v>
      </c>
      <c r="R1856" s="3" t="s">
        <v>103</v>
      </c>
    </row>
    <row r="1857" spans="1:18">
      <c r="A1857" s="19">
        <v>47531</v>
      </c>
      <c r="B1857" s="3" t="s">
        <v>29</v>
      </c>
      <c r="C1857" s="3" t="s">
        <v>12</v>
      </c>
      <c r="D1857" s="3" t="s">
        <v>13</v>
      </c>
      <c r="E1857" s="3" t="s">
        <v>20</v>
      </c>
      <c r="F1857" s="3" t="s">
        <v>38</v>
      </c>
      <c r="G1857" s="3" t="s">
        <v>31</v>
      </c>
      <c r="H1857">
        <v>420000</v>
      </c>
      <c r="I1857">
        <v>4</v>
      </c>
      <c r="J1857" s="3" t="s">
        <v>37</v>
      </c>
      <c r="K1857">
        <v>336000</v>
      </c>
      <c r="L1857">
        <v>1680000</v>
      </c>
      <c r="M1857">
        <v>1344000</v>
      </c>
      <c r="N1857">
        <v>336000</v>
      </c>
      <c r="O1857" s="3" t="s">
        <v>1958</v>
      </c>
      <c r="P1857" s="3" t="s">
        <v>102</v>
      </c>
      <c r="Q1857" s="3" t="s">
        <v>103</v>
      </c>
      <c r="R1857" s="3" t="s">
        <v>103</v>
      </c>
    </row>
    <row r="1858" spans="1:18">
      <c r="A1858" s="19">
        <v>47532</v>
      </c>
      <c r="B1858" s="3" t="s">
        <v>25</v>
      </c>
      <c r="C1858" s="3" t="s">
        <v>26</v>
      </c>
      <c r="D1858" s="3" t="s">
        <v>23</v>
      </c>
      <c r="E1858" s="3" t="s">
        <v>20</v>
      </c>
      <c r="F1858" s="3" t="s">
        <v>15</v>
      </c>
      <c r="G1858" s="3" t="s">
        <v>16</v>
      </c>
      <c r="H1858">
        <v>85000</v>
      </c>
      <c r="I1858">
        <v>5</v>
      </c>
      <c r="J1858" s="3" t="s">
        <v>28</v>
      </c>
      <c r="K1858">
        <v>68000</v>
      </c>
      <c r="L1858">
        <v>425000</v>
      </c>
      <c r="M1858">
        <v>340000</v>
      </c>
      <c r="N1858">
        <v>85000</v>
      </c>
      <c r="O1858" s="3" t="s">
        <v>1959</v>
      </c>
      <c r="P1858" s="3" t="s">
        <v>102</v>
      </c>
      <c r="Q1858" s="3" t="s">
        <v>103</v>
      </c>
      <c r="R1858" s="3" t="s">
        <v>103</v>
      </c>
    </row>
    <row r="1859" spans="1:18">
      <c r="A1859" s="19">
        <v>47533</v>
      </c>
      <c r="B1859" s="3" t="s">
        <v>18</v>
      </c>
      <c r="C1859" s="3" t="s">
        <v>19</v>
      </c>
      <c r="D1859" s="3" t="s">
        <v>23</v>
      </c>
      <c r="E1859" s="3" t="s">
        <v>20</v>
      </c>
      <c r="F1859" s="3" t="s">
        <v>27</v>
      </c>
      <c r="G1859" s="3" t="s">
        <v>22</v>
      </c>
      <c r="H1859">
        <v>60000</v>
      </c>
      <c r="I1859">
        <v>3</v>
      </c>
      <c r="J1859" s="3" t="s">
        <v>17</v>
      </c>
      <c r="K1859">
        <v>48000</v>
      </c>
      <c r="L1859">
        <v>180000</v>
      </c>
      <c r="M1859">
        <v>144000</v>
      </c>
      <c r="N1859">
        <v>36000</v>
      </c>
      <c r="O1859" s="3" t="s">
        <v>1960</v>
      </c>
      <c r="P1859" s="3" t="s">
        <v>102</v>
      </c>
      <c r="Q1859" s="3" t="s">
        <v>103</v>
      </c>
      <c r="R1859" s="3" t="s">
        <v>103</v>
      </c>
    </row>
    <row r="1860" spans="1:18">
      <c r="A1860" s="19">
        <v>47534</v>
      </c>
      <c r="B1860" s="3" t="s">
        <v>11</v>
      </c>
      <c r="C1860" s="3" t="s">
        <v>32</v>
      </c>
      <c r="D1860" s="3" t="s">
        <v>13</v>
      </c>
      <c r="E1860" s="3" t="s">
        <v>20</v>
      </c>
      <c r="F1860" s="3" t="s">
        <v>40</v>
      </c>
      <c r="G1860" s="3" t="s">
        <v>31</v>
      </c>
      <c r="H1860">
        <v>250000</v>
      </c>
      <c r="I1860">
        <v>4</v>
      </c>
      <c r="J1860" s="3" t="s">
        <v>37</v>
      </c>
      <c r="K1860">
        <v>200000</v>
      </c>
      <c r="L1860">
        <v>1000000</v>
      </c>
      <c r="M1860">
        <v>800000</v>
      </c>
      <c r="N1860">
        <v>200000</v>
      </c>
      <c r="O1860" s="3" t="s">
        <v>1961</v>
      </c>
      <c r="P1860" s="3" t="s">
        <v>102</v>
      </c>
      <c r="Q1860" s="3" t="s">
        <v>103</v>
      </c>
      <c r="R1860" s="3" t="s">
        <v>103</v>
      </c>
    </row>
    <row r="1861" spans="1:18">
      <c r="A1861" s="19">
        <v>47535</v>
      </c>
      <c r="B1861" s="3" t="s">
        <v>18</v>
      </c>
      <c r="C1861" s="3" t="s">
        <v>12</v>
      </c>
      <c r="D1861" s="3" t="s">
        <v>13</v>
      </c>
      <c r="E1861" s="3" t="s">
        <v>20</v>
      </c>
      <c r="F1861" s="3" t="s">
        <v>38</v>
      </c>
      <c r="G1861" s="3" t="s">
        <v>31</v>
      </c>
      <c r="H1861">
        <v>420000</v>
      </c>
      <c r="I1861">
        <v>5</v>
      </c>
      <c r="J1861" s="3" t="s">
        <v>17</v>
      </c>
      <c r="K1861">
        <v>336000</v>
      </c>
      <c r="L1861">
        <v>2100000</v>
      </c>
      <c r="M1861">
        <v>1680000</v>
      </c>
      <c r="N1861">
        <v>420000</v>
      </c>
      <c r="O1861" s="3" t="s">
        <v>1962</v>
      </c>
      <c r="P1861" s="3" t="s">
        <v>102</v>
      </c>
      <c r="Q1861" s="3" t="s">
        <v>103</v>
      </c>
      <c r="R1861" s="3" t="s">
        <v>103</v>
      </c>
    </row>
    <row r="1862" spans="1:18">
      <c r="A1862" s="19">
        <v>47536</v>
      </c>
      <c r="B1862" s="3" t="s">
        <v>11</v>
      </c>
      <c r="C1862" s="3" t="s">
        <v>26</v>
      </c>
      <c r="D1862" s="3" t="s">
        <v>13</v>
      </c>
      <c r="E1862" s="3" t="s">
        <v>20</v>
      </c>
      <c r="F1862" s="3" t="s">
        <v>36</v>
      </c>
      <c r="G1862" s="3" t="s">
        <v>31</v>
      </c>
      <c r="H1862">
        <v>150000</v>
      </c>
      <c r="I1862">
        <v>5</v>
      </c>
      <c r="J1862" s="3" t="s">
        <v>28</v>
      </c>
      <c r="K1862">
        <v>120000</v>
      </c>
      <c r="L1862">
        <v>750000</v>
      </c>
      <c r="M1862">
        <v>600000</v>
      </c>
      <c r="N1862">
        <v>150000</v>
      </c>
      <c r="O1862" s="3" t="s">
        <v>1963</v>
      </c>
      <c r="P1862" s="3" t="s">
        <v>102</v>
      </c>
      <c r="Q1862" s="3" t="s">
        <v>103</v>
      </c>
      <c r="R1862" s="3" t="s">
        <v>103</v>
      </c>
    </row>
    <row r="1863" spans="1:18">
      <c r="A1863" s="19">
        <v>47537</v>
      </c>
      <c r="B1863" s="3" t="s">
        <v>29</v>
      </c>
      <c r="C1863" s="3" t="s">
        <v>19</v>
      </c>
      <c r="D1863" s="3" t="s">
        <v>23</v>
      </c>
      <c r="E1863" s="3" t="s">
        <v>20</v>
      </c>
      <c r="F1863" s="3" t="s">
        <v>33</v>
      </c>
      <c r="G1863" s="3" t="s">
        <v>22</v>
      </c>
      <c r="H1863">
        <v>180000</v>
      </c>
      <c r="I1863">
        <v>1</v>
      </c>
      <c r="J1863" s="3" t="s">
        <v>35</v>
      </c>
      <c r="K1863">
        <v>144000</v>
      </c>
      <c r="L1863">
        <v>180000</v>
      </c>
      <c r="M1863">
        <v>144000</v>
      </c>
      <c r="N1863">
        <v>36000</v>
      </c>
      <c r="O1863" s="3" t="s">
        <v>1964</v>
      </c>
      <c r="P1863" s="3" t="s">
        <v>102</v>
      </c>
      <c r="Q1863" s="3" t="s">
        <v>103</v>
      </c>
      <c r="R1863" s="3" t="s">
        <v>103</v>
      </c>
    </row>
    <row r="1864" spans="1:18">
      <c r="A1864" s="19">
        <v>47538</v>
      </c>
      <c r="B1864" s="3" t="s">
        <v>25</v>
      </c>
      <c r="C1864" s="3" t="s">
        <v>32</v>
      </c>
      <c r="D1864" s="3" t="s">
        <v>23</v>
      </c>
      <c r="E1864" s="3" t="s">
        <v>20</v>
      </c>
      <c r="F1864" s="3" t="s">
        <v>33</v>
      </c>
      <c r="G1864" s="3" t="s">
        <v>22</v>
      </c>
      <c r="H1864">
        <v>180000</v>
      </c>
      <c r="I1864">
        <v>1</v>
      </c>
      <c r="J1864" s="3" t="s">
        <v>28</v>
      </c>
      <c r="K1864">
        <v>144000</v>
      </c>
      <c r="L1864">
        <v>180000</v>
      </c>
      <c r="M1864">
        <v>144000</v>
      </c>
      <c r="N1864">
        <v>36000</v>
      </c>
      <c r="O1864" s="3" t="s">
        <v>1965</v>
      </c>
      <c r="P1864" s="3" t="s">
        <v>102</v>
      </c>
      <c r="Q1864" s="3" t="s">
        <v>103</v>
      </c>
      <c r="R1864" s="3" t="s">
        <v>103</v>
      </c>
    </row>
    <row r="1865" spans="1:18">
      <c r="A1865" s="19">
        <v>47539</v>
      </c>
      <c r="B1865" s="3" t="s">
        <v>11</v>
      </c>
      <c r="C1865" s="3" t="s">
        <v>19</v>
      </c>
      <c r="D1865" s="3" t="s">
        <v>13</v>
      </c>
      <c r="E1865" s="3" t="s">
        <v>20</v>
      </c>
      <c r="F1865" s="3" t="s">
        <v>40</v>
      </c>
      <c r="G1865" s="3" t="s">
        <v>31</v>
      </c>
      <c r="H1865">
        <v>250000</v>
      </c>
      <c r="I1865">
        <v>9</v>
      </c>
      <c r="J1865" s="3" t="s">
        <v>17</v>
      </c>
      <c r="K1865">
        <v>200000</v>
      </c>
      <c r="L1865">
        <v>2250000</v>
      </c>
      <c r="M1865">
        <v>1800000</v>
      </c>
      <c r="N1865">
        <v>450000</v>
      </c>
      <c r="O1865" s="3" t="s">
        <v>1966</v>
      </c>
      <c r="P1865" s="3" t="s">
        <v>102</v>
      </c>
      <c r="Q1865" s="3" t="s">
        <v>103</v>
      </c>
      <c r="R1865" s="3" t="s">
        <v>103</v>
      </c>
    </row>
    <row r="1866" spans="1:18">
      <c r="A1866" s="19">
        <v>47540</v>
      </c>
      <c r="B1866" s="3" t="s">
        <v>29</v>
      </c>
      <c r="C1866" s="3" t="s">
        <v>12</v>
      </c>
      <c r="D1866" s="3" t="s">
        <v>13</v>
      </c>
      <c r="E1866" s="3" t="s">
        <v>20</v>
      </c>
      <c r="F1866" s="3" t="s">
        <v>15</v>
      </c>
      <c r="G1866" s="3" t="s">
        <v>16</v>
      </c>
      <c r="H1866">
        <v>85000</v>
      </c>
      <c r="I1866">
        <v>4</v>
      </c>
      <c r="J1866" s="3" t="s">
        <v>35</v>
      </c>
      <c r="K1866">
        <v>68000</v>
      </c>
      <c r="L1866">
        <v>340000</v>
      </c>
      <c r="M1866">
        <v>272000</v>
      </c>
      <c r="N1866">
        <v>68000</v>
      </c>
      <c r="O1866" s="3" t="s">
        <v>1967</v>
      </c>
      <c r="P1866" s="3" t="s">
        <v>102</v>
      </c>
      <c r="Q1866" s="3" t="s">
        <v>103</v>
      </c>
      <c r="R1866" s="3" t="s">
        <v>103</v>
      </c>
    </row>
    <row r="1867" spans="1:18">
      <c r="A1867" s="19">
        <v>47541</v>
      </c>
      <c r="B1867" s="3" t="s">
        <v>11</v>
      </c>
      <c r="C1867" s="3" t="s">
        <v>32</v>
      </c>
      <c r="D1867" s="3" t="s">
        <v>23</v>
      </c>
      <c r="E1867" s="3" t="s">
        <v>20</v>
      </c>
      <c r="F1867" s="3" t="s">
        <v>38</v>
      </c>
      <c r="G1867" s="3" t="s">
        <v>31</v>
      </c>
      <c r="H1867">
        <v>420000</v>
      </c>
      <c r="I1867">
        <v>8</v>
      </c>
      <c r="J1867" s="3" t="s">
        <v>24</v>
      </c>
      <c r="K1867">
        <v>336000</v>
      </c>
      <c r="L1867">
        <v>3360000</v>
      </c>
      <c r="M1867">
        <v>2688000</v>
      </c>
      <c r="N1867">
        <v>672000</v>
      </c>
      <c r="O1867" s="3" t="s">
        <v>1968</v>
      </c>
      <c r="P1867" s="3" t="s">
        <v>102</v>
      </c>
      <c r="Q1867" s="3" t="s">
        <v>103</v>
      </c>
      <c r="R1867" s="3" t="s">
        <v>103</v>
      </c>
    </row>
    <row r="1868" spans="1:18">
      <c r="A1868" s="19">
        <v>47542</v>
      </c>
      <c r="B1868" s="3" t="s">
        <v>25</v>
      </c>
      <c r="C1868" s="3" t="s">
        <v>32</v>
      </c>
      <c r="D1868" s="3" t="s">
        <v>23</v>
      </c>
      <c r="E1868" s="3" t="s">
        <v>20</v>
      </c>
      <c r="F1868" s="3" t="s">
        <v>34</v>
      </c>
      <c r="G1868" s="3" t="s">
        <v>16</v>
      </c>
      <c r="H1868">
        <v>320000</v>
      </c>
      <c r="I1868">
        <v>6</v>
      </c>
      <c r="J1868" s="3" t="s">
        <v>24</v>
      </c>
      <c r="K1868">
        <v>256000</v>
      </c>
      <c r="L1868">
        <v>1920000</v>
      </c>
      <c r="M1868">
        <v>1536000</v>
      </c>
      <c r="N1868">
        <v>384000</v>
      </c>
      <c r="O1868" s="3" t="s">
        <v>1969</v>
      </c>
      <c r="P1868" s="3" t="s">
        <v>102</v>
      </c>
      <c r="Q1868" s="3" t="s">
        <v>103</v>
      </c>
      <c r="R1868" s="3" t="s">
        <v>103</v>
      </c>
    </row>
    <row r="1869" spans="1:18">
      <c r="A1869" s="19">
        <v>47543</v>
      </c>
      <c r="B1869" s="3" t="s">
        <v>29</v>
      </c>
      <c r="C1869" s="3" t="s">
        <v>19</v>
      </c>
      <c r="D1869" s="3" t="s">
        <v>13</v>
      </c>
      <c r="E1869" s="3" t="s">
        <v>20</v>
      </c>
      <c r="F1869" s="3" t="s">
        <v>36</v>
      </c>
      <c r="G1869" s="3" t="s">
        <v>31</v>
      </c>
      <c r="H1869">
        <v>150000</v>
      </c>
      <c r="I1869">
        <v>3</v>
      </c>
      <c r="J1869" s="3" t="s">
        <v>37</v>
      </c>
      <c r="K1869">
        <v>120000</v>
      </c>
      <c r="L1869">
        <v>450000</v>
      </c>
      <c r="M1869">
        <v>360000</v>
      </c>
      <c r="N1869">
        <v>90000</v>
      </c>
      <c r="O1869" s="3" t="s">
        <v>1970</v>
      </c>
      <c r="P1869" s="3" t="s">
        <v>102</v>
      </c>
      <c r="Q1869" s="3" t="s">
        <v>103</v>
      </c>
      <c r="R1869" s="3" t="s">
        <v>103</v>
      </c>
    </row>
    <row r="1870" spans="1:18">
      <c r="A1870" s="19">
        <v>47544</v>
      </c>
      <c r="B1870" s="3" t="s">
        <v>11</v>
      </c>
      <c r="C1870" s="3" t="s">
        <v>32</v>
      </c>
      <c r="D1870" s="3" t="s">
        <v>13</v>
      </c>
      <c r="E1870" s="3" t="s">
        <v>20</v>
      </c>
      <c r="F1870" s="3" t="s">
        <v>15</v>
      </c>
      <c r="G1870" s="3" t="s">
        <v>16</v>
      </c>
      <c r="H1870">
        <v>85000</v>
      </c>
      <c r="I1870">
        <v>3</v>
      </c>
      <c r="J1870" s="3" t="s">
        <v>28</v>
      </c>
      <c r="K1870">
        <v>68000</v>
      </c>
      <c r="L1870">
        <v>255000</v>
      </c>
      <c r="M1870">
        <v>204000</v>
      </c>
      <c r="N1870">
        <v>51000</v>
      </c>
      <c r="O1870" s="3" t="s">
        <v>1971</v>
      </c>
      <c r="P1870" s="3" t="s">
        <v>102</v>
      </c>
      <c r="Q1870" s="3" t="s">
        <v>103</v>
      </c>
      <c r="R1870" s="3" t="s">
        <v>103</v>
      </c>
    </row>
    <row r="1871" spans="1:18">
      <c r="A1871" s="19">
        <v>47545</v>
      </c>
      <c r="B1871" s="3" t="s">
        <v>29</v>
      </c>
      <c r="C1871" s="3" t="s">
        <v>19</v>
      </c>
      <c r="D1871" s="3" t="s">
        <v>13</v>
      </c>
      <c r="E1871" s="3" t="s">
        <v>20</v>
      </c>
      <c r="F1871" s="3" t="s">
        <v>30</v>
      </c>
      <c r="G1871" s="3" t="s">
        <v>31</v>
      </c>
      <c r="H1871">
        <v>300000</v>
      </c>
      <c r="I1871">
        <v>1</v>
      </c>
      <c r="J1871" s="3" t="s">
        <v>28</v>
      </c>
      <c r="K1871">
        <v>240000</v>
      </c>
      <c r="L1871">
        <v>300000</v>
      </c>
      <c r="M1871">
        <v>240000</v>
      </c>
      <c r="N1871">
        <v>60000</v>
      </c>
      <c r="O1871" s="3" t="s">
        <v>1972</v>
      </c>
      <c r="P1871" s="3" t="s">
        <v>102</v>
      </c>
      <c r="Q1871" s="3" t="s">
        <v>103</v>
      </c>
      <c r="R1871" s="3" t="s">
        <v>103</v>
      </c>
    </row>
    <row r="1872" spans="1:18">
      <c r="A1872" s="19">
        <v>47546</v>
      </c>
      <c r="B1872" s="3" t="s">
        <v>25</v>
      </c>
      <c r="C1872" s="3" t="s">
        <v>19</v>
      </c>
      <c r="D1872" s="3" t="s">
        <v>23</v>
      </c>
      <c r="E1872" s="3" t="s">
        <v>14</v>
      </c>
      <c r="F1872" s="3" t="s">
        <v>33</v>
      </c>
      <c r="G1872" s="3" t="s">
        <v>22</v>
      </c>
      <c r="H1872">
        <v>180000</v>
      </c>
      <c r="I1872">
        <v>4</v>
      </c>
      <c r="J1872" s="3" t="s">
        <v>37</v>
      </c>
      <c r="K1872">
        <v>144000</v>
      </c>
      <c r="L1872">
        <v>720000</v>
      </c>
      <c r="M1872">
        <v>576000</v>
      </c>
      <c r="N1872">
        <v>144000</v>
      </c>
      <c r="O1872" s="3" t="s">
        <v>1973</v>
      </c>
      <c r="P1872" s="3" t="s">
        <v>102</v>
      </c>
      <c r="Q1872" s="3" t="s">
        <v>103</v>
      </c>
      <c r="R1872" s="3" t="s">
        <v>103</v>
      </c>
    </row>
    <row r="1873" spans="1:18">
      <c r="A1873" s="19">
        <v>47547</v>
      </c>
      <c r="B1873" s="3" t="s">
        <v>11</v>
      </c>
      <c r="C1873" s="3" t="s">
        <v>19</v>
      </c>
      <c r="D1873" s="3" t="s">
        <v>13</v>
      </c>
      <c r="E1873" s="3" t="s">
        <v>14</v>
      </c>
      <c r="F1873" s="3" t="s">
        <v>38</v>
      </c>
      <c r="G1873" s="3" t="s">
        <v>31</v>
      </c>
      <c r="H1873">
        <v>420000</v>
      </c>
      <c r="I1873">
        <v>10</v>
      </c>
      <c r="J1873" s="3" t="s">
        <v>35</v>
      </c>
      <c r="K1873">
        <v>336000</v>
      </c>
      <c r="L1873">
        <v>4200000</v>
      </c>
      <c r="M1873">
        <v>3360000</v>
      </c>
      <c r="N1873">
        <v>840000</v>
      </c>
      <c r="O1873" s="3" t="s">
        <v>1974</v>
      </c>
      <c r="P1873" s="3" t="s">
        <v>102</v>
      </c>
      <c r="Q1873" s="3" t="s">
        <v>103</v>
      </c>
      <c r="R1873" s="3" t="s">
        <v>103</v>
      </c>
    </row>
    <row r="1874" spans="1:18">
      <c r="A1874" s="19">
        <v>47548</v>
      </c>
      <c r="B1874" s="3" t="s">
        <v>29</v>
      </c>
      <c r="C1874" s="3" t="s">
        <v>32</v>
      </c>
      <c r="D1874" s="3" t="s">
        <v>23</v>
      </c>
      <c r="E1874" s="3" t="s">
        <v>14</v>
      </c>
      <c r="F1874" s="3" t="s">
        <v>36</v>
      </c>
      <c r="G1874" s="3" t="s">
        <v>31</v>
      </c>
      <c r="H1874">
        <v>150000</v>
      </c>
      <c r="I1874">
        <v>4</v>
      </c>
      <c r="J1874" s="3" t="s">
        <v>39</v>
      </c>
      <c r="K1874">
        <v>120000</v>
      </c>
      <c r="L1874">
        <v>600000</v>
      </c>
      <c r="M1874">
        <v>480000</v>
      </c>
      <c r="N1874">
        <v>120000</v>
      </c>
      <c r="O1874" s="3" t="s">
        <v>1975</v>
      </c>
      <c r="P1874" s="3" t="s">
        <v>102</v>
      </c>
      <c r="Q1874" s="3" t="s">
        <v>103</v>
      </c>
      <c r="R1874" s="3" t="s">
        <v>103</v>
      </c>
    </row>
    <row r="1875" spans="1:18">
      <c r="A1875" s="19">
        <v>47549</v>
      </c>
      <c r="B1875" s="3" t="s">
        <v>18</v>
      </c>
      <c r="C1875" s="3" t="s">
        <v>26</v>
      </c>
      <c r="D1875" s="3" t="s">
        <v>13</v>
      </c>
      <c r="E1875" s="3" t="s">
        <v>14</v>
      </c>
      <c r="F1875" s="3" t="s">
        <v>15</v>
      </c>
      <c r="G1875" s="3" t="s">
        <v>16</v>
      </c>
      <c r="H1875">
        <v>85000</v>
      </c>
      <c r="I1875">
        <v>6</v>
      </c>
      <c r="J1875" s="3" t="s">
        <v>39</v>
      </c>
      <c r="K1875">
        <v>68000</v>
      </c>
      <c r="L1875">
        <v>510000</v>
      </c>
      <c r="M1875">
        <v>408000</v>
      </c>
      <c r="N1875">
        <v>102000</v>
      </c>
      <c r="O1875" s="3" t="s">
        <v>1976</v>
      </c>
      <c r="P1875" s="3" t="s">
        <v>102</v>
      </c>
      <c r="Q1875" s="3" t="s">
        <v>103</v>
      </c>
      <c r="R1875" s="3" t="s">
        <v>103</v>
      </c>
    </row>
    <row r="1876" spans="1:18">
      <c r="A1876" s="19">
        <v>47550</v>
      </c>
      <c r="B1876" s="3" t="s">
        <v>25</v>
      </c>
      <c r="C1876" s="3" t="s">
        <v>12</v>
      </c>
      <c r="D1876" s="3" t="s">
        <v>23</v>
      </c>
      <c r="E1876" s="3" t="s">
        <v>20</v>
      </c>
      <c r="F1876" s="3" t="s">
        <v>30</v>
      </c>
      <c r="G1876" s="3" t="s">
        <v>31</v>
      </c>
      <c r="H1876">
        <v>300000</v>
      </c>
      <c r="I1876">
        <v>10</v>
      </c>
      <c r="J1876" s="3" t="s">
        <v>17</v>
      </c>
      <c r="K1876">
        <v>240000</v>
      </c>
      <c r="L1876">
        <v>3000000</v>
      </c>
      <c r="M1876">
        <v>2400000</v>
      </c>
      <c r="N1876">
        <v>600000</v>
      </c>
      <c r="O1876" s="3" t="s">
        <v>1977</v>
      </c>
      <c r="P1876" s="3" t="s">
        <v>102</v>
      </c>
      <c r="Q1876" s="3" t="s">
        <v>103</v>
      </c>
      <c r="R1876" s="3" t="s">
        <v>103</v>
      </c>
    </row>
    <row r="1877" spans="1:18">
      <c r="A1877" s="19">
        <v>47551</v>
      </c>
      <c r="B1877" s="3" t="s">
        <v>18</v>
      </c>
      <c r="C1877" s="3" t="s">
        <v>19</v>
      </c>
      <c r="D1877" s="3" t="s">
        <v>23</v>
      </c>
      <c r="E1877" s="3" t="s">
        <v>20</v>
      </c>
      <c r="F1877" s="3" t="s">
        <v>36</v>
      </c>
      <c r="G1877" s="3" t="s">
        <v>31</v>
      </c>
      <c r="H1877">
        <v>150000</v>
      </c>
      <c r="I1877">
        <v>6</v>
      </c>
      <c r="J1877" s="3" t="s">
        <v>39</v>
      </c>
      <c r="K1877">
        <v>120000</v>
      </c>
      <c r="L1877">
        <v>900000</v>
      </c>
      <c r="M1877">
        <v>720000</v>
      </c>
      <c r="N1877">
        <v>180000</v>
      </c>
      <c r="O1877" s="3" t="s">
        <v>1978</v>
      </c>
      <c r="P1877" s="3" t="s">
        <v>102</v>
      </c>
      <c r="Q1877" s="3" t="s">
        <v>103</v>
      </c>
      <c r="R1877" s="3" t="s">
        <v>103</v>
      </c>
    </row>
    <row r="1878" spans="1:18">
      <c r="A1878" s="19">
        <v>47552</v>
      </c>
      <c r="B1878" s="3" t="s">
        <v>25</v>
      </c>
      <c r="C1878" s="3" t="s">
        <v>12</v>
      </c>
      <c r="D1878" s="3" t="s">
        <v>23</v>
      </c>
      <c r="E1878" s="3" t="s">
        <v>20</v>
      </c>
      <c r="F1878" s="3" t="s">
        <v>36</v>
      </c>
      <c r="G1878" s="3" t="s">
        <v>31</v>
      </c>
      <c r="H1878">
        <v>150000</v>
      </c>
      <c r="I1878">
        <v>1</v>
      </c>
      <c r="J1878" s="3" t="s">
        <v>39</v>
      </c>
      <c r="K1878">
        <v>120000</v>
      </c>
      <c r="L1878">
        <v>150000</v>
      </c>
      <c r="M1878">
        <v>120000</v>
      </c>
      <c r="N1878">
        <v>30000</v>
      </c>
      <c r="O1878" s="3" t="s">
        <v>1979</v>
      </c>
      <c r="P1878" s="3" t="s">
        <v>102</v>
      </c>
      <c r="Q1878" s="3" t="s">
        <v>103</v>
      </c>
      <c r="R1878" s="3" t="s">
        <v>103</v>
      </c>
    </row>
    <row r="1879" spans="1:18">
      <c r="A1879" s="19">
        <v>47553</v>
      </c>
      <c r="B1879" s="3" t="s">
        <v>29</v>
      </c>
      <c r="C1879" s="3" t="s">
        <v>12</v>
      </c>
      <c r="D1879" s="3" t="s">
        <v>13</v>
      </c>
      <c r="E1879" s="3" t="s">
        <v>20</v>
      </c>
      <c r="F1879" s="3" t="s">
        <v>30</v>
      </c>
      <c r="G1879" s="3" t="s">
        <v>31</v>
      </c>
      <c r="H1879">
        <v>300000</v>
      </c>
      <c r="I1879">
        <v>3</v>
      </c>
      <c r="J1879" s="3" t="s">
        <v>28</v>
      </c>
      <c r="K1879">
        <v>240000</v>
      </c>
      <c r="L1879">
        <v>900000</v>
      </c>
      <c r="M1879">
        <v>720000</v>
      </c>
      <c r="N1879">
        <v>180000</v>
      </c>
      <c r="O1879" s="3" t="s">
        <v>1980</v>
      </c>
      <c r="P1879" s="3" t="s">
        <v>102</v>
      </c>
      <c r="Q1879" s="3" t="s">
        <v>103</v>
      </c>
      <c r="R1879" s="3" t="s">
        <v>103</v>
      </c>
    </row>
    <row r="1880" spans="1:18">
      <c r="A1880" s="19">
        <v>47554</v>
      </c>
      <c r="B1880" s="3" t="s">
        <v>29</v>
      </c>
      <c r="C1880" s="3" t="s">
        <v>12</v>
      </c>
      <c r="D1880" s="3" t="s">
        <v>13</v>
      </c>
      <c r="E1880" s="3" t="s">
        <v>14</v>
      </c>
      <c r="F1880" s="3" t="s">
        <v>30</v>
      </c>
      <c r="G1880" s="3" t="s">
        <v>31</v>
      </c>
      <c r="H1880">
        <v>300000</v>
      </c>
      <c r="I1880">
        <v>8</v>
      </c>
      <c r="J1880" s="3" t="s">
        <v>37</v>
      </c>
      <c r="K1880">
        <v>240000</v>
      </c>
      <c r="L1880">
        <v>2400000</v>
      </c>
      <c r="M1880">
        <v>1920000</v>
      </c>
      <c r="N1880">
        <v>480000</v>
      </c>
      <c r="O1880" s="3" t="s">
        <v>1981</v>
      </c>
      <c r="P1880" s="3" t="s">
        <v>102</v>
      </c>
      <c r="Q1880" s="3" t="s">
        <v>103</v>
      </c>
      <c r="R1880" s="3" t="s">
        <v>103</v>
      </c>
    </row>
    <row r="1881" spans="1:18">
      <c r="A1881" s="19">
        <v>47555</v>
      </c>
      <c r="B1881" s="3" t="s">
        <v>18</v>
      </c>
      <c r="C1881" s="3" t="s">
        <v>12</v>
      </c>
      <c r="D1881" s="3" t="s">
        <v>23</v>
      </c>
      <c r="E1881" s="3" t="s">
        <v>14</v>
      </c>
      <c r="F1881" s="3" t="s">
        <v>30</v>
      </c>
      <c r="G1881" s="3" t="s">
        <v>31</v>
      </c>
      <c r="H1881">
        <v>300000</v>
      </c>
      <c r="I1881">
        <v>9</v>
      </c>
      <c r="J1881" s="3" t="s">
        <v>17</v>
      </c>
      <c r="K1881">
        <v>240000</v>
      </c>
      <c r="L1881">
        <v>2700000</v>
      </c>
      <c r="M1881">
        <v>2160000</v>
      </c>
      <c r="N1881">
        <v>540000</v>
      </c>
      <c r="O1881" s="3" t="s">
        <v>1982</v>
      </c>
      <c r="P1881" s="3" t="s">
        <v>102</v>
      </c>
      <c r="Q1881" s="3" t="s">
        <v>103</v>
      </c>
      <c r="R1881" s="3" t="s">
        <v>103</v>
      </c>
    </row>
    <row r="1882" spans="1:18">
      <c r="A1882" s="19">
        <v>47556</v>
      </c>
      <c r="B1882" s="3" t="s">
        <v>29</v>
      </c>
      <c r="C1882" s="3" t="s">
        <v>19</v>
      </c>
      <c r="D1882" s="3" t="s">
        <v>13</v>
      </c>
      <c r="E1882" s="3" t="s">
        <v>14</v>
      </c>
      <c r="F1882" s="3" t="s">
        <v>30</v>
      </c>
      <c r="G1882" s="3" t="s">
        <v>31</v>
      </c>
      <c r="H1882">
        <v>300000</v>
      </c>
      <c r="I1882">
        <v>2</v>
      </c>
      <c r="J1882" s="3" t="s">
        <v>35</v>
      </c>
      <c r="K1882">
        <v>240000</v>
      </c>
      <c r="L1882">
        <v>600000</v>
      </c>
      <c r="M1882">
        <v>480000</v>
      </c>
      <c r="N1882">
        <v>120000</v>
      </c>
      <c r="O1882" s="3" t="s">
        <v>1983</v>
      </c>
      <c r="P1882" s="3" t="s">
        <v>102</v>
      </c>
      <c r="Q1882" s="3" t="s">
        <v>103</v>
      </c>
      <c r="R1882" s="3" t="s">
        <v>103</v>
      </c>
    </row>
    <row r="1883" spans="1:18">
      <c r="A1883" s="19">
        <v>47557</v>
      </c>
      <c r="B1883" s="3" t="s">
        <v>29</v>
      </c>
      <c r="C1883" s="3" t="s">
        <v>12</v>
      </c>
      <c r="D1883" s="3" t="s">
        <v>23</v>
      </c>
      <c r="E1883" s="3" t="s">
        <v>20</v>
      </c>
      <c r="F1883" s="3" t="s">
        <v>30</v>
      </c>
      <c r="G1883" s="3" t="s">
        <v>31</v>
      </c>
      <c r="H1883">
        <v>300000</v>
      </c>
      <c r="I1883">
        <v>10</v>
      </c>
      <c r="J1883" s="3" t="s">
        <v>28</v>
      </c>
      <c r="K1883">
        <v>240000</v>
      </c>
      <c r="L1883">
        <v>3000000</v>
      </c>
      <c r="M1883">
        <v>2400000</v>
      </c>
      <c r="N1883">
        <v>600000</v>
      </c>
      <c r="O1883" s="3" t="s">
        <v>1984</v>
      </c>
      <c r="P1883" s="3" t="s">
        <v>102</v>
      </c>
      <c r="Q1883" s="3" t="s">
        <v>103</v>
      </c>
      <c r="R1883" s="3" t="s">
        <v>103</v>
      </c>
    </row>
    <row r="1884" spans="1:18">
      <c r="A1884" s="19">
        <v>47558</v>
      </c>
      <c r="B1884" s="3" t="s">
        <v>11</v>
      </c>
      <c r="C1884" s="3" t="s">
        <v>26</v>
      </c>
      <c r="D1884" s="3" t="s">
        <v>23</v>
      </c>
      <c r="E1884" s="3" t="s">
        <v>20</v>
      </c>
      <c r="F1884" s="3" t="s">
        <v>41</v>
      </c>
      <c r="G1884" s="3" t="s">
        <v>22</v>
      </c>
      <c r="H1884">
        <v>220000</v>
      </c>
      <c r="I1884">
        <v>4</v>
      </c>
      <c r="J1884" s="3" t="s">
        <v>37</v>
      </c>
      <c r="K1884">
        <v>176000</v>
      </c>
      <c r="L1884">
        <v>880000</v>
      </c>
      <c r="M1884">
        <v>704000</v>
      </c>
      <c r="N1884">
        <v>176000</v>
      </c>
      <c r="O1884" s="3" t="s">
        <v>1985</v>
      </c>
      <c r="P1884" s="3" t="s">
        <v>102</v>
      </c>
      <c r="Q1884" s="3" t="s">
        <v>103</v>
      </c>
      <c r="R1884" s="3" t="s">
        <v>103</v>
      </c>
    </row>
    <row r="1885" spans="1:18">
      <c r="A1885" s="19">
        <v>47559</v>
      </c>
      <c r="B1885" s="3" t="s">
        <v>29</v>
      </c>
      <c r="C1885" s="3" t="s">
        <v>19</v>
      </c>
      <c r="D1885" s="3" t="s">
        <v>23</v>
      </c>
      <c r="E1885" s="3" t="s">
        <v>14</v>
      </c>
      <c r="F1885" s="3" t="s">
        <v>15</v>
      </c>
      <c r="G1885" s="3" t="s">
        <v>16</v>
      </c>
      <c r="H1885">
        <v>85000</v>
      </c>
      <c r="I1885">
        <v>6</v>
      </c>
      <c r="J1885" s="3" t="s">
        <v>37</v>
      </c>
      <c r="K1885">
        <v>68000</v>
      </c>
      <c r="L1885">
        <v>510000</v>
      </c>
      <c r="M1885">
        <v>408000</v>
      </c>
      <c r="N1885">
        <v>102000</v>
      </c>
      <c r="O1885" s="3" t="s">
        <v>1986</v>
      </c>
      <c r="P1885" s="3" t="s">
        <v>102</v>
      </c>
      <c r="Q1885" s="3" t="s">
        <v>103</v>
      </c>
      <c r="R1885" s="3" t="s">
        <v>103</v>
      </c>
    </row>
    <row r="1886" spans="1:18">
      <c r="A1886" s="19">
        <v>47560</v>
      </c>
      <c r="B1886" s="3" t="s">
        <v>11</v>
      </c>
      <c r="C1886" s="3" t="s">
        <v>26</v>
      </c>
      <c r="D1886" s="3" t="s">
        <v>23</v>
      </c>
      <c r="E1886" s="3" t="s">
        <v>20</v>
      </c>
      <c r="F1886" s="3" t="s">
        <v>27</v>
      </c>
      <c r="G1886" s="3" t="s">
        <v>22</v>
      </c>
      <c r="H1886">
        <v>60000</v>
      </c>
      <c r="I1886">
        <v>4</v>
      </c>
      <c r="J1886" s="3" t="s">
        <v>28</v>
      </c>
      <c r="K1886">
        <v>48000</v>
      </c>
      <c r="L1886">
        <v>240000</v>
      </c>
      <c r="M1886">
        <v>192000</v>
      </c>
      <c r="N1886">
        <v>48000</v>
      </c>
      <c r="O1886" s="3" t="s">
        <v>1987</v>
      </c>
      <c r="P1886" s="3" t="s">
        <v>102</v>
      </c>
      <c r="Q1886" s="3" t="s">
        <v>103</v>
      </c>
      <c r="R1886" s="3" t="s">
        <v>103</v>
      </c>
    </row>
    <row r="1887" spans="1:18">
      <c r="A1887" s="19">
        <v>47561</v>
      </c>
      <c r="B1887" s="3" t="s">
        <v>18</v>
      </c>
      <c r="C1887" s="3" t="s">
        <v>12</v>
      </c>
      <c r="D1887" s="3" t="s">
        <v>13</v>
      </c>
      <c r="E1887" s="3" t="s">
        <v>20</v>
      </c>
      <c r="F1887" s="3" t="s">
        <v>41</v>
      </c>
      <c r="G1887" s="3" t="s">
        <v>22</v>
      </c>
      <c r="H1887">
        <v>220000</v>
      </c>
      <c r="I1887">
        <v>2</v>
      </c>
      <c r="J1887" s="3" t="s">
        <v>24</v>
      </c>
      <c r="K1887">
        <v>176000</v>
      </c>
      <c r="L1887">
        <v>440000</v>
      </c>
      <c r="M1887">
        <v>352000</v>
      </c>
      <c r="N1887">
        <v>88000</v>
      </c>
      <c r="O1887" s="3" t="s">
        <v>1988</v>
      </c>
      <c r="P1887" s="3" t="s">
        <v>102</v>
      </c>
      <c r="Q1887" s="3" t="s">
        <v>103</v>
      </c>
      <c r="R1887" s="3" t="s">
        <v>103</v>
      </c>
    </row>
    <row r="1888" spans="1:18">
      <c r="A1888" s="19">
        <v>47562</v>
      </c>
      <c r="B1888" s="3" t="s">
        <v>18</v>
      </c>
      <c r="C1888" s="3" t="s">
        <v>32</v>
      </c>
      <c r="D1888" s="3" t="s">
        <v>23</v>
      </c>
      <c r="E1888" s="3" t="s">
        <v>14</v>
      </c>
      <c r="F1888" s="3" t="s">
        <v>30</v>
      </c>
      <c r="G1888" s="3" t="s">
        <v>31</v>
      </c>
      <c r="H1888">
        <v>300000</v>
      </c>
      <c r="I1888">
        <v>3</v>
      </c>
      <c r="J1888" s="3" t="s">
        <v>17</v>
      </c>
      <c r="K1888">
        <v>240000</v>
      </c>
      <c r="L1888">
        <v>900000</v>
      </c>
      <c r="M1888">
        <v>720000</v>
      </c>
      <c r="N1888">
        <v>180000</v>
      </c>
      <c r="O1888" s="3" t="s">
        <v>1989</v>
      </c>
      <c r="P1888" s="3" t="s">
        <v>102</v>
      </c>
      <c r="Q1888" s="3" t="s">
        <v>103</v>
      </c>
      <c r="R1888" s="3" t="s">
        <v>103</v>
      </c>
    </row>
    <row r="1889" spans="1:18">
      <c r="A1889" s="19">
        <v>47563</v>
      </c>
      <c r="B1889" s="3" t="s">
        <v>25</v>
      </c>
      <c r="C1889" s="3" t="s">
        <v>12</v>
      </c>
      <c r="D1889" s="3" t="s">
        <v>23</v>
      </c>
      <c r="E1889" s="3" t="s">
        <v>14</v>
      </c>
      <c r="F1889" s="3" t="s">
        <v>41</v>
      </c>
      <c r="G1889" s="3" t="s">
        <v>22</v>
      </c>
      <c r="H1889">
        <v>220000</v>
      </c>
      <c r="I1889">
        <v>8</v>
      </c>
      <c r="J1889" s="3" t="s">
        <v>39</v>
      </c>
      <c r="K1889">
        <v>176000</v>
      </c>
      <c r="L1889">
        <v>1760000</v>
      </c>
      <c r="M1889">
        <v>1408000</v>
      </c>
      <c r="N1889">
        <v>352000</v>
      </c>
      <c r="O1889" s="3" t="s">
        <v>1990</v>
      </c>
      <c r="P1889" s="3" t="s">
        <v>102</v>
      </c>
      <c r="Q1889" s="3" t="s">
        <v>103</v>
      </c>
      <c r="R1889" s="3" t="s">
        <v>103</v>
      </c>
    </row>
    <row r="1890" spans="1:18">
      <c r="A1890" s="19">
        <v>47564</v>
      </c>
      <c r="B1890" s="3" t="s">
        <v>11</v>
      </c>
      <c r="C1890" s="3" t="s">
        <v>12</v>
      </c>
      <c r="D1890" s="3" t="s">
        <v>13</v>
      </c>
      <c r="E1890" s="3" t="s">
        <v>14</v>
      </c>
      <c r="F1890" s="3" t="s">
        <v>40</v>
      </c>
      <c r="G1890" s="3" t="s">
        <v>31</v>
      </c>
      <c r="H1890">
        <v>250000</v>
      </c>
      <c r="I1890">
        <v>8</v>
      </c>
      <c r="J1890" s="3" t="s">
        <v>37</v>
      </c>
      <c r="K1890">
        <v>200000</v>
      </c>
      <c r="L1890">
        <v>2000000</v>
      </c>
      <c r="M1890">
        <v>1600000</v>
      </c>
      <c r="N1890">
        <v>400000</v>
      </c>
      <c r="O1890" s="3" t="s">
        <v>1991</v>
      </c>
      <c r="P1890" s="3" t="s">
        <v>102</v>
      </c>
      <c r="Q1890" s="3" t="s">
        <v>103</v>
      </c>
      <c r="R1890" s="3" t="s">
        <v>103</v>
      </c>
    </row>
    <row r="1891" spans="1:18">
      <c r="A1891" s="19">
        <v>47565</v>
      </c>
      <c r="B1891" s="3" t="s">
        <v>25</v>
      </c>
      <c r="C1891" s="3" t="s">
        <v>12</v>
      </c>
      <c r="D1891" s="3" t="s">
        <v>13</v>
      </c>
      <c r="E1891" s="3" t="s">
        <v>14</v>
      </c>
      <c r="F1891" s="3" t="s">
        <v>15</v>
      </c>
      <c r="G1891" s="3" t="s">
        <v>16</v>
      </c>
      <c r="H1891">
        <v>85000</v>
      </c>
      <c r="I1891">
        <v>2</v>
      </c>
      <c r="J1891" s="3" t="s">
        <v>17</v>
      </c>
      <c r="K1891">
        <v>68000</v>
      </c>
      <c r="L1891">
        <v>170000</v>
      </c>
      <c r="M1891">
        <v>136000</v>
      </c>
      <c r="N1891">
        <v>34000</v>
      </c>
      <c r="O1891" s="3" t="s">
        <v>1992</v>
      </c>
      <c r="P1891" s="3" t="s">
        <v>102</v>
      </c>
      <c r="Q1891" s="3" t="s">
        <v>103</v>
      </c>
      <c r="R1891" s="3" t="s">
        <v>103</v>
      </c>
    </row>
    <row r="1892" spans="1:18">
      <c r="A1892" s="19">
        <v>47566</v>
      </c>
      <c r="B1892" s="3" t="s">
        <v>29</v>
      </c>
      <c r="C1892" s="3" t="s">
        <v>26</v>
      </c>
      <c r="D1892" s="3" t="s">
        <v>23</v>
      </c>
      <c r="E1892" s="3" t="s">
        <v>20</v>
      </c>
      <c r="F1892" s="3" t="s">
        <v>36</v>
      </c>
      <c r="G1892" s="3" t="s">
        <v>31</v>
      </c>
      <c r="H1892">
        <v>150000</v>
      </c>
      <c r="I1892">
        <v>7</v>
      </c>
      <c r="J1892" s="3" t="s">
        <v>37</v>
      </c>
      <c r="K1892">
        <v>120000</v>
      </c>
      <c r="L1892">
        <v>1050000</v>
      </c>
      <c r="M1892">
        <v>840000</v>
      </c>
      <c r="N1892">
        <v>210000</v>
      </c>
      <c r="O1892" s="3" t="s">
        <v>1993</v>
      </c>
      <c r="P1892" s="3" t="s">
        <v>102</v>
      </c>
      <c r="Q1892" s="3" t="s">
        <v>103</v>
      </c>
      <c r="R1892" s="3" t="s">
        <v>103</v>
      </c>
    </row>
    <row r="1893" spans="1:18">
      <c r="A1893" s="19">
        <v>47567</v>
      </c>
      <c r="B1893" s="3" t="s">
        <v>25</v>
      </c>
      <c r="C1893" s="3" t="s">
        <v>26</v>
      </c>
      <c r="D1893" s="3" t="s">
        <v>13</v>
      </c>
      <c r="E1893" s="3" t="s">
        <v>14</v>
      </c>
      <c r="F1893" s="3" t="s">
        <v>21</v>
      </c>
      <c r="G1893" s="3" t="s">
        <v>22</v>
      </c>
      <c r="H1893">
        <v>30000</v>
      </c>
      <c r="I1893">
        <v>8</v>
      </c>
      <c r="J1893" s="3" t="s">
        <v>28</v>
      </c>
      <c r="K1893">
        <v>24000</v>
      </c>
      <c r="L1893">
        <v>240000</v>
      </c>
      <c r="M1893">
        <v>192000</v>
      </c>
      <c r="N1893">
        <v>48000</v>
      </c>
      <c r="O1893" s="3" t="s">
        <v>1994</v>
      </c>
      <c r="P1893" s="3" t="s">
        <v>102</v>
      </c>
      <c r="Q1893" s="3" t="s">
        <v>103</v>
      </c>
      <c r="R1893" s="3" t="s">
        <v>103</v>
      </c>
    </row>
    <row r="1894" spans="1:18">
      <c r="A1894" s="19">
        <v>47568</v>
      </c>
      <c r="B1894" s="3" t="s">
        <v>11</v>
      </c>
      <c r="C1894" s="3" t="s">
        <v>12</v>
      </c>
      <c r="D1894" s="3" t="s">
        <v>23</v>
      </c>
      <c r="E1894" s="3" t="s">
        <v>14</v>
      </c>
      <c r="F1894" s="3" t="s">
        <v>15</v>
      </c>
      <c r="G1894" s="3" t="s">
        <v>16</v>
      </c>
      <c r="H1894">
        <v>85000</v>
      </c>
      <c r="I1894">
        <v>2</v>
      </c>
      <c r="J1894" s="3" t="s">
        <v>37</v>
      </c>
      <c r="K1894">
        <v>68000</v>
      </c>
      <c r="L1894">
        <v>170000</v>
      </c>
      <c r="M1894">
        <v>136000</v>
      </c>
      <c r="N1894">
        <v>34000</v>
      </c>
      <c r="O1894" s="3" t="s">
        <v>1995</v>
      </c>
      <c r="P1894" s="3" t="s">
        <v>102</v>
      </c>
      <c r="Q1894" s="3" t="s">
        <v>103</v>
      </c>
      <c r="R1894" s="3" t="s">
        <v>103</v>
      </c>
    </row>
    <row r="1895" spans="1:18">
      <c r="A1895" s="19">
        <v>47569</v>
      </c>
      <c r="B1895" s="3" t="s">
        <v>11</v>
      </c>
      <c r="C1895" s="3" t="s">
        <v>32</v>
      </c>
      <c r="D1895" s="3" t="s">
        <v>13</v>
      </c>
      <c r="E1895" s="3" t="s">
        <v>14</v>
      </c>
      <c r="F1895" s="3" t="s">
        <v>33</v>
      </c>
      <c r="G1895" s="3" t="s">
        <v>22</v>
      </c>
      <c r="H1895">
        <v>180000</v>
      </c>
      <c r="I1895">
        <v>5</v>
      </c>
      <c r="J1895" s="3" t="s">
        <v>24</v>
      </c>
      <c r="K1895">
        <v>144000</v>
      </c>
      <c r="L1895">
        <v>900000</v>
      </c>
      <c r="M1895">
        <v>720000</v>
      </c>
      <c r="N1895">
        <v>180000</v>
      </c>
      <c r="O1895" s="3" t="s">
        <v>1996</v>
      </c>
      <c r="P1895" s="3" t="s">
        <v>102</v>
      </c>
      <c r="Q1895" s="3" t="s">
        <v>103</v>
      </c>
      <c r="R1895" s="3" t="s">
        <v>103</v>
      </c>
    </row>
    <row r="1896" spans="1:18">
      <c r="A1896" s="19">
        <v>47570</v>
      </c>
      <c r="B1896" s="3" t="s">
        <v>11</v>
      </c>
      <c r="C1896" s="3" t="s">
        <v>26</v>
      </c>
      <c r="D1896" s="3" t="s">
        <v>13</v>
      </c>
      <c r="E1896" s="3" t="s">
        <v>14</v>
      </c>
      <c r="F1896" s="3" t="s">
        <v>15</v>
      </c>
      <c r="G1896" s="3" t="s">
        <v>16</v>
      </c>
      <c r="H1896">
        <v>85000</v>
      </c>
      <c r="I1896">
        <v>9</v>
      </c>
      <c r="J1896" s="3" t="s">
        <v>37</v>
      </c>
      <c r="K1896">
        <v>68000</v>
      </c>
      <c r="L1896">
        <v>765000</v>
      </c>
      <c r="M1896">
        <v>612000</v>
      </c>
      <c r="N1896">
        <v>153000</v>
      </c>
      <c r="O1896" s="3" t="s">
        <v>1997</v>
      </c>
      <c r="P1896" s="3" t="s">
        <v>102</v>
      </c>
      <c r="Q1896" s="3" t="s">
        <v>103</v>
      </c>
      <c r="R1896" s="3" t="s">
        <v>103</v>
      </c>
    </row>
    <row r="1897" spans="1:18">
      <c r="A1897" s="19">
        <v>47571</v>
      </c>
      <c r="B1897" s="3" t="s">
        <v>11</v>
      </c>
      <c r="C1897" s="3" t="s">
        <v>32</v>
      </c>
      <c r="D1897" s="3" t="s">
        <v>23</v>
      </c>
      <c r="E1897" s="3" t="s">
        <v>14</v>
      </c>
      <c r="F1897" s="3" t="s">
        <v>38</v>
      </c>
      <c r="G1897" s="3" t="s">
        <v>31</v>
      </c>
      <c r="H1897">
        <v>420000</v>
      </c>
      <c r="I1897">
        <v>9</v>
      </c>
      <c r="J1897" s="3" t="s">
        <v>24</v>
      </c>
      <c r="K1897">
        <v>336000</v>
      </c>
      <c r="L1897">
        <v>3780000</v>
      </c>
      <c r="M1897">
        <v>3024000</v>
      </c>
      <c r="N1897">
        <v>756000</v>
      </c>
      <c r="O1897" s="3" t="s">
        <v>1998</v>
      </c>
      <c r="P1897" s="3" t="s">
        <v>102</v>
      </c>
      <c r="Q1897" s="3" t="s">
        <v>103</v>
      </c>
      <c r="R1897" s="3" t="s">
        <v>103</v>
      </c>
    </row>
    <row r="1898" spans="1:18">
      <c r="A1898" s="19">
        <v>47572</v>
      </c>
      <c r="B1898" s="3" t="s">
        <v>29</v>
      </c>
      <c r="C1898" s="3" t="s">
        <v>32</v>
      </c>
      <c r="D1898" s="3" t="s">
        <v>13</v>
      </c>
      <c r="E1898" s="3" t="s">
        <v>14</v>
      </c>
      <c r="F1898" s="3" t="s">
        <v>34</v>
      </c>
      <c r="G1898" s="3" t="s">
        <v>16</v>
      </c>
      <c r="H1898">
        <v>320000</v>
      </c>
      <c r="I1898">
        <v>5</v>
      </c>
      <c r="J1898" s="3" t="s">
        <v>17</v>
      </c>
      <c r="K1898">
        <v>256000</v>
      </c>
      <c r="L1898">
        <v>1600000</v>
      </c>
      <c r="M1898">
        <v>1280000</v>
      </c>
      <c r="N1898">
        <v>320000</v>
      </c>
      <c r="O1898" s="3" t="s">
        <v>1999</v>
      </c>
      <c r="P1898" s="3" t="s">
        <v>102</v>
      </c>
      <c r="Q1898" s="3" t="s">
        <v>103</v>
      </c>
      <c r="R1898" s="3" t="s">
        <v>103</v>
      </c>
    </row>
    <row r="1899" spans="1:18">
      <c r="A1899" s="19">
        <v>47573</v>
      </c>
      <c r="B1899" s="3" t="s">
        <v>11</v>
      </c>
      <c r="C1899" s="3" t="s">
        <v>19</v>
      </c>
      <c r="D1899" s="3" t="s">
        <v>13</v>
      </c>
      <c r="E1899" s="3" t="s">
        <v>14</v>
      </c>
      <c r="F1899" s="3" t="s">
        <v>34</v>
      </c>
      <c r="G1899" s="3" t="s">
        <v>16</v>
      </c>
      <c r="H1899">
        <v>320000</v>
      </c>
      <c r="I1899">
        <v>1</v>
      </c>
      <c r="J1899" s="3" t="s">
        <v>37</v>
      </c>
      <c r="K1899">
        <v>256000</v>
      </c>
      <c r="L1899">
        <v>320000</v>
      </c>
      <c r="M1899">
        <v>256000</v>
      </c>
      <c r="N1899">
        <v>64000</v>
      </c>
      <c r="O1899" s="3" t="s">
        <v>2000</v>
      </c>
      <c r="P1899" s="3" t="s">
        <v>102</v>
      </c>
      <c r="Q1899" s="3" t="s">
        <v>103</v>
      </c>
      <c r="R1899" s="3" t="s">
        <v>103</v>
      </c>
    </row>
    <row r="1900" spans="1:18">
      <c r="A1900" s="19">
        <v>47574</v>
      </c>
      <c r="B1900" s="3" t="s">
        <v>29</v>
      </c>
      <c r="C1900" s="3" t="s">
        <v>26</v>
      </c>
      <c r="D1900" s="3" t="s">
        <v>13</v>
      </c>
      <c r="E1900" s="3" t="s">
        <v>14</v>
      </c>
      <c r="F1900" s="3" t="s">
        <v>21</v>
      </c>
      <c r="G1900" s="3" t="s">
        <v>22</v>
      </c>
      <c r="H1900">
        <v>30000</v>
      </c>
      <c r="I1900">
        <v>10</v>
      </c>
      <c r="J1900" s="3" t="s">
        <v>35</v>
      </c>
      <c r="K1900">
        <v>24000</v>
      </c>
      <c r="L1900">
        <v>300000</v>
      </c>
      <c r="M1900">
        <v>240000</v>
      </c>
      <c r="N1900">
        <v>60000</v>
      </c>
      <c r="O1900" s="3" t="s">
        <v>2001</v>
      </c>
      <c r="P1900" s="3" t="s">
        <v>102</v>
      </c>
      <c r="Q1900" s="3" t="s">
        <v>103</v>
      </c>
      <c r="R1900" s="3" t="s">
        <v>103</v>
      </c>
    </row>
    <row r="1901" spans="1:18">
      <c r="A1901" s="19">
        <v>47575</v>
      </c>
      <c r="B1901" s="3" t="s">
        <v>18</v>
      </c>
      <c r="C1901" s="3" t="s">
        <v>12</v>
      </c>
      <c r="D1901" s="3" t="s">
        <v>13</v>
      </c>
      <c r="E1901" s="3" t="s">
        <v>20</v>
      </c>
      <c r="F1901" s="3" t="s">
        <v>33</v>
      </c>
      <c r="G1901" s="3" t="s">
        <v>22</v>
      </c>
      <c r="H1901">
        <v>180000</v>
      </c>
      <c r="I1901">
        <v>10</v>
      </c>
      <c r="J1901" s="3" t="s">
        <v>39</v>
      </c>
      <c r="K1901">
        <v>144000</v>
      </c>
      <c r="L1901">
        <v>1800000</v>
      </c>
      <c r="M1901">
        <v>1440000</v>
      </c>
      <c r="N1901">
        <v>360000</v>
      </c>
      <c r="O1901" s="3" t="s">
        <v>2002</v>
      </c>
      <c r="P1901" s="3" t="s">
        <v>102</v>
      </c>
      <c r="Q1901" s="3" t="s">
        <v>103</v>
      </c>
      <c r="R1901" s="3" t="s">
        <v>103</v>
      </c>
    </row>
    <row r="1902" spans="1:18">
      <c r="A1902" s="19">
        <v>47576</v>
      </c>
      <c r="B1902" s="3" t="s">
        <v>11</v>
      </c>
      <c r="C1902" s="3" t="s">
        <v>26</v>
      </c>
      <c r="D1902" s="3" t="s">
        <v>23</v>
      </c>
      <c r="E1902" s="3" t="s">
        <v>14</v>
      </c>
      <c r="F1902" s="3" t="s">
        <v>34</v>
      </c>
      <c r="G1902" s="3" t="s">
        <v>16</v>
      </c>
      <c r="H1902">
        <v>320000</v>
      </c>
      <c r="I1902">
        <v>9</v>
      </c>
      <c r="J1902" s="3" t="s">
        <v>28</v>
      </c>
      <c r="K1902">
        <v>256000</v>
      </c>
      <c r="L1902">
        <v>2880000</v>
      </c>
      <c r="M1902">
        <v>2304000</v>
      </c>
      <c r="N1902">
        <v>576000</v>
      </c>
      <c r="O1902" s="3" t="s">
        <v>2003</v>
      </c>
      <c r="P1902" s="3" t="s">
        <v>102</v>
      </c>
      <c r="Q1902" s="3" t="s">
        <v>103</v>
      </c>
      <c r="R1902" s="3" t="s">
        <v>103</v>
      </c>
    </row>
    <row r="1903" spans="1:18">
      <c r="A1903" s="19">
        <v>47577</v>
      </c>
      <c r="B1903" s="3" t="s">
        <v>11</v>
      </c>
      <c r="C1903" s="3" t="s">
        <v>32</v>
      </c>
      <c r="D1903" s="3" t="s">
        <v>23</v>
      </c>
      <c r="E1903" s="3" t="s">
        <v>14</v>
      </c>
      <c r="F1903" s="3" t="s">
        <v>38</v>
      </c>
      <c r="G1903" s="3" t="s">
        <v>31</v>
      </c>
      <c r="H1903">
        <v>420000</v>
      </c>
      <c r="I1903">
        <v>2</v>
      </c>
      <c r="J1903" s="3" t="s">
        <v>37</v>
      </c>
      <c r="K1903">
        <v>336000</v>
      </c>
      <c r="L1903">
        <v>840000</v>
      </c>
      <c r="M1903">
        <v>672000</v>
      </c>
      <c r="N1903">
        <v>168000</v>
      </c>
      <c r="O1903" s="3" t="s">
        <v>2004</v>
      </c>
      <c r="P1903" s="3" t="s">
        <v>102</v>
      </c>
      <c r="Q1903" s="3" t="s">
        <v>103</v>
      </c>
      <c r="R1903" s="3" t="s">
        <v>103</v>
      </c>
    </row>
    <row r="1904" spans="1:18">
      <c r="A1904" s="19">
        <v>47578</v>
      </c>
      <c r="B1904" s="3" t="s">
        <v>29</v>
      </c>
      <c r="C1904" s="3" t="s">
        <v>12</v>
      </c>
      <c r="D1904" s="3" t="s">
        <v>13</v>
      </c>
      <c r="E1904" s="3" t="s">
        <v>14</v>
      </c>
      <c r="F1904" s="3" t="s">
        <v>30</v>
      </c>
      <c r="G1904" s="3" t="s">
        <v>31</v>
      </c>
      <c r="H1904">
        <v>300000</v>
      </c>
      <c r="I1904">
        <v>6</v>
      </c>
      <c r="J1904" s="3" t="s">
        <v>28</v>
      </c>
      <c r="K1904">
        <v>240000</v>
      </c>
      <c r="L1904">
        <v>1800000</v>
      </c>
      <c r="M1904">
        <v>1440000</v>
      </c>
      <c r="N1904">
        <v>360000</v>
      </c>
      <c r="O1904" s="3" t="s">
        <v>2005</v>
      </c>
      <c r="P1904" s="3" t="s">
        <v>102</v>
      </c>
      <c r="Q1904" s="3" t="s">
        <v>103</v>
      </c>
      <c r="R1904" s="3" t="s">
        <v>103</v>
      </c>
    </row>
    <row r="1905" spans="1:18">
      <c r="A1905" s="19">
        <v>47579</v>
      </c>
      <c r="B1905" s="3" t="s">
        <v>29</v>
      </c>
      <c r="C1905" s="3" t="s">
        <v>26</v>
      </c>
      <c r="D1905" s="3" t="s">
        <v>23</v>
      </c>
      <c r="E1905" s="3" t="s">
        <v>20</v>
      </c>
      <c r="F1905" s="3" t="s">
        <v>21</v>
      </c>
      <c r="G1905" s="3" t="s">
        <v>22</v>
      </c>
      <c r="H1905">
        <v>30000</v>
      </c>
      <c r="I1905">
        <v>4</v>
      </c>
      <c r="J1905" s="3" t="s">
        <v>24</v>
      </c>
      <c r="K1905">
        <v>24000</v>
      </c>
      <c r="L1905">
        <v>120000</v>
      </c>
      <c r="M1905">
        <v>96000</v>
      </c>
      <c r="N1905">
        <v>24000</v>
      </c>
      <c r="O1905" s="3" t="s">
        <v>2006</v>
      </c>
      <c r="P1905" s="3" t="s">
        <v>102</v>
      </c>
      <c r="Q1905" s="3" t="s">
        <v>103</v>
      </c>
      <c r="R1905" s="3" t="s">
        <v>103</v>
      </c>
    </row>
    <row r="1906" spans="1:18">
      <c r="A1906" s="19">
        <v>47580</v>
      </c>
      <c r="B1906" s="3" t="s">
        <v>25</v>
      </c>
      <c r="C1906" s="3" t="s">
        <v>32</v>
      </c>
      <c r="D1906" s="3" t="s">
        <v>23</v>
      </c>
      <c r="E1906" s="3" t="s">
        <v>20</v>
      </c>
      <c r="F1906" s="3" t="s">
        <v>34</v>
      </c>
      <c r="G1906" s="3" t="s">
        <v>16</v>
      </c>
      <c r="H1906">
        <v>320000</v>
      </c>
      <c r="I1906">
        <v>7</v>
      </c>
      <c r="J1906" s="3" t="s">
        <v>28</v>
      </c>
      <c r="K1906">
        <v>256000</v>
      </c>
      <c r="L1906">
        <v>2240000</v>
      </c>
      <c r="M1906">
        <v>1792000</v>
      </c>
      <c r="N1906">
        <v>448000</v>
      </c>
      <c r="O1906" s="3" t="s">
        <v>2007</v>
      </c>
      <c r="P1906" s="3" t="s">
        <v>102</v>
      </c>
      <c r="Q1906" s="3" t="s">
        <v>103</v>
      </c>
      <c r="R1906" s="3" t="s">
        <v>103</v>
      </c>
    </row>
    <row r="1907" spans="1:18">
      <c r="A1907" s="19">
        <v>47581</v>
      </c>
      <c r="B1907" s="3" t="s">
        <v>29</v>
      </c>
      <c r="C1907" s="3" t="s">
        <v>26</v>
      </c>
      <c r="D1907" s="3" t="s">
        <v>23</v>
      </c>
      <c r="E1907" s="3" t="s">
        <v>20</v>
      </c>
      <c r="F1907" s="3" t="s">
        <v>34</v>
      </c>
      <c r="G1907" s="3" t="s">
        <v>16</v>
      </c>
      <c r="H1907">
        <v>320000</v>
      </c>
      <c r="I1907">
        <v>1</v>
      </c>
      <c r="J1907" s="3" t="s">
        <v>37</v>
      </c>
      <c r="K1907">
        <v>256000</v>
      </c>
      <c r="L1907">
        <v>320000</v>
      </c>
      <c r="M1907">
        <v>256000</v>
      </c>
      <c r="N1907">
        <v>64000</v>
      </c>
      <c r="O1907" s="3" t="s">
        <v>2008</v>
      </c>
      <c r="P1907" s="3" t="s">
        <v>102</v>
      </c>
      <c r="Q1907" s="3" t="s">
        <v>103</v>
      </c>
      <c r="R1907" s="3" t="s">
        <v>103</v>
      </c>
    </row>
    <row r="1908" spans="1:18">
      <c r="A1908" s="19">
        <v>47582</v>
      </c>
      <c r="B1908" s="3" t="s">
        <v>29</v>
      </c>
      <c r="C1908" s="3" t="s">
        <v>26</v>
      </c>
      <c r="D1908" s="3" t="s">
        <v>23</v>
      </c>
      <c r="E1908" s="3" t="s">
        <v>14</v>
      </c>
      <c r="F1908" s="3" t="s">
        <v>30</v>
      </c>
      <c r="G1908" s="3" t="s">
        <v>31</v>
      </c>
      <c r="H1908">
        <v>300000</v>
      </c>
      <c r="I1908">
        <v>3</v>
      </c>
      <c r="J1908" s="3" t="s">
        <v>35</v>
      </c>
      <c r="K1908">
        <v>240000</v>
      </c>
      <c r="L1908">
        <v>900000</v>
      </c>
      <c r="M1908">
        <v>720000</v>
      </c>
      <c r="N1908">
        <v>180000</v>
      </c>
      <c r="O1908" s="3" t="s">
        <v>2009</v>
      </c>
      <c r="P1908" s="3" t="s">
        <v>102</v>
      </c>
      <c r="Q1908" s="3" t="s">
        <v>103</v>
      </c>
      <c r="R1908" s="3" t="s">
        <v>103</v>
      </c>
    </row>
    <row r="1909" spans="1:18">
      <c r="A1909" s="19">
        <v>47583</v>
      </c>
      <c r="B1909" s="3" t="s">
        <v>29</v>
      </c>
      <c r="C1909" s="3" t="s">
        <v>19</v>
      </c>
      <c r="D1909" s="3" t="s">
        <v>23</v>
      </c>
      <c r="E1909" s="3" t="s">
        <v>14</v>
      </c>
      <c r="F1909" s="3" t="s">
        <v>21</v>
      </c>
      <c r="G1909" s="3" t="s">
        <v>22</v>
      </c>
      <c r="H1909">
        <v>30000</v>
      </c>
      <c r="I1909">
        <v>6</v>
      </c>
      <c r="J1909" s="3" t="s">
        <v>28</v>
      </c>
      <c r="K1909">
        <v>24000</v>
      </c>
      <c r="L1909">
        <v>180000</v>
      </c>
      <c r="M1909">
        <v>144000</v>
      </c>
      <c r="N1909">
        <v>36000</v>
      </c>
      <c r="O1909" s="3" t="s">
        <v>2010</v>
      </c>
      <c r="P1909" s="3" t="s">
        <v>102</v>
      </c>
      <c r="Q1909" s="3" t="s">
        <v>103</v>
      </c>
      <c r="R1909" s="3" t="s">
        <v>103</v>
      </c>
    </row>
    <row r="1910" spans="1:18">
      <c r="A1910" s="19">
        <v>47584</v>
      </c>
      <c r="B1910" s="3" t="s">
        <v>18</v>
      </c>
      <c r="C1910" s="3" t="s">
        <v>26</v>
      </c>
      <c r="D1910" s="3" t="s">
        <v>23</v>
      </c>
      <c r="E1910" s="3" t="s">
        <v>20</v>
      </c>
      <c r="F1910" s="3" t="s">
        <v>41</v>
      </c>
      <c r="G1910" s="3" t="s">
        <v>22</v>
      </c>
      <c r="H1910">
        <v>220000</v>
      </c>
      <c r="I1910">
        <v>1</v>
      </c>
      <c r="J1910" s="3" t="s">
        <v>28</v>
      </c>
      <c r="K1910">
        <v>176000</v>
      </c>
      <c r="L1910">
        <v>220000</v>
      </c>
      <c r="M1910">
        <v>176000</v>
      </c>
      <c r="N1910">
        <v>44000</v>
      </c>
      <c r="O1910" s="3" t="s">
        <v>2011</v>
      </c>
      <c r="P1910" s="3" t="s">
        <v>102</v>
      </c>
      <c r="Q1910" s="3" t="s">
        <v>103</v>
      </c>
      <c r="R1910" s="3" t="s">
        <v>103</v>
      </c>
    </row>
    <row r="1911" spans="1:18">
      <c r="A1911" s="19">
        <v>47585</v>
      </c>
      <c r="B1911" s="3" t="s">
        <v>29</v>
      </c>
      <c r="C1911" s="3" t="s">
        <v>32</v>
      </c>
      <c r="D1911" s="3" t="s">
        <v>13</v>
      </c>
      <c r="E1911" s="3" t="s">
        <v>14</v>
      </c>
      <c r="F1911" s="3" t="s">
        <v>21</v>
      </c>
      <c r="G1911" s="3" t="s">
        <v>22</v>
      </c>
      <c r="H1911">
        <v>30000</v>
      </c>
      <c r="I1911">
        <v>9</v>
      </c>
      <c r="J1911" s="3" t="s">
        <v>35</v>
      </c>
      <c r="K1911">
        <v>24000</v>
      </c>
      <c r="L1911">
        <v>270000</v>
      </c>
      <c r="M1911">
        <v>216000</v>
      </c>
      <c r="N1911">
        <v>54000</v>
      </c>
      <c r="O1911" s="3" t="s">
        <v>2012</v>
      </c>
      <c r="P1911" s="3" t="s">
        <v>102</v>
      </c>
      <c r="Q1911" s="3" t="s">
        <v>103</v>
      </c>
      <c r="R1911" s="3" t="s">
        <v>103</v>
      </c>
    </row>
    <row r="1912" spans="1:18">
      <c r="A1912" s="19">
        <v>47586</v>
      </c>
      <c r="B1912" s="3" t="s">
        <v>11</v>
      </c>
      <c r="C1912" s="3" t="s">
        <v>12</v>
      </c>
      <c r="D1912" s="3" t="s">
        <v>23</v>
      </c>
      <c r="E1912" s="3" t="s">
        <v>14</v>
      </c>
      <c r="F1912" s="3" t="s">
        <v>41</v>
      </c>
      <c r="G1912" s="3" t="s">
        <v>22</v>
      </c>
      <c r="H1912">
        <v>220000</v>
      </c>
      <c r="I1912">
        <v>10</v>
      </c>
      <c r="J1912" s="3" t="s">
        <v>35</v>
      </c>
      <c r="K1912">
        <v>176000</v>
      </c>
      <c r="L1912">
        <v>2200000</v>
      </c>
      <c r="M1912">
        <v>1760000</v>
      </c>
      <c r="N1912">
        <v>440000</v>
      </c>
      <c r="O1912" s="3" t="s">
        <v>2013</v>
      </c>
      <c r="P1912" s="3" t="s">
        <v>102</v>
      </c>
      <c r="Q1912" s="3" t="s">
        <v>103</v>
      </c>
      <c r="R1912" s="3" t="s">
        <v>103</v>
      </c>
    </row>
    <row r="1913" spans="1:18">
      <c r="A1913" s="19">
        <v>47587</v>
      </c>
      <c r="B1913" s="3" t="s">
        <v>18</v>
      </c>
      <c r="C1913" s="3" t="s">
        <v>26</v>
      </c>
      <c r="D1913" s="3" t="s">
        <v>13</v>
      </c>
      <c r="E1913" s="3" t="s">
        <v>14</v>
      </c>
      <c r="F1913" s="3" t="s">
        <v>41</v>
      </c>
      <c r="G1913" s="3" t="s">
        <v>22</v>
      </c>
      <c r="H1913">
        <v>220000</v>
      </c>
      <c r="I1913">
        <v>9</v>
      </c>
      <c r="J1913" s="3" t="s">
        <v>17</v>
      </c>
      <c r="K1913">
        <v>176000</v>
      </c>
      <c r="L1913">
        <v>1980000</v>
      </c>
      <c r="M1913">
        <v>1584000</v>
      </c>
      <c r="N1913">
        <v>396000</v>
      </c>
      <c r="O1913" s="3" t="s">
        <v>2014</v>
      </c>
      <c r="P1913" s="3" t="s">
        <v>102</v>
      </c>
      <c r="Q1913" s="3" t="s">
        <v>103</v>
      </c>
      <c r="R1913" s="3" t="s">
        <v>103</v>
      </c>
    </row>
    <row r="1914" spans="1:18">
      <c r="A1914" s="19">
        <v>47588</v>
      </c>
      <c r="B1914" s="3" t="s">
        <v>11</v>
      </c>
      <c r="C1914" s="3" t="s">
        <v>32</v>
      </c>
      <c r="D1914" s="3" t="s">
        <v>23</v>
      </c>
      <c r="E1914" s="3" t="s">
        <v>14</v>
      </c>
      <c r="F1914" s="3" t="s">
        <v>27</v>
      </c>
      <c r="G1914" s="3" t="s">
        <v>22</v>
      </c>
      <c r="H1914">
        <v>60000</v>
      </c>
      <c r="I1914">
        <v>4</v>
      </c>
      <c r="J1914" s="3" t="s">
        <v>24</v>
      </c>
      <c r="K1914">
        <v>48000</v>
      </c>
      <c r="L1914">
        <v>240000</v>
      </c>
      <c r="M1914">
        <v>192000</v>
      </c>
      <c r="N1914">
        <v>48000</v>
      </c>
      <c r="O1914" s="3" t="s">
        <v>2015</v>
      </c>
      <c r="P1914" s="3" t="s">
        <v>102</v>
      </c>
      <c r="Q1914" s="3" t="s">
        <v>103</v>
      </c>
      <c r="R1914" s="3" t="s">
        <v>103</v>
      </c>
    </row>
    <row r="1915" spans="1:18">
      <c r="A1915" s="19">
        <v>47589</v>
      </c>
      <c r="B1915" s="3" t="s">
        <v>25</v>
      </c>
      <c r="C1915" s="3" t="s">
        <v>26</v>
      </c>
      <c r="D1915" s="3" t="s">
        <v>23</v>
      </c>
      <c r="E1915" s="3" t="s">
        <v>20</v>
      </c>
      <c r="F1915" s="3" t="s">
        <v>41</v>
      </c>
      <c r="G1915" s="3" t="s">
        <v>22</v>
      </c>
      <c r="H1915">
        <v>220000</v>
      </c>
      <c r="I1915">
        <v>7</v>
      </c>
      <c r="J1915" s="3" t="s">
        <v>24</v>
      </c>
      <c r="K1915">
        <v>176000</v>
      </c>
      <c r="L1915">
        <v>1540000</v>
      </c>
      <c r="M1915">
        <v>1232000</v>
      </c>
      <c r="N1915">
        <v>308000</v>
      </c>
      <c r="O1915" s="3" t="s">
        <v>2016</v>
      </c>
      <c r="P1915" s="3" t="s">
        <v>102</v>
      </c>
      <c r="Q1915" s="3" t="s">
        <v>103</v>
      </c>
      <c r="R1915" s="3" t="s">
        <v>103</v>
      </c>
    </row>
    <row r="1916" spans="1:18">
      <c r="A1916" s="19">
        <v>47590</v>
      </c>
      <c r="B1916" s="3" t="s">
        <v>11</v>
      </c>
      <c r="C1916" s="3" t="s">
        <v>26</v>
      </c>
      <c r="D1916" s="3" t="s">
        <v>13</v>
      </c>
      <c r="E1916" s="3" t="s">
        <v>20</v>
      </c>
      <c r="F1916" s="3" t="s">
        <v>34</v>
      </c>
      <c r="G1916" s="3" t="s">
        <v>16</v>
      </c>
      <c r="H1916">
        <v>320000</v>
      </c>
      <c r="I1916">
        <v>9</v>
      </c>
      <c r="J1916" s="3" t="s">
        <v>28</v>
      </c>
      <c r="K1916">
        <v>256000</v>
      </c>
      <c r="L1916">
        <v>2880000</v>
      </c>
      <c r="M1916">
        <v>2304000</v>
      </c>
      <c r="N1916">
        <v>576000</v>
      </c>
      <c r="O1916" s="3" t="s">
        <v>2017</v>
      </c>
      <c r="P1916" s="3" t="s">
        <v>102</v>
      </c>
      <c r="Q1916" s="3" t="s">
        <v>103</v>
      </c>
      <c r="R1916" s="3" t="s">
        <v>103</v>
      </c>
    </row>
    <row r="1917" spans="1:18">
      <c r="A1917" s="19">
        <v>47591</v>
      </c>
      <c r="B1917" s="3" t="s">
        <v>11</v>
      </c>
      <c r="C1917" s="3" t="s">
        <v>19</v>
      </c>
      <c r="D1917" s="3" t="s">
        <v>23</v>
      </c>
      <c r="E1917" s="3" t="s">
        <v>20</v>
      </c>
      <c r="F1917" s="3" t="s">
        <v>15</v>
      </c>
      <c r="G1917" s="3" t="s">
        <v>16</v>
      </c>
      <c r="H1917">
        <v>85000</v>
      </c>
      <c r="I1917">
        <v>5</v>
      </c>
      <c r="J1917" s="3" t="s">
        <v>39</v>
      </c>
      <c r="K1917">
        <v>68000</v>
      </c>
      <c r="L1917">
        <v>425000</v>
      </c>
      <c r="M1917">
        <v>340000</v>
      </c>
      <c r="N1917">
        <v>85000</v>
      </c>
      <c r="O1917" s="3" t="s">
        <v>2018</v>
      </c>
      <c r="P1917" s="3" t="s">
        <v>102</v>
      </c>
      <c r="Q1917" s="3" t="s">
        <v>103</v>
      </c>
      <c r="R1917" s="3" t="s">
        <v>103</v>
      </c>
    </row>
    <row r="1918" spans="1:18">
      <c r="A1918" s="19">
        <v>47592</v>
      </c>
      <c r="B1918" s="3" t="s">
        <v>29</v>
      </c>
      <c r="C1918" s="3" t="s">
        <v>32</v>
      </c>
      <c r="D1918" s="3" t="s">
        <v>13</v>
      </c>
      <c r="E1918" s="3" t="s">
        <v>14</v>
      </c>
      <c r="F1918" s="3" t="s">
        <v>40</v>
      </c>
      <c r="G1918" s="3" t="s">
        <v>31</v>
      </c>
      <c r="H1918">
        <v>250000</v>
      </c>
      <c r="I1918">
        <v>10</v>
      </c>
      <c r="J1918" s="3" t="s">
        <v>37</v>
      </c>
      <c r="K1918">
        <v>200000</v>
      </c>
      <c r="L1918">
        <v>2500000</v>
      </c>
      <c r="M1918">
        <v>2000000</v>
      </c>
      <c r="N1918">
        <v>500000</v>
      </c>
      <c r="O1918" s="3" t="s">
        <v>2019</v>
      </c>
      <c r="P1918" s="3" t="s">
        <v>102</v>
      </c>
      <c r="Q1918" s="3" t="s">
        <v>103</v>
      </c>
      <c r="R1918" s="3" t="s">
        <v>103</v>
      </c>
    </row>
    <row r="1919" spans="1:18">
      <c r="A1919" s="19">
        <v>47593</v>
      </c>
      <c r="B1919" s="3" t="s">
        <v>18</v>
      </c>
      <c r="C1919" s="3" t="s">
        <v>32</v>
      </c>
      <c r="D1919" s="3" t="s">
        <v>13</v>
      </c>
      <c r="E1919" s="3" t="s">
        <v>20</v>
      </c>
      <c r="F1919" s="3" t="s">
        <v>34</v>
      </c>
      <c r="G1919" s="3" t="s">
        <v>16</v>
      </c>
      <c r="H1919">
        <v>320000</v>
      </c>
      <c r="I1919">
        <v>8</v>
      </c>
      <c r="J1919" s="3" t="s">
        <v>28</v>
      </c>
      <c r="K1919">
        <v>256000</v>
      </c>
      <c r="L1919">
        <v>2560000</v>
      </c>
      <c r="M1919">
        <v>2048000</v>
      </c>
      <c r="N1919">
        <v>512000</v>
      </c>
      <c r="O1919" s="3" t="s">
        <v>2020</v>
      </c>
      <c r="P1919" s="3" t="s">
        <v>102</v>
      </c>
      <c r="Q1919" s="3" t="s">
        <v>103</v>
      </c>
      <c r="R1919" s="3" t="s">
        <v>103</v>
      </c>
    </row>
    <row r="1920" spans="1:18">
      <c r="A1920" s="19">
        <v>47594</v>
      </c>
      <c r="B1920" s="3" t="s">
        <v>29</v>
      </c>
      <c r="C1920" s="3" t="s">
        <v>12</v>
      </c>
      <c r="D1920" s="3" t="s">
        <v>23</v>
      </c>
      <c r="E1920" s="3" t="s">
        <v>20</v>
      </c>
      <c r="F1920" s="3" t="s">
        <v>36</v>
      </c>
      <c r="G1920" s="3" t="s">
        <v>31</v>
      </c>
      <c r="H1920">
        <v>150000</v>
      </c>
      <c r="I1920">
        <v>7</v>
      </c>
      <c r="J1920" s="3" t="s">
        <v>35</v>
      </c>
      <c r="K1920">
        <v>120000</v>
      </c>
      <c r="L1920">
        <v>1050000</v>
      </c>
      <c r="M1920">
        <v>840000</v>
      </c>
      <c r="N1920">
        <v>210000</v>
      </c>
      <c r="O1920" s="3" t="s">
        <v>2021</v>
      </c>
      <c r="P1920" s="3" t="s">
        <v>102</v>
      </c>
      <c r="Q1920" s="3" t="s">
        <v>103</v>
      </c>
      <c r="R1920" s="3" t="s">
        <v>103</v>
      </c>
    </row>
    <row r="1921" spans="1:18">
      <c r="A1921" s="19">
        <v>47595</v>
      </c>
      <c r="B1921" s="3" t="s">
        <v>29</v>
      </c>
      <c r="C1921" s="3" t="s">
        <v>26</v>
      </c>
      <c r="D1921" s="3" t="s">
        <v>13</v>
      </c>
      <c r="E1921" s="3" t="s">
        <v>20</v>
      </c>
      <c r="F1921" s="3" t="s">
        <v>33</v>
      </c>
      <c r="G1921" s="3" t="s">
        <v>22</v>
      </c>
      <c r="H1921">
        <v>180000</v>
      </c>
      <c r="I1921">
        <v>8</v>
      </c>
      <c r="J1921" s="3" t="s">
        <v>35</v>
      </c>
      <c r="K1921">
        <v>144000</v>
      </c>
      <c r="L1921">
        <v>1440000</v>
      </c>
      <c r="M1921">
        <v>1152000</v>
      </c>
      <c r="N1921">
        <v>288000</v>
      </c>
      <c r="O1921" s="3" t="s">
        <v>2022</v>
      </c>
      <c r="P1921" s="3" t="s">
        <v>102</v>
      </c>
      <c r="Q1921" s="3" t="s">
        <v>103</v>
      </c>
      <c r="R1921" s="3" t="s">
        <v>103</v>
      </c>
    </row>
    <row r="1922" spans="1:18">
      <c r="A1922" s="19">
        <v>47596</v>
      </c>
      <c r="B1922" s="3" t="s">
        <v>11</v>
      </c>
      <c r="C1922" s="3" t="s">
        <v>32</v>
      </c>
      <c r="D1922" s="3" t="s">
        <v>13</v>
      </c>
      <c r="E1922" s="3" t="s">
        <v>14</v>
      </c>
      <c r="F1922" s="3" t="s">
        <v>34</v>
      </c>
      <c r="G1922" s="3" t="s">
        <v>16</v>
      </c>
      <c r="H1922">
        <v>320000</v>
      </c>
      <c r="I1922">
        <v>10</v>
      </c>
      <c r="J1922" s="3" t="s">
        <v>28</v>
      </c>
      <c r="K1922">
        <v>256000</v>
      </c>
      <c r="L1922">
        <v>3200000</v>
      </c>
      <c r="M1922">
        <v>2560000</v>
      </c>
      <c r="N1922">
        <v>640000</v>
      </c>
      <c r="O1922" s="3" t="s">
        <v>2023</v>
      </c>
      <c r="P1922" s="3" t="s">
        <v>102</v>
      </c>
      <c r="Q1922" s="3" t="s">
        <v>103</v>
      </c>
      <c r="R1922" s="3" t="s">
        <v>103</v>
      </c>
    </row>
    <row r="1923" spans="1:18">
      <c r="A1923" s="19">
        <v>47597</v>
      </c>
      <c r="B1923" s="3" t="s">
        <v>29</v>
      </c>
      <c r="C1923" s="3" t="s">
        <v>12</v>
      </c>
      <c r="D1923" s="3" t="s">
        <v>23</v>
      </c>
      <c r="E1923" s="3" t="s">
        <v>20</v>
      </c>
      <c r="F1923" s="3" t="s">
        <v>36</v>
      </c>
      <c r="G1923" s="3" t="s">
        <v>31</v>
      </c>
      <c r="H1923">
        <v>150000</v>
      </c>
      <c r="I1923">
        <v>7</v>
      </c>
      <c r="J1923" s="3" t="s">
        <v>39</v>
      </c>
      <c r="K1923">
        <v>120000</v>
      </c>
      <c r="L1923">
        <v>1050000</v>
      </c>
      <c r="M1923">
        <v>840000</v>
      </c>
      <c r="N1923">
        <v>210000</v>
      </c>
      <c r="O1923" s="3" t="s">
        <v>2024</v>
      </c>
      <c r="P1923" s="3" t="s">
        <v>102</v>
      </c>
      <c r="Q1923" s="3" t="s">
        <v>103</v>
      </c>
      <c r="R1923" s="3" t="s">
        <v>103</v>
      </c>
    </row>
    <row r="1924" spans="1:18">
      <c r="A1924" s="19">
        <v>47598</v>
      </c>
      <c r="B1924" s="3" t="s">
        <v>25</v>
      </c>
      <c r="C1924" s="3" t="s">
        <v>19</v>
      </c>
      <c r="D1924" s="3" t="s">
        <v>23</v>
      </c>
      <c r="E1924" s="3" t="s">
        <v>20</v>
      </c>
      <c r="F1924" s="3" t="s">
        <v>41</v>
      </c>
      <c r="G1924" s="3" t="s">
        <v>22</v>
      </c>
      <c r="H1924">
        <v>220000</v>
      </c>
      <c r="I1924">
        <v>1</v>
      </c>
      <c r="J1924" s="3" t="s">
        <v>24</v>
      </c>
      <c r="K1924">
        <v>176000</v>
      </c>
      <c r="L1924">
        <v>220000</v>
      </c>
      <c r="M1924">
        <v>176000</v>
      </c>
      <c r="N1924">
        <v>44000</v>
      </c>
      <c r="O1924" s="3" t="s">
        <v>2025</v>
      </c>
      <c r="P1924" s="3" t="s">
        <v>102</v>
      </c>
      <c r="Q1924" s="3" t="s">
        <v>103</v>
      </c>
      <c r="R1924" s="3" t="s">
        <v>103</v>
      </c>
    </row>
    <row r="1925" spans="1:18">
      <c r="A1925" s="19">
        <v>47599</v>
      </c>
      <c r="B1925" s="3" t="s">
        <v>29</v>
      </c>
      <c r="C1925" s="3" t="s">
        <v>32</v>
      </c>
      <c r="D1925" s="3" t="s">
        <v>23</v>
      </c>
      <c r="E1925" s="3" t="s">
        <v>14</v>
      </c>
      <c r="F1925" s="3" t="s">
        <v>41</v>
      </c>
      <c r="G1925" s="3" t="s">
        <v>22</v>
      </c>
      <c r="H1925">
        <v>220000</v>
      </c>
      <c r="I1925">
        <v>7</v>
      </c>
      <c r="J1925" s="3" t="s">
        <v>24</v>
      </c>
      <c r="K1925">
        <v>176000</v>
      </c>
      <c r="L1925">
        <v>1540000</v>
      </c>
      <c r="M1925">
        <v>1232000</v>
      </c>
      <c r="N1925">
        <v>308000</v>
      </c>
      <c r="O1925" s="3" t="s">
        <v>2026</v>
      </c>
      <c r="P1925" s="3" t="s">
        <v>102</v>
      </c>
      <c r="Q1925" s="3" t="s">
        <v>103</v>
      </c>
      <c r="R1925" s="3" t="s">
        <v>103</v>
      </c>
    </row>
    <row r="1926" spans="1:18">
      <c r="A1926" s="19">
        <v>47600</v>
      </c>
      <c r="B1926" s="3" t="s">
        <v>25</v>
      </c>
      <c r="C1926" s="3" t="s">
        <v>32</v>
      </c>
      <c r="D1926" s="3" t="s">
        <v>23</v>
      </c>
      <c r="E1926" s="3" t="s">
        <v>20</v>
      </c>
      <c r="F1926" s="3" t="s">
        <v>36</v>
      </c>
      <c r="G1926" s="3" t="s">
        <v>31</v>
      </c>
      <c r="H1926">
        <v>150000</v>
      </c>
      <c r="I1926">
        <v>6</v>
      </c>
      <c r="J1926" s="3" t="s">
        <v>24</v>
      </c>
      <c r="K1926">
        <v>120000</v>
      </c>
      <c r="L1926">
        <v>900000</v>
      </c>
      <c r="M1926">
        <v>720000</v>
      </c>
      <c r="N1926">
        <v>180000</v>
      </c>
      <c r="O1926" s="3" t="s">
        <v>2027</v>
      </c>
      <c r="P1926" s="3" t="s">
        <v>102</v>
      </c>
      <c r="Q1926" s="3" t="s">
        <v>103</v>
      </c>
      <c r="R1926" s="3" t="s">
        <v>103</v>
      </c>
    </row>
    <row r="1927" spans="1:18">
      <c r="A1927" s="19">
        <v>47601</v>
      </c>
      <c r="B1927" s="3" t="s">
        <v>18</v>
      </c>
      <c r="C1927" s="3" t="s">
        <v>12</v>
      </c>
      <c r="D1927" s="3" t="s">
        <v>13</v>
      </c>
      <c r="E1927" s="3" t="s">
        <v>14</v>
      </c>
      <c r="F1927" s="3" t="s">
        <v>30</v>
      </c>
      <c r="G1927" s="3" t="s">
        <v>31</v>
      </c>
      <c r="H1927">
        <v>300000</v>
      </c>
      <c r="I1927">
        <v>8</v>
      </c>
      <c r="J1927" s="3" t="s">
        <v>28</v>
      </c>
      <c r="K1927">
        <v>240000</v>
      </c>
      <c r="L1927">
        <v>2400000</v>
      </c>
      <c r="M1927">
        <v>1920000</v>
      </c>
      <c r="N1927">
        <v>480000</v>
      </c>
      <c r="O1927" s="3" t="s">
        <v>2028</v>
      </c>
      <c r="P1927" s="3" t="s">
        <v>102</v>
      </c>
      <c r="Q1927" s="3" t="s">
        <v>103</v>
      </c>
      <c r="R1927" s="3" t="s">
        <v>103</v>
      </c>
    </row>
    <row r="1928" spans="1:18">
      <c r="A1928" s="19">
        <v>47602</v>
      </c>
      <c r="B1928" s="3" t="s">
        <v>18</v>
      </c>
      <c r="C1928" s="3" t="s">
        <v>32</v>
      </c>
      <c r="D1928" s="3" t="s">
        <v>23</v>
      </c>
      <c r="E1928" s="3" t="s">
        <v>20</v>
      </c>
      <c r="F1928" s="3" t="s">
        <v>38</v>
      </c>
      <c r="G1928" s="3" t="s">
        <v>31</v>
      </c>
      <c r="H1928">
        <v>420000</v>
      </c>
      <c r="I1928">
        <v>10</v>
      </c>
      <c r="J1928" s="3" t="s">
        <v>39</v>
      </c>
      <c r="K1928">
        <v>336000</v>
      </c>
      <c r="L1928">
        <v>4200000</v>
      </c>
      <c r="M1928">
        <v>3360000</v>
      </c>
      <c r="N1928">
        <v>840000</v>
      </c>
      <c r="O1928" s="3" t="s">
        <v>2029</v>
      </c>
      <c r="P1928" s="3" t="s">
        <v>102</v>
      </c>
      <c r="Q1928" s="3" t="s">
        <v>103</v>
      </c>
      <c r="R1928" s="3" t="s">
        <v>103</v>
      </c>
    </row>
    <row r="1929" spans="1:18">
      <c r="A1929" s="19">
        <v>47603</v>
      </c>
      <c r="B1929" s="3" t="s">
        <v>29</v>
      </c>
      <c r="C1929" s="3" t="s">
        <v>19</v>
      </c>
      <c r="D1929" s="3" t="s">
        <v>13</v>
      </c>
      <c r="E1929" s="3" t="s">
        <v>20</v>
      </c>
      <c r="F1929" s="3" t="s">
        <v>21</v>
      </c>
      <c r="G1929" s="3" t="s">
        <v>22</v>
      </c>
      <c r="H1929">
        <v>30000</v>
      </c>
      <c r="I1929">
        <v>1</v>
      </c>
      <c r="J1929" s="3" t="s">
        <v>24</v>
      </c>
      <c r="K1929">
        <v>24000</v>
      </c>
      <c r="L1929">
        <v>30000</v>
      </c>
      <c r="M1929">
        <v>24000</v>
      </c>
      <c r="N1929">
        <v>6000</v>
      </c>
      <c r="O1929" s="3" t="s">
        <v>2030</v>
      </c>
      <c r="P1929" s="3" t="s">
        <v>102</v>
      </c>
      <c r="Q1929" s="3" t="s">
        <v>103</v>
      </c>
      <c r="R1929" s="3" t="s">
        <v>103</v>
      </c>
    </row>
    <row r="1930" spans="1:18">
      <c r="A1930" s="19">
        <v>47604</v>
      </c>
      <c r="B1930" s="3" t="s">
        <v>18</v>
      </c>
      <c r="C1930" s="3" t="s">
        <v>12</v>
      </c>
      <c r="D1930" s="3" t="s">
        <v>23</v>
      </c>
      <c r="E1930" s="3" t="s">
        <v>14</v>
      </c>
      <c r="F1930" s="3" t="s">
        <v>38</v>
      </c>
      <c r="G1930" s="3" t="s">
        <v>31</v>
      </c>
      <c r="H1930">
        <v>420000</v>
      </c>
      <c r="I1930">
        <v>7</v>
      </c>
      <c r="J1930" s="3" t="s">
        <v>17</v>
      </c>
      <c r="K1930">
        <v>336000</v>
      </c>
      <c r="L1930">
        <v>2940000</v>
      </c>
      <c r="M1930">
        <v>2352000</v>
      </c>
      <c r="N1930">
        <v>588000</v>
      </c>
      <c r="O1930" s="3" t="s">
        <v>2031</v>
      </c>
      <c r="P1930" s="3" t="s">
        <v>102</v>
      </c>
      <c r="Q1930" s="3" t="s">
        <v>103</v>
      </c>
      <c r="R1930" s="3" t="s">
        <v>103</v>
      </c>
    </row>
    <row r="1931" spans="1:18">
      <c r="A1931" s="19">
        <v>47605</v>
      </c>
      <c r="B1931" s="3" t="s">
        <v>29</v>
      </c>
      <c r="C1931" s="3" t="s">
        <v>12</v>
      </c>
      <c r="D1931" s="3" t="s">
        <v>23</v>
      </c>
      <c r="E1931" s="3" t="s">
        <v>20</v>
      </c>
      <c r="F1931" s="3" t="s">
        <v>33</v>
      </c>
      <c r="G1931" s="3" t="s">
        <v>22</v>
      </c>
      <c r="H1931">
        <v>180000</v>
      </c>
      <c r="I1931">
        <v>6</v>
      </c>
      <c r="J1931" s="3" t="s">
        <v>35</v>
      </c>
      <c r="K1931">
        <v>144000</v>
      </c>
      <c r="L1931">
        <v>1080000</v>
      </c>
      <c r="M1931">
        <v>864000</v>
      </c>
      <c r="N1931">
        <v>216000</v>
      </c>
      <c r="O1931" s="3" t="s">
        <v>2032</v>
      </c>
      <c r="P1931" s="3" t="s">
        <v>102</v>
      </c>
      <c r="Q1931" s="3" t="s">
        <v>103</v>
      </c>
      <c r="R1931" s="3" t="s">
        <v>103</v>
      </c>
    </row>
    <row r="1932" spans="1:18">
      <c r="A1932" s="19">
        <v>47606</v>
      </c>
      <c r="B1932" s="3" t="s">
        <v>25</v>
      </c>
      <c r="C1932" s="3" t="s">
        <v>26</v>
      </c>
      <c r="D1932" s="3" t="s">
        <v>13</v>
      </c>
      <c r="E1932" s="3" t="s">
        <v>14</v>
      </c>
      <c r="F1932" s="3" t="s">
        <v>21</v>
      </c>
      <c r="G1932" s="3" t="s">
        <v>22</v>
      </c>
      <c r="H1932">
        <v>30000</v>
      </c>
      <c r="I1932">
        <v>10</v>
      </c>
      <c r="J1932" s="3" t="s">
        <v>39</v>
      </c>
      <c r="K1932">
        <v>24000</v>
      </c>
      <c r="L1932">
        <v>300000</v>
      </c>
      <c r="M1932">
        <v>240000</v>
      </c>
      <c r="N1932">
        <v>60000</v>
      </c>
      <c r="O1932" s="3" t="s">
        <v>2033</v>
      </c>
      <c r="P1932" s="3" t="s">
        <v>102</v>
      </c>
      <c r="Q1932" s="3" t="s">
        <v>103</v>
      </c>
      <c r="R1932" s="3" t="s">
        <v>103</v>
      </c>
    </row>
    <row r="1933" spans="1:18">
      <c r="A1933" s="19">
        <v>47607</v>
      </c>
      <c r="B1933" s="3" t="s">
        <v>11</v>
      </c>
      <c r="C1933" s="3" t="s">
        <v>12</v>
      </c>
      <c r="D1933" s="3" t="s">
        <v>13</v>
      </c>
      <c r="E1933" s="3" t="s">
        <v>20</v>
      </c>
      <c r="F1933" s="3" t="s">
        <v>41</v>
      </c>
      <c r="G1933" s="3" t="s">
        <v>22</v>
      </c>
      <c r="H1933">
        <v>220000</v>
      </c>
      <c r="I1933">
        <v>1</v>
      </c>
      <c r="J1933" s="3" t="s">
        <v>39</v>
      </c>
      <c r="K1933">
        <v>176000</v>
      </c>
      <c r="L1933">
        <v>220000</v>
      </c>
      <c r="M1933">
        <v>176000</v>
      </c>
      <c r="N1933">
        <v>44000</v>
      </c>
      <c r="O1933" s="3" t="s">
        <v>2034</v>
      </c>
      <c r="P1933" s="3" t="s">
        <v>102</v>
      </c>
      <c r="Q1933" s="3" t="s">
        <v>103</v>
      </c>
      <c r="R1933" s="3" t="s">
        <v>103</v>
      </c>
    </row>
    <row r="1934" spans="1:18">
      <c r="A1934" s="19">
        <v>47608</v>
      </c>
      <c r="B1934" s="3" t="s">
        <v>25</v>
      </c>
      <c r="C1934" s="3" t="s">
        <v>26</v>
      </c>
      <c r="D1934" s="3" t="s">
        <v>13</v>
      </c>
      <c r="E1934" s="3" t="s">
        <v>14</v>
      </c>
      <c r="F1934" s="3" t="s">
        <v>34</v>
      </c>
      <c r="G1934" s="3" t="s">
        <v>16</v>
      </c>
      <c r="H1934">
        <v>320000</v>
      </c>
      <c r="I1934">
        <v>6</v>
      </c>
      <c r="J1934" s="3" t="s">
        <v>35</v>
      </c>
      <c r="K1934">
        <v>256000</v>
      </c>
      <c r="L1934">
        <v>1920000</v>
      </c>
      <c r="M1934">
        <v>1536000</v>
      </c>
      <c r="N1934">
        <v>384000</v>
      </c>
      <c r="O1934" s="3" t="s">
        <v>2035</v>
      </c>
      <c r="P1934" s="3" t="s">
        <v>102</v>
      </c>
      <c r="Q1934" s="3" t="s">
        <v>103</v>
      </c>
      <c r="R1934" s="3" t="s">
        <v>103</v>
      </c>
    </row>
    <row r="1935" spans="1:18">
      <c r="A1935" s="19">
        <v>47609</v>
      </c>
      <c r="B1935" s="3" t="s">
        <v>25</v>
      </c>
      <c r="C1935" s="3" t="s">
        <v>32</v>
      </c>
      <c r="D1935" s="3" t="s">
        <v>23</v>
      </c>
      <c r="E1935" s="3" t="s">
        <v>20</v>
      </c>
      <c r="F1935" s="3" t="s">
        <v>27</v>
      </c>
      <c r="G1935" s="3" t="s">
        <v>22</v>
      </c>
      <c r="H1935">
        <v>60000</v>
      </c>
      <c r="I1935">
        <v>10</v>
      </c>
      <c r="J1935" s="3" t="s">
        <v>24</v>
      </c>
      <c r="K1935">
        <v>48000</v>
      </c>
      <c r="L1935">
        <v>600000</v>
      </c>
      <c r="M1935">
        <v>480000</v>
      </c>
      <c r="N1935">
        <v>120000</v>
      </c>
      <c r="O1935" s="3" t="s">
        <v>2036</v>
      </c>
      <c r="P1935" s="3" t="s">
        <v>102</v>
      </c>
      <c r="Q1935" s="3" t="s">
        <v>103</v>
      </c>
      <c r="R1935" s="3" t="s">
        <v>103</v>
      </c>
    </row>
    <row r="1936" spans="1:18">
      <c r="A1936" s="19">
        <v>47610</v>
      </c>
      <c r="B1936" s="3" t="s">
        <v>11</v>
      </c>
      <c r="C1936" s="3" t="s">
        <v>32</v>
      </c>
      <c r="D1936" s="3" t="s">
        <v>13</v>
      </c>
      <c r="E1936" s="3" t="s">
        <v>14</v>
      </c>
      <c r="F1936" s="3" t="s">
        <v>15</v>
      </c>
      <c r="G1936" s="3" t="s">
        <v>16</v>
      </c>
      <c r="H1936">
        <v>85000</v>
      </c>
      <c r="I1936">
        <v>7</v>
      </c>
      <c r="J1936" s="3" t="s">
        <v>39</v>
      </c>
      <c r="K1936">
        <v>68000</v>
      </c>
      <c r="L1936">
        <v>595000</v>
      </c>
      <c r="M1936">
        <v>476000</v>
      </c>
      <c r="N1936">
        <v>119000</v>
      </c>
      <c r="O1936" s="3" t="s">
        <v>2037</v>
      </c>
      <c r="P1936" s="3" t="s">
        <v>102</v>
      </c>
      <c r="Q1936" s="3" t="s">
        <v>103</v>
      </c>
      <c r="R1936" s="3" t="s">
        <v>103</v>
      </c>
    </row>
    <row r="1937" spans="1:18">
      <c r="A1937" s="19">
        <v>47611</v>
      </c>
      <c r="B1937" s="3" t="s">
        <v>18</v>
      </c>
      <c r="C1937" s="3" t="s">
        <v>32</v>
      </c>
      <c r="D1937" s="3" t="s">
        <v>23</v>
      </c>
      <c r="E1937" s="3" t="s">
        <v>14</v>
      </c>
      <c r="F1937" s="3" t="s">
        <v>40</v>
      </c>
      <c r="G1937" s="3" t="s">
        <v>31</v>
      </c>
      <c r="H1937">
        <v>250000</v>
      </c>
      <c r="I1937">
        <v>1</v>
      </c>
      <c r="J1937" s="3" t="s">
        <v>39</v>
      </c>
      <c r="K1937">
        <v>200000</v>
      </c>
      <c r="L1937">
        <v>250000</v>
      </c>
      <c r="M1937">
        <v>200000</v>
      </c>
      <c r="N1937">
        <v>50000</v>
      </c>
      <c r="O1937" s="3" t="s">
        <v>2038</v>
      </c>
      <c r="P1937" s="3" t="s">
        <v>102</v>
      </c>
      <c r="Q1937" s="3" t="s">
        <v>103</v>
      </c>
      <c r="R1937" s="3" t="s">
        <v>103</v>
      </c>
    </row>
    <row r="1938" spans="1:18">
      <c r="A1938" s="19">
        <v>47612</v>
      </c>
      <c r="B1938" s="3" t="s">
        <v>29</v>
      </c>
      <c r="C1938" s="3" t="s">
        <v>32</v>
      </c>
      <c r="D1938" s="3" t="s">
        <v>23</v>
      </c>
      <c r="E1938" s="3" t="s">
        <v>20</v>
      </c>
      <c r="F1938" s="3" t="s">
        <v>41</v>
      </c>
      <c r="G1938" s="3" t="s">
        <v>22</v>
      </c>
      <c r="H1938">
        <v>220000</v>
      </c>
      <c r="I1938">
        <v>8</v>
      </c>
      <c r="J1938" s="3" t="s">
        <v>24</v>
      </c>
      <c r="K1938">
        <v>176000</v>
      </c>
      <c r="L1938">
        <v>1760000</v>
      </c>
      <c r="M1938">
        <v>1408000</v>
      </c>
      <c r="N1938">
        <v>352000</v>
      </c>
      <c r="O1938" s="3" t="s">
        <v>2039</v>
      </c>
      <c r="P1938" s="3" t="s">
        <v>102</v>
      </c>
      <c r="Q1938" s="3" t="s">
        <v>103</v>
      </c>
      <c r="R1938" s="3" t="s">
        <v>103</v>
      </c>
    </row>
    <row r="1939" spans="1:18">
      <c r="A1939" s="19">
        <v>47613</v>
      </c>
      <c r="B1939" s="3" t="s">
        <v>29</v>
      </c>
      <c r="C1939" s="3" t="s">
        <v>19</v>
      </c>
      <c r="D1939" s="3" t="s">
        <v>13</v>
      </c>
      <c r="E1939" s="3" t="s">
        <v>14</v>
      </c>
      <c r="F1939" s="3" t="s">
        <v>40</v>
      </c>
      <c r="G1939" s="3" t="s">
        <v>31</v>
      </c>
      <c r="H1939">
        <v>250000</v>
      </c>
      <c r="I1939">
        <v>6</v>
      </c>
      <c r="J1939" s="3" t="s">
        <v>35</v>
      </c>
      <c r="K1939">
        <v>200000</v>
      </c>
      <c r="L1939">
        <v>1500000</v>
      </c>
      <c r="M1939">
        <v>1200000</v>
      </c>
      <c r="N1939">
        <v>300000</v>
      </c>
      <c r="O1939" s="3" t="s">
        <v>2040</v>
      </c>
      <c r="P1939" s="3" t="s">
        <v>102</v>
      </c>
      <c r="Q1939" s="3" t="s">
        <v>103</v>
      </c>
      <c r="R1939" s="3" t="s">
        <v>103</v>
      </c>
    </row>
    <row r="1940" spans="1:18">
      <c r="A1940" s="19">
        <v>47614</v>
      </c>
      <c r="B1940" s="3" t="s">
        <v>29</v>
      </c>
      <c r="C1940" s="3" t="s">
        <v>32</v>
      </c>
      <c r="D1940" s="3" t="s">
        <v>13</v>
      </c>
      <c r="E1940" s="3" t="s">
        <v>14</v>
      </c>
      <c r="F1940" s="3" t="s">
        <v>15</v>
      </c>
      <c r="G1940" s="3" t="s">
        <v>16</v>
      </c>
      <c r="H1940">
        <v>85000</v>
      </c>
      <c r="I1940">
        <v>7</v>
      </c>
      <c r="J1940" s="3" t="s">
        <v>35</v>
      </c>
      <c r="K1940">
        <v>68000</v>
      </c>
      <c r="L1940">
        <v>595000</v>
      </c>
      <c r="M1940">
        <v>476000</v>
      </c>
      <c r="N1940">
        <v>119000</v>
      </c>
      <c r="O1940" s="3" t="s">
        <v>2041</v>
      </c>
      <c r="P1940" s="3" t="s">
        <v>102</v>
      </c>
      <c r="Q1940" s="3" t="s">
        <v>103</v>
      </c>
      <c r="R1940" s="3" t="s">
        <v>103</v>
      </c>
    </row>
    <row r="1941" spans="1:18">
      <c r="A1941" s="19">
        <v>47615</v>
      </c>
      <c r="B1941" s="3" t="s">
        <v>25</v>
      </c>
      <c r="C1941" s="3" t="s">
        <v>26</v>
      </c>
      <c r="D1941" s="3" t="s">
        <v>13</v>
      </c>
      <c r="E1941" s="3" t="s">
        <v>20</v>
      </c>
      <c r="F1941" s="3" t="s">
        <v>15</v>
      </c>
      <c r="G1941" s="3" t="s">
        <v>16</v>
      </c>
      <c r="H1941">
        <v>85000</v>
      </c>
      <c r="I1941">
        <v>4</v>
      </c>
      <c r="J1941" s="3" t="s">
        <v>28</v>
      </c>
      <c r="K1941">
        <v>68000</v>
      </c>
      <c r="L1941">
        <v>340000</v>
      </c>
      <c r="M1941">
        <v>272000</v>
      </c>
      <c r="N1941">
        <v>68000</v>
      </c>
      <c r="O1941" s="3" t="s">
        <v>2042</v>
      </c>
      <c r="P1941" s="3" t="s">
        <v>102</v>
      </c>
      <c r="Q1941" s="3" t="s">
        <v>103</v>
      </c>
      <c r="R1941" s="3" t="s">
        <v>103</v>
      </c>
    </row>
    <row r="1942" spans="1:18">
      <c r="A1942" s="19">
        <v>47616</v>
      </c>
      <c r="B1942" s="3" t="s">
        <v>18</v>
      </c>
      <c r="C1942" s="3" t="s">
        <v>32</v>
      </c>
      <c r="D1942" s="3" t="s">
        <v>23</v>
      </c>
      <c r="E1942" s="3" t="s">
        <v>20</v>
      </c>
      <c r="F1942" s="3" t="s">
        <v>38</v>
      </c>
      <c r="G1942" s="3" t="s">
        <v>31</v>
      </c>
      <c r="H1942">
        <v>420000</v>
      </c>
      <c r="I1942">
        <v>6</v>
      </c>
      <c r="J1942" s="3" t="s">
        <v>17</v>
      </c>
      <c r="K1942">
        <v>336000</v>
      </c>
      <c r="L1942">
        <v>2520000</v>
      </c>
      <c r="M1942">
        <v>2016000</v>
      </c>
      <c r="N1942">
        <v>504000</v>
      </c>
      <c r="O1942" s="3" t="s">
        <v>2043</v>
      </c>
      <c r="P1942" s="3" t="s">
        <v>102</v>
      </c>
      <c r="Q1942" s="3" t="s">
        <v>103</v>
      </c>
      <c r="R1942" s="3" t="s">
        <v>103</v>
      </c>
    </row>
    <row r="1943" spans="1:18">
      <c r="A1943" s="19">
        <v>47617</v>
      </c>
      <c r="B1943" s="3" t="s">
        <v>18</v>
      </c>
      <c r="C1943" s="3" t="s">
        <v>12</v>
      </c>
      <c r="D1943" s="3" t="s">
        <v>23</v>
      </c>
      <c r="E1943" s="3" t="s">
        <v>20</v>
      </c>
      <c r="F1943" s="3" t="s">
        <v>40</v>
      </c>
      <c r="G1943" s="3" t="s">
        <v>31</v>
      </c>
      <c r="H1943">
        <v>250000</v>
      </c>
      <c r="I1943">
        <v>4</v>
      </c>
      <c r="J1943" s="3" t="s">
        <v>28</v>
      </c>
      <c r="K1943">
        <v>200000</v>
      </c>
      <c r="L1943">
        <v>1000000</v>
      </c>
      <c r="M1943">
        <v>800000</v>
      </c>
      <c r="N1943">
        <v>200000</v>
      </c>
      <c r="O1943" s="3" t="s">
        <v>2044</v>
      </c>
      <c r="P1943" s="3" t="s">
        <v>102</v>
      </c>
      <c r="Q1943" s="3" t="s">
        <v>103</v>
      </c>
      <c r="R1943" s="3" t="s">
        <v>103</v>
      </c>
    </row>
    <row r="1944" spans="1:18">
      <c r="A1944" s="19">
        <v>47618</v>
      </c>
      <c r="B1944" s="3" t="s">
        <v>11</v>
      </c>
      <c r="C1944" s="3" t="s">
        <v>12</v>
      </c>
      <c r="D1944" s="3" t="s">
        <v>13</v>
      </c>
      <c r="E1944" s="3" t="s">
        <v>20</v>
      </c>
      <c r="F1944" s="3" t="s">
        <v>21</v>
      </c>
      <c r="G1944" s="3" t="s">
        <v>22</v>
      </c>
      <c r="H1944">
        <v>30000</v>
      </c>
      <c r="I1944">
        <v>3</v>
      </c>
      <c r="J1944" s="3" t="s">
        <v>37</v>
      </c>
      <c r="K1944">
        <v>24000</v>
      </c>
      <c r="L1944">
        <v>90000</v>
      </c>
      <c r="M1944">
        <v>72000</v>
      </c>
      <c r="N1944">
        <v>18000</v>
      </c>
      <c r="O1944" s="3" t="s">
        <v>2045</v>
      </c>
      <c r="P1944" s="3" t="s">
        <v>102</v>
      </c>
      <c r="Q1944" s="3" t="s">
        <v>103</v>
      </c>
      <c r="R1944" s="3" t="s">
        <v>103</v>
      </c>
    </row>
    <row r="1945" spans="1:18">
      <c r="A1945" s="19">
        <v>47619</v>
      </c>
      <c r="B1945" s="3" t="s">
        <v>29</v>
      </c>
      <c r="C1945" s="3" t="s">
        <v>32</v>
      </c>
      <c r="D1945" s="3" t="s">
        <v>23</v>
      </c>
      <c r="E1945" s="3" t="s">
        <v>14</v>
      </c>
      <c r="F1945" s="3" t="s">
        <v>34</v>
      </c>
      <c r="G1945" s="3" t="s">
        <v>16</v>
      </c>
      <c r="H1945">
        <v>320000</v>
      </c>
      <c r="I1945">
        <v>9</v>
      </c>
      <c r="J1945" s="3" t="s">
        <v>35</v>
      </c>
      <c r="K1945">
        <v>256000</v>
      </c>
      <c r="L1945">
        <v>2880000</v>
      </c>
      <c r="M1945">
        <v>2304000</v>
      </c>
      <c r="N1945">
        <v>576000</v>
      </c>
      <c r="O1945" s="3" t="s">
        <v>2046</v>
      </c>
      <c r="P1945" s="3" t="s">
        <v>102</v>
      </c>
      <c r="Q1945" s="3" t="s">
        <v>103</v>
      </c>
      <c r="R1945" s="3" t="s">
        <v>103</v>
      </c>
    </row>
    <row r="1946" spans="1:18">
      <c r="A1946" s="19">
        <v>47620</v>
      </c>
      <c r="B1946" s="3" t="s">
        <v>29</v>
      </c>
      <c r="C1946" s="3" t="s">
        <v>12</v>
      </c>
      <c r="D1946" s="3" t="s">
        <v>13</v>
      </c>
      <c r="E1946" s="3" t="s">
        <v>20</v>
      </c>
      <c r="F1946" s="3" t="s">
        <v>41</v>
      </c>
      <c r="G1946" s="3" t="s">
        <v>22</v>
      </c>
      <c r="H1946">
        <v>220000</v>
      </c>
      <c r="I1946">
        <v>7</v>
      </c>
      <c r="J1946" s="3" t="s">
        <v>28</v>
      </c>
      <c r="K1946">
        <v>176000</v>
      </c>
      <c r="L1946">
        <v>1540000</v>
      </c>
      <c r="M1946">
        <v>1232000</v>
      </c>
      <c r="N1946">
        <v>308000</v>
      </c>
      <c r="O1946" s="3" t="s">
        <v>2047</v>
      </c>
      <c r="P1946" s="3" t="s">
        <v>102</v>
      </c>
      <c r="Q1946" s="3" t="s">
        <v>103</v>
      </c>
      <c r="R1946" s="3" t="s">
        <v>103</v>
      </c>
    </row>
    <row r="1947" spans="1:18">
      <c r="A1947" s="19">
        <v>47621</v>
      </c>
      <c r="B1947" s="3" t="s">
        <v>25</v>
      </c>
      <c r="C1947" s="3" t="s">
        <v>19</v>
      </c>
      <c r="D1947" s="3" t="s">
        <v>23</v>
      </c>
      <c r="E1947" s="3" t="s">
        <v>14</v>
      </c>
      <c r="F1947" s="3" t="s">
        <v>36</v>
      </c>
      <c r="G1947" s="3" t="s">
        <v>31</v>
      </c>
      <c r="H1947">
        <v>150000</v>
      </c>
      <c r="I1947">
        <v>5</v>
      </c>
      <c r="J1947" s="3" t="s">
        <v>17</v>
      </c>
      <c r="K1947">
        <v>120000</v>
      </c>
      <c r="L1947">
        <v>750000</v>
      </c>
      <c r="M1947">
        <v>600000</v>
      </c>
      <c r="N1947">
        <v>150000</v>
      </c>
      <c r="O1947" s="3" t="s">
        <v>2048</v>
      </c>
      <c r="P1947" s="3" t="s">
        <v>102</v>
      </c>
      <c r="Q1947" s="3" t="s">
        <v>103</v>
      </c>
      <c r="R1947" s="3" t="s">
        <v>103</v>
      </c>
    </row>
    <row r="1948" spans="1:18">
      <c r="A1948" s="19">
        <v>47622</v>
      </c>
      <c r="B1948" s="3" t="s">
        <v>25</v>
      </c>
      <c r="C1948" s="3" t="s">
        <v>12</v>
      </c>
      <c r="D1948" s="3" t="s">
        <v>23</v>
      </c>
      <c r="E1948" s="3" t="s">
        <v>20</v>
      </c>
      <c r="F1948" s="3" t="s">
        <v>15</v>
      </c>
      <c r="G1948" s="3" t="s">
        <v>16</v>
      </c>
      <c r="H1948">
        <v>85000</v>
      </c>
      <c r="I1948">
        <v>9</v>
      </c>
      <c r="J1948" s="3" t="s">
        <v>35</v>
      </c>
      <c r="K1948">
        <v>68000</v>
      </c>
      <c r="L1948">
        <v>765000</v>
      </c>
      <c r="M1948">
        <v>612000</v>
      </c>
      <c r="N1948">
        <v>153000</v>
      </c>
      <c r="O1948" s="3" t="s">
        <v>2049</v>
      </c>
      <c r="P1948" s="3" t="s">
        <v>102</v>
      </c>
      <c r="Q1948" s="3" t="s">
        <v>103</v>
      </c>
      <c r="R1948" s="3" t="s">
        <v>103</v>
      </c>
    </row>
    <row r="1949" spans="1:18">
      <c r="A1949" s="19">
        <v>47623</v>
      </c>
      <c r="B1949" s="3" t="s">
        <v>29</v>
      </c>
      <c r="C1949" s="3" t="s">
        <v>32</v>
      </c>
      <c r="D1949" s="3" t="s">
        <v>23</v>
      </c>
      <c r="E1949" s="3" t="s">
        <v>14</v>
      </c>
      <c r="F1949" s="3" t="s">
        <v>40</v>
      </c>
      <c r="G1949" s="3" t="s">
        <v>31</v>
      </c>
      <c r="H1949">
        <v>250000</v>
      </c>
      <c r="I1949">
        <v>10</v>
      </c>
      <c r="J1949" s="3" t="s">
        <v>17</v>
      </c>
      <c r="K1949">
        <v>200000</v>
      </c>
      <c r="L1949">
        <v>2500000</v>
      </c>
      <c r="M1949">
        <v>2000000</v>
      </c>
      <c r="N1949">
        <v>500000</v>
      </c>
      <c r="O1949" s="3" t="s">
        <v>2050</v>
      </c>
      <c r="P1949" s="3" t="s">
        <v>102</v>
      </c>
      <c r="Q1949" s="3" t="s">
        <v>103</v>
      </c>
      <c r="R1949" s="3" t="s">
        <v>103</v>
      </c>
    </row>
    <row r="1950" spans="1:18">
      <c r="A1950" s="19">
        <v>47624</v>
      </c>
      <c r="B1950" s="3" t="s">
        <v>18</v>
      </c>
      <c r="C1950" s="3" t="s">
        <v>12</v>
      </c>
      <c r="D1950" s="3" t="s">
        <v>23</v>
      </c>
      <c r="E1950" s="3" t="s">
        <v>14</v>
      </c>
      <c r="F1950" s="3" t="s">
        <v>15</v>
      </c>
      <c r="G1950" s="3" t="s">
        <v>16</v>
      </c>
      <c r="H1950">
        <v>85000</v>
      </c>
      <c r="I1950">
        <v>7</v>
      </c>
      <c r="J1950" s="3" t="s">
        <v>24</v>
      </c>
      <c r="K1950">
        <v>68000</v>
      </c>
      <c r="L1950">
        <v>595000</v>
      </c>
      <c r="M1950">
        <v>476000</v>
      </c>
      <c r="N1950">
        <v>119000</v>
      </c>
      <c r="O1950" s="3" t="s">
        <v>2051</v>
      </c>
      <c r="P1950" s="3" t="s">
        <v>102</v>
      </c>
      <c r="Q1950" s="3" t="s">
        <v>103</v>
      </c>
      <c r="R1950" s="3" t="s">
        <v>103</v>
      </c>
    </row>
    <row r="1951" spans="1:18">
      <c r="A1951" s="19">
        <v>47625</v>
      </c>
      <c r="B1951" s="3" t="s">
        <v>18</v>
      </c>
      <c r="C1951" s="3" t="s">
        <v>19</v>
      </c>
      <c r="D1951" s="3" t="s">
        <v>13</v>
      </c>
      <c r="E1951" s="3" t="s">
        <v>14</v>
      </c>
      <c r="F1951" s="3" t="s">
        <v>30</v>
      </c>
      <c r="G1951" s="3" t="s">
        <v>31</v>
      </c>
      <c r="H1951">
        <v>300000</v>
      </c>
      <c r="I1951">
        <v>6</v>
      </c>
      <c r="J1951" s="3" t="s">
        <v>37</v>
      </c>
      <c r="K1951">
        <v>240000</v>
      </c>
      <c r="L1951">
        <v>1800000</v>
      </c>
      <c r="M1951">
        <v>1440000</v>
      </c>
      <c r="N1951">
        <v>360000</v>
      </c>
      <c r="O1951" s="3" t="s">
        <v>2052</v>
      </c>
      <c r="P1951" s="3" t="s">
        <v>102</v>
      </c>
      <c r="Q1951" s="3" t="s">
        <v>103</v>
      </c>
      <c r="R1951" s="3" t="s">
        <v>103</v>
      </c>
    </row>
    <row r="1952" spans="1:18">
      <c r="A1952" s="19">
        <v>47626</v>
      </c>
      <c r="B1952" s="3" t="s">
        <v>11</v>
      </c>
      <c r="C1952" s="3" t="s">
        <v>12</v>
      </c>
      <c r="D1952" s="3" t="s">
        <v>13</v>
      </c>
      <c r="E1952" s="3" t="s">
        <v>20</v>
      </c>
      <c r="F1952" s="3" t="s">
        <v>30</v>
      </c>
      <c r="G1952" s="3" t="s">
        <v>31</v>
      </c>
      <c r="H1952">
        <v>300000</v>
      </c>
      <c r="I1952">
        <v>10</v>
      </c>
      <c r="J1952" s="3" t="s">
        <v>24</v>
      </c>
      <c r="K1952">
        <v>240000</v>
      </c>
      <c r="L1952">
        <v>3000000</v>
      </c>
      <c r="M1952">
        <v>2400000</v>
      </c>
      <c r="N1952">
        <v>600000</v>
      </c>
      <c r="O1952" s="3" t="s">
        <v>2053</v>
      </c>
      <c r="P1952" s="3" t="s">
        <v>102</v>
      </c>
      <c r="Q1952" s="3" t="s">
        <v>103</v>
      </c>
      <c r="R1952" s="3" t="s">
        <v>103</v>
      </c>
    </row>
    <row r="1953" spans="1:18">
      <c r="A1953" s="19">
        <v>47627</v>
      </c>
      <c r="B1953" s="3" t="s">
        <v>18</v>
      </c>
      <c r="C1953" s="3" t="s">
        <v>19</v>
      </c>
      <c r="D1953" s="3" t="s">
        <v>23</v>
      </c>
      <c r="E1953" s="3" t="s">
        <v>14</v>
      </c>
      <c r="F1953" s="3" t="s">
        <v>33</v>
      </c>
      <c r="G1953" s="3" t="s">
        <v>22</v>
      </c>
      <c r="H1953">
        <v>180000</v>
      </c>
      <c r="I1953">
        <v>1</v>
      </c>
      <c r="J1953" s="3" t="s">
        <v>28</v>
      </c>
      <c r="K1953">
        <v>144000</v>
      </c>
      <c r="L1953">
        <v>180000</v>
      </c>
      <c r="M1953">
        <v>144000</v>
      </c>
      <c r="N1953">
        <v>36000</v>
      </c>
      <c r="O1953" s="3" t="s">
        <v>2054</v>
      </c>
      <c r="P1953" s="3" t="s">
        <v>102</v>
      </c>
      <c r="Q1953" s="3" t="s">
        <v>103</v>
      </c>
      <c r="R1953" s="3" t="s">
        <v>103</v>
      </c>
    </row>
    <row r="1954" spans="1:18">
      <c r="A1954" s="19">
        <v>47628</v>
      </c>
      <c r="B1954" s="3" t="s">
        <v>25</v>
      </c>
      <c r="C1954" s="3" t="s">
        <v>32</v>
      </c>
      <c r="D1954" s="3" t="s">
        <v>13</v>
      </c>
      <c r="E1954" s="3" t="s">
        <v>14</v>
      </c>
      <c r="F1954" s="3" t="s">
        <v>36</v>
      </c>
      <c r="G1954" s="3" t="s">
        <v>31</v>
      </c>
      <c r="H1954">
        <v>150000</v>
      </c>
      <c r="I1954">
        <v>7</v>
      </c>
      <c r="J1954" s="3" t="s">
        <v>37</v>
      </c>
      <c r="K1954">
        <v>120000</v>
      </c>
      <c r="L1954">
        <v>1050000</v>
      </c>
      <c r="M1954">
        <v>840000</v>
      </c>
      <c r="N1954">
        <v>210000</v>
      </c>
      <c r="O1954" s="3" t="s">
        <v>2055</v>
      </c>
      <c r="P1954" s="3" t="s">
        <v>102</v>
      </c>
      <c r="Q1954" s="3" t="s">
        <v>103</v>
      </c>
      <c r="R1954" s="3" t="s">
        <v>103</v>
      </c>
    </row>
    <row r="1955" spans="1:18">
      <c r="A1955" s="19">
        <v>47629</v>
      </c>
      <c r="B1955" s="3" t="s">
        <v>29</v>
      </c>
      <c r="C1955" s="3" t="s">
        <v>12</v>
      </c>
      <c r="D1955" s="3" t="s">
        <v>13</v>
      </c>
      <c r="E1955" s="3" t="s">
        <v>14</v>
      </c>
      <c r="F1955" s="3" t="s">
        <v>41</v>
      </c>
      <c r="G1955" s="3" t="s">
        <v>22</v>
      </c>
      <c r="H1955">
        <v>220000</v>
      </c>
      <c r="I1955">
        <v>5</v>
      </c>
      <c r="J1955" s="3" t="s">
        <v>24</v>
      </c>
      <c r="K1955">
        <v>176000</v>
      </c>
      <c r="L1955">
        <v>1100000</v>
      </c>
      <c r="M1955">
        <v>880000</v>
      </c>
      <c r="N1955">
        <v>220000</v>
      </c>
      <c r="O1955" s="3" t="s">
        <v>2056</v>
      </c>
      <c r="P1955" s="3" t="s">
        <v>102</v>
      </c>
      <c r="Q1955" s="3" t="s">
        <v>103</v>
      </c>
      <c r="R1955" s="3" t="s">
        <v>103</v>
      </c>
    </row>
    <row r="1956" spans="1:18">
      <c r="A1956" s="19">
        <v>47630</v>
      </c>
      <c r="B1956" s="3" t="s">
        <v>18</v>
      </c>
      <c r="C1956" s="3" t="s">
        <v>12</v>
      </c>
      <c r="D1956" s="3" t="s">
        <v>13</v>
      </c>
      <c r="E1956" s="3" t="s">
        <v>14</v>
      </c>
      <c r="F1956" s="3" t="s">
        <v>38</v>
      </c>
      <c r="G1956" s="3" t="s">
        <v>31</v>
      </c>
      <c r="H1956">
        <v>420000</v>
      </c>
      <c r="I1956">
        <v>2</v>
      </c>
      <c r="J1956" s="3" t="s">
        <v>37</v>
      </c>
      <c r="K1956">
        <v>336000</v>
      </c>
      <c r="L1956">
        <v>840000</v>
      </c>
      <c r="M1956">
        <v>672000</v>
      </c>
      <c r="N1956">
        <v>168000</v>
      </c>
      <c r="O1956" s="3" t="s">
        <v>2057</v>
      </c>
      <c r="P1956" s="3" t="s">
        <v>102</v>
      </c>
      <c r="Q1956" s="3" t="s">
        <v>103</v>
      </c>
      <c r="R1956" s="3" t="s">
        <v>103</v>
      </c>
    </row>
    <row r="1957" spans="1:18">
      <c r="A1957" s="19">
        <v>47631</v>
      </c>
      <c r="B1957" s="3" t="s">
        <v>11</v>
      </c>
      <c r="C1957" s="3" t="s">
        <v>26</v>
      </c>
      <c r="D1957" s="3" t="s">
        <v>13</v>
      </c>
      <c r="E1957" s="3" t="s">
        <v>14</v>
      </c>
      <c r="F1957" s="3" t="s">
        <v>33</v>
      </c>
      <c r="G1957" s="3" t="s">
        <v>22</v>
      </c>
      <c r="H1957">
        <v>180000</v>
      </c>
      <c r="I1957">
        <v>9</v>
      </c>
      <c r="J1957" s="3" t="s">
        <v>35</v>
      </c>
      <c r="K1957">
        <v>144000</v>
      </c>
      <c r="L1957">
        <v>1620000</v>
      </c>
      <c r="M1957">
        <v>1296000</v>
      </c>
      <c r="N1957">
        <v>324000</v>
      </c>
      <c r="O1957" s="3" t="s">
        <v>2058</v>
      </c>
      <c r="P1957" s="3" t="s">
        <v>102</v>
      </c>
      <c r="Q1957" s="3" t="s">
        <v>103</v>
      </c>
      <c r="R1957" s="3" t="s">
        <v>103</v>
      </c>
    </row>
    <row r="1958" spans="1:18">
      <c r="A1958" s="19">
        <v>47632</v>
      </c>
      <c r="B1958" s="3" t="s">
        <v>29</v>
      </c>
      <c r="C1958" s="3" t="s">
        <v>32</v>
      </c>
      <c r="D1958" s="3" t="s">
        <v>13</v>
      </c>
      <c r="E1958" s="3" t="s">
        <v>14</v>
      </c>
      <c r="F1958" s="3" t="s">
        <v>41</v>
      </c>
      <c r="G1958" s="3" t="s">
        <v>22</v>
      </c>
      <c r="H1958">
        <v>220000</v>
      </c>
      <c r="I1958">
        <v>5</v>
      </c>
      <c r="J1958" s="3" t="s">
        <v>35</v>
      </c>
      <c r="K1958">
        <v>176000</v>
      </c>
      <c r="L1958">
        <v>1100000</v>
      </c>
      <c r="M1958">
        <v>880000</v>
      </c>
      <c r="N1958">
        <v>220000</v>
      </c>
      <c r="O1958" s="3" t="s">
        <v>2059</v>
      </c>
      <c r="P1958" s="3" t="s">
        <v>102</v>
      </c>
      <c r="Q1958" s="3" t="s">
        <v>103</v>
      </c>
      <c r="R1958" s="3" t="s">
        <v>103</v>
      </c>
    </row>
    <row r="1959" spans="1:18">
      <c r="A1959" s="19">
        <v>47633</v>
      </c>
      <c r="B1959" s="3" t="s">
        <v>29</v>
      </c>
      <c r="C1959" s="3" t="s">
        <v>26</v>
      </c>
      <c r="D1959" s="3" t="s">
        <v>13</v>
      </c>
      <c r="E1959" s="3" t="s">
        <v>14</v>
      </c>
      <c r="F1959" s="3" t="s">
        <v>33</v>
      </c>
      <c r="G1959" s="3" t="s">
        <v>22</v>
      </c>
      <c r="H1959">
        <v>180000</v>
      </c>
      <c r="I1959">
        <v>1</v>
      </c>
      <c r="J1959" s="3" t="s">
        <v>39</v>
      </c>
      <c r="K1959">
        <v>144000</v>
      </c>
      <c r="L1959">
        <v>180000</v>
      </c>
      <c r="M1959">
        <v>144000</v>
      </c>
      <c r="N1959">
        <v>36000</v>
      </c>
      <c r="O1959" s="3" t="s">
        <v>2060</v>
      </c>
      <c r="P1959" s="3" t="s">
        <v>102</v>
      </c>
      <c r="Q1959" s="3" t="s">
        <v>103</v>
      </c>
      <c r="R1959" s="3" t="s">
        <v>103</v>
      </c>
    </row>
    <row r="1960" spans="1:18">
      <c r="A1960" s="19">
        <v>47634</v>
      </c>
      <c r="B1960" s="3" t="s">
        <v>18</v>
      </c>
      <c r="C1960" s="3" t="s">
        <v>26</v>
      </c>
      <c r="D1960" s="3" t="s">
        <v>23</v>
      </c>
      <c r="E1960" s="3" t="s">
        <v>20</v>
      </c>
      <c r="F1960" s="3" t="s">
        <v>27</v>
      </c>
      <c r="G1960" s="3" t="s">
        <v>22</v>
      </c>
      <c r="H1960">
        <v>60000</v>
      </c>
      <c r="I1960">
        <v>2</v>
      </c>
      <c r="J1960" s="3" t="s">
        <v>39</v>
      </c>
      <c r="K1960">
        <v>48000</v>
      </c>
      <c r="L1960">
        <v>120000</v>
      </c>
      <c r="M1960">
        <v>96000</v>
      </c>
      <c r="N1960">
        <v>24000</v>
      </c>
      <c r="O1960" s="3" t="s">
        <v>2061</v>
      </c>
      <c r="P1960" s="3" t="s">
        <v>102</v>
      </c>
      <c r="Q1960" s="3" t="s">
        <v>103</v>
      </c>
      <c r="R1960" s="3" t="s">
        <v>103</v>
      </c>
    </row>
    <row r="1961" spans="1:18">
      <c r="A1961" s="19">
        <v>47635</v>
      </c>
      <c r="B1961" s="3" t="s">
        <v>29</v>
      </c>
      <c r="C1961" s="3" t="s">
        <v>26</v>
      </c>
      <c r="D1961" s="3" t="s">
        <v>13</v>
      </c>
      <c r="E1961" s="3" t="s">
        <v>14</v>
      </c>
      <c r="F1961" s="3" t="s">
        <v>30</v>
      </c>
      <c r="G1961" s="3" t="s">
        <v>31</v>
      </c>
      <c r="H1961">
        <v>300000</v>
      </c>
      <c r="I1961">
        <v>5</v>
      </c>
      <c r="J1961" s="3" t="s">
        <v>24</v>
      </c>
      <c r="K1961">
        <v>240000</v>
      </c>
      <c r="L1961">
        <v>1500000</v>
      </c>
      <c r="M1961">
        <v>1200000</v>
      </c>
      <c r="N1961">
        <v>300000</v>
      </c>
      <c r="O1961" s="3" t="s">
        <v>2062</v>
      </c>
      <c r="P1961" s="3" t="s">
        <v>102</v>
      </c>
      <c r="Q1961" s="3" t="s">
        <v>103</v>
      </c>
      <c r="R1961" s="3" t="s">
        <v>103</v>
      </c>
    </row>
    <row r="1962" spans="1:18">
      <c r="A1962" s="19">
        <v>47636</v>
      </c>
      <c r="B1962" s="3" t="s">
        <v>29</v>
      </c>
      <c r="C1962" s="3" t="s">
        <v>26</v>
      </c>
      <c r="D1962" s="3" t="s">
        <v>13</v>
      </c>
      <c r="E1962" s="3" t="s">
        <v>20</v>
      </c>
      <c r="F1962" s="3" t="s">
        <v>30</v>
      </c>
      <c r="G1962" s="3" t="s">
        <v>31</v>
      </c>
      <c r="H1962">
        <v>300000</v>
      </c>
      <c r="I1962">
        <v>9</v>
      </c>
      <c r="J1962" s="3" t="s">
        <v>37</v>
      </c>
      <c r="K1962">
        <v>240000</v>
      </c>
      <c r="L1962">
        <v>2700000</v>
      </c>
      <c r="M1962">
        <v>2160000</v>
      </c>
      <c r="N1962">
        <v>540000</v>
      </c>
      <c r="O1962" s="3" t="s">
        <v>2063</v>
      </c>
      <c r="P1962" s="3" t="s">
        <v>102</v>
      </c>
      <c r="Q1962" s="3" t="s">
        <v>103</v>
      </c>
      <c r="R1962" s="3" t="s">
        <v>103</v>
      </c>
    </row>
    <row r="1963" spans="1:18">
      <c r="A1963" s="19">
        <v>47637</v>
      </c>
      <c r="B1963" s="3" t="s">
        <v>25</v>
      </c>
      <c r="C1963" s="3" t="s">
        <v>32</v>
      </c>
      <c r="D1963" s="3" t="s">
        <v>13</v>
      </c>
      <c r="E1963" s="3" t="s">
        <v>14</v>
      </c>
      <c r="F1963" s="3" t="s">
        <v>41</v>
      </c>
      <c r="G1963" s="3" t="s">
        <v>22</v>
      </c>
      <c r="H1963">
        <v>220000</v>
      </c>
      <c r="I1963">
        <v>1</v>
      </c>
      <c r="J1963" s="3" t="s">
        <v>37</v>
      </c>
      <c r="K1963">
        <v>176000</v>
      </c>
      <c r="L1963">
        <v>220000</v>
      </c>
      <c r="M1963">
        <v>176000</v>
      </c>
      <c r="N1963">
        <v>44000</v>
      </c>
      <c r="O1963" s="3" t="s">
        <v>2064</v>
      </c>
      <c r="P1963" s="3" t="s">
        <v>102</v>
      </c>
      <c r="Q1963" s="3" t="s">
        <v>103</v>
      </c>
      <c r="R1963" s="3" t="s">
        <v>103</v>
      </c>
    </row>
    <row r="1964" spans="1:18">
      <c r="A1964" s="19">
        <v>47638</v>
      </c>
      <c r="B1964" s="3" t="s">
        <v>11</v>
      </c>
      <c r="C1964" s="3" t="s">
        <v>32</v>
      </c>
      <c r="D1964" s="3" t="s">
        <v>23</v>
      </c>
      <c r="E1964" s="3" t="s">
        <v>20</v>
      </c>
      <c r="F1964" s="3" t="s">
        <v>21</v>
      </c>
      <c r="G1964" s="3" t="s">
        <v>22</v>
      </c>
      <c r="H1964">
        <v>30000</v>
      </c>
      <c r="I1964">
        <v>5</v>
      </c>
      <c r="J1964" s="3" t="s">
        <v>37</v>
      </c>
      <c r="K1964">
        <v>24000</v>
      </c>
      <c r="L1964">
        <v>150000</v>
      </c>
      <c r="M1964">
        <v>120000</v>
      </c>
      <c r="N1964">
        <v>30000</v>
      </c>
      <c r="O1964" s="3" t="s">
        <v>2065</v>
      </c>
      <c r="P1964" s="3" t="s">
        <v>102</v>
      </c>
      <c r="Q1964" s="3" t="s">
        <v>103</v>
      </c>
      <c r="R1964" s="3" t="s">
        <v>103</v>
      </c>
    </row>
    <row r="1965" spans="1:18">
      <c r="A1965" s="19">
        <v>47639</v>
      </c>
      <c r="B1965" s="3" t="s">
        <v>25</v>
      </c>
      <c r="C1965" s="3" t="s">
        <v>12</v>
      </c>
      <c r="D1965" s="3" t="s">
        <v>23</v>
      </c>
      <c r="E1965" s="3" t="s">
        <v>14</v>
      </c>
      <c r="F1965" s="3" t="s">
        <v>33</v>
      </c>
      <c r="G1965" s="3" t="s">
        <v>22</v>
      </c>
      <c r="H1965">
        <v>180000</v>
      </c>
      <c r="I1965">
        <v>1</v>
      </c>
      <c r="J1965" s="3" t="s">
        <v>17</v>
      </c>
      <c r="K1965">
        <v>144000</v>
      </c>
      <c r="L1965">
        <v>180000</v>
      </c>
      <c r="M1965">
        <v>144000</v>
      </c>
      <c r="N1965">
        <v>36000</v>
      </c>
      <c r="O1965" s="3" t="s">
        <v>2066</v>
      </c>
      <c r="P1965" s="3" t="s">
        <v>102</v>
      </c>
      <c r="Q1965" s="3" t="s">
        <v>103</v>
      </c>
      <c r="R1965" s="3" t="s">
        <v>103</v>
      </c>
    </row>
    <row r="1966" spans="1:18">
      <c r="A1966" s="19">
        <v>47640</v>
      </c>
      <c r="B1966" s="3" t="s">
        <v>29</v>
      </c>
      <c r="C1966" s="3" t="s">
        <v>26</v>
      </c>
      <c r="D1966" s="3" t="s">
        <v>13</v>
      </c>
      <c r="E1966" s="3" t="s">
        <v>14</v>
      </c>
      <c r="F1966" s="3" t="s">
        <v>30</v>
      </c>
      <c r="G1966" s="3" t="s">
        <v>31</v>
      </c>
      <c r="H1966">
        <v>300000</v>
      </c>
      <c r="I1966">
        <v>6</v>
      </c>
      <c r="J1966" s="3" t="s">
        <v>37</v>
      </c>
      <c r="K1966">
        <v>240000</v>
      </c>
      <c r="L1966">
        <v>1800000</v>
      </c>
      <c r="M1966">
        <v>1440000</v>
      </c>
      <c r="N1966">
        <v>360000</v>
      </c>
      <c r="O1966" s="3" t="s">
        <v>2067</v>
      </c>
      <c r="P1966" s="3" t="s">
        <v>102</v>
      </c>
      <c r="Q1966" s="3" t="s">
        <v>103</v>
      </c>
      <c r="R1966" s="3" t="s">
        <v>103</v>
      </c>
    </row>
    <row r="1967" spans="1:18">
      <c r="A1967" s="19">
        <v>47641</v>
      </c>
      <c r="B1967" s="3" t="s">
        <v>11</v>
      </c>
      <c r="C1967" s="3" t="s">
        <v>26</v>
      </c>
      <c r="D1967" s="3" t="s">
        <v>13</v>
      </c>
      <c r="E1967" s="3" t="s">
        <v>20</v>
      </c>
      <c r="F1967" s="3" t="s">
        <v>41</v>
      </c>
      <c r="G1967" s="3" t="s">
        <v>22</v>
      </c>
      <c r="H1967">
        <v>220000</v>
      </c>
      <c r="I1967">
        <v>3</v>
      </c>
      <c r="J1967" s="3" t="s">
        <v>39</v>
      </c>
      <c r="K1967">
        <v>176000</v>
      </c>
      <c r="L1967">
        <v>660000</v>
      </c>
      <c r="M1967">
        <v>528000</v>
      </c>
      <c r="N1967">
        <v>132000</v>
      </c>
      <c r="O1967" s="3" t="s">
        <v>2068</v>
      </c>
      <c r="P1967" s="3" t="s">
        <v>102</v>
      </c>
      <c r="Q1967" s="3" t="s">
        <v>103</v>
      </c>
      <c r="R1967" s="3" t="s">
        <v>103</v>
      </c>
    </row>
    <row r="1968" spans="1:18">
      <c r="A1968" s="19">
        <v>47642</v>
      </c>
      <c r="B1968" s="3" t="s">
        <v>29</v>
      </c>
      <c r="C1968" s="3" t="s">
        <v>12</v>
      </c>
      <c r="D1968" s="3" t="s">
        <v>13</v>
      </c>
      <c r="E1968" s="3" t="s">
        <v>20</v>
      </c>
      <c r="F1968" s="3" t="s">
        <v>34</v>
      </c>
      <c r="G1968" s="3" t="s">
        <v>16</v>
      </c>
      <c r="H1968">
        <v>320000</v>
      </c>
      <c r="I1968">
        <v>5</v>
      </c>
      <c r="J1968" s="3" t="s">
        <v>35</v>
      </c>
      <c r="K1968">
        <v>256000</v>
      </c>
      <c r="L1968">
        <v>1600000</v>
      </c>
      <c r="M1968">
        <v>1280000</v>
      </c>
      <c r="N1968">
        <v>320000</v>
      </c>
      <c r="O1968" s="3" t="s">
        <v>2069</v>
      </c>
      <c r="P1968" s="3" t="s">
        <v>102</v>
      </c>
      <c r="Q1968" s="3" t="s">
        <v>103</v>
      </c>
      <c r="R1968" s="3" t="s">
        <v>103</v>
      </c>
    </row>
    <row r="1969" spans="1:18">
      <c r="A1969" s="19">
        <v>47643</v>
      </c>
      <c r="B1969" s="3" t="s">
        <v>25</v>
      </c>
      <c r="C1969" s="3" t="s">
        <v>26</v>
      </c>
      <c r="D1969" s="3" t="s">
        <v>13</v>
      </c>
      <c r="E1969" s="3" t="s">
        <v>14</v>
      </c>
      <c r="F1969" s="3" t="s">
        <v>36</v>
      </c>
      <c r="G1969" s="3" t="s">
        <v>31</v>
      </c>
      <c r="H1969">
        <v>150000</v>
      </c>
      <c r="I1969">
        <v>2</v>
      </c>
      <c r="J1969" s="3" t="s">
        <v>35</v>
      </c>
      <c r="K1969">
        <v>120000</v>
      </c>
      <c r="L1969">
        <v>300000</v>
      </c>
      <c r="M1969">
        <v>240000</v>
      </c>
      <c r="N1969">
        <v>60000</v>
      </c>
      <c r="O1969" s="3" t="s">
        <v>2070</v>
      </c>
      <c r="P1969" s="3" t="s">
        <v>102</v>
      </c>
      <c r="Q1969" s="3" t="s">
        <v>103</v>
      </c>
      <c r="R1969" s="3" t="s">
        <v>103</v>
      </c>
    </row>
    <row r="1970" spans="1:18">
      <c r="A1970" s="19">
        <v>47644</v>
      </c>
      <c r="B1970" s="3" t="s">
        <v>11</v>
      </c>
      <c r="C1970" s="3" t="s">
        <v>12</v>
      </c>
      <c r="D1970" s="3" t="s">
        <v>13</v>
      </c>
      <c r="E1970" s="3" t="s">
        <v>14</v>
      </c>
      <c r="F1970" s="3" t="s">
        <v>33</v>
      </c>
      <c r="G1970" s="3" t="s">
        <v>22</v>
      </c>
      <c r="H1970">
        <v>180000</v>
      </c>
      <c r="I1970">
        <v>1</v>
      </c>
      <c r="J1970" s="3" t="s">
        <v>24</v>
      </c>
      <c r="K1970">
        <v>144000</v>
      </c>
      <c r="L1970">
        <v>180000</v>
      </c>
      <c r="M1970">
        <v>144000</v>
      </c>
      <c r="N1970">
        <v>36000</v>
      </c>
      <c r="O1970" s="3" t="s">
        <v>2071</v>
      </c>
      <c r="P1970" s="3" t="s">
        <v>102</v>
      </c>
      <c r="Q1970" s="3" t="s">
        <v>103</v>
      </c>
      <c r="R1970" s="3" t="s">
        <v>103</v>
      </c>
    </row>
    <row r="1971" spans="1:18">
      <c r="A1971" s="19">
        <v>47645</v>
      </c>
      <c r="B1971" s="3" t="s">
        <v>11</v>
      </c>
      <c r="C1971" s="3" t="s">
        <v>19</v>
      </c>
      <c r="D1971" s="3" t="s">
        <v>23</v>
      </c>
      <c r="E1971" s="3" t="s">
        <v>20</v>
      </c>
      <c r="F1971" s="3" t="s">
        <v>21</v>
      </c>
      <c r="G1971" s="3" t="s">
        <v>22</v>
      </c>
      <c r="H1971">
        <v>30000</v>
      </c>
      <c r="I1971">
        <v>10</v>
      </c>
      <c r="J1971" s="3" t="s">
        <v>37</v>
      </c>
      <c r="K1971">
        <v>24000</v>
      </c>
      <c r="L1971">
        <v>300000</v>
      </c>
      <c r="M1971">
        <v>240000</v>
      </c>
      <c r="N1971">
        <v>60000</v>
      </c>
      <c r="O1971" s="3" t="s">
        <v>2072</v>
      </c>
      <c r="P1971" s="3" t="s">
        <v>102</v>
      </c>
      <c r="Q1971" s="3" t="s">
        <v>103</v>
      </c>
      <c r="R1971" s="3" t="s">
        <v>103</v>
      </c>
    </row>
    <row r="1972" spans="1:18">
      <c r="A1972" s="19">
        <v>47646</v>
      </c>
      <c r="B1972" s="3" t="s">
        <v>29</v>
      </c>
      <c r="C1972" s="3" t="s">
        <v>19</v>
      </c>
      <c r="D1972" s="3" t="s">
        <v>13</v>
      </c>
      <c r="E1972" s="3" t="s">
        <v>20</v>
      </c>
      <c r="F1972" s="3" t="s">
        <v>36</v>
      </c>
      <c r="G1972" s="3" t="s">
        <v>31</v>
      </c>
      <c r="H1972">
        <v>150000</v>
      </c>
      <c r="I1972">
        <v>4</v>
      </c>
      <c r="J1972" s="3" t="s">
        <v>24</v>
      </c>
      <c r="K1972">
        <v>120000</v>
      </c>
      <c r="L1972">
        <v>600000</v>
      </c>
      <c r="M1972">
        <v>480000</v>
      </c>
      <c r="N1972">
        <v>120000</v>
      </c>
      <c r="O1972" s="3" t="s">
        <v>2073</v>
      </c>
      <c r="P1972" s="3" t="s">
        <v>102</v>
      </c>
      <c r="Q1972" s="3" t="s">
        <v>103</v>
      </c>
      <c r="R1972" s="3" t="s">
        <v>103</v>
      </c>
    </row>
    <row r="1973" spans="1:18">
      <c r="A1973" s="19">
        <v>47647</v>
      </c>
      <c r="B1973" s="3" t="s">
        <v>29</v>
      </c>
      <c r="C1973" s="3" t="s">
        <v>26</v>
      </c>
      <c r="D1973" s="3" t="s">
        <v>13</v>
      </c>
      <c r="E1973" s="3" t="s">
        <v>14</v>
      </c>
      <c r="F1973" s="3" t="s">
        <v>21</v>
      </c>
      <c r="G1973" s="3" t="s">
        <v>22</v>
      </c>
      <c r="H1973">
        <v>30000</v>
      </c>
      <c r="I1973">
        <v>1</v>
      </c>
      <c r="J1973" s="3" t="s">
        <v>24</v>
      </c>
      <c r="K1973">
        <v>24000</v>
      </c>
      <c r="L1973">
        <v>30000</v>
      </c>
      <c r="M1973">
        <v>24000</v>
      </c>
      <c r="N1973">
        <v>6000</v>
      </c>
      <c r="O1973" s="3" t="s">
        <v>2074</v>
      </c>
      <c r="P1973" s="3" t="s">
        <v>102</v>
      </c>
      <c r="Q1973" s="3" t="s">
        <v>103</v>
      </c>
      <c r="R1973" s="3" t="s">
        <v>103</v>
      </c>
    </row>
    <row r="1974" spans="1:18">
      <c r="A1974" s="19">
        <v>47648</v>
      </c>
      <c r="B1974" s="3" t="s">
        <v>29</v>
      </c>
      <c r="C1974" s="3" t="s">
        <v>19</v>
      </c>
      <c r="D1974" s="3" t="s">
        <v>13</v>
      </c>
      <c r="E1974" s="3" t="s">
        <v>14</v>
      </c>
      <c r="F1974" s="3" t="s">
        <v>21</v>
      </c>
      <c r="G1974" s="3" t="s">
        <v>22</v>
      </c>
      <c r="H1974">
        <v>30000</v>
      </c>
      <c r="I1974">
        <v>6</v>
      </c>
      <c r="J1974" s="3" t="s">
        <v>35</v>
      </c>
      <c r="K1974">
        <v>24000</v>
      </c>
      <c r="L1974">
        <v>180000</v>
      </c>
      <c r="M1974">
        <v>144000</v>
      </c>
      <c r="N1974">
        <v>36000</v>
      </c>
      <c r="O1974" s="3" t="s">
        <v>2075</v>
      </c>
      <c r="P1974" s="3" t="s">
        <v>102</v>
      </c>
      <c r="Q1974" s="3" t="s">
        <v>103</v>
      </c>
      <c r="R1974" s="3" t="s">
        <v>103</v>
      </c>
    </row>
    <row r="1975" spans="1:18">
      <c r="A1975" s="19">
        <v>47649</v>
      </c>
      <c r="B1975" s="3" t="s">
        <v>25</v>
      </c>
      <c r="C1975" s="3" t="s">
        <v>12</v>
      </c>
      <c r="D1975" s="3" t="s">
        <v>23</v>
      </c>
      <c r="E1975" s="3" t="s">
        <v>14</v>
      </c>
      <c r="F1975" s="3" t="s">
        <v>33</v>
      </c>
      <c r="G1975" s="3" t="s">
        <v>22</v>
      </c>
      <c r="H1975">
        <v>180000</v>
      </c>
      <c r="I1975">
        <v>7</v>
      </c>
      <c r="J1975" s="3" t="s">
        <v>17</v>
      </c>
      <c r="K1975">
        <v>144000</v>
      </c>
      <c r="L1975">
        <v>1260000</v>
      </c>
      <c r="M1975">
        <v>1008000</v>
      </c>
      <c r="N1975">
        <v>252000</v>
      </c>
      <c r="O1975" s="3" t="s">
        <v>2076</v>
      </c>
      <c r="P1975" s="3" t="s">
        <v>102</v>
      </c>
      <c r="Q1975" s="3" t="s">
        <v>103</v>
      </c>
      <c r="R1975" s="3" t="s">
        <v>103</v>
      </c>
    </row>
    <row r="1976" spans="1:18">
      <c r="A1976" s="19">
        <v>47650</v>
      </c>
      <c r="B1976" s="3" t="s">
        <v>25</v>
      </c>
      <c r="C1976" s="3" t="s">
        <v>32</v>
      </c>
      <c r="D1976" s="3" t="s">
        <v>13</v>
      </c>
      <c r="E1976" s="3" t="s">
        <v>14</v>
      </c>
      <c r="F1976" s="3" t="s">
        <v>27</v>
      </c>
      <c r="G1976" s="3" t="s">
        <v>22</v>
      </c>
      <c r="H1976">
        <v>60000</v>
      </c>
      <c r="I1976">
        <v>8</v>
      </c>
      <c r="J1976" s="3" t="s">
        <v>39</v>
      </c>
      <c r="K1976">
        <v>48000</v>
      </c>
      <c r="L1976">
        <v>480000</v>
      </c>
      <c r="M1976">
        <v>384000</v>
      </c>
      <c r="N1976">
        <v>96000</v>
      </c>
      <c r="O1976" s="3" t="s">
        <v>2077</v>
      </c>
      <c r="P1976" s="3" t="s">
        <v>102</v>
      </c>
      <c r="Q1976" s="3" t="s">
        <v>103</v>
      </c>
      <c r="R1976" s="3" t="s">
        <v>103</v>
      </c>
    </row>
    <row r="1977" spans="1:18">
      <c r="A1977" s="19">
        <v>47651</v>
      </c>
      <c r="B1977" s="3" t="s">
        <v>25</v>
      </c>
      <c r="C1977" s="3" t="s">
        <v>19</v>
      </c>
      <c r="D1977" s="3" t="s">
        <v>13</v>
      </c>
      <c r="E1977" s="3" t="s">
        <v>14</v>
      </c>
      <c r="F1977" s="3" t="s">
        <v>27</v>
      </c>
      <c r="G1977" s="3" t="s">
        <v>22</v>
      </c>
      <c r="H1977">
        <v>60000</v>
      </c>
      <c r="I1977">
        <v>2</v>
      </c>
      <c r="J1977" s="3" t="s">
        <v>37</v>
      </c>
      <c r="K1977">
        <v>48000</v>
      </c>
      <c r="L1977">
        <v>120000</v>
      </c>
      <c r="M1977">
        <v>96000</v>
      </c>
      <c r="N1977">
        <v>24000</v>
      </c>
      <c r="O1977" s="3" t="s">
        <v>2078</v>
      </c>
      <c r="P1977" s="3" t="s">
        <v>102</v>
      </c>
      <c r="Q1977" s="3" t="s">
        <v>103</v>
      </c>
      <c r="R1977" s="3" t="s">
        <v>103</v>
      </c>
    </row>
    <row r="1978" spans="1:18">
      <c r="A1978" s="19">
        <v>47652</v>
      </c>
      <c r="B1978" s="3" t="s">
        <v>25</v>
      </c>
      <c r="C1978" s="3" t="s">
        <v>26</v>
      </c>
      <c r="D1978" s="3" t="s">
        <v>13</v>
      </c>
      <c r="E1978" s="3" t="s">
        <v>20</v>
      </c>
      <c r="F1978" s="3" t="s">
        <v>15</v>
      </c>
      <c r="G1978" s="3" t="s">
        <v>16</v>
      </c>
      <c r="H1978">
        <v>85000</v>
      </c>
      <c r="I1978">
        <v>1</v>
      </c>
      <c r="J1978" s="3" t="s">
        <v>35</v>
      </c>
      <c r="K1978">
        <v>68000</v>
      </c>
      <c r="L1978">
        <v>85000</v>
      </c>
      <c r="M1978">
        <v>68000</v>
      </c>
      <c r="N1978">
        <v>17000</v>
      </c>
      <c r="O1978" s="3" t="s">
        <v>2079</v>
      </c>
      <c r="P1978" s="3" t="s">
        <v>102</v>
      </c>
      <c r="Q1978" s="3" t="s">
        <v>103</v>
      </c>
      <c r="R1978" s="3" t="s">
        <v>103</v>
      </c>
    </row>
    <row r="1979" spans="1:18">
      <c r="A1979" s="19">
        <v>47653</v>
      </c>
      <c r="B1979" s="3" t="s">
        <v>29</v>
      </c>
      <c r="C1979" s="3" t="s">
        <v>26</v>
      </c>
      <c r="D1979" s="3" t="s">
        <v>23</v>
      </c>
      <c r="E1979" s="3" t="s">
        <v>14</v>
      </c>
      <c r="F1979" s="3" t="s">
        <v>21</v>
      </c>
      <c r="G1979" s="3" t="s">
        <v>22</v>
      </c>
      <c r="H1979">
        <v>30000</v>
      </c>
      <c r="I1979">
        <v>8</v>
      </c>
      <c r="J1979" s="3" t="s">
        <v>37</v>
      </c>
      <c r="K1979">
        <v>24000</v>
      </c>
      <c r="L1979">
        <v>240000</v>
      </c>
      <c r="M1979">
        <v>192000</v>
      </c>
      <c r="N1979">
        <v>48000</v>
      </c>
      <c r="O1979" s="3" t="s">
        <v>2080</v>
      </c>
      <c r="P1979" s="3" t="s">
        <v>102</v>
      </c>
      <c r="Q1979" s="3" t="s">
        <v>103</v>
      </c>
      <c r="R1979" s="3" t="s">
        <v>103</v>
      </c>
    </row>
    <row r="1980" spans="1:18">
      <c r="A1980" s="19">
        <v>47654</v>
      </c>
      <c r="B1980" s="3" t="s">
        <v>29</v>
      </c>
      <c r="C1980" s="3" t="s">
        <v>32</v>
      </c>
      <c r="D1980" s="3" t="s">
        <v>13</v>
      </c>
      <c r="E1980" s="3" t="s">
        <v>20</v>
      </c>
      <c r="F1980" s="3" t="s">
        <v>27</v>
      </c>
      <c r="G1980" s="3" t="s">
        <v>22</v>
      </c>
      <c r="H1980">
        <v>60000</v>
      </c>
      <c r="I1980">
        <v>10</v>
      </c>
      <c r="J1980" s="3" t="s">
        <v>37</v>
      </c>
      <c r="K1980">
        <v>48000</v>
      </c>
      <c r="L1980">
        <v>600000</v>
      </c>
      <c r="M1980">
        <v>480000</v>
      </c>
      <c r="N1980">
        <v>120000</v>
      </c>
      <c r="O1980" s="3" t="s">
        <v>2081</v>
      </c>
      <c r="P1980" s="3" t="s">
        <v>102</v>
      </c>
      <c r="Q1980" s="3" t="s">
        <v>103</v>
      </c>
      <c r="R1980" s="3" t="s">
        <v>103</v>
      </c>
    </row>
    <row r="1981" spans="1:18">
      <c r="A1981" s="19">
        <v>47655</v>
      </c>
      <c r="B1981" s="3" t="s">
        <v>11</v>
      </c>
      <c r="C1981" s="3" t="s">
        <v>12</v>
      </c>
      <c r="D1981" s="3" t="s">
        <v>23</v>
      </c>
      <c r="E1981" s="3" t="s">
        <v>20</v>
      </c>
      <c r="F1981" s="3" t="s">
        <v>36</v>
      </c>
      <c r="G1981" s="3" t="s">
        <v>31</v>
      </c>
      <c r="H1981">
        <v>150000</v>
      </c>
      <c r="I1981">
        <v>1</v>
      </c>
      <c r="J1981" s="3" t="s">
        <v>17</v>
      </c>
      <c r="K1981">
        <v>120000</v>
      </c>
      <c r="L1981">
        <v>150000</v>
      </c>
      <c r="M1981">
        <v>120000</v>
      </c>
      <c r="N1981">
        <v>30000</v>
      </c>
      <c r="O1981" s="3" t="s">
        <v>2082</v>
      </c>
      <c r="P1981" s="3" t="s">
        <v>102</v>
      </c>
      <c r="Q1981" s="3" t="s">
        <v>103</v>
      </c>
      <c r="R1981" s="3" t="s">
        <v>103</v>
      </c>
    </row>
    <row r="1982" spans="1:18">
      <c r="A1982" s="19">
        <v>47656</v>
      </c>
      <c r="B1982" s="3" t="s">
        <v>25</v>
      </c>
      <c r="C1982" s="3" t="s">
        <v>12</v>
      </c>
      <c r="D1982" s="3" t="s">
        <v>23</v>
      </c>
      <c r="E1982" s="3" t="s">
        <v>20</v>
      </c>
      <c r="F1982" s="3" t="s">
        <v>27</v>
      </c>
      <c r="G1982" s="3" t="s">
        <v>22</v>
      </c>
      <c r="H1982">
        <v>60000</v>
      </c>
      <c r="I1982">
        <v>9</v>
      </c>
      <c r="J1982" s="3" t="s">
        <v>39</v>
      </c>
      <c r="K1982">
        <v>48000</v>
      </c>
      <c r="L1982">
        <v>540000</v>
      </c>
      <c r="M1982">
        <v>432000</v>
      </c>
      <c r="N1982">
        <v>108000</v>
      </c>
      <c r="O1982" s="3" t="s">
        <v>2083</v>
      </c>
      <c r="P1982" s="3" t="s">
        <v>102</v>
      </c>
      <c r="Q1982" s="3" t="s">
        <v>103</v>
      </c>
      <c r="R1982" s="3" t="s">
        <v>103</v>
      </c>
    </row>
    <row r="1983" spans="1:18">
      <c r="A1983" s="19">
        <v>47657</v>
      </c>
      <c r="B1983" s="3" t="s">
        <v>29</v>
      </c>
      <c r="C1983" s="3" t="s">
        <v>32</v>
      </c>
      <c r="D1983" s="3" t="s">
        <v>13</v>
      </c>
      <c r="E1983" s="3" t="s">
        <v>14</v>
      </c>
      <c r="F1983" s="3" t="s">
        <v>27</v>
      </c>
      <c r="G1983" s="3" t="s">
        <v>22</v>
      </c>
      <c r="H1983">
        <v>60000</v>
      </c>
      <c r="I1983">
        <v>5</v>
      </c>
      <c r="J1983" s="3" t="s">
        <v>39</v>
      </c>
      <c r="K1983">
        <v>48000</v>
      </c>
      <c r="L1983">
        <v>300000</v>
      </c>
      <c r="M1983">
        <v>240000</v>
      </c>
      <c r="N1983">
        <v>60000</v>
      </c>
      <c r="O1983" s="3" t="s">
        <v>2084</v>
      </c>
      <c r="P1983" s="3" t="s">
        <v>102</v>
      </c>
      <c r="Q1983" s="3" t="s">
        <v>103</v>
      </c>
      <c r="R1983" s="3" t="s">
        <v>103</v>
      </c>
    </row>
    <row r="1984" spans="1:18">
      <c r="A1984" s="19">
        <v>47658</v>
      </c>
      <c r="B1984" s="3" t="s">
        <v>18</v>
      </c>
      <c r="C1984" s="3" t="s">
        <v>12</v>
      </c>
      <c r="D1984" s="3" t="s">
        <v>13</v>
      </c>
      <c r="E1984" s="3" t="s">
        <v>20</v>
      </c>
      <c r="F1984" s="3" t="s">
        <v>41</v>
      </c>
      <c r="G1984" s="3" t="s">
        <v>22</v>
      </c>
      <c r="H1984">
        <v>220000</v>
      </c>
      <c r="I1984">
        <v>8</v>
      </c>
      <c r="J1984" s="3" t="s">
        <v>17</v>
      </c>
      <c r="K1984">
        <v>176000</v>
      </c>
      <c r="L1984">
        <v>1760000</v>
      </c>
      <c r="M1984">
        <v>1408000</v>
      </c>
      <c r="N1984">
        <v>352000</v>
      </c>
      <c r="O1984" s="3" t="s">
        <v>2085</v>
      </c>
      <c r="P1984" s="3" t="s">
        <v>102</v>
      </c>
      <c r="Q1984" s="3" t="s">
        <v>103</v>
      </c>
      <c r="R1984" s="3" t="s">
        <v>103</v>
      </c>
    </row>
    <row r="1985" spans="1:18">
      <c r="A1985" s="19">
        <v>47659</v>
      </c>
      <c r="B1985" s="3" t="s">
        <v>11</v>
      </c>
      <c r="C1985" s="3" t="s">
        <v>12</v>
      </c>
      <c r="D1985" s="3" t="s">
        <v>13</v>
      </c>
      <c r="E1985" s="3" t="s">
        <v>20</v>
      </c>
      <c r="F1985" s="3" t="s">
        <v>15</v>
      </c>
      <c r="G1985" s="3" t="s">
        <v>16</v>
      </c>
      <c r="H1985">
        <v>85000</v>
      </c>
      <c r="I1985">
        <v>2</v>
      </c>
      <c r="J1985" s="3" t="s">
        <v>37</v>
      </c>
      <c r="K1985">
        <v>68000</v>
      </c>
      <c r="L1985">
        <v>170000</v>
      </c>
      <c r="M1985">
        <v>136000</v>
      </c>
      <c r="N1985">
        <v>34000</v>
      </c>
      <c r="O1985" s="3" t="s">
        <v>2086</v>
      </c>
      <c r="P1985" s="3" t="s">
        <v>102</v>
      </c>
      <c r="Q1985" s="3" t="s">
        <v>103</v>
      </c>
      <c r="R1985" s="3" t="s">
        <v>103</v>
      </c>
    </row>
    <row r="1986" spans="1:18">
      <c r="A1986" s="19">
        <v>47660</v>
      </c>
      <c r="B1986" s="3" t="s">
        <v>25</v>
      </c>
      <c r="C1986" s="3" t="s">
        <v>32</v>
      </c>
      <c r="D1986" s="3" t="s">
        <v>13</v>
      </c>
      <c r="E1986" s="3" t="s">
        <v>20</v>
      </c>
      <c r="F1986" s="3" t="s">
        <v>34</v>
      </c>
      <c r="G1986" s="3" t="s">
        <v>16</v>
      </c>
      <c r="H1986">
        <v>320000</v>
      </c>
      <c r="I1986">
        <v>7</v>
      </c>
      <c r="J1986" s="3" t="s">
        <v>37</v>
      </c>
      <c r="K1986">
        <v>256000</v>
      </c>
      <c r="L1986">
        <v>2240000</v>
      </c>
      <c r="M1986">
        <v>1792000</v>
      </c>
      <c r="N1986">
        <v>448000</v>
      </c>
      <c r="O1986" s="3" t="s">
        <v>2087</v>
      </c>
      <c r="P1986" s="3" t="s">
        <v>102</v>
      </c>
      <c r="Q1986" s="3" t="s">
        <v>103</v>
      </c>
      <c r="R1986" s="3" t="s">
        <v>103</v>
      </c>
    </row>
    <row r="1987" spans="1:18">
      <c r="A1987" s="19">
        <v>47661</v>
      </c>
      <c r="B1987" s="3" t="s">
        <v>25</v>
      </c>
      <c r="C1987" s="3" t="s">
        <v>32</v>
      </c>
      <c r="D1987" s="3" t="s">
        <v>13</v>
      </c>
      <c r="E1987" s="3" t="s">
        <v>14</v>
      </c>
      <c r="F1987" s="3" t="s">
        <v>40</v>
      </c>
      <c r="G1987" s="3" t="s">
        <v>31</v>
      </c>
      <c r="H1987">
        <v>250000</v>
      </c>
      <c r="I1987">
        <v>4</v>
      </c>
      <c r="J1987" s="3" t="s">
        <v>17</v>
      </c>
      <c r="K1987">
        <v>200000</v>
      </c>
      <c r="L1987">
        <v>1000000</v>
      </c>
      <c r="M1987">
        <v>800000</v>
      </c>
      <c r="N1987">
        <v>200000</v>
      </c>
      <c r="O1987" s="3" t="s">
        <v>2088</v>
      </c>
      <c r="P1987" s="3" t="s">
        <v>102</v>
      </c>
      <c r="Q1987" s="3" t="s">
        <v>103</v>
      </c>
      <c r="R1987" s="3" t="s">
        <v>103</v>
      </c>
    </row>
    <row r="1988" spans="1:18">
      <c r="A1988" s="19">
        <v>47662</v>
      </c>
      <c r="B1988" s="3" t="s">
        <v>18</v>
      </c>
      <c r="C1988" s="3" t="s">
        <v>12</v>
      </c>
      <c r="D1988" s="3" t="s">
        <v>23</v>
      </c>
      <c r="E1988" s="3" t="s">
        <v>20</v>
      </c>
      <c r="F1988" s="3" t="s">
        <v>36</v>
      </c>
      <c r="G1988" s="3" t="s">
        <v>31</v>
      </c>
      <c r="H1988">
        <v>150000</v>
      </c>
      <c r="I1988">
        <v>6</v>
      </c>
      <c r="J1988" s="3" t="s">
        <v>24</v>
      </c>
      <c r="K1988">
        <v>120000</v>
      </c>
      <c r="L1988">
        <v>900000</v>
      </c>
      <c r="M1988">
        <v>720000</v>
      </c>
      <c r="N1988">
        <v>180000</v>
      </c>
      <c r="O1988" s="3" t="s">
        <v>2089</v>
      </c>
      <c r="P1988" s="3" t="s">
        <v>102</v>
      </c>
      <c r="Q1988" s="3" t="s">
        <v>103</v>
      </c>
      <c r="R1988" s="3" t="s">
        <v>103</v>
      </c>
    </row>
    <row r="1989" spans="1:18">
      <c r="A1989" s="19">
        <v>47663</v>
      </c>
      <c r="B1989" s="3" t="s">
        <v>29</v>
      </c>
      <c r="C1989" s="3" t="s">
        <v>32</v>
      </c>
      <c r="D1989" s="3" t="s">
        <v>13</v>
      </c>
      <c r="E1989" s="3" t="s">
        <v>14</v>
      </c>
      <c r="F1989" s="3" t="s">
        <v>30</v>
      </c>
      <c r="G1989" s="3" t="s">
        <v>31</v>
      </c>
      <c r="H1989">
        <v>300000</v>
      </c>
      <c r="I1989">
        <v>8</v>
      </c>
      <c r="J1989" s="3" t="s">
        <v>24</v>
      </c>
      <c r="K1989">
        <v>240000</v>
      </c>
      <c r="L1989">
        <v>2400000</v>
      </c>
      <c r="M1989">
        <v>1920000</v>
      </c>
      <c r="N1989">
        <v>480000</v>
      </c>
      <c r="O1989" s="3" t="s">
        <v>2090</v>
      </c>
      <c r="P1989" s="3" t="s">
        <v>102</v>
      </c>
      <c r="Q1989" s="3" t="s">
        <v>103</v>
      </c>
      <c r="R1989" s="3" t="s">
        <v>103</v>
      </c>
    </row>
    <row r="1990" spans="1:18">
      <c r="A1990" s="19">
        <v>47664</v>
      </c>
      <c r="B1990" s="3" t="s">
        <v>11</v>
      </c>
      <c r="C1990" s="3" t="s">
        <v>19</v>
      </c>
      <c r="D1990" s="3" t="s">
        <v>13</v>
      </c>
      <c r="E1990" s="3" t="s">
        <v>20</v>
      </c>
      <c r="F1990" s="3" t="s">
        <v>30</v>
      </c>
      <c r="G1990" s="3" t="s">
        <v>31</v>
      </c>
      <c r="H1990">
        <v>300000</v>
      </c>
      <c r="I1990">
        <v>10</v>
      </c>
      <c r="J1990" s="3" t="s">
        <v>17</v>
      </c>
      <c r="K1990">
        <v>240000</v>
      </c>
      <c r="L1990">
        <v>3000000</v>
      </c>
      <c r="M1990">
        <v>2400000</v>
      </c>
      <c r="N1990">
        <v>600000</v>
      </c>
      <c r="O1990" s="3" t="s">
        <v>2091</v>
      </c>
      <c r="P1990" s="3" t="s">
        <v>102</v>
      </c>
      <c r="Q1990" s="3" t="s">
        <v>103</v>
      </c>
      <c r="R1990" s="3" t="s">
        <v>103</v>
      </c>
    </row>
    <row r="1991" spans="1:18">
      <c r="A1991" s="19">
        <v>47665</v>
      </c>
      <c r="B1991" s="3" t="s">
        <v>29</v>
      </c>
      <c r="C1991" s="3" t="s">
        <v>26</v>
      </c>
      <c r="D1991" s="3" t="s">
        <v>23</v>
      </c>
      <c r="E1991" s="3" t="s">
        <v>20</v>
      </c>
      <c r="F1991" s="3" t="s">
        <v>34</v>
      </c>
      <c r="G1991" s="3" t="s">
        <v>16</v>
      </c>
      <c r="H1991">
        <v>320000</v>
      </c>
      <c r="I1991">
        <v>1</v>
      </c>
      <c r="J1991" s="3" t="s">
        <v>28</v>
      </c>
      <c r="K1991">
        <v>256000</v>
      </c>
      <c r="L1991">
        <v>320000</v>
      </c>
      <c r="M1991">
        <v>256000</v>
      </c>
      <c r="N1991">
        <v>64000</v>
      </c>
      <c r="O1991" s="3" t="s">
        <v>2092</v>
      </c>
      <c r="P1991" s="3" t="s">
        <v>102</v>
      </c>
      <c r="Q1991" s="3" t="s">
        <v>103</v>
      </c>
      <c r="R1991" s="3" t="s">
        <v>103</v>
      </c>
    </row>
    <row r="1992" spans="1:18">
      <c r="A1992" s="19">
        <v>47666</v>
      </c>
      <c r="B1992" s="3" t="s">
        <v>25</v>
      </c>
      <c r="C1992" s="3" t="s">
        <v>19</v>
      </c>
      <c r="D1992" s="3" t="s">
        <v>23</v>
      </c>
      <c r="E1992" s="3" t="s">
        <v>20</v>
      </c>
      <c r="F1992" s="3" t="s">
        <v>34</v>
      </c>
      <c r="G1992" s="3" t="s">
        <v>16</v>
      </c>
      <c r="H1992">
        <v>320000</v>
      </c>
      <c r="I1992">
        <v>3</v>
      </c>
      <c r="J1992" s="3" t="s">
        <v>28</v>
      </c>
      <c r="K1992">
        <v>256000</v>
      </c>
      <c r="L1992">
        <v>960000</v>
      </c>
      <c r="M1992">
        <v>768000</v>
      </c>
      <c r="N1992">
        <v>192000</v>
      </c>
      <c r="O1992" s="3" t="s">
        <v>2093</v>
      </c>
      <c r="P1992" s="3" t="s">
        <v>102</v>
      </c>
      <c r="Q1992" s="3" t="s">
        <v>103</v>
      </c>
      <c r="R1992" s="3" t="s">
        <v>103</v>
      </c>
    </row>
    <row r="1993" spans="1:18">
      <c r="A1993" s="19">
        <v>47667</v>
      </c>
      <c r="B1993" s="3" t="s">
        <v>11</v>
      </c>
      <c r="C1993" s="3" t="s">
        <v>12</v>
      </c>
      <c r="D1993" s="3" t="s">
        <v>23</v>
      </c>
      <c r="E1993" s="3" t="s">
        <v>14</v>
      </c>
      <c r="F1993" s="3" t="s">
        <v>36</v>
      </c>
      <c r="G1993" s="3" t="s">
        <v>31</v>
      </c>
      <c r="H1993">
        <v>150000</v>
      </c>
      <c r="I1993">
        <v>6</v>
      </c>
      <c r="J1993" s="3" t="s">
        <v>35</v>
      </c>
      <c r="K1993">
        <v>120000</v>
      </c>
      <c r="L1993">
        <v>900000</v>
      </c>
      <c r="M1993">
        <v>720000</v>
      </c>
      <c r="N1993">
        <v>180000</v>
      </c>
      <c r="O1993" s="3" t="s">
        <v>2094</v>
      </c>
      <c r="P1993" s="3" t="s">
        <v>102</v>
      </c>
      <c r="Q1993" s="3" t="s">
        <v>103</v>
      </c>
      <c r="R1993" s="3" t="s">
        <v>103</v>
      </c>
    </row>
    <row r="1994" spans="1:18">
      <c r="A1994" s="19">
        <v>47668</v>
      </c>
      <c r="B1994" s="3" t="s">
        <v>18</v>
      </c>
      <c r="C1994" s="3" t="s">
        <v>19</v>
      </c>
      <c r="D1994" s="3" t="s">
        <v>13</v>
      </c>
      <c r="E1994" s="3" t="s">
        <v>14</v>
      </c>
      <c r="F1994" s="3" t="s">
        <v>33</v>
      </c>
      <c r="G1994" s="3" t="s">
        <v>22</v>
      </c>
      <c r="H1994">
        <v>180000</v>
      </c>
      <c r="I1994">
        <v>9</v>
      </c>
      <c r="J1994" s="3" t="s">
        <v>39</v>
      </c>
      <c r="K1994">
        <v>144000</v>
      </c>
      <c r="L1994">
        <v>1620000</v>
      </c>
      <c r="M1994">
        <v>1296000</v>
      </c>
      <c r="N1994">
        <v>324000</v>
      </c>
      <c r="O1994" s="3" t="s">
        <v>2095</v>
      </c>
      <c r="P1994" s="3" t="s">
        <v>102</v>
      </c>
      <c r="Q1994" s="3" t="s">
        <v>103</v>
      </c>
      <c r="R1994" s="3" t="s">
        <v>103</v>
      </c>
    </row>
    <row r="1995" spans="1:18">
      <c r="A1995" s="19">
        <v>47669</v>
      </c>
      <c r="B1995" s="3" t="s">
        <v>25</v>
      </c>
      <c r="C1995" s="3" t="s">
        <v>32</v>
      </c>
      <c r="D1995" s="3" t="s">
        <v>13</v>
      </c>
      <c r="E1995" s="3" t="s">
        <v>14</v>
      </c>
      <c r="F1995" s="3" t="s">
        <v>27</v>
      </c>
      <c r="G1995" s="3" t="s">
        <v>22</v>
      </c>
      <c r="H1995">
        <v>60000</v>
      </c>
      <c r="I1995">
        <v>2</v>
      </c>
      <c r="J1995" s="3" t="s">
        <v>35</v>
      </c>
      <c r="K1995">
        <v>48000</v>
      </c>
      <c r="L1995">
        <v>120000</v>
      </c>
      <c r="M1995">
        <v>96000</v>
      </c>
      <c r="N1995">
        <v>24000</v>
      </c>
      <c r="O1995" s="3" t="s">
        <v>2096</v>
      </c>
      <c r="P1995" s="3" t="s">
        <v>102</v>
      </c>
      <c r="Q1995" s="3" t="s">
        <v>103</v>
      </c>
      <c r="R1995" s="3" t="s">
        <v>103</v>
      </c>
    </row>
    <row r="1996" spans="1:18">
      <c r="A1996" s="19">
        <v>47670</v>
      </c>
      <c r="B1996" s="3" t="s">
        <v>18</v>
      </c>
      <c r="C1996" s="3" t="s">
        <v>26</v>
      </c>
      <c r="D1996" s="3" t="s">
        <v>13</v>
      </c>
      <c r="E1996" s="3" t="s">
        <v>20</v>
      </c>
      <c r="F1996" s="3" t="s">
        <v>36</v>
      </c>
      <c r="G1996" s="3" t="s">
        <v>31</v>
      </c>
      <c r="H1996">
        <v>150000</v>
      </c>
      <c r="I1996">
        <v>5</v>
      </c>
      <c r="J1996" s="3" t="s">
        <v>35</v>
      </c>
      <c r="K1996">
        <v>120000</v>
      </c>
      <c r="L1996">
        <v>750000</v>
      </c>
      <c r="M1996">
        <v>600000</v>
      </c>
      <c r="N1996">
        <v>150000</v>
      </c>
      <c r="O1996" s="3" t="s">
        <v>2097</v>
      </c>
      <c r="P1996" s="3" t="s">
        <v>102</v>
      </c>
      <c r="Q1996" s="3" t="s">
        <v>103</v>
      </c>
      <c r="R1996" s="3" t="s">
        <v>103</v>
      </c>
    </row>
    <row r="1997" spans="1:18">
      <c r="A1997" s="19">
        <v>47671</v>
      </c>
      <c r="B1997" s="3" t="s">
        <v>18</v>
      </c>
      <c r="C1997" s="3" t="s">
        <v>26</v>
      </c>
      <c r="D1997" s="3" t="s">
        <v>13</v>
      </c>
      <c r="E1997" s="3" t="s">
        <v>20</v>
      </c>
      <c r="F1997" s="3" t="s">
        <v>33</v>
      </c>
      <c r="G1997" s="3" t="s">
        <v>22</v>
      </c>
      <c r="H1997">
        <v>180000</v>
      </c>
      <c r="I1997">
        <v>10</v>
      </c>
      <c r="J1997" s="3" t="s">
        <v>35</v>
      </c>
      <c r="K1997">
        <v>144000</v>
      </c>
      <c r="L1997">
        <v>1800000</v>
      </c>
      <c r="M1997">
        <v>1440000</v>
      </c>
      <c r="N1997">
        <v>360000</v>
      </c>
      <c r="O1997" s="3" t="s">
        <v>2098</v>
      </c>
      <c r="P1997" s="3" t="s">
        <v>102</v>
      </c>
      <c r="Q1997" s="3" t="s">
        <v>103</v>
      </c>
      <c r="R1997" s="3" t="s">
        <v>103</v>
      </c>
    </row>
    <row r="1998" spans="1:18">
      <c r="A1998" s="19">
        <v>47672</v>
      </c>
      <c r="B1998" s="3" t="s">
        <v>11</v>
      </c>
      <c r="C1998" s="3" t="s">
        <v>12</v>
      </c>
      <c r="D1998" s="3" t="s">
        <v>13</v>
      </c>
      <c r="E1998" s="3" t="s">
        <v>14</v>
      </c>
      <c r="F1998" s="3" t="s">
        <v>15</v>
      </c>
      <c r="G1998" s="3" t="s">
        <v>16</v>
      </c>
      <c r="H1998">
        <v>85000</v>
      </c>
      <c r="I1998">
        <v>7</v>
      </c>
      <c r="J1998" s="3" t="s">
        <v>37</v>
      </c>
      <c r="K1998">
        <v>68000</v>
      </c>
      <c r="L1998">
        <v>595000</v>
      </c>
      <c r="M1998">
        <v>476000</v>
      </c>
      <c r="N1998">
        <v>119000</v>
      </c>
      <c r="O1998" s="3" t="s">
        <v>2099</v>
      </c>
      <c r="P1998" s="3" t="s">
        <v>102</v>
      </c>
      <c r="Q1998" s="3" t="s">
        <v>103</v>
      </c>
      <c r="R1998" s="3" t="s">
        <v>103</v>
      </c>
    </row>
    <row r="1999" spans="1:18">
      <c r="A1999" s="19">
        <v>47673</v>
      </c>
      <c r="B1999" s="3" t="s">
        <v>18</v>
      </c>
      <c r="C1999" s="3" t="s">
        <v>32</v>
      </c>
      <c r="D1999" s="3" t="s">
        <v>23</v>
      </c>
      <c r="E1999" s="3" t="s">
        <v>20</v>
      </c>
      <c r="F1999" s="3" t="s">
        <v>38</v>
      </c>
      <c r="G1999" s="3" t="s">
        <v>31</v>
      </c>
      <c r="H1999">
        <v>420000</v>
      </c>
      <c r="I1999">
        <v>3</v>
      </c>
      <c r="J1999" s="3" t="s">
        <v>24</v>
      </c>
      <c r="K1999">
        <v>336000</v>
      </c>
      <c r="L1999">
        <v>1260000</v>
      </c>
      <c r="M1999">
        <v>1008000</v>
      </c>
      <c r="N1999">
        <v>252000</v>
      </c>
      <c r="O1999" s="3" t="s">
        <v>2100</v>
      </c>
      <c r="P1999" s="3" t="s">
        <v>102</v>
      </c>
      <c r="Q1999" s="3" t="s">
        <v>103</v>
      </c>
      <c r="R1999" s="3" t="s">
        <v>103</v>
      </c>
    </row>
    <row r="2000" spans="1:18">
      <c r="A2000" s="19">
        <v>47674</v>
      </c>
      <c r="B2000" s="3" t="s">
        <v>18</v>
      </c>
      <c r="C2000" s="3" t="s">
        <v>32</v>
      </c>
      <c r="D2000" s="3" t="s">
        <v>23</v>
      </c>
      <c r="E2000" s="3" t="s">
        <v>14</v>
      </c>
      <c r="F2000" s="3" t="s">
        <v>30</v>
      </c>
      <c r="G2000" s="3" t="s">
        <v>31</v>
      </c>
      <c r="H2000">
        <v>300000</v>
      </c>
      <c r="I2000">
        <v>2</v>
      </c>
      <c r="J2000" s="3" t="s">
        <v>37</v>
      </c>
      <c r="K2000">
        <v>240000</v>
      </c>
      <c r="L2000">
        <v>600000</v>
      </c>
      <c r="M2000">
        <v>480000</v>
      </c>
      <c r="N2000">
        <v>120000</v>
      </c>
      <c r="O2000" s="3" t="s">
        <v>2101</v>
      </c>
      <c r="P2000" s="3" t="s">
        <v>102</v>
      </c>
      <c r="Q2000" s="3" t="s">
        <v>103</v>
      </c>
      <c r="R2000" s="3" t="s">
        <v>103</v>
      </c>
    </row>
    <row r="2001" spans="1:18">
      <c r="A2001" s="19">
        <v>47675</v>
      </c>
      <c r="B2001" s="3" t="s">
        <v>18</v>
      </c>
      <c r="C2001" s="3" t="s">
        <v>19</v>
      </c>
      <c r="D2001" s="3" t="s">
        <v>23</v>
      </c>
      <c r="E2001" s="3" t="s">
        <v>14</v>
      </c>
      <c r="F2001" s="3" t="s">
        <v>40</v>
      </c>
      <c r="G2001" s="3" t="s">
        <v>31</v>
      </c>
      <c r="H2001">
        <v>250000</v>
      </c>
      <c r="I2001">
        <v>3</v>
      </c>
      <c r="J2001" s="3" t="s">
        <v>37</v>
      </c>
      <c r="K2001">
        <v>200000</v>
      </c>
      <c r="L2001">
        <v>750000</v>
      </c>
      <c r="M2001">
        <v>600000</v>
      </c>
      <c r="N2001">
        <v>150000</v>
      </c>
      <c r="O2001" s="3" t="s">
        <v>2102</v>
      </c>
      <c r="P2001" s="3" t="s">
        <v>102</v>
      </c>
      <c r="Q2001" s="3" t="s">
        <v>103</v>
      </c>
      <c r="R2001" s="3" t="s">
        <v>103</v>
      </c>
    </row>
    <row r="2002" spans="1:18">
      <c r="A2002" s="19">
        <v>47676</v>
      </c>
      <c r="B2002" s="3" t="s">
        <v>18</v>
      </c>
      <c r="C2002" s="3" t="s">
        <v>12</v>
      </c>
      <c r="D2002" s="3" t="s">
        <v>13</v>
      </c>
      <c r="E2002" s="3" t="s">
        <v>20</v>
      </c>
      <c r="F2002" s="3" t="s">
        <v>36</v>
      </c>
      <c r="G2002" s="3" t="s">
        <v>31</v>
      </c>
      <c r="H2002">
        <v>150000</v>
      </c>
      <c r="I2002">
        <v>7</v>
      </c>
      <c r="J2002" s="3" t="s">
        <v>24</v>
      </c>
      <c r="K2002">
        <v>120000</v>
      </c>
      <c r="L2002">
        <v>1050000</v>
      </c>
      <c r="M2002">
        <v>840000</v>
      </c>
      <c r="N2002">
        <v>210000</v>
      </c>
      <c r="O2002" s="3" t="s">
        <v>2103</v>
      </c>
      <c r="P2002" s="3" t="s">
        <v>102</v>
      </c>
      <c r="Q2002" s="3" t="s">
        <v>103</v>
      </c>
      <c r="R2002" s="3" t="s">
        <v>103</v>
      </c>
    </row>
    <row r="2003" spans="1:18">
      <c r="A2003" s="19">
        <v>47677</v>
      </c>
      <c r="B2003" s="3" t="s">
        <v>11</v>
      </c>
      <c r="C2003" s="3" t="s">
        <v>12</v>
      </c>
      <c r="D2003" s="3" t="s">
        <v>23</v>
      </c>
      <c r="E2003" s="3" t="s">
        <v>14</v>
      </c>
      <c r="F2003" s="3" t="s">
        <v>38</v>
      </c>
      <c r="G2003" s="3" t="s">
        <v>31</v>
      </c>
      <c r="H2003">
        <v>420000</v>
      </c>
      <c r="I2003">
        <v>7</v>
      </c>
      <c r="J2003" s="3" t="s">
        <v>35</v>
      </c>
      <c r="K2003">
        <v>336000</v>
      </c>
      <c r="L2003">
        <v>2940000</v>
      </c>
      <c r="M2003">
        <v>2352000</v>
      </c>
      <c r="N2003">
        <v>588000</v>
      </c>
      <c r="O2003" s="3" t="s">
        <v>2104</v>
      </c>
      <c r="P2003" s="3" t="s">
        <v>102</v>
      </c>
      <c r="Q2003" s="3" t="s">
        <v>103</v>
      </c>
      <c r="R2003" s="3" t="s">
        <v>103</v>
      </c>
    </row>
    <row r="2004" spans="1:18">
      <c r="A2004" s="19">
        <v>47678</v>
      </c>
      <c r="B2004" s="3" t="s">
        <v>25</v>
      </c>
      <c r="C2004" s="3" t="s">
        <v>19</v>
      </c>
      <c r="D2004" s="3" t="s">
        <v>13</v>
      </c>
      <c r="E2004" s="3" t="s">
        <v>20</v>
      </c>
      <c r="F2004" s="3" t="s">
        <v>33</v>
      </c>
      <c r="G2004" s="3" t="s">
        <v>22</v>
      </c>
      <c r="H2004">
        <v>180000</v>
      </c>
      <c r="I2004">
        <v>7</v>
      </c>
      <c r="J2004" s="3" t="s">
        <v>28</v>
      </c>
      <c r="K2004">
        <v>144000</v>
      </c>
      <c r="L2004">
        <v>1260000</v>
      </c>
      <c r="M2004">
        <v>1008000</v>
      </c>
      <c r="N2004">
        <v>252000</v>
      </c>
      <c r="O2004" s="3" t="s">
        <v>2105</v>
      </c>
      <c r="P2004" s="3" t="s">
        <v>102</v>
      </c>
      <c r="Q2004" s="3" t="s">
        <v>103</v>
      </c>
      <c r="R2004" s="3" t="s">
        <v>103</v>
      </c>
    </row>
    <row r="2005" spans="1:18">
      <c r="A2005" s="19">
        <v>47679</v>
      </c>
      <c r="B2005" s="3" t="s">
        <v>11</v>
      </c>
      <c r="C2005" s="3" t="s">
        <v>12</v>
      </c>
      <c r="D2005" s="3" t="s">
        <v>13</v>
      </c>
      <c r="E2005" s="3" t="s">
        <v>20</v>
      </c>
      <c r="F2005" s="3" t="s">
        <v>34</v>
      </c>
      <c r="G2005" s="3" t="s">
        <v>16</v>
      </c>
      <c r="H2005">
        <v>320000</v>
      </c>
      <c r="I2005">
        <v>2</v>
      </c>
      <c r="J2005" s="3" t="s">
        <v>39</v>
      </c>
      <c r="K2005">
        <v>256000</v>
      </c>
      <c r="L2005">
        <v>640000</v>
      </c>
      <c r="M2005">
        <v>512000</v>
      </c>
      <c r="N2005">
        <v>128000</v>
      </c>
      <c r="O2005" s="3" t="s">
        <v>2106</v>
      </c>
      <c r="P2005" s="3" t="s">
        <v>102</v>
      </c>
      <c r="Q2005" s="3" t="s">
        <v>103</v>
      </c>
      <c r="R2005" s="3" t="s">
        <v>103</v>
      </c>
    </row>
    <row r="2006" spans="1:18">
      <c r="A2006" s="19">
        <v>47680</v>
      </c>
      <c r="B2006" s="3" t="s">
        <v>29</v>
      </c>
      <c r="C2006" s="3" t="s">
        <v>12</v>
      </c>
      <c r="D2006" s="3" t="s">
        <v>23</v>
      </c>
      <c r="E2006" s="3" t="s">
        <v>20</v>
      </c>
      <c r="F2006" s="3" t="s">
        <v>34</v>
      </c>
      <c r="G2006" s="3" t="s">
        <v>16</v>
      </c>
      <c r="H2006">
        <v>320000</v>
      </c>
      <c r="I2006">
        <v>6</v>
      </c>
      <c r="J2006" s="3" t="s">
        <v>39</v>
      </c>
      <c r="K2006">
        <v>256000</v>
      </c>
      <c r="L2006">
        <v>1920000</v>
      </c>
      <c r="M2006">
        <v>1536000</v>
      </c>
      <c r="N2006">
        <v>384000</v>
      </c>
      <c r="O2006" s="3" t="s">
        <v>2107</v>
      </c>
      <c r="P2006" s="3" t="s">
        <v>102</v>
      </c>
      <c r="Q2006" s="3" t="s">
        <v>103</v>
      </c>
      <c r="R2006" s="3" t="s">
        <v>103</v>
      </c>
    </row>
    <row r="2007" spans="1:18">
      <c r="A2007" s="19">
        <v>47681</v>
      </c>
      <c r="B2007" s="3" t="s">
        <v>18</v>
      </c>
      <c r="C2007" s="3" t="s">
        <v>26</v>
      </c>
      <c r="D2007" s="3" t="s">
        <v>23</v>
      </c>
      <c r="E2007" s="3" t="s">
        <v>14</v>
      </c>
      <c r="F2007" s="3" t="s">
        <v>21</v>
      </c>
      <c r="G2007" s="3" t="s">
        <v>22</v>
      </c>
      <c r="H2007">
        <v>30000</v>
      </c>
      <c r="I2007">
        <v>3</v>
      </c>
      <c r="J2007" s="3" t="s">
        <v>37</v>
      </c>
      <c r="K2007">
        <v>24000</v>
      </c>
      <c r="L2007">
        <v>90000</v>
      </c>
      <c r="M2007">
        <v>72000</v>
      </c>
      <c r="N2007">
        <v>18000</v>
      </c>
      <c r="O2007" s="3" t="s">
        <v>2108</v>
      </c>
      <c r="P2007" s="3" t="s">
        <v>102</v>
      </c>
      <c r="Q2007" s="3" t="s">
        <v>103</v>
      </c>
      <c r="R2007" s="3" t="s">
        <v>103</v>
      </c>
    </row>
    <row r="2008" spans="1:18">
      <c r="A2008" s="19">
        <v>47682</v>
      </c>
      <c r="B2008" s="3" t="s">
        <v>29</v>
      </c>
      <c r="C2008" s="3" t="s">
        <v>12</v>
      </c>
      <c r="D2008" s="3" t="s">
        <v>13</v>
      </c>
      <c r="E2008" s="3" t="s">
        <v>14</v>
      </c>
      <c r="F2008" s="3" t="s">
        <v>38</v>
      </c>
      <c r="G2008" s="3" t="s">
        <v>31</v>
      </c>
      <c r="H2008">
        <v>420000</v>
      </c>
      <c r="I2008">
        <v>3</v>
      </c>
      <c r="J2008" s="3" t="s">
        <v>17</v>
      </c>
      <c r="K2008">
        <v>336000</v>
      </c>
      <c r="L2008">
        <v>1260000</v>
      </c>
      <c r="M2008">
        <v>1008000</v>
      </c>
      <c r="N2008">
        <v>252000</v>
      </c>
      <c r="O2008" s="3" t="s">
        <v>2109</v>
      </c>
      <c r="P2008" s="3" t="s">
        <v>102</v>
      </c>
      <c r="Q2008" s="3" t="s">
        <v>103</v>
      </c>
      <c r="R2008" s="3" t="s">
        <v>103</v>
      </c>
    </row>
    <row r="2009" spans="1:18">
      <c r="A2009" s="19">
        <v>47683</v>
      </c>
      <c r="B2009" s="3" t="s">
        <v>25</v>
      </c>
      <c r="C2009" s="3" t="s">
        <v>19</v>
      </c>
      <c r="D2009" s="3" t="s">
        <v>13</v>
      </c>
      <c r="E2009" s="3" t="s">
        <v>20</v>
      </c>
      <c r="F2009" s="3" t="s">
        <v>21</v>
      </c>
      <c r="G2009" s="3" t="s">
        <v>22</v>
      </c>
      <c r="H2009">
        <v>30000</v>
      </c>
      <c r="I2009">
        <v>9</v>
      </c>
      <c r="J2009" s="3" t="s">
        <v>35</v>
      </c>
      <c r="K2009">
        <v>24000</v>
      </c>
      <c r="L2009">
        <v>270000</v>
      </c>
      <c r="M2009">
        <v>216000</v>
      </c>
      <c r="N2009">
        <v>54000</v>
      </c>
      <c r="O2009" s="3" t="s">
        <v>2110</v>
      </c>
      <c r="P2009" s="3" t="s">
        <v>102</v>
      </c>
      <c r="Q2009" s="3" t="s">
        <v>103</v>
      </c>
      <c r="R2009" s="3" t="s">
        <v>103</v>
      </c>
    </row>
    <row r="2010" spans="1:18">
      <c r="A2010" s="19">
        <v>47684</v>
      </c>
      <c r="B2010" s="3" t="s">
        <v>18</v>
      </c>
      <c r="C2010" s="3" t="s">
        <v>12</v>
      </c>
      <c r="D2010" s="3" t="s">
        <v>23</v>
      </c>
      <c r="E2010" s="3" t="s">
        <v>20</v>
      </c>
      <c r="F2010" s="3" t="s">
        <v>34</v>
      </c>
      <c r="G2010" s="3" t="s">
        <v>16</v>
      </c>
      <c r="H2010">
        <v>320000</v>
      </c>
      <c r="I2010">
        <v>4</v>
      </c>
      <c r="J2010" s="3" t="s">
        <v>17</v>
      </c>
      <c r="K2010">
        <v>256000</v>
      </c>
      <c r="L2010">
        <v>1280000</v>
      </c>
      <c r="M2010">
        <v>1024000</v>
      </c>
      <c r="N2010">
        <v>256000</v>
      </c>
      <c r="O2010" s="3" t="s">
        <v>2111</v>
      </c>
      <c r="P2010" s="3" t="s">
        <v>102</v>
      </c>
      <c r="Q2010" s="3" t="s">
        <v>103</v>
      </c>
      <c r="R2010" s="3" t="s">
        <v>103</v>
      </c>
    </row>
    <row r="2011" spans="1:18">
      <c r="A2011" s="19">
        <v>47685</v>
      </c>
      <c r="B2011" s="3" t="s">
        <v>29</v>
      </c>
      <c r="C2011" s="3" t="s">
        <v>32</v>
      </c>
      <c r="D2011" s="3" t="s">
        <v>23</v>
      </c>
      <c r="E2011" s="3" t="s">
        <v>20</v>
      </c>
      <c r="F2011" s="3" t="s">
        <v>36</v>
      </c>
      <c r="G2011" s="3" t="s">
        <v>31</v>
      </c>
      <c r="H2011">
        <v>150000</v>
      </c>
      <c r="I2011">
        <v>5</v>
      </c>
      <c r="J2011" s="3" t="s">
        <v>24</v>
      </c>
      <c r="K2011">
        <v>120000</v>
      </c>
      <c r="L2011">
        <v>750000</v>
      </c>
      <c r="M2011">
        <v>600000</v>
      </c>
      <c r="N2011">
        <v>150000</v>
      </c>
      <c r="O2011" s="3" t="s">
        <v>2112</v>
      </c>
      <c r="P2011" s="3" t="s">
        <v>102</v>
      </c>
      <c r="Q2011" s="3" t="s">
        <v>103</v>
      </c>
      <c r="R2011" s="3" t="s">
        <v>103</v>
      </c>
    </row>
    <row r="2012" spans="1:18">
      <c r="A2012" s="19">
        <v>47686</v>
      </c>
      <c r="B2012" s="3" t="s">
        <v>25</v>
      </c>
      <c r="C2012" s="3" t="s">
        <v>12</v>
      </c>
      <c r="D2012" s="3" t="s">
        <v>23</v>
      </c>
      <c r="E2012" s="3" t="s">
        <v>20</v>
      </c>
      <c r="F2012" s="3" t="s">
        <v>15</v>
      </c>
      <c r="G2012" s="3" t="s">
        <v>16</v>
      </c>
      <c r="H2012">
        <v>85000</v>
      </c>
      <c r="I2012">
        <v>8</v>
      </c>
      <c r="J2012" s="3" t="s">
        <v>35</v>
      </c>
      <c r="K2012">
        <v>68000</v>
      </c>
      <c r="L2012">
        <v>680000</v>
      </c>
      <c r="M2012">
        <v>544000</v>
      </c>
      <c r="N2012">
        <v>136000</v>
      </c>
      <c r="O2012" s="3" t="s">
        <v>2113</v>
      </c>
      <c r="P2012" s="3" t="s">
        <v>102</v>
      </c>
      <c r="Q2012" s="3" t="s">
        <v>103</v>
      </c>
      <c r="R2012" s="3" t="s">
        <v>103</v>
      </c>
    </row>
    <row r="2013" spans="1:18">
      <c r="A2013" s="19">
        <v>47687</v>
      </c>
      <c r="B2013" s="3" t="s">
        <v>29</v>
      </c>
      <c r="C2013" s="3" t="s">
        <v>32</v>
      </c>
      <c r="D2013" s="3" t="s">
        <v>13</v>
      </c>
      <c r="E2013" s="3" t="s">
        <v>20</v>
      </c>
      <c r="F2013" s="3" t="s">
        <v>27</v>
      </c>
      <c r="G2013" s="3" t="s">
        <v>22</v>
      </c>
      <c r="H2013">
        <v>60000</v>
      </c>
      <c r="I2013">
        <v>1</v>
      </c>
      <c r="J2013" s="3" t="s">
        <v>17</v>
      </c>
      <c r="K2013">
        <v>48000</v>
      </c>
      <c r="L2013">
        <v>60000</v>
      </c>
      <c r="M2013">
        <v>48000</v>
      </c>
      <c r="N2013">
        <v>12000</v>
      </c>
      <c r="O2013" s="3" t="s">
        <v>2114</v>
      </c>
      <c r="P2013" s="3" t="s">
        <v>102</v>
      </c>
      <c r="Q2013" s="3" t="s">
        <v>103</v>
      </c>
      <c r="R2013" s="3" t="s">
        <v>103</v>
      </c>
    </row>
    <row r="2014" spans="1:18">
      <c r="A2014" s="19">
        <v>47688</v>
      </c>
      <c r="B2014" s="3" t="s">
        <v>25</v>
      </c>
      <c r="C2014" s="3" t="s">
        <v>19</v>
      </c>
      <c r="D2014" s="3" t="s">
        <v>13</v>
      </c>
      <c r="E2014" s="3" t="s">
        <v>14</v>
      </c>
      <c r="F2014" s="3" t="s">
        <v>41</v>
      </c>
      <c r="G2014" s="3" t="s">
        <v>22</v>
      </c>
      <c r="H2014">
        <v>220000</v>
      </c>
      <c r="I2014">
        <v>3</v>
      </c>
      <c r="J2014" s="3" t="s">
        <v>28</v>
      </c>
      <c r="K2014">
        <v>176000</v>
      </c>
      <c r="L2014">
        <v>660000</v>
      </c>
      <c r="M2014">
        <v>528000</v>
      </c>
      <c r="N2014">
        <v>132000</v>
      </c>
      <c r="O2014" s="3" t="s">
        <v>2115</v>
      </c>
      <c r="P2014" s="3" t="s">
        <v>102</v>
      </c>
      <c r="Q2014" s="3" t="s">
        <v>103</v>
      </c>
      <c r="R2014" s="3" t="s">
        <v>103</v>
      </c>
    </row>
    <row r="2015" spans="1:18">
      <c r="A2015" s="19">
        <v>47689</v>
      </c>
      <c r="B2015" s="3" t="s">
        <v>11</v>
      </c>
      <c r="C2015" s="3" t="s">
        <v>32</v>
      </c>
      <c r="D2015" s="3" t="s">
        <v>23</v>
      </c>
      <c r="E2015" s="3" t="s">
        <v>14</v>
      </c>
      <c r="F2015" s="3" t="s">
        <v>33</v>
      </c>
      <c r="G2015" s="3" t="s">
        <v>22</v>
      </c>
      <c r="H2015">
        <v>180000</v>
      </c>
      <c r="I2015">
        <v>2</v>
      </c>
      <c r="J2015" s="3" t="s">
        <v>37</v>
      </c>
      <c r="K2015">
        <v>144000</v>
      </c>
      <c r="L2015">
        <v>360000</v>
      </c>
      <c r="M2015">
        <v>288000</v>
      </c>
      <c r="N2015">
        <v>72000</v>
      </c>
      <c r="O2015" s="3" t="s">
        <v>2116</v>
      </c>
      <c r="P2015" s="3" t="s">
        <v>102</v>
      </c>
      <c r="Q2015" s="3" t="s">
        <v>103</v>
      </c>
      <c r="R2015" s="3" t="s">
        <v>103</v>
      </c>
    </row>
    <row r="2016" spans="1:18">
      <c r="A2016" s="19">
        <v>47690</v>
      </c>
      <c r="B2016" s="3" t="s">
        <v>25</v>
      </c>
      <c r="C2016" s="3" t="s">
        <v>12</v>
      </c>
      <c r="D2016" s="3" t="s">
        <v>23</v>
      </c>
      <c r="E2016" s="3" t="s">
        <v>14</v>
      </c>
      <c r="F2016" s="3" t="s">
        <v>40</v>
      </c>
      <c r="G2016" s="3" t="s">
        <v>31</v>
      </c>
      <c r="H2016">
        <v>250000</v>
      </c>
      <c r="I2016">
        <v>9</v>
      </c>
      <c r="J2016" s="3" t="s">
        <v>24</v>
      </c>
      <c r="K2016">
        <v>200000</v>
      </c>
      <c r="L2016">
        <v>2250000</v>
      </c>
      <c r="M2016">
        <v>1800000</v>
      </c>
      <c r="N2016">
        <v>450000</v>
      </c>
      <c r="O2016" s="3" t="s">
        <v>2117</v>
      </c>
      <c r="P2016" s="3" t="s">
        <v>102</v>
      </c>
      <c r="Q2016" s="3" t="s">
        <v>103</v>
      </c>
      <c r="R2016" s="3" t="s">
        <v>103</v>
      </c>
    </row>
    <row r="2017" spans="1:18">
      <c r="A2017" s="19">
        <v>47691</v>
      </c>
      <c r="B2017" s="3" t="s">
        <v>11</v>
      </c>
      <c r="C2017" s="3" t="s">
        <v>12</v>
      </c>
      <c r="D2017" s="3" t="s">
        <v>23</v>
      </c>
      <c r="E2017" s="3" t="s">
        <v>14</v>
      </c>
      <c r="F2017" s="3" t="s">
        <v>30</v>
      </c>
      <c r="G2017" s="3" t="s">
        <v>31</v>
      </c>
      <c r="H2017">
        <v>300000</v>
      </c>
      <c r="I2017">
        <v>8</v>
      </c>
      <c r="J2017" s="3" t="s">
        <v>37</v>
      </c>
      <c r="K2017">
        <v>240000</v>
      </c>
      <c r="L2017">
        <v>2400000</v>
      </c>
      <c r="M2017">
        <v>1920000</v>
      </c>
      <c r="N2017">
        <v>480000</v>
      </c>
      <c r="O2017" s="3" t="s">
        <v>2118</v>
      </c>
      <c r="P2017" s="3" t="s">
        <v>102</v>
      </c>
      <c r="Q2017" s="3" t="s">
        <v>103</v>
      </c>
      <c r="R2017" s="3" t="s">
        <v>103</v>
      </c>
    </row>
    <row r="2018" spans="1:18">
      <c r="A2018" s="19">
        <v>47692</v>
      </c>
      <c r="B2018" s="3" t="s">
        <v>11</v>
      </c>
      <c r="C2018" s="3" t="s">
        <v>19</v>
      </c>
      <c r="D2018" s="3" t="s">
        <v>13</v>
      </c>
      <c r="E2018" s="3" t="s">
        <v>14</v>
      </c>
      <c r="F2018" s="3" t="s">
        <v>36</v>
      </c>
      <c r="G2018" s="3" t="s">
        <v>31</v>
      </c>
      <c r="H2018">
        <v>150000</v>
      </c>
      <c r="I2018">
        <v>6</v>
      </c>
      <c r="J2018" s="3" t="s">
        <v>17</v>
      </c>
      <c r="K2018">
        <v>120000</v>
      </c>
      <c r="L2018">
        <v>900000</v>
      </c>
      <c r="M2018">
        <v>720000</v>
      </c>
      <c r="N2018">
        <v>180000</v>
      </c>
      <c r="O2018" s="3" t="s">
        <v>2119</v>
      </c>
      <c r="P2018" s="3" t="s">
        <v>102</v>
      </c>
      <c r="Q2018" s="3" t="s">
        <v>103</v>
      </c>
      <c r="R2018" s="3" t="s">
        <v>103</v>
      </c>
    </row>
    <row r="2019" spans="1:18">
      <c r="A2019" s="19">
        <v>47693</v>
      </c>
      <c r="B2019" s="3" t="s">
        <v>29</v>
      </c>
      <c r="C2019" s="3" t="s">
        <v>32</v>
      </c>
      <c r="D2019" s="3" t="s">
        <v>23</v>
      </c>
      <c r="E2019" s="3" t="s">
        <v>20</v>
      </c>
      <c r="F2019" s="3" t="s">
        <v>15</v>
      </c>
      <c r="G2019" s="3" t="s">
        <v>16</v>
      </c>
      <c r="H2019">
        <v>85000</v>
      </c>
      <c r="I2019">
        <v>9</v>
      </c>
      <c r="J2019" s="3" t="s">
        <v>28</v>
      </c>
      <c r="K2019">
        <v>68000</v>
      </c>
      <c r="L2019">
        <v>765000</v>
      </c>
      <c r="M2019">
        <v>612000</v>
      </c>
      <c r="N2019">
        <v>153000</v>
      </c>
      <c r="O2019" s="3" t="s">
        <v>2120</v>
      </c>
      <c r="P2019" s="3" t="s">
        <v>102</v>
      </c>
      <c r="Q2019" s="3" t="s">
        <v>103</v>
      </c>
      <c r="R2019" s="3" t="s">
        <v>103</v>
      </c>
    </row>
    <row r="2020" spans="1:18">
      <c r="A2020" s="19">
        <v>47694</v>
      </c>
      <c r="B2020" s="3" t="s">
        <v>29</v>
      </c>
      <c r="C2020" s="3" t="s">
        <v>26</v>
      </c>
      <c r="D2020" s="3" t="s">
        <v>23</v>
      </c>
      <c r="E2020" s="3" t="s">
        <v>14</v>
      </c>
      <c r="F2020" s="3" t="s">
        <v>27</v>
      </c>
      <c r="G2020" s="3" t="s">
        <v>22</v>
      </c>
      <c r="H2020">
        <v>60000</v>
      </c>
      <c r="I2020">
        <v>3</v>
      </c>
      <c r="J2020" s="3" t="s">
        <v>24</v>
      </c>
      <c r="K2020">
        <v>48000</v>
      </c>
      <c r="L2020">
        <v>180000</v>
      </c>
      <c r="M2020">
        <v>144000</v>
      </c>
      <c r="N2020">
        <v>36000</v>
      </c>
      <c r="O2020" s="3" t="s">
        <v>2121</v>
      </c>
      <c r="P2020" s="3" t="s">
        <v>102</v>
      </c>
      <c r="Q2020" s="3" t="s">
        <v>103</v>
      </c>
      <c r="R2020" s="3" t="s">
        <v>103</v>
      </c>
    </row>
    <row r="2021" spans="1:18">
      <c r="A2021" s="19">
        <v>47695</v>
      </c>
      <c r="B2021" s="3" t="s">
        <v>25</v>
      </c>
      <c r="C2021" s="3" t="s">
        <v>32</v>
      </c>
      <c r="D2021" s="3" t="s">
        <v>13</v>
      </c>
      <c r="E2021" s="3" t="s">
        <v>20</v>
      </c>
      <c r="F2021" s="3" t="s">
        <v>38</v>
      </c>
      <c r="G2021" s="3" t="s">
        <v>31</v>
      </c>
      <c r="H2021">
        <v>420000</v>
      </c>
      <c r="I2021">
        <v>7</v>
      </c>
      <c r="J2021" s="3" t="s">
        <v>35</v>
      </c>
      <c r="K2021">
        <v>336000</v>
      </c>
      <c r="L2021">
        <v>2940000</v>
      </c>
      <c r="M2021">
        <v>2352000</v>
      </c>
      <c r="N2021">
        <v>588000</v>
      </c>
      <c r="O2021" s="3" t="s">
        <v>2122</v>
      </c>
      <c r="P2021" s="3" t="s">
        <v>102</v>
      </c>
      <c r="Q2021" s="3" t="s">
        <v>103</v>
      </c>
      <c r="R2021" s="3" t="s">
        <v>103</v>
      </c>
    </row>
    <row r="2022" spans="1:18">
      <c r="A2022" s="19">
        <v>47696</v>
      </c>
      <c r="B2022" s="3" t="s">
        <v>25</v>
      </c>
      <c r="C2022" s="3" t="s">
        <v>12</v>
      </c>
      <c r="D2022" s="3" t="s">
        <v>23</v>
      </c>
      <c r="E2022" s="3" t="s">
        <v>14</v>
      </c>
      <c r="F2022" s="3" t="s">
        <v>15</v>
      </c>
      <c r="G2022" s="3" t="s">
        <v>16</v>
      </c>
      <c r="H2022">
        <v>85000</v>
      </c>
      <c r="I2022">
        <v>5</v>
      </c>
      <c r="J2022" s="3" t="s">
        <v>24</v>
      </c>
      <c r="K2022">
        <v>68000</v>
      </c>
      <c r="L2022">
        <v>425000</v>
      </c>
      <c r="M2022">
        <v>340000</v>
      </c>
      <c r="N2022">
        <v>85000</v>
      </c>
      <c r="O2022" s="3" t="s">
        <v>2123</v>
      </c>
      <c r="P2022" s="3" t="s">
        <v>102</v>
      </c>
      <c r="Q2022" s="3" t="s">
        <v>103</v>
      </c>
      <c r="R2022" s="3" t="s">
        <v>103</v>
      </c>
    </row>
    <row r="2023" spans="1:18">
      <c r="A2023" s="19">
        <v>47697</v>
      </c>
      <c r="B2023" s="3" t="s">
        <v>18</v>
      </c>
      <c r="C2023" s="3" t="s">
        <v>12</v>
      </c>
      <c r="D2023" s="3" t="s">
        <v>23</v>
      </c>
      <c r="E2023" s="3" t="s">
        <v>14</v>
      </c>
      <c r="F2023" s="3" t="s">
        <v>27</v>
      </c>
      <c r="G2023" s="3" t="s">
        <v>22</v>
      </c>
      <c r="H2023">
        <v>60000</v>
      </c>
      <c r="I2023">
        <v>7</v>
      </c>
      <c r="J2023" s="3" t="s">
        <v>24</v>
      </c>
      <c r="K2023">
        <v>48000</v>
      </c>
      <c r="L2023">
        <v>420000</v>
      </c>
      <c r="M2023">
        <v>336000</v>
      </c>
      <c r="N2023">
        <v>84000</v>
      </c>
      <c r="O2023" s="3" t="s">
        <v>2124</v>
      </c>
      <c r="P2023" s="3" t="s">
        <v>102</v>
      </c>
      <c r="Q2023" s="3" t="s">
        <v>103</v>
      </c>
      <c r="R2023" s="3" t="s">
        <v>103</v>
      </c>
    </row>
    <row r="2024" spans="1:18">
      <c r="A2024" s="19">
        <v>47698</v>
      </c>
      <c r="B2024" s="3" t="s">
        <v>18</v>
      </c>
      <c r="C2024" s="3" t="s">
        <v>32</v>
      </c>
      <c r="D2024" s="3" t="s">
        <v>13</v>
      </c>
      <c r="E2024" s="3" t="s">
        <v>14</v>
      </c>
      <c r="F2024" s="3" t="s">
        <v>33</v>
      </c>
      <c r="G2024" s="3" t="s">
        <v>22</v>
      </c>
      <c r="H2024">
        <v>180000</v>
      </c>
      <c r="I2024">
        <v>2</v>
      </c>
      <c r="J2024" s="3" t="s">
        <v>35</v>
      </c>
      <c r="K2024">
        <v>144000</v>
      </c>
      <c r="L2024">
        <v>360000</v>
      </c>
      <c r="M2024">
        <v>288000</v>
      </c>
      <c r="N2024">
        <v>72000</v>
      </c>
      <c r="O2024" s="3" t="s">
        <v>2125</v>
      </c>
      <c r="P2024" s="3" t="s">
        <v>102</v>
      </c>
      <c r="Q2024" s="3" t="s">
        <v>103</v>
      </c>
      <c r="R2024" s="3" t="s">
        <v>103</v>
      </c>
    </row>
    <row r="2025" spans="1:18">
      <c r="A2025" s="19">
        <v>47699</v>
      </c>
      <c r="B2025" s="3" t="s">
        <v>11</v>
      </c>
      <c r="C2025" s="3" t="s">
        <v>12</v>
      </c>
      <c r="D2025" s="3" t="s">
        <v>23</v>
      </c>
      <c r="E2025" s="3" t="s">
        <v>20</v>
      </c>
      <c r="F2025" s="3" t="s">
        <v>40</v>
      </c>
      <c r="G2025" s="3" t="s">
        <v>31</v>
      </c>
      <c r="H2025">
        <v>250000</v>
      </c>
      <c r="I2025">
        <v>3</v>
      </c>
      <c r="J2025" s="3" t="s">
        <v>37</v>
      </c>
      <c r="K2025">
        <v>200000</v>
      </c>
      <c r="L2025">
        <v>750000</v>
      </c>
      <c r="M2025">
        <v>600000</v>
      </c>
      <c r="N2025">
        <v>150000</v>
      </c>
      <c r="O2025" s="3" t="s">
        <v>2126</v>
      </c>
      <c r="P2025" s="3" t="s">
        <v>102</v>
      </c>
      <c r="Q2025" s="3" t="s">
        <v>103</v>
      </c>
      <c r="R2025" s="3" t="s">
        <v>103</v>
      </c>
    </row>
    <row r="2026" spans="1:18">
      <c r="A2026" s="19">
        <v>47700</v>
      </c>
      <c r="B2026" s="3" t="s">
        <v>18</v>
      </c>
      <c r="C2026" s="3" t="s">
        <v>26</v>
      </c>
      <c r="D2026" s="3" t="s">
        <v>23</v>
      </c>
      <c r="E2026" s="3" t="s">
        <v>14</v>
      </c>
      <c r="F2026" s="3" t="s">
        <v>33</v>
      </c>
      <c r="G2026" s="3" t="s">
        <v>22</v>
      </c>
      <c r="H2026">
        <v>180000</v>
      </c>
      <c r="I2026">
        <v>6</v>
      </c>
      <c r="J2026" s="3" t="s">
        <v>39</v>
      </c>
      <c r="K2026">
        <v>144000</v>
      </c>
      <c r="L2026">
        <v>1080000</v>
      </c>
      <c r="M2026">
        <v>864000</v>
      </c>
      <c r="N2026">
        <v>216000</v>
      </c>
      <c r="O2026" s="3" t="s">
        <v>2127</v>
      </c>
      <c r="P2026" s="3" t="s">
        <v>102</v>
      </c>
      <c r="Q2026" s="3" t="s">
        <v>103</v>
      </c>
      <c r="R2026" s="3" t="s">
        <v>103</v>
      </c>
    </row>
    <row r="2027" spans="1:18">
      <c r="A2027" s="19">
        <v>47701</v>
      </c>
      <c r="B2027" s="3" t="s">
        <v>18</v>
      </c>
      <c r="C2027" s="3" t="s">
        <v>32</v>
      </c>
      <c r="D2027" s="3" t="s">
        <v>13</v>
      </c>
      <c r="E2027" s="3" t="s">
        <v>20</v>
      </c>
      <c r="F2027" s="3" t="s">
        <v>15</v>
      </c>
      <c r="G2027" s="3" t="s">
        <v>16</v>
      </c>
      <c r="H2027">
        <v>85000</v>
      </c>
      <c r="I2027">
        <v>2</v>
      </c>
      <c r="J2027" s="3" t="s">
        <v>39</v>
      </c>
      <c r="K2027">
        <v>68000</v>
      </c>
      <c r="L2027">
        <v>170000</v>
      </c>
      <c r="M2027">
        <v>136000</v>
      </c>
      <c r="N2027">
        <v>34000</v>
      </c>
      <c r="O2027" s="3" t="s">
        <v>2128</v>
      </c>
      <c r="P2027" s="3" t="s">
        <v>102</v>
      </c>
      <c r="Q2027" s="3" t="s">
        <v>103</v>
      </c>
      <c r="R2027" s="3" t="s">
        <v>103</v>
      </c>
    </row>
    <row r="2028" spans="1:18">
      <c r="A2028" s="19">
        <v>47702</v>
      </c>
      <c r="B2028" s="3" t="s">
        <v>29</v>
      </c>
      <c r="C2028" s="3" t="s">
        <v>32</v>
      </c>
      <c r="D2028" s="3" t="s">
        <v>23</v>
      </c>
      <c r="E2028" s="3" t="s">
        <v>20</v>
      </c>
      <c r="F2028" s="3" t="s">
        <v>40</v>
      </c>
      <c r="G2028" s="3" t="s">
        <v>31</v>
      </c>
      <c r="H2028">
        <v>250000</v>
      </c>
      <c r="I2028">
        <v>5</v>
      </c>
      <c r="J2028" s="3" t="s">
        <v>28</v>
      </c>
      <c r="K2028">
        <v>200000</v>
      </c>
      <c r="L2028">
        <v>1250000</v>
      </c>
      <c r="M2028">
        <v>1000000</v>
      </c>
      <c r="N2028">
        <v>250000</v>
      </c>
      <c r="O2028" s="3" t="s">
        <v>2129</v>
      </c>
      <c r="P2028" s="3" t="s">
        <v>102</v>
      </c>
      <c r="Q2028" s="3" t="s">
        <v>103</v>
      </c>
      <c r="R2028" s="3" t="s">
        <v>103</v>
      </c>
    </row>
    <row r="2029" spans="1:18">
      <c r="A2029" s="19">
        <v>47703</v>
      </c>
      <c r="B2029" s="3" t="s">
        <v>11</v>
      </c>
      <c r="C2029" s="3" t="s">
        <v>12</v>
      </c>
      <c r="D2029" s="3" t="s">
        <v>23</v>
      </c>
      <c r="E2029" s="3" t="s">
        <v>20</v>
      </c>
      <c r="F2029" s="3" t="s">
        <v>41</v>
      </c>
      <c r="G2029" s="3" t="s">
        <v>22</v>
      </c>
      <c r="H2029">
        <v>220000</v>
      </c>
      <c r="I2029">
        <v>2</v>
      </c>
      <c r="J2029" s="3" t="s">
        <v>37</v>
      </c>
      <c r="K2029">
        <v>176000</v>
      </c>
      <c r="L2029">
        <v>440000</v>
      </c>
      <c r="M2029">
        <v>352000</v>
      </c>
      <c r="N2029">
        <v>88000</v>
      </c>
      <c r="O2029" s="3" t="s">
        <v>2130</v>
      </c>
      <c r="P2029" s="3" t="s">
        <v>102</v>
      </c>
      <c r="Q2029" s="3" t="s">
        <v>103</v>
      </c>
      <c r="R2029" s="3" t="s">
        <v>103</v>
      </c>
    </row>
    <row r="2030" spans="1:18">
      <c r="A2030" s="19">
        <v>47704</v>
      </c>
      <c r="B2030" s="3" t="s">
        <v>25</v>
      </c>
      <c r="C2030" s="3" t="s">
        <v>32</v>
      </c>
      <c r="D2030" s="3" t="s">
        <v>13</v>
      </c>
      <c r="E2030" s="3" t="s">
        <v>14</v>
      </c>
      <c r="F2030" s="3" t="s">
        <v>21</v>
      </c>
      <c r="G2030" s="3" t="s">
        <v>22</v>
      </c>
      <c r="H2030">
        <v>30000</v>
      </c>
      <c r="I2030">
        <v>2</v>
      </c>
      <c r="J2030" s="3" t="s">
        <v>24</v>
      </c>
      <c r="K2030">
        <v>24000</v>
      </c>
      <c r="L2030">
        <v>60000</v>
      </c>
      <c r="M2030">
        <v>48000</v>
      </c>
      <c r="N2030">
        <v>12000</v>
      </c>
      <c r="O2030" s="3" t="s">
        <v>2131</v>
      </c>
      <c r="P2030" s="3" t="s">
        <v>102</v>
      </c>
      <c r="Q2030" s="3" t="s">
        <v>103</v>
      </c>
      <c r="R2030" s="3" t="s">
        <v>103</v>
      </c>
    </row>
    <row r="2031" spans="1:18">
      <c r="A2031" s="19">
        <v>47705</v>
      </c>
      <c r="B2031" s="3" t="s">
        <v>18</v>
      </c>
      <c r="C2031" s="3" t="s">
        <v>26</v>
      </c>
      <c r="D2031" s="3" t="s">
        <v>23</v>
      </c>
      <c r="E2031" s="3" t="s">
        <v>20</v>
      </c>
      <c r="F2031" s="3" t="s">
        <v>38</v>
      </c>
      <c r="G2031" s="3" t="s">
        <v>31</v>
      </c>
      <c r="H2031">
        <v>420000</v>
      </c>
      <c r="I2031">
        <v>10</v>
      </c>
      <c r="J2031" s="3" t="s">
        <v>37</v>
      </c>
      <c r="K2031">
        <v>336000</v>
      </c>
      <c r="L2031">
        <v>4200000</v>
      </c>
      <c r="M2031">
        <v>3360000</v>
      </c>
      <c r="N2031">
        <v>840000</v>
      </c>
      <c r="O2031" s="3" t="s">
        <v>2132</v>
      </c>
      <c r="P2031" s="3" t="s">
        <v>102</v>
      </c>
      <c r="Q2031" s="3" t="s">
        <v>103</v>
      </c>
      <c r="R2031" s="3" t="s">
        <v>103</v>
      </c>
    </row>
    <row r="2032" spans="1:18">
      <c r="A2032" s="19">
        <v>47706</v>
      </c>
      <c r="B2032" s="3" t="s">
        <v>29</v>
      </c>
      <c r="C2032" s="3" t="s">
        <v>32</v>
      </c>
      <c r="D2032" s="3" t="s">
        <v>23</v>
      </c>
      <c r="E2032" s="3" t="s">
        <v>14</v>
      </c>
      <c r="F2032" s="3" t="s">
        <v>41</v>
      </c>
      <c r="G2032" s="3" t="s">
        <v>22</v>
      </c>
      <c r="H2032">
        <v>220000</v>
      </c>
      <c r="I2032">
        <v>2</v>
      </c>
      <c r="J2032" s="3" t="s">
        <v>35</v>
      </c>
      <c r="K2032">
        <v>176000</v>
      </c>
      <c r="L2032">
        <v>440000</v>
      </c>
      <c r="M2032">
        <v>352000</v>
      </c>
      <c r="N2032">
        <v>88000</v>
      </c>
      <c r="O2032" s="3" t="s">
        <v>2133</v>
      </c>
      <c r="P2032" s="3" t="s">
        <v>102</v>
      </c>
      <c r="Q2032" s="3" t="s">
        <v>103</v>
      </c>
      <c r="R2032" s="3" t="s">
        <v>103</v>
      </c>
    </row>
    <row r="2033" spans="1:18">
      <c r="A2033" s="19">
        <v>47707</v>
      </c>
      <c r="B2033" s="3" t="s">
        <v>25</v>
      </c>
      <c r="C2033" s="3" t="s">
        <v>26</v>
      </c>
      <c r="D2033" s="3" t="s">
        <v>23</v>
      </c>
      <c r="E2033" s="3" t="s">
        <v>20</v>
      </c>
      <c r="F2033" s="3" t="s">
        <v>41</v>
      </c>
      <c r="G2033" s="3" t="s">
        <v>22</v>
      </c>
      <c r="H2033">
        <v>220000</v>
      </c>
      <c r="I2033">
        <v>10</v>
      </c>
      <c r="J2033" s="3" t="s">
        <v>24</v>
      </c>
      <c r="K2033">
        <v>176000</v>
      </c>
      <c r="L2033">
        <v>2200000</v>
      </c>
      <c r="M2033">
        <v>1760000</v>
      </c>
      <c r="N2033">
        <v>440000</v>
      </c>
      <c r="O2033" s="3" t="s">
        <v>2134</v>
      </c>
      <c r="P2033" s="3" t="s">
        <v>102</v>
      </c>
      <c r="Q2033" s="3" t="s">
        <v>103</v>
      </c>
      <c r="R2033" s="3" t="s">
        <v>103</v>
      </c>
    </row>
    <row r="2034" spans="1:18">
      <c r="A2034" s="19">
        <v>47708</v>
      </c>
      <c r="B2034" s="3" t="s">
        <v>11</v>
      </c>
      <c r="C2034" s="3" t="s">
        <v>19</v>
      </c>
      <c r="D2034" s="3" t="s">
        <v>23</v>
      </c>
      <c r="E2034" s="3" t="s">
        <v>20</v>
      </c>
      <c r="F2034" s="3" t="s">
        <v>34</v>
      </c>
      <c r="G2034" s="3" t="s">
        <v>16</v>
      </c>
      <c r="H2034">
        <v>320000</v>
      </c>
      <c r="I2034">
        <v>6</v>
      </c>
      <c r="J2034" s="3" t="s">
        <v>35</v>
      </c>
      <c r="K2034">
        <v>256000</v>
      </c>
      <c r="L2034">
        <v>1920000</v>
      </c>
      <c r="M2034">
        <v>1536000</v>
      </c>
      <c r="N2034">
        <v>384000</v>
      </c>
      <c r="O2034" s="3" t="s">
        <v>2135</v>
      </c>
      <c r="P2034" s="3" t="s">
        <v>102</v>
      </c>
      <c r="Q2034" s="3" t="s">
        <v>103</v>
      </c>
      <c r="R2034" s="3" t="s">
        <v>103</v>
      </c>
    </row>
    <row r="2035" spans="1:18">
      <c r="A2035" s="19">
        <v>47709</v>
      </c>
      <c r="B2035" s="3" t="s">
        <v>29</v>
      </c>
      <c r="C2035" s="3" t="s">
        <v>12</v>
      </c>
      <c r="D2035" s="3" t="s">
        <v>23</v>
      </c>
      <c r="E2035" s="3" t="s">
        <v>20</v>
      </c>
      <c r="F2035" s="3" t="s">
        <v>38</v>
      </c>
      <c r="G2035" s="3" t="s">
        <v>31</v>
      </c>
      <c r="H2035">
        <v>420000</v>
      </c>
      <c r="I2035">
        <v>8</v>
      </c>
      <c r="J2035" s="3" t="s">
        <v>35</v>
      </c>
      <c r="K2035">
        <v>336000</v>
      </c>
      <c r="L2035">
        <v>3360000</v>
      </c>
      <c r="M2035">
        <v>2688000</v>
      </c>
      <c r="N2035">
        <v>672000</v>
      </c>
      <c r="O2035" s="3" t="s">
        <v>2136</v>
      </c>
      <c r="P2035" s="3" t="s">
        <v>102</v>
      </c>
      <c r="Q2035" s="3" t="s">
        <v>103</v>
      </c>
      <c r="R2035" s="3" t="s">
        <v>103</v>
      </c>
    </row>
    <row r="2036" spans="1:18">
      <c r="A2036" s="19">
        <v>47710</v>
      </c>
      <c r="B2036" s="3" t="s">
        <v>18</v>
      </c>
      <c r="C2036" s="3" t="s">
        <v>32</v>
      </c>
      <c r="D2036" s="3" t="s">
        <v>13</v>
      </c>
      <c r="E2036" s="3" t="s">
        <v>20</v>
      </c>
      <c r="F2036" s="3" t="s">
        <v>41</v>
      </c>
      <c r="G2036" s="3" t="s">
        <v>22</v>
      </c>
      <c r="H2036">
        <v>220000</v>
      </c>
      <c r="I2036">
        <v>9</v>
      </c>
      <c r="J2036" s="3" t="s">
        <v>35</v>
      </c>
      <c r="K2036">
        <v>176000</v>
      </c>
      <c r="L2036">
        <v>1980000</v>
      </c>
      <c r="M2036">
        <v>1584000</v>
      </c>
      <c r="N2036">
        <v>396000</v>
      </c>
      <c r="O2036" s="3" t="s">
        <v>2137</v>
      </c>
      <c r="P2036" s="3" t="s">
        <v>102</v>
      </c>
      <c r="Q2036" s="3" t="s">
        <v>103</v>
      </c>
      <c r="R2036" s="3" t="s">
        <v>103</v>
      </c>
    </row>
    <row r="2037" spans="1:18">
      <c r="A2037" s="19">
        <v>47711</v>
      </c>
      <c r="B2037" s="3" t="s">
        <v>29</v>
      </c>
      <c r="C2037" s="3" t="s">
        <v>19</v>
      </c>
      <c r="D2037" s="3" t="s">
        <v>23</v>
      </c>
      <c r="E2037" s="3" t="s">
        <v>14</v>
      </c>
      <c r="F2037" s="3" t="s">
        <v>41</v>
      </c>
      <c r="G2037" s="3" t="s">
        <v>22</v>
      </c>
      <c r="H2037">
        <v>220000</v>
      </c>
      <c r="I2037">
        <v>2</v>
      </c>
      <c r="J2037" s="3" t="s">
        <v>39</v>
      </c>
      <c r="K2037">
        <v>176000</v>
      </c>
      <c r="L2037">
        <v>440000</v>
      </c>
      <c r="M2037">
        <v>352000</v>
      </c>
      <c r="N2037">
        <v>88000</v>
      </c>
      <c r="O2037" s="3" t="s">
        <v>2138</v>
      </c>
      <c r="P2037" s="3" t="s">
        <v>102</v>
      </c>
      <c r="Q2037" s="3" t="s">
        <v>103</v>
      </c>
      <c r="R2037" s="3" t="s">
        <v>103</v>
      </c>
    </row>
    <row r="2038" spans="1:18">
      <c r="A2038" s="19">
        <v>47712</v>
      </c>
      <c r="B2038" s="3" t="s">
        <v>25</v>
      </c>
      <c r="C2038" s="3" t="s">
        <v>32</v>
      </c>
      <c r="D2038" s="3" t="s">
        <v>13</v>
      </c>
      <c r="E2038" s="3" t="s">
        <v>14</v>
      </c>
      <c r="F2038" s="3" t="s">
        <v>36</v>
      </c>
      <c r="G2038" s="3" t="s">
        <v>31</v>
      </c>
      <c r="H2038">
        <v>150000</v>
      </c>
      <c r="I2038">
        <v>4</v>
      </c>
      <c r="J2038" s="3" t="s">
        <v>37</v>
      </c>
      <c r="K2038">
        <v>120000</v>
      </c>
      <c r="L2038">
        <v>600000</v>
      </c>
      <c r="M2038">
        <v>480000</v>
      </c>
      <c r="N2038">
        <v>120000</v>
      </c>
      <c r="O2038" s="3" t="s">
        <v>2139</v>
      </c>
      <c r="P2038" s="3" t="s">
        <v>102</v>
      </c>
      <c r="Q2038" s="3" t="s">
        <v>103</v>
      </c>
      <c r="R2038" s="3" t="s">
        <v>103</v>
      </c>
    </row>
    <row r="2039" spans="1:18">
      <c r="A2039" s="19">
        <v>47713</v>
      </c>
      <c r="B2039" s="3" t="s">
        <v>18</v>
      </c>
      <c r="C2039" s="3" t="s">
        <v>26</v>
      </c>
      <c r="D2039" s="3" t="s">
        <v>13</v>
      </c>
      <c r="E2039" s="3" t="s">
        <v>20</v>
      </c>
      <c r="F2039" s="3" t="s">
        <v>30</v>
      </c>
      <c r="G2039" s="3" t="s">
        <v>31</v>
      </c>
      <c r="H2039">
        <v>300000</v>
      </c>
      <c r="I2039">
        <v>7</v>
      </c>
      <c r="J2039" s="3" t="s">
        <v>39</v>
      </c>
      <c r="K2039">
        <v>240000</v>
      </c>
      <c r="L2039">
        <v>2100000</v>
      </c>
      <c r="M2039">
        <v>1680000</v>
      </c>
      <c r="N2039">
        <v>420000</v>
      </c>
      <c r="O2039" s="3" t="s">
        <v>2140</v>
      </c>
      <c r="P2039" s="3" t="s">
        <v>102</v>
      </c>
      <c r="Q2039" s="3" t="s">
        <v>103</v>
      </c>
      <c r="R2039" s="3" t="s">
        <v>103</v>
      </c>
    </row>
    <row r="2040" spans="1:18">
      <c r="A2040" s="19">
        <v>47714</v>
      </c>
      <c r="B2040" s="3" t="s">
        <v>25</v>
      </c>
      <c r="C2040" s="3" t="s">
        <v>19</v>
      </c>
      <c r="D2040" s="3" t="s">
        <v>23</v>
      </c>
      <c r="E2040" s="3" t="s">
        <v>14</v>
      </c>
      <c r="F2040" s="3" t="s">
        <v>38</v>
      </c>
      <c r="G2040" s="3" t="s">
        <v>31</v>
      </c>
      <c r="H2040">
        <v>420000</v>
      </c>
      <c r="I2040">
        <v>4</v>
      </c>
      <c r="J2040" s="3" t="s">
        <v>39</v>
      </c>
      <c r="K2040">
        <v>336000</v>
      </c>
      <c r="L2040">
        <v>1680000</v>
      </c>
      <c r="M2040">
        <v>1344000</v>
      </c>
      <c r="N2040">
        <v>336000</v>
      </c>
      <c r="O2040" s="3" t="s">
        <v>2141</v>
      </c>
      <c r="P2040" s="3" t="s">
        <v>102</v>
      </c>
      <c r="Q2040" s="3" t="s">
        <v>103</v>
      </c>
      <c r="R2040" s="3" t="s">
        <v>103</v>
      </c>
    </row>
    <row r="2041" spans="1:18">
      <c r="A2041" s="19">
        <v>47715</v>
      </c>
      <c r="B2041" s="3" t="s">
        <v>11</v>
      </c>
      <c r="C2041" s="3" t="s">
        <v>26</v>
      </c>
      <c r="D2041" s="3" t="s">
        <v>23</v>
      </c>
      <c r="E2041" s="3" t="s">
        <v>20</v>
      </c>
      <c r="F2041" s="3" t="s">
        <v>27</v>
      </c>
      <c r="G2041" s="3" t="s">
        <v>22</v>
      </c>
      <c r="H2041">
        <v>60000</v>
      </c>
      <c r="I2041">
        <v>4</v>
      </c>
      <c r="J2041" s="3" t="s">
        <v>37</v>
      </c>
      <c r="K2041">
        <v>48000</v>
      </c>
      <c r="L2041">
        <v>240000</v>
      </c>
      <c r="M2041">
        <v>192000</v>
      </c>
      <c r="N2041">
        <v>48000</v>
      </c>
      <c r="O2041" s="3" t="s">
        <v>2142</v>
      </c>
      <c r="P2041" s="3" t="s">
        <v>102</v>
      </c>
      <c r="Q2041" s="3" t="s">
        <v>103</v>
      </c>
      <c r="R2041" s="3" t="s">
        <v>103</v>
      </c>
    </row>
    <row r="2042" spans="1:18">
      <c r="A2042" s="19">
        <v>47716</v>
      </c>
      <c r="B2042" s="3" t="s">
        <v>29</v>
      </c>
      <c r="C2042" s="3" t="s">
        <v>26</v>
      </c>
      <c r="D2042" s="3" t="s">
        <v>13</v>
      </c>
      <c r="E2042" s="3" t="s">
        <v>14</v>
      </c>
      <c r="F2042" s="3" t="s">
        <v>33</v>
      </c>
      <c r="G2042" s="3" t="s">
        <v>22</v>
      </c>
      <c r="H2042">
        <v>180000</v>
      </c>
      <c r="I2042">
        <v>6</v>
      </c>
      <c r="J2042" s="3" t="s">
        <v>17</v>
      </c>
      <c r="K2042">
        <v>144000</v>
      </c>
      <c r="L2042">
        <v>1080000</v>
      </c>
      <c r="M2042">
        <v>864000</v>
      </c>
      <c r="N2042">
        <v>216000</v>
      </c>
      <c r="O2042" s="3" t="s">
        <v>2143</v>
      </c>
      <c r="P2042" s="3" t="s">
        <v>102</v>
      </c>
      <c r="Q2042" s="3" t="s">
        <v>103</v>
      </c>
      <c r="R2042" s="3" t="s">
        <v>103</v>
      </c>
    </row>
    <row r="2043" spans="1:18">
      <c r="A2043" s="19">
        <v>47717</v>
      </c>
      <c r="B2043" s="3" t="s">
        <v>25</v>
      </c>
      <c r="C2043" s="3" t="s">
        <v>26</v>
      </c>
      <c r="D2043" s="3" t="s">
        <v>23</v>
      </c>
      <c r="E2043" s="3" t="s">
        <v>14</v>
      </c>
      <c r="F2043" s="3" t="s">
        <v>30</v>
      </c>
      <c r="G2043" s="3" t="s">
        <v>31</v>
      </c>
      <c r="H2043">
        <v>300000</v>
      </c>
      <c r="I2043">
        <v>8</v>
      </c>
      <c r="J2043" s="3" t="s">
        <v>35</v>
      </c>
      <c r="K2043">
        <v>240000</v>
      </c>
      <c r="L2043">
        <v>2400000</v>
      </c>
      <c r="M2043">
        <v>1920000</v>
      </c>
      <c r="N2043">
        <v>480000</v>
      </c>
      <c r="O2043" s="3" t="s">
        <v>2144</v>
      </c>
      <c r="P2043" s="3" t="s">
        <v>102</v>
      </c>
      <c r="Q2043" s="3" t="s">
        <v>103</v>
      </c>
      <c r="R2043" s="3" t="s">
        <v>103</v>
      </c>
    </row>
    <row r="2044" spans="1:18">
      <c r="A2044" s="19">
        <v>47718</v>
      </c>
      <c r="B2044" s="3" t="s">
        <v>11</v>
      </c>
      <c r="C2044" s="3" t="s">
        <v>12</v>
      </c>
      <c r="D2044" s="3" t="s">
        <v>13</v>
      </c>
      <c r="E2044" s="3" t="s">
        <v>20</v>
      </c>
      <c r="F2044" s="3" t="s">
        <v>34</v>
      </c>
      <c r="G2044" s="3" t="s">
        <v>16</v>
      </c>
      <c r="H2044">
        <v>320000</v>
      </c>
      <c r="I2044">
        <v>10</v>
      </c>
      <c r="J2044" s="3" t="s">
        <v>17</v>
      </c>
      <c r="K2044">
        <v>256000</v>
      </c>
      <c r="L2044">
        <v>3200000</v>
      </c>
      <c r="M2044">
        <v>2560000</v>
      </c>
      <c r="N2044">
        <v>640000</v>
      </c>
      <c r="O2044" s="3" t="s">
        <v>2145</v>
      </c>
      <c r="P2044" s="3" t="s">
        <v>102</v>
      </c>
      <c r="Q2044" s="3" t="s">
        <v>103</v>
      </c>
      <c r="R2044" s="3" t="s">
        <v>103</v>
      </c>
    </row>
    <row r="2045" spans="1:18">
      <c r="A2045" s="19">
        <v>47719</v>
      </c>
      <c r="B2045" s="3" t="s">
        <v>11</v>
      </c>
      <c r="C2045" s="3" t="s">
        <v>19</v>
      </c>
      <c r="D2045" s="3" t="s">
        <v>13</v>
      </c>
      <c r="E2045" s="3" t="s">
        <v>20</v>
      </c>
      <c r="F2045" s="3" t="s">
        <v>21</v>
      </c>
      <c r="G2045" s="3" t="s">
        <v>22</v>
      </c>
      <c r="H2045">
        <v>30000</v>
      </c>
      <c r="I2045">
        <v>1</v>
      </c>
      <c r="J2045" s="3" t="s">
        <v>17</v>
      </c>
      <c r="K2045">
        <v>24000</v>
      </c>
      <c r="L2045">
        <v>30000</v>
      </c>
      <c r="M2045">
        <v>24000</v>
      </c>
      <c r="N2045">
        <v>6000</v>
      </c>
      <c r="O2045" s="3" t="s">
        <v>2146</v>
      </c>
      <c r="P2045" s="3" t="s">
        <v>102</v>
      </c>
      <c r="Q2045" s="3" t="s">
        <v>103</v>
      </c>
      <c r="R2045" s="3" t="s">
        <v>103</v>
      </c>
    </row>
    <row r="2046" spans="1:18">
      <c r="A2046" s="19">
        <v>47720</v>
      </c>
      <c r="B2046" s="3" t="s">
        <v>18</v>
      </c>
      <c r="C2046" s="3" t="s">
        <v>19</v>
      </c>
      <c r="D2046" s="3" t="s">
        <v>23</v>
      </c>
      <c r="E2046" s="3" t="s">
        <v>20</v>
      </c>
      <c r="F2046" s="3" t="s">
        <v>15</v>
      </c>
      <c r="G2046" s="3" t="s">
        <v>16</v>
      </c>
      <c r="H2046">
        <v>85000</v>
      </c>
      <c r="I2046">
        <v>2</v>
      </c>
      <c r="J2046" s="3" t="s">
        <v>35</v>
      </c>
      <c r="K2046">
        <v>68000</v>
      </c>
      <c r="L2046">
        <v>170000</v>
      </c>
      <c r="M2046">
        <v>136000</v>
      </c>
      <c r="N2046">
        <v>34000</v>
      </c>
      <c r="O2046" s="3" t="s">
        <v>2147</v>
      </c>
      <c r="P2046" s="3" t="s">
        <v>102</v>
      </c>
      <c r="Q2046" s="3" t="s">
        <v>103</v>
      </c>
      <c r="R2046" s="3" t="s">
        <v>103</v>
      </c>
    </row>
    <row r="2047" spans="1:18">
      <c r="A2047" s="19">
        <v>47721</v>
      </c>
      <c r="B2047" s="3" t="s">
        <v>11</v>
      </c>
      <c r="C2047" s="3" t="s">
        <v>12</v>
      </c>
      <c r="D2047" s="3" t="s">
        <v>23</v>
      </c>
      <c r="E2047" s="3" t="s">
        <v>14</v>
      </c>
      <c r="F2047" s="3" t="s">
        <v>15</v>
      </c>
      <c r="G2047" s="3" t="s">
        <v>16</v>
      </c>
      <c r="H2047">
        <v>85000</v>
      </c>
      <c r="I2047">
        <v>5</v>
      </c>
      <c r="J2047" s="3" t="s">
        <v>37</v>
      </c>
      <c r="K2047">
        <v>68000</v>
      </c>
      <c r="L2047">
        <v>425000</v>
      </c>
      <c r="M2047">
        <v>340000</v>
      </c>
      <c r="N2047">
        <v>85000</v>
      </c>
      <c r="O2047" s="3" t="s">
        <v>2148</v>
      </c>
      <c r="P2047" s="3" t="s">
        <v>102</v>
      </c>
      <c r="Q2047" s="3" t="s">
        <v>103</v>
      </c>
      <c r="R2047" s="3" t="s">
        <v>103</v>
      </c>
    </row>
    <row r="2048" spans="1:18">
      <c r="A2048" s="19">
        <v>47722</v>
      </c>
      <c r="B2048" s="3" t="s">
        <v>25</v>
      </c>
      <c r="C2048" s="3" t="s">
        <v>12</v>
      </c>
      <c r="D2048" s="3" t="s">
        <v>13</v>
      </c>
      <c r="E2048" s="3" t="s">
        <v>20</v>
      </c>
      <c r="F2048" s="3" t="s">
        <v>40</v>
      </c>
      <c r="G2048" s="3" t="s">
        <v>31</v>
      </c>
      <c r="H2048">
        <v>250000</v>
      </c>
      <c r="I2048">
        <v>8</v>
      </c>
      <c r="J2048" s="3" t="s">
        <v>37</v>
      </c>
      <c r="K2048">
        <v>200000</v>
      </c>
      <c r="L2048">
        <v>2000000</v>
      </c>
      <c r="M2048">
        <v>1600000</v>
      </c>
      <c r="N2048">
        <v>400000</v>
      </c>
      <c r="O2048" s="3" t="s">
        <v>2149</v>
      </c>
      <c r="P2048" s="3" t="s">
        <v>102</v>
      </c>
      <c r="Q2048" s="3" t="s">
        <v>103</v>
      </c>
      <c r="R2048" s="3" t="s">
        <v>103</v>
      </c>
    </row>
    <row r="2049" spans="1:18">
      <c r="A2049" s="19">
        <v>47723</v>
      </c>
      <c r="B2049" s="3" t="s">
        <v>29</v>
      </c>
      <c r="C2049" s="3" t="s">
        <v>26</v>
      </c>
      <c r="D2049" s="3" t="s">
        <v>23</v>
      </c>
      <c r="E2049" s="3" t="s">
        <v>14</v>
      </c>
      <c r="F2049" s="3" t="s">
        <v>30</v>
      </c>
      <c r="G2049" s="3" t="s">
        <v>31</v>
      </c>
      <c r="H2049">
        <v>300000</v>
      </c>
      <c r="I2049">
        <v>8</v>
      </c>
      <c r="J2049" s="3" t="s">
        <v>35</v>
      </c>
      <c r="K2049">
        <v>240000</v>
      </c>
      <c r="L2049">
        <v>2400000</v>
      </c>
      <c r="M2049">
        <v>1920000</v>
      </c>
      <c r="N2049">
        <v>480000</v>
      </c>
      <c r="O2049" s="3" t="s">
        <v>2150</v>
      </c>
      <c r="P2049" s="3" t="s">
        <v>102</v>
      </c>
      <c r="Q2049" s="3" t="s">
        <v>103</v>
      </c>
      <c r="R2049" s="3" t="s">
        <v>103</v>
      </c>
    </row>
    <row r="2050" spans="1:18">
      <c r="A2050" s="19">
        <v>47724</v>
      </c>
      <c r="B2050" s="3" t="s">
        <v>11</v>
      </c>
      <c r="C2050" s="3" t="s">
        <v>19</v>
      </c>
      <c r="D2050" s="3" t="s">
        <v>23</v>
      </c>
      <c r="E2050" s="3" t="s">
        <v>20</v>
      </c>
      <c r="F2050" s="3" t="s">
        <v>33</v>
      </c>
      <c r="G2050" s="3" t="s">
        <v>22</v>
      </c>
      <c r="H2050">
        <v>180000</v>
      </c>
      <c r="I2050">
        <v>9</v>
      </c>
      <c r="J2050" s="3" t="s">
        <v>28</v>
      </c>
      <c r="K2050">
        <v>144000</v>
      </c>
      <c r="L2050">
        <v>1620000</v>
      </c>
      <c r="M2050">
        <v>1296000</v>
      </c>
      <c r="N2050">
        <v>324000</v>
      </c>
      <c r="O2050" s="3" t="s">
        <v>2151</v>
      </c>
      <c r="P2050" s="3" t="s">
        <v>102</v>
      </c>
      <c r="Q2050" s="3" t="s">
        <v>103</v>
      </c>
      <c r="R2050" s="3" t="s">
        <v>103</v>
      </c>
    </row>
    <row r="2051" spans="1:18">
      <c r="A2051" s="19">
        <v>47725</v>
      </c>
      <c r="B2051" s="3" t="s">
        <v>29</v>
      </c>
      <c r="C2051" s="3" t="s">
        <v>32</v>
      </c>
      <c r="D2051" s="3" t="s">
        <v>23</v>
      </c>
      <c r="E2051" s="3" t="s">
        <v>14</v>
      </c>
      <c r="F2051" s="3" t="s">
        <v>27</v>
      </c>
      <c r="G2051" s="3" t="s">
        <v>22</v>
      </c>
      <c r="H2051">
        <v>60000</v>
      </c>
      <c r="I2051">
        <v>4</v>
      </c>
      <c r="J2051" s="3" t="s">
        <v>35</v>
      </c>
      <c r="K2051">
        <v>48000</v>
      </c>
      <c r="L2051">
        <v>240000</v>
      </c>
      <c r="M2051">
        <v>192000</v>
      </c>
      <c r="N2051">
        <v>48000</v>
      </c>
      <c r="O2051" s="3" t="s">
        <v>2152</v>
      </c>
      <c r="P2051" s="3" t="s">
        <v>102</v>
      </c>
      <c r="Q2051" s="3" t="s">
        <v>103</v>
      </c>
      <c r="R2051" s="3" t="s">
        <v>103</v>
      </c>
    </row>
    <row r="2052" spans="1:18">
      <c r="A2052" s="19">
        <v>47726</v>
      </c>
      <c r="B2052" s="3" t="s">
        <v>25</v>
      </c>
      <c r="C2052" s="3" t="s">
        <v>12</v>
      </c>
      <c r="D2052" s="3" t="s">
        <v>13</v>
      </c>
      <c r="E2052" s="3" t="s">
        <v>20</v>
      </c>
      <c r="F2052" s="3" t="s">
        <v>27</v>
      </c>
      <c r="G2052" s="3" t="s">
        <v>22</v>
      </c>
      <c r="H2052">
        <v>60000</v>
      </c>
      <c r="I2052">
        <v>3</v>
      </c>
      <c r="J2052" s="3" t="s">
        <v>35</v>
      </c>
      <c r="K2052">
        <v>48000</v>
      </c>
      <c r="L2052">
        <v>180000</v>
      </c>
      <c r="M2052">
        <v>144000</v>
      </c>
      <c r="N2052">
        <v>36000</v>
      </c>
      <c r="O2052" s="3" t="s">
        <v>2153</v>
      </c>
      <c r="P2052" s="3" t="s">
        <v>102</v>
      </c>
      <c r="Q2052" s="3" t="s">
        <v>103</v>
      </c>
      <c r="R2052" s="3" t="s">
        <v>103</v>
      </c>
    </row>
    <row r="2053" spans="1:18">
      <c r="A2053" s="19">
        <v>47727</v>
      </c>
      <c r="B2053" s="3" t="s">
        <v>25</v>
      </c>
      <c r="C2053" s="3" t="s">
        <v>12</v>
      </c>
      <c r="D2053" s="3" t="s">
        <v>13</v>
      </c>
      <c r="E2053" s="3" t="s">
        <v>14</v>
      </c>
      <c r="F2053" s="3" t="s">
        <v>41</v>
      </c>
      <c r="G2053" s="3" t="s">
        <v>22</v>
      </c>
      <c r="H2053">
        <v>220000</v>
      </c>
      <c r="I2053">
        <v>6</v>
      </c>
      <c r="J2053" s="3" t="s">
        <v>37</v>
      </c>
      <c r="K2053">
        <v>176000</v>
      </c>
      <c r="L2053">
        <v>1320000</v>
      </c>
      <c r="M2053">
        <v>1056000</v>
      </c>
      <c r="N2053">
        <v>264000</v>
      </c>
      <c r="O2053" s="3" t="s">
        <v>2154</v>
      </c>
      <c r="P2053" s="3" t="s">
        <v>102</v>
      </c>
      <c r="Q2053" s="3" t="s">
        <v>103</v>
      </c>
      <c r="R2053" s="3" t="s">
        <v>103</v>
      </c>
    </row>
    <row r="2054" spans="1:18">
      <c r="A2054" s="19">
        <v>47728</v>
      </c>
      <c r="B2054" s="3" t="s">
        <v>18</v>
      </c>
      <c r="C2054" s="3" t="s">
        <v>26</v>
      </c>
      <c r="D2054" s="3" t="s">
        <v>13</v>
      </c>
      <c r="E2054" s="3" t="s">
        <v>20</v>
      </c>
      <c r="F2054" s="3" t="s">
        <v>34</v>
      </c>
      <c r="G2054" s="3" t="s">
        <v>16</v>
      </c>
      <c r="H2054">
        <v>320000</v>
      </c>
      <c r="I2054">
        <v>9</v>
      </c>
      <c r="J2054" s="3" t="s">
        <v>35</v>
      </c>
      <c r="K2054">
        <v>256000</v>
      </c>
      <c r="L2054">
        <v>2880000</v>
      </c>
      <c r="M2054">
        <v>2304000</v>
      </c>
      <c r="N2054">
        <v>576000</v>
      </c>
      <c r="O2054" s="3" t="s">
        <v>2155</v>
      </c>
      <c r="P2054" s="3" t="s">
        <v>102</v>
      </c>
      <c r="Q2054" s="3" t="s">
        <v>103</v>
      </c>
      <c r="R2054" s="3" t="s">
        <v>103</v>
      </c>
    </row>
    <row r="2055" spans="1:18">
      <c r="A2055" s="19">
        <v>47729</v>
      </c>
      <c r="B2055" s="3" t="s">
        <v>25</v>
      </c>
      <c r="C2055" s="3" t="s">
        <v>26</v>
      </c>
      <c r="D2055" s="3" t="s">
        <v>13</v>
      </c>
      <c r="E2055" s="3" t="s">
        <v>20</v>
      </c>
      <c r="F2055" s="3" t="s">
        <v>38</v>
      </c>
      <c r="G2055" s="3" t="s">
        <v>31</v>
      </c>
      <c r="H2055">
        <v>420000</v>
      </c>
      <c r="I2055">
        <v>3</v>
      </c>
      <c r="J2055" s="3" t="s">
        <v>24</v>
      </c>
      <c r="K2055">
        <v>336000</v>
      </c>
      <c r="L2055">
        <v>1260000</v>
      </c>
      <c r="M2055">
        <v>1008000</v>
      </c>
      <c r="N2055">
        <v>252000</v>
      </c>
      <c r="O2055" s="3" t="s">
        <v>2156</v>
      </c>
      <c r="P2055" s="3" t="s">
        <v>102</v>
      </c>
      <c r="Q2055" s="3" t="s">
        <v>103</v>
      </c>
      <c r="R2055" s="3" t="s">
        <v>103</v>
      </c>
    </row>
    <row r="2056" spans="1:18">
      <c r="A2056" s="19">
        <v>47730</v>
      </c>
      <c r="B2056" s="3" t="s">
        <v>18</v>
      </c>
      <c r="C2056" s="3" t="s">
        <v>32</v>
      </c>
      <c r="D2056" s="3" t="s">
        <v>23</v>
      </c>
      <c r="E2056" s="3" t="s">
        <v>20</v>
      </c>
      <c r="F2056" s="3" t="s">
        <v>33</v>
      </c>
      <c r="G2056" s="3" t="s">
        <v>22</v>
      </c>
      <c r="H2056">
        <v>180000</v>
      </c>
      <c r="I2056">
        <v>9</v>
      </c>
      <c r="J2056" s="3" t="s">
        <v>17</v>
      </c>
      <c r="K2056">
        <v>144000</v>
      </c>
      <c r="L2056">
        <v>1620000</v>
      </c>
      <c r="M2056">
        <v>1296000</v>
      </c>
      <c r="N2056">
        <v>324000</v>
      </c>
      <c r="O2056" s="3" t="s">
        <v>2157</v>
      </c>
      <c r="P2056" s="3" t="s">
        <v>102</v>
      </c>
      <c r="Q2056" s="3" t="s">
        <v>103</v>
      </c>
      <c r="R2056" s="3" t="s">
        <v>103</v>
      </c>
    </row>
    <row r="2057" spans="1:18">
      <c r="A2057" s="19">
        <v>47731</v>
      </c>
      <c r="B2057" s="3" t="s">
        <v>25</v>
      </c>
      <c r="C2057" s="3" t="s">
        <v>32</v>
      </c>
      <c r="D2057" s="3" t="s">
        <v>23</v>
      </c>
      <c r="E2057" s="3" t="s">
        <v>20</v>
      </c>
      <c r="F2057" s="3" t="s">
        <v>27</v>
      </c>
      <c r="G2057" s="3" t="s">
        <v>22</v>
      </c>
      <c r="H2057">
        <v>60000</v>
      </c>
      <c r="I2057">
        <v>1</v>
      </c>
      <c r="J2057" s="3" t="s">
        <v>17</v>
      </c>
      <c r="K2057">
        <v>48000</v>
      </c>
      <c r="L2057">
        <v>60000</v>
      </c>
      <c r="M2057">
        <v>48000</v>
      </c>
      <c r="N2057">
        <v>12000</v>
      </c>
      <c r="O2057" s="3" t="s">
        <v>2158</v>
      </c>
      <c r="P2057" s="3" t="s">
        <v>102</v>
      </c>
      <c r="Q2057" s="3" t="s">
        <v>103</v>
      </c>
      <c r="R2057" s="3" t="s">
        <v>103</v>
      </c>
    </row>
    <row r="2058" spans="1:18">
      <c r="A2058" s="19">
        <v>47732</v>
      </c>
      <c r="B2058" s="3" t="s">
        <v>11</v>
      </c>
      <c r="C2058" s="3" t="s">
        <v>26</v>
      </c>
      <c r="D2058" s="3" t="s">
        <v>23</v>
      </c>
      <c r="E2058" s="3" t="s">
        <v>20</v>
      </c>
      <c r="F2058" s="3" t="s">
        <v>40</v>
      </c>
      <c r="G2058" s="3" t="s">
        <v>31</v>
      </c>
      <c r="H2058">
        <v>250000</v>
      </c>
      <c r="I2058">
        <v>5</v>
      </c>
      <c r="J2058" s="3" t="s">
        <v>35</v>
      </c>
      <c r="K2058">
        <v>200000</v>
      </c>
      <c r="L2058">
        <v>1250000</v>
      </c>
      <c r="M2058">
        <v>1000000</v>
      </c>
      <c r="N2058">
        <v>250000</v>
      </c>
      <c r="O2058" s="3" t="s">
        <v>2159</v>
      </c>
      <c r="P2058" s="3" t="s">
        <v>102</v>
      </c>
      <c r="Q2058" s="3" t="s">
        <v>103</v>
      </c>
      <c r="R2058" s="3" t="s">
        <v>103</v>
      </c>
    </row>
    <row r="2059" spans="1:18">
      <c r="A2059" s="19">
        <v>47733</v>
      </c>
      <c r="B2059" s="3" t="s">
        <v>11</v>
      </c>
      <c r="C2059" s="3" t="s">
        <v>12</v>
      </c>
      <c r="D2059" s="3" t="s">
        <v>23</v>
      </c>
      <c r="E2059" s="3" t="s">
        <v>20</v>
      </c>
      <c r="F2059" s="3" t="s">
        <v>21</v>
      </c>
      <c r="G2059" s="3" t="s">
        <v>22</v>
      </c>
      <c r="H2059">
        <v>30000</v>
      </c>
      <c r="I2059">
        <v>8</v>
      </c>
      <c r="J2059" s="3" t="s">
        <v>17</v>
      </c>
      <c r="K2059">
        <v>24000</v>
      </c>
      <c r="L2059">
        <v>240000</v>
      </c>
      <c r="M2059">
        <v>192000</v>
      </c>
      <c r="N2059">
        <v>48000</v>
      </c>
      <c r="O2059" s="3" t="s">
        <v>2160</v>
      </c>
      <c r="P2059" s="3" t="s">
        <v>102</v>
      </c>
      <c r="Q2059" s="3" t="s">
        <v>103</v>
      </c>
      <c r="R2059" s="3" t="s">
        <v>103</v>
      </c>
    </row>
    <row r="2060" spans="1:18">
      <c r="A2060" s="19">
        <v>47734</v>
      </c>
      <c r="B2060" s="3" t="s">
        <v>29</v>
      </c>
      <c r="C2060" s="3" t="s">
        <v>12</v>
      </c>
      <c r="D2060" s="3" t="s">
        <v>13</v>
      </c>
      <c r="E2060" s="3" t="s">
        <v>14</v>
      </c>
      <c r="F2060" s="3" t="s">
        <v>33</v>
      </c>
      <c r="G2060" s="3" t="s">
        <v>22</v>
      </c>
      <c r="H2060">
        <v>180000</v>
      </c>
      <c r="I2060">
        <v>6</v>
      </c>
      <c r="J2060" s="3" t="s">
        <v>17</v>
      </c>
      <c r="K2060">
        <v>144000</v>
      </c>
      <c r="L2060">
        <v>1080000</v>
      </c>
      <c r="M2060">
        <v>864000</v>
      </c>
      <c r="N2060">
        <v>216000</v>
      </c>
      <c r="O2060" s="3" t="s">
        <v>2161</v>
      </c>
      <c r="P2060" s="3" t="s">
        <v>102</v>
      </c>
      <c r="Q2060" s="3" t="s">
        <v>103</v>
      </c>
      <c r="R2060" s="3" t="s">
        <v>103</v>
      </c>
    </row>
    <row r="2061" spans="1:18">
      <c r="A2061" s="19">
        <v>47735</v>
      </c>
      <c r="B2061" s="3" t="s">
        <v>18</v>
      </c>
      <c r="C2061" s="3" t="s">
        <v>26</v>
      </c>
      <c r="D2061" s="3" t="s">
        <v>13</v>
      </c>
      <c r="E2061" s="3" t="s">
        <v>20</v>
      </c>
      <c r="F2061" s="3" t="s">
        <v>27</v>
      </c>
      <c r="G2061" s="3" t="s">
        <v>22</v>
      </c>
      <c r="H2061">
        <v>60000</v>
      </c>
      <c r="I2061">
        <v>1</v>
      </c>
      <c r="J2061" s="3" t="s">
        <v>28</v>
      </c>
      <c r="K2061">
        <v>48000</v>
      </c>
      <c r="L2061">
        <v>60000</v>
      </c>
      <c r="M2061">
        <v>48000</v>
      </c>
      <c r="N2061">
        <v>12000</v>
      </c>
      <c r="O2061" s="3" t="s">
        <v>2162</v>
      </c>
      <c r="P2061" s="3" t="s">
        <v>102</v>
      </c>
      <c r="Q2061" s="3" t="s">
        <v>103</v>
      </c>
      <c r="R2061" s="3" t="s">
        <v>103</v>
      </c>
    </row>
    <row r="2062" spans="1:18">
      <c r="A2062" s="19">
        <v>47736</v>
      </c>
      <c r="B2062" s="3" t="s">
        <v>18</v>
      </c>
      <c r="C2062" s="3" t="s">
        <v>26</v>
      </c>
      <c r="D2062" s="3" t="s">
        <v>13</v>
      </c>
      <c r="E2062" s="3" t="s">
        <v>14</v>
      </c>
      <c r="F2062" s="3" t="s">
        <v>36</v>
      </c>
      <c r="G2062" s="3" t="s">
        <v>31</v>
      </c>
      <c r="H2062">
        <v>150000</v>
      </c>
      <c r="I2062">
        <v>5</v>
      </c>
      <c r="J2062" s="3" t="s">
        <v>39</v>
      </c>
      <c r="K2062">
        <v>120000</v>
      </c>
      <c r="L2062">
        <v>750000</v>
      </c>
      <c r="M2062">
        <v>600000</v>
      </c>
      <c r="N2062">
        <v>150000</v>
      </c>
      <c r="O2062" s="3" t="s">
        <v>2163</v>
      </c>
      <c r="P2062" s="3" t="s">
        <v>102</v>
      </c>
      <c r="Q2062" s="3" t="s">
        <v>103</v>
      </c>
      <c r="R2062" s="3" t="s">
        <v>103</v>
      </c>
    </row>
    <row r="2063" spans="1:18">
      <c r="A2063" s="19">
        <v>47737</v>
      </c>
      <c r="B2063" s="3" t="s">
        <v>29</v>
      </c>
      <c r="C2063" s="3" t="s">
        <v>19</v>
      </c>
      <c r="D2063" s="3" t="s">
        <v>23</v>
      </c>
      <c r="E2063" s="3" t="s">
        <v>20</v>
      </c>
      <c r="F2063" s="3" t="s">
        <v>15</v>
      </c>
      <c r="G2063" s="3" t="s">
        <v>16</v>
      </c>
      <c r="H2063">
        <v>85000</v>
      </c>
      <c r="I2063">
        <v>1</v>
      </c>
      <c r="J2063" s="3" t="s">
        <v>39</v>
      </c>
      <c r="K2063">
        <v>68000</v>
      </c>
      <c r="L2063">
        <v>85000</v>
      </c>
      <c r="M2063">
        <v>68000</v>
      </c>
      <c r="N2063">
        <v>17000</v>
      </c>
      <c r="O2063" s="3" t="s">
        <v>2164</v>
      </c>
      <c r="P2063" s="3" t="s">
        <v>102</v>
      </c>
      <c r="Q2063" s="3" t="s">
        <v>103</v>
      </c>
      <c r="R2063" s="3" t="s">
        <v>103</v>
      </c>
    </row>
    <row r="2064" spans="1:18">
      <c r="A2064" s="19">
        <v>47738</v>
      </c>
      <c r="B2064" s="3" t="s">
        <v>25</v>
      </c>
      <c r="C2064" s="3" t="s">
        <v>19</v>
      </c>
      <c r="D2064" s="3" t="s">
        <v>23</v>
      </c>
      <c r="E2064" s="3" t="s">
        <v>20</v>
      </c>
      <c r="F2064" s="3" t="s">
        <v>36</v>
      </c>
      <c r="G2064" s="3" t="s">
        <v>31</v>
      </c>
      <c r="H2064">
        <v>150000</v>
      </c>
      <c r="I2064">
        <v>7</v>
      </c>
      <c r="J2064" s="3" t="s">
        <v>35</v>
      </c>
      <c r="K2064">
        <v>120000</v>
      </c>
      <c r="L2064">
        <v>1050000</v>
      </c>
      <c r="M2064">
        <v>840000</v>
      </c>
      <c r="N2064">
        <v>210000</v>
      </c>
      <c r="O2064" s="3" t="s">
        <v>2165</v>
      </c>
      <c r="P2064" s="3" t="s">
        <v>102</v>
      </c>
      <c r="Q2064" s="3" t="s">
        <v>103</v>
      </c>
      <c r="R2064" s="3" t="s">
        <v>103</v>
      </c>
    </row>
    <row r="2065" spans="1:18">
      <c r="A2065" s="19">
        <v>47739</v>
      </c>
      <c r="B2065" s="3" t="s">
        <v>29</v>
      </c>
      <c r="C2065" s="3" t="s">
        <v>26</v>
      </c>
      <c r="D2065" s="3" t="s">
        <v>23</v>
      </c>
      <c r="E2065" s="3" t="s">
        <v>20</v>
      </c>
      <c r="F2065" s="3" t="s">
        <v>33</v>
      </c>
      <c r="G2065" s="3" t="s">
        <v>22</v>
      </c>
      <c r="H2065">
        <v>180000</v>
      </c>
      <c r="I2065">
        <v>4</v>
      </c>
      <c r="J2065" s="3" t="s">
        <v>17</v>
      </c>
      <c r="K2065">
        <v>144000</v>
      </c>
      <c r="L2065">
        <v>720000</v>
      </c>
      <c r="M2065">
        <v>576000</v>
      </c>
      <c r="N2065">
        <v>144000</v>
      </c>
      <c r="O2065" s="3" t="s">
        <v>2166</v>
      </c>
      <c r="P2065" s="3" t="s">
        <v>102</v>
      </c>
      <c r="Q2065" s="3" t="s">
        <v>103</v>
      </c>
      <c r="R2065" s="3" t="s">
        <v>103</v>
      </c>
    </row>
    <row r="2066" spans="1:18">
      <c r="A2066" s="19">
        <v>47740</v>
      </c>
      <c r="B2066" s="3" t="s">
        <v>29</v>
      </c>
      <c r="C2066" s="3" t="s">
        <v>26</v>
      </c>
      <c r="D2066" s="3" t="s">
        <v>23</v>
      </c>
      <c r="E2066" s="3" t="s">
        <v>20</v>
      </c>
      <c r="F2066" s="3" t="s">
        <v>15</v>
      </c>
      <c r="G2066" s="3" t="s">
        <v>16</v>
      </c>
      <c r="H2066">
        <v>85000</v>
      </c>
      <c r="I2066">
        <v>8</v>
      </c>
      <c r="J2066" s="3" t="s">
        <v>17</v>
      </c>
      <c r="K2066">
        <v>68000</v>
      </c>
      <c r="L2066">
        <v>680000</v>
      </c>
      <c r="M2066">
        <v>544000</v>
      </c>
      <c r="N2066">
        <v>136000</v>
      </c>
      <c r="O2066" s="3" t="s">
        <v>2167</v>
      </c>
      <c r="P2066" s="3" t="s">
        <v>102</v>
      </c>
      <c r="Q2066" s="3" t="s">
        <v>103</v>
      </c>
      <c r="R2066" s="3" t="s">
        <v>103</v>
      </c>
    </row>
    <row r="2067" spans="1:18">
      <c r="A2067" s="19">
        <v>47741</v>
      </c>
      <c r="B2067" s="3" t="s">
        <v>29</v>
      </c>
      <c r="C2067" s="3" t="s">
        <v>32</v>
      </c>
      <c r="D2067" s="3" t="s">
        <v>23</v>
      </c>
      <c r="E2067" s="3" t="s">
        <v>20</v>
      </c>
      <c r="F2067" s="3" t="s">
        <v>34</v>
      </c>
      <c r="G2067" s="3" t="s">
        <v>16</v>
      </c>
      <c r="H2067">
        <v>320000</v>
      </c>
      <c r="I2067">
        <v>4</v>
      </c>
      <c r="J2067" s="3" t="s">
        <v>24</v>
      </c>
      <c r="K2067">
        <v>256000</v>
      </c>
      <c r="L2067">
        <v>1280000</v>
      </c>
      <c r="M2067">
        <v>1024000</v>
      </c>
      <c r="N2067">
        <v>256000</v>
      </c>
      <c r="O2067" s="3" t="s">
        <v>2168</v>
      </c>
      <c r="P2067" s="3" t="s">
        <v>102</v>
      </c>
      <c r="Q2067" s="3" t="s">
        <v>103</v>
      </c>
      <c r="R2067" s="3" t="s">
        <v>103</v>
      </c>
    </row>
    <row r="2068" spans="1:18">
      <c r="A2068" s="19">
        <v>47742</v>
      </c>
      <c r="B2068" s="3" t="s">
        <v>11</v>
      </c>
      <c r="C2068" s="3" t="s">
        <v>26</v>
      </c>
      <c r="D2068" s="3" t="s">
        <v>13</v>
      </c>
      <c r="E2068" s="3" t="s">
        <v>20</v>
      </c>
      <c r="F2068" s="3" t="s">
        <v>40</v>
      </c>
      <c r="G2068" s="3" t="s">
        <v>31</v>
      </c>
      <c r="H2068">
        <v>250000</v>
      </c>
      <c r="I2068">
        <v>6</v>
      </c>
      <c r="J2068" s="3" t="s">
        <v>35</v>
      </c>
      <c r="K2068">
        <v>200000</v>
      </c>
      <c r="L2068">
        <v>1500000</v>
      </c>
      <c r="M2068">
        <v>1200000</v>
      </c>
      <c r="N2068">
        <v>300000</v>
      </c>
      <c r="O2068" s="3" t="s">
        <v>2169</v>
      </c>
      <c r="P2068" s="3" t="s">
        <v>102</v>
      </c>
      <c r="Q2068" s="3" t="s">
        <v>103</v>
      </c>
      <c r="R2068" s="3" t="s">
        <v>103</v>
      </c>
    </row>
    <row r="2069" spans="1:18">
      <c r="A2069" s="19">
        <v>47743</v>
      </c>
      <c r="B2069" s="3" t="s">
        <v>11</v>
      </c>
      <c r="C2069" s="3" t="s">
        <v>26</v>
      </c>
      <c r="D2069" s="3" t="s">
        <v>13</v>
      </c>
      <c r="E2069" s="3" t="s">
        <v>20</v>
      </c>
      <c r="F2069" s="3" t="s">
        <v>41</v>
      </c>
      <c r="G2069" s="3" t="s">
        <v>22</v>
      </c>
      <c r="H2069">
        <v>220000</v>
      </c>
      <c r="I2069">
        <v>5</v>
      </c>
      <c r="J2069" s="3" t="s">
        <v>28</v>
      </c>
      <c r="K2069">
        <v>176000</v>
      </c>
      <c r="L2069">
        <v>1100000</v>
      </c>
      <c r="M2069">
        <v>880000</v>
      </c>
      <c r="N2069">
        <v>220000</v>
      </c>
      <c r="O2069" s="3" t="s">
        <v>2170</v>
      </c>
      <c r="P2069" s="3" t="s">
        <v>102</v>
      </c>
      <c r="Q2069" s="3" t="s">
        <v>103</v>
      </c>
      <c r="R2069" s="3" t="s">
        <v>103</v>
      </c>
    </row>
    <row r="2070" spans="1:18">
      <c r="A2070" s="19">
        <v>47744</v>
      </c>
      <c r="B2070" s="3" t="s">
        <v>25</v>
      </c>
      <c r="C2070" s="3" t="s">
        <v>19</v>
      </c>
      <c r="D2070" s="3" t="s">
        <v>23</v>
      </c>
      <c r="E2070" s="3" t="s">
        <v>20</v>
      </c>
      <c r="F2070" s="3" t="s">
        <v>30</v>
      </c>
      <c r="G2070" s="3" t="s">
        <v>31</v>
      </c>
      <c r="H2070">
        <v>300000</v>
      </c>
      <c r="I2070">
        <v>8</v>
      </c>
      <c r="J2070" s="3" t="s">
        <v>37</v>
      </c>
      <c r="K2070">
        <v>240000</v>
      </c>
      <c r="L2070">
        <v>2400000</v>
      </c>
      <c r="M2070">
        <v>1920000</v>
      </c>
      <c r="N2070">
        <v>480000</v>
      </c>
      <c r="O2070" s="3" t="s">
        <v>2171</v>
      </c>
      <c r="P2070" s="3" t="s">
        <v>102</v>
      </c>
      <c r="Q2070" s="3" t="s">
        <v>103</v>
      </c>
      <c r="R2070" s="3" t="s">
        <v>103</v>
      </c>
    </row>
    <row r="2071" spans="1:18">
      <c r="A2071" s="19">
        <v>47745</v>
      </c>
      <c r="B2071" s="3" t="s">
        <v>25</v>
      </c>
      <c r="C2071" s="3" t="s">
        <v>32</v>
      </c>
      <c r="D2071" s="3" t="s">
        <v>13</v>
      </c>
      <c r="E2071" s="3" t="s">
        <v>20</v>
      </c>
      <c r="F2071" s="3" t="s">
        <v>27</v>
      </c>
      <c r="G2071" s="3" t="s">
        <v>22</v>
      </c>
      <c r="H2071">
        <v>60000</v>
      </c>
      <c r="I2071">
        <v>10</v>
      </c>
      <c r="J2071" s="3" t="s">
        <v>28</v>
      </c>
      <c r="K2071">
        <v>48000</v>
      </c>
      <c r="L2071">
        <v>600000</v>
      </c>
      <c r="M2071">
        <v>480000</v>
      </c>
      <c r="N2071">
        <v>120000</v>
      </c>
      <c r="O2071" s="3" t="s">
        <v>2172</v>
      </c>
      <c r="P2071" s="3" t="s">
        <v>102</v>
      </c>
      <c r="Q2071" s="3" t="s">
        <v>103</v>
      </c>
      <c r="R2071" s="3" t="s">
        <v>103</v>
      </c>
    </row>
    <row r="2072" spans="1:18">
      <c r="A2072" s="19">
        <v>47746</v>
      </c>
      <c r="B2072" s="3" t="s">
        <v>25</v>
      </c>
      <c r="C2072" s="3" t="s">
        <v>19</v>
      </c>
      <c r="D2072" s="3" t="s">
        <v>13</v>
      </c>
      <c r="E2072" s="3" t="s">
        <v>20</v>
      </c>
      <c r="F2072" s="3" t="s">
        <v>33</v>
      </c>
      <c r="G2072" s="3" t="s">
        <v>22</v>
      </c>
      <c r="H2072">
        <v>180000</v>
      </c>
      <c r="I2072">
        <v>6</v>
      </c>
      <c r="J2072" s="3" t="s">
        <v>39</v>
      </c>
      <c r="K2072">
        <v>144000</v>
      </c>
      <c r="L2072">
        <v>1080000</v>
      </c>
      <c r="M2072">
        <v>864000</v>
      </c>
      <c r="N2072">
        <v>216000</v>
      </c>
      <c r="O2072" s="3" t="s">
        <v>2173</v>
      </c>
      <c r="P2072" s="3" t="s">
        <v>102</v>
      </c>
      <c r="Q2072" s="3" t="s">
        <v>103</v>
      </c>
      <c r="R2072" s="3" t="s">
        <v>103</v>
      </c>
    </row>
    <row r="2073" spans="1:18">
      <c r="A2073" s="19">
        <v>47747</v>
      </c>
      <c r="B2073" s="3" t="s">
        <v>25</v>
      </c>
      <c r="C2073" s="3" t="s">
        <v>26</v>
      </c>
      <c r="D2073" s="3" t="s">
        <v>23</v>
      </c>
      <c r="E2073" s="3" t="s">
        <v>20</v>
      </c>
      <c r="F2073" s="3" t="s">
        <v>27</v>
      </c>
      <c r="G2073" s="3" t="s">
        <v>22</v>
      </c>
      <c r="H2073">
        <v>60000</v>
      </c>
      <c r="I2073">
        <v>3</v>
      </c>
      <c r="J2073" s="3" t="s">
        <v>37</v>
      </c>
      <c r="K2073">
        <v>48000</v>
      </c>
      <c r="L2073">
        <v>180000</v>
      </c>
      <c r="M2073">
        <v>144000</v>
      </c>
      <c r="N2073">
        <v>36000</v>
      </c>
      <c r="O2073" s="3" t="s">
        <v>2174</v>
      </c>
      <c r="P2073" s="3" t="s">
        <v>102</v>
      </c>
      <c r="Q2073" s="3" t="s">
        <v>103</v>
      </c>
      <c r="R2073" s="3" t="s">
        <v>103</v>
      </c>
    </row>
    <row r="2074" spans="1:18">
      <c r="A2074" s="19">
        <v>47748</v>
      </c>
      <c r="B2074" s="3" t="s">
        <v>25</v>
      </c>
      <c r="C2074" s="3" t="s">
        <v>26</v>
      </c>
      <c r="D2074" s="3" t="s">
        <v>13</v>
      </c>
      <c r="E2074" s="3" t="s">
        <v>20</v>
      </c>
      <c r="F2074" s="3" t="s">
        <v>21</v>
      </c>
      <c r="G2074" s="3" t="s">
        <v>22</v>
      </c>
      <c r="H2074">
        <v>30000</v>
      </c>
      <c r="I2074">
        <v>4</v>
      </c>
      <c r="J2074" s="3" t="s">
        <v>24</v>
      </c>
      <c r="K2074">
        <v>24000</v>
      </c>
      <c r="L2074">
        <v>120000</v>
      </c>
      <c r="M2074">
        <v>96000</v>
      </c>
      <c r="N2074">
        <v>24000</v>
      </c>
      <c r="O2074" s="3" t="s">
        <v>2175</v>
      </c>
      <c r="P2074" s="3" t="s">
        <v>102</v>
      </c>
      <c r="Q2074" s="3" t="s">
        <v>103</v>
      </c>
      <c r="R2074" s="3" t="s">
        <v>103</v>
      </c>
    </row>
    <row r="2075" spans="1:18">
      <c r="A2075" s="19">
        <v>47749</v>
      </c>
      <c r="B2075" s="3" t="s">
        <v>18</v>
      </c>
      <c r="C2075" s="3" t="s">
        <v>12</v>
      </c>
      <c r="D2075" s="3" t="s">
        <v>23</v>
      </c>
      <c r="E2075" s="3" t="s">
        <v>20</v>
      </c>
      <c r="F2075" s="3" t="s">
        <v>27</v>
      </c>
      <c r="G2075" s="3" t="s">
        <v>22</v>
      </c>
      <c r="H2075">
        <v>60000</v>
      </c>
      <c r="I2075">
        <v>4</v>
      </c>
      <c r="J2075" s="3" t="s">
        <v>37</v>
      </c>
      <c r="K2075">
        <v>48000</v>
      </c>
      <c r="L2075">
        <v>240000</v>
      </c>
      <c r="M2075">
        <v>192000</v>
      </c>
      <c r="N2075">
        <v>48000</v>
      </c>
      <c r="O2075" s="3" t="s">
        <v>2176</v>
      </c>
      <c r="P2075" s="3" t="s">
        <v>102</v>
      </c>
      <c r="Q2075" s="3" t="s">
        <v>103</v>
      </c>
      <c r="R2075" s="3" t="s">
        <v>103</v>
      </c>
    </row>
    <row r="2076" spans="1:18">
      <c r="A2076" s="19">
        <v>47750</v>
      </c>
      <c r="B2076" s="3" t="s">
        <v>11</v>
      </c>
      <c r="C2076" s="3" t="s">
        <v>26</v>
      </c>
      <c r="D2076" s="3" t="s">
        <v>23</v>
      </c>
      <c r="E2076" s="3" t="s">
        <v>20</v>
      </c>
      <c r="F2076" s="3" t="s">
        <v>33</v>
      </c>
      <c r="G2076" s="3" t="s">
        <v>22</v>
      </c>
      <c r="H2076">
        <v>180000</v>
      </c>
      <c r="I2076">
        <v>5</v>
      </c>
      <c r="J2076" s="3" t="s">
        <v>28</v>
      </c>
      <c r="K2076">
        <v>144000</v>
      </c>
      <c r="L2076">
        <v>900000</v>
      </c>
      <c r="M2076">
        <v>720000</v>
      </c>
      <c r="N2076">
        <v>180000</v>
      </c>
      <c r="O2076" s="3" t="s">
        <v>2177</v>
      </c>
      <c r="P2076" s="3" t="s">
        <v>102</v>
      </c>
      <c r="Q2076" s="3" t="s">
        <v>103</v>
      </c>
      <c r="R2076" s="3" t="s">
        <v>103</v>
      </c>
    </row>
    <row r="2077" spans="1:18">
      <c r="A2077" s="19">
        <v>47751</v>
      </c>
      <c r="B2077" s="3" t="s">
        <v>29</v>
      </c>
      <c r="C2077" s="3" t="s">
        <v>12</v>
      </c>
      <c r="D2077" s="3" t="s">
        <v>13</v>
      </c>
      <c r="E2077" s="3" t="s">
        <v>20</v>
      </c>
      <c r="F2077" s="3" t="s">
        <v>15</v>
      </c>
      <c r="G2077" s="3" t="s">
        <v>16</v>
      </c>
      <c r="H2077">
        <v>85000</v>
      </c>
      <c r="I2077">
        <v>9</v>
      </c>
      <c r="J2077" s="3" t="s">
        <v>24</v>
      </c>
      <c r="K2077">
        <v>68000</v>
      </c>
      <c r="L2077">
        <v>765000</v>
      </c>
      <c r="M2077">
        <v>612000</v>
      </c>
      <c r="N2077">
        <v>153000</v>
      </c>
      <c r="O2077" s="3" t="s">
        <v>2178</v>
      </c>
      <c r="P2077" s="3" t="s">
        <v>102</v>
      </c>
      <c r="Q2077" s="3" t="s">
        <v>103</v>
      </c>
      <c r="R2077" s="3" t="s">
        <v>103</v>
      </c>
    </row>
    <row r="2078" spans="1:18">
      <c r="A2078" s="19">
        <v>47752</v>
      </c>
      <c r="B2078" s="3" t="s">
        <v>11</v>
      </c>
      <c r="C2078" s="3" t="s">
        <v>32</v>
      </c>
      <c r="D2078" s="3" t="s">
        <v>13</v>
      </c>
      <c r="E2078" s="3" t="s">
        <v>20</v>
      </c>
      <c r="F2078" s="3" t="s">
        <v>15</v>
      </c>
      <c r="G2078" s="3" t="s">
        <v>16</v>
      </c>
      <c r="H2078">
        <v>85000</v>
      </c>
      <c r="I2078">
        <v>9</v>
      </c>
      <c r="J2078" s="3" t="s">
        <v>37</v>
      </c>
      <c r="K2078">
        <v>68000</v>
      </c>
      <c r="L2078">
        <v>765000</v>
      </c>
      <c r="M2078">
        <v>612000</v>
      </c>
      <c r="N2078">
        <v>153000</v>
      </c>
      <c r="O2078" s="3" t="s">
        <v>2179</v>
      </c>
      <c r="P2078" s="3" t="s">
        <v>102</v>
      </c>
      <c r="Q2078" s="3" t="s">
        <v>103</v>
      </c>
      <c r="R2078" s="3" t="s">
        <v>103</v>
      </c>
    </row>
    <row r="2079" spans="1:18">
      <c r="A2079" s="19">
        <v>47753</v>
      </c>
      <c r="B2079" s="3" t="s">
        <v>29</v>
      </c>
      <c r="C2079" s="3" t="s">
        <v>12</v>
      </c>
      <c r="D2079" s="3" t="s">
        <v>23</v>
      </c>
      <c r="E2079" s="3" t="s">
        <v>20</v>
      </c>
      <c r="F2079" s="3" t="s">
        <v>33</v>
      </c>
      <c r="G2079" s="3" t="s">
        <v>22</v>
      </c>
      <c r="H2079">
        <v>180000</v>
      </c>
      <c r="I2079">
        <v>8</v>
      </c>
      <c r="J2079" s="3" t="s">
        <v>39</v>
      </c>
      <c r="K2079">
        <v>144000</v>
      </c>
      <c r="L2079">
        <v>1440000</v>
      </c>
      <c r="M2079">
        <v>1152000</v>
      </c>
      <c r="N2079">
        <v>288000</v>
      </c>
      <c r="O2079" s="3" t="s">
        <v>2180</v>
      </c>
      <c r="P2079" s="3" t="s">
        <v>102</v>
      </c>
      <c r="Q2079" s="3" t="s">
        <v>103</v>
      </c>
      <c r="R2079" s="3" t="s">
        <v>103</v>
      </c>
    </row>
    <row r="2080" spans="1:18">
      <c r="A2080" s="19">
        <v>47754</v>
      </c>
      <c r="B2080" s="3" t="s">
        <v>29</v>
      </c>
      <c r="C2080" s="3" t="s">
        <v>19</v>
      </c>
      <c r="D2080" s="3" t="s">
        <v>23</v>
      </c>
      <c r="E2080" s="3" t="s">
        <v>20</v>
      </c>
      <c r="F2080" s="3" t="s">
        <v>36</v>
      </c>
      <c r="G2080" s="3" t="s">
        <v>31</v>
      </c>
      <c r="H2080">
        <v>150000</v>
      </c>
      <c r="I2080">
        <v>2</v>
      </c>
      <c r="J2080" s="3" t="s">
        <v>39</v>
      </c>
      <c r="K2080">
        <v>120000</v>
      </c>
      <c r="L2080">
        <v>300000</v>
      </c>
      <c r="M2080">
        <v>240000</v>
      </c>
      <c r="N2080">
        <v>60000</v>
      </c>
      <c r="O2080" s="3" t="s">
        <v>2181</v>
      </c>
      <c r="P2080" s="3" t="s">
        <v>102</v>
      </c>
      <c r="Q2080" s="3" t="s">
        <v>103</v>
      </c>
      <c r="R2080" s="3" t="s">
        <v>103</v>
      </c>
    </row>
    <row r="2081" spans="1:18">
      <c r="A2081" s="19">
        <v>47755</v>
      </c>
      <c r="B2081" s="3" t="s">
        <v>18</v>
      </c>
      <c r="C2081" s="3" t="s">
        <v>26</v>
      </c>
      <c r="D2081" s="3" t="s">
        <v>23</v>
      </c>
      <c r="E2081" s="3" t="s">
        <v>20</v>
      </c>
      <c r="F2081" s="3" t="s">
        <v>21</v>
      </c>
      <c r="G2081" s="3" t="s">
        <v>22</v>
      </c>
      <c r="H2081">
        <v>30000</v>
      </c>
      <c r="I2081">
        <v>3</v>
      </c>
      <c r="J2081" s="3" t="s">
        <v>17</v>
      </c>
      <c r="K2081">
        <v>24000</v>
      </c>
      <c r="L2081">
        <v>90000</v>
      </c>
      <c r="M2081">
        <v>72000</v>
      </c>
      <c r="N2081">
        <v>18000</v>
      </c>
      <c r="O2081" s="3" t="s">
        <v>2182</v>
      </c>
      <c r="P2081" s="3" t="s">
        <v>102</v>
      </c>
      <c r="Q2081" s="3" t="s">
        <v>103</v>
      </c>
      <c r="R2081" s="3" t="s">
        <v>103</v>
      </c>
    </row>
    <row r="2082" spans="1:18">
      <c r="A2082" s="19">
        <v>47756</v>
      </c>
      <c r="B2082" s="3" t="s">
        <v>29</v>
      </c>
      <c r="C2082" s="3" t="s">
        <v>12</v>
      </c>
      <c r="D2082" s="3" t="s">
        <v>23</v>
      </c>
      <c r="E2082" s="3" t="s">
        <v>20</v>
      </c>
      <c r="F2082" s="3" t="s">
        <v>21</v>
      </c>
      <c r="G2082" s="3" t="s">
        <v>22</v>
      </c>
      <c r="H2082">
        <v>30000</v>
      </c>
      <c r="I2082">
        <v>5</v>
      </c>
      <c r="J2082" s="3" t="s">
        <v>24</v>
      </c>
      <c r="K2082">
        <v>24000</v>
      </c>
      <c r="L2082">
        <v>150000</v>
      </c>
      <c r="M2082">
        <v>120000</v>
      </c>
      <c r="N2082">
        <v>30000</v>
      </c>
      <c r="O2082" s="3" t="s">
        <v>2183</v>
      </c>
      <c r="P2082" s="3" t="s">
        <v>102</v>
      </c>
      <c r="Q2082" s="3" t="s">
        <v>103</v>
      </c>
      <c r="R2082" s="3" t="s">
        <v>103</v>
      </c>
    </row>
    <row r="2083" spans="1:18">
      <c r="A2083" s="19">
        <v>47757</v>
      </c>
      <c r="B2083" s="3" t="s">
        <v>18</v>
      </c>
      <c r="C2083" s="3" t="s">
        <v>19</v>
      </c>
      <c r="D2083" s="3" t="s">
        <v>23</v>
      </c>
      <c r="E2083" s="3" t="s">
        <v>20</v>
      </c>
      <c r="F2083" s="3" t="s">
        <v>21</v>
      </c>
      <c r="G2083" s="3" t="s">
        <v>22</v>
      </c>
      <c r="H2083">
        <v>30000</v>
      </c>
      <c r="I2083">
        <v>7</v>
      </c>
      <c r="J2083" s="3" t="s">
        <v>39</v>
      </c>
      <c r="K2083">
        <v>24000</v>
      </c>
      <c r="L2083">
        <v>210000</v>
      </c>
      <c r="M2083">
        <v>168000</v>
      </c>
      <c r="N2083">
        <v>42000</v>
      </c>
      <c r="O2083" s="3" t="s">
        <v>2184</v>
      </c>
      <c r="P2083" s="3" t="s">
        <v>102</v>
      </c>
      <c r="Q2083" s="3" t="s">
        <v>103</v>
      </c>
      <c r="R2083" s="3" t="s">
        <v>103</v>
      </c>
    </row>
    <row r="2084" spans="1:18">
      <c r="A2084" s="19">
        <v>47758</v>
      </c>
      <c r="B2084" s="3" t="s">
        <v>18</v>
      </c>
      <c r="C2084" s="3" t="s">
        <v>12</v>
      </c>
      <c r="D2084" s="3" t="s">
        <v>13</v>
      </c>
      <c r="E2084" s="3" t="s">
        <v>20</v>
      </c>
      <c r="F2084" s="3" t="s">
        <v>33</v>
      </c>
      <c r="G2084" s="3" t="s">
        <v>22</v>
      </c>
      <c r="H2084">
        <v>180000</v>
      </c>
      <c r="I2084">
        <v>4</v>
      </c>
      <c r="J2084" s="3" t="s">
        <v>17</v>
      </c>
      <c r="K2084">
        <v>144000</v>
      </c>
      <c r="L2084">
        <v>720000</v>
      </c>
      <c r="M2084">
        <v>576000</v>
      </c>
      <c r="N2084">
        <v>144000</v>
      </c>
      <c r="O2084" s="3" t="s">
        <v>2185</v>
      </c>
      <c r="P2084" s="3" t="s">
        <v>102</v>
      </c>
      <c r="Q2084" s="3" t="s">
        <v>103</v>
      </c>
      <c r="R2084" s="3" t="s">
        <v>103</v>
      </c>
    </row>
    <row r="2085" spans="1:18">
      <c r="A2085" s="19">
        <v>47759</v>
      </c>
      <c r="B2085" s="3" t="s">
        <v>18</v>
      </c>
      <c r="C2085" s="3" t="s">
        <v>12</v>
      </c>
      <c r="D2085" s="3" t="s">
        <v>23</v>
      </c>
      <c r="E2085" s="3" t="s">
        <v>20</v>
      </c>
      <c r="F2085" s="3" t="s">
        <v>33</v>
      </c>
      <c r="G2085" s="3" t="s">
        <v>22</v>
      </c>
      <c r="H2085">
        <v>180000</v>
      </c>
      <c r="I2085">
        <v>1</v>
      </c>
      <c r="J2085" s="3" t="s">
        <v>35</v>
      </c>
      <c r="K2085">
        <v>144000</v>
      </c>
      <c r="L2085">
        <v>180000</v>
      </c>
      <c r="M2085">
        <v>144000</v>
      </c>
      <c r="N2085">
        <v>36000</v>
      </c>
      <c r="O2085" s="3" t="s">
        <v>2186</v>
      </c>
      <c r="P2085" s="3" t="s">
        <v>102</v>
      </c>
      <c r="Q2085" s="3" t="s">
        <v>103</v>
      </c>
      <c r="R2085" s="3" t="s">
        <v>103</v>
      </c>
    </row>
    <row r="2086" spans="1:18">
      <c r="A2086" s="19">
        <v>47760</v>
      </c>
      <c r="B2086" s="3" t="s">
        <v>25</v>
      </c>
      <c r="C2086" s="3" t="s">
        <v>19</v>
      </c>
      <c r="D2086" s="3" t="s">
        <v>13</v>
      </c>
      <c r="E2086" s="3" t="s">
        <v>20</v>
      </c>
      <c r="F2086" s="3" t="s">
        <v>27</v>
      </c>
      <c r="G2086" s="3" t="s">
        <v>22</v>
      </c>
      <c r="H2086">
        <v>60000</v>
      </c>
      <c r="I2086">
        <v>10</v>
      </c>
      <c r="J2086" s="3" t="s">
        <v>37</v>
      </c>
      <c r="K2086">
        <v>48000</v>
      </c>
      <c r="L2086">
        <v>600000</v>
      </c>
      <c r="M2086">
        <v>480000</v>
      </c>
      <c r="N2086">
        <v>120000</v>
      </c>
      <c r="O2086" s="3" t="s">
        <v>2187</v>
      </c>
      <c r="P2086" s="3" t="s">
        <v>102</v>
      </c>
      <c r="Q2086" s="3" t="s">
        <v>103</v>
      </c>
      <c r="R2086" s="3" t="s">
        <v>103</v>
      </c>
    </row>
    <row r="2087" spans="1:18">
      <c r="A2087" s="19">
        <v>47761</v>
      </c>
      <c r="B2087" s="3" t="s">
        <v>29</v>
      </c>
      <c r="C2087" s="3" t="s">
        <v>19</v>
      </c>
      <c r="D2087" s="3" t="s">
        <v>13</v>
      </c>
      <c r="E2087" s="3" t="s">
        <v>20</v>
      </c>
      <c r="F2087" s="3" t="s">
        <v>40</v>
      </c>
      <c r="G2087" s="3" t="s">
        <v>31</v>
      </c>
      <c r="H2087">
        <v>250000</v>
      </c>
      <c r="I2087">
        <v>8</v>
      </c>
      <c r="J2087" s="3" t="s">
        <v>28</v>
      </c>
      <c r="K2087">
        <v>200000</v>
      </c>
      <c r="L2087">
        <v>2000000</v>
      </c>
      <c r="M2087">
        <v>1600000</v>
      </c>
      <c r="N2087">
        <v>400000</v>
      </c>
      <c r="O2087" s="3" t="s">
        <v>2188</v>
      </c>
      <c r="P2087" s="3" t="s">
        <v>102</v>
      </c>
      <c r="Q2087" s="3" t="s">
        <v>103</v>
      </c>
      <c r="R2087" s="3" t="s">
        <v>103</v>
      </c>
    </row>
    <row r="2088" spans="1:18">
      <c r="A2088" s="19">
        <v>47762</v>
      </c>
      <c r="B2088" s="3" t="s">
        <v>29</v>
      </c>
      <c r="C2088" s="3" t="s">
        <v>26</v>
      </c>
      <c r="D2088" s="3" t="s">
        <v>13</v>
      </c>
      <c r="E2088" s="3" t="s">
        <v>20</v>
      </c>
      <c r="F2088" s="3" t="s">
        <v>21</v>
      </c>
      <c r="G2088" s="3" t="s">
        <v>22</v>
      </c>
      <c r="H2088">
        <v>30000</v>
      </c>
      <c r="I2088">
        <v>8</v>
      </c>
      <c r="J2088" s="3" t="s">
        <v>37</v>
      </c>
      <c r="K2088">
        <v>24000</v>
      </c>
      <c r="L2088">
        <v>240000</v>
      </c>
      <c r="M2088">
        <v>192000</v>
      </c>
      <c r="N2088">
        <v>48000</v>
      </c>
      <c r="O2088" s="3" t="s">
        <v>2189</v>
      </c>
      <c r="P2088" s="3" t="s">
        <v>102</v>
      </c>
      <c r="Q2088" s="3" t="s">
        <v>103</v>
      </c>
      <c r="R2088" s="3" t="s">
        <v>103</v>
      </c>
    </row>
    <row r="2089" spans="1:18">
      <c r="A2089" s="19">
        <v>47763</v>
      </c>
      <c r="B2089" s="3" t="s">
        <v>29</v>
      </c>
      <c r="C2089" s="3" t="s">
        <v>12</v>
      </c>
      <c r="D2089" s="3" t="s">
        <v>23</v>
      </c>
      <c r="E2089" s="3" t="s">
        <v>14</v>
      </c>
      <c r="F2089" s="3" t="s">
        <v>33</v>
      </c>
      <c r="G2089" s="3" t="s">
        <v>22</v>
      </c>
      <c r="H2089">
        <v>180000</v>
      </c>
      <c r="I2089">
        <v>4</v>
      </c>
      <c r="J2089" s="3" t="s">
        <v>28</v>
      </c>
      <c r="K2089">
        <v>144000</v>
      </c>
      <c r="L2089">
        <v>720000</v>
      </c>
      <c r="M2089">
        <v>576000</v>
      </c>
      <c r="N2089">
        <v>144000</v>
      </c>
      <c r="O2089" s="3" t="s">
        <v>2190</v>
      </c>
      <c r="P2089" s="3" t="s">
        <v>102</v>
      </c>
      <c r="Q2089" s="3" t="s">
        <v>103</v>
      </c>
      <c r="R2089" s="3" t="s">
        <v>103</v>
      </c>
    </row>
    <row r="2090" spans="1:18">
      <c r="A2090" s="19">
        <v>47764</v>
      </c>
      <c r="B2090" s="3" t="s">
        <v>18</v>
      </c>
      <c r="C2090" s="3" t="s">
        <v>19</v>
      </c>
      <c r="D2090" s="3" t="s">
        <v>23</v>
      </c>
      <c r="E2090" s="3" t="s">
        <v>14</v>
      </c>
      <c r="F2090" s="3" t="s">
        <v>36</v>
      </c>
      <c r="G2090" s="3" t="s">
        <v>31</v>
      </c>
      <c r="H2090">
        <v>150000</v>
      </c>
      <c r="I2090">
        <v>1</v>
      </c>
      <c r="J2090" s="3" t="s">
        <v>28</v>
      </c>
      <c r="K2090">
        <v>120000</v>
      </c>
      <c r="L2090">
        <v>150000</v>
      </c>
      <c r="M2090">
        <v>120000</v>
      </c>
      <c r="N2090">
        <v>30000</v>
      </c>
      <c r="O2090" s="3" t="s">
        <v>2191</v>
      </c>
      <c r="P2090" s="3" t="s">
        <v>102</v>
      </c>
      <c r="Q2090" s="3" t="s">
        <v>103</v>
      </c>
      <c r="R2090" s="3" t="s">
        <v>103</v>
      </c>
    </row>
    <row r="2091" spans="1:18">
      <c r="A2091" s="19">
        <v>47765</v>
      </c>
      <c r="B2091" s="3" t="s">
        <v>29</v>
      </c>
      <c r="C2091" s="3" t="s">
        <v>32</v>
      </c>
      <c r="D2091" s="3" t="s">
        <v>13</v>
      </c>
      <c r="E2091" s="3" t="s">
        <v>20</v>
      </c>
      <c r="F2091" s="3" t="s">
        <v>30</v>
      </c>
      <c r="G2091" s="3" t="s">
        <v>31</v>
      </c>
      <c r="H2091">
        <v>300000</v>
      </c>
      <c r="I2091">
        <v>3</v>
      </c>
      <c r="J2091" s="3" t="s">
        <v>17</v>
      </c>
      <c r="K2091">
        <v>240000</v>
      </c>
      <c r="L2091">
        <v>900000</v>
      </c>
      <c r="M2091">
        <v>720000</v>
      </c>
      <c r="N2091">
        <v>180000</v>
      </c>
      <c r="O2091" s="3" t="s">
        <v>2192</v>
      </c>
      <c r="P2091" s="3" t="s">
        <v>102</v>
      </c>
      <c r="Q2091" s="3" t="s">
        <v>103</v>
      </c>
      <c r="R2091" s="3" t="s">
        <v>103</v>
      </c>
    </row>
    <row r="2092" spans="1:18">
      <c r="A2092" s="19">
        <v>47766</v>
      </c>
      <c r="B2092" s="3" t="s">
        <v>11</v>
      </c>
      <c r="C2092" s="3" t="s">
        <v>26</v>
      </c>
      <c r="D2092" s="3" t="s">
        <v>13</v>
      </c>
      <c r="E2092" s="3" t="s">
        <v>14</v>
      </c>
      <c r="F2092" s="3" t="s">
        <v>34</v>
      </c>
      <c r="G2092" s="3" t="s">
        <v>16</v>
      </c>
      <c r="H2092">
        <v>320000</v>
      </c>
      <c r="I2092">
        <v>5</v>
      </c>
      <c r="J2092" s="3" t="s">
        <v>17</v>
      </c>
      <c r="K2092">
        <v>256000</v>
      </c>
      <c r="L2092">
        <v>1600000</v>
      </c>
      <c r="M2092">
        <v>1280000</v>
      </c>
      <c r="N2092">
        <v>320000</v>
      </c>
      <c r="O2092" s="3" t="s">
        <v>2193</v>
      </c>
      <c r="P2092" s="3" t="s">
        <v>102</v>
      </c>
      <c r="Q2092" s="3" t="s">
        <v>103</v>
      </c>
      <c r="R2092" s="3" t="s">
        <v>103</v>
      </c>
    </row>
    <row r="2093" spans="1:18">
      <c r="A2093" s="19">
        <v>47767</v>
      </c>
      <c r="B2093" s="3" t="s">
        <v>11</v>
      </c>
      <c r="C2093" s="3" t="s">
        <v>32</v>
      </c>
      <c r="D2093" s="3" t="s">
        <v>23</v>
      </c>
      <c r="E2093" s="3" t="s">
        <v>14</v>
      </c>
      <c r="F2093" s="3" t="s">
        <v>30</v>
      </c>
      <c r="G2093" s="3" t="s">
        <v>31</v>
      </c>
      <c r="H2093">
        <v>300000</v>
      </c>
      <c r="I2093">
        <v>1</v>
      </c>
      <c r="J2093" s="3" t="s">
        <v>24</v>
      </c>
      <c r="K2093">
        <v>240000</v>
      </c>
      <c r="L2093">
        <v>300000</v>
      </c>
      <c r="M2093">
        <v>240000</v>
      </c>
      <c r="N2093">
        <v>60000</v>
      </c>
      <c r="O2093" s="3" t="s">
        <v>2194</v>
      </c>
      <c r="P2093" s="3" t="s">
        <v>102</v>
      </c>
      <c r="Q2093" s="3" t="s">
        <v>103</v>
      </c>
      <c r="R2093" s="3" t="s">
        <v>103</v>
      </c>
    </row>
    <row r="2094" spans="1:18">
      <c r="A2094" s="19">
        <v>47768</v>
      </c>
      <c r="B2094" s="3" t="s">
        <v>11</v>
      </c>
      <c r="C2094" s="3" t="s">
        <v>19</v>
      </c>
      <c r="D2094" s="3" t="s">
        <v>23</v>
      </c>
      <c r="E2094" s="3" t="s">
        <v>14</v>
      </c>
      <c r="F2094" s="3" t="s">
        <v>36</v>
      </c>
      <c r="G2094" s="3" t="s">
        <v>31</v>
      </c>
      <c r="H2094">
        <v>150000</v>
      </c>
      <c r="I2094">
        <v>4</v>
      </c>
      <c r="J2094" s="3" t="s">
        <v>28</v>
      </c>
      <c r="K2094">
        <v>120000</v>
      </c>
      <c r="L2094">
        <v>600000</v>
      </c>
      <c r="M2094">
        <v>480000</v>
      </c>
      <c r="N2094">
        <v>120000</v>
      </c>
      <c r="O2094" s="3" t="s">
        <v>2195</v>
      </c>
      <c r="P2094" s="3" t="s">
        <v>102</v>
      </c>
      <c r="Q2094" s="3" t="s">
        <v>103</v>
      </c>
      <c r="R2094" s="3" t="s">
        <v>103</v>
      </c>
    </row>
    <row r="2095" spans="1:18">
      <c r="A2095" s="19">
        <v>47769</v>
      </c>
      <c r="B2095" s="3" t="s">
        <v>25</v>
      </c>
      <c r="C2095" s="3" t="s">
        <v>12</v>
      </c>
      <c r="D2095" s="3" t="s">
        <v>23</v>
      </c>
      <c r="E2095" s="3" t="s">
        <v>14</v>
      </c>
      <c r="F2095" s="3" t="s">
        <v>40</v>
      </c>
      <c r="G2095" s="3" t="s">
        <v>31</v>
      </c>
      <c r="H2095">
        <v>250000</v>
      </c>
      <c r="I2095">
        <v>2</v>
      </c>
      <c r="J2095" s="3" t="s">
        <v>35</v>
      </c>
      <c r="K2095">
        <v>200000</v>
      </c>
      <c r="L2095">
        <v>500000</v>
      </c>
      <c r="M2095">
        <v>400000</v>
      </c>
      <c r="N2095">
        <v>100000</v>
      </c>
      <c r="O2095" s="3" t="s">
        <v>2196</v>
      </c>
      <c r="P2095" s="3" t="s">
        <v>102</v>
      </c>
      <c r="Q2095" s="3" t="s">
        <v>103</v>
      </c>
      <c r="R2095" s="3" t="s">
        <v>103</v>
      </c>
    </row>
    <row r="2096" spans="1:18">
      <c r="A2096" s="19">
        <v>47770</v>
      </c>
      <c r="B2096" s="3" t="s">
        <v>29</v>
      </c>
      <c r="C2096" s="3" t="s">
        <v>19</v>
      </c>
      <c r="D2096" s="3" t="s">
        <v>13</v>
      </c>
      <c r="E2096" s="3" t="s">
        <v>20</v>
      </c>
      <c r="F2096" s="3" t="s">
        <v>40</v>
      </c>
      <c r="G2096" s="3" t="s">
        <v>31</v>
      </c>
      <c r="H2096">
        <v>250000</v>
      </c>
      <c r="I2096">
        <v>10</v>
      </c>
      <c r="J2096" s="3" t="s">
        <v>37</v>
      </c>
      <c r="K2096">
        <v>200000</v>
      </c>
      <c r="L2096">
        <v>2500000</v>
      </c>
      <c r="M2096">
        <v>2000000</v>
      </c>
      <c r="N2096">
        <v>500000</v>
      </c>
      <c r="O2096" s="3" t="s">
        <v>2197</v>
      </c>
      <c r="P2096" s="3" t="s">
        <v>102</v>
      </c>
      <c r="Q2096" s="3" t="s">
        <v>103</v>
      </c>
      <c r="R2096" s="3" t="s">
        <v>103</v>
      </c>
    </row>
    <row r="2097" spans="1:18">
      <c r="A2097" s="19">
        <v>47771</v>
      </c>
      <c r="B2097" s="3" t="s">
        <v>25</v>
      </c>
      <c r="C2097" s="3" t="s">
        <v>32</v>
      </c>
      <c r="D2097" s="3" t="s">
        <v>23</v>
      </c>
      <c r="E2097" s="3" t="s">
        <v>20</v>
      </c>
      <c r="F2097" s="3" t="s">
        <v>36</v>
      </c>
      <c r="G2097" s="3" t="s">
        <v>31</v>
      </c>
      <c r="H2097">
        <v>150000</v>
      </c>
      <c r="I2097">
        <v>2</v>
      </c>
      <c r="J2097" s="3" t="s">
        <v>17</v>
      </c>
      <c r="K2097">
        <v>120000</v>
      </c>
      <c r="L2097">
        <v>300000</v>
      </c>
      <c r="M2097">
        <v>240000</v>
      </c>
      <c r="N2097">
        <v>60000</v>
      </c>
      <c r="O2097" s="3" t="s">
        <v>2198</v>
      </c>
      <c r="P2097" s="3" t="s">
        <v>102</v>
      </c>
      <c r="Q2097" s="3" t="s">
        <v>103</v>
      </c>
      <c r="R2097" s="3" t="s">
        <v>103</v>
      </c>
    </row>
    <row r="2098" spans="1:18">
      <c r="A2098" s="19">
        <v>47772</v>
      </c>
      <c r="B2098" s="3" t="s">
        <v>25</v>
      </c>
      <c r="C2098" s="3" t="s">
        <v>12</v>
      </c>
      <c r="D2098" s="3" t="s">
        <v>13</v>
      </c>
      <c r="E2098" s="3" t="s">
        <v>14</v>
      </c>
      <c r="F2098" s="3" t="s">
        <v>40</v>
      </c>
      <c r="G2098" s="3" t="s">
        <v>31</v>
      </c>
      <c r="H2098">
        <v>250000</v>
      </c>
      <c r="I2098">
        <v>9</v>
      </c>
      <c r="J2098" s="3" t="s">
        <v>35</v>
      </c>
      <c r="K2098">
        <v>200000</v>
      </c>
      <c r="L2098">
        <v>2250000</v>
      </c>
      <c r="M2098">
        <v>1800000</v>
      </c>
      <c r="N2098">
        <v>450000</v>
      </c>
      <c r="O2098" s="3" t="s">
        <v>2199</v>
      </c>
      <c r="P2098" s="3" t="s">
        <v>102</v>
      </c>
      <c r="Q2098" s="3" t="s">
        <v>103</v>
      </c>
      <c r="R2098" s="3" t="s">
        <v>103</v>
      </c>
    </row>
    <row r="2099" spans="1:18">
      <c r="A2099" s="19">
        <v>47773</v>
      </c>
      <c r="B2099" s="3" t="s">
        <v>25</v>
      </c>
      <c r="C2099" s="3" t="s">
        <v>12</v>
      </c>
      <c r="D2099" s="3" t="s">
        <v>13</v>
      </c>
      <c r="E2099" s="3" t="s">
        <v>14</v>
      </c>
      <c r="F2099" s="3" t="s">
        <v>34</v>
      </c>
      <c r="G2099" s="3" t="s">
        <v>16</v>
      </c>
      <c r="H2099">
        <v>320000</v>
      </c>
      <c r="I2099">
        <v>4</v>
      </c>
      <c r="J2099" s="3" t="s">
        <v>24</v>
      </c>
      <c r="K2099">
        <v>256000</v>
      </c>
      <c r="L2099">
        <v>1280000</v>
      </c>
      <c r="M2099">
        <v>1024000</v>
      </c>
      <c r="N2099">
        <v>256000</v>
      </c>
      <c r="O2099" s="3" t="s">
        <v>2200</v>
      </c>
      <c r="P2099" s="3" t="s">
        <v>102</v>
      </c>
      <c r="Q2099" s="3" t="s">
        <v>103</v>
      </c>
      <c r="R2099" s="3" t="s">
        <v>103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E2E70-7535-4629-AB84-633E46AABD9A}">
  <dimension ref="A1:V2102"/>
  <sheetViews>
    <sheetView topLeftCell="F1" workbookViewId="0">
      <selection activeCell="J10" sqref="J10"/>
    </sheetView>
  </sheetViews>
  <sheetFormatPr defaultColWidth="9" defaultRowHeight="14.5"/>
  <cols>
    <col min="1" max="1" width="11.7265625" style="1" bestFit="1" customWidth="1"/>
    <col min="2" max="2" width="10.36328125" customWidth="1"/>
    <col min="3" max="3" width="12.36328125" customWidth="1"/>
    <col min="4" max="4" width="14.81640625" customWidth="1"/>
    <col min="5" max="5" width="13.1796875" customWidth="1"/>
    <col min="6" max="6" width="16.36328125" customWidth="1"/>
    <col min="7" max="7" width="15.90625" customWidth="1"/>
    <col min="8" max="8" width="9.81640625" customWidth="1"/>
    <col min="9" max="9" width="13.36328125" customWidth="1"/>
    <col min="10" max="10" width="13.08984375" customWidth="1"/>
    <col min="16" max="16" width="14.81640625" bestFit="1" customWidth="1"/>
    <col min="17" max="18" width="14.81640625" customWidth="1"/>
  </cols>
  <sheetData>
    <row r="1" spans="1:22">
      <c r="A1" s="1" t="s">
        <v>0</v>
      </c>
      <c r="B1" t="s">
        <v>1</v>
      </c>
      <c r="C1" t="s">
        <v>2</v>
      </c>
      <c r="D1" t="s">
        <v>3</v>
      </c>
      <c r="E1" t="s">
        <v>4</v>
      </c>
      <c r="F1" t="s">
        <v>5</v>
      </c>
      <c r="G1" t="s">
        <v>6</v>
      </c>
      <c r="H1" t="s">
        <v>7</v>
      </c>
      <c r="I1" t="s">
        <v>8</v>
      </c>
      <c r="J1" t="s">
        <v>9</v>
      </c>
      <c r="K1" t="s">
        <v>10</v>
      </c>
      <c r="L1" s="2" t="s">
        <v>58</v>
      </c>
      <c r="M1" s="2" t="s">
        <v>59</v>
      </c>
      <c r="N1" s="2" t="s">
        <v>66</v>
      </c>
      <c r="O1" s="2" t="s">
        <v>67</v>
      </c>
      <c r="P1" s="2" t="s">
        <v>68</v>
      </c>
      <c r="Q1" s="2" t="s">
        <v>71</v>
      </c>
      <c r="R1" s="2" t="s">
        <v>70</v>
      </c>
      <c r="U1" t="s">
        <v>60</v>
      </c>
      <c r="V1" t="s">
        <v>61</v>
      </c>
    </row>
    <row r="2" spans="1:22">
      <c r="A2" s="1">
        <v>45676</v>
      </c>
      <c r="B2" t="s">
        <v>11</v>
      </c>
      <c r="C2" t="s">
        <v>12</v>
      </c>
      <c r="D2" t="s">
        <v>13</v>
      </c>
      <c r="E2" t="s">
        <v>14</v>
      </c>
      <c r="F2" t="s">
        <v>15</v>
      </c>
      <c r="G2" t="s">
        <v>16</v>
      </c>
      <c r="H2">
        <v>85000</v>
      </c>
      <c r="I2">
        <v>1</v>
      </c>
      <c r="J2" t="s">
        <v>17</v>
      </c>
      <c r="K2">
        <f t="shared" ref="K2:K65" si="0">H2-H2*0.2</f>
        <v>68000</v>
      </c>
      <c r="L2">
        <f>Sales_Data2[[#This Row],[Unit Price]]*Sales_Data2[[#This Row],[Quantity]]</f>
        <v>85000</v>
      </c>
      <c r="M2">
        <f>Sales_Data2[[#This Row],[Cost Price]]*Sales_Data2[[#This Row],[Quantity]]</f>
        <v>68000</v>
      </c>
      <c r="N2" s="3">
        <f>Sales_Data2[[#This Row],[Revenue]]-Sales_Data2[[#This Row],[COGS]]</f>
        <v>17000</v>
      </c>
      <c r="O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45676|West|Port Harcourt|Retail|Online|Office Chair Pro|Furniture|85000|1|Chidinma|68000</v>
      </c>
      <c r="P2" s="3" t="str">
        <f>IF(COUNTIF(Sales_Data2[RowKey],Sales_Data2[[#This Row],[RowKey]])&gt;1,"Duplicate","Unique")</f>
        <v>Unique</v>
      </c>
      <c r="Q2" s="3" t="str">
        <f>IF(ISNUMBER(Sales_Data2[[#This Row],[Date]]),"OK","Check")</f>
        <v>OK</v>
      </c>
      <c r="R2" s="3" t="str">
        <f>IF(ISNUMBER(Sales_Data2[[#This Row],[Quantity]]),"OK","Check")</f>
        <v>OK</v>
      </c>
      <c r="U2" t="s">
        <v>62</v>
      </c>
      <c r="V2" t="s">
        <v>63</v>
      </c>
    </row>
    <row r="3" spans="1:22">
      <c r="A3" s="1">
        <v>45677</v>
      </c>
      <c r="B3" t="s">
        <v>18</v>
      </c>
      <c r="C3" t="s">
        <v>19</v>
      </c>
      <c r="D3" t="s">
        <v>13</v>
      </c>
      <c r="E3" t="s">
        <v>20</v>
      </c>
      <c r="F3" t="s">
        <v>21</v>
      </c>
      <c r="G3" t="s">
        <v>22</v>
      </c>
      <c r="H3">
        <v>30000</v>
      </c>
      <c r="I3">
        <v>8</v>
      </c>
      <c r="J3" t="s">
        <v>17</v>
      </c>
      <c r="K3">
        <f t="shared" si="0"/>
        <v>24000</v>
      </c>
      <c r="L3">
        <f>Sales_Data2[[#This Row],[Unit Price]]*Sales_Data2[[#This Row],[Quantity]]</f>
        <v>240000</v>
      </c>
      <c r="M3">
        <f>Sales_Data2[[#This Row],[Cost Price]]*Sales_Data2[[#This Row],[Quantity]]</f>
        <v>192000</v>
      </c>
      <c r="N3" s="3">
        <f>Sales_Data2[[#This Row],[Revenue]]-Sales_Data2[[#This Row],[COGS]]</f>
        <v>48000</v>
      </c>
      <c r="O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45677|East|Lagos|Retail|Store|Blender B10|Home Appliances|30000|8|Chidinma|24000</v>
      </c>
      <c r="P3" s="3" t="str">
        <f>IF(COUNTIF(Sales_Data2[RowKey],Sales_Data2[[#This Row],[RowKey]])&gt;1,"Duplicate","Unique")</f>
        <v>Unique</v>
      </c>
      <c r="Q3" s="3" t="str">
        <f>IF(ISNUMBER(Sales_Data2[[#This Row],[Date]]),"OK","Check")</f>
        <v>OK</v>
      </c>
      <c r="R3" s="3" t="str">
        <f>IF(ISNUMBER(Sales_Data2[[#This Row],[Quantity]]),"OK","Check")</f>
        <v>OK</v>
      </c>
      <c r="U3" t="s">
        <v>64</v>
      </c>
      <c r="V3" t="s">
        <v>65</v>
      </c>
    </row>
    <row r="4" spans="1:22">
      <c r="A4" s="1">
        <v>45678</v>
      </c>
      <c r="B4" t="s">
        <v>18</v>
      </c>
      <c r="C4" t="s">
        <v>12</v>
      </c>
      <c r="D4" t="s">
        <v>23</v>
      </c>
      <c r="E4" t="s">
        <v>14</v>
      </c>
      <c r="F4" t="s">
        <v>15</v>
      </c>
      <c r="G4" t="s">
        <v>16</v>
      </c>
      <c r="H4">
        <v>85000</v>
      </c>
      <c r="I4">
        <v>2</v>
      </c>
      <c r="J4" t="s">
        <v>24</v>
      </c>
      <c r="K4">
        <f t="shared" si="0"/>
        <v>68000</v>
      </c>
      <c r="L4">
        <f>Sales_Data2[[#This Row],[Unit Price]]*Sales_Data2[[#This Row],[Quantity]]</f>
        <v>170000</v>
      </c>
      <c r="M4">
        <f>Sales_Data2[[#This Row],[Cost Price]]*Sales_Data2[[#This Row],[Quantity]]</f>
        <v>136000</v>
      </c>
      <c r="N4" s="3">
        <f>Sales_Data2[[#This Row],[Revenue]]-Sales_Data2[[#This Row],[COGS]]</f>
        <v>34000</v>
      </c>
      <c r="O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45678|East|Port Harcourt|Corporate|Online|Office Chair Pro|Furniture|85000|2|David|68000</v>
      </c>
      <c r="P4" s="3" t="str">
        <f>IF(COUNTIF(Sales_Data2[RowKey],Sales_Data2[[#This Row],[RowKey]])&gt;1,"Duplicate","Unique")</f>
        <v>Unique</v>
      </c>
      <c r="Q4" s="3" t="str">
        <f>IF(ISNUMBER(Sales_Data2[[#This Row],[Date]]),"OK","Check")</f>
        <v>OK</v>
      </c>
      <c r="R4" s="3" t="str">
        <f>IF(ISNUMBER(Sales_Data2[[#This Row],[Quantity]]),"OK","Check")</f>
        <v>OK</v>
      </c>
    </row>
    <row r="5" spans="1:22">
      <c r="A5" s="1">
        <v>45679</v>
      </c>
      <c r="B5" t="s">
        <v>25</v>
      </c>
      <c r="C5" t="s">
        <v>26</v>
      </c>
      <c r="D5" t="s">
        <v>13</v>
      </c>
      <c r="E5" t="s">
        <v>14</v>
      </c>
      <c r="F5" t="s">
        <v>27</v>
      </c>
      <c r="G5" t="s">
        <v>22</v>
      </c>
      <c r="H5">
        <v>60000</v>
      </c>
      <c r="I5">
        <v>2</v>
      </c>
      <c r="J5" t="s">
        <v>28</v>
      </c>
      <c r="K5">
        <f t="shared" si="0"/>
        <v>48000</v>
      </c>
      <c r="L5">
        <f>Sales_Data2[[#This Row],[Unit Price]]*Sales_Data2[[#This Row],[Quantity]]</f>
        <v>120000</v>
      </c>
      <c r="M5">
        <f>Sales_Data2[[#This Row],[Cost Price]]*Sales_Data2[[#This Row],[Quantity]]</f>
        <v>96000</v>
      </c>
      <c r="N5" s="3">
        <f>Sales_Data2[[#This Row],[Revenue]]-Sales_Data2[[#This Row],[COGS]]</f>
        <v>24000</v>
      </c>
      <c r="O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45679|South|Kano|Retail|Online|Microwave M20|Home Appliances|60000|2|Musa|48000</v>
      </c>
      <c r="P5" s="3" t="str">
        <f>IF(COUNTIF(Sales_Data2[RowKey],Sales_Data2[[#This Row],[RowKey]])&gt;1,"Duplicate","Unique")</f>
        <v>Unique</v>
      </c>
      <c r="Q5" s="3" t="str">
        <f>IF(ISNUMBER(Sales_Data2[[#This Row],[Date]]),"OK","Check")</f>
        <v>OK</v>
      </c>
      <c r="R5" s="3" t="str">
        <f>IF(ISNUMBER(Sales_Data2[[#This Row],[Quantity]]),"OK","Check")</f>
        <v>OK</v>
      </c>
    </row>
    <row r="6" spans="1:22">
      <c r="A6" s="1">
        <v>45680</v>
      </c>
      <c r="B6" t="s">
        <v>29</v>
      </c>
      <c r="C6" t="s">
        <v>26</v>
      </c>
      <c r="D6" t="s">
        <v>23</v>
      </c>
      <c r="E6" t="s">
        <v>14</v>
      </c>
      <c r="F6" t="s">
        <v>30</v>
      </c>
      <c r="G6" t="s">
        <v>31</v>
      </c>
      <c r="H6">
        <v>300000</v>
      </c>
      <c r="I6">
        <v>2</v>
      </c>
      <c r="J6" t="s">
        <v>17</v>
      </c>
      <c r="K6">
        <f t="shared" si="0"/>
        <v>240000</v>
      </c>
      <c r="L6">
        <f>Sales_Data2[[#This Row],[Unit Price]]*Sales_Data2[[#This Row],[Quantity]]</f>
        <v>600000</v>
      </c>
      <c r="M6">
        <f>Sales_Data2[[#This Row],[Cost Price]]*Sales_Data2[[#This Row],[Quantity]]</f>
        <v>480000</v>
      </c>
      <c r="N6" s="3">
        <f>Sales_Data2[[#This Row],[Revenue]]-Sales_Data2[[#This Row],[COGS]]</f>
        <v>120000</v>
      </c>
      <c r="O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45680|North|Kano|Corporate|Online|Desktop PC D21|Electronics|300000|2|Chidinma|240000</v>
      </c>
      <c r="P6" s="3" t="str">
        <f>IF(COUNTIF(Sales_Data2[RowKey],Sales_Data2[[#This Row],[RowKey]])&gt;1,"Duplicate","Unique")</f>
        <v>Unique</v>
      </c>
      <c r="Q6" s="3" t="str">
        <f>IF(ISNUMBER(Sales_Data2[[#This Row],[Date]]),"OK","Check")</f>
        <v>OK</v>
      </c>
      <c r="R6" s="3" t="str">
        <f>IF(ISNUMBER(Sales_Data2[[#This Row],[Quantity]]),"OK","Check")</f>
        <v>OK</v>
      </c>
    </row>
    <row r="7" spans="1:22">
      <c r="A7" s="1">
        <v>45681</v>
      </c>
      <c r="B7" t="s">
        <v>25</v>
      </c>
      <c r="C7" t="s">
        <v>32</v>
      </c>
      <c r="D7" t="s">
        <v>13</v>
      </c>
      <c r="E7" t="s">
        <v>14</v>
      </c>
      <c r="F7" t="s">
        <v>33</v>
      </c>
      <c r="G7" t="s">
        <v>22</v>
      </c>
      <c r="H7">
        <v>180000</v>
      </c>
      <c r="I7">
        <v>10</v>
      </c>
      <c r="J7" t="s">
        <v>17</v>
      </c>
      <c r="K7">
        <f t="shared" si="0"/>
        <v>144000</v>
      </c>
      <c r="L7">
        <f>Sales_Data2[[#This Row],[Unit Price]]*Sales_Data2[[#This Row],[Quantity]]</f>
        <v>1800000</v>
      </c>
      <c r="M7">
        <f>Sales_Data2[[#This Row],[Cost Price]]*Sales_Data2[[#This Row],[Quantity]]</f>
        <v>1440000</v>
      </c>
      <c r="N7" s="3">
        <f>Sales_Data2[[#This Row],[Revenue]]-Sales_Data2[[#This Row],[COGS]]</f>
        <v>360000</v>
      </c>
      <c r="O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45681|South|Abuja|Retail|Online|Air Conditioner X2|Home Appliances|180000|10|Chidinma|144000</v>
      </c>
      <c r="P7" s="3" t="str">
        <f>IF(COUNTIF(Sales_Data2[RowKey],Sales_Data2[[#This Row],[RowKey]])&gt;1,"Duplicate","Unique")</f>
        <v>Unique</v>
      </c>
      <c r="Q7" s="3" t="str">
        <f>IF(ISNUMBER(Sales_Data2[[#This Row],[Date]]),"OK","Check")</f>
        <v>OK</v>
      </c>
      <c r="R7" s="3" t="str">
        <f>IF(ISNUMBER(Sales_Data2[[#This Row],[Quantity]]),"OK","Check")</f>
        <v>OK</v>
      </c>
    </row>
    <row r="8" spans="1:22">
      <c r="A8" s="1">
        <v>45682</v>
      </c>
      <c r="B8" t="s">
        <v>25</v>
      </c>
      <c r="C8" t="s">
        <v>32</v>
      </c>
      <c r="D8" t="s">
        <v>23</v>
      </c>
      <c r="E8" t="s">
        <v>14</v>
      </c>
      <c r="F8" t="s">
        <v>34</v>
      </c>
      <c r="G8" t="s">
        <v>16</v>
      </c>
      <c r="H8">
        <v>320000</v>
      </c>
      <c r="I8">
        <v>4</v>
      </c>
      <c r="J8" t="s">
        <v>28</v>
      </c>
      <c r="K8">
        <f t="shared" si="0"/>
        <v>256000</v>
      </c>
      <c r="L8">
        <f>Sales_Data2[[#This Row],[Unit Price]]*Sales_Data2[[#This Row],[Quantity]]</f>
        <v>1280000</v>
      </c>
      <c r="M8">
        <f>Sales_Data2[[#This Row],[Cost Price]]*Sales_Data2[[#This Row],[Quantity]]</f>
        <v>1024000</v>
      </c>
      <c r="N8" s="3">
        <f>Sales_Data2[[#This Row],[Revenue]]-Sales_Data2[[#This Row],[COGS]]</f>
        <v>256000</v>
      </c>
      <c r="O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45682|South|Abuja|Corporate|Online|Sofa Classic|Furniture|320000|4|Musa|256000</v>
      </c>
      <c r="P8" s="3" t="str">
        <f>IF(COUNTIF(Sales_Data2[RowKey],Sales_Data2[[#This Row],[RowKey]])&gt;1,"Duplicate","Unique")</f>
        <v>Unique</v>
      </c>
      <c r="Q8" s="3" t="str">
        <f>IF(ISNUMBER(Sales_Data2[[#This Row],[Date]]),"OK","Check")</f>
        <v>OK</v>
      </c>
      <c r="R8" s="3" t="str">
        <f>IF(ISNUMBER(Sales_Data2[[#This Row],[Quantity]]),"OK","Check")</f>
        <v>OK</v>
      </c>
    </row>
    <row r="9" spans="1:22">
      <c r="A9" s="1">
        <v>45683</v>
      </c>
      <c r="B9" t="s">
        <v>25</v>
      </c>
      <c r="C9" t="s">
        <v>26</v>
      </c>
      <c r="D9" t="s">
        <v>13</v>
      </c>
      <c r="E9" t="s">
        <v>14</v>
      </c>
      <c r="F9" t="s">
        <v>34</v>
      </c>
      <c r="G9" t="s">
        <v>16</v>
      </c>
      <c r="H9">
        <v>320000</v>
      </c>
      <c r="I9">
        <v>1</v>
      </c>
      <c r="J9" t="s">
        <v>35</v>
      </c>
      <c r="K9">
        <f t="shared" si="0"/>
        <v>256000</v>
      </c>
      <c r="L9">
        <f>Sales_Data2[[#This Row],[Unit Price]]*Sales_Data2[[#This Row],[Quantity]]</f>
        <v>320000</v>
      </c>
      <c r="M9">
        <f>Sales_Data2[[#This Row],[Cost Price]]*Sales_Data2[[#This Row],[Quantity]]</f>
        <v>256000</v>
      </c>
      <c r="N9" s="3">
        <f>Sales_Data2[[#This Row],[Revenue]]-Sales_Data2[[#This Row],[COGS]]</f>
        <v>64000</v>
      </c>
      <c r="O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45683|South|Kano|Retail|Online|Sofa Classic|Furniture|320000|1|Peter|256000</v>
      </c>
      <c r="P9" s="3" t="str">
        <f>IF(COUNTIF(Sales_Data2[RowKey],Sales_Data2[[#This Row],[RowKey]])&gt;1,"Duplicate","Unique")</f>
        <v>Unique</v>
      </c>
      <c r="Q9" s="3" t="str">
        <f>IF(ISNUMBER(Sales_Data2[[#This Row],[Date]]),"OK","Check")</f>
        <v>OK</v>
      </c>
      <c r="R9" s="3" t="str">
        <f>IF(ISNUMBER(Sales_Data2[[#This Row],[Quantity]]),"OK","Check")</f>
        <v>OK</v>
      </c>
    </row>
    <row r="10" spans="1:22">
      <c r="A10" s="1">
        <v>45684</v>
      </c>
      <c r="B10" t="s">
        <v>18</v>
      </c>
      <c r="C10" t="s">
        <v>19</v>
      </c>
      <c r="D10" t="s">
        <v>13</v>
      </c>
      <c r="E10" t="s">
        <v>20</v>
      </c>
      <c r="F10" t="s">
        <v>34</v>
      </c>
      <c r="G10" t="s">
        <v>16</v>
      </c>
      <c r="H10">
        <v>320000</v>
      </c>
      <c r="I10">
        <v>9</v>
      </c>
      <c r="J10" t="s">
        <v>28</v>
      </c>
      <c r="K10">
        <f t="shared" si="0"/>
        <v>256000</v>
      </c>
      <c r="L10">
        <f>Sales_Data2[[#This Row],[Unit Price]]*Sales_Data2[[#This Row],[Quantity]]</f>
        <v>2880000</v>
      </c>
      <c r="M10">
        <f>Sales_Data2[[#This Row],[Cost Price]]*Sales_Data2[[#This Row],[Quantity]]</f>
        <v>2304000</v>
      </c>
      <c r="N10" s="3">
        <f>Sales_Data2[[#This Row],[Revenue]]-Sales_Data2[[#This Row],[COGS]]</f>
        <v>576000</v>
      </c>
      <c r="O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45684|East|Lagos|Retail|Store|Sofa Classic|Furniture|320000|9|Musa|256000</v>
      </c>
      <c r="P10" s="3" t="str">
        <f>IF(COUNTIF(Sales_Data2[RowKey],Sales_Data2[[#This Row],[RowKey]])&gt;1,"Duplicate","Unique")</f>
        <v>Unique</v>
      </c>
      <c r="Q10" s="3" t="str">
        <f>IF(ISNUMBER(Sales_Data2[[#This Row],[Date]]),"OK","Check")</f>
        <v>OK</v>
      </c>
      <c r="R10" s="3" t="str">
        <f>IF(ISNUMBER(Sales_Data2[[#This Row],[Quantity]]),"OK","Check")</f>
        <v>OK</v>
      </c>
    </row>
    <row r="11" spans="1:22">
      <c r="A11" s="1">
        <v>45685</v>
      </c>
      <c r="B11" t="s">
        <v>25</v>
      </c>
      <c r="C11" t="s">
        <v>19</v>
      </c>
      <c r="D11" t="s">
        <v>13</v>
      </c>
      <c r="E11" t="s">
        <v>14</v>
      </c>
      <c r="F11" t="s">
        <v>34</v>
      </c>
      <c r="G11" t="s">
        <v>16</v>
      </c>
      <c r="H11">
        <v>320000</v>
      </c>
      <c r="I11">
        <v>3</v>
      </c>
      <c r="J11" t="s">
        <v>28</v>
      </c>
      <c r="K11">
        <f t="shared" si="0"/>
        <v>256000</v>
      </c>
      <c r="L11">
        <f>Sales_Data2[[#This Row],[Unit Price]]*Sales_Data2[[#This Row],[Quantity]]</f>
        <v>960000</v>
      </c>
      <c r="M11">
        <f>Sales_Data2[[#This Row],[Cost Price]]*Sales_Data2[[#This Row],[Quantity]]</f>
        <v>768000</v>
      </c>
      <c r="N11" s="3">
        <f>Sales_Data2[[#This Row],[Revenue]]-Sales_Data2[[#This Row],[COGS]]</f>
        <v>192000</v>
      </c>
      <c r="O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45685|South|Lagos|Retail|Online|Sofa Classic|Furniture|320000|3|Musa|256000</v>
      </c>
      <c r="P11" s="3" t="str">
        <f>IF(COUNTIF(Sales_Data2[RowKey],Sales_Data2[[#This Row],[RowKey]])&gt;1,"Duplicate","Unique")</f>
        <v>Unique</v>
      </c>
      <c r="Q11" s="3" t="str">
        <f>IF(ISNUMBER(Sales_Data2[[#This Row],[Date]]),"OK","Check")</f>
        <v>OK</v>
      </c>
      <c r="R11" s="3" t="str">
        <f>IF(ISNUMBER(Sales_Data2[[#This Row],[Quantity]]),"OK","Check")</f>
        <v>OK</v>
      </c>
    </row>
    <row r="12" spans="1:22">
      <c r="A12" s="1">
        <v>45686</v>
      </c>
      <c r="B12" t="s">
        <v>25</v>
      </c>
      <c r="C12" t="s">
        <v>12</v>
      </c>
      <c r="D12" t="s">
        <v>13</v>
      </c>
      <c r="E12" t="s">
        <v>14</v>
      </c>
      <c r="F12" t="s">
        <v>36</v>
      </c>
      <c r="G12" t="s">
        <v>31</v>
      </c>
      <c r="H12">
        <v>150000</v>
      </c>
      <c r="I12">
        <v>4</v>
      </c>
      <c r="J12" t="s">
        <v>35</v>
      </c>
      <c r="K12">
        <f t="shared" si="0"/>
        <v>120000</v>
      </c>
      <c r="L12">
        <f>Sales_Data2[[#This Row],[Unit Price]]*Sales_Data2[[#This Row],[Quantity]]</f>
        <v>600000</v>
      </c>
      <c r="M12">
        <f>Sales_Data2[[#This Row],[Cost Price]]*Sales_Data2[[#This Row],[Quantity]]</f>
        <v>480000</v>
      </c>
      <c r="N12" s="3">
        <f>Sales_Data2[[#This Row],[Revenue]]-Sales_Data2[[#This Row],[COGS]]</f>
        <v>120000</v>
      </c>
      <c r="O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45686|South|Port Harcourt|Retail|Online|Printer P50|Electronics|150000|4|Peter|120000</v>
      </c>
      <c r="P12" s="3" t="str">
        <f>IF(COUNTIF(Sales_Data2[RowKey],Sales_Data2[[#This Row],[RowKey]])&gt;1,"Duplicate","Unique")</f>
        <v>Unique</v>
      </c>
      <c r="Q12" s="3" t="str">
        <f>IF(ISNUMBER(Sales_Data2[[#This Row],[Date]]),"OK","Check")</f>
        <v>OK</v>
      </c>
      <c r="R12" s="3" t="str">
        <f>IF(ISNUMBER(Sales_Data2[[#This Row],[Quantity]]),"OK","Check")</f>
        <v>OK</v>
      </c>
    </row>
    <row r="13" spans="1:22">
      <c r="A13" s="1">
        <v>45687</v>
      </c>
      <c r="B13" t="s">
        <v>11</v>
      </c>
      <c r="C13" t="s">
        <v>26</v>
      </c>
      <c r="D13" t="s">
        <v>23</v>
      </c>
      <c r="E13" t="s">
        <v>14</v>
      </c>
      <c r="F13" t="s">
        <v>34</v>
      </c>
      <c r="G13" t="s">
        <v>16</v>
      </c>
      <c r="H13">
        <v>320000</v>
      </c>
      <c r="I13">
        <v>7</v>
      </c>
      <c r="J13" t="s">
        <v>35</v>
      </c>
      <c r="K13">
        <f t="shared" si="0"/>
        <v>256000</v>
      </c>
      <c r="L13">
        <f>Sales_Data2[[#This Row],[Unit Price]]*Sales_Data2[[#This Row],[Quantity]]</f>
        <v>2240000</v>
      </c>
      <c r="M13">
        <f>Sales_Data2[[#This Row],[Cost Price]]*Sales_Data2[[#This Row],[Quantity]]</f>
        <v>1792000</v>
      </c>
      <c r="N13" s="3">
        <f>Sales_Data2[[#This Row],[Revenue]]-Sales_Data2[[#This Row],[COGS]]</f>
        <v>448000</v>
      </c>
      <c r="O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45687|West|Kano|Corporate|Online|Sofa Classic|Furniture|320000|7|Peter|256000</v>
      </c>
      <c r="P13" s="3" t="str">
        <f>IF(COUNTIF(Sales_Data2[RowKey],Sales_Data2[[#This Row],[RowKey]])&gt;1,"Duplicate","Unique")</f>
        <v>Unique</v>
      </c>
      <c r="Q13" s="3" t="str">
        <f>IF(ISNUMBER(Sales_Data2[[#This Row],[Date]]),"OK","Check")</f>
        <v>OK</v>
      </c>
      <c r="R13" s="3" t="str">
        <f>IF(ISNUMBER(Sales_Data2[[#This Row],[Quantity]]),"OK","Check")</f>
        <v>OK</v>
      </c>
    </row>
    <row r="14" spans="1:22">
      <c r="A14" s="1">
        <v>45688</v>
      </c>
      <c r="B14" t="s">
        <v>25</v>
      </c>
      <c r="C14" t="s">
        <v>12</v>
      </c>
      <c r="D14" t="s">
        <v>13</v>
      </c>
      <c r="E14" t="s">
        <v>20</v>
      </c>
      <c r="F14" t="s">
        <v>36</v>
      </c>
      <c r="G14" t="s">
        <v>31</v>
      </c>
      <c r="H14">
        <v>150000</v>
      </c>
      <c r="I14">
        <v>2</v>
      </c>
      <c r="J14" t="s">
        <v>37</v>
      </c>
      <c r="K14">
        <f t="shared" si="0"/>
        <v>120000</v>
      </c>
      <c r="L14">
        <f>Sales_Data2[[#This Row],[Unit Price]]*Sales_Data2[[#This Row],[Quantity]]</f>
        <v>300000</v>
      </c>
      <c r="M14">
        <f>Sales_Data2[[#This Row],[Cost Price]]*Sales_Data2[[#This Row],[Quantity]]</f>
        <v>240000</v>
      </c>
      <c r="N14" s="3">
        <f>Sales_Data2[[#This Row],[Revenue]]-Sales_Data2[[#This Row],[COGS]]</f>
        <v>60000</v>
      </c>
      <c r="O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45688|South|Port Harcourt|Retail|Store|Printer P50|Electronics|150000|2|Aisha|120000</v>
      </c>
      <c r="P14" s="3" t="str">
        <f>IF(COUNTIF(Sales_Data2[RowKey],Sales_Data2[[#This Row],[RowKey]])&gt;1,"Duplicate","Unique")</f>
        <v>Unique</v>
      </c>
      <c r="Q14" s="3" t="str">
        <f>IF(ISNUMBER(Sales_Data2[[#This Row],[Date]]),"OK","Check")</f>
        <v>OK</v>
      </c>
      <c r="R14" s="3" t="str">
        <f>IF(ISNUMBER(Sales_Data2[[#This Row],[Quantity]]),"OK","Check")</f>
        <v>OK</v>
      </c>
    </row>
    <row r="15" spans="1:22">
      <c r="A15" s="1">
        <v>45689</v>
      </c>
      <c r="B15" t="s">
        <v>11</v>
      </c>
      <c r="C15" t="s">
        <v>19</v>
      </c>
      <c r="D15" t="s">
        <v>13</v>
      </c>
      <c r="E15" t="s">
        <v>14</v>
      </c>
      <c r="F15" t="s">
        <v>38</v>
      </c>
      <c r="G15" t="s">
        <v>31</v>
      </c>
      <c r="H15">
        <v>420000</v>
      </c>
      <c r="I15">
        <v>9</v>
      </c>
      <c r="J15" t="s">
        <v>28</v>
      </c>
      <c r="K15">
        <f t="shared" si="0"/>
        <v>336000</v>
      </c>
      <c r="L15">
        <f>Sales_Data2[[#This Row],[Unit Price]]*Sales_Data2[[#This Row],[Quantity]]</f>
        <v>3780000</v>
      </c>
      <c r="M15">
        <f>Sales_Data2[[#This Row],[Cost Price]]*Sales_Data2[[#This Row],[Quantity]]</f>
        <v>3024000</v>
      </c>
      <c r="N15" s="3">
        <f>Sales_Data2[[#This Row],[Revenue]]-Sales_Data2[[#This Row],[COGS]]</f>
        <v>756000</v>
      </c>
      <c r="O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45689|West|Lagos|Retail|Online|Laptop A13|Electronics|420000|9|Musa|336000</v>
      </c>
      <c r="P15" s="3" t="str">
        <f>IF(COUNTIF(Sales_Data2[RowKey],Sales_Data2[[#This Row],[RowKey]])&gt;1,"Duplicate","Unique")</f>
        <v>Unique</v>
      </c>
      <c r="Q15" s="3" t="str">
        <f>IF(ISNUMBER(Sales_Data2[[#This Row],[Date]]),"OK","Check")</f>
        <v>OK</v>
      </c>
      <c r="R15" s="3" t="str">
        <f>IF(ISNUMBER(Sales_Data2[[#This Row],[Quantity]]),"OK","Check")</f>
        <v>OK</v>
      </c>
    </row>
    <row r="16" spans="1:22">
      <c r="A16" s="1">
        <v>45690</v>
      </c>
      <c r="B16" t="s">
        <v>29</v>
      </c>
      <c r="C16" t="s">
        <v>19</v>
      </c>
      <c r="D16" t="s">
        <v>13</v>
      </c>
      <c r="E16" t="s">
        <v>14</v>
      </c>
      <c r="F16" t="s">
        <v>38</v>
      </c>
      <c r="G16" t="s">
        <v>31</v>
      </c>
      <c r="H16">
        <v>420000</v>
      </c>
      <c r="I16">
        <v>5</v>
      </c>
      <c r="J16" t="s">
        <v>39</v>
      </c>
      <c r="K16">
        <f t="shared" si="0"/>
        <v>336000</v>
      </c>
      <c r="L16">
        <f>Sales_Data2[[#This Row],[Unit Price]]*Sales_Data2[[#This Row],[Quantity]]</f>
        <v>2100000</v>
      </c>
      <c r="M16">
        <f>Sales_Data2[[#This Row],[Cost Price]]*Sales_Data2[[#This Row],[Quantity]]</f>
        <v>1680000</v>
      </c>
      <c r="N16" s="3">
        <f>Sales_Data2[[#This Row],[Revenue]]-Sales_Data2[[#This Row],[COGS]]</f>
        <v>420000</v>
      </c>
      <c r="O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45690|North|Lagos|Retail|Online|Laptop A13|Electronics|420000|5|Grace|336000</v>
      </c>
      <c r="P16" s="3" t="str">
        <f>IF(COUNTIF(Sales_Data2[RowKey],Sales_Data2[[#This Row],[RowKey]])&gt;1,"Duplicate","Unique")</f>
        <v>Unique</v>
      </c>
      <c r="Q16" s="3" t="str">
        <f>IF(ISNUMBER(Sales_Data2[[#This Row],[Date]]),"OK","Check")</f>
        <v>OK</v>
      </c>
      <c r="R16" s="3" t="str">
        <f>IF(ISNUMBER(Sales_Data2[[#This Row],[Quantity]]),"OK","Check")</f>
        <v>OK</v>
      </c>
    </row>
    <row r="17" spans="1:18">
      <c r="A17" s="1">
        <v>45691</v>
      </c>
      <c r="B17" t="s">
        <v>11</v>
      </c>
      <c r="C17" t="s">
        <v>26</v>
      </c>
      <c r="D17" t="s">
        <v>23</v>
      </c>
      <c r="E17" t="s">
        <v>20</v>
      </c>
      <c r="F17" t="s">
        <v>40</v>
      </c>
      <c r="G17" t="s">
        <v>31</v>
      </c>
      <c r="H17">
        <v>250000</v>
      </c>
      <c r="I17">
        <v>4</v>
      </c>
      <c r="J17" t="s">
        <v>35</v>
      </c>
      <c r="K17">
        <f t="shared" si="0"/>
        <v>200000</v>
      </c>
      <c r="L17">
        <f>Sales_Data2[[#This Row],[Unit Price]]*Sales_Data2[[#This Row],[Quantity]]</f>
        <v>1000000</v>
      </c>
      <c r="M17">
        <f>Sales_Data2[[#This Row],[Cost Price]]*Sales_Data2[[#This Row],[Quantity]]</f>
        <v>800000</v>
      </c>
      <c r="N17" s="3">
        <f>Sales_Data2[[#This Row],[Revenue]]-Sales_Data2[[#This Row],[COGS]]</f>
        <v>200000</v>
      </c>
      <c r="O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45691|West|Kano|Corporate|Store|Smartphone Z10|Electronics|250000|4|Peter|200000</v>
      </c>
      <c r="P17" s="3" t="str">
        <f>IF(COUNTIF(Sales_Data2[RowKey],Sales_Data2[[#This Row],[RowKey]])&gt;1,"Duplicate","Unique")</f>
        <v>Unique</v>
      </c>
      <c r="Q17" s="3" t="str">
        <f>IF(ISNUMBER(Sales_Data2[[#This Row],[Date]]),"OK","Check")</f>
        <v>OK</v>
      </c>
      <c r="R17" s="3" t="str">
        <f>IF(ISNUMBER(Sales_Data2[[#This Row],[Quantity]]),"OK","Check")</f>
        <v>OK</v>
      </c>
    </row>
    <row r="18" spans="1:18">
      <c r="A18" s="1">
        <v>45692</v>
      </c>
      <c r="B18" t="s">
        <v>11</v>
      </c>
      <c r="C18" t="s">
        <v>19</v>
      </c>
      <c r="D18" t="s">
        <v>13</v>
      </c>
      <c r="E18" t="s">
        <v>14</v>
      </c>
      <c r="F18" t="s">
        <v>41</v>
      </c>
      <c r="G18" t="s">
        <v>22</v>
      </c>
      <c r="H18">
        <v>220000</v>
      </c>
      <c r="I18">
        <v>2</v>
      </c>
      <c r="J18" t="s">
        <v>35</v>
      </c>
      <c r="K18">
        <f t="shared" si="0"/>
        <v>176000</v>
      </c>
      <c r="L18">
        <f>Sales_Data2[[#This Row],[Unit Price]]*Sales_Data2[[#This Row],[Quantity]]</f>
        <v>440000</v>
      </c>
      <c r="M18">
        <f>Sales_Data2[[#This Row],[Cost Price]]*Sales_Data2[[#This Row],[Quantity]]</f>
        <v>352000</v>
      </c>
      <c r="N18" s="3">
        <f>Sales_Data2[[#This Row],[Revenue]]-Sales_Data2[[#This Row],[COGS]]</f>
        <v>88000</v>
      </c>
      <c r="O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45692|West|Lagos|Retail|Online|Refrigerator R55|Home Appliances|220000|2|Peter|176000</v>
      </c>
      <c r="P18" s="3" t="str">
        <f>IF(COUNTIF(Sales_Data2[RowKey],Sales_Data2[[#This Row],[RowKey]])&gt;1,"Duplicate","Unique")</f>
        <v>Unique</v>
      </c>
      <c r="Q18" s="3" t="str">
        <f>IF(ISNUMBER(Sales_Data2[[#This Row],[Date]]),"OK","Check")</f>
        <v>OK</v>
      </c>
      <c r="R18" s="3" t="str">
        <f>IF(ISNUMBER(Sales_Data2[[#This Row],[Quantity]]),"OK","Check")</f>
        <v>OK</v>
      </c>
    </row>
    <row r="19" spans="1:18">
      <c r="A19" s="1">
        <v>45693</v>
      </c>
      <c r="B19" t="s">
        <v>18</v>
      </c>
      <c r="C19" t="s">
        <v>26</v>
      </c>
      <c r="D19" t="s">
        <v>13</v>
      </c>
      <c r="E19" t="s">
        <v>20</v>
      </c>
      <c r="F19" t="s">
        <v>36</v>
      </c>
      <c r="G19" t="s">
        <v>31</v>
      </c>
      <c r="H19">
        <v>150000</v>
      </c>
      <c r="I19">
        <v>7</v>
      </c>
      <c r="J19" t="s">
        <v>28</v>
      </c>
      <c r="K19">
        <f t="shared" si="0"/>
        <v>120000</v>
      </c>
      <c r="L19">
        <f>Sales_Data2[[#This Row],[Unit Price]]*Sales_Data2[[#This Row],[Quantity]]</f>
        <v>1050000</v>
      </c>
      <c r="M19">
        <f>Sales_Data2[[#This Row],[Cost Price]]*Sales_Data2[[#This Row],[Quantity]]</f>
        <v>840000</v>
      </c>
      <c r="N19" s="3">
        <f>Sales_Data2[[#This Row],[Revenue]]-Sales_Data2[[#This Row],[COGS]]</f>
        <v>210000</v>
      </c>
      <c r="O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45693|East|Kano|Retail|Store|Printer P50|Electronics|150000|7|Musa|120000</v>
      </c>
      <c r="P19" s="3" t="str">
        <f>IF(COUNTIF(Sales_Data2[RowKey],Sales_Data2[[#This Row],[RowKey]])&gt;1,"Duplicate","Unique")</f>
        <v>Unique</v>
      </c>
      <c r="Q19" s="3" t="str">
        <f>IF(ISNUMBER(Sales_Data2[[#This Row],[Date]]),"OK","Check")</f>
        <v>OK</v>
      </c>
      <c r="R19" s="3" t="str">
        <f>IF(ISNUMBER(Sales_Data2[[#This Row],[Quantity]]),"OK","Check")</f>
        <v>OK</v>
      </c>
    </row>
    <row r="20" spans="1:18">
      <c r="A20" s="1">
        <v>45694</v>
      </c>
      <c r="B20" t="s">
        <v>25</v>
      </c>
      <c r="C20" t="s">
        <v>32</v>
      </c>
      <c r="D20" t="s">
        <v>23</v>
      </c>
      <c r="E20" t="s">
        <v>20</v>
      </c>
      <c r="F20" t="s">
        <v>30</v>
      </c>
      <c r="G20" t="s">
        <v>31</v>
      </c>
      <c r="H20">
        <v>300000</v>
      </c>
      <c r="I20">
        <v>5</v>
      </c>
      <c r="J20" t="s">
        <v>35</v>
      </c>
      <c r="K20">
        <f t="shared" si="0"/>
        <v>240000</v>
      </c>
      <c r="L20">
        <f>Sales_Data2[[#This Row],[Unit Price]]*Sales_Data2[[#This Row],[Quantity]]</f>
        <v>1500000</v>
      </c>
      <c r="M20">
        <f>Sales_Data2[[#This Row],[Cost Price]]*Sales_Data2[[#This Row],[Quantity]]</f>
        <v>1200000</v>
      </c>
      <c r="N20" s="3">
        <f>Sales_Data2[[#This Row],[Revenue]]-Sales_Data2[[#This Row],[COGS]]</f>
        <v>300000</v>
      </c>
      <c r="O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45694|South|Abuja|Corporate|Store|Desktop PC D21|Electronics|300000|5|Peter|240000</v>
      </c>
      <c r="P20" s="3" t="str">
        <f>IF(COUNTIF(Sales_Data2[RowKey],Sales_Data2[[#This Row],[RowKey]])&gt;1,"Duplicate","Unique")</f>
        <v>Unique</v>
      </c>
      <c r="Q20" s="3" t="str">
        <f>IF(ISNUMBER(Sales_Data2[[#This Row],[Date]]),"OK","Check")</f>
        <v>OK</v>
      </c>
      <c r="R20" s="3" t="str">
        <f>IF(ISNUMBER(Sales_Data2[[#This Row],[Quantity]]),"OK","Check")</f>
        <v>OK</v>
      </c>
    </row>
    <row r="21" spans="1:18">
      <c r="A21" s="1">
        <v>45695</v>
      </c>
      <c r="B21" t="s">
        <v>29</v>
      </c>
      <c r="C21" t="s">
        <v>26</v>
      </c>
      <c r="D21" t="s">
        <v>13</v>
      </c>
      <c r="E21" t="s">
        <v>14</v>
      </c>
      <c r="F21" t="s">
        <v>36</v>
      </c>
      <c r="G21" t="s">
        <v>31</v>
      </c>
      <c r="H21">
        <v>150000</v>
      </c>
      <c r="I21">
        <v>4</v>
      </c>
      <c r="J21" t="s">
        <v>35</v>
      </c>
      <c r="K21">
        <f t="shared" si="0"/>
        <v>120000</v>
      </c>
      <c r="L21">
        <f>Sales_Data2[[#This Row],[Unit Price]]*Sales_Data2[[#This Row],[Quantity]]</f>
        <v>600000</v>
      </c>
      <c r="M21">
        <f>Sales_Data2[[#This Row],[Cost Price]]*Sales_Data2[[#This Row],[Quantity]]</f>
        <v>480000</v>
      </c>
      <c r="N21" s="3">
        <f>Sales_Data2[[#This Row],[Revenue]]-Sales_Data2[[#This Row],[COGS]]</f>
        <v>120000</v>
      </c>
      <c r="O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45695|North|Kano|Retail|Online|Printer P50|Electronics|150000|4|Peter|120000</v>
      </c>
      <c r="P21" s="3" t="str">
        <f>IF(COUNTIF(Sales_Data2[RowKey],Sales_Data2[[#This Row],[RowKey]])&gt;1,"Duplicate","Unique")</f>
        <v>Unique</v>
      </c>
      <c r="Q21" s="3" t="str">
        <f>IF(ISNUMBER(Sales_Data2[[#This Row],[Date]]),"OK","Check")</f>
        <v>OK</v>
      </c>
      <c r="R21" s="3" t="str">
        <f>IF(ISNUMBER(Sales_Data2[[#This Row],[Quantity]]),"OK","Check")</f>
        <v>OK</v>
      </c>
    </row>
    <row r="22" spans="1:18">
      <c r="A22" s="1">
        <v>45696</v>
      </c>
      <c r="B22" t="s">
        <v>29</v>
      </c>
      <c r="C22" t="s">
        <v>26</v>
      </c>
      <c r="D22" t="s">
        <v>23</v>
      </c>
      <c r="E22" t="s">
        <v>20</v>
      </c>
      <c r="F22" t="s">
        <v>15</v>
      </c>
      <c r="G22" t="s">
        <v>16</v>
      </c>
      <c r="H22">
        <v>85000</v>
      </c>
      <c r="I22">
        <v>1</v>
      </c>
      <c r="J22" t="s">
        <v>39</v>
      </c>
      <c r="K22">
        <f t="shared" si="0"/>
        <v>68000</v>
      </c>
      <c r="L22">
        <f>Sales_Data2[[#This Row],[Unit Price]]*Sales_Data2[[#This Row],[Quantity]]</f>
        <v>85000</v>
      </c>
      <c r="M22">
        <f>Sales_Data2[[#This Row],[Cost Price]]*Sales_Data2[[#This Row],[Quantity]]</f>
        <v>68000</v>
      </c>
      <c r="N22" s="3">
        <f>Sales_Data2[[#This Row],[Revenue]]-Sales_Data2[[#This Row],[COGS]]</f>
        <v>17000</v>
      </c>
      <c r="O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45696|North|Kano|Corporate|Store|Office Chair Pro|Furniture|85000|1|Grace|68000</v>
      </c>
      <c r="P22" s="3" t="str">
        <f>IF(COUNTIF(Sales_Data2[RowKey],Sales_Data2[[#This Row],[RowKey]])&gt;1,"Duplicate","Unique")</f>
        <v>Unique</v>
      </c>
      <c r="Q22" s="3" t="str">
        <f>IF(ISNUMBER(Sales_Data2[[#This Row],[Date]]),"OK","Check")</f>
        <v>OK</v>
      </c>
      <c r="R22" s="3" t="str">
        <f>IF(ISNUMBER(Sales_Data2[[#This Row],[Quantity]]),"OK","Check")</f>
        <v>OK</v>
      </c>
    </row>
    <row r="23" spans="1:18">
      <c r="A23" s="1">
        <v>45697</v>
      </c>
      <c r="B23" t="s">
        <v>18</v>
      </c>
      <c r="C23" t="s">
        <v>12</v>
      </c>
      <c r="D23" t="s">
        <v>13</v>
      </c>
      <c r="E23" t="s">
        <v>20</v>
      </c>
      <c r="F23" t="s">
        <v>15</v>
      </c>
      <c r="G23" t="s">
        <v>16</v>
      </c>
      <c r="H23">
        <v>85000</v>
      </c>
      <c r="I23">
        <v>9</v>
      </c>
      <c r="J23" t="s">
        <v>24</v>
      </c>
      <c r="K23">
        <f t="shared" si="0"/>
        <v>68000</v>
      </c>
      <c r="L23">
        <f>Sales_Data2[[#This Row],[Unit Price]]*Sales_Data2[[#This Row],[Quantity]]</f>
        <v>765000</v>
      </c>
      <c r="M23">
        <f>Sales_Data2[[#This Row],[Cost Price]]*Sales_Data2[[#This Row],[Quantity]]</f>
        <v>612000</v>
      </c>
      <c r="N23" s="3">
        <f>Sales_Data2[[#This Row],[Revenue]]-Sales_Data2[[#This Row],[COGS]]</f>
        <v>153000</v>
      </c>
      <c r="O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45697|East|Port Harcourt|Retail|Store|Office Chair Pro|Furniture|85000|9|David|68000</v>
      </c>
      <c r="P23" s="3" t="str">
        <f>IF(COUNTIF(Sales_Data2[RowKey],Sales_Data2[[#This Row],[RowKey]])&gt;1,"Duplicate","Unique")</f>
        <v>Unique</v>
      </c>
      <c r="Q23" s="3" t="str">
        <f>IF(ISNUMBER(Sales_Data2[[#This Row],[Date]]),"OK","Check")</f>
        <v>OK</v>
      </c>
      <c r="R23" s="3" t="str">
        <f>IF(ISNUMBER(Sales_Data2[[#This Row],[Quantity]]),"OK","Check")</f>
        <v>OK</v>
      </c>
    </row>
    <row r="24" spans="1:18">
      <c r="A24" s="1">
        <v>45698</v>
      </c>
      <c r="B24" t="s">
        <v>18</v>
      </c>
      <c r="C24" t="s">
        <v>19</v>
      </c>
      <c r="D24" t="s">
        <v>13</v>
      </c>
      <c r="E24" t="s">
        <v>20</v>
      </c>
      <c r="F24" t="s">
        <v>38</v>
      </c>
      <c r="G24" t="s">
        <v>31</v>
      </c>
      <c r="H24">
        <v>420000</v>
      </c>
      <c r="I24">
        <v>8</v>
      </c>
      <c r="J24" t="s">
        <v>39</v>
      </c>
      <c r="K24">
        <f t="shared" si="0"/>
        <v>336000</v>
      </c>
      <c r="L24">
        <f>Sales_Data2[[#This Row],[Unit Price]]*Sales_Data2[[#This Row],[Quantity]]</f>
        <v>3360000</v>
      </c>
      <c r="M24">
        <f>Sales_Data2[[#This Row],[Cost Price]]*Sales_Data2[[#This Row],[Quantity]]</f>
        <v>2688000</v>
      </c>
      <c r="N24" s="3">
        <f>Sales_Data2[[#This Row],[Revenue]]-Sales_Data2[[#This Row],[COGS]]</f>
        <v>672000</v>
      </c>
      <c r="O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45698|East|Lagos|Retail|Store|Laptop A13|Electronics|420000|8|Grace|336000</v>
      </c>
      <c r="P24" s="3" t="str">
        <f>IF(COUNTIF(Sales_Data2[RowKey],Sales_Data2[[#This Row],[RowKey]])&gt;1,"Duplicate","Unique")</f>
        <v>Unique</v>
      </c>
      <c r="Q24" s="3" t="str">
        <f>IF(ISNUMBER(Sales_Data2[[#This Row],[Date]]),"OK","Check")</f>
        <v>OK</v>
      </c>
      <c r="R24" s="3" t="str">
        <f>IF(ISNUMBER(Sales_Data2[[#This Row],[Quantity]]),"OK","Check")</f>
        <v>OK</v>
      </c>
    </row>
    <row r="25" spans="1:18">
      <c r="A25" s="1">
        <v>45699</v>
      </c>
      <c r="B25" t="s">
        <v>29</v>
      </c>
      <c r="C25" t="s">
        <v>19</v>
      </c>
      <c r="D25" t="s">
        <v>23</v>
      </c>
      <c r="E25" t="s">
        <v>14</v>
      </c>
      <c r="F25" t="s">
        <v>38</v>
      </c>
      <c r="G25" t="s">
        <v>31</v>
      </c>
      <c r="H25">
        <v>420000</v>
      </c>
      <c r="I25">
        <v>10</v>
      </c>
      <c r="J25" t="s">
        <v>39</v>
      </c>
      <c r="K25">
        <f t="shared" si="0"/>
        <v>336000</v>
      </c>
      <c r="L25">
        <f>Sales_Data2[[#This Row],[Unit Price]]*Sales_Data2[[#This Row],[Quantity]]</f>
        <v>4200000</v>
      </c>
      <c r="M25">
        <f>Sales_Data2[[#This Row],[Cost Price]]*Sales_Data2[[#This Row],[Quantity]]</f>
        <v>3360000</v>
      </c>
      <c r="N25" s="3">
        <f>Sales_Data2[[#This Row],[Revenue]]-Sales_Data2[[#This Row],[COGS]]</f>
        <v>840000</v>
      </c>
      <c r="O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45699|North|Lagos|Corporate|Online|Laptop A13|Electronics|420000|10|Grace|336000</v>
      </c>
      <c r="P25" s="3" t="str">
        <f>IF(COUNTIF(Sales_Data2[RowKey],Sales_Data2[[#This Row],[RowKey]])&gt;1,"Duplicate","Unique")</f>
        <v>Unique</v>
      </c>
      <c r="Q25" s="3" t="str">
        <f>IF(ISNUMBER(Sales_Data2[[#This Row],[Date]]),"OK","Check")</f>
        <v>OK</v>
      </c>
      <c r="R25" s="3" t="str">
        <f>IF(ISNUMBER(Sales_Data2[[#This Row],[Quantity]]),"OK","Check")</f>
        <v>OK</v>
      </c>
    </row>
    <row r="26" spans="1:18">
      <c r="A26" s="1">
        <v>45700</v>
      </c>
      <c r="B26" t="s">
        <v>18</v>
      </c>
      <c r="C26" t="s">
        <v>12</v>
      </c>
      <c r="D26" t="s">
        <v>13</v>
      </c>
      <c r="E26" t="s">
        <v>20</v>
      </c>
      <c r="F26" t="s">
        <v>40</v>
      </c>
      <c r="G26" t="s">
        <v>31</v>
      </c>
      <c r="H26">
        <v>250000</v>
      </c>
      <c r="I26">
        <v>5</v>
      </c>
      <c r="J26" t="s">
        <v>37</v>
      </c>
      <c r="K26">
        <f t="shared" si="0"/>
        <v>200000</v>
      </c>
      <c r="L26">
        <f>Sales_Data2[[#This Row],[Unit Price]]*Sales_Data2[[#This Row],[Quantity]]</f>
        <v>1250000</v>
      </c>
      <c r="M26">
        <f>Sales_Data2[[#This Row],[Cost Price]]*Sales_Data2[[#This Row],[Quantity]]</f>
        <v>1000000</v>
      </c>
      <c r="N26" s="3">
        <f>Sales_Data2[[#This Row],[Revenue]]-Sales_Data2[[#This Row],[COGS]]</f>
        <v>250000</v>
      </c>
      <c r="O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45700|East|Port Harcourt|Retail|Store|Smartphone Z10|Electronics|250000|5|Aisha|200000</v>
      </c>
      <c r="P26" s="3" t="str">
        <f>IF(COUNTIF(Sales_Data2[RowKey],Sales_Data2[[#This Row],[RowKey]])&gt;1,"Duplicate","Unique")</f>
        <v>Unique</v>
      </c>
      <c r="Q26" s="3" t="str">
        <f>IF(ISNUMBER(Sales_Data2[[#This Row],[Date]]),"OK","Check")</f>
        <v>OK</v>
      </c>
      <c r="R26" s="3" t="str">
        <f>IF(ISNUMBER(Sales_Data2[[#This Row],[Quantity]]),"OK","Check")</f>
        <v>OK</v>
      </c>
    </row>
    <row r="27" spans="1:18">
      <c r="A27" s="1">
        <v>45701</v>
      </c>
      <c r="B27" t="s">
        <v>29</v>
      </c>
      <c r="C27" t="s">
        <v>19</v>
      </c>
      <c r="D27" t="s">
        <v>23</v>
      </c>
      <c r="E27" t="s">
        <v>20</v>
      </c>
      <c r="F27" t="s">
        <v>41</v>
      </c>
      <c r="G27" t="s">
        <v>22</v>
      </c>
      <c r="H27">
        <v>220000</v>
      </c>
      <c r="I27">
        <v>4</v>
      </c>
      <c r="J27" t="s">
        <v>39</v>
      </c>
      <c r="K27">
        <f t="shared" si="0"/>
        <v>176000</v>
      </c>
      <c r="L27">
        <f>Sales_Data2[[#This Row],[Unit Price]]*Sales_Data2[[#This Row],[Quantity]]</f>
        <v>880000</v>
      </c>
      <c r="M27">
        <f>Sales_Data2[[#This Row],[Cost Price]]*Sales_Data2[[#This Row],[Quantity]]</f>
        <v>704000</v>
      </c>
      <c r="N27" s="3">
        <f>Sales_Data2[[#This Row],[Revenue]]-Sales_Data2[[#This Row],[COGS]]</f>
        <v>176000</v>
      </c>
      <c r="O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45701|North|Lagos|Corporate|Store|Refrigerator R55|Home Appliances|220000|4|Grace|176000</v>
      </c>
      <c r="P27" s="3" t="str">
        <f>IF(COUNTIF(Sales_Data2[RowKey],Sales_Data2[[#This Row],[RowKey]])&gt;1,"Duplicate","Unique")</f>
        <v>Unique</v>
      </c>
      <c r="Q27" s="3" t="str">
        <f>IF(ISNUMBER(Sales_Data2[[#This Row],[Date]]),"OK","Check")</f>
        <v>OK</v>
      </c>
      <c r="R27" s="3" t="str">
        <f>IF(ISNUMBER(Sales_Data2[[#This Row],[Quantity]]),"OK","Check")</f>
        <v>OK</v>
      </c>
    </row>
    <row r="28" spans="1:18">
      <c r="A28" s="1">
        <v>45702</v>
      </c>
      <c r="B28" t="s">
        <v>11</v>
      </c>
      <c r="C28" t="s">
        <v>32</v>
      </c>
      <c r="D28" t="s">
        <v>23</v>
      </c>
      <c r="E28" t="s">
        <v>14</v>
      </c>
      <c r="F28" t="s">
        <v>36</v>
      </c>
      <c r="G28" t="s">
        <v>31</v>
      </c>
      <c r="H28">
        <v>150000</v>
      </c>
      <c r="I28">
        <v>7</v>
      </c>
      <c r="J28" t="s">
        <v>28</v>
      </c>
      <c r="K28">
        <f t="shared" si="0"/>
        <v>120000</v>
      </c>
      <c r="L28">
        <f>Sales_Data2[[#This Row],[Unit Price]]*Sales_Data2[[#This Row],[Quantity]]</f>
        <v>1050000</v>
      </c>
      <c r="M28">
        <f>Sales_Data2[[#This Row],[Cost Price]]*Sales_Data2[[#This Row],[Quantity]]</f>
        <v>840000</v>
      </c>
      <c r="N28" s="3">
        <f>Sales_Data2[[#This Row],[Revenue]]-Sales_Data2[[#This Row],[COGS]]</f>
        <v>210000</v>
      </c>
      <c r="O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45702|West|Abuja|Corporate|Online|Printer P50|Electronics|150000|7|Musa|120000</v>
      </c>
      <c r="P28" s="3" t="str">
        <f>IF(COUNTIF(Sales_Data2[RowKey],Sales_Data2[[#This Row],[RowKey]])&gt;1,"Duplicate","Unique")</f>
        <v>Unique</v>
      </c>
      <c r="Q28" s="3" t="str">
        <f>IF(ISNUMBER(Sales_Data2[[#This Row],[Date]]),"OK","Check")</f>
        <v>OK</v>
      </c>
      <c r="R28" s="3" t="str">
        <f>IF(ISNUMBER(Sales_Data2[[#This Row],[Quantity]]),"OK","Check")</f>
        <v>OK</v>
      </c>
    </row>
    <row r="29" spans="1:18">
      <c r="A29" s="1">
        <v>45703</v>
      </c>
      <c r="B29" t="s">
        <v>25</v>
      </c>
      <c r="C29" t="s">
        <v>26</v>
      </c>
      <c r="D29" t="s">
        <v>13</v>
      </c>
      <c r="E29" t="s">
        <v>14</v>
      </c>
      <c r="F29" t="s">
        <v>15</v>
      </c>
      <c r="G29" t="s">
        <v>16</v>
      </c>
      <c r="H29">
        <v>85000</v>
      </c>
      <c r="I29">
        <v>3</v>
      </c>
      <c r="J29" t="s">
        <v>35</v>
      </c>
      <c r="K29">
        <f t="shared" si="0"/>
        <v>68000</v>
      </c>
      <c r="L29">
        <f>Sales_Data2[[#This Row],[Unit Price]]*Sales_Data2[[#This Row],[Quantity]]</f>
        <v>255000</v>
      </c>
      <c r="M29">
        <f>Sales_Data2[[#This Row],[Cost Price]]*Sales_Data2[[#This Row],[Quantity]]</f>
        <v>204000</v>
      </c>
      <c r="N29" s="3">
        <f>Sales_Data2[[#This Row],[Revenue]]-Sales_Data2[[#This Row],[COGS]]</f>
        <v>51000</v>
      </c>
      <c r="O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45703|South|Kano|Retail|Online|Office Chair Pro|Furniture|85000|3|Peter|68000</v>
      </c>
      <c r="P29" s="3" t="str">
        <f>IF(COUNTIF(Sales_Data2[RowKey],Sales_Data2[[#This Row],[RowKey]])&gt;1,"Duplicate","Unique")</f>
        <v>Unique</v>
      </c>
      <c r="Q29" s="3" t="str">
        <f>IF(ISNUMBER(Sales_Data2[[#This Row],[Date]]),"OK","Check")</f>
        <v>OK</v>
      </c>
      <c r="R29" s="3" t="str">
        <f>IF(ISNUMBER(Sales_Data2[[#This Row],[Quantity]]),"OK","Check")</f>
        <v>OK</v>
      </c>
    </row>
    <row r="30" spans="1:18">
      <c r="A30" s="1">
        <v>45704</v>
      </c>
      <c r="B30" t="s">
        <v>18</v>
      </c>
      <c r="C30" t="s">
        <v>12</v>
      </c>
      <c r="D30" t="s">
        <v>13</v>
      </c>
      <c r="E30" t="s">
        <v>20</v>
      </c>
      <c r="F30" t="s">
        <v>30</v>
      </c>
      <c r="G30" t="s">
        <v>31</v>
      </c>
      <c r="H30">
        <v>300000</v>
      </c>
      <c r="I30">
        <v>8</v>
      </c>
      <c r="J30" t="s">
        <v>39</v>
      </c>
      <c r="K30">
        <f t="shared" si="0"/>
        <v>240000</v>
      </c>
      <c r="L30">
        <f>Sales_Data2[[#This Row],[Unit Price]]*Sales_Data2[[#This Row],[Quantity]]</f>
        <v>2400000</v>
      </c>
      <c r="M30">
        <f>Sales_Data2[[#This Row],[Cost Price]]*Sales_Data2[[#This Row],[Quantity]]</f>
        <v>1920000</v>
      </c>
      <c r="N30" s="3">
        <f>Sales_Data2[[#This Row],[Revenue]]-Sales_Data2[[#This Row],[COGS]]</f>
        <v>480000</v>
      </c>
      <c r="O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45704|East|Port Harcourt|Retail|Store|Desktop PC D21|Electronics|300000|8|Grace|240000</v>
      </c>
      <c r="P30" s="3" t="str">
        <f>IF(COUNTIF(Sales_Data2[RowKey],Sales_Data2[[#This Row],[RowKey]])&gt;1,"Duplicate","Unique")</f>
        <v>Unique</v>
      </c>
      <c r="Q30" s="3" t="str">
        <f>IF(ISNUMBER(Sales_Data2[[#This Row],[Date]]),"OK","Check")</f>
        <v>OK</v>
      </c>
      <c r="R30" s="3" t="str">
        <f>IF(ISNUMBER(Sales_Data2[[#This Row],[Quantity]]),"OK","Check")</f>
        <v>OK</v>
      </c>
    </row>
    <row r="31" spans="1:18">
      <c r="A31" s="1">
        <v>45705</v>
      </c>
      <c r="B31" t="s">
        <v>11</v>
      </c>
      <c r="C31" t="s">
        <v>19</v>
      </c>
      <c r="D31" t="s">
        <v>23</v>
      </c>
      <c r="E31" t="s">
        <v>14</v>
      </c>
      <c r="F31" t="s">
        <v>41</v>
      </c>
      <c r="G31" t="s">
        <v>22</v>
      </c>
      <c r="H31">
        <v>220000</v>
      </c>
      <c r="I31">
        <v>1</v>
      </c>
      <c r="J31" t="s">
        <v>24</v>
      </c>
      <c r="K31">
        <f t="shared" si="0"/>
        <v>176000</v>
      </c>
      <c r="L31">
        <f>Sales_Data2[[#This Row],[Unit Price]]*Sales_Data2[[#This Row],[Quantity]]</f>
        <v>220000</v>
      </c>
      <c r="M31">
        <f>Sales_Data2[[#This Row],[Cost Price]]*Sales_Data2[[#This Row],[Quantity]]</f>
        <v>176000</v>
      </c>
      <c r="N31" s="3">
        <f>Sales_Data2[[#This Row],[Revenue]]-Sales_Data2[[#This Row],[COGS]]</f>
        <v>44000</v>
      </c>
      <c r="O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45705|West|Lagos|Corporate|Online|Refrigerator R55|Home Appliances|220000|1|David|176000</v>
      </c>
      <c r="P31" s="3" t="str">
        <f>IF(COUNTIF(Sales_Data2[RowKey],Sales_Data2[[#This Row],[RowKey]])&gt;1,"Duplicate","Unique")</f>
        <v>Unique</v>
      </c>
      <c r="Q31" s="3" t="str">
        <f>IF(ISNUMBER(Sales_Data2[[#This Row],[Date]]),"OK","Check")</f>
        <v>OK</v>
      </c>
      <c r="R31" s="3" t="str">
        <f>IF(ISNUMBER(Sales_Data2[[#This Row],[Quantity]]),"OK","Check")</f>
        <v>OK</v>
      </c>
    </row>
    <row r="32" spans="1:18">
      <c r="A32" s="1">
        <v>45706</v>
      </c>
      <c r="B32" t="s">
        <v>25</v>
      </c>
      <c r="C32" t="s">
        <v>32</v>
      </c>
      <c r="D32" t="s">
        <v>23</v>
      </c>
      <c r="E32" t="s">
        <v>14</v>
      </c>
      <c r="F32" t="s">
        <v>34</v>
      </c>
      <c r="G32" t="s">
        <v>16</v>
      </c>
      <c r="H32">
        <v>320000</v>
      </c>
      <c r="I32">
        <v>7</v>
      </c>
      <c r="J32" t="s">
        <v>39</v>
      </c>
      <c r="K32">
        <f t="shared" si="0"/>
        <v>256000</v>
      </c>
      <c r="L32">
        <f>Sales_Data2[[#This Row],[Unit Price]]*Sales_Data2[[#This Row],[Quantity]]</f>
        <v>2240000</v>
      </c>
      <c r="M32">
        <f>Sales_Data2[[#This Row],[Cost Price]]*Sales_Data2[[#This Row],[Quantity]]</f>
        <v>1792000</v>
      </c>
      <c r="N32" s="3">
        <f>Sales_Data2[[#This Row],[Revenue]]-Sales_Data2[[#This Row],[COGS]]</f>
        <v>448000</v>
      </c>
      <c r="O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45706|South|Abuja|Corporate|Online|Sofa Classic|Furniture|320000|7|Grace|256000</v>
      </c>
      <c r="P32" s="3" t="str">
        <f>IF(COUNTIF(Sales_Data2[RowKey],Sales_Data2[[#This Row],[RowKey]])&gt;1,"Duplicate","Unique")</f>
        <v>Unique</v>
      </c>
      <c r="Q32" s="3" t="str">
        <f>IF(ISNUMBER(Sales_Data2[[#This Row],[Date]]),"OK","Check")</f>
        <v>OK</v>
      </c>
      <c r="R32" s="3" t="str">
        <f>IF(ISNUMBER(Sales_Data2[[#This Row],[Quantity]]),"OK","Check")</f>
        <v>OK</v>
      </c>
    </row>
    <row r="33" spans="1:18">
      <c r="A33" s="1">
        <v>45707</v>
      </c>
      <c r="B33" t="s">
        <v>11</v>
      </c>
      <c r="C33" t="s">
        <v>32</v>
      </c>
      <c r="D33" t="s">
        <v>13</v>
      </c>
      <c r="E33" t="s">
        <v>20</v>
      </c>
      <c r="F33" t="s">
        <v>36</v>
      </c>
      <c r="G33" t="s">
        <v>31</v>
      </c>
      <c r="H33">
        <v>150000</v>
      </c>
      <c r="I33">
        <v>1</v>
      </c>
      <c r="J33" t="s">
        <v>17</v>
      </c>
      <c r="K33">
        <f t="shared" si="0"/>
        <v>120000</v>
      </c>
      <c r="L33">
        <f>Sales_Data2[[#This Row],[Unit Price]]*Sales_Data2[[#This Row],[Quantity]]</f>
        <v>150000</v>
      </c>
      <c r="M33">
        <f>Sales_Data2[[#This Row],[Cost Price]]*Sales_Data2[[#This Row],[Quantity]]</f>
        <v>120000</v>
      </c>
      <c r="N33" s="3">
        <f>Sales_Data2[[#This Row],[Revenue]]-Sales_Data2[[#This Row],[COGS]]</f>
        <v>30000</v>
      </c>
      <c r="O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45707|West|Abuja|Retail|Store|Printer P50|Electronics|150000|1|Chidinma|120000</v>
      </c>
      <c r="P33" s="3" t="str">
        <f>IF(COUNTIF(Sales_Data2[RowKey],Sales_Data2[[#This Row],[RowKey]])&gt;1,"Duplicate","Unique")</f>
        <v>Unique</v>
      </c>
      <c r="Q33" s="3" t="str">
        <f>IF(ISNUMBER(Sales_Data2[[#This Row],[Date]]),"OK","Check")</f>
        <v>OK</v>
      </c>
      <c r="R33" s="3" t="str">
        <f>IF(ISNUMBER(Sales_Data2[[#This Row],[Quantity]]),"OK","Check")</f>
        <v>OK</v>
      </c>
    </row>
    <row r="34" spans="1:18">
      <c r="A34" s="1">
        <v>45708</v>
      </c>
      <c r="B34" t="s">
        <v>18</v>
      </c>
      <c r="C34" t="s">
        <v>26</v>
      </c>
      <c r="D34" t="s">
        <v>13</v>
      </c>
      <c r="E34" t="s">
        <v>14</v>
      </c>
      <c r="F34" t="s">
        <v>33</v>
      </c>
      <c r="G34" t="s">
        <v>22</v>
      </c>
      <c r="H34">
        <v>180000</v>
      </c>
      <c r="I34">
        <v>9</v>
      </c>
      <c r="J34" t="s">
        <v>39</v>
      </c>
      <c r="K34">
        <f t="shared" si="0"/>
        <v>144000</v>
      </c>
      <c r="L34">
        <f>Sales_Data2[[#This Row],[Unit Price]]*Sales_Data2[[#This Row],[Quantity]]</f>
        <v>1620000</v>
      </c>
      <c r="M34">
        <f>Sales_Data2[[#This Row],[Cost Price]]*Sales_Data2[[#This Row],[Quantity]]</f>
        <v>1296000</v>
      </c>
      <c r="N34" s="3">
        <f>Sales_Data2[[#This Row],[Revenue]]-Sales_Data2[[#This Row],[COGS]]</f>
        <v>324000</v>
      </c>
      <c r="O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45708|East|Kano|Retail|Online|Air Conditioner X2|Home Appliances|180000|9|Grace|144000</v>
      </c>
      <c r="P34" s="3" t="str">
        <f>IF(COUNTIF(Sales_Data2[RowKey],Sales_Data2[[#This Row],[RowKey]])&gt;1,"Duplicate","Unique")</f>
        <v>Unique</v>
      </c>
      <c r="Q34" s="3" t="str">
        <f>IF(ISNUMBER(Sales_Data2[[#This Row],[Date]]),"OK","Check")</f>
        <v>OK</v>
      </c>
      <c r="R34" s="3" t="str">
        <f>IF(ISNUMBER(Sales_Data2[[#This Row],[Quantity]]),"OK","Check")</f>
        <v>OK</v>
      </c>
    </row>
    <row r="35" spans="1:18">
      <c r="A35" s="1">
        <v>45709</v>
      </c>
      <c r="B35" t="s">
        <v>25</v>
      </c>
      <c r="C35" t="s">
        <v>26</v>
      </c>
      <c r="D35" t="s">
        <v>13</v>
      </c>
      <c r="E35" t="s">
        <v>14</v>
      </c>
      <c r="F35" t="s">
        <v>34</v>
      </c>
      <c r="G35" t="s">
        <v>16</v>
      </c>
      <c r="H35">
        <v>320000</v>
      </c>
      <c r="I35">
        <v>5</v>
      </c>
      <c r="J35" t="s">
        <v>39</v>
      </c>
      <c r="K35">
        <f t="shared" si="0"/>
        <v>256000</v>
      </c>
      <c r="L35">
        <f>Sales_Data2[[#This Row],[Unit Price]]*Sales_Data2[[#This Row],[Quantity]]</f>
        <v>1600000</v>
      </c>
      <c r="M35">
        <f>Sales_Data2[[#This Row],[Cost Price]]*Sales_Data2[[#This Row],[Quantity]]</f>
        <v>1280000</v>
      </c>
      <c r="N35" s="3">
        <f>Sales_Data2[[#This Row],[Revenue]]-Sales_Data2[[#This Row],[COGS]]</f>
        <v>320000</v>
      </c>
      <c r="O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45709|South|Kano|Retail|Online|Sofa Classic|Furniture|320000|5|Grace|256000</v>
      </c>
      <c r="P35" s="3" t="str">
        <f>IF(COUNTIF(Sales_Data2[RowKey],Sales_Data2[[#This Row],[RowKey]])&gt;1,"Duplicate","Unique")</f>
        <v>Unique</v>
      </c>
      <c r="Q35" s="3" t="str">
        <f>IF(ISNUMBER(Sales_Data2[[#This Row],[Date]]),"OK","Check")</f>
        <v>OK</v>
      </c>
      <c r="R35" s="3" t="str">
        <f>IF(ISNUMBER(Sales_Data2[[#This Row],[Quantity]]),"OK","Check")</f>
        <v>OK</v>
      </c>
    </row>
    <row r="36" spans="1:18">
      <c r="A36" s="1">
        <v>45710</v>
      </c>
      <c r="B36" t="s">
        <v>25</v>
      </c>
      <c r="C36" t="s">
        <v>26</v>
      </c>
      <c r="D36" t="s">
        <v>23</v>
      </c>
      <c r="E36" t="s">
        <v>20</v>
      </c>
      <c r="F36" t="s">
        <v>36</v>
      </c>
      <c r="G36" t="s">
        <v>31</v>
      </c>
      <c r="H36">
        <v>150000</v>
      </c>
      <c r="I36">
        <v>8</v>
      </c>
      <c r="J36" t="s">
        <v>37</v>
      </c>
      <c r="K36">
        <f t="shared" si="0"/>
        <v>120000</v>
      </c>
      <c r="L36">
        <f>Sales_Data2[[#This Row],[Unit Price]]*Sales_Data2[[#This Row],[Quantity]]</f>
        <v>1200000</v>
      </c>
      <c r="M36">
        <f>Sales_Data2[[#This Row],[Cost Price]]*Sales_Data2[[#This Row],[Quantity]]</f>
        <v>960000</v>
      </c>
      <c r="N36" s="3">
        <f>Sales_Data2[[#This Row],[Revenue]]-Sales_Data2[[#This Row],[COGS]]</f>
        <v>240000</v>
      </c>
      <c r="O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45710|South|Kano|Corporate|Store|Printer P50|Electronics|150000|8|Aisha|120000</v>
      </c>
      <c r="P36" s="3" t="str">
        <f>IF(COUNTIF(Sales_Data2[RowKey],Sales_Data2[[#This Row],[RowKey]])&gt;1,"Duplicate","Unique")</f>
        <v>Unique</v>
      </c>
      <c r="Q36" s="3" t="str">
        <f>IF(ISNUMBER(Sales_Data2[[#This Row],[Date]]),"OK","Check")</f>
        <v>OK</v>
      </c>
      <c r="R36" s="3" t="str">
        <f>IF(ISNUMBER(Sales_Data2[[#This Row],[Quantity]]),"OK","Check")</f>
        <v>OK</v>
      </c>
    </row>
    <row r="37" spans="1:18">
      <c r="A37" s="1">
        <v>45711</v>
      </c>
      <c r="B37" t="s">
        <v>11</v>
      </c>
      <c r="C37" t="s">
        <v>12</v>
      </c>
      <c r="D37" t="s">
        <v>23</v>
      </c>
      <c r="E37" t="s">
        <v>20</v>
      </c>
      <c r="F37" t="s">
        <v>15</v>
      </c>
      <c r="G37" t="s">
        <v>16</v>
      </c>
      <c r="H37">
        <v>85000</v>
      </c>
      <c r="I37">
        <v>7</v>
      </c>
      <c r="J37" t="s">
        <v>24</v>
      </c>
      <c r="K37">
        <f t="shared" si="0"/>
        <v>68000</v>
      </c>
      <c r="L37">
        <f>Sales_Data2[[#This Row],[Unit Price]]*Sales_Data2[[#This Row],[Quantity]]</f>
        <v>595000</v>
      </c>
      <c r="M37">
        <f>Sales_Data2[[#This Row],[Cost Price]]*Sales_Data2[[#This Row],[Quantity]]</f>
        <v>476000</v>
      </c>
      <c r="N37" s="3">
        <f>Sales_Data2[[#This Row],[Revenue]]-Sales_Data2[[#This Row],[COGS]]</f>
        <v>119000</v>
      </c>
      <c r="O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45711|West|Port Harcourt|Corporate|Store|Office Chair Pro|Furniture|85000|7|David|68000</v>
      </c>
      <c r="P37" s="3" t="str">
        <f>IF(COUNTIF(Sales_Data2[RowKey],Sales_Data2[[#This Row],[RowKey]])&gt;1,"Duplicate","Unique")</f>
        <v>Unique</v>
      </c>
      <c r="Q37" s="3" t="str">
        <f>IF(ISNUMBER(Sales_Data2[[#This Row],[Date]]),"OK","Check")</f>
        <v>OK</v>
      </c>
      <c r="R37" s="3" t="str">
        <f>IF(ISNUMBER(Sales_Data2[[#This Row],[Quantity]]),"OK","Check")</f>
        <v>OK</v>
      </c>
    </row>
    <row r="38" spans="1:18">
      <c r="A38" s="1">
        <v>45712</v>
      </c>
      <c r="B38" t="s">
        <v>25</v>
      </c>
      <c r="C38" t="s">
        <v>32</v>
      </c>
      <c r="D38" t="s">
        <v>23</v>
      </c>
      <c r="E38" t="s">
        <v>14</v>
      </c>
      <c r="F38" t="s">
        <v>34</v>
      </c>
      <c r="G38" t="s">
        <v>16</v>
      </c>
      <c r="H38">
        <v>320000</v>
      </c>
      <c r="I38">
        <v>6</v>
      </c>
      <c r="J38" t="s">
        <v>24</v>
      </c>
      <c r="K38">
        <f t="shared" si="0"/>
        <v>256000</v>
      </c>
      <c r="L38">
        <f>Sales_Data2[[#This Row],[Unit Price]]*Sales_Data2[[#This Row],[Quantity]]</f>
        <v>1920000</v>
      </c>
      <c r="M38">
        <f>Sales_Data2[[#This Row],[Cost Price]]*Sales_Data2[[#This Row],[Quantity]]</f>
        <v>1536000</v>
      </c>
      <c r="N38" s="3">
        <f>Sales_Data2[[#This Row],[Revenue]]-Sales_Data2[[#This Row],[COGS]]</f>
        <v>384000</v>
      </c>
      <c r="O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45712|South|Abuja|Corporate|Online|Sofa Classic|Furniture|320000|6|David|256000</v>
      </c>
      <c r="P38" s="3" t="str">
        <f>IF(COUNTIF(Sales_Data2[RowKey],Sales_Data2[[#This Row],[RowKey]])&gt;1,"Duplicate","Unique")</f>
        <v>Unique</v>
      </c>
      <c r="Q38" s="3" t="str">
        <f>IF(ISNUMBER(Sales_Data2[[#This Row],[Date]]),"OK","Check")</f>
        <v>OK</v>
      </c>
      <c r="R38" s="3" t="str">
        <f>IF(ISNUMBER(Sales_Data2[[#This Row],[Quantity]]),"OK","Check")</f>
        <v>OK</v>
      </c>
    </row>
    <row r="39" spans="1:18">
      <c r="A39" s="1">
        <v>45713</v>
      </c>
      <c r="B39" t="s">
        <v>11</v>
      </c>
      <c r="C39" t="s">
        <v>26</v>
      </c>
      <c r="D39" t="s">
        <v>13</v>
      </c>
      <c r="E39" t="s">
        <v>20</v>
      </c>
      <c r="F39" t="s">
        <v>38</v>
      </c>
      <c r="G39" t="s">
        <v>31</v>
      </c>
      <c r="H39">
        <v>420000</v>
      </c>
      <c r="I39">
        <v>8</v>
      </c>
      <c r="J39" t="s">
        <v>37</v>
      </c>
      <c r="K39">
        <f t="shared" si="0"/>
        <v>336000</v>
      </c>
      <c r="L39">
        <f>Sales_Data2[[#This Row],[Unit Price]]*Sales_Data2[[#This Row],[Quantity]]</f>
        <v>3360000</v>
      </c>
      <c r="M39">
        <f>Sales_Data2[[#This Row],[Cost Price]]*Sales_Data2[[#This Row],[Quantity]]</f>
        <v>2688000</v>
      </c>
      <c r="N39" s="3">
        <f>Sales_Data2[[#This Row],[Revenue]]-Sales_Data2[[#This Row],[COGS]]</f>
        <v>672000</v>
      </c>
      <c r="O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45713|West|Kano|Retail|Store|Laptop A13|Electronics|420000|8|Aisha|336000</v>
      </c>
      <c r="P39" s="3" t="str">
        <f>IF(COUNTIF(Sales_Data2[RowKey],Sales_Data2[[#This Row],[RowKey]])&gt;1,"Duplicate","Unique")</f>
        <v>Unique</v>
      </c>
      <c r="Q39" s="3" t="str">
        <f>IF(ISNUMBER(Sales_Data2[[#This Row],[Date]]),"OK","Check")</f>
        <v>OK</v>
      </c>
      <c r="R39" s="3" t="str">
        <f>IF(ISNUMBER(Sales_Data2[[#This Row],[Quantity]]),"OK","Check")</f>
        <v>OK</v>
      </c>
    </row>
    <row r="40" spans="1:18">
      <c r="A40" s="1">
        <v>45714</v>
      </c>
      <c r="B40" t="s">
        <v>25</v>
      </c>
      <c r="C40" t="s">
        <v>12</v>
      </c>
      <c r="D40" t="s">
        <v>23</v>
      </c>
      <c r="E40" t="s">
        <v>14</v>
      </c>
      <c r="F40" t="s">
        <v>30</v>
      </c>
      <c r="G40" t="s">
        <v>31</v>
      </c>
      <c r="H40">
        <v>300000</v>
      </c>
      <c r="I40">
        <v>7</v>
      </c>
      <c r="J40" t="s">
        <v>35</v>
      </c>
      <c r="K40">
        <f t="shared" si="0"/>
        <v>240000</v>
      </c>
      <c r="L40">
        <f>Sales_Data2[[#This Row],[Unit Price]]*Sales_Data2[[#This Row],[Quantity]]</f>
        <v>2100000</v>
      </c>
      <c r="M40">
        <f>Sales_Data2[[#This Row],[Cost Price]]*Sales_Data2[[#This Row],[Quantity]]</f>
        <v>1680000</v>
      </c>
      <c r="N40" s="3">
        <f>Sales_Data2[[#This Row],[Revenue]]-Sales_Data2[[#This Row],[COGS]]</f>
        <v>420000</v>
      </c>
      <c r="O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45714|South|Port Harcourt|Corporate|Online|Desktop PC D21|Electronics|300000|7|Peter|240000</v>
      </c>
      <c r="P40" s="3" t="str">
        <f>IF(COUNTIF(Sales_Data2[RowKey],Sales_Data2[[#This Row],[RowKey]])&gt;1,"Duplicate","Unique")</f>
        <v>Unique</v>
      </c>
      <c r="Q40" s="3" t="str">
        <f>IF(ISNUMBER(Sales_Data2[[#This Row],[Date]]),"OK","Check")</f>
        <v>OK</v>
      </c>
      <c r="R40" s="3" t="str">
        <f>IF(ISNUMBER(Sales_Data2[[#This Row],[Quantity]]),"OK","Check")</f>
        <v>OK</v>
      </c>
    </row>
    <row r="41" spans="1:18">
      <c r="A41" s="1">
        <v>45715</v>
      </c>
      <c r="B41" t="s">
        <v>11</v>
      </c>
      <c r="C41" t="s">
        <v>12</v>
      </c>
      <c r="D41" t="s">
        <v>13</v>
      </c>
      <c r="E41" t="s">
        <v>14</v>
      </c>
      <c r="F41" t="s">
        <v>21</v>
      </c>
      <c r="G41" t="s">
        <v>22</v>
      </c>
      <c r="H41">
        <v>30000</v>
      </c>
      <c r="I41">
        <v>6</v>
      </c>
      <c r="J41" t="s">
        <v>24</v>
      </c>
      <c r="K41">
        <f t="shared" si="0"/>
        <v>24000</v>
      </c>
      <c r="L41">
        <f>Sales_Data2[[#This Row],[Unit Price]]*Sales_Data2[[#This Row],[Quantity]]</f>
        <v>180000</v>
      </c>
      <c r="M41">
        <f>Sales_Data2[[#This Row],[Cost Price]]*Sales_Data2[[#This Row],[Quantity]]</f>
        <v>144000</v>
      </c>
      <c r="N41" s="3">
        <f>Sales_Data2[[#This Row],[Revenue]]-Sales_Data2[[#This Row],[COGS]]</f>
        <v>36000</v>
      </c>
      <c r="O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45715|West|Port Harcourt|Retail|Online|Blender B10|Home Appliances|30000|6|David|24000</v>
      </c>
      <c r="P41" s="3" t="str">
        <f>IF(COUNTIF(Sales_Data2[RowKey],Sales_Data2[[#This Row],[RowKey]])&gt;1,"Duplicate","Unique")</f>
        <v>Unique</v>
      </c>
      <c r="Q41" s="3" t="str">
        <f>IF(ISNUMBER(Sales_Data2[[#This Row],[Date]]),"OK","Check")</f>
        <v>OK</v>
      </c>
      <c r="R41" s="3" t="str">
        <f>IF(ISNUMBER(Sales_Data2[[#This Row],[Quantity]]),"OK","Check")</f>
        <v>OK</v>
      </c>
    </row>
    <row r="42" spans="1:18">
      <c r="A42" s="1">
        <v>45716</v>
      </c>
      <c r="B42" t="s">
        <v>11</v>
      </c>
      <c r="C42" t="s">
        <v>12</v>
      </c>
      <c r="D42" t="s">
        <v>23</v>
      </c>
      <c r="E42" t="s">
        <v>20</v>
      </c>
      <c r="F42" t="s">
        <v>41</v>
      </c>
      <c r="G42" t="s">
        <v>22</v>
      </c>
      <c r="H42">
        <v>220000</v>
      </c>
      <c r="I42">
        <v>2</v>
      </c>
      <c r="J42" t="s">
        <v>35</v>
      </c>
      <c r="K42">
        <f t="shared" si="0"/>
        <v>176000</v>
      </c>
      <c r="L42">
        <f>Sales_Data2[[#This Row],[Unit Price]]*Sales_Data2[[#This Row],[Quantity]]</f>
        <v>440000</v>
      </c>
      <c r="M42">
        <f>Sales_Data2[[#This Row],[Cost Price]]*Sales_Data2[[#This Row],[Quantity]]</f>
        <v>352000</v>
      </c>
      <c r="N42" s="3">
        <f>Sales_Data2[[#This Row],[Revenue]]-Sales_Data2[[#This Row],[COGS]]</f>
        <v>88000</v>
      </c>
      <c r="O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45716|West|Port Harcourt|Corporate|Store|Refrigerator R55|Home Appliances|220000|2|Peter|176000</v>
      </c>
      <c r="P42" s="3" t="str">
        <f>IF(COUNTIF(Sales_Data2[RowKey],Sales_Data2[[#This Row],[RowKey]])&gt;1,"Duplicate","Unique")</f>
        <v>Unique</v>
      </c>
      <c r="Q42" s="3" t="str">
        <f>IF(ISNUMBER(Sales_Data2[[#This Row],[Date]]),"OK","Check")</f>
        <v>OK</v>
      </c>
      <c r="R42" s="3" t="str">
        <f>IF(ISNUMBER(Sales_Data2[[#This Row],[Quantity]]),"OK","Check")</f>
        <v>OK</v>
      </c>
    </row>
    <row r="43" spans="1:18">
      <c r="A43" s="1">
        <v>45717</v>
      </c>
      <c r="B43" t="s">
        <v>11</v>
      </c>
      <c r="C43" t="s">
        <v>32</v>
      </c>
      <c r="D43" t="s">
        <v>13</v>
      </c>
      <c r="E43" t="s">
        <v>14</v>
      </c>
      <c r="F43" t="s">
        <v>36</v>
      </c>
      <c r="G43" t="s">
        <v>31</v>
      </c>
      <c r="H43">
        <v>150000</v>
      </c>
      <c r="I43">
        <v>1</v>
      </c>
      <c r="J43" t="s">
        <v>24</v>
      </c>
      <c r="K43">
        <f t="shared" si="0"/>
        <v>120000</v>
      </c>
      <c r="L43">
        <f>Sales_Data2[[#This Row],[Unit Price]]*Sales_Data2[[#This Row],[Quantity]]</f>
        <v>150000</v>
      </c>
      <c r="M43">
        <f>Sales_Data2[[#This Row],[Cost Price]]*Sales_Data2[[#This Row],[Quantity]]</f>
        <v>120000</v>
      </c>
      <c r="N43" s="3">
        <f>Sales_Data2[[#This Row],[Revenue]]-Sales_Data2[[#This Row],[COGS]]</f>
        <v>30000</v>
      </c>
      <c r="O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45717|West|Abuja|Retail|Online|Printer P50|Electronics|150000|1|David|120000</v>
      </c>
      <c r="P43" s="3" t="str">
        <f>IF(COUNTIF(Sales_Data2[RowKey],Sales_Data2[[#This Row],[RowKey]])&gt;1,"Duplicate","Unique")</f>
        <v>Unique</v>
      </c>
      <c r="Q43" s="3" t="str">
        <f>IF(ISNUMBER(Sales_Data2[[#This Row],[Date]]),"OK","Check")</f>
        <v>OK</v>
      </c>
      <c r="R43" s="3" t="str">
        <f>IF(ISNUMBER(Sales_Data2[[#This Row],[Quantity]]),"OK","Check")</f>
        <v>OK</v>
      </c>
    </row>
    <row r="44" spans="1:18">
      <c r="A44" s="1">
        <v>45718</v>
      </c>
      <c r="B44" t="s">
        <v>29</v>
      </c>
      <c r="C44" t="s">
        <v>19</v>
      </c>
      <c r="D44" t="s">
        <v>13</v>
      </c>
      <c r="E44" t="s">
        <v>20</v>
      </c>
      <c r="F44" t="s">
        <v>34</v>
      </c>
      <c r="G44" t="s">
        <v>16</v>
      </c>
      <c r="H44">
        <v>320000</v>
      </c>
      <c r="I44">
        <v>1</v>
      </c>
      <c r="J44" t="s">
        <v>39</v>
      </c>
      <c r="K44">
        <f t="shared" si="0"/>
        <v>256000</v>
      </c>
      <c r="L44">
        <f>Sales_Data2[[#This Row],[Unit Price]]*Sales_Data2[[#This Row],[Quantity]]</f>
        <v>320000</v>
      </c>
      <c r="M44">
        <f>Sales_Data2[[#This Row],[Cost Price]]*Sales_Data2[[#This Row],[Quantity]]</f>
        <v>256000</v>
      </c>
      <c r="N44" s="3">
        <f>Sales_Data2[[#This Row],[Revenue]]-Sales_Data2[[#This Row],[COGS]]</f>
        <v>64000</v>
      </c>
      <c r="O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45718|North|Lagos|Retail|Store|Sofa Classic|Furniture|320000|1|Grace|256000</v>
      </c>
      <c r="P44" s="3" t="str">
        <f>IF(COUNTIF(Sales_Data2[RowKey],Sales_Data2[[#This Row],[RowKey]])&gt;1,"Duplicate","Unique")</f>
        <v>Unique</v>
      </c>
      <c r="Q44" s="3" t="str">
        <f>IF(ISNUMBER(Sales_Data2[[#This Row],[Date]]),"OK","Check")</f>
        <v>OK</v>
      </c>
      <c r="R44" s="3" t="str">
        <f>IF(ISNUMBER(Sales_Data2[[#This Row],[Quantity]]),"OK","Check")</f>
        <v>OK</v>
      </c>
    </row>
    <row r="45" spans="1:18">
      <c r="A45" s="1">
        <v>45719</v>
      </c>
      <c r="B45" t="s">
        <v>29</v>
      </c>
      <c r="C45" t="s">
        <v>32</v>
      </c>
      <c r="D45" t="s">
        <v>23</v>
      </c>
      <c r="E45" t="s">
        <v>20</v>
      </c>
      <c r="F45" t="s">
        <v>21</v>
      </c>
      <c r="G45" t="s">
        <v>22</v>
      </c>
      <c r="H45">
        <v>30000</v>
      </c>
      <c r="I45">
        <v>3</v>
      </c>
      <c r="J45" t="s">
        <v>24</v>
      </c>
      <c r="K45">
        <f t="shared" si="0"/>
        <v>24000</v>
      </c>
      <c r="L45">
        <f>Sales_Data2[[#This Row],[Unit Price]]*Sales_Data2[[#This Row],[Quantity]]</f>
        <v>90000</v>
      </c>
      <c r="M45">
        <f>Sales_Data2[[#This Row],[Cost Price]]*Sales_Data2[[#This Row],[Quantity]]</f>
        <v>72000</v>
      </c>
      <c r="N45" s="3">
        <f>Sales_Data2[[#This Row],[Revenue]]-Sales_Data2[[#This Row],[COGS]]</f>
        <v>18000</v>
      </c>
      <c r="O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45719|North|Abuja|Corporate|Store|Blender B10|Home Appliances|30000|3|David|24000</v>
      </c>
      <c r="P45" s="3" t="str">
        <f>IF(COUNTIF(Sales_Data2[RowKey],Sales_Data2[[#This Row],[RowKey]])&gt;1,"Duplicate","Unique")</f>
        <v>Unique</v>
      </c>
      <c r="Q45" s="3" t="str">
        <f>IF(ISNUMBER(Sales_Data2[[#This Row],[Date]]),"OK","Check")</f>
        <v>OK</v>
      </c>
      <c r="R45" s="3" t="str">
        <f>IF(ISNUMBER(Sales_Data2[[#This Row],[Quantity]]),"OK","Check")</f>
        <v>OK</v>
      </c>
    </row>
    <row r="46" spans="1:18">
      <c r="A46" s="1">
        <v>45720</v>
      </c>
      <c r="B46" t="s">
        <v>11</v>
      </c>
      <c r="C46" t="s">
        <v>12</v>
      </c>
      <c r="D46" t="s">
        <v>23</v>
      </c>
      <c r="E46" t="s">
        <v>14</v>
      </c>
      <c r="F46" t="s">
        <v>27</v>
      </c>
      <c r="G46" t="s">
        <v>22</v>
      </c>
      <c r="H46">
        <v>60000</v>
      </c>
      <c r="I46">
        <v>5</v>
      </c>
      <c r="J46" t="s">
        <v>28</v>
      </c>
      <c r="K46">
        <f t="shared" si="0"/>
        <v>48000</v>
      </c>
      <c r="L46">
        <f>Sales_Data2[[#This Row],[Unit Price]]*Sales_Data2[[#This Row],[Quantity]]</f>
        <v>300000</v>
      </c>
      <c r="M46">
        <f>Sales_Data2[[#This Row],[Cost Price]]*Sales_Data2[[#This Row],[Quantity]]</f>
        <v>240000</v>
      </c>
      <c r="N46" s="3">
        <f>Sales_Data2[[#This Row],[Revenue]]-Sales_Data2[[#This Row],[COGS]]</f>
        <v>60000</v>
      </c>
      <c r="O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45720|West|Port Harcourt|Corporate|Online|Microwave M20|Home Appliances|60000|5|Musa|48000</v>
      </c>
      <c r="P46" s="3" t="str">
        <f>IF(COUNTIF(Sales_Data2[RowKey],Sales_Data2[[#This Row],[RowKey]])&gt;1,"Duplicate","Unique")</f>
        <v>Unique</v>
      </c>
      <c r="Q46" s="3" t="str">
        <f>IF(ISNUMBER(Sales_Data2[[#This Row],[Date]]),"OK","Check")</f>
        <v>OK</v>
      </c>
      <c r="R46" s="3" t="str">
        <f>IF(ISNUMBER(Sales_Data2[[#This Row],[Quantity]]),"OK","Check")</f>
        <v>OK</v>
      </c>
    </row>
    <row r="47" spans="1:18">
      <c r="A47" s="1">
        <v>45721</v>
      </c>
      <c r="B47" t="s">
        <v>18</v>
      </c>
      <c r="C47" t="s">
        <v>26</v>
      </c>
      <c r="D47" t="s">
        <v>23</v>
      </c>
      <c r="E47" t="s">
        <v>14</v>
      </c>
      <c r="F47" t="s">
        <v>36</v>
      </c>
      <c r="G47" t="s">
        <v>31</v>
      </c>
      <c r="H47">
        <v>150000</v>
      </c>
      <c r="I47">
        <v>3</v>
      </c>
      <c r="J47" t="s">
        <v>28</v>
      </c>
      <c r="K47">
        <f t="shared" si="0"/>
        <v>120000</v>
      </c>
      <c r="L47">
        <f>Sales_Data2[[#This Row],[Unit Price]]*Sales_Data2[[#This Row],[Quantity]]</f>
        <v>450000</v>
      </c>
      <c r="M47">
        <f>Sales_Data2[[#This Row],[Cost Price]]*Sales_Data2[[#This Row],[Quantity]]</f>
        <v>360000</v>
      </c>
      <c r="N47" s="3">
        <f>Sales_Data2[[#This Row],[Revenue]]-Sales_Data2[[#This Row],[COGS]]</f>
        <v>90000</v>
      </c>
      <c r="O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45721|East|Kano|Corporate|Online|Printer P50|Electronics|150000|3|Musa|120000</v>
      </c>
      <c r="P47" s="3" t="str">
        <f>IF(COUNTIF(Sales_Data2[RowKey],Sales_Data2[[#This Row],[RowKey]])&gt;1,"Duplicate","Unique")</f>
        <v>Unique</v>
      </c>
      <c r="Q47" s="3" t="str">
        <f>IF(ISNUMBER(Sales_Data2[[#This Row],[Date]]),"OK","Check")</f>
        <v>OK</v>
      </c>
      <c r="R47" s="3" t="str">
        <f>IF(ISNUMBER(Sales_Data2[[#This Row],[Quantity]]),"OK","Check")</f>
        <v>OK</v>
      </c>
    </row>
    <row r="48" spans="1:18">
      <c r="A48" s="1">
        <v>45722</v>
      </c>
      <c r="B48" t="s">
        <v>18</v>
      </c>
      <c r="C48" t="s">
        <v>19</v>
      </c>
      <c r="D48" t="s">
        <v>13</v>
      </c>
      <c r="E48" t="s">
        <v>14</v>
      </c>
      <c r="F48" t="s">
        <v>34</v>
      </c>
      <c r="G48" t="s">
        <v>16</v>
      </c>
      <c r="H48">
        <v>320000</v>
      </c>
      <c r="I48">
        <v>10</v>
      </c>
      <c r="J48" t="s">
        <v>28</v>
      </c>
      <c r="K48">
        <f t="shared" si="0"/>
        <v>256000</v>
      </c>
      <c r="L48">
        <f>Sales_Data2[[#This Row],[Unit Price]]*Sales_Data2[[#This Row],[Quantity]]</f>
        <v>3200000</v>
      </c>
      <c r="M48">
        <f>Sales_Data2[[#This Row],[Cost Price]]*Sales_Data2[[#This Row],[Quantity]]</f>
        <v>2560000</v>
      </c>
      <c r="N48" s="3">
        <f>Sales_Data2[[#This Row],[Revenue]]-Sales_Data2[[#This Row],[COGS]]</f>
        <v>640000</v>
      </c>
      <c r="O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45722|East|Lagos|Retail|Online|Sofa Classic|Furniture|320000|10|Musa|256000</v>
      </c>
      <c r="P48" s="3" t="str">
        <f>IF(COUNTIF(Sales_Data2[RowKey],Sales_Data2[[#This Row],[RowKey]])&gt;1,"Duplicate","Unique")</f>
        <v>Unique</v>
      </c>
      <c r="Q48" s="3" t="str">
        <f>IF(ISNUMBER(Sales_Data2[[#This Row],[Date]]),"OK","Check")</f>
        <v>OK</v>
      </c>
      <c r="R48" s="3" t="str">
        <f>IF(ISNUMBER(Sales_Data2[[#This Row],[Quantity]]),"OK","Check")</f>
        <v>OK</v>
      </c>
    </row>
    <row r="49" spans="1:18">
      <c r="A49" s="1">
        <v>45723</v>
      </c>
      <c r="B49" t="s">
        <v>18</v>
      </c>
      <c r="C49" t="s">
        <v>12</v>
      </c>
      <c r="D49" t="s">
        <v>23</v>
      </c>
      <c r="E49" t="s">
        <v>14</v>
      </c>
      <c r="F49" t="s">
        <v>41</v>
      </c>
      <c r="G49" t="s">
        <v>22</v>
      </c>
      <c r="H49">
        <v>220000</v>
      </c>
      <c r="I49">
        <v>6</v>
      </c>
      <c r="J49" t="s">
        <v>17</v>
      </c>
      <c r="K49">
        <f t="shared" si="0"/>
        <v>176000</v>
      </c>
      <c r="L49">
        <f>Sales_Data2[[#This Row],[Unit Price]]*Sales_Data2[[#This Row],[Quantity]]</f>
        <v>1320000</v>
      </c>
      <c r="M49">
        <f>Sales_Data2[[#This Row],[Cost Price]]*Sales_Data2[[#This Row],[Quantity]]</f>
        <v>1056000</v>
      </c>
      <c r="N49" s="3">
        <f>Sales_Data2[[#This Row],[Revenue]]-Sales_Data2[[#This Row],[COGS]]</f>
        <v>264000</v>
      </c>
      <c r="O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45723|East|Port Harcourt|Corporate|Online|Refrigerator R55|Home Appliances|220000|6|Chidinma|176000</v>
      </c>
      <c r="P49" s="3" t="str">
        <f>IF(COUNTIF(Sales_Data2[RowKey],Sales_Data2[[#This Row],[RowKey]])&gt;1,"Duplicate","Unique")</f>
        <v>Unique</v>
      </c>
      <c r="Q49" s="3" t="str">
        <f>IF(ISNUMBER(Sales_Data2[[#This Row],[Date]]),"OK","Check")</f>
        <v>OK</v>
      </c>
      <c r="R49" s="3" t="str">
        <f>IF(ISNUMBER(Sales_Data2[[#This Row],[Quantity]]),"OK","Check")</f>
        <v>OK</v>
      </c>
    </row>
    <row r="50" spans="1:18">
      <c r="A50" s="1">
        <v>45724</v>
      </c>
      <c r="B50" t="s">
        <v>11</v>
      </c>
      <c r="C50" t="s">
        <v>32</v>
      </c>
      <c r="D50" t="s">
        <v>23</v>
      </c>
      <c r="E50" t="s">
        <v>14</v>
      </c>
      <c r="F50" t="s">
        <v>33</v>
      </c>
      <c r="G50" t="s">
        <v>22</v>
      </c>
      <c r="H50">
        <v>180000</v>
      </c>
      <c r="I50">
        <v>8</v>
      </c>
      <c r="J50" t="s">
        <v>28</v>
      </c>
      <c r="K50">
        <f t="shared" si="0"/>
        <v>144000</v>
      </c>
      <c r="L50">
        <f>Sales_Data2[[#This Row],[Unit Price]]*Sales_Data2[[#This Row],[Quantity]]</f>
        <v>1440000</v>
      </c>
      <c r="M50">
        <f>Sales_Data2[[#This Row],[Cost Price]]*Sales_Data2[[#This Row],[Quantity]]</f>
        <v>1152000</v>
      </c>
      <c r="N50" s="3">
        <f>Sales_Data2[[#This Row],[Revenue]]-Sales_Data2[[#This Row],[COGS]]</f>
        <v>288000</v>
      </c>
      <c r="O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45724|West|Abuja|Corporate|Online|Air Conditioner X2|Home Appliances|180000|8|Musa|144000</v>
      </c>
      <c r="P50" s="3" t="str">
        <f>IF(COUNTIF(Sales_Data2[RowKey],Sales_Data2[[#This Row],[RowKey]])&gt;1,"Duplicate","Unique")</f>
        <v>Unique</v>
      </c>
      <c r="Q50" s="3" t="str">
        <f>IF(ISNUMBER(Sales_Data2[[#This Row],[Date]]),"OK","Check")</f>
        <v>OK</v>
      </c>
      <c r="R50" s="3" t="str">
        <f>IF(ISNUMBER(Sales_Data2[[#This Row],[Quantity]]),"OK","Check")</f>
        <v>OK</v>
      </c>
    </row>
    <row r="51" spans="1:18">
      <c r="A51" s="1">
        <v>45725</v>
      </c>
      <c r="B51" t="s">
        <v>11</v>
      </c>
      <c r="C51" t="s">
        <v>26</v>
      </c>
      <c r="D51" t="s">
        <v>13</v>
      </c>
      <c r="E51" t="s">
        <v>20</v>
      </c>
      <c r="F51" t="s">
        <v>34</v>
      </c>
      <c r="G51" t="s">
        <v>16</v>
      </c>
      <c r="H51">
        <v>320000</v>
      </c>
      <c r="I51">
        <v>2</v>
      </c>
      <c r="J51" t="s">
        <v>24</v>
      </c>
      <c r="K51">
        <f t="shared" si="0"/>
        <v>256000</v>
      </c>
      <c r="L51">
        <f>Sales_Data2[[#This Row],[Unit Price]]*Sales_Data2[[#This Row],[Quantity]]</f>
        <v>640000</v>
      </c>
      <c r="M51">
        <f>Sales_Data2[[#This Row],[Cost Price]]*Sales_Data2[[#This Row],[Quantity]]</f>
        <v>512000</v>
      </c>
      <c r="N51" s="3">
        <f>Sales_Data2[[#This Row],[Revenue]]-Sales_Data2[[#This Row],[COGS]]</f>
        <v>128000</v>
      </c>
      <c r="O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45725|West|Kano|Retail|Store|Sofa Classic|Furniture|320000|2|David|256000</v>
      </c>
      <c r="P51" s="3" t="str">
        <f>IF(COUNTIF(Sales_Data2[RowKey],Sales_Data2[[#This Row],[RowKey]])&gt;1,"Duplicate","Unique")</f>
        <v>Unique</v>
      </c>
      <c r="Q51" s="3" t="str">
        <f>IF(ISNUMBER(Sales_Data2[[#This Row],[Date]]),"OK","Check")</f>
        <v>OK</v>
      </c>
      <c r="R51" s="3" t="str">
        <f>IF(ISNUMBER(Sales_Data2[[#This Row],[Quantity]]),"OK","Check")</f>
        <v>OK</v>
      </c>
    </row>
    <row r="52" spans="1:18">
      <c r="A52" s="1">
        <v>45726</v>
      </c>
      <c r="B52" t="s">
        <v>11</v>
      </c>
      <c r="C52" t="s">
        <v>19</v>
      </c>
      <c r="D52" t="s">
        <v>13</v>
      </c>
      <c r="E52" t="s">
        <v>20</v>
      </c>
      <c r="F52" t="s">
        <v>30</v>
      </c>
      <c r="G52" t="s">
        <v>31</v>
      </c>
      <c r="H52">
        <v>300000</v>
      </c>
      <c r="I52">
        <v>9</v>
      </c>
      <c r="J52" t="s">
        <v>35</v>
      </c>
      <c r="K52">
        <f t="shared" si="0"/>
        <v>240000</v>
      </c>
      <c r="L52">
        <f>Sales_Data2[[#This Row],[Unit Price]]*Sales_Data2[[#This Row],[Quantity]]</f>
        <v>2700000</v>
      </c>
      <c r="M52">
        <f>Sales_Data2[[#This Row],[Cost Price]]*Sales_Data2[[#This Row],[Quantity]]</f>
        <v>2160000</v>
      </c>
      <c r="N52" s="3">
        <f>Sales_Data2[[#This Row],[Revenue]]-Sales_Data2[[#This Row],[COGS]]</f>
        <v>540000</v>
      </c>
      <c r="O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45726|West|Lagos|Retail|Store|Desktop PC D21|Electronics|300000|9|Peter|240000</v>
      </c>
      <c r="P52" s="3" t="str">
        <f>IF(COUNTIF(Sales_Data2[RowKey],Sales_Data2[[#This Row],[RowKey]])&gt;1,"Duplicate","Unique")</f>
        <v>Unique</v>
      </c>
      <c r="Q52" s="3" t="str">
        <f>IF(ISNUMBER(Sales_Data2[[#This Row],[Date]]),"OK","Check")</f>
        <v>OK</v>
      </c>
      <c r="R52" s="3" t="str">
        <f>IF(ISNUMBER(Sales_Data2[[#This Row],[Quantity]]),"OK","Check")</f>
        <v>OK</v>
      </c>
    </row>
    <row r="53" spans="1:18">
      <c r="A53" s="1">
        <v>45727</v>
      </c>
      <c r="B53" t="s">
        <v>29</v>
      </c>
      <c r="C53" t="s">
        <v>26</v>
      </c>
      <c r="D53" t="s">
        <v>13</v>
      </c>
      <c r="E53" t="s">
        <v>20</v>
      </c>
      <c r="F53" t="s">
        <v>38</v>
      </c>
      <c r="G53" t="s">
        <v>31</v>
      </c>
      <c r="H53">
        <v>420000</v>
      </c>
      <c r="I53">
        <v>1</v>
      </c>
      <c r="J53" t="s">
        <v>35</v>
      </c>
      <c r="K53">
        <f t="shared" si="0"/>
        <v>336000</v>
      </c>
      <c r="L53">
        <f>Sales_Data2[[#This Row],[Unit Price]]*Sales_Data2[[#This Row],[Quantity]]</f>
        <v>420000</v>
      </c>
      <c r="M53">
        <f>Sales_Data2[[#This Row],[Cost Price]]*Sales_Data2[[#This Row],[Quantity]]</f>
        <v>336000</v>
      </c>
      <c r="N53" s="3">
        <f>Sales_Data2[[#This Row],[Revenue]]-Sales_Data2[[#This Row],[COGS]]</f>
        <v>84000</v>
      </c>
      <c r="O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45727|North|Kano|Retail|Store|Laptop A13|Electronics|420000|1|Peter|336000</v>
      </c>
      <c r="P53" s="3" t="str">
        <f>IF(COUNTIF(Sales_Data2[RowKey],Sales_Data2[[#This Row],[RowKey]])&gt;1,"Duplicate","Unique")</f>
        <v>Unique</v>
      </c>
      <c r="Q53" s="3" t="str">
        <f>IF(ISNUMBER(Sales_Data2[[#This Row],[Date]]),"OK","Check")</f>
        <v>OK</v>
      </c>
      <c r="R53" s="3" t="str">
        <f>IF(ISNUMBER(Sales_Data2[[#This Row],[Quantity]]),"OK","Check")</f>
        <v>OK</v>
      </c>
    </row>
    <row r="54" spans="1:18">
      <c r="A54" s="1">
        <v>45728</v>
      </c>
      <c r="B54" t="s">
        <v>18</v>
      </c>
      <c r="C54" t="s">
        <v>26</v>
      </c>
      <c r="D54" t="s">
        <v>13</v>
      </c>
      <c r="E54" t="s">
        <v>14</v>
      </c>
      <c r="F54" t="s">
        <v>27</v>
      </c>
      <c r="G54" t="s">
        <v>22</v>
      </c>
      <c r="H54">
        <v>60000</v>
      </c>
      <c r="I54">
        <v>1</v>
      </c>
      <c r="J54" t="s">
        <v>28</v>
      </c>
      <c r="K54">
        <f t="shared" si="0"/>
        <v>48000</v>
      </c>
      <c r="L54">
        <f>Sales_Data2[[#This Row],[Unit Price]]*Sales_Data2[[#This Row],[Quantity]]</f>
        <v>60000</v>
      </c>
      <c r="M54">
        <f>Sales_Data2[[#This Row],[Cost Price]]*Sales_Data2[[#This Row],[Quantity]]</f>
        <v>48000</v>
      </c>
      <c r="N54" s="3">
        <f>Sales_Data2[[#This Row],[Revenue]]-Sales_Data2[[#This Row],[COGS]]</f>
        <v>12000</v>
      </c>
      <c r="O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45728|East|Kano|Retail|Online|Microwave M20|Home Appliances|60000|1|Musa|48000</v>
      </c>
      <c r="P54" s="3" t="str">
        <f>IF(COUNTIF(Sales_Data2[RowKey],Sales_Data2[[#This Row],[RowKey]])&gt;1,"Duplicate","Unique")</f>
        <v>Unique</v>
      </c>
      <c r="Q54" s="3" t="str">
        <f>IF(ISNUMBER(Sales_Data2[[#This Row],[Date]]),"OK","Check")</f>
        <v>OK</v>
      </c>
      <c r="R54" s="3" t="str">
        <f>IF(ISNUMBER(Sales_Data2[[#This Row],[Quantity]]),"OK","Check")</f>
        <v>OK</v>
      </c>
    </row>
    <row r="55" spans="1:18">
      <c r="A55" s="1">
        <v>45729</v>
      </c>
      <c r="B55" t="s">
        <v>18</v>
      </c>
      <c r="C55" t="s">
        <v>19</v>
      </c>
      <c r="D55" t="s">
        <v>23</v>
      </c>
      <c r="E55" t="s">
        <v>20</v>
      </c>
      <c r="F55" t="s">
        <v>30</v>
      </c>
      <c r="G55" t="s">
        <v>31</v>
      </c>
      <c r="H55">
        <v>300000</v>
      </c>
      <c r="I55">
        <v>9</v>
      </c>
      <c r="J55" t="s">
        <v>35</v>
      </c>
      <c r="K55">
        <f t="shared" si="0"/>
        <v>240000</v>
      </c>
      <c r="L55">
        <f>Sales_Data2[[#This Row],[Unit Price]]*Sales_Data2[[#This Row],[Quantity]]</f>
        <v>2700000</v>
      </c>
      <c r="M55">
        <f>Sales_Data2[[#This Row],[Cost Price]]*Sales_Data2[[#This Row],[Quantity]]</f>
        <v>2160000</v>
      </c>
      <c r="N55" s="3">
        <f>Sales_Data2[[#This Row],[Revenue]]-Sales_Data2[[#This Row],[COGS]]</f>
        <v>540000</v>
      </c>
      <c r="O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45729|East|Lagos|Corporate|Store|Desktop PC D21|Electronics|300000|9|Peter|240000</v>
      </c>
      <c r="P55" s="3" t="str">
        <f>IF(COUNTIF(Sales_Data2[RowKey],Sales_Data2[[#This Row],[RowKey]])&gt;1,"Duplicate","Unique")</f>
        <v>Unique</v>
      </c>
      <c r="Q55" s="3" t="str">
        <f>IF(ISNUMBER(Sales_Data2[[#This Row],[Date]]),"OK","Check")</f>
        <v>OK</v>
      </c>
      <c r="R55" s="3" t="str">
        <f>IF(ISNUMBER(Sales_Data2[[#This Row],[Quantity]]),"OK","Check")</f>
        <v>OK</v>
      </c>
    </row>
    <row r="56" spans="1:18">
      <c r="A56" s="1">
        <v>45730</v>
      </c>
      <c r="B56" t="s">
        <v>11</v>
      </c>
      <c r="C56" t="s">
        <v>26</v>
      </c>
      <c r="D56" t="s">
        <v>23</v>
      </c>
      <c r="E56" t="s">
        <v>14</v>
      </c>
      <c r="F56" t="s">
        <v>38</v>
      </c>
      <c r="G56" t="s">
        <v>31</v>
      </c>
      <c r="H56">
        <v>420000</v>
      </c>
      <c r="I56">
        <v>9</v>
      </c>
      <c r="J56" t="s">
        <v>24</v>
      </c>
      <c r="K56">
        <f t="shared" si="0"/>
        <v>336000</v>
      </c>
      <c r="L56">
        <f>Sales_Data2[[#This Row],[Unit Price]]*Sales_Data2[[#This Row],[Quantity]]</f>
        <v>3780000</v>
      </c>
      <c r="M56">
        <f>Sales_Data2[[#This Row],[Cost Price]]*Sales_Data2[[#This Row],[Quantity]]</f>
        <v>3024000</v>
      </c>
      <c r="N56" s="3">
        <f>Sales_Data2[[#This Row],[Revenue]]-Sales_Data2[[#This Row],[COGS]]</f>
        <v>756000</v>
      </c>
      <c r="O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45730|West|Kano|Corporate|Online|Laptop A13|Electronics|420000|9|David|336000</v>
      </c>
      <c r="P56" s="3" t="str">
        <f>IF(COUNTIF(Sales_Data2[RowKey],Sales_Data2[[#This Row],[RowKey]])&gt;1,"Duplicate","Unique")</f>
        <v>Unique</v>
      </c>
      <c r="Q56" s="3" t="str">
        <f>IF(ISNUMBER(Sales_Data2[[#This Row],[Date]]),"OK","Check")</f>
        <v>OK</v>
      </c>
      <c r="R56" s="3" t="str">
        <f>IF(ISNUMBER(Sales_Data2[[#This Row],[Quantity]]),"OK","Check")</f>
        <v>OK</v>
      </c>
    </row>
    <row r="57" spans="1:18">
      <c r="A57" s="1">
        <v>45731</v>
      </c>
      <c r="B57" t="s">
        <v>18</v>
      </c>
      <c r="C57" t="s">
        <v>19</v>
      </c>
      <c r="D57" t="s">
        <v>13</v>
      </c>
      <c r="E57" t="s">
        <v>14</v>
      </c>
      <c r="F57" t="s">
        <v>41</v>
      </c>
      <c r="G57" t="s">
        <v>22</v>
      </c>
      <c r="H57">
        <v>220000</v>
      </c>
      <c r="I57">
        <v>8</v>
      </c>
      <c r="J57" t="s">
        <v>37</v>
      </c>
      <c r="K57">
        <f t="shared" si="0"/>
        <v>176000</v>
      </c>
      <c r="L57">
        <f>Sales_Data2[[#This Row],[Unit Price]]*Sales_Data2[[#This Row],[Quantity]]</f>
        <v>1760000</v>
      </c>
      <c r="M57">
        <f>Sales_Data2[[#This Row],[Cost Price]]*Sales_Data2[[#This Row],[Quantity]]</f>
        <v>1408000</v>
      </c>
      <c r="N57" s="3">
        <f>Sales_Data2[[#This Row],[Revenue]]-Sales_Data2[[#This Row],[COGS]]</f>
        <v>352000</v>
      </c>
      <c r="O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45731|East|Lagos|Retail|Online|Refrigerator R55|Home Appliances|220000|8|Aisha|176000</v>
      </c>
      <c r="P57" s="3" t="str">
        <f>IF(COUNTIF(Sales_Data2[RowKey],Sales_Data2[[#This Row],[RowKey]])&gt;1,"Duplicate","Unique")</f>
        <v>Unique</v>
      </c>
      <c r="Q57" s="3" t="str">
        <f>IF(ISNUMBER(Sales_Data2[[#This Row],[Date]]),"OK","Check")</f>
        <v>OK</v>
      </c>
      <c r="R57" s="3" t="str">
        <f>IF(ISNUMBER(Sales_Data2[[#This Row],[Quantity]]),"OK","Check")</f>
        <v>OK</v>
      </c>
    </row>
    <row r="58" spans="1:18">
      <c r="A58" s="1">
        <v>45732</v>
      </c>
      <c r="B58" t="s">
        <v>25</v>
      </c>
      <c r="C58" t="s">
        <v>12</v>
      </c>
      <c r="D58" t="s">
        <v>13</v>
      </c>
      <c r="E58" t="s">
        <v>14</v>
      </c>
      <c r="F58" t="s">
        <v>15</v>
      </c>
      <c r="G58" t="s">
        <v>16</v>
      </c>
      <c r="H58">
        <v>85000</v>
      </c>
      <c r="I58">
        <v>10</v>
      </c>
      <c r="J58" t="s">
        <v>35</v>
      </c>
      <c r="K58">
        <f t="shared" si="0"/>
        <v>68000</v>
      </c>
      <c r="L58">
        <f>Sales_Data2[[#This Row],[Unit Price]]*Sales_Data2[[#This Row],[Quantity]]</f>
        <v>850000</v>
      </c>
      <c r="M58">
        <f>Sales_Data2[[#This Row],[Cost Price]]*Sales_Data2[[#This Row],[Quantity]]</f>
        <v>680000</v>
      </c>
      <c r="N58" s="3">
        <f>Sales_Data2[[#This Row],[Revenue]]-Sales_Data2[[#This Row],[COGS]]</f>
        <v>170000</v>
      </c>
      <c r="O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45732|South|Port Harcourt|Retail|Online|Office Chair Pro|Furniture|85000|10|Peter|68000</v>
      </c>
      <c r="P58" s="3" t="str">
        <f>IF(COUNTIF(Sales_Data2[RowKey],Sales_Data2[[#This Row],[RowKey]])&gt;1,"Duplicate","Unique")</f>
        <v>Unique</v>
      </c>
      <c r="Q58" s="3" t="str">
        <f>IF(ISNUMBER(Sales_Data2[[#This Row],[Date]]),"OK","Check")</f>
        <v>OK</v>
      </c>
      <c r="R58" s="3" t="str">
        <f>IF(ISNUMBER(Sales_Data2[[#This Row],[Quantity]]),"OK","Check")</f>
        <v>OK</v>
      </c>
    </row>
    <row r="59" spans="1:18">
      <c r="A59" s="1">
        <v>45733</v>
      </c>
      <c r="B59" t="s">
        <v>11</v>
      </c>
      <c r="C59" t="s">
        <v>26</v>
      </c>
      <c r="D59" t="s">
        <v>23</v>
      </c>
      <c r="E59" t="s">
        <v>14</v>
      </c>
      <c r="F59" t="s">
        <v>36</v>
      </c>
      <c r="G59" t="s">
        <v>31</v>
      </c>
      <c r="H59">
        <v>150000</v>
      </c>
      <c r="I59">
        <v>4</v>
      </c>
      <c r="J59" t="s">
        <v>17</v>
      </c>
      <c r="K59">
        <f t="shared" si="0"/>
        <v>120000</v>
      </c>
      <c r="L59">
        <f>Sales_Data2[[#This Row],[Unit Price]]*Sales_Data2[[#This Row],[Quantity]]</f>
        <v>600000</v>
      </c>
      <c r="M59">
        <f>Sales_Data2[[#This Row],[Cost Price]]*Sales_Data2[[#This Row],[Quantity]]</f>
        <v>480000</v>
      </c>
      <c r="N59" s="3">
        <f>Sales_Data2[[#This Row],[Revenue]]-Sales_Data2[[#This Row],[COGS]]</f>
        <v>120000</v>
      </c>
      <c r="O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45733|West|Kano|Corporate|Online|Printer P50|Electronics|150000|4|Chidinma|120000</v>
      </c>
      <c r="P59" s="3" t="str">
        <f>IF(COUNTIF(Sales_Data2[RowKey],Sales_Data2[[#This Row],[RowKey]])&gt;1,"Duplicate","Unique")</f>
        <v>Unique</v>
      </c>
      <c r="Q59" s="3" t="str">
        <f>IF(ISNUMBER(Sales_Data2[[#This Row],[Date]]),"OK","Check")</f>
        <v>OK</v>
      </c>
      <c r="R59" s="3" t="str">
        <f>IF(ISNUMBER(Sales_Data2[[#This Row],[Quantity]]),"OK","Check")</f>
        <v>OK</v>
      </c>
    </row>
    <row r="60" spans="1:18">
      <c r="A60" s="1">
        <v>45734</v>
      </c>
      <c r="B60" t="s">
        <v>18</v>
      </c>
      <c r="C60" t="s">
        <v>19</v>
      </c>
      <c r="D60" t="s">
        <v>23</v>
      </c>
      <c r="E60" t="s">
        <v>20</v>
      </c>
      <c r="F60" t="s">
        <v>40</v>
      </c>
      <c r="G60" t="s">
        <v>31</v>
      </c>
      <c r="H60">
        <v>250000</v>
      </c>
      <c r="I60">
        <v>1</v>
      </c>
      <c r="J60" t="s">
        <v>28</v>
      </c>
      <c r="K60">
        <f t="shared" si="0"/>
        <v>200000</v>
      </c>
      <c r="L60">
        <f>Sales_Data2[[#This Row],[Unit Price]]*Sales_Data2[[#This Row],[Quantity]]</f>
        <v>250000</v>
      </c>
      <c r="M60">
        <f>Sales_Data2[[#This Row],[Cost Price]]*Sales_Data2[[#This Row],[Quantity]]</f>
        <v>200000</v>
      </c>
      <c r="N60" s="3">
        <f>Sales_Data2[[#This Row],[Revenue]]-Sales_Data2[[#This Row],[COGS]]</f>
        <v>50000</v>
      </c>
      <c r="O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45734|East|Lagos|Corporate|Store|Smartphone Z10|Electronics|250000|1|Musa|200000</v>
      </c>
      <c r="P60" s="3" t="str">
        <f>IF(COUNTIF(Sales_Data2[RowKey],Sales_Data2[[#This Row],[RowKey]])&gt;1,"Duplicate","Unique")</f>
        <v>Unique</v>
      </c>
      <c r="Q60" s="3" t="str">
        <f>IF(ISNUMBER(Sales_Data2[[#This Row],[Date]]),"OK","Check")</f>
        <v>OK</v>
      </c>
      <c r="R60" s="3" t="str">
        <f>IF(ISNUMBER(Sales_Data2[[#This Row],[Quantity]]),"OK","Check")</f>
        <v>OK</v>
      </c>
    </row>
    <row r="61" spans="1:18">
      <c r="A61" s="1">
        <v>45735</v>
      </c>
      <c r="B61" t="s">
        <v>25</v>
      </c>
      <c r="C61" t="s">
        <v>19</v>
      </c>
      <c r="D61" t="s">
        <v>13</v>
      </c>
      <c r="E61" t="s">
        <v>14</v>
      </c>
      <c r="F61" t="s">
        <v>21</v>
      </c>
      <c r="G61" t="s">
        <v>22</v>
      </c>
      <c r="H61">
        <v>30000</v>
      </c>
      <c r="I61">
        <v>10</v>
      </c>
      <c r="J61" t="s">
        <v>28</v>
      </c>
      <c r="K61">
        <f t="shared" si="0"/>
        <v>24000</v>
      </c>
      <c r="L61">
        <f>Sales_Data2[[#This Row],[Unit Price]]*Sales_Data2[[#This Row],[Quantity]]</f>
        <v>300000</v>
      </c>
      <c r="M61">
        <f>Sales_Data2[[#This Row],[Cost Price]]*Sales_Data2[[#This Row],[Quantity]]</f>
        <v>240000</v>
      </c>
      <c r="N61" s="3">
        <f>Sales_Data2[[#This Row],[Revenue]]-Sales_Data2[[#This Row],[COGS]]</f>
        <v>60000</v>
      </c>
      <c r="O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45735|South|Lagos|Retail|Online|Blender B10|Home Appliances|30000|10|Musa|24000</v>
      </c>
      <c r="P61" s="3" t="str">
        <f>IF(COUNTIF(Sales_Data2[RowKey],Sales_Data2[[#This Row],[RowKey]])&gt;1,"Duplicate","Unique")</f>
        <v>Unique</v>
      </c>
      <c r="Q61" s="3" t="str">
        <f>IF(ISNUMBER(Sales_Data2[[#This Row],[Date]]),"OK","Check")</f>
        <v>OK</v>
      </c>
      <c r="R61" s="3" t="str">
        <f>IF(ISNUMBER(Sales_Data2[[#This Row],[Quantity]]),"OK","Check")</f>
        <v>OK</v>
      </c>
    </row>
    <row r="62" spans="1:18">
      <c r="A62" s="1">
        <v>45736</v>
      </c>
      <c r="B62" t="s">
        <v>25</v>
      </c>
      <c r="C62" t="s">
        <v>19</v>
      </c>
      <c r="D62" t="s">
        <v>23</v>
      </c>
      <c r="E62" t="s">
        <v>14</v>
      </c>
      <c r="F62" t="s">
        <v>38</v>
      </c>
      <c r="G62" t="s">
        <v>31</v>
      </c>
      <c r="H62">
        <v>420000</v>
      </c>
      <c r="I62">
        <v>4</v>
      </c>
      <c r="J62" t="s">
        <v>24</v>
      </c>
      <c r="K62">
        <f t="shared" si="0"/>
        <v>336000</v>
      </c>
      <c r="L62">
        <f>Sales_Data2[[#This Row],[Unit Price]]*Sales_Data2[[#This Row],[Quantity]]</f>
        <v>1680000</v>
      </c>
      <c r="M62">
        <f>Sales_Data2[[#This Row],[Cost Price]]*Sales_Data2[[#This Row],[Quantity]]</f>
        <v>1344000</v>
      </c>
      <c r="N62" s="3">
        <f>Sales_Data2[[#This Row],[Revenue]]-Sales_Data2[[#This Row],[COGS]]</f>
        <v>336000</v>
      </c>
      <c r="O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45736|South|Lagos|Corporate|Online|Laptop A13|Electronics|420000|4|David|336000</v>
      </c>
      <c r="P62" s="3" t="str">
        <f>IF(COUNTIF(Sales_Data2[RowKey],Sales_Data2[[#This Row],[RowKey]])&gt;1,"Duplicate","Unique")</f>
        <v>Unique</v>
      </c>
      <c r="Q62" s="3" t="str">
        <f>IF(ISNUMBER(Sales_Data2[[#This Row],[Date]]),"OK","Check")</f>
        <v>OK</v>
      </c>
      <c r="R62" s="3" t="str">
        <f>IF(ISNUMBER(Sales_Data2[[#This Row],[Quantity]]),"OK","Check")</f>
        <v>OK</v>
      </c>
    </row>
    <row r="63" spans="1:18">
      <c r="A63" s="1">
        <v>45737</v>
      </c>
      <c r="B63" t="s">
        <v>18</v>
      </c>
      <c r="C63" t="s">
        <v>19</v>
      </c>
      <c r="D63" t="s">
        <v>13</v>
      </c>
      <c r="E63" t="s">
        <v>20</v>
      </c>
      <c r="F63" t="s">
        <v>15</v>
      </c>
      <c r="G63" t="s">
        <v>16</v>
      </c>
      <c r="H63">
        <v>85000</v>
      </c>
      <c r="I63">
        <v>2</v>
      </c>
      <c r="J63" t="s">
        <v>35</v>
      </c>
      <c r="K63">
        <f t="shared" si="0"/>
        <v>68000</v>
      </c>
      <c r="L63">
        <f>Sales_Data2[[#This Row],[Unit Price]]*Sales_Data2[[#This Row],[Quantity]]</f>
        <v>170000</v>
      </c>
      <c r="M63">
        <f>Sales_Data2[[#This Row],[Cost Price]]*Sales_Data2[[#This Row],[Quantity]]</f>
        <v>136000</v>
      </c>
      <c r="N63" s="3">
        <f>Sales_Data2[[#This Row],[Revenue]]-Sales_Data2[[#This Row],[COGS]]</f>
        <v>34000</v>
      </c>
      <c r="O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45737|East|Lagos|Retail|Store|Office Chair Pro|Furniture|85000|2|Peter|68000</v>
      </c>
      <c r="P63" s="3" t="str">
        <f>IF(COUNTIF(Sales_Data2[RowKey],Sales_Data2[[#This Row],[RowKey]])&gt;1,"Duplicate","Unique")</f>
        <v>Unique</v>
      </c>
      <c r="Q63" s="3" t="str">
        <f>IF(ISNUMBER(Sales_Data2[[#This Row],[Date]]),"OK","Check")</f>
        <v>OK</v>
      </c>
      <c r="R63" s="3" t="str">
        <f>IF(ISNUMBER(Sales_Data2[[#This Row],[Quantity]]),"OK","Check")</f>
        <v>OK</v>
      </c>
    </row>
    <row r="64" spans="1:18">
      <c r="A64" s="1">
        <v>45738</v>
      </c>
      <c r="B64" t="s">
        <v>18</v>
      </c>
      <c r="C64" t="s">
        <v>19</v>
      </c>
      <c r="D64" t="s">
        <v>13</v>
      </c>
      <c r="E64" t="s">
        <v>14</v>
      </c>
      <c r="F64" t="s">
        <v>41</v>
      </c>
      <c r="G64" t="s">
        <v>22</v>
      </c>
      <c r="H64">
        <v>220000</v>
      </c>
      <c r="I64">
        <v>1</v>
      </c>
      <c r="J64" t="s">
        <v>28</v>
      </c>
      <c r="K64">
        <f t="shared" si="0"/>
        <v>176000</v>
      </c>
      <c r="L64">
        <f>Sales_Data2[[#This Row],[Unit Price]]*Sales_Data2[[#This Row],[Quantity]]</f>
        <v>220000</v>
      </c>
      <c r="M64">
        <f>Sales_Data2[[#This Row],[Cost Price]]*Sales_Data2[[#This Row],[Quantity]]</f>
        <v>176000</v>
      </c>
      <c r="N64" s="3">
        <f>Sales_Data2[[#This Row],[Revenue]]-Sales_Data2[[#This Row],[COGS]]</f>
        <v>44000</v>
      </c>
      <c r="O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45738|East|Lagos|Retail|Online|Refrigerator R55|Home Appliances|220000|1|Musa|176000</v>
      </c>
      <c r="P64" s="3" t="str">
        <f>IF(COUNTIF(Sales_Data2[RowKey],Sales_Data2[[#This Row],[RowKey]])&gt;1,"Duplicate","Unique")</f>
        <v>Unique</v>
      </c>
      <c r="Q64" s="3" t="str">
        <f>IF(ISNUMBER(Sales_Data2[[#This Row],[Date]]),"OK","Check")</f>
        <v>OK</v>
      </c>
      <c r="R64" s="3" t="str">
        <f>IF(ISNUMBER(Sales_Data2[[#This Row],[Quantity]]),"OK","Check")</f>
        <v>OK</v>
      </c>
    </row>
    <row r="65" spans="1:18">
      <c r="A65" s="1">
        <v>45739</v>
      </c>
      <c r="B65" t="s">
        <v>11</v>
      </c>
      <c r="C65" t="s">
        <v>12</v>
      </c>
      <c r="D65" t="s">
        <v>13</v>
      </c>
      <c r="E65" t="s">
        <v>20</v>
      </c>
      <c r="F65" t="s">
        <v>33</v>
      </c>
      <c r="G65" t="s">
        <v>22</v>
      </c>
      <c r="H65">
        <v>180000</v>
      </c>
      <c r="I65">
        <v>9</v>
      </c>
      <c r="J65" t="s">
        <v>39</v>
      </c>
      <c r="K65">
        <f t="shared" si="0"/>
        <v>144000</v>
      </c>
      <c r="L65">
        <f>Sales_Data2[[#This Row],[Unit Price]]*Sales_Data2[[#This Row],[Quantity]]</f>
        <v>1620000</v>
      </c>
      <c r="M65">
        <f>Sales_Data2[[#This Row],[Cost Price]]*Sales_Data2[[#This Row],[Quantity]]</f>
        <v>1296000</v>
      </c>
      <c r="N65" s="3">
        <f>Sales_Data2[[#This Row],[Revenue]]-Sales_Data2[[#This Row],[COGS]]</f>
        <v>324000</v>
      </c>
      <c r="O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45739|West|Port Harcourt|Retail|Store|Air Conditioner X2|Home Appliances|180000|9|Grace|144000</v>
      </c>
      <c r="P65" s="3" t="str">
        <f>IF(COUNTIF(Sales_Data2[RowKey],Sales_Data2[[#This Row],[RowKey]])&gt;1,"Duplicate","Unique")</f>
        <v>Unique</v>
      </c>
      <c r="Q65" s="3" t="str">
        <f>IF(ISNUMBER(Sales_Data2[[#This Row],[Date]]),"OK","Check")</f>
        <v>OK</v>
      </c>
      <c r="R65" s="3" t="str">
        <f>IF(ISNUMBER(Sales_Data2[[#This Row],[Quantity]]),"OK","Check")</f>
        <v>OK</v>
      </c>
    </row>
    <row r="66" spans="1:18">
      <c r="A66" s="1">
        <v>45740</v>
      </c>
      <c r="B66" t="s">
        <v>11</v>
      </c>
      <c r="C66" t="s">
        <v>26</v>
      </c>
      <c r="D66" t="s">
        <v>13</v>
      </c>
      <c r="E66" t="s">
        <v>20</v>
      </c>
      <c r="F66" t="s">
        <v>40</v>
      </c>
      <c r="G66" t="s">
        <v>31</v>
      </c>
      <c r="H66">
        <v>250000</v>
      </c>
      <c r="I66">
        <v>6</v>
      </c>
      <c r="J66" t="s">
        <v>17</v>
      </c>
      <c r="K66">
        <f t="shared" ref="K66:K129" si="1">H66-H66*0.2</f>
        <v>200000</v>
      </c>
      <c r="L66">
        <f>Sales_Data2[[#This Row],[Unit Price]]*Sales_Data2[[#This Row],[Quantity]]</f>
        <v>1500000</v>
      </c>
      <c r="M66">
        <f>Sales_Data2[[#This Row],[Cost Price]]*Sales_Data2[[#This Row],[Quantity]]</f>
        <v>1200000</v>
      </c>
      <c r="N66" s="3">
        <f>Sales_Data2[[#This Row],[Revenue]]-Sales_Data2[[#This Row],[COGS]]</f>
        <v>300000</v>
      </c>
      <c r="O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45740|West|Kano|Retail|Store|Smartphone Z10|Electronics|250000|6|Chidinma|200000</v>
      </c>
      <c r="P66" s="3" t="str">
        <f>IF(COUNTIF(Sales_Data2[RowKey],Sales_Data2[[#This Row],[RowKey]])&gt;1,"Duplicate","Unique")</f>
        <v>Unique</v>
      </c>
      <c r="Q66" s="3" t="str">
        <f>IF(ISNUMBER(Sales_Data2[[#This Row],[Date]]),"OK","Check")</f>
        <v>OK</v>
      </c>
      <c r="R66" s="3" t="str">
        <f>IF(ISNUMBER(Sales_Data2[[#This Row],[Quantity]]),"OK","Check")</f>
        <v>OK</v>
      </c>
    </row>
    <row r="67" spans="1:18">
      <c r="A67" s="1">
        <v>45741</v>
      </c>
      <c r="B67" t="s">
        <v>11</v>
      </c>
      <c r="C67" t="s">
        <v>12</v>
      </c>
      <c r="D67" t="s">
        <v>13</v>
      </c>
      <c r="E67" t="s">
        <v>20</v>
      </c>
      <c r="F67" t="s">
        <v>33</v>
      </c>
      <c r="G67" t="s">
        <v>22</v>
      </c>
      <c r="H67">
        <v>180000</v>
      </c>
      <c r="I67">
        <v>3</v>
      </c>
      <c r="J67" t="s">
        <v>39</v>
      </c>
      <c r="K67">
        <f t="shared" si="1"/>
        <v>144000</v>
      </c>
      <c r="L67">
        <f>Sales_Data2[[#This Row],[Unit Price]]*Sales_Data2[[#This Row],[Quantity]]</f>
        <v>540000</v>
      </c>
      <c r="M67">
        <f>Sales_Data2[[#This Row],[Cost Price]]*Sales_Data2[[#This Row],[Quantity]]</f>
        <v>432000</v>
      </c>
      <c r="N67" s="3">
        <f>Sales_Data2[[#This Row],[Revenue]]-Sales_Data2[[#This Row],[COGS]]</f>
        <v>108000</v>
      </c>
      <c r="O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45741|West|Port Harcourt|Retail|Store|Air Conditioner X2|Home Appliances|180000|3|Grace|144000</v>
      </c>
      <c r="P67" s="3" t="str">
        <f>IF(COUNTIF(Sales_Data2[RowKey],Sales_Data2[[#This Row],[RowKey]])&gt;1,"Duplicate","Unique")</f>
        <v>Unique</v>
      </c>
      <c r="Q67" s="3" t="str">
        <f>IF(ISNUMBER(Sales_Data2[[#This Row],[Date]]),"OK","Check")</f>
        <v>OK</v>
      </c>
      <c r="R67" s="3" t="str">
        <f>IF(ISNUMBER(Sales_Data2[[#This Row],[Quantity]]),"OK","Check")</f>
        <v>OK</v>
      </c>
    </row>
    <row r="68" spans="1:18">
      <c r="A68" s="1">
        <v>45742</v>
      </c>
      <c r="B68" t="s">
        <v>25</v>
      </c>
      <c r="C68" t="s">
        <v>12</v>
      </c>
      <c r="D68" t="s">
        <v>23</v>
      </c>
      <c r="E68" t="s">
        <v>14</v>
      </c>
      <c r="F68" t="s">
        <v>27</v>
      </c>
      <c r="G68" t="s">
        <v>22</v>
      </c>
      <c r="H68">
        <v>60000</v>
      </c>
      <c r="I68">
        <v>8</v>
      </c>
      <c r="J68" t="s">
        <v>35</v>
      </c>
      <c r="K68">
        <f t="shared" si="1"/>
        <v>48000</v>
      </c>
      <c r="L68">
        <f>Sales_Data2[[#This Row],[Unit Price]]*Sales_Data2[[#This Row],[Quantity]]</f>
        <v>480000</v>
      </c>
      <c r="M68">
        <f>Sales_Data2[[#This Row],[Cost Price]]*Sales_Data2[[#This Row],[Quantity]]</f>
        <v>384000</v>
      </c>
      <c r="N68" s="3">
        <f>Sales_Data2[[#This Row],[Revenue]]-Sales_Data2[[#This Row],[COGS]]</f>
        <v>96000</v>
      </c>
      <c r="O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45742|South|Port Harcourt|Corporate|Online|Microwave M20|Home Appliances|60000|8|Peter|48000</v>
      </c>
      <c r="P68" s="3" t="str">
        <f>IF(COUNTIF(Sales_Data2[RowKey],Sales_Data2[[#This Row],[RowKey]])&gt;1,"Duplicate","Unique")</f>
        <v>Unique</v>
      </c>
      <c r="Q68" s="3" t="str">
        <f>IF(ISNUMBER(Sales_Data2[[#This Row],[Date]]),"OK","Check")</f>
        <v>OK</v>
      </c>
      <c r="R68" s="3" t="str">
        <f>IF(ISNUMBER(Sales_Data2[[#This Row],[Quantity]]),"OK","Check")</f>
        <v>OK</v>
      </c>
    </row>
    <row r="69" spans="1:18">
      <c r="A69" s="1">
        <v>45743</v>
      </c>
      <c r="B69" t="s">
        <v>29</v>
      </c>
      <c r="C69" t="s">
        <v>12</v>
      </c>
      <c r="D69" t="s">
        <v>13</v>
      </c>
      <c r="E69" t="s">
        <v>14</v>
      </c>
      <c r="F69" t="s">
        <v>27</v>
      </c>
      <c r="G69" t="s">
        <v>22</v>
      </c>
      <c r="H69">
        <v>60000</v>
      </c>
      <c r="I69">
        <v>3</v>
      </c>
      <c r="J69" t="s">
        <v>17</v>
      </c>
      <c r="K69">
        <f t="shared" si="1"/>
        <v>48000</v>
      </c>
      <c r="L69">
        <f>Sales_Data2[[#This Row],[Unit Price]]*Sales_Data2[[#This Row],[Quantity]]</f>
        <v>180000</v>
      </c>
      <c r="M69">
        <f>Sales_Data2[[#This Row],[Cost Price]]*Sales_Data2[[#This Row],[Quantity]]</f>
        <v>144000</v>
      </c>
      <c r="N69" s="3">
        <f>Sales_Data2[[#This Row],[Revenue]]-Sales_Data2[[#This Row],[COGS]]</f>
        <v>36000</v>
      </c>
      <c r="O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45743|North|Port Harcourt|Retail|Online|Microwave M20|Home Appliances|60000|3|Chidinma|48000</v>
      </c>
      <c r="P69" s="3" t="str">
        <f>IF(COUNTIF(Sales_Data2[RowKey],Sales_Data2[[#This Row],[RowKey]])&gt;1,"Duplicate","Unique")</f>
        <v>Unique</v>
      </c>
      <c r="Q69" s="3" t="str">
        <f>IF(ISNUMBER(Sales_Data2[[#This Row],[Date]]),"OK","Check")</f>
        <v>OK</v>
      </c>
      <c r="R69" s="3" t="str">
        <f>IF(ISNUMBER(Sales_Data2[[#This Row],[Quantity]]),"OK","Check")</f>
        <v>OK</v>
      </c>
    </row>
    <row r="70" spans="1:18">
      <c r="A70" s="1">
        <v>45744</v>
      </c>
      <c r="B70" t="s">
        <v>11</v>
      </c>
      <c r="C70" t="s">
        <v>26</v>
      </c>
      <c r="D70" t="s">
        <v>23</v>
      </c>
      <c r="E70" t="s">
        <v>14</v>
      </c>
      <c r="F70" t="s">
        <v>21</v>
      </c>
      <c r="G70" t="s">
        <v>22</v>
      </c>
      <c r="H70">
        <v>30000</v>
      </c>
      <c r="I70">
        <v>8</v>
      </c>
      <c r="J70" t="s">
        <v>28</v>
      </c>
      <c r="K70">
        <f t="shared" si="1"/>
        <v>24000</v>
      </c>
      <c r="L70">
        <f>Sales_Data2[[#This Row],[Unit Price]]*Sales_Data2[[#This Row],[Quantity]]</f>
        <v>240000</v>
      </c>
      <c r="M70">
        <f>Sales_Data2[[#This Row],[Cost Price]]*Sales_Data2[[#This Row],[Quantity]]</f>
        <v>192000</v>
      </c>
      <c r="N70" s="3">
        <f>Sales_Data2[[#This Row],[Revenue]]-Sales_Data2[[#This Row],[COGS]]</f>
        <v>48000</v>
      </c>
      <c r="O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45744|West|Kano|Corporate|Online|Blender B10|Home Appliances|30000|8|Musa|24000</v>
      </c>
      <c r="P70" s="3" t="str">
        <f>IF(COUNTIF(Sales_Data2[RowKey],Sales_Data2[[#This Row],[RowKey]])&gt;1,"Duplicate","Unique")</f>
        <v>Unique</v>
      </c>
      <c r="Q70" s="3" t="str">
        <f>IF(ISNUMBER(Sales_Data2[[#This Row],[Date]]),"OK","Check")</f>
        <v>OK</v>
      </c>
      <c r="R70" s="3" t="str">
        <f>IF(ISNUMBER(Sales_Data2[[#This Row],[Quantity]]),"OK","Check")</f>
        <v>OK</v>
      </c>
    </row>
    <row r="71" spans="1:18">
      <c r="A71" s="1">
        <v>45745</v>
      </c>
      <c r="B71" t="s">
        <v>25</v>
      </c>
      <c r="C71" t="s">
        <v>19</v>
      </c>
      <c r="D71" t="s">
        <v>13</v>
      </c>
      <c r="E71" t="s">
        <v>20</v>
      </c>
      <c r="F71" t="s">
        <v>27</v>
      </c>
      <c r="G71" t="s">
        <v>22</v>
      </c>
      <c r="H71">
        <v>60000</v>
      </c>
      <c r="I71">
        <v>4</v>
      </c>
      <c r="J71" t="s">
        <v>39</v>
      </c>
      <c r="K71">
        <f t="shared" si="1"/>
        <v>48000</v>
      </c>
      <c r="L71">
        <f>Sales_Data2[[#This Row],[Unit Price]]*Sales_Data2[[#This Row],[Quantity]]</f>
        <v>240000</v>
      </c>
      <c r="M71">
        <f>Sales_Data2[[#This Row],[Cost Price]]*Sales_Data2[[#This Row],[Quantity]]</f>
        <v>192000</v>
      </c>
      <c r="N71" s="3">
        <f>Sales_Data2[[#This Row],[Revenue]]-Sales_Data2[[#This Row],[COGS]]</f>
        <v>48000</v>
      </c>
      <c r="O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45745|South|Lagos|Retail|Store|Microwave M20|Home Appliances|60000|4|Grace|48000</v>
      </c>
      <c r="P71" s="3" t="str">
        <f>IF(COUNTIF(Sales_Data2[RowKey],Sales_Data2[[#This Row],[RowKey]])&gt;1,"Duplicate","Unique")</f>
        <v>Unique</v>
      </c>
      <c r="Q71" s="3" t="str">
        <f>IF(ISNUMBER(Sales_Data2[[#This Row],[Date]]),"OK","Check")</f>
        <v>OK</v>
      </c>
      <c r="R71" s="3" t="str">
        <f>IF(ISNUMBER(Sales_Data2[[#This Row],[Quantity]]),"OK","Check")</f>
        <v>OK</v>
      </c>
    </row>
    <row r="72" spans="1:18">
      <c r="A72" s="1">
        <v>45746</v>
      </c>
      <c r="B72" t="s">
        <v>25</v>
      </c>
      <c r="C72" t="s">
        <v>12</v>
      </c>
      <c r="D72" t="s">
        <v>23</v>
      </c>
      <c r="E72" t="s">
        <v>20</v>
      </c>
      <c r="F72" t="s">
        <v>21</v>
      </c>
      <c r="G72" t="s">
        <v>22</v>
      </c>
      <c r="H72">
        <v>30000</v>
      </c>
      <c r="I72">
        <v>3</v>
      </c>
      <c r="J72" t="s">
        <v>24</v>
      </c>
      <c r="K72">
        <f t="shared" si="1"/>
        <v>24000</v>
      </c>
      <c r="L72">
        <f>Sales_Data2[[#This Row],[Unit Price]]*Sales_Data2[[#This Row],[Quantity]]</f>
        <v>90000</v>
      </c>
      <c r="M72">
        <f>Sales_Data2[[#This Row],[Cost Price]]*Sales_Data2[[#This Row],[Quantity]]</f>
        <v>72000</v>
      </c>
      <c r="N72" s="3">
        <f>Sales_Data2[[#This Row],[Revenue]]-Sales_Data2[[#This Row],[COGS]]</f>
        <v>18000</v>
      </c>
      <c r="O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45746|South|Port Harcourt|Corporate|Store|Blender B10|Home Appliances|30000|3|David|24000</v>
      </c>
      <c r="P72" s="3" t="str">
        <f>IF(COUNTIF(Sales_Data2[RowKey],Sales_Data2[[#This Row],[RowKey]])&gt;1,"Duplicate","Unique")</f>
        <v>Unique</v>
      </c>
      <c r="Q72" s="3" t="str">
        <f>IF(ISNUMBER(Sales_Data2[[#This Row],[Date]]),"OK","Check")</f>
        <v>OK</v>
      </c>
      <c r="R72" s="3" t="str">
        <f>IF(ISNUMBER(Sales_Data2[[#This Row],[Quantity]]),"OK","Check")</f>
        <v>OK</v>
      </c>
    </row>
    <row r="73" spans="1:18">
      <c r="A73" s="1">
        <v>45747</v>
      </c>
      <c r="B73" t="s">
        <v>18</v>
      </c>
      <c r="C73" t="s">
        <v>26</v>
      </c>
      <c r="D73" t="s">
        <v>13</v>
      </c>
      <c r="E73" t="s">
        <v>14</v>
      </c>
      <c r="F73" t="s">
        <v>33</v>
      </c>
      <c r="G73" t="s">
        <v>22</v>
      </c>
      <c r="H73">
        <v>180000</v>
      </c>
      <c r="I73">
        <v>5</v>
      </c>
      <c r="J73" t="s">
        <v>28</v>
      </c>
      <c r="K73">
        <f t="shared" si="1"/>
        <v>144000</v>
      </c>
      <c r="L73">
        <f>Sales_Data2[[#This Row],[Unit Price]]*Sales_Data2[[#This Row],[Quantity]]</f>
        <v>900000</v>
      </c>
      <c r="M73">
        <f>Sales_Data2[[#This Row],[Cost Price]]*Sales_Data2[[#This Row],[Quantity]]</f>
        <v>720000</v>
      </c>
      <c r="N73" s="3">
        <f>Sales_Data2[[#This Row],[Revenue]]-Sales_Data2[[#This Row],[COGS]]</f>
        <v>180000</v>
      </c>
      <c r="O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45747|East|Kano|Retail|Online|Air Conditioner X2|Home Appliances|180000|5|Musa|144000</v>
      </c>
      <c r="P73" s="3" t="str">
        <f>IF(COUNTIF(Sales_Data2[RowKey],Sales_Data2[[#This Row],[RowKey]])&gt;1,"Duplicate","Unique")</f>
        <v>Unique</v>
      </c>
      <c r="Q73" s="3" t="str">
        <f>IF(ISNUMBER(Sales_Data2[[#This Row],[Date]]),"OK","Check")</f>
        <v>OK</v>
      </c>
      <c r="R73" s="3" t="str">
        <f>IF(ISNUMBER(Sales_Data2[[#This Row],[Quantity]]),"OK","Check")</f>
        <v>OK</v>
      </c>
    </row>
    <row r="74" spans="1:18">
      <c r="A74" s="1">
        <v>45748</v>
      </c>
      <c r="B74" t="s">
        <v>29</v>
      </c>
      <c r="C74" t="s">
        <v>12</v>
      </c>
      <c r="D74" t="s">
        <v>13</v>
      </c>
      <c r="E74" t="s">
        <v>20</v>
      </c>
      <c r="F74" t="s">
        <v>41</v>
      </c>
      <c r="G74" t="s">
        <v>22</v>
      </c>
      <c r="H74">
        <v>220000</v>
      </c>
      <c r="I74">
        <v>3</v>
      </c>
      <c r="J74" t="s">
        <v>39</v>
      </c>
      <c r="K74">
        <f t="shared" si="1"/>
        <v>176000</v>
      </c>
      <c r="L74">
        <f>Sales_Data2[[#This Row],[Unit Price]]*Sales_Data2[[#This Row],[Quantity]]</f>
        <v>660000</v>
      </c>
      <c r="M74">
        <f>Sales_Data2[[#This Row],[Cost Price]]*Sales_Data2[[#This Row],[Quantity]]</f>
        <v>528000</v>
      </c>
      <c r="N74" s="3">
        <f>Sales_Data2[[#This Row],[Revenue]]-Sales_Data2[[#This Row],[COGS]]</f>
        <v>132000</v>
      </c>
      <c r="O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45748|North|Port Harcourt|Retail|Store|Refrigerator R55|Home Appliances|220000|3|Grace|176000</v>
      </c>
      <c r="P74" s="3" t="str">
        <f>IF(COUNTIF(Sales_Data2[RowKey],Sales_Data2[[#This Row],[RowKey]])&gt;1,"Duplicate","Unique")</f>
        <v>Unique</v>
      </c>
      <c r="Q74" s="3" t="str">
        <f>IF(ISNUMBER(Sales_Data2[[#This Row],[Date]]),"OK","Check")</f>
        <v>OK</v>
      </c>
      <c r="R74" s="3" t="str">
        <f>IF(ISNUMBER(Sales_Data2[[#This Row],[Quantity]]),"OK","Check")</f>
        <v>OK</v>
      </c>
    </row>
    <row r="75" spans="1:18">
      <c r="A75" s="1">
        <v>45749</v>
      </c>
      <c r="B75" t="s">
        <v>11</v>
      </c>
      <c r="C75" t="s">
        <v>19</v>
      </c>
      <c r="D75" t="s">
        <v>13</v>
      </c>
      <c r="E75" t="s">
        <v>14</v>
      </c>
      <c r="F75" t="s">
        <v>27</v>
      </c>
      <c r="G75" t="s">
        <v>22</v>
      </c>
      <c r="H75">
        <v>60000</v>
      </c>
      <c r="I75">
        <v>4</v>
      </c>
      <c r="J75" t="s">
        <v>37</v>
      </c>
      <c r="K75">
        <f t="shared" si="1"/>
        <v>48000</v>
      </c>
      <c r="L75">
        <f>Sales_Data2[[#This Row],[Unit Price]]*Sales_Data2[[#This Row],[Quantity]]</f>
        <v>240000</v>
      </c>
      <c r="M75">
        <f>Sales_Data2[[#This Row],[Cost Price]]*Sales_Data2[[#This Row],[Quantity]]</f>
        <v>192000</v>
      </c>
      <c r="N75" s="3">
        <f>Sales_Data2[[#This Row],[Revenue]]-Sales_Data2[[#This Row],[COGS]]</f>
        <v>48000</v>
      </c>
      <c r="O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45749|West|Lagos|Retail|Online|Microwave M20|Home Appliances|60000|4|Aisha|48000</v>
      </c>
      <c r="P75" s="3" t="str">
        <f>IF(COUNTIF(Sales_Data2[RowKey],Sales_Data2[[#This Row],[RowKey]])&gt;1,"Duplicate","Unique")</f>
        <v>Unique</v>
      </c>
      <c r="Q75" s="3" t="str">
        <f>IF(ISNUMBER(Sales_Data2[[#This Row],[Date]]),"OK","Check")</f>
        <v>OK</v>
      </c>
      <c r="R75" s="3" t="str">
        <f>IF(ISNUMBER(Sales_Data2[[#This Row],[Quantity]]),"OK","Check")</f>
        <v>OK</v>
      </c>
    </row>
    <row r="76" spans="1:18">
      <c r="A76" s="1">
        <v>45750</v>
      </c>
      <c r="B76" t="s">
        <v>29</v>
      </c>
      <c r="C76" t="s">
        <v>12</v>
      </c>
      <c r="D76" t="s">
        <v>23</v>
      </c>
      <c r="E76" t="s">
        <v>14</v>
      </c>
      <c r="F76" t="s">
        <v>15</v>
      </c>
      <c r="G76" t="s">
        <v>16</v>
      </c>
      <c r="H76">
        <v>85000</v>
      </c>
      <c r="I76">
        <v>1</v>
      </c>
      <c r="J76" t="s">
        <v>37</v>
      </c>
      <c r="K76">
        <f t="shared" si="1"/>
        <v>68000</v>
      </c>
      <c r="L76">
        <f>Sales_Data2[[#This Row],[Unit Price]]*Sales_Data2[[#This Row],[Quantity]]</f>
        <v>85000</v>
      </c>
      <c r="M76">
        <f>Sales_Data2[[#This Row],[Cost Price]]*Sales_Data2[[#This Row],[Quantity]]</f>
        <v>68000</v>
      </c>
      <c r="N76" s="3">
        <f>Sales_Data2[[#This Row],[Revenue]]-Sales_Data2[[#This Row],[COGS]]</f>
        <v>17000</v>
      </c>
      <c r="O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45750|North|Port Harcourt|Corporate|Online|Office Chair Pro|Furniture|85000|1|Aisha|68000</v>
      </c>
      <c r="P76" s="3" t="str">
        <f>IF(COUNTIF(Sales_Data2[RowKey],Sales_Data2[[#This Row],[RowKey]])&gt;1,"Duplicate","Unique")</f>
        <v>Unique</v>
      </c>
      <c r="Q76" s="3" t="str">
        <f>IF(ISNUMBER(Sales_Data2[[#This Row],[Date]]),"OK","Check")</f>
        <v>OK</v>
      </c>
      <c r="R76" s="3" t="str">
        <f>IF(ISNUMBER(Sales_Data2[[#This Row],[Quantity]]),"OK","Check")</f>
        <v>OK</v>
      </c>
    </row>
    <row r="77" spans="1:18">
      <c r="A77" s="1">
        <v>45751</v>
      </c>
      <c r="B77" t="s">
        <v>18</v>
      </c>
      <c r="C77" t="s">
        <v>12</v>
      </c>
      <c r="D77" t="s">
        <v>13</v>
      </c>
      <c r="E77" t="s">
        <v>14</v>
      </c>
      <c r="F77" t="s">
        <v>21</v>
      </c>
      <c r="G77" t="s">
        <v>22</v>
      </c>
      <c r="H77">
        <v>30000</v>
      </c>
      <c r="I77">
        <v>5</v>
      </c>
      <c r="J77" t="s">
        <v>24</v>
      </c>
      <c r="K77">
        <f t="shared" si="1"/>
        <v>24000</v>
      </c>
      <c r="L77">
        <f>Sales_Data2[[#This Row],[Unit Price]]*Sales_Data2[[#This Row],[Quantity]]</f>
        <v>150000</v>
      </c>
      <c r="M77">
        <f>Sales_Data2[[#This Row],[Cost Price]]*Sales_Data2[[#This Row],[Quantity]]</f>
        <v>120000</v>
      </c>
      <c r="N77" s="3">
        <f>Sales_Data2[[#This Row],[Revenue]]-Sales_Data2[[#This Row],[COGS]]</f>
        <v>30000</v>
      </c>
      <c r="O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45751|East|Port Harcourt|Retail|Online|Blender B10|Home Appliances|30000|5|David|24000</v>
      </c>
      <c r="P77" s="3" t="str">
        <f>IF(COUNTIF(Sales_Data2[RowKey],Sales_Data2[[#This Row],[RowKey]])&gt;1,"Duplicate","Unique")</f>
        <v>Unique</v>
      </c>
      <c r="Q77" s="3" t="str">
        <f>IF(ISNUMBER(Sales_Data2[[#This Row],[Date]]),"OK","Check")</f>
        <v>OK</v>
      </c>
      <c r="R77" s="3" t="str">
        <f>IF(ISNUMBER(Sales_Data2[[#This Row],[Quantity]]),"OK","Check")</f>
        <v>OK</v>
      </c>
    </row>
    <row r="78" spans="1:18">
      <c r="A78" s="1">
        <v>45752</v>
      </c>
      <c r="B78" t="s">
        <v>18</v>
      </c>
      <c r="C78" t="s">
        <v>32</v>
      </c>
      <c r="D78" t="s">
        <v>13</v>
      </c>
      <c r="E78" t="s">
        <v>20</v>
      </c>
      <c r="F78" t="s">
        <v>27</v>
      </c>
      <c r="G78" t="s">
        <v>22</v>
      </c>
      <c r="H78">
        <v>60000</v>
      </c>
      <c r="I78">
        <v>3</v>
      </c>
      <c r="J78" t="s">
        <v>37</v>
      </c>
      <c r="K78">
        <f t="shared" si="1"/>
        <v>48000</v>
      </c>
      <c r="L78">
        <f>Sales_Data2[[#This Row],[Unit Price]]*Sales_Data2[[#This Row],[Quantity]]</f>
        <v>180000</v>
      </c>
      <c r="M78">
        <f>Sales_Data2[[#This Row],[Cost Price]]*Sales_Data2[[#This Row],[Quantity]]</f>
        <v>144000</v>
      </c>
      <c r="N78" s="3">
        <f>Sales_Data2[[#This Row],[Revenue]]-Sales_Data2[[#This Row],[COGS]]</f>
        <v>36000</v>
      </c>
      <c r="O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45752|East|Abuja|Retail|Store|Microwave M20|Home Appliances|60000|3|Aisha|48000</v>
      </c>
      <c r="P78" s="3" t="str">
        <f>IF(COUNTIF(Sales_Data2[RowKey],Sales_Data2[[#This Row],[RowKey]])&gt;1,"Duplicate","Unique")</f>
        <v>Unique</v>
      </c>
      <c r="Q78" s="3" t="str">
        <f>IF(ISNUMBER(Sales_Data2[[#This Row],[Date]]),"OK","Check")</f>
        <v>OK</v>
      </c>
      <c r="R78" s="3" t="str">
        <f>IF(ISNUMBER(Sales_Data2[[#This Row],[Quantity]]),"OK","Check")</f>
        <v>OK</v>
      </c>
    </row>
    <row r="79" spans="1:18">
      <c r="A79" s="1">
        <v>45753</v>
      </c>
      <c r="B79" t="s">
        <v>11</v>
      </c>
      <c r="C79" t="s">
        <v>32</v>
      </c>
      <c r="D79" t="s">
        <v>13</v>
      </c>
      <c r="E79" t="s">
        <v>14</v>
      </c>
      <c r="F79" t="s">
        <v>27</v>
      </c>
      <c r="G79" t="s">
        <v>22</v>
      </c>
      <c r="H79">
        <v>60000</v>
      </c>
      <c r="I79">
        <v>6</v>
      </c>
      <c r="J79" t="s">
        <v>17</v>
      </c>
      <c r="K79">
        <f t="shared" si="1"/>
        <v>48000</v>
      </c>
      <c r="L79">
        <f>Sales_Data2[[#This Row],[Unit Price]]*Sales_Data2[[#This Row],[Quantity]]</f>
        <v>360000</v>
      </c>
      <c r="M79">
        <f>Sales_Data2[[#This Row],[Cost Price]]*Sales_Data2[[#This Row],[Quantity]]</f>
        <v>288000</v>
      </c>
      <c r="N79" s="3">
        <f>Sales_Data2[[#This Row],[Revenue]]-Sales_Data2[[#This Row],[COGS]]</f>
        <v>72000</v>
      </c>
      <c r="O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45753|West|Abuja|Retail|Online|Microwave M20|Home Appliances|60000|6|Chidinma|48000</v>
      </c>
      <c r="P79" s="3" t="str">
        <f>IF(COUNTIF(Sales_Data2[RowKey],Sales_Data2[[#This Row],[RowKey]])&gt;1,"Duplicate","Unique")</f>
        <v>Unique</v>
      </c>
      <c r="Q79" s="3" t="str">
        <f>IF(ISNUMBER(Sales_Data2[[#This Row],[Date]]),"OK","Check")</f>
        <v>OK</v>
      </c>
      <c r="R79" s="3" t="str">
        <f>IF(ISNUMBER(Sales_Data2[[#This Row],[Quantity]]),"OK","Check")</f>
        <v>OK</v>
      </c>
    </row>
    <row r="80" spans="1:18">
      <c r="A80" s="1">
        <v>45754</v>
      </c>
      <c r="B80" t="s">
        <v>25</v>
      </c>
      <c r="C80" t="s">
        <v>26</v>
      </c>
      <c r="D80" t="s">
        <v>23</v>
      </c>
      <c r="E80" t="s">
        <v>14</v>
      </c>
      <c r="F80" t="s">
        <v>30</v>
      </c>
      <c r="G80" t="s">
        <v>31</v>
      </c>
      <c r="H80">
        <v>300000</v>
      </c>
      <c r="I80">
        <v>2</v>
      </c>
      <c r="J80" t="s">
        <v>17</v>
      </c>
      <c r="K80">
        <f t="shared" si="1"/>
        <v>240000</v>
      </c>
      <c r="L80">
        <f>Sales_Data2[[#This Row],[Unit Price]]*Sales_Data2[[#This Row],[Quantity]]</f>
        <v>600000</v>
      </c>
      <c r="M80">
        <f>Sales_Data2[[#This Row],[Cost Price]]*Sales_Data2[[#This Row],[Quantity]]</f>
        <v>480000</v>
      </c>
      <c r="N80" s="3">
        <f>Sales_Data2[[#This Row],[Revenue]]-Sales_Data2[[#This Row],[COGS]]</f>
        <v>120000</v>
      </c>
      <c r="O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45754|South|Kano|Corporate|Online|Desktop PC D21|Electronics|300000|2|Chidinma|240000</v>
      </c>
      <c r="P80" s="3" t="str">
        <f>IF(COUNTIF(Sales_Data2[RowKey],Sales_Data2[[#This Row],[RowKey]])&gt;1,"Duplicate","Unique")</f>
        <v>Unique</v>
      </c>
      <c r="Q80" s="3" t="str">
        <f>IF(ISNUMBER(Sales_Data2[[#This Row],[Date]]),"OK","Check")</f>
        <v>OK</v>
      </c>
      <c r="R80" s="3" t="str">
        <f>IF(ISNUMBER(Sales_Data2[[#This Row],[Quantity]]),"OK","Check")</f>
        <v>OK</v>
      </c>
    </row>
    <row r="81" spans="1:18">
      <c r="A81" s="1">
        <v>45755</v>
      </c>
      <c r="B81" t="s">
        <v>11</v>
      </c>
      <c r="C81" t="s">
        <v>26</v>
      </c>
      <c r="D81" t="s">
        <v>13</v>
      </c>
      <c r="E81" t="s">
        <v>14</v>
      </c>
      <c r="F81" t="s">
        <v>36</v>
      </c>
      <c r="G81" t="s">
        <v>31</v>
      </c>
      <c r="H81">
        <v>150000</v>
      </c>
      <c r="I81">
        <v>7</v>
      </c>
      <c r="J81" t="s">
        <v>24</v>
      </c>
      <c r="K81">
        <f t="shared" si="1"/>
        <v>120000</v>
      </c>
      <c r="L81">
        <f>Sales_Data2[[#This Row],[Unit Price]]*Sales_Data2[[#This Row],[Quantity]]</f>
        <v>1050000</v>
      </c>
      <c r="M81">
        <f>Sales_Data2[[#This Row],[Cost Price]]*Sales_Data2[[#This Row],[Quantity]]</f>
        <v>840000</v>
      </c>
      <c r="N81" s="3">
        <f>Sales_Data2[[#This Row],[Revenue]]-Sales_Data2[[#This Row],[COGS]]</f>
        <v>210000</v>
      </c>
      <c r="O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45755|West|Kano|Retail|Online|Printer P50|Electronics|150000|7|David|120000</v>
      </c>
      <c r="P81" s="3" t="str">
        <f>IF(COUNTIF(Sales_Data2[RowKey],Sales_Data2[[#This Row],[RowKey]])&gt;1,"Duplicate","Unique")</f>
        <v>Unique</v>
      </c>
      <c r="Q81" s="3" t="str">
        <f>IF(ISNUMBER(Sales_Data2[[#This Row],[Date]]),"OK","Check")</f>
        <v>OK</v>
      </c>
      <c r="R81" s="3" t="str">
        <f>IF(ISNUMBER(Sales_Data2[[#This Row],[Quantity]]),"OK","Check")</f>
        <v>OK</v>
      </c>
    </row>
    <row r="82" spans="1:18">
      <c r="A82" s="1">
        <v>45756</v>
      </c>
      <c r="B82" t="s">
        <v>29</v>
      </c>
      <c r="C82" t="s">
        <v>26</v>
      </c>
      <c r="D82" t="s">
        <v>23</v>
      </c>
      <c r="E82" t="s">
        <v>20</v>
      </c>
      <c r="F82" t="s">
        <v>41</v>
      </c>
      <c r="G82" t="s">
        <v>22</v>
      </c>
      <c r="H82">
        <v>220000</v>
      </c>
      <c r="I82">
        <v>3</v>
      </c>
      <c r="J82" t="s">
        <v>28</v>
      </c>
      <c r="K82">
        <f t="shared" si="1"/>
        <v>176000</v>
      </c>
      <c r="L82">
        <f>Sales_Data2[[#This Row],[Unit Price]]*Sales_Data2[[#This Row],[Quantity]]</f>
        <v>660000</v>
      </c>
      <c r="M82">
        <f>Sales_Data2[[#This Row],[Cost Price]]*Sales_Data2[[#This Row],[Quantity]]</f>
        <v>528000</v>
      </c>
      <c r="N82" s="3">
        <f>Sales_Data2[[#This Row],[Revenue]]-Sales_Data2[[#This Row],[COGS]]</f>
        <v>132000</v>
      </c>
      <c r="O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45756|North|Kano|Corporate|Store|Refrigerator R55|Home Appliances|220000|3|Musa|176000</v>
      </c>
      <c r="P82" s="3" t="str">
        <f>IF(COUNTIF(Sales_Data2[RowKey],Sales_Data2[[#This Row],[RowKey]])&gt;1,"Duplicate","Unique")</f>
        <v>Unique</v>
      </c>
      <c r="Q82" s="3" t="str">
        <f>IF(ISNUMBER(Sales_Data2[[#This Row],[Date]]),"OK","Check")</f>
        <v>OK</v>
      </c>
      <c r="R82" s="3" t="str">
        <f>IF(ISNUMBER(Sales_Data2[[#This Row],[Quantity]]),"OK","Check")</f>
        <v>OK</v>
      </c>
    </row>
    <row r="83" spans="1:18">
      <c r="A83" s="1">
        <v>45757</v>
      </c>
      <c r="B83" t="s">
        <v>11</v>
      </c>
      <c r="C83" t="s">
        <v>26</v>
      </c>
      <c r="D83" t="s">
        <v>13</v>
      </c>
      <c r="E83" t="s">
        <v>20</v>
      </c>
      <c r="F83" t="s">
        <v>27</v>
      </c>
      <c r="G83" t="s">
        <v>22</v>
      </c>
      <c r="H83">
        <v>60000</v>
      </c>
      <c r="I83">
        <v>9</v>
      </c>
      <c r="J83" t="s">
        <v>35</v>
      </c>
      <c r="K83">
        <f t="shared" si="1"/>
        <v>48000</v>
      </c>
      <c r="L83">
        <f>Sales_Data2[[#This Row],[Unit Price]]*Sales_Data2[[#This Row],[Quantity]]</f>
        <v>540000</v>
      </c>
      <c r="M83">
        <f>Sales_Data2[[#This Row],[Cost Price]]*Sales_Data2[[#This Row],[Quantity]]</f>
        <v>432000</v>
      </c>
      <c r="N83" s="3">
        <f>Sales_Data2[[#This Row],[Revenue]]-Sales_Data2[[#This Row],[COGS]]</f>
        <v>108000</v>
      </c>
      <c r="O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45757|West|Kano|Retail|Store|Microwave M20|Home Appliances|60000|9|Peter|48000</v>
      </c>
      <c r="P83" s="3" t="str">
        <f>IF(COUNTIF(Sales_Data2[RowKey],Sales_Data2[[#This Row],[RowKey]])&gt;1,"Duplicate","Unique")</f>
        <v>Unique</v>
      </c>
      <c r="Q83" s="3" t="str">
        <f>IF(ISNUMBER(Sales_Data2[[#This Row],[Date]]),"OK","Check")</f>
        <v>OK</v>
      </c>
      <c r="R83" s="3" t="str">
        <f>IF(ISNUMBER(Sales_Data2[[#This Row],[Quantity]]),"OK","Check")</f>
        <v>OK</v>
      </c>
    </row>
    <row r="84" spans="1:18">
      <c r="A84" s="1">
        <v>45758</v>
      </c>
      <c r="B84" t="s">
        <v>11</v>
      </c>
      <c r="C84" t="s">
        <v>19</v>
      </c>
      <c r="D84" t="s">
        <v>23</v>
      </c>
      <c r="E84" t="s">
        <v>20</v>
      </c>
      <c r="F84" t="s">
        <v>34</v>
      </c>
      <c r="G84" t="s">
        <v>16</v>
      </c>
      <c r="H84">
        <v>320000</v>
      </c>
      <c r="I84">
        <v>2</v>
      </c>
      <c r="J84" t="s">
        <v>28</v>
      </c>
      <c r="K84">
        <f t="shared" si="1"/>
        <v>256000</v>
      </c>
      <c r="L84">
        <f>Sales_Data2[[#This Row],[Unit Price]]*Sales_Data2[[#This Row],[Quantity]]</f>
        <v>640000</v>
      </c>
      <c r="M84">
        <f>Sales_Data2[[#This Row],[Cost Price]]*Sales_Data2[[#This Row],[Quantity]]</f>
        <v>512000</v>
      </c>
      <c r="N84" s="3">
        <f>Sales_Data2[[#This Row],[Revenue]]-Sales_Data2[[#This Row],[COGS]]</f>
        <v>128000</v>
      </c>
      <c r="O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45758|West|Lagos|Corporate|Store|Sofa Classic|Furniture|320000|2|Musa|256000</v>
      </c>
      <c r="P84" s="3" t="str">
        <f>IF(COUNTIF(Sales_Data2[RowKey],Sales_Data2[[#This Row],[RowKey]])&gt;1,"Duplicate","Unique")</f>
        <v>Unique</v>
      </c>
      <c r="Q84" s="3" t="str">
        <f>IF(ISNUMBER(Sales_Data2[[#This Row],[Date]]),"OK","Check")</f>
        <v>OK</v>
      </c>
      <c r="R84" s="3" t="str">
        <f>IF(ISNUMBER(Sales_Data2[[#This Row],[Quantity]]),"OK","Check")</f>
        <v>OK</v>
      </c>
    </row>
    <row r="85" spans="1:18">
      <c r="A85" s="1">
        <v>45759</v>
      </c>
      <c r="B85" t="s">
        <v>11</v>
      </c>
      <c r="C85" t="s">
        <v>26</v>
      </c>
      <c r="D85" t="s">
        <v>23</v>
      </c>
      <c r="E85" t="s">
        <v>14</v>
      </c>
      <c r="F85" t="s">
        <v>41</v>
      </c>
      <c r="G85" t="s">
        <v>22</v>
      </c>
      <c r="H85">
        <v>220000</v>
      </c>
      <c r="I85">
        <v>5</v>
      </c>
      <c r="J85" t="s">
        <v>17</v>
      </c>
      <c r="K85">
        <f t="shared" si="1"/>
        <v>176000</v>
      </c>
      <c r="L85">
        <f>Sales_Data2[[#This Row],[Unit Price]]*Sales_Data2[[#This Row],[Quantity]]</f>
        <v>1100000</v>
      </c>
      <c r="M85">
        <f>Sales_Data2[[#This Row],[Cost Price]]*Sales_Data2[[#This Row],[Quantity]]</f>
        <v>880000</v>
      </c>
      <c r="N85" s="3">
        <f>Sales_Data2[[#This Row],[Revenue]]-Sales_Data2[[#This Row],[COGS]]</f>
        <v>220000</v>
      </c>
      <c r="O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45759|West|Kano|Corporate|Online|Refrigerator R55|Home Appliances|220000|5|Chidinma|176000</v>
      </c>
      <c r="P85" s="3" t="str">
        <f>IF(COUNTIF(Sales_Data2[RowKey],Sales_Data2[[#This Row],[RowKey]])&gt;1,"Duplicate","Unique")</f>
        <v>Unique</v>
      </c>
      <c r="Q85" s="3" t="str">
        <f>IF(ISNUMBER(Sales_Data2[[#This Row],[Date]]),"OK","Check")</f>
        <v>OK</v>
      </c>
      <c r="R85" s="3" t="str">
        <f>IF(ISNUMBER(Sales_Data2[[#This Row],[Quantity]]),"OK","Check")</f>
        <v>OK</v>
      </c>
    </row>
    <row r="86" spans="1:18">
      <c r="A86" s="1">
        <v>45760</v>
      </c>
      <c r="B86" t="s">
        <v>11</v>
      </c>
      <c r="C86" t="s">
        <v>12</v>
      </c>
      <c r="D86" t="s">
        <v>23</v>
      </c>
      <c r="E86" t="s">
        <v>14</v>
      </c>
      <c r="F86" t="s">
        <v>36</v>
      </c>
      <c r="G86" t="s">
        <v>31</v>
      </c>
      <c r="H86">
        <v>150000</v>
      </c>
      <c r="I86">
        <v>1</v>
      </c>
      <c r="J86" t="s">
        <v>39</v>
      </c>
      <c r="K86">
        <f t="shared" si="1"/>
        <v>120000</v>
      </c>
      <c r="L86">
        <f>Sales_Data2[[#This Row],[Unit Price]]*Sales_Data2[[#This Row],[Quantity]]</f>
        <v>150000</v>
      </c>
      <c r="M86">
        <f>Sales_Data2[[#This Row],[Cost Price]]*Sales_Data2[[#This Row],[Quantity]]</f>
        <v>120000</v>
      </c>
      <c r="N86" s="3">
        <f>Sales_Data2[[#This Row],[Revenue]]-Sales_Data2[[#This Row],[COGS]]</f>
        <v>30000</v>
      </c>
      <c r="O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45760|West|Port Harcourt|Corporate|Online|Printer P50|Electronics|150000|1|Grace|120000</v>
      </c>
      <c r="P86" s="3" t="str">
        <f>IF(COUNTIF(Sales_Data2[RowKey],Sales_Data2[[#This Row],[RowKey]])&gt;1,"Duplicate","Unique")</f>
        <v>Unique</v>
      </c>
      <c r="Q86" s="3" t="str">
        <f>IF(ISNUMBER(Sales_Data2[[#This Row],[Date]]),"OK","Check")</f>
        <v>OK</v>
      </c>
      <c r="R86" s="3" t="str">
        <f>IF(ISNUMBER(Sales_Data2[[#This Row],[Quantity]]),"OK","Check")</f>
        <v>OK</v>
      </c>
    </row>
    <row r="87" spans="1:18">
      <c r="A87" s="1">
        <v>45761</v>
      </c>
      <c r="B87" t="s">
        <v>25</v>
      </c>
      <c r="C87" t="s">
        <v>19</v>
      </c>
      <c r="D87" t="s">
        <v>13</v>
      </c>
      <c r="E87" t="s">
        <v>20</v>
      </c>
      <c r="F87" t="s">
        <v>30</v>
      </c>
      <c r="G87" t="s">
        <v>31</v>
      </c>
      <c r="H87">
        <v>300000</v>
      </c>
      <c r="I87">
        <v>8</v>
      </c>
      <c r="J87" t="s">
        <v>17</v>
      </c>
      <c r="K87">
        <f t="shared" si="1"/>
        <v>240000</v>
      </c>
      <c r="L87">
        <f>Sales_Data2[[#This Row],[Unit Price]]*Sales_Data2[[#This Row],[Quantity]]</f>
        <v>2400000</v>
      </c>
      <c r="M87">
        <f>Sales_Data2[[#This Row],[Cost Price]]*Sales_Data2[[#This Row],[Quantity]]</f>
        <v>1920000</v>
      </c>
      <c r="N87" s="3">
        <f>Sales_Data2[[#This Row],[Revenue]]-Sales_Data2[[#This Row],[COGS]]</f>
        <v>480000</v>
      </c>
      <c r="O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45761|South|Lagos|Retail|Store|Desktop PC D21|Electronics|300000|8|Chidinma|240000</v>
      </c>
      <c r="P87" s="3" t="str">
        <f>IF(COUNTIF(Sales_Data2[RowKey],Sales_Data2[[#This Row],[RowKey]])&gt;1,"Duplicate","Unique")</f>
        <v>Unique</v>
      </c>
      <c r="Q87" s="3" t="str">
        <f>IF(ISNUMBER(Sales_Data2[[#This Row],[Date]]),"OK","Check")</f>
        <v>OK</v>
      </c>
      <c r="R87" s="3" t="str">
        <f>IF(ISNUMBER(Sales_Data2[[#This Row],[Quantity]]),"OK","Check")</f>
        <v>OK</v>
      </c>
    </row>
    <row r="88" spans="1:18">
      <c r="A88" s="1">
        <v>45762</v>
      </c>
      <c r="B88" t="s">
        <v>18</v>
      </c>
      <c r="C88" t="s">
        <v>32</v>
      </c>
      <c r="D88" t="s">
        <v>13</v>
      </c>
      <c r="E88" t="s">
        <v>14</v>
      </c>
      <c r="F88" t="s">
        <v>41</v>
      </c>
      <c r="G88" t="s">
        <v>22</v>
      </c>
      <c r="H88">
        <v>220000</v>
      </c>
      <c r="I88">
        <v>3</v>
      </c>
      <c r="J88" t="s">
        <v>37</v>
      </c>
      <c r="K88">
        <f t="shared" si="1"/>
        <v>176000</v>
      </c>
      <c r="L88">
        <f>Sales_Data2[[#This Row],[Unit Price]]*Sales_Data2[[#This Row],[Quantity]]</f>
        <v>660000</v>
      </c>
      <c r="M88">
        <f>Sales_Data2[[#This Row],[Cost Price]]*Sales_Data2[[#This Row],[Quantity]]</f>
        <v>528000</v>
      </c>
      <c r="N88" s="3">
        <f>Sales_Data2[[#This Row],[Revenue]]-Sales_Data2[[#This Row],[COGS]]</f>
        <v>132000</v>
      </c>
      <c r="O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45762|East|Abuja|Retail|Online|Refrigerator R55|Home Appliances|220000|3|Aisha|176000</v>
      </c>
      <c r="P88" s="3" t="str">
        <f>IF(COUNTIF(Sales_Data2[RowKey],Sales_Data2[[#This Row],[RowKey]])&gt;1,"Duplicate","Unique")</f>
        <v>Unique</v>
      </c>
      <c r="Q88" s="3" t="str">
        <f>IF(ISNUMBER(Sales_Data2[[#This Row],[Date]]),"OK","Check")</f>
        <v>OK</v>
      </c>
      <c r="R88" s="3" t="str">
        <f>IF(ISNUMBER(Sales_Data2[[#This Row],[Quantity]]),"OK","Check")</f>
        <v>OK</v>
      </c>
    </row>
    <row r="89" spans="1:18">
      <c r="A89" s="1">
        <v>45763</v>
      </c>
      <c r="B89" t="s">
        <v>11</v>
      </c>
      <c r="C89" t="s">
        <v>12</v>
      </c>
      <c r="D89" t="s">
        <v>13</v>
      </c>
      <c r="E89" t="s">
        <v>14</v>
      </c>
      <c r="F89" t="s">
        <v>40</v>
      </c>
      <c r="G89" t="s">
        <v>31</v>
      </c>
      <c r="H89">
        <v>250000</v>
      </c>
      <c r="I89">
        <v>8</v>
      </c>
      <c r="J89" t="s">
        <v>17</v>
      </c>
      <c r="K89">
        <f t="shared" si="1"/>
        <v>200000</v>
      </c>
      <c r="L89">
        <f>Sales_Data2[[#This Row],[Unit Price]]*Sales_Data2[[#This Row],[Quantity]]</f>
        <v>2000000</v>
      </c>
      <c r="M89">
        <f>Sales_Data2[[#This Row],[Cost Price]]*Sales_Data2[[#This Row],[Quantity]]</f>
        <v>1600000</v>
      </c>
      <c r="N89" s="3">
        <f>Sales_Data2[[#This Row],[Revenue]]-Sales_Data2[[#This Row],[COGS]]</f>
        <v>400000</v>
      </c>
      <c r="O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45763|West|Port Harcourt|Retail|Online|Smartphone Z10|Electronics|250000|8|Chidinma|200000</v>
      </c>
      <c r="P89" s="3" t="str">
        <f>IF(COUNTIF(Sales_Data2[RowKey],Sales_Data2[[#This Row],[RowKey]])&gt;1,"Duplicate","Unique")</f>
        <v>Unique</v>
      </c>
      <c r="Q89" s="3" t="str">
        <f>IF(ISNUMBER(Sales_Data2[[#This Row],[Date]]),"OK","Check")</f>
        <v>OK</v>
      </c>
      <c r="R89" s="3" t="str">
        <f>IF(ISNUMBER(Sales_Data2[[#This Row],[Quantity]]),"OK","Check")</f>
        <v>OK</v>
      </c>
    </row>
    <row r="90" spans="1:18">
      <c r="A90" s="1">
        <v>45764</v>
      </c>
      <c r="B90" t="s">
        <v>25</v>
      </c>
      <c r="C90" t="s">
        <v>19</v>
      </c>
      <c r="D90" t="s">
        <v>23</v>
      </c>
      <c r="E90" t="s">
        <v>14</v>
      </c>
      <c r="F90" t="s">
        <v>30</v>
      </c>
      <c r="G90" t="s">
        <v>31</v>
      </c>
      <c r="H90">
        <v>300000</v>
      </c>
      <c r="I90">
        <v>4</v>
      </c>
      <c r="J90" t="s">
        <v>28</v>
      </c>
      <c r="K90">
        <f t="shared" si="1"/>
        <v>240000</v>
      </c>
      <c r="L90">
        <f>Sales_Data2[[#This Row],[Unit Price]]*Sales_Data2[[#This Row],[Quantity]]</f>
        <v>1200000</v>
      </c>
      <c r="M90">
        <f>Sales_Data2[[#This Row],[Cost Price]]*Sales_Data2[[#This Row],[Quantity]]</f>
        <v>960000</v>
      </c>
      <c r="N90" s="3">
        <f>Sales_Data2[[#This Row],[Revenue]]-Sales_Data2[[#This Row],[COGS]]</f>
        <v>240000</v>
      </c>
      <c r="O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45764|South|Lagos|Corporate|Online|Desktop PC D21|Electronics|300000|4|Musa|240000</v>
      </c>
      <c r="P90" s="3" t="str">
        <f>IF(COUNTIF(Sales_Data2[RowKey],Sales_Data2[[#This Row],[RowKey]])&gt;1,"Duplicate","Unique")</f>
        <v>Unique</v>
      </c>
      <c r="Q90" s="3" t="str">
        <f>IF(ISNUMBER(Sales_Data2[[#This Row],[Date]]),"OK","Check")</f>
        <v>OK</v>
      </c>
      <c r="R90" s="3" t="str">
        <f>IF(ISNUMBER(Sales_Data2[[#This Row],[Quantity]]),"OK","Check")</f>
        <v>OK</v>
      </c>
    </row>
    <row r="91" spans="1:18">
      <c r="A91" s="1">
        <v>45765</v>
      </c>
      <c r="B91" t="s">
        <v>25</v>
      </c>
      <c r="C91" t="s">
        <v>26</v>
      </c>
      <c r="D91" t="s">
        <v>23</v>
      </c>
      <c r="E91" t="s">
        <v>20</v>
      </c>
      <c r="F91" t="s">
        <v>30</v>
      </c>
      <c r="G91" t="s">
        <v>31</v>
      </c>
      <c r="H91">
        <v>300000</v>
      </c>
      <c r="I91">
        <v>1</v>
      </c>
      <c r="J91" t="s">
        <v>28</v>
      </c>
      <c r="K91">
        <f t="shared" si="1"/>
        <v>240000</v>
      </c>
      <c r="L91">
        <f>Sales_Data2[[#This Row],[Unit Price]]*Sales_Data2[[#This Row],[Quantity]]</f>
        <v>300000</v>
      </c>
      <c r="M91">
        <f>Sales_Data2[[#This Row],[Cost Price]]*Sales_Data2[[#This Row],[Quantity]]</f>
        <v>240000</v>
      </c>
      <c r="N91" s="3">
        <f>Sales_Data2[[#This Row],[Revenue]]-Sales_Data2[[#This Row],[COGS]]</f>
        <v>60000</v>
      </c>
      <c r="O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45765|South|Kano|Corporate|Store|Desktop PC D21|Electronics|300000|1|Musa|240000</v>
      </c>
      <c r="P91" s="3" t="str">
        <f>IF(COUNTIF(Sales_Data2[RowKey],Sales_Data2[[#This Row],[RowKey]])&gt;1,"Duplicate","Unique")</f>
        <v>Unique</v>
      </c>
      <c r="Q91" s="3" t="str">
        <f>IF(ISNUMBER(Sales_Data2[[#This Row],[Date]]),"OK","Check")</f>
        <v>OK</v>
      </c>
      <c r="R91" s="3" t="str">
        <f>IF(ISNUMBER(Sales_Data2[[#This Row],[Quantity]]),"OK","Check")</f>
        <v>OK</v>
      </c>
    </row>
    <row r="92" spans="1:18">
      <c r="A92" s="1">
        <v>45766</v>
      </c>
      <c r="B92" t="s">
        <v>18</v>
      </c>
      <c r="C92" t="s">
        <v>32</v>
      </c>
      <c r="D92" t="s">
        <v>13</v>
      </c>
      <c r="E92" t="s">
        <v>14</v>
      </c>
      <c r="F92" t="s">
        <v>40</v>
      </c>
      <c r="G92" t="s">
        <v>31</v>
      </c>
      <c r="H92">
        <v>250000</v>
      </c>
      <c r="I92">
        <v>8</v>
      </c>
      <c r="J92" t="s">
        <v>28</v>
      </c>
      <c r="K92">
        <f t="shared" si="1"/>
        <v>200000</v>
      </c>
      <c r="L92">
        <f>Sales_Data2[[#This Row],[Unit Price]]*Sales_Data2[[#This Row],[Quantity]]</f>
        <v>2000000</v>
      </c>
      <c r="M92">
        <f>Sales_Data2[[#This Row],[Cost Price]]*Sales_Data2[[#This Row],[Quantity]]</f>
        <v>1600000</v>
      </c>
      <c r="N92" s="3">
        <f>Sales_Data2[[#This Row],[Revenue]]-Sales_Data2[[#This Row],[COGS]]</f>
        <v>400000</v>
      </c>
      <c r="O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45766|East|Abuja|Retail|Online|Smartphone Z10|Electronics|250000|8|Musa|200000</v>
      </c>
      <c r="P92" s="3" t="str">
        <f>IF(COUNTIF(Sales_Data2[RowKey],Sales_Data2[[#This Row],[RowKey]])&gt;1,"Duplicate","Unique")</f>
        <v>Unique</v>
      </c>
      <c r="Q92" s="3" t="str">
        <f>IF(ISNUMBER(Sales_Data2[[#This Row],[Date]]),"OK","Check")</f>
        <v>OK</v>
      </c>
      <c r="R92" s="3" t="str">
        <f>IF(ISNUMBER(Sales_Data2[[#This Row],[Quantity]]),"OK","Check")</f>
        <v>OK</v>
      </c>
    </row>
    <row r="93" spans="1:18">
      <c r="A93" s="1">
        <v>45767</v>
      </c>
      <c r="B93" t="s">
        <v>11</v>
      </c>
      <c r="C93" t="s">
        <v>32</v>
      </c>
      <c r="D93" t="s">
        <v>23</v>
      </c>
      <c r="E93" t="s">
        <v>20</v>
      </c>
      <c r="F93" t="s">
        <v>33</v>
      </c>
      <c r="G93" t="s">
        <v>22</v>
      </c>
      <c r="H93">
        <v>180000</v>
      </c>
      <c r="I93">
        <v>2</v>
      </c>
      <c r="J93" t="s">
        <v>37</v>
      </c>
      <c r="K93">
        <f t="shared" si="1"/>
        <v>144000</v>
      </c>
      <c r="L93">
        <f>Sales_Data2[[#This Row],[Unit Price]]*Sales_Data2[[#This Row],[Quantity]]</f>
        <v>360000</v>
      </c>
      <c r="M93">
        <f>Sales_Data2[[#This Row],[Cost Price]]*Sales_Data2[[#This Row],[Quantity]]</f>
        <v>288000</v>
      </c>
      <c r="N93" s="3">
        <f>Sales_Data2[[#This Row],[Revenue]]-Sales_Data2[[#This Row],[COGS]]</f>
        <v>72000</v>
      </c>
      <c r="O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45767|West|Abuja|Corporate|Store|Air Conditioner X2|Home Appliances|180000|2|Aisha|144000</v>
      </c>
      <c r="P93" s="3" t="str">
        <f>IF(COUNTIF(Sales_Data2[RowKey],Sales_Data2[[#This Row],[RowKey]])&gt;1,"Duplicate","Unique")</f>
        <v>Unique</v>
      </c>
      <c r="Q93" s="3" t="str">
        <f>IF(ISNUMBER(Sales_Data2[[#This Row],[Date]]),"OK","Check")</f>
        <v>OK</v>
      </c>
      <c r="R93" s="3" t="str">
        <f>IF(ISNUMBER(Sales_Data2[[#This Row],[Quantity]]),"OK","Check")</f>
        <v>OK</v>
      </c>
    </row>
    <row r="94" spans="1:18">
      <c r="A94" s="1">
        <v>45768</v>
      </c>
      <c r="B94" t="s">
        <v>11</v>
      </c>
      <c r="C94" t="s">
        <v>32</v>
      </c>
      <c r="D94" t="s">
        <v>13</v>
      </c>
      <c r="E94" t="s">
        <v>20</v>
      </c>
      <c r="F94" t="s">
        <v>33</v>
      </c>
      <c r="G94" t="s">
        <v>22</v>
      </c>
      <c r="H94">
        <v>180000</v>
      </c>
      <c r="I94">
        <v>6</v>
      </c>
      <c r="J94" t="s">
        <v>28</v>
      </c>
      <c r="K94">
        <f t="shared" si="1"/>
        <v>144000</v>
      </c>
      <c r="L94">
        <f>Sales_Data2[[#This Row],[Unit Price]]*Sales_Data2[[#This Row],[Quantity]]</f>
        <v>1080000</v>
      </c>
      <c r="M94">
        <f>Sales_Data2[[#This Row],[Cost Price]]*Sales_Data2[[#This Row],[Quantity]]</f>
        <v>864000</v>
      </c>
      <c r="N94" s="3">
        <f>Sales_Data2[[#This Row],[Revenue]]-Sales_Data2[[#This Row],[COGS]]</f>
        <v>216000</v>
      </c>
      <c r="O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45768|West|Abuja|Retail|Store|Air Conditioner X2|Home Appliances|180000|6|Musa|144000</v>
      </c>
      <c r="P94" s="3" t="str">
        <f>IF(COUNTIF(Sales_Data2[RowKey],Sales_Data2[[#This Row],[RowKey]])&gt;1,"Duplicate","Unique")</f>
        <v>Unique</v>
      </c>
      <c r="Q94" s="3" t="str">
        <f>IF(ISNUMBER(Sales_Data2[[#This Row],[Date]]),"OK","Check")</f>
        <v>OK</v>
      </c>
      <c r="R94" s="3" t="str">
        <f>IF(ISNUMBER(Sales_Data2[[#This Row],[Quantity]]),"OK","Check")</f>
        <v>OK</v>
      </c>
    </row>
    <row r="95" spans="1:18">
      <c r="A95" s="1">
        <v>45769</v>
      </c>
      <c r="B95" t="s">
        <v>29</v>
      </c>
      <c r="C95" t="s">
        <v>19</v>
      </c>
      <c r="D95" t="s">
        <v>23</v>
      </c>
      <c r="E95" t="s">
        <v>14</v>
      </c>
      <c r="F95" t="s">
        <v>30</v>
      </c>
      <c r="G95" t="s">
        <v>31</v>
      </c>
      <c r="H95">
        <v>300000</v>
      </c>
      <c r="I95">
        <v>2</v>
      </c>
      <c r="J95" t="s">
        <v>28</v>
      </c>
      <c r="K95">
        <f t="shared" si="1"/>
        <v>240000</v>
      </c>
      <c r="L95">
        <f>Sales_Data2[[#This Row],[Unit Price]]*Sales_Data2[[#This Row],[Quantity]]</f>
        <v>600000</v>
      </c>
      <c r="M95">
        <f>Sales_Data2[[#This Row],[Cost Price]]*Sales_Data2[[#This Row],[Quantity]]</f>
        <v>480000</v>
      </c>
      <c r="N95" s="3">
        <f>Sales_Data2[[#This Row],[Revenue]]-Sales_Data2[[#This Row],[COGS]]</f>
        <v>120000</v>
      </c>
      <c r="O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45769|North|Lagos|Corporate|Online|Desktop PC D21|Electronics|300000|2|Musa|240000</v>
      </c>
      <c r="P95" s="3" t="str">
        <f>IF(COUNTIF(Sales_Data2[RowKey],Sales_Data2[[#This Row],[RowKey]])&gt;1,"Duplicate","Unique")</f>
        <v>Unique</v>
      </c>
      <c r="Q95" s="3" t="str">
        <f>IF(ISNUMBER(Sales_Data2[[#This Row],[Date]]),"OK","Check")</f>
        <v>OK</v>
      </c>
      <c r="R95" s="3" t="str">
        <f>IF(ISNUMBER(Sales_Data2[[#This Row],[Quantity]]),"OK","Check")</f>
        <v>OK</v>
      </c>
    </row>
    <row r="96" spans="1:18">
      <c r="A96" s="1">
        <v>45770</v>
      </c>
      <c r="B96" t="s">
        <v>18</v>
      </c>
      <c r="C96" t="s">
        <v>12</v>
      </c>
      <c r="D96" t="s">
        <v>23</v>
      </c>
      <c r="E96" t="s">
        <v>20</v>
      </c>
      <c r="F96" t="s">
        <v>36</v>
      </c>
      <c r="G96" t="s">
        <v>31</v>
      </c>
      <c r="H96">
        <v>150000</v>
      </c>
      <c r="I96">
        <v>6</v>
      </c>
      <c r="J96" t="s">
        <v>17</v>
      </c>
      <c r="K96">
        <f t="shared" si="1"/>
        <v>120000</v>
      </c>
      <c r="L96">
        <f>Sales_Data2[[#This Row],[Unit Price]]*Sales_Data2[[#This Row],[Quantity]]</f>
        <v>900000</v>
      </c>
      <c r="M96">
        <f>Sales_Data2[[#This Row],[Cost Price]]*Sales_Data2[[#This Row],[Quantity]]</f>
        <v>720000</v>
      </c>
      <c r="N96" s="3">
        <f>Sales_Data2[[#This Row],[Revenue]]-Sales_Data2[[#This Row],[COGS]]</f>
        <v>180000</v>
      </c>
      <c r="O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45770|East|Port Harcourt|Corporate|Store|Printer P50|Electronics|150000|6|Chidinma|120000</v>
      </c>
      <c r="P96" s="3" t="str">
        <f>IF(COUNTIF(Sales_Data2[RowKey],Sales_Data2[[#This Row],[RowKey]])&gt;1,"Duplicate","Unique")</f>
        <v>Unique</v>
      </c>
      <c r="Q96" s="3" t="str">
        <f>IF(ISNUMBER(Sales_Data2[[#This Row],[Date]]),"OK","Check")</f>
        <v>OK</v>
      </c>
      <c r="R96" s="3" t="str">
        <f>IF(ISNUMBER(Sales_Data2[[#This Row],[Quantity]]),"OK","Check")</f>
        <v>OK</v>
      </c>
    </row>
    <row r="97" spans="1:18">
      <c r="A97" s="1">
        <v>45771</v>
      </c>
      <c r="B97" t="s">
        <v>25</v>
      </c>
      <c r="C97" t="s">
        <v>19</v>
      </c>
      <c r="D97" t="s">
        <v>23</v>
      </c>
      <c r="E97" t="s">
        <v>20</v>
      </c>
      <c r="F97" t="s">
        <v>38</v>
      </c>
      <c r="G97" t="s">
        <v>31</v>
      </c>
      <c r="H97">
        <v>420000</v>
      </c>
      <c r="I97">
        <v>10</v>
      </c>
      <c r="J97" t="s">
        <v>17</v>
      </c>
      <c r="K97">
        <f t="shared" si="1"/>
        <v>336000</v>
      </c>
      <c r="L97">
        <f>Sales_Data2[[#This Row],[Unit Price]]*Sales_Data2[[#This Row],[Quantity]]</f>
        <v>4200000</v>
      </c>
      <c r="M97">
        <f>Sales_Data2[[#This Row],[Cost Price]]*Sales_Data2[[#This Row],[Quantity]]</f>
        <v>3360000</v>
      </c>
      <c r="N97" s="3">
        <f>Sales_Data2[[#This Row],[Revenue]]-Sales_Data2[[#This Row],[COGS]]</f>
        <v>840000</v>
      </c>
      <c r="O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45771|South|Lagos|Corporate|Store|Laptop A13|Electronics|420000|10|Chidinma|336000</v>
      </c>
      <c r="P97" s="3" t="str">
        <f>IF(COUNTIF(Sales_Data2[RowKey],Sales_Data2[[#This Row],[RowKey]])&gt;1,"Duplicate","Unique")</f>
        <v>Unique</v>
      </c>
      <c r="Q97" s="3" t="str">
        <f>IF(ISNUMBER(Sales_Data2[[#This Row],[Date]]),"OK","Check")</f>
        <v>OK</v>
      </c>
      <c r="R97" s="3" t="str">
        <f>IF(ISNUMBER(Sales_Data2[[#This Row],[Quantity]]),"OK","Check")</f>
        <v>OK</v>
      </c>
    </row>
    <row r="98" spans="1:18">
      <c r="A98" s="1">
        <v>45772</v>
      </c>
      <c r="B98" t="s">
        <v>18</v>
      </c>
      <c r="C98" t="s">
        <v>26</v>
      </c>
      <c r="D98" t="s">
        <v>13</v>
      </c>
      <c r="E98" t="s">
        <v>14</v>
      </c>
      <c r="F98" t="s">
        <v>38</v>
      </c>
      <c r="G98" t="s">
        <v>31</v>
      </c>
      <c r="H98">
        <v>420000</v>
      </c>
      <c r="I98">
        <v>8</v>
      </c>
      <c r="J98" t="s">
        <v>28</v>
      </c>
      <c r="K98">
        <f t="shared" si="1"/>
        <v>336000</v>
      </c>
      <c r="L98">
        <f>Sales_Data2[[#This Row],[Unit Price]]*Sales_Data2[[#This Row],[Quantity]]</f>
        <v>3360000</v>
      </c>
      <c r="M98">
        <f>Sales_Data2[[#This Row],[Cost Price]]*Sales_Data2[[#This Row],[Quantity]]</f>
        <v>2688000</v>
      </c>
      <c r="N98" s="3">
        <f>Sales_Data2[[#This Row],[Revenue]]-Sales_Data2[[#This Row],[COGS]]</f>
        <v>672000</v>
      </c>
      <c r="O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45772|East|Kano|Retail|Online|Laptop A13|Electronics|420000|8|Musa|336000</v>
      </c>
      <c r="P98" s="3" t="str">
        <f>IF(COUNTIF(Sales_Data2[RowKey],Sales_Data2[[#This Row],[RowKey]])&gt;1,"Duplicate","Unique")</f>
        <v>Unique</v>
      </c>
      <c r="Q98" s="3" t="str">
        <f>IF(ISNUMBER(Sales_Data2[[#This Row],[Date]]),"OK","Check")</f>
        <v>OK</v>
      </c>
      <c r="R98" s="3" t="str">
        <f>IF(ISNUMBER(Sales_Data2[[#This Row],[Quantity]]),"OK","Check")</f>
        <v>OK</v>
      </c>
    </row>
    <row r="99" spans="1:18">
      <c r="A99" s="1">
        <v>45773</v>
      </c>
      <c r="B99" t="s">
        <v>25</v>
      </c>
      <c r="C99" t="s">
        <v>19</v>
      </c>
      <c r="D99" t="s">
        <v>13</v>
      </c>
      <c r="E99" t="s">
        <v>20</v>
      </c>
      <c r="F99" t="s">
        <v>33</v>
      </c>
      <c r="G99" t="s">
        <v>22</v>
      </c>
      <c r="H99">
        <v>180000</v>
      </c>
      <c r="I99">
        <v>8</v>
      </c>
      <c r="J99" t="s">
        <v>17</v>
      </c>
      <c r="K99">
        <f t="shared" si="1"/>
        <v>144000</v>
      </c>
      <c r="L99">
        <f>Sales_Data2[[#This Row],[Unit Price]]*Sales_Data2[[#This Row],[Quantity]]</f>
        <v>1440000</v>
      </c>
      <c r="M99">
        <f>Sales_Data2[[#This Row],[Cost Price]]*Sales_Data2[[#This Row],[Quantity]]</f>
        <v>1152000</v>
      </c>
      <c r="N99" s="3">
        <f>Sales_Data2[[#This Row],[Revenue]]-Sales_Data2[[#This Row],[COGS]]</f>
        <v>288000</v>
      </c>
      <c r="O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45773|South|Lagos|Retail|Store|Air Conditioner X2|Home Appliances|180000|8|Chidinma|144000</v>
      </c>
      <c r="P99" s="3" t="str">
        <f>IF(COUNTIF(Sales_Data2[RowKey],Sales_Data2[[#This Row],[RowKey]])&gt;1,"Duplicate","Unique")</f>
        <v>Unique</v>
      </c>
      <c r="Q99" s="3" t="str">
        <f>IF(ISNUMBER(Sales_Data2[[#This Row],[Date]]),"OK","Check")</f>
        <v>OK</v>
      </c>
      <c r="R99" s="3" t="str">
        <f>IF(ISNUMBER(Sales_Data2[[#This Row],[Quantity]]),"OK","Check")</f>
        <v>OK</v>
      </c>
    </row>
    <row r="100" spans="1:18">
      <c r="A100" s="1">
        <v>45774</v>
      </c>
      <c r="B100" t="s">
        <v>25</v>
      </c>
      <c r="C100" t="s">
        <v>26</v>
      </c>
      <c r="D100" t="s">
        <v>13</v>
      </c>
      <c r="E100" t="s">
        <v>20</v>
      </c>
      <c r="F100" t="s">
        <v>30</v>
      </c>
      <c r="G100" t="s">
        <v>31</v>
      </c>
      <c r="H100">
        <v>300000</v>
      </c>
      <c r="I100">
        <v>4</v>
      </c>
      <c r="J100" t="s">
        <v>37</v>
      </c>
      <c r="K100">
        <f t="shared" si="1"/>
        <v>240000</v>
      </c>
      <c r="L100">
        <f>Sales_Data2[[#This Row],[Unit Price]]*Sales_Data2[[#This Row],[Quantity]]</f>
        <v>1200000</v>
      </c>
      <c r="M100">
        <f>Sales_Data2[[#This Row],[Cost Price]]*Sales_Data2[[#This Row],[Quantity]]</f>
        <v>960000</v>
      </c>
      <c r="N100" s="3">
        <f>Sales_Data2[[#This Row],[Revenue]]-Sales_Data2[[#This Row],[COGS]]</f>
        <v>240000</v>
      </c>
      <c r="O1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45774|South|Kano|Retail|Store|Desktop PC D21|Electronics|300000|4|Aisha|240000</v>
      </c>
      <c r="P100" s="3" t="str">
        <f>IF(COUNTIF(Sales_Data2[RowKey],Sales_Data2[[#This Row],[RowKey]])&gt;1,"Duplicate","Unique")</f>
        <v>Unique</v>
      </c>
      <c r="Q100" s="3" t="str">
        <f>IF(ISNUMBER(Sales_Data2[[#This Row],[Date]]),"OK","Check")</f>
        <v>OK</v>
      </c>
      <c r="R100" s="3" t="str">
        <f>IF(ISNUMBER(Sales_Data2[[#This Row],[Quantity]]),"OK","Check")</f>
        <v>OK</v>
      </c>
    </row>
    <row r="101" spans="1:18">
      <c r="A101" s="1">
        <v>45775</v>
      </c>
      <c r="B101" t="s">
        <v>25</v>
      </c>
      <c r="C101" t="s">
        <v>26</v>
      </c>
      <c r="D101" t="s">
        <v>13</v>
      </c>
      <c r="E101" t="s">
        <v>20</v>
      </c>
      <c r="F101" t="s">
        <v>38</v>
      </c>
      <c r="G101" t="s">
        <v>31</v>
      </c>
      <c r="H101">
        <v>420000</v>
      </c>
      <c r="I101">
        <v>1</v>
      </c>
      <c r="J101" t="s">
        <v>35</v>
      </c>
      <c r="K101">
        <f t="shared" si="1"/>
        <v>336000</v>
      </c>
      <c r="L101">
        <f>Sales_Data2[[#This Row],[Unit Price]]*Sales_Data2[[#This Row],[Quantity]]</f>
        <v>420000</v>
      </c>
      <c r="M101">
        <f>Sales_Data2[[#This Row],[Cost Price]]*Sales_Data2[[#This Row],[Quantity]]</f>
        <v>336000</v>
      </c>
      <c r="N101" s="3">
        <f>Sales_Data2[[#This Row],[Revenue]]-Sales_Data2[[#This Row],[COGS]]</f>
        <v>84000</v>
      </c>
      <c r="O1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45775|South|Kano|Retail|Store|Laptop A13|Electronics|420000|1|Peter|336000</v>
      </c>
      <c r="P101" s="3" t="str">
        <f>IF(COUNTIF(Sales_Data2[RowKey],Sales_Data2[[#This Row],[RowKey]])&gt;1,"Duplicate","Unique")</f>
        <v>Unique</v>
      </c>
      <c r="Q101" s="3" t="str">
        <f>IF(ISNUMBER(Sales_Data2[[#This Row],[Date]]),"OK","Check")</f>
        <v>OK</v>
      </c>
      <c r="R101" s="3" t="str">
        <f>IF(ISNUMBER(Sales_Data2[[#This Row],[Quantity]]),"OK","Check")</f>
        <v>OK</v>
      </c>
    </row>
    <row r="102" spans="1:18">
      <c r="A102" s="1">
        <v>45776</v>
      </c>
      <c r="B102" t="s">
        <v>11</v>
      </c>
      <c r="C102" t="s">
        <v>26</v>
      </c>
      <c r="D102" t="s">
        <v>23</v>
      </c>
      <c r="E102" t="s">
        <v>14</v>
      </c>
      <c r="F102" t="s">
        <v>21</v>
      </c>
      <c r="G102" t="s">
        <v>22</v>
      </c>
      <c r="H102">
        <v>30000</v>
      </c>
      <c r="I102">
        <v>7</v>
      </c>
      <c r="J102" t="s">
        <v>28</v>
      </c>
      <c r="K102">
        <f t="shared" si="1"/>
        <v>24000</v>
      </c>
      <c r="L102">
        <f>Sales_Data2[[#This Row],[Unit Price]]*Sales_Data2[[#This Row],[Quantity]]</f>
        <v>210000</v>
      </c>
      <c r="M102">
        <f>Sales_Data2[[#This Row],[Cost Price]]*Sales_Data2[[#This Row],[Quantity]]</f>
        <v>168000</v>
      </c>
      <c r="N102" s="3">
        <f>Sales_Data2[[#This Row],[Revenue]]-Sales_Data2[[#This Row],[COGS]]</f>
        <v>42000</v>
      </c>
      <c r="O1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45776|West|Kano|Corporate|Online|Blender B10|Home Appliances|30000|7|Musa|24000</v>
      </c>
      <c r="P102" s="3" t="str">
        <f>IF(COUNTIF(Sales_Data2[RowKey],Sales_Data2[[#This Row],[RowKey]])&gt;1,"Duplicate","Unique")</f>
        <v>Unique</v>
      </c>
      <c r="Q102" s="3" t="str">
        <f>IF(ISNUMBER(Sales_Data2[[#This Row],[Date]]),"OK","Check")</f>
        <v>OK</v>
      </c>
      <c r="R102" s="3" t="str">
        <f>IF(ISNUMBER(Sales_Data2[[#This Row],[Quantity]]),"OK","Check")</f>
        <v>OK</v>
      </c>
    </row>
    <row r="103" spans="1:18">
      <c r="A103" s="1">
        <v>45777</v>
      </c>
      <c r="B103" t="s">
        <v>25</v>
      </c>
      <c r="C103" t="s">
        <v>12</v>
      </c>
      <c r="D103" t="s">
        <v>13</v>
      </c>
      <c r="E103" t="s">
        <v>14</v>
      </c>
      <c r="F103" t="s">
        <v>38</v>
      </c>
      <c r="G103" t="s">
        <v>31</v>
      </c>
      <c r="H103">
        <v>420000</v>
      </c>
      <c r="I103">
        <v>3</v>
      </c>
      <c r="J103" t="s">
        <v>28</v>
      </c>
      <c r="K103">
        <f t="shared" si="1"/>
        <v>336000</v>
      </c>
      <c r="L103">
        <f>Sales_Data2[[#This Row],[Unit Price]]*Sales_Data2[[#This Row],[Quantity]]</f>
        <v>1260000</v>
      </c>
      <c r="M103">
        <f>Sales_Data2[[#This Row],[Cost Price]]*Sales_Data2[[#This Row],[Quantity]]</f>
        <v>1008000</v>
      </c>
      <c r="N103" s="3">
        <f>Sales_Data2[[#This Row],[Revenue]]-Sales_Data2[[#This Row],[COGS]]</f>
        <v>252000</v>
      </c>
      <c r="O1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45777|South|Port Harcourt|Retail|Online|Laptop A13|Electronics|420000|3|Musa|336000</v>
      </c>
      <c r="P103" s="3" t="str">
        <f>IF(COUNTIF(Sales_Data2[RowKey],Sales_Data2[[#This Row],[RowKey]])&gt;1,"Duplicate","Unique")</f>
        <v>Unique</v>
      </c>
      <c r="Q103" s="3" t="str">
        <f>IF(ISNUMBER(Sales_Data2[[#This Row],[Date]]),"OK","Check")</f>
        <v>OK</v>
      </c>
      <c r="R103" s="3" t="str">
        <f>IF(ISNUMBER(Sales_Data2[[#This Row],[Quantity]]),"OK","Check")</f>
        <v>OK</v>
      </c>
    </row>
    <row r="104" spans="1:18">
      <c r="A104" s="1">
        <v>45778</v>
      </c>
      <c r="B104" t="s">
        <v>25</v>
      </c>
      <c r="C104" t="s">
        <v>12</v>
      </c>
      <c r="D104" t="s">
        <v>13</v>
      </c>
      <c r="E104" t="s">
        <v>20</v>
      </c>
      <c r="F104" t="s">
        <v>27</v>
      </c>
      <c r="G104" t="s">
        <v>22</v>
      </c>
      <c r="H104">
        <v>60000</v>
      </c>
      <c r="I104">
        <v>5</v>
      </c>
      <c r="J104" t="s">
        <v>39</v>
      </c>
      <c r="K104">
        <f t="shared" si="1"/>
        <v>48000</v>
      </c>
      <c r="L104">
        <f>Sales_Data2[[#This Row],[Unit Price]]*Sales_Data2[[#This Row],[Quantity]]</f>
        <v>300000</v>
      </c>
      <c r="M104">
        <f>Sales_Data2[[#This Row],[Cost Price]]*Sales_Data2[[#This Row],[Quantity]]</f>
        <v>240000</v>
      </c>
      <c r="N104" s="3">
        <f>Sales_Data2[[#This Row],[Revenue]]-Sales_Data2[[#This Row],[COGS]]</f>
        <v>60000</v>
      </c>
      <c r="O1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45778|South|Port Harcourt|Retail|Store|Microwave M20|Home Appliances|60000|5|Grace|48000</v>
      </c>
      <c r="P104" s="3" t="str">
        <f>IF(COUNTIF(Sales_Data2[RowKey],Sales_Data2[[#This Row],[RowKey]])&gt;1,"Duplicate","Unique")</f>
        <v>Unique</v>
      </c>
      <c r="Q104" s="3" t="str">
        <f>IF(ISNUMBER(Sales_Data2[[#This Row],[Date]]),"OK","Check")</f>
        <v>OK</v>
      </c>
      <c r="R104" s="3" t="str">
        <f>IF(ISNUMBER(Sales_Data2[[#This Row],[Quantity]]),"OK","Check")</f>
        <v>OK</v>
      </c>
    </row>
    <row r="105" spans="1:18">
      <c r="A105" s="1">
        <v>45779</v>
      </c>
      <c r="B105" t="s">
        <v>11</v>
      </c>
      <c r="C105" t="s">
        <v>32</v>
      </c>
      <c r="D105" t="s">
        <v>23</v>
      </c>
      <c r="E105" t="s">
        <v>14</v>
      </c>
      <c r="F105" t="s">
        <v>30</v>
      </c>
      <c r="G105" t="s">
        <v>31</v>
      </c>
      <c r="H105">
        <v>300000</v>
      </c>
      <c r="I105">
        <v>9</v>
      </c>
      <c r="J105" t="s">
        <v>39</v>
      </c>
      <c r="K105">
        <f t="shared" si="1"/>
        <v>240000</v>
      </c>
      <c r="L105">
        <f>Sales_Data2[[#This Row],[Unit Price]]*Sales_Data2[[#This Row],[Quantity]]</f>
        <v>2700000</v>
      </c>
      <c r="M105">
        <f>Sales_Data2[[#This Row],[Cost Price]]*Sales_Data2[[#This Row],[Quantity]]</f>
        <v>2160000</v>
      </c>
      <c r="N105" s="3">
        <f>Sales_Data2[[#This Row],[Revenue]]-Sales_Data2[[#This Row],[COGS]]</f>
        <v>540000</v>
      </c>
      <c r="O1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45779|West|Abuja|Corporate|Online|Desktop PC D21|Electronics|300000|9|Grace|240000</v>
      </c>
      <c r="P105" s="3" t="str">
        <f>IF(COUNTIF(Sales_Data2[RowKey],Sales_Data2[[#This Row],[RowKey]])&gt;1,"Duplicate","Unique")</f>
        <v>Unique</v>
      </c>
      <c r="Q105" s="3" t="str">
        <f>IF(ISNUMBER(Sales_Data2[[#This Row],[Date]]),"OK","Check")</f>
        <v>OK</v>
      </c>
      <c r="R105" s="3" t="str">
        <f>IF(ISNUMBER(Sales_Data2[[#This Row],[Quantity]]),"OK","Check")</f>
        <v>OK</v>
      </c>
    </row>
    <row r="106" spans="1:18">
      <c r="A106" s="1">
        <v>45780</v>
      </c>
      <c r="B106" t="s">
        <v>18</v>
      </c>
      <c r="C106" t="s">
        <v>26</v>
      </c>
      <c r="D106" t="s">
        <v>13</v>
      </c>
      <c r="E106" t="s">
        <v>20</v>
      </c>
      <c r="F106" t="s">
        <v>34</v>
      </c>
      <c r="G106" t="s">
        <v>16</v>
      </c>
      <c r="H106">
        <v>320000</v>
      </c>
      <c r="I106">
        <v>4</v>
      </c>
      <c r="J106" t="s">
        <v>35</v>
      </c>
      <c r="K106">
        <f t="shared" si="1"/>
        <v>256000</v>
      </c>
      <c r="L106">
        <f>Sales_Data2[[#This Row],[Unit Price]]*Sales_Data2[[#This Row],[Quantity]]</f>
        <v>1280000</v>
      </c>
      <c r="M106">
        <f>Sales_Data2[[#This Row],[Cost Price]]*Sales_Data2[[#This Row],[Quantity]]</f>
        <v>1024000</v>
      </c>
      <c r="N106" s="3">
        <f>Sales_Data2[[#This Row],[Revenue]]-Sales_Data2[[#This Row],[COGS]]</f>
        <v>256000</v>
      </c>
      <c r="O1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45780|East|Kano|Retail|Store|Sofa Classic|Furniture|320000|4|Peter|256000</v>
      </c>
      <c r="P106" s="3" t="str">
        <f>IF(COUNTIF(Sales_Data2[RowKey],Sales_Data2[[#This Row],[RowKey]])&gt;1,"Duplicate","Unique")</f>
        <v>Unique</v>
      </c>
      <c r="Q106" s="3" t="str">
        <f>IF(ISNUMBER(Sales_Data2[[#This Row],[Date]]),"OK","Check")</f>
        <v>OK</v>
      </c>
      <c r="R106" s="3" t="str">
        <f>IF(ISNUMBER(Sales_Data2[[#This Row],[Quantity]]),"OK","Check")</f>
        <v>OK</v>
      </c>
    </row>
    <row r="107" spans="1:18">
      <c r="A107" s="1">
        <v>45781</v>
      </c>
      <c r="B107" t="s">
        <v>29</v>
      </c>
      <c r="C107" t="s">
        <v>19</v>
      </c>
      <c r="D107" t="s">
        <v>13</v>
      </c>
      <c r="E107" t="s">
        <v>20</v>
      </c>
      <c r="F107" t="s">
        <v>33</v>
      </c>
      <c r="G107" t="s">
        <v>22</v>
      </c>
      <c r="H107">
        <v>180000</v>
      </c>
      <c r="I107">
        <v>2</v>
      </c>
      <c r="J107" t="s">
        <v>39</v>
      </c>
      <c r="K107">
        <f t="shared" si="1"/>
        <v>144000</v>
      </c>
      <c r="L107">
        <f>Sales_Data2[[#This Row],[Unit Price]]*Sales_Data2[[#This Row],[Quantity]]</f>
        <v>360000</v>
      </c>
      <c r="M107">
        <f>Sales_Data2[[#This Row],[Cost Price]]*Sales_Data2[[#This Row],[Quantity]]</f>
        <v>288000</v>
      </c>
      <c r="N107" s="3">
        <f>Sales_Data2[[#This Row],[Revenue]]-Sales_Data2[[#This Row],[COGS]]</f>
        <v>72000</v>
      </c>
      <c r="O1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45781|North|Lagos|Retail|Store|Air Conditioner X2|Home Appliances|180000|2|Grace|144000</v>
      </c>
      <c r="P107" s="3" t="str">
        <f>IF(COUNTIF(Sales_Data2[RowKey],Sales_Data2[[#This Row],[RowKey]])&gt;1,"Duplicate","Unique")</f>
        <v>Unique</v>
      </c>
      <c r="Q107" s="3" t="str">
        <f>IF(ISNUMBER(Sales_Data2[[#This Row],[Date]]),"OK","Check")</f>
        <v>OK</v>
      </c>
      <c r="R107" s="3" t="str">
        <f>IF(ISNUMBER(Sales_Data2[[#This Row],[Quantity]]),"OK","Check")</f>
        <v>OK</v>
      </c>
    </row>
    <row r="108" spans="1:18">
      <c r="A108" s="1">
        <v>45782</v>
      </c>
      <c r="B108" t="s">
        <v>18</v>
      </c>
      <c r="C108" t="s">
        <v>19</v>
      </c>
      <c r="D108" t="s">
        <v>13</v>
      </c>
      <c r="E108" t="s">
        <v>14</v>
      </c>
      <c r="F108" t="s">
        <v>15</v>
      </c>
      <c r="G108" t="s">
        <v>16</v>
      </c>
      <c r="H108">
        <v>85000</v>
      </c>
      <c r="I108">
        <v>1</v>
      </c>
      <c r="J108" t="s">
        <v>35</v>
      </c>
      <c r="K108">
        <f t="shared" si="1"/>
        <v>68000</v>
      </c>
      <c r="L108">
        <f>Sales_Data2[[#This Row],[Unit Price]]*Sales_Data2[[#This Row],[Quantity]]</f>
        <v>85000</v>
      </c>
      <c r="M108">
        <f>Sales_Data2[[#This Row],[Cost Price]]*Sales_Data2[[#This Row],[Quantity]]</f>
        <v>68000</v>
      </c>
      <c r="N108" s="3">
        <f>Sales_Data2[[#This Row],[Revenue]]-Sales_Data2[[#This Row],[COGS]]</f>
        <v>17000</v>
      </c>
      <c r="O1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45782|East|Lagos|Retail|Online|Office Chair Pro|Furniture|85000|1|Peter|68000</v>
      </c>
      <c r="P108" s="3" t="str">
        <f>IF(COUNTIF(Sales_Data2[RowKey],Sales_Data2[[#This Row],[RowKey]])&gt;1,"Duplicate","Unique")</f>
        <v>Unique</v>
      </c>
      <c r="Q108" s="3" t="str">
        <f>IF(ISNUMBER(Sales_Data2[[#This Row],[Date]]),"OK","Check")</f>
        <v>OK</v>
      </c>
      <c r="R108" s="3" t="str">
        <f>IF(ISNUMBER(Sales_Data2[[#This Row],[Quantity]]),"OK","Check")</f>
        <v>OK</v>
      </c>
    </row>
    <row r="109" spans="1:18">
      <c r="A109" s="1">
        <v>45783</v>
      </c>
      <c r="B109" t="s">
        <v>29</v>
      </c>
      <c r="C109" t="s">
        <v>26</v>
      </c>
      <c r="D109" t="s">
        <v>23</v>
      </c>
      <c r="E109" t="s">
        <v>20</v>
      </c>
      <c r="F109" t="s">
        <v>34</v>
      </c>
      <c r="G109" t="s">
        <v>16</v>
      </c>
      <c r="H109">
        <v>320000</v>
      </c>
      <c r="I109">
        <v>7</v>
      </c>
      <c r="J109" t="s">
        <v>35</v>
      </c>
      <c r="K109">
        <f t="shared" si="1"/>
        <v>256000</v>
      </c>
      <c r="L109">
        <f>Sales_Data2[[#This Row],[Unit Price]]*Sales_Data2[[#This Row],[Quantity]]</f>
        <v>2240000</v>
      </c>
      <c r="M109">
        <f>Sales_Data2[[#This Row],[Cost Price]]*Sales_Data2[[#This Row],[Quantity]]</f>
        <v>1792000</v>
      </c>
      <c r="N109" s="3">
        <f>Sales_Data2[[#This Row],[Revenue]]-Sales_Data2[[#This Row],[COGS]]</f>
        <v>448000</v>
      </c>
      <c r="O1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45783|North|Kano|Corporate|Store|Sofa Classic|Furniture|320000|7|Peter|256000</v>
      </c>
      <c r="P109" s="3" t="str">
        <f>IF(COUNTIF(Sales_Data2[RowKey],Sales_Data2[[#This Row],[RowKey]])&gt;1,"Duplicate","Unique")</f>
        <v>Unique</v>
      </c>
      <c r="Q109" s="3" t="str">
        <f>IF(ISNUMBER(Sales_Data2[[#This Row],[Date]]),"OK","Check")</f>
        <v>OK</v>
      </c>
      <c r="R109" s="3" t="str">
        <f>IF(ISNUMBER(Sales_Data2[[#This Row],[Quantity]]),"OK","Check")</f>
        <v>OK</v>
      </c>
    </row>
    <row r="110" spans="1:18">
      <c r="A110" s="1">
        <v>45784</v>
      </c>
      <c r="B110" t="s">
        <v>18</v>
      </c>
      <c r="C110" t="s">
        <v>32</v>
      </c>
      <c r="D110" t="s">
        <v>23</v>
      </c>
      <c r="E110" t="s">
        <v>14</v>
      </c>
      <c r="F110" t="s">
        <v>27</v>
      </c>
      <c r="G110" t="s">
        <v>22</v>
      </c>
      <c r="H110">
        <v>60000</v>
      </c>
      <c r="I110">
        <v>9</v>
      </c>
      <c r="J110" t="s">
        <v>17</v>
      </c>
      <c r="K110">
        <f t="shared" si="1"/>
        <v>48000</v>
      </c>
      <c r="L110">
        <f>Sales_Data2[[#This Row],[Unit Price]]*Sales_Data2[[#This Row],[Quantity]]</f>
        <v>540000</v>
      </c>
      <c r="M110">
        <f>Sales_Data2[[#This Row],[Cost Price]]*Sales_Data2[[#This Row],[Quantity]]</f>
        <v>432000</v>
      </c>
      <c r="N110" s="3">
        <f>Sales_Data2[[#This Row],[Revenue]]-Sales_Data2[[#This Row],[COGS]]</f>
        <v>108000</v>
      </c>
      <c r="O1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45784|East|Abuja|Corporate|Online|Microwave M20|Home Appliances|60000|9|Chidinma|48000</v>
      </c>
      <c r="P110" s="3" t="str">
        <f>IF(COUNTIF(Sales_Data2[RowKey],Sales_Data2[[#This Row],[RowKey]])&gt;1,"Duplicate","Unique")</f>
        <v>Unique</v>
      </c>
      <c r="Q110" s="3" t="str">
        <f>IF(ISNUMBER(Sales_Data2[[#This Row],[Date]]),"OK","Check")</f>
        <v>OK</v>
      </c>
      <c r="R110" s="3" t="str">
        <f>IF(ISNUMBER(Sales_Data2[[#This Row],[Quantity]]),"OK","Check")</f>
        <v>OK</v>
      </c>
    </row>
    <row r="111" spans="1:18">
      <c r="A111" s="1">
        <v>45785</v>
      </c>
      <c r="B111" t="s">
        <v>29</v>
      </c>
      <c r="C111" t="s">
        <v>32</v>
      </c>
      <c r="D111" t="s">
        <v>23</v>
      </c>
      <c r="E111" t="s">
        <v>20</v>
      </c>
      <c r="F111" t="s">
        <v>15</v>
      </c>
      <c r="G111" t="s">
        <v>16</v>
      </c>
      <c r="H111">
        <v>85000</v>
      </c>
      <c r="I111">
        <v>1</v>
      </c>
      <c r="J111" t="s">
        <v>24</v>
      </c>
      <c r="K111">
        <f t="shared" si="1"/>
        <v>68000</v>
      </c>
      <c r="L111">
        <f>Sales_Data2[[#This Row],[Unit Price]]*Sales_Data2[[#This Row],[Quantity]]</f>
        <v>85000</v>
      </c>
      <c r="M111">
        <f>Sales_Data2[[#This Row],[Cost Price]]*Sales_Data2[[#This Row],[Quantity]]</f>
        <v>68000</v>
      </c>
      <c r="N111" s="3">
        <f>Sales_Data2[[#This Row],[Revenue]]-Sales_Data2[[#This Row],[COGS]]</f>
        <v>17000</v>
      </c>
      <c r="O1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45785|North|Abuja|Corporate|Store|Office Chair Pro|Furniture|85000|1|David|68000</v>
      </c>
      <c r="P111" s="3" t="str">
        <f>IF(COUNTIF(Sales_Data2[RowKey],Sales_Data2[[#This Row],[RowKey]])&gt;1,"Duplicate","Unique")</f>
        <v>Unique</v>
      </c>
      <c r="Q111" s="3" t="str">
        <f>IF(ISNUMBER(Sales_Data2[[#This Row],[Date]]),"OK","Check")</f>
        <v>OK</v>
      </c>
      <c r="R111" s="3" t="str">
        <f>IF(ISNUMBER(Sales_Data2[[#This Row],[Quantity]]),"OK","Check")</f>
        <v>OK</v>
      </c>
    </row>
    <row r="112" spans="1:18">
      <c r="A112" s="1">
        <v>45786</v>
      </c>
      <c r="B112" t="s">
        <v>18</v>
      </c>
      <c r="C112" t="s">
        <v>19</v>
      </c>
      <c r="D112" t="s">
        <v>13</v>
      </c>
      <c r="E112" t="s">
        <v>14</v>
      </c>
      <c r="F112" t="s">
        <v>30</v>
      </c>
      <c r="G112" t="s">
        <v>31</v>
      </c>
      <c r="H112">
        <v>300000</v>
      </c>
      <c r="I112">
        <v>6</v>
      </c>
      <c r="J112" t="s">
        <v>39</v>
      </c>
      <c r="K112">
        <f t="shared" si="1"/>
        <v>240000</v>
      </c>
      <c r="L112">
        <f>Sales_Data2[[#This Row],[Unit Price]]*Sales_Data2[[#This Row],[Quantity]]</f>
        <v>1800000</v>
      </c>
      <c r="M112">
        <f>Sales_Data2[[#This Row],[Cost Price]]*Sales_Data2[[#This Row],[Quantity]]</f>
        <v>1440000</v>
      </c>
      <c r="N112" s="3">
        <f>Sales_Data2[[#This Row],[Revenue]]-Sales_Data2[[#This Row],[COGS]]</f>
        <v>360000</v>
      </c>
      <c r="O1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45786|East|Lagos|Retail|Online|Desktop PC D21|Electronics|300000|6|Grace|240000</v>
      </c>
      <c r="P112" s="3" t="str">
        <f>IF(COUNTIF(Sales_Data2[RowKey],Sales_Data2[[#This Row],[RowKey]])&gt;1,"Duplicate","Unique")</f>
        <v>Unique</v>
      </c>
      <c r="Q112" s="3" t="str">
        <f>IF(ISNUMBER(Sales_Data2[[#This Row],[Date]]),"OK","Check")</f>
        <v>OK</v>
      </c>
      <c r="R112" s="3" t="str">
        <f>IF(ISNUMBER(Sales_Data2[[#This Row],[Quantity]]),"OK","Check")</f>
        <v>OK</v>
      </c>
    </row>
    <row r="113" spans="1:18">
      <c r="A113" s="1">
        <v>45787</v>
      </c>
      <c r="B113" t="s">
        <v>29</v>
      </c>
      <c r="C113" t="s">
        <v>19</v>
      </c>
      <c r="D113" t="s">
        <v>23</v>
      </c>
      <c r="E113" t="s">
        <v>14</v>
      </c>
      <c r="F113" t="s">
        <v>21</v>
      </c>
      <c r="G113" t="s">
        <v>22</v>
      </c>
      <c r="H113">
        <v>30000</v>
      </c>
      <c r="I113">
        <v>5</v>
      </c>
      <c r="J113" t="s">
        <v>17</v>
      </c>
      <c r="K113">
        <f t="shared" si="1"/>
        <v>24000</v>
      </c>
      <c r="L113">
        <f>Sales_Data2[[#This Row],[Unit Price]]*Sales_Data2[[#This Row],[Quantity]]</f>
        <v>150000</v>
      </c>
      <c r="M113">
        <f>Sales_Data2[[#This Row],[Cost Price]]*Sales_Data2[[#This Row],[Quantity]]</f>
        <v>120000</v>
      </c>
      <c r="N113" s="3">
        <f>Sales_Data2[[#This Row],[Revenue]]-Sales_Data2[[#This Row],[COGS]]</f>
        <v>30000</v>
      </c>
      <c r="O1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45787|North|Lagos|Corporate|Online|Blender B10|Home Appliances|30000|5|Chidinma|24000</v>
      </c>
      <c r="P113" s="3" t="str">
        <f>IF(COUNTIF(Sales_Data2[RowKey],Sales_Data2[[#This Row],[RowKey]])&gt;1,"Duplicate","Unique")</f>
        <v>Unique</v>
      </c>
      <c r="Q113" s="3" t="str">
        <f>IF(ISNUMBER(Sales_Data2[[#This Row],[Date]]),"OK","Check")</f>
        <v>OK</v>
      </c>
      <c r="R113" s="3" t="str">
        <f>IF(ISNUMBER(Sales_Data2[[#This Row],[Quantity]]),"OK","Check")</f>
        <v>OK</v>
      </c>
    </row>
    <row r="114" spans="1:18">
      <c r="A114" s="1">
        <v>45788</v>
      </c>
      <c r="B114" t="s">
        <v>29</v>
      </c>
      <c r="C114" t="s">
        <v>12</v>
      </c>
      <c r="D114" t="s">
        <v>13</v>
      </c>
      <c r="E114" t="s">
        <v>20</v>
      </c>
      <c r="F114" t="s">
        <v>36</v>
      </c>
      <c r="G114" t="s">
        <v>31</v>
      </c>
      <c r="H114">
        <v>150000</v>
      </c>
      <c r="I114">
        <v>4</v>
      </c>
      <c r="J114" t="s">
        <v>37</v>
      </c>
      <c r="K114">
        <f t="shared" si="1"/>
        <v>120000</v>
      </c>
      <c r="L114">
        <f>Sales_Data2[[#This Row],[Unit Price]]*Sales_Data2[[#This Row],[Quantity]]</f>
        <v>600000</v>
      </c>
      <c r="M114">
        <f>Sales_Data2[[#This Row],[Cost Price]]*Sales_Data2[[#This Row],[Quantity]]</f>
        <v>480000</v>
      </c>
      <c r="N114" s="3">
        <f>Sales_Data2[[#This Row],[Revenue]]-Sales_Data2[[#This Row],[COGS]]</f>
        <v>120000</v>
      </c>
      <c r="O1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45788|North|Port Harcourt|Retail|Store|Printer P50|Electronics|150000|4|Aisha|120000</v>
      </c>
      <c r="P114" s="3" t="str">
        <f>IF(COUNTIF(Sales_Data2[RowKey],Sales_Data2[[#This Row],[RowKey]])&gt;1,"Duplicate","Unique")</f>
        <v>Unique</v>
      </c>
      <c r="Q114" s="3" t="str">
        <f>IF(ISNUMBER(Sales_Data2[[#This Row],[Date]]),"OK","Check")</f>
        <v>OK</v>
      </c>
      <c r="R114" s="3" t="str">
        <f>IF(ISNUMBER(Sales_Data2[[#This Row],[Quantity]]),"OK","Check")</f>
        <v>OK</v>
      </c>
    </row>
    <row r="115" spans="1:18">
      <c r="A115" s="1">
        <v>45789</v>
      </c>
      <c r="B115" t="s">
        <v>25</v>
      </c>
      <c r="C115" t="s">
        <v>12</v>
      </c>
      <c r="D115" t="s">
        <v>23</v>
      </c>
      <c r="E115" t="s">
        <v>20</v>
      </c>
      <c r="F115" t="s">
        <v>36</v>
      </c>
      <c r="G115" t="s">
        <v>31</v>
      </c>
      <c r="H115">
        <v>150000</v>
      </c>
      <c r="I115">
        <v>6</v>
      </c>
      <c r="J115" t="s">
        <v>37</v>
      </c>
      <c r="K115">
        <f t="shared" si="1"/>
        <v>120000</v>
      </c>
      <c r="L115">
        <f>Sales_Data2[[#This Row],[Unit Price]]*Sales_Data2[[#This Row],[Quantity]]</f>
        <v>900000</v>
      </c>
      <c r="M115">
        <f>Sales_Data2[[#This Row],[Cost Price]]*Sales_Data2[[#This Row],[Quantity]]</f>
        <v>720000</v>
      </c>
      <c r="N115" s="3">
        <f>Sales_Data2[[#This Row],[Revenue]]-Sales_Data2[[#This Row],[COGS]]</f>
        <v>180000</v>
      </c>
      <c r="O1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45789|South|Port Harcourt|Corporate|Store|Printer P50|Electronics|150000|6|Aisha|120000</v>
      </c>
      <c r="P115" s="3" t="str">
        <f>IF(COUNTIF(Sales_Data2[RowKey],Sales_Data2[[#This Row],[RowKey]])&gt;1,"Duplicate","Unique")</f>
        <v>Unique</v>
      </c>
      <c r="Q115" s="3" t="str">
        <f>IF(ISNUMBER(Sales_Data2[[#This Row],[Date]]),"OK","Check")</f>
        <v>OK</v>
      </c>
      <c r="R115" s="3" t="str">
        <f>IF(ISNUMBER(Sales_Data2[[#This Row],[Quantity]]),"OK","Check")</f>
        <v>OK</v>
      </c>
    </row>
    <row r="116" spans="1:18">
      <c r="A116" s="1">
        <v>45790</v>
      </c>
      <c r="B116" t="s">
        <v>29</v>
      </c>
      <c r="C116" t="s">
        <v>19</v>
      </c>
      <c r="D116" t="s">
        <v>23</v>
      </c>
      <c r="E116" t="s">
        <v>20</v>
      </c>
      <c r="F116" t="s">
        <v>36</v>
      </c>
      <c r="G116" t="s">
        <v>31</v>
      </c>
      <c r="H116">
        <v>150000</v>
      </c>
      <c r="I116">
        <v>8</v>
      </c>
      <c r="J116" t="s">
        <v>37</v>
      </c>
      <c r="K116">
        <f t="shared" si="1"/>
        <v>120000</v>
      </c>
      <c r="L116">
        <f>Sales_Data2[[#This Row],[Unit Price]]*Sales_Data2[[#This Row],[Quantity]]</f>
        <v>1200000</v>
      </c>
      <c r="M116">
        <f>Sales_Data2[[#This Row],[Cost Price]]*Sales_Data2[[#This Row],[Quantity]]</f>
        <v>960000</v>
      </c>
      <c r="N116" s="3">
        <f>Sales_Data2[[#This Row],[Revenue]]-Sales_Data2[[#This Row],[COGS]]</f>
        <v>240000</v>
      </c>
      <c r="O1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45790|North|Lagos|Corporate|Store|Printer P50|Electronics|150000|8|Aisha|120000</v>
      </c>
      <c r="P116" s="3" t="str">
        <f>IF(COUNTIF(Sales_Data2[RowKey],Sales_Data2[[#This Row],[RowKey]])&gt;1,"Duplicate","Unique")</f>
        <v>Unique</v>
      </c>
      <c r="Q116" s="3" t="str">
        <f>IF(ISNUMBER(Sales_Data2[[#This Row],[Date]]),"OK","Check")</f>
        <v>OK</v>
      </c>
      <c r="R116" s="3" t="str">
        <f>IF(ISNUMBER(Sales_Data2[[#This Row],[Quantity]]),"OK","Check")</f>
        <v>OK</v>
      </c>
    </row>
    <row r="117" spans="1:18">
      <c r="A117" s="1">
        <v>45791</v>
      </c>
      <c r="B117" t="s">
        <v>25</v>
      </c>
      <c r="C117" t="s">
        <v>19</v>
      </c>
      <c r="D117" t="s">
        <v>13</v>
      </c>
      <c r="E117" t="s">
        <v>20</v>
      </c>
      <c r="F117" t="s">
        <v>21</v>
      </c>
      <c r="G117" t="s">
        <v>22</v>
      </c>
      <c r="H117">
        <v>30000</v>
      </c>
      <c r="I117">
        <v>6</v>
      </c>
      <c r="J117" t="s">
        <v>17</v>
      </c>
      <c r="K117">
        <f t="shared" si="1"/>
        <v>24000</v>
      </c>
      <c r="L117">
        <f>Sales_Data2[[#This Row],[Unit Price]]*Sales_Data2[[#This Row],[Quantity]]</f>
        <v>180000</v>
      </c>
      <c r="M117">
        <f>Sales_Data2[[#This Row],[Cost Price]]*Sales_Data2[[#This Row],[Quantity]]</f>
        <v>144000</v>
      </c>
      <c r="N117" s="3">
        <f>Sales_Data2[[#This Row],[Revenue]]-Sales_Data2[[#This Row],[COGS]]</f>
        <v>36000</v>
      </c>
      <c r="O1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45791|South|Lagos|Retail|Store|Blender B10|Home Appliances|30000|6|Chidinma|24000</v>
      </c>
      <c r="P117" s="3" t="str">
        <f>IF(COUNTIF(Sales_Data2[RowKey],Sales_Data2[[#This Row],[RowKey]])&gt;1,"Duplicate","Unique")</f>
        <v>Unique</v>
      </c>
      <c r="Q117" s="3" t="str">
        <f>IF(ISNUMBER(Sales_Data2[[#This Row],[Date]]),"OK","Check")</f>
        <v>OK</v>
      </c>
      <c r="R117" s="3" t="str">
        <f>IF(ISNUMBER(Sales_Data2[[#This Row],[Quantity]]),"OK","Check")</f>
        <v>OK</v>
      </c>
    </row>
    <row r="118" spans="1:18">
      <c r="A118" s="1">
        <v>45792</v>
      </c>
      <c r="B118" t="s">
        <v>11</v>
      </c>
      <c r="C118" t="s">
        <v>19</v>
      </c>
      <c r="D118" t="s">
        <v>13</v>
      </c>
      <c r="E118" t="s">
        <v>14</v>
      </c>
      <c r="F118" t="s">
        <v>40</v>
      </c>
      <c r="G118" t="s">
        <v>31</v>
      </c>
      <c r="H118">
        <v>250000</v>
      </c>
      <c r="I118">
        <v>3</v>
      </c>
      <c r="J118" t="s">
        <v>35</v>
      </c>
      <c r="K118">
        <f t="shared" si="1"/>
        <v>200000</v>
      </c>
      <c r="L118">
        <f>Sales_Data2[[#This Row],[Unit Price]]*Sales_Data2[[#This Row],[Quantity]]</f>
        <v>750000</v>
      </c>
      <c r="M118">
        <f>Sales_Data2[[#This Row],[Cost Price]]*Sales_Data2[[#This Row],[Quantity]]</f>
        <v>600000</v>
      </c>
      <c r="N118" s="3">
        <f>Sales_Data2[[#This Row],[Revenue]]-Sales_Data2[[#This Row],[COGS]]</f>
        <v>150000</v>
      </c>
      <c r="O1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45792|West|Lagos|Retail|Online|Smartphone Z10|Electronics|250000|3|Peter|200000</v>
      </c>
      <c r="P118" s="3" t="str">
        <f>IF(COUNTIF(Sales_Data2[RowKey],Sales_Data2[[#This Row],[RowKey]])&gt;1,"Duplicate","Unique")</f>
        <v>Unique</v>
      </c>
      <c r="Q118" s="3" t="str">
        <f>IF(ISNUMBER(Sales_Data2[[#This Row],[Date]]),"OK","Check")</f>
        <v>OK</v>
      </c>
      <c r="R118" s="3" t="str">
        <f>IF(ISNUMBER(Sales_Data2[[#This Row],[Quantity]]),"OK","Check")</f>
        <v>OK</v>
      </c>
    </row>
    <row r="119" spans="1:18">
      <c r="A119" s="1">
        <v>45793</v>
      </c>
      <c r="B119" t="s">
        <v>25</v>
      </c>
      <c r="C119" t="s">
        <v>19</v>
      </c>
      <c r="D119" t="s">
        <v>23</v>
      </c>
      <c r="E119" t="s">
        <v>14</v>
      </c>
      <c r="F119" t="s">
        <v>36</v>
      </c>
      <c r="G119" t="s">
        <v>31</v>
      </c>
      <c r="H119">
        <v>150000</v>
      </c>
      <c r="I119">
        <v>5</v>
      </c>
      <c r="J119" t="s">
        <v>17</v>
      </c>
      <c r="K119">
        <f t="shared" si="1"/>
        <v>120000</v>
      </c>
      <c r="L119">
        <f>Sales_Data2[[#This Row],[Unit Price]]*Sales_Data2[[#This Row],[Quantity]]</f>
        <v>750000</v>
      </c>
      <c r="M119">
        <f>Sales_Data2[[#This Row],[Cost Price]]*Sales_Data2[[#This Row],[Quantity]]</f>
        <v>600000</v>
      </c>
      <c r="N119" s="3">
        <f>Sales_Data2[[#This Row],[Revenue]]-Sales_Data2[[#This Row],[COGS]]</f>
        <v>150000</v>
      </c>
      <c r="O1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45793|South|Lagos|Corporate|Online|Printer P50|Electronics|150000|5|Chidinma|120000</v>
      </c>
      <c r="P119" s="3" t="str">
        <f>IF(COUNTIF(Sales_Data2[RowKey],Sales_Data2[[#This Row],[RowKey]])&gt;1,"Duplicate","Unique")</f>
        <v>Unique</v>
      </c>
      <c r="Q119" s="3" t="str">
        <f>IF(ISNUMBER(Sales_Data2[[#This Row],[Date]]),"OK","Check")</f>
        <v>OK</v>
      </c>
      <c r="R119" s="3" t="str">
        <f>IF(ISNUMBER(Sales_Data2[[#This Row],[Quantity]]),"OK","Check")</f>
        <v>OK</v>
      </c>
    </row>
    <row r="120" spans="1:18">
      <c r="A120" s="1">
        <v>45794</v>
      </c>
      <c r="B120" t="s">
        <v>11</v>
      </c>
      <c r="C120" t="s">
        <v>19</v>
      </c>
      <c r="D120" t="s">
        <v>13</v>
      </c>
      <c r="E120" t="s">
        <v>14</v>
      </c>
      <c r="F120" t="s">
        <v>41</v>
      </c>
      <c r="G120" t="s">
        <v>22</v>
      </c>
      <c r="H120">
        <v>220000</v>
      </c>
      <c r="I120">
        <v>1</v>
      </c>
      <c r="J120" t="s">
        <v>37</v>
      </c>
      <c r="K120">
        <f t="shared" si="1"/>
        <v>176000</v>
      </c>
      <c r="L120">
        <f>Sales_Data2[[#This Row],[Unit Price]]*Sales_Data2[[#This Row],[Quantity]]</f>
        <v>220000</v>
      </c>
      <c r="M120">
        <f>Sales_Data2[[#This Row],[Cost Price]]*Sales_Data2[[#This Row],[Quantity]]</f>
        <v>176000</v>
      </c>
      <c r="N120" s="3">
        <f>Sales_Data2[[#This Row],[Revenue]]-Sales_Data2[[#This Row],[COGS]]</f>
        <v>44000</v>
      </c>
      <c r="O1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45794|West|Lagos|Retail|Online|Refrigerator R55|Home Appliances|220000|1|Aisha|176000</v>
      </c>
      <c r="P120" s="3" t="str">
        <f>IF(COUNTIF(Sales_Data2[RowKey],Sales_Data2[[#This Row],[RowKey]])&gt;1,"Duplicate","Unique")</f>
        <v>Unique</v>
      </c>
      <c r="Q120" s="3" t="str">
        <f>IF(ISNUMBER(Sales_Data2[[#This Row],[Date]]),"OK","Check")</f>
        <v>OK</v>
      </c>
      <c r="R120" s="3" t="str">
        <f>IF(ISNUMBER(Sales_Data2[[#This Row],[Quantity]]),"OK","Check")</f>
        <v>OK</v>
      </c>
    </row>
    <row r="121" spans="1:18">
      <c r="A121" s="1">
        <v>45795</v>
      </c>
      <c r="B121" t="s">
        <v>29</v>
      </c>
      <c r="C121" t="s">
        <v>19</v>
      </c>
      <c r="D121" t="s">
        <v>13</v>
      </c>
      <c r="E121" t="s">
        <v>20</v>
      </c>
      <c r="F121" t="s">
        <v>34</v>
      </c>
      <c r="G121" t="s">
        <v>16</v>
      </c>
      <c r="H121">
        <v>320000</v>
      </c>
      <c r="I121">
        <v>10</v>
      </c>
      <c r="J121" t="s">
        <v>35</v>
      </c>
      <c r="K121">
        <f t="shared" si="1"/>
        <v>256000</v>
      </c>
      <c r="L121">
        <f>Sales_Data2[[#This Row],[Unit Price]]*Sales_Data2[[#This Row],[Quantity]]</f>
        <v>3200000</v>
      </c>
      <c r="M121">
        <f>Sales_Data2[[#This Row],[Cost Price]]*Sales_Data2[[#This Row],[Quantity]]</f>
        <v>2560000</v>
      </c>
      <c r="N121" s="3">
        <f>Sales_Data2[[#This Row],[Revenue]]-Sales_Data2[[#This Row],[COGS]]</f>
        <v>640000</v>
      </c>
      <c r="O1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45795|North|Lagos|Retail|Store|Sofa Classic|Furniture|320000|10|Peter|256000</v>
      </c>
      <c r="P121" s="3" t="str">
        <f>IF(COUNTIF(Sales_Data2[RowKey],Sales_Data2[[#This Row],[RowKey]])&gt;1,"Duplicate","Unique")</f>
        <v>Unique</v>
      </c>
      <c r="Q121" s="3" t="str">
        <f>IF(ISNUMBER(Sales_Data2[[#This Row],[Date]]),"OK","Check")</f>
        <v>OK</v>
      </c>
      <c r="R121" s="3" t="str">
        <f>IF(ISNUMBER(Sales_Data2[[#This Row],[Quantity]]),"OK","Check")</f>
        <v>OK</v>
      </c>
    </row>
    <row r="122" spans="1:18">
      <c r="A122" s="1">
        <v>45796</v>
      </c>
      <c r="B122" t="s">
        <v>25</v>
      </c>
      <c r="C122" t="s">
        <v>12</v>
      </c>
      <c r="D122" t="s">
        <v>23</v>
      </c>
      <c r="E122" t="s">
        <v>20</v>
      </c>
      <c r="F122" t="s">
        <v>27</v>
      </c>
      <c r="G122" t="s">
        <v>22</v>
      </c>
      <c r="H122">
        <v>60000</v>
      </c>
      <c r="I122">
        <v>5</v>
      </c>
      <c r="J122" t="s">
        <v>24</v>
      </c>
      <c r="K122">
        <f t="shared" si="1"/>
        <v>48000</v>
      </c>
      <c r="L122">
        <f>Sales_Data2[[#This Row],[Unit Price]]*Sales_Data2[[#This Row],[Quantity]]</f>
        <v>300000</v>
      </c>
      <c r="M122">
        <f>Sales_Data2[[#This Row],[Cost Price]]*Sales_Data2[[#This Row],[Quantity]]</f>
        <v>240000</v>
      </c>
      <c r="N122" s="3">
        <f>Sales_Data2[[#This Row],[Revenue]]-Sales_Data2[[#This Row],[COGS]]</f>
        <v>60000</v>
      </c>
      <c r="O1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45796|South|Port Harcourt|Corporate|Store|Microwave M20|Home Appliances|60000|5|David|48000</v>
      </c>
      <c r="P122" s="3" t="str">
        <f>IF(COUNTIF(Sales_Data2[RowKey],Sales_Data2[[#This Row],[RowKey]])&gt;1,"Duplicate","Unique")</f>
        <v>Unique</v>
      </c>
      <c r="Q122" s="3" t="str">
        <f>IF(ISNUMBER(Sales_Data2[[#This Row],[Date]]),"OK","Check")</f>
        <v>OK</v>
      </c>
      <c r="R122" s="3" t="str">
        <f>IF(ISNUMBER(Sales_Data2[[#This Row],[Quantity]]),"OK","Check")</f>
        <v>OK</v>
      </c>
    </row>
    <row r="123" spans="1:18">
      <c r="A123" s="1">
        <v>45797</v>
      </c>
      <c r="B123" t="s">
        <v>18</v>
      </c>
      <c r="C123" t="s">
        <v>32</v>
      </c>
      <c r="D123" t="s">
        <v>13</v>
      </c>
      <c r="E123" t="s">
        <v>20</v>
      </c>
      <c r="F123" t="s">
        <v>36</v>
      </c>
      <c r="G123" t="s">
        <v>31</v>
      </c>
      <c r="H123">
        <v>150000</v>
      </c>
      <c r="I123">
        <v>7</v>
      </c>
      <c r="J123" t="s">
        <v>39</v>
      </c>
      <c r="K123">
        <f t="shared" si="1"/>
        <v>120000</v>
      </c>
      <c r="L123">
        <f>Sales_Data2[[#This Row],[Unit Price]]*Sales_Data2[[#This Row],[Quantity]]</f>
        <v>1050000</v>
      </c>
      <c r="M123">
        <f>Sales_Data2[[#This Row],[Cost Price]]*Sales_Data2[[#This Row],[Quantity]]</f>
        <v>840000</v>
      </c>
      <c r="N123" s="3">
        <f>Sales_Data2[[#This Row],[Revenue]]-Sales_Data2[[#This Row],[COGS]]</f>
        <v>210000</v>
      </c>
      <c r="O1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45797|East|Abuja|Retail|Store|Printer P50|Electronics|150000|7|Grace|120000</v>
      </c>
      <c r="P123" s="3" t="str">
        <f>IF(COUNTIF(Sales_Data2[RowKey],Sales_Data2[[#This Row],[RowKey]])&gt;1,"Duplicate","Unique")</f>
        <v>Unique</v>
      </c>
      <c r="Q123" s="3" t="str">
        <f>IF(ISNUMBER(Sales_Data2[[#This Row],[Date]]),"OK","Check")</f>
        <v>OK</v>
      </c>
      <c r="R123" s="3" t="str">
        <f>IF(ISNUMBER(Sales_Data2[[#This Row],[Quantity]]),"OK","Check")</f>
        <v>OK</v>
      </c>
    </row>
    <row r="124" spans="1:18">
      <c r="A124" s="1">
        <v>45798</v>
      </c>
      <c r="B124" t="s">
        <v>29</v>
      </c>
      <c r="C124" t="s">
        <v>26</v>
      </c>
      <c r="D124" t="s">
        <v>13</v>
      </c>
      <c r="E124" t="s">
        <v>14</v>
      </c>
      <c r="F124" t="s">
        <v>27</v>
      </c>
      <c r="G124" t="s">
        <v>22</v>
      </c>
      <c r="H124">
        <v>60000</v>
      </c>
      <c r="I124">
        <v>7</v>
      </c>
      <c r="J124" t="s">
        <v>28</v>
      </c>
      <c r="K124">
        <f t="shared" si="1"/>
        <v>48000</v>
      </c>
      <c r="L124">
        <f>Sales_Data2[[#This Row],[Unit Price]]*Sales_Data2[[#This Row],[Quantity]]</f>
        <v>420000</v>
      </c>
      <c r="M124">
        <f>Sales_Data2[[#This Row],[Cost Price]]*Sales_Data2[[#This Row],[Quantity]]</f>
        <v>336000</v>
      </c>
      <c r="N124" s="3">
        <f>Sales_Data2[[#This Row],[Revenue]]-Sales_Data2[[#This Row],[COGS]]</f>
        <v>84000</v>
      </c>
      <c r="O1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45798|North|Kano|Retail|Online|Microwave M20|Home Appliances|60000|7|Musa|48000</v>
      </c>
      <c r="P124" s="3" t="str">
        <f>IF(COUNTIF(Sales_Data2[RowKey],Sales_Data2[[#This Row],[RowKey]])&gt;1,"Duplicate","Unique")</f>
        <v>Unique</v>
      </c>
      <c r="Q124" s="3" t="str">
        <f>IF(ISNUMBER(Sales_Data2[[#This Row],[Date]]),"OK","Check")</f>
        <v>OK</v>
      </c>
      <c r="R124" s="3" t="str">
        <f>IF(ISNUMBER(Sales_Data2[[#This Row],[Quantity]]),"OK","Check")</f>
        <v>OK</v>
      </c>
    </row>
    <row r="125" spans="1:18">
      <c r="A125" s="1">
        <v>45799</v>
      </c>
      <c r="B125" t="s">
        <v>29</v>
      </c>
      <c r="C125" t="s">
        <v>12</v>
      </c>
      <c r="D125" t="s">
        <v>23</v>
      </c>
      <c r="E125" t="s">
        <v>20</v>
      </c>
      <c r="F125" t="s">
        <v>41</v>
      </c>
      <c r="G125" t="s">
        <v>22</v>
      </c>
      <c r="H125">
        <v>220000</v>
      </c>
      <c r="I125">
        <v>4</v>
      </c>
      <c r="J125" t="s">
        <v>35</v>
      </c>
      <c r="K125">
        <f t="shared" si="1"/>
        <v>176000</v>
      </c>
      <c r="L125">
        <f>Sales_Data2[[#This Row],[Unit Price]]*Sales_Data2[[#This Row],[Quantity]]</f>
        <v>880000</v>
      </c>
      <c r="M125">
        <f>Sales_Data2[[#This Row],[Cost Price]]*Sales_Data2[[#This Row],[Quantity]]</f>
        <v>704000</v>
      </c>
      <c r="N125" s="3">
        <f>Sales_Data2[[#This Row],[Revenue]]-Sales_Data2[[#This Row],[COGS]]</f>
        <v>176000</v>
      </c>
      <c r="O1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45799|North|Port Harcourt|Corporate|Store|Refrigerator R55|Home Appliances|220000|4|Peter|176000</v>
      </c>
      <c r="P125" s="3" t="str">
        <f>IF(COUNTIF(Sales_Data2[RowKey],Sales_Data2[[#This Row],[RowKey]])&gt;1,"Duplicate","Unique")</f>
        <v>Unique</v>
      </c>
      <c r="Q125" s="3" t="str">
        <f>IF(ISNUMBER(Sales_Data2[[#This Row],[Date]]),"OK","Check")</f>
        <v>OK</v>
      </c>
      <c r="R125" s="3" t="str">
        <f>IF(ISNUMBER(Sales_Data2[[#This Row],[Quantity]]),"OK","Check")</f>
        <v>OK</v>
      </c>
    </row>
    <row r="126" spans="1:18">
      <c r="A126" s="1">
        <v>45800</v>
      </c>
      <c r="B126" t="s">
        <v>18</v>
      </c>
      <c r="C126" t="s">
        <v>26</v>
      </c>
      <c r="D126" t="s">
        <v>23</v>
      </c>
      <c r="E126" t="s">
        <v>20</v>
      </c>
      <c r="F126" t="s">
        <v>40</v>
      </c>
      <c r="G126" t="s">
        <v>31</v>
      </c>
      <c r="H126">
        <v>250000</v>
      </c>
      <c r="I126">
        <v>6</v>
      </c>
      <c r="J126" t="s">
        <v>24</v>
      </c>
      <c r="K126">
        <f t="shared" si="1"/>
        <v>200000</v>
      </c>
      <c r="L126">
        <f>Sales_Data2[[#This Row],[Unit Price]]*Sales_Data2[[#This Row],[Quantity]]</f>
        <v>1500000</v>
      </c>
      <c r="M126">
        <f>Sales_Data2[[#This Row],[Cost Price]]*Sales_Data2[[#This Row],[Quantity]]</f>
        <v>1200000</v>
      </c>
      <c r="N126" s="3">
        <f>Sales_Data2[[#This Row],[Revenue]]-Sales_Data2[[#This Row],[COGS]]</f>
        <v>300000</v>
      </c>
      <c r="O1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45800|East|Kano|Corporate|Store|Smartphone Z10|Electronics|250000|6|David|200000</v>
      </c>
      <c r="P126" s="3" t="str">
        <f>IF(COUNTIF(Sales_Data2[RowKey],Sales_Data2[[#This Row],[RowKey]])&gt;1,"Duplicate","Unique")</f>
        <v>Unique</v>
      </c>
      <c r="Q126" s="3" t="str">
        <f>IF(ISNUMBER(Sales_Data2[[#This Row],[Date]]),"OK","Check")</f>
        <v>OK</v>
      </c>
      <c r="R126" s="3" t="str">
        <f>IF(ISNUMBER(Sales_Data2[[#This Row],[Quantity]]),"OK","Check")</f>
        <v>OK</v>
      </c>
    </row>
    <row r="127" spans="1:18">
      <c r="A127" s="1">
        <v>45801</v>
      </c>
      <c r="B127" t="s">
        <v>29</v>
      </c>
      <c r="C127" t="s">
        <v>12</v>
      </c>
      <c r="D127" t="s">
        <v>23</v>
      </c>
      <c r="E127" t="s">
        <v>14</v>
      </c>
      <c r="F127" t="s">
        <v>38</v>
      </c>
      <c r="G127" t="s">
        <v>31</v>
      </c>
      <c r="H127">
        <v>420000</v>
      </c>
      <c r="I127">
        <v>10</v>
      </c>
      <c r="J127" t="s">
        <v>17</v>
      </c>
      <c r="K127">
        <f t="shared" si="1"/>
        <v>336000</v>
      </c>
      <c r="L127">
        <f>Sales_Data2[[#This Row],[Unit Price]]*Sales_Data2[[#This Row],[Quantity]]</f>
        <v>4200000</v>
      </c>
      <c r="M127">
        <f>Sales_Data2[[#This Row],[Cost Price]]*Sales_Data2[[#This Row],[Quantity]]</f>
        <v>3360000</v>
      </c>
      <c r="N127" s="3">
        <f>Sales_Data2[[#This Row],[Revenue]]-Sales_Data2[[#This Row],[COGS]]</f>
        <v>840000</v>
      </c>
      <c r="O1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45801|North|Port Harcourt|Corporate|Online|Laptop A13|Electronics|420000|10|Chidinma|336000</v>
      </c>
      <c r="P127" s="3" t="str">
        <f>IF(COUNTIF(Sales_Data2[RowKey],Sales_Data2[[#This Row],[RowKey]])&gt;1,"Duplicate","Unique")</f>
        <v>Unique</v>
      </c>
      <c r="Q127" s="3" t="str">
        <f>IF(ISNUMBER(Sales_Data2[[#This Row],[Date]]),"OK","Check")</f>
        <v>OK</v>
      </c>
      <c r="R127" s="3" t="str">
        <f>IF(ISNUMBER(Sales_Data2[[#This Row],[Quantity]]),"OK","Check")</f>
        <v>OK</v>
      </c>
    </row>
    <row r="128" spans="1:18">
      <c r="A128" s="1">
        <v>45802</v>
      </c>
      <c r="B128" t="s">
        <v>18</v>
      </c>
      <c r="C128" t="s">
        <v>12</v>
      </c>
      <c r="D128" t="s">
        <v>13</v>
      </c>
      <c r="E128" t="s">
        <v>14</v>
      </c>
      <c r="F128" t="s">
        <v>21</v>
      </c>
      <c r="G128" t="s">
        <v>22</v>
      </c>
      <c r="H128">
        <v>30000</v>
      </c>
      <c r="I128">
        <v>9</v>
      </c>
      <c r="J128" t="s">
        <v>39</v>
      </c>
      <c r="K128">
        <f t="shared" si="1"/>
        <v>24000</v>
      </c>
      <c r="L128">
        <f>Sales_Data2[[#This Row],[Unit Price]]*Sales_Data2[[#This Row],[Quantity]]</f>
        <v>270000</v>
      </c>
      <c r="M128">
        <f>Sales_Data2[[#This Row],[Cost Price]]*Sales_Data2[[#This Row],[Quantity]]</f>
        <v>216000</v>
      </c>
      <c r="N128" s="3">
        <f>Sales_Data2[[#This Row],[Revenue]]-Sales_Data2[[#This Row],[COGS]]</f>
        <v>54000</v>
      </c>
      <c r="O1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45802|East|Port Harcourt|Retail|Online|Blender B10|Home Appliances|30000|9|Grace|24000</v>
      </c>
      <c r="P128" s="3" t="str">
        <f>IF(COUNTIF(Sales_Data2[RowKey],Sales_Data2[[#This Row],[RowKey]])&gt;1,"Duplicate","Unique")</f>
        <v>Unique</v>
      </c>
      <c r="Q128" s="3" t="str">
        <f>IF(ISNUMBER(Sales_Data2[[#This Row],[Date]]),"OK","Check")</f>
        <v>OK</v>
      </c>
      <c r="R128" s="3" t="str">
        <f>IF(ISNUMBER(Sales_Data2[[#This Row],[Quantity]]),"OK","Check")</f>
        <v>OK</v>
      </c>
    </row>
    <row r="129" spans="1:18">
      <c r="A129" s="1">
        <v>45803</v>
      </c>
      <c r="B129" t="s">
        <v>11</v>
      </c>
      <c r="C129" t="s">
        <v>26</v>
      </c>
      <c r="D129" t="s">
        <v>13</v>
      </c>
      <c r="E129" t="s">
        <v>20</v>
      </c>
      <c r="F129" t="s">
        <v>33</v>
      </c>
      <c r="G129" t="s">
        <v>22</v>
      </c>
      <c r="H129">
        <v>180000</v>
      </c>
      <c r="I129">
        <v>8</v>
      </c>
      <c r="J129" t="s">
        <v>28</v>
      </c>
      <c r="K129">
        <f t="shared" si="1"/>
        <v>144000</v>
      </c>
      <c r="L129">
        <f>Sales_Data2[[#This Row],[Unit Price]]*Sales_Data2[[#This Row],[Quantity]]</f>
        <v>1440000</v>
      </c>
      <c r="M129">
        <f>Sales_Data2[[#This Row],[Cost Price]]*Sales_Data2[[#This Row],[Quantity]]</f>
        <v>1152000</v>
      </c>
      <c r="N129" s="3">
        <f>Sales_Data2[[#This Row],[Revenue]]-Sales_Data2[[#This Row],[COGS]]</f>
        <v>288000</v>
      </c>
      <c r="O1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45803|West|Kano|Retail|Store|Air Conditioner X2|Home Appliances|180000|8|Musa|144000</v>
      </c>
      <c r="P129" s="3" t="str">
        <f>IF(COUNTIF(Sales_Data2[RowKey],Sales_Data2[[#This Row],[RowKey]])&gt;1,"Duplicate","Unique")</f>
        <v>Unique</v>
      </c>
      <c r="Q129" s="3" t="str">
        <f>IF(ISNUMBER(Sales_Data2[[#This Row],[Date]]),"OK","Check")</f>
        <v>OK</v>
      </c>
      <c r="R129" s="3" t="str">
        <f>IF(ISNUMBER(Sales_Data2[[#This Row],[Quantity]]),"OK","Check")</f>
        <v>OK</v>
      </c>
    </row>
    <row r="130" spans="1:18">
      <c r="A130" s="1">
        <v>45804</v>
      </c>
      <c r="B130" t="s">
        <v>29</v>
      </c>
      <c r="C130" t="s">
        <v>19</v>
      </c>
      <c r="D130" t="s">
        <v>13</v>
      </c>
      <c r="E130" t="s">
        <v>14</v>
      </c>
      <c r="F130" t="s">
        <v>38</v>
      </c>
      <c r="G130" t="s">
        <v>31</v>
      </c>
      <c r="H130">
        <v>420000</v>
      </c>
      <c r="I130">
        <v>5</v>
      </c>
      <c r="J130" t="s">
        <v>37</v>
      </c>
      <c r="K130">
        <f t="shared" ref="K130:K193" si="2">H130-H130*0.2</f>
        <v>336000</v>
      </c>
      <c r="L130">
        <f>Sales_Data2[[#This Row],[Unit Price]]*Sales_Data2[[#This Row],[Quantity]]</f>
        <v>2100000</v>
      </c>
      <c r="M130">
        <f>Sales_Data2[[#This Row],[Cost Price]]*Sales_Data2[[#This Row],[Quantity]]</f>
        <v>1680000</v>
      </c>
      <c r="N130" s="3">
        <f>Sales_Data2[[#This Row],[Revenue]]-Sales_Data2[[#This Row],[COGS]]</f>
        <v>420000</v>
      </c>
      <c r="O1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45804|North|Lagos|Retail|Online|Laptop A13|Electronics|420000|5|Aisha|336000</v>
      </c>
      <c r="P130" s="3" t="str">
        <f>IF(COUNTIF(Sales_Data2[RowKey],Sales_Data2[[#This Row],[RowKey]])&gt;1,"Duplicate","Unique")</f>
        <v>Unique</v>
      </c>
      <c r="Q130" s="3" t="str">
        <f>IF(ISNUMBER(Sales_Data2[[#This Row],[Date]]),"OK","Check")</f>
        <v>OK</v>
      </c>
      <c r="R130" s="3" t="str">
        <f>IF(ISNUMBER(Sales_Data2[[#This Row],[Quantity]]),"OK","Check")</f>
        <v>OK</v>
      </c>
    </row>
    <row r="131" spans="1:18">
      <c r="A131" s="1">
        <v>45805</v>
      </c>
      <c r="B131" t="s">
        <v>11</v>
      </c>
      <c r="C131" t="s">
        <v>12</v>
      </c>
      <c r="D131" t="s">
        <v>23</v>
      </c>
      <c r="E131" t="s">
        <v>14</v>
      </c>
      <c r="F131" t="s">
        <v>27</v>
      </c>
      <c r="G131" t="s">
        <v>22</v>
      </c>
      <c r="H131">
        <v>60000</v>
      </c>
      <c r="I131">
        <v>9</v>
      </c>
      <c r="J131" t="s">
        <v>17</v>
      </c>
      <c r="K131">
        <f t="shared" si="2"/>
        <v>48000</v>
      </c>
      <c r="L131">
        <f>Sales_Data2[[#This Row],[Unit Price]]*Sales_Data2[[#This Row],[Quantity]]</f>
        <v>540000</v>
      </c>
      <c r="M131">
        <f>Sales_Data2[[#This Row],[Cost Price]]*Sales_Data2[[#This Row],[Quantity]]</f>
        <v>432000</v>
      </c>
      <c r="N131" s="3">
        <f>Sales_Data2[[#This Row],[Revenue]]-Sales_Data2[[#This Row],[COGS]]</f>
        <v>108000</v>
      </c>
      <c r="O1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45805|West|Port Harcourt|Corporate|Online|Microwave M20|Home Appliances|60000|9|Chidinma|48000</v>
      </c>
      <c r="P131" s="3" t="str">
        <f>IF(COUNTIF(Sales_Data2[RowKey],Sales_Data2[[#This Row],[RowKey]])&gt;1,"Duplicate","Unique")</f>
        <v>Unique</v>
      </c>
      <c r="Q131" s="3" t="str">
        <f>IF(ISNUMBER(Sales_Data2[[#This Row],[Date]]),"OK","Check")</f>
        <v>OK</v>
      </c>
      <c r="R131" s="3" t="str">
        <f>IF(ISNUMBER(Sales_Data2[[#This Row],[Quantity]]),"OK","Check")</f>
        <v>OK</v>
      </c>
    </row>
    <row r="132" spans="1:18">
      <c r="A132" s="1">
        <v>45806</v>
      </c>
      <c r="B132" t="s">
        <v>25</v>
      </c>
      <c r="C132" t="s">
        <v>26</v>
      </c>
      <c r="D132" t="s">
        <v>23</v>
      </c>
      <c r="E132" t="s">
        <v>20</v>
      </c>
      <c r="F132" t="s">
        <v>15</v>
      </c>
      <c r="G132" t="s">
        <v>16</v>
      </c>
      <c r="H132">
        <v>85000</v>
      </c>
      <c r="I132">
        <v>5</v>
      </c>
      <c r="J132" t="s">
        <v>24</v>
      </c>
      <c r="K132">
        <f t="shared" si="2"/>
        <v>68000</v>
      </c>
      <c r="L132">
        <f>Sales_Data2[[#This Row],[Unit Price]]*Sales_Data2[[#This Row],[Quantity]]</f>
        <v>425000</v>
      </c>
      <c r="M132">
        <f>Sales_Data2[[#This Row],[Cost Price]]*Sales_Data2[[#This Row],[Quantity]]</f>
        <v>340000</v>
      </c>
      <c r="N132" s="3">
        <f>Sales_Data2[[#This Row],[Revenue]]-Sales_Data2[[#This Row],[COGS]]</f>
        <v>85000</v>
      </c>
      <c r="O1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45806|South|Kano|Corporate|Store|Office Chair Pro|Furniture|85000|5|David|68000</v>
      </c>
      <c r="P132" s="3" t="str">
        <f>IF(COUNTIF(Sales_Data2[RowKey],Sales_Data2[[#This Row],[RowKey]])&gt;1,"Duplicate","Unique")</f>
        <v>Unique</v>
      </c>
      <c r="Q132" s="3" t="str">
        <f>IF(ISNUMBER(Sales_Data2[[#This Row],[Date]]),"OK","Check")</f>
        <v>OK</v>
      </c>
      <c r="R132" s="3" t="str">
        <f>IF(ISNUMBER(Sales_Data2[[#This Row],[Quantity]]),"OK","Check")</f>
        <v>OK</v>
      </c>
    </row>
    <row r="133" spans="1:18">
      <c r="A133" s="1">
        <v>45807</v>
      </c>
      <c r="B133" t="s">
        <v>25</v>
      </c>
      <c r="C133" t="s">
        <v>26</v>
      </c>
      <c r="D133" t="s">
        <v>23</v>
      </c>
      <c r="E133" t="s">
        <v>14</v>
      </c>
      <c r="F133" t="s">
        <v>15</v>
      </c>
      <c r="G133" t="s">
        <v>16</v>
      </c>
      <c r="H133">
        <v>85000</v>
      </c>
      <c r="I133">
        <v>1</v>
      </c>
      <c r="J133" t="s">
        <v>28</v>
      </c>
      <c r="K133">
        <f t="shared" si="2"/>
        <v>68000</v>
      </c>
      <c r="L133">
        <f>Sales_Data2[[#This Row],[Unit Price]]*Sales_Data2[[#This Row],[Quantity]]</f>
        <v>85000</v>
      </c>
      <c r="M133">
        <f>Sales_Data2[[#This Row],[Cost Price]]*Sales_Data2[[#This Row],[Quantity]]</f>
        <v>68000</v>
      </c>
      <c r="N133" s="3">
        <f>Sales_Data2[[#This Row],[Revenue]]-Sales_Data2[[#This Row],[COGS]]</f>
        <v>17000</v>
      </c>
      <c r="O1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45807|South|Kano|Corporate|Online|Office Chair Pro|Furniture|85000|1|Musa|68000</v>
      </c>
      <c r="P133" s="3" t="str">
        <f>IF(COUNTIF(Sales_Data2[RowKey],Sales_Data2[[#This Row],[RowKey]])&gt;1,"Duplicate","Unique")</f>
        <v>Unique</v>
      </c>
      <c r="Q133" s="3" t="str">
        <f>IF(ISNUMBER(Sales_Data2[[#This Row],[Date]]),"OK","Check")</f>
        <v>OK</v>
      </c>
      <c r="R133" s="3" t="str">
        <f>IF(ISNUMBER(Sales_Data2[[#This Row],[Quantity]]),"OK","Check")</f>
        <v>OK</v>
      </c>
    </row>
    <row r="134" spans="1:18">
      <c r="A134" s="1">
        <v>45808</v>
      </c>
      <c r="B134" t="s">
        <v>18</v>
      </c>
      <c r="C134" t="s">
        <v>19</v>
      </c>
      <c r="D134" t="s">
        <v>13</v>
      </c>
      <c r="E134" t="s">
        <v>20</v>
      </c>
      <c r="F134" t="s">
        <v>27</v>
      </c>
      <c r="G134" t="s">
        <v>22</v>
      </c>
      <c r="H134">
        <v>60000</v>
      </c>
      <c r="I134">
        <v>8</v>
      </c>
      <c r="J134" t="s">
        <v>35</v>
      </c>
      <c r="K134">
        <f t="shared" si="2"/>
        <v>48000</v>
      </c>
      <c r="L134">
        <f>Sales_Data2[[#This Row],[Unit Price]]*Sales_Data2[[#This Row],[Quantity]]</f>
        <v>480000</v>
      </c>
      <c r="M134">
        <f>Sales_Data2[[#This Row],[Cost Price]]*Sales_Data2[[#This Row],[Quantity]]</f>
        <v>384000</v>
      </c>
      <c r="N134" s="3">
        <f>Sales_Data2[[#This Row],[Revenue]]-Sales_Data2[[#This Row],[COGS]]</f>
        <v>96000</v>
      </c>
      <c r="O1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45808|East|Lagos|Retail|Store|Microwave M20|Home Appliances|60000|8|Peter|48000</v>
      </c>
      <c r="P134" s="3" t="str">
        <f>IF(COUNTIF(Sales_Data2[RowKey],Sales_Data2[[#This Row],[RowKey]])&gt;1,"Duplicate","Unique")</f>
        <v>Unique</v>
      </c>
      <c r="Q134" s="3" t="str">
        <f>IF(ISNUMBER(Sales_Data2[[#This Row],[Date]]),"OK","Check")</f>
        <v>OK</v>
      </c>
      <c r="R134" s="3" t="str">
        <f>IF(ISNUMBER(Sales_Data2[[#This Row],[Quantity]]),"OK","Check")</f>
        <v>OK</v>
      </c>
    </row>
    <row r="135" spans="1:18">
      <c r="A135" s="1">
        <v>45809</v>
      </c>
      <c r="B135" t="s">
        <v>11</v>
      </c>
      <c r="C135" t="s">
        <v>26</v>
      </c>
      <c r="D135" t="s">
        <v>23</v>
      </c>
      <c r="E135" t="s">
        <v>14</v>
      </c>
      <c r="F135" t="s">
        <v>36</v>
      </c>
      <c r="G135" t="s">
        <v>31</v>
      </c>
      <c r="H135">
        <v>150000</v>
      </c>
      <c r="I135">
        <v>5</v>
      </c>
      <c r="J135" t="s">
        <v>37</v>
      </c>
      <c r="K135">
        <f t="shared" si="2"/>
        <v>120000</v>
      </c>
      <c r="L135">
        <f>Sales_Data2[[#This Row],[Unit Price]]*Sales_Data2[[#This Row],[Quantity]]</f>
        <v>750000</v>
      </c>
      <c r="M135">
        <f>Sales_Data2[[#This Row],[Cost Price]]*Sales_Data2[[#This Row],[Quantity]]</f>
        <v>600000</v>
      </c>
      <c r="N135" s="3">
        <f>Sales_Data2[[#This Row],[Revenue]]-Sales_Data2[[#This Row],[COGS]]</f>
        <v>150000</v>
      </c>
      <c r="O1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45809|West|Kano|Corporate|Online|Printer P50|Electronics|150000|5|Aisha|120000</v>
      </c>
      <c r="P135" s="3" t="str">
        <f>IF(COUNTIF(Sales_Data2[RowKey],Sales_Data2[[#This Row],[RowKey]])&gt;1,"Duplicate","Unique")</f>
        <v>Unique</v>
      </c>
      <c r="Q135" s="3" t="str">
        <f>IF(ISNUMBER(Sales_Data2[[#This Row],[Date]]),"OK","Check")</f>
        <v>OK</v>
      </c>
      <c r="R135" s="3" t="str">
        <f>IF(ISNUMBER(Sales_Data2[[#This Row],[Quantity]]),"OK","Check")</f>
        <v>OK</v>
      </c>
    </row>
    <row r="136" spans="1:18">
      <c r="A136" s="1">
        <v>45810</v>
      </c>
      <c r="B136" t="s">
        <v>11</v>
      </c>
      <c r="C136" t="s">
        <v>32</v>
      </c>
      <c r="D136" t="s">
        <v>13</v>
      </c>
      <c r="E136" t="s">
        <v>14</v>
      </c>
      <c r="F136" t="s">
        <v>34</v>
      </c>
      <c r="G136" t="s">
        <v>16</v>
      </c>
      <c r="H136">
        <v>320000</v>
      </c>
      <c r="I136">
        <v>10</v>
      </c>
      <c r="J136" t="s">
        <v>35</v>
      </c>
      <c r="K136">
        <f t="shared" si="2"/>
        <v>256000</v>
      </c>
      <c r="L136">
        <f>Sales_Data2[[#This Row],[Unit Price]]*Sales_Data2[[#This Row],[Quantity]]</f>
        <v>3200000</v>
      </c>
      <c r="M136">
        <f>Sales_Data2[[#This Row],[Cost Price]]*Sales_Data2[[#This Row],[Quantity]]</f>
        <v>2560000</v>
      </c>
      <c r="N136" s="3">
        <f>Sales_Data2[[#This Row],[Revenue]]-Sales_Data2[[#This Row],[COGS]]</f>
        <v>640000</v>
      </c>
      <c r="O1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45810|West|Abuja|Retail|Online|Sofa Classic|Furniture|320000|10|Peter|256000</v>
      </c>
      <c r="P136" s="3" t="str">
        <f>IF(COUNTIF(Sales_Data2[RowKey],Sales_Data2[[#This Row],[RowKey]])&gt;1,"Duplicate","Unique")</f>
        <v>Unique</v>
      </c>
      <c r="Q136" s="3" t="str">
        <f>IF(ISNUMBER(Sales_Data2[[#This Row],[Date]]),"OK","Check")</f>
        <v>OK</v>
      </c>
      <c r="R136" s="3" t="str">
        <f>IF(ISNUMBER(Sales_Data2[[#This Row],[Quantity]]),"OK","Check")</f>
        <v>OK</v>
      </c>
    </row>
    <row r="137" spans="1:18">
      <c r="A137" s="1">
        <v>45811</v>
      </c>
      <c r="B137" t="s">
        <v>11</v>
      </c>
      <c r="C137" t="s">
        <v>32</v>
      </c>
      <c r="D137" t="s">
        <v>23</v>
      </c>
      <c r="E137" t="s">
        <v>14</v>
      </c>
      <c r="F137" t="s">
        <v>40</v>
      </c>
      <c r="G137" t="s">
        <v>31</v>
      </c>
      <c r="H137">
        <v>250000</v>
      </c>
      <c r="I137">
        <v>6</v>
      </c>
      <c r="J137" t="s">
        <v>39</v>
      </c>
      <c r="K137">
        <f t="shared" si="2"/>
        <v>200000</v>
      </c>
      <c r="L137">
        <f>Sales_Data2[[#This Row],[Unit Price]]*Sales_Data2[[#This Row],[Quantity]]</f>
        <v>1500000</v>
      </c>
      <c r="M137">
        <f>Sales_Data2[[#This Row],[Cost Price]]*Sales_Data2[[#This Row],[Quantity]]</f>
        <v>1200000</v>
      </c>
      <c r="N137" s="3">
        <f>Sales_Data2[[#This Row],[Revenue]]-Sales_Data2[[#This Row],[COGS]]</f>
        <v>300000</v>
      </c>
      <c r="O1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45811|West|Abuja|Corporate|Online|Smartphone Z10|Electronics|250000|6|Grace|200000</v>
      </c>
      <c r="P137" s="3" t="str">
        <f>IF(COUNTIF(Sales_Data2[RowKey],Sales_Data2[[#This Row],[RowKey]])&gt;1,"Duplicate","Unique")</f>
        <v>Unique</v>
      </c>
      <c r="Q137" s="3" t="str">
        <f>IF(ISNUMBER(Sales_Data2[[#This Row],[Date]]),"OK","Check")</f>
        <v>OK</v>
      </c>
      <c r="R137" s="3" t="str">
        <f>IF(ISNUMBER(Sales_Data2[[#This Row],[Quantity]]),"OK","Check")</f>
        <v>OK</v>
      </c>
    </row>
    <row r="138" spans="1:18">
      <c r="A138" s="1">
        <v>45812</v>
      </c>
      <c r="B138" t="s">
        <v>25</v>
      </c>
      <c r="C138" t="s">
        <v>26</v>
      </c>
      <c r="D138" t="s">
        <v>23</v>
      </c>
      <c r="E138" t="s">
        <v>14</v>
      </c>
      <c r="F138" t="s">
        <v>36</v>
      </c>
      <c r="G138" t="s">
        <v>31</v>
      </c>
      <c r="H138">
        <v>150000</v>
      </c>
      <c r="I138">
        <v>3</v>
      </c>
      <c r="J138" t="s">
        <v>17</v>
      </c>
      <c r="K138">
        <f t="shared" si="2"/>
        <v>120000</v>
      </c>
      <c r="L138">
        <f>Sales_Data2[[#This Row],[Unit Price]]*Sales_Data2[[#This Row],[Quantity]]</f>
        <v>450000</v>
      </c>
      <c r="M138">
        <f>Sales_Data2[[#This Row],[Cost Price]]*Sales_Data2[[#This Row],[Quantity]]</f>
        <v>360000</v>
      </c>
      <c r="N138" s="3">
        <f>Sales_Data2[[#This Row],[Revenue]]-Sales_Data2[[#This Row],[COGS]]</f>
        <v>90000</v>
      </c>
      <c r="O1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45812|South|Kano|Corporate|Online|Printer P50|Electronics|150000|3|Chidinma|120000</v>
      </c>
      <c r="P138" s="3" t="str">
        <f>IF(COUNTIF(Sales_Data2[RowKey],Sales_Data2[[#This Row],[RowKey]])&gt;1,"Duplicate","Unique")</f>
        <v>Unique</v>
      </c>
      <c r="Q138" s="3" t="str">
        <f>IF(ISNUMBER(Sales_Data2[[#This Row],[Date]]),"OK","Check")</f>
        <v>OK</v>
      </c>
      <c r="R138" s="3" t="str">
        <f>IF(ISNUMBER(Sales_Data2[[#This Row],[Quantity]]),"OK","Check")</f>
        <v>OK</v>
      </c>
    </row>
    <row r="139" spans="1:18">
      <c r="A139" s="1">
        <v>45813</v>
      </c>
      <c r="B139" t="s">
        <v>11</v>
      </c>
      <c r="C139" t="s">
        <v>19</v>
      </c>
      <c r="D139" t="s">
        <v>23</v>
      </c>
      <c r="E139" t="s">
        <v>14</v>
      </c>
      <c r="F139" t="s">
        <v>27</v>
      </c>
      <c r="G139" t="s">
        <v>22</v>
      </c>
      <c r="H139">
        <v>60000</v>
      </c>
      <c r="I139">
        <v>10</v>
      </c>
      <c r="J139" t="s">
        <v>37</v>
      </c>
      <c r="K139">
        <f t="shared" si="2"/>
        <v>48000</v>
      </c>
      <c r="L139">
        <f>Sales_Data2[[#This Row],[Unit Price]]*Sales_Data2[[#This Row],[Quantity]]</f>
        <v>600000</v>
      </c>
      <c r="M139">
        <f>Sales_Data2[[#This Row],[Cost Price]]*Sales_Data2[[#This Row],[Quantity]]</f>
        <v>480000</v>
      </c>
      <c r="N139" s="3">
        <f>Sales_Data2[[#This Row],[Revenue]]-Sales_Data2[[#This Row],[COGS]]</f>
        <v>120000</v>
      </c>
      <c r="O1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45813|West|Lagos|Corporate|Online|Microwave M20|Home Appliances|60000|10|Aisha|48000</v>
      </c>
      <c r="P139" s="3" t="str">
        <f>IF(COUNTIF(Sales_Data2[RowKey],Sales_Data2[[#This Row],[RowKey]])&gt;1,"Duplicate","Unique")</f>
        <v>Unique</v>
      </c>
      <c r="Q139" s="3" t="str">
        <f>IF(ISNUMBER(Sales_Data2[[#This Row],[Date]]),"OK","Check")</f>
        <v>OK</v>
      </c>
      <c r="R139" s="3" t="str">
        <f>IF(ISNUMBER(Sales_Data2[[#This Row],[Quantity]]),"OK","Check")</f>
        <v>OK</v>
      </c>
    </row>
    <row r="140" spans="1:18">
      <c r="A140" s="1">
        <v>45814</v>
      </c>
      <c r="B140" t="s">
        <v>29</v>
      </c>
      <c r="C140" t="s">
        <v>26</v>
      </c>
      <c r="D140" t="s">
        <v>13</v>
      </c>
      <c r="E140" t="s">
        <v>14</v>
      </c>
      <c r="F140" t="s">
        <v>36</v>
      </c>
      <c r="G140" t="s">
        <v>31</v>
      </c>
      <c r="H140">
        <v>150000</v>
      </c>
      <c r="I140">
        <v>8</v>
      </c>
      <c r="J140" t="s">
        <v>28</v>
      </c>
      <c r="K140">
        <f t="shared" si="2"/>
        <v>120000</v>
      </c>
      <c r="L140">
        <f>Sales_Data2[[#This Row],[Unit Price]]*Sales_Data2[[#This Row],[Quantity]]</f>
        <v>1200000</v>
      </c>
      <c r="M140">
        <f>Sales_Data2[[#This Row],[Cost Price]]*Sales_Data2[[#This Row],[Quantity]]</f>
        <v>960000</v>
      </c>
      <c r="N140" s="3">
        <f>Sales_Data2[[#This Row],[Revenue]]-Sales_Data2[[#This Row],[COGS]]</f>
        <v>240000</v>
      </c>
      <c r="O1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45814|North|Kano|Retail|Online|Printer P50|Electronics|150000|8|Musa|120000</v>
      </c>
      <c r="P140" s="3" t="str">
        <f>IF(COUNTIF(Sales_Data2[RowKey],Sales_Data2[[#This Row],[RowKey]])&gt;1,"Duplicate","Unique")</f>
        <v>Unique</v>
      </c>
      <c r="Q140" s="3" t="str">
        <f>IF(ISNUMBER(Sales_Data2[[#This Row],[Date]]),"OK","Check")</f>
        <v>OK</v>
      </c>
      <c r="R140" s="3" t="str">
        <f>IF(ISNUMBER(Sales_Data2[[#This Row],[Quantity]]),"OK","Check")</f>
        <v>OK</v>
      </c>
    </row>
    <row r="141" spans="1:18">
      <c r="A141" s="1">
        <v>45815</v>
      </c>
      <c r="B141" t="s">
        <v>25</v>
      </c>
      <c r="C141" t="s">
        <v>12</v>
      </c>
      <c r="D141" t="s">
        <v>13</v>
      </c>
      <c r="E141" t="s">
        <v>14</v>
      </c>
      <c r="F141" t="s">
        <v>40</v>
      </c>
      <c r="G141" t="s">
        <v>31</v>
      </c>
      <c r="H141">
        <v>250000</v>
      </c>
      <c r="I141">
        <v>7</v>
      </c>
      <c r="J141" t="s">
        <v>37</v>
      </c>
      <c r="K141">
        <f t="shared" si="2"/>
        <v>200000</v>
      </c>
      <c r="L141">
        <f>Sales_Data2[[#This Row],[Unit Price]]*Sales_Data2[[#This Row],[Quantity]]</f>
        <v>1750000</v>
      </c>
      <c r="M141">
        <f>Sales_Data2[[#This Row],[Cost Price]]*Sales_Data2[[#This Row],[Quantity]]</f>
        <v>1400000</v>
      </c>
      <c r="N141" s="3">
        <f>Sales_Data2[[#This Row],[Revenue]]-Sales_Data2[[#This Row],[COGS]]</f>
        <v>350000</v>
      </c>
      <c r="O1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45815|South|Port Harcourt|Retail|Online|Smartphone Z10|Electronics|250000|7|Aisha|200000</v>
      </c>
      <c r="P141" s="3" t="str">
        <f>IF(COUNTIF(Sales_Data2[RowKey],Sales_Data2[[#This Row],[RowKey]])&gt;1,"Duplicate","Unique")</f>
        <v>Unique</v>
      </c>
      <c r="Q141" s="3" t="str">
        <f>IF(ISNUMBER(Sales_Data2[[#This Row],[Date]]),"OK","Check")</f>
        <v>OK</v>
      </c>
      <c r="R141" s="3" t="str">
        <f>IF(ISNUMBER(Sales_Data2[[#This Row],[Quantity]]),"OK","Check")</f>
        <v>OK</v>
      </c>
    </row>
    <row r="142" spans="1:18">
      <c r="A142" s="1">
        <v>45816</v>
      </c>
      <c r="B142" t="s">
        <v>25</v>
      </c>
      <c r="C142" t="s">
        <v>32</v>
      </c>
      <c r="D142" t="s">
        <v>23</v>
      </c>
      <c r="E142" t="s">
        <v>14</v>
      </c>
      <c r="F142" t="s">
        <v>15</v>
      </c>
      <c r="G142" t="s">
        <v>16</v>
      </c>
      <c r="H142">
        <v>85000</v>
      </c>
      <c r="I142">
        <v>6</v>
      </c>
      <c r="J142" t="s">
        <v>35</v>
      </c>
      <c r="K142">
        <f t="shared" si="2"/>
        <v>68000</v>
      </c>
      <c r="L142">
        <f>Sales_Data2[[#This Row],[Unit Price]]*Sales_Data2[[#This Row],[Quantity]]</f>
        <v>510000</v>
      </c>
      <c r="M142">
        <f>Sales_Data2[[#This Row],[Cost Price]]*Sales_Data2[[#This Row],[Quantity]]</f>
        <v>408000</v>
      </c>
      <c r="N142" s="3">
        <f>Sales_Data2[[#This Row],[Revenue]]-Sales_Data2[[#This Row],[COGS]]</f>
        <v>102000</v>
      </c>
      <c r="O1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45816|South|Abuja|Corporate|Online|Office Chair Pro|Furniture|85000|6|Peter|68000</v>
      </c>
      <c r="P142" s="3" t="str">
        <f>IF(COUNTIF(Sales_Data2[RowKey],Sales_Data2[[#This Row],[RowKey]])&gt;1,"Duplicate","Unique")</f>
        <v>Unique</v>
      </c>
      <c r="Q142" s="3" t="str">
        <f>IF(ISNUMBER(Sales_Data2[[#This Row],[Date]]),"OK","Check")</f>
        <v>OK</v>
      </c>
      <c r="R142" s="3" t="str">
        <f>IF(ISNUMBER(Sales_Data2[[#This Row],[Quantity]]),"OK","Check")</f>
        <v>OK</v>
      </c>
    </row>
    <row r="143" spans="1:18">
      <c r="A143" s="1">
        <v>45817</v>
      </c>
      <c r="B143" t="s">
        <v>29</v>
      </c>
      <c r="C143" t="s">
        <v>12</v>
      </c>
      <c r="D143" t="s">
        <v>23</v>
      </c>
      <c r="E143" t="s">
        <v>14</v>
      </c>
      <c r="F143" t="s">
        <v>33</v>
      </c>
      <c r="G143" t="s">
        <v>22</v>
      </c>
      <c r="H143">
        <v>180000</v>
      </c>
      <c r="I143">
        <v>9</v>
      </c>
      <c r="J143" t="s">
        <v>37</v>
      </c>
      <c r="K143">
        <f t="shared" si="2"/>
        <v>144000</v>
      </c>
      <c r="L143">
        <f>Sales_Data2[[#This Row],[Unit Price]]*Sales_Data2[[#This Row],[Quantity]]</f>
        <v>1620000</v>
      </c>
      <c r="M143">
        <f>Sales_Data2[[#This Row],[Cost Price]]*Sales_Data2[[#This Row],[Quantity]]</f>
        <v>1296000</v>
      </c>
      <c r="N143" s="3">
        <f>Sales_Data2[[#This Row],[Revenue]]-Sales_Data2[[#This Row],[COGS]]</f>
        <v>324000</v>
      </c>
      <c r="O1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45817|North|Port Harcourt|Corporate|Online|Air Conditioner X2|Home Appliances|180000|9|Aisha|144000</v>
      </c>
      <c r="P143" s="3" t="str">
        <f>IF(COUNTIF(Sales_Data2[RowKey],Sales_Data2[[#This Row],[RowKey]])&gt;1,"Duplicate","Unique")</f>
        <v>Unique</v>
      </c>
      <c r="Q143" s="3" t="str">
        <f>IF(ISNUMBER(Sales_Data2[[#This Row],[Date]]),"OK","Check")</f>
        <v>OK</v>
      </c>
      <c r="R143" s="3" t="str">
        <f>IF(ISNUMBER(Sales_Data2[[#This Row],[Quantity]]),"OK","Check")</f>
        <v>OK</v>
      </c>
    </row>
    <row r="144" spans="1:18">
      <c r="A144" s="1">
        <v>45818</v>
      </c>
      <c r="B144" t="s">
        <v>11</v>
      </c>
      <c r="C144" t="s">
        <v>32</v>
      </c>
      <c r="D144" t="s">
        <v>23</v>
      </c>
      <c r="E144" t="s">
        <v>14</v>
      </c>
      <c r="F144" t="s">
        <v>21</v>
      </c>
      <c r="G144" t="s">
        <v>22</v>
      </c>
      <c r="H144">
        <v>30000</v>
      </c>
      <c r="I144">
        <v>8</v>
      </c>
      <c r="J144" t="s">
        <v>37</v>
      </c>
      <c r="K144">
        <f t="shared" si="2"/>
        <v>24000</v>
      </c>
      <c r="L144">
        <f>Sales_Data2[[#This Row],[Unit Price]]*Sales_Data2[[#This Row],[Quantity]]</f>
        <v>240000</v>
      </c>
      <c r="M144">
        <f>Sales_Data2[[#This Row],[Cost Price]]*Sales_Data2[[#This Row],[Quantity]]</f>
        <v>192000</v>
      </c>
      <c r="N144" s="3">
        <f>Sales_Data2[[#This Row],[Revenue]]-Sales_Data2[[#This Row],[COGS]]</f>
        <v>48000</v>
      </c>
      <c r="O1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45818|West|Abuja|Corporate|Online|Blender B10|Home Appliances|30000|8|Aisha|24000</v>
      </c>
      <c r="P144" s="3" t="str">
        <f>IF(COUNTIF(Sales_Data2[RowKey],Sales_Data2[[#This Row],[RowKey]])&gt;1,"Duplicate","Unique")</f>
        <v>Unique</v>
      </c>
      <c r="Q144" s="3" t="str">
        <f>IF(ISNUMBER(Sales_Data2[[#This Row],[Date]]),"OK","Check")</f>
        <v>OK</v>
      </c>
      <c r="R144" s="3" t="str">
        <f>IF(ISNUMBER(Sales_Data2[[#This Row],[Quantity]]),"OK","Check")</f>
        <v>OK</v>
      </c>
    </row>
    <row r="145" spans="1:18">
      <c r="A145" s="1">
        <v>45819</v>
      </c>
      <c r="B145" t="s">
        <v>25</v>
      </c>
      <c r="C145" t="s">
        <v>12</v>
      </c>
      <c r="D145" t="s">
        <v>23</v>
      </c>
      <c r="E145" t="s">
        <v>20</v>
      </c>
      <c r="F145" t="s">
        <v>15</v>
      </c>
      <c r="G145" t="s">
        <v>16</v>
      </c>
      <c r="H145">
        <v>85000</v>
      </c>
      <c r="I145">
        <v>1</v>
      </c>
      <c r="J145" t="s">
        <v>24</v>
      </c>
      <c r="K145">
        <f t="shared" si="2"/>
        <v>68000</v>
      </c>
      <c r="L145">
        <f>Sales_Data2[[#This Row],[Unit Price]]*Sales_Data2[[#This Row],[Quantity]]</f>
        <v>85000</v>
      </c>
      <c r="M145">
        <f>Sales_Data2[[#This Row],[Cost Price]]*Sales_Data2[[#This Row],[Quantity]]</f>
        <v>68000</v>
      </c>
      <c r="N145" s="3">
        <f>Sales_Data2[[#This Row],[Revenue]]-Sales_Data2[[#This Row],[COGS]]</f>
        <v>17000</v>
      </c>
      <c r="O1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45819|South|Port Harcourt|Corporate|Store|Office Chair Pro|Furniture|85000|1|David|68000</v>
      </c>
      <c r="P145" s="3" t="str">
        <f>IF(COUNTIF(Sales_Data2[RowKey],Sales_Data2[[#This Row],[RowKey]])&gt;1,"Duplicate","Unique")</f>
        <v>Unique</v>
      </c>
      <c r="Q145" s="3" t="str">
        <f>IF(ISNUMBER(Sales_Data2[[#This Row],[Date]]),"OK","Check")</f>
        <v>OK</v>
      </c>
      <c r="R145" s="3" t="str">
        <f>IF(ISNUMBER(Sales_Data2[[#This Row],[Quantity]]),"OK","Check")</f>
        <v>OK</v>
      </c>
    </row>
    <row r="146" spans="1:18">
      <c r="A146" s="1">
        <v>45820</v>
      </c>
      <c r="B146" t="s">
        <v>11</v>
      </c>
      <c r="C146" t="s">
        <v>32</v>
      </c>
      <c r="D146" t="s">
        <v>23</v>
      </c>
      <c r="E146" t="s">
        <v>14</v>
      </c>
      <c r="F146" t="s">
        <v>21</v>
      </c>
      <c r="G146" t="s">
        <v>22</v>
      </c>
      <c r="H146">
        <v>30000</v>
      </c>
      <c r="I146">
        <v>8</v>
      </c>
      <c r="J146" t="s">
        <v>39</v>
      </c>
      <c r="K146">
        <f t="shared" si="2"/>
        <v>24000</v>
      </c>
      <c r="L146">
        <f>Sales_Data2[[#This Row],[Unit Price]]*Sales_Data2[[#This Row],[Quantity]]</f>
        <v>240000</v>
      </c>
      <c r="M146">
        <f>Sales_Data2[[#This Row],[Cost Price]]*Sales_Data2[[#This Row],[Quantity]]</f>
        <v>192000</v>
      </c>
      <c r="N146" s="3">
        <f>Sales_Data2[[#This Row],[Revenue]]-Sales_Data2[[#This Row],[COGS]]</f>
        <v>48000</v>
      </c>
      <c r="O1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45820|West|Abuja|Corporate|Online|Blender B10|Home Appliances|30000|8|Grace|24000</v>
      </c>
      <c r="P146" s="3" t="str">
        <f>IF(COUNTIF(Sales_Data2[RowKey],Sales_Data2[[#This Row],[RowKey]])&gt;1,"Duplicate","Unique")</f>
        <v>Unique</v>
      </c>
      <c r="Q146" s="3" t="str">
        <f>IF(ISNUMBER(Sales_Data2[[#This Row],[Date]]),"OK","Check")</f>
        <v>OK</v>
      </c>
      <c r="R146" s="3" t="str">
        <f>IF(ISNUMBER(Sales_Data2[[#This Row],[Quantity]]),"OK","Check")</f>
        <v>OK</v>
      </c>
    </row>
    <row r="147" spans="1:18">
      <c r="A147" s="1">
        <v>45821</v>
      </c>
      <c r="B147" t="s">
        <v>29</v>
      </c>
      <c r="C147" t="s">
        <v>26</v>
      </c>
      <c r="D147" t="s">
        <v>13</v>
      </c>
      <c r="E147" t="s">
        <v>14</v>
      </c>
      <c r="F147" t="s">
        <v>34</v>
      </c>
      <c r="G147" t="s">
        <v>16</v>
      </c>
      <c r="H147">
        <v>320000</v>
      </c>
      <c r="I147">
        <v>2</v>
      </c>
      <c r="J147" t="s">
        <v>37</v>
      </c>
      <c r="K147">
        <f t="shared" si="2"/>
        <v>256000</v>
      </c>
      <c r="L147">
        <f>Sales_Data2[[#This Row],[Unit Price]]*Sales_Data2[[#This Row],[Quantity]]</f>
        <v>640000</v>
      </c>
      <c r="M147">
        <f>Sales_Data2[[#This Row],[Cost Price]]*Sales_Data2[[#This Row],[Quantity]]</f>
        <v>512000</v>
      </c>
      <c r="N147" s="3">
        <f>Sales_Data2[[#This Row],[Revenue]]-Sales_Data2[[#This Row],[COGS]]</f>
        <v>128000</v>
      </c>
      <c r="O1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45821|North|Kano|Retail|Online|Sofa Classic|Furniture|320000|2|Aisha|256000</v>
      </c>
      <c r="P147" s="3" t="str">
        <f>IF(COUNTIF(Sales_Data2[RowKey],Sales_Data2[[#This Row],[RowKey]])&gt;1,"Duplicate","Unique")</f>
        <v>Unique</v>
      </c>
      <c r="Q147" s="3" t="str">
        <f>IF(ISNUMBER(Sales_Data2[[#This Row],[Date]]),"OK","Check")</f>
        <v>OK</v>
      </c>
      <c r="R147" s="3" t="str">
        <f>IF(ISNUMBER(Sales_Data2[[#This Row],[Quantity]]),"OK","Check")</f>
        <v>OK</v>
      </c>
    </row>
    <row r="148" spans="1:18">
      <c r="A148" s="1">
        <v>45822</v>
      </c>
      <c r="B148" t="s">
        <v>18</v>
      </c>
      <c r="C148" t="s">
        <v>12</v>
      </c>
      <c r="D148" t="s">
        <v>13</v>
      </c>
      <c r="E148" t="s">
        <v>14</v>
      </c>
      <c r="F148" t="s">
        <v>36</v>
      </c>
      <c r="G148" t="s">
        <v>31</v>
      </c>
      <c r="H148">
        <v>150000</v>
      </c>
      <c r="I148">
        <v>5</v>
      </c>
      <c r="J148" t="s">
        <v>37</v>
      </c>
      <c r="K148">
        <f t="shared" si="2"/>
        <v>120000</v>
      </c>
      <c r="L148">
        <f>Sales_Data2[[#This Row],[Unit Price]]*Sales_Data2[[#This Row],[Quantity]]</f>
        <v>750000</v>
      </c>
      <c r="M148">
        <f>Sales_Data2[[#This Row],[Cost Price]]*Sales_Data2[[#This Row],[Quantity]]</f>
        <v>600000</v>
      </c>
      <c r="N148" s="3">
        <f>Sales_Data2[[#This Row],[Revenue]]-Sales_Data2[[#This Row],[COGS]]</f>
        <v>150000</v>
      </c>
      <c r="O1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45822|East|Port Harcourt|Retail|Online|Printer P50|Electronics|150000|5|Aisha|120000</v>
      </c>
      <c r="P148" s="3" t="str">
        <f>IF(COUNTIF(Sales_Data2[RowKey],Sales_Data2[[#This Row],[RowKey]])&gt;1,"Duplicate","Unique")</f>
        <v>Unique</v>
      </c>
      <c r="Q148" s="3" t="str">
        <f>IF(ISNUMBER(Sales_Data2[[#This Row],[Date]]),"OK","Check")</f>
        <v>OK</v>
      </c>
      <c r="R148" s="3" t="str">
        <f>IF(ISNUMBER(Sales_Data2[[#This Row],[Quantity]]),"OK","Check")</f>
        <v>OK</v>
      </c>
    </row>
    <row r="149" spans="1:18">
      <c r="A149" s="1">
        <v>45823</v>
      </c>
      <c r="B149" t="s">
        <v>18</v>
      </c>
      <c r="C149" t="s">
        <v>26</v>
      </c>
      <c r="D149" t="s">
        <v>23</v>
      </c>
      <c r="E149" t="s">
        <v>14</v>
      </c>
      <c r="F149" t="s">
        <v>40</v>
      </c>
      <c r="G149" t="s">
        <v>31</v>
      </c>
      <c r="H149">
        <v>250000</v>
      </c>
      <c r="I149">
        <v>5</v>
      </c>
      <c r="J149" t="s">
        <v>39</v>
      </c>
      <c r="K149">
        <f t="shared" si="2"/>
        <v>200000</v>
      </c>
      <c r="L149">
        <f>Sales_Data2[[#This Row],[Unit Price]]*Sales_Data2[[#This Row],[Quantity]]</f>
        <v>1250000</v>
      </c>
      <c r="M149">
        <f>Sales_Data2[[#This Row],[Cost Price]]*Sales_Data2[[#This Row],[Quantity]]</f>
        <v>1000000</v>
      </c>
      <c r="N149" s="3">
        <f>Sales_Data2[[#This Row],[Revenue]]-Sales_Data2[[#This Row],[COGS]]</f>
        <v>250000</v>
      </c>
      <c r="O1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45823|East|Kano|Corporate|Online|Smartphone Z10|Electronics|250000|5|Grace|200000</v>
      </c>
      <c r="P149" s="3" t="str">
        <f>IF(COUNTIF(Sales_Data2[RowKey],Sales_Data2[[#This Row],[RowKey]])&gt;1,"Duplicate","Unique")</f>
        <v>Unique</v>
      </c>
      <c r="Q149" s="3" t="str">
        <f>IF(ISNUMBER(Sales_Data2[[#This Row],[Date]]),"OK","Check")</f>
        <v>OK</v>
      </c>
      <c r="R149" s="3" t="str">
        <f>IF(ISNUMBER(Sales_Data2[[#This Row],[Quantity]]),"OK","Check")</f>
        <v>OK</v>
      </c>
    </row>
    <row r="150" spans="1:18">
      <c r="A150" s="1">
        <v>45824</v>
      </c>
      <c r="B150" t="s">
        <v>29</v>
      </c>
      <c r="C150" t="s">
        <v>32</v>
      </c>
      <c r="D150" t="s">
        <v>23</v>
      </c>
      <c r="E150" t="s">
        <v>14</v>
      </c>
      <c r="F150" t="s">
        <v>41</v>
      </c>
      <c r="G150" t="s">
        <v>22</v>
      </c>
      <c r="H150">
        <v>220000</v>
      </c>
      <c r="I150">
        <v>10</v>
      </c>
      <c r="J150" t="s">
        <v>24</v>
      </c>
      <c r="K150">
        <f t="shared" si="2"/>
        <v>176000</v>
      </c>
      <c r="L150">
        <f>Sales_Data2[[#This Row],[Unit Price]]*Sales_Data2[[#This Row],[Quantity]]</f>
        <v>2200000</v>
      </c>
      <c r="M150">
        <f>Sales_Data2[[#This Row],[Cost Price]]*Sales_Data2[[#This Row],[Quantity]]</f>
        <v>1760000</v>
      </c>
      <c r="N150" s="3">
        <f>Sales_Data2[[#This Row],[Revenue]]-Sales_Data2[[#This Row],[COGS]]</f>
        <v>440000</v>
      </c>
      <c r="O1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45824|North|Abuja|Corporate|Online|Refrigerator R55|Home Appliances|220000|10|David|176000</v>
      </c>
      <c r="P150" s="3" t="str">
        <f>IF(COUNTIF(Sales_Data2[RowKey],Sales_Data2[[#This Row],[RowKey]])&gt;1,"Duplicate","Unique")</f>
        <v>Unique</v>
      </c>
      <c r="Q150" s="3" t="str">
        <f>IF(ISNUMBER(Sales_Data2[[#This Row],[Date]]),"OK","Check")</f>
        <v>OK</v>
      </c>
      <c r="R150" s="3" t="str">
        <f>IF(ISNUMBER(Sales_Data2[[#This Row],[Quantity]]),"OK","Check")</f>
        <v>OK</v>
      </c>
    </row>
    <row r="151" spans="1:18">
      <c r="A151" s="1">
        <v>45825</v>
      </c>
      <c r="B151" t="s">
        <v>29</v>
      </c>
      <c r="C151" t="s">
        <v>26</v>
      </c>
      <c r="D151" t="s">
        <v>23</v>
      </c>
      <c r="E151" t="s">
        <v>14</v>
      </c>
      <c r="F151" t="s">
        <v>27</v>
      </c>
      <c r="G151" t="s">
        <v>22</v>
      </c>
      <c r="H151">
        <v>60000</v>
      </c>
      <c r="I151">
        <v>2</v>
      </c>
      <c r="J151" t="s">
        <v>35</v>
      </c>
      <c r="K151">
        <f t="shared" si="2"/>
        <v>48000</v>
      </c>
      <c r="L151">
        <f>Sales_Data2[[#This Row],[Unit Price]]*Sales_Data2[[#This Row],[Quantity]]</f>
        <v>120000</v>
      </c>
      <c r="M151">
        <f>Sales_Data2[[#This Row],[Cost Price]]*Sales_Data2[[#This Row],[Quantity]]</f>
        <v>96000</v>
      </c>
      <c r="N151" s="3">
        <f>Sales_Data2[[#This Row],[Revenue]]-Sales_Data2[[#This Row],[COGS]]</f>
        <v>24000</v>
      </c>
      <c r="O1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45825|North|Kano|Corporate|Online|Microwave M20|Home Appliances|60000|2|Peter|48000</v>
      </c>
      <c r="P151" s="3" t="str">
        <f>IF(COUNTIF(Sales_Data2[RowKey],Sales_Data2[[#This Row],[RowKey]])&gt;1,"Duplicate","Unique")</f>
        <v>Unique</v>
      </c>
      <c r="Q151" s="3" t="str">
        <f>IF(ISNUMBER(Sales_Data2[[#This Row],[Date]]),"OK","Check")</f>
        <v>OK</v>
      </c>
      <c r="R151" s="3" t="str">
        <f>IF(ISNUMBER(Sales_Data2[[#This Row],[Quantity]]),"OK","Check")</f>
        <v>OK</v>
      </c>
    </row>
    <row r="152" spans="1:18">
      <c r="A152" s="1">
        <v>45826</v>
      </c>
      <c r="B152" t="s">
        <v>29</v>
      </c>
      <c r="C152" t="s">
        <v>26</v>
      </c>
      <c r="D152" t="s">
        <v>23</v>
      </c>
      <c r="E152" t="s">
        <v>20</v>
      </c>
      <c r="F152" t="s">
        <v>40</v>
      </c>
      <c r="G152" t="s">
        <v>31</v>
      </c>
      <c r="H152">
        <v>250000</v>
      </c>
      <c r="I152">
        <v>1</v>
      </c>
      <c r="J152" t="s">
        <v>37</v>
      </c>
      <c r="K152">
        <f t="shared" si="2"/>
        <v>200000</v>
      </c>
      <c r="L152">
        <f>Sales_Data2[[#This Row],[Unit Price]]*Sales_Data2[[#This Row],[Quantity]]</f>
        <v>250000</v>
      </c>
      <c r="M152">
        <f>Sales_Data2[[#This Row],[Cost Price]]*Sales_Data2[[#This Row],[Quantity]]</f>
        <v>200000</v>
      </c>
      <c r="N152" s="3">
        <f>Sales_Data2[[#This Row],[Revenue]]-Sales_Data2[[#This Row],[COGS]]</f>
        <v>50000</v>
      </c>
      <c r="O1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45826|North|Kano|Corporate|Store|Smartphone Z10|Electronics|250000|1|Aisha|200000</v>
      </c>
      <c r="P152" s="3" t="str">
        <f>IF(COUNTIF(Sales_Data2[RowKey],Sales_Data2[[#This Row],[RowKey]])&gt;1,"Duplicate","Unique")</f>
        <v>Unique</v>
      </c>
      <c r="Q152" s="3" t="str">
        <f>IF(ISNUMBER(Sales_Data2[[#This Row],[Date]]),"OK","Check")</f>
        <v>OK</v>
      </c>
      <c r="R152" s="3" t="str">
        <f>IF(ISNUMBER(Sales_Data2[[#This Row],[Quantity]]),"OK","Check")</f>
        <v>OK</v>
      </c>
    </row>
    <row r="153" spans="1:18">
      <c r="A153" s="1">
        <v>45827</v>
      </c>
      <c r="B153" t="s">
        <v>11</v>
      </c>
      <c r="C153" t="s">
        <v>12</v>
      </c>
      <c r="D153" t="s">
        <v>13</v>
      </c>
      <c r="E153" t="s">
        <v>14</v>
      </c>
      <c r="F153" t="s">
        <v>33</v>
      </c>
      <c r="G153" t="s">
        <v>22</v>
      </c>
      <c r="H153">
        <v>180000</v>
      </c>
      <c r="I153">
        <v>8</v>
      </c>
      <c r="J153" t="s">
        <v>39</v>
      </c>
      <c r="K153">
        <f t="shared" si="2"/>
        <v>144000</v>
      </c>
      <c r="L153">
        <f>Sales_Data2[[#This Row],[Unit Price]]*Sales_Data2[[#This Row],[Quantity]]</f>
        <v>1440000</v>
      </c>
      <c r="M153">
        <f>Sales_Data2[[#This Row],[Cost Price]]*Sales_Data2[[#This Row],[Quantity]]</f>
        <v>1152000</v>
      </c>
      <c r="N153" s="3">
        <f>Sales_Data2[[#This Row],[Revenue]]-Sales_Data2[[#This Row],[COGS]]</f>
        <v>288000</v>
      </c>
      <c r="O1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45827|West|Port Harcourt|Retail|Online|Air Conditioner X2|Home Appliances|180000|8|Grace|144000</v>
      </c>
      <c r="P153" s="3" t="str">
        <f>IF(COUNTIF(Sales_Data2[RowKey],Sales_Data2[[#This Row],[RowKey]])&gt;1,"Duplicate","Unique")</f>
        <v>Unique</v>
      </c>
      <c r="Q153" s="3" t="str">
        <f>IF(ISNUMBER(Sales_Data2[[#This Row],[Date]]),"OK","Check")</f>
        <v>OK</v>
      </c>
      <c r="R153" s="3" t="str">
        <f>IF(ISNUMBER(Sales_Data2[[#This Row],[Quantity]]),"OK","Check")</f>
        <v>OK</v>
      </c>
    </row>
    <row r="154" spans="1:18">
      <c r="A154" s="1">
        <v>45828</v>
      </c>
      <c r="B154" t="s">
        <v>29</v>
      </c>
      <c r="C154" t="s">
        <v>19</v>
      </c>
      <c r="D154" t="s">
        <v>13</v>
      </c>
      <c r="E154" t="s">
        <v>14</v>
      </c>
      <c r="F154" t="s">
        <v>36</v>
      </c>
      <c r="G154" t="s">
        <v>31</v>
      </c>
      <c r="H154">
        <v>150000</v>
      </c>
      <c r="I154">
        <v>1</v>
      </c>
      <c r="J154" t="s">
        <v>17</v>
      </c>
      <c r="K154">
        <f t="shared" si="2"/>
        <v>120000</v>
      </c>
      <c r="L154">
        <f>Sales_Data2[[#This Row],[Unit Price]]*Sales_Data2[[#This Row],[Quantity]]</f>
        <v>150000</v>
      </c>
      <c r="M154">
        <f>Sales_Data2[[#This Row],[Cost Price]]*Sales_Data2[[#This Row],[Quantity]]</f>
        <v>120000</v>
      </c>
      <c r="N154" s="3">
        <f>Sales_Data2[[#This Row],[Revenue]]-Sales_Data2[[#This Row],[COGS]]</f>
        <v>30000</v>
      </c>
      <c r="O1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45828|North|Lagos|Retail|Online|Printer P50|Electronics|150000|1|Chidinma|120000</v>
      </c>
      <c r="P154" s="3" t="str">
        <f>IF(COUNTIF(Sales_Data2[RowKey],Sales_Data2[[#This Row],[RowKey]])&gt;1,"Duplicate","Unique")</f>
        <v>Unique</v>
      </c>
      <c r="Q154" s="3" t="str">
        <f>IF(ISNUMBER(Sales_Data2[[#This Row],[Date]]),"OK","Check")</f>
        <v>OK</v>
      </c>
      <c r="R154" s="3" t="str">
        <f>IF(ISNUMBER(Sales_Data2[[#This Row],[Quantity]]),"OK","Check")</f>
        <v>OK</v>
      </c>
    </row>
    <row r="155" spans="1:18">
      <c r="A155" s="1">
        <v>45829</v>
      </c>
      <c r="B155" t="s">
        <v>29</v>
      </c>
      <c r="C155" t="s">
        <v>32</v>
      </c>
      <c r="D155" t="s">
        <v>13</v>
      </c>
      <c r="E155" t="s">
        <v>14</v>
      </c>
      <c r="F155" t="s">
        <v>21</v>
      </c>
      <c r="G155" t="s">
        <v>22</v>
      </c>
      <c r="H155">
        <v>30000</v>
      </c>
      <c r="I155">
        <v>6</v>
      </c>
      <c r="J155" t="s">
        <v>24</v>
      </c>
      <c r="K155">
        <f t="shared" si="2"/>
        <v>24000</v>
      </c>
      <c r="L155">
        <f>Sales_Data2[[#This Row],[Unit Price]]*Sales_Data2[[#This Row],[Quantity]]</f>
        <v>180000</v>
      </c>
      <c r="M155">
        <f>Sales_Data2[[#This Row],[Cost Price]]*Sales_Data2[[#This Row],[Quantity]]</f>
        <v>144000</v>
      </c>
      <c r="N155" s="3">
        <f>Sales_Data2[[#This Row],[Revenue]]-Sales_Data2[[#This Row],[COGS]]</f>
        <v>36000</v>
      </c>
      <c r="O1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45829|North|Abuja|Retail|Online|Blender B10|Home Appliances|30000|6|David|24000</v>
      </c>
      <c r="P155" s="3" t="str">
        <f>IF(COUNTIF(Sales_Data2[RowKey],Sales_Data2[[#This Row],[RowKey]])&gt;1,"Duplicate","Unique")</f>
        <v>Unique</v>
      </c>
      <c r="Q155" s="3" t="str">
        <f>IF(ISNUMBER(Sales_Data2[[#This Row],[Date]]),"OK","Check")</f>
        <v>OK</v>
      </c>
      <c r="R155" s="3" t="str">
        <f>IF(ISNUMBER(Sales_Data2[[#This Row],[Quantity]]),"OK","Check")</f>
        <v>OK</v>
      </c>
    </row>
    <row r="156" spans="1:18">
      <c r="A156" s="1">
        <v>45830</v>
      </c>
      <c r="B156" t="s">
        <v>11</v>
      </c>
      <c r="C156" t="s">
        <v>12</v>
      </c>
      <c r="D156" t="s">
        <v>23</v>
      </c>
      <c r="E156" t="s">
        <v>14</v>
      </c>
      <c r="F156" t="s">
        <v>41</v>
      </c>
      <c r="G156" t="s">
        <v>22</v>
      </c>
      <c r="H156">
        <v>220000</v>
      </c>
      <c r="I156">
        <v>10</v>
      </c>
      <c r="J156" t="s">
        <v>39</v>
      </c>
      <c r="K156">
        <f t="shared" si="2"/>
        <v>176000</v>
      </c>
      <c r="L156">
        <f>Sales_Data2[[#This Row],[Unit Price]]*Sales_Data2[[#This Row],[Quantity]]</f>
        <v>2200000</v>
      </c>
      <c r="M156">
        <f>Sales_Data2[[#This Row],[Cost Price]]*Sales_Data2[[#This Row],[Quantity]]</f>
        <v>1760000</v>
      </c>
      <c r="N156" s="3">
        <f>Sales_Data2[[#This Row],[Revenue]]-Sales_Data2[[#This Row],[COGS]]</f>
        <v>440000</v>
      </c>
      <c r="O1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45830|West|Port Harcourt|Corporate|Online|Refrigerator R55|Home Appliances|220000|10|Grace|176000</v>
      </c>
      <c r="P156" s="3" t="str">
        <f>IF(COUNTIF(Sales_Data2[RowKey],Sales_Data2[[#This Row],[RowKey]])&gt;1,"Duplicate","Unique")</f>
        <v>Unique</v>
      </c>
      <c r="Q156" s="3" t="str">
        <f>IF(ISNUMBER(Sales_Data2[[#This Row],[Date]]),"OK","Check")</f>
        <v>OK</v>
      </c>
      <c r="R156" s="3" t="str">
        <f>IF(ISNUMBER(Sales_Data2[[#This Row],[Quantity]]),"OK","Check")</f>
        <v>OK</v>
      </c>
    </row>
    <row r="157" spans="1:18">
      <c r="A157" s="1">
        <v>45831</v>
      </c>
      <c r="B157" t="s">
        <v>11</v>
      </c>
      <c r="C157" t="s">
        <v>12</v>
      </c>
      <c r="D157" t="s">
        <v>13</v>
      </c>
      <c r="E157" t="s">
        <v>20</v>
      </c>
      <c r="F157" t="s">
        <v>38</v>
      </c>
      <c r="G157" t="s">
        <v>31</v>
      </c>
      <c r="H157">
        <v>420000</v>
      </c>
      <c r="I157">
        <v>1</v>
      </c>
      <c r="J157" t="s">
        <v>24</v>
      </c>
      <c r="K157">
        <f t="shared" si="2"/>
        <v>336000</v>
      </c>
      <c r="L157">
        <f>Sales_Data2[[#This Row],[Unit Price]]*Sales_Data2[[#This Row],[Quantity]]</f>
        <v>420000</v>
      </c>
      <c r="M157">
        <f>Sales_Data2[[#This Row],[Cost Price]]*Sales_Data2[[#This Row],[Quantity]]</f>
        <v>336000</v>
      </c>
      <c r="N157" s="3">
        <f>Sales_Data2[[#This Row],[Revenue]]-Sales_Data2[[#This Row],[COGS]]</f>
        <v>84000</v>
      </c>
      <c r="O1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45831|West|Port Harcourt|Retail|Store|Laptop A13|Electronics|420000|1|David|336000</v>
      </c>
      <c r="P157" s="3" t="str">
        <f>IF(COUNTIF(Sales_Data2[RowKey],Sales_Data2[[#This Row],[RowKey]])&gt;1,"Duplicate","Unique")</f>
        <v>Unique</v>
      </c>
      <c r="Q157" s="3" t="str">
        <f>IF(ISNUMBER(Sales_Data2[[#This Row],[Date]]),"OK","Check")</f>
        <v>OK</v>
      </c>
      <c r="R157" s="3" t="str">
        <f>IF(ISNUMBER(Sales_Data2[[#This Row],[Quantity]]),"OK","Check")</f>
        <v>OK</v>
      </c>
    </row>
    <row r="158" spans="1:18">
      <c r="A158" s="1">
        <v>45832</v>
      </c>
      <c r="B158" t="s">
        <v>11</v>
      </c>
      <c r="C158" t="s">
        <v>19</v>
      </c>
      <c r="D158" t="s">
        <v>23</v>
      </c>
      <c r="E158" t="s">
        <v>20</v>
      </c>
      <c r="F158" t="s">
        <v>30</v>
      </c>
      <c r="G158" t="s">
        <v>31</v>
      </c>
      <c r="H158">
        <v>300000</v>
      </c>
      <c r="I158">
        <v>8</v>
      </c>
      <c r="J158" t="s">
        <v>24</v>
      </c>
      <c r="K158">
        <f t="shared" si="2"/>
        <v>240000</v>
      </c>
      <c r="L158">
        <f>Sales_Data2[[#This Row],[Unit Price]]*Sales_Data2[[#This Row],[Quantity]]</f>
        <v>2400000</v>
      </c>
      <c r="M158">
        <f>Sales_Data2[[#This Row],[Cost Price]]*Sales_Data2[[#This Row],[Quantity]]</f>
        <v>1920000</v>
      </c>
      <c r="N158" s="3">
        <f>Sales_Data2[[#This Row],[Revenue]]-Sales_Data2[[#This Row],[COGS]]</f>
        <v>480000</v>
      </c>
      <c r="O1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45832|West|Lagos|Corporate|Store|Desktop PC D21|Electronics|300000|8|David|240000</v>
      </c>
      <c r="P158" s="3" t="str">
        <f>IF(COUNTIF(Sales_Data2[RowKey],Sales_Data2[[#This Row],[RowKey]])&gt;1,"Duplicate","Unique")</f>
        <v>Unique</v>
      </c>
      <c r="Q158" s="3" t="str">
        <f>IF(ISNUMBER(Sales_Data2[[#This Row],[Date]]),"OK","Check")</f>
        <v>OK</v>
      </c>
      <c r="R158" s="3" t="str">
        <f>IF(ISNUMBER(Sales_Data2[[#This Row],[Quantity]]),"OK","Check")</f>
        <v>OK</v>
      </c>
    </row>
    <row r="159" spans="1:18">
      <c r="A159" s="1">
        <v>45833</v>
      </c>
      <c r="B159" t="s">
        <v>29</v>
      </c>
      <c r="C159" t="s">
        <v>32</v>
      </c>
      <c r="D159" t="s">
        <v>23</v>
      </c>
      <c r="E159" t="s">
        <v>14</v>
      </c>
      <c r="F159" t="s">
        <v>40</v>
      </c>
      <c r="G159" t="s">
        <v>31</v>
      </c>
      <c r="H159">
        <v>250000</v>
      </c>
      <c r="I159">
        <v>3</v>
      </c>
      <c r="J159" t="s">
        <v>17</v>
      </c>
      <c r="K159">
        <f t="shared" si="2"/>
        <v>200000</v>
      </c>
      <c r="L159">
        <f>Sales_Data2[[#This Row],[Unit Price]]*Sales_Data2[[#This Row],[Quantity]]</f>
        <v>750000</v>
      </c>
      <c r="M159">
        <f>Sales_Data2[[#This Row],[Cost Price]]*Sales_Data2[[#This Row],[Quantity]]</f>
        <v>600000</v>
      </c>
      <c r="N159" s="3">
        <f>Sales_Data2[[#This Row],[Revenue]]-Sales_Data2[[#This Row],[COGS]]</f>
        <v>150000</v>
      </c>
      <c r="O1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45833|North|Abuja|Corporate|Online|Smartphone Z10|Electronics|250000|3|Chidinma|200000</v>
      </c>
      <c r="P159" s="3" t="str">
        <f>IF(COUNTIF(Sales_Data2[RowKey],Sales_Data2[[#This Row],[RowKey]])&gt;1,"Duplicate","Unique")</f>
        <v>Unique</v>
      </c>
      <c r="Q159" s="3" t="str">
        <f>IF(ISNUMBER(Sales_Data2[[#This Row],[Date]]),"OK","Check")</f>
        <v>OK</v>
      </c>
      <c r="R159" s="3" t="str">
        <f>IF(ISNUMBER(Sales_Data2[[#This Row],[Quantity]]),"OK","Check")</f>
        <v>OK</v>
      </c>
    </row>
    <row r="160" spans="1:18">
      <c r="A160" s="1">
        <v>45834</v>
      </c>
      <c r="B160" t="s">
        <v>11</v>
      </c>
      <c r="C160" t="s">
        <v>32</v>
      </c>
      <c r="D160" t="s">
        <v>23</v>
      </c>
      <c r="E160" t="s">
        <v>14</v>
      </c>
      <c r="F160" t="s">
        <v>30</v>
      </c>
      <c r="G160" t="s">
        <v>31</v>
      </c>
      <c r="H160">
        <v>300000</v>
      </c>
      <c r="I160">
        <v>4</v>
      </c>
      <c r="J160" t="s">
        <v>35</v>
      </c>
      <c r="K160">
        <f t="shared" si="2"/>
        <v>240000</v>
      </c>
      <c r="L160">
        <f>Sales_Data2[[#This Row],[Unit Price]]*Sales_Data2[[#This Row],[Quantity]]</f>
        <v>1200000</v>
      </c>
      <c r="M160">
        <f>Sales_Data2[[#This Row],[Cost Price]]*Sales_Data2[[#This Row],[Quantity]]</f>
        <v>960000</v>
      </c>
      <c r="N160" s="3">
        <f>Sales_Data2[[#This Row],[Revenue]]-Sales_Data2[[#This Row],[COGS]]</f>
        <v>240000</v>
      </c>
      <c r="O1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45834|West|Abuja|Corporate|Online|Desktop PC D21|Electronics|300000|4|Peter|240000</v>
      </c>
      <c r="P160" s="3" t="str">
        <f>IF(COUNTIF(Sales_Data2[RowKey],Sales_Data2[[#This Row],[RowKey]])&gt;1,"Duplicate","Unique")</f>
        <v>Unique</v>
      </c>
      <c r="Q160" s="3" t="str">
        <f>IF(ISNUMBER(Sales_Data2[[#This Row],[Date]]),"OK","Check")</f>
        <v>OK</v>
      </c>
      <c r="R160" s="3" t="str">
        <f>IF(ISNUMBER(Sales_Data2[[#This Row],[Quantity]]),"OK","Check")</f>
        <v>OK</v>
      </c>
    </row>
    <row r="161" spans="1:18">
      <c r="A161" s="1">
        <v>45835</v>
      </c>
      <c r="B161" t="s">
        <v>11</v>
      </c>
      <c r="C161" t="s">
        <v>26</v>
      </c>
      <c r="D161" t="s">
        <v>13</v>
      </c>
      <c r="E161" t="s">
        <v>14</v>
      </c>
      <c r="F161" t="s">
        <v>36</v>
      </c>
      <c r="G161" t="s">
        <v>31</v>
      </c>
      <c r="H161">
        <v>150000</v>
      </c>
      <c r="I161">
        <v>6</v>
      </c>
      <c r="J161" t="s">
        <v>35</v>
      </c>
      <c r="K161">
        <f t="shared" si="2"/>
        <v>120000</v>
      </c>
      <c r="L161">
        <f>Sales_Data2[[#This Row],[Unit Price]]*Sales_Data2[[#This Row],[Quantity]]</f>
        <v>900000</v>
      </c>
      <c r="M161">
        <f>Sales_Data2[[#This Row],[Cost Price]]*Sales_Data2[[#This Row],[Quantity]]</f>
        <v>720000</v>
      </c>
      <c r="N161" s="3">
        <f>Sales_Data2[[#This Row],[Revenue]]-Sales_Data2[[#This Row],[COGS]]</f>
        <v>180000</v>
      </c>
      <c r="O1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45835|West|Kano|Retail|Online|Printer P50|Electronics|150000|6|Peter|120000</v>
      </c>
      <c r="P161" s="3" t="str">
        <f>IF(COUNTIF(Sales_Data2[RowKey],Sales_Data2[[#This Row],[RowKey]])&gt;1,"Duplicate","Unique")</f>
        <v>Unique</v>
      </c>
      <c r="Q161" s="3" t="str">
        <f>IF(ISNUMBER(Sales_Data2[[#This Row],[Date]]),"OK","Check")</f>
        <v>OK</v>
      </c>
      <c r="R161" s="3" t="str">
        <f>IF(ISNUMBER(Sales_Data2[[#This Row],[Quantity]]),"OK","Check")</f>
        <v>OK</v>
      </c>
    </row>
    <row r="162" spans="1:18">
      <c r="A162" s="1">
        <v>45836</v>
      </c>
      <c r="B162" t="s">
        <v>11</v>
      </c>
      <c r="C162" t="s">
        <v>32</v>
      </c>
      <c r="D162" t="s">
        <v>13</v>
      </c>
      <c r="E162" t="s">
        <v>14</v>
      </c>
      <c r="F162" t="s">
        <v>38</v>
      </c>
      <c r="G162" t="s">
        <v>31</v>
      </c>
      <c r="H162">
        <v>420000</v>
      </c>
      <c r="I162">
        <v>2</v>
      </c>
      <c r="J162" t="s">
        <v>17</v>
      </c>
      <c r="K162">
        <f t="shared" si="2"/>
        <v>336000</v>
      </c>
      <c r="L162">
        <f>Sales_Data2[[#This Row],[Unit Price]]*Sales_Data2[[#This Row],[Quantity]]</f>
        <v>840000</v>
      </c>
      <c r="M162">
        <f>Sales_Data2[[#This Row],[Cost Price]]*Sales_Data2[[#This Row],[Quantity]]</f>
        <v>672000</v>
      </c>
      <c r="N162" s="3">
        <f>Sales_Data2[[#This Row],[Revenue]]-Sales_Data2[[#This Row],[COGS]]</f>
        <v>168000</v>
      </c>
      <c r="O1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45836|West|Abuja|Retail|Online|Laptop A13|Electronics|420000|2|Chidinma|336000</v>
      </c>
      <c r="P162" s="3" t="str">
        <f>IF(COUNTIF(Sales_Data2[RowKey],Sales_Data2[[#This Row],[RowKey]])&gt;1,"Duplicate","Unique")</f>
        <v>Unique</v>
      </c>
      <c r="Q162" s="3" t="str">
        <f>IF(ISNUMBER(Sales_Data2[[#This Row],[Date]]),"OK","Check")</f>
        <v>OK</v>
      </c>
      <c r="R162" s="3" t="str">
        <f>IF(ISNUMBER(Sales_Data2[[#This Row],[Quantity]]),"OK","Check")</f>
        <v>OK</v>
      </c>
    </row>
    <row r="163" spans="1:18">
      <c r="A163" s="1">
        <v>45837</v>
      </c>
      <c r="B163" t="s">
        <v>25</v>
      </c>
      <c r="C163" t="s">
        <v>19</v>
      </c>
      <c r="D163" t="s">
        <v>13</v>
      </c>
      <c r="E163" t="s">
        <v>14</v>
      </c>
      <c r="F163" t="s">
        <v>41</v>
      </c>
      <c r="G163" t="s">
        <v>22</v>
      </c>
      <c r="H163">
        <v>220000</v>
      </c>
      <c r="I163">
        <v>1</v>
      </c>
      <c r="J163" t="s">
        <v>24</v>
      </c>
      <c r="K163">
        <f t="shared" si="2"/>
        <v>176000</v>
      </c>
      <c r="L163">
        <f>Sales_Data2[[#This Row],[Unit Price]]*Sales_Data2[[#This Row],[Quantity]]</f>
        <v>220000</v>
      </c>
      <c r="M163">
        <f>Sales_Data2[[#This Row],[Cost Price]]*Sales_Data2[[#This Row],[Quantity]]</f>
        <v>176000</v>
      </c>
      <c r="N163" s="3">
        <f>Sales_Data2[[#This Row],[Revenue]]-Sales_Data2[[#This Row],[COGS]]</f>
        <v>44000</v>
      </c>
      <c r="O1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45837|South|Lagos|Retail|Online|Refrigerator R55|Home Appliances|220000|1|David|176000</v>
      </c>
      <c r="P163" s="3" t="str">
        <f>IF(COUNTIF(Sales_Data2[RowKey],Sales_Data2[[#This Row],[RowKey]])&gt;1,"Duplicate","Unique")</f>
        <v>Unique</v>
      </c>
      <c r="Q163" s="3" t="str">
        <f>IF(ISNUMBER(Sales_Data2[[#This Row],[Date]]),"OK","Check")</f>
        <v>OK</v>
      </c>
      <c r="R163" s="3" t="str">
        <f>IF(ISNUMBER(Sales_Data2[[#This Row],[Quantity]]),"OK","Check")</f>
        <v>OK</v>
      </c>
    </row>
    <row r="164" spans="1:18">
      <c r="A164" s="1">
        <v>45838</v>
      </c>
      <c r="B164" t="s">
        <v>25</v>
      </c>
      <c r="C164" t="s">
        <v>32</v>
      </c>
      <c r="D164" t="s">
        <v>13</v>
      </c>
      <c r="E164" t="s">
        <v>20</v>
      </c>
      <c r="F164" t="s">
        <v>41</v>
      </c>
      <c r="G164" t="s">
        <v>22</v>
      </c>
      <c r="H164">
        <v>220000</v>
      </c>
      <c r="I164">
        <v>8</v>
      </c>
      <c r="J164" t="s">
        <v>37</v>
      </c>
      <c r="K164">
        <f t="shared" si="2"/>
        <v>176000</v>
      </c>
      <c r="L164">
        <f>Sales_Data2[[#This Row],[Unit Price]]*Sales_Data2[[#This Row],[Quantity]]</f>
        <v>1760000</v>
      </c>
      <c r="M164">
        <f>Sales_Data2[[#This Row],[Cost Price]]*Sales_Data2[[#This Row],[Quantity]]</f>
        <v>1408000</v>
      </c>
      <c r="N164" s="3">
        <f>Sales_Data2[[#This Row],[Revenue]]-Sales_Data2[[#This Row],[COGS]]</f>
        <v>352000</v>
      </c>
      <c r="O1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45838|South|Abuja|Retail|Store|Refrigerator R55|Home Appliances|220000|8|Aisha|176000</v>
      </c>
      <c r="P164" s="3" t="str">
        <f>IF(COUNTIF(Sales_Data2[RowKey],Sales_Data2[[#This Row],[RowKey]])&gt;1,"Duplicate","Unique")</f>
        <v>Unique</v>
      </c>
      <c r="Q164" s="3" t="str">
        <f>IF(ISNUMBER(Sales_Data2[[#This Row],[Date]]),"OK","Check")</f>
        <v>OK</v>
      </c>
      <c r="R164" s="3" t="str">
        <f>IF(ISNUMBER(Sales_Data2[[#This Row],[Quantity]]),"OK","Check")</f>
        <v>OK</v>
      </c>
    </row>
    <row r="165" spans="1:18">
      <c r="A165" s="1">
        <v>45839</v>
      </c>
      <c r="B165" t="s">
        <v>29</v>
      </c>
      <c r="C165" t="s">
        <v>26</v>
      </c>
      <c r="D165" t="s">
        <v>13</v>
      </c>
      <c r="E165" t="s">
        <v>20</v>
      </c>
      <c r="F165" t="s">
        <v>21</v>
      </c>
      <c r="G165" t="s">
        <v>22</v>
      </c>
      <c r="H165">
        <v>30000</v>
      </c>
      <c r="I165">
        <v>10</v>
      </c>
      <c r="J165" t="s">
        <v>39</v>
      </c>
      <c r="K165">
        <f t="shared" si="2"/>
        <v>24000</v>
      </c>
      <c r="L165">
        <f>Sales_Data2[[#This Row],[Unit Price]]*Sales_Data2[[#This Row],[Quantity]]</f>
        <v>300000</v>
      </c>
      <c r="M165">
        <f>Sales_Data2[[#This Row],[Cost Price]]*Sales_Data2[[#This Row],[Quantity]]</f>
        <v>240000</v>
      </c>
      <c r="N165" s="3">
        <f>Sales_Data2[[#This Row],[Revenue]]-Sales_Data2[[#This Row],[COGS]]</f>
        <v>60000</v>
      </c>
      <c r="O1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45839|North|Kano|Retail|Store|Blender B10|Home Appliances|30000|10|Grace|24000</v>
      </c>
      <c r="P165" s="3" t="str">
        <f>IF(COUNTIF(Sales_Data2[RowKey],Sales_Data2[[#This Row],[RowKey]])&gt;1,"Duplicate","Unique")</f>
        <v>Unique</v>
      </c>
      <c r="Q165" s="3" t="str">
        <f>IF(ISNUMBER(Sales_Data2[[#This Row],[Date]]),"OK","Check")</f>
        <v>OK</v>
      </c>
      <c r="R165" s="3" t="str">
        <f>IF(ISNUMBER(Sales_Data2[[#This Row],[Quantity]]),"OK","Check")</f>
        <v>OK</v>
      </c>
    </row>
    <row r="166" spans="1:18">
      <c r="A166" s="1">
        <v>45840</v>
      </c>
      <c r="B166" t="s">
        <v>29</v>
      </c>
      <c r="C166" t="s">
        <v>19</v>
      </c>
      <c r="D166" t="s">
        <v>23</v>
      </c>
      <c r="E166" t="s">
        <v>14</v>
      </c>
      <c r="F166" t="s">
        <v>21</v>
      </c>
      <c r="G166" t="s">
        <v>22</v>
      </c>
      <c r="H166">
        <v>30000</v>
      </c>
      <c r="I166">
        <v>4</v>
      </c>
      <c r="J166" t="s">
        <v>39</v>
      </c>
      <c r="K166">
        <f t="shared" si="2"/>
        <v>24000</v>
      </c>
      <c r="L166">
        <f>Sales_Data2[[#This Row],[Unit Price]]*Sales_Data2[[#This Row],[Quantity]]</f>
        <v>120000</v>
      </c>
      <c r="M166">
        <f>Sales_Data2[[#This Row],[Cost Price]]*Sales_Data2[[#This Row],[Quantity]]</f>
        <v>96000</v>
      </c>
      <c r="N166" s="3">
        <f>Sales_Data2[[#This Row],[Revenue]]-Sales_Data2[[#This Row],[COGS]]</f>
        <v>24000</v>
      </c>
      <c r="O1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45840|North|Lagos|Corporate|Online|Blender B10|Home Appliances|30000|4|Grace|24000</v>
      </c>
      <c r="P166" s="3" t="str">
        <f>IF(COUNTIF(Sales_Data2[RowKey],Sales_Data2[[#This Row],[RowKey]])&gt;1,"Duplicate","Unique")</f>
        <v>Unique</v>
      </c>
      <c r="Q166" s="3" t="str">
        <f>IF(ISNUMBER(Sales_Data2[[#This Row],[Date]]),"OK","Check")</f>
        <v>OK</v>
      </c>
      <c r="R166" s="3" t="str">
        <f>IF(ISNUMBER(Sales_Data2[[#This Row],[Quantity]]),"OK","Check")</f>
        <v>OK</v>
      </c>
    </row>
    <row r="167" spans="1:18">
      <c r="A167" s="1">
        <v>45841</v>
      </c>
      <c r="B167" t="s">
        <v>11</v>
      </c>
      <c r="C167" t="s">
        <v>12</v>
      </c>
      <c r="D167" t="s">
        <v>23</v>
      </c>
      <c r="E167" t="s">
        <v>14</v>
      </c>
      <c r="F167" t="s">
        <v>33</v>
      </c>
      <c r="G167" t="s">
        <v>22</v>
      </c>
      <c r="H167">
        <v>180000</v>
      </c>
      <c r="I167">
        <v>6</v>
      </c>
      <c r="J167" t="s">
        <v>17</v>
      </c>
      <c r="K167">
        <f t="shared" si="2"/>
        <v>144000</v>
      </c>
      <c r="L167">
        <f>Sales_Data2[[#This Row],[Unit Price]]*Sales_Data2[[#This Row],[Quantity]]</f>
        <v>1080000</v>
      </c>
      <c r="M167">
        <f>Sales_Data2[[#This Row],[Cost Price]]*Sales_Data2[[#This Row],[Quantity]]</f>
        <v>864000</v>
      </c>
      <c r="N167" s="3">
        <f>Sales_Data2[[#This Row],[Revenue]]-Sales_Data2[[#This Row],[COGS]]</f>
        <v>216000</v>
      </c>
      <c r="O1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45841|West|Port Harcourt|Corporate|Online|Air Conditioner X2|Home Appliances|180000|6|Chidinma|144000</v>
      </c>
      <c r="P167" s="3" t="str">
        <f>IF(COUNTIF(Sales_Data2[RowKey],Sales_Data2[[#This Row],[RowKey]])&gt;1,"Duplicate","Unique")</f>
        <v>Unique</v>
      </c>
      <c r="Q167" s="3" t="str">
        <f>IF(ISNUMBER(Sales_Data2[[#This Row],[Date]]),"OK","Check")</f>
        <v>OK</v>
      </c>
      <c r="R167" s="3" t="str">
        <f>IF(ISNUMBER(Sales_Data2[[#This Row],[Quantity]]),"OK","Check")</f>
        <v>OK</v>
      </c>
    </row>
    <row r="168" spans="1:18">
      <c r="A168" s="1">
        <v>45842</v>
      </c>
      <c r="B168" t="s">
        <v>11</v>
      </c>
      <c r="C168" t="s">
        <v>32</v>
      </c>
      <c r="D168" t="s">
        <v>23</v>
      </c>
      <c r="E168" t="s">
        <v>14</v>
      </c>
      <c r="F168" t="s">
        <v>30</v>
      </c>
      <c r="G168" t="s">
        <v>31</v>
      </c>
      <c r="H168">
        <v>300000</v>
      </c>
      <c r="I168">
        <v>2</v>
      </c>
      <c r="J168" t="s">
        <v>39</v>
      </c>
      <c r="K168">
        <f t="shared" si="2"/>
        <v>240000</v>
      </c>
      <c r="L168">
        <f>Sales_Data2[[#This Row],[Unit Price]]*Sales_Data2[[#This Row],[Quantity]]</f>
        <v>600000</v>
      </c>
      <c r="M168">
        <f>Sales_Data2[[#This Row],[Cost Price]]*Sales_Data2[[#This Row],[Quantity]]</f>
        <v>480000</v>
      </c>
      <c r="N168" s="3">
        <f>Sales_Data2[[#This Row],[Revenue]]-Sales_Data2[[#This Row],[COGS]]</f>
        <v>120000</v>
      </c>
      <c r="O1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45842|West|Abuja|Corporate|Online|Desktop PC D21|Electronics|300000|2|Grace|240000</v>
      </c>
      <c r="P168" s="3" t="str">
        <f>IF(COUNTIF(Sales_Data2[RowKey],Sales_Data2[[#This Row],[RowKey]])&gt;1,"Duplicate","Unique")</f>
        <v>Unique</v>
      </c>
      <c r="Q168" s="3" t="str">
        <f>IF(ISNUMBER(Sales_Data2[[#This Row],[Date]]),"OK","Check")</f>
        <v>OK</v>
      </c>
      <c r="R168" s="3" t="str">
        <f>IF(ISNUMBER(Sales_Data2[[#This Row],[Quantity]]),"OK","Check")</f>
        <v>OK</v>
      </c>
    </row>
    <row r="169" spans="1:18">
      <c r="A169" s="1">
        <v>45843</v>
      </c>
      <c r="B169" t="s">
        <v>18</v>
      </c>
      <c r="C169" t="s">
        <v>19</v>
      </c>
      <c r="D169" t="s">
        <v>13</v>
      </c>
      <c r="E169" t="s">
        <v>14</v>
      </c>
      <c r="F169" t="s">
        <v>36</v>
      </c>
      <c r="G169" t="s">
        <v>31</v>
      </c>
      <c r="H169">
        <v>150000</v>
      </c>
      <c r="I169">
        <v>9</v>
      </c>
      <c r="J169" t="s">
        <v>17</v>
      </c>
      <c r="K169">
        <f t="shared" si="2"/>
        <v>120000</v>
      </c>
      <c r="L169">
        <f>Sales_Data2[[#This Row],[Unit Price]]*Sales_Data2[[#This Row],[Quantity]]</f>
        <v>1350000</v>
      </c>
      <c r="M169">
        <f>Sales_Data2[[#This Row],[Cost Price]]*Sales_Data2[[#This Row],[Quantity]]</f>
        <v>1080000</v>
      </c>
      <c r="N169" s="3">
        <f>Sales_Data2[[#This Row],[Revenue]]-Sales_Data2[[#This Row],[COGS]]</f>
        <v>270000</v>
      </c>
      <c r="O1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45843|East|Lagos|Retail|Online|Printer P50|Electronics|150000|9|Chidinma|120000</v>
      </c>
      <c r="P169" s="3" t="str">
        <f>IF(COUNTIF(Sales_Data2[RowKey],Sales_Data2[[#This Row],[RowKey]])&gt;1,"Duplicate","Unique")</f>
        <v>Unique</v>
      </c>
      <c r="Q169" s="3" t="str">
        <f>IF(ISNUMBER(Sales_Data2[[#This Row],[Date]]),"OK","Check")</f>
        <v>OK</v>
      </c>
      <c r="R169" s="3" t="str">
        <f>IF(ISNUMBER(Sales_Data2[[#This Row],[Quantity]]),"OK","Check")</f>
        <v>OK</v>
      </c>
    </row>
    <row r="170" spans="1:18">
      <c r="A170" s="1">
        <v>45844</v>
      </c>
      <c r="B170" t="s">
        <v>29</v>
      </c>
      <c r="C170" t="s">
        <v>12</v>
      </c>
      <c r="D170" t="s">
        <v>13</v>
      </c>
      <c r="E170" t="s">
        <v>20</v>
      </c>
      <c r="F170" t="s">
        <v>36</v>
      </c>
      <c r="G170" t="s">
        <v>31</v>
      </c>
      <c r="H170">
        <v>150000</v>
      </c>
      <c r="I170">
        <v>9</v>
      </c>
      <c r="J170" t="s">
        <v>24</v>
      </c>
      <c r="K170">
        <f t="shared" si="2"/>
        <v>120000</v>
      </c>
      <c r="L170">
        <f>Sales_Data2[[#This Row],[Unit Price]]*Sales_Data2[[#This Row],[Quantity]]</f>
        <v>1350000</v>
      </c>
      <c r="M170">
        <f>Sales_Data2[[#This Row],[Cost Price]]*Sales_Data2[[#This Row],[Quantity]]</f>
        <v>1080000</v>
      </c>
      <c r="N170" s="3">
        <f>Sales_Data2[[#This Row],[Revenue]]-Sales_Data2[[#This Row],[COGS]]</f>
        <v>270000</v>
      </c>
      <c r="O1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45844|North|Port Harcourt|Retail|Store|Printer P50|Electronics|150000|9|David|120000</v>
      </c>
      <c r="P170" s="3" t="str">
        <f>IF(COUNTIF(Sales_Data2[RowKey],Sales_Data2[[#This Row],[RowKey]])&gt;1,"Duplicate","Unique")</f>
        <v>Unique</v>
      </c>
      <c r="Q170" s="3" t="str">
        <f>IF(ISNUMBER(Sales_Data2[[#This Row],[Date]]),"OK","Check")</f>
        <v>OK</v>
      </c>
      <c r="R170" s="3" t="str">
        <f>IF(ISNUMBER(Sales_Data2[[#This Row],[Quantity]]),"OK","Check")</f>
        <v>OK</v>
      </c>
    </row>
    <row r="171" spans="1:18">
      <c r="A171" s="1">
        <v>45845</v>
      </c>
      <c r="B171" t="s">
        <v>11</v>
      </c>
      <c r="C171" t="s">
        <v>12</v>
      </c>
      <c r="D171" t="s">
        <v>13</v>
      </c>
      <c r="E171" t="s">
        <v>14</v>
      </c>
      <c r="F171" t="s">
        <v>21</v>
      </c>
      <c r="G171" t="s">
        <v>22</v>
      </c>
      <c r="H171">
        <v>30000</v>
      </c>
      <c r="I171">
        <v>4</v>
      </c>
      <c r="J171" t="s">
        <v>17</v>
      </c>
      <c r="K171">
        <f t="shared" si="2"/>
        <v>24000</v>
      </c>
      <c r="L171">
        <f>Sales_Data2[[#This Row],[Unit Price]]*Sales_Data2[[#This Row],[Quantity]]</f>
        <v>120000</v>
      </c>
      <c r="M171">
        <f>Sales_Data2[[#This Row],[Cost Price]]*Sales_Data2[[#This Row],[Quantity]]</f>
        <v>96000</v>
      </c>
      <c r="N171" s="3">
        <f>Sales_Data2[[#This Row],[Revenue]]-Sales_Data2[[#This Row],[COGS]]</f>
        <v>24000</v>
      </c>
      <c r="O1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45845|West|Port Harcourt|Retail|Online|Blender B10|Home Appliances|30000|4|Chidinma|24000</v>
      </c>
      <c r="P171" s="3" t="str">
        <f>IF(COUNTIF(Sales_Data2[RowKey],Sales_Data2[[#This Row],[RowKey]])&gt;1,"Duplicate","Unique")</f>
        <v>Unique</v>
      </c>
      <c r="Q171" s="3" t="str">
        <f>IF(ISNUMBER(Sales_Data2[[#This Row],[Date]]),"OK","Check")</f>
        <v>OK</v>
      </c>
      <c r="R171" s="3" t="str">
        <f>IF(ISNUMBER(Sales_Data2[[#This Row],[Quantity]]),"OK","Check")</f>
        <v>OK</v>
      </c>
    </row>
    <row r="172" spans="1:18">
      <c r="A172" s="1">
        <v>45846</v>
      </c>
      <c r="B172" t="s">
        <v>18</v>
      </c>
      <c r="C172" t="s">
        <v>26</v>
      </c>
      <c r="D172" t="s">
        <v>23</v>
      </c>
      <c r="E172" t="s">
        <v>14</v>
      </c>
      <c r="F172" t="s">
        <v>27</v>
      </c>
      <c r="G172" t="s">
        <v>22</v>
      </c>
      <c r="H172">
        <v>60000</v>
      </c>
      <c r="I172">
        <v>9</v>
      </c>
      <c r="J172" t="s">
        <v>28</v>
      </c>
      <c r="K172">
        <f t="shared" si="2"/>
        <v>48000</v>
      </c>
      <c r="L172">
        <f>Sales_Data2[[#This Row],[Unit Price]]*Sales_Data2[[#This Row],[Quantity]]</f>
        <v>540000</v>
      </c>
      <c r="M172">
        <f>Sales_Data2[[#This Row],[Cost Price]]*Sales_Data2[[#This Row],[Quantity]]</f>
        <v>432000</v>
      </c>
      <c r="N172" s="3">
        <f>Sales_Data2[[#This Row],[Revenue]]-Sales_Data2[[#This Row],[COGS]]</f>
        <v>108000</v>
      </c>
      <c r="O1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45846|East|Kano|Corporate|Online|Microwave M20|Home Appliances|60000|9|Musa|48000</v>
      </c>
      <c r="P172" s="3" t="str">
        <f>IF(COUNTIF(Sales_Data2[RowKey],Sales_Data2[[#This Row],[RowKey]])&gt;1,"Duplicate","Unique")</f>
        <v>Unique</v>
      </c>
      <c r="Q172" s="3" t="str">
        <f>IF(ISNUMBER(Sales_Data2[[#This Row],[Date]]),"OK","Check")</f>
        <v>OK</v>
      </c>
      <c r="R172" s="3" t="str">
        <f>IF(ISNUMBER(Sales_Data2[[#This Row],[Quantity]]),"OK","Check")</f>
        <v>OK</v>
      </c>
    </row>
    <row r="173" spans="1:18">
      <c r="A173" s="1">
        <v>45847</v>
      </c>
      <c r="B173" t="s">
        <v>25</v>
      </c>
      <c r="C173" t="s">
        <v>19</v>
      </c>
      <c r="D173" t="s">
        <v>13</v>
      </c>
      <c r="E173" t="s">
        <v>20</v>
      </c>
      <c r="F173" t="s">
        <v>30</v>
      </c>
      <c r="G173" t="s">
        <v>31</v>
      </c>
      <c r="H173">
        <v>300000</v>
      </c>
      <c r="I173">
        <v>9</v>
      </c>
      <c r="J173" t="s">
        <v>28</v>
      </c>
      <c r="K173">
        <f t="shared" si="2"/>
        <v>240000</v>
      </c>
      <c r="L173">
        <f>Sales_Data2[[#This Row],[Unit Price]]*Sales_Data2[[#This Row],[Quantity]]</f>
        <v>2700000</v>
      </c>
      <c r="M173">
        <f>Sales_Data2[[#This Row],[Cost Price]]*Sales_Data2[[#This Row],[Quantity]]</f>
        <v>2160000</v>
      </c>
      <c r="N173" s="3">
        <f>Sales_Data2[[#This Row],[Revenue]]-Sales_Data2[[#This Row],[COGS]]</f>
        <v>540000</v>
      </c>
      <c r="O1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45847|South|Lagos|Retail|Store|Desktop PC D21|Electronics|300000|9|Musa|240000</v>
      </c>
      <c r="P173" s="3" t="str">
        <f>IF(COUNTIF(Sales_Data2[RowKey],Sales_Data2[[#This Row],[RowKey]])&gt;1,"Duplicate","Unique")</f>
        <v>Unique</v>
      </c>
      <c r="Q173" s="3" t="str">
        <f>IF(ISNUMBER(Sales_Data2[[#This Row],[Date]]),"OK","Check")</f>
        <v>OK</v>
      </c>
      <c r="R173" s="3" t="str">
        <f>IF(ISNUMBER(Sales_Data2[[#This Row],[Quantity]]),"OK","Check")</f>
        <v>OK</v>
      </c>
    </row>
    <row r="174" spans="1:18">
      <c r="A174" s="1">
        <v>45848</v>
      </c>
      <c r="B174" t="s">
        <v>29</v>
      </c>
      <c r="C174" t="s">
        <v>32</v>
      </c>
      <c r="D174" t="s">
        <v>13</v>
      </c>
      <c r="E174" t="s">
        <v>14</v>
      </c>
      <c r="F174" t="s">
        <v>34</v>
      </c>
      <c r="G174" t="s">
        <v>16</v>
      </c>
      <c r="H174">
        <v>320000</v>
      </c>
      <c r="I174">
        <v>3</v>
      </c>
      <c r="J174" t="s">
        <v>39</v>
      </c>
      <c r="K174">
        <f t="shared" si="2"/>
        <v>256000</v>
      </c>
      <c r="L174">
        <f>Sales_Data2[[#This Row],[Unit Price]]*Sales_Data2[[#This Row],[Quantity]]</f>
        <v>960000</v>
      </c>
      <c r="M174">
        <f>Sales_Data2[[#This Row],[Cost Price]]*Sales_Data2[[#This Row],[Quantity]]</f>
        <v>768000</v>
      </c>
      <c r="N174" s="3">
        <f>Sales_Data2[[#This Row],[Revenue]]-Sales_Data2[[#This Row],[COGS]]</f>
        <v>192000</v>
      </c>
      <c r="O1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45848|North|Abuja|Retail|Online|Sofa Classic|Furniture|320000|3|Grace|256000</v>
      </c>
      <c r="P174" s="3" t="str">
        <f>IF(COUNTIF(Sales_Data2[RowKey],Sales_Data2[[#This Row],[RowKey]])&gt;1,"Duplicate","Unique")</f>
        <v>Unique</v>
      </c>
      <c r="Q174" s="3" t="str">
        <f>IF(ISNUMBER(Sales_Data2[[#This Row],[Date]]),"OK","Check")</f>
        <v>OK</v>
      </c>
      <c r="R174" s="3" t="str">
        <f>IF(ISNUMBER(Sales_Data2[[#This Row],[Quantity]]),"OK","Check")</f>
        <v>OK</v>
      </c>
    </row>
    <row r="175" spans="1:18">
      <c r="A175" s="1">
        <v>45849</v>
      </c>
      <c r="B175" t="s">
        <v>11</v>
      </c>
      <c r="C175" t="s">
        <v>12</v>
      </c>
      <c r="D175" t="s">
        <v>13</v>
      </c>
      <c r="E175" t="s">
        <v>14</v>
      </c>
      <c r="F175" t="s">
        <v>36</v>
      </c>
      <c r="G175" t="s">
        <v>31</v>
      </c>
      <c r="H175">
        <v>150000</v>
      </c>
      <c r="I175">
        <v>1</v>
      </c>
      <c r="J175" t="s">
        <v>17</v>
      </c>
      <c r="K175">
        <f t="shared" si="2"/>
        <v>120000</v>
      </c>
      <c r="L175">
        <f>Sales_Data2[[#This Row],[Unit Price]]*Sales_Data2[[#This Row],[Quantity]]</f>
        <v>150000</v>
      </c>
      <c r="M175">
        <f>Sales_Data2[[#This Row],[Cost Price]]*Sales_Data2[[#This Row],[Quantity]]</f>
        <v>120000</v>
      </c>
      <c r="N175" s="3">
        <f>Sales_Data2[[#This Row],[Revenue]]-Sales_Data2[[#This Row],[COGS]]</f>
        <v>30000</v>
      </c>
      <c r="O1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45849|West|Port Harcourt|Retail|Online|Printer P50|Electronics|150000|1|Chidinma|120000</v>
      </c>
      <c r="P175" s="3" t="str">
        <f>IF(COUNTIF(Sales_Data2[RowKey],Sales_Data2[[#This Row],[RowKey]])&gt;1,"Duplicate","Unique")</f>
        <v>Unique</v>
      </c>
      <c r="Q175" s="3" t="str">
        <f>IF(ISNUMBER(Sales_Data2[[#This Row],[Date]]),"OK","Check")</f>
        <v>OK</v>
      </c>
      <c r="R175" s="3" t="str">
        <f>IF(ISNUMBER(Sales_Data2[[#This Row],[Quantity]]),"OK","Check")</f>
        <v>OK</v>
      </c>
    </row>
    <row r="176" spans="1:18">
      <c r="A176" s="1">
        <v>45850</v>
      </c>
      <c r="B176" t="s">
        <v>29</v>
      </c>
      <c r="C176" t="s">
        <v>19</v>
      </c>
      <c r="D176" t="s">
        <v>23</v>
      </c>
      <c r="E176" t="s">
        <v>14</v>
      </c>
      <c r="F176" t="s">
        <v>30</v>
      </c>
      <c r="G176" t="s">
        <v>31</v>
      </c>
      <c r="H176">
        <v>300000</v>
      </c>
      <c r="I176">
        <v>9</v>
      </c>
      <c r="J176" t="s">
        <v>28</v>
      </c>
      <c r="K176">
        <f t="shared" si="2"/>
        <v>240000</v>
      </c>
      <c r="L176">
        <f>Sales_Data2[[#This Row],[Unit Price]]*Sales_Data2[[#This Row],[Quantity]]</f>
        <v>2700000</v>
      </c>
      <c r="M176">
        <f>Sales_Data2[[#This Row],[Cost Price]]*Sales_Data2[[#This Row],[Quantity]]</f>
        <v>2160000</v>
      </c>
      <c r="N176" s="3">
        <f>Sales_Data2[[#This Row],[Revenue]]-Sales_Data2[[#This Row],[COGS]]</f>
        <v>540000</v>
      </c>
      <c r="O1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45850|North|Lagos|Corporate|Online|Desktop PC D21|Electronics|300000|9|Musa|240000</v>
      </c>
      <c r="P176" s="3" t="str">
        <f>IF(COUNTIF(Sales_Data2[RowKey],Sales_Data2[[#This Row],[RowKey]])&gt;1,"Duplicate","Unique")</f>
        <v>Unique</v>
      </c>
      <c r="Q176" s="3" t="str">
        <f>IF(ISNUMBER(Sales_Data2[[#This Row],[Date]]),"OK","Check")</f>
        <v>OK</v>
      </c>
      <c r="R176" s="3" t="str">
        <f>IF(ISNUMBER(Sales_Data2[[#This Row],[Quantity]]),"OK","Check")</f>
        <v>OK</v>
      </c>
    </row>
    <row r="177" spans="1:18">
      <c r="A177" s="1">
        <v>45851</v>
      </c>
      <c r="B177" t="s">
        <v>18</v>
      </c>
      <c r="C177" t="s">
        <v>19</v>
      </c>
      <c r="D177" t="s">
        <v>13</v>
      </c>
      <c r="E177" t="s">
        <v>14</v>
      </c>
      <c r="F177" t="s">
        <v>41</v>
      </c>
      <c r="G177" t="s">
        <v>22</v>
      </c>
      <c r="H177">
        <v>220000</v>
      </c>
      <c r="I177">
        <v>3</v>
      </c>
      <c r="J177" t="s">
        <v>24</v>
      </c>
      <c r="K177">
        <f t="shared" si="2"/>
        <v>176000</v>
      </c>
      <c r="L177">
        <f>Sales_Data2[[#This Row],[Unit Price]]*Sales_Data2[[#This Row],[Quantity]]</f>
        <v>660000</v>
      </c>
      <c r="M177">
        <f>Sales_Data2[[#This Row],[Cost Price]]*Sales_Data2[[#This Row],[Quantity]]</f>
        <v>528000</v>
      </c>
      <c r="N177" s="3">
        <f>Sales_Data2[[#This Row],[Revenue]]-Sales_Data2[[#This Row],[COGS]]</f>
        <v>132000</v>
      </c>
      <c r="O1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45851|East|Lagos|Retail|Online|Refrigerator R55|Home Appliances|220000|3|David|176000</v>
      </c>
      <c r="P177" s="3" t="str">
        <f>IF(COUNTIF(Sales_Data2[RowKey],Sales_Data2[[#This Row],[RowKey]])&gt;1,"Duplicate","Unique")</f>
        <v>Unique</v>
      </c>
      <c r="Q177" s="3" t="str">
        <f>IF(ISNUMBER(Sales_Data2[[#This Row],[Date]]),"OK","Check")</f>
        <v>OK</v>
      </c>
      <c r="R177" s="3" t="str">
        <f>IF(ISNUMBER(Sales_Data2[[#This Row],[Quantity]]),"OK","Check")</f>
        <v>OK</v>
      </c>
    </row>
    <row r="178" spans="1:18">
      <c r="A178" s="1">
        <v>45852</v>
      </c>
      <c r="B178" t="s">
        <v>11</v>
      </c>
      <c r="C178" t="s">
        <v>26</v>
      </c>
      <c r="D178" t="s">
        <v>23</v>
      </c>
      <c r="E178" t="s">
        <v>14</v>
      </c>
      <c r="F178" t="s">
        <v>41</v>
      </c>
      <c r="G178" t="s">
        <v>22</v>
      </c>
      <c r="H178">
        <v>220000</v>
      </c>
      <c r="I178">
        <v>9</v>
      </c>
      <c r="J178" t="s">
        <v>39</v>
      </c>
      <c r="K178">
        <f t="shared" si="2"/>
        <v>176000</v>
      </c>
      <c r="L178">
        <f>Sales_Data2[[#This Row],[Unit Price]]*Sales_Data2[[#This Row],[Quantity]]</f>
        <v>1980000</v>
      </c>
      <c r="M178">
        <f>Sales_Data2[[#This Row],[Cost Price]]*Sales_Data2[[#This Row],[Quantity]]</f>
        <v>1584000</v>
      </c>
      <c r="N178" s="3">
        <f>Sales_Data2[[#This Row],[Revenue]]-Sales_Data2[[#This Row],[COGS]]</f>
        <v>396000</v>
      </c>
      <c r="O1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45852|West|Kano|Corporate|Online|Refrigerator R55|Home Appliances|220000|9|Grace|176000</v>
      </c>
      <c r="P178" s="3" t="str">
        <f>IF(COUNTIF(Sales_Data2[RowKey],Sales_Data2[[#This Row],[RowKey]])&gt;1,"Duplicate","Unique")</f>
        <v>Unique</v>
      </c>
      <c r="Q178" s="3" t="str">
        <f>IF(ISNUMBER(Sales_Data2[[#This Row],[Date]]),"OK","Check")</f>
        <v>OK</v>
      </c>
      <c r="R178" s="3" t="str">
        <f>IF(ISNUMBER(Sales_Data2[[#This Row],[Quantity]]),"OK","Check")</f>
        <v>OK</v>
      </c>
    </row>
    <row r="179" spans="1:18">
      <c r="A179" s="1">
        <v>45853</v>
      </c>
      <c r="B179" t="s">
        <v>18</v>
      </c>
      <c r="C179" t="s">
        <v>26</v>
      </c>
      <c r="D179" t="s">
        <v>23</v>
      </c>
      <c r="E179" t="s">
        <v>20</v>
      </c>
      <c r="F179" t="s">
        <v>27</v>
      </c>
      <c r="G179" t="s">
        <v>22</v>
      </c>
      <c r="H179">
        <v>60000</v>
      </c>
      <c r="I179">
        <v>6</v>
      </c>
      <c r="J179" t="s">
        <v>39</v>
      </c>
      <c r="K179">
        <f t="shared" si="2"/>
        <v>48000</v>
      </c>
      <c r="L179">
        <f>Sales_Data2[[#This Row],[Unit Price]]*Sales_Data2[[#This Row],[Quantity]]</f>
        <v>360000</v>
      </c>
      <c r="M179">
        <f>Sales_Data2[[#This Row],[Cost Price]]*Sales_Data2[[#This Row],[Quantity]]</f>
        <v>288000</v>
      </c>
      <c r="N179" s="3">
        <f>Sales_Data2[[#This Row],[Revenue]]-Sales_Data2[[#This Row],[COGS]]</f>
        <v>72000</v>
      </c>
      <c r="O1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45853|East|Kano|Corporate|Store|Microwave M20|Home Appliances|60000|6|Grace|48000</v>
      </c>
      <c r="P179" s="3" t="str">
        <f>IF(COUNTIF(Sales_Data2[RowKey],Sales_Data2[[#This Row],[RowKey]])&gt;1,"Duplicate","Unique")</f>
        <v>Unique</v>
      </c>
      <c r="Q179" s="3" t="str">
        <f>IF(ISNUMBER(Sales_Data2[[#This Row],[Date]]),"OK","Check")</f>
        <v>OK</v>
      </c>
      <c r="R179" s="3" t="str">
        <f>IF(ISNUMBER(Sales_Data2[[#This Row],[Quantity]]),"OK","Check")</f>
        <v>OK</v>
      </c>
    </row>
    <row r="180" spans="1:18">
      <c r="A180" s="1">
        <v>45854</v>
      </c>
      <c r="B180" t="s">
        <v>29</v>
      </c>
      <c r="C180" t="s">
        <v>26</v>
      </c>
      <c r="D180" t="s">
        <v>13</v>
      </c>
      <c r="E180" t="s">
        <v>20</v>
      </c>
      <c r="F180" t="s">
        <v>21</v>
      </c>
      <c r="G180" t="s">
        <v>22</v>
      </c>
      <c r="H180">
        <v>30000</v>
      </c>
      <c r="I180">
        <v>10</v>
      </c>
      <c r="J180" t="s">
        <v>35</v>
      </c>
      <c r="K180">
        <f t="shared" si="2"/>
        <v>24000</v>
      </c>
      <c r="L180">
        <f>Sales_Data2[[#This Row],[Unit Price]]*Sales_Data2[[#This Row],[Quantity]]</f>
        <v>300000</v>
      </c>
      <c r="M180">
        <f>Sales_Data2[[#This Row],[Cost Price]]*Sales_Data2[[#This Row],[Quantity]]</f>
        <v>240000</v>
      </c>
      <c r="N180" s="3">
        <f>Sales_Data2[[#This Row],[Revenue]]-Sales_Data2[[#This Row],[COGS]]</f>
        <v>60000</v>
      </c>
      <c r="O1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45854|North|Kano|Retail|Store|Blender B10|Home Appliances|30000|10|Peter|24000</v>
      </c>
      <c r="P180" s="3" t="str">
        <f>IF(COUNTIF(Sales_Data2[RowKey],Sales_Data2[[#This Row],[RowKey]])&gt;1,"Duplicate","Unique")</f>
        <v>Unique</v>
      </c>
      <c r="Q180" s="3" t="str">
        <f>IF(ISNUMBER(Sales_Data2[[#This Row],[Date]]),"OK","Check")</f>
        <v>OK</v>
      </c>
      <c r="R180" s="3" t="str">
        <f>IF(ISNUMBER(Sales_Data2[[#This Row],[Quantity]]),"OK","Check")</f>
        <v>OK</v>
      </c>
    </row>
    <row r="181" spans="1:18">
      <c r="A181" s="1">
        <v>45855</v>
      </c>
      <c r="B181" t="s">
        <v>25</v>
      </c>
      <c r="C181" t="s">
        <v>26</v>
      </c>
      <c r="D181" t="s">
        <v>23</v>
      </c>
      <c r="E181" t="s">
        <v>20</v>
      </c>
      <c r="F181" t="s">
        <v>38</v>
      </c>
      <c r="G181" t="s">
        <v>31</v>
      </c>
      <c r="H181">
        <v>420000</v>
      </c>
      <c r="I181">
        <v>8</v>
      </c>
      <c r="J181" t="s">
        <v>39</v>
      </c>
      <c r="K181">
        <f t="shared" si="2"/>
        <v>336000</v>
      </c>
      <c r="L181">
        <f>Sales_Data2[[#This Row],[Unit Price]]*Sales_Data2[[#This Row],[Quantity]]</f>
        <v>3360000</v>
      </c>
      <c r="M181">
        <f>Sales_Data2[[#This Row],[Cost Price]]*Sales_Data2[[#This Row],[Quantity]]</f>
        <v>2688000</v>
      </c>
      <c r="N181" s="3">
        <f>Sales_Data2[[#This Row],[Revenue]]-Sales_Data2[[#This Row],[COGS]]</f>
        <v>672000</v>
      </c>
      <c r="O1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45855|South|Kano|Corporate|Store|Laptop A13|Electronics|420000|8|Grace|336000</v>
      </c>
      <c r="P181" s="3" t="str">
        <f>IF(COUNTIF(Sales_Data2[RowKey],Sales_Data2[[#This Row],[RowKey]])&gt;1,"Duplicate","Unique")</f>
        <v>Unique</v>
      </c>
      <c r="Q181" s="3" t="str">
        <f>IF(ISNUMBER(Sales_Data2[[#This Row],[Date]]),"OK","Check")</f>
        <v>OK</v>
      </c>
      <c r="R181" s="3" t="str">
        <f>IF(ISNUMBER(Sales_Data2[[#This Row],[Quantity]]),"OK","Check")</f>
        <v>OK</v>
      </c>
    </row>
    <row r="182" spans="1:18">
      <c r="A182" s="1">
        <v>45856</v>
      </c>
      <c r="B182" t="s">
        <v>25</v>
      </c>
      <c r="C182" t="s">
        <v>26</v>
      </c>
      <c r="D182" t="s">
        <v>23</v>
      </c>
      <c r="E182" t="s">
        <v>14</v>
      </c>
      <c r="F182" t="s">
        <v>27</v>
      </c>
      <c r="G182" t="s">
        <v>22</v>
      </c>
      <c r="H182">
        <v>60000</v>
      </c>
      <c r="I182">
        <v>9</v>
      </c>
      <c r="J182" t="s">
        <v>17</v>
      </c>
      <c r="K182">
        <f t="shared" si="2"/>
        <v>48000</v>
      </c>
      <c r="L182">
        <f>Sales_Data2[[#This Row],[Unit Price]]*Sales_Data2[[#This Row],[Quantity]]</f>
        <v>540000</v>
      </c>
      <c r="M182">
        <f>Sales_Data2[[#This Row],[Cost Price]]*Sales_Data2[[#This Row],[Quantity]]</f>
        <v>432000</v>
      </c>
      <c r="N182" s="3">
        <f>Sales_Data2[[#This Row],[Revenue]]-Sales_Data2[[#This Row],[COGS]]</f>
        <v>108000</v>
      </c>
      <c r="O1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45856|South|Kano|Corporate|Online|Microwave M20|Home Appliances|60000|9|Chidinma|48000</v>
      </c>
      <c r="P182" s="3" t="str">
        <f>IF(COUNTIF(Sales_Data2[RowKey],Sales_Data2[[#This Row],[RowKey]])&gt;1,"Duplicate","Unique")</f>
        <v>Unique</v>
      </c>
      <c r="Q182" s="3" t="str">
        <f>IF(ISNUMBER(Sales_Data2[[#This Row],[Date]]),"OK","Check")</f>
        <v>OK</v>
      </c>
      <c r="R182" s="3" t="str">
        <f>IF(ISNUMBER(Sales_Data2[[#This Row],[Quantity]]),"OK","Check")</f>
        <v>OK</v>
      </c>
    </row>
    <row r="183" spans="1:18">
      <c r="A183" s="1">
        <v>45857</v>
      </c>
      <c r="B183" t="s">
        <v>18</v>
      </c>
      <c r="C183" t="s">
        <v>26</v>
      </c>
      <c r="D183" t="s">
        <v>23</v>
      </c>
      <c r="E183" t="s">
        <v>14</v>
      </c>
      <c r="F183" t="s">
        <v>40</v>
      </c>
      <c r="G183" t="s">
        <v>31</v>
      </c>
      <c r="H183">
        <v>250000</v>
      </c>
      <c r="I183">
        <v>1</v>
      </c>
      <c r="J183" t="s">
        <v>35</v>
      </c>
      <c r="K183">
        <f t="shared" si="2"/>
        <v>200000</v>
      </c>
      <c r="L183">
        <f>Sales_Data2[[#This Row],[Unit Price]]*Sales_Data2[[#This Row],[Quantity]]</f>
        <v>250000</v>
      </c>
      <c r="M183">
        <f>Sales_Data2[[#This Row],[Cost Price]]*Sales_Data2[[#This Row],[Quantity]]</f>
        <v>200000</v>
      </c>
      <c r="N183" s="3">
        <f>Sales_Data2[[#This Row],[Revenue]]-Sales_Data2[[#This Row],[COGS]]</f>
        <v>50000</v>
      </c>
      <c r="O1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45857|East|Kano|Corporate|Online|Smartphone Z10|Electronics|250000|1|Peter|200000</v>
      </c>
      <c r="P183" s="3" t="str">
        <f>IF(COUNTIF(Sales_Data2[RowKey],Sales_Data2[[#This Row],[RowKey]])&gt;1,"Duplicate","Unique")</f>
        <v>Unique</v>
      </c>
      <c r="Q183" s="3" t="str">
        <f>IF(ISNUMBER(Sales_Data2[[#This Row],[Date]]),"OK","Check")</f>
        <v>OK</v>
      </c>
      <c r="R183" s="3" t="str">
        <f>IF(ISNUMBER(Sales_Data2[[#This Row],[Quantity]]),"OK","Check")</f>
        <v>OK</v>
      </c>
    </row>
    <row r="184" spans="1:18">
      <c r="A184" s="1">
        <v>45858</v>
      </c>
      <c r="B184" t="s">
        <v>25</v>
      </c>
      <c r="C184" t="s">
        <v>26</v>
      </c>
      <c r="D184" t="s">
        <v>13</v>
      </c>
      <c r="E184" t="s">
        <v>14</v>
      </c>
      <c r="F184" t="s">
        <v>27</v>
      </c>
      <c r="G184" t="s">
        <v>22</v>
      </c>
      <c r="H184">
        <v>60000</v>
      </c>
      <c r="I184">
        <v>1</v>
      </c>
      <c r="J184" t="s">
        <v>39</v>
      </c>
      <c r="K184">
        <f t="shared" si="2"/>
        <v>48000</v>
      </c>
      <c r="L184">
        <f>Sales_Data2[[#This Row],[Unit Price]]*Sales_Data2[[#This Row],[Quantity]]</f>
        <v>60000</v>
      </c>
      <c r="M184">
        <f>Sales_Data2[[#This Row],[Cost Price]]*Sales_Data2[[#This Row],[Quantity]]</f>
        <v>48000</v>
      </c>
      <c r="N184" s="3">
        <f>Sales_Data2[[#This Row],[Revenue]]-Sales_Data2[[#This Row],[COGS]]</f>
        <v>12000</v>
      </c>
      <c r="O1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45858|South|Kano|Retail|Online|Microwave M20|Home Appliances|60000|1|Grace|48000</v>
      </c>
      <c r="P184" s="3" t="str">
        <f>IF(COUNTIF(Sales_Data2[RowKey],Sales_Data2[[#This Row],[RowKey]])&gt;1,"Duplicate","Unique")</f>
        <v>Unique</v>
      </c>
      <c r="Q184" s="3" t="str">
        <f>IF(ISNUMBER(Sales_Data2[[#This Row],[Date]]),"OK","Check")</f>
        <v>OK</v>
      </c>
      <c r="R184" s="3" t="str">
        <f>IF(ISNUMBER(Sales_Data2[[#This Row],[Quantity]]),"OK","Check")</f>
        <v>OK</v>
      </c>
    </row>
    <row r="185" spans="1:18">
      <c r="A185" s="1">
        <v>45859</v>
      </c>
      <c r="B185" t="s">
        <v>25</v>
      </c>
      <c r="C185" t="s">
        <v>32</v>
      </c>
      <c r="D185" t="s">
        <v>13</v>
      </c>
      <c r="E185" t="s">
        <v>14</v>
      </c>
      <c r="F185" t="s">
        <v>38</v>
      </c>
      <c r="G185" t="s">
        <v>31</v>
      </c>
      <c r="H185">
        <v>420000</v>
      </c>
      <c r="I185">
        <v>8</v>
      </c>
      <c r="J185" t="s">
        <v>39</v>
      </c>
      <c r="K185">
        <f t="shared" si="2"/>
        <v>336000</v>
      </c>
      <c r="L185">
        <f>Sales_Data2[[#This Row],[Unit Price]]*Sales_Data2[[#This Row],[Quantity]]</f>
        <v>3360000</v>
      </c>
      <c r="M185">
        <f>Sales_Data2[[#This Row],[Cost Price]]*Sales_Data2[[#This Row],[Quantity]]</f>
        <v>2688000</v>
      </c>
      <c r="N185" s="3">
        <f>Sales_Data2[[#This Row],[Revenue]]-Sales_Data2[[#This Row],[COGS]]</f>
        <v>672000</v>
      </c>
      <c r="O1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45859|South|Abuja|Retail|Online|Laptop A13|Electronics|420000|8|Grace|336000</v>
      </c>
      <c r="P185" s="3" t="str">
        <f>IF(COUNTIF(Sales_Data2[RowKey],Sales_Data2[[#This Row],[RowKey]])&gt;1,"Duplicate","Unique")</f>
        <v>Unique</v>
      </c>
      <c r="Q185" s="3" t="str">
        <f>IF(ISNUMBER(Sales_Data2[[#This Row],[Date]]),"OK","Check")</f>
        <v>OK</v>
      </c>
      <c r="R185" s="3" t="str">
        <f>IF(ISNUMBER(Sales_Data2[[#This Row],[Quantity]]),"OK","Check")</f>
        <v>OK</v>
      </c>
    </row>
    <row r="186" spans="1:18">
      <c r="A186" s="1">
        <v>45860</v>
      </c>
      <c r="B186" t="s">
        <v>25</v>
      </c>
      <c r="C186" t="s">
        <v>12</v>
      </c>
      <c r="D186" t="s">
        <v>23</v>
      </c>
      <c r="E186" t="s">
        <v>20</v>
      </c>
      <c r="F186" t="s">
        <v>33</v>
      </c>
      <c r="G186" t="s">
        <v>22</v>
      </c>
      <c r="H186">
        <v>180000</v>
      </c>
      <c r="I186">
        <v>4</v>
      </c>
      <c r="J186" t="s">
        <v>39</v>
      </c>
      <c r="K186">
        <f t="shared" si="2"/>
        <v>144000</v>
      </c>
      <c r="L186">
        <f>Sales_Data2[[#This Row],[Unit Price]]*Sales_Data2[[#This Row],[Quantity]]</f>
        <v>720000</v>
      </c>
      <c r="M186">
        <f>Sales_Data2[[#This Row],[Cost Price]]*Sales_Data2[[#This Row],[Quantity]]</f>
        <v>576000</v>
      </c>
      <c r="N186" s="3">
        <f>Sales_Data2[[#This Row],[Revenue]]-Sales_Data2[[#This Row],[COGS]]</f>
        <v>144000</v>
      </c>
      <c r="O1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45860|South|Port Harcourt|Corporate|Store|Air Conditioner X2|Home Appliances|180000|4|Grace|144000</v>
      </c>
      <c r="P186" s="3" t="str">
        <f>IF(COUNTIF(Sales_Data2[RowKey],Sales_Data2[[#This Row],[RowKey]])&gt;1,"Duplicate","Unique")</f>
        <v>Unique</v>
      </c>
      <c r="Q186" s="3" t="str">
        <f>IF(ISNUMBER(Sales_Data2[[#This Row],[Date]]),"OK","Check")</f>
        <v>OK</v>
      </c>
      <c r="R186" s="3" t="str">
        <f>IF(ISNUMBER(Sales_Data2[[#This Row],[Quantity]]),"OK","Check")</f>
        <v>OK</v>
      </c>
    </row>
    <row r="187" spans="1:18">
      <c r="A187" s="1">
        <v>45861</v>
      </c>
      <c r="B187" t="s">
        <v>18</v>
      </c>
      <c r="C187" t="s">
        <v>26</v>
      </c>
      <c r="D187" t="s">
        <v>13</v>
      </c>
      <c r="E187" t="s">
        <v>20</v>
      </c>
      <c r="F187" t="s">
        <v>33</v>
      </c>
      <c r="G187" t="s">
        <v>22</v>
      </c>
      <c r="H187">
        <v>180000</v>
      </c>
      <c r="I187">
        <v>7</v>
      </c>
      <c r="J187" t="s">
        <v>39</v>
      </c>
      <c r="K187">
        <f t="shared" si="2"/>
        <v>144000</v>
      </c>
      <c r="L187">
        <f>Sales_Data2[[#This Row],[Unit Price]]*Sales_Data2[[#This Row],[Quantity]]</f>
        <v>1260000</v>
      </c>
      <c r="M187">
        <f>Sales_Data2[[#This Row],[Cost Price]]*Sales_Data2[[#This Row],[Quantity]]</f>
        <v>1008000</v>
      </c>
      <c r="N187" s="3">
        <f>Sales_Data2[[#This Row],[Revenue]]-Sales_Data2[[#This Row],[COGS]]</f>
        <v>252000</v>
      </c>
      <c r="O1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45861|East|Kano|Retail|Store|Air Conditioner X2|Home Appliances|180000|7|Grace|144000</v>
      </c>
      <c r="P187" s="3" t="str">
        <f>IF(COUNTIF(Sales_Data2[RowKey],Sales_Data2[[#This Row],[RowKey]])&gt;1,"Duplicate","Unique")</f>
        <v>Unique</v>
      </c>
      <c r="Q187" s="3" t="str">
        <f>IF(ISNUMBER(Sales_Data2[[#This Row],[Date]]),"OK","Check")</f>
        <v>OK</v>
      </c>
      <c r="R187" s="3" t="str">
        <f>IF(ISNUMBER(Sales_Data2[[#This Row],[Quantity]]),"OK","Check")</f>
        <v>OK</v>
      </c>
    </row>
    <row r="188" spans="1:18">
      <c r="A188" s="1">
        <v>45862</v>
      </c>
      <c r="B188" t="s">
        <v>29</v>
      </c>
      <c r="C188" t="s">
        <v>26</v>
      </c>
      <c r="D188" t="s">
        <v>13</v>
      </c>
      <c r="E188" t="s">
        <v>14</v>
      </c>
      <c r="F188" t="s">
        <v>21</v>
      </c>
      <c r="G188" t="s">
        <v>22</v>
      </c>
      <c r="H188">
        <v>30000</v>
      </c>
      <c r="I188">
        <v>6</v>
      </c>
      <c r="J188" t="s">
        <v>37</v>
      </c>
      <c r="K188">
        <f t="shared" si="2"/>
        <v>24000</v>
      </c>
      <c r="L188">
        <f>Sales_Data2[[#This Row],[Unit Price]]*Sales_Data2[[#This Row],[Quantity]]</f>
        <v>180000</v>
      </c>
      <c r="M188">
        <f>Sales_Data2[[#This Row],[Cost Price]]*Sales_Data2[[#This Row],[Quantity]]</f>
        <v>144000</v>
      </c>
      <c r="N188" s="3">
        <f>Sales_Data2[[#This Row],[Revenue]]-Sales_Data2[[#This Row],[COGS]]</f>
        <v>36000</v>
      </c>
      <c r="O1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45862|North|Kano|Retail|Online|Blender B10|Home Appliances|30000|6|Aisha|24000</v>
      </c>
      <c r="P188" s="3" t="str">
        <f>IF(COUNTIF(Sales_Data2[RowKey],Sales_Data2[[#This Row],[RowKey]])&gt;1,"Duplicate","Unique")</f>
        <v>Unique</v>
      </c>
      <c r="Q188" s="3" t="str">
        <f>IF(ISNUMBER(Sales_Data2[[#This Row],[Date]]),"OK","Check")</f>
        <v>OK</v>
      </c>
      <c r="R188" s="3" t="str">
        <f>IF(ISNUMBER(Sales_Data2[[#This Row],[Quantity]]),"OK","Check")</f>
        <v>OK</v>
      </c>
    </row>
    <row r="189" spans="1:18">
      <c r="A189" s="1">
        <v>45863</v>
      </c>
      <c r="B189" t="s">
        <v>18</v>
      </c>
      <c r="C189" t="s">
        <v>12</v>
      </c>
      <c r="D189" t="s">
        <v>13</v>
      </c>
      <c r="E189" t="s">
        <v>14</v>
      </c>
      <c r="F189" t="s">
        <v>33</v>
      </c>
      <c r="G189" t="s">
        <v>22</v>
      </c>
      <c r="H189">
        <v>180000</v>
      </c>
      <c r="I189">
        <v>4</v>
      </c>
      <c r="J189" t="s">
        <v>24</v>
      </c>
      <c r="K189">
        <f t="shared" si="2"/>
        <v>144000</v>
      </c>
      <c r="L189">
        <f>Sales_Data2[[#This Row],[Unit Price]]*Sales_Data2[[#This Row],[Quantity]]</f>
        <v>720000</v>
      </c>
      <c r="M189">
        <f>Sales_Data2[[#This Row],[Cost Price]]*Sales_Data2[[#This Row],[Quantity]]</f>
        <v>576000</v>
      </c>
      <c r="N189" s="3">
        <f>Sales_Data2[[#This Row],[Revenue]]-Sales_Data2[[#This Row],[COGS]]</f>
        <v>144000</v>
      </c>
      <c r="O1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45863|East|Port Harcourt|Retail|Online|Air Conditioner X2|Home Appliances|180000|4|David|144000</v>
      </c>
      <c r="P189" s="3" t="str">
        <f>IF(COUNTIF(Sales_Data2[RowKey],Sales_Data2[[#This Row],[RowKey]])&gt;1,"Duplicate","Unique")</f>
        <v>Unique</v>
      </c>
      <c r="Q189" s="3" t="str">
        <f>IF(ISNUMBER(Sales_Data2[[#This Row],[Date]]),"OK","Check")</f>
        <v>OK</v>
      </c>
      <c r="R189" s="3" t="str">
        <f>IF(ISNUMBER(Sales_Data2[[#This Row],[Quantity]]),"OK","Check")</f>
        <v>OK</v>
      </c>
    </row>
    <row r="190" spans="1:18">
      <c r="A190" s="1">
        <v>45864</v>
      </c>
      <c r="B190" t="s">
        <v>18</v>
      </c>
      <c r="C190" t="s">
        <v>32</v>
      </c>
      <c r="D190" t="s">
        <v>23</v>
      </c>
      <c r="E190" t="s">
        <v>20</v>
      </c>
      <c r="F190" t="s">
        <v>30</v>
      </c>
      <c r="G190" t="s">
        <v>31</v>
      </c>
      <c r="H190">
        <v>300000</v>
      </c>
      <c r="I190">
        <v>3</v>
      </c>
      <c r="J190" t="s">
        <v>28</v>
      </c>
      <c r="K190">
        <f t="shared" si="2"/>
        <v>240000</v>
      </c>
      <c r="L190">
        <f>Sales_Data2[[#This Row],[Unit Price]]*Sales_Data2[[#This Row],[Quantity]]</f>
        <v>900000</v>
      </c>
      <c r="M190">
        <f>Sales_Data2[[#This Row],[Cost Price]]*Sales_Data2[[#This Row],[Quantity]]</f>
        <v>720000</v>
      </c>
      <c r="N190" s="3">
        <f>Sales_Data2[[#This Row],[Revenue]]-Sales_Data2[[#This Row],[COGS]]</f>
        <v>180000</v>
      </c>
      <c r="O1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45864|East|Abuja|Corporate|Store|Desktop PC D21|Electronics|300000|3|Musa|240000</v>
      </c>
      <c r="P190" s="3" t="str">
        <f>IF(COUNTIF(Sales_Data2[RowKey],Sales_Data2[[#This Row],[RowKey]])&gt;1,"Duplicate","Unique")</f>
        <v>Unique</v>
      </c>
      <c r="Q190" s="3" t="str">
        <f>IF(ISNUMBER(Sales_Data2[[#This Row],[Date]]),"OK","Check")</f>
        <v>OK</v>
      </c>
      <c r="R190" s="3" t="str">
        <f>IF(ISNUMBER(Sales_Data2[[#This Row],[Quantity]]),"OK","Check")</f>
        <v>OK</v>
      </c>
    </row>
    <row r="191" spans="1:18">
      <c r="A191" s="1">
        <v>45865</v>
      </c>
      <c r="B191" t="s">
        <v>11</v>
      </c>
      <c r="C191" t="s">
        <v>19</v>
      </c>
      <c r="D191" t="s">
        <v>13</v>
      </c>
      <c r="E191" t="s">
        <v>14</v>
      </c>
      <c r="F191" t="s">
        <v>27</v>
      </c>
      <c r="G191" t="s">
        <v>22</v>
      </c>
      <c r="H191">
        <v>60000</v>
      </c>
      <c r="I191">
        <v>3</v>
      </c>
      <c r="J191" t="s">
        <v>17</v>
      </c>
      <c r="K191">
        <f t="shared" si="2"/>
        <v>48000</v>
      </c>
      <c r="L191">
        <f>Sales_Data2[[#This Row],[Unit Price]]*Sales_Data2[[#This Row],[Quantity]]</f>
        <v>180000</v>
      </c>
      <c r="M191">
        <f>Sales_Data2[[#This Row],[Cost Price]]*Sales_Data2[[#This Row],[Quantity]]</f>
        <v>144000</v>
      </c>
      <c r="N191" s="3">
        <f>Sales_Data2[[#This Row],[Revenue]]-Sales_Data2[[#This Row],[COGS]]</f>
        <v>36000</v>
      </c>
      <c r="O1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45865|West|Lagos|Retail|Online|Microwave M20|Home Appliances|60000|3|Chidinma|48000</v>
      </c>
      <c r="P191" s="3" t="str">
        <f>IF(COUNTIF(Sales_Data2[RowKey],Sales_Data2[[#This Row],[RowKey]])&gt;1,"Duplicate","Unique")</f>
        <v>Unique</v>
      </c>
      <c r="Q191" s="3" t="str">
        <f>IF(ISNUMBER(Sales_Data2[[#This Row],[Date]]),"OK","Check")</f>
        <v>OK</v>
      </c>
      <c r="R191" s="3" t="str">
        <f>IF(ISNUMBER(Sales_Data2[[#This Row],[Quantity]]),"OK","Check")</f>
        <v>OK</v>
      </c>
    </row>
    <row r="192" spans="1:18">
      <c r="A192" s="1">
        <v>45866</v>
      </c>
      <c r="B192" t="s">
        <v>18</v>
      </c>
      <c r="C192" t="s">
        <v>12</v>
      </c>
      <c r="D192" t="s">
        <v>23</v>
      </c>
      <c r="E192" t="s">
        <v>14</v>
      </c>
      <c r="F192" t="s">
        <v>41</v>
      </c>
      <c r="G192" t="s">
        <v>22</v>
      </c>
      <c r="H192">
        <v>220000</v>
      </c>
      <c r="I192">
        <v>1</v>
      </c>
      <c r="J192" t="s">
        <v>28</v>
      </c>
      <c r="K192">
        <f t="shared" si="2"/>
        <v>176000</v>
      </c>
      <c r="L192">
        <f>Sales_Data2[[#This Row],[Unit Price]]*Sales_Data2[[#This Row],[Quantity]]</f>
        <v>220000</v>
      </c>
      <c r="M192">
        <f>Sales_Data2[[#This Row],[Cost Price]]*Sales_Data2[[#This Row],[Quantity]]</f>
        <v>176000</v>
      </c>
      <c r="N192" s="3">
        <f>Sales_Data2[[#This Row],[Revenue]]-Sales_Data2[[#This Row],[COGS]]</f>
        <v>44000</v>
      </c>
      <c r="O1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45866|East|Port Harcourt|Corporate|Online|Refrigerator R55|Home Appliances|220000|1|Musa|176000</v>
      </c>
      <c r="P192" s="3" t="str">
        <f>IF(COUNTIF(Sales_Data2[RowKey],Sales_Data2[[#This Row],[RowKey]])&gt;1,"Duplicate","Unique")</f>
        <v>Unique</v>
      </c>
      <c r="Q192" s="3" t="str">
        <f>IF(ISNUMBER(Sales_Data2[[#This Row],[Date]]),"OK","Check")</f>
        <v>OK</v>
      </c>
      <c r="R192" s="3" t="str">
        <f>IF(ISNUMBER(Sales_Data2[[#This Row],[Quantity]]),"OK","Check")</f>
        <v>OK</v>
      </c>
    </row>
    <row r="193" spans="1:18">
      <c r="A193" s="1">
        <v>45867</v>
      </c>
      <c r="B193" t="s">
        <v>29</v>
      </c>
      <c r="C193" t="s">
        <v>19</v>
      </c>
      <c r="D193" t="s">
        <v>13</v>
      </c>
      <c r="E193" t="s">
        <v>14</v>
      </c>
      <c r="F193" t="s">
        <v>30</v>
      </c>
      <c r="G193" t="s">
        <v>31</v>
      </c>
      <c r="H193">
        <v>300000</v>
      </c>
      <c r="I193">
        <v>2</v>
      </c>
      <c r="J193" t="s">
        <v>24</v>
      </c>
      <c r="K193">
        <f t="shared" si="2"/>
        <v>240000</v>
      </c>
      <c r="L193">
        <f>Sales_Data2[[#This Row],[Unit Price]]*Sales_Data2[[#This Row],[Quantity]]</f>
        <v>600000</v>
      </c>
      <c r="M193">
        <f>Sales_Data2[[#This Row],[Cost Price]]*Sales_Data2[[#This Row],[Quantity]]</f>
        <v>480000</v>
      </c>
      <c r="N193" s="3">
        <f>Sales_Data2[[#This Row],[Revenue]]-Sales_Data2[[#This Row],[COGS]]</f>
        <v>120000</v>
      </c>
      <c r="O1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45867|North|Lagos|Retail|Online|Desktop PC D21|Electronics|300000|2|David|240000</v>
      </c>
      <c r="P193" s="3" t="str">
        <f>IF(COUNTIF(Sales_Data2[RowKey],Sales_Data2[[#This Row],[RowKey]])&gt;1,"Duplicate","Unique")</f>
        <v>Unique</v>
      </c>
      <c r="Q193" s="3" t="str">
        <f>IF(ISNUMBER(Sales_Data2[[#This Row],[Date]]),"OK","Check")</f>
        <v>OK</v>
      </c>
      <c r="R193" s="3" t="str">
        <f>IF(ISNUMBER(Sales_Data2[[#This Row],[Quantity]]),"OK","Check")</f>
        <v>OK</v>
      </c>
    </row>
    <row r="194" spans="1:18">
      <c r="A194" s="1">
        <v>45868</v>
      </c>
      <c r="B194" t="s">
        <v>25</v>
      </c>
      <c r="C194" t="s">
        <v>26</v>
      </c>
      <c r="D194" t="s">
        <v>13</v>
      </c>
      <c r="E194" t="s">
        <v>14</v>
      </c>
      <c r="F194" t="s">
        <v>36</v>
      </c>
      <c r="G194" t="s">
        <v>31</v>
      </c>
      <c r="H194">
        <v>150000</v>
      </c>
      <c r="I194">
        <v>3</v>
      </c>
      <c r="J194" t="s">
        <v>24</v>
      </c>
      <c r="K194">
        <f t="shared" ref="K194:K257" si="3">H194-H194*0.2</f>
        <v>120000</v>
      </c>
      <c r="L194">
        <f>Sales_Data2[[#This Row],[Unit Price]]*Sales_Data2[[#This Row],[Quantity]]</f>
        <v>450000</v>
      </c>
      <c r="M194">
        <f>Sales_Data2[[#This Row],[Cost Price]]*Sales_Data2[[#This Row],[Quantity]]</f>
        <v>360000</v>
      </c>
      <c r="N194" s="3">
        <f>Sales_Data2[[#This Row],[Revenue]]-Sales_Data2[[#This Row],[COGS]]</f>
        <v>90000</v>
      </c>
      <c r="O1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45868|South|Kano|Retail|Online|Printer P50|Electronics|150000|3|David|120000</v>
      </c>
      <c r="P194" s="3" t="str">
        <f>IF(COUNTIF(Sales_Data2[RowKey],Sales_Data2[[#This Row],[RowKey]])&gt;1,"Duplicate","Unique")</f>
        <v>Unique</v>
      </c>
      <c r="Q194" s="3" t="str">
        <f>IF(ISNUMBER(Sales_Data2[[#This Row],[Date]]),"OK","Check")</f>
        <v>OK</v>
      </c>
      <c r="R194" s="3" t="str">
        <f>IF(ISNUMBER(Sales_Data2[[#This Row],[Quantity]]),"OK","Check")</f>
        <v>OK</v>
      </c>
    </row>
    <row r="195" spans="1:18">
      <c r="A195" s="1">
        <v>45869</v>
      </c>
      <c r="B195" t="s">
        <v>29</v>
      </c>
      <c r="C195" t="s">
        <v>19</v>
      </c>
      <c r="D195" t="s">
        <v>23</v>
      </c>
      <c r="E195" t="s">
        <v>14</v>
      </c>
      <c r="F195" t="s">
        <v>15</v>
      </c>
      <c r="G195" t="s">
        <v>16</v>
      </c>
      <c r="H195">
        <v>85000</v>
      </c>
      <c r="I195">
        <v>1</v>
      </c>
      <c r="J195" t="s">
        <v>24</v>
      </c>
      <c r="K195">
        <f t="shared" si="3"/>
        <v>68000</v>
      </c>
      <c r="L195">
        <f>Sales_Data2[[#This Row],[Unit Price]]*Sales_Data2[[#This Row],[Quantity]]</f>
        <v>85000</v>
      </c>
      <c r="M195">
        <f>Sales_Data2[[#This Row],[Cost Price]]*Sales_Data2[[#This Row],[Quantity]]</f>
        <v>68000</v>
      </c>
      <c r="N195" s="3">
        <f>Sales_Data2[[#This Row],[Revenue]]-Sales_Data2[[#This Row],[COGS]]</f>
        <v>17000</v>
      </c>
      <c r="O1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45869|North|Lagos|Corporate|Online|Office Chair Pro|Furniture|85000|1|David|68000</v>
      </c>
      <c r="P195" s="3" t="str">
        <f>IF(COUNTIF(Sales_Data2[RowKey],Sales_Data2[[#This Row],[RowKey]])&gt;1,"Duplicate","Unique")</f>
        <v>Unique</v>
      </c>
      <c r="Q195" s="3" t="str">
        <f>IF(ISNUMBER(Sales_Data2[[#This Row],[Date]]),"OK","Check")</f>
        <v>OK</v>
      </c>
      <c r="R195" s="3" t="str">
        <f>IF(ISNUMBER(Sales_Data2[[#This Row],[Quantity]]),"OK","Check")</f>
        <v>OK</v>
      </c>
    </row>
    <row r="196" spans="1:18">
      <c r="A196" s="1">
        <v>45870</v>
      </c>
      <c r="B196" t="s">
        <v>25</v>
      </c>
      <c r="C196" t="s">
        <v>19</v>
      </c>
      <c r="D196" t="s">
        <v>13</v>
      </c>
      <c r="E196" t="s">
        <v>20</v>
      </c>
      <c r="F196" t="s">
        <v>21</v>
      </c>
      <c r="G196" t="s">
        <v>22</v>
      </c>
      <c r="H196">
        <v>30000</v>
      </c>
      <c r="I196">
        <v>6</v>
      </c>
      <c r="J196" t="s">
        <v>17</v>
      </c>
      <c r="K196">
        <f t="shared" si="3"/>
        <v>24000</v>
      </c>
      <c r="L196">
        <f>Sales_Data2[[#This Row],[Unit Price]]*Sales_Data2[[#This Row],[Quantity]]</f>
        <v>180000</v>
      </c>
      <c r="M196">
        <f>Sales_Data2[[#This Row],[Cost Price]]*Sales_Data2[[#This Row],[Quantity]]</f>
        <v>144000</v>
      </c>
      <c r="N196" s="3">
        <f>Sales_Data2[[#This Row],[Revenue]]-Sales_Data2[[#This Row],[COGS]]</f>
        <v>36000</v>
      </c>
      <c r="O1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45870|South|Lagos|Retail|Store|Blender B10|Home Appliances|30000|6|Chidinma|24000</v>
      </c>
      <c r="P196" s="3" t="str">
        <f>IF(COUNTIF(Sales_Data2[RowKey],Sales_Data2[[#This Row],[RowKey]])&gt;1,"Duplicate","Unique")</f>
        <v>Unique</v>
      </c>
      <c r="Q196" s="3" t="str">
        <f>IF(ISNUMBER(Sales_Data2[[#This Row],[Date]]),"OK","Check")</f>
        <v>OK</v>
      </c>
      <c r="R196" s="3" t="str">
        <f>IF(ISNUMBER(Sales_Data2[[#This Row],[Quantity]]),"OK","Check")</f>
        <v>OK</v>
      </c>
    </row>
    <row r="197" spans="1:18">
      <c r="A197" s="1">
        <v>45871</v>
      </c>
      <c r="B197" t="s">
        <v>11</v>
      </c>
      <c r="C197" t="s">
        <v>26</v>
      </c>
      <c r="D197" t="s">
        <v>23</v>
      </c>
      <c r="E197" t="s">
        <v>14</v>
      </c>
      <c r="F197" t="s">
        <v>36</v>
      </c>
      <c r="G197" t="s">
        <v>31</v>
      </c>
      <c r="H197">
        <v>150000</v>
      </c>
      <c r="I197">
        <v>5</v>
      </c>
      <c r="J197" t="s">
        <v>28</v>
      </c>
      <c r="K197">
        <f t="shared" si="3"/>
        <v>120000</v>
      </c>
      <c r="L197">
        <f>Sales_Data2[[#This Row],[Unit Price]]*Sales_Data2[[#This Row],[Quantity]]</f>
        <v>750000</v>
      </c>
      <c r="M197">
        <f>Sales_Data2[[#This Row],[Cost Price]]*Sales_Data2[[#This Row],[Quantity]]</f>
        <v>600000</v>
      </c>
      <c r="N197" s="3">
        <f>Sales_Data2[[#This Row],[Revenue]]-Sales_Data2[[#This Row],[COGS]]</f>
        <v>150000</v>
      </c>
      <c r="O1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45871|West|Kano|Corporate|Online|Printer P50|Electronics|150000|5|Musa|120000</v>
      </c>
      <c r="P197" s="3" t="str">
        <f>IF(COUNTIF(Sales_Data2[RowKey],Sales_Data2[[#This Row],[RowKey]])&gt;1,"Duplicate","Unique")</f>
        <v>Unique</v>
      </c>
      <c r="Q197" s="3" t="str">
        <f>IF(ISNUMBER(Sales_Data2[[#This Row],[Date]]),"OK","Check")</f>
        <v>OK</v>
      </c>
      <c r="R197" s="3" t="str">
        <f>IF(ISNUMBER(Sales_Data2[[#This Row],[Quantity]]),"OK","Check")</f>
        <v>OK</v>
      </c>
    </row>
    <row r="198" spans="1:18">
      <c r="A198" s="1">
        <v>45872</v>
      </c>
      <c r="B198" t="s">
        <v>11</v>
      </c>
      <c r="C198" t="s">
        <v>19</v>
      </c>
      <c r="D198" t="s">
        <v>13</v>
      </c>
      <c r="E198" t="s">
        <v>20</v>
      </c>
      <c r="F198" t="s">
        <v>21</v>
      </c>
      <c r="G198" t="s">
        <v>22</v>
      </c>
      <c r="H198">
        <v>30000</v>
      </c>
      <c r="I198">
        <v>5</v>
      </c>
      <c r="J198" t="s">
        <v>37</v>
      </c>
      <c r="K198">
        <f t="shared" si="3"/>
        <v>24000</v>
      </c>
      <c r="L198">
        <f>Sales_Data2[[#This Row],[Unit Price]]*Sales_Data2[[#This Row],[Quantity]]</f>
        <v>150000</v>
      </c>
      <c r="M198">
        <f>Sales_Data2[[#This Row],[Cost Price]]*Sales_Data2[[#This Row],[Quantity]]</f>
        <v>120000</v>
      </c>
      <c r="N198" s="3">
        <f>Sales_Data2[[#This Row],[Revenue]]-Sales_Data2[[#This Row],[COGS]]</f>
        <v>30000</v>
      </c>
      <c r="O1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45872|West|Lagos|Retail|Store|Blender B10|Home Appliances|30000|5|Aisha|24000</v>
      </c>
      <c r="P198" s="3" t="str">
        <f>IF(COUNTIF(Sales_Data2[RowKey],Sales_Data2[[#This Row],[RowKey]])&gt;1,"Duplicate","Unique")</f>
        <v>Unique</v>
      </c>
      <c r="Q198" s="3" t="str">
        <f>IF(ISNUMBER(Sales_Data2[[#This Row],[Date]]),"OK","Check")</f>
        <v>OK</v>
      </c>
      <c r="R198" s="3" t="str">
        <f>IF(ISNUMBER(Sales_Data2[[#This Row],[Quantity]]),"OK","Check")</f>
        <v>OK</v>
      </c>
    </row>
    <row r="199" spans="1:18">
      <c r="A199" s="1">
        <v>45873</v>
      </c>
      <c r="B199" t="s">
        <v>18</v>
      </c>
      <c r="C199" t="s">
        <v>19</v>
      </c>
      <c r="D199" t="s">
        <v>13</v>
      </c>
      <c r="E199" t="s">
        <v>20</v>
      </c>
      <c r="F199" t="s">
        <v>33</v>
      </c>
      <c r="G199" t="s">
        <v>22</v>
      </c>
      <c r="H199">
        <v>180000</v>
      </c>
      <c r="I199">
        <v>9</v>
      </c>
      <c r="J199" t="s">
        <v>39</v>
      </c>
      <c r="K199">
        <f t="shared" si="3"/>
        <v>144000</v>
      </c>
      <c r="L199">
        <f>Sales_Data2[[#This Row],[Unit Price]]*Sales_Data2[[#This Row],[Quantity]]</f>
        <v>1620000</v>
      </c>
      <c r="M199">
        <f>Sales_Data2[[#This Row],[Cost Price]]*Sales_Data2[[#This Row],[Quantity]]</f>
        <v>1296000</v>
      </c>
      <c r="N199" s="3">
        <f>Sales_Data2[[#This Row],[Revenue]]-Sales_Data2[[#This Row],[COGS]]</f>
        <v>324000</v>
      </c>
      <c r="O1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45873|East|Lagos|Retail|Store|Air Conditioner X2|Home Appliances|180000|9|Grace|144000</v>
      </c>
      <c r="P199" s="3" t="str">
        <f>IF(COUNTIF(Sales_Data2[RowKey],Sales_Data2[[#This Row],[RowKey]])&gt;1,"Duplicate","Unique")</f>
        <v>Unique</v>
      </c>
      <c r="Q199" s="3" t="str">
        <f>IF(ISNUMBER(Sales_Data2[[#This Row],[Date]]),"OK","Check")</f>
        <v>OK</v>
      </c>
      <c r="R199" s="3" t="str">
        <f>IF(ISNUMBER(Sales_Data2[[#This Row],[Quantity]]),"OK","Check")</f>
        <v>OK</v>
      </c>
    </row>
    <row r="200" spans="1:18">
      <c r="A200" s="1">
        <v>45874</v>
      </c>
      <c r="B200" t="s">
        <v>29</v>
      </c>
      <c r="C200" t="s">
        <v>26</v>
      </c>
      <c r="D200" t="s">
        <v>23</v>
      </c>
      <c r="E200" t="s">
        <v>20</v>
      </c>
      <c r="F200" t="s">
        <v>27</v>
      </c>
      <c r="G200" t="s">
        <v>22</v>
      </c>
      <c r="H200">
        <v>60000</v>
      </c>
      <c r="I200">
        <v>6</v>
      </c>
      <c r="J200" t="s">
        <v>28</v>
      </c>
      <c r="K200">
        <f t="shared" si="3"/>
        <v>48000</v>
      </c>
      <c r="L200">
        <f>Sales_Data2[[#This Row],[Unit Price]]*Sales_Data2[[#This Row],[Quantity]]</f>
        <v>360000</v>
      </c>
      <c r="M200">
        <f>Sales_Data2[[#This Row],[Cost Price]]*Sales_Data2[[#This Row],[Quantity]]</f>
        <v>288000</v>
      </c>
      <c r="N200" s="3">
        <f>Sales_Data2[[#This Row],[Revenue]]-Sales_Data2[[#This Row],[COGS]]</f>
        <v>72000</v>
      </c>
      <c r="O2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45874|North|Kano|Corporate|Store|Microwave M20|Home Appliances|60000|6|Musa|48000</v>
      </c>
      <c r="P200" s="3" t="str">
        <f>IF(COUNTIF(Sales_Data2[RowKey],Sales_Data2[[#This Row],[RowKey]])&gt;1,"Duplicate","Unique")</f>
        <v>Unique</v>
      </c>
      <c r="Q200" s="3" t="str">
        <f>IF(ISNUMBER(Sales_Data2[[#This Row],[Date]]),"OK","Check")</f>
        <v>OK</v>
      </c>
      <c r="R200" s="3" t="str">
        <f>IF(ISNUMBER(Sales_Data2[[#This Row],[Quantity]]),"OK","Check")</f>
        <v>OK</v>
      </c>
    </row>
    <row r="201" spans="1:18">
      <c r="A201" s="1">
        <v>45875</v>
      </c>
      <c r="B201" t="s">
        <v>29</v>
      </c>
      <c r="C201" t="s">
        <v>19</v>
      </c>
      <c r="D201" t="s">
        <v>13</v>
      </c>
      <c r="E201" t="s">
        <v>20</v>
      </c>
      <c r="F201" t="s">
        <v>40</v>
      </c>
      <c r="G201" t="s">
        <v>31</v>
      </c>
      <c r="H201">
        <v>250000</v>
      </c>
      <c r="I201">
        <v>10</v>
      </c>
      <c r="J201" t="s">
        <v>24</v>
      </c>
      <c r="K201">
        <f t="shared" si="3"/>
        <v>200000</v>
      </c>
      <c r="L201">
        <f>Sales_Data2[[#This Row],[Unit Price]]*Sales_Data2[[#This Row],[Quantity]]</f>
        <v>2500000</v>
      </c>
      <c r="M201">
        <f>Sales_Data2[[#This Row],[Cost Price]]*Sales_Data2[[#This Row],[Quantity]]</f>
        <v>2000000</v>
      </c>
      <c r="N201" s="3">
        <f>Sales_Data2[[#This Row],[Revenue]]-Sales_Data2[[#This Row],[COGS]]</f>
        <v>500000</v>
      </c>
      <c r="O2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45875|North|Lagos|Retail|Store|Smartphone Z10|Electronics|250000|10|David|200000</v>
      </c>
      <c r="P201" s="3" t="str">
        <f>IF(COUNTIF(Sales_Data2[RowKey],Sales_Data2[[#This Row],[RowKey]])&gt;1,"Duplicate","Unique")</f>
        <v>Unique</v>
      </c>
      <c r="Q201" s="3" t="str">
        <f>IF(ISNUMBER(Sales_Data2[[#This Row],[Date]]),"OK","Check")</f>
        <v>OK</v>
      </c>
      <c r="R201" s="3" t="str">
        <f>IF(ISNUMBER(Sales_Data2[[#This Row],[Quantity]]),"OK","Check")</f>
        <v>OK</v>
      </c>
    </row>
    <row r="202" spans="1:18">
      <c r="A202" s="1">
        <v>45876</v>
      </c>
      <c r="B202" t="s">
        <v>25</v>
      </c>
      <c r="C202" t="s">
        <v>26</v>
      </c>
      <c r="D202" t="s">
        <v>13</v>
      </c>
      <c r="E202" t="s">
        <v>20</v>
      </c>
      <c r="F202" t="s">
        <v>38</v>
      </c>
      <c r="G202" t="s">
        <v>31</v>
      </c>
      <c r="H202">
        <v>420000</v>
      </c>
      <c r="I202">
        <v>3</v>
      </c>
      <c r="J202" t="s">
        <v>24</v>
      </c>
      <c r="K202">
        <f t="shared" si="3"/>
        <v>336000</v>
      </c>
      <c r="L202">
        <f>Sales_Data2[[#This Row],[Unit Price]]*Sales_Data2[[#This Row],[Quantity]]</f>
        <v>1260000</v>
      </c>
      <c r="M202">
        <f>Sales_Data2[[#This Row],[Cost Price]]*Sales_Data2[[#This Row],[Quantity]]</f>
        <v>1008000</v>
      </c>
      <c r="N202" s="3">
        <f>Sales_Data2[[#This Row],[Revenue]]-Sales_Data2[[#This Row],[COGS]]</f>
        <v>252000</v>
      </c>
      <c r="O2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45876|South|Kano|Retail|Store|Laptop A13|Electronics|420000|3|David|336000</v>
      </c>
      <c r="P202" s="3" t="str">
        <f>IF(COUNTIF(Sales_Data2[RowKey],Sales_Data2[[#This Row],[RowKey]])&gt;1,"Duplicate","Unique")</f>
        <v>Unique</v>
      </c>
      <c r="Q202" s="3" t="str">
        <f>IF(ISNUMBER(Sales_Data2[[#This Row],[Date]]),"OK","Check")</f>
        <v>OK</v>
      </c>
      <c r="R202" s="3" t="str">
        <f>IF(ISNUMBER(Sales_Data2[[#This Row],[Quantity]]),"OK","Check")</f>
        <v>OK</v>
      </c>
    </row>
    <row r="203" spans="1:18">
      <c r="A203" s="1">
        <v>45877</v>
      </c>
      <c r="B203" t="s">
        <v>29</v>
      </c>
      <c r="C203" t="s">
        <v>12</v>
      </c>
      <c r="D203" t="s">
        <v>23</v>
      </c>
      <c r="E203" t="s">
        <v>20</v>
      </c>
      <c r="F203" t="s">
        <v>36</v>
      </c>
      <c r="G203" t="s">
        <v>31</v>
      </c>
      <c r="H203">
        <v>150000</v>
      </c>
      <c r="I203">
        <v>3</v>
      </c>
      <c r="J203" t="s">
        <v>24</v>
      </c>
      <c r="K203">
        <f t="shared" si="3"/>
        <v>120000</v>
      </c>
      <c r="L203">
        <f>Sales_Data2[[#This Row],[Unit Price]]*Sales_Data2[[#This Row],[Quantity]]</f>
        <v>450000</v>
      </c>
      <c r="M203">
        <f>Sales_Data2[[#This Row],[Cost Price]]*Sales_Data2[[#This Row],[Quantity]]</f>
        <v>360000</v>
      </c>
      <c r="N203" s="3">
        <f>Sales_Data2[[#This Row],[Revenue]]-Sales_Data2[[#This Row],[COGS]]</f>
        <v>90000</v>
      </c>
      <c r="O2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45877|North|Port Harcourt|Corporate|Store|Printer P50|Electronics|150000|3|David|120000</v>
      </c>
      <c r="P203" s="3" t="str">
        <f>IF(COUNTIF(Sales_Data2[RowKey],Sales_Data2[[#This Row],[RowKey]])&gt;1,"Duplicate","Unique")</f>
        <v>Unique</v>
      </c>
      <c r="Q203" s="3" t="str">
        <f>IF(ISNUMBER(Sales_Data2[[#This Row],[Date]]),"OK","Check")</f>
        <v>OK</v>
      </c>
      <c r="R203" s="3" t="str">
        <f>IF(ISNUMBER(Sales_Data2[[#This Row],[Quantity]]),"OK","Check")</f>
        <v>OK</v>
      </c>
    </row>
    <row r="204" spans="1:18">
      <c r="A204" s="1">
        <v>45878</v>
      </c>
      <c r="B204" t="s">
        <v>25</v>
      </c>
      <c r="C204" t="s">
        <v>32</v>
      </c>
      <c r="D204" t="s">
        <v>23</v>
      </c>
      <c r="E204" t="s">
        <v>20</v>
      </c>
      <c r="F204" t="s">
        <v>41</v>
      </c>
      <c r="G204" t="s">
        <v>22</v>
      </c>
      <c r="H204">
        <v>220000</v>
      </c>
      <c r="I204">
        <v>4</v>
      </c>
      <c r="J204" t="s">
        <v>24</v>
      </c>
      <c r="K204">
        <f t="shared" si="3"/>
        <v>176000</v>
      </c>
      <c r="L204">
        <f>Sales_Data2[[#This Row],[Unit Price]]*Sales_Data2[[#This Row],[Quantity]]</f>
        <v>880000</v>
      </c>
      <c r="M204">
        <f>Sales_Data2[[#This Row],[Cost Price]]*Sales_Data2[[#This Row],[Quantity]]</f>
        <v>704000</v>
      </c>
      <c r="N204" s="3">
        <f>Sales_Data2[[#This Row],[Revenue]]-Sales_Data2[[#This Row],[COGS]]</f>
        <v>176000</v>
      </c>
      <c r="O2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45878|South|Abuja|Corporate|Store|Refrigerator R55|Home Appliances|220000|4|David|176000</v>
      </c>
      <c r="P204" s="3" t="str">
        <f>IF(COUNTIF(Sales_Data2[RowKey],Sales_Data2[[#This Row],[RowKey]])&gt;1,"Duplicate","Unique")</f>
        <v>Unique</v>
      </c>
      <c r="Q204" s="3" t="str">
        <f>IF(ISNUMBER(Sales_Data2[[#This Row],[Date]]),"OK","Check")</f>
        <v>OK</v>
      </c>
      <c r="R204" s="3" t="str">
        <f>IF(ISNUMBER(Sales_Data2[[#This Row],[Quantity]]),"OK","Check")</f>
        <v>OK</v>
      </c>
    </row>
    <row r="205" spans="1:18">
      <c r="A205" s="1">
        <v>45879</v>
      </c>
      <c r="B205" t="s">
        <v>25</v>
      </c>
      <c r="C205" t="s">
        <v>19</v>
      </c>
      <c r="D205" t="s">
        <v>23</v>
      </c>
      <c r="E205" t="s">
        <v>20</v>
      </c>
      <c r="F205" t="s">
        <v>15</v>
      </c>
      <c r="G205" t="s">
        <v>16</v>
      </c>
      <c r="H205">
        <v>85000</v>
      </c>
      <c r="I205">
        <v>10</v>
      </c>
      <c r="J205" t="s">
        <v>24</v>
      </c>
      <c r="K205">
        <f t="shared" si="3"/>
        <v>68000</v>
      </c>
      <c r="L205">
        <f>Sales_Data2[[#This Row],[Unit Price]]*Sales_Data2[[#This Row],[Quantity]]</f>
        <v>850000</v>
      </c>
      <c r="M205">
        <f>Sales_Data2[[#This Row],[Cost Price]]*Sales_Data2[[#This Row],[Quantity]]</f>
        <v>680000</v>
      </c>
      <c r="N205" s="3">
        <f>Sales_Data2[[#This Row],[Revenue]]-Sales_Data2[[#This Row],[COGS]]</f>
        <v>170000</v>
      </c>
      <c r="O2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45879|South|Lagos|Corporate|Store|Office Chair Pro|Furniture|85000|10|David|68000</v>
      </c>
      <c r="P205" s="3" t="str">
        <f>IF(COUNTIF(Sales_Data2[RowKey],Sales_Data2[[#This Row],[RowKey]])&gt;1,"Duplicate","Unique")</f>
        <v>Unique</v>
      </c>
      <c r="Q205" s="3" t="str">
        <f>IF(ISNUMBER(Sales_Data2[[#This Row],[Date]]),"OK","Check")</f>
        <v>OK</v>
      </c>
      <c r="R205" s="3" t="str">
        <f>IF(ISNUMBER(Sales_Data2[[#This Row],[Quantity]]),"OK","Check")</f>
        <v>OK</v>
      </c>
    </row>
    <row r="206" spans="1:18">
      <c r="A206" s="1">
        <v>45880</v>
      </c>
      <c r="B206" t="s">
        <v>29</v>
      </c>
      <c r="C206" t="s">
        <v>26</v>
      </c>
      <c r="D206" t="s">
        <v>13</v>
      </c>
      <c r="E206" t="s">
        <v>20</v>
      </c>
      <c r="F206" t="s">
        <v>30</v>
      </c>
      <c r="G206" t="s">
        <v>31</v>
      </c>
      <c r="H206">
        <v>300000</v>
      </c>
      <c r="I206">
        <v>6</v>
      </c>
      <c r="J206" t="s">
        <v>39</v>
      </c>
      <c r="K206">
        <f t="shared" si="3"/>
        <v>240000</v>
      </c>
      <c r="L206">
        <f>Sales_Data2[[#This Row],[Unit Price]]*Sales_Data2[[#This Row],[Quantity]]</f>
        <v>1800000</v>
      </c>
      <c r="M206">
        <f>Sales_Data2[[#This Row],[Cost Price]]*Sales_Data2[[#This Row],[Quantity]]</f>
        <v>1440000</v>
      </c>
      <c r="N206" s="3">
        <f>Sales_Data2[[#This Row],[Revenue]]-Sales_Data2[[#This Row],[COGS]]</f>
        <v>360000</v>
      </c>
      <c r="O2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45880|North|Kano|Retail|Store|Desktop PC D21|Electronics|300000|6|Grace|240000</v>
      </c>
      <c r="P206" s="3" t="str">
        <f>IF(COUNTIF(Sales_Data2[RowKey],Sales_Data2[[#This Row],[RowKey]])&gt;1,"Duplicate","Unique")</f>
        <v>Unique</v>
      </c>
      <c r="Q206" s="3" t="str">
        <f>IF(ISNUMBER(Sales_Data2[[#This Row],[Date]]),"OK","Check")</f>
        <v>OK</v>
      </c>
      <c r="R206" s="3" t="str">
        <f>IF(ISNUMBER(Sales_Data2[[#This Row],[Quantity]]),"OK","Check")</f>
        <v>OK</v>
      </c>
    </row>
    <row r="207" spans="1:18">
      <c r="A207" s="1">
        <v>45881</v>
      </c>
      <c r="B207" t="s">
        <v>11</v>
      </c>
      <c r="C207" t="s">
        <v>12</v>
      </c>
      <c r="D207" t="s">
        <v>13</v>
      </c>
      <c r="E207" t="s">
        <v>14</v>
      </c>
      <c r="F207" t="s">
        <v>30</v>
      </c>
      <c r="G207" t="s">
        <v>31</v>
      </c>
      <c r="H207">
        <v>300000</v>
      </c>
      <c r="I207">
        <v>8</v>
      </c>
      <c r="J207" t="s">
        <v>37</v>
      </c>
      <c r="K207">
        <f t="shared" si="3"/>
        <v>240000</v>
      </c>
      <c r="L207">
        <f>Sales_Data2[[#This Row],[Unit Price]]*Sales_Data2[[#This Row],[Quantity]]</f>
        <v>2400000</v>
      </c>
      <c r="M207">
        <f>Sales_Data2[[#This Row],[Cost Price]]*Sales_Data2[[#This Row],[Quantity]]</f>
        <v>1920000</v>
      </c>
      <c r="N207" s="3">
        <f>Sales_Data2[[#This Row],[Revenue]]-Sales_Data2[[#This Row],[COGS]]</f>
        <v>480000</v>
      </c>
      <c r="O2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45881|West|Port Harcourt|Retail|Online|Desktop PC D21|Electronics|300000|8|Aisha|240000</v>
      </c>
      <c r="P207" s="3" t="str">
        <f>IF(COUNTIF(Sales_Data2[RowKey],Sales_Data2[[#This Row],[RowKey]])&gt;1,"Duplicate","Unique")</f>
        <v>Unique</v>
      </c>
      <c r="Q207" s="3" t="str">
        <f>IF(ISNUMBER(Sales_Data2[[#This Row],[Date]]),"OK","Check")</f>
        <v>OK</v>
      </c>
      <c r="R207" s="3" t="str">
        <f>IF(ISNUMBER(Sales_Data2[[#This Row],[Quantity]]),"OK","Check")</f>
        <v>OK</v>
      </c>
    </row>
    <row r="208" spans="1:18">
      <c r="A208" s="1">
        <v>45882</v>
      </c>
      <c r="B208" t="s">
        <v>25</v>
      </c>
      <c r="C208" t="s">
        <v>32</v>
      </c>
      <c r="D208" t="s">
        <v>23</v>
      </c>
      <c r="E208" t="s">
        <v>20</v>
      </c>
      <c r="F208" t="s">
        <v>34</v>
      </c>
      <c r="G208" t="s">
        <v>16</v>
      </c>
      <c r="H208">
        <v>320000</v>
      </c>
      <c r="I208">
        <v>4</v>
      </c>
      <c r="J208" t="s">
        <v>28</v>
      </c>
      <c r="K208">
        <f t="shared" si="3"/>
        <v>256000</v>
      </c>
      <c r="L208">
        <f>Sales_Data2[[#This Row],[Unit Price]]*Sales_Data2[[#This Row],[Quantity]]</f>
        <v>1280000</v>
      </c>
      <c r="M208">
        <f>Sales_Data2[[#This Row],[Cost Price]]*Sales_Data2[[#This Row],[Quantity]]</f>
        <v>1024000</v>
      </c>
      <c r="N208" s="3">
        <f>Sales_Data2[[#This Row],[Revenue]]-Sales_Data2[[#This Row],[COGS]]</f>
        <v>256000</v>
      </c>
      <c r="O2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45882|South|Abuja|Corporate|Store|Sofa Classic|Furniture|320000|4|Musa|256000</v>
      </c>
      <c r="P208" s="3" t="str">
        <f>IF(COUNTIF(Sales_Data2[RowKey],Sales_Data2[[#This Row],[RowKey]])&gt;1,"Duplicate","Unique")</f>
        <v>Unique</v>
      </c>
      <c r="Q208" s="3" t="str">
        <f>IF(ISNUMBER(Sales_Data2[[#This Row],[Date]]),"OK","Check")</f>
        <v>OK</v>
      </c>
      <c r="R208" s="3" t="str">
        <f>IF(ISNUMBER(Sales_Data2[[#This Row],[Quantity]]),"OK","Check")</f>
        <v>OK</v>
      </c>
    </row>
    <row r="209" spans="1:18">
      <c r="A209" s="1">
        <v>45883</v>
      </c>
      <c r="B209" t="s">
        <v>25</v>
      </c>
      <c r="C209" t="s">
        <v>19</v>
      </c>
      <c r="D209" t="s">
        <v>23</v>
      </c>
      <c r="E209" t="s">
        <v>14</v>
      </c>
      <c r="F209" t="s">
        <v>33</v>
      </c>
      <c r="G209" t="s">
        <v>22</v>
      </c>
      <c r="H209">
        <v>180000</v>
      </c>
      <c r="I209">
        <v>5</v>
      </c>
      <c r="J209" t="s">
        <v>39</v>
      </c>
      <c r="K209">
        <f t="shared" si="3"/>
        <v>144000</v>
      </c>
      <c r="L209">
        <f>Sales_Data2[[#This Row],[Unit Price]]*Sales_Data2[[#This Row],[Quantity]]</f>
        <v>900000</v>
      </c>
      <c r="M209">
        <f>Sales_Data2[[#This Row],[Cost Price]]*Sales_Data2[[#This Row],[Quantity]]</f>
        <v>720000</v>
      </c>
      <c r="N209" s="3">
        <f>Sales_Data2[[#This Row],[Revenue]]-Sales_Data2[[#This Row],[COGS]]</f>
        <v>180000</v>
      </c>
      <c r="O2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45883|South|Lagos|Corporate|Online|Air Conditioner X2|Home Appliances|180000|5|Grace|144000</v>
      </c>
      <c r="P209" s="3" t="str">
        <f>IF(COUNTIF(Sales_Data2[RowKey],Sales_Data2[[#This Row],[RowKey]])&gt;1,"Duplicate","Unique")</f>
        <v>Unique</v>
      </c>
      <c r="Q209" s="3" t="str">
        <f>IF(ISNUMBER(Sales_Data2[[#This Row],[Date]]),"OK","Check")</f>
        <v>OK</v>
      </c>
      <c r="R209" s="3" t="str">
        <f>IF(ISNUMBER(Sales_Data2[[#This Row],[Quantity]]),"OK","Check")</f>
        <v>OK</v>
      </c>
    </row>
    <row r="210" spans="1:18">
      <c r="A210" s="1">
        <v>45884</v>
      </c>
      <c r="B210" t="s">
        <v>11</v>
      </c>
      <c r="C210" t="s">
        <v>12</v>
      </c>
      <c r="D210" t="s">
        <v>13</v>
      </c>
      <c r="E210" t="s">
        <v>20</v>
      </c>
      <c r="F210" t="s">
        <v>33</v>
      </c>
      <c r="G210" t="s">
        <v>22</v>
      </c>
      <c r="H210">
        <v>180000</v>
      </c>
      <c r="I210">
        <v>6</v>
      </c>
      <c r="J210" t="s">
        <v>35</v>
      </c>
      <c r="K210">
        <f t="shared" si="3"/>
        <v>144000</v>
      </c>
      <c r="L210">
        <f>Sales_Data2[[#This Row],[Unit Price]]*Sales_Data2[[#This Row],[Quantity]]</f>
        <v>1080000</v>
      </c>
      <c r="M210">
        <f>Sales_Data2[[#This Row],[Cost Price]]*Sales_Data2[[#This Row],[Quantity]]</f>
        <v>864000</v>
      </c>
      <c r="N210" s="3">
        <f>Sales_Data2[[#This Row],[Revenue]]-Sales_Data2[[#This Row],[COGS]]</f>
        <v>216000</v>
      </c>
      <c r="O2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45884|West|Port Harcourt|Retail|Store|Air Conditioner X2|Home Appliances|180000|6|Peter|144000</v>
      </c>
      <c r="P210" s="3" t="str">
        <f>IF(COUNTIF(Sales_Data2[RowKey],Sales_Data2[[#This Row],[RowKey]])&gt;1,"Duplicate","Unique")</f>
        <v>Unique</v>
      </c>
      <c r="Q210" s="3" t="str">
        <f>IF(ISNUMBER(Sales_Data2[[#This Row],[Date]]),"OK","Check")</f>
        <v>OK</v>
      </c>
      <c r="R210" s="3" t="str">
        <f>IF(ISNUMBER(Sales_Data2[[#This Row],[Quantity]]),"OK","Check")</f>
        <v>OK</v>
      </c>
    </row>
    <row r="211" spans="1:18">
      <c r="A211" s="1">
        <v>45885</v>
      </c>
      <c r="B211" t="s">
        <v>18</v>
      </c>
      <c r="C211" t="s">
        <v>26</v>
      </c>
      <c r="D211" t="s">
        <v>23</v>
      </c>
      <c r="E211" t="s">
        <v>20</v>
      </c>
      <c r="F211" t="s">
        <v>36</v>
      </c>
      <c r="G211" t="s">
        <v>31</v>
      </c>
      <c r="H211">
        <v>150000</v>
      </c>
      <c r="I211">
        <v>9</v>
      </c>
      <c r="J211" t="s">
        <v>28</v>
      </c>
      <c r="K211">
        <f t="shared" si="3"/>
        <v>120000</v>
      </c>
      <c r="L211">
        <f>Sales_Data2[[#This Row],[Unit Price]]*Sales_Data2[[#This Row],[Quantity]]</f>
        <v>1350000</v>
      </c>
      <c r="M211">
        <f>Sales_Data2[[#This Row],[Cost Price]]*Sales_Data2[[#This Row],[Quantity]]</f>
        <v>1080000</v>
      </c>
      <c r="N211" s="3">
        <f>Sales_Data2[[#This Row],[Revenue]]-Sales_Data2[[#This Row],[COGS]]</f>
        <v>270000</v>
      </c>
      <c r="O2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45885|East|Kano|Corporate|Store|Printer P50|Electronics|150000|9|Musa|120000</v>
      </c>
      <c r="P211" s="3" t="str">
        <f>IF(COUNTIF(Sales_Data2[RowKey],Sales_Data2[[#This Row],[RowKey]])&gt;1,"Duplicate","Unique")</f>
        <v>Unique</v>
      </c>
      <c r="Q211" s="3" t="str">
        <f>IF(ISNUMBER(Sales_Data2[[#This Row],[Date]]),"OK","Check")</f>
        <v>OK</v>
      </c>
      <c r="R211" s="3" t="str">
        <f>IF(ISNUMBER(Sales_Data2[[#This Row],[Quantity]]),"OK","Check")</f>
        <v>OK</v>
      </c>
    </row>
    <row r="212" spans="1:18">
      <c r="A212" s="1">
        <v>45886</v>
      </c>
      <c r="B212" t="s">
        <v>11</v>
      </c>
      <c r="C212" t="s">
        <v>12</v>
      </c>
      <c r="D212" t="s">
        <v>13</v>
      </c>
      <c r="E212" t="s">
        <v>14</v>
      </c>
      <c r="F212" t="s">
        <v>36</v>
      </c>
      <c r="G212" t="s">
        <v>31</v>
      </c>
      <c r="H212">
        <v>150000</v>
      </c>
      <c r="I212">
        <v>1</v>
      </c>
      <c r="J212" t="s">
        <v>35</v>
      </c>
      <c r="K212">
        <f t="shared" si="3"/>
        <v>120000</v>
      </c>
      <c r="L212">
        <f>Sales_Data2[[#This Row],[Unit Price]]*Sales_Data2[[#This Row],[Quantity]]</f>
        <v>150000</v>
      </c>
      <c r="M212">
        <f>Sales_Data2[[#This Row],[Cost Price]]*Sales_Data2[[#This Row],[Quantity]]</f>
        <v>120000</v>
      </c>
      <c r="N212" s="3">
        <f>Sales_Data2[[#This Row],[Revenue]]-Sales_Data2[[#This Row],[COGS]]</f>
        <v>30000</v>
      </c>
      <c r="O2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45886|West|Port Harcourt|Retail|Online|Printer P50|Electronics|150000|1|Peter|120000</v>
      </c>
      <c r="P212" s="3" t="str">
        <f>IF(COUNTIF(Sales_Data2[RowKey],Sales_Data2[[#This Row],[RowKey]])&gt;1,"Duplicate","Unique")</f>
        <v>Unique</v>
      </c>
      <c r="Q212" s="3" t="str">
        <f>IF(ISNUMBER(Sales_Data2[[#This Row],[Date]]),"OK","Check")</f>
        <v>OK</v>
      </c>
      <c r="R212" s="3" t="str">
        <f>IF(ISNUMBER(Sales_Data2[[#This Row],[Quantity]]),"OK","Check")</f>
        <v>OK</v>
      </c>
    </row>
    <row r="213" spans="1:18">
      <c r="A213" s="1">
        <v>45887</v>
      </c>
      <c r="B213" t="s">
        <v>18</v>
      </c>
      <c r="C213" t="s">
        <v>26</v>
      </c>
      <c r="D213" t="s">
        <v>13</v>
      </c>
      <c r="E213" t="s">
        <v>14</v>
      </c>
      <c r="F213" t="s">
        <v>33</v>
      </c>
      <c r="G213" t="s">
        <v>22</v>
      </c>
      <c r="H213">
        <v>180000</v>
      </c>
      <c r="I213">
        <v>8</v>
      </c>
      <c r="J213" t="s">
        <v>35</v>
      </c>
      <c r="K213">
        <f t="shared" si="3"/>
        <v>144000</v>
      </c>
      <c r="L213">
        <f>Sales_Data2[[#This Row],[Unit Price]]*Sales_Data2[[#This Row],[Quantity]]</f>
        <v>1440000</v>
      </c>
      <c r="M213">
        <f>Sales_Data2[[#This Row],[Cost Price]]*Sales_Data2[[#This Row],[Quantity]]</f>
        <v>1152000</v>
      </c>
      <c r="N213" s="3">
        <f>Sales_Data2[[#This Row],[Revenue]]-Sales_Data2[[#This Row],[COGS]]</f>
        <v>288000</v>
      </c>
      <c r="O2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45887|East|Kano|Retail|Online|Air Conditioner X2|Home Appliances|180000|8|Peter|144000</v>
      </c>
      <c r="P213" s="3" t="str">
        <f>IF(COUNTIF(Sales_Data2[RowKey],Sales_Data2[[#This Row],[RowKey]])&gt;1,"Duplicate","Unique")</f>
        <v>Unique</v>
      </c>
      <c r="Q213" s="3" t="str">
        <f>IF(ISNUMBER(Sales_Data2[[#This Row],[Date]]),"OK","Check")</f>
        <v>OK</v>
      </c>
      <c r="R213" s="3" t="str">
        <f>IF(ISNUMBER(Sales_Data2[[#This Row],[Quantity]]),"OK","Check")</f>
        <v>OK</v>
      </c>
    </row>
    <row r="214" spans="1:18">
      <c r="A214" s="1">
        <v>45888</v>
      </c>
      <c r="B214" t="s">
        <v>11</v>
      </c>
      <c r="C214" t="s">
        <v>12</v>
      </c>
      <c r="D214" t="s">
        <v>13</v>
      </c>
      <c r="E214" t="s">
        <v>20</v>
      </c>
      <c r="F214" t="s">
        <v>33</v>
      </c>
      <c r="G214" t="s">
        <v>22</v>
      </c>
      <c r="H214">
        <v>180000</v>
      </c>
      <c r="I214">
        <v>6</v>
      </c>
      <c r="J214" t="s">
        <v>28</v>
      </c>
      <c r="K214">
        <f t="shared" si="3"/>
        <v>144000</v>
      </c>
      <c r="L214">
        <f>Sales_Data2[[#This Row],[Unit Price]]*Sales_Data2[[#This Row],[Quantity]]</f>
        <v>1080000</v>
      </c>
      <c r="M214">
        <f>Sales_Data2[[#This Row],[Cost Price]]*Sales_Data2[[#This Row],[Quantity]]</f>
        <v>864000</v>
      </c>
      <c r="N214" s="3">
        <f>Sales_Data2[[#This Row],[Revenue]]-Sales_Data2[[#This Row],[COGS]]</f>
        <v>216000</v>
      </c>
      <c r="O2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45888|West|Port Harcourt|Retail|Store|Air Conditioner X2|Home Appliances|180000|6|Musa|144000</v>
      </c>
      <c r="P214" s="3" t="str">
        <f>IF(COUNTIF(Sales_Data2[RowKey],Sales_Data2[[#This Row],[RowKey]])&gt;1,"Duplicate","Unique")</f>
        <v>Unique</v>
      </c>
      <c r="Q214" s="3" t="str">
        <f>IF(ISNUMBER(Sales_Data2[[#This Row],[Date]]),"OK","Check")</f>
        <v>OK</v>
      </c>
      <c r="R214" s="3" t="str">
        <f>IF(ISNUMBER(Sales_Data2[[#This Row],[Quantity]]),"OK","Check")</f>
        <v>OK</v>
      </c>
    </row>
    <row r="215" spans="1:18">
      <c r="A215" s="1">
        <v>45889</v>
      </c>
      <c r="B215" t="s">
        <v>29</v>
      </c>
      <c r="C215" t="s">
        <v>32</v>
      </c>
      <c r="D215" t="s">
        <v>23</v>
      </c>
      <c r="E215" t="s">
        <v>14</v>
      </c>
      <c r="F215" t="s">
        <v>33</v>
      </c>
      <c r="G215" t="s">
        <v>22</v>
      </c>
      <c r="H215">
        <v>180000</v>
      </c>
      <c r="I215">
        <v>3</v>
      </c>
      <c r="J215" t="s">
        <v>37</v>
      </c>
      <c r="K215">
        <f t="shared" si="3"/>
        <v>144000</v>
      </c>
      <c r="L215">
        <f>Sales_Data2[[#This Row],[Unit Price]]*Sales_Data2[[#This Row],[Quantity]]</f>
        <v>540000</v>
      </c>
      <c r="M215">
        <f>Sales_Data2[[#This Row],[Cost Price]]*Sales_Data2[[#This Row],[Quantity]]</f>
        <v>432000</v>
      </c>
      <c r="N215" s="3">
        <f>Sales_Data2[[#This Row],[Revenue]]-Sales_Data2[[#This Row],[COGS]]</f>
        <v>108000</v>
      </c>
      <c r="O2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45889|North|Abuja|Corporate|Online|Air Conditioner X2|Home Appliances|180000|3|Aisha|144000</v>
      </c>
      <c r="P215" s="3" t="str">
        <f>IF(COUNTIF(Sales_Data2[RowKey],Sales_Data2[[#This Row],[RowKey]])&gt;1,"Duplicate","Unique")</f>
        <v>Unique</v>
      </c>
      <c r="Q215" s="3" t="str">
        <f>IF(ISNUMBER(Sales_Data2[[#This Row],[Date]]),"OK","Check")</f>
        <v>OK</v>
      </c>
      <c r="R215" s="3" t="str">
        <f>IF(ISNUMBER(Sales_Data2[[#This Row],[Quantity]]),"OK","Check")</f>
        <v>OK</v>
      </c>
    </row>
    <row r="216" spans="1:18">
      <c r="A216" s="1">
        <v>45890</v>
      </c>
      <c r="B216" t="s">
        <v>29</v>
      </c>
      <c r="C216" t="s">
        <v>26</v>
      </c>
      <c r="D216" t="s">
        <v>13</v>
      </c>
      <c r="E216" t="s">
        <v>14</v>
      </c>
      <c r="F216" t="s">
        <v>36</v>
      </c>
      <c r="G216" t="s">
        <v>31</v>
      </c>
      <c r="H216">
        <v>150000</v>
      </c>
      <c r="I216">
        <v>10</v>
      </c>
      <c r="J216" t="s">
        <v>17</v>
      </c>
      <c r="K216">
        <f t="shared" si="3"/>
        <v>120000</v>
      </c>
      <c r="L216">
        <f>Sales_Data2[[#This Row],[Unit Price]]*Sales_Data2[[#This Row],[Quantity]]</f>
        <v>1500000</v>
      </c>
      <c r="M216">
        <f>Sales_Data2[[#This Row],[Cost Price]]*Sales_Data2[[#This Row],[Quantity]]</f>
        <v>1200000</v>
      </c>
      <c r="N216" s="3">
        <f>Sales_Data2[[#This Row],[Revenue]]-Sales_Data2[[#This Row],[COGS]]</f>
        <v>300000</v>
      </c>
      <c r="O2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45890|North|Kano|Retail|Online|Printer P50|Electronics|150000|10|Chidinma|120000</v>
      </c>
      <c r="P216" s="3" t="str">
        <f>IF(COUNTIF(Sales_Data2[RowKey],Sales_Data2[[#This Row],[RowKey]])&gt;1,"Duplicate","Unique")</f>
        <v>Unique</v>
      </c>
      <c r="Q216" s="3" t="str">
        <f>IF(ISNUMBER(Sales_Data2[[#This Row],[Date]]),"OK","Check")</f>
        <v>OK</v>
      </c>
      <c r="R216" s="3" t="str">
        <f>IF(ISNUMBER(Sales_Data2[[#This Row],[Quantity]]),"OK","Check")</f>
        <v>OK</v>
      </c>
    </row>
    <row r="217" spans="1:18">
      <c r="A217" s="1">
        <v>45891</v>
      </c>
      <c r="B217" t="s">
        <v>25</v>
      </c>
      <c r="C217" t="s">
        <v>26</v>
      </c>
      <c r="D217" t="s">
        <v>13</v>
      </c>
      <c r="E217" t="s">
        <v>20</v>
      </c>
      <c r="F217" t="s">
        <v>33</v>
      </c>
      <c r="G217" t="s">
        <v>22</v>
      </c>
      <c r="H217">
        <v>180000</v>
      </c>
      <c r="I217">
        <v>8</v>
      </c>
      <c r="J217" t="s">
        <v>37</v>
      </c>
      <c r="K217">
        <f t="shared" si="3"/>
        <v>144000</v>
      </c>
      <c r="L217">
        <f>Sales_Data2[[#This Row],[Unit Price]]*Sales_Data2[[#This Row],[Quantity]]</f>
        <v>1440000</v>
      </c>
      <c r="M217">
        <f>Sales_Data2[[#This Row],[Cost Price]]*Sales_Data2[[#This Row],[Quantity]]</f>
        <v>1152000</v>
      </c>
      <c r="N217" s="3">
        <f>Sales_Data2[[#This Row],[Revenue]]-Sales_Data2[[#This Row],[COGS]]</f>
        <v>288000</v>
      </c>
      <c r="O2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45891|South|Kano|Retail|Store|Air Conditioner X2|Home Appliances|180000|8|Aisha|144000</v>
      </c>
      <c r="P217" s="3" t="str">
        <f>IF(COUNTIF(Sales_Data2[RowKey],Sales_Data2[[#This Row],[RowKey]])&gt;1,"Duplicate","Unique")</f>
        <v>Unique</v>
      </c>
      <c r="Q217" s="3" t="str">
        <f>IF(ISNUMBER(Sales_Data2[[#This Row],[Date]]),"OK","Check")</f>
        <v>OK</v>
      </c>
      <c r="R217" s="3" t="str">
        <f>IF(ISNUMBER(Sales_Data2[[#This Row],[Quantity]]),"OK","Check")</f>
        <v>OK</v>
      </c>
    </row>
    <row r="218" spans="1:18">
      <c r="A218" s="1">
        <v>45892</v>
      </c>
      <c r="B218" t="s">
        <v>11</v>
      </c>
      <c r="C218" t="s">
        <v>26</v>
      </c>
      <c r="D218" t="s">
        <v>13</v>
      </c>
      <c r="E218" t="s">
        <v>20</v>
      </c>
      <c r="F218" t="s">
        <v>30</v>
      </c>
      <c r="G218" t="s">
        <v>31</v>
      </c>
      <c r="H218">
        <v>300000</v>
      </c>
      <c r="I218">
        <v>8</v>
      </c>
      <c r="J218" t="s">
        <v>28</v>
      </c>
      <c r="K218">
        <f t="shared" si="3"/>
        <v>240000</v>
      </c>
      <c r="L218">
        <f>Sales_Data2[[#This Row],[Unit Price]]*Sales_Data2[[#This Row],[Quantity]]</f>
        <v>2400000</v>
      </c>
      <c r="M218">
        <f>Sales_Data2[[#This Row],[Cost Price]]*Sales_Data2[[#This Row],[Quantity]]</f>
        <v>1920000</v>
      </c>
      <c r="N218" s="3">
        <f>Sales_Data2[[#This Row],[Revenue]]-Sales_Data2[[#This Row],[COGS]]</f>
        <v>480000</v>
      </c>
      <c r="O2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45892|West|Kano|Retail|Store|Desktop PC D21|Electronics|300000|8|Musa|240000</v>
      </c>
      <c r="P218" s="3" t="str">
        <f>IF(COUNTIF(Sales_Data2[RowKey],Sales_Data2[[#This Row],[RowKey]])&gt;1,"Duplicate","Unique")</f>
        <v>Unique</v>
      </c>
      <c r="Q218" s="3" t="str">
        <f>IF(ISNUMBER(Sales_Data2[[#This Row],[Date]]),"OK","Check")</f>
        <v>OK</v>
      </c>
      <c r="R218" s="3" t="str">
        <f>IF(ISNUMBER(Sales_Data2[[#This Row],[Quantity]]),"OK","Check")</f>
        <v>OK</v>
      </c>
    </row>
    <row r="219" spans="1:18">
      <c r="A219" s="1">
        <v>45893</v>
      </c>
      <c r="B219" t="s">
        <v>11</v>
      </c>
      <c r="C219" t="s">
        <v>26</v>
      </c>
      <c r="D219" t="s">
        <v>13</v>
      </c>
      <c r="E219" t="s">
        <v>20</v>
      </c>
      <c r="F219" t="s">
        <v>34</v>
      </c>
      <c r="G219" t="s">
        <v>16</v>
      </c>
      <c r="H219">
        <v>320000</v>
      </c>
      <c r="I219">
        <v>9</v>
      </c>
      <c r="J219" t="s">
        <v>35</v>
      </c>
      <c r="K219">
        <f t="shared" si="3"/>
        <v>256000</v>
      </c>
      <c r="L219">
        <f>Sales_Data2[[#This Row],[Unit Price]]*Sales_Data2[[#This Row],[Quantity]]</f>
        <v>2880000</v>
      </c>
      <c r="M219">
        <f>Sales_Data2[[#This Row],[Cost Price]]*Sales_Data2[[#This Row],[Quantity]]</f>
        <v>2304000</v>
      </c>
      <c r="N219" s="3">
        <f>Sales_Data2[[#This Row],[Revenue]]-Sales_Data2[[#This Row],[COGS]]</f>
        <v>576000</v>
      </c>
      <c r="O2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45893|West|Kano|Retail|Store|Sofa Classic|Furniture|320000|9|Peter|256000</v>
      </c>
      <c r="P219" s="3" t="str">
        <f>IF(COUNTIF(Sales_Data2[RowKey],Sales_Data2[[#This Row],[RowKey]])&gt;1,"Duplicate","Unique")</f>
        <v>Unique</v>
      </c>
      <c r="Q219" s="3" t="str">
        <f>IF(ISNUMBER(Sales_Data2[[#This Row],[Date]]),"OK","Check")</f>
        <v>OK</v>
      </c>
      <c r="R219" s="3" t="str">
        <f>IF(ISNUMBER(Sales_Data2[[#This Row],[Quantity]]),"OK","Check")</f>
        <v>OK</v>
      </c>
    </row>
    <row r="220" spans="1:18">
      <c r="A220" s="1">
        <v>45894</v>
      </c>
      <c r="B220" t="s">
        <v>25</v>
      </c>
      <c r="C220" t="s">
        <v>26</v>
      </c>
      <c r="D220" t="s">
        <v>13</v>
      </c>
      <c r="E220" t="s">
        <v>14</v>
      </c>
      <c r="F220" t="s">
        <v>34</v>
      </c>
      <c r="G220" t="s">
        <v>16</v>
      </c>
      <c r="H220">
        <v>320000</v>
      </c>
      <c r="I220">
        <v>7</v>
      </c>
      <c r="J220" t="s">
        <v>39</v>
      </c>
      <c r="K220">
        <f t="shared" si="3"/>
        <v>256000</v>
      </c>
      <c r="L220">
        <f>Sales_Data2[[#This Row],[Unit Price]]*Sales_Data2[[#This Row],[Quantity]]</f>
        <v>2240000</v>
      </c>
      <c r="M220">
        <f>Sales_Data2[[#This Row],[Cost Price]]*Sales_Data2[[#This Row],[Quantity]]</f>
        <v>1792000</v>
      </c>
      <c r="N220" s="3">
        <f>Sales_Data2[[#This Row],[Revenue]]-Sales_Data2[[#This Row],[COGS]]</f>
        <v>448000</v>
      </c>
      <c r="O2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45894|South|Kano|Retail|Online|Sofa Classic|Furniture|320000|7|Grace|256000</v>
      </c>
      <c r="P220" s="3" t="str">
        <f>IF(COUNTIF(Sales_Data2[RowKey],Sales_Data2[[#This Row],[RowKey]])&gt;1,"Duplicate","Unique")</f>
        <v>Unique</v>
      </c>
      <c r="Q220" s="3" t="str">
        <f>IF(ISNUMBER(Sales_Data2[[#This Row],[Date]]),"OK","Check")</f>
        <v>OK</v>
      </c>
      <c r="R220" s="3" t="str">
        <f>IF(ISNUMBER(Sales_Data2[[#This Row],[Quantity]]),"OK","Check")</f>
        <v>OK</v>
      </c>
    </row>
    <row r="221" spans="1:18">
      <c r="A221" s="1">
        <v>45895</v>
      </c>
      <c r="B221" t="s">
        <v>18</v>
      </c>
      <c r="C221" t="s">
        <v>32</v>
      </c>
      <c r="D221" t="s">
        <v>13</v>
      </c>
      <c r="E221" t="s">
        <v>14</v>
      </c>
      <c r="F221" t="s">
        <v>36</v>
      </c>
      <c r="G221" t="s">
        <v>31</v>
      </c>
      <c r="H221">
        <v>150000</v>
      </c>
      <c r="I221">
        <v>7</v>
      </c>
      <c r="J221" t="s">
        <v>24</v>
      </c>
      <c r="K221">
        <f t="shared" si="3"/>
        <v>120000</v>
      </c>
      <c r="L221">
        <f>Sales_Data2[[#This Row],[Unit Price]]*Sales_Data2[[#This Row],[Quantity]]</f>
        <v>1050000</v>
      </c>
      <c r="M221">
        <f>Sales_Data2[[#This Row],[Cost Price]]*Sales_Data2[[#This Row],[Quantity]]</f>
        <v>840000</v>
      </c>
      <c r="N221" s="3">
        <f>Sales_Data2[[#This Row],[Revenue]]-Sales_Data2[[#This Row],[COGS]]</f>
        <v>210000</v>
      </c>
      <c r="O2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45895|East|Abuja|Retail|Online|Printer P50|Electronics|150000|7|David|120000</v>
      </c>
      <c r="P221" s="3" t="str">
        <f>IF(COUNTIF(Sales_Data2[RowKey],Sales_Data2[[#This Row],[RowKey]])&gt;1,"Duplicate","Unique")</f>
        <v>Unique</v>
      </c>
      <c r="Q221" s="3" t="str">
        <f>IF(ISNUMBER(Sales_Data2[[#This Row],[Date]]),"OK","Check")</f>
        <v>OK</v>
      </c>
      <c r="R221" s="3" t="str">
        <f>IF(ISNUMBER(Sales_Data2[[#This Row],[Quantity]]),"OK","Check")</f>
        <v>OK</v>
      </c>
    </row>
    <row r="222" spans="1:18">
      <c r="A222" s="1">
        <v>45896</v>
      </c>
      <c r="B222" t="s">
        <v>18</v>
      </c>
      <c r="C222" t="s">
        <v>32</v>
      </c>
      <c r="D222" t="s">
        <v>13</v>
      </c>
      <c r="E222" t="s">
        <v>20</v>
      </c>
      <c r="F222" t="s">
        <v>41</v>
      </c>
      <c r="G222" t="s">
        <v>22</v>
      </c>
      <c r="H222">
        <v>220000</v>
      </c>
      <c r="I222">
        <v>6</v>
      </c>
      <c r="J222" t="s">
        <v>39</v>
      </c>
      <c r="K222">
        <f t="shared" si="3"/>
        <v>176000</v>
      </c>
      <c r="L222">
        <f>Sales_Data2[[#This Row],[Unit Price]]*Sales_Data2[[#This Row],[Quantity]]</f>
        <v>1320000</v>
      </c>
      <c r="M222">
        <f>Sales_Data2[[#This Row],[Cost Price]]*Sales_Data2[[#This Row],[Quantity]]</f>
        <v>1056000</v>
      </c>
      <c r="N222" s="3">
        <f>Sales_Data2[[#This Row],[Revenue]]-Sales_Data2[[#This Row],[COGS]]</f>
        <v>264000</v>
      </c>
      <c r="O2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45896|East|Abuja|Retail|Store|Refrigerator R55|Home Appliances|220000|6|Grace|176000</v>
      </c>
      <c r="P222" s="3" t="str">
        <f>IF(COUNTIF(Sales_Data2[RowKey],Sales_Data2[[#This Row],[RowKey]])&gt;1,"Duplicate","Unique")</f>
        <v>Unique</v>
      </c>
      <c r="Q222" s="3" t="str">
        <f>IF(ISNUMBER(Sales_Data2[[#This Row],[Date]]),"OK","Check")</f>
        <v>OK</v>
      </c>
      <c r="R222" s="3" t="str">
        <f>IF(ISNUMBER(Sales_Data2[[#This Row],[Quantity]]),"OK","Check")</f>
        <v>OK</v>
      </c>
    </row>
    <row r="223" spans="1:18">
      <c r="A223" s="1">
        <v>45897</v>
      </c>
      <c r="B223" t="s">
        <v>29</v>
      </c>
      <c r="C223" t="s">
        <v>19</v>
      </c>
      <c r="D223" t="s">
        <v>13</v>
      </c>
      <c r="E223" t="s">
        <v>14</v>
      </c>
      <c r="F223" t="s">
        <v>40</v>
      </c>
      <c r="G223" t="s">
        <v>31</v>
      </c>
      <c r="H223">
        <v>250000</v>
      </c>
      <c r="I223">
        <v>1</v>
      </c>
      <c r="J223" t="s">
        <v>35</v>
      </c>
      <c r="K223">
        <f t="shared" si="3"/>
        <v>200000</v>
      </c>
      <c r="L223">
        <f>Sales_Data2[[#This Row],[Unit Price]]*Sales_Data2[[#This Row],[Quantity]]</f>
        <v>250000</v>
      </c>
      <c r="M223">
        <f>Sales_Data2[[#This Row],[Cost Price]]*Sales_Data2[[#This Row],[Quantity]]</f>
        <v>200000</v>
      </c>
      <c r="N223" s="3">
        <f>Sales_Data2[[#This Row],[Revenue]]-Sales_Data2[[#This Row],[COGS]]</f>
        <v>50000</v>
      </c>
      <c r="O2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45897|North|Lagos|Retail|Online|Smartphone Z10|Electronics|250000|1|Peter|200000</v>
      </c>
      <c r="P223" s="3" t="str">
        <f>IF(COUNTIF(Sales_Data2[RowKey],Sales_Data2[[#This Row],[RowKey]])&gt;1,"Duplicate","Unique")</f>
        <v>Unique</v>
      </c>
      <c r="Q223" s="3" t="str">
        <f>IF(ISNUMBER(Sales_Data2[[#This Row],[Date]]),"OK","Check")</f>
        <v>OK</v>
      </c>
      <c r="R223" s="3" t="str">
        <f>IF(ISNUMBER(Sales_Data2[[#This Row],[Quantity]]),"OK","Check")</f>
        <v>OK</v>
      </c>
    </row>
    <row r="224" spans="1:18">
      <c r="A224" s="1">
        <v>45898</v>
      </c>
      <c r="B224" t="s">
        <v>11</v>
      </c>
      <c r="C224" t="s">
        <v>19</v>
      </c>
      <c r="D224" t="s">
        <v>13</v>
      </c>
      <c r="E224" t="s">
        <v>14</v>
      </c>
      <c r="F224" t="s">
        <v>27</v>
      </c>
      <c r="G224" t="s">
        <v>22</v>
      </c>
      <c r="H224">
        <v>60000</v>
      </c>
      <c r="I224">
        <v>4</v>
      </c>
      <c r="J224" t="s">
        <v>24</v>
      </c>
      <c r="K224">
        <f t="shared" si="3"/>
        <v>48000</v>
      </c>
      <c r="L224">
        <f>Sales_Data2[[#This Row],[Unit Price]]*Sales_Data2[[#This Row],[Quantity]]</f>
        <v>240000</v>
      </c>
      <c r="M224">
        <f>Sales_Data2[[#This Row],[Cost Price]]*Sales_Data2[[#This Row],[Quantity]]</f>
        <v>192000</v>
      </c>
      <c r="N224" s="3">
        <f>Sales_Data2[[#This Row],[Revenue]]-Sales_Data2[[#This Row],[COGS]]</f>
        <v>48000</v>
      </c>
      <c r="O2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45898|West|Lagos|Retail|Online|Microwave M20|Home Appliances|60000|4|David|48000</v>
      </c>
      <c r="P224" s="3" t="str">
        <f>IF(COUNTIF(Sales_Data2[RowKey],Sales_Data2[[#This Row],[RowKey]])&gt;1,"Duplicate","Unique")</f>
        <v>Unique</v>
      </c>
      <c r="Q224" s="3" t="str">
        <f>IF(ISNUMBER(Sales_Data2[[#This Row],[Date]]),"OK","Check")</f>
        <v>OK</v>
      </c>
      <c r="R224" s="3" t="str">
        <f>IF(ISNUMBER(Sales_Data2[[#This Row],[Quantity]]),"OK","Check")</f>
        <v>OK</v>
      </c>
    </row>
    <row r="225" spans="1:18">
      <c r="A225" s="1">
        <v>45899</v>
      </c>
      <c r="B225" t="s">
        <v>29</v>
      </c>
      <c r="C225" t="s">
        <v>19</v>
      </c>
      <c r="D225" t="s">
        <v>13</v>
      </c>
      <c r="E225" t="s">
        <v>14</v>
      </c>
      <c r="F225" t="s">
        <v>15</v>
      </c>
      <c r="G225" t="s">
        <v>16</v>
      </c>
      <c r="H225">
        <v>85000</v>
      </c>
      <c r="I225">
        <v>9</v>
      </c>
      <c r="J225" t="s">
        <v>24</v>
      </c>
      <c r="K225">
        <f t="shared" si="3"/>
        <v>68000</v>
      </c>
      <c r="L225">
        <f>Sales_Data2[[#This Row],[Unit Price]]*Sales_Data2[[#This Row],[Quantity]]</f>
        <v>765000</v>
      </c>
      <c r="M225">
        <f>Sales_Data2[[#This Row],[Cost Price]]*Sales_Data2[[#This Row],[Quantity]]</f>
        <v>612000</v>
      </c>
      <c r="N225" s="3">
        <f>Sales_Data2[[#This Row],[Revenue]]-Sales_Data2[[#This Row],[COGS]]</f>
        <v>153000</v>
      </c>
      <c r="O2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45899|North|Lagos|Retail|Online|Office Chair Pro|Furniture|85000|9|David|68000</v>
      </c>
      <c r="P225" s="3" t="str">
        <f>IF(COUNTIF(Sales_Data2[RowKey],Sales_Data2[[#This Row],[RowKey]])&gt;1,"Duplicate","Unique")</f>
        <v>Unique</v>
      </c>
      <c r="Q225" s="3" t="str">
        <f>IF(ISNUMBER(Sales_Data2[[#This Row],[Date]]),"OK","Check")</f>
        <v>OK</v>
      </c>
      <c r="R225" s="3" t="str">
        <f>IF(ISNUMBER(Sales_Data2[[#This Row],[Quantity]]),"OK","Check")</f>
        <v>OK</v>
      </c>
    </row>
    <row r="226" spans="1:18">
      <c r="A226" s="1">
        <v>45900</v>
      </c>
      <c r="B226" t="s">
        <v>11</v>
      </c>
      <c r="C226" t="s">
        <v>12</v>
      </c>
      <c r="D226" t="s">
        <v>13</v>
      </c>
      <c r="E226" t="s">
        <v>14</v>
      </c>
      <c r="F226" t="s">
        <v>33</v>
      </c>
      <c r="G226" t="s">
        <v>22</v>
      </c>
      <c r="H226">
        <v>180000</v>
      </c>
      <c r="I226">
        <v>5</v>
      </c>
      <c r="J226" t="s">
        <v>17</v>
      </c>
      <c r="K226">
        <f t="shared" si="3"/>
        <v>144000</v>
      </c>
      <c r="L226">
        <f>Sales_Data2[[#This Row],[Unit Price]]*Sales_Data2[[#This Row],[Quantity]]</f>
        <v>900000</v>
      </c>
      <c r="M226">
        <f>Sales_Data2[[#This Row],[Cost Price]]*Sales_Data2[[#This Row],[Quantity]]</f>
        <v>720000</v>
      </c>
      <c r="N226" s="3">
        <f>Sales_Data2[[#This Row],[Revenue]]-Sales_Data2[[#This Row],[COGS]]</f>
        <v>180000</v>
      </c>
      <c r="O2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45900|West|Port Harcourt|Retail|Online|Air Conditioner X2|Home Appliances|180000|5|Chidinma|144000</v>
      </c>
      <c r="P226" s="3" t="str">
        <f>IF(COUNTIF(Sales_Data2[RowKey],Sales_Data2[[#This Row],[RowKey]])&gt;1,"Duplicate","Unique")</f>
        <v>Unique</v>
      </c>
      <c r="Q226" s="3" t="str">
        <f>IF(ISNUMBER(Sales_Data2[[#This Row],[Date]]),"OK","Check")</f>
        <v>OK</v>
      </c>
      <c r="R226" s="3" t="str">
        <f>IF(ISNUMBER(Sales_Data2[[#This Row],[Quantity]]),"OK","Check")</f>
        <v>OK</v>
      </c>
    </row>
    <row r="227" spans="1:18">
      <c r="A227" s="1">
        <v>45901</v>
      </c>
      <c r="B227" t="s">
        <v>11</v>
      </c>
      <c r="C227" t="s">
        <v>19</v>
      </c>
      <c r="D227" t="s">
        <v>13</v>
      </c>
      <c r="E227" t="s">
        <v>20</v>
      </c>
      <c r="F227" t="s">
        <v>36</v>
      </c>
      <c r="G227" t="s">
        <v>31</v>
      </c>
      <c r="H227">
        <v>150000</v>
      </c>
      <c r="I227">
        <v>4</v>
      </c>
      <c r="J227" t="s">
        <v>17</v>
      </c>
      <c r="K227">
        <f t="shared" si="3"/>
        <v>120000</v>
      </c>
      <c r="L227">
        <f>Sales_Data2[[#This Row],[Unit Price]]*Sales_Data2[[#This Row],[Quantity]]</f>
        <v>600000</v>
      </c>
      <c r="M227">
        <f>Sales_Data2[[#This Row],[Cost Price]]*Sales_Data2[[#This Row],[Quantity]]</f>
        <v>480000</v>
      </c>
      <c r="N227" s="3">
        <f>Sales_Data2[[#This Row],[Revenue]]-Sales_Data2[[#This Row],[COGS]]</f>
        <v>120000</v>
      </c>
      <c r="O2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45901|West|Lagos|Retail|Store|Printer P50|Electronics|150000|4|Chidinma|120000</v>
      </c>
      <c r="P227" s="3" t="str">
        <f>IF(COUNTIF(Sales_Data2[RowKey],Sales_Data2[[#This Row],[RowKey]])&gt;1,"Duplicate","Unique")</f>
        <v>Unique</v>
      </c>
      <c r="Q227" s="3" t="str">
        <f>IF(ISNUMBER(Sales_Data2[[#This Row],[Date]]),"OK","Check")</f>
        <v>OK</v>
      </c>
      <c r="R227" s="3" t="str">
        <f>IF(ISNUMBER(Sales_Data2[[#This Row],[Quantity]]),"OK","Check")</f>
        <v>OK</v>
      </c>
    </row>
    <row r="228" spans="1:18">
      <c r="A228" s="1">
        <v>45902</v>
      </c>
      <c r="B228" t="s">
        <v>29</v>
      </c>
      <c r="C228" t="s">
        <v>19</v>
      </c>
      <c r="D228" t="s">
        <v>13</v>
      </c>
      <c r="E228" t="s">
        <v>14</v>
      </c>
      <c r="F228" t="s">
        <v>36</v>
      </c>
      <c r="G228" t="s">
        <v>31</v>
      </c>
      <c r="H228">
        <v>150000</v>
      </c>
      <c r="I228">
        <v>4</v>
      </c>
      <c r="J228" t="s">
        <v>28</v>
      </c>
      <c r="K228">
        <f t="shared" si="3"/>
        <v>120000</v>
      </c>
      <c r="L228">
        <f>Sales_Data2[[#This Row],[Unit Price]]*Sales_Data2[[#This Row],[Quantity]]</f>
        <v>600000</v>
      </c>
      <c r="M228">
        <f>Sales_Data2[[#This Row],[Cost Price]]*Sales_Data2[[#This Row],[Quantity]]</f>
        <v>480000</v>
      </c>
      <c r="N228" s="3">
        <f>Sales_Data2[[#This Row],[Revenue]]-Sales_Data2[[#This Row],[COGS]]</f>
        <v>120000</v>
      </c>
      <c r="O2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45902|North|Lagos|Retail|Online|Printer P50|Electronics|150000|4|Musa|120000</v>
      </c>
      <c r="P228" s="3" t="str">
        <f>IF(COUNTIF(Sales_Data2[RowKey],Sales_Data2[[#This Row],[RowKey]])&gt;1,"Duplicate","Unique")</f>
        <v>Unique</v>
      </c>
      <c r="Q228" s="3" t="str">
        <f>IF(ISNUMBER(Sales_Data2[[#This Row],[Date]]),"OK","Check")</f>
        <v>OK</v>
      </c>
      <c r="R228" s="3" t="str">
        <f>IF(ISNUMBER(Sales_Data2[[#This Row],[Quantity]]),"OK","Check")</f>
        <v>OK</v>
      </c>
    </row>
    <row r="229" spans="1:18">
      <c r="A229" s="1">
        <v>45903</v>
      </c>
      <c r="B229" t="s">
        <v>18</v>
      </c>
      <c r="C229" t="s">
        <v>19</v>
      </c>
      <c r="D229" t="s">
        <v>23</v>
      </c>
      <c r="E229" t="s">
        <v>14</v>
      </c>
      <c r="F229" t="s">
        <v>21</v>
      </c>
      <c r="G229" t="s">
        <v>22</v>
      </c>
      <c r="H229">
        <v>30000</v>
      </c>
      <c r="I229">
        <v>2</v>
      </c>
      <c r="J229" t="s">
        <v>28</v>
      </c>
      <c r="K229">
        <f t="shared" si="3"/>
        <v>24000</v>
      </c>
      <c r="L229">
        <f>Sales_Data2[[#This Row],[Unit Price]]*Sales_Data2[[#This Row],[Quantity]]</f>
        <v>60000</v>
      </c>
      <c r="M229">
        <f>Sales_Data2[[#This Row],[Cost Price]]*Sales_Data2[[#This Row],[Quantity]]</f>
        <v>48000</v>
      </c>
      <c r="N229" s="3">
        <f>Sales_Data2[[#This Row],[Revenue]]-Sales_Data2[[#This Row],[COGS]]</f>
        <v>12000</v>
      </c>
      <c r="O2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45903|East|Lagos|Corporate|Online|Blender B10|Home Appliances|30000|2|Musa|24000</v>
      </c>
      <c r="P229" s="3" t="str">
        <f>IF(COUNTIF(Sales_Data2[RowKey],Sales_Data2[[#This Row],[RowKey]])&gt;1,"Duplicate","Unique")</f>
        <v>Unique</v>
      </c>
      <c r="Q229" s="3" t="str">
        <f>IF(ISNUMBER(Sales_Data2[[#This Row],[Date]]),"OK","Check")</f>
        <v>OK</v>
      </c>
      <c r="R229" s="3" t="str">
        <f>IF(ISNUMBER(Sales_Data2[[#This Row],[Quantity]]),"OK","Check")</f>
        <v>OK</v>
      </c>
    </row>
    <row r="230" spans="1:18">
      <c r="A230" s="1">
        <v>45904</v>
      </c>
      <c r="B230" t="s">
        <v>25</v>
      </c>
      <c r="C230" t="s">
        <v>32</v>
      </c>
      <c r="D230" t="s">
        <v>23</v>
      </c>
      <c r="E230" t="s">
        <v>14</v>
      </c>
      <c r="F230" t="s">
        <v>33</v>
      </c>
      <c r="G230" t="s">
        <v>22</v>
      </c>
      <c r="H230">
        <v>180000</v>
      </c>
      <c r="I230">
        <v>6</v>
      </c>
      <c r="J230" t="s">
        <v>37</v>
      </c>
      <c r="K230">
        <f t="shared" si="3"/>
        <v>144000</v>
      </c>
      <c r="L230">
        <f>Sales_Data2[[#This Row],[Unit Price]]*Sales_Data2[[#This Row],[Quantity]]</f>
        <v>1080000</v>
      </c>
      <c r="M230">
        <f>Sales_Data2[[#This Row],[Cost Price]]*Sales_Data2[[#This Row],[Quantity]]</f>
        <v>864000</v>
      </c>
      <c r="N230" s="3">
        <f>Sales_Data2[[#This Row],[Revenue]]-Sales_Data2[[#This Row],[COGS]]</f>
        <v>216000</v>
      </c>
      <c r="O2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45904|South|Abuja|Corporate|Online|Air Conditioner X2|Home Appliances|180000|6|Aisha|144000</v>
      </c>
      <c r="P230" s="3" t="str">
        <f>IF(COUNTIF(Sales_Data2[RowKey],Sales_Data2[[#This Row],[RowKey]])&gt;1,"Duplicate","Unique")</f>
        <v>Unique</v>
      </c>
      <c r="Q230" s="3" t="str">
        <f>IF(ISNUMBER(Sales_Data2[[#This Row],[Date]]),"OK","Check")</f>
        <v>OK</v>
      </c>
      <c r="R230" s="3" t="str">
        <f>IF(ISNUMBER(Sales_Data2[[#This Row],[Quantity]]),"OK","Check")</f>
        <v>OK</v>
      </c>
    </row>
    <row r="231" spans="1:18">
      <c r="A231" s="1">
        <v>45905</v>
      </c>
      <c r="B231" t="s">
        <v>29</v>
      </c>
      <c r="C231" t="s">
        <v>26</v>
      </c>
      <c r="D231" t="s">
        <v>23</v>
      </c>
      <c r="E231" t="s">
        <v>20</v>
      </c>
      <c r="F231" t="s">
        <v>27</v>
      </c>
      <c r="G231" t="s">
        <v>22</v>
      </c>
      <c r="H231">
        <v>60000</v>
      </c>
      <c r="I231">
        <v>9</v>
      </c>
      <c r="J231" t="s">
        <v>39</v>
      </c>
      <c r="K231">
        <f t="shared" si="3"/>
        <v>48000</v>
      </c>
      <c r="L231">
        <f>Sales_Data2[[#This Row],[Unit Price]]*Sales_Data2[[#This Row],[Quantity]]</f>
        <v>540000</v>
      </c>
      <c r="M231">
        <f>Sales_Data2[[#This Row],[Cost Price]]*Sales_Data2[[#This Row],[Quantity]]</f>
        <v>432000</v>
      </c>
      <c r="N231" s="3">
        <f>Sales_Data2[[#This Row],[Revenue]]-Sales_Data2[[#This Row],[COGS]]</f>
        <v>108000</v>
      </c>
      <c r="O2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45905|North|Kano|Corporate|Store|Microwave M20|Home Appliances|60000|9|Grace|48000</v>
      </c>
      <c r="P231" s="3" t="str">
        <f>IF(COUNTIF(Sales_Data2[RowKey],Sales_Data2[[#This Row],[RowKey]])&gt;1,"Duplicate","Unique")</f>
        <v>Unique</v>
      </c>
      <c r="Q231" s="3" t="str">
        <f>IF(ISNUMBER(Sales_Data2[[#This Row],[Date]]),"OK","Check")</f>
        <v>OK</v>
      </c>
      <c r="R231" s="3" t="str">
        <f>IF(ISNUMBER(Sales_Data2[[#This Row],[Quantity]]),"OK","Check")</f>
        <v>OK</v>
      </c>
    </row>
    <row r="232" spans="1:18">
      <c r="A232" s="1">
        <v>45906</v>
      </c>
      <c r="B232" t="s">
        <v>25</v>
      </c>
      <c r="C232" t="s">
        <v>12</v>
      </c>
      <c r="D232" t="s">
        <v>13</v>
      </c>
      <c r="E232" t="s">
        <v>14</v>
      </c>
      <c r="F232" t="s">
        <v>36</v>
      </c>
      <c r="G232" t="s">
        <v>31</v>
      </c>
      <c r="H232">
        <v>150000</v>
      </c>
      <c r="I232">
        <v>3</v>
      </c>
      <c r="J232" t="s">
        <v>24</v>
      </c>
      <c r="K232">
        <f t="shared" si="3"/>
        <v>120000</v>
      </c>
      <c r="L232">
        <f>Sales_Data2[[#This Row],[Unit Price]]*Sales_Data2[[#This Row],[Quantity]]</f>
        <v>450000</v>
      </c>
      <c r="M232">
        <f>Sales_Data2[[#This Row],[Cost Price]]*Sales_Data2[[#This Row],[Quantity]]</f>
        <v>360000</v>
      </c>
      <c r="N232" s="3">
        <f>Sales_Data2[[#This Row],[Revenue]]-Sales_Data2[[#This Row],[COGS]]</f>
        <v>90000</v>
      </c>
      <c r="O2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45906|South|Port Harcourt|Retail|Online|Printer P50|Electronics|150000|3|David|120000</v>
      </c>
      <c r="P232" s="3" t="str">
        <f>IF(COUNTIF(Sales_Data2[RowKey],Sales_Data2[[#This Row],[RowKey]])&gt;1,"Duplicate","Unique")</f>
        <v>Unique</v>
      </c>
      <c r="Q232" s="3" t="str">
        <f>IF(ISNUMBER(Sales_Data2[[#This Row],[Date]]),"OK","Check")</f>
        <v>OK</v>
      </c>
      <c r="R232" s="3" t="str">
        <f>IF(ISNUMBER(Sales_Data2[[#This Row],[Quantity]]),"OK","Check")</f>
        <v>OK</v>
      </c>
    </row>
    <row r="233" spans="1:18">
      <c r="A233" s="1">
        <v>45907</v>
      </c>
      <c r="B233" t="s">
        <v>29</v>
      </c>
      <c r="C233" t="s">
        <v>19</v>
      </c>
      <c r="D233" t="s">
        <v>13</v>
      </c>
      <c r="E233" t="s">
        <v>14</v>
      </c>
      <c r="F233" t="s">
        <v>15</v>
      </c>
      <c r="G233" t="s">
        <v>16</v>
      </c>
      <c r="H233">
        <v>85000</v>
      </c>
      <c r="I233">
        <v>3</v>
      </c>
      <c r="J233" t="s">
        <v>28</v>
      </c>
      <c r="K233">
        <f t="shared" si="3"/>
        <v>68000</v>
      </c>
      <c r="L233">
        <f>Sales_Data2[[#This Row],[Unit Price]]*Sales_Data2[[#This Row],[Quantity]]</f>
        <v>255000</v>
      </c>
      <c r="M233">
        <f>Sales_Data2[[#This Row],[Cost Price]]*Sales_Data2[[#This Row],[Quantity]]</f>
        <v>204000</v>
      </c>
      <c r="N233" s="3">
        <f>Sales_Data2[[#This Row],[Revenue]]-Sales_Data2[[#This Row],[COGS]]</f>
        <v>51000</v>
      </c>
      <c r="O2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45907|North|Lagos|Retail|Online|Office Chair Pro|Furniture|85000|3|Musa|68000</v>
      </c>
      <c r="P233" s="3" t="str">
        <f>IF(COUNTIF(Sales_Data2[RowKey],Sales_Data2[[#This Row],[RowKey]])&gt;1,"Duplicate","Unique")</f>
        <v>Unique</v>
      </c>
      <c r="Q233" s="3" t="str">
        <f>IF(ISNUMBER(Sales_Data2[[#This Row],[Date]]),"OK","Check")</f>
        <v>OK</v>
      </c>
      <c r="R233" s="3" t="str">
        <f>IF(ISNUMBER(Sales_Data2[[#This Row],[Quantity]]),"OK","Check")</f>
        <v>OK</v>
      </c>
    </row>
    <row r="234" spans="1:18">
      <c r="A234" s="1">
        <v>45908</v>
      </c>
      <c r="B234" t="s">
        <v>18</v>
      </c>
      <c r="C234" t="s">
        <v>12</v>
      </c>
      <c r="D234" t="s">
        <v>23</v>
      </c>
      <c r="E234" t="s">
        <v>20</v>
      </c>
      <c r="F234" t="s">
        <v>21</v>
      </c>
      <c r="G234" t="s">
        <v>22</v>
      </c>
      <c r="H234">
        <v>30000</v>
      </c>
      <c r="I234">
        <v>3</v>
      </c>
      <c r="J234" t="s">
        <v>35</v>
      </c>
      <c r="K234">
        <f t="shared" si="3"/>
        <v>24000</v>
      </c>
      <c r="L234">
        <f>Sales_Data2[[#This Row],[Unit Price]]*Sales_Data2[[#This Row],[Quantity]]</f>
        <v>90000</v>
      </c>
      <c r="M234">
        <f>Sales_Data2[[#This Row],[Cost Price]]*Sales_Data2[[#This Row],[Quantity]]</f>
        <v>72000</v>
      </c>
      <c r="N234" s="3">
        <f>Sales_Data2[[#This Row],[Revenue]]-Sales_Data2[[#This Row],[COGS]]</f>
        <v>18000</v>
      </c>
      <c r="O2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45908|East|Port Harcourt|Corporate|Store|Blender B10|Home Appliances|30000|3|Peter|24000</v>
      </c>
      <c r="P234" s="3" t="str">
        <f>IF(COUNTIF(Sales_Data2[RowKey],Sales_Data2[[#This Row],[RowKey]])&gt;1,"Duplicate","Unique")</f>
        <v>Unique</v>
      </c>
      <c r="Q234" s="3" t="str">
        <f>IF(ISNUMBER(Sales_Data2[[#This Row],[Date]]),"OK","Check")</f>
        <v>OK</v>
      </c>
      <c r="R234" s="3" t="str">
        <f>IF(ISNUMBER(Sales_Data2[[#This Row],[Quantity]]),"OK","Check")</f>
        <v>OK</v>
      </c>
    </row>
    <row r="235" spans="1:18">
      <c r="A235" s="1">
        <v>45909</v>
      </c>
      <c r="B235" t="s">
        <v>18</v>
      </c>
      <c r="C235" t="s">
        <v>26</v>
      </c>
      <c r="D235" t="s">
        <v>23</v>
      </c>
      <c r="E235" t="s">
        <v>14</v>
      </c>
      <c r="F235" t="s">
        <v>15</v>
      </c>
      <c r="G235" t="s">
        <v>16</v>
      </c>
      <c r="H235">
        <v>85000</v>
      </c>
      <c r="I235">
        <v>2</v>
      </c>
      <c r="J235" t="s">
        <v>17</v>
      </c>
      <c r="K235">
        <f t="shared" si="3"/>
        <v>68000</v>
      </c>
      <c r="L235">
        <f>Sales_Data2[[#This Row],[Unit Price]]*Sales_Data2[[#This Row],[Quantity]]</f>
        <v>170000</v>
      </c>
      <c r="M235">
        <f>Sales_Data2[[#This Row],[Cost Price]]*Sales_Data2[[#This Row],[Quantity]]</f>
        <v>136000</v>
      </c>
      <c r="N235" s="3">
        <f>Sales_Data2[[#This Row],[Revenue]]-Sales_Data2[[#This Row],[COGS]]</f>
        <v>34000</v>
      </c>
      <c r="O2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45909|East|Kano|Corporate|Online|Office Chair Pro|Furniture|85000|2|Chidinma|68000</v>
      </c>
      <c r="P235" s="3" t="str">
        <f>IF(COUNTIF(Sales_Data2[RowKey],Sales_Data2[[#This Row],[RowKey]])&gt;1,"Duplicate","Unique")</f>
        <v>Unique</v>
      </c>
      <c r="Q235" s="3" t="str">
        <f>IF(ISNUMBER(Sales_Data2[[#This Row],[Date]]),"OK","Check")</f>
        <v>OK</v>
      </c>
      <c r="R235" s="3" t="str">
        <f>IF(ISNUMBER(Sales_Data2[[#This Row],[Quantity]]),"OK","Check")</f>
        <v>OK</v>
      </c>
    </row>
    <row r="236" spans="1:18">
      <c r="A236" s="1">
        <v>45910</v>
      </c>
      <c r="B236" t="s">
        <v>11</v>
      </c>
      <c r="C236" t="s">
        <v>32</v>
      </c>
      <c r="D236" t="s">
        <v>23</v>
      </c>
      <c r="E236" t="s">
        <v>14</v>
      </c>
      <c r="F236" t="s">
        <v>21</v>
      </c>
      <c r="G236" t="s">
        <v>22</v>
      </c>
      <c r="H236">
        <v>30000</v>
      </c>
      <c r="I236">
        <v>6</v>
      </c>
      <c r="J236" t="s">
        <v>17</v>
      </c>
      <c r="K236">
        <f t="shared" si="3"/>
        <v>24000</v>
      </c>
      <c r="L236">
        <f>Sales_Data2[[#This Row],[Unit Price]]*Sales_Data2[[#This Row],[Quantity]]</f>
        <v>180000</v>
      </c>
      <c r="M236">
        <f>Sales_Data2[[#This Row],[Cost Price]]*Sales_Data2[[#This Row],[Quantity]]</f>
        <v>144000</v>
      </c>
      <c r="N236" s="3">
        <f>Sales_Data2[[#This Row],[Revenue]]-Sales_Data2[[#This Row],[COGS]]</f>
        <v>36000</v>
      </c>
      <c r="O2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45910|West|Abuja|Corporate|Online|Blender B10|Home Appliances|30000|6|Chidinma|24000</v>
      </c>
      <c r="P236" s="3" t="str">
        <f>IF(COUNTIF(Sales_Data2[RowKey],Sales_Data2[[#This Row],[RowKey]])&gt;1,"Duplicate","Unique")</f>
        <v>Unique</v>
      </c>
      <c r="Q236" s="3" t="str">
        <f>IF(ISNUMBER(Sales_Data2[[#This Row],[Date]]),"OK","Check")</f>
        <v>OK</v>
      </c>
      <c r="R236" s="3" t="str">
        <f>IF(ISNUMBER(Sales_Data2[[#This Row],[Quantity]]),"OK","Check")</f>
        <v>OK</v>
      </c>
    </row>
    <row r="237" spans="1:18">
      <c r="A237" s="1">
        <v>45911</v>
      </c>
      <c r="B237" t="s">
        <v>11</v>
      </c>
      <c r="C237" t="s">
        <v>32</v>
      </c>
      <c r="D237" t="s">
        <v>23</v>
      </c>
      <c r="E237" t="s">
        <v>14</v>
      </c>
      <c r="F237" t="s">
        <v>34</v>
      </c>
      <c r="G237" t="s">
        <v>16</v>
      </c>
      <c r="H237">
        <v>320000</v>
      </c>
      <c r="I237">
        <v>1</v>
      </c>
      <c r="J237" t="s">
        <v>17</v>
      </c>
      <c r="K237">
        <f t="shared" si="3"/>
        <v>256000</v>
      </c>
      <c r="L237">
        <f>Sales_Data2[[#This Row],[Unit Price]]*Sales_Data2[[#This Row],[Quantity]]</f>
        <v>320000</v>
      </c>
      <c r="M237">
        <f>Sales_Data2[[#This Row],[Cost Price]]*Sales_Data2[[#This Row],[Quantity]]</f>
        <v>256000</v>
      </c>
      <c r="N237" s="3">
        <f>Sales_Data2[[#This Row],[Revenue]]-Sales_Data2[[#This Row],[COGS]]</f>
        <v>64000</v>
      </c>
      <c r="O2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45911|West|Abuja|Corporate|Online|Sofa Classic|Furniture|320000|1|Chidinma|256000</v>
      </c>
      <c r="P237" s="3" t="str">
        <f>IF(COUNTIF(Sales_Data2[RowKey],Sales_Data2[[#This Row],[RowKey]])&gt;1,"Duplicate","Unique")</f>
        <v>Unique</v>
      </c>
      <c r="Q237" s="3" t="str">
        <f>IF(ISNUMBER(Sales_Data2[[#This Row],[Date]]),"OK","Check")</f>
        <v>OK</v>
      </c>
      <c r="R237" s="3" t="str">
        <f>IF(ISNUMBER(Sales_Data2[[#This Row],[Quantity]]),"OK","Check")</f>
        <v>OK</v>
      </c>
    </row>
    <row r="238" spans="1:18">
      <c r="A238" s="1">
        <v>45912</v>
      </c>
      <c r="B238" t="s">
        <v>25</v>
      </c>
      <c r="C238" t="s">
        <v>19</v>
      </c>
      <c r="D238" t="s">
        <v>13</v>
      </c>
      <c r="E238" t="s">
        <v>20</v>
      </c>
      <c r="F238" t="s">
        <v>38</v>
      </c>
      <c r="G238" t="s">
        <v>31</v>
      </c>
      <c r="H238">
        <v>420000</v>
      </c>
      <c r="I238">
        <v>5</v>
      </c>
      <c r="J238" t="s">
        <v>37</v>
      </c>
      <c r="K238">
        <f t="shared" si="3"/>
        <v>336000</v>
      </c>
      <c r="L238">
        <f>Sales_Data2[[#This Row],[Unit Price]]*Sales_Data2[[#This Row],[Quantity]]</f>
        <v>2100000</v>
      </c>
      <c r="M238">
        <f>Sales_Data2[[#This Row],[Cost Price]]*Sales_Data2[[#This Row],[Quantity]]</f>
        <v>1680000</v>
      </c>
      <c r="N238" s="3">
        <f>Sales_Data2[[#This Row],[Revenue]]-Sales_Data2[[#This Row],[COGS]]</f>
        <v>420000</v>
      </c>
      <c r="O2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45912|South|Lagos|Retail|Store|Laptop A13|Electronics|420000|5|Aisha|336000</v>
      </c>
      <c r="P238" s="3" t="str">
        <f>IF(COUNTIF(Sales_Data2[RowKey],Sales_Data2[[#This Row],[RowKey]])&gt;1,"Duplicate","Unique")</f>
        <v>Unique</v>
      </c>
      <c r="Q238" s="3" t="str">
        <f>IF(ISNUMBER(Sales_Data2[[#This Row],[Date]]),"OK","Check")</f>
        <v>OK</v>
      </c>
      <c r="R238" s="3" t="str">
        <f>IF(ISNUMBER(Sales_Data2[[#This Row],[Quantity]]),"OK","Check")</f>
        <v>OK</v>
      </c>
    </row>
    <row r="239" spans="1:18">
      <c r="A239" s="1">
        <v>45913</v>
      </c>
      <c r="B239" t="s">
        <v>11</v>
      </c>
      <c r="C239" t="s">
        <v>32</v>
      </c>
      <c r="D239" t="s">
        <v>13</v>
      </c>
      <c r="E239" t="s">
        <v>20</v>
      </c>
      <c r="F239" t="s">
        <v>21</v>
      </c>
      <c r="G239" t="s">
        <v>22</v>
      </c>
      <c r="H239">
        <v>30000</v>
      </c>
      <c r="I239">
        <v>9</v>
      </c>
      <c r="J239" t="s">
        <v>39</v>
      </c>
      <c r="K239">
        <f t="shared" si="3"/>
        <v>24000</v>
      </c>
      <c r="L239">
        <f>Sales_Data2[[#This Row],[Unit Price]]*Sales_Data2[[#This Row],[Quantity]]</f>
        <v>270000</v>
      </c>
      <c r="M239">
        <f>Sales_Data2[[#This Row],[Cost Price]]*Sales_Data2[[#This Row],[Quantity]]</f>
        <v>216000</v>
      </c>
      <c r="N239" s="3">
        <f>Sales_Data2[[#This Row],[Revenue]]-Sales_Data2[[#This Row],[COGS]]</f>
        <v>54000</v>
      </c>
      <c r="O2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45913|West|Abuja|Retail|Store|Blender B10|Home Appliances|30000|9|Grace|24000</v>
      </c>
      <c r="P239" s="3" t="str">
        <f>IF(COUNTIF(Sales_Data2[RowKey],Sales_Data2[[#This Row],[RowKey]])&gt;1,"Duplicate","Unique")</f>
        <v>Unique</v>
      </c>
      <c r="Q239" s="3" t="str">
        <f>IF(ISNUMBER(Sales_Data2[[#This Row],[Date]]),"OK","Check")</f>
        <v>OK</v>
      </c>
      <c r="R239" s="3" t="str">
        <f>IF(ISNUMBER(Sales_Data2[[#This Row],[Quantity]]),"OK","Check")</f>
        <v>OK</v>
      </c>
    </row>
    <row r="240" spans="1:18">
      <c r="A240" s="1">
        <v>45914</v>
      </c>
      <c r="B240" t="s">
        <v>25</v>
      </c>
      <c r="C240" t="s">
        <v>32</v>
      </c>
      <c r="D240" t="s">
        <v>13</v>
      </c>
      <c r="E240" t="s">
        <v>14</v>
      </c>
      <c r="F240" t="s">
        <v>27</v>
      </c>
      <c r="G240" t="s">
        <v>22</v>
      </c>
      <c r="H240">
        <v>60000</v>
      </c>
      <c r="I240">
        <v>8</v>
      </c>
      <c r="J240" t="s">
        <v>37</v>
      </c>
      <c r="K240">
        <f t="shared" si="3"/>
        <v>48000</v>
      </c>
      <c r="L240">
        <f>Sales_Data2[[#This Row],[Unit Price]]*Sales_Data2[[#This Row],[Quantity]]</f>
        <v>480000</v>
      </c>
      <c r="M240">
        <f>Sales_Data2[[#This Row],[Cost Price]]*Sales_Data2[[#This Row],[Quantity]]</f>
        <v>384000</v>
      </c>
      <c r="N240" s="3">
        <f>Sales_Data2[[#This Row],[Revenue]]-Sales_Data2[[#This Row],[COGS]]</f>
        <v>96000</v>
      </c>
      <c r="O2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45914|South|Abuja|Retail|Online|Microwave M20|Home Appliances|60000|8|Aisha|48000</v>
      </c>
      <c r="P240" s="3" t="str">
        <f>IF(COUNTIF(Sales_Data2[RowKey],Sales_Data2[[#This Row],[RowKey]])&gt;1,"Duplicate","Unique")</f>
        <v>Unique</v>
      </c>
      <c r="Q240" s="3" t="str">
        <f>IF(ISNUMBER(Sales_Data2[[#This Row],[Date]]),"OK","Check")</f>
        <v>OK</v>
      </c>
      <c r="R240" s="3" t="str">
        <f>IF(ISNUMBER(Sales_Data2[[#This Row],[Quantity]]),"OK","Check")</f>
        <v>OK</v>
      </c>
    </row>
    <row r="241" spans="1:18">
      <c r="A241" s="1">
        <v>45915</v>
      </c>
      <c r="B241" t="s">
        <v>11</v>
      </c>
      <c r="C241" t="s">
        <v>26</v>
      </c>
      <c r="D241" t="s">
        <v>13</v>
      </c>
      <c r="E241" t="s">
        <v>14</v>
      </c>
      <c r="F241" t="s">
        <v>30</v>
      </c>
      <c r="G241" t="s">
        <v>31</v>
      </c>
      <c r="H241">
        <v>300000</v>
      </c>
      <c r="I241">
        <v>2</v>
      </c>
      <c r="J241" t="s">
        <v>28</v>
      </c>
      <c r="K241">
        <f t="shared" si="3"/>
        <v>240000</v>
      </c>
      <c r="L241">
        <f>Sales_Data2[[#This Row],[Unit Price]]*Sales_Data2[[#This Row],[Quantity]]</f>
        <v>600000</v>
      </c>
      <c r="M241">
        <f>Sales_Data2[[#This Row],[Cost Price]]*Sales_Data2[[#This Row],[Quantity]]</f>
        <v>480000</v>
      </c>
      <c r="N241" s="3">
        <f>Sales_Data2[[#This Row],[Revenue]]-Sales_Data2[[#This Row],[COGS]]</f>
        <v>120000</v>
      </c>
      <c r="O2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45915|West|Kano|Retail|Online|Desktop PC D21|Electronics|300000|2|Musa|240000</v>
      </c>
      <c r="P241" s="3" t="str">
        <f>IF(COUNTIF(Sales_Data2[RowKey],Sales_Data2[[#This Row],[RowKey]])&gt;1,"Duplicate","Unique")</f>
        <v>Unique</v>
      </c>
      <c r="Q241" s="3" t="str">
        <f>IF(ISNUMBER(Sales_Data2[[#This Row],[Date]]),"OK","Check")</f>
        <v>OK</v>
      </c>
      <c r="R241" s="3" t="str">
        <f>IF(ISNUMBER(Sales_Data2[[#This Row],[Quantity]]),"OK","Check")</f>
        <v>OK</v>
      </c>
    </row>
    <row r="242" spans="1:18">
      <c r="A242" s="1">
        <v>45916</v>
      </c>
      <c r="B242" t="s">
        <v>25</v>
      </c>
      <c r="C242" t="s">
        <v>12</v>
      </c>
      <c r="D242" t="s">
        <v>13</v>
      </c>
      <c r="E242" t="s">
        <v>14</v>
      </c>
      <c r="F242" t="s">
        <v>41</v>
      </c>
      <c r="G242" t="s">
        <v>22</v>
      </c>
      <c r="H242">
        <v>220000</v>
      </c>
      <c r="I242">
        <v>7</v>
      </c>
      <c r="J242" t="s">
        <v>28</v>
      </c>
      <c r="K242">
        <f t="shared" si="3"/>
        <v>176000</v>
      </c>
      <c r="L242">
        <f>Sales_Data2[[#This Row],[Unit Price]]*Sales_Data2[[#This Row],[Quantity]]</f>
        <v>1540000</v>
      </c>
      <c r="M242">
        <f>Sales_Data2[[#This Row],[Cost Price]]*Sales_Data2[[#This Row],[Quantity]]</f>
        <v>1232000</v>
      </c>
      <c r="N242" s="3">
        <f>Sales_Data2[[#This Row],[Revenue]]-Sales_Data2[[#This Row],[COGS]]</f>
        <v>308000</v>
      </c>
      <c r="O2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45916|South|Port Harcourt|Retail|Online|Refrigerator R55|Home Appliances|220000|7|Musa|176000</v>
      </c>
      <c r="P242" s="3" t="str">
        <f>IF(COUNTIF(Sales_Data2[RowKey],Sales_Data2[[#This Row],[RowKey]])&gt;1,"Duplicate","Unique")</f>
        <v>Unique</v>
      </c>
      <c r="Q242" s="3" t="str">
        <f>IF(ISNUMBER(Sales_Data2[[#This Row],[Date]]),"OK","Check")</f>
        <v>OK</v>
      </c>
      <c r="R242" s="3" t="str">
        <f>IF(ISNUMBER(Sales_Data2[[#This Row],[Quantity]]),"OK","Check")</f>
        <v>OK</v>
      </c>
    </row>
    <row r="243" spans="1:18">
      <c r="A243" s="1">
        <v>45917</v>
      </c>
      <c r="B243" t="s">
        <v>29</v>
      </c>
      <c r="C243" t="s">
        <v>19</v>
      </c>
      <c r="D243" t="s">
        <v>23</v>
      </c>
      <c r="E243" t="s">
        <v>20</v>
      </c>
      <c r="F243" t="s">
        <v>30</v>
      </c>
      <c r="G243" t="s">
        <v>31</v>
      </c>
      <c r="H243">
        <v>300000</v>
      </c>
      <c r="I243">
        <v>8</v>
      </c>
      <c r="J243" t="s">
        <v>17</v>
      </c>
      <c r="K243">
        <f t="shared" si="3"/>
        <v>240000</v>
      </c>
      <c r="L243">
        <f>Sales_Data2[[#This Row],[Unit Price]]*Sales_Data2[[#This Row],[Quantity]]</f>
        <v>2400000</v>
      </c>
      <c r="M243">
        <f>Sales_Data2[[#This Row],[Cost Price]]*Sales_Data2[[#This Row],[Quantity]]</f>
        <v>1920000</v>
      </c>
      <c r="N243" s="3">
        <f>Sales_Data2[[#This Row],[Revenue]]-Sales_Data2[[#This Row],[COGS]]</f>
        <v>480000</v>
      </c>
      <c r="O2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45917|North|Lagos|Corporate|Store|Desktop PC D21|Electronics|300000|8|Chidinma|240000</v>
      </c>
      <c r="P243" s="3" t="str">
        <f>IF(COUNTIF(Sales_Data2[RowKey],Sales_Data2[[#This Row],[RowKey]])&gt;1,"Duplicate","Unique")</f>
        <v>Unique</v>
      </c>
      <c r="Q243" s="3" t="str">
        <f>IF(ISNUMBER(Sales_Data2[[#This Row],[Date]]),"OK","Check")</f>
        <v>OK</v>
      </c>
      <c r="R243" s="3" t="str">
        <f>IF(ISNUMBER(Sales_Data2[[#This Row],[Quantity]]),"OK","Check")</f>
        <v>OK</v>
      </c>
    </row>
    <row r="244" spans="1:18">
      <c r="A244" s="1">
        <v>45918</v>
      </c>
      <c r="B244" t="s">
        <v>18</v>
      </c>
      <c r="C244" t="s">
        <v>19</v>
      </c>
      <c r="D244" t="s">
        <v>23</v>
      </c>
      <c r="E244" t="s">
        <v>20</v>
      </c>
      <c r="F244" t="s">
        <v>38</v>
      </c>
      <c r="G244" t="s">
        <v>31</v>
      </c>
      <c r="H244">
        <v>420000</v>
      </c>
      <c r="I244">
        <v>10</v>
      </c>
      <c r="J244" t="s">
        <v>35</v>
      </c>
      <c r="K244">
        <f t="shared" si="3"/>
        <v>336000</v>
      </c>
      <c r="L244">
        <f>Sales_Data2[[#This Row],[Unit Price]]*Sales_Data2[[#This Row],[Quantity]]</f>
        <v>4200000</v>
      </c>
      <c r="M244">
        <f>Sales_Data2[[#This Row],[Cost Price]]*Sales_Data2[[#This Row],[Quantity]]</f>
        <v>3360000</v>
      </c>
      <c r="N244" s="3">
        <f>Sales_Data2[[#This Row],[Revenue]]-Sales_Data2[[#This Row],[COGS]]</f>
        <v>840000</v>
      </c>
      <c r="O2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45918|East|Lagos|Corporate|Store|Laptop A13|Electronics|420000|10|Peter|336000</v>
      </c>
      <c r="P244" s="3" t="str">
        <f>IF(COUNTIF(Sales_Data2[RowKey],Sales_Data2[[#This Row],[RowKey]])&gt;1,"Duplicate","Unique")</f>
        <v>Unique</v>
      </c>
      <c r="Q244" s="3" t="str">
        <f>IF(ISNUMBER(Sales_Data2[[#This Row],[Date]]),"OK","Check")</f>
        <v>OK</v>
      </c>
      <c r="R244" s="3" t="str">
        <f>IF(ISNUMBER(Sales_Data2[[#This Row],[Quantity]]),"OK","Check")</f>
        <v>OK</v>
      </c>
    </row>
    <row r="245" spans="1:18">
      <c r="A245" s="1">
        <v>45919</v>
      </c>
      <c r="B245" t="s">
        <v>18</v>
      </c>
      <c r="C245" t="s">
        <v>32</v>
      </c>
      <c r="D245" t="s">
        <v>23</v>
      </c>
      <c r="E245" t="s">
        <v>14</v>
      </c>
      <c r="F245" t="s">
        <v>30</v>
      </c>
      <c r="G245" t="s">
        <v>31</v>
      </c>
      <c r="H245">
        <v>300000</v>
      </c>
      <c r="I245">
        <v>2</v>
      </c>
      <c r="J245" t="s">
        <v>35</v>
      </c>
      <c r="K245">
        <f t="shared" si="3"/>
        <v>240000</v>
      </c>
      <c r="L245">
        <f>Sales_Data2[[#This Row],[Unit Price]]*Sales_Data2[[#This Row],[Quantity]]</f>
        <v>600000</v>
      </c>
      <c r="M245">
        <f>Sales_Data2[[#This Row],[Cost Price]]*Sales_Data2[[#This Row],[Quantity]]</f>
        <v>480000</v>
      </c>
      <c r="N245" s="3">
        <f>Sales_Data2[[#This Row],[Revenue]]-Sales_Data2[[#This Row],[COGS]]</f>
        <v>120000</v>
      </c>
      <c r="O2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45919|East|Abuja|Corporate|Online|Desktop PC D21|Electronics|300000|2|Peter|240000</v>
      </c>
      <c r="P245" s="3" t="str">
        <f>IF(COUNTIF(Sales_Data2[RowKey],Sales_Data2[[#This Row],[RowKey]])&gt;1,"Duplicate","Unique")</f>
        <v>Unique</v>
      </c>
      <c r="Q245" s="3" t="str">
        <f>IF(ISNUMBER(Sales_Data2[[#This Row],[Date]]),"OK","Check")</f>
        <v>OK</v>
      </c>
      <c r="R245" s="3" t="str">
        <f>IF(ISNUMBER(Sales_Data2[[#This Row],[Quantity]]),"OK","Check")</f>
        <v>OK</v>
      </c>
    </row>
    <row r="246" spans="1:18">
      <c r="A246" s="1">
        <v>45920</v>
      </c>
      <c r="B246" t="s">
        <v>18</v>
      </c>
      <c r="C246" t="s">
        <v>19</v>
      </c>
      <c r="D246" t="s">
        <v>23</v>
      </c>
      <c r="E246" t="s">
        <v>14</v>
      </c>
      <c r="F246" t="s">
        <v>41</v>
      </c>
      <c r="G246" t="s">
        <v>22</v>
      </c>
      <c r="H246">
        <v>220000</v>
      </c>
      <c r="I246">
        <v>3</v>
      </c>
      <c r="J246" t="s">
        <v>28</v>
      </c>
      <c r="K246">
        <f t="shared" si="3"/>
        <v>176000</v>
      </c>
      <c r="L246">
        <f>Sales_Data2[[#This Row],[Unit Price]]*Sales_Data2[[#This Row],[Quantity]]</f>
        <v>660000</v>
      </c>
      <c r="M246">
        <f>Sales_Data2[[#This Row],[Cost Price]]*Sales_Data2[[#This Row],[Quantity]]</f>
        <v>528000</v>
      </c>
      <c r="N246" s="3">
        <f>Sales_Data2[[#This Row],[Revenue]]-Sales_Data2[[#This Row],[COGS]]</f>
        <v>132000</v>
      </c>
      <c r="O2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45920|East|Lagos|Corporate|Online|Refrigerator R55|Home Appliances|220000|3|Musa|176000</v>
      </c>
      <c r="P246" s="3" t="str">
        <f>IF(COUNTIF(Sales_Data2[RowKey],Sales_Data2[[#This Row],[RowKey]])&gt;1,"Duplicate","Unique")</f>
        <v>Unique</v>
      </c>
      <c r="Q246" s="3" t="str">
        <f>IF(ISNUMBER(Sales_Data2[[#This Row],[Date]]),"OK","Check")</f>
        <v>OK</v>
      </c>
      <c r="R246" s="3" t="str">
        <f>IF(ISNUMBER(Sales_Data2[[#This Row],[Quantity]]),"OK","Check")</f>
        <v>OK</v>
      </c>
    </row>
    <row r="247" spans="1:18">
      <c r="A247" s="1">
        <v>45921</v>
      </c>
      <c r="B247" t="s">
        <v>18</v>
      </c>
      <c r="C247" t="s">
        <v>26</v>
      </c>
      <c r="D247" t="s">
        <v>23</v>
      </c>
      <c r="E247" t="s">
        <v>20</v>
      </c>
      <c r="F247" t="s">
        <v>15</v>
      </c>
      <c r="G247" t="s">
        <v>16</v>
      </c>
      <c r="H247">
        <v>85000</v>
      </c>
      <c r="I247">
        <v>6</v>
      </c>
      <c r="J247" t="s">
        <v>24</v>
      </c>
      <c r="K247">
        <f t="shared" si="3"/>
        <v>68000</v>
      </c>
      <c r="L247">
        <f>Sales_Data2[[#This Row],[Unit Price]]*Sales_Data2[[#This Row],[Quantity]]</f>
        <v>510000</v>
      </c>
      <c r="M247">
        <f>Sales_Data2[[#This Row],[Cost Price]]*Sales_Data2[[#This Row],[Quantity]]</f>
        <v>408000</v>
      </c>
      <c r="N247" s="3">
        <f>Sales_Data2[[#This Row],[Revenue]]-Sales_Data2[[#This Row],[COGS]]</f>
        <v>102000</v>
      </c>
      <c r="O2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45921|East|Kano|Corporate|Store|Office Chair Pro|Furniture|85000|6|David|68000</v>
      </c>
      <c r="P247" s="3" t="str">
        <f>IF(COUNTIF(Sales_Data2[RowKey],Sales_Data2[[#This Row],[RowKey]])&gt;1,"Duplicate","Unique")</f>
        <v>Unique</v>
      </c>
      <c r="Q247" s="3" t="str">
        <f>IF(ISNUMBER(Sales_Data2[[#This Row],[Date]]),"OK","Check")</f>
        <v>OK</v>
      </c>
      <c r="R247" s="3" t="str">
        <f>IF(ISNUMBER(Sales_Data2[[#This Row],[Quantity]]),"OK","Check")</f>
        <v>OK</v>
      </c>
    </row>
    <row r="248" spans="1:18">
      <c r="A248" s="1">
        <v>45922</v>
      </c>
      <c r="B248" t="s">
        <v>29</v>
      </c>
      <c r="C248" t="s">
        <v>32</v>
      </c>
      <c r="D248" t="s">
        <v>23</v>
      </c>
      <c r="E248" t="s">
        <v>14</v>
      </c>
      <c r="F248" t="s">
        <v>34</v>
      </c>
      <c r="G248" t="s">
        <v>16</v>
      </c>
      <c r="H248">
        <v>320000</v>
      </c>
      <c r="I248">
        <v>10</v>
      </c>
      <c r="J248" t="s">
        <v>39</v>
      </c>
      <c r="K248">
        <f t="shared" si="3"/>
        <v>256000</v>
      </c>
      <c r="L248">
        <f>Sales_Data2[[#This Row],[Unit Price]]*Sales_Data2[[#This Row],[Quantity]]</f>
        <v>3200000</v>
      </c>
      <c r="M248">
        <f>Sales_Data2[[#This Row],[Cost Price]]*Sales_Data2[[#This Row],[Quantity]]</f>
        <v>2560000</v>
      </c>
      <c r="N248" s="3">
        <f>Sales_Data2[[#This Row],[Revenue]]-Sales_Data2[[#This Row],[COGS]]</f>
        <v>640000</v>
      </c>
      <c r="O2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45922|North|Abuja|Corporate|Online|Sofa Classic|Furniture|320000|10|Grace|256000</v>
      </c>
      <c r="P248" s="3" t="str">
        <f>IF(COUNTIF(Sales_Data2[RowKey],Sales_Data2[[#This Row],[RowKey]])&gt;1,"Duplicate","Unique")</f>
        <v>Unique</v>
      </c>
      <c r="Q248" s="3" t="str">
        <f>IF(ISNUMBER(Sales_Data2[[#This Row],[Date]]),"OK","Check")</f>
        <v>OK</v>
      </c>
      <c r="R248" s="3" t="str">
        <f>IF(ISNUMBER(Sales_Data2[[#This Row],[Quantity]]),"OK","Check")</f>
        <v>OK</v>
      </c>
    </row>
    <row r="249" spans="1:18">
      <c r="A249" s="1">
        <v>45923</v>
      </c>
      <c r="B249" t="s">
        <v>18</v>
      </c>
      <c r="C249" t="s">
        <v>12</v>
      </c>
      <c r="D249" t="s">
        <v>23</v>
      </c>
      <c r="E249" t="s">
        <v>14</v>
      </c>
      <c r="F249" t="s">
        <v>30</v>
      </c>
      <c r="G249" t="s">
        <v>31</v>
      </c>
      <c r="H249">
        <v>300000</v>
      </c>
      <c r="I249">
        <v>2</v>
      </c>
      <c r="J249" t="s">
        <v>24</v>
      </c>
      <c r="K249">
        <f t="shared" si="3"/>
        <v>240000</v>
      </c>
      <c r="L249">
        <f>Sales_Data2[[#This Row],[Unit Price]]*Sales_Data2[[#This Row],[Quantity]]</f>
        <v>600000</v>
      </c>
      <c r="M249">
        <f>Sales_Data2[[#This Row],[Cost Price]]*Sales_Data2[[#This Row],[Quantity]]</f>
        <v>480000</v>
      </c>
      <c r="N249" s="3">
        <f>Sales_Data2[[#This Row],[Revenue]]-Sales_Data2[[#This Row],[COGS]]</f>
        <v>120000</v>
      </c>
      <c r="O2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45923|East|Port Harcourt|Corporate|Online|Desktop PC D21|Electronics|300000|2|David|240000</v>
      </c>
      <c r="P249" s="3" t="str">
        <f>IF(COUNTIF(Sales_Data2[RowKey],Sales_Data2[[#This Row],[RowKey]])&gt;1,"Duplicate","Unique")</f>
        <v>Unique</v>
      </c>
      <c r="Q249" s="3" t="str">
        <f>IF(ISNUMBER(Sales_Data2[[#This Row],[Date]]),"OK","Check")</f>
        <v>OK</v>
      </c>
      <c r="R249" s="3" t="str">
        <f>IF(ISNUMBER(Sales_Data2[[#This Row],[Quantity]]),"OK","Check")</f>
        <v>OK</v>
      </c>
    </row>
    <row r="250" spans="1:18">
      <c r="A250" s="1">
        <v>45924</v>
      </c>
      <c r="B250" t="s">
        <v>25</v>
      </c>
      <c r="C250" t="s">
        <v>12</v>
      </c>
      <c r="D250" t="s">
        <v>23</v>
      </c>
      <c r="E250" t="s">
        <v>20</v>
      </c>
      <c r="F250" t="s">
        <v>21</v>
      </c>
      <c r="G250" t="s">
        <v>22</v>
      </c>
      <c r="H250">
        <v>30000</v>
      </c>
      <c r="I250">
        <v>6</v>
      </c>
      <c r="J250" t="s">
        <v>39</v>
      </c>
      <c r="K250">
        <f t="shared" si="3"/>
        <v>24000</v>
      </c>
      <c r="L250">
        <f>Sales_Data2[[#This Row],[Unit Price]]*Sales_Data2[[#This Row],[Quantity]]</f>
        <v>180000</v>
      </c>
      <c r="M250">
        <f>Sales_Data2[[#This Row],[Cost Price]]*Sales_Data2[[#This Row],[Quantity]]</f>
        <v>144000</v>
      </c>
      <c r="N250" s="3">
        <f>Sales_Data2[[#This Row],[Revenue]]-Sales_Data2[[#This Row],[COGS]]</f>
        <v>36000</v>
      </c>
      <c r="O2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45924|South|Port Harcourt|Corporate|Store|Blender B10|Home Appliances|30000|6|Grace|24000</v>
      </c>
      <c r="P250" s="3" t="str">
        <f>IF(COUNTIF(Sales_Data2[RowKey],Sales_Data2[[#This Row],[RowKey]])&gt;1,"Duplicate","Unique")</f>
        <v>Unique</v>
      </c>
      <c r="Q250" s="3" t="str">
        <f>IF(ISNUMBER(Sales_Data2[[#This Row],[Date]]),"OK","Check")</f>
        <v>OK</v>
      </c>
      <c r="R250" s="3" t="str">
        <f>IF(ISNUMBER(Sales_Data2[[#This Row],[Quantity]]),"OK","Check")</f>
        <v>OK</v>
      </c>
    </row>
    <row r="251" spans="1:18">
      <c r="A251" s="1">
        <v>45925</v>
      </c>
      <c r="B251" t="s">
        <v>25</v>
      </c>
      <c r="C251" t="s">
        <v>12</v>
      </c>
      <c r="D251" t="s">
        <v>23</v>
      </c>
      <c r="E251" t="s">
        <v>20</v>
      </c>
      <c r="F251" t="s">
        <v>27</v>
      </c>
      <c r="G251" t="s">
        <v>22</v>
      </c>
      <c r="H251">
        <v>60000</v>
      </c>
      <c r="I251">
        <v>2</v>
      </c>
      <c r="J251" t="s">
        <v>28</v>
      </c>
      <c r="K251">
        <f t="shared" si="3"/>
        <v>48000</v>
      </c>
      <c r="L251">
        <f>Sales_Data2[[#This Row],[Unit Price]]*Sales_Data2[[#This Row],[Quantity]]</f>
        <v>120000</v>
      </c>
      <c r="M251">
        <f>Sales_Data2[[#This Row],[Cost Price]]*Sales_Data2[[#This Row],[Quantity]]</f>
        <v>96000</v>
      </c>
      <c r="N251" s="3">
        <f>Sales_Data2[[#This Row],[Revenue]]-Sales_Data2[[#This Row],[COGS]]</f>
        <v>24000</v>
      </c>
      <c r="O2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45925|South|Port Harcourt|Corporate|Store|Microwave M20|Home Appliances|60000|2|Musa|48000</v>
      </c>
      <c r="P251" s="3" t="str">
        <f>IF(COUNTIF(Sales_Data2[RowKey],Sales_Data2[[#This Row],[RowKey]])&gt;1,"Duplicate","Unique")</f>
        <v>Unique</v>
      </c>
      <c r="Q251" s="3" t="str">
        <f>IF(ISNUMBER(Sales_Data2[[#This Row],[Date]]),"OK","Check")</f>
        <v>OK</v>
      </c>
      <c r="R251" s="3" t="str">
        <f>IF(ISNUMBER(Sales_Data2[[#This Row],[Quantity]]),"OK","Check")</f>
        <v>OK</v>
      </c>
    </row>
    <row r="252" spans="1:18">
      <c r="A252" s="1">
        <v>45926</v>
      </c>
      <c r="B252" t="s">
        <v>29</v>
      </c>
      <c r="C252" t="s">
        <v>26</v>
      </c>
      <c r="D252" t="s">
        <v>13</v>
      </c>
      <c r="E252" t="s">
        <v>14</v>
      </c>
      <c r="F252" t="s">
        <v>41</v>
      </c>
      <c r="G252" t="s">
        <v>22</v>
      </c>
      <c r="H252">
        <v>220000</v>
      </c>
      <c r="I252">
        <v>5</v>
      </c>
      <c r="J252" t="s">
        <v>17</v>
      </c>
      <c r="K252">
        <f t="shared" si="3"/>
        <v>176000</v>
      </c>
      <c r="L252">
        <f>Sales_Data2[[#This Row],[Unit Price]]*Sales_Data2[[#This Row],[Quantity]]</f>
        <v>1100000</v>
      </c>
      <c r="M252">
        <f>Sales_Data2[[#This Row],[Cost Price]]*Sales_Data2[[#This Row],[Quantity]]</f>
        <v>880000</v>
      </c>
      <c r="N252" s="3">
        <f>Sales_Data2[[#This Row],[Revenue]]-Sales_Data2[[#This Row],[COGS]]</f>
        <v>220000</v>
      </c>
      <c r="O2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45926|North|Kano|Retail|Online|Refrigerator R55|Home Appliances|220000|5|Chidinma|176000</v>
      </c>
      <c r="P252" s="3" t="str">
        <f>IF(COUNTIF(Sales_Data2[RowKey],Sales_Data2[[#This Row],[RowKey]])&gt;1,"Duplicate","Unique")</f>
        <v>Unique</v>
      </c>
      <c r="Q252" s="3" t="str">
        <f>IF(ISNUMBER(Sales_Data2[[#This Row],[Date]]),"OK","Check")</f>
        <v>OK</v>
      </c>
      <c r="R252" s="3" t="str">
        <f>IF(ISNUMBER(Sales_Data2[[#This Row],[Quantity]]),"OK","Check")</f>
        <v>OK</v>
      </c>
    </row>
    <row r="253" spans="1:18">
      <c r="A253" s="1">
        <v>45927</v>
      </c>
      <c r="B253" t="s">
        <v>11</v>
      </c>
      <c r="C253" t="s">
        <v>32</v>
      </c>
      <c r="D253" t="s">
        <v>13</v>
      </c>
      <c r="E253" t="s">
        <v>20</v>
      </c>
      <c r="F253" t="s">
        <v>33</v>
      </c>
      <c r="G253" t="s">
        <v>22</v>
      </c>
      <c r="H253">
        <v>180000</v>
      </c>
      <c r="I253">
        <v>6</v>
      </c>
      <c r="J253" t="s">
        <v>39</v>
      </c>
      <c r="K253">
        <f t="shared" si="3"/>
        <v>144000</v>
      </c>
      <c r="L253">
        <f>Sales_Data2[[#This Row],[Unit Price]]*Sales_Data2[[#This Row],[Quantity]]</f>
        <v>1080000</v>
      </c>
      <c r="M253">
        <f>Sales_Data2[[#This Row],[Cost Price]]*Sales_Data2[[#This Row],[Quantity]]</f>
        <v>864000</v>
      </c>
      <c r="N253" s="3">
        <f>Sales_Data2[[#This Row],[Revenue]]-Sales_Data2[[#This Row],[COGS]]</f>
        <v>216000</v>
      </c>
      <c r="O2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45927|West|Abuja|Retail|Store|Air Conditioner X2|Home Appliances|180000|6|Grace|144000</v>
      </c>
      <c r="P253" s="3" t="str">
        <f>IF(COUNTIF(Sales_Data2[RowKey],Sales_Data2[[#This Row],[RowKey]])&gt;1,"Duplicate","Unique")</f>
        <v>Unique</v>
      </c>
      <c r="Q253" s="3" t="str">
        <f>IF(ISNUMBER(Sales_Data2[[#This Row],[Date]]),"OK","Check")</f>
        <v>OK</v>
      </c>
      <c r="R253" s="3" t="str">
        <f>IF(ISNUMBER(Sales_Data2[[#This Row],[Quantity]]),"OK","Check")</f>
        <v>OK</v>
      </c>
    </row>
    <row r="254" spans="1:18">
      <c r="A254" s="1">
        <v>45928</v>
      </c>
      <c r="B254" t="s">
        <v>29</v>
      </c>
      <c r="C254" t="s">
        <v>12</v>
      </c>
      <c r="D254" t="s">
        <v>13</v>
      </c>
      <c r="E254" t="s">
        <v>14</v>
      </c>
      <c r="F254" t="s">
        <v>40</v>
      </c>
      <c r="G254" t="s">
        <v>31</v>
      </c>
      <c r="H254">
        <v>250000</v>
      </c>
      <c r="I254">
        <v>4</v>
      </c>
      <c r="J254" t="s">
        <v>35</v>
      </c>
      <c r="K254">
        <f t="shared" si="3"/>
        <v>200000</v>
      </c>
      <c r="L254">
        <f>Sales_Data2[[#This Row],[Unit Price]]*Sales_Data2[[#This Row],[Quantity]]</f>
        <v>1000000</v>
      </c>
      <c r="M254">
        <f>Sales_Data2[[#This Row],[Cost Price]]*Sales_Data2[[#This Row],[Quantity]]</f>
        <v>800000</v>
      </c>
      <c r="N254" s="3">
        <f>Sales_Data2[[#This Row],[Revenue]]-Sales_Data2[[#This Row],[COGS]]</f>
        <v>200000</v>
      </c>
      <c r="O2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45928|North|Port Harcourt|Retail|Online|Smartphone Z10|Electronics|250000|4|Peter|200000</v>
      </c>
      <c r="P254" s="3" t="str">
        <f>IF(COUNTIF(Sales_Data2[RowKey],Sales_Data2[[#This Row],[RowKey]])&gt;1,"Duplicate","Unique")</f>
        <v>Unique</v>
      </c>
      <c r="Q254" s="3" t="str">
        <f>IF(ISNUMBER(Sales_Data2[[#This Row],[Date]]),"OK","Check")</f>
        <v>OK</v>
      </c>
      <c r="R254" s="3" t="str">
        <f>IF(ISNUMBER(Sales_Data2[[#This Row],[Quantity]]),"OK","Check")</f>
        <v>OK</v>
      </c>
    </row>
    <row r="255" spans="1:18">
      <c r="A255" s="1">
        <v>45929</v>
      </c>
      <c r="B255" t="s">
        <v>29</v>
      </c>
      <c r="C255" t="s">
        <v>26</v>
      </c>
      <c r="D255" t="s">
        <v>23</v>
      </c>
      <c r="E255" t="s">
        <v>14</v>
      </c>
      <c r="F255" t="s">
        <v>15</v>
      </c>
      <c r="G255" t="s">
        <v>16</v>
      </c>
      <c r="H255">
        <v>85000</v>
      </c>
      <c r="I255">
        <v>10</v>
      </c>
      <c r="J255" t="s">
        <v>24</v>
      </c>
      <c r="K255">
        <f t="shared" si="3"/>
        <v>68000</v>
      </c>
      <c r="L255">
        <f>Sales_Data2[[#This Row],[Unit Price]]*Sales_Data2[[#This Row],[Quantity]]</f>
        <v>850000</v>
      </c>
      <c r="M255">
        <f>Sales_Data2[[#This Row],[Cost Price]]*Sales_Data2[[#This Row],[Quantity]]</f>
        <v>680000</v>
      </c>
      <c r="N255" s="3">
        <f>Sales_Data2[[#This Row],[Revenue]]-Sales_Data2[[#This Row],[COGS]]</f>
        <v>170000</v>
      </c>
      <c r="O2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45929|North|Kano|Corporate|Online|Office Chair Pro|Furniture|85000|10|David|68000</v>
      </c>
      <c r="P255" s="3" t="str">
        <f>IF(COUNTIF(Sales_Data2[RowKey],Sales_Data2[[#This Row],[RowKey]])&gt;1,"Duplicate","Unique")</f>
        <v>Unique</v>
      </c>
      <c r="Q255" s="3" t="str">
        <f>IF(ISNUMBER(Sales_Data2[[#This Row],[Date]]),"OK","Check")</f>
        <v>OK</v>
      </c>
      <c r="R255" s="3" t="str">
        <f>IF(ISNUMBER(Sales_Data2[[#This Row],[Quantity]]),"OK","Check")</f>
        <v>OK</v>
      </c>
    </row>
    <row r="256" spans="1:18">
      <c r="A256" s="1">
        <v>45930</v>
      </c>
      <c r="B256" t="s">
        <v>11</v>
      </c>
      <c r="C256" t="s">
        <v>19</v>
      </c>
      <c r="D256" t="s">
        <v>13</v>
      </c>
      <c r="E256" t="s">
        <v>14</v>
      </c>
      <c r="F256" t="s">
        <v>30</v>
      </c>
      <c r="G256" t="s">
        <v>31</v>
      </c>
      <c r="H256">
        <v>300000</v>
      </c>
      <c r="I256">
        <v>6</v>
      </c>
      <c r="J256" t="s">
        <v>24</v>
      </c>
      <c r="K256">
        <f t="shared" si="3"/>
        <v>240000</v>
      </c>
      <c r="L256">
        <f>Sales_Data2[[#This Row],[Unit Price]]*Sales_Data2[[#This Row],[Quantity]]</f>
        <v>1800000</v>
      </c>
      <c r="M256">
        <f>Sales_Data2[[#This Row],[Cost Price]]*Sales_Data2[[#This Row],[Quantity]]</f>
        <v>1440000</v>
      </c>
      <c r="N256" s="3">
        <f>Sales_Data2[[#This Row],[Revenue]]-Sales_Data2[[#This Row],[COGS]]</f>
        <v>360000</v>
      </c>
      <c r="O2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45930|West|Lagos|Retail|Online|Desktop PC D21|Electronics|300000|6|David|240000</v>
      </c>
      <c r="P256" s="3" t="str">
        <f>IF(COUNTIF(Sales_Data2[RowKey],Sales_Data2[[#This Row],[RowKey]])&gt;1,"Duplicate","Unique")</f>
        <v>Unique</v>
      </c>
      <c r="Q256" s="3" t="str">
        <f>IF(ISNUMBER(Sales_Data2[[#This Row],[Date]]),"OK","Check")</f>
        <v>OK</v>
      </c>
      <c r="R256" s="3" t="str">
        <f>IF(ISNUMBER(Sales_Data2[[#This Row],[Quantity]]),"OK","Check")</f>
        <v>OK</v>
      </c>
    </row>
    <row r="257" spans="1:18">
      <c r="A257" s="1">
        <v>45931</v>
      </c>
      <c r="B257" t="s">
        <v>29</v>
      </c>
      <c r="C257" t="s">
        <v>19</v>
      </c>
      <c r="D257" t="s">
        <v>23</v>
      </c>
      <c r="E257" t="s">
        <v>20</v>
      </c>
      <c r="F257" t="s">
        <v>41</v>
      </c>
      <c r="G257" t="s">
        <v>22</v>
      </c>
      <c r="H257">
        <v>220000</v>
      </c>
      <c r="I257">
        <v>3</v>
      </c>
      <c r="J257" t="s">
        <v>17</v>
      </c>
      <c r="K257">
        <f t="shared" si="3"/>
        <v>176000</v>
      </c>
      <c r="L257">
        <f>Sales_Data2[[#This Row],[Unit Price]]*Sales_Data2[[#This Row],[Quantity]]</f>
        <v>660000</v>
      </c>
      <c r="M257">
        <f>Sales_Data2[[#This Row],[Cost Price]]*Sales_Data2[[#This Row],[Quantity]]</f>
        <v>528000</v>
      </c>
      <c r="N257" s="3">
        <f>Sales_Data2[[#This Row],[Revenue]]-Sales_Data2[[#This Row],[COGS]]</f>
        <v>132000</v>
      </c>
      <c r="O2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45931|North|Lagos|Corporate|Store|Refrigerator R55|Home Appliances|220000|3|Chidinma|176000</v>
      </c>
      <c r="P257" s="3" t="str">
        <f>IF(COUNTIF(Sales_Data2[RowKey],Sales_Data2[[#This Row],[RowKey]])&gt;1,"Duplicate","Unique")</f>
        <v>Unique</v>
      </c>
      <c r="Q257" s="3" t="str">
        <f>IF(ISNUMBER(Sales_Data2[[#This Row],[Date]]),"OK","Check")</f>
        <v>OK</v>
      </c>
      <c r="R257" s="3" t="str">
        <f>IF(ISNUMBER(Sales_Data2[[#This Row],[Quantity]]),"OK","Check")</f>
        <v>OK</v>
      </c>
    </row>
    <row r="258" spans="1:18">
      <c r="A258" s="1">
        <v>45932</v>
      </c>
      <c r="B258" t="s">
        <v>29</v>
      </c>
      <c r="C258" t="s">
        <v>26</v>
      </c>
      <c r="D258" t="s">
        <v>13</v>
      </c>
      <c r="E258" t="s">
        <v>20</v>
      </c>
      <c r="F258" t="s">
        <v>21</v>
      </c>
      <c r="G258" t="s">
        <v>22</v>
      </c>
      <c r="H258">
        <v>30000</v>
      </c>
      <c r="I258">
        <v>8</v>
      </c>
      <c r="J258" t="s">
        <v>39</v>
      </c>
      <c r="K258">
        <f t="shared" ref="K258:K321" si="4">H258-H258*0.2</f>
        <v>24000</v>
      </c>
      <c r="L258">
        <f>Sales_Data2[[#This Row],[Unit Price]]*Sales_Data2[[#This Row],[Quantity]]</f>
        <v>240000</v>
      </c>
      <c r="M258">
        <f>Sales_Data2[[#This Row],[Cost Price]]*Sales_Data2[[#This Row],[Quantity]]</f>
        <v>192000</v>
      </c>
      <c r="N258" s="3">
        <f>Sales_Data2[[#This Row],[Revenue]]-Sales_Data2[[#This Row],[COGS]]</f>
        <v>48000</v>
      </c>
      <c r="O2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45932|North|Kano|Retail|Store|Blender B10|Home Appliances|30000|8|Grace|24000</v>
      </c>
      <c r="P258" s="3" t="str">
        <f>IF(COUNTIF(Sales_Data2[RowKey],Sales_Data2[[#This Row],[RowKey]])&gt;1,"Duplicate","Unique")</f>
        <v>Unique</v>
      </c>
      <c r="Q258" s="3" t="str">
        <f>IF(ISNUMBER(Sales_Data2[[#This Row],[Date]]),"OK","Check")</f>
        <v>OK</v>
      </c>
      <c r="R258" s="3" t="str">
        <f>IF(ISNUMBER(Sales_Data2[[#This Row],[Quantity]]),"OK","Check")</f>
        <v>OK</v>
      </c>
    </row>
    <row r="259" spans="1:18">
      <c r="A259" s="1">
        <v>45933</v>
      </c>
      <c r="B259" t="s">
        <v>29</v>
      </c>
      <c r="C259" t="s">
        <v>12</v>
      </c>
      <c r="D259" t="s">
        <v>23</v>
      </c>
      <c r="E259" t="s">
        <v>14</v>
      </c>
      <c r="F259" t="s">
        <v>15</v>
      </c>
      <c r="G259" t="s">
        <v>16</v>
      </c>
      <c r="H259">
        <v>85000</v>
      </c>
      <c r="I259">
        <v>2</v>
      </c>
      <c r="J259" t="s">
        <v>17</v>
      </c>
      <c r="K259">
        <f t="shared" si="4"/>
        <v>68000</v>
      </c>
      <c r="L259">
        <f>Sales_Data2[[#This Row],[Unit Price]]*Sales_Data2[[#This Row],[Quantity]]</f>
        <v>170000</v>
      </c>
      <c r="M259">
        <f>Sales_Data2[[#This Row],[Cost Price]]*Sales_Data2[[#This Row],[Quantity]]</f>
        <v>136000</v>
      </c>
      <c r="N259" s="3">
        <f>Sales_Data2[[#This Row],[Revenue]]-Sales_Data2[[#This Row],[COGS]]</f>
        <v>34000</v>
      </c>
      <c r="O2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45933|North|Port Harcourt|Corporate|Online|Office Chair Pro|Furniture|85000|2|Chidinma|68000</v>
      </c>
      <c r="P259" s="3" t="str">
        <f>IF(COUNTIF(Sales_Data2[RowKey],Sales_Data2[[#This Row],[RowKey]])&gt;1,"Duplicate","Unique")</f>
        <v>Unique</v>
      </c>
      <c r="Q259" s="3" t="str">
        <f>IF(ISNUMBER(Sales_Data2[[#This Row],[Date]]),"OK","Check")</f>
        <v>OK</v>
      </c>
      <c r="R259" s="3" t="str">
        <f>IF(ISNUMBER(Sales_Data2[[#This Row],[Quantity]]),"OK","Check")</f>
        <v>OK</v>
      </c>
    </row>
    <row r="260" spans="1:18">
      <c r="A260" s="1">
        <v>45934</v>
      </c>
      <c r="B260" t="s">
        <v>25</v>
      </c>
      <c r="C260" t="s">
        <v>32</v>
      </c>
      <c r="D260" t="s">
        <v>13</v>
      </c>
      <c r="E260" t="s">
        <v>20</v>
      </c>
      <c r="F260" t="s">
        <v>36</v>
      </c>
      <c r="G260" t="s">
        <v>31</v>
      </c>
      <c r="H260">
        <v>150000</v>
      </c>
      <c r="I260">
        <v>3</v>
      </c>
      <c r="J260" t="s">
        <v>35</v>
      </c>
      <c r="K260">
        <f t="shared" si="4"/>
        <v>120000</v>
      </c>
      <c r="L260">
        <f>Sales_Data2[[#This Row],[Unit Price]]*Sales_Data2[[#This Row],[Quantity]]</f>
        <v>450000</v>
      </c>
      <c r="M260">
        <f>Sales_Data2[[#This Row],[Cost Price]]*Sales_Data2[[#This Row],[Quantity]]</f>
        <v>360000</v>
      </c>
      <c r="N260" s="3">
        <f>Sales_Data2[[#This Row],[Revenue]]-Sales_Data2[[#This Row],[COGS]]</f>
        <v>90000</v>
      </c>
      <c r="O2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45934|South|Abuja|Retail|Store|Printer P50|Electronics|150000|3|Peter|120000</v>
      </c>
      <c r="P260" s="3" t="str">
        <f>IF(COUNTIF(Sales_Data2[RowKey],Sales_Data2[[#This Row],[RowKey]])&gt;1,"Duplicate","Unique")</f>
        <v>Unique</v>
      </c>
      <c r="Q260" s="3" t="str">
        <f>IF(ISNUMBER(Sales_Data2[[#This Row],[Date]]),"OK","Check")</f>
        <v>OK</v>
      </c>
      <c r="R260" s="3" t="str">
        <f>IF(ISNUMBER(Sales_Data2[[#This Row],[Quantity]]),"OK","Check")</f>
        <v>OK</v>
      </c>
    </row>
    <row r="261" spans="1:18">
      <c r="A261" s="1">
        <v>45935</v>
      </c>
      <c r="B261" t="s">
        <v>18</v>
      </c>
      <c r="C261" t="s">
        <v>32</v>
      </c>
      <c r="D261" t="s">
        <v>13</v>
      </c>
      <c r="E261" t="s">
        <v>20</v>
      </c>
      <c r="F261" t="s">
        <v>15</v>
      </c>
      <c r="G261" t="s">
        <v>16</v>
      </c>
      <c r="H261">
        <v>85000</v>
      </c>
      <c r="I261">
        <v>1</v>
      </c>
      <c r="J261" t="s">
        <v>37</v>
      </c>
      <c r="K261">
        <f t="shared" si="4"/>
        <v>68000</v>
      </c>
      <c r="L261">
        <f>Sales_Data2[[#This Row],[Unit Price]]*Sales_Data2[[#This Row],[Quantity]]</f>
        <v>85000</v>
      </c>
      <c r="M261">
        <f>Sales_Data2[[#This Row],[Cost Price]]*Sales_Data2[[#This Row],[Quantity]]</f>
        <v>68000</v>
      </c>
      <c r="N261" s="3">
        <f>Sales_Data2[[#This Row],[Revenue]]-Sales_Data2[[#This Row],[COGS]]</f>
        <v>17000</v>
      </c>
      <c r="O2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45935|East|Abuja|Retail|Store|Office Chair Pro|Furniture|85000|1|Aisha|68000</v>
      </c>
      <c r="P261" s="3" t="str">
        <f>IF(COUNTIF(Sales_Data2[RowKey],Sales_Data2[[#This Row],[RowKey]])&gt;1,"Duplicate","Unique")</f>
        <v>Unique</v>
      </c>
      <c r="Q261" s="3" t="str">
        <f>IF(ISNUMBER(Sales_Data2[[#This Row],[Date]]),"OK","Check")</f>
        <v>OK</v>
      </c>
      <c r="R261" s="3" t="str">
        <f>IF(ISNUMBER(Sales_Data2[[#This Row],[Quantity]]),"OK","Check")</f>
        <v>OK</v>
      </c>
    </row>
    <row r="262" spans="1:18">
      <c r="A262" s="1">
        <v>45936</v>
      </c>
      <c r="B262" t="s">
        <v>25</v>
      </c>
      <c r="C262" t="s">
        <v>12</v>
      </c>
      <c r="D262" t="s">
        <v>23</v>
      </c>
      <c r="E262" t="s">
        <v>20</v>
      </c>
      <c r="F262" t="s">
        <v>40</v>
      </c>
      <c r="G262" t="s">
        <v>31</v>
      </c>
      <c r="H262">
        <v>250000</v>
      </c>
      <c r="I262">
        <v>3</v>
      </c>
      <c r="J262" t="s">
        <v>39</v>
      </c>
      <c r="K262">
        <f t="shared" si="4"/>
        <v>200000</v>
      </c>
      <c r="L262">
        <f>Sales_Data2[[#This Row],[Unit Price]]*Sales_Data2[[#This Row],[Quantity]]</f>
        <v>750000</v>
      </c>
      <c r="M262">
        <f>Sales_Data2[[#This Row],[Cost Price]]*Sales_Data2[[#This Row],[Quantity]]</f>
        <v>600000</v>
      </c>
      <c r="N262" s="3">
        <f>Sales_Data2[[#This Row],[Revenue]]-Sales_Data2[[#This Row],[COGS]]</f>
        <v>150000</v>
      </c>
      <c r="O2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45936|South|Port Harcourt|Corporate|Store|Smartphone Z10|Electronics|250000|3|Grace|200000</v>
      </c>
      <c r="P262" s="3" t="str">
        <f>IF(COUNTIF(Sales_Data2[RowKey],Sales_Data2[[#This Row],[RowKey]])&gt;1,"Duplicate","Unique")</f>
        <v>Unique</v>
      </c>
      <c r="Q262" s="3" t="str">
        <f>IF(ISNUMBER(Sales_Data2[[#This Row],[Date]]),"OK","Check")</f>
        <v>OK</v>
      </c>
      <c r="R262" s="3" t="str">
        <f>IF(ISNUMBER(Sales_Data2[[#This Row],[Quantity]]),"OK","Check")</f>
        <v>OK</v>
      </c>
    </row>
    <row r="263" spans="1:18">
      <c r="A263" s="1">
        <v>45937</v>
      </c>
      <c r="B263" t="s">
        <v>18</v>
      </c>
      <c r="C263" t="s">
        <v>12</v>
      </c>
      <c r="D263" t="s">
        <v>23</v>
      </c>
      <c r="E263" t="s">
        <v>20</v>
      </c>
      <c r="F263" t="s">
        <v>38</v>
      </c>
      <c r="G263" t="s">
        <v>31</v>
      </c>
      <c r="H263">
        <v>420000</v>
      </c>
      <c r="I263">
        <v>2</v>
      </c>
      <c r="J263" t="s">
        <v>17</v>
      </c>
      <c r="K263">
        <f t="shared" si="4"/>
        <v>336000</v>
      </c>
      <c r="L263">
        <f>Sales_Data2[[#This Row],[Unit Price]]*Sales_Data2[[#This Row],[Quantity]]</f>
        <v>840000</v>
      </c>
      <c r="M263">
        <f>Sales_Data2[[#This Row],[Cost Price]]*Sales_Data2[[#This Row],[Quantity]]</f>
        <v>672000</v>
      </c>
      <c r="N263" s="3">
        <f>Sales_Data2[[#This Row],[Revenue]]-Sales_Data2[[#This Row],[COGS]]</f>
        <v>168000</v>
      </c>
      <c r="O2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45937|East|Port Harcourt|Corporate|Store|Laptop A13|Electronics|420000|2|Chidinma|336000</v>
      </c>
      <c r="P263" s="3" t="str">
        <f>IF(COUNTIF(Sales_Data2[RowKey],Sales_Data2[[#This Row],[RowKey]])&gt;1,"Duplicate","Unique")</f>
        <v>Unique</v>
      </c>
      <c r="Q263" s="3" t="str">
        <f>IF(ISNUMBER(Sales_Data2[[#This Row],[Date]]),"OK","Check")</f>
        <v>OK</v>
      </c>
      <c r="R263" s="3" t="str">
        <f>IF(ISNUMBER(Sales_Data2[[#This Row],[Quantity]]),"OK","Check")</f>
        <v>OK</v>
      </c>
    </row>
    <row r="264" spans="1:18">
      <c r="A264" s="1">
        <v>45938</v>
      </c>
      <c r="B264" t="s">
        <v>11</v>
      </c>
      <c r="C264" t="s">
        <v>26</v>
      </c>
      <c r="D264" t="s">
        <v>13</v>
      </c>
      <c r="E264" t="s">
        <v>14</v>
      </c>
      <c r="F264" t="s">
        <v>36</v>
      </c>
      <c r="G264" t="s">
        <v>31</v>
      </c>
      <c r="H264">
        <v>150000</v>
      </c>
      <c r="I264">
        <v>9</v>
      </c>
      <c r="J264" t="s">
        <v>28</v>
      </c>
      <c r="K264">
        <f t="shared" si="4"/>
        <v>120000</v>
      </c>
      <c r="L264">
        <f>Sales_Data2[[#This Row],[Unit Price]]*Sales_Data2[[#This Row],[Quantity]]</f>
        <v>1350000</v>
      </c>
      <c r="M264">
        <f>Sales_Data2[[#This Row],[Cost Price]]*Sales_Data2[[#This Row],[Quantity]]</f>
        <v>1080000</v>
      </c>
      <c r="N264" s="3">
        <f>Sales_Data2[[#This Row],[Revenue]]-Sales_Data2[[#This Row],[COGS]]</f>
        <v>270000</v>
      </c>
      <c r="O2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45938|West|Kano|Retail|Online|Printer P50|Electronics|150000|9|Musa|120000</v>
      </c>
      <c r="P264" s="3" t="str">
        <f>IF(COUNTIF(Sales_Data2[RowKey],Sales_Data2[[#This Row],[RowKey]])&gt;1,"Duplicate","Unique")</f>
        <v>Unique</v>
      </c>
      <c r="Q264" s="3" t="str">
        <f>IF(ISNUMBER(Sales_Data2[[#This Row],[Date]]),"OK","Check")</f>
        <v>OK</v>
      </c>
      <c r="R264" s="3" t="str">
        <f>IF(ISNUMBER(Sales_Data2[[#This Row],[Quantity]]),"OK","Check")</f>
        <v>OK</v>
      </c>
    </row>
    <row r="265" spans="1:18">
      <c r="A265" s="1">
        <v>45939</v>
      </c>
      <c r="B265" t="s">
        <v>29</v>
      </c>
      <c r="C265" t="s">
        <v>32</v>
      </c>
      <c r="D265" t="s">
        <v>13</v>
      </c>
      <c r="E265" t="s">
        <v>20</v>
      </c>
      <c r="F265" t="s">
        <v>21</v>
      </c>
      <c r="G265" t="s">
        <v>22</v>
      </c>
      <c r="H265">
        <v>30000</v>
      </c>
      <c r="I265">
        <v>9</v>
      </c>
      <c r="J265" t="s">
        <v>24</v>
      </c>
      <c r="K265">
        <f t="shared" si="4"/>
        <v>24000</v>
      </c>
      <c r="L265">
        <f>Sales_Data2[[#This Row],[Unit Price]]*Sales_Data2[[#This Row],[Quantity]]</f>
        <v>270000</v>
      </c>
      <c r="M265">
        <f>Sales_Data2[[#This Row],[Cost Price]]*Sales_Data2[[#This Row],[Quantity]]</f>
        <v>216000</v>
      </c>
      <c r="N265" s="3">
        <f>Sales_Data2[[#This Row],[Revenue]]-Sales_Data2[[#This Row],[COGS]]</f>
        <v>54000</v>
      </c>
      <c r="O2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45939|North|Abuja|Retail|Store|Blender B10|Home Appliances|30000|9|David|24000</v>
      </c>
      <c r="P265" s="3" t="str">
        <f>IF(COUNTIF(Sales_Data2[RowKey],Sales_Data2[[#This Row],[RowKey]])&gt;1,"Duplicate","Unique")</f>
        <v>Unique</v>
      </c>
      <c r="Q265" s="3" t="str">
        <f>IF(ISNUMBER(Sales_Data2[[#This Row],[Date]]),"OK","Check")</f>
        <v>OK</v>
      </c>
      <c r="R265" s="3" t="str">
        <f>IF(ISNUMBER(Sales_Data2[[#This Row],[Quantity]]),"OK","Check")</f>
        <v>OK</v>
      </c>
    </row>
    <row r="266" spans="1:18">
      <c r="A266" s="1">
        <v>45940</v>
      </c>
      <c r="B266" t="s">
        <v>18</v>
      </c>
      <c r="C266" t="s">
        <v>19</v>
      </c>
      <c r="D266" t="s">
        <v>23</v>
      </c>
      <c r="E266" t="s">
        <v>20</v>
      </c>
      <c r="F266" t="s">
        <v>41</v>
      </c>
      <c r="G266" t="s">
        <v>22</v>
      </c>
      <c r="H266">
        <v>220000</v>
      </c>
      <c r="I266">
        <v>6</v>
      </c>
      <c r="J266" t="s">
        <v>39</v>
      </c>
      <c r="K266">
        <f t="shared" si="4"/>
        <v>176000</v>
      </c>
      <c r="L266">
        <f>Sales_Data2[[#This Row],[Unit Price]]*Sales_Data2[[#This Row],[Quantity]]</f>
        <v>1320000</v>
      </c>
      <c r="M266">
        <f>Sales_Data2[[#This Row],[Cost Price]]*Sales_Data2[[#This Row],[Quantity]]</f>
        <v>1056000</v>
      </c>
      <c r="N266" s="3">
        <f>Sales_Data2[[#This Row],[Revenue]]-Sales_Data2[[#This Row],[COGS]]</f>
        <v>264000</v>
      </c>
      <c r="O2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45940|East|Lagos|Corporate|Store|Refrigerator R55|Home Appliances|220000|6|Grace|176000</v>
      </c>
      <c r="P266" s="3" t="str">
        <f>IF(COUNTIF(Sales_Data2[RowKey],Sales_Data2[[#This Row],[RowKey]])&gt;1,"Duplicate","Unique")</f>
        <v>Unique</v>
      </c>
      <c r="Q266" s="3" t="str">
        <f>IF(ISNUMBER(Sales_Data2[[#This Row],[Date]]),"OK","Check")</f>
        <v>OK</v>
      </c>
      <c r="R266" s="3" t="str">
        <f>IF(ISNUMBER(Sales_Data2[[#This Row],[Quantity]]),"OK","Check")</f>
        <v>OK</v>
      </c>
    </row>
    <row r="267" spans="1:18">
      <c r="A267" s="1">
        <v>45941</v>
      </c>
      <c r="B267" t="s">
        <v>29</v>
      </c>
      <c r="C267" t="s">
        <v>26</v>
      </c>
      <c r="D267" t="s">
        <v>23</v>
      </c>
      <c r="E267" t="s">
        <v>20</v>
      </c>
      <c r="F267" t="s">
        <v>21</v>
      </c>
      <c r="G267" t="s">
        <v>22</v>
      </c>
      <c r="H267">
        <v>30000</v>
      </c>
      <c r="I267">
        <v>3</v>
      </c>
      <c r="J267" t="s">
        <v>39</v>
      </c>
      <c r="K267">
        <f t="shared" si="4"/>
        <v>24000</v>
      </c>
      <c r="L267">
        <f>Sales_Data2[[#This Row],[Unit Price]]*Sales_Data2[[#This Row],[Quantity]]</f>
        <v>90000</v>
      </c>
      <c r="M267">
        <f>Sales_Data2[[#This Row],[Cost Price]]*Sales_Data2[[#This Row],[Quantity]]</f>
        <v>72000</v>
      </c>
      <c r="N267" s="3">
        <f>Sales_Data2[[#This Row],[Revenue]]-Sales_Data2[[#This Row],[COGS]]</f>
        <v>18000</v>
      </c>
      <c r="O2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45941|North|Kano|Corporate|Store|Blender B10|Home Appliances|30000|3|Grace|24000</v>
      </c>
      <c r="P267" s="3" t="str">
        <f>IF(COUNTIF(Sales_Data2[RowKey],Sales_Data2[[#This Row],[RowKey]])&gt;1,"Duplicate","Unique")</f>
        <v>Unique</v>
      </c>
      <c r="Q267" s="3" t="str">
        <f>IF(ISNUMBER(Sales_Data2[[#This Row],[Date]]),"OK","Check")</f>
        <v>OK</v>
      </c>
      <c r="R267" s="3" t="str">
        <f>IF(ISNUMBER(Sales_Data2[[#This Row],[Quantity]]),"OK","Check")</f>
        <v>OK</v>
      </c>
    </row>
    <row r="268" spans="1:18">
      <c r="A268" s="1">
        <v>45942</v>
      </c>
      <c r="B268" t="s">
        <v>11</v>
      </c>
      <c r="C268" t="s">
        <v>26</v>
      </c>
      <c r="D268" t="s">
        <v>13</v>
      </c>
      <c r="E268" t="s">
        <v>14</v>
      </c>
      <c r="F268" t="s">
        <v>38</v>
      </c>
      <c r="G268" t="s">
        <v>31</v>
      </c>
      <c r="H268">
        <v>420000</v>
      </c>
      <c r="I268">
        <v>10</v>
      </c>
      <c r="J268" t="s">
        <v>24</v>
      </c>
      <c r="K268">
        <f t="shared" si="4"/>
        <v>336000</v>
      </c>
      <c r="L268">
        <f>Sales_Data2[[#This Row],[Unit Price]]*Sales_Data2[[#This Row],[Quantity]]</f>
        <v>4200000</v>
      </c>
      <c r="M268">
        <f>Sales_Data2[[#This Row],[Cost Price]]*Sales_Data2[[#This Row],[Quantity]]</f>
        <v>3360000</v>
      </c>
      <c r="N268" s="3">
        <f>Sales_Data2[[#This Row],[Revenue]]-Sales_Data2[[#This Row],[COGS]]</f>
        <v>840000</v>
      </c>
      <c r="O2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45942|West|Kano|Retail|Online|Laptop A13|Electronics|420000|10|David|336000</v>
      </c>
      <c r="P268" s="3" t="str">
        <f>IF(COUNTIF(Sales_Data2[RowKey],Sales_Data2[[#This Row],[RowKey]])&gt;1,"Duplicate","Unique")</f>
        <v>Unique</v>
      </c>
      <c r="Q268" s="3" t="str">
        <f>IF(ISNUMBER(Sales_Data2[[#This Row],[Date]]),"OK","Check")</f>
        <v>OK</v>
      </c>
      <c r="R268" s="3" t="str">
        <f>IF(ISNUMBER(Sales_Data2[[#This Row],[Quantity]]),"OK","Check")</f>
        <v>OK</v>
      </c>
    </row>
    <row r="269" spans="1:18">
      <c r="A269" s="1">
        <v>45943</v>
      </c>
      <c r="B269" t="s">
        <v>29</v>
      </c>
      <c r="C269" t="s">
        <v>32</v>
      </c>
      <c r="D269" t="s">
        <v>23</v>
      </c>
      <c r="E269" t="s">
        <v>14</v>
      </c>
      <c r="F269" t="s">
        <v>21</v>
      </c>
      <c r="G269" t="s">
        <v>22</v>
      </c>
      <c r="H269">
        <v>30000</v>
      </c>
      <c r="I269">
        <v>2</v>
      </c>
      <c r="J269" t="s">
        <v>37</v>
      </c>
      <c r="K269">
        <f t="shared" si="4"/>
        <v>24000</v>
      </c>
      <c r="L269">
        <f>Sales_Data2[[#This Row],[Unit Price]]*Sales_Data2[[#This Row],[Quantity]]</f>
        <v>60000</v>
      </c>
      <c r="M269">
        <f>Sales_Data2[[#This Row],[Cost Price]]*Sales_Data2[[#This Row],[Quantity]]</f>
        <v>48000</v>
      </c>
      <c r="N269" s="3">
        <f>Sales_Data2[[#This Row],[Revenue]]-Sales_Data2[[#This Row],[COGS]]</f>
        <v>12000</v>
      </c>
      <c r="O2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45943|North|Abuja|Corporate|Online|Blender B10|Home Appliances|30000|2|Aisha|24000</v>
      </c>
      <c r="P269" s="3" t="str">
        <f>IF(COUNTIF(Sales_Data2[RowKey],Sales_Data2[[#This Row],[RowKey]])&gt;1,"Duplicate","Unique")</f>
        <v>Unique</v>
      </c>
      <c r="Q269" s="3" t="str">
        <f>IF(ISNUMBER(Sales_Data2[[#This Row],[Date]]),"OK","Check")</f>
        <v>OK</v>
      </c>
      <c r="R269" s="3" t="str">
        <f>IF(ISNUMBER(Sales_Data2[[#This Row],[Quantity]]),"OK","Check")</f>
        <v>OK</v>
      </c>
    </row>
    <row r="270" spans="1:18">
      <c r="A270" s="1">
        <v>45944</v>
      </c>
      <c r="B270" t="s">
        <v>18</v>
      </c>
      <c r="C270" t="s">
        <v>12</v>
      </c>
      <c r="D270" t="s">
        <v>23</v>
      </c>
      <c r="E270" t="s">
        <v>20</v>
      </c>
      <c r="F270" t="s">
        <v>36</v>
      </c>
      <c r="G270" t="s">
        <v>31</v>
      </c>
      <c r="H270">
        <v>150000</v>
      </c>
      <c r="I270">
        <v>5</v>
      </c>
      <c r="J270" t="s">
        <v>24</v>
      </c>
      <c r="K270">
        <f t="shared" si="4"/>
        <v>120000</v>
      </c>
      <c r="L270">
        <f>Sales_Data2[[#This Row],[Unit Price]]*Sales_Data2[[#This Row],[Quantity]]</f>
        <v>750000</v>
      </c>
      <c r="M270">
        <f>Sales_Data2[[#This Row],[Cost Price]]*Sales_Data2[[#This Row],[Quantity]]</f>
        <v>600000</v>
      </c>
      <c r="N270" s="3">
        <f>Sales_Data2[[#This Row],[Revenue]]-Sales_Data2[[#This Row],[COGS]]</f>
        <v>150000</v>
      </c>
      <c r="O2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45944|East|Port Harcourt|Corporate|Store|Printer P50|Electronics|150000|5|David|120000</v>
      </c>
      <c r="P270" s="3" t="str">
        <f>IF(COUNTIF(Sales_Data2[RowKey],Sales_Data2[[#This Row],[RowKey]])&gt;1,"Duplicate","Unique")</f>
        <v>Unique</v>
      </c>
      <c r="Q270" s="3" t="str">
        <f>IF(ISNUMBER(Sales_Data2[[#This Row],[Date]]),"OK","Check")</f>
        <v>OK</v>
      </c>
      <c r="R270" s="3" t="str">
        <f>IF(ISNUMBER(Sales_Data2[[#This Row],[Quantity]]),"OK","Check")</f>
        <v>OK</v>
      </c>
    </row>
    <row r="271" spans="1:18">
      <c r="A271" s="1">
        <v>45945</v>
      </c>
      <c r="B271" t="s">
        <v>25</v>
      </c>
      <c r="C271" t="s">
        <v>32</v>
      </c>
      <c r="D271" t="s">
        <v>13</v>
      </c>
      <c r="E271" t="s">
        <v>20</v>
      </c>
      <c r="F271" t="s">
        <v>36</v>
      </c>
      <c r="G271" t="s">
        <v>31</v>
      </c>
      <c r="H271">
        <v>150000</v>
      </c>
      <c r="I271">
        <v>10</v>
      </c>
      <c r="J271" t="s">
        <v>37</v>
      </c>
      <c r="K271">
        <f t="shared" si="4"/>
        <v>120000</v>
      </c>
      <c r="L271">
        <f>Sales_Data2[[#This Row],[Unit Price]]*Sales_Data2[[#This Row],[Quantity]]</f>
        <v>1500000</v>
      </c>
      <c r="M271">
        <f>Sales_Data2[[#This Row],[Cost Price]]*Sales_Data2[[#This Row],[Quantity]]</f>
        <v>1200000</v>
      </c>
      <c r="N271" s="3">
        <f>Sales_Data2[[#This Row],[Revenue]]-Sales_Data2[[#This Row],[COGS]]</f>
        <v>300000</v>
      </c>
      <c r="O2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45945|South|Abuja|Retail|Store|Printer P50|Electronics|150000|10|Aisha|120000</v>
      </c>
      <c r="P271" s="3" t="str">
        <f>IF(COUNTIF(Sales_Data2[RowKey],Sales_Data2[[#This Row],[RowKey]])&gt;1,"Duplicate","Unique")</f>
        <v>Unique</v>
      </c>
      <c r="Q271" s="3" t="str">
        <f>IF(ISNUMBER(Sales_Data2[[#This Row],[Date]]),"OK","Check")</f>
        <v>OK</v>
      </c>
      <c r="R271" s="3" t="str">
        <f>IF(ISNUMBER(Sales_Data2[[#This Row],[Quantity]]),"OK","Check")</f>
        <v>OK</v>
      </c>
    </row>
    <row r="272" spans="1:18">
      <c r="A272" s="1">
        <v>45946</v>
      </c>
      <c r="B272" t="s">
        <v>11</v>
      </c>
      <c r="C272" t="s">
        <v>32</v>
      </c>
      <c r="D272" t="s">
        <v>23</v>
      </c>
      <c r="E272" t="s">
        <v>14</v>
      </c>
      <c r="F272" t="s">
        <v>33</v>
      </c>
      <c r="G272" t="s">
        <v>22</v>
      </c>
      <c r="H272">
        <v>180000</v>
      </c>
      <c r="I272">
        <v>3</v>
      </c>
      <c r="J272" t="s">
        <v>24</v>
      </c>
      <c r="K272">
        <f t="shared" si="4"/>
        <v>144000</v>
      </c>
      <c r="L272">
        <f>Sales_Data2[[#This Row],[Unit Price]]*Sales_Data2[[#This Row],[Quantity]]</f>
        <v>540000</v>
      </c>
      <c r="M272">
        <f>Sales_Data2[[#This Row],[Cost Price]]*Sales_Data2[[#This Row],[Quantity]]</f>
        <v>432000</v>
      </c>
      <c r="N272" s="3">
        <f>Sales_Data2[[#This Row],[Revenue]]-Sales_Data2[[#This Row],[COGS]]</f>
        <v>108000</v>
      </c>
      <c r="O2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45946|West|Abuja|Corporate|Online|Air Conditioner X2|Home Appliances|180000|3|David|144000</v>
      </c>
      <c r="P272" s="3" t="str">
        <f>IF(COUNTIF(Sales_Data2[RowKey],Sales_Data2[[#This Row],[RowKey]])&gt;1,"Duplicate","Unique")</f>
        <v>Unique</v>
      </c>
      <c r="Q272" s="3" t="str">
        <f>IF(ISNUMBER(Sales_Data2[[#This Row],[Date]]),"OK","Check")</f>
        <v>OK</v>
      </c>
      <c r="R272" s="3" t="str">
        <f>IF(ISNUMBER(Sales_Data2[[#This Row],[Quantity]]),"OK","Check")</f>
        <v>OK</v>
      </c>
    </row>
    <row r="273" spans="1:18">
      <c r="A273" s="1">
        <v>45947</v>
      </c>
      <c r="B273" t="s">
        <v>18</v>
      </c>
      <c r="C273" t="s">
        <v>26</v>
      </c>
      <c r="D273" t="s">
        <v>23</v>
      </c>
      <c r="E273" t="s">
        <v>14</v>
      </c>
      <c r="F273" t="s">
        <v>21</v>
      </c>
      <c r="G273" t="s">
        <v>22</v>
      </c>
      <c r="H273">
        <v>30000</v>
      </c>
      <c r="I273">
        <v>10</v>
      </c>
      <c r="J273" t="s">
        <v>28</v>
      </c>
      <c r="K273">
        <f t="shared" si="4"/>
        <v>24000</v>
      </c>
      <c r="L273">
        <f>Sales_Data2[[#This Row],[Unit Price]]*Sales_Data2[[#This Row],[Quantity]]</f>
        <v>300000</v>
      </c>
      <c r="M273">
        <f>Sales_Data2[[#This Row],[Cost Price]]*Sales_Data2[[#This Row],[Quantity]]</f>
        <v>240000</v>
      </c>
      <c r="N273" s="3">
        <f>Sales_Data2[[#This Row],[Revenue]]-Sales_Data2[[#This Row],[COGS]]</f>
        <v>60000</v>
      </c>
      <c r="O2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45947|East|Kano|Corporate|Online|Blender B10|Home Appliances|30000|10|Musa|24000</v>
      </c>
      <c r="P273" s="3" t="str">
        <f>IF(COUNTIF(Sales_Data2[RowKey],Sales_Data2[[#This Row],[RowKey]])&gt;1,"Duplicate","Unique")</f>
        <v>Unique</v>
      </c>
      <c r="Q273" s="3" t="str">
        <f>IF(ISNUMBER(Sales_Data2[[#This Row],[Date]]),"OK","Check")</f>
        <v>OK</v>
      </c>
      <c r="R273" s="3" t="str">
        <f>IF(ISNUMBER(Sales_Data2[[#This Row],[Quantity]]),"OK","Check")</f>
        <v>OK</v>
      </c>
    </row>
    <row r="274" spans="1:18">
      <c r="A274" s="1">
        <v>45948</v>
      </c>
      <c r="B274" t="s">
        <v>18</v>
      </c>
      <c r="C274" t="s">
        <v>12</v>
      </c>
      <c r="D274" t="s">
        <v>13</v>
      </c>
      <c r="E274" t="s">
        <v>14</v>
      </c>
      <c r="F274" t="s">
        <v>38</v>
      </c>
      <c r="G274" t="s">
        <v>31</v>
      </c>
      <c r="H274">
        <v>420000</v>
      </c>
      <c r="I274">
        <v>2</v>
      </c>
      <c r="J274" t="s">
        <v>28</v>
      </c>
      <c r="K274">
        <f t="shared" si="4"/>
        <v>336000</v>
      </c>
      <c r="L274">
        <f>Sales_Data2[[#This Row],[Unit Price]]*Sales_Data2[[#This Row],[Quantity]]</f>
        <v>840000</v>
      </c>
      <c r="M274">
        <f>Sales_Data2[[#This Row],[Cost Price]]*Sales_Data2[[#This Row],[Quantity]]</f>
        <v>672000</v>
      </c>
      <c r="N274" s="3">
        <f>Sales_Data2[[#This Row],[Revenue]]-Sales_Data2[[#This Row],[COGS]]</f>
        <v>168000</v>
      </c>
      <c r="O2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45948|East|Port Harcourt|Retail|Online|Laptop A13|Electronics|420000|2|Musa|336000</v>
      </c>
      <c r="P274" s="3" t="str">
        <f>IF(COUNTIF(Sales_Data2[RowKey],Sales_Data2[[#This Row],[RowKey]])&gt;1,"Duplicate","Unique")</f>
        <v>Unique</v>
      </c>
      <c r="Q274" s="3" t="str">
        <f>IF(ISNUMBER(Sales_Data2[[#This Row],[Date]]),"OK","Check")</f>
        <v>OK</v>
      </c>
      <c r="R274" s="3" t="str">
        <f>IF(ISNUMBER(Sales_Data2[[#This Row],[Quantity]]),"OK","Check")</f>
        <v>OK</v>
      </c>
    </row>
    <row r="275" spans="1:18">
      <c r="A275" s="1">
        <v>45949</v>
      </c>
      <c r="B275" t="s">
        <v>25</v>
      </c>
      <c r="C275" t="s">
        <v>12</v>
      </c>
      <c r="D275" t="s">
        <v>23</v>
      </c>
      <c r="E275" t="s">
        <v>14</v>
      </c>
      <c r="F275" t="s">
        <v>34</v>
      </c>
      <c r="G275" t="s">
        <v>16</v>
      </c>
      <c r="H275">
        <v>320000</v>
      </c>
      <c r="I275">
        <v>1</v>
      </c>
      <c r="J275" t="s">
        <v>35</v>
      </c>
      <c r="K275">
        <f t="shared" si="4"/>
        <v>256000</v>
      </c>
      <c r="L275">
        <f>Sales_Data2[[#This Row],[Unit Price]]*Sales_Data2[[#This Row],[Quantity]]</f>
        <v>320000</v>
      </c>
      <c r="M275">
        <f>Sales_Data2[[#This Row],[Cost Price]]*Sales_Data2[[#This Row],[Quantity]]</f>
        <v>256000</v>
      </c>
      <c r="N275" s="3">
        <f>Sales_Data2[[#This Row],[Revenue]]-Sales_Data2[[#This Row],[COGS]]</f>
        <v>64000</v>
      </c>
      <c r="O2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45949|South|Port Harcourt|Corporate|Online|Sofa Classic|Furniture|320000|1|Peter|256000</v>
      </c>
      <c r="P275" s="3" t="str">
        <f>IF(COUNTIF(Sales_Data2[RowKey],Sales_Data2[[#This Row],[RowKey]])&gt;1,"Duplicate","Unique")</f>
        <v>Unique</v>
      </c>
      <c r="Q275" s="3" t="str">
        <f>IF(ISNUMBER(Sales_Data2[[#This Row],[Date]]),"OK","Check")</f>
        <v>OK</v>
      </c>
      <c r="R275" s="3" t="str">
        <f>IF(ISNUMBER(Sales_Data2[[#This Row],[Quantity]]),"OK","Check")</f>
        <v>OK</v>
      </c>
    </row>
    <row r="276" spans="1:18">
      <c r="A276" s="1">
        <v>45950</v>
      </c>
      <c r="B276" t="s">
        <v>29</v>
      </c>
      <c r="C276" t="s">
        <v>19</v>
      </c>
      <c r="D276" t="s">
        <v>13</v>
      </c>
      <c r="E276" t="s">
        <v>14</v>
      </c>
      <c r="F276" t="s">
        <v>36</v>
      </c>
      <c r="G276" t="s">
        <v>31</v>
      </c>
      <c r="H276">
        <v>150000</v>
      </c>
      <c r="I276">
        <v>2</v>
      </c>
      <c r="J276" t="s">
        <v>28</v>
      </c>
      <c r="K276">
        <f t="shared" si="4"/>
        <v>120000</v>
      </c>
      <c r="L276">
        <f>Sales_Data2[[#This Row],[Unit Price]]*Sales_Data2[[#This Row],[Quantity]]</f>
        <v>300000</v>
      </c>
      <c r="M276">
        <f>Sales_Data2[[#This Row],[Cost Price]]*Sales_Data2[[#This Row],[Quantity]]</f>
        <v>240000</v>
      </c>
      <c r="N276" s="3">
        <f>Sales_Data2[[#This Row],[Revenue]]-Sales_Data2[[#This Row],[COGS]]</f>
        <v>60000</v>
      </c>
      <c r="O2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45950|North|Lagos|Retail|Online|Printer P50|Electronics|150000|2|Musa|120000</v>
      </c>
      <c r="P276" s="3" t="str">
        <f>IF(COUNTIF(Sales_Data2[RowKey],Sales_Data2[[#This Row],[RowKey]])&gt;1,"Duplicate","Unique")</f>
        <v>Unique</v>
      </c>
      <c r="Q276" s="3" t="str">
        <f>IF(ISNUMBER(Sales_Data2[[#This Row],[Date]]),"OK","Check")</f>
        <v>OK</v>
      </c>
      <c r="R276" s="3" t="str">
        <f>IF(ISNUMBER(Sales_Data2[[#This Row],[Quantity]]),"OK","Check")</f>
        <v>OK</v>
      </c>
    </row>
    <row r="277" spans="1:18">
      <c r="A277" s="1">
        <v>45951</v>
      </c>
      <c r="B277" t="s">
        <v>18</v>
      </c>
      <c r="C277" t="s">
        <v>19</v>
      </c>
      <c r="D277" t="s">
        <v>23</v>
      </c>
      <c r="E277" t="s">
        <v>20</v>
      </c>
      <c r="F277" t="s">
        <v>21</v>
      </c>
      <c r="G277" t="s">
        <v>22</v>
      </c>
      <c r="H277">
        <v>30000</v>
      </c>
      <c r="I277">
        <v>9</v>
      </c>
      <c r="J277" t="s">
        <v>39</v>
      </c>
      <c r="K277">
        <f t="shared" si="4"/>
        <v>24000</v>
      </c>
      <c r="L277">
        <f>Sales_Data2[[#This Row],[Unit Price]]*Sales_Data2[[#This Row],[Quantity]]</f>
        <v>270000</v>
      </c>
      <c r="M277">
        <f>Sales_Data2[[#This Row],[Cost Price]]*Sales_Data2[[#This Row],[Quantity]]</f>
        <v>216000</v>
      </c>
      <c r="N277" s="3">
        <f>Sales_Data2[[#This Row],[Revenue]]-Sales_Data2[[#This Row],[COGS]]</f>
        <v>54000</v>
      </c>
      <c r="O2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45951|East|Lagos|Corporate|Store|Blender B10|Home Appliances|30000|9|Grace|24000</v>
      </c>
      <c r="P277" s="3" t="str">
        <f>IF(COUNTIF(Sales_Data2[RowKey],Sales_Data2[[#This Row],[RowKey]])&gt;1,"Duplicate","Unique")</f>
        <v>Unique</v>
      </c>
      <c r="Q277" s="3" t="str">
        <f>IF(ISNUMBER(Sales_Data2[[#This Row],[Date]]),"OK","Check")</f>
        <v>OK</v>
      </c>
      <c r="R277" s="3" t="str">
        <f>IF(ISNUMBER(Sales_Data2[[#This Row],[Quantity]]),"OK","Check")</f>
        <v>OK</v>
      </c>
    </row>
    <row r="278" spans="1:18">
      <c r="A278" s="1">
        <v>45952</v>
      </c>
      <c r="B278" t="s">
        <v>11</v>
      </c>
      <c r="C278" t="s">
        <v>19</v>
      </c>
      <c r="D278" t="s">
        <v>13</v>
      </c>
      <c r="E278" t="s">
        <v>14</v>
      </c>
      <c r="F278" t="s">
        <v>15</v>
      </c>
      <c r="G278" t="s">
        <v>16</v>
      </c>
      <c r="H278">
        <v>85000</v>
      </c>
      <c r="I278">
        <v>7</v>
      </c>
      <c r="J278" t="s">
        <v>35</v>
      </c>
      <c r="K278">
        <f t="shared" si="4"/>
        <v>68000</v>
      </c>
      <c r="L278">
        <f>Sales_Data2[[#This Row],[Unit Price]]*Sales_Data2[[#This Row],[Quantity]]</f>
        <v>595000</v>
      </c>
      <c r="M278">
        <f>Sales_Data2[[#This Row],[Cost Price]]*Sales_Data2[[#This Row],[Quantity]]</f>
        <v>476000</v>
      </c>
      <c r="N278" s="3">
        <f>Sales_Data2[[#This Row],[Revenue]]-Sales_Data2[[#This Row],[COGS]]</f>
        <v>119000</v>
      </c>
      <c r="O2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45952|West|Lagos|Retail|Online|Office Chair Pro|Furniture|85000|7|Peter|68000</v>
      </c>
      <c r="P278" s="3" t="str">
        <f>IF(COUNTIF(Sales_Data2[RowKey],Sales_Data2[[#This Row],[RowKey]])&gt;1,"Duplicate","Unique")</f>
        <v>Unique</v>
      </c>
      <c r="Q278" s="3" t="str">
        <f>IF(ISNUMBER(Sales_Data2[[#This Row],[Date]]),"OK","Check")</f>
        <v>OK</v>
      </c>
      <c r="R278" s="3" t="str">
        <f>IF(ISNUMBER(Sales_Data2[[#This Row],[Quantity]]),"OK","Check")</f>
        <v>OK</v>
      </c>
    </row>
    <row r="279" spans="1:18">
      <c r="A279" s="1">
        <v>45953</v>
      </c>
      <c r="B279" t="s">
        <v>29</v>
      </c>
      <c r="C279" t="s">
        <v>12</v>
      </c>
      <c r="D279" t="s">
        <v>23</v>
      </c>
      <c r="E279" t="s">
        <v>14</v>
      </c>
      <c r="F279" t="s">
        <v>36</v>
      </c>
      <c r="G279" t="s">
        <v>31</v>
      </c>
      <c r="H279">
        <v>150000</v>
      </c>
      <c r="I279">
        <v>5</v>
      </c>
      <c r="J279" t="s">
        <v>24</v>
      </c>
      <c r="K279">
        <f t="shared" si="4"/>
        <v>120000</v>
      </c>
      <c r="L279">
        <f>Sales_Data2[[#This Row],[Unit Price]]*Sales_Data2[[#This Row],[Quantity]]</f>
        <v>750000</v>
      </c>
      <c r="M279">
        <f>Sales_Data2[[#This Row],[Cost Price]]*Sales_Data2[[#This Row],[Quantity]]</f>
        <v>600000</v>
      </c>
      <c r="N279" s="3">
        <f>Sales_Data2[[#This Row],[Revenue]]-Sales_Data2[[#This Row],[COGS]]</f>
        <v>150000</v>
      </c>
      <c r="O2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45953|North|Port Harcourt|Corporate|Online|Printer P50|Electronics|150000|5|David|120000</v>
      </c>
      <c r="P279" s="3" t="str">
        <f>IF(COUNTIF(Sales_Data2[RowKey],Sales_Data2[[#This Row],[RowKey]])&gt;1,"Duplicate","Unique")</f>
        <v>Unique</v>
      </c>
      <c r="Q279" s="3" t="str">
        <f>IF(ISNUMBER(Sales_Data2[[#This Row],[Date]]),"OK","Check")</f>
        <v>OK</v>
      </c>
      <c r="R279" s="3" t="str">
        <f>IF(ISNUMBER(Sales_Data2[[#This Row],[Quantity]]),"OK","Check")</f>
        <v>OK</v>
      </c>
    </row>
    <row r="280" spans="1:18">
      <c r="A280" s="1">
        <v>45954</v>
      </c>
      <c r="B280" t="s">
        <v>11</v>
      </c>
      <c r="C280" t="s">
        <v>26</v>
      </c>
      <c r="D280" t="s">
        <v>13</v>
      </c>
      <c r="E280" t="s">
        <v>20</v>
      </c>
      <c r="F280" t="s">
        <v>34</v>
      </c>
      <c r="G280" t="s">
        <v>16</v>
      </c>
      <c r="H280">
        <v>320000</v>
      </c>
      <c r="I280">
        <v>9</v>
      </c>
      <c r="J280" t="s">
        <v>17</v>
      </c>
      <c r="K280">
        <f t="shared" si="4"/>
        <v>256000</v>
      </c>
      <c r="L280">
        <f>Sales_Data2[[#This Row],[Unit Price]]*Sales_Data2[[#This Row],[Quantity]]</f>
        <v>2880000</v>
      </c>
      <c r="M280">
        <f>Sales_Data2[[#This Row],[Cost Price]]*Sales_Data2[[#This Row],[Quantity]]</f>
        <v>2304000</v>
      </c>
      <c r="N280" s="3">
        <f>Sales_Data2[[#This Row],[Revenue]]-Sales_Data2[[#This Row],[COGS]]</f>
        <v>576000</v>
      </c>
      <c r="O2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45954|West|Kano|Retail|Store|Sofa Classic|Furniture|320000|9|Chidinma|256000</v>
      </c>
      <c r="P280" s="3" t="str">
        <f>IF(COUNTIF(Sales_Data2[RowKey],Sales_Data2[[#This Row],[RowKey]])&gt;1,"Duplicate","Unique")</f>
        <v>Unique</v>
      </c>
      <c r="Q280" s="3" t="str">
        <f>IF(ISNUMBER(Sales_Data2[[#This Row],[Date]]),"OK","Check")</f>
        <v>OK</v>
      </c>
      <c r="R280" s="3" t="str">
        <f>IF(ISNUMBER(Sales_Data2[[#This Row],[Quantity]]),"OK","Check")</f>
        <v>OK</v>
      </c>
    </row>
    <row r="281" spans="1:18">
      <c r="A281" s="1">
        <v>45955</v>
      </c>
      <c r="B281" t="s">
        <v>29</v>
      </c>
      <c r="C281" t="s">
        <v>19</v>
      </c>
      <c r="D281" t="s">
        <v>13</v>
      </c>
      <c r="E281" t="s">
        <v>14</v>
      </c>
      <c r="F281" t="s">
        <v>34</v>
      </c>
      <c r="G281" t="s">
        <v>16</v>
      </c>
      <c r="H281">
        <v>320000</v>
      </c>
      <c r="I281">
        <v>10</v>
      </c>
      <c r="J281" t="s">
        <v>35</v>
      </c>
      <c r="K281">
        <f t="shared" si="4"/>
        <v>256000</v>
      </c>
      <c r="L281">
        <f>Sales_Data2[[#This Row],[Unit Price]]*Sales_Data2[[#This Row],[Quantity]]</f>
        <v>3200000</v>
      </c>
      <c r="M281">
        <f>Sales_Data2[[#This Row],[Cost Price]]*Sales_Data2[[#This Row],[Quantity]]</f>
        <v>2560000</v>
      </c>
      <c r="N281" s="3">
        <f>Sales_Data2[[#This Row],[Revenue]]-Sales_Data2[[#This Row],[COGS]]</f>
        <v>640000</v>
      </c>
      <c r="O2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45955|North|Lagos|Retail|Online|Sofa Classic|Furniture|320000|10|Peter|256000</v>
      </c>
      <c r="P281" s="3" t="str">
        <f>IF(COUNTIF(Sales_Data2[RowKey],Sales_Data2[[#This Row],[RowKey]])&gt;1,"Duplicate","Unique")</f>
        <v>Unique</v>
      </c>
      <c r="Q281" s="3" t="str">
        <f>IF(ISNUMBER(Sales_Data2[[#This Row],[Date]]),"OK","Check")</f>
        <v>OK</v>
      </c>
      <c r="R281" s="3" t="str">
        <f>IF(ISNUMBER(Sales_Data2[[#This Row],[Quantity]]),"OK","Check")</f>
        <v>OK</v>
      </c>
    </row>
    <row r="282" spans="1:18">
      <c r="A282" s="1">
        <v>45956</v>
      </c>
      <c r="B282" t="s">
        <v>29</v>
      </c>
      <c r="C282" t="s">
        <v>26</v>
      </c>
      <c r="D282" t="s">
        <v>23</v>
      </c>
      <c r="E282" t="s">
        <v>14</v>
      </c>
      <c r="F282" t="s">
        <v>15</v>
      </c>
      <c r="G282" t="s">
        <v>16</v>
      </c>
      <c r="H282">
        <v>85000</v>
      </c>
      <c r="I282">
        <v>7</v>
      </c>
      <c r="J282" t="s">
        <v>35</v>
      </c>
      <c r="K282">
        <f t="shared" si="4"/>
        <v>68000</v>
      </c>
      <c r="L282">
        <f>Sales_Data2[[#This Row],[Unit Price]]*Sales_Data2[[#This Row],[Quantity]]</f>
        <v>595000</v>
      </c>
      <c r="M282">
        <f>Sales_Data2[[#This Row],[Cost Price]]*Sales_Data2[[#This Row],[Quantity]]</f>
        <v>476000</v>
      </c>
      <c r="N282" s="3">
        <f>Sales_Data2[[#This Row],[Revenue]]-Sales_Data2[[#This Row],[COGS]]</f>
        <v>119000</v>
      </c>
      <c r="O2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45956|North|Kano|Corporate|Online|Office Chair Pro|Furniture|85000|7|Peter|68000</v>
      </c>
      <c r="P282" s="3" t="str">
        <f>IF(COUNTIF(Sales_Data2[RowKey],Sales_Data2[[#This Row],[RowKey]])&gt;1,"Duplicate","Unique")</f>
        <v>Unique</v>
      </c>
      <c r="Q282" s="3" t="str">
        <f>IF(ISNUMBER(Sales_Data2[[#This Row],[Date]]),"OK","Check")</f>
        <v>OK</v>
      </c>
      <c r="R282" s="3" t="str">
        <f>IF(ISNUMBER(Sales_Data2[[#This Row],[Quantity]]),"OK","Check")</f>
        <v>OK</v>
      </c>
    </row>
    <row r="283" spans="1:18">
      <c r="A283" s="1">
        <v>45957</v>
      </c>
      <c r="B283" t="s">
        <v>25</v>
      </c>
      <c r="C283" t="s">
        <v>26</v>
      </c>
      <c r="D283" t="s">
        <v>13</v>
      </c>
      <c r="E283" t="s">
        <v>14</v>
      </c>
      <c r="F283" t="s">
        <v>27</v>
      </c>
      <c r="G283" t="s">
        <v>22</v>
      </c>
      <c r="H283">
        <v>60000</v>
      </c>
      <c r="I283">
        <v>4</v>
      </c>
      <c r="J283" t="s">
        <v>35</v>
      </c>
      <c r="K283">
        <f t="shared" si="4"/>
        <v>48000</v>
      </c>
      <c r="L283">
        <f>Sales_Data2[[#This Row],[Unit Price]]*Sales_Data2[[#This Row],[Quantity]]</f>
        <v>240000</v>
      </c>
      <c r="M283">
        <f>Sales_Data2[[#This Row],[Cost Price]]*Sales_Data2[[#This Row],[Quantity]]</f>
        <v>192000</v>
      </c>
      <c r="N283" s="3">
        <f>Sales_Data2[[#This Row],[Revenue]]-Sales_Data2[[#This Row],[COGS]]</f>
        <v>48000</v>
      </c>
      <c r="O2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45957|South|Kano|Retail|Online|Microwave M20|Home Appliances|60000|4|Peter|48000</v>
      </c>
      <c r="P283" s="3" t="str">
        <f>IF(COUNTIF(Sales_Data2[RowKey],Sales_Data2[[#This Row],[RowKey]])&gt;1,"Duplicate","Unique")</f>
        <v>Unique</v>
      </c>
      <c r="Q283" s="3" t="str">
        <f>IF(ISNUMBER(Sales_Data2[[#This Row],[Date]]),"OK","Check")</f>
        <v>OK</v>
      </c>
      <c r="R283" s="3" t="str">
        <f>IF(ISNUMBER(Sales_Data2[[#This Row],[Quantity]]),"OK","Check")</f>
        <v>OK</v>
      </c>
    </row>
    <row r="284" spans="1:18">
      <c r="A284" s="1">
        <v>45958</v>
      </c>
      <c r="B284" t="s">
        <v>18</v>
      </c>
      <c r="C284" t="s">
        <v>26</v>
      </c>
      <c r="D284" t="s">
        <v>13</v>
      </c>
      <c r="E284" t="s">
        <v>20</v>
      </c>
      <c r="F284" t="s">
        <v>27</v>
      </c>
      <c r="G284" t="s">
        <v>22</v>
      </c>
      <c r="H284">
        <v>60000</v>
      </c>
      <c r="I284">
        <v>7</v>
      </c>
      <c r="J284" t="s">
        <v>24</v>
      </c>
      <c r="K284">
        <f t="shared" si="4"/>
        <v>48000</v>
      </c>
      <c r="L284">
        <f>Sales_Data2[[#This Row],[Unit Price]]*Sales_Data2[[#This Row],[Quantity]]</f>
        <v>420000</v>
      </c>
      <c r="M284">
        <f>Sales_Data2[[#This Row],[Cost Price]]*Sales_Data2[[#This Row],[Quantity]]</f>
        <v>336000</v>
      </c>
      <c r="N284" s="3">
        <f>Sales_Data2[[#This Row],[Revenue]]-Sales_Data2[[#This Row],[COGS]]</f>
        <v>84000</v>
      </c>
      <c r="O2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45958|East|Kano|Retail|Store|Microwave M20|Home Appliances|60000|7|David|48000</v>
      </c>
      <c r="P284" s="3" t="str">
        <f>IF(COUNTIF(Sales_Data2[RowKey],Sales_Data2[[#This Row],[RowKey]])&gt;1,"Duplicate","Unique")</f>
        <v>Unique</v>
      </c>
      <c r="Q284" s="3" t="str">
        <f>IF(ISNUMBER(Sales_Data2[[#This Row],[Date]]),"OK","Check")</f>
        <v>OK</v>
      </c>
      <c r="R284" s="3" t="str">
        <f>IF(ISNUMBER(Sales_Data2[[#This Row],[Quantity]]),"OK","Check")</f>
        <v>OK</v>
      </c>
    </row>
    <row r="285" spans="1:18">
      <c r="A285" s="1">
        <v>45959</v>
      </c>
      <c r="B285" t="s">
        <v>25</v>
      </c>
      <c r="C285" t="s">
        <v>19</v>
      </c>
      <c r="D285" t="s">
        <v>23</v>
      </c>
      <c r="E285" t="s">
        <v>14</v>
      </c>
      <c r="F285" t="s">
        <v>36</v>
      </c>
      <c r="G285" t="s">
        <v>31</v>
      </c>
      <c r="H285">
        <v>150000</v>
      </c>
      <c r="I285">
        <v>7</v>
      </c>
      <c r="J285" t="s">
        <v>39</v>
      </c>
      <c r="K285">
        <f t="shared" si="4"/>
        <v>120000</v>
      </c>
      <c r="L285">
        <f>Sales_Data2[[#This Row],[Unit Price]]*Sales_Data2[[#This Row],[Quantity]]</f>
        <v>1050000</v>
      </c>
      <c r="M285">
        <f>Sales_Data2[[#This Row],[Cost Price]]*Sales_Data2[[#This Row],[Quantity]]</f>
        <v>840000</v>
      </c>
      <c r="N285" s="3">
        <f>Sales_Data2[[#This Row],[Revenue]]-Sales_Data2[[#This Row],[COGS]]</f>
        <v>210000</v>
      </c>
      <c r="O2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45959|South|Lagos|Corporate|Online|Printer P50|Electronics|150000|7|Grace|120000</v>
      </c>
      <c r="P285" s="3" t="str">
        <f>IF(COUNTIF(Sales_Data2[RowKey],Sales_Data2[[#This Row],[RowKey]])&gt;1,"Duplicate","Unique")</f>
        <v>Unique</v>
      </c>
      <c r="Q285" s="3" t="str">
        <f>IF(ISNUMBER(Sales_Data2[[#This Row],[Date]]),"OK","Check")</f>
        <v>OK</v>
      </c>
      <c r="R285" s="3" t="str">
        <f>IF(ISNUMBER(Sales_Data2[[#This Row],[Quantity]]),"OK","Check")</f>
        <v>OK</v>
      </c>
    </row>
    <row r="286" spans="1:18">
      <c r="A286" s="1">
        <v>45960</v>
      </c>
      <c r="B286" t="s">
        <v>11</v>
      </c>
      <c r="C286" t="s">
        <v>19</v>
      </c>
      <c r="D286" t="s">
        <v>13</v>
      </c>
      <c r="E286" t="s">
        <v>14</v>
      </c>
      <c r="F286" t="s">
        <v>15</v>
      </c>
      <c r="G286" t="s">
        <v>16</v>
      </c>
      <c r="H286">
        <v>85000</v>
      </c>
      <c r="I286">
        <v>3</v>
      </c>
      <c r="J286" t="s">
        <v>24</v>
      </c>
      <c r="K286">
        <f t="shared" si="4"/>
        <v>68000</v>
      </c>
      <c r="L286">
        <f>Sales_Data2[[#This Row],[Unit Price]]*Sales_Data2[[#This Row],[Quantity]]</f>
        <v>255000</v>
      </c>
      <c r="M286">
        <f>Sales_Data2[[#This Row],[Cost Price]]*Sales_Data2[[#This Row],[Quantity]]</f>
        <v>204000</v>
      </c>
      <c r="N286" s="3">
        <f>Sales_Data2[[#This Row],[Revenue]]-Sales_Data2[[#This Row],[COGS]]</f>
        <v>51000</v>
      </c>
      <c r="O2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45960|West|Lagos|Retail|Online|Office Chair Pro|Furniture|85000|3|David|68000</v>
      </c>
      <c r="P286" s="3" t="str">
        <f>IF(COUNTIF(Sales_Data2[RowKey],Sales_Data2[[#This Row],[RowKey]])&gt;1,"Duplicate","Unique")</f>
        <v>Unique</v>
      </c>
      <c r="Q286" s="3" t="str">
        <f>IF(ISNUMBER(Sales_Data2[[#This Row],[Date]]),"OK","Check")</f>
        <v>OK</v>
      </c>
      <c r="R286" s="3" t="str">
        <f>IF(ISNUMBER(Sales_Data2[[#This Row],[Quantity]]),"OK","Check")</f>
        <v>OK</v>
      </c>
    </row>
    <row r="287" spans="1:18">
      <c r="A287" s="1">
        <v>45961</v>
      </c>
      <c r="B287" t="s">
        <v>25</v>
      </c>
      <c r="C287" t="s">
        <v>32</v>
      </c>
      <c r="D287" t="s">
        <v>13</v>
      </c>
      <c r="E287" t="s">
        <v>14</v>
      </c>
      <c r="F287" t="s">
        <v>15</v>
      </c>
      <c r="G287" t="s">
        <v>16</v>
      </c>
      <c r="H287">
        <v>85000</v>
      </c>
      <c r="I287">
        <v>10</v>
      </c>
      <c r="J287" t="s">
        <v>28</v>
      </c>
      <c r="K287">
        <f t="shared" si="4"/>
        <v>68000</v>
      </c>
      <c r="L287">
        <f>Sales_Data2[[#This Row],[Unit Price]]*Sales_Data2[[#This Row],[Quantity]]</f>
        <v>850000</v>
      </c>
      <c r="M287">
        <f>Sales_Data2[[#This Row],[Cost Price]]*Sales_Data2[[#This Row],[Quantity]]</f>
        <v>680000</v>
      </c>
      <c r="N287" s="3">
        <f>Sales_Data2[[#This Row],[Revenue]]-Sales_Data2[[#This Row],[COGS]]</f>
        <v>170000</v>
      </c>
      <c r="O2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45961|South|Abuja|Retail|Online|Office Chair Pro|Furniture|85000|10|Musa|68000</v>
      </c>
      <c r="P287" s="3" t="str">
        <f>IF(COUNTIF(Sales_Data2[RowKey],Sales_Data2[[#This Row],[RowKey]])&gt;1,"Duplicate","Unique")</f>
        <v>Unique</v>
      </c>
      <c r="Q287" s="3" t="str">
        <f>IF(ISNUMBER(Sales_Data2[[#This Row],[Date]]),"OK","Check")</f>
        <v>OK</v>
      </c>
      <c r="R287" s="3" t="str">
        <f>IF(ISNUMBER(Sales_Data2[[#This Row],[Quantity]]),"OK","Check")</f>
        <v>OK</v>
      </c>
    </row>
    <row r="288" spans="1:18">
      <c r="A288" s="1">
        <v>45962</v>
      </c>
      <c r="B288" t="s">
        <v>18</v>
      </c>
      <c r="C288" t="s">
        <v>19</v>
      </c>
      <c r="D288" t="s">
        <v>23</v>
      </c>
      <c r="E288" t="s">
        <v>20</v>
      </c>
      <c r="F288" t="s">
        <v>30</v>
      </c>
      <c r="G288" t="s">
        <v>31</v>
      </c>
      <c r="H288">
        <v>300000</v>
      </c>
      <c r="I288">
        <v>10</v>
      </c>
      <c r="J288" t="s">
        <v>24</v>
      </c>
      <c r="K288">
        <f t="shared" si="4"/>
        <v>240000</v>
      </c>
      <c r="L288">
        <f>Sales_Data2[[#This Row],[Unit Price]]*Sales_Data2[[#This Row],[Quantity]]</f>
        <v>3000000</v>
      </c>
      <c r="M288">
        <f>Sales_Data2[[#This Row],[Cost Price]]*Sales_Data2[[#This Row],[Quantity]]</f>
        <v>2400000</v>
      </c>
      <c r="N288" s="3">
        <f>Sales_Data2[[#This Row],[Revenue]]-Sales_Data2[[#This Row],[COGS]]</f>
        <v>600000</v>
      </c>
      <c r="O2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45962|East|Lagos|Corporate|Store|Desktop PC D21|Electronics|300000|10|David|240000</v>
      </c>
      <c r="P288" s="3" t="str">
        <f>IF(COUNTIF(Sales_Data2[RowKey],Sales_Data2[[#This Row],[RowKey]])&gt;1,"Duplicate","Unique")</f>
        <v>Unique</v>
      </c>
      <c r="Q288" s="3" t="str">
        <f>IF(ISNUMBER(Sales_Data2[[#This Row],[Date]]),"OK","Check")</f>
        <v>OK</v>
      </c>
      <c r="R288" s="3" t="str">
        <f>IF(ISNUMBER(Sales_Data2[[#This Row],[Quantity]]),"OK","Check")</f>
        <v>OK</v>
      </c>
    </row>
    <row r="289" spans="1:18">
      <c r="A289" s="1">
        <v>45963</v>
      </c>
      <c r="B289" t="s">
        <v>25</v>
      </c>
      <c r="C289" t="s">
        <v>32</v>
      </c>
      <c r="D289" t="s">
        <v>13</v>
      </c>
      <c r="E289" t="s">
        <v>20</v>
      </c>
      <c r="F289" t="s">
        <v>27</v>
      </c>
      <c r="G289" t="s">
        <v>22</v>
      </c>
      <c r="H289">
        <v>60000</v>
      </c>
      <c r="I289">
        <v>3</v>
      </c>
      <c r="J289" t="s">
        <v>17</v>
      </c>
      <c r="K289">
        <f t="shared" si="4"/>
        <v>48000</v>
      </c>
      <c r="L289">
        <f>Sales_Data2[[#This Row],[Unit Price]]*Sales_Data2[[#This Row],[Quantity]]</f>
        <v>180000</v>
      </c>
      <c r="M289">
        <f>Sales_Data2[[#This Row],[Cost Price]]*Sales_Data2[[#This Row],[Quantity]]</f>
        <v>144000</v>
      </c>
      <c r="N289" s="3">
        <f>Sales_Data2[[#This Row],[Revenue]]-Sales_Data2[[#This Row],[COGS]]</f>
        <v>36000</v>
      </c>
      <c r="O2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45963|South|Abuja|Retail|Store|Microwave M20|Home Appliances|60000|3|Chidinma|48000</v>
      </c>
      <c r="P289" s="3" t="str">
        <f>IF(COUNTIF(Sales_Data2[RowKey],Sales_Data2[[#This Row],[RowKey]])&gt;1,"Duplicate","Unique")</f>
        <v>Unique</v>
      </c>
      <c r="Q289" s="3" t="str">
        <f>IF(ISNUMBER(Sales_Data2[[#This Row],[Date]]),"OK","Check")</f>
        <v>OK</v>
      </c>
      <c r="R289" s="3" t="str">
        <f>IF(ISNUMBER(Sales_Data2[[#This Row],[Quantity]]),"OK","Check")</f>
        <v>OK</v>
      </c>
    </row>
    <row r="290" spans="1:18">
      <c r="A290" s="1">
        <v>45964</v>
      </c>
      <c r="B290" t="s">
        <v>18</v>
      </c>
      <c r="C290" t="s">
        <v>12</v>
      </c>
      <c r="D290" t="s">
        <v>23</v>
      </c>
      <c r="E290" t="s">
        <v>14</v>
      </c>
      <c r="F290" t="s">
        <v>27</v>
      </c>
      <c r="G290" t="s">
        <v>22</v>
      </c>
      <c r="H290">
        <v>60000</v>
      </c>
      <c r="I290">
        <v>3</v>
      </c>
      <c r="J290" t="s">
        <v>24</v>
      </c>
      <c r="K290">
        <f t="shared" si="4"/>
        <v>48000</v>
      </c>
      <c r="L290">
        <f>Sales_Data2[[#This Row],[Unit Price]]*Sales_Data2[[#This Row],[Quantity]]</f>
        <v>180000</v>
      </c>
      <c r="M290">
        <f>Sales_Data2[[#This Row],[Cost Price]]*Sales_Data2[[#This Row],[Quantity]]</f>
        <v>144000</v>
      </c>
      <c r="N290" s="3">
        <f>Sales_Data2[[#This Row],[Revenue]]-Sales_Data2[[#This Row],[COGS]]</f>
        <v>36000</v>
      </c>
      <c r="O2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45964|East|Port Harcourt|Corporate|Online|Microwave M20|Home Appliances|60000|3|David|48000</v>
      </c>
      <c r="P290" s="3" t="str">
        <f>IF(COUNTIF(Sales_Data2[RowKey],Sales_Data2[[#This Row],[RowKey]])&gt;1,"Duplicate","Unique")</f>
        <v>Unique</v>
      </c>
      <c r="Q290" s="3" t="str">
        <f>IF(ISNUMBER(Sales_Data2[[#This Row],[Date]]),"OK","Check")</f>
        <v>OK</v>
      </c>
      <c r="R290" s="3" t="str">
        <f>IF(ISNUMBER(Sales_Data2[[#This Row],[Quantity]]),"OK","Check")</f>
        <v>OK</v>
      </c>
    </row>
    <row r="291" spans="1:18">
      <c r="A291" s="1">
        <v>45965</v>
      </c>
      <c r="B291" t="s">
        <v>11</v>
      </c>
      <c r="C291" t="s">
        <v>19</v>
      </c>
      <c r="D291" t="s">
        <v>13</v>
      </c>
      <c r="E291" t="s">
        <v>14</v>
      </c>
      <c r="F291" t="s">
        <v>15</v>
      </c>
      <c r="G291" t="s">
        <v>16</v>
      </c>
      <c r="H291">
        <v>85000</v>
      </c>
      <c r="I291">
        <v>6</v>
      </c>
      <c r="J291" t="s">
        <v>24</v>
      </c>
      <c r="K291">
        <f t="shared" si="4"/>
        <v>68000</v>
      </c>
      <c r="L291">
        <f>Sales_Data2[[#This Row],[Unit Price]]*Sales_Data2[[#This Row],[Quantity]]</f>
        <v>510000</v>
      </c>
      <c r="M291">
        <f>Sales_Data2[[#This Row],[Cost Price]]*Sales_Data2[[#This Row],[Quantity]]</f>
        <v>408000</v>
      </c>
      <c r="N291" s="3">
        <f>Sales_Data2[[#This Row],[Revenue]]-Sales_Data2[[#This Row],[COGS]]</f>
        <v>102000</v>
      </c>
      <c r="O2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45965|West|Lagos|Retail|Online|Office Chair Pro|Furniture|85000|6|David|68000</v>
      </c>
      <c r="P291" s="3" t="str">
        <f>IF(COUNTIF(Sales_Data2[RowKey],Sales_Data2[[#This Row],[RowKey]])&gt;1,"Duplicate","Unique")</f>
        <v>Unique</v>
      </c>
      <c r="Q291" s="3" t="str">
        <f>IF(ISNUMBER(Sales_Data2[[#This Row],[Date]]),"OK","Check")</f>
        <v>OK</v>
      </c>
      <c r="R291" s="3" t="str">
        <f>IF(ISNUMBER(Sales_Data2[[#This Row],[Quantity]]),"OK","Check")</f>
        <v>OK</v>
      </c>
    </row>
    <row r="292" spans="1:18">
      <c r="A292" s="1">
        <v>45966</v>
      </c>
      <c r="B292" t="s">
        <v>18</v>
      </c>
      <c r="C292" t="s">
        <v>26</v>
      </c>
      <c r="D292" t="s">
        <v>23</v>
      </c>
      <c r="E292" t="s">
        <v>20</v>
      </c>
      <c r="F292" t="s">
        <v>38</v>
      </c>
      <c r="G292" t="s">
        <v>31</v>
      </c>
      <c r="H292">
        <v>420000</v>
      </c>
      <c r="I292">
        <v>2</v>
      </c>
      <c r="J292" t="s">
        <v>37</v>
      </c>
      <c r="K292">
        <f t="shared" si="4"/>
        <v>336000</v>
      </c>
      <c r="L292">
        <f>Sales_Data2[[#This Row],[Unit Price]]*Sales_Data2[[#This Row],[Quantity]]</f>
        <v>840000</v>
      </c>
      <c r="M292">
        <f>Sales_Data2[[#This Row],[Cost Price]]*Sales_Data2[[#This Row],[Quantity]]</f>
        <v>672000</v>
      </c>
      <c r="N292" s="3">
        <f>Sales_Data2[[#This Row],[Revenue]]-Sales_Data2[[#This Row],[COGS]]</f>
        <v>168000</v>
      </c>
      <c r="O2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45966|East|Kano|Corporate|Store|Laptop A13|Electronics|420000|2|Aisha|336000</v>
      </c>
      <c r="P292" s="3" t="str">
        <f>IF(COUNTIF(Sales_Data2[RowKey],Sales_Data2[[#This Row],[RowKey]])&gt;1,"Duplicate","Unique")</f>
        <v>Unique</v>
      </c>
      <c r="Q292" s="3" t="str">
        <f>IF(ISNUMBER(Sales_Data2[[#This Row],[Date]]),"OK","Check")</f>
        <v>OK</v>
      </c>
      <c r="R292" s="3" t="str">
        <f>IF(ISNUMBER(Sales_Data2[[#This Row],[Quantity]]),"OK","Check")</f>
        <v>OK</v>
      </c>
    </row>
    <row r="293" spans="1:18">
      <c r="A293" s="1">
        <v>45967</v>
      </c>
      <c r="B293" t="s">
        <v>29</v>
      </c>
      <c r="C293" t="s">
        <v>32</v>
      </c>
      <c r="D293" t="s">
        <v>13</v>
      </c>
      <c r="E293" t="s">
        <v>20</v>
      </c>
      <c r="F293" t="s">
        <v>40</v>
      </c>
      <c r="G293" t="s">
        <v>31</v>
      </c>
      <c r="H293">
        <v>250000</v>
      </c>
      <c r="I293">
        <v>6</v>
      </c>
      <c r="J293" t="s">
        <v>39</v>
      </c>
      <c r="K293">
        <f t="shared" si="4"/>
        <v>200000</v>
      </c>
      <c r="L293">
        <f>Sales_Data2[[#This Row],[Unit Price]]*Sales_Data2[[#This Row],[Quantity]]</f>
        <v>1500000</v>
      </c>
      <c r="M293">
        <f>Sales_Data2[[#This Row],[Cost Price]]*Sales_Data2[[#This Row],[Quantity]]</f>
        <v>1200000</v>
      </c>
      <c r="N293" s="3">
        <f>Sales_Data2[[#This Row],[Revenue]]-Sales_Data2[[#This Row],[COGS]]</f>
        <v>300000</v>
      </c>
      <c r="O2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45967|North|Abuja|Retail|Store|Smartphone Z10|Electronics|250000|6|Grace|200000</v>
      </c>
      <c r="P293" s="3" t="str">
        <f>IF(COUNTIF(Sales_Data2[RowKey],Sales_Data2[[#This Row],[RowKey]])&gt;1,"Duplicate","Unique")</f>
        <v>Unique</v>
      </c>
      <c r="Q293" s="3" t="str">
        <f>IF(ISNUMBER(Sales_Data2[[#This Row],[Date]]),"OK","Check")</f>
        <v>OK</v>
      </c>
      <c r="R293" s="3" t="str">
        <f>IF(ISNUMBER(Sales_Data2[[#This Row],[Quantity]]),"OK","Check")</f>
        <v>OK</v>
      </c>
    </row>
    <row r="294" spans="1:18">
      <c r="A294" s="1">
        <v>45968</v>
      </c>
      <c r="B294" t="s">
        <v>29</v>
      </c>
      <c r="C294" t="s">
        <v>12</v>
      </c>
      <c r="D294" t="s">
        <v>13</v>
      </c>
      <c r="E294" t="s">
        <v>14</v>
      </c>
      <c r="F294" t="s">
        <v>36</v>
      </c>
      <c r="G294" t="s">
        <v>31</v>
      </c>
      <c r="H294">
        <v>150000</v>
      </c>
      <c r="I294">
        <v>8</v>
      </c>
      <c r="J294" t="s">
        <v>24</v>
      </c>
      <c r="K294">
        <f t="shared" si="4"/>
        <v>120000</v>
      </c>
      <c r="L294">
        <f>Sales_Data2[[#This Row],[Unit Price]]*Sales_Data2[[#This Row],[Quantity]]</f>
        <v>1200000</v>
      </c>
      <c r="M294">
        <f>Sales_Data2[[#This Row],[Cost Price]]*Sales_Data2[[#This Row],[Quantity]]</f>
        <v>960000</v>
      </c>
      <c r="N294" s="3">
        <f>Sales_Data2[[#This Row],[Revenue]]-Sales_Data2[[#This Row],[COGS]]</f>
        <v>240000</v>
      </c>
      <c r="O2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45968|North|Port Harcourt|Retail|Online|Printer P50|Electronics|150000|8|David|120000</v>
      </c>
      <c r="P294" s="3" t="str">
        <f>IF(COUNTIF(Sales_Data2[RowKey],Sales_Data2[[#This Row],[RowKey]])&gt;1,"Duplicate","Unique")</f>
        <v>Unique</v>
      </c>
      <c r="Q294" s="3" t="str">
        <f>IF(ISNUMBER(Sales_Data2[[#This Row],[Date]]),"OK","Check")</f>
        <v>OK</v>
      </c>
      <c r="R294" s="3" t="str">
        <f>IF(ISNUMBER(Sales_Data2[[#This Row],[Quantity]]),"OK","Check")</f>
        <v>OK</v>
      </c>
    </row>
    <row r="295" spans="1:18">
      <c r="A295" s="1">
        <v>45969</v>
      </c>
      <c r="B295" t="s">
        <v>18</v>
      </c>
      <c r="C295" t="s">
        <v>26</v>
      </c>
      <c r="D295" t="s">
        <v>23</v>
      </c>
      <c r="E295" t="s">
        <v>14</v>
      </c>
      <c r="F295" t="s">
        <v>36</v>
      </c>
      <c r="G295" t="s">
        <v>31</v>
      </c>
      <c r="H295">
        <v>150000</v>
      </c>
      <c r="I295">
        <v>10</v>
      </c>
      <c r="J295" t="s">
        <v>24</v>
      </c>
      <c r="K295">
        <f t="shared" si="4"/>
        <v>120000</v>
      </c>
      <c r="L295">
        <f>Sales_Data2[[#This Row],[Unit Price]]*Sales_Data2[[#This Row],[Quantity]]</f>
        <v>1500000</v>
      </c>
      <c r="M295">
        <f>Sales_Data2[[#This Row],[Cost Price]]*Sales_Data2[[#This Row],[Quantity]]</f>
        <v>1200000</v>
      </c>
      <c r="N295" s="3">
        <f>Sales_Data2[[#This Row],[Revenue]]-Sales_Data2[[#This Row],[COGS]]</f>
        <v>300000</v>
      </c>
      <c r="O2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45969|East|Kano|Corporate|Online|Printer P50|Electronics|150000|10|David|120000</v>
      </c>
      <c r="P295" s="3" t="str">
        <f>IF(COUNTIF(Sales_Data2[RowKey],Sales_Data2[[#This Row],[RowKey]])&gt;1,"Duplicate","Unique")</f>
        <v>Unique</v>
      </c>
      <c r="Q295" s="3" t="str">
        <f>IF(ISNUMBER(Sales_Data2[[#This Row],[Date]]),"OK","Check")</f>
        <v>OK</v>
      </c>
      <c r="R295" s="3" t="str">
        <f>IF(ISNUMBER(Sales_Data2[[#This Row],[Quantity]]),"OK","Check")</f>
        <v>OK</v>
      </c>
    </row>
    <row r="296" spans="1:18">
      <c r="A296" s="1">
        <v>45970</v>
      </c>
      <c r="B296" t="s">
        <v>18</v>
      </c>
      <c r="C296" t="s">
        <v>26</v>
      </c>
      <c r="D296" t="s">
        <v>13</v>
      </c>
      <c r="E296" t="s">
        <v>14</v>
      </c>
      <c r="F296" t="s">
        <v>40</v>
      </c>
      <c r="G296" t="s">
        <v>31</v>
      </c>
      <c r="H296">
        <v>250000</v>
      </c>
      <c r="I296">
        <v>5</v>
      </c>
      <c r="J296" t="s">
        <v>39</v>
      </c>
      <c r="K296">
        <f t="shared" si="4"/>
        <v>200000</v>
      </c>
      <c r="L296">
        <f>Sales_Data2[[#This Row],[Unit Price]]*Sales_Data2[[#This Row],[Quantity]]</f>
        <v>1250000</v>
      </c>
      <c r="M296">
        <f>Sales_Data2[[#This Row],[Cost Price]]*Sales_Data2[[#This Row],[Quantity]]</f>
        <v>1000000</v>
      </c>
      <c r="N296" s="3">
        <f>Sales_Data2[[#This Row],[Revenue]]-Sales_Data2[[#This Row],[COGS]]</f>
        <v>250000</v>
      </c>
      <c r="O2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45970|East|Kano|Retail|Online|Smartphone Z10|Electronics|250000|5|Grace|200000</v>
      </c>
      <c r="P296" s="3" t="str">
        <f>IF(COUNTIF(Sales_Data2[RowKey],Sales_Data2[[#This Row],[RowKey]])&gt;1,"Duplicate","Unique")</f>
        <v>Unique</v>
      </c>
      <c r="Q296" s="3" t="str">
        <f>IF(ISNUMBER(Sales_Data2[[#This Row],[Date]]),"OK","Check")</f>
        <v>OK</v>
      </c>
      <c r="R296" s="3" t="str">
        <f>IF(ISNUMBER(Sales_Data2[[#This Row],[Quantity]]),"OK","Check")</f>
        <v>OK</v>
      </c>
    </row>
    <row r="297" spans="1:18">
      <c r="A297" s="1">
        <v>45971</v>
      </c>
      <c r="B297" t="s">
        <v>11</v>
      </c>
      <c r="C297" t="s">
        <v>26</v>
      </c>
      <c r="D297" t="s">
        <v>13</v>
      </c>
      <c r="E297" t="s">
        <v>20</v>
      </c>
      <c r="F297" t="s">
        <v>34</v>
      </c>
      <c r="G297" t="s">
        <v>16</v>
      </c>
      <c r="H297">
        <v>320000</v>
      </c>
      <c r="I297">
        <v>9</v>
      </c>
      <c r="J297" t="s">
        <v>17</v>
      </c>
      <c r="K297">
        <f t="shared" si="4"/>
        <v>256000</v>
      </c>
      <c r="L297">
        <f>Sales_Data2[[#This Row],[Unit Price]]*Sales_Data2[[#This Row],[Quantity]]</f>
        <v>2880000</v>
      </c>
      <c r="M297">
        <f>Sales_Data2[[#This Row],[Cost Price]]*Sales_Data2[[#This Row],[Quantity]]</f>
        <v>2304000</v>
      </c>
      <c r="N297" s="3">
        <f>Sales_Data2[[#This Row],[Revenue]]-Sales_Data2[[#This Row],[COGS]]</f>
        <v>576000</v>
      </c>
      <c r="O2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45971|West|Kano|Retail|Store|Sofa Classic|Furniture|320000|9|Chidinma|256000</v>
      </c>
      <c r="P297" s="3" t="str">
        <f>IF(COUNTIF(Sales_Data2[RowKey],Sales_Data2[[#This Row],[RowKey]])&gt;1,"Duplicate","Unique")</f>
        <v>Unique</v>
      </c>
      <c r="Q297" s="3" t="str">
        <f>IF(ISNUMBER(Sales_Data2[[#This Row],[Date]]),"OK","Check")</f>
        <v>OK</v>
      </c>
      <c r="R297" s="3" t="str">
        <f>IF(ISNUMBER(Sales_Data2[[#This Row],[Quantity]]),"OK","Check")</f>
        <v>OK</v>
      </c>
    </row>
    <row r="298" spans="1:18">
      <c r="A298" s="1">
        <v>45972</v>
      </c>
      <c r="B298" t="s">
        <v>11</v>
      </c>
      <c r="C298" t="s">
        <v>12</v>
      </c>
      <c r="D298" t="s">
        <v>23</v>
      </c>
      <c r="E298" t="s">
        <v>20</v>
      </c>
      <c r="F298" t="s">
        <v>33</v>
      </c>
      <c r="G298" t="s">
        <v>22</v>
      </c>
      <c r="H298">
        <v>180000</v>
      </c>
      <c r="I298">
        <v>10</v>
      </c>
      <c r="J298" t="s">
        <v>39</v>
      </c>
      <c r="K298">
        <f t="shared" si="4"/>
        <v>144000</v>
      </c>
      <c r="L298">
        <f>Sales_Data2[[#This Row],[Unit Price]]*Sales_Data2[[#This Row],[Quantity]]</f>
        <v>1800000</v>
      </c>
      <c r="M298">
        <f>Sales_Data2[[#This Row],[Cost Price]]*Sales_Data2[[#This Row],[Quantity]]</f>
        <v>1440000</v>
      </c>
      <c r="N298" s="3">
        <f>Sales_Data2[[#This Row],[Revenue]]-Sales_Data2[[#This Row],[COGS]]</f>
        <v>360000</v>
      </c>
      <c r="O2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45972|West|Port Harcourt|Corporate|Store|Air Conditioner X2|Home Appliances|180000|10|Grace|144000</v>
      </c>
      <c r="P298" s="3" t="str">
        <f>IF(COUNTIF(Sales_Data2[RowKey],Sales_Data2[[#This Row],[RowKey]])&gt;1,"Duplicate","Unique")</f>
        <v>Unique</v>
      </c>
      <c r="Q298" s="3" t="str">
        <f>IF(ISNUMBER(Sales_Data2[[#This Row],[Date]]),"OK","Check")</f>
        <v>OK</v>
      </c>
      <c r="R298" s="3" t="str">
        <f>IF(ISNUMBER(Sales_Data2[[#This Row],[Quantity]]),"OK","Check")</f>
        <v>OK</v>
      </c>
    </row>
    <row r="299" spans="1:18">
      <c r="A299" s="1">
        <v>45973</v>
      </c>
      <c r="B299" t="s">
        <v>11</v>
      </c>
      <c r="C299" t="s">
        <v>26</v>
      </c>
      <c r="D299" t="s">
        <v>23</v>
      </c>
      <c r="E299" t="s">
        <v>20</v>
      </c>
      <c r="F299" t="s">
        <v>27</v>
      </c>
      <c r="G299" t="s">
        <v>22</v>
      </c>
      <c r="H299">
        <v>60000</v>
      </c>
      <c r="I299">
        <v>6</v>
      </c>
      <c r="J299" t="s">
        <v>37</v>
      </c>
      <c r="K299">
        <f t="shared" si="4"/>
        <v>48000</v>
      </c>
      <c r="L299">
        <f>Sales_Data2[[#This Row],[Unit Price]]*Sales_Data2[[#This Row],[Quantity]]</f>
        <v>360000</v>
      </c>
      <c r="M299">
        <f>Sales_Data2[[#This Row],[Cost Price]]*Sales_Data2[[#This Row],[Quantity]]</f>
        <v>288000</v>
      </c>
      <c r="N299" s="3">
        <f>Sales_Data2[[#This Row],[Revenue]]-Sales_Data2[[#This Row],[COGS]]</f>
        <v>72000</v>
      </c>
      <c r="O2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45973|West|Kano|Corporate|Store|Microwave M20|Home Appliances|60000|6|Aisha|48000</v>
      </c>
      <c r="P299" s="3" t="str">
        <f>IF(COUNTIF(Sales_Data2[RowKey],Sales_Data2[[#This Row],[RowKey]])&gt;1,"Duplicate","Unique")</f>
        <v>Unique</v>
      </c>
      <c r="Q299" s="3" t="str">
        <f>IF(ISNUMBER(Sales_Data2[[#This Row],[Date]]),"OK","Check")</f>
        <v>OK</v>
      </c>
      <c r="R299" s="3" t="str">
        <f>IF(ISNUMBER(Sales_Data2[[#This Row],[Quantity]]),"OK","Check")</f>
        <v>OK</v>
      </c>
    </row>
    <row r="300" spans="1:18">
      <c r="A300" s="1">
        <v>45974</v>
      </c>
      <c r="B300" t="s">
        <v>11</v>
      </c>
      <c r="C300" t="s">
        <v>26</v>
      </c>
      <c r="D300" t="s">
        <v>23</v>
      </c>
      <c r="E300" t="s">
        <v>14</v>
      </c>
      <c r="F300" t="s">
        <v>36</v>
      </c>
      <c r="G300" t="s">
        <v>31</v>
      </c>
      <c r="H300">
        <v>150000</v>
      </c>
      <c r="I300">
        <v>10</v>
      </c>
      <c r="J300" t="s">
        <v>28</v>
      </c>
      <c r="K300">
        <f t="shared" si="4"/>
        <v>120000</v>
      </c>
      <c r="L300">
        <f>Sales_Data2[[#This Row],[Unit Price]]*Sales_Data2[[#This Row],[Quantity]]</f>
        <v>1500000</v>
      </c>
      <c r="M300">
        <f>Sales_Data2[[#This Row],[Cost Price]]*Sales_Data2[[#This Row],[Quantity]]</f>
        <v>1200000</v>
      </c>
      <c r="N300" s="3">
        <f>Sales_Data2[[#This Row],[Revenue]]-Sales_Data2[[#This Row],[COGS]]</f>
        <v>300000</v>
      </c>
      <c r="O3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45974|West|Kano|Corporate|Online|Printer P50|Electronics|150000|10|Musa|120000</v>
      </c>
      <c r="P300" s="3" t="str">
        <f>IF(COUNTIF(Sales_Data2[RowKey],Sales_Data2[[#This Row],[RowKey]])&gt;1,"Duplicate","Unique")</f>
        <v>Unique</v>
      </c>
      <c r="Q300" s="3" t="str">
        <f>IF(ISNUMBER(Sales_Data2[[#This Row],[Date]]),"OK","Check")</f>
        <v>OK</v>
      </c>
      <c r="R300" s="3" t="str">
        <f>IF(ISNUMBER(Sales_Data2[[#This Row],[Quantity]]),"OK","Check")</f>
        <v>OK</v>
      </c>
    </row>
    <row r="301" spans="1:18">
      <c r="A301" s="1">
        <v>45975</v>
      </c>
      <c r="B301" t="s">
        <v>18</v>
      </c>
      <c r="C301" t="s">
        <v>12</v>
      </c>
      <c r="D301" t="s">
        <v>13</v>
      </c>
      <c r="E301" t="s">
        <v>14</v>
      </c>
      <c r="F301" t="s">
        <v>40</v>
      </c>
      <c r="G301" t="s">
        <v>31</v>
      </c>
      <c r="H301">
        <v>250000</v>
      </c>
      <c r="I301">
        <v>5</v>
      </c>
      <c r="J301" t="s">
        <v>37</v>
      </c>
      <c r="K301">
        <f t="shared" si="4"/>
        <v>200000</v>
      </c>
      <c r="L301">
        <f>Sales_Data2[[#This Row],[Unit Price]]*Sales_Data2[[#This Row],[Quantity]]</f>
        <v>1250000</v>
      </c>
      <c r="M301">
        <f>Sales_Data2[[#This Row],[Cost Price]]*Sales_Data2[[#This Row],[Quantity]]</f>
        <v>1000000</v>
      </c>
      <c r="N301" s="3">
        <f>Sales_Data2[[#This Row],[Revenue]]-Sales_Data2[[#This Row],[COGS]]</f>
        <v>250000</v>
      </c>
      <c r="O3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45975|East|Port Harcourt|Retail|Online|Smartphone Z10|Electronics|250000|5|Aisha|200000</v>
      </c>
      <c r="P301" s="3" t="str">
        <f>IF(COUNTIF(Sales_Data2[RowKey],Sales_Data2[[#This Row],[RowKey]])&gt;1,"Duplicate","Unique")</f>
        <v>Unique</v>
      </c>
      <c r="Q301" s="3" t="str">
        <f>IF(ISNUMBER(Sales_Data2[[#This Row],[Date]]),"OK","Check")</f>
        <v>OK</v>
      </c>
      <c r="R301" s="3" t="str">
        <f>IF(ISNUMBER(Sales_Data2[[#This Row],[Quantity]]),"OK","Check")</f>
        <v>OK</v>
      </c>
    </row>
    <row r="302" spans="1:18">
      <c r="A302" s="1">
        <v>45976</v>
      </c>
      <c r="B302" t="s">
        <v>11</v>
      </c>
      <c r="C302" t="s">
        <v>26</v>
      </c>
      <c r="D302" t="s">
        <v>13</v>
      </c>
      <c r="E302" t="s">
        <v>14</v>
      </c>
      <c r="F302" t="s">
        <v>33</v>
      </c>
      <c r="G302" t="s">
        <v>22</v>
      </c>
      <c r="H302">
        <v>180000</v>
      </c>
      <c r="I302">
        <v>3</v>
      </c>
      <c r="J302" t="s">
        <v>17</v>
      </c>
      <c r="K302">
        <f t="shared" si="4"/>
        <v>144000</v>
      </c>
      <c r="L302">
        <f>Sales_Data2[[#This Row],[Unit Price]]*Sales_Data2[[#This Row],[Quantity]]</f>
        <v>540000</v>
      </c>
      <c r="M302">
        <f>Sales_Data2[[#This Row],[Cost Price]]*Sales_Data2[[#This Row],[Quantity]]</f>
        <v>432000</v>
      </c>
      <c r="N302" s="3">
        <f>Sales_Data2[[#This Row],[Revenue]]-Sales_Data2[[#This Row],[COGS]]</f>
        <v>108000</v>
      </c>
      <c r="O3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45976|West|Kano|Retail|Online|Air Conditioner X2|Home Appliances|180000|3|Chidinma|144000</v>
      </c>
      <c r="P302" s="3" t="str">
        <f>IF(COUNTIF(Sales_Data2[RowKey],Sales_Data2[[#This Row],[RowKey]])&gt;1,"Duplicate","Unique")</f>
        <v>Unique</v>
      </c>
      <c r="Q302" s="3" t="str">
        <f>IF(ISNUMBER(Sales_Data2[[#This Row],[Date]]),"OK","Check")</f>
        <v>OK</v>
      </c>
      <c r="R302" s="3" t="str">
        <f>IF(ISNUMBER(Sales_Data2[[#This Row],[Quantity]]),"OK","Check")</f>
        <v>OK</v>
      </c>
    </row>
    <row r="303" spans="1:18">
      <c r="A303" s="1">
        <v>45977</v>
      </c>
      <c r="B303" t="s">
        <v>11</v>
      </c>
      <c r="C303" t="s">
        <v>26</v>
      </c>
      <c r="D303" t="s">
        <v>23</v>
      </c>
      <c r="E303" t="s">
        <v>20</v>
      </c>
      <c r="F303" t="s">
        <v>34</v>
      </c>
      <c r="G303" t="s">
        <v>16</v>
      </c>
      <c r="H303">
        <v>320000</v>
      </c>
      <c r="I303">
        <v>5</v>
      </c>
      <c r="J303" t="s">
        <v>37</v>
      </c>
      <c r="K303">
        <f t="shared" si="4"/>
        <v>256000</v>
      </c>
      <c r="L303">
        <f>Sales_Data2[[#This Row],[Unit Price]]*Sales_Data2[[#This Row],[Quantity]]</f>
        <v>1600000</v>
      </c>
      <c r="M303">
        <f>Sales_Data2[[#This Row],[Cost Price]]*Sales_Data2[[#This Row],[Quantity]]</f>
        <v>1280000</v>
      </c>
      <c r="N303" s="3">
        <f>Sales_Data2[[#This Row],[Revenue]]-Sales_Data2[[#This Row],[COGS]]</f>
        <v>320000</v>
      </c>
      <c r="O3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45977|West|Kano|Corporate|Store|Sofa Classic|Furniture|320000|5|Aisha|256000</v>
      </c>
      <c r="P303" s="3" t="str">
        <f>IF(COUNTIF(Sales_Data2[RowKey],Sales_Data2[[#This Row],[RowKey]])&gt;1,"Duplicate","Unique")</f>
        <v>Unique</v>
      </c>
      <c r="Q303" s="3" t="str">
        <f>IF(ISNUMBER(Sales_Data2[[#This Row],[Date]]),"OK","Check")</f>
        <v>OK</v>
      </c>
      <c r="R303" s="3" t="str">
        <f>IF(ISNUMBER(Sales_Data2[[#This Row],[Quantity]]),"OK","Check")</f>
        <v>OK</v>
      </c>
    </row>
    <row r="304" spans="1:18">
      <c r="A304" s="1">
        <v>45978</v>
      </c>
      <c r="B304" t="s">
        <v>25</v>
      </c>
      <c r="C304" t="s">
        <v>12</v>
      </c>
      <c r="D304" t="s">
        <v>13</v>
      </c>
      <c r="E304" t="s">
        <v>20</v>
      </c>
      <c r="F304" t="s">
        <v>34</v>
      </c>
      <c r="G304" t="s">
        <v>16</v>
      </c>
      <c r="H304">
        <v>320000</v>
      </c>
      <c r="I304">
        <v>10</v>
      </c>
      <c r="J304" t="s">
        <v>24</v>
      </c>
      <c r="K304">
        <f t="shared" si="4"/>
        <v>256000</v>
      </c>
      <c r="L304">
        <f>Sales_Data2[[#This Row],[Unit Price]]*Sales_Data2[[#This Row],[Quantity]]</f>
        <v>3200000</v>
      </c>
      <c r="M304">
        <f>Sales_Data2[[#This Row],[Cost Price]]*Sales_Data2[[#This Row],[Quantity]]</f>
        <v>2560000</v>
      </c>
      <c r="N304" s="3">
        <f>Sales_Data2[[#This Row],[Revenue]]-Sales_Data2[[#This Row],[COGS]]</f>
        <v>640000</v>
      </c>
      <c r="O3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45978|South|Port Harcourt|Retail|Store|Sofa Classic|Furniture|320000|10|David|256000</v>
      </c>
      <c r="P304" s="3" t="str">
        <f>IF(COUNTIF(Sales_Data2[RowKey],Sales_Data2[[#This Row],[RowKey]])&gt;1,"Duplicate","Unique")</f>
        <v>Unique</v>
      </c>
      <c r="Q304" s="3" t="str">
        <f>IF(ISNUMBER(Sales_Data2[[#This Row],[Date]]),"OK","Check")</f>
        <v>OK</v>
      </c>
      <c r="R304" s="3" t="str">
        <f>IF(ISNUMBER(Sales_Data2[[#This Row],[Quantity]]),"OK","Check")</f>
        <v>OK</v>
      </c>
    </row>
    <row r="305" spans="1:18">
      <c r="A305" s="1">
        <v>45979</v>
      </c>
      <c r="B305" t="s">
        <v>18</v>
      </c>
      <c r="C305" t="s">
        <v>12</v>
      </c>
      <c r="D305" t="s">
        <v>23</v>
      </c>
      <c r="E305" t="s">
        <v>14</v>
      </c>
      <c r="F305" t="s">
        <v>21</v>
      </c>
      <c r="G305" t="s">
        <v>22</v>
      </c>
      <c r="H305">
        <v>30000</v>
      </c>
      <c r="I305">
        <v>5</v>
      </c>
      <c r="J305" t="s">
        <v>17</v>
      </c>
      <c r="K305">
        <f t="shared" si="4"/>
        <v>24000</v>
      </c>
      <c r="L305">
        <f>Sales_Data2[[#This Row],[Unit Price]]*Sales_Data2[[#This Row],[Quantity]]</f>
        <v>150000</v>
      </c>
      <c r="M305">
        <f>Sales_Data2[[#This Row],[Cost Price]]*Sales_Data2[[#This Row],[Quantity]]</f>
        <v>120000</v>
      </c>
      <c r="N305" s="3">
        <f>Sales_Data2[[#This Row],[Revenue]]-Sales_Data2[[#This Row],[COGS]]</f>
        <v>30000</v>
      </c>
      <c r="O3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45979|East|Port Harcourt|Corporate|Online|Blender B10|Home Appliances|30000|5|Chidinma|24000</v>
      </c>
      <c r="P305" s="3" t="str">
        <f>IF(COUNTIF(Sales_Data2[RowKey],Sales_Data2[[#This Row],[RowKey]])&gt;1,"Duplicate","Unique")</f>
        <v>Unique</v>
      </c>
      <c r="Q305" s="3" t="str">
        <f>IF(ISNUMBER(Sales_Data2[[#This Row],[Date]]),"OK","Check")</f>
        <v>OK</v>
      </c>
      <c r="R305" s="3" t="str">
        <f>IF(ISNUMBER(Sales_Data2[[#This Row],[Quantity]]),"OK","Check")</f>
        <v>OK</v>
      </c>
    </row>
    <row r="306" spans="1:18">
      <c r="A306" s="1">
        <v>45980</v>
      </c>
      <c r="B306" t="s">
        <v>29</v>
      </c>
      <c r="C306" t="s">
        <v>12</v>
      </c>
      <c r="D306" t="s">
        <v>23</v>
      </c>
      <c r="E306" t="s">
        <v>20</v>
      </c>
      <c r="F306" t="s">
        <v>38</v>
      </c>
      <c r="G306" t="s">
        <v>31</v>
      </c>
      <c r="H306">
        <v>420000</v>
      </c>
      <c r="I306">
        <v>3</v>
      </c>
      <c r="J306" t="s">
        <v>17</v>
      </c>
      <c r="K306">
        <f t="shared" si="4"/>
        <v>336000</v>
      </c>
      <c r="L306">
        <f>Sales_Data2[[#This Row],[Unit Price]]*Sales_Data2[[#This Row],[Quantity]]</f>
        <v>1260000</v>
      </c>
      <c r="M306">
        <f>Sales_Data2[[#This Row],[Cost Price]]*Sales_Data2[[#This Row],[Quantity]]</f>
        <v>1008000</v>
      </c>
      <c r="N306" s="3">
        <f>Sales_Data2[[#This Row],[Revenue]]-Sales_Data2[[#This Row],[COGS]]</f>
        <v>252000</v>
      </c>
      <c r="O3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45980|North|Port Harcourt|Corporate|Store|Laptop A13|Electronics|420000|3|Chidinma|336000</v>
      </c>
      <c r="P306" s="3" t="str">
        <f>IF(COUNTIF(Sales_Data2[RowKey],Sales_Data2[[#This Row],[RowKey]])&gt;1,"Duplicate","Unique")</f>
        <v>Unique</v>
      </c>
      <c r="Q306" s="3" t="str">
        <f>IF(ISNUMBER(Sales_Data2[[#This Row],[Date]]),"OK","Check")</f>
        <v>OK</v>
      </c>
      <c r="R306" s="3" t="str">
        <f>IF(ISNUMBER(Sales_Data2[[#This Row],[Quantity]]),"OK","Check")</f>
        <v>OK</v>
      </c>
    </row>
    <row r="307" spans="1:18">
      <c r="A307" s="1">
        <v>45981</v>
      </c>
      <c r="B307" t="s">
        <v>18</v>
      </c>
      <c r="C307" t="s">
        <v>26</v>
      </c>
      <c r="D307" t="s">
        <v>13</v>
      </c>
      <c r="E307" t="s">
        <v>14</v>
      </c>
      <c r="F307" t="s">
        <v>21</v>
      </c>
      <c r="G307" t="s">
        <v>22</v>
      </c>
      <c r="H307">
        <v>30000</v>
      </c>
      <c r="I307">
        <v>4</v>
      </c>
      <c r="J307" t="s">
        <v>35</v>
      </c>
      <c r="K307">
        <f t="shared" si="4"/>
        <v>24000</v>
      </c>
      <c r="L307">
        <f>Sales_Data2[[#This Row],[Unit Price]]*Sales_Data2[[#This Row],[Quantity]]</f>
        <v>120000</v>
      </c>
      <c r="M307">
        <f>Sales_Data2[[#This Row],[Cost Price]]*Sales_Data2[[#This Row],[Quantity]]</f>
        <v>96000</v>
      </c>
      <c r="N307" s="3">
        <f>Sales_Data2[[#This Row],[Revenue]]-Sales_Data2[[#This Row],[COGS]]</f>
        <v>24000</v>
      </c>
      <c r="O3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45981|East|Kano|Retail|Online|Blender B10|Home Appliances|30000|4|Peter|24000</v>
      </c>
      <c r="P307" s="3" t="str">
        <f>IF(COUNTIF(Sales_Data2[RowKey],Sales_Data2[[#This Row],[RowKey]])&gt;1,"Duplicate","Unique")</f>
        <v>Unique</v>
      </c>
      <c r="Q307" s="3" t="str">
        <f>IF(ISNUMBER(Sales_Data2[[#This Row],[Date]]),"OK","Check")</f>
        <v>OK</v>
      </c>
      <c r="R307" s="3" t="str">
        <f>IF(ISNUMBER(Sales_Data2[[#This Row],[Quantity]]),"OK","Check")</f>
        <v>OK</v>
      </c>
    </row>
    <row r="308" spans="1:18">
      <c r="A308" s="1">
        <v>45982</v>
      </c>
      <c r="B308" t="s">
        <v>18</v>
      </c>
      <c r="C308" t="s">
        <v>12</v>
      </c>
      <c r="D308" t="s">
        <v>13</v>
      </c>
      <c r="E308" t="s">
        <v>14</v>
      </c>
      <c r="F308" t="s">
        <v>33</v>
      </c>
      <c r="G308" t="s">
        <v>22</v>
      </c>
      <c r="H308">
        <v>180000</v>
      </c>
      <c r="I308">
        <v>4</v>
      </c>
      <c r="J308" t="s">
        <v>17</v>
      </c>
      <c r="K308">
        <f t="shared" si="4"/>
        <v>144000</v>
      </c>
      <c r="L308">
        <f>Sales_Data2[[#This Row],[Unit Price]]*Sales_Data2[[#This Row],[Quantity]]</f>
        <v>720000</v>
      </c>
      <c r="M308">
        <f>Sales_Data2[[#This Row],[Cost Price]]*Sales_Data2[[#This Row],[Quantity]]</f>
        <v>576000</v>
      </c>
      <c r="N308" s="3">
        <f>Sales_Data2[[#This Row],[Revenue]]-Sales_Data2[[#This Row],[COGS]]</f>
        <v>144000</v>
      </c>
      <c r="O3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45982|East|Port Harcourt|Retail|Online|Air Conditioner X2|Home Appliances|180000|4|Chidinma|144000</v>
      </c>
      <c r="P308" s="3" t="str">
        <f>IF(COUNTIF(Sales_Data2[RowKey],Sales_Data2[[#This Row],[RowKey]])&gt;1,"Duplicate","Unique")</f>
        <v>Unique</v>
      </c>
      <c r="Q308" s="3" t="str">
        <f>IF(ISNUMBER(Sales_Data2[[#This Row],[Date]]),"OK","Check")</f>
        <v>OK</v>
      </c>
      <c r="R308" s="3" t="str">
        <f>IF(ISNUMBER(Sales_Data2[[#This Row],[Quantity]]),"OK","Check")</f>
        <v>OK</v>
      </c>
    </row>
    <row r="309" spans="1:18">
      <c r="A309" s="1">
        <v>45983</v>
      </c>
      <c r="B309" t="s">
        <v>18</v>
      </c>
      <c r="C309" t="s">
        <v>19</v>
      </c>
      <c r="D309" t="s">
        <v>13</v>
      </c>
      <c r="E309" t="s">
        <v>14</v>
      </c>
      <c r="F309" t="s">
        <v>40</v>
      </c>
      <c r="G309" t="s">
        <v>31</v>
      </c>
      <c r="H309">
        <v>250000</v>
      </c>
      <c r="I309">
        <v>5</v>
      </c>
      <c r="J309" t="s">
        <v>39</v>
      </c>
      <c r="K309">
        <f t="shared" si="4"/>
        <v>200000</v>
      </c>
      <c r="L309">
        <f>Sales_Data2[[#This Row],[Unit Price]]*Sales_Data2[[#This Row],[Quantity]]</f>
        <v>1250000</v>
      </c>
      <c r="M309">
        <f>Sales_Data2[[#This Row],[Cost Price]]*Sales_Data2[[#This Row],[Quantity]]</f>
        <v>1000000</v>
      </c>
      <c r="N309" s="3">
        <f>Sales_Data2[[#This Row],[Revenue]]-Sales_Data2[[#This Row],[COGS]]</f>
        <v>250000</v>
      </c>
      <c r="O3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45983|East|Lagos|Retail|Online|Smartphone Z10|Electronics|250000|5|Grace|200000</v>
      </c>
      <c r="P309" s="3" t="str">
        <f>IF(COUNTIF(Sales_Data2[RowKey],Sales_Data2[[#This Row],[RowKey]])&gt;1,"Duplicate","Unique")</f>
        <v>Unique</v>
      </c>
      <c r="Q309" s="3" t="str">
        <f>IF(ISNUMBER(Sales_Data2[[#This Row],[Date]]),"OK","Check")</f>
        <v>OK</v>
      </c>
      <c r="R309" s="3" t="str">
        <f>IF(ISNUMBER(Sales_Data2[[#This Row],[Quantity]]),"OK","Check")</f>
        <v>OK</v>
      </c>
    </row>
    <row r="310" spans="1:18">
      <c r="A310" s="1">
        <v>45984</v>
      </c>
      <c r="B310" t="s">
        <v>11</v>
      </c>
      <c r="C310" t="s">
        <v>32</v>
      </c>
      <c r="D310" t="s">
        <v>23</v>
      </c>
      <c r="E310" t="s">
        <v>20</v>
      </c>
      <c r="F310" t="s">
        <v>33</v>
      </c>
      <c r="G310" t="s">
        <v>22</v>
      </c>
      <c r="H310">
        <v>180000</v>
      </c>
      <c r="I310">
        <v>3</v>
      </c>
      <c r="J310" t="s">
        <v>35</v>
      </c>
      <c r="K310">
        <f t="shared" si="4"/>
        <v>144000</v>
      </c>
      <c r="L310">
        <f>Sales_Data2[[#This Row],[Unit Price]]*Sales_Data2[[#This Row],[Quantity]]</f>
        <v>540000</v>
      </c>
      <c r="M310">
        <f>Sales_Data2[[#This Row],[Cost Price]]*Sales_Data2[[#This Row],[Quantity]]</f>
        <v>432000</v>
      </c>
      <c r="N310" s="3">
        <f>Sales_Data2[[#This Row],[Revenue]]-Sales_Data2[[#This Row],[COGS]]</f>
        <v>108000</v>
      </c>
      <c r="O3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45984|West|Abuja|Corporate|Store|Air Conditioner X2|Home Appliances|180000|3|Peter|144000</v>
      </c>
      <c r="P310" s="3" t="str">
        <f>IF(COUNTIF(Sales_Data2[RowKey],Sales_Data2[[#This Row],[RowKey]])&gt;1,"Duplicate","Unique")</f>
        <v>Unique</v>
      </c>
      <c r="Q310" s="3" t="str">
        <f>IF(ISNUMBER(Sales_Data2[[#This Row],[Date]]),"OK","Check")</f>
        <v>OK</v>
      </c>
      <c r="R310" s="3" t="str">
        <f>IF(ISNUMBER(Sales_Data2[[#This Row],[Quantity]]),"OK","Check")</f>
        <v>OK</v>
      </c>
    </row>
    <row r="311" spans="1:18">
      <c r="A311" s="1">
        <v>45985</v>
      </c>
      <c r="B311" t="s">
        <v>18</v>
      </c>
      <c r="C311" t="s">
        <v>12</v>
      </c>
      <c r="D311" t="s">
        <v>13</v>
      </c>
      <c r="E311" t="s">
        <v>14</v>
      </c>
      <c r="F311" t="s">
        <v>30</v>
      </c>
      <c r="G311" t="s">
        <v>31</v>
      </c>
      <c r="H311">
        <v>300000</v>
      </c>
      <c r="I311">
        <v>5</v>
      </c>
      <c r="J311" t="s">
        <v>39</v>
      </c>
      <c r="K311">
        <f t="shared" si="4"/>
        <v>240000</v>
      </c>
      <c r="L311">
        <f>Sales_Data2[[#This Row],[Unit Price]]*Sales_Data2[[#This Row],[Quantity]]</f>
        <v>1500000</v>
      </c>
      <c r="M311">
        <f>Sales_Data2[[#This Row],[Cost Price]]*Sales_Data2[[#This Row],[Quantity]]</f>
        <v>1200000</v>
      </c>
      <c r="N311" s="3">
        <f>Sales_Data2[[#This Row],[Revenue]]-Sales_Data2[[#This Row],[COGS]]</f>
        <v>300000</v>
      </c>
      <c r="O3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45985|East|Port Harcourt|Retail|Online|Desktop PC D21|Electronics|300000|5|Grace|240000</v>
      </c>
      <c r="P311" s="3" t="str">
        <f>IF(COUNTIF(Sales_Data2[RowKey],Sales_Data2[[#This Row],[RowKey]])&gt;1,"Duplicate","Unique")</f>
        <v>Unique</v>
      </c>
      <c r="Q311" s="3" t="str">
        <f>IF(ISNUMBER(Sales_Data2[[#This Row],[Date]]),"OK","Check")</f>
        <v>OK</v>
      </c>
      <c r="R311" s="3" t="str">
        <f>IF(ISNUMBER(Sales_Data2[[#This Row],[Quantity]]),"OK","Check")</f>
        <v>OK</v>
      </c>
    </row>
    <row r="312" spans="1:18">
      <c r="A312" s="1">
        <v>45986</v>
      </c>
      <c r="B312" t="s">
        <v>11</v>
      </c>
      <c r="C312" t="s">
        <v>26</v>
      </c>
      <c r="D312" t="s">
        <v>13</v>
      </c>
      <c r="E312" t="s">
        <v>20</v>
      </c>
      <c r="F312" t="s">
        <v>15</v>
      </c>
      <c r="G312" t="s">
        <v>16</v>
      </c>
      <c r="H312">
        <v>85000</v>
      </c>
      <c r="I312">
        <v>8</v>
      </c>
      <c r="J312" t="s">
        <v>35</v>
      </c>
      <c r="K312">
        <f t="shared" si="4"/>
        <v>68000</v>
      </c>
      <c r="L312">
        <f>Sales_Data2[[#This Row],[Unit Price]]*Sales_Data2[[#This Row],[Quantity]]</f>
        <v>680000</v>
      </c>
      <c r="M312">
        <f>Sales_Data2[[#This Row],[Cost Price]]*Sales_Data2[[#This Row],[Quantity]]</f>
        <v>544000</v>
      </c>
      <c r="N312" s="3">
        <f>Sales_Data2[[#This Row],[Revenue]]-Sales_Data2[[#This Row],[COGS]]</f>
        <v>136000</v>
      </c>
      <c r="O3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45986|West|Kano|Retail|Store|Office Chair Pro|Furniture|85000|8|Peter|68000</v>
      </c>
      <c r="P312" s="3" t="str">
        <f>IF(COUNTIF(Sales_Data2[RowKey],Sales_Data2[[#This Row],[RowKey]])&gt;1,"Duplicate","Unique")</f>
        <v>Unique</v>
      </c>
      <c r="Q312" s="3" t="str">
        <f>IF(ISNUMBER(Sales_Data2[[#This Row],[Date]]),"OK","Check")</f>
        <v>OK</v>
      </c>
      <c r="R312" s="3" t="str">
        <f>IF(ISNUMBER(Sales_Data2[[#This Row],[Quantity]]),"OK","Check")</f>
        <v>OK</v>
      </c>
    </row>
    <row r="313" spans="1:18">
      <c r="A313" s="1">
        <v>45987</v>
      </c>
      <c r="B313" t="s">
        <v>18</v>
      </c>
      <c r="C313" t="s">
        <v>19</v>
      </c>
      <c r="D313" t="s">
        <v>23</v>
      </c>
      <c r="E313" t="s">
        <v>14</v>
      </c>
      <c r="F313" t="s">
        <v>33</v>
      </c>
      <c r="G313" t="s">
        <v>22</v>
      </c>
      <c r="H313">
        <v>180000</v>
      </c>
      <c r="I313">
        <v>6</v>
      </c>
      <c r="J313" t="s">
        <v>39</v>
      </c>
      <c r="K313">
        <f t="shared" si="4"/>
        <v>144000</v>
      </c>
      <c r="L313">
        <f>Sales_Data2[[#This Row],[Unit Price]]*Sales_Data2[[#This Row],[Quantity]]</f>
        <v>1080000</v>
      </c>
      <c r="M313">
        <f>Sales_Data2[[#This Row],[Cost Price]]*Sales_Data2[[#This Row],[Quantity]]</f>
        <v>864000</v>
      </c>
      <c r="N313" s="3">
        <f>Sales_Data2[[#This Row],[Revenue]]-Sales_Data2[[#This Row],[COGS]]</f>
        <v>216000</v>
      </c>
      <c r="O3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45987|East|Lagos|Corporate|Online|Air Conditioner X2|Home Appliances|180000|6|Grace|144000</v>
      </c>
      <c r="P313" s="3" t="str">
        <f>IF(COUNTIF(Sales_Data2[RowKey],Sales_Data2[[#This Row],[RowKey]])&gt;1,"Duplicate","Unique")</f>
        <v>Unique</v>
      </c>
      <c r="Q313" s="3" t="str">
        <f>IF(ISNUMBER(Sales_Data2[[#This Row],[Date]]),"OK","Check")</f>
        <v>OK</v>
      </c>
      <c r="R313" s="3" t="str">
        <f>IF(ISNUMBER(Sales_Data2[[#This Row],[Quantity]]),"OK","Check")</f>
        <v>OK</v>
      </c>
    </row>
    <row r="314" spans="1:18">
      <c r="A314" s="1">
        <v>45988</v>
      </c>
      <c r="B314" t="s">
        <v>18</v>
      </c>
      <c r="C314" t="s">
        <v>19</v>
      </c>
      <c r="D314" t="s">
        <v>23</v>
      </c>
      <c r="E314" t="s">
        <v>14</v>
      </c>
      <c r="F314" t="s">
        <v>38</v>
      </c>
      <c r="G314" t="s">
        <v>31</v>
      </c>
      <c r="H314">
        <v>420000</v>
      </c>
      <c r="I314">
        <v>7</v>
      </c>
      <c r="J314" t="s">
        <v>37</v>
      </c>
      <c r="K314">
        <f t="shared" si="4"/>
        <v>336000</v>
      </c>
      <c r="L314">
        <f>Sales_Data2[[#This Row],[Unit Price]]*Sales_Data2[[#This Row],[Quantity]]</f>
        <v>2940000</v>
      </c>
      <c r="M314">
        <f>Sales_Data2[[#This Row],[Cost Price]]*Sales_Data2[[#This Row],[Quantity]]</f>
        <v>2352000</v>
      </c>
      <c r="N314" s="3">
        <f>Sales_Data2[[#This Row],[Revenue]]-Sales_Data2[[#This Row],[COGS]]</f>
        <v>588000</v>
      </c>
      <c r="O3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45988|East|Lagos|Corporate|Online|Laptop A13|Electronics|420000|7|Aisha|336000</v>
      </c>
      <c r="P314" s="3" t="str">
        <f>IF(COUNTIF(Sales_Data2[RowKey],Sales_Data2[[#This Row],[RowKey]])&gt;1,"Duplicate","Unique")</f>
        <v>Unique</v>
      </c>
      <c r="Q314" s="3" t="str">
        <f>IF(ISNUMBER(Sales_Data2[[#This Row],[Date]]),"OK","Check")</f>
        <v>OK</v>
      </c>
      <c r="R314" s="3" t="str">
        <f>IF(ISNUMBER(Sales_Data2[[#This Row],[Quantity]]),"OK","Check")</f>
        <v>OK</v>
      </c>
    </row>
    <row r="315" spans="1:18">
      <c r="A315" s="1">
        <v>45989</v>
      </c>
      <c r="B315" t="s">
        <v>25</v>
      </c>
      <c r="C315" t="s">
        <v>26</v>
      </c>
      <c r="D315" t="s">
        <v>23</v>
      </c>
      <c r="E315" t="s">
        <v>14</v>
      </c>
      <c r="F315" t="s">
        <v>36</v>
      </c>
      <c r="G315" t="s">
        <v>31</v>
      </c>
      <c r="H315">
        <v>150000</v>
      </c>
      <c r="I315">
        <v>8</v>
      </c>
      <c r="J315" t="s">
        <v>17</v>
      </c>
      <c r="K315">
        <f t="shared" si="4"/>
        <v>120000</v>
      </c>
      <c r="L315">
        <f>Sales_Data2[[#This Row],[Unit Price]]*Sales_Data2[[#This Row],[Quantity]]</f>
        <v>1200000</v>
      </c>
      <c r="M315">
        <f>Sales_Data2[[#This Row],[Cost Price]]*Sales_Data2[[#This Row],[Quantity]]</f>
        <v>960000</v>
      </c>
      <c r="N315" s="3">
        <f>Sales_Data2[[#This Row],[Revenue]]-Sales_Data2[[#This Row],[COGS]]</f>
        <v>240000</v>
      </c>
      <c r="O3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45989|South|Kano|Corporate|Online|Printer P50|Electronics|150000|8|Chidinma|120000</v>
      </c>
      <c r="P315" s="3" t="str">
        <f>IF(COUNTIF(Sales_Data2[RowKey],Sales_Data2[[#This Row],[RowKey]])&gt;1,"Duplicate","Unique")</f>
        <v>Unique</v>
      </c>
      <c r="Q315" s="3" t="str">
        <f>IF(ISNUMBER(Sales_Data2[[#This Row],[Date]]),"OK","Check")</f>
        <v>OK</v>
      </c>
      <c r="R315" s="3" t="str">
        <f>IF(ISNUMBER(Sales_Data2[[#This Row],[Quantity]]),"OK","Check")</f>
        <v>OK</v>
      </c>
    </row>
    <row r="316" spans="1:18">
      <c r="A316" s="1">
        <v>45990</v>
      </c>
      <c r="B316" t="s">
        <v>18</v>
      </c>
      <c r="C316" t="s">
        <v>26</v>
      </c>
      <c r="D316" t="s">
        <v>13</v>
      </c>
      <c r="E316" t="s">
        <v>14</v>
      </c>
      <c r="F316" t="s">
        <v>15</v>
      </c>
      <c r="G316" t="s">
        <v>16</v>
      </c>
      <c r="H316">
        <v>85000</v>
      </c>
      <c r="I316">
        <v>6</v>
      </c>
      <c r="J316" t="s">
        <v>37</v>
      </c>
      <c r="K316">
        <f t="shared" si="4"/>
        <v>68000</v>
      </c>
      <c r="L316">
        <f>Sales_Data2[[#This Row],[Unit Price]]*Sales_Data2[[#This Row],[Quantity]]</f>
        <v>510000</v>
      </c>
      <c r="M316">
        <f>Sales_Data2[[#This Row],[Cost Price]]*Sales_Data2[[#This Row],[Quantity]]</f>
        <v>408000</v>
      </c>
      <c r="N316" s="3">
        <f>Sales_Data2[[#This Row],[Revenue]]-Sales_Data2[[#This Row],[COGS]]</f>
        <v>102000</v>
      </c>
      <c r="O3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45990|East|Kano|Retail|Online|Office Chair Pro|Furniture|85000|6|Aisha|68000</v>
      </c>
      <c r="P316" s="3" t="str">
        <f>IF(COUNTIF(Sales_Data2[RowKey],Sales_Data2[[#This Row],[RowKey]])&gt;1,"Duplicate","Unique")</f>
        <v>Unique</v>
      </c>
      <c r="Q316" s="3" t="str">
        <f>IF(ISNUMBER(Sales_Data2[[#This Row],[Date]]),"OK","Check")</f>
        <v>OK</v>
      </c>
      <c r="R316" s="3" t="str">
        <f>IF(ISNUMBER(Sales_Data2[[#This Row],[Quantity]]),"OK","Check")</f>
        <v>OK</v>
      </c>
    </row>
    <row r="317" spans="1:18">
      <c r="A317" s="1">
        <v>45991</v>
      </c>
      <c r="B317" t="s">
        <v>25</v>
      </c>
      <c r="C317" t="s">
        <v>12</v>
      </c>
      <c r="D317" t="s">
        <v>13</v>
      </c>
      <c r="E317" t="s">
        <v>20</v>
      </c>
      <c r="F317" t="s">
        <v>33</v>
      </c>
      <c r="G317" t="s">
        <v>22</v>
      </c>
      <c r="H317">
        <v>180000</v>
      </c>
      <c r="I317">
        <v>9</v>
      </c>
      <c r="J317" t="s">
        <v>28</v>
      </c>
      <c r="K317">
        <f t="shared" si="4"/>
        <v>144000</v>
      </c>
      <c r="L317">
        <f>Sales_Data2[[#This Row],[Unit Price]]*Sales_Data2[[#This Row],[Quantity]]</f>
        <v>1620000</v>
      </c>
      <c r="M317">
        <f>Sales_Data2[[#This Row],[Cost Price]]*Sales_Data2[[#This Row],[Quantity]]</f>
        <v>1296000</v>
      </c>
      <c r="N317" s="3">
        <f>Sales_Data2[[#This Row],[Revenue]]-Sales_Data2[[#This Row],[COGS]]</f>
        <v>324000</v>
      </c>
      <c r="O3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45991|South|Port Harcourt|Retail|Store|Air Conditioner X2|Home Appliances|180000|9|Musa|144000</v>
      </c>
      <c r="P317" s="3" t="str">
        <f>IF(COUNTIF(Sales_Data2[RowKey],Sales_Data2[[#This Row],[RowKey]])&gt;1,"Duplicate","Unique")</f>
        <v>Unique</v>
      </c>
      <c r="Q317" s="3" t="str">
        <f>IF(ISNUMBER(Sales_Data2[[#This Row],[Date]]),"OK","Check")</f>
        <v>OK</v>
      </c>
      <c r="R317" s="3" t="str">
        <f>IF(ISNUMBER(Sales_Data2[[#This Row],[Quantity]]),"OK","Check")</f>
        <v>OK</v>
      </c>
    </row>
    <row r="318" spans="1:18">
      <c r="A318" s="1">
        <v>45992</v>
      </c>
      <c r="B318" t="s">
        <v>11</v>
      </c>
      <c r="C318" t="s">
        <v>26</v>
      </c>
      <c r="D318" t="s">
        <v>23</v>
      </c>
      <c r="E318" t="s">
        <v>14</v>
      </c>
      <c r="F318" t="s">
        <v>40</v>
      </c>
      <c r="G318" t="s">
        <v>31</v>
      </c>
      <c r="H318">
        <v>250000</v>
      </c>
      <c r="I318">
        <v>5</v>
      </c>
      <c r="J318" t="s">
        <v>37</v>
      </c>
      <c r="K318">
        <f t="shared" si="4"/>
        <v>200000</v>
      </c>
      <c r="L318">
        <f>Sales_Data2[[#This Row],[Unit Price]]*Sales_Data2[[#This Row],[Quantity]]</f>
        <v>1250000</v>
      </c>
      <c r="M318">
        <f>Sales_Data2[[#This Row],[Cost Price]]*Sales_Data2[[#This Row],[Quantity]]</f>
        <v>1000000</v>
      </c>
      <c r="N318" s="3">
        <f>Sales_Data2[[#This Row],[Revenue]]-Sales_Data2[[#This Row],[COGS]]</f>
        <v>250000</v>
      </c>
      <c r="O3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45992|West|Kano|Corporate|Online|Smartphone Z10|Electronics|250000|5|Aisha|200000</v>
      </c>
      <c r="P318" s="3" t="str">
        <f>IF(COUNTIF(Sales_Data2[RowKey],Sales_Data2[[#This Row],[RowKey]])&gt;1,"Duplicate","Unique")</f>
        <v>Unique</v>
      </c>
      <c r="Q318" s="3" t="str">
        <f>IF(ISNUMBER(Sales_Data2[[#This Row],[Date]]),"OK","Check")</f>
        <v>OK</v>
      </c>
      <c r="R318" s="3" t="str">
        <f>IF(ISNUMBER(Sales_Data2[[#This Row],[Quantity]]),"OK","Check")</f>
        <v>OK</v>
      </c>
    </row>
    <row r="319" spans="1:18">
      <c r="A319" s="1">
        <v>45993</v>
      </c>
      <c r="B319" t="s">
        <v>29</v>
      </c>
      <c r="C319" t="s">
        <v>26</v>
      </c>
      <c r="D319" t="s">
        <v>13</v>
      </c>
      <c r="E319" t="s">
        <v>20</v>
      </c>
      <c r="F319" t="s">
        <v>34</v>
      </c>
      <c r="G319" t="s">
        <v>16</v>
      </c>
      <c r="H319">
        <v>320000</v>
      </c>
      <c r="I319">
        <v>9</v>
      </c>
      <c r="J319" t="s">
        <v>28</v>
      </c>
      <c r="K319">
        <f t="shared" si="4"/>
        <v>256000</v>
      </c>
      <c r="L319">
        <f>Sales_Data2[[#This Row],[Unit Price]]*Sales_Data2[[#This Row],[Quantity]]</f>
        <v>2880000</v>
      </c>
      <c r="M319">
        <f>Sales_Data2[[#This Row],[Cost Price]]*Sales_Data2[[#This Row],[Quantity]]</f>
        <v>2304000</v>
      </c>
      <c r="N319" s="3">
        <f>Sales_Data2[[#This Row],[Revenue]]-Sales_Data2[[#This Row],[COGS]]</f>
        <v>576000</v>
      </c>
      <c r="O3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45993|North|Kano|Retail|Store|Sofa Classic|Furniture|320000|9|Musa|256000</v>
      </c>
      <c r="P319" s="3" t="str">
        <f>IF(COUNTIF(Sales_Data2[RowKey],Sales_Data2[[#This Row],[RowKey]])&gt;1,"Duplicate","Unique")</f>
        <v>Unique</v>
      </c>
      <c r="Q319" s="3" t="str">
        <f>IF(ISNUMBER(Sales_Data2[[#This Row],[Date]]),"OK","Check")</f>
        <v>OK</v>
      </c>
      <c r="R319" s="3" t="str">
        <f>IF(ISNUMBER(Sales_Data2[[#This Row],[Quantity]]),"OK","Check")</f>
        <v>OK</v>
      </c>
    </row>
    <row r="320" spans="1:18">
      <c r="A320" s="1">
        <v>45994</v>
      </c>
      <c r="B320" t="s">
        <v>29</v>
      </c>
      <c r="C320" t="s">
        <v>19</v>
      </c>
      <c r="D320" t="s">
        <v>23</v>
      </c>
      <c r="E320" t="s">
        <v>20</v>
      </c>
      <c r="F320" t="s">
        <v>36</v>
      </c>
      <c r="G320" t="s">
        <v>31</v>
      </c>
      <c r="H320">
        <v>150000</v>
      </c>
      <c r="I320">
        <v>7</v>
      </c>
      <c r="J320" t="s">
        <v>24</v>
      </c>
      <c r="K320">
        <f t="shared" si="4"/>
        <v>120000</v>
      </c>
      <c r="L320">
        <f>Sales_Data2[[#This Row],[Unit Price]]*Sales_Data2[[#This Row],[Quantity]]</f>
        <v>1050000</v>
      </c>
      <c r="M320">
        <f>Sales_Data2[[#This Row],[Cost Price]]*Sales_Data2[[#This Row],[Quantity]]</f>
        <v>840000</v>
      </c>
      <c r="N320" s="3">
        <f>Sales_Data2[[#This Row],[Revenue]]-Sales_Data2[[#This Row],[COGS]]</f>
        <v>210000</v>
      </c>
      <c r="O3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45994|North|Lagos|Corporate|Store|Printer P50|Electronics|150000|7|David|120000</v>
      </c>
      <c r="P320" s="3" t="str">
        <f>IF(COUNTIF(Sales_Data2[RowKey],Sales_Data2[[#This Row],[RowKey]])&gt;1,"Duplicate","Unique")</f>
        <v>Unique</v>
      </c>
      <c r="Q320" s="3" t="str">
        <f>IF(ISNUMBER(Sales_Data2[[#This Row],[Date]]),"OK","Check")</f>
        <v>OK</v>
      </c>
      <c r="R320" s="3" t="str">
        <f>IF(ISNUMBER(Sales_Data2[[#This Row],[Quantity]]),"OK","Check")</f>
        <v>OK</v>
      </c>
    </row>
    <row r="321" spans="1:18">
      <c r="A321" s="1">
        <v>45995</v>
      </c>
      <c r="B321" t="s">
        <v>18</v>
      </c>
      <c r="C321" t="s">
        <v>12</v>
      </c>
      <c r="D321" t="s">
        <v>13</v>
      </c>
      <c r="E321" t="s">
        <v>14</v>
      </c>
      <c r="F321" t="s">
        <v>38</v>
      </c>
      <c r="G321" t="s">
        <v>31</v>
      </c>
      <c r="H321">
        <v>420000</v>
      </c>
      <c r="I321">
        <v>9</v>
      </c>
      <c r="J321" t="s">
        <v>37</v>
      </c>
      <c r="K321">
        <f t="shared" si="4"/>
        <v>336000</v>
      </c>
      <c r="L321">
        <f>Sales_Data2[[#This Row],[Unit Price]]*Sales_Data2[[#This Row],[Quantity]]</f>
        <v>3780000</v>
      </c>
      <c r="M321">
        <f>Sales_Data2[[#This Row],[Cost Price]]*Sales_Data2[[#This Row],[Quantity]]</f>
        <v>3024000</v>
      </c>
      <c r="N321" s="3">
        <f>Sales_Data2[[#This Row],[Revenue]]-Sales_Data2[[#This Row],[COGS]]</f>
        <v>756000</v>
      </c>
      <c r="O3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45995|East|Port Harcourt|Retail|Online|Laptop A13|Electronics|420000|9|Aisha|336000</v>
      </c>
      <c r="P321" s="3" t="str">
        <f>IF(COUNTIF(Sales_Data2[RowKey],Sales_Data2[[#This Row],[RowKey]])&gt;1,"Duplicate","Unique")</f>
        <v>Unique</v>
      </c>
      <c r="Q321" s="3" t="str">
        <f>IF(ISNUMBER(Sales_Data2[[#This Row],[Date]]),"OK","Check")</f>
        <v>OK</v>
      </c>
      <c r="R321" s="3" t="str">
        <f>IF(ISNUMBER(Sales_Data2[[#This Row],[Quantity]]),"OK","Check")</f>
        <v>OK</v>
      </c>
    </row>
    <row r="322" spans="1:18">
      <c r="A322" s="1">
        <v>45996</v>
      </c>
      <c r="B322" t="s">
        <v>25</v>
      </c>
      <c r="C322" t="s">
        <v>19</v>
      </c>
      <c r="D322" t="s">
        <v>23</v>
      </c>
      <c r="E322" t="s">
        <v>20</v>
      </c>
      <c r="F322" t="s">
        <v>27</v>
      </c>
      <c r="G322" t="s">
        <v>22</v>
      </c>
      <c r="H322">
        <v>60000</v>
      </c>
      <c r="I322">
        <v>4</v>
      </c>
      <c r="J322" t="s">
        <v>24</v>
      </c>
      <c r="K322">
        <f t="shared" ref="K322:K385" si="5">H322-H322*0.2</f>
        <v>48000</v>
      </c>
      <c r="L322">
        <f>Sales_Data2[[#This Row],[Unit Price]]*Sales_Data2[[#This Row],[Quantity]]</f>
        <v>240000</v>
      </c>
      <c r="M322">
        <f>Sales_Data2[[#This Row],[Cost Price]]*Sales_Data2[[#This Row],[Quantity]]</f>
        <v>192000</v>
      </c>
      <c r="N322" s="3">
        <f>Sales_Data2[[#This Row],[Revenue]]-Sales_Data2[[#This Row],[COGS]]</f>
        <v>48000</v>
      </c>
      <c r="O3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45996|South|Lagos|Corporate|Store|Microwave M20|Home Appliances|60000|4|David|48000</v>
      </c>
      <c r="P322" s="3" t="str">
        <f>IF(COUNTIF(Sales_Data2[RowKey],Sales_Data2[[#This Row],[RowKey]])&gt;1,"Duplicate","Unique")</f>
        <v>Unique</v>
      </c>
      <c r="Q322" s="3" t="str">
        <f>IF(ISNUMBER(Sales_Data2[[#This Row],[Date]]),"OK","Check")</f>
        <v>OK</v>
      </c>
      <c r="R322" s="3" t="str">
        <f>IF(ISNUMBER(Sales_Data2[[#This Row],[Quantity]]),"OK","Check")</f>
        <v>OK</v>
      </c>
    </row>
    <row r="323" spans="1:18">
      <c r="A323" s="1">
        <v>45997</v>
      </c>
      <c r="B323" t="s">
        <v>11</v>
      </c>
      <c r="C323" t="s">
        <v>26</v>
      </c>
      <c r="D323" t="s">
        <v>13</v>
      </c>
      <c r="E323" t="s">
        <v>20</v>
      </c>
      <c r="F323" t="s">
        <v>40</v>
      </c>
      <c r="G323" t="s">
        <v>31</v>
      </c>
      <c r="H323">
        <v>250000</v>
      </c>
      <c r="I323">
        <v>5</v>
      </c>
      <c r="J323" t="s">
        <v>24</v>
      </c>
      <c r="K323">
        <f t="shared" si="5"/>
        <v>200000</v>
      </c>
      <c r="L323">
        <f>Sales_Data2[[#This Row],[Unit Price]]*Sales_Data2[[#This Row],[Quantity]]</f>
        <v>1250000</v>
      </c>
      <c r="M323">
        <f>Sales_Data2[[#This Row],[Cost Price]]*Sales_Data2[[#This Row],[Quantity]]</f>
        <v>1000000</v>
      </c>
      <c r="N323" s="3">
        <f>Sales_Data2[[#This Row],[Revenue]]-Sales_Data2[[#This Row],[COGS]]</f>
        <v>250000</v>
      </c>
      <c r="O3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45997|West|Kano|Retail|Store|Smartphone Z10|Electronics|250000|5|David|200000</v>
      </c>
      <c r="P323" s="3" t="str">
        <f>IF(COUNTIF(Sales_Data2[RowKey],Sales_Data2[[#This Row],[RowKey]])&gt;1,"Duplicate","Unique")</f>
        <v>Unique</v>
      </c>
      <c r="Q323" s="3" t="str">
        <f>IF(ISNUMBER(Sales_Data2[[#This Row],[Date]]),"OK","Check")</f>
        <v>OK</v>
      </c>
      <c r="R323" s="3" t="str">
        <f>IF(ISNUMBER(Sales_Data2[[#This Row],[Quantity]]),"OK","Check")</f>
        <v>OK</v>
      </c>
    </row>
    <row r="324" spans="1:18">
      <c r="A324" s="1">
        <v>45998</v>
      </c>
      <c r="B324" t="s">
        <v>11</v>
      </c>
      <c r="C324" t="s">
        <v>26</v>
      </c>
      <c r="D324" t="s">
        <v>23</v>
      </c>
      <c r="E324" t="s">
        <v>14</v>
      </c>
      <c r="F324" t="s">
        <v>30</v>
      </c>
      <c r="G324" t="s">
        <v>31</v>
      </c>
      <c r="H324">
        <v>300000</v>
      </c>
      <c r="I324">
        <v>8</v>
      </c>
      <c r="J324" t="s">
        <v>35</v>
      </c>
      <c r="K324">
        <f t="shared" si="5"/>
        <v>240000</v>
      </c>
      <c r="L324">
        <f>Sales_Data2[[#This Row],[Unit Price]]*Sales_Data2[[#This Row],[Quantity]]</f>
        <v>2400000</v>
      </c>
      <c r="M324">
        <f>Sales_Data2[[#This Row],[Cost Price]]*Sales_Data2[[#This Row],[Quantity]]</f>
        <v>1920000</v>
      </c>
      <c r="N324" s="3">
        <f>Sales_Data2[[#This Row],[Revenue]]-Sales_Data2[[#This Row],[COGS]]</f>
        <v>480000</v>
      </c>
      <c r="O3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45998|West|Kano|Corporate|Online|Desktop PC D21|Electronics|300000|8|Peter|240000</v>
      </c>
      <c r="P324" s="3" t="str">
        <f>IF(COUNTIF(Sales_Data2[RowKey],Sales_Data2[[#This Row],[RowKey]])&gt;1,"Duplicate","Unique")</f>
        <v>Unique</v>
      </c>
      <c r="Q324" s="3" t="str">
        <f>IF(ISNUMBER(Sales_Data2[[#This Row],[Date]]),"OK","Check")</f>
        <v>OK</v>
      </c>
      <c r="R324" s="3" t="str">
        <f>IF(ISNUMBER(Sales_Data2[[#This Row],[Quantity]]),"OK","Check")</f>
        <v>OK</v>
      </c>
    </row>
    <row r="325" spans="1:18">
      <c r="A325" s="1">
        <v>45999</v>
      </c>
      <c r="B325" t="s">
        <v>11</v>
      </c>
      <c r="C325" t="s">
        <v>26</v>
      </c>
      <c r="D325" t="s">
        <v>23</v>
      </c>
      <c r="E325" t="s">
        <v>14</v>
      </c>
      <c r="F325" t="s">
        <v>38</v>
      </c>
      <c r="G325" t="s">
        <v>31</v>
      </c>
      <c r="H325">
        <v>420000</v>
      </c>
      <c r="I325">
        <v>4</v>
      </c>
      <c r="J325" t="s">
        <v>39</v>
      </c>
      <c r="K325">
        <f t="shared" si="5"/>
        <v>336000</v>
      </c>
      <c r="L325">
        <f>Sales_Data2[[#This Row],[Unit Price]]*Sales_Data2[[#This Row],[Quantity]]</f>
        <v>1680000</v>
      </c>
      <c r="M325">
        <f>Sales_Data2[[#This Row],[Cost Price]]*Sales_Data2[[#This Row],[Quantity]]</f>
        <v>1344000</v>
      </c>
      <c r="N325" s="3">
        <f>Sales_Data2[[#This Row],[Revenue]]-Sales_Data2[[#This Row],[COGS]]</f>
        <v>336000</v>
      </c>
      <c r="O3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45999|West|Kano|Corporate|Online|Laptop A13|Electronics|420000|4|Grace|336000</v>
      </c>
      <c r="P325" s="3" t="str">
        <f>IF(COUNTIF(Sales_Data2[RowKey],Sales_Data2[[#This Row],[RowKey]])&gt;1,"Duplicate","Unique")</f>
        <v>Unique</v>
      </c>
      <c r="Q325" s="3" t="str">
        <f>IF(ISNUMBER(Sales_Data2[[#This Row],[Date]]),"OK","Check")</f>
        <v>OK</v>
      </c>
      <c r="R325" s="3" t="str">
        <f>IF(ISNUMBER(Sales_Data2[[#This Row],[Quantity]]),"OK","Check")</f>
        <v>OK</v>
      </c>
    </row>
    <row r="326" spans="1:18">
      <c r="A326" s="1">
        <v>46000</v>
      </c>
      <c r="B326" t="s">
        <v>11</v>
      </c>
      <c r="C326" t="s">
        <v>26</v>
      </c>
      <c r="D326" t="s">
        <v>23</v>
      </c>
      <c r="E326" t="s">
        <v>20</v>
      </c>
      <c r="F326" t="s">
        <v>21</v>
      </c>
      <c r="G326" t="s">
        <v>22</v>
      </c>
      <c r="H326">
        <v>30000</v>
      </c>
      <c r="I326">
        <v>4</v>
      </c>
      <c r="J326" t="s">
        <v>24</v>
      </c>
      <c r="K326">
        <f t="shared" si="5"/>
        <v>24000</v>
      </c>
      <c r="L326">
        <f>Sales_Data2[[#This Row],[Unit Price]]*Sales_Data2[[#This Row],[Quantity]]</f>
        <v>120000</v>
      </c>
      <c r="M326">
        <f>Sales_Data2[[#This Row],[Cost Price]]*Sales_Data2[[#This Row],[Quantity]]</f>
        <v>96000</v>
      </c>
      <c r="N326" s="3">
        <f>Sales_Data2[[#This Row],[Revenue]]-Sales_Data2[[#This Row],[COGS]]</f>
        <v>24000</v>
      </c>
      <c r="O3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46000|West|Kano|Corporate|Store|Blender B10|Home Appliances|30000|4|David|24000</v>
      </c>
      <c r="P326" s="3" t="str">
        <f>IF(COUNTIF(Sales_Data2[RowKey],Sales_Data2[[#This Row],[RowKey]])&gt;1,"Duplicate","Unique")</f>
        <v>Unique</v>
      </c>
      <c r="Q326" s="3" t="str">
        <f>IF(ISNUMBER(Sales_Data2[[#This Row],[Date]]),"OK","Check")</f>
        <v>OK</v>
      </c>
      <c r="R326" s="3" t="str">
        <f>IF(ISNUMBER(Sales_Data2[[#This Row],[Quantity]]),"OK","Check")</f>
        <v>OK</v>
      </c>
    </row>
    <row r="327" spans="1:18">
      <c r="A327" s="1">
        <v>46001</v>
      </c>
      <c r="B327" t="s">
        <v>18</v>
      </c>
      <c r="C327" t="s">
        <v>32</v>
      </c>
      <c r="D327" t="s">
        <v>13</v>
      </c>
      <c r="E327" t="s">
        <v>14</v>
      </c>
      <c r="F327" t="s">
        <v>34</v>
      </c>
      <c r="G327" t="s">
        <v>16</v>
      </c>
      <c r="H327">
        <v>320000</v>
      </c>
      <c r="I327">
        <v>7</v>
      </c>
      <c r="J327" t="s">
        <v>24</v>
      </c>
      <c r="K327">
        <f t="shared" si="5"/>
        <v>256000</v>
      </c>
      <c r="L327">
        <f>Sales_Data2[[#This Row],[Unit Price]]*Sales_Data2[[#This Row],[Quantity]]</f>
        <v>2240000</v>
      </c>
      <c r="M327">
        <f>Sales_Data2[[#This Row],[Cost Price]]*Sales_Data2[[#This Row],[Quantity]]</f>
        <v>1792000</v>
      </c>
      <c r="N327" s="3">
        <f>Sales_Data2[[#This Row],[Revenue]]-Sales_Data2[[#This Row],[COGS]]</f>
        <v>448000</v>
      </c>
      <c r="O3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46001|East|Abuja|Retail|Online|Sofa Classic|Furniture|320000|7|David|256000</v>
      </c>
      <c r="P327" s="3" t="str">
        <f>IF(COUNTIF(Sales_Data2[RowKey],Sales_Data2[[#This Row],[RowKey]])&gt;1,"Duplicate","Unique")</f>
        <v>Unique</v>
      </c>
      <c r="Q327" s="3" t="str">
        <f>IF(ISNUMBER(Sales_Data2[[#This Row],[Date]]),"OK","Check")</f>
        <v>OK</v>
      </c>
      <c r="R327" s="3" t="str">
        <f>IF(ISNUMBER(Sales_Data2[[#This Row],[Quantity]]),"OK","Check")</f>
        <v>OK</v>
      </c>
    </row>
    <row r="328" spans="1:18">
      <c r="A328" s="1">
        <v>46002</v>
      </c>
      <c r="B328" t="s">
        <v>25</v>
      </c>
      <c r="C328" t="s">
        <v>19</v>
      </c>
      <c r="D328" t="s">
        <v>13</v>
      </c>
      <c r="E328" t="s">
        <v>14</v>
      </c>
      <c r="F328" t="s">
        <v>36</v>
      </c>
      <c r="G328" t="s">
        <v>31</v>
      </c>
      <c r="H328">
        <v>150000</v>
      </c>
      <c r="I328">
        <v>8</v>
      </c>
      <c r="J328" t="s">
        <v>37</v>
      </c>
      <c r="K328">
        <f t="shared" si="5"/>
        <v>120000</v>
      </c>
      <c r="L328">
        <f>Sales_Data2[[#This Row],[Unit Price]]*Sales_Data2[[#This Row],[Quantity]]</f>
        <v>1200000</v>
      </c>
      <c r="M328">
        <f>Sales_Data2[[#This Row],[Cost Price]]*Sales_Data2[[#This Row],[Quantity]]</f>
        <v>960000</v>
      </c>
      <c r="N328" s="3">
        <f>Sales_Data2[[#This Row],[Revenue]]-Sales_Data2[[#This Row],[COGS]]</f>
        <v>240000</v>
      </c>
      <c r="O3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46002|South|Lagos|Retail|Online|Printer P50|Electronics|150000|8|Aisha|120000</v>
      </c>
      <c r="P328" s="3" t="str">
        <f>IF(COUNTIF(Sales_Data2[RowKey],Sales_Data2[[#This Row],[RowKey]])&gt;1,"Duplicate","Unique")</f>
        <v>Unique</v>
      </c>
      <c r="Q328" s="3" t="str">
        <f>IF(ISNUMBER(Sales_Data2[[#This Row],[Date]]),"OK","Check")</f>
        <v>OK</v>
      </c>
      <c r="R328" s="3" t="str">
        <f>IF(ISNUMBER(Sales_Data2[[#This Row],[Quantity]]),"OK","Check")</f>
        <v>OK</v>
      </c>
    </row>
    <row r="329" spans="1:18">
      <c r="A329" s="1">
        <v>46003</v>
      </c>
      <c r="B329" t="s">
        <v>11</v>
      </c>
      <c r="C329" t="s">
        <v>19</v>
      </c>
      <c r="D329" t="s">
        <v>13</v>
      </c>
      <c r="E329" t="s">
        <v>20</v>
      </c>
      <c r="F329" t="s">
        <v>27</v>
      </c>
      <c r="G329" t="s">
        <v>22</v>
      </c>
      <c r="H329">
        <v>60000</v>
      </c>
      <c r="I329">
        <v>7</v>
      </c>
      <c r="J329" t="s">
        <v>28</v>
      </c>
      <c r="K329">
        <f t="shared" si="5"/>
        <v>48000</v>
      </c>
      <c r="L329">
        <f>Sales_Data2[[#This Row],[Unit Price]]*Sales_Data2[[#This Row],[Quantity]]</f>
        <v>420000</v>
      </c>
      <c r="M329">
        <f>Sales_Data2[[#This Row],[Cost Price]]*Sales_Data2[[#This Row],[Quantity]]</f>
        <v>336000</v>
      </c>
      <c r="N329" s="3">
        <f>Sales_Data2[[#This Row],[Revenue]]-Sales_Data2[[#This Row],[COGS]]</f>
        <v>84000</v>
      </c>
      <c r="O3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46003|West|Lagos|Retail|Store|Microwave M20|Home Appliances|60000|7|Musa|48000</v>
      </c>
      <c r="P329" s="3" t="str">
        <f>IF(COUNTIF(Sales_Data2[RowKey],Sales_Data2[[#This Row],[RowKey]])&gt;1,"Duplicate","Unique")</f>
        <v>Unique</v>
      </c>
      <c r="Q329" s="3" t="str">
        <f>IF(ISNUMBER(Sales_Data2[[#This Row],[Date]]),"OK","Check")</f>
        <v>OK</v>
      </c>
      <c r="R329" s="3" t="str">
        <f>IF(ISNUMBER(Sales_Data2[[#This Row],[Quantity]]),"OK","Check")</f>
        <v>OK</v>
      </c>
    </row>
    <row r="330" spans="1:18">
      <c r="A330" s="1">
        <v>46004</v>
      </c>
      <c r="B330" t="s">
        <v>25</v>
      </c>
      <c r="C330" t="s">
        <v>26</v>
      </c>
      <c r="D330" t="s">
        <v>13</v>
      </c>
      <c r="E330" t="s">
        <v>14</v>
      </c>
      <c r="F330" t="s">
        <v>33</v>
      </c>
      <c r="G330" t="s">
        <v>22</v>
      </c>
      <c r="H330">
        <v>180000</v>
      </c>
      <c r="I330">
        <v>4</v>
      </c>
      <c r="J330" t="s">
        <v>24</v>
      </c>
      <c r="K330">
        <f t="shared" si="5"/>
        <v>144000</v>
      </c>
      <c r="L330">
        <f>Sales_Data2[[#This Row],[Unit Price]]*Sales_Data2[[#This Row],[Quantity]]</f>
        <v>720000</v>
      </c>
      <c r="M330">
        <f>Sales_Data2[[#This Row],[Cost Price]]*Sales_Data2[[#This Row],[Quantity]]</f>
        <v>576000</v>
      </c>
      <c r="N330" s="3">
        <f>Sales_Data2[[#This Row],[Revenue]]-Sales_Data2[[#This Row],[COGS]]</f>
        <v>144000</v>
      </c>
      <c r="O3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46004|South|Kano|Retail|Online|Air Conditioner X2|Home Appliances|180000|4|David|144000</v>
      </c>
      <c r="P330" s="3" t="str">
        <f>IF(COUNTIF(Sales_Data2[RowKey],Sales_Data2[[#This Row],[RowKey]])&gt;1,"Duplicate","Unique")</f>
        <v>Unique</v>
      </c>
      <c r="Q330" s="3" t="str">
        <f>IF(ISNUMBER(Sales_Data2[[#This Row],[Date]]),"OK","Check")</f>
        <v>OK</v>
      </c>
      <c r="R330" s="3" t="str">
        <f>IF(ISNUMBER(Sales_Data2[[#This Row],[Quantity]]),"OK","Check")</f>
        <v>OK</v>
      </c>
    </row>
    <row r="331" spans="1:18">
      <c r="A331" s="1">
        <v>46005</v>
      </c>
      <c r="B331" t="s">
        <v>11</v>
      </c>
      <c r="C331" t="s">
        <v>26</v>
      </c>
      <c r="D331" t="s">
        <v>23</v>
      </c>
      <c r="E331" t="s">
        <v>20</v>
      </c>
      <c r="F331" t="s">
        <v>38</v>
      </c>
      <c r="G331" t="s">
        <v>31</v>
      </c>
      <c r="H331">
        <v>420000</v>
      </c>
      <c r="I331">
        <v>8</v>
      </c>
      <c r="J331" t="s">
        <v>37</v>
      </c>
      <c r="K331">
        <f t="shared" si="5"/>
        <v>336000</v>
      </c>
      <c r="L331">
        <f>Sales_Data2[[#This Row],[Unit Price]]*Sales_Data2[[#This Row],[Quantity]]</f>
        <v>3360000</v>
      </c>
      <c r="M331">
        <f>Sales_Data2[[#This Row],[Cost Price]]*Sales_Data2[[#This Row],[Quantity]]</f>
        <v>2688000</v>
      </c>
      <c r="N331" s="3">
        <f>Sales_Data2[[#This Row],[Revenue]]-Sales_Data2[[#This Row],[COGS]]</f>
        <v>672000</v>
      </c>
      <c r="O3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46005|West|Kano|Corporate|Store|Laptop A13|Electronics|420000|8|Aisha|336000</v>
      </c>
      <c r="P331" s="3" t="str">
        <f>IF(COUNTIF(Sales_Data2[RowKey],Sales_Data2[[#This Row],[RowKey]])&gt;1,"Duplicate","Unique")</f>
        <v>Unique</v>
      </c>
      <c r="Q331" s="3" t="str">
        <f>IF(ISNUMBER(Sales_Data2[[#This Row],[Date]]),"OK","Check")</f>
        <v>OK</v>
      </c>
      <c r="R331" s="3" t="str">
        <f>IF(ISNUMBER(Sales_Data2[[#This Row],[Quantity]]),"OK","Check")</f>
        <v>OK</v>
      </c>
    </row>
    <row r="332" spans="1:18">
      <c r="A332" s="1">
        <v>46006</v>
      </c>
      <c r="B332" t="s">
        <v>11</v>
      </c>
      <c r="C332" t="s">
        <v>26</v>
      </c>
      <c r="D332" t="s">
        <v>13</v>
      </c>
      <c r="E332" t="s">
        <v>20</v>
      </c>
      <c r="F332" t="s">
        <v>30</v>
      </c>
      <c r="G332" t="s">
        <v>31</v>
      </c>
      <c r="H332">
        <v>300000</v>
      </c>
      <c r="I332">
        <v>2</v>
      </c>
      <c r="J332" t="s">
        <v>39</v>
      </c>
      <c r="K332">
        <f t="shared" si="5"/>
        <v>240000</v>
      </c>
      <c r="L332">
        <f>Sales_Data2[[#This Row],[Unit Price]]*Sales_Data2[[#This Row],[Quantity]]</f>
        <v>600000</v>
      </c>
      <c r="M332">
        <f>Sales_Data2[[#This Row],[Cost Price]]*Sales_Data2[[#This Row],[Quantity]]</f>
        <v>480000</v>
      </c>
      <c r="N332" s="3">
        <f>Sales_Data2[[#This Row],[Revenue]]-Sales_Data2[[#This Row],[COGS]]</f>
        <v>120000</v>
      </c>
      <c r="O3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46006|West|Kano|Retail|Store|Desktop PC D21|Electronics|300000|2|Grace|240000</v>
      </c>
      <c r="P332" s="3" t="str">
        <f>IF(COUNTIF(Sales_Data2[RowKey],Sales_Data2[[#This Row],[RowKey]])&gt;1,"Duplicate","Unique")</f>
        <v>Unique</v>
      </c>
      <c r="Q332" s="3" t="str">
        <f>IF(ISNUMBER(Sales_Data2[[#This Row],[Date]]),"OK","Check")</f>
        <v>OK</v>
      </c>
      <c r="R332" s="3" t="str">
        <f>IF(ISNUMBER(Sales_Data2[[#This Row],[Quantity]]),"OK","Check")</f>
        <v>OK</v>
      </c>
    </row>
    <row r="333" spans="1:18">
      <c r="A333" s="1">
        <v>46007</v>
      </c>
      <c r="B333" t="s">
        <v>25</v>
      </c>
      <c r="C333" t="s">
        <v>19</v>
      </c>
      <c r="D333" t="s">
        <v>23</v>
      </c>
      <c r="E333" t="s">
        <v>14</v>
      </c>
      <c r="F333" t="s">
        <v>38</v>
      </c>
      <c r="G333" t="s">
        <v>31</v>
      </c>
      <c r="H333">
        <v>420000</v>
      </c>
      <c r="I333">
        <v>3</v>
      </c>
      <c r="J333" t="s">
        <v>37</v>
      </c>
      <c r="K333">
        <f t="shared" si="5"/>
        <v>336000</v>
      </c>
      <c r="L333">
        <f>Sales_Data2[[#This Row],[Unit Price]]*Sales_Data2[[#This Row],[Quantity]]</f>
        <v>1260000</v>
      </c>
      <c r="M333">
        <f>Sales_Data2[[#This Row],[Cost Price]]*Sales_Data2[[#This Row],[Quantity]]</f>
        <v>1008000</v>
      </c>
      <c r="N333" s="3">
        <f>Sales_Data2[[#This Row],[Revenue]]-Sales_Data2[[#This Row],[COGS]]</f>
        <v>252000</v>
      </c>
      <c r="O3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46007|South|Lagos|Corporate|Online|Laptop A13|Electronics|420000|3|Aisha|336000</v>
      </c>
      <c r="P333" s="3" t="str">
        <f>IF(COUNTIF(Sales_Data2[RowKey],Sales_Data2[[#This Row],[RowKey]])&gt;1,"Duplicate","Unique")</f>
        <v>Unique</v>
      </c>
      <c r="Q333" s="3" t="str">
        <f>IF(ISNUMBER(Sales_Data2[[#This Row],[Date]]),"OK","Check")</f>
        <v>OK</v>
      </c>
      <c r="R333" s="3" t="str">
        <f>IF(ISNUMBER(Sales_Data2[[#This Row],[Quantity]]),"OK","Check")</f>
        <v>OK</v>
      </c>
    </row>
    <row r="334" spans="1:18">
      <c r="A334" s="1">
        <v>46008</v>
      </c>
      <c r="B334" t="s">
        <v>29</v>
      </c>
      <c r="C334" t="s">
        <v>26</v>
      </c>
      <c r="D334" t="s">
        <v>13</v>
      </c>
      <c r="E334" t="s">
        <v>14</v>
      </c>
      <c r="F334" t="s">
        <v>15</v>
      </c>
      <c r="G334" t="s">
        <v>16</v>
      </c>
      <c r="H334">
        <v>85000</v>
      </c>
      <c r="I334">
        <v>3</v>
      </c>
      <c r="J334" t="s">
        <v>28</v>
      </c>
      <c r="K334">
        <f t="shared" si="5"/>
        <v>68000</v>
      </c>
      <c r="L334">
        <f>Sales_Data2[[#This Row],[Unit Price]]*Sales_Data2[[#This Row],[Quantity]]</f>
        <v>255000</v>
      </c>
      <c r="M334">
        <f>Sales_Data2[[#This Row],[Cost Price]]*Sales_Data2[[#This Row],[Quantity]]</f>
        <v>204000</v>
      </c>
      <c r="N334" s="3">
        <f>Sales_Data2[[#This Row],[Revenue]]-Sales_Data2[[#This Row],[COGS]]</f>
        <v>51000</v>
      </c>
      <c r="O3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46008|North|Kano|Retail|Online|Office Chair Pro|Furniture|85000|3|Musa|68000</v>
      </c>
      <c r="P334" s="3" t="str">
        <f>IF(COUNTIF(Sales_Data2[RowKey],Sales_Data2[[#This Row],[RowKey]])&gt;1,"Duplicate","Unique")</f>
        <v>Unique</v>
      </c>
      <c r="Q334" s="3" t="str">
        <f>IF(ISNUMBER(Sales_Data2[[#This Row],[Date]]),"OK","Check")</f>
        <v>OK</v>
      </c>
      <c r="R334" s="3" t="str">
        <f>IF(ISNUMBER(Sales_Data2[[#This Row],[Quantity]]),"OK","Check")</f>
        <v>OK</v>
      </c>
    </row>
    <row r="335" spans="1:18">
      <c r="A335" s="1">
        <v>46009</v>
      </c>
      <c r="B335" t="s">
        <v>11</v>
      </c>
      <c r="C335" t="s">
        <v>32</v>
      </c>
      <c r="D335" t="s">
        <v>23</v>
      </c>
      <c r="E335" t="s">
        <v>20</v>
      </c>
      <c r="F335" t="s">
        <v>27</v>
      </c>
      <c r="G335" t="s">
        <v>22</v>
      </c>
      <c r="H335">
        <v>60000</v>
      </c>
      <c r="I335">
        <v>8</v>
      </c>
      <c r="J335" t="s">
        <v>24</v>
      </c>
      <c r="K335">
        <f t="shared" si="5"/>
        <v>48000</v>
      </c>
      <c r="L335">
        <f>Sales_Data2[[#This Row],[Unit Price]]*Sales_Data2[[#This Row],[Quantity]]</f>
        <v>480000</v>
      </c>
      <c r="M335">
        <f>Sales_Data2[[#This Row],[Cost Price]]*Sales_Data2[[#This Row],[Quantity]]</f>
        <v>384000</v>
      </c>
      <c r="N335" s="3">
        <f>Sales_Data2[[#This Row],[Revenue]]-Sales_Data2[[#This Row],[COGS]]</f>
        <v>96000</v>
      </c>
      <c r="O3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46009|West|Abuja|Corporate|Store|Microwave M20|Home Appliances|60000|8|David|48000</v>
      </c>
      <c r="P335" s="3" t="str">
        <f>IF(COUNTIF(Sales_Data2[RowKey],Sales_Data2[[#This Row],[RowKey]])&gt;1,"Duplicate","Unique")</f>
        <v>Unique</v>
      </c>
      <c r="Q335" s="3" t="str">
        <f>IF(ISNUMBER(Sales_Data2[[#This Row],[Date]]),"OK","Check")</f>
        <v>OK</v>
      </c>
      <c r="R335" s="3" t="str">
        <f>IF(ISNUMBER(Sales_Data2[[#This Row],[Quantity]]),"OK","Check")</f>
        <v>OK</v>
      </c>
    </row>
    <row r="336" spans="1:18">
      <c r="A336" s="1">
        <v>46010</v>
      </c>
      <c r="B336" t="s">
        <v>11</v>
      </c>
      <c r="C336" t="s">
        <v>19</v>
      </c>
      <c r="D336" t="s">
        <v>23</v>
      </c>
      <c r="E336" t="s">
        <v>20</v>
      </c>
      <c r="F336" t="s">
        <v>33</v>
      </c>
      <c r="G336" t="s">
        <v>22</v>
      </c>
      <c r="H336">
        <v>180000</v>
      </c>
      <c r="I336">
        <v>10</v>
      </c>
      <c r="J336" t="s">
        <v>35</v>
      </c>
      <c r="K336">
        <f t="shared" si="5"/>
        <v>144000</v>
      </c>
      <c r="L336">
        <f>Sales_Data2[[#This Row],[Unit Price]]*Sales_Data2[[#This Row],[Quantity]]</f>
        <v>1800000</v>
      </c>
      <c r="M336">
        <f>Sales_Data2[[#This Row],[Cost Price]]*Sales_Data2[[#This Row],[Quantity]]</f>
        <v>1440000</v>
      </c>
      <c r="N336" s="3">
        <f>Sales_Data2[[#This Row],[Revenue]]-Sales_Data2[[#This Row],[COGS]]</f>
        <v>360000</v>
      </c>
      <c r="O3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46010|West|Lagos|Corporate|Store|Air Conditioner X2|Home Appliances|180000|10|Peter|144000</v>
      </c>
      <c r="P336" s="3" t="str">
        <f>IF(COUNTIF(Sales_Data2[RowKey],Sales_Data2[[#This Row],[RowKey]])&gt;1,"Duplicate","Unique")</f>
        <v>Unique</v>
      </c>
      <c r="Q336" s="3" t="str">
        <f>IF(ISNUMBER(Sales_Data2[[#This Row],[Date]]),"OK","Check")</f>
        <v>OK</v>
      </c>
      <c r="R336" s="3" t="str">
        <f>IF(ISNUMBER(Sales_Data2[[#This Row],[Quantity]]),"OK","Check")</f>
        <v>OK</v>
      </c>
    </row>
    <row r="337" spans="1:18">
      <c r="A337" s="1">
        <v>46011</v>
      </c>
      <c r="B337" t="s">
        <v>18</v>
      </c>
      <c r="C337" t="s">
        <v>32</v>
      </c>
      <c r="D337" t="s">
        <v>23</v>
      </c>
      <c r="E337" t="s">
        <v>14</v>
      </c>
      <c r="F337" t="s">
        <v>33</v>
      </c>
      <c r="G337" t="s">
        <v>22</v>
      </c>
      <c r="H337">
        <v>180000</v>
      </c>
      <c r="I337">
        <v>7</v>
      </c>
      <c r="J337" t="s">
        <v>17</v>
      </c>
      <c r="K337">
        <f t="shared" si="5"/>
        <v>144000</v>
      </c>
      <c r="L337">
        <f>Sales_Data2[[#This Row],[Unit Price]]*Sales_Data2[[#This Row],[Quantity]]</f>
        <v>1260000</v>
      </c>
      <c r="M337">
        <f>Sales_Data2[[#This Row],[Cost Price]]*Sales_Data2[[#This Row],[Quantity]]</f>
        <v>1008000</v>
      </c>
      <c r="N337" s="3">
        <f>Sales_Data2[[#This Row],[Revenue]]-Sales_Data2[[#This Row],[COGS]]</f>
        <v>252000</v>
      </c>
      <c r="O3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46011|East|Abuja|Corporate|Online|Air Conditioner X2|Home Appliances|180000|7|Chidinma|144000</v>
      </c>
      <c r="P337" s="3" t="str">
        <f>IF(COUNTIF(Sales_Data2[RowKey],Sales_Data2[[#This Row],[RowKey]])&gt;1,"Duplicate","Unique")</f>
        <v>Unique</v>
      </c>
      <c r="Q337" s="3" t="str">
        <f>IF(ISNUMBER(Sales_Data2[[#This Row],[Date]]),"OK","Check")</f>
        <v>OK</v>
      </c>
      <c r="R337" s="3" t="str">
        <f>IF(ISNUMBER(Sales_Data2[[#This Row],[Quantity]]),"OK","Check")</f>
        <v>OK</v>
      </c>
    </row>
    <row r="338" spans="1:18">
      <c r="A338" s="1">
        <v>46012</v>
      </c>
      <c r="B338" t="s">
        <v>18</v>
      </c>
      <c r="C338" t="s">
        <v>32</v>
      </c>
      <c r="D338" t="s">
        <v>13</v>
      </c>
      <c r="E338" t="s">
        <v>20</v>
      </c>
      <c r="F338" t="s">
        <v>21</v>
      </c>
      <c r="G338" t="s">
        <v>22</v>
      </c>
      <c r="H338">
        <v>30000</v>
      </c>
      <c r="I338">
        <v>3</v>
      </c>
      <c r="J338" t="s">
        <v>28</v>
      </c>
      <c r="K338">
        <f t="shared" si="5"/>
        <v>24000</v>
      </c>
      <c r="L338">
        <f>Sales_Data2[[#This Row],[Unit Price]]*Sales_Data2[[#This Row],[Quantity]]</f>
        <v>90000</v>
      </c>
      <c r="M338">
        <f>Sales_Data2[[#This Row],[Cost Price]]*Sales_Data2[[#This Row],[Quantity]]</f>
        <v>72000</v>
      </c>
      <c r="N338" s="3">
        <f>Sales_Data2[[#This Row],[Revenue]]-Sales_Data2[[#This Row],[COGS]]</f>
        <v>18000</v>
      </c>
      <c r="O3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46012|East|Abuja|Retail|Store|Blender B10|Home Appliances|30000|3|Musa|24000</v>
      </c>
      <c r="P338" s="3" t="str">
        <f>IF(COUNTIF(Sales_Data2[RowKey],Sales_Data2[[#This Row],[RowKey]])&gt;1,"Duplicate","Unique")</f>
        <v>Unique</v>
      </c>
      <c r="Q338" s="3" t="str">
        <f>IF(ISNUMBER(Sales_Data2[[#This Row],[Date]]),"OK","Check")</f>
        <v>OK</v>
      </c>
      <c r="R338" s="3" t="str">
        <f>IF(ISNUMBER(Sales_Data2[[#This Row],[Quantity]]),"OK","Check")</f>
        <v>OK</v>
      </c>
    </row>
    <row r="339" spans="1:18">
      <c r="A339" s="1">
        <v>46013</v>
      </c>
      <c r="B339" t="s">
        <v>29</v>
      </c>
      <c r="C339" t="s">
        <v>12</v>
      </c>
      <c r="D339" t="s">
        <v>23</v>
      </c>
      <c r="E339" t="s">
        <v>20</v>
      </c>
      <c r="F339" t="s">
        <v>21</v>
      </c>
      <c r="G339" t="s">
        <v>22</v>
      </c>
      <c r="H339">
        <v>30000</v>
      </c>
      <c r="I339">
        <v>6</v>
      </c>
      <c r="J339" t="s">
        <v>24</v>
      </c>
      <c r="K339">
        <f t="shared" si="5"/>
        <v>24000</v>
      </c>
      <c r="L339">
        <f>Sales_Data2[[#This Row],[Unit Price]]*Sales_Data2[[#This Row],[Quantity]]</f>
        <v>180000</v>
      </c>
      <c r="M339">
        <f>Sales_Data2[[#This Row],[Cost Price]]*Sales_Data2[[#This Row],[Quantity]]</f>
        <v>144000</v>
      </c>
      <c r="N339" s="3">
        <f>Sales_Data2[[#This Row],[Revenue]]-Sales_Data2[[#This Row],[COGS]]</f>
        <v>36000</v>
      </c>
      <c r="O3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46013|North|Port Harcourt|Corporate|Store|Blender B10|Home Appliances|30000|6|David|24000</v>
      </c>
      <c r="P339" s="3" t="str">
        <f>IF(COUNTIF(Sales_Data2[RowKey],Sales_Data2[[#This Row],[RowKey]])&gt;1,"Duplicate","Unique")</f>
        <v>Unique</v>
      </c>
      <c r="Q339" s="3" t="str">
        <f>IF(ISNUMBER(Sales_Data2[[#This Row],[Date]]),"OK","Check")</f>
        <v>OK</v>
      </c>
      <c r="R339" s="3" t="str">
        <f>IF(ISNUMBER(Sales_Data2[[#This Row],[Quantity]]),"OK","Check")</f>
        <v>OK</v>
      </c>
    </row>
    <row r="340" spans="1:18">
      <c r="A340" s="1">
        <v>46014</v>
      </c>
      <c r="B340" t="s">
        <v>29</v>
      </c>
      <c r="C340" t="s">
        <v>19</v>
      </c>
      <c r="D340" t="s">
        <v>23</v>
      </c>
      <c r="E340" t="s">
        <v>14</v>
      </c>
      <c r="F340" t="s">
        <v>38</v>
      </c>
      <c r="G340" t="s">
        <v>31</v>
      </c>
      <c r="H340">
        <v>420000</v>
      </c>
      <c r="I340">
        <v>4</v>
      </c>
      <c r="J340" t="s">
        <v>37</v>
      </c>
      <c r="K340">
        <f t="shared" si="5"/>
        <v>336000</v>
      </c>
      <c r="L340">
        <f>Sales_Data2[[#This Row],[Unit Price]]*Sales_Data2[[#This Row],[Quantity]]</f>
        <v>1680000</v>
      </c>
      <c r="M340">
        <f>Sales_Data2[[#This Row],[Cost Price]]*Sales_Data2[[#This Row],[Quantity]]</f>
        <v>1344000</v>
      </c>
      <c r="N340" s="3">
        <f>Sales_Data2[[#This Row],[Revenue]]-Sales_Data2[[#This Row],[COGS]]</f>
        <v>336000</v>
      </c>
      <c r="O3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46014|North|Lagos|Corporate|Online|Laptop A13|Electronics|420000|4|Aisha|336000</v>
      </c>
      <c r="P340" s="3" t="str">
        <f>IF(COUNTIF(Sales_Data2[RowKey],Sales_Data2[[#This Row],[RowKey]])&gt;1,"Duplicate","Unique")</f>
        <v>Unique</v>
      </c>
      <c r="Q340" s="3" t="str">
        <f>IF(ISNUMBER(Sales_Data2[[#This Row],[Date]]),"OK","Check")</f>
        <v>OK</v>
      </c>
      <c r="R340" s="3" t="str">
        <f>IF(ISNUMBER(Sales_Data2[[#This Row],[Quantity]]),"OK","Check")</f>
        <v>OK</v>
      </c>
    </row>
    <row r="341" spans="1:18">
      <c r="A341" s="1">
        <v>46015</v>
      </c>
      <c r="B341" t="s">
        <v>18</v>
      </c>
      <c r="C341" t="s">
        <v>26</v>
      </c>
      <c r="D341" t="s">
        <v>13</v>
      </c>
      <c r="E341" t="s">
        <v>14</v>
      </c>
      <c r="F341" t="s">
        <v>41</v>
      </c>
      <c r="G341" t="s">
        <v>22</v>
      </c>
      <c r="H341">
        <v>220000</v>
      </c>
      <c r="I341">
        <v>8</v>
      </c>
      <c r="J341" t="s">
        <v>39</v>
      </c>
      <c r="K341">
        <f t="shared" si="5"/>
        <v>176000</v>
      </c>
      <c r="L341">
        <f>Sales_Data2[[#This Row],[Unit Price]]*Sales_Data2[[#This Row],[Quantity]]</f>
        <v>1760000</v>
      </c>
      <c r="M341">
        <f>Sales_Data2[[#This Row],[Cost Price]]*Sales_Data2[[#This Row],[Quantity]]</f>
        <v>1408000</v>
      </c>
      <c r="N341" s="3">
        <f>Sales_Data2[[#This Row],[Revenue]]-Sales_Data2[[#This Row],[COGS]]</f>
        <v>352000</v>
      </c>
      <c r="O3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46015|East|Kano|Retail|Online|Refrigerator R55|Home Appliances|220000|8|Grace|176000</v>
      </c>
      <c r="P341" s="3" t="str">
        <f>IF(COUNTIF(Sales_Data2[RowKey],Sales_Data2[[#This Row],[RowKey]])&gt;1,"Duplicate","Unique")</f>
        <v>Unique</v>
      </c>
      <c r="Q341" s="3" t="str">
        <f>IF(ISNUMBER(Sales_Data2[[#This Row],[Date]]),"OK","Check")</f>
        <v>OK</v>
      </c>
      <c r="R341" s="3" t="str">
        <f>IF(ISNUMBER(Sales_Data2[[#This Row],[Quantity]]),"OK","Check")</f>
        <v>OK</v>
      </c>
    </row>
    <row r="342" spans="1:18">
      <c r="A342" s="1">
        <v>46016</v>
      </c>
      <c r="B342" t="s">
        <v>29</v>
      </c>
      <c r="C342" t="s">
        <v>19</v>
      </c>
      <c r="D342" t="s">
        <v>23</v>
      </c>
      <c r="E342" t="s">
        <v>20</v>
      </c>
      <c r="F342" t="s">
        <v>15</v>
      </c>
      <c r="G342" t="s">
        <v>16</v>
      </c>
      <c r="H342">
        <v>85000</v>
      </c>
      <c r="I342">
        <v>5</v>
      </c>
      <c r="J342" t="s">
        <v>17</v>
      </c>
      <c r="K342">
        <f t="shared" si="5"/>
        <v>68000</v>
      </c>
      <c r="L342">
        <f>Sales_Data2[[#This Row],[Unit Price]]*Sales_Data2[[#This Row],[Quantity]]</f>
        <v>425000</v>
      </c>
      <c r="M342">
        <f>Sales_Data2[[#This Row],[Cost Price]]*Sales_Data2[[#This Row],[Quantity]]</f>
        <v>340000</v>
      </c>
      <c r="N342" s="3">
        <f>Sales_Data2[[#This Row],[Revenue]]-Sales_Data2[[#This Row],[COGS]]</f>
        <v>85000</v>
      </c>
      <c r="O3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46016|North|Lagos|Corporate|Store|Office Chair Pro|Furniture|85000|5|Chidinma|68000</v>
      </c>
      <c r="P342" s="3" t="str">
        <f>IF(COUNTIF(Sales_Data2[RowKey],Sales_Data2[[#This Row],[RowKey]])&gt;1,"Duplicate","Unique")</f>
        <v>Unique</v>
      </c>
      <c r="Q342" s="3" t="str">
        <f>IF(ISNUMBER(Sales_Data2[[#This Row],[Date]]),"OK","Check")</f>
        <v>OK</v>
      </c>
      <c r="R342" s="3" t="str">
        <f>IF(ISNUMBER(Sales_Data2[[#This Row],[Quantity]]),"OK","Check")</f>
        <v>OK</v>
      </c>
    </row>
    <row r="343" spans="1:18">
      <c r="A343" s="1">
        <v>46017</v>
      </c>
      <c r="B343" t="s">
        <v>11</v>
      </c>
      <c r="C343" t="s">
        <v>19</v>
      </c>
      <c r="D343" t="s">
        <v>13</v>
      </c>
      <c r="E343" t="s">
        <v>14</v>
      </c>
      <c r="F343" t="s">
        <v>34</v>
      </c>
      <c r="G343" t="s">
        <v>16</v>
      </c>
      <c r="H343">
        <v>320000</v>
      </c>
      <c r="I343">
        <v>7</v>
      </c>
      <c r="J343" t="s">
        <v>28</v>
      </c>
      <c r="K343">
        <f t="shared" si="5"/>
        <v>256000</v>
      </c>
      <c r="L343">
        <f>Sales_Data2[[#This Row],[Unit Price]]*Sales_Data2[[#This Row],[Quantity]]</f>
        <v>2240000</v>
      </c>
      <c r="M343">
        <f>Sales_Data2[[#This Row],[Cost Price]]*Sales_Data2[[#This Row],[Quantity]]</f>
        <v>1792000</v>
      </c>
      <c r="N343" s="3">
        <f>Sales_Data2[[#This Row],[Revenue]]-Sales_Data2[[#This Row],[COGS]]</f>
        <v>448000</v>
      </c>
      <c r="O3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46017|West|Lagos|Retail|Online|Sofa Classic|Furniture|320000|7|Musa|256000</v>
      </c>
      <c r="P343" s="3" t="str">
        <f>IF(COUNTIF(Sales_Data2[RowKey],Sales_Data2[[#This Row],[RowKey]])&gt;1,"Duplicate","Unique")</f>
        <v>Unique</v>
      </c>
      <c r="Q343" s="3" t="str">
        <f>IF(ISNUMBER(Sales_Data2[[#This Row],[Date]]),"OK","Check")</f>
        <v>OK</v>
      </c>
      <c r="R343" s="3" t="str">
        <f>IF(ISNUMBER(Sales_Data2[[#This Row],[Quantity]]),"OK","Check")</f>
        <v>OK</v>
      </c>
    </row>
    <row r="344" spans="1:18">
      <c r="A344" s="1">
        <v>46018</v>
      </c>
      <c r="B344" t="s">
        <v>25</v>
      </c>
      <c r="C344" t="s">
        <v>19</v>
      </c>
      <c r="D344" t="s">
        <v>23</v>
      </c>
      <c r="E344" t="s">
        <v>20</v>
      </c>
      <c r="F344" t="s">
        <v>33</v>
      </c>
      <c r="G344" t="s">
        <v>22</v>
      </c>
      <c r="H344">
        <v>180000</v>
      </c>
      <c r="I344">
        <v>6</v>
      </c>
      <c r="J344" t="s">
        <v>17</v>
      </c>
      <c r="K344">
        <f t="shared" si="5"/>
        <v>144000</v>
      </c>
      <c r="L344">
        <f>Sales_Data2[[#This Row],[Unit Price]]*Sales_Data2[[#This Row],[Quantity]]</f>
        <v>1080000</v>
      </c>
      <c r="M344">
        <f>Sales_Data2[[#This Row],[Cost Price]]*Sales_Data2[[#This Row],[Quantity]]</f>
        <v>864000</v>
      </c>
      <c r="N344" s="3">
        <f>Sales_Data2[[#This Row],[Revenue]]-Sales_Data2[[#This Row],[COGS]]</f>
        <v>216000</v>
      </c>
      <c r="O3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46018|South|Lagos|Corporate|Store|Air Conditioner X2|Home Appliances|180000|6|Chidinma|144000</v>
      </c>
      <c r="P344" s="3" t="str">
        <f>IF(COUNTIF(Sales_Data2[RowKey],Sales_Data2[[#This Row],[RowKey]])&gt;1,"Duplicate","Unique")</f>
        <v>Unique</v>
      </c>
      <c r="Q344" s="3" t="str">
        <f>IF(ISNUMBER(Sales_Data2[[#This Row],[Date]]),"OK","Check")</f>
        <v>OK</v>
      </c>
      <c r="R344" s="3" t="str">
        <f>IF(ISNUMBER(Sales_Data2[[#This Row],[Quantity]]),"OK","Check")</f>
        <v>OK</v>
      </c>
    </row>
    <row r="345" spans="1:18">
      <c r="A345" s="1">
        <v>46019</v>
      </c>
      <c r="B345" t="s">
        <v>18</v>
      </c>
      <c r="C345" t="s">
        <v>32</v>
      </c>
      <c r="D345" t="s">
        <v>23</v>
      </c>
      <c r="E345" t="s">
        <v>14</v>
      </c>
      <c r="F345" t="s">
        <v>27</v>
      </c>
      <c r="G345" t="s">
        <v>22</v>
      </c>
      <c r="H345">
        <v>60000</v>
      </c>
      <c r="I345">
        <v>2</v>
      </c>
      <c r="J345" t="s">
        <v>37</v>
      </c>
      <c r="K345">
        <f t="shared" si="5"/>
        <v>48000</v>
      </c>
      <c r="L345">
        <f>Sales_Data2[[#This Row],[Unit Price]]*Sales_Data2[[#This Row],[Quantity]]</f>
        <v>120000</v>
      </c>
      <c r="M345">
        <f>Sales_Data2[[#This Row],[Cost Price]]*Sales_Data2[[#This Row],[Quantity]]</f>
        <v>96000</v>
      </c>
      <c r="N345" s="3">
        <f>Sales_Data2[[#This Row],[Revenue]]-Sales_Data2[[#This Row],[COGS]]</f>
        <v>24000</v>
      </c>
      <c r="O3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46019|East|Abuja|Corporate|Online|Microwave M20|Home Appliances|60000|2|Aisha|48000</v>
      </c>
      <c r="P345" s="3" t="str">
        <f>IF(COUNTIF(Sales_Data2[RowKey],Sales_Data2[[#This Row],[RowKey]])&gt;1,"Duplicate","Unique")</f>
        <v>Unique</v>
      </c>
      <c r="Q345" s="3" t="str">
        <f>IF(ISNUMBER(Sales_Data2[[#This Row],[Date]]),"OK","Check")</f>
        <v>OK</v>
      </c>
      <c r="R345" s="3" t="str">
        <f>IF(ISNUMBER(Sales_Data2[[#This Row],[Quantity]]),"OK","Check")</f>
        <v>OK</v>
      </c>
    </row>
    <row r="346" spans="1:18">
      <c r="A346" s="1">
        <v>46020</v>
      </c>
      <c r="B346" t="s">
        <v>11</v>
      </c>
      <c r="C346" t="s">
        <v>32</v>
      </c>
      <c r="D346" t="s">
        <v>23</v>
      </c>
      <c r="E346" t="s">
        <v>20</v>
      </c>
      <c r="F346" t="s">
        <v>33</v>
      </c>
      <c r="G346" t="s">
        <v>22</v>
      </c>
      <c r="H346">
        <v>180000</v>
      </c>
      <c r="I346">
        <v>5</v>
      </c>
      <c r="J346" t="s">
        <v>24</v>
      </c>
      <c r="K346">
        <f t="shared" si="5"/>
        <v>144000</v>
      </c>
      <c r="L346">
        <f>Sales_Data2[[#This Row],[Unit Price]]*Sales_Data2[[#This Row],[Quantity]]</f>
        <v>900000</v>
      </c>
      <c r="M346">
        <f>Sales_Data2[[#This Row],[Cost Price]]*Sales_Data2[[#This Row],[Quantity]]</f>
        <v>720000</v>
      </c>
      <c r="N346" s="3">
        <f>Sales_Data2[[#This Row],[Revenue]]-Sales_Data2[[#This Row],[COGS]]</f>
        <v>180000</v>
      </c>
      <c r="O3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46020|West|Abuja|Corporate|Store|Air Conditioner X2|Home Appliances|180000|5|David|144000</v>
      </c>
      <c r="P346" s="3" t="str">
        <f>IF(COUNTIF(Sales_Data2[RowKey],Sales_Data2[[#This Row],[RowKey]])&gt;1,"Duplicate","Unique")</f>
        <v>Unique</v>
      </c>
      <c r="Q346" s="3" t="str">
        <f>IF(ISNUMBER(Sales_Data2[[#This Row],[Date]]),"OK","Check")</f>
        <v>OK</v>
      </c>
      <c r="R346" s="3" t="str">
        <f>IF(ISNUMBER(Sales_Data2[[#This Row],[Quantity]]),"OK","Check")</f>
        <v>OK</v>
      </c>
    </row>
    <row r="347" spans="1:18">
      <c r="A347" s="1">
        <v>46021</v>
      </c>
      <c r="B347" t="s">
        <v>18</v>
      </c>
      <c r="C347" t="s">
        <v>32</v>
      </c>
      <c r="D347" t="s">
        <v>23</v>
      </c>
      <c r="E347" t="s">
        <v>20</v>
      </c>
      <c r="F347" t="s">
        <v>36</v>
      </c>
      <c r="G347" t="s">
        <v>31</v>
      </c>
      <c r="H347">
        <v>150000</v>
      </c>
      <c r="I347">
        <v>6</v>
      </c>
      <c r="J347" t="s">
        <v>37</v>
      </c>
      <c r="K347">
        <f t="shared" si="5"/>
        <v>120000</v>
      </c>
      <c r="L347">
        <f>Sales_Data2[[#This Row],[Unit Price]]*Sales_Data2[[#This Row],[Quantity]]</f>
        <v>900000</v>
      </c>
      <c r="M347">
        <f>Sales_Data2[[#This Row],[Cost Price]]*Sales_Data2[[#This Row],[Quantity]]</f>
        <v>720000</v>
      </c>
      <c r="N347" s="3">
        <f>Sales_Data2[[#This Row],[Revenue]]-Sales_Data2[[#This Row],[COGS]]</f>
        <v>180000</v>
      </c>
      <c r="O3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46021|East|Abuja|Corporate|Store|Printer P50|Electronics|150000|6|Aisha|120000</v>
      </c>
      <c r="P347" s="3" t="str">
        <f>IF(COUNTIF(Sales_Data2[RowKey],Sales_Data2[[#This Row],[RowKey]])&gt;1,"Duplicate","Unique")</f>
        <v>Unique</v>
      </c>
      <c r="Q347" s="3" t="str">
        <f>IF(ISNUMBER(Sales_Data2[[#This Row],[Date]]),"OK","Check")</f>
        <v>OK</v>
      </c>
      <c r="R347" s="3" t="str">
        <f>IF(ISNUMBER(Sales_Data2[[#This Row],[Quantity]]),"OK","Check")</f>
        <v>OK</v>
      </c>
    </row>
    <row r="348" spans="1:18">
      <c r="A348" s="1">
        <v>46022</v>
      </c>
      <c r="B348" t="s">
        <v>18</v>
      </c>
      <c r="C348" t="s">
        <v>12</v>
      </c>
      <c r="D348" t="s">
        <v>23</v>
      </c>
      <c r="E348" t="s">
        <v>20</v>
      </c>
      <c r="F348" t="s">
        <v>21</v>
      </c>
      <c r="G348" t="s">
        <v>22</v>
      </c>
      <c r="H348">
        <v>30000</v>
      </c>
      <c r="I348">
        <v>2</v>
      </c>
      <c r="J348" t="s">
        <v>37</v>
      </c>
      <c r="K348">
        <f t="shared" si="5"/>
        <v>24000</v>
      </c>
      <c r="L348">
        <f>Sales_Data2[[#This Row],[Unit Price]]*Sales_Data2[[#This Row],[Quantity]]</f>
        <v>60000</v>
      </c>
      <c r="M348">
        <f>Sales_Data2[[#This Row],[Cost Price]]*Sales_Data2[[#This Row],[Quantity]]</f>
        <v>48000</v>
      </c>
      <c r="N348" s="3">
        <f>Sales_Data2[[#This Row],[Revenue]]-Sales_Data2[[#This Row],[COGS]]</f>
        <v>12000</v>
      </c>
      <c r="O3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46022|East|Port Harcourt|Corporate|Store|Blender B10|Home Appliances|30000|2|Aisha|24000</v>
      </c>
      <c r="P348" s="3" t="str">
        <f>IF(COUNTIF(Sales_Data2[RowKey],Sales_Data2[[#This Row],[RowKey]])&gt;1,"Duplicate","Unique")</f>
        <v>Unique</v>
      </c>
      <c r="Q348" s="3" t="str">
        <f>IF(ISNUMBER(Sales_Data2[[#This Row],[Date]]),"OK","Check")</f>
        <v>OK</v>
      </c>
      <c r="R348" s="3" t="str">
        <f>IF(ISNUMBER(Sales_Data2[[#This Row],[Quantity]]),"OK","Check")</f>
        <v>OK</v>
      </c>
    </row>
    <row r="349" spans="1:18">
      <c r="A349" s="1">
        <v>46023</v>
      </c>
      <c r="B349" t="s">
        <v>29</v>
      </c>
      <c r="C349" t="s">
        <v>12</v>
      </c>
      <c r="D349" t="s">
        <v>13</v>
      </c>
      <c r="E349" t="s">
        <v>14</v>
      </c>
      <c r="F349" t="s">
        <v>40</v>
      </c>
      <c r="G349" t="s">
        <v>31</v>
      </c>
      <c r="H349">
        <v>250000</v>
      </c>
      <c r="I349">
        <v>9</v>
      </c>
      <c r="J349" t="s">
        <v>37</v>
      </c>
      <c r="K349">
        <f t="shared" si="5"/>
        <v>200000</v>
      </c>
      <c r="L349">
        <f>Sales_Data2[[#This Row],[Unit Price]]*Sales_Data2[[#This Row],[Quantity]]</f>
        <v>2250000</v>
      </c>
      <c r="M349">
        <f>Sales_Data2[[#This Row],[Cost Price]]*Sales_Data2[[#This Row],[Quantity]]</f>
        <v>1800000</v>
      </c>
      <c r="N349" s="3">
        <f>Sales_Data2[[#This Row],[Revenue]]-Sales_Data2[[#This Row],[COGS]]</f>
        <v>450000</v>
      </c>
      <c r="O3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46023|North|Port Harcourt|Retail|Online|Smartphone Z10|Electronics|250000|9|Aisha|200000</v>
      </c>
      <c r="P349" s="3" t="str">
        <f>IF(COUNTIF(Sales_Data2[RowKey],Sales_Data2[[#This Row],[RowKey]])&gt;1,"Duplicate","Unique")</f>
        <v>Unique</v>
      </c>
      <c r="Q349" s="3" t="str">
        <f>IF(ISNUMBER(Sales_Data2[[#This Row],[Date]]),"OK","Check")</f>
        <v>OK</v>
      </c>
      <c r="R349" s="3" t="str">
        <f>IF(ISNUMBER(Sales_Data2[[#This Row],[Quantity]]),"OK","Check")</f>
        <v>OK</v>
      </c>
    </row>
    <row r="350" spans="1:18">
      <c r="A350" s="1">
        <v>46024</v>
      </c>
      <c r="B350" t="s">
        <v>11</v>
      </c>
      <c r="C350" t="s">
        <v>26</v>
      </c>
      <c r="D350" t="s">
        <v>13</v>
      </c>
      <c r="E350" t="s">
        <v>20</v>
      </c>
      <c r="F350" t="s">
        <v>27</v>
      </c>
      <c r="G350" t="s">
        <v>22</v>
      </c>
      <c r="H350">
        <v>60000</v>
      </c>
      <c r="I350">
        <v>4</v>
      </c>
      <c r="J350" t="s">
        <v>24</v>
      </c>
      <c r="K350">
        <f t="shared" si="5"/>
        <v>48000</v>
      </c>
      <c r="L350">
        <f>Sales_Data2[[#This Row],[Unit Price]]*Sales_Data2[[#This Row],[Quantity]]</f>
        <v>240000</v>
      </c>
      <c r="M350">
        <f>Sales_Data2[[#This Row],[Cost Price]]*Sales_Data2[[#This Row],[Quantity]]</f>
        <v>192000</v>
      </c>
      <c r="N350" s="3">
        <f>Sales_Data2[[#This Row],[Revenue]]-Sales_Data2[[#This Row],[COGS]]</f>
        <v>48000</v>
      </c>
      <c r="O3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46024|West|Kano|Retail|Store|Microwave M20|Home Appliances|60000|4|David|48000</v>
      </c>
      <c r="P350" s="3" t="str">
        <f>IF(COUNTIF(Sales_Data2[RowKey],Sales_Data2[[#This Row],[RowKey]])&gt;1,"Duplicate","Unique")</f>
        <v>Unique</v>
      </c>
      <c r="Q350" s="3" t="str">
        <f>IF(ISNUMBER(Sales_Data2[[#This Row],[Date]]),"OK","Check")</f>
        <v>OK</v>
      </c>
      <c r="R350" s="3" t="str">
        <f>IF(ISNUMBER(Sales_Data2[[#This Row],[Quantity]]),"OK","Check")</f>
        <v>OK</v>
      </c>
    </row>
    <row r="351" spans="1:18">
      <c r="A351" s="1">
        <v>46025</v>
      </c>
      <c r="B351" t="s">
        <v>18</v>
      </c>
      <c r="C351" t="s">
        <v>12</v>
      </c>
      <c r="D351" t="s">
        <v>13</v>
      </c>
      <c r="E351" t="s">
        <v>14</v>
      </c>
      <c r="F351" t="s">
        <v>36</v>
      </c>
      <c r="G351" t="s">
        <v>31</v>
      </c>
      <c r="H351">
        <v>150000</v>
      </c>
      <c r="I351">
        <v>9</v>
      </c>
      <c r="J351" t="s">
        <v>37</v>
      </c>
      <c r="K351">
        <f t="shared" si="5"/>
        <v>120000</v>
      </c>
      <c r="L351">
        <f>Sales_Data2[[#This Row],[Unit Price]]*Sales_Data2[[#This Row],[Quantity]]</f>
        <v>1350000</v>
      </c>
      <c r="M351">
        <f>Sales_Data2[[#This Row],[Cost Price]]*Sales_Data2[[#This Row],[Quantity]]</f>
        <v>1080000</v>
      </c>
      <c r="N351" s="3">
        <f>Sales_Data2[[#This Row],[Revenue]]-Sales_Data2[[#This Row],[COGS]]</f>
        <v>270000</v>
      </c>
      <c r="O3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46025|East|Port Harcourt|Retail|Online|Printer P50|Electronics|150000|9|Aisha|120000</v>
      </c>
      <c r="P351" s="3" t="str">
        <f>IF(COUNTIF(Sales_Data2[RowKey],Sales_Data2[[#This Row],[RowKey]])&gt;1,"Duplicate","Unique")</f>
        <v>Unique</v>
      </c>
      <c r="Q351" s="3" t="str">
        <f>IF(ISNUMBER(Sales_Data2[[#This Row],[Date]]),"OK","Check")</f>
        <v>OK</v>
      </c>
      <c r="R351" s="3" t="str">
        <f>IF(ISNUMBER(Sales_Data2[[#This Row],[Quantity]]),"OK","Check")</f>
        <v>OK</v>
      </c>
    </row>
    <row r="352" spans="1:18">
      <c r="A352" s="1">
        <v>46026</v>
      </c>
      <c r="B352" t="s">
        <v>29</v>
      </c>
      <c r="C352" t="s">
        <v>19</v>
      </c>
      <c r="D352" t="s">
        <v>23</v>
      </c>
      <c r="E352" t="s">
        <v>20</v>
      </c>
      <c r="F352" t="s">
        <v>33</v>
      </c>
      <c r="G352" t="s">
        <v>22</v>
      </c>
      <c r="H352">
        <v>180000</v>
      </c>
      <c r="I352">
        <v>3</v>
      </c>
      <c r="J352" t="s">
        <v>17</v>
      </c>
      <c r="K352">
        <f t="shared" si="5"/>
        <v>144000</v>
      </c>
      <c r="L352">
        <f>Sales_Data2[[#This Row],[Unit Price]]*Sales_Data2[[#This Row],[Quantity]]</f>
        <v>540000</v>
      </c>
      <c r="M352">
        <f>Sales_Data2[[#This Row],[Cost Price]]*Sales_Data2[[#This Row],[Quantity]]</f>
        <v>432000</v>
      </c>
      <c r="N352" s="3">
        <f>Sales_Data2[[#This Row],[Revenue]]-Sales_Data2[[#This Row],[COGS]]</f>
        <v>108000</v>
      </c>
      <c r="O3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46026|North|Lagos|Corporate|Store|Air Conditioner X2|Home Appliances|180000|3|Chidinma|144000</v>
      </c>
      <c r="P352" s="3" t="str">
        <f>IF(COUNTIF(Sales_Data2[RowKey],Sales_Data2[[#This Row],[RowKey]])&gt;1,"Duplicate","Unique")</f>
        <v>Unique</v>
      </c>
      <c r="Q352" s="3" t="str">
        <f>IF(ISNUMBER(Sales_Data2[[#This Row],[Date]]),"OK","Check")</f>
        <v>OK</v>
      </c>
      <c r="R352" s="3" t="str">
        <f>IF(ISNUMBER(Sales_Data2[[#This Row],[Quantity]]),"OK","Check")</f>
        <v>OK</v>
      </c>
    </row>
    <row r="353" spans="1:18">
      <c r="A353" s="1">
        <v>46027</v>
      </c>
      <c r="B353" t="s">
        <v>11</v>
      </c>
      <c r="C353" t="s">
        <v>12</v>
      </c>
      <c r="D353" t="s">
        <v>13</v>
      </c>
      <c r="E353" t="s">
        <v>14</v>
      </c>
      <c r="F353" t="s">
        <v>33</v>
      </c>
      <c r="G353" t="s">
        <v>22</v>
      </c>
      <c r="H353">
        <v>180000</v>
      </c>
      <c r="I353">
        <v>10</v>
      </c>
      <c r="J353" t="s">
        <v>17</v>
      </c>
      <c r="K353">
        <f t="shared" si="5"/>
        <v>144000</v>
      </c>
      <c r="L353">
        <f>Sales_Data2[[#This Row],[Unit Price]]*Sales_Data2[[#This Row],[Quantity]]</f>
        <v>1800000</v>
      </c>
      <c r="M353">
        <f>Sales_Data2[[#This Row],[Cost Price]]*Sales_Data2[[#This Row],[Quantity]]</f>
        <v>1440000</v>
      </c>
      <c r="N353" s="3">
        <f>Sales_Data2[[#This Row],[Revenue]]-Sales_Data2[[#This Row],[COGS]]</f>
        <v>360000</v>
      </c>
      <c r="O3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46027|West|Port Harcourt|Retail|Online|Air Conditioner X2|Home Appliances|180000|10|Chidinma|144000</v>
      </c>
      <c r="P353" s="3" t="str">
        <f>IF(COUNTIF(Sales_Data2[RowKey],Sales_Data2[[#This Row],[RowKey]])&gt;1,"Duplicate","Unique")</f>
        <v>Unique</v>
      </c>
      <c r="Q353" s="3" t="str">
        <f>IF(ISNUMBER(Sales_Data2[[#This Row],[Date]]),"OK","Check")</f>
        <v>OK</v>
      </c>
      <c r="R353" s="3" t="str">
        <f>IF(ISNUMBER(Sales_Data2[[#This Row],[Quantity]]),"OK","Check")</f>
        <v>OK</v>
      </c>
    </row>
    <row r="354" spans="1:18">
      <c r="A354" s="1">
        <v>46028</v>
      </c>
      <c r="B354" t="s">
        <v>18</v>
      </c>
      <c r="C354" t="s">
        <v>19</v>
      </c>
      <c r="D354" t="s">
        <v>13</v>
      </c>
      <c r="E354" t="s">
        <v>14</v>
      </c>
      <c r="F354" t="s">
        <v>41</v>
      </c>
      <c r="G354" t="s">
        <v>22</v>
      </c>
      <c r="H354">
        <v>220000</v>
      </c>
      <c r="I354">
        <v>2</v>
      </c>
      <c r="J354" t="s">
        <v>17</v>
      </c>
      <c r="K354">
        <f t="shared" si="5"/>
        <v>176000</v>
      </c>
      <c r="L354">
        <f>Sales_Data2[[#This Row],[Unit Price]]*Sales_Data2[[#This Row],[Quantity]]</f>
        <v>440000</v>
      </c>
      <c r="M354">
        <f>Sales_Data2[[#This Row],[Cost Price]]*Sales_Data2[[#This Row],[Quantity]]</f>
        <v>352000</v>
      </c>
      <c r="N354" s="3">
        <f>Sales_Data2[[#This Row],[Revenue]]-Sales_Data2[[#This Row],[COGS]]</f>
        <v>88000</v>
      </c>
      <c r="O3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46028|East|Lagos|Retail|Online|Refrigerator R55|Home Appliances|220000|2|Chidinma|176000</v>
      </c>
      <c r="P354" s="3" t="str">
        <f>IF(COUNTIF(Sales_Data2[RowKey],Sales_Data2[[#This Row],[RowKey]])&gt;1,"Duplicate","Unique")</f>
        <v>Unique</v>
      </c>
      <c r="Q354" s="3" t="str">
        <f>IF(ISNUMBER(Sales_Data2[[#This Row],[Date]]),"OK","Check")</f>
        <v>OK</v>
      </c>
      <c r="R354" s="3" t="str">
        <f>IF(ISNUMBER(Sales_Data2[[#This Row],[Quantity]]),"OK","Check")</f>
        <v>OK</v>
      </c>
    </row>
    <row r="355" spans="1:18">
      <c r="A355" s="1">
        <v>46029</v>
      </c>
      <c r="B355" t="s">
        <v>29</v>
      </c>
      <c r="C355" t="s">
        <v>12</v>
      </c>
      <c r="D355" t="s">
        <v>23</v>
      </c>
      <c r="E355" t="s">
        <v>14</v>
      </c>
      <c r="F355" t="s">
        <v>38</v>
      </c>
      <c r="G355" t="s">
        <v>31</v>
      </c>
      <c r="H355">
        <v>420000</v>
      </c>
      <c r="I355">
        <v>10</v>
      </c>
      <c r="J355" t="s">
        <v>28</v>
      </c>
      <c r="K355">
        <f t="shared" si="5"/>
        <v>336000</v>
      </c>
      <c r="L355">
        <f>Sales_Data2[[#This Row],[Unit Price]]*Sales_Data2[[#This Row],[Quantity]]</f>
        <v>4200000</v>
      </c>
      <c r="M355">
        <f>Sales_Data2[[#This Row],[Cost Price]]*Sales_Data2[[#This Row],[Quantity]]</f>
        <v>3360000</v>
      </c>
      <c r="N355" s="3">
        <f>Sales_Data2[[#This Row],[Revenue]]-Sales_Data2[[#This Row],[COGS]]</f>
        <v>840000</v>
      </c>
      <c r="O3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46029|North|Port Harcourt|Corporate|Online|Laptop A13|Electronics|420000|10|Musa|336000</v>
      </c>
      <c r="P355" s="3" t="str">
        <f>IF(COUNTIF(Sales_Data2[RowKey],Sales_Data2[[#This Row],[RowKey]])&gt;1,"Duplicate","Unique")</f>
        <v>Unique</v>
      </c>
      <c r="Q355" s="3" t="str">
        <f>IF(ISNUMBER(Sales_Data2[[#This Row],[Date]]),"OK","Check")</f>
        <v>OK</v>
      </c>
      <c r="R355" s="3" t="str">
        <f>IF(ISNUMBER(Sales_Data2[[#This Row],[Quantity]]),"OK","Check")</f>
        <v>OK</v>
      </c>
    </row>
    <row r="356" spans="1:18">
      <c r="A356" s="1">
        <v>46030</v>
      </c>
      <c r="B356" t="s">
        <v>11</v>
      </c>
      <c r="C356" t="s">
        <v>12</v>
      </c>
      <c r="D356" t="s">
        <v>13</v>
      </c>
      <c r="E356" t="s">
        <v>20</v>
      </c>
      <c r="F356" t="s">
        <v>21</v>
      </c>
      <c r="G356" t="s">
        <v>22</v>
      </c>
      <c r="H356">
        <v>30000</v>
      </c>
      <c r="I356">
        <v>9</v>
      </c>
      <c r="J356" t="s">
        <v>39</v>
      </c>
      <c r="K356">
        <f t="shared" si="5"/>
        <v>24000</v>
      </c>
      <c r="L356">
        <f>Sales_Data2[[#This Row],[Unit Price]]*Sales_Data2[[#This Row],[Quantity]]</f>
        <v>270000</v>
      </c>
      <c r="M356">
        <f>Sales_Data2[[#This Row],[Cost Price]]*Sales_Data2[[#This Row],[Quantity]]</f>
        <v>216000</v>
      </c>
      <c r="N356" s="3">
        <f>Sales_Data2[[#This Row],[Revenue]]-Sales_Data2[[#This Row],[COGS]]</f>
        <v>54000</v>
      </c>
      <c r="O3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46030|West|Port Harcourt|Retail|Store|Blender B10|Home Appliances|30000|9|Grace|24000</v>
      </c>
      <c r="P356" s="3" t="str">
        <f>IF(COUNTIF(Sales_Data2[RowKey],Sales_Data2[[#This Row],[RowKey]])&gt;1,"Duplicate","Unique")</f>
        <v>Unique</v>
      </c>
      <c r="Q356" s="3" t="str">
        <f>IF(ISNUMBER(Sales_Data2[[#This Row],[Date]]),"OK","Check")</f>
        <v>OK</v>
      </c>
      <c r="R356" s="3" t="str">
        <f>IF(ISNUMBER(Sales_Data2[[#This Row],[Quantity]]),"OK","Check")</f>
        <v>OK</v>
      </c>
    </row>
    <row r="357" spans="1:18">
      <c r="A357" s="1">
        <v>46031</v>
      </c>
      <c r="B357" t="s">
        <v>11</v>
      </c>
      <c r="C357" t="s">
        <v>32</v>
      </c>
      <c r="D357" t="s">
        <v>23</v>
      </c>
      <c r="E357" t="s">
        <v>14</v>
      </c>
      <c r="F357" t="s">
        <v>34</v>
      </c>
      <c r="G357" t="s">
        <v>16</v>
      </c>
      <c r="H357">
        <v>320000</v>
      </c>
      <c r="I357">
        <v>6</v>
      </c>
      <c r="J357" t="s">
        <v>35</v>
      </c>
      <c r="K357">
        <f t="shared" si="5"/>
        <v>256000</v>
      </c>
      <c r="L357">
        <f>Sales_Data2[[#This Row],[Unit Price]]*Sales_Data2[[#This Row],[Quantity]]</f>
        <v>1920000</v>
      </c>
      <c r="M357">
        <f>Sales_Data2[[#This Row],[Cost Price]]*Sales_Data2[[#This Row],[Quantity]]</f>
        <v>1536000</v>
      </c>
      <c r="N357" s="3">
        <f>Sales_Data2[[#This Row],[Revenue]]-Sales_Data2[[#This Row],[COGS]]</f>
        <v>384000</v>
      </c>
      <c r="O3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46031|West|Abuja|Corporate|Online|Sofa Classic|Furniture|320000|6|Peter|256000</v>
      </c>
      <c r="P357" s="3" t="str">
        <f>IF(COUNTIF(Sales_Data2[RowKey],Sales_Data2[[#This Row],[RowKey]])&gt;1,"Duplicate","Unique")</f>
        <v>Unique</v>
      </c>
      <c r="Q357" s="3" t="str">
        <f>IF(ISNUMBER(Sales_Data2[[#This Row],[Date]]),"OK","Check")</f>
        <v>OK</v>
      </c>
      <c r="R357" s="3" t="str">
        <f>IF(ISNUMBER(Sales_Data2[[#This Row],[Quantity]]),"OK","Check")</f>
        <v>OK</v>
      </c>
    </row>
    <row r="358" spans="1:18">
      <c r="A358" s="1">
        <v>46032</v>
      </c>
      <c r="B358" t="s">
        <v>11</v>
      </c>
      <c r="C358" t="s">
        <v>32</v>
      </c>
      <c r="D358" t="s">
        <v>13</v>
      </c>
      <c r="E358" t="s">
        <v>20</v>
      </c>
      <c r="F358" t="s">
        <v>38</v>
      </c>
      <c r="G358" t="s">
        <v>31</v>
      </c>
      <c r="H358">
        <v>420000</v>
      </c>
      <c r="I358">
        <v>2</v>
      </c>
      <c r="J358" t="s">
        <v>39</v>
      </c>
      <c r="K358">
        <f t="shared" si="5"/>
        <v>336000</v>
      </c>
      <c r="L358">
        <f>Sales_Data2[[#This Row],[Unit Price]]*Sales_Data2[[#This Row],[Quantity]]</f>
        <v>840000</v>
      </c>
      <c r="M358">
        <f>Sales_Data2[[#This Row],[Cost Price]]*Sales_Data2[[#This Row],[Quantity]]</f>
        <v>672000</v>
      </c>
      <c r="N358" s="3">
        <f>Sales_Data2[[#This Row],[Revenue]]-Sales_Data2[[#This Row],[COGS]]</f>
        <v>168000</v>
      </c>
      <c r="O3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46032|West|Abuja|Retail|Store|Laptop A13|Electronics|420000|2|Grace|336000</v>
      </c>
      <c r="P358" s="3" t="str">
        <f>IF(COUNTIF(Sales_Data2[RowKey],Sales_Data2[[#This Row],[RowKey]])&gt;1,"Duplicate","Unique")</f>
        <v>Unique</v>
      </c>
      <c r="Q358" s="3" t="str">
        <f>IF(ISNUMBER(Sales_Data2[[#This Row],[Date]]),"OK","Check")</f>
        <v>OK</v>
      </c>
      <c r="R358" s="3" t="str">
        <f>IF(ISNUMBER(Sales_Data2[[#This Row],[Quantity]]),"OK","Check")</f>
        <v>OK</v>
      </c>
    </row>
    <row r="359" spans="1:18">
      <c r="A359" s="1">
        <v>46033</v>
      </c>
      <c r="B359" t="s">
        <v>25</v>
      </c>
      <c r="C359" t="s">
        <v>26</v>
      </c>
      <c r="D359" t="s">
        <v>23</v>
      </c>
      <c r="E359" t="s">
        <v>14</v>
      </c>
      <c r="F359" t="s">
        <v>34</v>
      </c>
      <c r="G359" t="s">
        <v>16</v>
      </c>
      <c r="H359">
        <v>320000</v>
      </c>
      <c r="I359">
        <v>10</v>
      </c>
      <c r="J359" t="s">
        <v>35</v>
      </c>
      <c r="K359">
        <f t="shared" si="5"/>
        <v>256000</v>
      </c>
      <c r="L359">
        <f>Sales_Data2[[#This Row],[Unit Price]]*Sales_Data2[[#This Row],[Quantity]]</f>
        <v>3200000</v>
      </c>
      <c r="M359">
        <f>Sales_Data2[[#This Row],[Cost Price]]*Sales_Data2[[#This Row],[Quantity]]</f>
        <v>2560000</v>
      </c>
      <c r="N359" s="3">
        <f>Sales_Data2[[#This Row],[Revenue]]-Sales_Data2[[#This Row],[COGS]]</f>
        <v>640000</v>
      </c>
      <c r="O3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46033|South|Kano|Corporate|Online|Sofa Classic|Furniture|320000|10|Peter|256000</v>
      </c>
      <c r="P359" s="3" t="str">
        <f>IF(COUNTIF(Sales_Data2[RowKey],Sales_Data2[[#This Row],[RowKey]])&gt;1,"Duplicate","Unique")</f>
        <v>Unique</v>
      </c>
      <c r="Q359" s="3" t="str">
        <f>IF(ISNUMBER(Sales_Data2[[#This Row],[Date]]),"OK","Check")</f>
        <v>OK</v>
      </c>
      <c r="R359" s="3" t="str">
        <f>IF(ISNUMBER(Sales_Data2[[#This Row],[Quantity]]),"OK","Check")</f>
        <v>OK</v>
      </c>
    </row>
    <row r="360" spans="1:18">
      <c r="A360" s="1">
        <v>46034</v>
      </c>
      <c r="B360" t="s">
        <v>18</v>
      </c>
      <c r="C360" t="s">
        <v>26</v>
      </c>
      <c r="D360" t="s">
        <v>23</v>
      </c>
      <c r="E360" t="s">
        <v>20</v>
      </c>
      <c r="F360" t="s">
        <v>30</v>
      </c>
      <c r="G360" t="s">
        <v>31</v>
      </c>
      <c r="H360">
        <v>300000</v>
      </c>
      <c r="I360">
        <v>8</v>
      </c>
      <c r="J360" t="s">
        <v>39</v>
      </c>
      <c r="K360">
        <f t="shared" si="5"/>
        <v>240000</v>
      </c>
      <c r="L360">
        <f>Sales_Data2[[#This Row],[Unit Price]]*Sales_Data2[[#This Row],[Quantity]]</f>
        <v>2400000</v>
      </c>
      <c r="M360">
        <f>Sales_Data2[[#This Row],[Cost Price]]*Sales_Data2[[#This Row],[Quantity]]</f>
        <v>1920000</v>
      </c>
      <c r="N360" s="3">
        <f>Sales_Data2[[#This Row],[Revenue]]-Sales_Data2[[#This Row],[COGS]]</f>
        <v>480000</v>
      </c>
      <c r="O3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46034|East|Kano|Corporate|Store|Desktop PC D21|Electronics|300000|8|Grace|240000</v>
      </c>
      <c r="P360" s="3" t="str">
        <f>IF(COUNTIF(Sales_Data2[RowKey],Sales_Data2[[#This Row],[RowKey]])&gt;1,"Duplicate","Unique")</f>
        <v>Unique</v>
      </c>
      <c r="Q360" s="3" t="str">
        <f>IF(ISNUMBER(Sales_Data2[[#This Row],[Date]]),"OK","Check")</f>
        <v>OK</v>
      </c>
      <c r="R360" s="3" t="str">
        <f>IF(ISNUMBER(Sales_Data2[[#This Row],[Quantity]]),"OK","Check")</f>
        <v>OK</v>
      </c>
    </row>
    <row r="361" spans="1:18">
      <c r="A361" s="1">
        <v>46035</v>
      </c>
      <c r="B361" t="s">
        <v>18</v>
      </c>
      <c r="C361" t="s">
        <v>12</v>
      </c>
      <c r="D361" t="s">
        <v>23</v>
      </c>
      <c r="E361" t="s">
        <v>14</v>
      </c>
      <c r="F361" t="s">
        <v>27</v>
      </c>
      <c r="G361" t="s">
        <v>22</v>
      </c>
      <c r="H361">
        <v>60000</v>
      </c>
      <c r="I361">
        <v>1</v>
      </c>
      <c r="J361" t="s">
        <v>24</v>
      </c>
      <c r="K361">
        <f t="shared" si="5"/>
        <v>48000</v>
      </c>
      <c r="L361">
        <f>Sales_Data2[[#This Row],[Unit Price]]*Sales_Data2[[#This Row],[Quantity]]</f>
        <v>60000</v>
      </c>
      <c r="M361">
        <f>Sales_Data2[[#This Row],[Cost Price]]*Sales_Data2[[#This Row],[Quantity]]</f>
        <v>48000</v>
      </c>
      <c r="N361" s="3">
        <f>Sales_Data2[[#This Row],[Revenue]]-Sales_Data2[[#This Row],[COGS]]</f>
        <v>12000</v>
      </c>
      <c r="O3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46035|East|Port Harcourt|Corporate|Online|Microwave M20|Home Appliances|60000|1|David|48000</v>
      </c>
      <c r="P361" s="3" t="str">
        <f>IF(COUNTIF(Sales_Data2[RowKey],Sales_Data2[[#This Row],[RowKey]])&gt;1,"Duplicate","Unique")</f>
        <v>Unique</v>
      </c>
      <c r="Q361" s="3" t="str">
        <f>IF(ISNUMBER(Sales_Data2[[#This Row],[Date]]),"OK","Check")</f>
        <v>OK</v>
      </c>
      <c r="R361" s="3" t="str">
        <f>IF(ISNUMBER(Sales_Data2[[#This Row],[Quantity]]),"OK","Check")</f>
        <v>OK</v>
      </c>
    </row>
    <row r="362" spans="1:18">
      <c r="A362" s="1">
        <v>46036</v>
      </c>
      <c r="B362" t="s">
        <v>25</v>
      </c>
      <c r="C362" t="s">
        <v>19</v>
      </c>
      <c r="D362" t="s">
        <v>23</v>
      </c>
      <c r="E362" t="s">
        <v>14</v>
      </c>
      <c r="F362" t="s">
        <v>15</v>
      </c>
      <c r="G362" t="s">
        <v>16</v>
      </c>
      <c r="H362">
        <v>85000</v>
      </c>
      <c r="I362">
        <v>3</v>
      </c>
      <c r="J362" t="s">
        <v>24</v>
      </c>
      <c r="K362">
        <f t="shared" si="5"/>
        <v>68000</v>
      </c>
      <c r="L362">
        <f>Sales_Data2[[#This Row],[Unit Price]]*Sales_Data2[[#This Row],[Quantity]]</f>
        <v>255000</v>
      </c>
      <c r="M362">
        <f>Sales_Data2[[#This Row],[Cost Price]]*Sales_Data2[[#This Row],[Quantity]]</f>
        <v>204000</v>
      </c>
      <c r="N362" s="3">
        <f>Sales_Data2[[#This Row],[Revenue]]-Sales_Data2[[#This Row],[COGS]]</f>
        <v>51000</v>
      </c>
      <c r="O3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46036|South|Lagos|Corporate|Online|Office Chair Pro|Furniture|85000|3|David|68000</v>
      </c>
      <c r="P362" s="3" t="str">
        <f>IF(COUNTIF(Sales_Data2[RowKey],Sales_Data2[[#This Row],[RowKey]])&gt;1,"Duplicate","Unique")</f>
        <v>Unique</v>
      </c>
      <c r="Q362" s="3" t="str">
        <f>IF(ISNUMBER(Sales_Data2[[#This Row],[Date]]),"OK","Check")</f>
        <v>OK</v>
      </c>
      <c r="R362" s="3" t="str">
        <f>IF(ISNUMBER(Sales_Data2[[#This Row],[Quantity]]),"OK","Check")</f>
        <v>OK</v>
      </c>
    </row>
    <row r="363" spans="1:18">
      <c r="A363" s="1">
        <v>46037</v>
      </c>
      <c r="B363" t="s">
        <v>18</v>
      </c>
      <c r="C363" t="s">
        <v>26</v>
      </c>
      <c r="D363" t="s">
        <v>23</v>
      </c>
      <c r="E363" t="s">
        <v>20</v>
      </c>
      <c r="F363" t="s">
        <v>21</v>
      </c>
      <c r="G363" t="s">
        <v>22</v>
      </c>
      <c r="H363">
        <v>30000</v>
      </c>
      <c r="I363">
        <v>10</v>
      </c>
      <c r="J363" t="s">
        <v>17</v>
      </c>
      <c r="K363">
        <f t="shared" si="5"/>
        <v>24000</v>
      </c>
      <c r="L363">
        <f>Sales_Data2[[#This Row],[Unit Price]]*Sales_Data2[[#This Row],[Quantity]]</f>
        <v>300000</v>
      </c>
      <c r="M363">
        <f>Sales_Data2[[#This Row],[Cost Price]]*Sales_Data2[[#This Row],[Quantity]]</f>
        <v>240000</v>
      </c>
      <c r="N363" s="3">
        <f>Sales_Data2[[#This Row],[Revenue]]-Sales_Data2[[#This Row],[COGS]]</f>
        <v>60000</v>
      </c>
      <c r="O3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46037|East|Kano|Corporate|Store|Blender B10|Home Appliances|30000|10|Chidinma|24000</v>
      </c>
      <c r="P363" s="3" t="str">
        <f>IF(COUNTIF(Sales_Data2[RowKey],Sales_Data2[[#This Row],[RowKey]])&gt;1,"Duplicate","Unique")</f>
        <v>Unique</v>
      </c>
      <c r="Q363" s="3" t="str">
        <f>IF(ISNUMBER(Sales_Data2[[#This Row],[Date]]),"OK","Check")</f>
        <v>OK</v>
      </c>
      <c r="R363" s="3" t="str">
        <f>IF(ISNUMBER(Sales_Data2[[#This Row],[Quantity]]),"OK","Check")</f>
        <v>OK</v>
      </c>
    </row>
    <row r="364" spans="1:18">
      <c r="A364" s="1">
        <v>46038</v>
      </c>
      <c r="B364" t="s">
        <v>18</v>
      </c>
      <c r="C364" t="s">
        <v>26</v>
      </c>
      <c r="D364" t="s">
        <v>23</v>
      </c>
      <c r="E364" t="s">
        <v>14</v>
      </c>
      <c r="F364" t="s">
        <v>21</v>
      </c>
      <c r="G364" t="s">
        <v>22</v>
      </c>
      <c r="H364">
        <v>30000</v>
      </c>
      <c r="I364">
        <v>4</v>
      </c>
      <c r="J364" t="s">
        <v>35</v>
      </c>
      <c r="K364">
        <f t="shared" si="5"/>
        <v>24000</v>
      </c>
      <c r="L364">
        <f>Sales_Data2[[#This Row],[Unit Price]]*Sales_Data2[[#This Row],[Quantity]]</f>
        <v>120000</v>
      </c>
      <c r="M364">
        <f>Sales_Data2[[#This Row],[Cost Price]]*Sales_Data2[[#This Row],[Quantity]]</f>
        <v>96000</v>
      </c>
      <c r="N364" s="3">
        <f>Sales_Data2[[#This Row],[Revenue]]-Sales_Data2[[#This Row],[COGS]]</f>
        <v>24000</v>
      </c>
      <c r="O3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46038|East|Kano|Corporate|Online|Blender B10|Home Appliances|30000|4|Peter|24000</v>
      </c>
      <c r="P364" s="3" t="str">
        <f>IF(COUNTIF(Sales_Data2[RowKey],Sales_Data2[[#This Row],[RowKey]])&gt;1,"Duplicate","Unique")</f>
        <v>Unique</v>
      </c>
      <c r="Q364" s="3" t="str">
        <f>IF(ISNUMBER(Sales_Data2[[#This Row],[Date]]),"OK","Check")</f>
        <v>OK</v>
      </c>
      <c r="R364" s="3" t="str">
        <f>IF(ISNUMBER(Sales_Data2[[#This Row],[Quantity]]),"OK","Check")</f>
        <v>OK</v>
      </c>
    </row>
    <row r="365" spans="1:18">
      <c r="A365" s="1">
        <v>46039</v>
      </c>
      <c r="B365" t="s">
        <v>25</v>
      </c>
      <c r="C365" t="s">
        <v>32</v>
      </c>
      <c r="D365" t="s">
        <v>23</v>
      </c>
      <c r="E365" t="s">
        <v>20</v>
      </c>
      <c r="F365" t="s">
        <v>36</v>
      </c>
      <c r="G365" t="s">
        <v>31</v>
      </c>
      <c r="H365">
        <v>150000</v>
      </c>
      <c r="I365">
        <v>3</v>
      </c>
      <c r="J365" t="s">
        <v>24</v>
      </c>
      <c r="K365">
        <f t="shared" si="5"/>
        <v>120000</v>
      </c>
      <c r="L365">
        <f>Sales_Data2[[#This Row],[Unit Price]]*Sales_Data2[[#This Row],[Quantity]]</f>
        <v>450000</v>
      </c>
      <c r="M365">
        <f>Sales_Data2[[#This Row],[Cost Price]]*Sales_Data2[[#This Row],[Quantity]]</f>
        <v>360000</v>
      </c>
      <c r="N365" s="3">
        <f>Sales_Data2[[#This Row],[Revenue]]-Sales_Data2[[#This Row],[COGS]]</f>
        <v>90000</v>
      </c>
      <c r="O3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46039|South|Abuja|Corporate|Store|Printer P50|Electronics|150000|3|David|120000</v>
      </c>
      <c r="P365" s="3" t="str">
        <f>IF(COUNTIF(Sales_Data2[RowKey],Sales_Data2[[#This Row],[RowKey]])&gt;1,"Duplicate","Unique")</f>
        <v>Unique</v>
      </c>
      <c r="Q365" s="3" t="str">
        <f>IF(ISNUMBER(Sales_Data2[[#This Row],[Date]]),"OK","Check")</f>
        <v>OK</v>
      </c>
      <c r="R365" s="3" t="str">
        <f>IF(ISNUMBER(Sales_Data2[[#This Row],[Quantity]]),"OK","Check")</f>
        <v>OK</v>
      </c>
    </row>
    <row r="366" spans="1:18">
      <c r="A366" s="1">
        <v>46040</v>
      </c>
      <c r="B366" t="s">
        <v>11</v>
      </c>
      <c r="C366" t="s">
        <v>12</v>
      </c>
      <c r="D366" t="s">
        <v>23</v>
      </c>
      <c r="E366" t="s">
        <v>14</v>
      </c>
      <c r="F366" t="s">
        <v>36</v>
      </c>
      <c r="G366" t="s">
        <v>31</v>
      </c>
      <c r="H366">
        <v>150000</v>
      </c>
      <c r="I366">
        <v>3</v>
      </c>
      <c r="J366" t="s">
        <v>17</v>
      </c>
      <c r="K366">
        <f t="shared" si="5"/>
        <v>120000</v>
      </c>
      <c r="L366">
        <f>Sales_Data2[[#This Row],[Unit Price]]*Sales_Data2[[#This Row],[Quantity]]</f>
        <v>450000</v>
      </c>
      <c r="M366">
        <f>Sales_Data2[[#This Row],[Cost Price]]*Sales_Data2[[#This Row],[Quantity]]</f>
        <v>360000</v>
      </c>
      <c r="N366" s="3">
        <f>Sales_Data2[[#This Row],[Revenue]]-Sales_Data2[[#This Row],[COGS]]</f>
        <v>90000</v>
      </c>
      <c r="O3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46040|West|Port Harcourt|Corporate|Online|Printer P50|Electronics|150000|3|Chidinma|120000</v>
      </c>
      <c r="P366" s="3" t="str">
        <f>IF(COUNTIF(Sales_Data2[RowKey],Sales_Data2[[#This Row],[RowKey]])&gt;1,"Duplicate","Unique")</f>
        <v>Unique</v>
      </c>
      <c r="Q366" s="3" t="str">
        <f>IF(ISNUMBER(Sales_Data2[[#This Row],[Date]]),"OK","Check")</f>
        <v>OK</v>
      </c>
      <c r="R366" s="3" t="str">
        <f>IF(ISNUMBER(Sales_Data2[[#This Row],[Quantity]]),"OK","Check")</f>
        <v>OK</v>
      </c>
    </row>
    <row r="367" spans="1:18">
      <c r="A367" s="1">
        <v>46041</v>
      </c>
      <c r="B367" t="s">
        <v>18</v>
      </c>
      <c r="C367" t="s">
        <v>26</v>
      </c>
      <c r="D367" t="s">
        <v>23</v>
      </c>
      <c r="E367" t="s">
        <v>20</v>
      </c>
      <c r="F367" t="s">
        <v>15</v>
      </c>
      <c r="G367" t="s">
        <v>16</v>
      </c>
      <c r="H367">
        <v>85000</v>
      </c>
      <c r="I367">
        <v>8</v>
      </c>
      <c r="J367" t="s">
        <v>17</v>
      </c>
      <c r="K367">
        <f t="shared" si="5"/>
        <v>68000</v>
      </c>
      <c r="L367">
        <f>Sales_Data2[[#This Row],[Unit Price]]*Sales_Data2[[#This Row],[Quantity]]</f>
        <v>680000</v>
      </c>
      <c r="M367">
        <f>Sales_Data2[[#This Row],[Cost Price]]*Sales_Data2[[#This Row],[Quantity]]</f>
        <v>544000</v>
      </c>
      <c r="N367" s="3">
        <f>Sales_Data2[[#This Row],[Revenue]]-Sales_Data2[[#This Row],[COGS]]</f>
        <v>136000</v>
      </c>
      <c r="O3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46041|East|Kano|Corporate|Store|Office Chair Pro|Furniture|85000|8|Chidinma|68000</v>
      </c>
      <c r="P367" s="3" t="str">
        <f>IF(COUNTIF(Sales_Data2[RowKey],Sales_Data2[[#This Row],[RowKey]])&gt;1,"Duplicate","Unique")</f>
        <v>Unique</v>
      </c>
      <c r="Q367" s="3" t="str">
        <f>IF(ISNUMBER(Sales_Data2[[#This Row],[Date]]),"OK","Check")</f>
        <v>OK</v>
      </c>
      <c r="R367" s="3" t="str">
        <f>IF(ISNUMBER(Sales_Data2[[#This Row],[Quantity]]),"OK","Check")</f>
        <v>OK</v>
      </c>
    </row>
    <row r="368" spans="1:18">
      <c r="A368" s="1">
        <v>46042</v>
      </c>
      <c r="B368" t="s">
        <v>25</v>
      </c>
      <c r="C368" t="s">
        <v>26</v>
      </c>
      <c r="D368" t="s">
        <v>23</v>
      </c>
      <c r="E368" t="s">
        <v>14</v>
      </c>
      <c r="F368" t="s">
        <v>38</v>
      </c>
      <c r="G368" t="s">
        <v>31</v>
      </c>
      <c r="H368">
        <v>420000</v>
      </c>
      <c r="I368">
        <v>7</v>
      </c>
      <c r="J368" t="s">
        <v>17</v>
      </c>
      <c r="K368">
        <f t="shared" si="5"/>
        <v>336000</v>
      </c>
      <c r="L368">
        <f>Sales_Data2[[#This Row],[Unit Price]]*Sales_Data2[[#This Row],[Quantity]]</f>
        <v>2940000</v>
      </c>
      <c r="M368">
        <f>Sales_Data2[[#This Row],[Cost Price]]*Sales_Data2[[#This Row],[Quantity]]</f>
        <v>2352000</v>
      </c>
      <c r="N368" s="3">
        <f>Sales_Data2[[#This Row],[Revenue]]-Sales_Data2[[#This Row],[COGS]]</f>
        <v>588000</v>
      </c>
      <c r="O3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46042|South|Kano|Corporate|Online|Laptop A13|Electronics|420000|7|Chidinma|336000</v>
      </c>
      <c r="P368" s="3" t="str">
        <f>IF(COUNTIF(Sales_Data2[RowKey],Sales_Data2[[#This Row],[RowKey]])&gt;1,"Duplicate","Unique")</f>
        <v>Unique</v>
      </c>
      <c r="Q368" s="3" t="str">
        <f>IF(ISNUMBER(Sales_Data2[[#This Row],[Date]]),"OK","Check")</f>
        <v>OK</v>
      </c>
      <c r="R368" s="3" t="str">
        <f>IF(ISNUMBER(Sales_Data2[[#This Row],[Quantity]]),"OK","Check")</f>
        <v>OK</v>
      </c>
    </row>
    <row r="369" spans="1:18">
      <c r="A369" s="1">
        <v>46043</v>
      </c>
      <c r="B369" t="s">
        <v>18</v>
      </c>
      <c r="C369" t="s">
        <v>32</v>
      </c>
      <c r="D369" t="s">
        <v>23</v>
      </c>
      <c r="E369" t="s">
        <v>20</v>
      </c>
      <c r="F369" t="s">
        <v>36</v>
      </c>
      <c r="G369" t="s">
        <v>31</v>
      </c>
      <c r="H369">
        <v>150000</v>
      </c>
      <c r="I369">
        <v>3</v>
      </c>
      <c r="J369" t="s">
        <v>24</v>
      </c>
      <c r="K369">
        <f t="shared" si="5"/>
        <v>120000</v>
      </c>
      <c r="L369">
        <f>Sales_Data2[[#This Row],[Unit Price]]*Sales_Data2[[#This Row],[Quantity]]</f>
        <v>450000</v>
      </c>
      <c r="M369">
        <f>Sales_Data2[[#This Row],[Cost Price]]*Sales_Data2[[#This Row],[Quantity]]</f>
        <v>360000</v>
      </c>
      <c r="N369" s="3">
        <f>Sales_Data2[[#This Row],[Revenue]]-Sales_Data2[[#This Row],[COGS]]</f>
        <v>90000</v>
      </c>
      <c r="O3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46043|East|Abuja|Corporate|Store|Printer P50|Electronics|150000|3|David|120000</v>
      </c>
      <c r="P369" s="3" t="str">
        <f>IF(COUNTIF(Sales_Data2[RowKey],Sales_Data2[[#This Row],[RowKey]])&gt;1,"Duplicate","Unique")</f>
        <v>Unique</v>
      </c>
      <c r="Q369" s="3" t="str">
        <f>IF(ISNUMBER(Sales_Data2[[#This Row],[Date]]),"OK","Check")</f>
        <v>OK</v>
      </c>
      <c r="R369" s="3" t="str">
        <f>IF(ISNUMBER(Sales_Data2[[#This Row],[Quantity]]),"OK","Check")</f>
        <v>OK</v>
      </c>
    </row>
    <row r="370" spans="1:18">
      <c r="A370" s="1">
        <v>46044</v>
      </c>
      <c r="B370" t="s">
        <v>11</v>
      </c>
      <c r="C370" t="s">
        <v>32</v>
      </c>
      <c r="D370" t="s">
        <v>23</v>
      </c>
      <c r="E370" t="s">
        <v>20</v>
      </c>
      <c r="F370" t="s">
        <v>34</v>
      </c>
      <c r="G370" t="s">
        <v>16</v>
      </c>
      <c r="H370">
        <v>320000</v>
      </c>
      <c r="I370">
        <v>1</v>
      </c>
      <c r="J370" t="s">
        <v>28</v>
      </c>
      <c r="K370">
        <f t="shared" si="5"/>
        <v>256000</v>
      </c>
      <c r="L370">
        <f>Sales_Data2[[#This Row],[Unit Price]]*Sales_Data2[[#This Row],[Quantity]]</f>
        <v>320000</v>
      </c>
      <c r="M370">
        <f>Sales_Data2[[#This Row],[Cost Price]]*Sales_Data2[[#This Row],[Quantity]]</f>
        <v>256000</v>
      </c>
      <c r="N370" s="3">
        <f>Sales_Data2[[#This Row],[Revenue]]-Sales_Data2[[#This Row],[COGS]]</f>
        <v>64000</v>
      </c>
      <c r="O3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46044|West|Abuja|Corporate|Store|Sofa Classic|Furniture|320000|1|Musa|256000</v>
      </c>
      <c r="P370" s="3" t="str">
        <f>IF(COUNTIF(Sales_Data2[RowKey],Sales_Data2[[#This Row],[RowKey]])&gt;1,"Duplicate","Unique")</f>
        <v>Unique</v>
      </c>
      <c r="Q370" s="3" t="str">
        <f>IF(ISNUMBER(Sales_Data2[[#This Row],[Date]]),"OK","Check")</f>
        <v>OK</v>
      </c>
      <c r="R370" s="3" t="str">
        <f>IF(ISNUMBER(Sales_Data2[[#This Row],[Quantity]]),"OK","Check")</f>
        <v>OK</v>
      </c>
    </row>
    <row r="371" spans="1:18">
      <c r="A371" s="1">
        <v>46045</v>
      </c>
      <c r="B371" t="s">
        <v>18</v>
      </c>
      <c r="C371" t="s">
        <v>32</v>
      </c>
      <c r="D371" t="s">
        <v>23</v>
      </c>
      <c r="E371" t="s">
        <v>14</v>
      </c>
      <c r="F371" t="s">
        <v>33</v>
      </c>
      <c r="G371" t="s">
        <v>22</v>
      </c>
      <c r="H371">
        <v>180000</v>
      </c>
      <c r="I371">
        <v>5</v>
      </c>
      <c r="J371" t="s">
        <v>17</v>
      </c>
      <c r="K371">
        <f t="shared" si="5"/>
        <v>144000</v>
      </c>
      <c r="L371">
        <f>Sales_Data2[[#This Row],[Unit Price]]*Sales_Data2[[#This Row],[Quantity]]</f>
        <v>900000</v>
      </c>
      <c r="M371">
        <f>Sales_Data2[[#This Row],[Cost Price]]*Sales_Data2[[#This Row],[Quantity]]</f>
        <v>720000</v>
      </c>
      <c r="N371" s="3">
        <f>Sales_Data2[[#This Row],[Revenue]]-Sales_Data2[[#This Row],[COGS]]</f>
        <v>180000</v>
      </c>
      <c r="O3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46045|East|Abuja|Corporate|Online|Air Conditioner X2|Home Appliances|180000|5|Chidinma|144000</v>
      </c>
      <c r="P371" s="3" t="str">
        <f>IF(COUNTIF(Sales_Data2[RowKey],Sales_Data2[[#This Row],[RowKey]])&gt;1,"Duplicate","Unique")</f>
        <v>Unique</v>
      </c>
      <c r="Q371" s="3" t="str">
        <f>IF(ISNUMBER(Sales_Data2[[#This Row],[Date]]),"OK","Check")</f>
        <v>OK</v>
      </c>
      <c r="R371" s="3" t="str">
        <f>IF(ISNUMBER(Sales_Data2[[#This Row],[Quantity]]),"OK","Check")</f>
        <v>OK</v>
      </c>
    </row>
    <row r="372" spans="1:18">
      <c r="A372" s="1">
        <v>46046</v>
      </c>
      <c r="B372" t="s">
        <v>29</v>
      </c>
      <c r="C372" t="s">
        <v>26</v>
      </c>
      <c r="D372" t="s">
        <v>23</v>
      </c>
      <c r="E372" t="s">
        <v>20</v>
      </c>
      <c r="F372" t="s">
        <v>30</v>
      </c>
      <c r="G372" t="s">
        <v>31</v>
      </c>
      <c r="H372">
        <v>300000</v>
      </c>
      <c r="I372">
        <v>1</v>
      </c>
      <c r="J372" t="s">
        <v>28</v>
      </c>
      <c r="K372">
        <f t="shared" si="5"/>
        <v>240000</v>
      </c>
      <c r="L372">
        <f>Sales_Data2[[#This Row],[Unit Price]]*Sales_Data2[[#This Row],[Quantity]]</f>
        <v>300000</v>
      </c>
      <c r="M372">
        <f>Sales_Data2[[#This Row],[Cost Price]]*Sales_Data2[[#This Row],[Quantity]]</f>
        <v>240000</v>
      </c>
      <c r="N372" s="3">
        <f>Sales_Data2[[#This Row],[Revenue]]-Sales_Data2[[#This Row],[COGS]]</f>
        <v>60000</v>
      </c>
      <c r="O3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46046|North|Kano|Corporate|Store|Desktop PC D21|Electronics|300000|1|Musa|240000</v>
      </c>
      <c r="P372" s="3" t="str">
        <f>IF(COUNTIF(Sales_Data2[RowKey],Sales_Data2[[#This Row],[RowKey]])&gt;1,"Duplicate","Unique")</f>
        <v>Unique</v>
      </c>
      <c r="Q372" s="3" t="str">
        <f>IF(ISNUMBER(Sales_Data2[[#This Row],[Date]]),"OK","Check")</f>
        <v>OK</v>
      </c>
      <c r="R372" s="3" t="str">
        <f>IF(ISNUMBER(Sales_Data2[[#This Row],[Quantity]]),"OK","Check")</f>
        <v>OK</v>
      </c>
    </row>
    <row r="373" spans="1:18">
      <c r="A373" s="1">
        <v>46047</v>
      </c>
      <c r="B373" t="s">
        <v>18</v>
      </c>
      <c r="C373" t="s">
        <v>12</v>
      </c>
      <c r="D373" t="s">
        <v>23</v>
      </c>
      <c r="E373" t="s">
        <v>14</v>
      </c>
      <c r="F373" t="s">
        <v>33</v>
      </c>
      <c r="G373" t="s">
        <v>22</v>
      </c>
      <c r="H373">
        <v>180000</v>
      </c>
      <c r="I373">
        <v>8</v>
      </c>
      <c r="J373" t="s">
        <v>37</v>
      </c>
      <c r="K373">
        <f t="shared" si="5"/>
        <v>144000</v>
      </c>
      <c r="L373">
        <f>Sales_Data2[[#This Row],[Unit Price]]*Sales_Data2[[#This Row],[Quantity]]</f>
        <v>1440000</v>
      </c>
      <c r="M373">
        <f>Sales_Data2[[#This Row],[Cost Price]]*Sales_Data2[[#This Row],[Quantity]]</f>
        <v>1152000</v>
      </c>
      <c r="N373" s="3">
        <f>Sales_Data2[[#This Row],[Revenue]]-Sales_Data2[[#This Row],[COGS]]</f>
        <v>288000</v>
      </c>
      <c r="O3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46047|East|Port Harcourt|Corporate|Online|Air Conditioner X2|Home Appliances|180000|8|Aisha|144000</v>
      </c>
      <c r="P373" s="3" t="str">
        <f>IF(COUNTIF(Sales_Data2[RowKey],Sales_Data2[[#This Row],[RowKey]])&gt;1,"Duplicate","Unique")</f>
        <v>Unique</v>
      </c>
      <c r="Q373" s="3" t="str">
        <f>IF(ISNUMBER(Sales_Data2[[#This Row],[Date]]),"OK","Check")</f>
        <v>OK</v>
      </c>
      <c r="R373" s="3" t="str">
        <f>IF(ISNUMBER(Sales_Data2[[#This Row],[Quantity]]),"OK","Check")</f>
        <v>OK</v>
      </c>
    </row>
    <row r="374" spans="1:18">
      <c r="A374" s="1">
        <v>46048</v>
      </c>
      <c r="B374" t="s">
        <v>25</v>
      </c>
      <c r="C374" t="s">
        <v>26</v>
      </c>
      <c r="D374" t="s">
        <v>23</v>
      </c>
      <c r="E374" t="s">
        <v>14</v>
      </c>
      <c r="F374" t="s">
        <v>33</v>
      </c>
      <c r="G374" t="s">
        <v>22</v>
      </c>
      <c r="H374">
        <v>180000</v>
      </c>
      <c r="I374">
        <v>3</v>
      </c>
      <c r="J374" t="s">
        <v>35</v>
      </c>
      <c r="K374">
        <f t="shared" si="5"/>
        <v>144000</v>
      </c>
      <c r="L374">
        <f>Sales_Data2[[#This Row],[Unit Price]]*Sales_Data2[[#This Row],[Quantity]]</f>
        <v>540000</v>
      </c>
      <c r="M374">
        <f>Sales_Data2[[#This Row],[Cost Price]]*Sales_Data2[[#This Row],[Quantity]]</f>
        <v>432000</v>
      </c>
      <c r="N374" s="3">
        <f>Sales_Data2[[#This Row],[Revenue]]-Sales_Data2[[#This Row],[COGS]]</f>
        <v>108000</v>
      </c>
      <c r="O3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46048|South|Kano|Corporate|Online|Air Conditioner X2|Home Appliances|180000|3|Peter|144000</v>
      </c>
      <c r="P374" s="3" t="str">
        <f>IF(COUNTIF(Sales_Data2[RowKey],Sales_Data2[[#This Row],[RowKey]])&gt;1,"Duplicate","Unique")</f>
        <v>Unique</v>
      </c>
      <c r="Q374" s="3" t="str">
        <f>IF(ISNUMBER(Sales_Data2[[#This Row],[Date]]),"OK","Check")</f>
        <v>OK</v>
      </c>
      <c r="R374" s="3" t="str">
        <f>IF(ISNUMBER(Sales_Data2[[#This Row],[Quantity]]),"OK","Check")</f>
        <v>OK</v>
      </c>
    </row>
    <row r="375" spans="1:18">
      <c r="A375" s="1">
        <v>46049</v>
      </c>
      <c r="B375" t="s">
        <v>11</v>
      </c>
      <c r="C375" t="s">
        <v>32</v>
      </c>
      <c r="D375" t="s">
        <v>23</v>
      </c>
      <c r="E375" t="s">
        <v>20</v>
      </c>
      <c r="F375" t="s">
        <v>34</v>
      </c>
      <c r="G375" t="s">
        <v>16</v>
      </c>
      <c r="H375">
        <v>320000</v>
      </c>
      <c r="I375">
        <v>6</v>
      </c>
      <c r="J375" t="s">
        <v>39</v>
      </c>
      <c r="K375">
        <f t="shared" si="5"/>
        <v>256000</v>
      </c>
      <c r="L375">
        <f>Sales_Data2[[#This Row],[Unit Price]]*Sales_Data2[[#This Row],[Quantity]]</f>
        <v>1920000</v>
      </c>
      <c r="M375">
        <f>Sales_Data2[[#This Row],[Cost Price]]*Sales_Data2[[#This Row],[Quantity]]</f>
        <v>1536000</v>
      </c>
      <c r="N375" s="3">
        <f>Sales_Data2[[#This Row],[Revenue]]-Sales_Data2[[#This Row],[COGS]]</f>
        <v>384000</v>
      </c>
      <c r="O3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46049|West|Abuja|Corporate|Store|Sofa Classic|Furniture|320000|6|Grace|256000</v>
      </c>
      <c r="P375" s="3" t="str">
        <f>IF(COUNTIF(Sales_Data2[RowKey],Sales_Data2[[#This Row],[RowKey]])&gt;1,"Duplicate","Unique")</f>
        <v>Unique</v>
      </c>
      <c r="Q375" s="3" t="str">
        <f>IF(ISNUMBER(Sales_Data2[[#This Row],[Date]]),"OK","Check")</f>
        <v>OK</v>
      </c>
      <c r="R375" s="3" t="str">
        <f>IF(ISNUMBER(Sales_Data2[[#This Row],[Quantity]]),"OK","Check")</f>
        <v>OK</v>
      </c>
    </row>
    <row r="376" spans="1:18">
      <c r="A376" s="1">
        <v>46050</v>
      </c>
      <c r="B376" t="s">
        <v>11</v>
      </c>
      <c r="C376" t="s">
        <v>32</v>
      </c>
      <c r="D376" t="s">
        <v>23</v>
      </c>
      <c r="E376" t="s">
        <v>20</v>
      </c>
      <c r="F376" t="s">
        <v>27</v>
      </c>
      <c r="G376" t="s">
        <v>22</v>
      </c>
      <c r="H376">
        <v>60000</v>
      </c>
      <c r="I376">
        <v>10</v>
      </c>
      <c r="J376" t="s">
        <v>17</v>
      </c>
      <c r="K376">
        <f t="shared" si="5"/>
        <v>48000</v>
      </c>
      <c r="L376">
        <f>Sales_Data2[[#This Row],[Unit Price]]*Sales_Data2[[#This Row],[Quantity]]</f>
        <v>600000</v>
      </c>
      <c r="M376">
        <f>Sales_Data2[[#This Row],[Cost Price]]*Sales_Data2[[#This Row],[Quantity]]</f>
        <v>480000</v>
      </c>
      <c r="N376" s="3">
        <f>Sales_Data2[[#This Row],[Revenue]]-Sales_Data2[[#This Row],[COGS]]</f>
        <v>120000</v>
      </c>
      <c r="O3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46050|West|Abuja|Corporate|Store|Microwave M20|Home Appliances|60000|10|Chidinma|48000</v>
      </c>
      <c r="P376" s="3" t="str">
        <f>IF(COUNTIF(Sales_Data2[RowKey],Sales_Data2[[#This Row],[RowKey]])&gt;1,"Duplicate","Unique")</f>
        <v>Unique</v>
      </c>
      <c r="Q376" s="3" t="str">
        <f>IF(ISNUMBER(Sales_Data2[[#This Row],[Date]]),"OK","Check")</f>
        <v>OK</v>
      </c>
      <c r="R376" s="3" t="str">
        <f>IF(ISNUMBER(Sales_Data2[[#This Row],[Quantity]]),"OK","Check")</f>
        <v>OK</v>
      </c>
    </row>
    <row r="377" spans="1:18">
      <c r="A377" s="1">
        <v>46051</v>
      </c>
      <c r="B377" t="s">
        <v>25</v>
      </c>
      <c r="C377" t="s">
        <v>19</v>
      </c>
      <c r="D377" t="s">
        <v>23</v>
      </c>
      <c r="E377" t="s">
        <v>20</v>
      </c>
      <c r="F377" t="s">
        <v>30</v>
      </c>
      <c r="G377" t="s">
        <v>31</v>
      </c>
      <c r="H377">
        <v>300000</v>
      </c>
      <c r="I377">
        <v>1</v>
      </c>
      <c r="J377" t="s">
        <v>37</v>
      </c>
      <c r="K377">
        <f t="shared" si="5"/>
        <v>240000</v>
      </c>
      <c r="L377">
        <f>Sales_Data2[[#This Row],[Unit Price]]*Sales_Data2[[#This Row],[Quantity]]</f>
        <v>300000</v>
      </c>
      <c r="M377">
        <f>Sales_Data2[[#This Row],[Cost Price]]*Sales_Data2[[#This Row],[Quantity]]</f>
        <v>240000</v>
      </c>
      <c r="N377" s="3">
        <f>Sales_Data2[[#This Row],[Revenue]]-Sales_Data2[[#This Row],[COGS]]</f>
        <v>60000</v>
      </c>
      <c r="O3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46051|South|Lagos|Corporate|Store|Desktop PC D21|Electronics|300000|1|Aisha|240000</v>
      </c>
      <c r="P377" s="3" t="str">
        <f>IF(COUNTIF(Sales_Data2[RowKey],Sales_Data2[[#This Row],[RowKey]])&gt;1,"Duplicate","Unique")</f>
        <v>Unique</v>
      </c>
      <c r="Q377" s="3" t="str">
        <f>IF(ISNUMBER(Sales_Data2[[#This Row],[Date]]),"OK","Check")</f>
        <v>OK</v>
      </c>
      <c r="R377" s="3" t="str">
        <f>IF(ISNUMBER(Sales_Data2[[#This Row],[Quantity]]),"OK","Check")</f>
        <v>OK</v>
      </c>
    </row>
    <row r="378" spans="1:18">
      <c r="A378" s="1">
        <v>46052</v>
      </c>
      <c r="B378" t="s">
        <v>11</v>
      </c>
      <c r="C378" t="s">
        <v>19</v>
      </c>
      <c r="D378" t="s">
        <v>23</v>
      </c>
      <c r="E378" t="s">
        <v>14</v>
      </c>
      <c r="F378" t="s">
        <v>33</v>
      </c>
      <c r="G378" t="s">
        <v>22</v>
      </c>
      <c r="H378">
        <v>180000</v>
      </c>
      <c r="I378">
        <v>1</v>
      </c>
      <c r="J378" t="s">
        <v>24</v>
      </c>
      <c r="K378">
        <f t="shared" si="5"/>
        <v>144000</v>
      </c>
      <c r="L378">
        <f>Sales_Data2[[#This Row],[Unit Price]]*Sales_Data2[[#This Row],[Quantity]]</f>
        <v>180000</v>
      </c>
      <c r="M378">
        <f>Sales_Data2[[#This Row],[Cost Price]]*Sales_Data2[[#This Row],[Quantity]]</f>
        <v>144000</v>
      </c>
      <c r="N378" s="3">
        <f>Sales_Data2[[#This Row],[Revenue]]-Sales_Data2[[#This Row],[COGS]]</f>
        <v>36000</v>
      </c>
      <c r="O3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46052|West|Lagos|Corporate|Online|Air Conditioner X2|Home Appliances|180000|1|David|144000</v>
      </c>
      <c r="P378" s="3" t="str">
        <f>IF(COUNTIF(Sales_Data2[RowKey],Sales_Data2[[#This Row],[RowKey]])&gt;1,"Duplicate","Unique")</f>
        <v>Unique</v>
      </c>
      <c r="Q378" s="3" t="str">
        <f>IF(ISNUMBER(Sales_Data2[[#This Row],[Date]]),"OK","Check")</f>
        <v>OK</v>
      </c>
      <c r="R378" s="3" t="str">
        <f>IF(ISNUMBER(Sales_Data2[[#This Row],[Quantity]]),"OK","Check")</f>
        <v>OK</v>
      </c>
    </row>
    <row r="379" spans="1:18">
      <c r="A379" s="1">
        <v>46053</v>
      </c>
      <c r="B379" t="s">
        <v>18</v>
      </c>
      <c r="C379" t="s">
        <v>19</v>
      </c>
      <c r="D379" t="s">
        <v>13</v>
      </c>
      <c r="E379" t="s">
        <v>20</v>
      </c>
      <c r="F379" t="s">
        <v>41</v>
      </c>
      <c r="G379" t="s">
        <v>22</v>
      </c>
      <c r="H379">
        <v>220000</v>
      </c>
      <c r="I379">
        <v>8</v>
      </c>
      <c r="J379" t="s">
        <v>37</v>
      </c>
      <c r="K379">
        <f t="shared" si="5"/>
        <v>176000</v>
      </c>
      <c r="L379">
        <f>Sales_Data2[[#This Row],[Unit Price]]*Sales_Data2[[#This Row],[Quantity]]</f>
        <v>1760000</v>
      </c>
      <c r="M379">
        <f>Sales_Data2[[#This Row],[Cost Price]]*Sales_Data2[[#This Row],[Quantity]]</f>
        <v>1408000</v>
      </c>
      <c r="N379" s="3">
        <f>Sales_Data2[[#This Row],[Revenue]]-Sales_Data2[[#This Row],[COGS]]</f>
        <v>352000</v>
      </c>
      <c r="O3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46053|East|Lagos|Retail|Store|Refrigerator R55|Home Appliances|220000|8|Aisha|176000</v>
      </c>
      <c r="P379" s="3" t="str">
        <f>IF(COUNTIF(Sales_Data2[RowKey],Sales_Data2[[#This Row],[RowKey]])&gt;1,"Duplicate","Unique")</f>
        <v>Unique</v>
      </c>
      <c r="Q379" s="3" t="str">
        <f>IF(ISNUMBER(Sales_Data2[[#This Row],[Date]]),"OK","Check")</f>
        <v>OK</v>
      </c>
      <c r="R379" s="3" t="str">
        <f>IF(ISNUMBER(Sales_Data2[[#This Row],[Quantity]]),"OK","Check")</f>
        <v>OK</v>
      </c>
    </row>
    <row r="380" spans="1:18">
      <c r="A380" s="1">
        <v>46054</v>
      </c>
      <c r="B380" t="s">
        <v>29</v>
      </c>
      <c r="C380" t="s">
        <v>19</v>
      </c>
      <c r="D380" t="s">
        <v>23</v>
      </c>
      <c r="E380" t="s">
        <v>20</v>
      </c>
      <c r="F380" t="s">
        <v>15</v>
      </c>
      <c r="G380" t="s">
        <v>16</v>
      </c>
      <c r="H380">
        <v>85000</v>
      </c>
      <c r="I380">
        <v>7</v>
      </c>
      <c r="J380" t="s">
        <v>28</v>
      </c>
      <c r="K380">
        <f t="shared" si="5"/>
        <v>68000</v>
      </c>
      <c r="L380">
        <f>Sales_Data2[[#This Row],[Unit Price]]*Sales_Data2[[#This Row],[Quantity]]</f>
        <v>595000</v>
      </c>
      <c r="M380">
        <f>Sales_Data2[[#This Row],[Cost Price]]*Sales_Data2[[#This Row],[Quantity]]</f>
        <v>476000</v>
      </c>
      <c r="N380" s="3">
        <f>Sales_Data2[[#This Row],[Revenue]]-Sales_Data2[[#This Row],[COGS]]</f>
        <v>119000</v>
      </c>
      <c r="O3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46054|North|Lagos|Corporate|Store|Office Chair Pro|Furniture|85000|7|Musa|68000</v>
      </c>
      <c r="P380" s="3" t="str">
        <f>IF(COUNTIF(Sales_Data2[RowKey],Sales_Data2[[#This Row],[RowKey]])&gt;1,"Duplicate","Unique")</f>
        <v>Unique</v>
      </c>
      <c r="Q380" s="3" t="str">
        <f>IF(ISNUMBER(Sales_Data2[[#This Row],[Date]]),"OK","Check")</f>
        <v>OK</v>
      </c>
      <c r="R380" s="3" t="str">
        <f>IF(ISNUMBER(Sales_Data2[[#This Row],[Quantity]]),"OK","Check")</f>
        <v>OK</v>
      </c>
    </row>
    <row r="381" spans="1:18">
      <c r="A381" s="1">
        <v>46055</v>
      </c>
      <c r="B381" t="s">
        <v>11</v>
      </c>
      <c r="C381" t="s">
        <v>12</v>
      </c>
      <c r="D381" t="s">
        <v>13</v>
      </c>
      <c r="E381" t="s">
        <v>20</v>
      </c>
      <c r="F381" t="s">
        <v>33</v>
      </c>
      <c r="G381" t="s">
        <v>22</v>
      </c>
      <c r="H381">
        <v>180000</v>
      </c>
      <c r="I381">
        <v>9</v>
      </c>
      <c r="J381" t="s">
        <v>39</v>
      </c>
      <c r="K381">
        <f t="shared" si="5"/>
        <v>144000</v>
      </c>
      <c r="L381">
        <f>Sales_Data2[[#This Row],[Unit Price]]*Sales_Data2[[#This Row],[Quantity]]</f>
        <v>1620000</v>
      </c>
      <c r="M381">
        <f>Sales_Data2[[#This Row],[Cost Price]]*Sales_Data2[[#This Row],[Quantity]]</f>
        <v>1296000</v>
      </c>
      <c r="N381" s="3">
        <f>Sales_Data2[[#This Row],[Revenue]]-Sales_Data2[[#This Row],[COGS]]</f>
        <v>324000</v>
      </c>
      <c r="O3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46055|West|Port Harcourt|Retail|Store|Air Conditioner X2|Home Appliances|180000|9|Grace|144000</v>
      </c>
      <c r="P381" s="3" t="str">
        <f>IF(COUNTIF(Sales_Data2[RowKey],Sales_Data2[[#This Row],[RowKey]])&gt;1,"Duplicate","Unique")</f>
        <v>Unique</v>
      </c>
      <c r="Q381" s="3" t="str">
        <f>IF(ISNUMBER(Sales_Data2[[#This Row],[Date]]),"OK","Check")</f>
        <v>OK</v>
      </c>
      <c r="R381" s="3" t="str">
        <f>IF(ISNUMBER(Sales_Data2[[#This Row],[Quantity]]),"OK","Check")</f>
        <v>OK</v>
      </c>
    </row>
    <row r="382" spans="1:18">
      <c r="A382" s="1">
        <v>46056</v>
      </c>
      <c r="B382" t="s">
        <v>29</v>
      </c>
      <c r="C382" t="s">
        <v>12</v>
      </c>
      <c r="D382" t="s">
        <v>23</v>
      </c>
      <c r="E382" t="s">
        <v>14</v>
      </c>
      <c r="F382" t="s">
        <v>34</v>
      </c>
      <c r="G382" t="s">
        <v>16</v>
      </c>
      <c r="H382">
        <v>320000</v>
      </c>
      <c r="I382">
        <v>3</v>
      </c>
      <c r="J382" t="s">
        <v>35</v>
      </c>
      <c r="K382">
        <f t="shared" si="5"/>
        <v>256000</v>
      </c>
      <c r="L382">
        <f>Sales_Data2[[#This Row],[Unit Price]]*Sales_Data2[[#This Row],[Quantity]]</f>
        <v>960000</v>
      </c>
      <c r="M382">
        <f>Sales_Data2[[#This Row],[Cost Price]]*Sales_Data2[[#This Row],[Quantity]]</f>
        <v>768000</v>
      </c>
      <c r="N382" s="3">
        <f>Sales_Data2[[#This Row],[Revenue]]-Sales_Data2[[#This Row],[COGS]]</f>
        <v>192000</v>
      </c>
      <c r="O3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46056|North|Port Harcourt|Corporate|Online|Sofa Classic|Furniture|320000|3|Peter|256000</v>
      </c>
      <c r="P382" s="3" t="str">
        <f>IF(COUNTIF(Sales_Data2[RowKey],Sales_Data2[[#This Row],[RowKey]])&gt;1,"Duplicate","Unique")</f>
        <v>Unique</v>
      </c>
      <c r="Q382" s="3" t="str">
        <f>IF(ISNUMBER(Sales_Data2[[#This Row],[Date]]),"OK","Check")</f>
        <v>OK</v>
      </c>
      <c r="R382" s="3" t="str">
        <f>IF(ISNUMBER(Sales_Data2[[#This Row],[Quantity]]),"OK","Check")</f>
        <v>OK</v>
      </c>
    </row>
    <row r="383" spans="1:18">
      <c r="A383" s="1">
        <v>46057</v>
      </c>
      <c r="B383" t="s">
        <v>29</v>
      </c>
      <c r="C383" t="s">
        <v>12</v>
      </c>
      <c r="D383" t="s">
        <v>23</v>
      </c>
      <c r="E383" t="s">
        <v>14</v>
      </c>
      <c r="F383" t="s">
        <v>36</v>
      </c>
      <c r="G383" t="s">
        <v>31</v>
      </c>
      <c r="H383">
        <v>150000</v>
      </c>
      <c r="I383">
        <v>4</v>
      </c>
      <c r="J383" t="s">
        <v>17</v>
      </c>
      <c r="K383">
        <f t="shared" si="5"/>
        <v>120000</v>
      </c>
      <c r="L383">
        <f>Sales_Data2[[#This Row],[Unit Price]]*Sales_Data2[[#This Row],[Quantity]]</f>
        <v>600000</v>
      </c>
      <c r="M383">
        <f>Sales_Data2[[#This Row],[Cost Price]]*Sales_Data2[[#This Row],[Quantity]]</f>
        <v>480000</v>
      </c>
      <c r="N383" s="3">
        <f>Sales_Data2[[#This Row],[Revenue]]-Sales_Data2[[#This Row],[COGS]]</f>
        <v>120000</v>
      </c>
      <c r="O3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46057|North|Port Harcourt|Corporate|Online|Printer P50|Electronics|150000|4|Chidinma|120000</v>
      </c>
      <c r="P383" s="3" t="str">
        <f>IF(COUNTIF(Sales_Data2[RowKey],Sales_Data2[[#This Row],[RowKey]])&gt;1,"Duplicate","Unique")</f>
        <v>Unique</v>
      </c>
      <c r="Q383" s="3" t="str">
        <f>IF(ISNUMBER(Sales_Data2[[#This Row],[Date]]),"OK","Check")</f>
        <v>OK</v>
      </c>
      <c r="R383" s="3" t="str">
        <f>IF(ISNUMBER(Sales_Data2[[#This Row],[Quantity]]),"OK","Check")</f>
        <v>OK</v>
      </c>
    </row>
    <row r="384" spans="1:18">
      <c r="A384" s="1">
        <v>46058</v>
      </c>
      <c r="B384" t="s">
        <v>18</v>
      </c>
      <c r="C384" t="s">
        <v>19</v>
      </c>
      <c r="D384" t="s">
        <v>13</v>
      </c>
      <c r="E384" t="s">
        <v>14</v>
      </c>
      <c r="F384" t="s">
        <v>41</v>
      </c>
      <c r="G384" t="s">
        <v>22</v>
      </c>
      <c r="H384">
        <v>220000</v>
      </c>
      <c r="I384">
        <v>10</v>
      </c>
      <c r="J384" t="s">
        <v>39</v>
      </c>
      <c r="K384">
        <f t="shared" si="5"/>
        <v>176000</v>
      </c>
      <c r="L384">
        <f>Sales_Data2[[#This Row],[Unit Price]]*Sales_Data2[[#This Row],[Quantity]]</f>
        <v>2200000</v>
      </c>
      <c r="M384">
        <f>Sales_Data2[[#This Row],[Cost Price]]*Sales_Data2[[#This Row],[Quantity]]</f>
        <v>1760000</v>
      </c>
      <c r="N384" s="3">
        <f>Sales_Data2[[#This Row],[Revenue]]-Sales_Data2[[#This Row],[COGS]]</f>
        <v>440000</v>
      </c>
      <c r="O3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46058|East|Lagos|Retail|Online|Refrigerator R55|Home Appliances|220000|10|Grace|176000</v>
      </c>
      <c r="P384" s="3" t="str">
        <f>IF(COUNTIF(Sales_Data2[RowKey],Sales_Data2[[#This Row],[RowKey]])&gt;1,"Duplicate","Unique")</f>
        <v>Unique</v>
      </c>
      <c r="Q384" s="3" t="str">
        <f>IF(ISNUMBER(Sales_Data2[[#This Row],[Date]]),"OK","Check")</f>
        <v>OK</v>
      </c>
      <c r="R384" s="3" t="str">
        <f>IF(ISNUMBER(Sales_Data2[[#This Row],[Quantity]]),"OK","Check")</f>
        <v>OK</v>
      </c>
    </row>
    <row r="385" spans="1:18">
      <c r="A385" s="1">
        <v>46059</v>
      </c>
      <c r="B385" t="s">
        <v>25</v>
      </c>
      <c r="C385" t="s">
        <v>12</v>
      </c>
      <c r="D385" t="s">
        <v>23</v>
      </c>
      <c r="E385" t="s">
        <v>14</v>
      </c>
      <c r="F385" t="s">
        <v>36</v>
      </c>
      <c r="G385" t="s">
        <v>31</v>
      </c>
      <c r="H385">
        <v>150000</v>
      </c>
      <c r="I385">
        <v>6</v>
      </c>
      <c r="J385" t="s">
        <v>17</v>
      </c>
      <c r="K385">
        <f t="shared" si="5"/>
        <v>120000</v>
      </c>
      <c r="L385">
        <f>Sales_Data2[[#This Row],[Unit Price]]*Sales_Data2[[#This Row],[Quantity]]</f>
        <v>900000</v>
      </c>
      <c r="M385">
        <f>Sales_Data2[[#This Row],[Cost Price]]*Sales_Data2[[#This Row],[Quantity]]</f>
        <v>720000</v>
      </c>
      <c r="N385" s="3">
        <f>Sales_Data2[[#This Row],[Revenue]]-Sales_Data2[[#This Row],[COGS]]</f>
        <v>180000</v>
      </c>
      <c r="O3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46059|South|Port Harcourt|Corporate|Online|Printer P50|Electronics|150000|6|Chidinma|120000</v>
      </c>
      <c r="P385" s="3" t="str">
        <f>IF(COUNTIF(Sales_Data2[RowKey],Sales_Data2[[#This Row],[RowKey]])&gt;1,"Duplicate","Unique")</f>
        <v>Unique</v>
      </c>
      <c r="Q385" s="3" t="str">
        <f>IF(ISNUMBER(Sales_Data2[[#This Row],[Date]]),"OK","Check")</f>
        <v>OK</v>
      </c>
      <c r="R385" s="3" t="str">
        <f>IF(ISNUMBER(Sales_Data2[[#This Row],[Quantity]]),"OK","Check")</f>
        <v>OK</v>
      </c>
    </row>
    <row r="386" spans="1:18">
      <c r="A386" s="1">
        <v>46060</v>
      </c>
      <c r="B386" t="s">
        <v>11</v>
      </c>
      <c r="C386" t="s">
        <v>19</v>
      </c>
      <c r="D386" t="s">
        <v>23</v>
      </c>
      <c r="E386" t="s">
        <v>20</v>
      </c>
      <c r="F386" t="s">
        <v>33</v>
      </c>
      <c r="G386" t="s">
        <v>22</v>
      </c>
      <c r="H386">
        <v>180000</v>
      </c>
      <c r="I386">
        <v>1</v>
      </c>
      <c r="J386" t="s">
        <v>28</v>
      </c>
      <c r="K386">
        <f t="shared" ref="K386:K449" si="6">H386-H386*0.2</f>
        <v>144000</v>
      </c>
      <c r="L386">
        <f>Sales_Data2[[#This Row],[Unit Price]]*Sales_Data2[[#This Row],[Quantity]]</f>
        <v>180000</v>
      </c>
      <c r="M386">
        <f>Sales_Data2[[#This Row],[Cost Price]]*Sales_Data2[[#This Row],[Quantity]]</f>
        <v>144000</v>
      </c>
      <c r="N386" s="3">
        <f>Sales_Data2[[#This Row],[Revenue]]-Sales_Data2[[#This Row],[COGS]]</f>
        <v>36000</v>
      </c>
      <c r="O3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46060|West|Lagos|Corporate|Store|Air Conditioner X2|Home Appliances|180000|1|Musa|144000</v>
      </c>
      <c r="P386" s="3" t="str">
        <f>IF(COUNTIF(Sales_Data2[RowKey],Sales_Data2[[#This Row],[RowKey]])&gt;1,"Duplicate","Unique")</f>
        <v>Unique</v>
      </c>
      <c r="Q386" s="3" t="str">
        <f>IF(ISNUMBER(Sales_Data2[[#This Row],[Date]]),"OK","Check")</f>
        <v>OK</v>
      </c>
      <c r="R386" s="3" t="str">
        <f>IF(ISNUMBER(Sales_Data2[[#This Row],[Quantity]]),"OK","Check")</f>
        <v>OK</v>
      </c>
    </row>
    <row r="387" spans="1:18">
      <c r="A387" s="1">
        <v>46061</v>
      </c>
      <c r="B387" t="s">
        <v>18</v>
      </c>
      <c r="C387" t="s">
        <v>26</v>
      </c>
      <c r="D387" t="s">
        <v>13</v>
      </c>
      <c r="E387" t="s">
        <v>14</v>
      </c>
      <c r="F387" t="s">
        <v>21</v>
      </c>
      <c r="G387" t="s">
        <v>22</v>
      </c>
      <c r="H387">
        <v>30000</v>
      </c>
      <c r="I387">
        <v>2</v>
      </c>
      <c r="J387" t="s">
        <v>35</v>
      </c>
      <c r="K387">
        <f t="shared" si="6"/>
        <v>24000</v>
      </c>
      <c r="L387">
        <f>Sales_Data2[[#This Row],[Unit Price]]*Sales_Data2[[#This Row],[Quantity]]</f>
        <v>60000</v>
      </c>
      <c r="M387">
        <f>Sales_Data2[[#This Row],[Cost Price]]*Sales_Data2[[#This Row],[Quantity]]</f>
        <v>48000</v>
      </c>
      <c r="N387" s="3">
        <f>Sales_Data2[[#This Row],[Revenue]]-Sales_Data2[[#This Row],[COGS]]</f>
        <v>12000</v>
      </c>
      <c r="O3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46061|East|Kano|Retail|Online|Blender B10|Home Appliances|30000|2|Peter|24000</v>
      </c>
      <c r="P387" s="3" t="str">
        <f>IF(COUNTIF(Sales_Data2[RowKey],Sales_Data2[[#This Row],[RowKey]])&gt;1,"Duplicate","Unique")</f>
        <v>Unique</v>
      </c>
      <c r="Q387" s="3" t="str">
        <f>IF(ISNUMBER(Sales_Data2[[#This Row],[Date]]),"OK","Check")</f>
        <v>OK</v>
      </c>
      <c r="R387" s="3" t="str">
        <f>IF(ISNUMBER(Sales_Data2[[#This Row],[Quantity]]),"OK","Check")</f>
        <v>OK</v>
      </c>
    </row>
    <row r="388" spans="1:18">
      <c r="A388" s="1">
        <v>46062</v>
      </c>
      <c r="B388" t="s">
        <v>29</v>
      </c>
      <c r="C388" t="s">
        <v>32</v>
      </c>
      <c r="D388" t="s">
        <v>23</v>
      </c>
      <c r="E388" t="s">
        <v>14</v>
      </c>
      <c r="F388" t="s">
        <v>34</v>
      </c>
      <c r="G388" t="s">
        <v>16</v>
      </c>
      <c r="H388">
        <v>320000</v>
      </c>
      <c r="I388">
        <v>7</v>
      </c>
      <c r="J388" t="s">
        <v>17</v>
      </c>
      <c r="K388">
        <f t="shared" si="6"/>
        <v>256000</v>
      </c>
      <c r="L388">
        <f>Sales_Data2[[#This Row],[Unit Price]]*Sales_Data2[[#This Row],[Quantity]]</f>
        <v>2240000</v>
      </c>
      <c r="M388">
        <f>Sales_Data2[[#This Row],[Cost Price]]*Sales_Data2[[#This Row],[Quantity]]</f>
        <v>1792000</v>
      </c>
      <c r="N388" s="3">
        <f>Sales_Data2[[#This Row],[Revenue]]-Sales_Data2[[#This Row],[COGS]]</f>
        <v>448000</v>
      </c>
      <c r="O3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46062|North|Abuja|Corporate|Online|Sofa Classic|Furniture|320000|7|Chidinma|256000</v>
      </c>
      <c r="P388" s="3" t="str">
        <f>IF(COUNTIF(Sales_Data2[RowKey],Sales_Data2[[#This Row],[RowKey]])&gt;1,"Duplicate","Unique")</f>
        <v>Unique</v>
      </c>
      <c r="Q388" s="3" t="str">
        <f>IF(ISNUMBER(Sales_Data2[[#This Row],[Date]]),"OK","Check")</f>
        <v>OK</v>
      </c>
      <c r="R388" s="3" t="str">
        <f>IF(ISNUMBER(Sales_Data2[[#This Row],[Quantity]]),"OK","Check")</f>
        <v>OK</v>
      </c>
    </row>
    <row r="389" spans="1:18">
      <c r="A389" s="1">
        <v>46063</v>
      </c>
      <c r="B389" t="s">
        <v>29</v>
      </c>
      <c r="C389" t="s">
        <v>26</v>
      </c>
      <c r="D389" t="s">
        <v>13</v>
      </c>
      <c r="E389" t="s">
        <v>20</v>
      </c>
      <c r="F389" t="s">
        <v>15</v>
      </c>
      <c r="G389" t="s">
        <v>16</v>
      </c>
      <c r="H389">
        <v>85000</v>
      </c>
      <c r="I389">
        <v>10</v>
      </c>
      <c r="J389" t="s">
        <v>24</v>
      </c>
      <c r="K389">
        <f t="shared" si="6"/>
        <v>68000</v>
      </c>
      <c r="L389">
        <f>Sales_Data2[[#This Row],[Unit Price]]*Sales_Data2[[#This Row],[Quantity]]</f>
        <v>850000</v>
      </c>
      <c r="M389">
        <f>Sales_Data2[[#This Row],[Cost Price]]*Sales_Data2[[#This Row],[Quantity]]</f>
        <v>680000</v>
      </c>
      <c r="N389" s="3">
        <f>Sales_Data2[[#This Row],[Revenue]]-Sales_Data2[[#This Row],[COGS]]</f>
        <v>170000</v>
      </c>
      <c r="O3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46063|North|Kano|Retail|Store|Office Chair Pro|Furniture|85000|10|David|68000</v>
      </c>
      <c r="P389" s="3" t="str">
        <f>IF(COUNTIF(Sales_Data2[RowKey],Sales_Data2[[#This Row],[RowKey]])&gt;1,"Duplicate","Unique")</f>
        <v>Unique</v>
      </c>
      <c r="Q389" s="3" t="str">
        <f>IF(ISNUMBER(Sales_Data2[[#This Row],[Date]]),"OK","Check")</f>
        <v>OK</v>
      </c>
      <c r="R389" s="3" t="str">
        <f>IF(ISNUMBER(Sales_Data2[[#This Row],[Quantity]]),"OK","Check")</f>
        <v>OK</v>
      </c>
    </row>
    <row r="390" spans="1:18">
      <c r="A390" s="1">
        <v>46064</v>
      </c>
      <c r="B390" t="s">
        <v>18</v>
      </c>
      <c r="C390" t="s">
        <v>12</v>
      </c>
      <c r="D390" t="s">
        <v>23</v>
      </c>
      <c r="E390" t="s">
        <v>14</v>
      </c>
      <c r="F390" t="s">
        <v>33</v>
      </c>
      <c r="G390" t="s">
        <v>22</v>
      </c>
      <c r="H390">
        <v>180000</v>
      </c>
      <c r="I390">
        <v>7</v>
      </c>
      <c r="J390" t="s">
        <v>28</v>
      </c>
      <c r="K390">
        <f t="shared" si="6"/>
        <v>144000</v>
      </c>
      <c r="L390">
        <f>Sales_Data2[[#This Row],[Unit Price]]*Sales_Data2[[#This Row],[Quantity]]</f>
        <v>1260000</v>
      </c>
      <c r="M390">
        <f>Sales_Data2[[#This Row],[Cost Price]]*Sales_Data2[[#This Row],[Quantity]]</f>
        <v>1008000</v>
      </c>
      <c r="N390" s="3">
        <f>Sales_Data2[[#This Row],[Revenue]]-Sales_Data2[[#This Row],[COGS]]</f>
        <v>252000</v>
      </c>
      <c r="O3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46064|East|Port Harcourt|Corporate|Online|Air Conditioner X2|Home Appliances|180000|7|Musa|144000</v>
      </c>
      <c r="P390" s="3" t="str">
        <f>IF(COUNTIF(Sales_Data2[RowKey],Sales_Data2[[#This Row],[RowKey]])&gt;1,"Duplicate","Unique")</f>
        <v>Unique</v>
      </c>
      <c r="Q390" s="3" t="str">
        <f>IF(ISNUMBER(Sales_Data2[[#This Row],[Date]]),"OK","Check")</f>
        <v>OK</v>
      </c>
      <c r="R390" s="3" t="str">
        <f>IF(ISNUMBER(Sales_Data2[[#This Row],[Quantity]]),"OK","Check")</f>
        <v>OK</v>
      </c>
    </row>
    <row r="391" spans="1:18">
      <c r="A391" s="1">
        <v>46065</v>
      </c>
      <c r="B391" t="s">
        <v>25</v>
      </c>
      <c r="C391" t="s">
        <v>19</v>
      </c>
      <c r="D391" t="s">
        <v>13</v>
      </c>
      <c r="E391" t="s">
        <v>14</v>
      </c>
      <c r="F391" t="s">
        <v>38</v>
      </c>
      <c r="G391" t="s">
        <v>31</v>
      </c>
      <c r="H391">
        <v>420000</v>
      </c>
      <c r="I391">
        <v>5</v>
      </c>
      <c r="J391" t="s">
        <v>35</v>
      </c>
      <c r="K391">
        <f t="shared" si="6"/>
        <v>336000</v>
      </c>
      <c r="L391">
        <f>Sales_Data2[[#This Row],[Unit Price]]*Sales_Data2[[#This Row],[Quantity]]</f>
        <v>2100000</v>
      </c>
      <c r="M391">
        <f>Sales_Data2[[#This Row],[Cost Price]]*Sales_Data2[[#This Row],[Quantity]]</f>
        <v>1680000</v>
      </c>
      <c r="N391" s="3">
        <f>Sales_Data2[[#This Row],[Revenue]]-Sales_Data2[[#This Row],[COGS]]</f>
        <v>420000</v>
      </c>
      <c r="O3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46065|South|Lagos|Retail|Online|Laptop A13|Electronics|420000|5|Peter|336000</v>
      </c>
      <c r="P391" s="3" t="str">
        <f>IF(COUNTIF(Sales_Data2[RowKey],Sales_Data2[[#This Row],[RowKey]])&gt;1,"Duplicate","Unique")</f>
        <v>Unique</v>
      </c>
      <c r="Q391" s="3" t="str">
        <f>IF(ISNUMBER(Sales_Data2[[#This Row],[Date]]),"OK","Check")</f>
        <v>OK</v>
      </c>
      <c r="R391" s="3" t="str">
        <f>IF(ISNUMBER(Sales_Data2[[#This Row],[Quantity]]),"OK","Check")</f>
        <v>OK</v>
      </c>
    </row>
    <row r="392" spans="1:18">
      <c r="A392" s="1">
        <v>46066</v>
      </c>
      <c r="B392" t="s">
        <v>25</v>
      </c>
      <c r="C392" t="s">
        <v>32</v>
      </c>
      <c r="D392" t="s">
        <v>23</v>
      </c>
      <c r="E392" t="s">
        <v>20</v>
      </c>
      <c r="F392" t="s">
        <v>34</v>
      </c>
      <c r="G392" t="s">
        <v>16</v>
      </c>
      <c r="H392">
        <v>320000</v>
      </c>
      <c r="I392">
        <v>8</v>
      </c>
      <c r="J392" t="s">
        <v>24</v>
      </c>
      <c r="K392">
        <f t="shared" si="6"/>
        <v>256000</v>
      </c>
      <c r="L392">
        <f>Sales_Data2[[#This Row],[Unit Price]]*Sales_Data2[[#This Row],[Quantity]]</f>
        <v>2560000</v>
      </c>
      <c r="M392">
        <f>Sales_Data2[[#This Row],[Cost Price]]*Sales_Data2[[#This Row],[Quantity]]</f>
        <v>2048000</v>
      </c>
      <c r="N392" s="3">
        <f>Sales_Data2[[#This Row],[Revenue]]-Sales_Data2[[#This Row],[COGS]]</f>
        <v>512000</v>
      </c>
      <c r="O3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46066|South|Abuja|Corporate|Store|Sofa Classic|Furniture|320000|8|David|256000</v>
      </c>
      <c r="P392" s="3" t="str">
        <f>IF(COUNTIF(Sales_Data2[RowKey],Sales_Data2[[#This Row],[RowKey]])&gt;1,"Duplicate","Unique")</f>
        <v>Unique</v>
      </c>
      <c r="Q392" s="3" t="str">
        <f>IF(ISNUMBER(Sales_Data2[[#This Row],[Date]]),"OK","Check")</f>
        <v>OK</v>
      </c>
      <c r="R392" s="3" t="str">
        <f>IF(ISNUMBER(Sales_Data2[[#This Row],[Quantity]]),"OK","Check")</f>
        <v>OK</v>
      </c>
    </row>
    <row r="393" spans="1:18">
      <c r="A393" s="1">
        <v>46067</v>
      </c>
      <c r="B393" t="s">
        <v>18</v>
      </c>
      <c r="C393" t="s">
        <v>26</v>
      </c>
      <c r="D393" t="s">
        <v>23</v>
      </c>
      <c r="E393" t="s">
        <v>20</v>
      </c>
      <c r="F393" t="s">
        <v>33</v>
      </c>
      <c r="G393" t="s">
        <v>22</v>
      </c>
      <c r="H393">
        <v>180000</v>
      </c>
      <c r="I393">
        <v>5</v>
      </c>
      <c r="J393" t="s">
        <v>28</v>
      </c>
      <c r="K393">
        <f t="shared" si="6"/>
        <v>144000</v>
      </c>
      <c r="L393">
        <f>Sales_Data2[[#This Row],[Unit Price]]*Sales_Data2[[#This Row],[Quantity]]</f>
        <v>900000</v>
      </c>
      <c r="M393">
        <f>Sales_Data2[[#This Row],[Cost Price]]*Sales_Data2[[#This Row],[Quantity]]</f>
        <v>720000</v>
      </c>
      <c r="N393" s="3">
        <f>Sales_Data2[[#This Row],[Revenue]]-Sales_Data2[[#This Row],[COGS]]</f>
        <v>180000</v>
      </c>
      <c r="O3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46067|East|Kano|Corporate|Store|Air Conditioner X2|Home Appliances|180000|5|Musa|144000</v>
      </c>
      <c r="P393" s="3" t="str">
        <f>IF(COUNTIF(Sales_Data2[RowKey],Sales_Data2[[#This Row],[RowKey]])&gt;1,"Duplicate","Unique")</f>
        <v>Unique</v>
      </c>
      <c r="Q393" s="3" t="str">
        <f>IF(ISNUMBER(Sales_Data2[[#This Row],[Date]]),"OK","Check")</f>
        <v>OK</v>
      </c>
      <c r="R393" s="3" t="str">
        <f>IF(ISNUMBER(Sales_Data2[[#This Row],[Quantity]]),"OK","Check")</f>
        <v>OK</v>
      </c>
    </row>
    <row r="394" spans="1:18">
      <c r="A394" s="1">
        <v>46068</v>
      </c>
      <c r="B394" t="s">
        <v>29</v>
      </c>
      <c r="C394" t="s">
        <v>12</v>
      </c>
      <c r="D394" t="s">
        <v>23</v>
      </c>
      <c r="E394" t="s">
        <v>20</v>
      </c>
      <c r="F394" t="s">
        <v>38</v>
      </c>
      <c r="G394" t="s">
        <v>31</v>
      </c>
      <c r="H394">
        <v>420000</v>
      </c>
      <c r="I394">
        <v>2</v>
      </c>
      <c r="J394" t="s">
        <v>17</v>
      </c>
      <c r="K394">
        <f t="shared" si="6"/>
        <v>336000</v>
      </c>
      <c r="L394">
        <f>Sales_Data2[[#This Row],[Unit Price]]*Sales_Data2[[#This Row],[Quantity]]</f>
        <v>840000</v>
      </c>
      <c r="M394">
        <f>Sales_Data2[[#This Row],[Cost Price]]*Sales_Data2[[#This Row],[Quantity]]</f>
        <v>672000</v>
      </c>
      <c r="N394" s="3">
        <f>Sales_Data2[[#This Row],[Revenue]]-Sales_Data2[[#This Row],[COGS]]</f>
        <v>168000</v>
      </c>
      <c r="O3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46068|North|Port Harcourt|Corporate|Store|Laptop A13|Electronics|420000|2|Chidinma|336000</v>
      </c>
      <c r="P394" s="3" t="str">
        <f>IF(COUNTIF(Sales_Data2[RowKey],Sales_Data2[[#This Row],[RowKey]])&gt;1,"Duplicate","Unique")</f>
        <v>Unique</v>
      </c>
      <c r="Q394" s="3" t="str">
        <f>IF(ISNUMBER(Sales_Data2[[#This Row],[Date]]),"OK","Check")</f>
        <v>OK</v>
      </c>
      <c r="R394" s="3" t="str">
        <f>IF(ISNUMBER(Sales_Data2[[#This Row],[Quantity]]),"OK","Check")</f>
        <v>OK</v>
      </c>
    </row>
    <row r="395" spans="1:18">
      <c r="A395" s="1">
        <v>46069</v>
      </c>
      <c r="B395" t="s">
        <v>29</v>
      </c>
      <c r="C395" t="s">
        <v>26</v>
      </c>
      <c r="D395" t="s">
        <v>13</v>
      </c>
      <c r="E395" t="s">
        <v>14</v>
      </c>
      <c r="F395" t="s">
        <v>30</v>
      </c>
      <c r="G395" t="s">
        <v>31</v>
      </c>
      <c r="H395">
        <v>300000</v>
      </c>
      <c r="I395">
        <v>8</v>
      </c>
      <c r="J395" t="s">
        <v>24</v>
      </c>
      <c r="K395">
        <f t="shared" si="6"/>
        <v>240000</v>
      </c>
      <c r="L395">
        <f>Sales_Data2[[#This Row],[Unit Price]]*Sales_Data2[[#This Row],[Quantity]]</f>
        <v>2400000</v>
      </c>
      <c r="M395">
        <f>Sales_Data2[[#This Row],[Cost Price]]*Sales_Data2[[#This Row],[Quantity]]</f>
        <v>1920000</v>
      </c>
      <c r="N395" s="3">
        <f>Sales_Data2[[#This Row],[Revenue]]-Sales_Data2[[#This Row],[COGS]]</f>
        <v>480000</v>
      </c>
      <c r="O3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46069|North|Kano|Retail|Online|Desktop PC D21|Electronics|300000|8|David|240000</v>
      </c>
      <c r="P395" s="3" t="str">
        <f>IF(COUNTIF(Sales_Data2[RowKey],Sales_Data2[[#This Row],[RowKey]])&gt;1,"Duplicate","Unique")</f>
        <v>Unique</v>
      </c>
      <c r="Q395" s="3" t="str">
        <f>IF(ISNUMBER(Sales_Data2[[#This Row],[Date]]),"OK","Check")</f>
        <v>OK</v>
      </c>
      <c r="R395" s="3" t="str">
        <f>IF(ISNUMBER(Sales_Data2[[#This Row],[Quantity]]),"OK","Check")</f>
        <v>OK</v>
      </c>
    </row>
    <row r="396" spans="1:18">
      <c r="A396" s="1">
        <v>46070</v>
      </c>
      <c r="B396" t="s">
        <v>18</v>
      </c>
      <c r="C396" t="s">
        <v>26</v>
      </c>
      <c r="D396" t="s">
        <v>13</v>
      </c>
      <c r="E396" t="s">
        <v>14</v>
      </c>
      <c r="F396" t="s">
        <v>34</v>
      </c>
      <c r="G396" t="s">
        <v>16</v>
      </c>
      <c r="H396">
        <v>320000</v>
      </c>
      <c r="I396">
        <v>1</v>
      </c>
      <c r="J396" t="s">
        <v>24</v>
      </c>
      <c r="K396">
        <f t="shared" si="6"/>
        <v>256000</v>
      </c>
      <c r="L396">
        <f>Sales_Data2[[#This Row],[Unit Price]]*Sales_Data2[[#This Row],[Quantity]]</f>
        <v>320000</v>
      </c>
      <c r="M396">
        <f>Sales_Data2[[#This Row],[Cost Price]]*Sales_Data2[[#This Row],[Quantity]]</f>
        <v>256000</v>
      </c>
      <c r="N396" s="3">
        <f>Sales_Data2[[#This Row],[Revenue]]-Sales_Data2[[#This Row],[COGS]]</f>
        <v>64000</v>
      </c>
      <c r="O3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46070|East|Kano|Retail|Online|Sofa Classic|Furniture|320000|1|David|256000</v>
      </c>
      <c r="P396" s="3" t="str">
        <f>IF(COUNTIF(Sales_Data2[RowKey],Sales_Data2[[#This Row],[RowKey]])&gt;1,"Duplicate","Unique")</f>
        <v>Unique</v>
      </c>
      <c r="Q396" s="3" t="str">
        <f>IF(ISNUMBER(Sales_Data2[[#This Row],[Date]]),"OK","Check")</f>
        <v>OK</v>
      </c>
      <c r="R396" s="3" t="str">
        <f>IF(ISNUMBER(Sales_Data2[[#This Row],[Quantity]]),"OK","Check")</f>
        <v>OK</v>
      </c>
    </row>
    <row r="397" spans="1:18">
      <c r="A397" s="1">
        <v>46071</v>
      </c>
      <c r="B397" t="s">
        <v>18</v>
      </c>
      <c r="C397" t="s">
        <v>26</v>
      </c>
      <c r="D397" t="s">
        <v>13</v>
      </c>
      <c r="E397" t="s">
        <v>14</v>
      </c>
      <c r="F397" t="s">
        <v>38</v>
      </c>
      <c r="G397" t="s">
        <v>31</v>
      </c>
      <c r="H397">
        <v>420000</v>
      </c>
      <c r="I397">
        <v>9</v>
      </c>
      <c r="J397" t="s">
        <v>17</v>
      </c>
      <c r="K397">
        <f t="shared" si="6"/>
        <v>336000</v>
      </c>
      <c r="L397">
        <f>Sales_Data2[[#This Row],[Unit Price]]*Sales_Data2[[#This Row],[Quantity]]</f>
        <v>3780000</v>
      </c>
      <c r="M397">
        <f>Sales_Data2[[#This Row],[Cost Price]]*Sales_Data2[[#This Row],[Quantity]]</f>
        <v>3024000</v>
      </c>
      <c r="N397" s="3">
        <f>Sales_Data2[[#This Row],[Revenue]]-Sales_Data2[[#This Row],[COGS]]</f>
        <v>756000</v>
      </c>
      <c r="O3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46071|East|Kano|Retail|Online|Laptop A13|Electronics|420000|9|Chidinma|336000</v>
      </c>
      <c r="P397" s="3" t="str">
        <f>IF(COUNTIF(Sales_Data2[RowKey],Sales_Data2[[#This Row],[RowKey]])&gt;1,"Duplicate","Unique")</f>
        <v>Unique</v>
      </c>
      <c r="Q397" s="3" t="str">
        <f>IF(ISNUMBER(Sales_Data2[[#This Row],[Date]]),"OK","Check")</f>
        <v>OK</v>
      </c>
      <c r="R397" s="3" t="str">
        <f>IF(ISNUMBER(Sales_Data2[[#This Row],[Quantity]]),"OK","Check")</f>
        <v>OK</v>
      </c>
    </row>
    <row r="398" spans="1:18">
      <c r="A398" s="1">
        <v>46072</v>
      </c>
      <c r="B398" t="s">
        <v>18</v>
      </c>
      <c r="C398" t="s">
        <v>32</v>
      </c>
      <c r="D398" t="s">
        <v>23</v>
      </c>
      <c r="E398" t="s">
        <v>20</v>
      </c>
      <c r="F398" t="s">
        <v>15</v>
      </c>
      <c r="G398" t="s">
        <v>16</v>
      </c>
      <c r="H398">
        <v>85000</v>
      </c>
      <c r="I398">
        <v>8</v>
      </c>
      <c r="J398" t="s">
        <v>39</v>
      </c>
      <c r="K398">
        <f t="shared" si="6"/>
        <v>68000</v>
      </c>
      <c r="L398">
        <f>Sales_Data2[[#This Row],[Unit Price]]*Sales_Data2[[#This Row],[Quantity]]</f>
        <v>680000</v>
      </c>
      <c r="M398">
        <f>Sales_Data2[[#This Row],[Cost Price]]*Sales_Data2[[#This Row],[Quantity]]</f>
        <v>544000</v>
      </c>
      <c r="N398" s="3">
        <f>Sales_Data2[[#This Row],[Revenue]]-Sales_Data2[[#This Row],[COGS]]</f>
        <v>136000</v>
      </c>
      <c r="O3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46072|East|Abuja|Corporate|Store|Office Chair Pro|Furniture|85000|8|Grace|68000</v>
      </c>
      <c r="P398" s="3" t="str">
        <f>IF(COUNTIF(Sales_Data2[RowKey],Sales_Data2[[#This Row],[RowKey]])&gt;1,"Duplicate","Unique")</f>
        <v>Unique</v>
      </c>
      <c r="Q398" s="3" t="str">
        <f>IF(ISNUMBER(Sales_Data2[[#This Row],[Date]]),"OK","Check")</f>
        <v>OK</v>
      </c>
      <c r="R398" s="3" t="str">
        <f>IF(ISNUMBER(Sales_Data2[[#This Row],[Quantity]]),"OK","Check")</f>
        <v>OK</v>
      </c>
    </row>
    <row r="399" spans="1:18">
      <c r="A399" s="1">
        <v>46073</v>
      </c>
      <c r="B399" t="s">
        <v>29</v>
      </c>
      <c r="C399" t="s">
        <v>12</v>
      </c>
      <c r="D399" t="s">
        <v>23</v>
      </c>
      <c r="E399" t="s">
        <v>20</v>
      </c>
      <c r="F399" t="s">
        <v>38</v>
      </c>
      <c r="G399" t="s">
        <v>31</v>
      </c>
      <c r="H399">
        <v>420000</v>
      </c>
      <c r="I399">
        <v>10</v>
      </c>
      <c r="J399" t="s">
        <v>35</v>
      </c>
      <c r="K399">
        <f t="shared" si="6"/>
        <v>336000</v>
      </c>
      <c r="L399">
        <f>Sales_Data2[[#This Row],[Unit Price]]*Sales_Data2[[#This Row],[Quantity]]</f>
        <v>4200000</v>
      </c>
      <c r="M399">
        <f>Sales_Data2[[#This Row],[Cost Price]]*Sales_Data2[[#This Row],[Quantity]]</f>
        <v>3360000</v>
      </c>
      <c r="N399" s="3">
        <f>Sales_Data2[[#This Row],[Revenue]]-Sales_Data2[[#This Row],[COGS]]</f>
        <v>840000</v>
      </c>
      <c r="O3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46073|North|Port Harcourt|Corporate|Store|Laptop A13|Electronics|420000|10|Peter|336000</v>
      </c>
      <c r="P399" s="3" t="str">
        <f>IF(COUNTIF(Sales_Data2[RowKey],Sales_Data2[[#This Row],[RowKey]])&gt;1,"Duplicate","Unique")</f>
        <v>Unique</v>
      </c>
      <c r="Q399" s="3" t="str">
        <f>IF(ISNUMBER(Sales_Data2[[#This Row],[Date]]),"OK","Check")</f>
        <v>OK</v>
      </c>
      <c r="R399" s="3" t="str">
        <f>IF(ISNUMBER(Sales_Data2[[#This Row],[Quantity]]),"OK","Check")</f>
        <v>OK</v>
      </c>
    </row>
    <row r="400" spans="1:18">
      <c r="A400" s="1">
        <v>46074</v>
      </c>
      <c r="B400" t="s">
        <v>18</v>
      </c>
      <c r="C400" t="s">
        <v>12</v>
      </c>
      <c r="D400" t="s">
        <v>13</v>
      </c>
      <c r="E400" t="s">
        <v>20</v>
      </c>
      <c r="F400" t="s">
        <v>40</v>
      </c>
      <c r="G400" t="s">
        <v>31</v>
      </c>
      <c r="H400">
        <v>250000</v>
      </c>
      <c r="I400">
        <v>1</v>
      </c>
      <c r="J400" t="s">
        <v>35</v>
      </c>
      <c r="K400">
        <f t="shared" si="6"/>
        <v>200000</v>
      </c>
      <c r="L400">
        <f>Sales_Data2[[#This Row],[Unit Price]]*Sales_Data2[[#This Row],[Quantity]]</f>
        <v>250000</v>
      </c>
      <c r="M400">
        <f>Sales_Data2[[#This Row],[Cost Price]]*Sales_Data2[[#This Row],[Quantity]]</f>
        <v>200000</v>
      </c>
      <c r="N400" s="3">
        <f>Sales_Data2[[#This Row],[Revenue]]-Sales_Data2[[#This Row],[COGS]]</f>
        <v>50000</v>
      </c>
      <c r="O4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46074|East|Port Harcourt|Retail|Store|Smartphone Z10|Electronics|250000|1|Peter|200000</v>
      </c>
      <c r="P400" s="3" t="str">
        <f>IF(COUNTIF(Sales_Data2[RowKey],Sales_Data2[[#This Row],[RowKey]])&gt;1,"Duplicate","Unique")</f>
        <v>Unique</v>
      </c>
      <c r="Q400" s="3" t="str">
        <f>IF(ISNUMBER(Sales_Data2[[#This Row],[Date]]),"OK","Check")</f>
        <v>OK</v>
      </c>
      <c r="R400" s="3" t="str">
        <f>IF(ISNUMBER(Sales_Data2[[#This Row],[Quantity]]),"OK","Check")</f>
        <v>OK</v>
      </c>
    </row>
    <row r="401" spans="1:18">
      <c r="A401" s="1">
        <v>46075</v>
      </c>
      <c r="B401" t="s">
        <v>18</v>
      </c>
      <c r="C401" t="s">
        <v>32</v>
      </c>
      <c r="D401" t="s">
        <v>23</v>
      </c>
      <c r="E401" t="s">
        <v>14</v>
      </c>
      <c r="F401" t="s">
        <v>41</v>
      </c>
      <c r="G401" t="s">
        <v>22</v>
      </c>
      <c r="H401">
        <v>220000</v>
      </c>
      <c r="I401">
        <v>5</v>
      </c>
      <c r="J401" t="s">
        <v>39</v>
      </c>
      <c r="K401">
        <f t="shared" si="6"/>
        <v>176000</v>
      </c>
      <c r="L401">
        <f>Sales_Data2[[#This Row],[Unit Price]]*Sales_Data2[[#This Row],[Quantity]]</f>
        <v>1100000</v>
      </c>
      <c r="M401">
        <f>Sales_Data2[[#This Row],[Cost Price]]*Sales_Data2[[#This Row],[Quantity]]</f>
        <v>880000</v>
      </c>
      <c r="N401" s="3">
        <f>Sales_Data2[[#This Row],[Revenue]]-Sales_Data2[[#This Row],[COGS]]</f>
        <v>220000</v>
      </c>
      <c r="O4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46075|East|Abuja|Corporate|Online|Refrigerator R55|Home Appliances|220000|5|Grace|176000</v>
      </c>
      <c r="P401" s="3" t="str">
        <f>IF(COUNTIF(Sales_Data2[RowKey],Sales_Data2[[#This Row],[RowKey]])&gt;1,"Duplicate","Unique")</f>
        <v>Unique</v>
      </c>
      <c r="Q401" s="3" t="str">
        <f>IF(ISNUMBER(Sales_Data2[[#This Row],[Date]]),"OK","Check")</f>
        <v>OK</v>
      </c>
      <c r="R401" s="3" t="str">
        <f>IF(ISNUMBER(Sales_Data2[[#This Row],[Quantity]]),"OK","Check")</f>
        <v>OK</v>
      </c>
    </row>
    <row r="402" spans="1:18">
      <c r="A402" s="1">
        <v>46076</v>
      </c>
      <c r="B402" t="s">
        <v>29</v>
      </c>
      <c r="C402" t="s">
        <v>19</v>
      </c>
      <c r="D402" t="s">
        <v>13</v>
      </c>
      <c r="E402" t="s">
        <v>14</v>
      </c>
      <c r="F402" t="s">
        <v>30</v>
      </c>
      <c r="G402" t="s">
        <v>31</v>
      </c>
      <c r="H402">
        <v>300000</v>
      </c>
      <c r="I402">
        <v>1</v>
      </c>
      <c r="J402" t="s">
        <v>17</v>
      </c>
      <c r="K402">
        <f t="shared" si="6"/>
        <v>240000</v>
      </c>
      <c r="L402">
        <f>Sales_Data2[[#This Row],[Unit Price]]*Sales_Data2[[#This Row],[Quantity]]</f>
        <v>300000</v>
      </c>
      <c r="M402">
        <f>Sales_Data2[[#This Row],[Cost Price]]*Sales_Data2[[#This Row],[Quantity]]</f>
        <v>240000</v>
      </c>
      <c r="N402" s="3">
        <f>Sales_Data2[[#This Row],[Revenue]]-Sales_Data2[[#This Row],[COGS]]</f>
        <v>60000</v>
      </c>
      <c r="O4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46076|North|Lagos|Retail|Online|Desktop PC D21|Electronics|300000|1|Chidinma|240000</v>
      </c>
      <c r="P402" s="3" t="str">
        <f>IF(COUNTIF(Sales_Data2[RowKey],Sales_Data2[[#This Row],[RowKey]])&gt;1,"Duplicate","Unique")</f>
        <v>Unique</v>
      </c>
      <c r="Q402" s="3" t="str">
        <f>IF(ISNUMBER(Sales_Data2[[#This Row],[Date]]),"OK","Check")</f>
        <v>OK</v>
      </c>
      <c r="R402" s="3" t="str">
        <f>IF(ISNUMBER(Sales_Data2[[#This Row],[Quantity]]),"OK","Check")</f>
        <v>OK</v>
      </c>
    </row>
    <row r="403" spans="1:18">
      <c r="A403" s="1">
        <v>46077</v>
      </c>
      <c r="B403" t="s">
        <v>29</v>
      </c>
      <c r="C403" t="s">
        <v>26</v>
      </c>
      <c r="D403" t="s">
        <v>23</v>
      </c>
      <c r="E403" t="s">
        <v>20</v>
      </c>
      <c r="F403" t="s">
        <v>27</v>
      </c>
      <c r="G403" t="s">
        <v>22</v>
      </c>
      <c r="H403">
        <v>60000</v>
      </c>
      <c r="I403">
        <v>6</v>
      </c>
      <c r="J403" t="s">
        <v>37</v>
      </c>
      <c r="K403">
        <f t="shared" si="6"/>
        <v>48000</v>
      </c>
      <c r="L403">
        <f>Sales_Data2[[#This Row],[Unit Price]]*Sales_Data2[[#This Row],[Quantity]]</f>
        <v>360000</v>
      </c>
      <c r="M403">
        <f>Sales_Data2[[#This Row],[Cost Price]]*Sales_Data2[[#This Row],[Quantity]]</f>
        <v>288000</v>
      </c>
      <c r="N403" s="3">
        <f>Sales_Data2[[#This Row],[Revenue]]-Sales_Data2[[#This Row],[COGS]]</f>
        <v>72000</v>
      </c>
      <c r="O4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46077|North|Kano|Corporate|Store|Microwave M20|Home Appliances|60000|6|Aisha|48000</v>
      </c>
      <c r="P403" s="3" t="str">
        <f>IF(COUNTIF(Sales_Data2[RowKey],Sales_Data2[[#This Row],[RowKey]])&gt;1,"Duplicate","Unique")</f>
        <v>Unique</v>
      </c>
      <c r="Q403" s="3" t="str">
        <f>IF(ISNUMBER(Sales_Data2[[#This Row],[Date]]),"OK","Check")</f>
        <v>OK</v>
      </c>
      <c r="R403" s="3" t="str">
        <f>IF(ISNUMBER(Sales_Data2[[#This Row],[Quantity]]),"OK","Check")</f>
        <v>OK</v>
      </c>
    </row>
    <row r="404" spans="1:18">
      <c r="A404" s="1">
        <v>46078</v>
      </c>
      <c r="B404" t="s">
        <v>25</v>
      </c>
      <c r="C404" t="s">
        <v>32</v>
      </c>
      <c r="D404" t="s">
        <v>13</v>
      </c>
      <c r="E404" t="s">
        <v>14</v>
      </c>
      <c r="F404" t="s">
        <v>27</v>
      </c>
      <c r="G404" t="s">
        <v>22</v>
      </c>
      <c r="H404">
        <v>60000</v>
      </c>
      <c r="I404">
        <v>8</v>
      </c>
      <c r="J404" t="s">
        <v>24</v>
      </c>
      <c r="K404">
        <f t="shared" si="6"/>
        <v>48000</v>
      </c>
      <c r="L404">
        <f>Sales_Data2[[#This Row],[Unit Price]]*Sales_Data2[[#This Row],[Quantity]]</f>
        <v>480000</v>
      </c>
      <c r="M404">
        <f>Sales_Data2[[#This Row],[Cost Price]]*Sales_Data2[[#This Row],[Quantity]]</f>
        <v>384000</v>
      </c>
      <c r="N404" s="3">
        <f>Sales_Data2[[#This Row],[Revenue]]-Sales_Data2[[#This Row],[COGS]]</f>
        <v>96000</v>
      </c>
      <c r="O4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46078|South|Abuja|Retail|Online|Microwave M20|Home Appliances|60000|8|David|48000</v>
      </c>
      <c r="P404" s="3" t="str">
        <f>IF(COUNTIF(Sales_Data2[RowKey],Sales_Data2[[#This Row],[RowKey]])&gt;1,"Duplicate","Unique")</f>
        <v>Unique</v>
      </c>
      <c r="Q404" s="3" t="str">
        <f>IF(ISNUMBER(Sales_Data2[[#This Row],[Date]]),"OK","Check")</f>
        <v>OK</v>
      </c>
      <c r="R404" s="3" t="str">
        <f>IF(ISNUMBER(Sales_Data2[[#This Row],[Quantity]]),"OK","Check")</f>
        <v>OK</v>
      </c>
    </row>
    <row r="405" spans="1:18">
      <c r="A405" s="1">
        <v>46079</v>
      </c>
      <c r="B405" t="s">
        <v>25</v>
      </c>
      <c r="C405" t="s">
        <v>26</v>
      </c>
      <c r="D405" t="s">
        <v>13</v>
      </c>
      <c r="E405" t="s">
        <v>20</v>
      </c>
      <c r="F405" t="s">
        <v>41</v>
      </c>
      <c r="G405" t="s">
        <v>22</v>
      </c>
      <c r="H405">
        <v>220000</v>
      </c>
      <c r="I405">
        <v>3</v>
      </c>
      <c r="J405" t="s">
        <v>37</v>
      </c>
      <c r="K405">
        <f t="shared" si="6"/>
        <v>176000</v>
      </c>
      <c r="L405">
        <f>Sales_Data2[[#This Row],[Unit Price]]*Sales_Data2[[#This Row],[Quantity]]</f>
        <v>660000</v>
      </c>
      <c r="M405">
        <f>Sales_Data2[[#This Row],[Cost Price]]*Sales_Data2[[#This Row],[Quantity]]</f>
        <v>528000</v>
      </c>
      <c r="N405" s="3">
        <f>Sales_Data2[[#This Row],[Revenue]]-Sales_Data2[[#This Row],[COGS]]</f>
        <v>132000</v>
      </c>
      <c r="O4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46079|South|Kano|Retail|Store|Refrigerator R55|Home Appliances|220000|3|Aisha|176000</v>
      </c>
      <c r="P405" s="3" t="str">
        <f>IF(COUNTIF(Sales_Data2[RowKey],Sales_Data2[[#This Row],[RowKey]])&gt;1,"Duplicate","Unique")</f>
        <v>Unique</v>
      </c>
      <c r="Q405" s="3" t="str">
        <f>IF(ISNUMBER(Sales_Data2[[#This Row],[Date]]),"OK","Check")</f>
        <v>OK</v>
      </c>
      <c r="R405" s="3" t="str">
        <f>IF(ISNUMBER(Sales_Data2[[#This Row],[Quantity]]),"OK","Check")</f>
        <v>OK</v>
      </c>
    </row>
    <row r="406" spans="1:18">
      <c r="A406" s="1">
        <v>46080</v>
      </c>
      <c r="B406" t="s">
        <v>29</v>
      </c>
      <c r="C406" t="s">
        <v>32</v>
      </c>
      <c r="D406" t="s">
        <v>13</v>
      </c>
      <c r="E406" t="s">
        <v>14</v>
      </c>
      <c r="F406" t="s">
        <v>27</v>
      </c>
      <c r="G406" t="s">
        <v>22</v>
      </c>
      <c r="H406">
        <v>60000</v>
      </c>
      <c r="I406">
        <v>1</v>
      </c>
      <c r="J406" t="s">
        <v>35</v>
      </c>
      <c r="K406">
        <f t="shared" si="6"/>
        <v>48000</v>
      </c>
      <c r="L406">
        <f>Sales_Data2[[#This Row],[Unit Price]]*Sales_Data2[[#This Row],[Quantity]]</f>
        <v>60000</v>
      </c>
      <c r="M406">
        <f>Sales_Data2[[#This Row],[Cost Price]]*Sales_Data2[[#This Row],[Quantity]]</f>
        <v>48000</v>
      </c>
      <c r="N406" s="3">
        <f>Sales_Data2[[#This Row],[Revenue]]-Sales_Data2[[#This Row],[COGS]]</f>
        <v>12000</v>
      </c>
      <c r="O4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46080|North|Abuja|Retail|Online|Microwave M20|Home Appliances|60000|1|Peter|48000</v>
      </c>
      <c r="P406" s="3" t="str">
        <f>IF(COUNTIF(Sales_Data2[RowKey],Sales_Data2[[#This Row],[RowKey]])&gt;1,"Duplicate","Unique")</f>
        <v>Unique</v>
      </c>
      <c r="Q406" s="3" t="str">
        <f>IF(ISNUMBER(Sales_Data2[[#This Row],[Date]]),"OK","Check")</f>
        <v>OK</v>
      </c>
      <c r="R406" s="3" t="str">
        <f>IF(ISNUMBER(Sales_Data2[[#This Row],[Quantity]]),"OK","Check")</f>
        <v>OK</v>
      </c>
    </row>
    <row r="407" spans="1:18">
      <c r="A407" s="1">
        <v>46081</v>
      </c>
      <c r="B407" t="s">
        <v>18</v>
      </c>
      <c r="C407" t="s">
        <v>19</v>
      </c>
      <c r="D407" t="s">
        <v>23</v>
      </c>
      <c r="E407" t="s">
        <v>14</v>
      </c>
      <c r="F407" t="s">
        <v>36</v>
      </c>
      <c r="G407" t="s">
        <v>31</v>
      </c>
      <c r="H407">
        <v>150000</v>
      </c>
      <c r="I407">
        <v>1</v>
      </c>
      <c r="J407" t="s">
        <v>28</v>
      </c>
      <c r="K407">
        <f t="shared" si="6"/>
        <v>120000</v>
      </c>
      <c r="L407">
        <f>Sales_Data2[[#This Row],[Unit Price]]*Sales_Data2[[#This Row],[Quantity]]</f>
        <v>150000</v>
      </c>
      <c r="M407">
        <f>Sales_Data2[[#This Row],[Cost Price]]*Sales_Data2[[#This Row],[Quantity]]</f>
        <v>120000</v>
      </c>
      <c r="N407" s="3">
        <f>Sales_Data2[[#This Row],[Revenue]]-Sales_Data2[[#This Row],[COGS]]</f>
        <v>30000</v>
      </c>
      <c r="O4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46081|East|Lagos|Corporate|Online|Printer P50|Electronics|150000|1|Musa|120000</v>
      </c>
      <c r="P407" s="3" t="str">
        <f>IF(COUNTIF(Sales_Data2[RowKey],Sales_Data2[[#This Row],[RowKey]])&gt;1,"Duplicate","Unique")</f>
        <v>Unique</v>
      </c>
      <c r="Q407" s="3" t="str">
        <f>IF(ISNUMBER(Sales_Data2[[#This Row],[Date]]),"OK","Check")</f>
        <v>OK</v>
      </c>
      <c r="R407" s="3" t="str">
        <f>IF(ISNUMBER(Sales_Data2[[#This Row],[Quantity]]),"OK","Check")</f>
        <v>OK</v>
      </c>
    </row>
    <row r="408" spans="1:18">
      <c r="A408" s="1">
        <v>46082</v>
      </c>
      <c r="B408" t="s">
        <v>11</v>
      </c>
      <c r="C408" t="s">
        <v>26</v>
      </c>
      <c r="D408" t="s">
        <v>23</v>
      </c>
      <c r="E408" t="s">
        <v>14</v>
      </c>
      <c r="F408" t="s">
        <v>34</v>
      </c>
      <c r="G408" t="s">
        <v>16</v>
      </c>
      <c r="H408">
        <v>320000</v>
      </c>
      <c r="I408">
        <v>7</v>
      </c>
      <c r="J408" t="s">
        <v>39</v>
      </c>
      <c r="K408">
        <f t="shared" si="6"/>
        <v>256000</v>
      </c>
      <c r="L408">
        <f>Sales_Data2[[#This Row],[Unit Price]]*Sales_Data2[[#This Row],[Quantity]]</f>
        <v>2240000</v>
      </c>
      <c r="M408">
        <f>Sales_Data2[[#This Row],[Cost Price]]*Sales_Data2[[#This Row],[Quantity]]</f>
        <v>1792000</v>
      </c>
      <c r="N408" s="3">
        <f>Sales_Data2[[#This Row],[Revenue]]-Sales_Data2[[#This Row],[COGS]]</f>
        <v>448000</v>
      </c>
      <c r="O4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46082|West|Kano|Corporate|Online|Sofa Classic|Furniture|320000|7|Grace|256000</v>
      </c>
      <c r="P408" s="3" t="str">
        <f>IF(COUNTIF(Sales_Data2[RowKey],Sales_Data2[[#This Row],[RowKey]])&gt;1,"Duplicate","Unique")</f>
        <v>Unique</v>
      </c>
      <c r="Q408" s="3" t="str">
        <f>IF(ISNUMBER(Sales_Data2[[#This Row],[Date]]),"OK","Check")</f>
        <v>OK</v>
      </c>
      <c r="R408" s="3" t="str">
        <f>IF(ISNUMBER(Sales_Data2[[#This Row],[Quantity]]),"OK","Check")</f>
        <v>OK</v>
      </c>
    </row>
    <row r="409" spans="1:18">
      <c r="A409" s="1">
        <v>46083</v>
      </c>
      <c r="B409" t="s">
        <v>25</v>
      </c>
      <c r="C409" t="s">
        <v>26</v>
      </c>
      <c r="D409" t="s">
        <v>13</v>
      </c>
      <c r="E409" t="s">
        <v>20</v>
      </c>
      <c r="F409" t="s">
        <v>15</v>
      </c>
      <c r="G409" t="s">
        <v>16</v>
      </c>
      <c r="H409">
        <v>85000</v>
      </c>
      <c r="I409">
        <v>10</v>
      </c>
      <c r="J409" t="s">
        <v>28</v>
      </c>
      <c r="K409">
        <f t="shared" si="6"/>
        <v>68000</v>
      </c>
      <c r="L409">
        <f>Sales_Data2[[#This Row],[Unit Price]]*Sales_Data2[[#This Row],[Quantity]]</f>
        <v>850000</v>
      </c>
      <c r="M409">
        <f>Sales_Data2[[#This Row],[Cost Price]]*Sales_Data2[[#This Row],[Quantity]]</f>
        <v>680000</v>
      </c>
      <c r="N409" s="3">
        <f>Sales_Data2[[#This Row],[Revenue]]-Sales_Data2[[#This Row],[COGS]]</f>
        <v>170000</v>
      </c>
      <c r="O4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46083|South|Kano|Retail|Store|Office Chair Pro|Furniture|85000|10|Musa|68000</v>
      </c>
      <c r="P409" s="3" t="str">
        <f>IF(COUNTIF(Sales_Data2[RowKey],Sales_Data2[[#This Row],[RowKey]])&gt;1,"Duplicate","Unique")</f>
        <v>Unique</v>
      </c>
      <c r="Q409" s="3" t="str">
        <f>IF(ISNUMBER(Sales_Data2[[#This Row],[Date]]),"OK","Check")</f>
        <v>OK</v>
      </c>
      <c r="R409" s="3" t="str">
        <f>IF(ISNUMBER(Sales_Data2[[#This Row],[Quantity]]),"OK","Check")</f>
        <v>OK</v>
      </c>
    </row>
    <row r="410" spans="1:18">
      <c r="A410" s="1">
        <v>46084</v>
      </c>
      <c r="B410" t="s">
        <v>11</v>
      </c>
      <c r="C410" t="s">
        <v>12</v>
      </c>
      <c r="D410" t="s">
        <v>23</v>
      </c>
      <c r="E410" t="s">
        <v>14</v>
      </c>
      <c r="F410" t="s">
        <v>36</v>
      </c>
      <c r="G410" t="s">
        <v>31</v>
      </c>
      <c r="H410">
        <v>150000</v>
      </c>
      <c r="I410">
        <v>10</v>
      </c>
      <c r="J410" t="s">
        <v>17</v>
      </c>
      <c r="K410">
        <f t="shared" si="6"/>
        <v>120000</v>
      </c>
      <c r="L410">
        <f>Sales_Data2[[#This Row],[Unit Price]]*Sales_Data2[[#This Row],[Quantity]]</f>
        <v>1500000</v>
      </c>
      <c r="M410">
        <f>Sales_Data2[[#This Row],[Cost Price]]*Sales_Data2[[#This Row],[Quantity]]</f>
        <v>1200000</v>
      </c>
      <c r="N410" s="3">
        <f>Sales_Data2[[#This Row],[Revenue]]-Sales_Data2[[#This Row],[COGS]]</f>
        <v>300000</v>
      </c>
      <c r="O4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46084|West|Port Harcourt|Corporate|Online|Printer P50|Electronics|150000|10|Chidinma|120000</v>
      </c>
      <c r="P410" s="3" t="str">
        <f>IF(COUNTIF(Sales_Data2[RowKey],Sales_Data2[[#This Row],[RowKey]])&gt;1,"Duplicate","Unique")</f>
        <v>Unique</v>
      </c>
      <c r="Q410" s="3" t="str">
        <f>IF(ISNUMBER(Sales_Data2[[#This Row],[Date]]),"OK","Check")</f>
        <v>OK</v>
      </c>
      <c r="R410" s="3" t="str">
        <f>IF(ISNUMBER(Sales_Data2[[#This Row],[Quantity]]),"OK","Check")</f>
        <v>OK</v>
      </c>
    </row>
    <row r="411" spans="1:18">
      <c r="A411" s="1">
        <v>46085</v>
      </c>
      <c r="B411" t="s">
        <v>25</v>
      </c>
      <c r="C411" t="s">
        <v>19</v>
      </c>
      <c r="D411" t="s">
        <v>23</v>
      </c>
      <c r="E411" t="s">
        <v>14</v>
      </c>
      <c r="F411" t="s">
        <v>27</v>
      </c>
      <c r="G411" t="s">
        <v>22</v>
      </c>
      <c r="H411">
        <v>60000</v>
      </c>
      <c r="I411">
        <v>2</v>
      </c>
      <c r="J411" t="s">
        <v>28</v>
      </c>
      <c r="K411">
        <f t="shared" si="6"/>
        <v>48000</v>
      </c>
      <c r="L411">
        <f>Sales_Data2[[#This Row],[Unit Price]]*Sales_Data2[[#This Row],[Quantity]]</f>
        <v>120000</v>
      </c>
      <c r="M411">
        <f>Sales_Data2[[#This Row],[Cost Price]]*Sales_Data2[[#This Row],[Quantity]]</f>
        <v>96000</v>
      </c>
      <c r="N411" s="3">
        <f>Sales_Data2[[#This Row],[Revenue]]-Sales_Data2[[#This Row],[COGS]]</f>
        <v>24000</v>
      </c>
      <c r="O4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46085|South|Lagos|Corporate|Online|Microwave M20|Home Appliances|60000|2|Musa|48000</v>
      </c>
      <c r="P411" s="3" t="str">
        <f>IF(COUNTIF(Sales_Data2[RowKey],Sales_Data2[[#This Row],[RowKey]])&gt;1,"Duplicate","Unique")</f>
        <v>Unique</v>
      </c>
      <c r="Q411" s="3" t="str">
        <f>IF(ISNUMBER(Sales_Data2[[#This Row],[Date]]),"OK","Check")</f>
        <v>OK</v>
      </c>
      <c r="R411" s="3" t="str">
        <f>IF(ISNUMBER(Sales_Data2[[#This Row],[Quantity]]),"OK","Check")</f>
        <v>OK</v>
      </c>
    </row>
    <row r="412" spans="1:18">
      <c r="A412" s="1">
        <v>46086</v>
      </c>
      <c r="B412" t="s">
        <v>29</v>
      </c>
      <c r="C412" t="s">
        <v>32</v>
      </c>
      <c r="D412" t="s">
        <v>23</v>
      </c>
      <c r="E412" t="s">
        <v>14</v>
      </c>
      <c r="F412" t="s">
        <v>30</v>
      </c>
      <c r="G412" t="s">
        <v>31</v>
      </c>
      <c r="H412">
        <v>300000</v>
      </c>
      <c r="I412">
        <v>6</v>
      </c>
      <c r="J412" t="s">
        <v>17</v>
      </c>
      <c r="K412">
        <f t="shared" si="6"/>
        <v>240000</v>
      </c>
      <c r="L412">
        <f>Sales_Data2[[#This Row],[Unit Price]]*Sales_Data2[[#This Row],[Quantity]]</f>
        <v>1800000</v>
      </c>
      <c r="M412">
        <f>Sales_Data2[[#This Row],[Cost Price]]*Sales_Data2[[#This Row],[Quantity]]</f>
        <v>1440000</v>
      </c>
      <c r="N412" s="3">
        <f>Sales_Data2[[#This Row],[Revenue]]-Sales_Data2[[#This Row],[COGS]]</f>
        <v>360000</v>
      </c>
      <c r="O4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46086|North|Abuja|Corporate|Online|Desktop PC D21|Electronics|300000|6|Chidinma|240000</v>
      </c>
      <c r="P412" s="3" t="str">
        <f>IF(COUNTIF(Sales_Data2[RowKey],Sales_Data2[[#This Row],[RowKey]])&gt;1,"Duplicate","Unique")</f>
        <v>Unique</v>
      </c>
      <c r="Q412" s="3" t="str">
        <f>IF(ISNUMBER(Sales_Data2[[#This Row],[Date]]),"OK","Check")</f>
        <v>OK</v>
      </c>
      <c r="R412" s="3" t="str">
        <f>IF(ISNUMBER(Sales_Data2[[#This Row],[Quantity]]),"OK","Check")</f>
        <v>OK</v>
      </c>
    </row>
    <row r="413" spans="1:18">
      <c r="A413" s="1">
        <v>46087</v>
      </c>
      <c r="B413" t="s">
        <v>18</v>
      </c>
      <c r="C413" t="s">
        <v>26</v>
      </c>
      <c r="D413" t="s">
        <v>13</v>
      </c>
      <c r="E413" t="s">
        <v>14</v>
      </c>
      <c r="F413" t="s">
        <v>36</v>
      </c>
      <c r="G413" t="s">
        <v>31</v>
      </c>
      <c r="H413">
        <v>150000</v>
      </c>
      <c r="I413">
        <v>3</v>
      </c>
      <c r="J413" t="s">
        <v>37</v>
      </c>
      <c r="K413">
        <f t="shared" si="6"/>
        <v>120000</v>
      </c>
      <c r="L413">
        <f>Sales_Data2[[#This Row],[Unit Price]]*Sales_Data2[[#This Row],[Quantity]]</f>
        <v>450000</v>
      </c>
      <c r="M413">
        <f>Sales_Data2[[#This Row],[Cost Price]]*Sales_Data2[[#This Row],[Quantity]]</f>
        <v>360000</v>
      </c>
      <c r="N413" s="3">
        <f>Sales_Data2[[#This Row],[Revenue]]-Sales_Data2[[#This Row],[COGS]]</f>
        <v>90000</v>
      </c>
      <c r="O4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46087|East|Kano|Retail|Online|Printer P50|Electronics|150000|3|Aisha|120000</v>
      </c>
      <c r="P413" s="3" t="str">
        <f>IF(COUNTIF(Sales_Data2[RowKey],Sales_Data2[[#This Row],[RowKey]])&gt;1,"Duplicate","Unique")</f>
        <v>Unique</v>
      </c>
      <c r="Q413" s="3" t="str">
        <f>IF(ISNUMBER(Sales_Data2[[#This Row],[Date]]),"OK","Check")</f>
        <v>OK</v>
      </c>
      <c r="R413" s="3" t="str">
        <f>IF(ISNUMBER(Sales_Data2[[#This Row],[Quantity]]),"OK","Check")</f>
        <v>OK</v>
      </c>
    </row>
    <row r="414" spans="1:18">
      <c r="A414" s="1">
        <v>46088</v>
      </c>
      <c r="B414" t="s">
        <v>11</v>
      </c>
      <c r="C414" t="s">
        <v>12</v>
      </c>
      <c r="D414" t="s">
        <v>23</v>
      </c>
      <c r="E414" t="s">
        <v>14</v>
      </c>
      <c r="F414" t="s">
        <v>21</v>
      </c>
      <c r="G414" t="s">
        <v>22</v>
      </c>
      <c r="H414">
        <v>30000</v>
      </c>
      <c r="I414">
        <v>2</v>
      </c>
      <c r="J414" t="s">
        <v>24</v>
      </c>
      <c r="K414">
        <f t="shared" si="6"/>
        <v>24000</v>
      </c>
      <c r="L414">
        <f>Sales_Data2[[#This Row],[Unit Price]]*Sales_Data2[[#This Row],[Quantity]]</f>
        <v>60000</v>
      </c>
      <c r="M414">
        <f>Sales_Data2[[#This Row],[Cost Price]]*Sales_Data2[[#This Row],[Quantity]]</f>
        <v>48000</v>
      </c>
      <c r="N414" s="3">
        <f>Sales_Data2[[#This Row],[Revenue]]-Sales_Data2[[#This Row],[COGS]]</f>
        <v>12000</v>
      </c>
      <c r="O4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46088|West|Port Harcourt|Corporate|Online|Blender B10|Home Appliances|30000|2|David|24000</v>
      </c>
      <c r="P414" s="3" t="str">
        <f>IF(COUNTIF(Sales_Data2[RowKey],Sales_Data2[[#This Row],[RowKey]])&gt;1,"Duplicate","Unique")</f>
        <v>Unique</v>
      </c>
      <c r="Q414" s="3" t="str">
        <f>IF(ISNUMBER(Sales_Data2[[#This Row],[Date]]),"OK","Check")</f>
        <v>OK</v>
      </c>
      <c r="R414" s="3" t="str">
        <f>IF(ISNUMBER(Sales_Data2[[#This Row],[Quantity]]),"OK","Check")</f>
        <v>OK</v>
      </c>
    </row>
    <row r="415" spans="1:18">
      <c r="A415" s="1">
        <v>46089</v>
      </c>
      <c r="B415" t="s">
        <v>18</v>
      </c>
      <c r="C415" t="s">
        <v>19</v>
      </c>
      <c r="D415" t="s">
        <v>13</v>
      </c>
      <c r="E415" t="s">
        <v>14</v>
      </c>
      <c r="F415" t="s">
        <v>33</v>
      </c>
      <c r="G415" t="s">
        <v>22</v>
      </c>
      <c r="H415">
        <v>180000</v>
      </c>
      <c r="I415">
        <v>2</v>
      </c>
      <c r="J415" t="s">
        <v>37</v>
      </c>
      <c r="K415">
        <f t="shared" si="6"/>
        <v>144000</v>
      </c>
      <c r="L415">
        <f>Sales_Data2[[#This Row],[Unit Price]]*Sales_Data2[[#This Row],[Quantity]]</f>
        <v>360000</v>
      </c>
      <c r="M415">
        <f>Sales_Data2[[#This Row],[Cost Price]]*Sales_Data2[[#This Row],[Quantity]]</f>
        <v>288000</v>
      </c>
      <c r="N415" s="3">
        <f>Sales_Data2[[#This Row],[Revenue]]-Sales_Data2[[#This Row],[COGS]]</f>
        <v>72000</v>
      </c>
      <c r="O4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46089|East|Lagos|Retail|Online|Air Conditioner X2|Home Appliances|180000|2|Aisha|144000</v>
      </c>
      <c r="P415" s="3" t="str">
        <f>IF(COUNTIF(Sales_Data2[RowKey],Sales_Data2[[#This Row],[RowKey]])&gt;1,"Duplicate","Unique")</f>
        <v>Unique</v>
      </c>
      <c r="Q415" s="3" t="str">
        <f>IF(ISNUMBER(Sales_Data2[[#This Row],[Date]]),"OK","Check")</f>
        <v>OK</v>
      </c>
      <c r="R415" s="3" t="str">
        <f>IF(ISNUMBER(Sales_Data2[[#This Row],[Quantity]]),"OK","Check")</f>
        <v>OK</v>
      </c>
    </row>
    <row r="416" spans="1:18">
      <c r="A416" s="1">
        <v>46090</v>
      </c>
      <c r="B416" t="s">
        <v>11</v>
      </c>
      <c r="C416" t="s">
        <v>26</v>
      </c>
      <c r="D416" t="s">
        <v>23</v>
      </c>
      <c r="E416" t="s">
        <v>14</v>
      </c>
      <c r="F416" t="s">
        <v>34</v>
      </c>
      <c r="G416" t="s">
        <v>16</v>
      </c>
      <c r="H416">
        <v>320000</v>
      </c>
      <c r="I416">
        <v>3</v>
      </c>
      <c r="J416" t="s">
        <v>28</v>
      </c>
      <c r="K416">
        <f t="shared" si="6"/>
        <v>256000</v>
      </c>
      <c r="L416">
        <f>Sales_Data2[[#This Row],[Unit Price]]*Sales_Data2[[#This Row],[Quantity]]</f>
        <v>960000</v>
      </c>
      <c r="M416">
        <f>Sales_Data2[[#This Row],[Cost Price]]*Sales_Data2[[#This Row],[Quantity]]</f>
        <v>768000</v>
      </c>
      <c r="N416" s="3">
        <f>Sales_Data2[[#This Row],[Revenue]]-Sales_Data2[[#This Row],[COGS]]</f>
        <v>192000</v>
      </c>
      <c r="O4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46090|West|Kano|Corporate|Online|Sofa Classic|Furniture|320000|3|Musa|256000</v>
      </c>
      <c r="P416" s="3" t="str">
        <f>IF(COUNTIF(Sales_Data2[RowKey],Sales_Data2[[#This Row],[RowKey]])&gt;1,"Duplicate","Unique")</f>
        <v>Unique</v>
      </c>
      <c r="Q416" s="3" t="str">
        <f>IF(ISNUMBER(Sales_Data2[[#This Row],[Date]]),"OK","Check")</f>
        <v>OK</v>
      </c>
      <c r="R416" s="3" t="str">
        <f>IF(ISNUMBER(Sales_Data2[[#This Row],[Quantity]]),"OK","Check")</f>
        <v>OK</v>
      </c>
    </row>
    <row r="417" spans="1:18">
      <c r="A417" s="1">
        <v>46091</v>
      </c>
      <c r="B417" t="s">
        <v>25</v>
      </c>
      <c r="C417" t="s">
        <v>26</v>
      </c>
      <c r="D417" t="s">
        <v>23</v>
      </c>
      <c r="E417" t="s">
        <v>20</v>
      </c>
      <c r="F417" t="s">
        <v>21</v>
      </c>
      <c r="G417" t="s">
        <v>22</v>
      </c>
      <c r="H417">
        <v>30000</v>
      </c>
      <c r="I417">
        <v>3</v>
      </c>
      <c r="J417" t="s">
        <v>37</v>
      </c>
      <c r="K417">
        <f t="shared" si="6"/>
        <v>24000</v>
      </c>
      <c r="L417">
        <f>Sales_Data2[[#This Row],[Unit Price]]*Sales_Data2[[#This Row],[Quantity]]</f>
        <v>90000</v>
      </c>
      <c r="M417">
        <f>Sales_Data2[[#This Row],[Cost Price]]*Sales_Data2[[#This Row],[Quantity]]</f>
        <v>72000</v>
      </c>
      <c r="N417" s="3">
        <f>Sales_Data2[[#This Row],[Revenue]]-Sales_Data2[[#This Row],[COGS]]</f>
        <v>18000</v>
      </c>
      <c r="O4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46091|South|Kano|Corporate|Store|Blender B10|Home Appliances|30000|3|Aisha|24000</v>
      </c>
      <c r="P417" s="3" t="str">
        <f>IF(COUNTIF(Sales_Data2[RowKey],Sales_Data2[[#This Row],[RowKey]])&gt;1,"Duplicate","Unique")</f>
        <v>Unique</v>
      </c>
      <c r="Q417" s="3" t="str">
        <f>IF(ISNUMBER(Sales_Data2[[#This Row],[Date]]),"OK","Check")</f>
        <v>OK</v>
      </c>
      <c r="R417" s="3" t="str">
        <f>IF(ISNUMBER(Sales_Data2[[#This Row],[Quantity]]),"OK","Check")</f>
        <v>OK</v>
      </c>
    </row>
    <row r="418" spans="1:18">
      <c r="A418" s="1">
        <v>46092</v>
      </c>
      <c r="B418" t="s">
        <v>11</v>
      </c>
      <c r="C418" t="s">
        <v>32</v>
      </c>
      <c r="D418" t="s">
        <v>13</v>
      </c>
      <c r="E418" t="s">
        <v>20</v>
      </c>
      <c r="F418" t="s">
        <v>15</v>
      </c>
      <c r="G418" t="s">
        <v>16</v>
      </c>
      <c r="H418">
        <v>85000</v>
      </c>
      <c r="I418">
        <v>3</v>
      </c>
      <c r="J418" t="s">
        <v>35</v>
      </c>
      <c r="K418">
        <f t="shared" si="6"/>
        <v>68000</v>
      </c>
      <c r="L418">
        <f>Sales_Data2[[#This Row],[Unit Price]]*Sales_Data2[[#This Row],[Quantity]]</f>
        <v>255000</v>
      </c>
      <c r="M418">
        <f>Sales_Data2[[#This Row],[Cost Price]]*Sales_Data2[[#This Row],[Quantity]]</f>
        <v>204000</v>
      </c>
      <c r="N418" s="3">
        <f>Sales_Data2[[#This Row],[Revenue]]-Sales_Data2[[#This Row],[COGS]]</f>
        <v>51000</v>
      </c>
      <c r="O4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46092|West|Abuja|Retail|Store|Office Chair Pro|Furniture|85000|3|Peter|68000</v>
      </c>
      <c r="P418" s="3" t="str">
        <f>IF(COUNTIF(Sales_Data2[RowKey],Sales_Data2[[#This Row],[RowKey]])&gt;1,"Duplicate","Unique")</f>
        <v>Unique</v>
      </c>
      <c r="Q418" s="3" t="str">
        <f>IF(ISNUMBER(Sales_Data2[[#This Row],[Date]]),"OK","Check")</f>
        <v>OK</v>
      </c>
      <c r="R418" s="3" t="str">
        <f>IF(ISNUMBER(Sales_Data2[[#This Row],[Quantity]]),"OK","Check")</f>
        <v>OK</v>
      </c>
    </row>
    <row r="419" spans="1:18">
      <c r="A419" s="1">
        <v>46093</v>
      </c>
      <c r="B419" t="s">
        <v>29</v>
      </c>
      <c r="C419" t="s">
        <v>26</v>
      </c>
      <c r="D419" t="s">
        <v>13</v>
      </c>
      <c r="E419" t="s">
        <v>20</v>
      </c>
      <c r="F419" t="s">
        <v>15</v>
      </c>
      <c r="G419" t="s">
        <v>16</v>
      </c>
      <c r="H419">
        <v>85000</v>
      </c>
      <c r="I419">
        <v>10</v>
      </c>
      <c r="J419" t="s">
        <v>37</v>
      </c>
      <c r="K419">
        <f t="shared" si="6"/>
        <v>68000</v>
      </c>
      <c r="L419">
        <f>Sales_Data2[[#This Row],[Unit Price]]*Sales_Data2[[#This Row],[Quantity]]</f>
        <v>850000</v>
      </c>
      <c r="M419">
        <f>Sales_Data2[[#This Row],[Cost Price]]*Sales_Data2[[#This Row],[Quantity]]</f>
        <v>680000</v>
      </c>
      <c r="N419" s="3">
        <f>Sales_Data2[[#This Row],[Revenue]]-Sales_Data2[[#This Row],[COGS]]</f>
        <v>170000</v>
      </c>
      <c r="O4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46093|North|Kano|Retail|Store|Office Chair Pro|Furniture|85000|10|Aisha|68000</v>
      </c>
      <c r="P419" s="3" t="str">
        <f>IF(COUNTIF(Sales_Data2[RowKey],Sales_Data2[[#This Row],[RowKey]])&gt;1,"Duplicate","Unique")</f>
        <v>Unique</v>
      </c>
      <c r="Q419" s="3" t="str">
        <f>IF(ISNUMBER(Sales_Data2[[#This Row],[Date]]),"OK","Check")</f>
        <v>OK</v>
      </c>
      <c r="R419" s="3" t="str">
        <f>IF(ISNUMBER(Sales_Data2[[#This Row],[Quantity]]),"OK","Check")</f>
        <v>OK</v>
      </c>
    </row>
    <row r="420" spans="1:18">
      <c r="A420" s="1">
        <v>46094</v>
      </c>
      <c r="B420" t="s">
        <v>18</v>
      </c>
      <c r="C420" t="s">
        <v>12</v>
      </c>
      <c r="D420" t="s">
        <v>23</v>
      </c>
      <c r="E420" t="s">
        <v>20</v>
      </c>
      <c r="F420" t="s">
        <v>33</v>
      </c>
      <c r="G420" t="s">
        <v>22</v>
      </c>
      <c r="H420">
        <v>180000</v>
      </c>
      <c r="I420">
        <v>10</v>
      </c>
      <c r="J420" t="s">
        <v>17</v>
      </c>
      <c r="K420">
        <f t="shared" si="6"/>
        <v>144000</v>
      </c>
      <c r="L420">
        <f>Sales_Data2[[#This Row],[Unit Price]]*Sales_Data2[[#This Row],[Quantity]]</f>
        <v>1800000</v>
      </c>
      <c r="M420">
        <f>Sales_Data2[[#This Row],[Cost Price]]*Sales_Data2[[#This Row],[Quantity]]</f>
        <v>1440000</v>
      </c>
      <c r="N420" s="3">
        <f>Sales_Data2[[#This Row],[Revenue]]-Sales_Data2[[#This Row],[COGS]]</f>
        <v>360000</v>
      </c>
      <c r="O4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46094|East|Port Harcourt|Corporate|Store|Air Conditioner X2|Home Appliances|180000|10|Chidinma|144000</v>
      </c>
      <c r="P420" s="3" t="str">
        <f>IF(COUNTIF(Sales_Data2[RowKey],Sales_Data2[[#This Row],[RowKey]])&gt;1,"Duplicate","Unique")</f>
        <v>Unique</v>
      </c>
      <c r="Q420" s="3" t="str">
        <f>IF(ISNUMBER(Sales_Data2[[#This Row],[Date]]),"OK","Check")</f>
        <v>OK</v>
      </c>
      <c r="R420" s="3" t="str">
        <f>IF(ISNUMBER(Sales_Data2[[#This Row],[Quantity]]),"OK","Check")</f>
        <v>OK</v>
      </c>
    </row>
    <row r="421" spans="1:18">
      <c r="A421" s="1">
        <v>46095</v>
      </c>
      <c r="B421" t="s">
        <v>11</v>
      </c>
      <c r="C421" t="s">
        <v>19</v>
      </c>
      <c r="D421" t="s">
        <v>13</v>
      </c>
      <c r="E421" t="s">
        <v>20</v>
      </c>
      <c r="F421" t="s">
        <v>41</v>
      </c>
      <c r="G421" t="s">
        <v>22</v>
      </c>
      <c r="H421">
        <v>220000</v>
      </c>
      <c r="I421">
        <v>9</v>
      </c>
      <c r="J421" t="s">
        <v>28</v>
      </c>
      <c r="K421">
        <f t="shared" si="6"/>
        <v>176000</v>
      </c>
      <c r="L421">
        <f>Sales_Data2[[#This Row],[Unit Price]]*Sales_Data2[[#This Row],[Quantity]]</f>
        <v>1980000</v>
      </c>
      <c r="M421">
        <f>Sales_Data2[[#This Row],[Cost Price]]*Sales_Data2[[#This Row],[Quantity]]</f>
        <v>1584000</v>
      </c>
      <c r="N421" s="3">
        <f>Sales_Data2[[#This Row],[Revenue]]-Sales_Data2[[#This Row],[COGS]]</f>
        <v>396000</v>
      </c>
      <c r="O4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46095|West|Lagos|Retail|Store|Refrigerator R55|Home Appliances|220000|9|Musa|176000</v>
      </c>
      <c r="P421" s="3" t="str">
        <f>IF(COUNTIF(Sales_Data2[RowKey],Sales_Data2[[#This Row],[RowKey]])&gt;1,"Duplicate","Unique")</f>
        <v>Unique</v>
      </c>
      <c r="Q421" s="3" t="str">
        <f>IF(ISNUMBER(Sales_Data2[[#This Row],[Date]]),"OK","Check")</f>
        <v>OK</v>
      </c>
      <c r="R421" s="3" t="str">
        <f>IF(ISNUMBER(Sales_Data2[[#This Row],[Quantity]]),"OK","Check")</f>
        <v>OK</v>
      </c>
    </row>
    <row r="422" spans="1:18">
      <c r="A422" s="1">
        <v>46096</v>
      </c>
      <c r="B422" t="s">
        <v>11</v>
      </c>
      <c r="C422" t="s">
        <v>32</v>
      </c>
      <c r="D422" t="s">
        <v>23</v>
      </c>
      <c r="E422" t="s">
        <v>20</v>
      </c>
      <c r="F422" t="s">
        <v>38</v>
      </c>
      <c r="G422" t="s">
        <v>31</v>
      </c>
      <c r="H422">
        <v>420000</v>
      </c>
      <c r="I422">
        <v>9</v>
      </c>
      <c r="J422" t="s">
        <v>28</v>
      </c>
      <c r="K422">
        <f t="shared" si="6"/>
        <v>336000</v>
      </c>
      <c r="L422">
        <f>Sales_Data2[[#This Row],[Unit Price]]*Sales_Data2[[#This Row],[Quantity]]</f>
        <v>3780000</v>
      </c>
      <c r="M422">
        <f>Sales_Data2[[#This Row],[Cost Price]]*Sales_Data2[[#This Row],[Quantity]]</f>
        <v>3024000</v>
      </c>
      <c r="N422" s="3">
        <f>Sales_Data2[[#This Row],[Revenue]]-Sales_Data2[[#This Row],[COGS]]</f>
        <v>756000</v>
      </c>
      <c r="O4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46096|West|Abuja|Corporate|Store|Laptop A13|Electronics|420000|9|Musa|336000</v>
      </c>
      <c r="P422" s="3" t="str">
        <f>IF(COUNTIF(Sales_Data2[RowKey],Sales_Data2[[#This Row],[RowKey]])&gt;1,"Duplicate","Unique")</f>
        <v>Unique</v>
      </c>
      <c r="Q422" s="3" t="str">
        <f>IF(ISNUMBER(Sales_Data2[[#This Row],[Date]]),"OK","Check")</f>
        <v>OK</v>
      </c>
      <c r="R422" s="3" t="str">
        <f>IF(ISNUMBER(Sales_Data2[[#This Row],[Quantity]]),"OK","Check")</f>
        <v>OK</v>
      </c>
    </row>
    <row r="423" spans="1:18">
      <c r="A423" s="1">
        <v>46097</v>
      </c>
      <c r="B423" t="s">
        <v>18</v>
      </c>
      <c r="C423" t="s">
        <v>12</v>
      </c>
      <c r="D423" t="s">
        <v>23</v>
      </c>
      <c r="E423" t="s">
        <v>14</v>
      </c>
      <c r="F423" t="s">
        <v>33</v>
      </c>
      <c r="G423" t="s">
        <v>22</v>
      </c>
      <c r="H423">
        <v>180000</v>
      </c>
      <c r="I423">
        <v>2</v>
      </c>
      <c r="J423" t="s">
        <v>37</v>
      </c>
      <c r="K423">
        <f t="shared" si="6"/>
        <v>144000</v>
      </c>
      <c r="L423">
        <f>Sales_Data2[[#This Row],[Unit Price]]*Sales_Data2[[#This Row],[Quantity]]</f>
        <v>360000</v>
      </c>
      <c r="M423">
        <f>Sales_Data2[[#This Row],[Cost Price]]*Sales_Data2[[#This Row],[Quantity]]</f>
        <v>288000</v>
      </c>
      <c r="N423" s="3">
        <f>Sales_Data2[[#This Row],[Revenue]]-Sales_Data2[[#This Row],[COGS]]</f>
        <v>72000</v>
      </c>
      <c r="O4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46097|East|Port Harcourt|Corporate|Online|Air Conditioner X2|Home Appliances|180000|2|Aisha|144000</v>
      </c>
      <c r="P423" s="3" t="str">
        <f>IF(COUNTIF(Sales_Data2[RowKey],Sales_Data2[[#This Row],[RowKey]])&gt;1,"Duplicate","Unique")</f>
        <v>Unique</v>
      </c>
      <c r="Q423" s="3" t="str">
        <f>IF(ISNUMBER(Sales_Data2[[#This Row],[Date]]),"OK","Check")</f>
        <v>OK</v>
      </c>
      <c r="R423" s="3" t="str">
        <f>IF(ISNUMBER(Sales_Data2[[#This Row],[Quantity]]),"OK","Check")</f>
        <v>OK</v>
      </c>
    </row>
    <row r="424" spans="1:18">
      <c r="A424" s="1">
        <v>46098</v>
      </c>
      <c r="B424" t="s">
        <v>11</v>
      </c>
      <c r="C424" t="s">
        <v>19</v>
      </c>
      <c r="D424" t="s">
        <v>23</v>
      </c>
      <c r="E424" t="s">
        <v>14</v>
      </c>
      <c r="F424" t="s">
        <v>30</v>
      </c>
      <c r="G424" t="s">
        <v>31</v>
      </c>
      <c r="H424">
        <v>300000</v>
      </c>
      <c r="I424">
        <v>3</v>
      </c>
      <c r="J424" t="s">
        <v>24</v>
      </c>
      <c r="K424">
        <f t="shared" si="6"/>
        <v>240000</v>
      </c>
      <c r="L424">
        <f>Sales_Data2[[#This Row],[Unit Price]]*Sales_Data2[[#This Row],[Quantity]]</f>
        <v>900000</v>
      </c>
      <c r="M424">
        <f>Sales_Data2[[#This Row],[Cost Price]]*Sales_Data2[[#This Row],[Quantity]]</f>
        <v>720000</v>
      </c>
      <c r="N424" s="3">
        <f>Sales_Data2[[#This Row],[Revenue]]-Sales_Data2[[#This Row],[COGS]]</f>
        <v>180000</v>
      </c>
      <c r="O4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46098|West|Lagos|Corporate|Online|Desktop PC D21|Electronics|300000|3|David|240000</v>
      </c>
      <c r="P424" s="3" t="str">
        <f>IF(COUNTIF(Sales_Data2[RowKey],Sales_Data2[[#This Row],[RowKey]])&gt;1,"Duplicate","Unique")</f>
        <v>Unique</v>
      </c>
      <c r="Q424" s="3" t="str">
        <f>IF(ISNUMBER(Sales_Data2[[#This Row],[Date]]),"OK","Check")</f>
        <v>OK</v>
      </c>
      <c r="R424" s="3" t="str">
        <f>IF(ISNUMBER(Sales_Data2[[#This Row],[Quantity]]),"OK","Check")</f>
        <v>OK</v>
      </c>
    </row>
    <row r="425" spans="1:18">
      <c r="A425" s="1">
        <v>46099</v>
      </c>
      <c r="B425" t="s">
        <v>29</v>
      </c>
      <c r="C425" t="s">
        <v>26</v>
      </c>
      <c r="D425" t="s">
        <v>23</v>
      </c>
      <c r="E425" t="s">
        <v>14</v>
      </c>
      <c r="F425" t="s">
        <v>33</v>
      </c>
      <c r="G425" t="s">
        <v>22</v>
      </c>
      <c r="H425">
        <v>180000</v>
      </c>
      <c r="I425">
        <v>1</v>
      </c>
      <c r="J425" t="s">
        <v>39</v>
      </c>
      <c r="K425">
        <f t="shared" si="6"/>
        <v>144000</v>
      </c>
      <c r="L425">
        <f>Sales_Data2[[#This Row],[Unit Price]]*Sales_Data2[[#This Row],[Quantity]]</f>
        <v>180000</v>
      </c>
      <c r="M425">
        <f>Sales_Data2[[#This Row],[Cost Price]]*Sales_Data2[[#This Row],[Quantity]]</f>
        <v>144000</v>
      </c>
      <c r="N425" s="3">
        <f>Sales_Data2[[#This Row],[Revenue]]-Sales_Data2[[#This Row],[COGS]]</f>
        <v>36000</v>
      </c>
      <c r="O4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46099|North|Kano|Corporate|Online|Air Conditioner X2|Home Appliances|180000|1|Grace|144000</v>
      </c>
      <c r="P425" s="3" t="str">
        <f>IF(COUNTIF(Sales_Data2[RowKey],Sales_Data2[[#This Row],[RowKey]])&gt;1,"Duplicate","Unique")</f>
        <v>Unique</v>
      </c>
      <c r="Q425" s="3" t="str">
        <f>IF(ISNUMBER(Sales_Data2[[#This Row],[Date]]),"OK","Check")</f>
        <v>OK</v>
      </c>
      <c r="R425" s="3" t="str">
        <f>IF(ISNUMBER(Sales_Data2[[#This Row],[Quantity]]),"OK","Check")</f>
        <v>OK</v>
      </c>
    </row>
    <row r="426" spans="1:18">
      <c r="A426" s="1">
        <v>46100</v>
      </c>
      <c r="B426" t="s">
        <v>29</v>
      </c>
      <c r="C426" t="s">
        <v>19</v>
      </c>
      <c r="D426" t="s">
        <v>13</v>
      </c>
      <c r="E426" t="s">
        <v>20</v>
      </c>
      <c r="F426" t="s">
        <v>34</v>
      </c>
      <c r="G426" t="s">
        <v>16</v>
      </c>
      <c r="H426">
        <v>320000</v>
      </c>
      <c r="I426">
        <v>9</v>
      </c>
      <c r="J426" t="s">
        <v>35</v>
      </c>
      <c r="K426">
        <f t="shared" si="6"/>
        <v>256000</v>
      </c>
      <c r="L426">
        <f>Sales_Data2[[#This Row],[Unit Price]]*Sales_Data2[[#This Row],[Quantity]]</f>
        <v>2880000</v>
      </c>
      <c r="M426">
        <f>Sales_Data2[[#This Row],[Cost Price]]*Sales_Data2[[#This Row],[Quantity]]</f>
        <v>2304000</v>
      </c>
      <c r="N426" s="3">
        <f>Sales_Data2[[#This Row],[Revenue]]-Sales_Data2[[#This Row],[COGS]]</f>
        <v>576000</v>
      </c>
      <c r="O4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46100|North|Lagos|Retail|Store|Sofa Classic|Furniture|320000|9|Peter|256000</v>
      </c>
      <c r="P426" s="3" t="str">
        <f>IF(COUNTIF(Sales_Data2[RowKey],Sales_Data2[[#This Row],[RowKey]])&gt;1,"Duplicate","Unique")</f>
        <v>Unique</v>
      </c>
      <c r="Q426" s="3" t="str">
        <f>IF(ISNUMBER(Sales_Data2[[#This Row],[Date]]),"OK","Check")</f>
        <v>OK</v>
      </c>
      <c r="R426" s="3" t="str">
        <f>IF(ISNUMBER(Sales_Data2[[#This Row],[Quantity]]),"OK","Check")</f>
        <v>OK</v>
      </c>
    </row>
    <row r="427" spans="1:18">
      <c r="A427" s="1">
        <v>46101</v>
      </c>
      <c r="B427" t="s">
        <v>29</v>
      </c>
      <c r="C427" t="s">
        <v>12</v>
      </c>
      <c r="D427" t="s">
        <v>13</v>
      </c>
      <c r="E427" t="s">
        <v>14</v>
      </c>
      <c r="F427" t="s">
        <v>34</v>
      </c>
      <c r="G427" t="s">
        <v>16</v>
      </c>
      <c r="H427">
        <v>320000</v>
      </c>
      <c r="I427">
        <v>5</v>
      </c>
      <c r="J427" t="s">
        <v>24</v>
      </c>
      <c r="K427">
        <f t="shared" si="6"/>
        <v>256000</v>
      </c>
      <c r="L427">
        <f>Sales_Data2[[#This Row],[Unit Price]]*Sales_Data2[[#This Row],[Quantity]]</f>
        <v>1600000</v>
      </c>
      <c r="M427">
        <f>Sales_Data2[[#This Row],[Cost Price]]*Sales_Data2[[#This Row],[Quantity]]</f>
        <v>1280000</v>
      </c>
      <c r="N427" s="3">
        <f>Sales_Data2[[#This Row],[Revenue]]-Sales_Data2[[#This Row],[COGS]]</f>
        <v>320000</v>
      </c>
      <c r="O4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46101|North|Port Harcourt|Retail|Online|Sofa Classic|Furniture|320000|5|David|256000</v>
      </c>
      <c r="P427" s="3" t="str">
        <f>IF(COUNTIF(Sales_Data2[RowKey],Sales_Data2[[#This Row],[RowKey]])&gt;1,"Duplicate","Unique")</f>
        <v>Unique</v>
      </c>
      <c r="Q427" s="3" t="str">
        <f>IF(ISNUMBER(Sales_Data2[[#This Row],[Date]]),"OK","Check")</f>
        <v>OK</v>
      </c>
      <c r="R427" s="3" t="str">
        <f>IF(ISNUMBER(Sales_Data2[[#This Row],[Quantity]]),"OK","Check")</f>
        <v>OK</v>
      </c>
    </row>
    <row r="428" spans="1:18">
      <c r="A428" s="1">
        <v>46102</v>
      </c>
      <c r="B428" t="s">
        <v>29</v>
      </c>
      <c r="C428" t="s">
        <v>32</v>
      </c>
      <c r="D428" t="s">
        <v>13</v>
      </c>
      <c r="E428" t="s">
        <v>14</v>
      </c>
      <c r="F428" t="s">
        <v>27</v>
      </c>
      <c r="G428" t="s">
        <v>22</v>
      </c>
      <c r="H428">
        <v>60000</v>
      </c>
      <c r="I428">
        <v>8</v>
      </c>
      <c r="J428" t="s">
        <v>39</v>
      </c>
      <c r="K428">
        <f t="shared" si="6"/>
        <v>48000</v>
      </c>
      <c r="L428">
        <f>Sales_Data2[[#This Row],[Unit Price]]*Sales_Data2[[#This Row],[Quantity]]</f>
        <v>480000</v>
      </c>
      <c r="M428">
        <f>Sales_Data2[[#This Row],[Cost Price]]*Sales_Data2[[#This Row],[Quantity]]</f>
        <v>384000</v>
      </c>
      <c r="N428" s="3">
        <f>Sales_Data2[[#This Row],[Revenue]]-Sales_Data2[[#This Row],[COGS]]</f>
        <v>96000</v>
      </c>
      <c r="O4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46102|North|Abuja|Retail|Online|Microwave M20|Home Appliances|60000|8|Grace|48000</v>
      </c>
      <c r="P428" s="3" t="str">
        <f>IF(COUNTIF(Sales_Data2[RowKey],Sales_Data2[[#This Row],[RowKey]])&gt;1,"Duplicate","Unique")</f>
        <v>Unique</v>
      </c>
      <c r="Q428" s="3" t="str">
        <f>IF(ISNUMBER(Sales_Data2[[#This Row],[Date]]),"OK","Check")</f>
        <v>OK</v>
      </c>
      <c r="R428" s="3" t="str">
        <f>IF(ISNUMBER(Sales_Data2[[#This Row],[Quantity]]),"OK","Check")</f>
        <v>OK</v>
      </c>
    </row>
    <row r="429" spans="1:18">
      <c r="A429" s="1">
        <v>46103</v>
      </c>
      <c r="B429" t="s">
        <v>25</v>
      </c>
      <c r="C429" t="s">
        <v>12</v>
      </c>
      <c r="D429" t="s">
        <v>23</v>
      </c>
      <c r="E429" t="s">
        <v>14</v>
      </c>
      <c r="F429" t="s">
        <v>15</v>
      </c>
      <c r="G429" t="s">
        <v>16</v>
      </c>
      <c r="H429">
        <v>85000</v>
      </c>
      <c r="I429">
        <v>8</v>
      </c>
      <c r="J429" t="s">
        <v>24</v>
      </c>
      <c r="K429">
        <f t="shared" si="6"/>
        <v>68000</v>
      </c>
      <c r="L429">
        <f>Sales_Data2[[#This Row],[Unit Price]]*Sales_Data2[[#This Row],[Quantity]]</f>
        <v>680000</v>
      </c>
      <c r="M429">
        <f>Sales_Data2[[#This Row],[Cost Price]]*Sales_Data2[[#This Row],[Quantity]]</f>
        <v>544000</v>
      </c>
      <c r="N429" s="3">
        <f>Sales_Data2[[#This Row],[Revenue]]-Sales_Data2[[#This Row],[COGS]]</f>
        <v>136000</v>
      </c>
      <c r="O4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46103|South|Port Harcourt|Corporate|Online|Office Chair Pro|Furniture|85000|8|David|68000</v>
      </c>
      <c r="P429" s="3" t="str">
        <f>IF(COUNTIF(Sales_Data2[RowKey],Sales_Data2[[#This Row],[RowKey]])&gt;1,"Duplicate","Unique")</f>
        <v>Unique</v>
      </c>
      <c r="Q429" s="3" t="str">
        <f>IF(ISNUMBER(Sales_Data2[[#This Row],[Date]]),"OK","Check")</f>
        <v>OK</v>
      </c>
      <c r="R429" s="3" t="str">
        <f>IF(ISNUMBER(Sales_Data2[[#This Row],[Quantity]]),"OK","Check")</f>
        <v>OK</v>
      </c>
    </row>
    <row r="430" spans="1:18">
      <c r="A430" s="1">
        <v>46104</v>
      </c>
      <c r="B430" t="s">
        <v>18</v>
      </c>
      <c r="C430" t="s">
        <v>12</v>
      </c>
      <c r="D430" t="s">
        <v>13</v>
      </c>
      <c r="E430" t="s">
        <v>20</v>
      </c>
      <c r="F430" t="s">
        <v>34</v>
      </c>
      <c r="G430" t="s">
        <v>16</v>
      </c>
      <c r="H430">
        <v>320000</v>
      </c>
      <c r="I430">
        <v>5</v>
      </c>
      <c r="J430" t="s">
        <v>24</v>
      </c>
      <c r="K430">
        <f t="shared" si="6"/>
        <v>256000</v>
      </c>
      <c r="L430">
        <f>Sales_Data2[[#This Row],[Unit Price]]*Sales_Data2[[#This Row],[Quantity]]</f>
        <v>1600000</v>
      </c>
      <c r="M430">
        <f>Sales_Data2[[#This Row],[Cost Price]]*Sales_Data2[[#This Row],[Quantity]]</f>
        <v>1280000</v>
      </c>
      <c r="N430" s="3">
        <f>Sales_Data2[[#This Row],[Revenue]]-Sales_Data2[[#This Row],[COGS]]</f>
        <v>320000</v>
      </c>
      <c r="O4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46104|East|Port Harcourt|Retail|Store|Sofa Classic|Furniture|320000|5|David|256000</v>
      </c>
      <c r="P430" s="3" t="str">
        <f>IF(COUNTIF(Sales_Data2[RowKey],Sales_Data2[[#This Row],[RowKey]])&gt;1,"Duplicate","Unique")</f>
        <v>Unique</v>
      </c>
      <c r="Q430" s="3" t="str">
        <f>IF(ISNUMBER(Sales_Data2[[#This Row],[Date]]),"OK","Check")</f>
        <v>OK</v>
      </c>
      <c r="R430" s="3" t="str">
        <f>IF(ISNUMBER(Sales_Data2[[#This Row],[Quantity]]),"OK","Check")</f>
        <v>OK</v>
      </c>
    </row>
    <row r="431" spans="1:18">
      <c r="A431" s="1">
        <v>46105</v>
      </c>
      <c r="B431" t="s">
        <v>29</v>
      </c>
      <c r="C431" t="s">
        <v>26</v>
      </c>
      <c r="D431" t="s">
        <v>23</v>
      </c>
      <c r="E431" t="s">
        <v>14</v>
      </c>
      <c r="F431" t="s">
        <v>36</v>
      </c>
      <c r="G431" t="s">
        <v>31</v>
      </c>
      <c r="H431">
        <v>150000</v>
      </c>
      <c r="I431">
        <v>3</v>
      </c>
      <c r="J431" t="s">
        <v>37</v>
      </c>
      <c r="K431">
        <f t="shared" si="6"/>
        <v>120000</v>
      </c>
      <c r="L431">
        <f>Sales_Data2[[#This Row],[Unit Price]]*Sales_Data2[[#This Row],[Quantity]]</f>
        <v>450000</v>
      </c>
      <c r="M431">
        <f>Sales_Data2[[#This Row],[Cost Price]]*Sales_Data2[[#This Row],[Quantity]]</f>
        <v>360000</v>
      </c>
      <c r="N431" s="3">
        <f>Sales_Data2[[#This Row],[Revenue]]-Sales_Data2[[#This Row],[COGS]]</f>
        <v>90000</v>
      </c>
      <c r="O4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46105|North|Kano|Corporate|Online|Printer P50|Electronics|150000|3|Aisha|120000</v>
      </c>
      <c r="P431" s="3" t="str">
        <f>IF(COUNTIF(Sales_Data2[RowKey],Sales_Data2[[#This Row],[RowKey]])&gt;1,"Duplicate","Unique")</f>
        <v>Unique</v>
      </c>
      <c r="Q431" s="3" t="str">
        <f>IF(ISNUMBER(Sales_Data2[[#This Row],[Date]]),"OK","Check")</f>
        <v>OK</v>
      </c>
      <c r="R431" s="3" t="str">
        <f>IF(ISNUMBER(Sales_Data2[[#This Row],[Quantity]]),"OK","Check")</f>
        <v>OK</v>
      </c>
    </row>
    <row r="432" spans="1:18">
      <c r="A432" s="1">
        <v>46106</v>
      </c>
      <c r="B432" t="s">
        <v>29</v>
      </c>
      <c r="C432" t="s">
        <v>26</v>
      </c>
      <c r="D432" t="s">
        <v>13</v>
      </c>
      <c r="E432" t="s">
        <v>20</v>
      </c>
      <c r="F432" t="s">
        <v>36</v>
      </c>
      <c r="G432" t="s">
        <v>31</v>
      </c>
      <c r="H432">
        <v>150000</v>
      </c>
      <c r="I432">
        <v>1</v>
      </c>
      <c r="J432" t="s">
        <v>17</v>
      </c>
      <c r="K432">
        <f t="shared" si="6"/>
        <v>120000</v>
      </c>
      <c r="L432">
        <f>Sales_Data2[[#This Row],[Unit Price]]*Sales_Data2[[#This Row],[Quantity]]</f>
        <v>150000</v>
      </c>
      <c r="M432">
        <f>Sales_Data2[[#This Row],[Cost Price]]*Sales_Data2[[#This Row],[Quantity]]</f>
        <v>120000</v>
      </c>
      <c r="N432" s="3">
        <f>Sales_Data2[[#This Row],[Revenue]]-Sales_Data2[[#This Row],[COGS]]</f>
        <v>30000</v>
      </c>
      <c r="O4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46106|North|Kano|Retail|Store|Printer P50|Electronics|150000|1|Chidinma|120000</v>
      </c>
      <c r="P432" s="3" t="str">
        <f>IF(COUNTIF(Sales_Data2[RowKey],Sales_Data2[[#This Row],[RowKey]])&gt;1,"Duplicate","Unique")</f>
        <v>Unique</v>
      </c>
      <c r="Q432" s="3" t="str">
        <f>IF(ISNUMBER(Sales_Data2[[#This Row],[Date]]),"OK","Check")</f>
        <v>OK</v>
      </c>
      <c r="R432" s="3" t="str">
        <f>IF(ISNUMBER(Sales_Data2[[#This Row],[Quantity]]),"OK","Check")</f>
        <v>OK</v>
      </c>
    </row>
    <row r="433" spans="1:18">
      <c r="A433" s="1">
        <v>46107</v>
      </c>
      <c r="B433" t="s">
        <v>25</v>
      </c>
      <c r="C433" t="s">
        <v>26</v>
      </c>
      <c r="D433" t="s">
        <v>23</v>
      </c>
      <c r="E433" t="s">
        <v>14</v>
      </c>
      <c r="F433" t="s">
        <v>27</v>
      </c>
      <c r="G433" t="s">
        <v>22</v>
      </c>
      <c r="H433">
        <v>60000</v>
      </c>
      <c r="I433">
        <v>7</v>
      </c>
      <c r="J433" t="s">
        <v>24</v>
      </c>
      <c r="K433">
        <f t="shared" si="6"/>
        <v>48000</v>
      </c>
      <c r="L433">
        <f>Sales_Data2[[#This Row],[Unit Price]]*Sales_Data2[[#This Row],[Quantity]]</f>
        <v>420000</v>
      </c>
      <c r="M433">
        <f>Sales_Data2[[#This Row],[Cost Price]]*Sales_Data2[[#This Row],[Quantity]]</f>
        <v>336000</v>
      </c>
      <c r="N433" s="3">
        <f>Sales_Data2[[#This Row],[Revenue]]-Sales_Data2[[#This Row],[COGS]]</f>
        <v>84000</v>
      </c>
      <c r="O4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46107|South|Kano|Corporate|Online|Microwave M20|Home Appliances|60000|7|David|48000</v>
      </c>
      <c r="P433" s="3" t="str">
        <f>IF(COUNTIF(Sales_Data2[RowKey],Sales_Data2[[#This Row],[RowKey]])&gt;1,"Duplicate","Unique")</f>
        <v>Unique</v>
      </c>
      <c r="Q433" s="3" t="str">
        <f>IF(ISNUMBER(Sales_Data2[[#This Row],[Date]]),"OK","Check")</f>
        <v>OK</v>
      </c>
      <c r="R433" s="3" t="str">
        <f>IF(ISNUMBER(Sales_Data2[[#This Row],[Quantity]]),"OK","Check")</f>
        <v>OK</v>
      </c>
    </row>
    <row r="434" spans="1:18">
      <c r="A434" s="1">
        <v>46108</v>
      </c>
      <c r="B434" t="s">
        <v>11</v>
      </c>
      <c r="C434" t="s">
        <v>12</v>
      </c>
      <c r="D434" t="s">
        <v>13</v>
      </c>
      <c r="E434" t="s">
        <v>14</v>
      </c>
      <c r="F434" t="s">
        <v>33</v>
      </c>
      <c r="G434" t="s">
        <v>22</v>
      </c>
      <c r="H434">
        <v>180000</v>
      </c>
      <c r="I434">
        <v>1</v>
      </c>
      <c r="J434" t="s">
        <v>24</v>
      </c>
      <c r="K434">
        <f t="shared" si="6"/>
        <v>144000</v>
      </c>
      <c r="L434">
        <f>Sales_Data2[[#This Row],[Unit Price]]*Sales_Data2[[#This Row],[Quantity]]</f>
        <v>180000</v>
      </c>
      <c r="M434">
        <f>Sales_Data2[[#This Row],[Cost Price]]*Sales_Data2[[#This Row],[Quantity]]</f>
        <v>144000</v>
      </c>
      <c r="N434" s="3">
        <f>Sales_Data2[[#This Row],[Revenue]]-Sales_Data2[[#This Row],[COGS]]</f>
        <v>36000</v>
      </c>
      <c r="O4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46108|West|Port Harcourt|Retail|Online|Air Conditioner X2|Home Appliances|180000|1|David|144000</v>
      </c>
      <c r="P434" s="3" t="str">
        <f>IF(COUNTIF(Sales_Data2[RowKey],Sales_Data2[[#This Row],[RowKey]])&gt;1,"Duplicate","Unique")</f>
        <v>Unique</v>
      </c>
      <c r="Q434" s="3" t="str">
        <f>IF(ISNUMBER(Sales_Data2[[#This Row],[Date]]),"OK","Check")</f>
        <v>OK</v>
      </c>
      <c r="R434" s="3" t="str">
        <f>IF(ISNUMBER(Sales_Data2[[#This Row],[Quantity]]),"OK","Check")</f>
        <v>OK</v>
      </c>
    </row>
    <row r="435" spans="1:18">
      <c r="A435" s="1">
        <v>46109</v>
      </c>
      <c r="B435" t="s">
        <v>25</v>
      </c>
      <c r="C435" t="s">
        <v>12</v>
      </c>
      <c r="D435" t="s">
        <v>23</v>
      </c>
      <c r="E435" t="s">
        <v>14</v>
      </c>
      <c r="F435" t="s">
        <v>33</v>
      </c>
      <c r="G435" t="s">
        <v>22</v>
      </c>
      <c r="H435">
        <v>180000</v>
      </c>
      <c r="I435">
        <v>1</v>
      </c>
      <c r="J435" t="s">
        <v>35</v>
      </c>
      <c r="K435">
        <f t="shared" si="6"/>
        <v>144000</v>
      </c>
      <c r="L435">
        <f>Sales_Data2[[#This Row],[Unit Price]]*Sales_Data2[[#This Row],[Quantity]]</f>
        <v>180000</v>
      </c>
      <c r="M435">
        <f>Sales_Data2[[#This Row],[Cost Price]]*Sales_Data2[[#This Row],[Quantity]]</f>
        <v>144000</v>
      </c>
      <c r="N435" s="3">
        <f>Sales_Data2[[#This Row],[Revenue]]-Sales_Data2[[#This Row],[COGS]]</f>
        <v>36000</v>
      </c>
      <c r="O4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46109|South|Port Harcourt|Corporate|Online|Air Conditioner X2|Home Appliances|180000|1|Peter|144000</v>
      </c>
      <c r="P435" s="3" t="str">
        <f>IF(COUNTIF(Sales_Data2[RowKey],Sales_Data2[[#This Row],[RowKey]])&gt;1,"Duplicate","Unique")</f>
        <v>Unique</v>
      </c>
      <c r="Q435" s="3" t="str">
        <f>IF(ISNUMBER(Sales_Data2[[#This Row],[Date]]),"OK","Check")</f>
        <v>OK</v>
      </c>
      <c r="R435" s="3" t="str">
        <f>IF(ISNUMBER(Sales_Data2[[#This Row],[Quantity]]),"OK","Check")</f>
        <v>OK</v>
      </c>
    </row>
    <row r="436" spans="1:18">
      <c r="A436" s="1">
        <v>46110</v>
      </c>
      <c r="B436" t="s">
        <v>25</v>
      </c>
      <c r="C436" t="s">
        <v>12</v>
      </c>
      <c r="D436" t="s">
        <v>13</v>
      </c>
      <c r="E436" t="s">
        <v>20</v>
      </c>
      <c r="F436" t="s">
        <v>40</v>
      </c>
      <c r="G436" t="s">
        <v>31</v>
      </c>
      <c r="H436">
        <v>250000</v>
      </c>
      <c r="I436">
        <v>9</v>
      </c>
      <c r="J436" t="s">
        <v>17</v>
      </c>
      <c r="K436">
        <f t="shared" si="6"/>
        <v>200000</v>
      </c>
      <c r="L436">
        <f>Sales_Data2[[#This Row],[Unit Price]]*Sales_Data2[[#This Row],[Quantity]]</f>
        <v>2250000</v>
      </c>
      <c r="M436">
        <f>Sales_Data2[[#This Row],[Cost Price]]*Sales_Data2[[#This Row],[Quantity]]</f>
        <v>1800000</v>
      </c>
      <c r="N436" s="3">
        <f>Sales_Data2[[#This Row],[Revenue]]-Sales_Data2[[#This Row],[COGS]]</f>
        <v>450000</v>
      </c>
      <c r="O4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46110|South|Port Harcourt|Retail|Store|Smartphone Z10|Electronics|250000|9|Chidinma|200000</v>
      </c>
      <c r="P436" s="3" t="str">
        <f>IF(COUNTIF(Sales_Data2[RowKey],Sales_Data2[[#This Row],[RowKey]])&gt;1,"Duplicate","Unique")</f>
        <v>Unique</v>
      </c>
      <c r="Q436" s="3" t="str">
        <f>IF(ISNUMBER(Sales_Data2[[#This Row],[Date]]),"OK","Check")</f>
        <v>OK</v>
      </c>
      <c r="R436" s="3" t="str">
        <f>IF(ISNUMBER(Sales_Data2[[#This Row],[Quantity]]),"OK","Check")</f>
        <v>OK</v>
      </c>
    </row>
    <row r="437" spans="1:18">
      <c r="A437" s="1">
        <v>46111</v>
      </c>
      <c r="B437" t="s">
        <v>11</v>
      </c>
      <c r="C437" t="s">
        <v>26</v>
      </c>
      <c r="D437" t="s">
        <v>23</v>
      </c>
      <c r="E437" t="s">
        <v>14</v>
      </c>
      <c r="F437" t="s">
        <v>34</v>
      </c>
      <c r="G437" t="s">
        <v>16</v>
      </c>
      <c r="H437">
        <v>320000</v>
      </c>
      <c r="I437">
        <v>1</v>
      </c>
      <c r="J437" t="s">
        <v>24</v>
      </c>
      <c r="K437">
        <f t="shared" si="6"/>
        <v>256000</v>
      </c>
      <c r="L437">
        <f>Sales_Data2[[#This Row],[Unit Price]]*Sales_Data2[[#This Row],[Quantity]]</f>
        <v>320000</v>
      </c>
      <c r="M437">
        <f>Sales_Data2[[#This Row],[Cost Price]]*Sales_Data2[[#This Row],[Quantity]]</f>
        <v>256000</v>
      </c>
      <c r="N437" s="3">
        <f>Sales_Data2[[#This Row],[Revenue]]-Sales_Data2[[#This Row],[COGS]]</f>
        <v>64000</v>
      </c>
      <c r="O4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46111|West|Kano|Corporate|Online|Sofa Classic|Furniture|320000|1|David|256000</v>
      </c>
      <c r="P437" s="3" t="str">
        <f>IF(COUNTIF(Sales_Data2[RowKey],Sales_Data2[[#This Row],[RowKey]])&gt;1,"Duplicate","Unique")</f>
        <v>Unique</v>
      </c>
      <c r="Q437" s="3" t="str">
        <f>IF(ISNUMBER(Sales_Data2[[#This Row],[Date]]),"OK","Check")</f>
        <v>OK</v>
      </c>
      <c r="R437" s="3" t="str">
        <f>IF(ISNUMBER(Sales_Data2[[#This Row],[Quantity]]),"OK","Check")</f>
        <v>OK</v>
      </c>
    </row>
    <row r="438" spans="1:18">
      <c r="A438" s="1">
        <v>46112</v>
      </c>
      <c r="B438" t="s">
        <v>25</v>
      </c>
      <c r="C438" t="s">
        <v>19</v>
      </c>
      <c r="D438" t="s">
        <v>13</v>
      </c>
      <c r="E438" t="s">
        <v>20</v>
      </c>
      <c r="F438" t="s">
        <v>33</v>
      </c>
      <c r="G438" t="s">
        <v>22</v>
      </c>
      <c r="H438">
        <v>180000</v>
      </c>
      <c r="I438">
        <v>10</v>
      </c>
      <c r="J438" t="s">
        <v>17</v>
      </c>
      <c r="K438">
        <f t="shared" si="6"/>
        <v>144000</v>
      </c>
      <c r="L438">
        <f>Sales_Data2[[#This Row],[Unit Price]]*Sales_Data2[[#This Row],[Quantity]]</f>
        <v>1800000</v>
      </c>
      <c r="M438">
        <f>Sales_Data2[[#This Row],[Cost Price]]*Sales_Data2[[#This Row],[Quantity]]</f>
        <v>1440000</v>
      </c>
      <c r="N438" s="3">
        <f>Sales_Data2[[#This Row],[Revenue]]-Sales_Data2[[#This Row],[COGS]]</f>
        <v>360000</v>
      </c>
      <c r="O4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46112|South|Lagos|Retail|Store|Air Conditioner X2|Home Appliances|180000|10|Chidinma|144000</v>
      </c>
      <c r="P438" s="3" t="str">
        <f>IF(COUNTIF(Sales_Data2[RowKey],Sales_Data2[[#This Row],[RowKey]])&gt;1,"Duplicate","Unique")</f>
        <v>Unique</v>
      </c>
      <c r="Q438" s="3" t="str">
        <f>IF(ISNUMBER(Sales_Data2[[#This Row],[Date]]),"OK","Check")</f>
        <v>OK</v>
      </c>
      <c r="R438" s="3" t="str">
        <f>IF(ISNUMBER(Sales_Data2[[#This Row],[Quantity]]),"OK","Check")</f>
        <v>OK</v>
      </c>
    </row>
    <row r="439" spans="1:18">
      <c r="A439" s="1">
        <v>46113</v>
      </c>
      <c r="B439" t="s">
        <v>18</v>
      </c>
      <c r="C439" t="s">
        <v>26</v>
      </c>
      <c r="D439" t="s">
        <v>13</v>
      </c>
      <c r="E439" t="s">
        <v>20</v>
      </c>
      <c r="F439" t="s">
        <v>30</v>
      </c>
      <c r="G439" t="s">
        <v>31</v>
      </c>
      <c r="H439">
        <v>300000</v>
      </c>
      <c r="I439">
        <v>10</v>
      </c>
      <c r="J439" t="s">
        <v>35</v>
      </c>
      <c r="K439">
        <f t="shared" si="6"/>
        <v>240000</v>
      </c>
      <c r="L439">
        <f>Sales_Data2[[#This Row],[Unit Price]]*Sales_Data2[[#This Row],[Quantity]]</f>
        <v>3000000</v>
      </c>
      <c r="M439">
        <f>Sales_Data2[[#This Row],[Cost Price]]*Sales_Data2[[#This Row],[Quantity]]</f>
        <v>2400000</v>
      </c>
      <c r="N439" s="3">
        <f>Sales_Data2[[#This Row],[Revenue]]-Sales_Data2[[#This Row],[COGS]]</f>
        <v>600000</v>
      </c>
      <c r="O4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46113|East|Kano|Retail|Store|Desktop PC D21|Electronics|300000|10|Peter|240000</v>
      </c>
      <c r="P439" s="3" t="str">
        <f>IF(COUNTIF(Sales_Data2[RowKey],Sales_Data2[[#This Row],[RowKey]])&gt;1,"Duplicate","Unique")</f>
        <v>Unique</v>
      </c>
      <c r="Q439" s="3" t="str">
        <f>IF(ISNUMBER(Sales_Data2[[#This Row],[Date]]),"OK","Check")</f>
        <v>OK</v>
      </c>
      <c r="R439" s="3" t="str">
        <f>IF(ISNUMBER(Sales_Data2[[#This Row],[Quantity]]),"OK","Check")</f>
        <v>OK</v>
      </c>
    </row>
    <row r="440" spans="1:18">
      <c r="A440" s="1">
        <v>46114</v>
      </c>
      <c r="B440" t="s">
        <v>25</v>
      </c>
      <c r="C440" t="s">
        <v>12</v>
      </c>
      <c r="D440" t="s">
        <v>13</v>
      </c>
      <c r="E440" t="s">
        <v>14</v>
      </c>
      <c r="F440" t="s">
        <v>38</v>
      </c>
      <c r="G440" t="s">
        <v>31</v>
      </c>
      <c r="H440">
        <v>420000</v>
      </c>
      <c r="I440">
        <v>4</v>
      </c>
      <c r="J440" t="s">
        <v>37</v>
      </c>
      <c r="K440">
        <f t="shared" si="6"/>
        <v>336000</v>
      </c>
      <c r="L440">
        <f>Sales_Data2[[#This Row],[Unit Price]]*Sales_Data2[[#This Row],[Quantity]]</f>
        <v>1680000</v>
      </c>
      <c r="M440">
        <f>Sales_Data2[[#This Row],[Cost Price]]*Sales_Data2[[#This Row],[Quantity]]</f>
        <v>1344000</v>
      </c>
      <c r="N440" s="3">
        <f>Sales_Data2[[#This Row],[Revenue]]-Sales_Data2[[#This Row],[COGS]]</f>
        <v>336000</v>
      </c>
      <c r="O4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46114|South|Port Harcourt|Retail|Online|Laptop A13|Electronics|420000|4|Aisha|336000</v>
      </c>
      <c r="P440" s="3" t="str">
        <f>IF(COUNTIF(Sales_Data2[RowKey],Sales_Data2[[#This Row],[RowKey]])&gt;1,"Duplicate","Unique")</f>
        <v>Unique</v>
      </c>
      <c r="Q440" s="3" t="str">
        <f>IF(ISNUMBER(Sales_Data2[[#This Row],[Date]]),"OK","Check")</f>
        <v>OK</v>
      </c>
      <c r="R440" s="3" t="str">
        <f>IF(ISNUMBER(Sales_Data2[[#This Row],[Quantity]]),"OK","Check")</f>
        <v>OK</v>
      </c>
    </row>
    <row r="441" spans="1:18">
      <c r="A441" s="1">
        <v>46115</v>
      </c>
      <c r="B441" t="s">
        <v>11</v>
      </c>
      <c r="C441" t="s">
        <v>12</v>
      </c>
      <c r="D441" t="s">
        <v>23</v>
      </c>
      <c r="E441" t="s">
        <v>20</v>
      </c>
      <c r="F441" t="s">
        <v>21</v>
      </c>
      <c r="G441" t="s">
        <v>22</v>
      </c>
      <c r="H441">
        <v>30000</v>
      </c>
      <c r="I441">
        <v>4</v>
      </c>
      <c r="J441" t="s">
        <v>28</v>
      </c>
      <c r="K441">
        <f t="shared" si="6"/>
        <v>24000</v>
      </c>
      <c r="L441">
        <f>Sales_Data2[[#This Row],[Unit Price]]*Sales_Data2[[#This Row],[Quantity]]</f>
        <v>120000</v>
      </c>
      <c r="M441">
        <f>Sales_Data2[[#This Row],[Cost Price]]*Sales_Data2[[#This Row],[Quantity]]</f>
        <v>96000</v>
      </c>
      <c r="N441" s="3">
        <f>Sales_Data2[[#This Row],[Revenue]]-Sales_Data2[[#This Row],[COGS]]</f>
        <v>24000</v>
      </c>
      <c r="O4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46115|West|Port Harcourt|Corporate|Store|Blender B10|Home Appliances|30000|4|Musa|24000</v>
      </c>
      <c r="P441" s="3" t="str">
        <f>IF(COUNTIF(Sales_Data2[RowKey],Sales_Data2[[#This Row],[RowKey]])&gt;1,"Duplicate","Unique")</f>
        <v>Unique</v>
      </c>
      <c r="Q441" s="3" t="str">
        <f>IF(ISNUMBER(Sales_Data2[[#This Row],[Date]]),"OK","Check")</f>
        <v>OK</v>
      </c>
      <c r="R441" s="3" t="str">
        <f>IF(ISNUMBER(Sales_Data2[[#This Row],[Quantity]]),"OK","Check")</f>
        <v>OK</v>
      </c>
    </row>
    <row r="442" spans="1:18">
      <c r="A442" s="1">
        <v>46116</v>
      </c>
      <c r="B442" t="s">
        <v>29</v>
      </c>
      <c r="C442" t="s">
        <v>26</v>
      </c>
      <c r="D442" t="s">
        <v>13</v>
      </c>
      <c r="E442" t="s">
        <v>14</v>
      </c>
      <c r="F442" t="s">
        <v>21</v>
      </c>
      <c r="G442" t="s">
        <v>22</v>
      </c>
      <c r="H442">
        <v>30000</v>
      </c>
      <c r="I442">
        <v>10</v>
      </c>
      <c r="J442" t="s">
        <v>35</v>
      </c>
      <c r="K442">
        <f t="shared" si="6"/>
        <v>24000</v>
      </c>
      <c r="L442">
        <f>Sales_Data2[[#This Row],[Unit Price]]*Sales_Data2[[#This Row],[Quantity]]</f>
        <v>300000</v>
      </c>
      <c r="M442">
        <f>Sales_Data2[[#This Row],[Cost Price]]*Sales_Data2[[#This Row],[Quantity]]</f>
        <v>240000</v>
      </c>
      <c r="N442" s="3">
        <f>Sales_Data2[[#This Row],[Revenue]]-Sales_Data2[[#This Row],[COGS]]</f>
        <v>60000</v>
      </c>
      <c r="O4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46116|North|Kano|Retail|Online|Blender B10|Home Appliances|30000|10|Peter|24000</v>
      </c>
      <c r="P442" s="3" t="str">
        <f>IF(COUNTIF(Sales_Data2[RowKey],Sales_Data2[[#This Row],[RowKey]])&gt;1,"Duplicate","Unique")</f>
        <v>Unique</v>
      </c>
      <c r="Q442" s="3" t="str">
        <f>IF(ISNUMBER(Sales_Data2[[#This Row],[Date]]),"OK","Check")</f>
        <v>OK</v>
      </c>
      <c r="R442" s="3" t="str">
        <f>IF(ISNUMBER(Sales_Data2[[#This Row],[Quantity]]),"OK","Check")</f>
        <v>OK</v>
      </c>
    </row>
    <row r="443" spans="1:18">
      <c r="A443" s="1">
        <v>46117</v>
      </c>
      <c r="B443" t="s">
        <v>25</v>
      </c>
      <c r="C443" t="s">
        <v>12</v>
      </c>
      <c r="D443" t="s">
        <v>23</v>
      </c>
      <c r="E443" t="s">
        <v>20</v>
      </c>
      <c r="F443" t="s">
        <v>27</v>
      </c>
      <c r="G443" t="s">
        <v>22</v>
      </c>
      <c r="H443">
        <v>60000</v>
      </c>
      <c r="I443">
        <v>7</v>
      </c>
      <c r="J443" t="s">
        <v>17</v>
      </c>
      <c r="K443">
        <f t="shared" si="6"/>
        <v>48000</v>
      </c>
      <c r="L443">
        <f>Sales_Data2[[#This Row],[Unit Price]]*Sales_Data2[[#This Row],[Quantity]]</f>
        <v>420000</v>
      </c>
      <c r="M443">
        <f>Sales_Data2[[#This Row],[Cost Price]]*Sales_Data2[[#This Row],[Quantity]]</f>
        <v>336000</v>
      </c>
      <c r="N443" s="3">
        <f>Sales_Data2[[#This Row],[Revenue]]-Sales_Data2[[#This Row],[COGS]]</f>
        <v>84000</v>
      </c>
      <c r="O4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46117|South|Port Harcourt|Corporate|Store|Microwave M20|Home Appliances|60000|7|Chidinma|48000</v>
      </c>
      <c r="P443" s="3" t="str">
        <f>IF(COUNTIF(Sales_Data2[RowKey],Sales_Data2[[#This Row],[RowKey]])&gt;1,"Duplicate","Unique")</f>
        <v>Unique</v>
      </c>
      <c r="Q443" s="3" t="str">
        <f>IF(ISNUMBER(Sales_Data2[[#This Row],[Date]]),"OK","Check")</f>
        <v>OK</v>
      </c>
      <c r="R443" s="3" t="str">
        <f>IF(ISNUMBER(Sales_Data2[[#This Row],[Quantity]]),"OK","Check")</f>
        <v>OK</v>
      </c>
    </row>
    <row r="444" spans="1:18">
      <c r="A444" s="1">
        <v>46118</v>
      </c>
      <c r="B444" t="s">
        <v>29</v>
      </c>
      <c r="C444" t="s">
        <v>12</v>
      </c>
      <c r="D444" t="s">
        <v>23</v>
      </c>
      <c r="E444" t="s">
        <v>20</v>
      </c>
      <c r="F444" t="s">
        <v>33</v>
      </c>
      <c r="G444" t="s">
        <v>22</v>
      </c>
      <c r="H444">
        <v>180000</v>
      </c>
      <c r="I444">
        <v>4</v>
      </c>
      <c r="J444" t="s">
        <v>39</v>
      </c>
      <c r="K444">
        <f t="shared" si="6"/>
        <v>144000</v>
      </c>
      <c r="L444">
        <f>Sales_Data2[[#This Row],[Unit Price]]*Sales_Data2[[#This Row],[Quantity]]</f>
        <v>720000</v>
      </c>
      <c r="M444">
        <f>Sales_Data2[[#This Row],[Cost Price]]*Sales_Data2[[#This Row],[Quantity]]</f>
        <v>576000</v>
      </c>
      <c r="N444" s="3">
        <f>Sales_Data2[[#This Row],[Revenue]]-Sales_Data2[[#This Row],[COGS]]</f>
        <v>144000</v>
      </c>
      <c r="O4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46118|North|Port Harcourt|Corporate|Store|Air Conditioner X2|Home Appliances|180000|4|Grace|144000</v>
      </c>
      <c r="P444" s="3" t="str">
        <f>IF(COUNTIF(Sales_Data2[RowKey],Sales_Data2[[#This Row],[RowKey]])&gt;1,"Duplicate","Unique")</f>
        <v>Unique</v>
      </c>
      <c r="Q444" s="3" t="str">
        <f>IF(ISNUMBER(Sales_Data2[[#This Row],[Date]]),"OK","Check")</f>
        <v>OK</v>
      </c>
      <c r="R444" s="3" t="str">
        <f>IF(ISNUMBER(Sales_Data2[[#This Row],[Quantity]]),"OK","Check")</f>
        <v>OK</v>
      </c>
    </row>
    <row r="445" spans="1:18">
      <c r="A445" s="1">
        <v>46119</v>
      </c>
      <c r="B445" t="s">
        <v>11</v>
      </c>
      <c r="C445" t="s">
        <v>32</v>
      </c>
      <c r="D445" t="s">
        <v>13</v>
      </c>
      <c r="E445" t="s">
        <v>20</v>
      </c>
      <c r="F445" t="s">
        <v>21</v>
      </c>
      <c r="G445" t="s">
        <v>22</v>
      </c>
      <c r="H445">
        <v>30000</v>
      </c>
      <c r="I445">
        <v>7</v>
      </c>
      <c r="J445" t="s">
        <v>35</v>
      </c>
      <c r="K445">
        <f t="shared" si="6"/>
        <v>24000</v>
      </c>
      <c r="L445">
        <f>Sales_Data2[[#This Row],[Unit Price]]*Sales_Data2[[#This Row],[Quantity]]</f>
        <v>210000</v>
      </c>
      <c r="M445">
        <f>Sales_Data2[[#This Row],[Cost Price]]*Sales_Data2[[#This Row],[Quantity]]</f>
        <v>168000</v>
      </c>
      <c r="N445" s="3">
        <f>Sales_Data2[[#This Row],[Revenue]]-Sales_Data2[[#This Row],[COGS]]</f>
        <v>42000</v>
      </c>
      <c r="O4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46119|West|Abuja|Retail|Store|Blender B10|Home Appliances|30000|7|Peter|24000</v>
      </c>
      <c r="P445" s="3" t="str">
        <f>IF(COUNTIF(Sales_Data2[RowKey],Sales_Data2[[#This Row],[RowKey]])&gt;1,"Duplicate","Unique")</f>
        <v>Unique</v>
      </c>
      <c r="Q445" s="3" t="str">
        <f>IF(ISNUMBER(Sales_Data2[[#This Row],[Date]]),"OK","Check")</f>
        <v>OK</v>
      </c>
      <c r="R445" s="3" t="str">
        <f>IF(ISNUMBER(Sales_Data2[[#This Row],[Quantity]]),"OK","Check")</f>
        <v>OK</v>
      </c>
    </row>
    <row r="446" spans="1:18">
      <c r="A446" s="1">
        <v>46120</v>
      </c>
      <c r="B446" t="s">
        <v>25</v>
      </c>
      <c r="C446" t="s">
        <v>19</v>
      </c>
      <c r="D446" t="s">
        <v>23</v>
      </c>
      <c r="E446" t="s">
        <v>20</v>
      </c>
      <c r="F446" t="s">
        <v>38</v>
      </c>
      <c r="G446" t="s">
        <v>31</v>
      </c>
      <c r="H446">
        <v>420000</v>
      </c>
      <c r="I446">
        <v>10</v>
      </c>
      <c r="J446" t="s">
        <v>17</v>
      </c>
      <c r="K446">
        <f t="shared" si="6"/>
        <v>336000</v>
      </c>
      <c r="L446">
        <f>Sales_Data2[[#This Row],[Unit Price]]*Sales_Data2[[#This Row],[Quantity]]</f>
        <v>4200000</v>
      </c>
      <c r="M446">
        <f>Sales_Data2[[#This Row],[Cost Price]]*Sales_Data2[[#This Row],[Quantity]]</f>
        <v>3360000</v>
      </c>
      <c r="N446" s="3">
        <f>Sales_Data2[[#This Row],[Revenue]]-Sales_Data2[[#This Row],[COGS]]</f>
        <v>840000</v>
      </c>
      <c r="O4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46120|South|Lagos|Corporate|Store|Laptop A13|Electronics|420000|10|Chidinma|336000</v>
      </c>
      <c r="P446" s="3" t="str">
        <f>IF(COUNTIF(Sales_Data2[RowKey],Sales_Data2[[#This Row],[RowKey]])&gt;1,"Duplicate","Unique")</f>
        <v>Unique</v>
      </c>
      <c r="Q446" s="3" t="str">
        <f>IF(ISNUMBER(Sales_Data2[[#This Row],[Date]]),"OK","Check")</f>
        <v>OK</v>
      </c>
      <c r="R446" s="3" t="str">
        <f>IF(ISNUMBER(Sales_Data2[[#This Row],[Quantity]]),"OK","Check")</f>
        <v>OK</v>
      </c>
    </row>
    <row r="447" spans="1:18">
      <c r="A447" s="1">
        <v>46121</v>
      </c>
      <c r="B447" t="s">
        <v>18</v>
      </c>
      <c r="C447" t="s">
        <v>12</v>
      </c>
      <c r="D447" t="s">
        <v>23</v>
      </c>
      <c r="E447" t="s">
        <v>14</v>
      </c>
      <c r="F447" t="s">
        <v>38</v>
      </c>
      <c r="G447" t="s">
        <v>31</v>
      </c>
      <c r="H447">
        <v>420000</v>
      </c>
      <c r="I447">
        <v>7</v>
      </c>
      <c r="J447" t="s">
        <v>35</v>
      </c>
      <c r="K447">
        <f t="shared" si="6"/>
        <v>336000</v>
      </c>
      <c r="L447">
        <f>Sales_Data2[[#This Row],[Unit Price]]*Sales_Data2[[#This Row],[Quantity]]</f>
        <v>2940000</v>
      </c>
      <c r="M447">
        <f>Sales_Data2[[#This Row],[Cost Price]]*Sales_Data2[[#This Row],[Quantity]]</f>
        <v>2352000</v>
      </c>
      <c r="N447" s="3">
        <f>Sales_Data2[[#This Row],[Revenue]]-Sales_Data2[[#This Row],[COGS]]</f>
        <v>588000</v>
      </c>
      <c r="O4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46121|East|Port Harcourt|Corporate|Online|Laptop A13|Electronics|420000|7|Peter|336000</v>
      </c>
      <c r="P447" s="3" t="str">
        <f>IF(COUNTIF(Sales_Data2[RowKey],Sales_Data2[[#This Row],[RowKey]])&gt;1,"Duplicate","Unique")</f>
        <v>Unique</v>
      </c>
      <c r="Q447" s="3" t="str">
        <f>IF(ISNUMBER(Sales_Data2[[#This Row],[Date]]),"OK","Check")</f>
        <v>OK</v>
      </c>
      <c r="R447" s="3" t="str">
        <f>IF(ISNUMBER(Sales_Data2[[#This Row],[Quantity]]),"OK","Check")</f>
        <v>OK</v>
      </c>
    </row>
    <row r="448" spans="1:18">
      <c r="A448" s="1">
        <v>46122</v>
      </c>
      <c r="B448" t="s">
        <v>25</v>
      </c>
      <c r="C448" t="s">
        <v>26</v>
      </c>
      <c r="D448" t="s">
        <v>13</v>
      </c>
      <c r="E448" t="s">
        <v>20</v>
      </c>
      <c r="F448" t="s">
        <v>40</v>
      </c>
      <c r="G448" t="s">
        <v>31</v>
      </c>
      <c r="H448">
        <v>250000</v>
      </c>
      <c r="I448">
        <v>5</v>
      </c>
      <c r="J448" t="s">
        <v>24</v>
      </c>
      <c r="K448">
        <f t="shared" si="6"/>
        <v>200000</v>
      </c>
      <c r="L448">
        <f>Sales_Data2[[#This Row],[Unit Price]]*Sales_Data2[[#This Row],[Quantity]]</f>
        <v>1250000</v>
      </c>
      <c r="M448">
        <f>Sales_Data2[[#This Row],[Cost Price]]*Sales_Data2[[#This Row],[Quantity]]</f>
        <v>1000000</v>
      </c>
      <c r="N448" s="3">
        <f>Sales_Data2[[#This Row],[Revenue]]-Sales_Data2[[#This Row],[COGS]]</f>
        <v>250000</v>
      </c>
      <c r="O4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46122|South|Kano|Retail|Store|Smartphone Z10|Electronics|250000|5|David|200000</v>
      </c>
      <c r="P448" s="3" t="str">
        <f>IF(COUNTIF(Sales_Data2[RowKey],Sales_Data2[[#This Row],[RowKey]])&gt;1,"Duplicate","Unique")</f>
        <v>Unique</v>
      </c>
      <c r="Q448" s="3" t="str">
        <f>IF(ISNUMBER(Sales_Data2[[#This Row],[Date]]),"OK","Check")</f>
        <v>OK</v>
      </c>
      <c r="R448" s="3" t="str">
        <f>IF(ISNUMBER(Sales_Data2[[#This Row],[Quantity]]),"OK","Check")</f>
        <v>OK</v>
      </c>
    </row>
    <row r="449" spans="1:18">
      <c r="A449" s="1">
        <v>46123</v>
      </c>
      <c r="B449" t="s">
        <v>11</v>
      </c>
      <c r="C449" t="s">
        <v>32</v>
      </c>
      <c r="D449" t="s">
        <v>23</v>
      </c>
      <c r="E449" t="s">
        <v>14</v>
      </c>
      <c r="F449" t="s">
        <v>38</v>
      </c>
      <c r="G449" t="s">
        <v>31</v>
      </c>
      <c r="H449">
        <v>420000</v>
      </c>
      <c r="I449">
        <v>5</v>
      </c>
      <c r="J449" t="s">
        <v>28</v>
      </c>
      <c r="K449">
        <f t="shared" si="6"/>
        <v>336000</v>
      </c>
      <c r="L449">
        <f>Sales_Data2[[#This Row],[Unit Price]]*Sales_Data2[[#This Row],[Quantity]]</f>
        <v>2100000</v>
      </c>
      <c r="M449">
        <f>Sales_Data2[[#This Row],[Cost Price]]*Sales_Data2[[#This Row],[Quantity]]</f>
        <v>1680000</v>
      </c>
      <c r="N449" s="3">
        <f>Sales_Data2[[#This Row],[Revenue]]-Sales_Data2[[#This Row],[COGS]]</f>
        <v>420000</v>
      </c>
      <c r="O4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46123|West|Abuja|Corporate|Online|Laptop A13|Electronics|420000|5|Musa|336000</v>
      </c>
      <c r="P449" s="3" t="str">
        <f>IF(COUNTIF(Sales_Data2[RowKey],Sales_Data2[[#This Row],[RowKey]])&gt;1,"Duplicate","Unique")</f>
        <v>Unique</v>
      </c>
      <c r="Q449" s="3" t="str">
        <f>IF(ISNUMBER(Sales_Data2[[#This Row],[Date]]),"OK","Check")</f>
        <v>OK</v>
      </c>
      <c r="R449" s="3" t="str">
        <f>IF(ISNUMBER(Sales_Data2[[#This Row],[Quantity]]),"OK","Check")</f>
        <v>OK</v>
      </c>
    </row>
    <row r="450" spans="1:18">
      <c r="A450" s="1">
        <v>46124</v>
      </c>
      <c r="B450" t="s">
        <v>18</v>
      </c>
      <c r="C450" t="s">
        <v>26</v>
      </c>
      <c r="D450" t="s">
        <v>23</v>
      </c>
      <c r="E450" t="s">
        <v>20</v>
      </c>
      <c r="F450" t="s">
        <v>34</v>
      </c>
      <c r="G450" t="s">
        <v>16</v>
      </c>
      <c r="H450">
        <v>320000</v>
      </c>
      <c r="I450">
        <v>2</v>
      </c>
      <c r="J450" t="s">
        <v>28</v>
      </c>
      <c r="K450">
        <f t="shared" ref="K450:K513" si="7">H450-H450*0.2</f>
        <v>256000</v>
      </c>
      <c r="L450">
        <f>Sales_Data2[[#This Row],[Unit Price]]*Sales_Data2[[#This Row],[Quantity]]</f>
        <v>640000</v>
      </c>
      <c r="M450">
        <f>Sales_Data2[[#This Row],[Cost Price]]*Sales_Data2[[#This Row],[Quantity]]</f>
        <v>512000</v>
      </c>
      <c r="N450" s="3">
        <f>Sales_Data2[[#This Row],[Revenue]]-Sales_Data2[[#This Row],[COGS]]</f>
        <v>128000</v>
      </c>
      <c r="O4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46124|East|Kano|Corporate|Store|Sofa Classic|Furniture|320000|2|Musa|256000</v>
      </c>
      <c r="P450" s="3" t="str">
        <f>IF(COUNTIF(Sales_Data2[RowKey],Sales_Data2[[#This Row],[RowKey]])&gt;1,"Duplicate","Unique")</f>
        <v>Unique</v>
      </c>
      <c r="Q450" s="3" t="str">
        <f>IF(ISNUMBER(Sales_Data2[[#This Row],[Date]]),"OK","Check")</f>
        <v>OK</v>
      </c>
      <c r="R450" s="3" t="str">
        <f>IF(ISNUMBER(Sales_Data2[[#This Row],[Quantity]]),"OK","Check")</f>
        <v>OK</v>
      </c>
    </row>
    <row r="451" spans="1:18">
      <c r="A451" s="1">
        <v>46125</v>
      </c>
      <c r="B451" t="s">
        <v>29</v>
      </c>
      <c r="C451" t="s">
        <v>12</v>
      </c>
      <c r="D451" t="s">
        <v>13</v>
      </c>
      <c r="E451" t="s">
        <v>20</v>
      </c>
      <c r="F451" t="s">
        <v>30</v>
      </c>
      <c r="G451" t="s">
        <v>31</v>
      </c>
      <c r="H451">
        <v>300000</v>
      </c>
      <c r="I451">
        <v>10</v>
      </c>
      <c r="J451" t="s">
        <v>37</v>
      </c>
      <c r="K451">
        <f t="shared" si="7"/>
        <v>240000</v>
      </c>
      <c r="L451">
        <f>Sales_Data2[[#This Row],[Unit Price]]*Sales_Data2[[#This Row],[Quantity]]</f>
        <v>3000000</v>
      </c>
      <c r="M451">
        <f>Sales_Data2[[#This Row],[Cost Price]]*Sales_Data2[[#This Row],[Quantity]]</f>
        <v>2400000</v>
      </c>
      <c r="N451" s="3">
        <f>Sales_Data2[[#This Row],[Revenue]]-Sales_Data2[[#This Row],[COGS]]</f>
        <v>600000</v>
      </c>
      <c r="O4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46125|North|Port Harcourt|Retail|Store|Desktop PC D21|Electronics|300000|10|Aisha|240000</v>
      </c>
      <c r="P451" s="3" t="str">
        <f>IF(COUNTIF(Sales_Data2[RowKey],Sales_Data2[[#This Row],[RowKey]])&gt;1,"Duplicate","Unique")</f>
        <v>Unique</v>
      </c>
      <c r="Q451" s="3" t="str">
        <f>IF(ISNUMBER(Sales_Data2[[#This Row],[Date]]),"OK","Check")</f>
        <v>OK</v>
      </c>
      <c r="R451" s="3" t="str">
        <f>IF(ISNUMBER(Sales_Data2[[#This Row],[Quantity]]),"OK","Check")</f>
        <v>OK</v>
      </c>
    </row>
    <row r="452" spans="1:18">
      <c r="A452" s="1">
        <v>46126</v>
      </c>
      <c r="B452" t="s">
        <v>18</v>
      </c>
      <c r="C452" t="s">
        <v>12</v>
      </c>
      <c r="D452" t="s">
        <v>13</v>
      </c>
      <c r="E452" t="s">
        <v>14</v>
      </c>
      <c r="F452" t="s">
        <v>40</v>
      </c>
      <c r="G452" t="s">
        <v>31</v>
      </c>
      <c r="H452">
        <v>250000</v>
      </c>
      <c r="I452">
        <v>5</v>
      </c>
      <c r="J452" t="s">
        <v>37</v>
      </c>
      <c r="K452">
        <f t="shared" si="7"/>
        <v>200000</v>
      </c>
      <c r="L452">
        <f>Sales_Data2[[#This Row],[Unit Price]]*Sales_Data2[[#This Row],[Quantity]]</f>
        <v>1250000</v>
      </c>
      <c r="M452">
        <f>Sales_Data2[[#This Row],[Cost Price]]*Sales_Data2[[#This Row],[Quantity]]</f>
        <v>1000000</v>
      </c>
      <c r="N452" s="3">
        <f>Sales_Data2[[#This Row],[Revenue]]-Sales_Data2[[#This Row],[COGS]]</f>
        <v>250000</v>
      </c>
      <c r="O4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46126|East|Port Harcourt|Retail|Online|Smartphone Z10|Electronics|250000|5|Aisha|200000</v>
      </c>
      <c r="P452" s="3" t="str">
        <f>IF(COUNTIF(Sales_Data2[RowKey],Sales_Data2[[#This Row],[RowKey]])&gt;1,"Duplicate","Unique")</f>
        <v>Unique</v>
      </c>
      <c r="Q452" s="3" t="str">
        <f>IF(ISNUMBER(Sales_Data2[[#This Row],[Date]]),"OK","Check")</f>
        <v>OK</v>
      </c>
      <c r="R452" s="3" t="str">
        <f>IF(ISNUMBER(Sales_Data2[[#This Row],[Quantity]]),"OK","Check")</f>
        <v>OK</v>
      </c>
    </row>
    <row r="453" spans="1:18">
      <c r="A453" s="1">
        <v>46127</v>
      </c>
      <c r="B453" t="s">
        <v>25</v>
      </c>
      <c r="C453" t="s">
        <v>26</v>
      </c>
      <c r="D453" t="s">
        <v>23</v>
      </c>
      <c r="E453" t="s">
        <v>20</v>
      </c>
      <c r="F453" t="s">
        <v>40</v>
      </c>
      <c r="G453" t="s">
        <v>31</v>
      </c>
      <c r="H453">
        <v>250000</v>
      </c>
      <c r="I453">
        <v>2</v>
      </c>
      <c r="J453" t="s">
        <v>24</v>
      </c>
      <c r="K453">
        <f t="shared" si="7"/>
        <v>200000</v>
      </c>
      <c r="L453">
        <f>Sales_Data2[[#This Row],[Unit Price]]*Sales_Data2[[#This Row],[Quantity]]</f>
        <v>500000</v>
      </c>
      <c r="M453">
        <f>Sales_Data2[[#This Row],[Cost Price]]*Sales_Data2[[#This Row],[Quantity]]</f>
        <v>400000</v>
      </c>
      <c r="N453" s="3">
        <f>Sales_Data2[[#This Row],[Revenue]]-Sales_Data2[[#This Row],[COGS]]</f>
        <v>100000</v>
      </c>
      <c r="O4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46127|South|Kano|Corporate|Store|Smartphone Z10|Electronics|250000|2|David|200000</v>
      </c>
      <c r="P453" s="3" t="str">
        <f>IF(COUNTIF(Sales_Data2[RowKey],Sales_Data2[[#This Row],[RowKey]])&gt;1,"Duplicate","Unique")</f>
        <v>Unique</v>
      </c>
      <c r="Q453" s="3" t="str">
        <f>IF(ISNUMBER(Sales_Data2[[#This Row],[Date]]),"OK","Check")</f>
        <v>OK</v>
      </c>
      <c r="R453" s="3" t="str">
        <f>IF(ISNUMBER(Sales_Data2[[#This Row],[Quantity]]),"OK","Check")</f>
        <v>OK</v>
      </c>
    </row>
    <row r="454" spans="1:18">
      <c r="A454" s="1">
        <v>46128</v>
      </c>
      <c r="B454" t="s">
        <v>29</v>
      </c>
      <c r="C454" t="s">
        <v>19</v>
      </c>
      <c r="D454" t="s">
        <v>13</v>
      </c>
      <c r="E454" t="s">
        <v>20</v>
      </c>
      <c r="F454" t="s">
        <v>33</v>
      </c>
      <c r="G454" t="s">
        <v>22</v>
      </c>
      <c r="H454">
        <v>180000</v>
      </c>
      <c r="I454">
        <v>1</v>
      </c>
      <c r="J454" t="s">
        <v>17</v>
      </c>
      <c r="K454">
        <f t="shared" si="7"/>
        <v>144000</v>
      </c>
      <c r="L454">
        <f>Sales_Data2[[#This Row],[Unit Price]]*Sales_Data2[[#This Row],[Quantity]]</f>
        <v>180000</v>
      </c>
      <c r="M454">
        <f>Sales_Data2[[#This Row],[Cost Price]]*Sales_Data2[[#This Row],[Quantity]]</f>
        <v>144000</v>
      </c>
      <c r="N454" s="3">
        <f>Sales_Data2[[#This Row],[Revenue]]-Sales_Data2[[#This Row],[COGS]]</f>
        <v>36000</v>
      </c>
      <c r="O4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46128|North|Lagos|Retail|Store|Air Conditioner X2|Home Appliances|180000|1|Chidinma|144000</v>
      </c>
      <c r="P454" s="3" t="str">
        <f>IF(COUNTIF(Sales_Data2[RowKey],Sales_Data2[[#This Row],[RowKey]])&gt;1,"Duplicate","Unique")</f>
        <v>Unique</v>
      </c>
      <c r="Q454" s="3" t="str">
        <f>IF(ISNUMBER(Sales_Data2[[#This Row],[Date]]),"OK","Check")</f>
        <v>OK</v>
      </c>
      <c r="R454" s="3" t="str">
        <f>IF(ISNUMBER(Sales_Data2[[#This Row],[Quantity]]),"OK","Check")</f>
        <v>OK</v>
      </c>
    </row>
    <row r="455" spans="1:18">
      <c r="A455" s="1">
        <v>46129</v>
      </c>
      <c r="B455" t="s">
        <v>18</v>
      </c>
      <c r="C455" t="s">
        <v>19</v>
      </c>
      <c r="D455" t="s">
        <v>13</v>
      </c>
      <c r="E455" t="s">
        <v>20</v>
      </c>
      <c r="F455" t="s">
        <v>34</v>
      </c>
      <c r="G455" t="s">
        <v>16</v>
      </c>
      <c r="H455">
        <v>320000</v>
      </c>
      <c r="I455">
        <v>10</v>
      </c>
      <c r="J455" t="s">
        <v>35</v>
      </c>
      <c r="K455">
        <f t="shared" si="7"/>
        <v>256000</v>
      </c>
      <c r="L455">
        <f>Sales_Data2[[#This Row],[Unit Price]]*Sales_Data2[[#This Row],[Quantity]]</f>
        <v>3200000</v>
      </c>
      <c r="M455">
        <f>Sales_Data2[[#This Row],[Cost Price]]*Sales_Data2[[#This Row],[Quantity]]</f>
        <v>2560000</v>
      </c>
      <c r="N455" s="3">
        <f>Sales_Data2[[#This Row],[Revenue]]-Sales_Data2[[#This Row],[COGS]]</f>
        <v>640000</v>
      </c>
      <c r="O4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46129|East|Lagos|Retail|Store|Sofa Classic|Furniture|320000|10|Peter|256000</v>
      </c>
      <c r="P455" s="3" t="str">
        <f>IF(COUNTIF(Sales_Data2[RowKey],Sales_Data2[[#This Row],[RowKey]])&gt;1,"Duplicate","Unique")</f>
        <v>Unique</v>
      </c>
      <c r="Q455" s="3" t="str">
        <f>IF(ISNUMBER(Sales_Data2[[#This Row],[Date]]),"OK","Check")</f>
        <v>OK</v>
      </c>
      <c r="R455" s="3" t="str">
        <f>IF(ISNUMBER(Sales_Data2[[#This Row],[Quantity]]),"OK","Check")</f>
        <v>OK</v>
      </c>
    </row>
    <row r="456" spans="1:18">
      <c r="A456" s="1">
        <v>46130</v>
      </c>
      <c r="B456" t="s">
        <v>25</v>
      </c>
      <c r="C456" t="s">
        <v>26</v>
      </c>
      <c r="D456" t="s">
        <v>23</v>
      </c>
      <c r="E456" t="s">
        <v>20</v>
      </c>
      <c r="F456" t="s">
        <v>36</v>
      </c>
      <c r="G456" t="s">
        <v>31</v>
      </c>
      <c r="H456">
        <v>150000</v>
      </c>
      <c r="I456">
        <v>2</v>
      </c>
      <c r="J456" t="s">
        <v>17</v>
      </c>
      <c r="K456">
        <f t="shared" si="7"/>
        <v>120000</v>
      </c>
      <c r="L456">
        <f>Sales_Data2[[#This Row],[Unit Price]]*Sales_Data2[[#This Row],[Quantity]]</f>
        <v>300000</v>
      </c>
      <c r="M456">
        <f>Sales_Data2[[#This Row],[Cost Price]]*Sales_Data2[[#This Row],[Quantity]]</f>
        <v>240000</v>
      </c>
      <c r="N456" s="3">
        <f>Sales_Data2[[#This Row],[Revenue]]-Sales_Data2[[#This Row],[COGS]]</f>
        <v>60000</v>
      </c>
      <c r="O4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46130|South|Kano|Corporate|Store|Printer P50|Electronics|150000|2|Chidinma|120000</v>
      </c>
      <c r="P456" s="3" t="str">
        <f>IF(COUNTIF(Sales_Data2[RowKey],Sales_Data2[[#This Row],[RowKey]])&gt;1,"Duplicate","Unique")</f>
        <v>Unique</v>
      </c>
      <c r="Q456" s="3" t="str">
        <f>IF(ISNUMBER(Sales_Data2[[#This Row],[Date]]),"OK","Check")</f>
        <v>OK</v>
      </c>
      <c r="R456" s="3" t="str">
        <f>IF(ISNUMBER(Sales_Data2[[#This Row],[Quantity]]),"OK","Check")</f>
        <v>OK</v>
      </c>
    </row>
    <row r="457" spans="1:18">
      <c r="A457" s="1">
        <v>46131</v>
      </c>
      <c r="B457" t="s">
        <v>18</v>
      </c>
      <c r="C457" t="s">
        <v>19</v>
      </c>
      <c r="D457" t="s">
        <v>13</v>
      </c>
      <c r="E457" t="s">
        <v>20</v>
      </c>
      <c r="F457" t="s">
        <v>33</v>
      </c>
      <c r="G457" t="s">
        <v>22</v>
      </c>
      <c r="H457">
        <v>180000</v>
      </c>
      <c r="I457">
        <v>10</v>
      </c>
      <c r="J457" t="s">
        <v>28</v>
      </c>
      <c r="K457">
        <f t="shared" si="7"/>
        <v>144000</v>
      </c>
      <c r="L457">
        <f>Sales_Data2[[#This Row],[Unit Price]]*Sales_Data2[[#This Row],[Quantity]]</f>
        <v>1800000</v>
      </c>
      <c r="M457">
        <f>Sales_Data2[[#This Row],[Cost Price]]*Sales_Data2[[#This Row],[Quantity]]</f>
        <v>1440000</v>
      </c>
      <c r="N457" s="3">
        <f>Sales_Data2[[#This Row],[Revenue]]-Sales_Data2[[#This Row],[COGS]]</f>
        <v>360000</v>
      </c>
      <c r="O4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46131|East|Lagos|Retail|Store|Air Conditioner X2|Home Appliances|180000|10|Musa|144000</v>
      </c>
      <c r="P457" s="3" t="str">
        <f>IF(COUNTIF(Sales_Data2[RowKey],Sales_Data2[[#This Row],[RowKey]])&gt;1,"Duplicate","Unique")</f>
        <v>Unique</v>
      </c>
      <c r="Q457" s="3" t="str">
        <f>IF(ISNUMBER(Sales_Data2[[#This Row],[Date]]),"OK","Check")</f>
        <v>OK</v>
      </c>
      <c r="R457" s="3" t="str">
        <f>IF(ISNUMBER(Sales_Data2[[#This Row],[Quantity]]),"OK","Check")</f>
        <v>OK</v>
      </c>
    </row>
    <row r="458" spans="1:18">
      <c r="A458" s="1">
        <v>46132</v>
      </c>
      <c r="B458" t="s">
        <v>11</v>
      </c>
      <c r="C458" t="s">
        <v>19</v>
      </c>
      <c r="D458" t="s">
        <v>13</v>
      </c>
      <c r="E458" t="s">
        <v>14</v>
      </c>
      <c r="F458" t="s">
        <v>36</v>
      </c>
      <c r="G458" t="s">
        <v>31</v>
      </c>
      <c r="H458">
        <v>150000</v>
      </c>
      <c r="I458">
        <v>2</v>
      </c>
      <c r="J458" t="s">
        <v>28</v>
      </c>
      <c r="K458">
        <f t="shared" si="7"/>
        <v>120000</v>
      </c>
      <c r="L458">
        <f>Sales_Data2[[#This Row],[Unit Price]]*Sales_Data2[[#This Row],[Quantity]]</f>
        <v>300000</v>
      </c>
      <c r="M458">
        <f>Sales_Data2[[#This Row],[Cost Price]]*Sales_Data2[[#This Row],[Quantity]]</f>
        <v>240000</v>
      </c>
      <c r="N458" s="3">
        <f>Sales_Data2[[#This Row],[Revenue]]-Sales_Data2[[#This Row],[COGS]]</f>
        <v>60000</v>
      </c>
      <c r="O4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46132|West|Lagos|Retail|Online|Printer P50|Electronics|150000|2|Musa|120000</v>
      </c>
      <c r="P458" s="3" t="str">
        <f>IF(COUNTIF(Sales_Data2[RowKey],Sales_Data2[[#This Row],[RowKey]])&gt;1,"Duplicate","Unique")</f>
        <v>Unique</v>
      </c>
      <c r="Q458" s="3" t="str">
        <f>IF(ISNUMBER(Sales_Data2[[#This Row],[Date]]),"OK","Check")</f>
        <v>OK</v>
      </c>
      <c r="R458" s="3" t="str">
        <f>IF(ISNUMBER(Sales_Data2[[#This Row],[Quantity]]),"OK","Check")</f>
        <v>OK</v>
      </c>
    </row>
    <row r="459" spans="1:18">
      <c r="A459" s="1">
        <v>46133</v>
      </c>
      <c r="B459" t="s">
        <v>25</v>
      </c>
      <c r="C459" t="s">
        <v>26</v>
      </c>
      <c r="D459" t="s">
        <v>23</v>
      </c>
      <c r="E459" t="s">
        <v>20</v>
      </c>
      <c r="F459" t="s">
        <v>27</v>
      </c>
      <c r="G459" t="s">
        <v>22</v>
      </c>
      <c r="H459">
        <v>60000</v>
      </c>
      <c r="I459">
        <v>10</v>
      </c>
      <c r="J459" t="s">
        <v>28</v>
      </c>
      <c r="K459">
        <f t="shared" si="7"/>
        <v>48000</v>
      </c>
      <c r="L459">
        <f>Sales_Data2[[#This Row],[Unit Price]]*Sales_Data2[[#This Row],[Quantity]]</f>
        <v>600000</v>
      </c>
      <c r="M459">
        <f>Sales_Data2[[#This Row],[Cost Price]]*Sales_Data2[[#This Row],[Quantity]]</f>
        <v>480000</v>
      </c>
      <c r="N459" s="3">
        <f>Sales_Data2[[#This Row],[Revenue]]-Sales_Data2[[#This Row],[COGS]]</f>
        <v>120000</v>
      </c>
      <c r="O4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46133|South|Kano|Corporate|Store|Microwave M20|Home Appliances|60000|10|Musa|48000</v>
      </c>
      <c r="P459" s="3" t="str">
        <f>IF(COUNTIF(Sales_Data2[RowKey],Sales_Data2[[#This Row],[RowKey]])&gt;1,"Duplicate","Unique")</f>
        <v>Unique</v>
      </c>
      <c r="Q459" s="3" t="str">
        <f>IF(ISNUMBER(Sales_Data2[[#This Row],[Date]]),"OK","Check")</f>
        <v>OK</v>
      </c>
      <c r="R459" s="3" t="str">
        <f>IF(ISNUMBER(Sales_Data2[[#This Row],[Quantity]]),"OK","Check")</f>
        <v>OK</v>
      </c>
    </row>
    <row r="460" spans="1:18">
      <c r="A460" s="1">
        <v>46134</v>
      </c>
      <c r="B460" t="s">
        <v>11</v>
      </c>
      <c r="C460" t="s">
        <v>32</v>
      </c>
      <c r="D460" t="s">
        <v>23</v>
      </c>
      <c r="E460" t="s">
        <v>14</v>
      </c>
      <c r="F460" t="s">
        <v>41</v>
      </c>
      <c r="G460" t="s">
        <v>22</v>
      </c>
      <c r="H460">
        <v>220000</v>
      </c>
      <c r="I460">
        <v>4</v>
      </c>
      <c r="J460" t="s">
        <v>35</v>
      </c>
      <c r="K460">
        <f t="shared" si="7"/>
        <v>176000</v>
      </c>
      <c r="L460">
        <f>Sales_Data2[[#This Row],[Unit Price]]*Sales_Data2[[#This Row],[Quantity]]</f>
        <v>880000</v>
      </c>
      <c r="M460">
        <f>Sales_Data2[[#This Row],[Cost Price]]*Sales_Data2[[#This Row],[Quantity]]</f>
        <v>704000</v>
      </c>
      <c r="N460" s="3">
        <f>Sales_Data2[[#This Row],[Revenue]]-Sales_Data2[[#This Row],[COGS]]</f>
        <v>176000</v>
      </c>
      <c r="O4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46134|West|Abuja|Corporate|Online|Refrigerator R55|Home Appliances|220000|4|Peter|176000</v>
      </c>
      <c r="P460" s="3" t="str">
        <f>IF(COUNTIF(Sales_Data2[RowKey],Sales_Data2[[#This Row],[RowKey]])&gt;1,"Duplicate","Unique")</f>
        <v>Unique</v>
      </c>
      <c r="Q460" s="3" t="str">
        <f>IF(ISNUMBER(Sales_Data2[[#This Row],[Date]]),"OK","Check")</f>
        <v>OK</v>
      </c>
      <c r="R460" s="3" t="str">
        <f>IF(ISNUMBER(Sales_Data2[[#This Row],[Quantity]]),"OK","Check")</f>
        <v>OK</v>
      </c>
    </row>
    <row r="461" spans="1:18">
      <c r="A461" s="1">
        <v>46135</v>
      </c>
      <c r="B461" t="s">
        <v>25</v>
      </c>
      <c r="C461" t="s">
        <v>19</v>
      </c>
      <c r="D461" t="s">
        <v>13</v>
      </c>
      <c r="E461" t="s">
        <v>14</v>
      </c>
      <c r="F461" t="s">
        <v>27</v>
      </c>
      <c r="G461" t="s">
        <v>22</v>
      </c>
      <c r="H461">
        <v>60000</v>
      </c>
      <c r="I461">
        <v>5</v>
      </c>
      <c r="J461" t="s">
        <v>35</v>
      </c>
      <c r="K461">
        <f t="shared" si="7"/>
        <v>48000</v>
      </c>
      <c r="L461">
        <f>Sales_Data2[[#This Row],[Unit Price]]*Sales_Data2[[#This Row],[Quantity]]</f>
        <v>300000</v>
      </c>
      <c r="M461">
        <f>Sales_Data2[[#This Row],[Cost Price]]*Sales_Data2[[#This Row],[Quantity]]</f>
        <v>240000</v>
      </c>
      <c r="N461" s="3">
        <f>Sales_Data2[[#This Row],[Revenue]]-Sales_Data2[[#This Row],[COGS]]</f>
        <v>60000</v>
      </c>
      <c r="O4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46135|South|Lagos|Retail|Online|Microwave M20|Home Appliances|60000|5|Peter|48000</v>
      </c>
      <c r="P461" s="3" t="str">
        <f>IF(COUNTIF(Sales_Data2[RowKey],Sales_Data2[[#This Row],[RowKey]])&gt;1,"Duplicate","Unique")</f>
        <v>Unique</v>
      </c>
      <c r="Q461" s="3" t="str">
        <f>IF(ISNUMBER(Sales_Data2[[#This Row],[Date]]),"OK","Check")</f>
        <v>OK</v>
      </c>
      <c r="R461" s="3" t="str">
        <f>IF(ISNUMBER(Sales_Data2[[#This Row],[Quantity]]),"OK","Check")</f>
        <v>OK</v>
      </c>
    </row>
    <row r="462" spans="1:18">
      <c r="A462" s="1">
        <v>46136</v>
      </c>
      <c r="B462" t="s">
        <v>25</v>
      </c>
      <c r="C462" t="s">
        <v>32</v>
      </c>
      <c r="D462" t="s">
        <v>23</v>
      </c>
      <c r="E462" t="s">
        <v>14</v>
      </c>
      <c r="F462" t="s">
        <v>40</v>
      </c>
      <c r="G462" t="s">
        <v>31</v>
      </c>
      <c r="H462">
        <v>250000</v>
      </c>
      <c r="I462">
        <v>3</v>
      </c>
      <c r="J462" t="s">
        <v>24</v>
      </c>
      <c r="K462">
        <f t="shared" si="7"/>
        <v>200000</v>
      </c>
      <c r="L462">
        <f>Sales_Data2[[#This Row],[Unit Price]]*Sales_Data2[[#This Row],[Quantity]]</f>
        <v>750000</v>
      </c>
      <c r="M462">
        <f>Sales_Data2[[#This Row],[Cost Price]]*Sales_Data2[[#This Row],[Quantity]]</f>
        <v>600000</v>
      </c>
      <c r="N462" s="3">
        <f>Sales_Data2[[#This Row],[Revenue]]-Sales_Data2[[#This Row],[COGS]]</f>
        <v>150000</v>
      </c>
      <c r="O4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46136|South|Abuja|Corporate|Online|Smartphone Z10|Electronics|250000|3|David|200000</v>
      </c>
      <c r="P462" s="3" t="str">
        <f>IF(COUNTIF(Sales_Data2[RowKey],Sales_Data2[[#This Row],[RowKey]])&gt;1,"Duplicate","Unique")</f>
        <v>Unique</v>
      </c>
      <c r="Q462" s="3" t="str">
        <f>IF(ISNUMBER(Sales_Data2[[#This Row],[Date]]),"OK","Check")</f>
        <v>OK</v>
      </c>
      <c r="R462" s="3" t="str">
        <f>IF(ISNUMBER(Sales_Data2[[#This Row],[Quantity]]),"OK","Check")</f>
        <v>OK</v>
      </c>
    </row>
    <row r="463" spans="1:18">
      <c r="A463" s="1">
        <v>46137</v>
      </c>
      <c r="B463" t="s">
        <v>25</v>
      </c>
      <c r="C463" t="s">
        <v>19</v>
      </c>
      <c r="D463" t="s">
        <v>23</v>
      </c>
      <c r="E463" t="s">
        <v>20</v>
      </c>
      <c r="F463" t="s">
        <v>36</v>
      </c>
      <c r="G463" t="s">
        <v>31</v>
      </c>
      <c r="H463">
        <v>150000</v>
      </c>
      <c r="I463">
        <v>1</v>
      </c>
      <c r="J463" t="s">
        <v>37</v>
      </c>
      <c r="K463">
        <f t="shared" si="7"/>
        <v>120000</v>
      </c>
      <c r="L463">
        <f>Sales_Data2[[#This Row],[Unit Price]]*Sales_Data2[[#This Row],[Quantity]]</f>
        <v>150000</v>
      </c>
      <c r="M463">
        <f>Sales_Data2[[#This Row],[Cost Price]]*Sales_Data2[[#This Row],[Quantity]]</f>
        <v>120000</v>
      </c>
      <c r="N463" s="3">
        <f>Sales_Data2[[#This Row],[Revenue]]-Sales_Data2[[#This Row],[COGS]]</f>
        <v>30000</v>
      </c>
      <c r="O4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46137|South|Lagos|Corporate|Store|Printer P50|Electronics|150000|1|Aisha|120000</v>
      </c>
      <c r="P463" s="3" t="str">
        <f>IF(COUNTIF(Sales_Data2[RowKey],Sales_Data2[[#This Row],[RowKey]])&gt;1,"Duplicate","Unique")</f>
        <v>Unique</v>
      </c>
      <c r="Q463" s="3" t="str">
        <f>IF(ISNUMBER(Sales_Data2[[#This Row],[Date]]),"OK","Check")</f>
        <v>OK</v>
      </c>
      <c r="R463" s="3" t="str">
        <f>IF(ISNUMBER(Sales_Data2[[#This Row],[Quantity]]),"OK","Check")</f>
        <v>OK</v>
      </c>
    </row>
    <row r="464" spans="1:18">
      <c r="A464" s="1">
        <v>46138</v>
      </c>
      <c r="B464" t="s">
        <v>29</v>
      </c>
      <c r="C464" t="s">
        <v>32</v>
      </c>
      <c r="D464" t="s">
        <v>23</v>
      </c>
      <c r="E464" t="s">
        <v>20</v>
      </c>
      <c r="F464" t="s">
        <v>41</v>
      </c>
      <c r="G464" t="s">
        <v>22</v>
      </c>
      <c r="H464">
        <v>220000</v>
      </c>
      <c r="I464">
        <v>1</v>
      </c>
      <c r="J464" t="s">
        <v>24</v>
      </c>
      <c r="K464">
        <f t="shared" si="7"/>
        <v>176000</v>
      </c>
      <c r="L464">
        <f>Sales_Data2[[#This Row],[Unit Price]]*Sales_Data2[[#This Row],[Quantity]]</f>
        <v>220000</v>
      </c>
      <c r="M464">
        <f>Sales_Data2[[#This Row],[Cost Price]]*Sales_Data2[[#This Row],[Quantity]]</f>
        <v>176000</v>
      </c>
      <c r="N464" s="3">
        <f>Sales_Data2[[#This Row],[Revenue]]-Sales_Data2[[#This Row],[COGS]]</f>
        <v>44000</v>
      </c>
      <c r="O4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46138|North|Abuja|Corporate|Store|Refrigerator R55|Home Appliances|220000|1|David|176000</v>
      </c>
      <c r="P464" s="3" t="str">
        <f>IF(COUNTIF(Sales_Data2[RowKey],Sales_Data2[[#This Row],[RowKey]])&gt;1,"Duplicate","Unique")</f>
        <v>Unique</v>
      </c>
      <c r="Q464" s="3" t="str">
        <f>IF(ISNUMBER(Sales_Data2[[#This Row],[Date]]),"OK","Check")</f>
        <v>OK</v>
      </c>
      <c r="R464" s="3" t="str">
        <f>IF(ISNUMBER(Sales_Data2[[#This Row],[Quantity]]),"OK","Check")</f>
        <v>OK</v>
      </c>
    </row>
    <row r="465" spans="1:18">
      <c r="A465" s="1">
        <v>46139</v>
      </c>
      <c r="B465" t="s">
        <v>18</v>
      </c>
      <c r="C465" t="s">
        <v>26</v>
      </c>
      <c r="D465" t="s">
        <v>13</v>
      </c>
      <c r="E465" t="s">
        <v>20</v>
      </c>
      <c r="F465" t="s">
        <v>40</v>
      </c>
      <c r="G465" t="s">
        <v>31</v>
      </c>
      <c r="H465">
        <v>250000</v>
      </c>
      <c r="I465">
        <v>6</v>
      </c>
      <c r="J465" t="s">
        <v>37</v>
      </c>
      <c r="K465">
        <f t="shared" si="7"/>
        <v>200000</v>
      </c>
      <c r="L465">
        <f>Sales_Data2[[#This Row],[Unit Price]]*Sales_Data2[[#This Row],[Quantity]]</f>
        <v>1500000</v>
      </c>
      <c r="M465">
        <f>Sales_Data2[[#This Row],[Cost Price]]*Sales_Data2[[#This Row],[Quantity]]</f>
        <v>1200000</v>
      </c>
      <c r="N465" s="3">
        <f>Sales_Data2[[#This Row],[Revenue]]-Sales_Data2[[#This Row],[COGS]]</f>
        <v>300000</v>
      </c>
      <c r="O4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46139|East|Kano|Retail|Store|Smartphone Z10|Electronics|250000|6|Aisha|200000</v>
      </c>
      <c r="P465" s="3" t="str">
        <f>IF(COUNTIF(Sales_Data2[RowKey],Sales_Data2[[#This Row],[RowKey]])&gt;1,"Duplicate","Unique")</f>
        <v>Unique</v>
      </c>
      <c r="Q465" s="3" t="str">
        <f>IF(ISNUMBER(Sales_Data2[[#This Row],[Date]]),"OK","Check")</f>
        <v>OK</v>
      </c>
      <c r="R465" s="3" t="str">
        <f>IF(ISNUMBER(Sales_Data2[[#This Row],[Quantity]]),"OK","Check")</f>
        <v>OK</v>
      </c>
    </row>
    <row r="466" spans="1:18">
      <c r="A466" s="1">
        <v>46140</v>
      </c>
      <c r="B466" t="s">
        <v>11</v>
      </c>
      <c r="C466" t="s">
        <v>32</v>
      </c>
      <c r="D466" t="s">
        <v>13</v>
      </c>
      <c r="E466" t="s">
        <v>20</v>
      </c>
      <c r="F466" t="s">
        <v>41</v>
      </c>
      <c r="G466" t="s">
        <v>22</v>
      </c>
      <c r="H466">
        <v>220000</v>
      </c>
      <c r="I466">
        <v>10</v>
      </c>
      <c r="J466" t="s">
        <v>35</v>
      </c>
      <c r="K466">
        <f t="shared" si="7"/>
        <v>176000</v>
      </c>
      <c r="L466">
        <f>Sales_Data2[[#This Row],[Unit Price]]*Sales_Data2[[#This Row],[Quantity]]</f>
        <v>2200000</v>
      </c>
      <c r="M466">
        <f>Sales_Data2[[#This Row],[Cost Price]]*Sales_Data2[[#This Row],[Quantity]]</f>
        <v>1760000</v>
      </c>
      <c r="N466" s="3">
        <f>Sales_Data2[[#This Row],[Revenue]]-Sales_Data2[[#This Row],[COGS]]</f>
        <v>440000</v>
      </c>
      <c r="O4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46140|West|Abuja|Retail|Store|Refrigerator R55|Home Appliances|220000|10|Peter|176000</v>
      </c>
      <c r="P466" s="3" t="str">
        <f>IF(COUNTIF(Sales_Data2[RowKey],Sales_Data2[[#This Row],[RowKey]])&gt;1,"Duplicate","Unique")</f>
        <v>Unique</v>
      </c>
      <c r="Q466" s="3" t="str">
        <f>IF(ISNUMBER(Sales_Data2[[#This Row],[Date]]),"OK","Check")</f>
        <v>OK</v>
      </c>
      <c r="R466" s="3" t="str">
        <f>IF(ISNUMBER(Sales_Data2[[#This Row],[Quantity]]),"OK","Check")</f>
        <v>OK</v>
      </c>
    </row>
    <row r="467" spans="1:18">
      <c r="A467" s="1">
        <v>46141</v>
      </c>
      <c r="B467" t="s">
        <v>18</v>
      </c>
      <c r="C467" t="s">
        <v>12</v>
      </c>
      <c r="D467" t="s">
        <v>13</v>
      </c>
      <c r="E467" t="s">
        <v>20</v>
      </c>
      <c r="F467" t="s">
        <v>33</v>
      </c>
      <c r="G467" t="s">
        <v>22</v>
      </c>
      <c r="H467">
        <v>180000</v>
      </c>
      <c r="I467">
        <v>10</v>
      </c>
      <c r="J467" t="s">
        <v>24</v>
      </c>
      <c r="K467">
        <f t="shared" si="7"/>
        <v>144000</v>
      </c>
      <c r="L467">
        <f>Sales_Data2[[#This Row],[Unit Price]]*Sales_Data2[[#This Row],[Quantity]]</f>
        <v>1800000</v>
      </c>
      <c r="M467">
        <f>Sales_Data2[[#This Row],[Cost Price]]*Sales_Data2[[#This Row],[Quantity]]</f>
        <v>1440000</v>
      </c>
      <c r="N467" s="3">
        <f>Sales_Data2[[#This Row],[Revenue]]-Sales_Data2[[#This Row],[COGS]]</f>
        <v>360000</v>
      </c>
      <c r="O4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46141|East|Port Harcourt|Retail|Store|Air Conditioner X2|Home Appliances|180000|10|David|144000</v>
      </c>
      <c r="P467" s="3" t="str">
        <f>IF(COUNTIF(Sales_Data2[RowKey],Sales_Data2[[#This Row],[RowKey]])&gt;1,"Duplicate","Unique")</f>
        <v>Unique</v>
      </c>
      <c r="Q467" s="3" t="str">
        <f>IF(ISNUMBER(Sales_Data2[[#This Row],[Date]]),"OK","Check")</f>
        <v>OK</v>
      </c>
      <c r="R467" s="3" t="str">
        <f>IF(ISNUMBER(Sales_Data2[[#This Row],[Quantity]]),"OK","Check")</f>
        <v>OK</v>
      </c>
    </row>
    <row r="468" spans="1:18">
      <c r="A468" s="1">
        <v>46142</v>
      </c>
      <c r="B468" t="s">
        <v>11</v>
      </c>
      <c r="C468" t="s">
        <v>12</v>
      </c>
      <c r="D468" t="s">
        <v>23</v>
      </c>
      <c r="E468" t="s">
        <v>14</v>
      </c>
      <c r="F468" t="s">
        <v>27</v>
      </c>
      <c r="G468" t="s">
        <v>22</v>
      </c>
      <c r="H468">
        <v>60000</v>
      </c>
      <c r="I468">
        <v>6</v>
      </c>
      <c r="J468" t="s">
        <v>39</v>
      </c>
      <c r="K468">
        <f t="shared" si="7"/>
        <v>48000</v>
      </c>
      <c r="L468">
        <f>Sales_Data2[[#This Row],[Unit Price]]*Sales_Data2[[#This Row],[Quantity]]</f>
        <v>360000</v>
      </c>
      <c r="M468">
        <f>Sales_Data2[[#This Row],[Cost Price]]*Sales_Data2[[#This Row],[Quantity]]</f>
        <v>288000</v>
      </c>
      <c r="N468" s="3">
        <f>Sales_Data2[[#This Row],[Revenue]]-Sales_Data2[[#This Row],[COGS]]</f>
        <v>72000</v>
      </c>
      <c r="O4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46142|West|Port Harcourt|Corporate|Online|Microwave M20|Home Appliances|60000|6|Grace|48000</v>
      </c>
      <c r="P468" s="3" t="str">
        <f>IF(COUNTIF(Sales_Data2[RowKey],Sales_Data2[[#This Row],[RowKey]])&gt;1,"Duplicate","Unique")</f>
        <v>Unique</v>
      </c>
      <c r="Q468" s="3" t="str">
        <f>IF(ISNUMBER(Sales_Data2[[#This Row],[Date]]),"OK","Check")</f>
        <v>OK</v>
      </c>
      <c r="R468" s="3" t="str">
        <f>IF(ISNUMBER(Sales_Data2[[#This Row],[Quantity]]),"OK","Check")</f>
        <v>OK</v>
      </c>
    </row>
    <row r="469" spans="1:18">
      <c r="A469" s="1">
        <v>46143</v>
      </c>
      <c r="B469" t="s">
        <v>29</v>
      </c>
      <c r="C469" t="s">
        <v>26</v>
      </c>
      <c r="D469" t="s">
        <v>13</v>
      </c>
      <c r="E469" t="s">
        <v>20</v>
      </c>
      <c r="F469" t="s">
        <v>41</v>
      </c>
      <c r="G469" t="s">
        <v>22</v>
      </c>
      <c r="H469">
        <v>220000</v>
      </c>
      <c r="I469">
        <v>4</v>
      </c>
      <c r="J469" t="s">
        <v>24</v>
      </c>
      <c r="K469">
        <f t="shared" si="7"/>
        <v>176000</v>
      </c>
      <c r="L469">
        <f>Sales_Data2[[#This Row],[Unit Price]]*Sales_Data2[[#This Row],[Quantity]]</f>
        <v>880000</v>
      </c>
      <c r="M469">
        <f>Sales_Data2[[#This Row],[Cost Price]]*Sales_Data2[[#This Row],[Quantity]]</f>
        <v>704000</v>
      </c>
      <c r="N469" s="3">
        <f>Sales_Data2[[#This Row],[Revenue]]-Sales_Data2[[#This Row],[COGS]]</f>
        <v>176000</v>
      </c>
      <c r="O4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46143|North|Kano|Retail|Store|Refrigerator R55|Home Appliances|220000|4|David|176000</v>
      </c>
      <c r="P469" s="3" t="str">
        <f>IF(COUNTIF(Sales_Data2[RowKey],Sales_Data2[[#This Row],[RowKey]])&gt;1,"Duplicate","Unique")</f>
        <v>Unique</v>
      </c>
      <c r="Q469" s="3" t="str">
        <f>IF(ISNUMBER(Sales_Data2[[#This Row],[Date]]),"OK","Check")</f>
        <v>OK</v>
      </c>
      <c r="R469" s="3" t="str">
        <f>IF(ISNUMBER(Sales_Data2[[#This Row],[Quantity]]),"OK","Check")</f>
        <v>OK</v>
      </c>
    </row>
    <row r="470" spans="1:18">
      <c r="A470" s="1">
        <v>46144</v>
      </c>
      <c r="B470" t="s">
        <v>25</v>
      </c>
      <c r="C470" t="s">
        <v>32</v>
      </c>
      <c r="D470" t="s">
        <v>23</v>
      </c>
      <c r="E470" t="s">
        <v>14</v>
      </c>
      <c r="F470" t="s">
        <v>36</v>
      </c>
      <c r="G470" t="s">
        <v>31</v>
      </c>
      <c r="H470">
        <v>150000</v>
      </c>
      <c r="I470">
        <v>1</v>
      </c>
      <c r="J470" t="s">
        <v>24</v>
      </c>
      <c r="K470">
        <f t="shared" si="7"/>
        <v>120000</v>
      </c>
      <c r="L470">
        <f>Sales_Data2[[#This Row],[Unit Price]]*Sales_Data2[[#This Row],[Quantity]]</f>
        <v>150000</v>
      </c>
      <c r="M470">
        <f>Sales_Data2[[#This Row],[Cost Price]]*Sales_Data2[[#This Row],[Quantity]]</f>
        <v>120000</v>
      </c>
      <c r="N470" s="3">
        <f>Sales_Data2[[#This Row],[Revenue]]-Sales_Data2[[#This Row],[COGS]]</f>
        <v>30000</v>
      </c>
      <c r="O4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46144|South|Abuja|Corporate|Online|Printer P50|Electronics|150000|1|David|120000</v>
      </c>
      <c r="P470" s="3" t="str">
        <f>IF(COUNTIF(Sales_Data2[RowKey],Sales_Data2[[#This Row],[RowKey]])&gt;1,"Duplicate","Unique")</f>
        <v>Unique</v>
      </c>
      <c r="Q470" s="3" t="str">
        <f>IF(ISNUMBER(Sales_Data2[[#This Row],[Date]]),"OK","Check")</f>
        <v>OK</v>
      </c>
      <c r="R470" s="3" t="str">
        <f>IF(ISNUMBER(Sales_Data2[[#This Row],[Quantity]]),"OK","Check")</f>
        <v>OK</v>
      </c>
    </row>
    <row r="471" spans="1:18">
      <c r="A471" s="1">
        <v>46145</v>
      </c>
      <c r="B471" t="s">
        <v>25</v>
      </c>
      <c r="C471" t="s">
        <v>26</v>
      </c>
      <c r="D471" t="s">
        <v>13</v>
      </c>
      <c r="E471" t="s">
        <v>20</v>
      </c>
      <c r="F471" t="s">
        <v>33</v>
      </c>
      <c r="G471" t="s">
        <v>22</v>
      </c>
      <c r="H471">
        <v>180000</v>
      </c>
      <c r="I471">
        <v>1</v>
      </c>
      <c r="J471" t="s">
        <v>28</v>
      </c>
      <c r="K471">
        <f t="shared" si="7"/>
        <v>144000</v>
      </c>
      <c r="L471">
        <f>Sales_Data2[[#This Row],[Unit Price]]*Sales_Data2[[#This Row],[Quantity]]</f>
        <v>180000</v>
      </c>
      <c r="M471">
        <f>Sales_Data2[[#This Row],[Cost Price]]*Sales_Data2[[#This Row],[Quantity]]</f>
        <v>144000</v>
      </c>
      <c r="N471" s="3">
        <f>Sales_Data2[[#This Row],[Revenue]]-Sales_Data2[[#This Row],[COGS]]</f>
        <v>36000</v>
      </c>
      <c r="O4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46145|South|Kano|Retail|Store|Air Conditioner X2|Home Appliances|180000|1|Musa|144000</v>
      </c>
      <c r="P471" s="3" t="str">
        <f>IF(COUNTIF(Sales_Data2[RowKey],Sales_Data2[[#This Row],[RowKey]])&gt;1,"Duplicate","Unique")</f>
        <v>Unique</v>
      </c>
      <c r="Q471" s="3" t="str">
        <f>IF(ISNUMBER(Sales_Data2[[#This Row],[Date]]),"OK","Check")</f>
        <v>OK</v>
      </c>
      <c r="R471" s="3" t="str">
        <f>IF(ISNUMBER(Sales_Data2[[#This Row],[Quantity]]),"OK","Check")</f>
        <v>OK</v>
      </c>
    </row>
    <row r="472" spans="1:18">
      <c r="A472" s="1">
        <v>46146</v>
      </c>
      <c r="B472" t="s">
        <v>18</v>
      </c>
      <c r="C472" t="s">
        <v>32</v>
      </c>
      <c r="D472" t="s">
        <v>23</v>
      </c>
      <c r="E472" t="s">
        <v>20</v>
      </c>
      <c r="F472" t="s">
        <v>41</v>
      </c>
      <c r="G472" t="s">
        <v>22</v>
      </c>
      <c r="H472">
        <v>220000</v>
      </c>
      <c r="I472">
        <v>8</v>
      </c>
      <c r="J472" t="s">
        <v>28</v>
      </c>
      <c r="K472">
        <f t="shared" si="7"/>
        <v>176000</v>
      </c>
      <c r="L472">
        <f>Sales_Data2[[#This Row],[Unit Price]]*Sales_Data2[[#This Row],[Quantity]]</f>
        <v>1760000</v>
      </c>
      <c r="M472">
        <f>Sales_Data2[[#This Row],[Cost Price]]*Sales_Data2[[#This Row],[Quantity]]</f>
        <v>1408000</v>
      </c>
      <c r="N472" s="3">
        <f>Sales_Data2[[#This Row],[Revenue]]-Sales_Data2[[#This Row],[COGS]]</f>
        <v>352000</v>
      </c>
      <c r="O4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46146|East|Abuja|Corporate|Store|Refrigerator R55|Home Appliances|220000|8|Musa|176000</v>
      </c>
      <c r="P472" s="3" t="str">
        <f>IF(COUNTIF(Sales_Data2[RowKey],Sales_Data2[[#This Row],[RowKey]])&gt;1,"Duplicate","Unique")</f>
        <v>Unique</v>
      </c>
      <c r="Q472" s="3" t="str">
        <f>IF(ISNUMBER(Sales_Data2[[#This Row],[Date]]),"OK","Check")</f>
        <v>OK</v>
      </c>
      <c r="R472" s="3" t="str">
        <f>IF(ISNUMBER(Sales_Data2[[#This Row],[Quantity]]),"OK","Check")</f>
        <v>OK</v>
      </c>
    </row>
    <row r="473" spans="1:18">
      <c r="A473" s="1">
        <v>46147</v>
      </c>
      <c r="B473" t="s">
        <v>11</v>
      </c>
      <c r="C473" t="s">
        <v>19</v>
      </c>
      <c r="D473" t="s">
        <v>13</v>
      </c>
      <c r="E473" t="s">
        <v>20</v>
      </c>
      <c r="F473" t="s">
        <v>40</v>
      </c>
      <c r="G473" t="s">
        <v>31</v>
      </c>
      <c r="H473">
        <v>250000</v>
      </c>
      <c r="I473">
        <v>3</v>
      </c>
      <c r="J473" t="s">
        <v>24</v>
      </c>
      <c r="K473">
        <f t="shared" si="7"/>
        <v>200000</v>
      </c>
      <c r="L473">
        <f>Sales_Data2[[#This Row],[Unit Price]]*Sales_Data2[[#This Row],[Quantity]]</f>
        <v>750000</v>
      </c>
      <c r="M473">
        <f>Sales_Data2[[#This Row],[Cost Price]]*Sales_Data2[[#This Row],[Quantity]]</f>
        <v>600000</v>
      </c>
      <c r="N473" s="3">
        <f>Sales_Data2[[#This Row],[Revenue]]-Sales_Data2[[#This Row],[COGS]]</f>
        <v>150000</v>
      </c>
      <c r="O4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46147|West|Lagos|Retail|Store|Smartphone Z10|Electronics|250000|3|David|200000</v>
      </c>
      <c r="P473" s="3" t="str">
        <f>IF(COUNTIF(Sales_Data2[RowKey],Sales_Data2[[#This Row],[RowKey]])&gt;1,"Duplicate","Unique")</f>
        <v>Unique</v>
      </c>
      <c r="Q473" s="3" t="str">
        <f>IF(ISNUMBER(Sales_Data2[[#This Row],[Date]]),"OK","Check")</f>
        <v>OK</v>
      </c>
      <c r="R473" s="3" t="str">
        <f>IF(ISNUMBER(Sales_Data2[[#This Row],[Quantity]]),"OK","Check")</f>
        <v>OK</v>
      </c>
    </row>
    <row r="474" spans="1:18">
      <c r="A474" s="1">
        <v>46148</v>
      </c>
      <c r="B474" t="s">
        <v>29</v>
      </c>
      <c r="C474" t="s">
        <v>19</v>
      </c>
      <c r="D474" t="s">
        <v>23</v>
      </c>
      <c r="E474" t="s">
        <v>20</v>
      </c>
      <c r="F474" t="s">
        <v>27</v>
      </c>
      <c r="G474" t="s">
        <v>22</v>
      </c>
      <c r="H474">
        <v>60000</v>
      </c>
      <c r="I474">
        <v>1</v>
      </c>
      <c r="J474" t="s">
        <v>35</v>
      </c>
      <c r="K474">
        <f t="shared" si="7"/>
        <v>48000</v>
      </c>
      <c r="L474">
        <f>Sales_Data2[[#This Row],[Unit Price]]*Sales_Data2[[#This Row],[Quantity]]</f>
        <v>60000</v>
      </c>
      <c r="M474">
        <f>Sales_Data2[[#This Row],[Cost Price]]*Sales_Data2[[#This Row],[Quantity]]</f>
        <v>48000</v>
      </c>
      <c r="N474" s="3">
        <f>Sales_Data2[[#This Row],[Revenue]]-Sales_Data2[[#This Row],[COGS]]</f>
        <v>12000</v>
      </c>
      <c r="O4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46148|North|Lagos|Corporate|Store|Microwave M20|Home Appliances|60000|1|Peter|48000</v>
      </c>
      <c r="P474" s="3" t="str">
        <f>IF(COUNTIF(Sales_Data2[RowKey],Sales_Data2[[#This Row],[RowKey]])&gt;1,"Duplicate","Unique")</f>
        <v>Unique</v>
      </c>
      <c r="Q474" s="3" t="str">
        <f>IF(ISNUMBER(Sales_Data2[[#This Row],[Date]]),"OK","Check")</f>
        <v>OK</v>
      </c>
      <c r="R474" s="3" t="str">
        <f>IF(ISNUMBER(Sales_Data2[[#This Row],[Quantity]]),"OK","Check")</f>
        <v>OK</v>
      </c>
    </row>
    <row r="475" spans="1:18">
      <c r="A475" s="1">
        <v>46149</v>
      </c>
      <c r="B475" t="s">
        <v>18</v>
      </c>
      <c r="C475" t="s">
        <v>32</v>
      </c>
      <c r="D475" t="s">
        <v>13</v>
      </c>
      <c r="E475" t="s">
        <v>20</v>
      </c>
      <c r="F475" t="s">
        <v>34</v>
      </c>
      <c r="G475" t="s">
        <v>16</v>
      </c>
      <c r="H475">
        <v>320000</v>
      </c>
      <c r="I475">
        <v>4</v>
      </c>
      <c r="J475" t="s">
        <v>17</v>
      </c>
      <c r="K475">
        <f t="shared" si="7"/>
        <v>256000</v>
      </c>
      <c r="L475">
        <f>Sales_Data2[[#This Row],[Unit Price]]*Sales_Data2[[#This Row],[Quantity]]</f>
        <v>1280000</v>
      </c>
      <c r="M475">
        <f>Sales_Data2[[#This Row],[Cost Price]]*Sales_Data2[[#This Row],[Quantity]]</f>
        <v>1024000</v>
      </c>
      <c r="N475" s="3">
        <f>Sales_Data2[[#This Row],[Revenue]]-Sales_Data2[[#This Row],[COGS]]</f>
        <v>256000</v>
      </c>
      <c r="O4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46149|East|Abuja|Retail|Store|Sofa Classic|Furniture|320000|4|Chidinma|256000</v>
      </c>
      <c r="P475" s="3" t="str">
        <f>IF(COUNTIF(Sales_Data2[RowKey],Sales_Data2[[#This Row],[RowKey]])&gt;1,"Duplicate","Unique")</f>
        <v>Unique</v>
      </c>
      <c r="Q475" s="3" t="str">
        <f>IF(ISNUMBER(Sales_Data2[[#This Row],[Date]]),"OK","Check")</f>
        <v>OK</v>
      </c>
      <c r="R475" s="3" t="str">
        <f>IF(ISNUMBER(Sales_Data2[[#This Row],[Quantity]]),"OK","Check")</f>
        <v>OK</v>
      </c>
    </row>
    <row r="476" spans="1:18">
      <c r="A476" s="1">
        <v>46150</v>
      </c>
      <c r="B476" t="s">
        <v>25</v>
      </c>
      <c r="C476" t="s">
        <v>26</v>
      </c>
      <c r="D476" t="s">
        <v>23</v>
      </c>
      <c r="E476" t="s">
        <v>20</v>
      </c>
      <c r="F476" t="s">
        <v>38</v>
      </c>
      <c r="G476" t="s">
        <v>31</v>
      </c>
      <c r="H476">
        <v>420000</v>
      </c>
      <c r="I476">
        <v>8</v>
      </c>
      <c r="J476" t="s">
        <v>24</v>
      </c>
      <c r="K476">
        <f t="shared" si="7"/>
        <v>336000</v>
      </c>
      <c r="L476">
        <f>Sales_Data2[[#This Row],[Unit Price]]*Sales_Data2[[#This Row],[Quantity]]</f>
        <v>3360000</v>
      </c>
      <c r="M476">
        <f>Sales_Data2[[#This Row],[Cost Price]]*Sales_Data2[[#This Row],[Quantity]]</f>
        <v>2688000</v>
      </c>
      <c r="N476" s="3">
        <f>Sales_Data2[[#This Row],[Revenue]]-Sales_Data2[[#This Row],[COGS]]</f>
        <v>672000</v>
      </c>
      <c r="O4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46150|South|Kano|Corporate|Store|Laptop A13|Electronics|420000|8|David|336000</v>
      </c>
      <c r="P476" s="3" t="str">
        <f>IF(COUNTIF(Sales_Data2[RowKey],Sales_Data2[[#This Row],[RowKey]])&gt;1,"Duplicate","Unique")</f>
        <v>Unique</v>
      </c>
      <c r="Q476" s="3" t="str">
        <f>IF(ISNUMBER(Sales_Data2[[#This Row],[Date]]),"OK","Check")</f>
        <v>OK</v>
      </c>
      <c r="R476" s="3" t="str">
        <f>IF(ISNUMBER(Sales_Data2[[#This Row],[Quantity]]),"OK","Check")</f>
        <v>OK</v>
      </c>
    </row>
    <row r="477" spans="1:18">
      <c r="A477" s="1">
        <v>46151</v>
      </c>
      <c r="B477" t="s">
        <v>25</v>
      </c>
      <c r="C477" t="s">
        <v>19</v>
      </c>
      <c r="D477" t="s">
        <v>23</v>
      </c>
      <c r="E477" t="s">
        <v>20</v>
      </c>
      <c r="F477" t="s">
        <v>38</v>
      </c>
      <c r="G477" t="s">
        <v>31</v>
      </c>
      <c r="H477">
        <v>420000</v>
      </c>
      <c r="I477">
        <v>8</v>
      </c>
      <c r="J477" t="s">
        <v>35</v>
      </c>
      <c r="K477">
        <f t="shared" si="7"/>
        <v>336000</v>
      </c>
      <c r="L477">
        <f>Sales_Data2[[#This Row],[Unit Price]]*Sales_Data2[[#This Row],[Quantity]]</f>
        <v>3360000</v>
      </c>
      <c r="M477">
        <f>Sales_Data2[[#This Row],[Cost Price]]*Sales_Data2[[#This Row],[Quantity]]</f>
        <v>2688000</v>
      </c>
      <c r="N477" s="3">
        <f>Sales_Data2[[#This Row],[Revenue]]-Sales_Data2[[#This Row],[COGS]]</f>
        <v>672000</v>
      </c>
      <c r="O4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46151|South|Lagos|Corporate|Store|Laptop A13|Electronics|420000|8|Peter|336000</v>
      </c>
      <c r="P477" s="3" t="str">
        <f>IF(COUNTIF(Sales_Data2[RowKey],Sales_Data2[[#This Row],[RowKey]])&gt;1,"Duplicate","Unique")</f>
        <v>Unique</v>
      </c>
      <c r="Q477" s="3" t="str">
        <f>IF(ISNUMBER(Sales_Data2[[#This Row],[Date]]),"OK","Check")</f>
        <v>OK</v>
      </c>
      <c r="R477" s="3" t="str">
        <f>IF(ISNUMBER(Sales_Data2[[#This Row],[Quantity]]),"OK","Check")</f>
        <v>OK</v>
      </c>
    </row>
    <row r="478" spans="1:18">
      <c r="A478" s="1">
        <v>46152</v>
      </c>
      <c r="B478" t="s">
        <v>29</v>
      </c>
      <c r="C478" t="s">
        <v>19</v>
      </c>
      <c r="D478" t="s">
        <v>13</v>
      </c>
      <c r="E478" t="s">
        <v>20</v>
      </c>
      <c r="F478" t="s">
        <v>27</v>
      </c>
      <c r="G478" t="s">
        <v>22</v>
      </c>
      <c r="H478">
        <v>60000</v>
      </c>
      <c r="I478">
        <v>1</v>
      </c>
      <c r="J478" t="s">
        <v>39</v>
      </c>
      <c r="K478">
        <f t="shared" si="7"/>
        <v>48000</v>
      </c>
      <c r="L478">
        <f>Sales_Data2[[#This Row],[Unit Price]]*Sales_Data2[[#This Row],[Quantity]]</f>
        <v>60000</v>
      </c>
      <c r="M478">
        <f>Sales_Data2[[#This Row],[Cost Price]]*Sales_Data2[[#This Row],[Quantity]]</f>
        <v>48000</v>
      </c>
      <c r="N478" s="3">
        <f>Sales_Data2[[#This Row],[Revenue]]-Sales_Data2[[#This Row],[COGS]]</f>
        <v>12000</v>
      </c>
      <c r="O4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46152|North|Lagos|Retail|Store|Microwave M20|Home Appliances|60000|1|Grace|48000</v>
      </c>
      <c r="P478" s="3" t="str">
        <f>IF(COUNTIF(Sales_Data2[RowKey],Sales_Data2[[#This Row],[RowKey]])&gt;1,"Duplicate","Unique")</f>
        <v>Unique</v>
      </c>
      <c r="Q478" s="3" t="str">
        <f>IF(ISNUMBER(Sales_Data2[[#This Row],[Date]]),"OK","Check")</f>
        <v>OK</v>
      </c>
      <c r="R478" s="3" t="str">
        <f>IF(ISNUMBER(Sales_Data2[[#This Row],[Quantity]]),"OK","Check")</f>
        <v>OK</v>
      </c>
    </row>
    <row r="479" spans="1:18">
      <c r="A479" s="1">
        <v>46153</v>
      </c>
      <c r="B479" t="s">
        <v>18</v>
      </c>
      <c r="C479" t="s">
        <v>12</v>
      </c>
      <c r="D479" t="s">
        <v>23</v>
      </c>
      <c r="E479" t="s">
        <v>20</v>
      </c>
      <c r="F479" t="s">
        <v>33</v>
      </c>
      <c r="G479" t="s">
        <v>22</v>
      </c>
      <c r="H479">
        <v>180000</v>
      </c>
      <c r="I479">
        <v>8</v>
      </c>
      <c r="J479" t="s">
        <v>24</v>
      </c>
      <c r="K479">
        <f t="shared" si="7"/>
        <v>144000</v>
      </c>
      <c r="L479">
        <f>Sales_Data2[[#This Row],[Unit Price]]*Sales_Data2[[#This Row],[Quantity]]</f>
        <v>1440000</v>
      </c>
      <c r="M479">
        <f>Sales_Data2[[#This Row],[Cost Price]]*Sales_Data2[[#This Row],[Quantity]]</f>
        <v>1152000</v>
      </c>
      <c r="N479" s="3">
        <f>Sales_Data2[[#This Row],[Revenue]]-Sales_Data2[[#This Row],[COGS]]</f>
        <v>288000</v>
      </c>
      <c r="O4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46153|East|Port Harcourt|Corporate|Store|Air Conditioner X2|Home Appliances|180000|8|David|144000</v>
      </c>
      <c r="P479" s="3" t="str">
        <f>IF(COUNTIF(Sales_Data2[RowKey],Sales_Data2[[#This Row],[RowKey]])&gt;1,"Duplicate","Unique")</f>
        <v>Unique</v>
      </c>
      <c r="Q479" s="3" t="str">
        <f>IF(ISNUMBER(Sales_Data2[[#This Row],[Date]]),"OK","Check")</f>
        <v>OK</v>
      </c>
      <c r="R479" s="3" t="str">
        <f>IF(ISNUMBER(Sales_Data2[[#This Row],[Quantity]]),"OK","Check")</f>
        <v>OK</v>
      </c>
    </row>
    <row r="480" spans="1:18">
      <c r="A480" s="1">
        <v>46154</v>
      </c>
      <c r="B480" t="s">
        <v>11</v>
      </c>
      <c r="C480" t="s">
        <v>19</v>
      </c>
      <c r="D480" t="s">
        <v>23</v>
      </c>
      <c r="E480" t="s">
        <v>20</v>
      </c>
      <c r="F480" t="s">
        <v>33</v>
      </c>
      <c r="G480" t="s">
        <v>22</v>
      </c>
      <c r="H480">
        <v>180000</v>
      </c>
      <c r="I480">
        <v>2</v>
      </c>
      <c r="J480" t="s">
        <v>24</v>
      </c>
      <c r="K480">
        <f t="shared" si="7"/>
        <v>144000</v>
      </c>
      <c r="L480">
        <f>Sales_Data2[[#This Row],[Unit Price]]*Sales_Data2[[#This Row],[Quantity]]</f>
        <v>360000</v>
      </c>
      <c r="M480">
        <f>Sales_Data2[[#This Row],[Cost Price]]*Sales_Data2[[#This Row],[Quantity]]</f>
        <v>288000</v>
      </c>
      <c r="N480" s="3">
        <f>Sales_Data2[[#This Row],[Revenue]]-Sales_Data2[[#This Row],[COGS]]</f>
        <v>72000</v>
      </c>
      <c r="O4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46154|West|Lagos|Corporate|Store|Air Conditioner X2|Home Appliances|180000|2|David|144000</v>
      </c>
      <c r="P480" s="3" t="str">
        <f>IF(COUNTIF(Sales_Data2[RowKey],Sales_Data2[[#This Row],[RowKey]])&gt;1,"Duplicate","Unique")</f>
        <v>Unique</v>
      </c>
      <c r="Q480" s="3" t="str">
        <f>IF(ISNUMBER(Sales_Data2[[#This Row],[Date]]),"OK","Check")</f>
        <v>OK</v>
      </c>
      <c r="R480" s="3" t="str">
        <f>IF(ISNUMBER(Sales_Data2[[#This Row],[Quantity]]),"OK","Check")</f>
        <v>OK</v>
      </c>
    </row>
    <row r="481" spans="1:18">
      <c r="A481" s="1">
        <v>46155</v>
      </c>
      <c r="B481" t="s">
        <v>25</v>
      </c>
      <c r="C481" t="s">
        <v>19</v>
      </c>
      <c r="D481" t="s">
        <v>23</v>
      </c>
      <c r="E481" t="s">
        <v>14</v>
      </c>
      <c r="F481" t="s">
        <v>30</v>
      </c>
      <c r="G481" t="s">
        <v>31</v>
      </c>
      <c r="H481">
        <v>300000</v>
      </c>
      <c r="I481">
        <v>7</v>
      </c>
      <c r="J481" t="s">
        <v>35</v>
      </c>
      <c r="K481">
        <f t="shared" si="7"/>
        <v>240000</v>
      </c>
      <c r="L481">
        <f>Sales_Data2[[#This Row],[Unit Price]]*Sales_Data2[[#This Row],[Quantity]]</f>
        <v>2100000</v>
      </c>
      <c r="M481">
        <f>Sales_Data2[[#This Row],[Cost Price]]*Sales_Data2[[#This Row],[Quantity]]</f>
        <v>1680000</v>
      </c>
      <c r="N481" s="3">
        <f>Sales_Data2[[#This Row],[Revenue]]-Sales_Data2[[#This Row],[COGS]]</f>
        <v>420000</v>
      </c>
      <c r="O4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46155|South|Lagos|Corporate|Online|Desktop PC D21|Electronics|300000|7|Peter|240000</v>
      </c>
      <c r="P481" s="3" t="str">
        <f>IF(COUNTIF(Sales_Data2[RowKey],Sales_Data2[[#This Row],[RowKey]])&gt;1,"Duplicate","Unique")</f>
        <v>Unique</v>
      </c>
      <c r="Q481" s="3" t="str">
        <f>IF(ISNUMBER(Sales_Data2[[#This Row],[Date]]),"OK","Check")</f>
        <v>OK</v>
      </c>
      <c r="R481" s="3" t="str">
        <f>IF(ISNUMBER(Sales_Data2[[#This Row],[Quantity]]),"OK","Check")</f>
        <v>OK</v>
      </c>
    </row>
    <row r="482" spans="1:18">
      <c r="A482" s="1">
        <v>46156</v>
      </c>
      <c r="B482" t="s">
        <v>11</v>
      </c>
      <c r="C482" t="s">
        <v>26</v>
      </c>
      <c r="D482" t="s">
        <v>13</v>
      </c>
      <c r="E482" t="s">
        <v>14</v>
      </c>
      <c r="F482" t="s">
        <v>40</v>
      </c>
      <c r="G482" t="s">
        <v>31</v>
      </c>
      <c r="H482">
        <v>250000</v>
      </c>
      <c r="I482">
        <v>6</v>
      </c>
      <c r="J482" t="s">
        <v>35</v>
      </c>
      <c r="K482">
        <f t="shared" si="7"/>
        <v>200000</v>
      </c>
      <c r="L482">
        <f>Sales_Data2[[#This Row],[Unit Price]]*Sales_Data2[[#This Row],[Quantity]]</f>
        <v>1500000</v>
      </c>
      <c r="M482">
        <f>Sales_Data2[[#This Row],[Cost Price]]*Sales_Data2[[#This Row],[Quantity]]</f>
        <v>1200000</v>
      </c>
      <c r="N482" s="3">
        <f>Sales_Data2[[#This Row],[Revenue]]-Sales_Data2[[#This Row],[COGS]]</f>
        <v>300000</v>
      </c>
      <c r="O4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46156|West|Kano|Retail|Online|Smartphone Z10|Electronics|250000|6|Peter|200000</v>
      </c>
      <c r="P482" s="3" t="str">
        <f>IF(COUNTIF(Sales_Data2[RowKey],Sales_Data2[[#This Row],[RowKey]])&gt;1,"Duplicate","Unique")</f>
        <v>Unique</v>
      </c>
      <c r="Q482" s="3" t="str">
        <f>IF(ISNUMBER(Sales_Data2[[#This Row],[Date]]),"OK","Check")</f>
        <v>OK</v>
      </c>
      <c r="R482" s="3" t="str">
        <f>IF(ISNUMBER(Sales_Data2[[#This Row],[Quantity]]),"OK","Check")</f>
        <v>OK</v>
      </c>
    </row>
    <row r="483" spans="1:18">
      <c r="A483" s="1">
        <v>46157</v>
      </c>
      <c r="B483" t="s">
        <v>29</v>
      </c>
      <c r="C483" t="s">
        <v>26</v>
      </c>
      <c r="D483" t="s">
        <v>13</v>
      </c>
      <c r="E483" t="s">
        <v>20</v>
      </c>
      <c r="F483" t="s">
        <v>36</v>
      </c>
      <c r="G483" t="s">
        <v>31</v>
      </c>
      <c r="H483">
        <v>150000</v>
      </c>
      <c r="I483">
        <v>5</v>
      </c>
      <c r="J483" t="s">
        <v>24</v>
      </c>
      <c r="K483">
        <f t="shared" si="7"/>
        <v>120000</v>
      </c>
      <c r="L483">
        <f>Sales_Data2[[#This Row],[Unit Price]]*Sales_Data2[[#This Row],[Quantity]]</f>
        <v>750000</v>
      </c>
      <c r="M483">
        <f>Sales_Data2[[#This Row],[Cost Price]]*Sales_Data2[[#This Row],[Quantity]]</f>
        <v>600000</v>
      </c>
      <c r="N483" s="3">
        <f>Sales_Data2[[#This Row],[Revenue]]-Sales_Data2[[#This Row],[COGS]]</f>
        <v>150000</v>
      </c>
      <c r="O4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46157|North|Kano|Retail|Store|Printer P50|Electronics|150000|5|David|120000</v>
      </c>
      <c r="P483" s="3" t="str">
        <f>IF(COUNTIF(Sales_Data2[RowKey],Sales_Data2[[#This Row],[RowKey]])&gt;1,"Duplicate","Unique")</f>
        <v>Unique</v>
      </c>
      <c r="Q483" s="3" t="str">
        <f>IF(ISNUMBER(Sales_Data2[[#This Row],[Date]]),"OK","Check")</f>
        <v>OK</v>
      </c>
      <c r="R483" s="3" t="str">
        <f>IF(ISNUMBER(Sales_Data2[[#This Row],[Quantity]]),"OK","Check")</f>
        <v>OK</v>
      </c>
    </row>
    <row r="484" spans="1:18">
      <c r="A484" s="1">
        <v>46158</v>
      </c>
      <c r="B484" t="s">
        <v>11</v>
      </c>
      <c r="C484" t="s">
        <v>32</v>
      </c>
      <c r="D484" t="s">
        <v>13</v>
      </c>
      <c r="E484" t="s">
        <v>14</v>
      </c>
      <c r="F484" t="s">
        <v>15</v>
      </c>
      <c r="G484" t="s">
        <v>16</v>
      </c>
      <c r="H484">
        <v>85000</v>
      </c>
      <c r="I484">
        <v>10</v>
      </c>
      <c r="J484" t="s">
        <v>24</v>
      </c>
      <c r="K484">
        <f t="shared" si="7"/>
        <v>68000</v>
      </c>
      <c r="L484">
        <f>Sales_Data2[[#This Row],[Unit Price]]*Sales_Data2[[#This Row],[Quantity]]</f>
        <v>850000</v>
      </c>
      <c r="M484">
        <f>Sales_Data2[[#This Row],[Cost Price]]*Sales_Data2[[#This Row],[Quantity]]</f>
        <v>680000</v>
      </c>
      <c r="N484" s="3">
        <f>Sales_Data2[[#This Row],[Revenue]]-Sales_Data2[[#This Row],[COGS]]</f>
        <v>170000</v>
      </c>
      <c r="O4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46158|West|Abuja|Retail|Online|Office Chair Pro|Furniture|85000|10|David|68000</v>
      </c>
      <c r="P484" s="3" t="str">
        <f>IF(COUNTIF(Sales_Data2[RowKey],Sales_Data2[[#This Row],[RowKey]])&gt;1,"Duplicate","Unique")</f>
        <v>Unique</v>
      </c>
      <c r="Q484" s="3" t="str">
        <f>IF(ISNUMBER(Sales_Data2[[#This Row],[Date]]),"OK","Check")</f>
        <v>OK</v>
      </c>
      <c r="R484" s="3" t="str">
        <f>IF(ISNUMBER(Sales_Data2[[#This Row],[Quantity]]),"OK","Check")</f>
        <v>OK</v>
      </c>
    </row>
    <row r="485" spans="1:18">
      <c r="A485" s="1">
        <v>46159</v>
      </c>
      <c r="B485" t="s">
        <v>29</v>
      </c>
      <c r="C485" t="s">
        <v>32</v>
      </c>
      <c r="D485" t="s">
        <v>13</v>
      </c>
      <c r="E485" t="s">
        <v>14</v>
      </c>
      <c r="F485" t="s">
        <v>15</v>
      </c>
      <c r="G485" t="s">
        <v>16</v>
      </c>
      <c r="H485">
        <v>85000</v>
      </c>
      <c r="I485">
        <v>8</v>
      </c>
      <c r="J485" t="s">
        <v>35</v>
      </c>
      <c r="K485">
        <f t="shared" si="7"/>
        <v>68000</v>
      </c>
      <c r="L485">
        <f>Sales_Data2[[#This Row],[Unit Price]]*Sales_Data2[[#This Row],[Quantity]]</f>
        <v>680000</v>
      </c>
      <c r="M485">
        <f>Sales_Data2[[#This Row],[Cost Price]]*Sales_Data2[[#This Row],[Quantity]]</f>
        <v>544000</v>
      </c>
      <c r="N485" s="3">
        <f>Sales_Data2[[#This Row],[Revenue]]-Sales_Data2[[#This Row],[COGS]]</f>
        <v>136000</v>
      </c>
      <c r="O4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46159|North|Abuja|Retail|Online|Office Chair Pro|Furniture|85000|8|Peter|68000</v>
      </c>
      <c r="P485" s="3" t="str">
        <f>IF(COUNTIF(Sales_Data2[RowKey],Sales_Data2[[#This Row],[RowKey]])&gt;1,"Duplicate","Unique")</f>
        <v>Unique</v>
      </c>
      <c r="Q485" s="3" t="str">
        <f>IF(ISNUMBER(Sales_Data2[[#This Row],[Date]]),"OK","Check")</f>
        <v>OK</v>
      </c>
      <c r="R485" s="3" t="str">
        <f>IF(ISNUMBER(Sales_Data2[[#This Row],[Quantity]]),"OK","Check")</f>
        <v>OK</v>
      </c>
    </row>
    <row r="486" spans="1:18">
      <c r="A486" s="1">
        <v>46160</v>
      </c>
      <c r="B486" t="s">
        <v>25</v>
      </c>
      <c r="C486" t="s">
        <v>12</v>
      </c>
      <c r="D486" t="s">
        <v>13</v>
      </c>
      <c r="E486" t="s">
        <v>14</v>
      </c>
      <c r="F486" t="s">
        <v>15</v>
      </c>
      <c r="G486" t="s">
        <v>16</v>
      </c>
      <c r="H486">
        <v>85000</v>
      </c>
      <c r="I486">
        <v>2</v>
      </c>
      <c r="J486" t="s">
        <v>28</v>
      </c>
      <c r="K486">
        <f t="shared" si="7"/>
        <v>68000</v>
      </c>
      <c r="L486">
        <f>Sales_Data2[[#This Row],[Unit Price]]*Sales_Data2[[#This Row],[Quantity]]</f>
        <v>170000</v>
      </c>
      <c r="M486">
        <f>Sales_Data2[[#This Row],[Cost Price]]*Sales_Data2[[#This Row],[Quantity]]</f>
        <v>136000</v>
      </c>
      <c r="N486" s="3">
        <f>Sales_Data2[[#This Row],[Revenue]]-Sales_Data2[[#This Row],[COGS]]</f>
        <v>34000</v>
      </c>
      <c r="O4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46160|South|Port Harcourt|Retail|Online|Office Chair Pro|Furniture|85000|2|Musa|68000</v>
      </c>
      <c r="P486" s="3" t="str">
        <f>IF(COUNTIF(Sales_Data2[RowKey],Sales_Data2[[#This Row],[RowKey]])&gt;1,"Duplicate","Unique")</f>
        <v>Unique</v>
      </c>
      <c r="Q486" s="3" t="str">
        <f>IF(ISNUMBER(Sales_Data2[[#This Row],[Date]]),"OK","Check")</f>
        <v>OK</v>
      </c>
      <c r="R486" s="3" t="str">
        <f>IF(ISNUMBER(Sales_Data2[[#This Row],[Quantity]]),"OK","Check")</f>
        <v>OK</v>
      </c>
    </row>
    <row r="487" spans="1:18">
      <c r="A487" s="1">
        <v>46161</v>
      </c>
      <c r="B487" t="s">
        <v>11</v>
      </c>
      <c r="C487" t="s">
        <v>32</v>
      </c>
      <c r="D487" t="s">
        <v>13</v>
      </c>
      <c r="E487" t="s">
        <v>14</v>
      </c>
      <c r="F487" t="s">
        <v>40</v>
      </c>
      <c r="G487" t="s">
        <v>31</v>
      </c>
      <c r="H487">
        <v>250000</v>
      </c>
      <c r="I487">
        <v>4</v>
      </c>
      <c r="J487" t="s">
        <v>17</v>
      </c>
      <c r="K487">
        <f t="shared" si="7"/>
        <v>200000</v>
      </c>
      <c r="L487">
        <f>Sales_Data2[[#This Row],[Unit Price]]*Sales_Data2[[#This Row],[Quantity]]</f>
        <v>1000000</v>
      </c>
      <c r="M487">
        <f>Sales_Data2[[#This Row],[Cost Price]]*Sales_Data2[[#This Row],[Quantity]]</f>
        <v>800000</v>
      </c>
      <c r="N487" s="3">
        <f>Sales_Data2[[#This Row],[Revenue]]-Sales_Data2[[#This Row],[COGS]]</f>
        <v>200000</v>
      </c>
      <c r="O4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46161|West|Abuja|Retail|Online|Smartphone Z10|Electronics|250000|4|Chidinma|200000</v>
      </c>
      <c r="P487" s="3" t="str">
        <f>IF(COUNTIF(Sales_Data2[RowKey],Sales_Data2[[#This Row],[RowKey]])&gt;1,"Duplicate","Unique")</f>
        <v>Unique</v>
      </c>
      <c r="Q487" s="3" t="str">
        <f>IF(ISNUMBER(Sales_Data2[[#This Row],[Date]]),"OK","Check")</f>
        <v>OK</v>
      </c>
      <c r="R487" s="3" t="str">
        <f>IF(ISNUMBER(Sales_Data2[[#This Row],[Quantity]]),"OK","Check")</f>
        <v>OK</v>
      </c>
    </row>
    <row r="488" spans="1:18">
      <c r="A488" s="1">
        <v>46162</v>
      </c>
      <c r="B488" t="s">
        <v>25</v>
      </c>
      <c r="C488" t="s">
        <v>12</v>
      </c>
      <c r="D488" t="s">
        <v>13</v>
      </c>
      <c r="E488" t="s">
        <v>14</v>
      </c>
      <c r="F488" t="s">
        <v>36</v>
      </c>
      <c r="G488" t="s">
        <v>31</v>
      </c>
      <c r="H488">
        <v>150000</v>
      </c>
      <c r="I488">
        <v>6</v>
      </c>
      <c r="J488" t="s">
        <v>39</v>
      </c>
      <c r="K488">
        <f t="shared" si="7"/>
        <v>120000</v>
      </c>
      <c r="L488">
        <f>Sales_Data2[[#This Row],[Unit Price]]*Sales_Data2[[#This Row],[Quantity]]</f>
        <v>900000</v>
      </c>
      <c r="M488">
        <f>Sales_Data2[[#This Row],[Cost Price]]*Sales_Data2[[#This Row],[Quantity]]</f>
        <v>720000</v>
      </c>
      <c r="N488" s="3">
        <f>Sales_Data2[[#This Row],[Revenue]]-Sales_Data2[[#This Row],[COGS]]</f>
        <v>180000</v>
      </c>
      <c r="O4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46162|South|Port Harcourt|Retail|Online|Printer P50|Electronics|150000|6|Grace|120000</v>
      </c>
      <c r="P488" s="3" t="str">
        <f>IF(COUNTIF(Sales_Data2[RowKey],Sales_Data2[[#This Row],[RowKey]])&gt;1,"Duplicate","Unique")</f>
        <v>Unique</v>
      </c>
      <c r="Q488" s="3" t="str">
        <f>IF(ISNUMBER(Sales_Data2[[#This Row],[Date]]),"OK","Check")</f>
        <v>OK</v>
      </c>
      <c r="R488" s="3" t="str">
        <f>IF(ISNUMBER(Sales_Data2[[#This Row],[Quantity]]),"OK","Check")</f>
        <v>OK</v>
      </c>
    </row>
    <row r="489" spans="1:18">
      <c r="A489" s="1">
        <v>46163</v>
      </c>
      <c r="B489" t="s">
        <v>25</v>
      </c>
      <c r="C489" t="s">
        <v>32</v>
      </c>
      <c r="D489" t="s">
        <v>23</v>
      </c>
      <c r="E489" t="s">
        <v>20</v>
      </c>
      <c r="F489" t="s">
        <v>33</v>
      </c>
      <c r="G489" t="s">
        <v>22</v>
      </c>
      <c r="H489">
        <v>180000</v>
      </c>
      <c r="I489">
        <v>10</v>
      </c>
      <c r="J489" t="s">
        <v>37</v>
      </c>
      <c r="K489">
        <f t="shared" si="7"/>
        <v>144000</v>
      </c>
      <c r="L489">
        <f>Sales_Data2[[#This Row],[Unit Price]]*Sales_Data2[[#This Row],[Quantity]]</f>
        <v>1800000</v>
      </c>
      <c r="M489">
        <f>Sales_Data2[[#This Row],[Cost Price]]*Sales_Data2[[#This Row],[Quantity]]</f>
        <v>1440000</v>
      </c>
      <c r="N489" s="3">
        <f>Sales_Data2[[#This Row],[Revenue]]-Sales_Data2[[#This Row],[COGS]]</f>
        <v>360000</v>
      </c>
      <c r="O4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46163|South|Abuja|Corporate|Store|Air Conditioner X2|Home Appliances|180000|10|Aisha|144000</v>
      </c>
      <c r="P489" s="3" t="str">
        <f>IF(COUNTIF(Sales_Data2[RowKey],Sales_Data2[[#This Row],[RowKey]])&gt;1,"Duplicate","Unique")</f>
        <v>Unique</v>
      </c>
      <c r="Q489" s="3" t="str">
        <f>IF(ISNUMBER(Sales_Data2[[#This Row],[Date]]),"OK","Check")</f>
        <v>OK</v>
      </c>
      <c r="R489" s="3" t="str">
        <f>IF(ISNUMBER(Sales_Data2[[#This Row],[Quantity]]),"OK","Check")</f>
        <v>OK</v>
      </c>
    </row>
    <row r="490" spans="1:18">
      <c r="A490" s="1">
        <v>46164</v>
      </c>
      <c r="B490" t="s">
        <v>25</v>
      </c>
      <c r="C490" t="s">
        <v>32</v>
      </c>
      <c r="D490" t="s">
        <v>13</v>
      </c>
      <c r="E490" t="s">
        <v>14</v>
      </c>
      <c r="F490" t="s">
        <v>36</v>
      </c>
      <c r="G490" t="s">
        <v>31</v>
      </c>
      <c r="H490">
        <v>150000</v>
      </c>
      <c r="I490">
        <v>8</v>
      </c>
      <c r="J490" t="s">
        <v>17</v>
      </c>
      <c r="K490">
        <f t="shared" si="7"/>
        <v>120000</v>
      </c>
      <c r="L490">
        <f>Sales_Data2[[#This Row],[Unit Price]]*Sales_Data2[[#This Row],[Quantity]]</f>
        <v>1200000</v>
      </c>
      <c r="M490">
        <f>Sales_Data2[[#This Row],[Cost Price]]*Sales_Data2[[#This Row],[Quantity]]</f>
        <v>960000</v>
      </c>
      <c r="N490" s="3">
        <f>Sales_Data2[[#This Row],[Revenue]]-Sales_Data2[[#This Row],[COGS]]</f>
        <v>240000</v>
      </c>
      <c r="O4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46164|South|Abuja|Retail|Online|Printer P50|Electronics|150000|8|Chidinma|120000</v>
      </c>
      <c r="P490" s="3" t="str">
        <f>IF(COUNTIF(Sales_Data2[RowKey],Sales_Data2[[#This Row],[RowKey]])&gt;1,"Duplicate","Unique")</f>
        <v>Unique</v>
      </c>
      <c r="Q490" s="3" t="str">
        <f>IF(ISNUMBER(Sales_Data2[[#This Row],[Date]]),"OK","Check")</f>
        <v>OK</v>
      </c>
      <c r="R490" s="3" t="str">
        <f>IF(ISNUMBER(Sales_Data2[[#This Row],[Quantity]]),"OK","Check")</f>
        <v>OK</v>
      </c>
    </row>
    <row r="491" spans="1:18">
      <c r="A491" s="1">
        <v>46165</v>
      </c>
      <c r="B491" t="s">
        <v>25</v>
      </c>
      <c r="C491" t="s">
        <v>19</v>
      </c>
      <c r="D491" t="s">
        <v>13</v>
      </c>
      <c r="E491" t="s">
        <v>14</v>
      </c>
      <c r="F491" t="s">
        <v>33</v>
      </c>
      <c r="G491" t="s">
        <v>22</v>
      </c>
      <c r="H491">
        <v>180000</v>
      </c>
      <c r="I491">
        <v>8</v>
      </c>
      <c r="J491" t="s">
        <v>24</v>
      </c>
      <c r="K491">
        <f t="shared" si="7"/>
        <v>144000</v>
      </c>
      <c r="L491">
        <f>Sales_Data2[[#This Row],[Unit Price]]*Sales_Data2[[#This Row],[Quantity]]</f>
        <v>1440000</v>
      </c>
      <c r="M491">
        <f>Sales_Data2[[#This Row],[Cost Price]]*Sales_Data2[[#This Row],[Quantity]]</f>
        <v>1152000</v>
      </c>
      <c r="N491" s="3">
        <f>Sales_Data2[[#This Row],[Revenue]]-Sales_Data2[[#This Row],[COGS]]</f>
        <v>288000</v>
      </c>
      <c r="O4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46165|South|Lagos|Retail|Online|Air Conditioner X2|Home Appliances|180000|8|David|144000</v>
      </c>
      <c r="P491" s="3" t="str">
        <f>IF(COUNTIF(Sales_Data2[RowKey],Sales_Data2[[#This Row],[RowKey]])&gt;1,"Duplicate","Unique")</f>
        <v>Unique</v>
      </c>
      <c r="Q491" s="3" t="str">
        <f>IF(ISNUMBER(Sales_Data2[[#This Row],[Date]]),"OK","Check")</f>
        <v>OK</v>
      </c>
      <c r="R491" s="3" t="str">
        <f>IF(ISNUMBER(Sales_Data2[[#This Row],[Quantity]]),"OK","Check")</f>
        <v>OK</v>
      </c>
    </row>
    <row r="492" spans="1:18">
      <c r="A492" s="1">
        <v>46166</v>
      </c>
      <c r="B492" t="s">
        <v>18</v>
      </c>
      <c r="C492" t="s">
        <v>26</v>
      </c>
      <c r="D492" t="s">
        <v>23</v>
      </c>
      <c r="E492" t="s">
        <v>14</v>
      </c>
      <c r="F492" t="s">
        <v>36</v>
      </c>
      <c r="G492" t="s">
        <v>31</v>
      </c>
      <c r="H492">
        <v>150000</v>
      </c>
      <c r="I492">
        <v>6</v>
      </c>
      <c r="J492" t="s">
        <v>35</v>
      </c>
      <c r="K492">
        <f t="shared" si="7"/>
        <v>120000</v>
      </c>
      <c r="L492">
        <f>Sales_Data2[[#This Row],[Unit Price]]*Sales_Data2[[#This Row],[Quantity]]</f>
        <v>900000</v>
      </c>
      <c r="M492">
        <f>Sales_Data2[[#This Row],[Cost Price]]*Sales_Data2[[#This Row],[Quantity]]</f>
        <v>720000</v>
      </c>
      <c r="N492" s="3">
        <f>Sales_Data2[[#This Row],[Revenue]]-Sales_Data2[[#This Row],[COGS]]</f>
        <v>180000</v>
      </c>
      <c r="O4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46166|East|Kano|Corporate|Online|Printer P50|Electronics|150000|6|Peter|120000</v>
      </c>
      <c r="P492" s="3" t="str">
        <f>IF(COUNTIF(Sales_Data2[RowKey],Sales_Data2[[#This Row],[RowKey]])&gt;1,"Duplicate","Unique")</f>
        <v>Unique</v>
      </c>
      <c r="Q492" s="3" t="str">
        <f>IF(ISNUMBER(Sales_Data2[[#This Row],[Date]]),"OK","Check")</f>
        <v>OK</v>
      </c>
      <c r="R492" s="3" t="str">
        <f>IF(ISNUMBER(Sales_Data2[[#This Row],[Quantity]]),"OK","Check")</f>
        <v>OK</v>
      </c>
    </row>
    <row r="493" spans="1:18">
      <c r="A493" s="1">
        <v>46167</v>
      </c>
      <c r="B493" t="s">
        <v>25</v>
      </c>
      <c r="C493" t="s">
        <v>32</v>
      </c>
      <c r="D493" t="s">
        <v>23</v>
      </c>
      <c r="E493" t="s">
        <v>20</v>
      </c>
      <c r="F493" t="s">
        <v>36</v>
      </c>
      <c r="G493" t="s">
        <v>31</v>
      </c>
      <c r="H493">
        <v>150000</v>
      </c>
      <c r="I493">
        <v>4</v>
      </c>
      <c r="J493" t="s">
        <v>39</v>
      </c>
      <c r="K493">
        <f t="shared" si="7"/>
        <v>120000</v>
      </c>
      <c r="L493">
        <f>Sales_Data2[[#This Row],[Unit Price]]*Sales_Data2[[#This Row],[Quantity]]</f>
        <v>600000</v>
      </c>
      <c r="M493">
        <f>Sales_Data2[[#This Row],[Cost Price]]*Sales_Data2[[#This Row],[Quantity]]</f>
        <v>480000</v>
      </c>
      <c r="N493" s="3">
        <f>Sales_Data2[[#This Row],[Revenue]]-Sales_Data2[[#This Row],[COGS]]</f>
        <v>120000</v>
      </c>
      <c r="O4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46167|South|Abuja|Corporate|Store|Printer P50|Electronics|150000|4|Grace|120000</v>
      </c>
      <c r="P493" s="3" t="str">
        <f>IF(COUNTIF(Sales_Data2[RowKey],Sales_Data2[[#This Row],[RowKey]])&gt;1,"Duplicate","Unique")</f>
        <v>Unique</v>
      </c>
      <c r="Q493" s="3" t="str">
        <f>IF(ISNUMBER(Sales_Data2[[#This Row],[Date]]),"OK","Check")</f>
        <v>OK</v>
      </c>
      <c r="R493" s="3" t="str">
        <f>IF(ISNUMBER(Sales_Data2[[#This Row],[Quantity]]),"OK","Check")</f>
        <v>OK</v>
      </c>
    </row>
    <row r="494" spans="1:18">
      <c r="A494" s="1">
        <v>46168</v>
      </c>
      <c r="B494" t="s">
        <v>11</v>
      </c>
      <c r="C494" t="s">
        <v>19</v>
      </c>
      <c r="D494" t="s">
        <v>13</v>
      </c>
      <c r="E494" t="s">
        <v>14</v>
      </c>
      <c r="F494" t="s">
        <v>33</v>
      </c>
      <c r="G494" t="s">
        <v>22</v>
      </c>
      <c r="H494">
        <v>180000</v>
      </c>
      <c r="I494">
        <v>1</v>
      </c>
      <c r="J494" t="s">
        <v>35</v>
      </c>
      <c r="K494">
        <f t="shared" si="7"/>
        <v>144000</v>
      </c>
      <c r="L494">
        <f>Sales_Data2[[#This Row],[Unit Price]]*Sales_Data2[[#This Row],[Quantity]]</f>
        <v>180000</v>
      </c>
      <c r="M494">
        <f>Sales_Data2[[#This Row],[Cost Price]]*Sales_Data2[[#This Row],[Quantity]]</f>
        <v>144000</v>
      </c>
      <c r="N494" s="3">
        <f>Sales_Data2[[#This Row],[Revenue]]-Sales_Data2[[#This Row],[COGS]]</f>
        <v>36000</v>
      </c>
      <c r="O4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46168|West|Lagos|Retail|Online|Air Conditioner X2|Home Appliances|180000|1|Peter|144000</v>
      </c>
      <c r="P494" s="3" t="str">
        <f>IF(COUNTIF(Sales_Data2[RowKey],Sales_Data2[[#This Row],[RowKey]])&gt;1,"Duplicate","Unique")</f>
        <v>Unique</v>
      </c>
      <c r="Q494" s="3" t="str">
        <f>IF(ISNUMBER(Sales_Data2[[#This Row],[Date]]),"OK","Check")</f>
        <v>OK</v>
      </c>
      <c r="R494" s="3" t="str">
        <f>IF(ISNUMBER(Sales_Data2[[#This Row],[Quantity]]),"OK","Check")</f>
        <v>OK</v>
      </c>
    </row>
    <row r="495" spans="1:18">
      <c r="A495" s="1">
        <v>46169</v>
      </c>
      <c r="B495" t="s">
        <v>29</v>
      </c>
      <c r="C495" t="s">
        <v>19</v>
      </c>
      <c r="D495" t="s">
        <v>13</v>
      </c>
      <c r="E495" t="s">
        <v>14</v>
      </c>
      <c r="F495" t="s">
        <v>40</v>
      </c>
      <c r="G495" t="s">
        <v>31</v>
      </c>
      <c r="H495">
        <v>250000</v>
      </c>
      <c r="I495">
        <v>6</v>
      </c>
      <c r="J495" t="s">
        <v>39</v>
      </c>
      <c r="K495">
        <f t="shared" si="7"/>
        <v>200000</v>
      </c>
      <c r="L495">
        <f>Sales_Data2[[#This Row],[Unit Price]]*Sales_Data2[[#This Row],[Quantity]]</f>
        <v>1500000</v>
      </c>
      <c r="M495">
        <f>Sales_Data2[[#This Row],[Cost Price]]*Sales_Data2[[#This Row],[Quantity]]</f>
        <v>1200000</v>
      </c>
      <c r="N495" s="3">
        <f>Sales_Data2[[#This Row],[Revenue]]-Sales_Data2[[#This Row],[COGS]]</f>
        <v>300000</v>
      </c>
      <c r="O4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46169|North|Lagos|Retail|Online|Smartphone Z10|Electronics|250000|6|Grace|200000</v>
      </c>
      <c r="P495" s="3" t="str">
        <f>IF(COUNTIF(Sales_Data2[RowKey],Sales_Data2[[#This Row],[RowKey]])&gt;1,"Duplicate","Unique")</f>
        <v>Unique</v>
      </c>
      <c r="Q495" s="3" t="str">
        <f>IF(ISNUMBER(Sales_Data2[[#This Row],[Date]]),"OK","Check")</f>
        <v>OK</v>
      </c>
      <c r="R495" s="3" t="str">
        <f>IF(ISNUMBER(Sales_Data2[[#This Row],[Quantity]]),"OK","Check")</f>
        <v>OK</v>
      </c>
    </row>
    <row r="496" spans="1:18">
      <c r="A496" s="1">
        <v>46170</v>
      </c>
      <c r="B496" t="s">
        <v>25</v>
      </c>
      <c r="C496" t="s">
        <v>12</v>
      </c>
      <c r="D496" t="s">
        <v>13</v>
      </c>
      <c r="E496" t="s">
        <v>14</v>
      </c>
      <c r="F496" t="s">
        <v>27</v>
      </c>
      <c r="G496" t="s">
        <v>22</v>
      </c>
      <c r="H496">
        <v>60000</v>
      </c>
      <c r="I496">
        <v>6</v>
      </c>
      <c r="J496" t="s">
        <v>24</v>
      </c>
      <c r="K496">
        <f t="shared" si="7"/>
        <v>48000</v>
      </c>
      <c r="L496">
        <f>Sales_Data2[[#This Row],[Unit Price]]*Sales_Data2[[#This Row],[Quantity]]</f>
        <v>360000</v>
      </c>
      <c r="M496">
        <f>Sales_Data2[[#This Row],[Cost Price]]*Sales_Data2[[#This Row],[Quantity]]</f>
        <v>288000</v>
      </c>
      <c r="N496" s="3">
        <f>Sales_Data2[[#This Row],[Revenue]]-Sales_Data2[[#This Row],[COGS]]</f>
        <v>72000</v>
      </c>
      <c r="O4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46170|South|Port Harcourt|Retail|Online|Microwave M20|Home Appliances|60000|6|David|48000</v>
      </c>
      <c r="P496" s="3" t="str">
        <f>IF(COUNTIF(Sales_Data2[RowKey],Sales_Data2[[#This Row],[RowKey]])&gt;1,"Duplicate","Unique")</f>
        <v>Unique</v>
      </c>
      <c r="Q496" s="3" t="str">
        <f>IF(ISNUMBER(Sales_Data2[[#This Row],[Date]]),"OK","Check")</f>
        <v>OK</v>
      </c>
      <c r="R496" s="3" t="str">
        <f>IF(ISNUMBER(Sales_Data2[[#This Row],[Quantity]]),"OK","Check")</f>
        <v>OK</v>
      </c>
    </row>
    <row r="497" spans="1:18">
      <c r="A497" s="1">
        <v>46171</v>
      </c>
      <c r="B497" t="s">
        <v>29</v>
      </c>
      <c r="C497" t="s">
        <v>32</v>
      </c>
      <c r="D497" t="s">
        <v>23</v>
      </c>
      <c r="E497" t="s">
        <v>20</v>
      </c>
      <c r="F497" t="s">
        <v>36</v>
      </c>
      <c r="G497" t="s">
        <v>31</v>
      </c>
      <c r="H497">
        <v>150000</v>
      </c>
      <c r="I497">
        <v>2</v>
      </c>
      <c r="J497" t="s">
        <v>24</v>
      </c>
      <c r="K497">
        <f t="shared" si="7"/>
        <v>120000</v>
      </c>
      <c r="L497">
        <f>Sales_Data2[[#This Row],[Unit Price]]*Sales_Data2[[#This Row],[Quantity]]</f>
        <v>300000</v>
      </c>
      <c r="M497">
        <f>Sales_Data2[[#This Row],[Cost Price]]*Sales_Data2[[#This Row],[Quantity]]</f>
        <v>240000</v>
      </c>
      <c r="N497" s="3">
        <f>Sales_Data2[[#This Row],[Revenue]]-Sales_Data2[[#This Row],[COGS]]</f>
        <v>60000</v>
      </c>
      <c r="O4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46171|North|Abuja|Corporate|Store|Printer P50|Electronics|150000|2|David|120000</v>
      </c>
      <c r="P497" s="3" t="str">
        <f>IF(COUNTIF(Sales_Data2[RowKey],Sales_Data2[[#This Row],[RowKey]])&gt;1,"Duplicate","Unique")</f>
        <v>Unique</v>
      </c>
      <c r="Q497" s="3" t="str">
        <f>IF(ISNUMBER(Sales_Data2[[#This Row],[Date]]),"OK","Check")</f>
        <v>OK</v>
      </c>
      <c r="R497" s="3" t="str">
        <f>IF(ISNUMBER(Sales_Data2[[#This Row],[Quantity]]),"OK","Check")</f>
        <v>OK</v>
      </c>
    </row>
    <row r="498" spans="1:18">
      <c r="A498" s="1">
        <v>46172</v>
      </c>
      <c r="B498" t="s">
        <v>18</v>
      </c>
      <c r="C498" t="s">
        <v>26</v>
      </c>
      <c r="D498" t="s">
        <v>23</v>
      </c>
      <c r="E498" t="s">
        <v>14</v>
      </c>
      <c r="F498" t="s">
        <v>15</v>
      </c>
      <c r="G498" t="s">
        <v>16</v>
      </c>
      <c r="H498">
        <v>85000</v>
      </c>
      <c r="I498">
        <v>2</v>
      </c>
      <c r="J498" t="s">
        <v>17</v>
      </c>
      <c r="K498">
        <f t="shared" si="7"/>
        <v>68000</v>
      </c>
      <c r="L498">
        <f>Sales_Data2[[#This Row],[Unit Price]]*Sales_Data2[[#This Row],[Quantity]]</f>
        <v>170000</v>
      </c>
      <c r="M498">
        <f>Sales_Data2[[#This Row],[Cost Price]]*Sales_Data2[[#This Row],[Quantity]]</f>
        <v>136000</v>
      </c>
      <c r="N498" s="3">
        <f>Sales_Data2[[#This Row],[Revenue]]-Sales_Data2[[#This Row],[COGS]]</f>
        <v>34000</v>
      </c>
      <c r="O4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46172|East|Kano|Corporate|Online|Office Chair Pro|Furniture|85000|2|Chidinma|68000</v>
      </c>
      <c r="P498" s="3" t="str">
        <f>IF(COUNTIF(Sales_Data2[RowKey],Sales_Data2[[#This Row],[RowKey]])&gt;1,"Duplicate","Unique")</f>
        <v>Unique</v>
      </c>
      <c r="Q498" s="3" t="str">
        <f>IF(ISNUMBER(Sales_Data2[[#This Row],[Date]]),"OK","Check")</f>
        <v>OK</v>
      </c>
      <c r="R498" s="3" t="str">
        <f>IF(ISNUMBER(Sales_Data2[[#This Row],[Quantity]]),"OK","Check")</f>
        <v>OK</v>
      </c>
    </row>
    <row r="499" spans="1:18">
      <c r="A499" s="1">
        <v>46173</v>
      </c>
      <c r="B499" t="s">
        <v>25</v>
      </c>
      <c r="C499" t="s">
        <v>19</v>
      </c>
      <c r="D499" t="s">
        <v>13</v>
      </c>
      <c r="E499" t="s">
        <v>20</v>
      </c>
      <c r="F499" t="s">
        <v>30</v>
      </c>
      <c r="G499" t="s">
        <v>31</v>
      </c>
      <c r="H499">
        <v>300000</v>
      </c>
      <c r="I499">
        <v>5</v>
      </c>
      <c r="J499" t="s">
        <v>35</v>
      </c>
      <c r="K499">
        <f t="shared" si="7"/>
        <v>240000</v>
      </c>
      <c r="L499">
        <f>Sales_Data2[[#This Row],[Unit Price]]*Sales_Data2[[#This Row],[Quantity]]</f>
        <v>1500000</v>
      </c>
      <c r="M499">
        <f>Sales_Data2[[#This Row],[Cost Price]]*Sales_Data2[[#This Row],[Quantity]]</f>
        <v>1200000</v>
      </c>
      <c r="N499" s="3">
        <f>Sales_Data2[[#This Row],[Revenue]]-Sales_Data2[[#This Row],[COGS]]</f>
        <v>300000</v>
      </c>
      <c r="O4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46173|South|Lagos|Retail|Store|Desktop PC D21|Electronics|300000|5|Peter|240000</v>
      </c>
      <c r="P499" s="3" t="str">
        <f>IF(COUNTIF(Sales_Data2[RowKey],Sales_Data2[[#This Row],[RowKey]])&gt;1,"Duplicate","Unique")</f>
        <v>Unique</v>
      </c>
      <c r="Q499" s="3" t="str">
        <f>IF(ISNUMBER(Sales_Data2[[#This Row],[Date]]),"OK","Check")</f>
        <v>OK</v>
      </c>
      <c r="R499" s="3" t="str">
        <f>IF(ISNUMBER(Sales_Data2[[#This Row],[Quantity]]),"OK","Check")</f>
        <v>OK</v>
      </c>
    </row>
    <row r="500" spans="1:18">
      <c r="A500" s="1">
        <v>46174</v>
      </c>
      <c r="B500" t="s">
        <v>18</v>
      </c>
      <c r="C500" t="s">
        <v>26</v>
      </c>
      <c r="D500" t="s">
        <v>23</v>
      </c>
      <c r="E500" t="s">
        <v>14</v>
      </c>
      <c r="F500" t="s">
        <v>38</v>
      </c>
      <c r="G500" t="s">
        <v>31</v>
      </c>
      <c r="H500">
        <v>420000</v>
      </c>
      <c r="I500">
        <v>10</v>
      </c>
      <c r="J500" t="s">
        <v>35</v>
      </c>
      <c r="K500">
        <f t="shared" si="7"/>
        <v>336000</v>
      </c>
      <c r="L500">
        <f>Sales_Data2[[#This Row],[Unit Price]]*Sales_Data2[[#This Row],[Quantity]]</f>
        <v>4200000</v>
      </c>
      <c r="M500">
        <f>Sales_Data2[[#This Row],[Cost Price]]*Sales_Data2[[#This Row],[Quantity]]</f>
        <v>3360000</v>
      </c>
      <c r="N500" s="3">
        <f>Sales_Data2[[#This Row],[Revenue]]-Sales_Data2[[#This Row],[COGS]]</f>
        <v>840000</v>
      </c>
      <c r="O5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46174|East|Kano|Corporate|Online|Laptop A13|Electronics|420000|10|Peter|336000</v>
      </c>
      <c r="P500" s="3" t="str">
        <f>IF(COUNTIF(Sales_Data2[RowKey],Sales_Data2[[#This Row],[RowKey]])&gt;1,"Duplicate","Unique")</f>
        <v>Unique</v>
      </c>
      <c r="Q500" s="3" t="str">
        <f>IF(ISNUMBER(Sales_Data2[[#This Row],[Date]]),"OK","Check")</f>
        <v>OK</v>
      </c>
      <c r="R500" s="3" t="str">
        <f>IF(ISNUMBER(Sales_Data2[[#This Row],[Quantity]]),"OK","Check")</f>
        <v>OK</v>
      </c>
    </row>
    <row r="501" spans="1:18">
      <c r="A501" s="1">
        <v>46175</v>
      </c>
      <c r="B501" t="s">
        <v>11</v>
      </c>
      <c r="C501" t="s">
        <v>32</v>
      </c>
      <c r="D501" t="s">
        <v>23</v>
      </c>
      <c r="E501" t="s">
        <v>14</v>
      </c>
      <c r="F501" t="s">
        <v>33</v>
      </c>
      <c r="G501" t="s">
        <v>22</v>
      </c>
      <c r="H501">
        <v>180000</v>
      </c>
      <c r="I501">
        <v>6</v>
      </c>
      <c r="J501" t="s">
        <v>24</v>
      </c>
      <c r="K501">
        <f t="shared" si="7"/>
        <v>144000</v>
      </c>
      <c r="L501">
        <f>Sales_Data2[[#This Row],[Unit Price]]*Sales_Data2[[#This Row],[Quantity]]</f>
        <v>1080000</v>
      </c>
      <c r="M501">
        <f>Sales_Data2[[#This Row],[Cost Price]]*Sales_Data2[[#This Row],[Quantity]]</f>
        <v>864000</v>
      </c>
      <c r="N501" s="3">
        <f>Sales_Data2[[#This Row],[Revenue]]-Sales_Data2[[#This Row],[COGS]]</f>
        <v>216000</v>
      </c>
      <c r="O5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46175|West|Abuja|Corporate|Online|Air Conditioner X2|Home Appliances|180000|6|David|144000</v>
      </c>
      <c r="P501" s="3" t="str">
        <f>IF(COUNTIF(Sales_Data2[RowKey],Sales_Data2[[#This Row],[RowKey]])&gt;1,"Duplicate","Unique")</f>
        <v>Unique</v>
      </c>
      <c r="Q501" s="3" t="str">
        <f>IF(ISNUMBER(Sales_Data2[[#This Row],[Date]]),"OK","Check")</f>
        <v>OK</v>
      </c>
      <c r="R501" s="3" t="str">
        <f>IF(ISNUMBER(Sales_Data2[[#This Row],[Quantity]]),"OK","Check")</f>
        <v>OK</v>
      </c>
    </row>
    <row r="502" spans="1:18">
      <c r="A502" s="1">
        <v>46176</v>
      </c>
      <c r="B502" t="s">
        <v>18</v>
      </c>
      <c r="C502" t="s">
        <v>32</v>
      </c>
      <c r="D502" t="s">
        <v>13</v>
      </c>
      <c r="E502" t="s">
        <v>20</v>
      </c>
      <c r="F502" t="s">
        <v>15</v>
      </c>
      <c r="G502" t="s">
        <v>16</v>
      </c>
      <c r="H502">
        <v>85000</v>
      </c>
      <c r="I502">
        <v>4</v>
      </c>
      <c r="J502" t="s">
        <v>35</v>
      </c>
      <c r="K502">
        <f t="shared" si="7"/>
        <v>68000</v>
      </c>
      <c r="L502">
        <f>Sales_Data2[[#This Row],[Unit Price]]*Sales_Data2[[#This Row],[Quantity]]</f>
        <v>340000</v>
      </c>
      <c r="M502">
        <f>Sales_Data2[[#This Row],[Cost Price]]*Sales_Data2[[#This Row],[Quantity]]</f>
        <v>272000</v>
      </c>
      <c r="N502" s="3">
        <f>Sales_Data2[[#This Row],[Revenue]]-Sales_Data2[[#This Row],[COGS]]</f>
        <v>68000</v>
      </c>
      <c r="O5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46176|East|Abuja|Retail|Store|Office Chair Pro|Furniture|85000|4|Peter|68000</v>
      </c>
      <c r="P502" s="3" t="str">
        <f>IF(COUNTIF(Sales_Data2[RowKey],Sales_Data2[[#This Row],[RowKey]])&gt;1,"Duplicate","Unique")</f>
        <v>Unique</v>
      </c>
      <c r="Q502" s="3" t="str">
        <f>IF(ISNUMBER(Sales_Data2[[#This Row],[Date]]),"OK","Check")</f>
        <v>OK</v>
      </c>
      <c r="R502" s="3" t="str">
        <f>IF(ISNUMBER(Sales_Data2[[#This Row],[Quantity]]),"OK","Check")</f>
        <v>OK</v>
      </c>
    </row>
    <row r="503" spans="1:18">
      <c r="A503" s="1">
        <v>46177</v>
      </c>
      <c r="B503" t="s">
        <v>29</v>
      </c>
      <c r="C503" t="s">
        <v>26</v>
      </c>
      <c r="D503" t="s">
        <v>23</v>
      </c>
      <c r="E503" t="s">
        <v>14</v>
      </c>
      <c r="F503" t="s">
        <v>30</v>
      </c>
      <c r="G503" t="s">
        <v>31</v>
      </c>
      <c r="H503">
        <v>300000</v>
      </c>
      <c r="I503">
        <v>4</v>
      </c>
      <c r="J503" t="s">
        <v>37</v>
      </c>
      <c r="K503">
        <f t="shared" si="7"/>
        <v>240000</v>
      </c>
      <c r="L503">
        <f>Sales_Data2[[#This Row],[Unit Price]]*Sales_Data2[[#This Row],[Quantity]]</f>
        <v>1200000</v>
      </c>
      <c r="M503">
        <f>Sales_Data2[[#This Row],[Cost Price]]*Sales_Data2[[#This Row],[Quantity]]</f>
        <v>960000</v>
      </c>
      <c r="N503" s="3">
        <f>Sales_Data2[[#This Row],[Revenue]]-Sales_Data2[[#This Row],[COGS]]</f>
        <v>240000</v>
      </c>
      <c r="O5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46177|North|Kano|Corporate|Online|Desktop PC D21|Electronics|300000|4|Aisha|240000</v>
      </c>
      <c r="P503" s="3" t="str">
        <f>IF(COUNTIF(Sales_Data2[RowKey],Sales_Data2[[#This Row],[RowKey]])&gt;1,"Duplicate","Unique")</f>
        <v>Unique</v>
      </c>
      <c r="Q503" s="3" t="str">
        <f>IF(ISNUMBER(Sales_Data2[[#This Row],[Date]]),"OK","Check")</f>
        <v>OK</v>
      </c>
      <c r="R503" s="3" t="str">
        <f>IF(ISNUMBER(Sales_Data2[[#This Row],[Quantity]]),"OK","Check")</f>
        <v>OK</v>
      </c>
    </row>
    <row r="504" spans="1:18">
      <c r="A504" s="1">
        <v>46178</v>
      </c>
      <c r="B504" t="s">
        <v>25</v>
      </c>
      <c r="C504" t="s">
        <v>32</v>
      </c>
      <c r="D504" t="s">
        <v>13</v>
      </c>
      <c r="E504" t="s">
        <v>14</v>
      </c>
      <c r="F504" t="s">
        <v>15</v>
      </c>
      <c r="G504" t="s">
        <v>16</v>
      </c>
      <c r="H504">
        <v>85000</v>
      </c>
      <c r="I504">
        <v>3</v>
      </c>
      <c r="J504" t="s">
        <v>35</v>
      </c>
      <c r="K504">
        <f t="shared" si="7"/>
        <v>68000</v>
      </c>
      <c r="L504">
        <f>Sales_Data2[[#This Row],[Unit Price]]*Sales_Data2[[#This Row],[Quantity]]</f>
        <v>255000</v>
      </c>
      <c r="M504">
        <f>Sales_Data2[[#This Row],[Cost Price]]*Sales_Data2[[#This Row],[Quantity]]</f>
        <v>204000</v>
      </c>
      <c r="N504" s="3">
        <f>Sales_Data2[[#This Row],[Revenue]]-Sales_Data2[[#This Row],[COGS]]</f>
        <v>51000</v>
      </c>
      <c r="O5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46178|South|Abuja|Retail|Online|Office Chair Pro|Furniture|85000|3|Peter|68000</v>
      </c>
      <c r="P504" s="3" t="str">
        <f>IF(COUNTIF(Sales_Data2[RowKey],Sales_Data2[[#This Row],[RowKey]])&gt;1,"Duplicate","Unique")</f>
        <v>Unique</v>
      </c>
      <c r="Q504" s="3" t="str">
        <f>IF(ISNUMBER(Sales_Data2[[#This Row],[Date]]),"OK","Check")</f>
        <v>OK</v>
      </c>
      <c r="R504" s="3" t="str">
        <f>IF(ISNUMBER(Sales_Data2[[#This Row],[Quantity]]),"OK","Check")</f>
        <v>OK</v>
      </c>
    </row>
    <row r="505" spans="1:18">
      <c r="A505" s="1">
        <v>46179</v>
      </c>
      <c r="B505" t="s">
        <v>29</v>
      </c>
      <c r="C505" t="s">
        <v>12</v>
      </c>
      <c r="D505" t="s">
        <v>13</v>
      </c>
      <c r="E505" t="s">
        <v>20</v>
      </c>
      <c r="F505" t="s">
        <v>41</v>
      </c>
      <c r="G505" t="s">
        <v>22</v>
      </c>
      <c r="H505">
        <v>220000</v>
      </c>
      <c r="I505">
        <v>9</v>
      </c>
      <c r="J505" t="s">
        <v>37</v>
      </c>
      <c r="K505">
        <f t="shared" si="7"/>
        <v>176000</v>
      </c>
      <c r="L505">
        <f>Sales_Data2[[#This Row],[Unit Price]]*Sales_Data2[[#This Row],[Quantity]]</f>
        <v>1980000</v>
      </c>
      <c r="M505">
        <f>Sales_Data2[[#This Row],[Cost Price]]*Sales_Data2[[#This Row],[Quantity]]</f>
        <v>1584000</v>
      </c>
      <c r="N505" s="3">
        <f>Sales_Data2[[#This Row],[Revenue]]-Sales_Data2[[#This Row],[COGS]]</f>
        <v>396000</v>
      </c>
      <c r="O5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46179|North|Port Harcourt|Retail|Store|Refrigerator R55|Home Appliances|220000|9|Aisha|176000</v>
      </c>
      <c r="P505" s="3" t="str">
        <f>IF(COUNTIF(Sales_Data2[RowKey],Sales_Data2[[#This Row],[RowKey]])&gt;1,"Duplicate","Unique")</f>
        <v>Unique</v>
      </c>
      <c r="Q505" s="3" t="str">
        <f>IF(ISNUMBER(Sales_Data2[[#This Row],[Date]]),"OK","Check")</f>
        <v>OK</v>
      </c>
      <c r="R505" s="3" t="str">
        <f>IF(ISNUMBER(Sales_Data2[[#This Row],[Quantity]]),"OK","Check")</f>
        <v>OK</v>
      </c>
    </row>
    <row r="506" spans="1:18">
      <c r="A506" s="1">
        <v>46180</v>
      </c>
      <c r="B506" t="s">
        <v>11</v>
      </c>
      <c r="C506" t="s">
        <v>26</v>
      </c>
      <c r="D506" t="s">
        <v>23</v>
      </c>
      <c r="E506" t="s">
        <v>14</v>
      </c>
      <c r="F506" t="s">
        <v>33</v>
      </c>
      <c r="G506" t="s">
        <v>22</v>
      </c>
      <c r="H506">
        <v>180000</v>
      </c>
      <c r="I506">
        <v>3</v>
      </c>
      <c r="J506" t="s">
        <v>35</v>
      </c>
      <c r="K506">
        <f t="shared" si="7"/>
        <v>144000</v>
      </c>
      <c r="L506">
        <f>Sales_Data2[[#This Row],[Unit Price]]*Sales_Data2[[#This Row],[Quantity]]</f>
        <v>540000</v>
      </c>
      <c r="M506">
        <f>Sales_Data2[[#This Row],[Cost Price]]*Sales_Data2[[#This Row],[Quantity]]</f>
        <v>432000</v>
      </c>
      <c r="N506" s="3">
        <f>Sales_Data2[[#This Row],[Revenue]]-Sales_Data2[[#This Row],[COGS]]</f>
        <v>108000</v>
      </c>
      <c r="O5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46180|West|Kano|Corporate|Online|Air Conditioner X2|Home Appliances|180000|3|Peter|144000</v>
      </c>
      <c r="P506" s="3" t="str">
        <f>IF(COUNTIF(Sales_Data2[RowKey],Sales_Data2[[#This Row],[RowKey]])&gt;1,"Duplicate","Unique")</f>
        <v>Unique</v>
      </c>
      <c r="Q506" s="3" t="str">
        <f>IF(ISNUMBER(Sales_Data2[[#This Row],[Date]]),"OK","Check")</f>
        <v>OK</v>
      </c>
      <c r="R506" s="3" t="str">
        <f>IF(ISNUMBER(Sales_Data2[[#This Row],[Quantity]]),"OK","Check")</f>
        <v>OK</v>
      </c>
    </row>
    <row r="507" spans="1:18">
      <c r="A507" s="1">
        <v>46181</v>
      </c>
      <c r="B507" t="s">
        <v>18</v>
      </c>
      <c r="C507" t="s">
        <v>19</v>
      </c>
      <c r="D507" t="s">
        <v>23</v>
      </c>
      <c r="E507" t="s">
        <v>20</v>
      </c>
      <c r="F507" t="s">
        <v>30</v>
      </c>
      <c r="G507" t="s">
        <v>31</v>
      </c>
      <c r="H507">
        <v>300000</v>
      </c>
      <c r="I507">
        <v>9</v>
      </c>
      <c r="J507" t="s">
        <v>24</v>
      </c>
      <c r="K507">
        <f t="shared" si="7"/>
        <v>240000</v>
      </c>
      <c r="L507">
        <f>Sales_Data2[[#This Row],[Unit Price]]*Sales_Data2[[#This Row],[Quantity]]</f>
        <v>2700000</v>
      </c>
      <c r="M507">
        <f>Sales_Data2[[#This Row],[Cost Price]]*Sales_Data2[[#This Row],[Quantity]]</f>
        <v>2160000</v>
      </c>
      <c r="N507" s="3">
        <f>Sales_Data2[[#This Row],[Revenue]]-Sales_Data2[[#This Row],[COGS]]</f>
        <v>540000</v>
      </c>
      <c r="O5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46181|East|Lagos|Corporate|Store|Desktop PC D21|Electronics|300000|9|David|240000</v>
      </c>
      <c r="P507" s="3" t="str">
        <f>IF(COUNTIF(Sales_Data2[RowKey],Sales_Data2[[#This Row],[RowKey]])&gt;1,"Duplicate","Unique")</f>
        <v>Unique</v>
      </c>
      <c r="Q507" s="3" t="str">
        <f>IF(ISNUMBER(Sales_Data2[[#This Row],[Date]]),"OK","Check")</f>
        <v>OK</v>
      </c>
      <c r="R507" s="3" t="str">
        <f>IF(ISNUMBER(Sales_Data2[[#This Row],[Quantity]]),"OK","Check")</f>
        <v>OK</v>
      </c>
    </row>
    <row r="508" spans="1:18">
      <c r="A508" s="1">
        <v>46182</v>
      </c>
      <c r="B508" t="s">
        <v>29</v>
      </c>
      <c r="C508" t="s">
        <v>12</v>
      </c>
      <c r="D508" t="s">
        <v>23</v>
      </c>
      <c r="E508" t="s">
        <v>20</v>
      </c>
      <c r="F508" t="s">
        <v>36</v>
      </c>
      <c r="G508" t="s">
        <v>31</v>
      </c>
      <c r="H508">
        <v>150000</v>
      </c>
      <c r="I508">
        <v>4</v>
      </c>
      <c r="J508" t="s">
        <v>28</v>
      </c>
      <c r="K508">
        <f t="shared" si="7"/>
        <v>120000</v>
      </c>
      <c r="L508">
        <f>Sales_Data2[[#This Row],[Unit Price]]*Sales_Data2[[#This Row],[Quantity]]</f>
        <v>600000</v>
      </c>
      <c r="M508">
        <f>Sales_Data2[[#This Row],[Cost Price]]*Sales_Data2[[#This Row],[Quantity]]</f>
        <v>480000</v>
      </c>
      <c r="N508" s="3">
        <f>Sales_Data2[[#This Row],[Revenue]]-Sales_Data2[[#This Row],[COGS]]</f>
        <v>120000</v>
      </c>
      <c r="O5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46182|North|Port Harcourt|Corporate|Store|Printer P50|Electronics|150000|4|Musa|120000</v>
      </c>
      <c r="P508" s="3" t="str">
        <f>IF(COUNTIF(Sales_Data2[RowKey],Sales_Data2[[#This Row],[RowKey]])&gt;1,"Duplicate","Unique")</f>
        <v>Unique</v>
      </c>
      <c r="Q508" s="3" t="str">
        <f>IF(ISNUMBER(Sales_Data2[[#This Row],[Date]]),"OK","Check")</f>
        <v>OK</v>
      </c>
      <c r="R508" s="3" t="str">
        <f>IF(ISNUMBER(Sales_Data2[[#This Row],[Quantity]]),"OK","Check")</f>
        <v>OK</v>
      </c>
    </row>
    <row r="509" spans="1:18">
      <c r="A509" s="1">
        <v>46183</v>
      </c>
      <c r="B509" t="s">
        <v>18</v>
      </c>
      <c r="C509" t="s">
        <v>32</v>
      </c>
      <c r="D509" t="s">
        <v>23</v>
      </c>
      <c r="E509" t="s">
        <v>20</v>
      </c>
      <c r="F509" t="s">
        <v>34</v>
      </c>
      <c r="G509" t="s">
        <v>16</v>
      </c>
      <c r="H509">
        <v>320000</v>
      </c>
      <c r="I509">
        <v>8</v>
      </c>
      <c r="J509" t="s">
        <v>37</v>
      </c>
      <c r="K509">
        <f t="shared" si="7"/>
        <v>256000</v>
      </c>
      <c r="L509">
        <f>Sales_Data2[[#This Row],[Unit Price]]*Sales_Data2[[#This Row],[Quantity]]</f>
        <v>2560000</v>
      </c>
      <c r="M509">
        <f>Sales_Data2[[#This Row],[Cost Price]]*Sales_Data2[[#This Row],[Quantity]]</f>
        <v>2048000</v>
      </c>
      <c r="N509" s="3">
        <f>Sales_Data2[[#This Row],[Revenue]]-Sales_Data2[[#This Row],[COGS]]</f>
        <v>512000</v>
      </c>
      <c r="O5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46183|East|Abuja|Corporate|Store|Sofa Classic|Furniture|320000|8|Aisha|256000</v>
      </c>
      <c r="P509" s="3" t="str">
        <f>IF(COUNTIF(Sales_Data2[RowKey],Sales_Data2[[#This Row],[RowKey]])&gt;1,"Duplicate","Unique")</f>
        <v>Unique</v>
      </c>
      <c r="Q509" s="3" t="str">
        <f>IF(ISNUMBER(Sales_Data2[[#This Row],[Date]]),"OK","Check")</f>
        <v>OK</v>
      </c>
      <c r="R509" s="3" t="str">
        <f>IF(ISNUMBER(Sales_Data2[[#This Row],[Quantity]]),"OK","Check")</f>
        <v>OK</v>
      </c>
    </row>
    <row r="510" spans="1:18">
      <c r="A510" s="1">
        <v>46184</v>
      </c>
      <c r="B510" t="s">
        <v>29</v>
      </c>
      <c r="C510" t="s">
        <v>32</v>
      </c>
      <c r="D510" t="s">
        <v>13</v>
      </c>
      <c r="E510" t="s">
        <v>14</v>
      </c>
      <c r="F510" t="s">
        <v>34</v>
      </c>
      <c r="G510" t="s">
        <v>16</v>
      </c>
      <c r="H510">
        <v>320000</v>
      </c>
      <c r="I510">
        <v>7</v>
      </c>
      <c r="J510" t="s">
        <v>39</v>
      </c>
      <c r="K510">
        <f t="shared" si="7"/>
        <v>256000</v>
      </c>
      <c r="L510">
        <f>Sales_Data2[[#This Row],[Unit Price]]*Sales_Data2[[#This Row],[Quantity]]</f>
        <v>2240000</v>
      </c>
      <c r="M510">
        <f>Sales_Data2[[#This Row],[Cost Price]]*Sales_Data2[[#This Row],[Quantity]]</f>
        <v>1792000</v>
      </c>
      <c r="N510" s="3">
        <f>Sales_Data2[[#This Row],[Revenue]]-Sales_Data2[[#This Row],[COGS]]</f>
        <v>448000</v>
      </c>
      <c r="O5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46184|North|Abuja|Retail|Online|Sofa Classic|Furniture|320000|7|Grace|256000</v>
      </c>
      <c r="P510" s="3" t="str">
        <f>IF(COUNTIF(Sales_Data2[RowKey],Sales_Data2[[#This Row],[RowKey]])&gt;1,"Duplicate","Unique")</f>
        <v>Unique</v>
      </c>
      <c r="Q510" s="3" t="str">
        <f>IF(ISNUMBER(Sales_Data2[[#This Row],[Date]]),"OK","Check")</f>
        <v>OK</v>
      </c>
      <c r="R510" s="3" t="str">
        <f>IF(ISNUMBER(Sales_Data2[[#This Row],[Quantity]]),"OK","Check")</f>
        <v>OK</v>
      </c>
    </row>
    <row r="511" spans="1:18">
      <c r="A511" s="1">
        <v>46185</v>
      </c>
      <c r="B511" t="s">
        <v>18</v>
      </c>
      <c r="C511" t="s">
        <v>32</v>
      </c>
      <c r="D511" t="s">
        <v>13</v>
      </c>
      <c r="E511" t="s">
        <v>20</v>
      </c>
      <c r="F511" t="s">
        <v>41</v>
      </c>
      <c r="G511" t="s">
        <v>22</v>
      </c>
      <c r="H511">
        <v>220000</v>
      </c>
      <c r="I511">
        <v>10</v>
      </c>
      <c r="J511" t="s">
        <v>28</v>
      </c>
      <c r="K511">
        <f t="shared" si="7"/>
        <v>176000</v>
      </c>
      <c r="L511">
        <f>Sales_Data2[[#This Row],[Unit Price]]*Sales_Data2[[#This Row],[Quantity]]</f>
        <v>2200000</v>
      </c>
      <c r="M511">
        <f>Sales_Data2[[#This Row],[Cost Price]]*Sales_Data2[[#This Row],[Quantity]]</f>
        <v>1760000</v>
      </c>
      <c r="N511" s="3">
        <f>Sales_Data2[[#This Row],[Revenue]]-Sales_Data2[[#This Row],[COGS]]</f>
        <v>440000</v>
      </c>
      <c r="O5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46185|East|Abuja|Retail|Store|Refrigerator R55|Home Appliances|220000|10|Musa|176000</v>
      </c>
      <c r="P511" s="3" t="str">
        <f>IF(COUNTIF(Sales_Data2[RowKey],Sales_Data2[[#This Row],[RowKey]])&gt;1,"Duplicate","Unique")</f>
        <v>Unique</v>
      </c>
      <c r="Q511" s="3" t="str">
        <f>IF(ISNUMBER(Sales_Data2[[#This Row],[Date]]),"OK","Check")</f>
        <v>OK</v>
      </c>
      <c r="R511" s="3" t="str">
        <f>IF(ISNUMBER(Sales_Data2[[#This Row],[Quantity]]),"OK","Check")</f>
        <v>OK</v>
      </c>
    </row>
    <row r="512" spans="1:18">
      <c r="A512" s="1">
        <v>46186</v>
      </c>
      <c r="B512" t="s">
        <v>25</v>
      </c>
      <c r="C512" t="s">
        <v>19</v>
      </c>
      <c r="D512" t="s">
        <v>13</v>
      </c>
      <c r="E512" t="s">
        <v>20</v>
      </c>
      <c r="F512" t="s">
        <v>21</v>
      </c>
      <c r="G512" t="s">
        <v>22</v>
      </c>
      <c r="H512">
        <v>30000</v>
      </c>
      <c r="I512">
        <v>7</v>
      </c>
      <c r="J512" t="s">
        <v>28</v>
      </c>
      <c r="K512">
        <f t="shared" si="7"/>
        <v>24000</v>
      </c>
      <c r="L512">
        <f>Sales_Data2[[#This Row],[Unit Price]]*Sales_Data2[[#This Row],[Quantity]]</f>
        <v>210000</v>
      </c>
      <c r="M512">
        <f>Sales_Data2[[#This Row],[Cost Price]]*Sales_Data2[[#This Row],[Quantity]]</f>
        <v>168000</v>
      </c>
      <c r="N512" s="3">
        <f>Sales_Data2[[#This Row],[Revenue]]-Sales_Data2[[#This Row],[COGS]]</f>
        <v>42000</v>
      </c>
      <c r="O5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46186|South|Lagos|Retail|Store|Blender B10|Home Appliances|30000|7|Musa|24000</v>
      </c>
      <c r="P512" s="3" t="str">
        <f>IF(COUNTIF(Sales_Data2[RowKey],Sales_Data2[[#This Row],[RowKey]])&gt;1,"Duplicate","Unique")</f>
        <v>Unique</v>
      </c>
      <c r="Q512" s="3" t="str">
        <f>IF(ISNUMBER(Sales_Data2[[#This Row],[Date]]),"OK","Check")</f>
        <v>OK</v>
      </c>
      <c r="R512" s="3" t="str">
        <f>IF(ISNUMBER(Sales_Data2[[#This Row],[Quantity]]),"OK","Check")</f>
        <v>OK</v>
      </c>
    </row>
    <row r="513" spans="1:18">
      <c r="A513" s="1">
        <v>46187</v>
      </c>
      <c r="B513" t="s">
        <v>18</v>
      </c>
      <c r="C513" t="s">
        <v>26</v>
      </c>
      <c r="D513" t="s">
        <v>13</v>
      </c>
      <c r="E513" t="s">
        <v>14</v>
      </c>
      <c r="F513" t="s">
        <v>34</v>
      </c>
      <c r="G513" t="s">
        <v>16</v>
      </c>
      <c r="H513">
        <v>320000</v>
      </c>
      <c r="I513">
        <v>2</v>
      </c>
      <c r="J513" t="s">
        <v>28</v>
      </c>
      <c r="K513">
        <f t="shared" si="7"/>
        <v>256000</v>
      </c>
      <c r="L513">
        <f>Sales_Data2[[#This Row],[Unit Price]]*Sales_Data2[[#This Row],[Quantity]]</f>
        <v>640000</v>
      </c>
      <c r="M513">
        <f>Sales_Data2[[#This Row],[Cost Price]]*Sales_Data2[[#This Row],[Quantity]]</f>
        <v>512000</v>
      </c>
      <c r="N513" s="3">
        <f>Sales_Data2[[#This Row],[Revenue]]-Sales_Data2[[#This Row],[COGS]]</f>
        <v>128000</v>
      </c>
      <c r="O5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46187|East|Kano|Retail|Online|Sofa Classic|Furniture|320000|2|Musa|256000</v>
      </c>
      <c r="P513" s="3" t="str">
        <f>IF(COUNTIF(Sales_Data2[RowKey],Sales_Data2[[#This Row],[RowKey]])&gt;1,"Duplicate","Unique")</f>
        <v>Unique</v>
      </c>
      <c r="Q513" s="3" t="str">
        <f>IF(ISNUMBER(Sales_Data2[[#This Row],[Date]]),"OK","Check")</f>
        <v>OK</v>
      </c>
      <c r="R513" s="3" t="str">
        <f>IF(ISNUMBER(Sales_Data2[[#This Row],[Quantity]]),"OK","Check")</f>
        <v>OK</v>
      </c>
    </row>
    <row r="514" spans="1:18">
      <c r="A514" s="1">
        <v>46188</v>
      </c>
      <c r="B514" t="s">
        <v>29</v>
      </c>
      <c r="C514" t="s">
        <v>26</v>
      </c>
      <c r="D514" t="s">
        <v>23</v>
      </c>
      <c r="E514" t="s">
        <v>20</v>
      </c>
      <c r="F514" t="s">
        <v>30</v>
      </c>
      <c r="G514" t="s">
        <v>31</v>
      </c>
      <c r="H514">
        <v>300000</v>
      </c>
      <c r="I514">
        <v>3</v>
      </c>
      <c r="J514" t="s">
        <v>37</v>
      </c>
      <c r="K514">
        <f t="shared" ref="K514:K577" si="8">H514-H514*0.2</f>
        <v>240000</v>
      </c>
      <c r="L514">
        <f>Sales_Data2[[#This Row],[Unit Price]]*Sales_Data2[[#This Row],[Quantity]]</f>
        <v>900000</v>
      </c>
      <c r="M514">
        <f>Sales_Data2[[#This Row],[Cost Price]]*Sales_Data2[[#This Row],[Quantity]]</f>
        <v>720000</v>
      </c>
      <c r="N514" s="3">
        <f>Sales_Data2[[#This Row],[Revenue]]-Sales_Data2[[#This Row],[COGS]]</f>
        <v>180000</v>
      </c>
      <c r="O5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46188|North|Kano|Corporate|Store|Desktop PC D21|Electronics|300000|3|Aisha|240000</v>
      </c>
      <c r="P514" s="3" t="str">
        <f>IF(COUNTIF(Sales_Data2[RowKey],Sales_Data2[[#This Row],[RowKey]])&gt;1,"Duplicate","Unique")</f>
        <v>Unique</v>
      </c>
      <c r="Q514" s="3" t="str">
        <f>IF(ISNUMBER(Sales_Data2[[#This Row],[Date]]),"OK","Check")</f>
        <v>OK</v>
      </c>
      <c r="R514" s="3" t="str">
        <f>IF(ISNUMBER(Sales_Data2[[#This Row],[Quantity]]),"OK","Check")</f>
        <v>OK</v>
      </c>
    </row>
    <row r="515" spans="1:18">
      <c r="A515" s="1">
        <v>46189</v>
      </c>
      <c r="B515" t="s">
        <v>25</v>
      </c>
      <c r="C515" t="s">
        <v>12</v>
      </c>
      <c r="D515" t="s">
        <v>13</v>
      </c>
      <c r="E515" t="s">
        <v>14</v>
      </c>
      <c r="F515" t="s">
        <v>30</v>
      </c>
      <c r="G515" t="s">
        <v>31</v>
      </c>
      <c r="H515">
        <v>300000</v>
      </c>
      <c r="I515">
        <v>3</v>
      </c>
      <c r="J515" t="s">
        <v>28</v>
      </c>
      <c r="K515">
        <f t="shared" si="8"/>
        <v>240000</v>
      </c>
      <c r="L515">
        <f>Sales_Data2[[#This Row],[Unit Price]]*Sales_Data2[[#This Row],[Quantity]]</f>
        <v>900000</v>
      </c>
      <c r="M515">
        <f>Sales_Data2[[#This Row],[Cost Price]]*Sales_Data2[[#This Row],[Quantity]]</f>
        <v>720000</v>
      </c>
      <c r="N515" s="3">
        <f>Sales_Data2[[#This Row],[Revenue]]-Sales_Data2[[#This Row],[COGS]]</f>
        <v>180000</v>
      </c>
      <c r="O5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46189|South|Port Harcourt|Retail|Online|Desktop PC D21|Electronics|300000|3|Musa|240000</v>
      </c>
      <c r="P515" s="3" t="str">
        <f>IF(COUNTIF(Sales_Data2[RowKey],Sales_Data2[[#This Row],[RowKey]])&gt;1,"Duplicate","Unique")</f>
        <v>Unique</v>
      </c>
      <c r="Q515" s="3" t="str">
        <f>IF(ISNUMBER(Sales_Data2[[#This Row],[Date]]),"OK","Check")</f>
        <v>OK</v>
      </c>
      <c r="R515" s="3" t="str">
        <f>IF(ISNUMBER(Sales_Data2[[#This Row],[Quantity]]),"OK","Check")</f>
        <v>OK</v>
      </c>
    </row>
    <row r="516" spans="1:18">
      <c r="A516" s="1">
        <v>46190</v>
      </c>
      <c r="B516" t="s">
        <v>25</v>
      </c>
      <c r="C516" t="s">
        <v>32</v>
      </c>
      <c r="D516" t="s">
        <v>13</v>
      </c>
      <c r="E516" t="s">
        <v>20</v>
      </c>
      <c r="F516" t="s">
        <v>36</v>
      </c>
      <c r="G516" t="s">
        <v>31</v>
      </c>
      <c r="H516">
        <v>150000</v>
      </c>
      <c r="I516">
        <v>10</v>
      </c>
      <c r="J516" t="s">
        <v>28</v>
      </c>
      <c r="K516">
        <f t="shared" si="8"/>
        <v>120000</v>
      </c>
      <c r="L516">
        <f>Sales_Data2[[#This Row],[Unit Price]]*Sales_Data2[[#This Row],[Quantity]]</f>
        <v>1500000</v>
      </c>
      <c r="M516">
        <f>Sales_Data2[[#This Row],[Cost Price]]*Sales_Data2[[#This Row],[Quantity]]</f>
        <v>1200000</v>
      </c>
      <c r="N516" s="3">
        <f>Sales_Data2[[#This Row],[Revenue]]-Sales_Data2[[#This Row],[COGS]]</f>
        <v>300000</v>
      </c>
      <c r="O5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46190|South|Abuja|Retail|Store|Printer P50|Electronics|150000|10|Musa|120000</v>
      </c>
      <c r="P516" s="3" t="str">
        <f>IF(COUNTIF(Sales_Data2[RowKey],Sales_Data2[[#This Row],[RowKey]])&gt;1,"Duplicate","Unique")</f>
        <v>Unique</v>
      </c>
      <c r="Q516" s="3" t="str">
        <f>IF(ISNUMBER(Sales_Data2[[#This Row],[Date]]),"OK","Check")</f>
        <v>OK</v>
      </c>
      <c r="R516" s="3" t="str">
        <f>IF(ISNUMBER(Sales_Data2[[#This Row],[Quantity]]),"OK","Check")</f>
        <v>OK</v>
      </c>
    </row>
    <row r="517" spans="1:18">
      <c r="A517" s="1">
        <v>46191</v>
      </c>
      <c r="B517" t="s">
        <v>25</v>
      </c>
      <c r="C517" t="s">
        <v>19</v>
      </c>
      <c r="D517" t="s">
        <v>23</v>
      </c>
      <c r="E517" t="s">
        <v>20</v>
      </c>
      <c r="F517" t="s">
        <v>21</v>
      </c>
      <c r="G517" t="s">
        <v>22</v>
      </c>
      <c r="H517">
        <v>30000</v>
      </c>
      <c r="I517">
        <v>7</v>
      </c>
      <c r="J517" t="s">
        <v>35</v>
      </c>
      <c r="K517">
        <f t="shared" si="8"/>
        <v>24000</v>
      </c>
      <c r="L517">
        <f>Sales_Data2[[#This Row],[Unit Price]]*Sales_Data2[[#This Row],[Quantity]]</f>
        <v>210000</v>
      </c>
      <c r="M517">
        <f>Sales_Data2[[#This Row],[Cost Price]]*Sales_Data2[[#This Row],[Quantity]]</f>
        <v>168000</v>
      </c>
      <c r="N517" s="3">
        <f>Sales_Data2[[#This Row],[Revenue]]-Sales_Data2[[#This Row],[COGS]]</f>
        <v>42000</v>
      </c>
      <c r="O5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46191|South|Lagos|Corporate|Store|Blender B10|Home Appliances|30000|7|Peter|24000</v>
      </c>
      <c r="P517" s="3" t="str">
        <f>IF(COUNTIF(Sales_Data2[RowKey],Sales_Data2[[#This Row],[RowKey]])&gt;1,"Duplicate","Unique")</f>
        <v>Unique</v>
      </c>
      <c r="Q517" s="3" t="str">
        <f>IF(ISNUMBER(Sales_Data2[[#This Row],[Date]]),"OK","Check")</f>
        <v>OK</v>
      </c>
      <c r="R517" s="3" t="str">
        <f>IF(ISNUMBER(Sales_Data2[[#This Row],[Quantity]]),"OK","Check")</f>
        <v>OK</v>
      </c>
    </row>
    <row r="518" spans="1:18">
      <c r="A518" s="1">
        <v>46192</v>
      </c>
      <c r="B518" t="s">
        <v>11</v>
      </c>
      <c r="C518" t="s">
        <v>12</v>
      </c>
      <c r="D518" t="s">
        <v>13</v>
      </c>
      <c r="E518" t="s">
        <v>14</v>
      </c>
      <c r="F518" t="s">
        <v>27</v>
      </c>
      <c r="G518" t="s">
        <v>22</v>
      </c>
      <c r="H518">
        <v>60000</v>
      </c>
      <c r="I518">
        <v>2</v>
      </c>
      <c r="J518" t="s">
        <v>37</v>
      </c>
      <c r="K518">
        <f t="shared" si="8"/>
        <v>48000</v>
      </c>
      <c r="L518">
        <f>Sales_Data2[[#This Row],[Unit Price]]*Sales_Data2[[#This Row],[Quantity]]</f>
        <v>120000</v>
      </c>
      <c r="M518">
        <f>Sales_Data2[[#This Row],[Cost Price]]*Sales_Data2[[#This Row],[Quantity]]</f>
        <v>96000</v>
      </c>
      <c r="N518" s="3">
        <f>Sales_Data2[[#This Row],[Revenue]]-Sales_Data2[[#This Row],[COGS]]</f>
        <v>24000</v>
      </c>
      <c r="O5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46192|West|Port Harcourt|Retail|Online|Microwave M20|Home Appliances|60000|2|Aisha|48000</v>
      </c>
      <c r="P518" s="3" t="str">
        <f>IF(COUNTIF(Sales_Data2[RowKey],Sales_Data2[[#This Row],[RowKey]])&gt;1,"Duplicate","Unique")</f>
        <v>Unique</v>
      </c>
      <c r="Q518" s="3" t="str">
        <f>IF(ISNUMBER(Sales_Data2[[#This Row],[Date]]),"OK","Check")</f>
        <v>OK</v>
      </c>
      <c r="R518" s="3" t="str">
        <f>IF(ISNUMBER(Sales_Data2[[#This Row],[Quantity]]),"OK","Check")</f>
        <v>OK</v>
      </c>
    </row>
    <row r="519" spans="1:18">
      <c r="A519" s="1">
        <v>46193</v>
      </c>
      <c r="B519" t="s">
        <v>18</v>
      </c>
      <c r="C519" t="s">
        <v>19</v>
      </c>
      <c r="D519" t="s">
        <v>13</v>
      </c>
      <c r="E519" t="s">
        <v>14</v>
      </c>
      <c r="F519" t="s">
        <v>30</v>
      </c>
      <c r="G519" t="s">
        <v>31</v>
      </c>
      <c r="H519">
        <v>300000</v>
      </c>
      <c r="I519">
        <v>8</v>
      </c>
      <c r="J519" t="s">
        <v>17</v>
      </c>
      <c r="K519">
        <f t="shared" si="8"/>
        <v>240000</v>
      </c>
      <c r="L519">
        <f>Sales_Data2[[#This Row],[Unit Price]]*Sales_Data2[[#This Row],[Quantity]]</f>
        <v>2400000</v>
      </c>
      <c r="M519">
        <f>Sales_Data2[[#This Row],[Cost Price]]*Sales_Data2[[#This Row],[Quantity]]</f>
        <v>1920000</v>
      </c>
      <c r="N519" s="3">
        <f>Sales_Data2[[#This Row],[Revenue]]-Sales_Data2[[#This Row],[COGS]]</f>
        <v>480000</v>
      </c>
      <c r="O5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46193|East|Lagos|Retail|Online|Desktop PC D21|Electronics|300000|8|Chidinma|240000</v>
      </c>
      <c r="P519" s="3" t="str">
        <f>IF(COUNTIF(Sales_Data2[RowKey],Sales_Data2[[#This Row],[RowKey]])&gt;1,"Duplicate","Unique")</f>
        <v>Unique</v>
      </c>
      <c r="Q519" s="3" t="str">
        <f>IF(ISNUMBER(Sales_Data2[[#This Row],[Date]]),"OK","Check")</f>
        <v>OK</v>
      </c>
      <c r="R519" s="3" t="str">
        <f>IF(ISNUMBER(Sales_Data2[[#This Row],[Quantity]]),"OK","Check")</f>
        <v>OK</v>
      </c>
    </row>
    <row r="520" spans="1:18">
      <c r="A520" s="1">
        <v>46194</v>
      </c>
      <c r="B520" t="s">
        <v>29</v>
      </c>
      <c r="C520" t="s">
        <v>19</v>
      </c>
      <c r="D520" t="s">
        <v>23</v>
      </c>
      <c r="E520" t="s">
        <v>20</v>
      </c>
      <c r="F520" t="s">
        <v>21</v>
      </c>
      <c r="G520" t="s">
        <v>22</v>
      </c>
      <c r="H520">
        <v>30000</v>
      </c>
      <c r="I520">
        <v>6</v>
      </c>
      <c r="J520" t="s">
        <v>28</v>
      </c>
      <c r="K520">
        <f t="shared" si="8"/>
        <v>24000</v>
      </c>
      <c r="L520">
        <f>Sales_Data2[[#This Row],[Unit Price]]*Sales_Data2[[#This Row],[Quantity]]</f>
        <v>180000</v>
      </c>
      <c r="M520">
        <f>Sales_Data2[[#This Row],[Cost Price]]*Sales_Data2[[#This Row],[Quantity]]</f>
        <v>144000</v>
      </c>
      <c r="N520" s="3">
        <f>Sales_Data2[[#This Row],[Revenue]]-Sales_Data2[[#This Row],[COGS]]</f>
        <v>36000</v>
      </c>
      <c r="O5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46194|North|Lagos|Corporate|Store|Blender B10|Home Appliances|30000|6|Musa|24000</v>
      </c>
      <c r="P520" s="3" t="str">
        <f>IF(COUNTIF(Sales_Data2[RowKey],Sales_Data2[[#This Row],[RowKey]])&gt;1,"Duplicate","Unique")</f>
        <v>Unique</v>
      </c>
      <c r="Q520" s="3" t="str">
        <f>IF(ISNUMBER(Sales_Data2[[#This Row],[Date]]),"OK","Check")</f>
        <v>OK</v>
      </c>
      <c r="R520" s="3" t="str">
        <f>IF(ISNUMBER(Sales_Data2[[#This Row],[Quantity]]),"OK","Check")</f>
        <v>OK</v>
      </c>
    </row>
    <row r="521" spans="1:18">
      <c r="A521" s="1">
        <v>46195</v>
      </c>
      <c r="B521" t="s">
        <v>11</v>
      </c>
      <c r="C521" t="s">
        <v>19</v>
      </c>
      <c r="D521" t="s">
        <v>23</v>
      </c>
      <c r="E521" t="s">
        <v>14</v>
      </c>
      <c r="F521" t="s">
        <v>40</v>
      </c>
      <c r="G521" t="s">
        <v>31</v>
      </c>
      <c r="H521">
        <v>250000</v>
      </c>
      <c r="I521">
        <v>6</v>
      </c>
      <c r="J521" t="s">
        <v>24</v>
      </c>
      <c r="K521">
        <f t="shared" si="8"/>
        <v>200000</v>
      </c>
      <c r="L521">
        <f>Sales_Data2[[#This Row],[Unit Price]]*Sales_Data2[[#This Row],[Quantity]]</f>
        <v>1500000</v>
      </c>
      <c r="M521">
        <f>Sales_Data2[[#This Row],[Cost Price]]*Sales_Data2[[#This Row],[Quantity]]</f>
        <v>1200000</v>
      </c>
      <c r="N521" s="3">
        <f>Sales_Data2[[#This Row],[Revenue]]-Sales_Data2[[#This Row],[COGS]]</f>
        <v>300000</v>
      </c>
      <c r="O5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46195|West|Lagos|Corporate|Online|Smartphone Z10|Electronics|250000|6|David|200000</v>
      </c>
      <c r="P521" s="3" t="str">
        <f>IF(COUNTIF(Sales_Data2[RowKey],Sales_Data2[[#This Row],[RowKey]])&gt;1,"Duplicate","Unique")</f>
        <v>Unique</v>
      </c>
      <c r="Q521" s="3" t="str">
        <f>IF(ISNUMBER(Sales_Data2[[#This Row],[Date]]),"OK","Check")</f>
        <v>OK</v>
      </c>
      <c r="R521" s="3" t="str">
        <f>IF(ISNUMBER(Sales_Data2[[#This Row],[Quantity]]),"OK","Check")</f>
        <v>OK</v>
      </c>
    </row>
    <row r="522" spans="1:18">
      <c r="A522" s="1">
        <v>46196</v>
      </c>
      <c r="B522" t="s">
        <v>18</v>
      </c>
      <c r="C522" t="s">
        <v>32</v>
      </c>
      <c r="D522" t="s">
        <v>13</v>
      </c>
      <c r="E522" t="s">
        <v>14</v>
      </c>
      <c r="F522" t="s">
        <v>38</v>
      </c>
      <c r="G522" t="s">
        <v>31</v>
      </c>
      <c r="H522">
        <v>420000</v>
      </c>
      <c r="I522">
        <v>10</v>
      </c>
      <c r="J522" t="s">
        <v>35</v>
      </c>
      <c r="K522">
        <f t="shared" si="8"/>
        <v>336000</v>
      </c>
      <c r="L522">
        <f>Sales_Data2[[#This Row],[Unit Price]]*Sales_Data2[[#This Row],[Quantity]]</f>
        <v>4200000</v>
      </c>
      <c r="M522">
        <f>Sales_Data2[[#This Row],[Cost Price]]*Sales_Data2[[#This Row],[Quantity]]</f>
        <v>3360000</v>
      </c>
      <c r="N522" s="3">
        <f>Sales_Data2[[#This Row],[Revenue]]-Sales_Data2[[#This Row],[COGS]]</f>
        <v>840000</v>
      </c>
      <c r="O5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46196|East|Abuja|Retail|Online|Laptop A13|Electronics|420000|10|Peter|336000</v>
      </c>
      <c r="P522" s="3" t="str">
        <f>IF(COUNTIF(Sales_Data2[RowKey],Sales_Data2[[#This Row],[RowKey]])&gt;1,"Duplicate","Unique")</f>
        <v>Unique</v>
      </c>
      <c r="Q522" s="3" t="str">
        <f>IF(ISNUMBER(Sales_Data2[[#This Row],[Date]]),"OK","Check")</f>
        <v>OK</v>
      </c>
      <c r="R522" s="3" t="str">
        <f>IF(ISNUMBER(Sales_Data2[[#This Row],[Quantity]]),"OK","Check")</f>
        <v>OK</v>
      </c>
    </row>
    <row r="523" spans="1:18">
      <c r="A523" s="1">
        <v>46197</v>
      </c>
      <c r="B523" t="s">
        <v>25</v>
      </c>
      <c r="C523" t="s">
        <v>32</v>
      </c>
      <c r="D523" t="s">
        <v>13</v>
      </c>
      <c r="E523" t="s">
        <v>14</v>
      </c>
      <c r="F523" t="s">
        <v>27</v>
      </c>
      <c r="G523" t="s">
        <v>22</v>
      </c>
      <c r="H523">
        <v>60000</v>
      </c>
      <c r="I523">
        <v>9</v>
      </c>
      <c r="J523" t="s">
        <v>39</v>
      </c>
      <c r="K523">
        <f t="shared" si="8"/>
        <v>48000</v>
      </c>
      <c r="L523">
        <f>Sales_Data2[[#This Row],[Unit Price]]*Sales_Data2[[#This Row],[Quantity]]</f>
        <v>540000</v>
      </c>
      <c r="M523">
        <f>Sales_Data2[[#This Row],[Cost Price]]*Sales_Data2[[#This Row],[Quantity]]</f>
        <v>432000</v>
      </c>
      <c r="N523" s="3">
        <f>Sales_Data2[[#This Row],[Revenue]]-Sales_Data2[[#This Row],[COGS]]</f>
        <v>108000</v>
      </c>
      <c r="O5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46197|South|Abuja|Retail|Online|Microwave M20|Home Appliances|60000|9|Grace|48000</v>
      </c>
      <c r="P523" s="3" t="str">
        <f>IF(COUNTIF(Sales_Data2[RowKey],Sales_Data2[[#This Row],[RowKey]])&gt;1,"Duplicate","Unique")</f>
        <v>Unique</v>
      </c>
      <c r="Q523" s="3" t="str">
        <f>IF(ISNUMBER(Sales_Data2[[#This Row],[Date]]),"OK","Check")</f>
        <v>OK</v>
      </c>
      <c r="R523" s="3" t="str">
        <f>IF(ISNUMBER(Sales_Data2[[#This Row],[Quantity]]),"OK","Check")</f>
        <v>OK</v>
      </c>
    </row>
    <row r="524" spans="1:18">
      <c r="A524" s="1">
        <v>46198</v>
      </c>
      <c r="B524" t="s">
        <v>18</v>
      </c>
      <c r="C524" t="s">
        <v>26</v>
      </c>
      <c r="D524" t="s">
        <v>23</v>
      </c>
      <c r="E524" t="s">
        <v>20</v>
      </c>
      <c r="F524" t="s">
        <v>33</v>
      </c>
      <c r="G524" t="s">
        <v>22</v>
      </c>
      <c r="H524">
        <v>180000</v>
      </c>
      <c r="I524">
        <v>4</v>
      </c>
      <c r="J524" t="s">
        <v>17</v>
      </c>
      <c r="K524">
        <f t="shared" si="8"/>
        <v>144000</v>
      </c>
      <c r="L524">
        <f>Sales_Data2[[#This Row],[Unit Price]]*Sales_Data2[[#This Row],[Quantity]]</f>
        <v>720000</v>
      </c>
      <c r="M524">
        <f>Sales_Data2[[#This Row],[Cost Price]]*Sales_Data2[[#This Row],[Quantity]]</f>
        <v>576000</v>
      </c>
      <c r="N524" s="3">
        <f>Sales_Data2[[#This Row],[Revenue]]-Sales_Data2[[#This Row],[COGS]]</f>
        <v>144000</v>
      </c>
      <c r="O5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46198|East|Kano|Corporate|Store|Air Conditioner X2|Home Appliances|180000|4|Chidinma|144000</v>
      </c>
      <c r="P524" s="3" t="str">
        <f>IF(COUNTIF(Sales_Data2[RowKey],Sales_Data2[[#This Row],[RowKey]])&gt;1,"Duplicate","Unique")</f>
        <v>Unique</v>
      </c>
      <c r="Q524" s="3" t="str">
        <f>IF(ISNUMBER(Sales_Data2[[#This Row],[Date]]),"OK","Check")</f>
        <v>OK</v>
      </c>
      <c r="R524" s="3" t="str">
        <f>IF(ISNUMBER(Sales_Data2[[#This Row],[Quantity]]),"OK","Check")</f>
        <v>OK</v>
      </c>
    </row>
    <row r="525" spans="1:18">
      <c r="A525" s="1">
        <v>46199</v>
      </c>
      <c r="B525" t="s">
        <v>29</v>
      </c>
      <c r="C525" t="s">
        <v>26</v>
      </c>
      <c r="D525" t="s">
        <v>13</v>
      </c>
      <c r="E525" t="s">
        <v>20</v>
      </c>
      <c r="F525" t="s">
        <v>33</v>
      </c>
      <c r="G525" t="s">
        <v>22</v>
      </c>
      <c r="H525">
        <v>180000</v>
      </c>
      <c r="I525">
        <v>10</v>
      </c>
      <c r="J525" t="s">
        <v>17</v>
      </c>
      <c r="K525">
        <f t="shared" si="8"/>
        <v>144000</v>
      </c>
      <c r="L525">
        <f>Sales_Data2[[#This Row],[Unit Price]]*Sales_Data2[[#This Row],[Quantity]]</f>
        <v>1800000</v>
      </c>
      <c r="M525">
        <f>Sales_Data2[[#This Row],[Cost Price]]*Sales_Data2[[#This Row],[Quantity]]</f>
        <v>1440000</v>
      </c>
      <c r="N525" s="3">
        <f>Sales_Data2[[#This Row],[Revenue]]-Sales_Data2[[#This Row],[COGS]]</f>
        <v>360000</v>
      </c>
      <c r="O5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46199|North|Kano|Retail|Store|Air Conditioner X2|Home Appliances|180000|10|Chidinma|144000</v>
      </c>
      <c r="P525" s="3" t="str">
        <f>IF(COUNTIF(Sales_Data2[RowKey],Sales_Data2[[#This Row],[RowKey]])&gt;1,"Duplicate","Unique")</f>
        <v>Unique</v>
      </c>
      <c r="Q525" s="3" t="str">
        <f>IF(ISNUMBER(Sales_Data2[[#This Row],[Date]]),"OK","Check")</f>
        <v>OK</v>
      </c>
      <c r="R525" s="3" t="str">
        <f>IF(ISNUMBER(Sales_Data2[[#This Row],[Quantity]]),"OK","Check")</f>
        <v>OK</v>
      </c>
    </row>
    <row r="526" spans="1:18">
      <c r="A526" s="1">
        <v>46200</v>
      </c>
      <c r="B526" t="s">
        <v>29</v>
      </c>
      <c r="C526" t="s">
        <v>19</v>
      </c>
      <c r="D526" t="s">
        <v>23</v>
      </c>
      <c r="E526" t="s">
        <v>14</v>
      </c>
      <c r="F526" t="s">
        <v>21</v>
      </c>
      <c r="G526" t="s">
        <v>22</v>
      </c>
      <c r="H526">
        <v>30000</v>
      </c>
      <c r="I526">
        <v>1</v>
      </c>
      <c r="J526" t="s">
        <v>37</v>
      </c>
      <c r="K526">
        <f t="shared" si="8"/>
        <v>24000</v>
      </c>
      <c r="L526">
        <f>Sales_Data2[[#This Row],[Unit Price]]*Sales_Data2[[#This Row],[Quantity]]</f>
        <v>30000</v>
      </c>
      <c r="M526">
        <f>Sales_Data2[[#This Row],[Cost Price]]*Sales_Data2[[#This Row],[Quantity]]</f>
        <v>24000</v>
      </c>
      <c r="N526" s="3">
        <f>Sales_Data2[[#This Row],[Revenue]]-Sales_Data2[[#This Row],[COGS]]</f>
        <v>6000</v>
      </c>
      <c r="O5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46200|North|Lagos|Corporate|Online|Blender B10|Home Appliances|30000|1|Aisha|24000</v>
      </c>
      <c r="P526" s="3" t="str">
        <f>IF(COUNTIF(Sales_Data2[RowKey],Sales_Data2[[#This Row],[RowKey]])&gt;1,"Duplicate","Unique")</f>
        <v>Unique</v>
      </c>
      <c r="Q526" s="3" t="str">
        <f>IF(ISNUMBER(Sales_Data2[[#This Row],[Date]]),"OK","Check")</f>
        <v>OK</v>
      </c>
      <c r="R526" s="3" t="str">
        <f>IF(ISNUMBER(Sales_Data2[[#This Row],[Quantity]]),"OK","Check")</f>
        <v>OK</v>
      </c>
    </row>
    <row r="527" spans="1:18">
      <c r="A527" s="1">
        <v>46201</v>
      </c>
      <c r="B527" t="s">
        <v>18</v>
      </c>
      <c r="C527" t="s">
        <v>26</v>
      </c>
      <c r="D527" t="s">
        <v>13</v>
      </c>
      <c r="E527" t="s">
        <v>20</v>
      </c>
      <c r="F527" t="s">
        <v>38</v>
      </c>
      <c r="G527" t="s">
        <v>31</v>
      </c>
      <c r="H527">
        <v>420000</v>
      </c>
      <c r="I527">
        <v>3</v>
      </c>
      <c r="J527" t="s">
        <v>35</v>
      </c>
      <c r="K527">
        <f t="shared" si="8"/>
        <v>336000</v>
      </c>
      <c r="L527">
        <f>Sales_Data2[[#This Row],[Unit Price]]*Sales_Data2[[#This Row],[Quantity]]</f>
        <v>1260000</v>
      </c>
      <c r="M527">
        <f>Sales_Data2[[#This Row],[Cost Price]]*Sales_Data2[[#This Row],[Quantity]]</f>
        <v>1008000</v>
      </c>
      <c r="N527" s="3">
        <f>Sales_Data2[[#This Row],[Revenue]]-Sales_Data2[[#This Row],[COGS]]</f>
        <v>252000</v>
      </c>
      <c r="O5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46201|East|Kano|Retail|Store|Laptop A13|Electronics|420000|3|Peter|336000</v>
      </c>
      <c r="P527" s="3" t="str">
        <f>IF(COUNTIF(Sales_Data2[RowKey],Sales_Data2[[#This Row],[RowKey]])&gt;1,"Duplicate","Unique")</f>
        <v>Unique</v>
      </c>
      <c r="Q527" s="3" t="str">
        <f>IF(ISNUMBER(Sales_Data2[[#This Row],[Date]]),"OK","Check")</f>
        <v>OK</v>
      </c>
      <c r="R527" s="3" t="str">
        <f>IF(ISNUMBER(Sales_Data2[[#This Row],[Quantity]]),"OK","Check")</f>
        <v>OK</v>
      </c>
    </row>
    <row r="528" spans="1:18">
      <c r="A528" s="1">
        <v>46202</v>
      </c>
      <c r="B528" t="s">
        <v>18</v>
      </c>
      <c r="C528" t="s">
        <v>12</v>
      </c>
      <c r="D528" t="s">
        <v>13</v>
      </c>
      <c r="E528" t="s">
        <v>20</v>
      </c>
      <c r="F528" t="s">
        <v>21</v>
      </c>
      <c r="G528" t="s">
        <v>22</v>
      </c>
      <c r="H528">
        <v>30000</v>
      </c>
      <c r="I528">
        <v>8</v>
      </c>
      <c r="J528" t="s">
        <v>35</v>
      </c>
      <c r="K528">
        <f t="shared" si="8"/>
        <v>24000</v>
      </c>
      <c r="L528">
        <f>Sales_Data2[[#This Row],[Unit Price]]*Sales_Data2[[#This Row],[Quantity]]</f>
        <v>240000</v>
      </c>
      <c r="M528">
        <f>Sales_Data2[[#This Row],[Cost Price]]*Sales_Data2[[#This Row],[Quantity]]</f>
        <v>192000</v>
      </c>
      <c r="N528" s="3">
        <f>Sales_Data2[[#This Row],[Revenue]]-Sales_Data2[[#This Row],[COGS]]</f>
        <v>48000</v>
      </c>
      <c r="O5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46202|East|Port Harcourt|Retail|Store|Blender B10|Home Appliances|30000|8|Peter|24000</v>
      </c>
      <c r="P528" s="3" t="str">
        <f>IF(COUNTIF(Sales_Data2[RowKey],Sales_Data2[[#This Row],[RowKey]])&gt;1,"Duplicate","Unique")</f>
        <v>Unique</v>
      </c>
      <c r="Q528" s="3" t="str">
        <f>IF(ISNUMBER(Sales_Data2[[#This Row],[Date]]),"OK","Check")</f>
        <v>OK</v>
      </c>
      <c r="R528" s="3" t="str">
        <f>IF(ISNUMBER(Sales_Data2[[#This Row],[Quantity]]),"OK","Check")</f>
        <v>OK</v>
      </c>
    </row>
    <row r="529" spans="1:18">
      <c r="A529" s="1">
        <v>46203</v>
      </c>
      <c r="B529" t="s">
        <v>25</v>
      </c>
      <c r="C529" t="s">
        <v>32</v>
      </c>
      <c r="D529" t="s">
        <v>23</v>
      </c>
      <c r="E529" t="s">
        <v>14</v>
      </c>
      <c r="F529" t="s">
        <v>34</v>
      </c>
      <c r="G529" t="s">
        <v>16</v>
      </c>
      <c r="H529">
        <v>320000</v>
      </c>
      <c r="I529">
        <v>2</v>
      </c>
      <c r="J529" t="s">
        <v>28</v>
      </c>
      <c r="K529">
        <f t="shared" si="8"/>
        <v>256000</v>
      </c>
      <c r="L529">
        <f>Sales_Data2[[#This Row],[Unit Price]]*Sales_Data2[[#This Row],[Quantity]]</f>
        <v>640000</v>
      </c>
      <c r="M529">
        <f>Sales_Data2[[#This Row],[Cost Price]]*Sales_Data2[[#This Row],[Quantity]]</f>
        <v>512000</v>
      </c>
      <c r="N529" s="3">
        <f>Sales_Data2[[#This Row],[Revenue]]-Sales_Data2[[#This Row],[COGS]]</f>
        <v>128000</v>
      </c>
      <c r="O5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46203|South|Abuja|Corporate|Online|Sofa Classic|Furniture|320000|2|Musa|256000</v>
      </c>
      <c r="P529" s="3" t="str">
        <f>IF(COUNTIF(Sales_Data2[RowKey],Sales_Data2[[#This Row],[RowKey]])&gt;1,"Duplicate","Unique")</f>
        <v>Unique</v>
      </c>
      <c r="Q529" s="3" t="str">
        <f>IF(ISNUMBER(Sales_Data2[[#This Row],[Date]]),"OK","Check")</f>
        <v>OK</v>
      </c>
      <c r="R529" s="3" t="str">
        <f>IF(ISNUMBER(Sales_Data2[[#This Row],[Quantity]]),"OK","Check")</f>
        <v>OK</v>
      </c>
    </row>
    <row r="530" spans="1:18">
      <c r="A530" s="1">
        <v>46204</v>
      </c>
      <c r="B530" t="s">
        <v>11</v>
      </c>
      <c r="C530" t="s">
        <v>19</v>
      </c>
      <c r="D530" t="s">
        <v>23</v>
      </c>
      <c r="E530" t="s">
        <v>20</v>
      </c>
      <c r="F530" t="s">
        <v>36</v>
      </c>
      <c r="G530" t="s">
        <v>31</v>
      </c>
      <c r="H530">
        <v>150000</v>
      </c>
      <c r="I530">
        <v>10</v>
      </c>
      <c r="J530" t="s">
        <v>28</v>
      </c>
      <c r="K530">
        <f t="shared" si="8"/>
        <v>120000</v>
      </c>
      <c r="L530">
        <f>Sales_Data2[[#This Row],[Unit Price]]*Sales_Data2[[#This Row],[Quantity]]</f>
        <v>1500000</v>
      </c>
      <c r="M530">
        <f>Sales_Data2[[#This Row],[Cost Price]]*Sales_Data2[[#This Row],[Quantity]]</f>
        <v>1200000</v>
      </c>
      <c r="N530" s="3">
        <f>Sales_Data2[[#This Row],[Revenue]]-Sales_Data2[[#This Row],[COGS]]</f>
        <v>300000</v>
      </c>
      <c r="O5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46204|West|Lagos|Corporate|Store|Printer P50|Electronics|150000|10|Musa|120000</v>
      </c>
      <c r="P530" s="3" t="str">
        <f>IF(COUNTIF(Sales_Data2[RowKey],Sales_Data2[[#This Row],[RowKey]])&gt;1,"Duplicate","Unique")</f>
        <v>Unique</v>
      </c>
      <c r="Q530" s="3" t="str">
        <f>IF(ISNUMBER(Sales_Data2[[#This Row],[Date]]),"OK","Check")</f>
        <v>OK</v>
      </c>
      <c r="R530" s="3" t="str">
        <f>IF(ISNUMBER(Sales_Data2[[#This Row],[Quantity]]),"OK","Check")</f>
        <v>OK</v>
      </c>
    </row>
    <row r="531" spans="1:18">
      <c r="A531" s="1">
        <v>46205</v>
      </c>
      <c r="B531" t="s">
        <v>29</v>
      </c>
      <c r="C531" t="s">
        <v>26</v>
      </c>
      <c r="D531" t="s">
        <v>23</v>
      </c>
      <c r="E531" t="s">
        <v>14</v>
      </c>
      <c r="F531" t="s">
        <v>40</v>
      </c>
      <c r="G531" t="s">
        <v>31</v>
      </c>
      <c r="H531">
        <v>250000</v>
      </c>
      <c r="I531">
        <v>9</v>
      </c>
      <c r="J531" t="s">
        <v>24</v>
      </c>
      <c r="K531">
        <f t="shared" si="8"/>
        <v>200000</v>
      </c>
      <c r="L531">
        <f>Sales_Data2[[#This Row],[Unit Price]]*Sales_Data2[[#This Row],[Quantity]]</f>
        <v>2250000</v>
      </c>
      <c r="M531">
        <f>Sales_Data2[[#This Row],[Cost Price]]*Sales_Data2[[#This Row],[Quantity]]</f>
        <v>1800000</v>
      </c>
      <c r="N531" s="3">
        <f>Sales_Data2[[#This Row],[Revenue]]-Sales_Data2[[#This Row],[COGS]]</f>
        <v>450000</v>
      </c>
      <c r="O5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46205|North|Kano|Corporate|Online|Smartphone Z10|Electronics|250000|9|David|200000</v>
      </c>
      <c r="P531" s="3" t="str">
        <f>IF(COUNTIF(Sales_Data2[RowKey],Sales_Data2[[#This Row],[RowKey]])&gt;1,"Duplicate","Unique")</f>
        <v>Unique</v>
      </c>
      <c r="Q531" s="3" t="str">
        <f>IF(ISNUMBER(Sales_Data2[[#This Row],[Date]]),"OK","Check")</f>
        <v>OK</v>
      </c>
      <c r="R531" s="3" t="str">
        <f>IF(ISNUMBER(Sales_Data2[[#This Row],[Quantity]]),"OK","Check")</f>
        <v>OK</v>
      </c>
    </row>
    <row r="532" spans="1:18">
      <c r="A532" s="1">
        <v>46206</v>
      </c>
      <c r="B532" t="s">
        <v>25</v>
      </c>
      <c r="C532" t="s">
        <v>26</v>
      </c>
      <c r="D532" t="s">
        <v>23</v>
      </c>
      <c r="E532" t="s">
        <v>20</v>
      </c>
      <c r="F532" t="s">
        <v>41</v>
      </c>
      <c r="G532" t="s">
        <v>22</v>
      </c>
      <c r="H532">
        <v>220000</v>
      </c>
      <c r="I532">
        <v>5</v>
      </c>
      <c r="J532" t="s">
        <v>24</v>
      </c>
      <c r="K532">
        <f t="shared" si="8"/>
        <v>176000</v>
      </c>
      <c r="L532">
        <f>Sales_Data2[[#This Row],[Unit Price]]*Sales_Data2[[#This Row],[Quantity]]</f>
        <v>1100000</v>
      </c>
      <c r="M532">
        <f>Sales_Data2[[#This Row],[Cost Price]]*Sales_Data2[[#This Row],[Quantity]]</f>
        <v>880000</v>
      </c>
      <c r="N532" s="3">
        <f>Sales_Data2[[#This Row],[Revenue]]-Sales_Data2[[#This Row],[COGS]]</f>
        <v>220000</v>
      </c>
      <c r="O5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46206|South|Kano|Corporate|Store|Refrigerator R55|Home Appliances|220000|5|David|176000</v>
      </c>
      <c r="P532" s="3" t="str">
        <f>IF(COUNTIF(Sales_Data2[RowKey],Sales_Data2[[#This Row],[RowKey]])&gt;1,"Duplicate","Unique")</f>
        <v>Unique</v>
      </c>
      <c r="Q532" s="3" t="str">
        <f>IF(ISNUMBER(Sales_Data2[[#This Row],[Date]]),"OK","Check")</f>
        <v>OK</v>
      </c>
      <c r="R532" s="3" t="str">
        <f>IF(ISNUMBER(Sales_Data2[[#This Row],[Quantity]]),"OK","Check")</f>
        <v>OK</v>
      </c>
    </row>
    <row r="533" spans="1:18">
      <c r="A533" s="1">
        <v>46207</v>
      </c>
      <c r="B533" t="s">
        <v>11</v>
      </c>
      <c r="C533" t="s">
        <v>26</v>
      </c>
      <c r="D533" t="s">
        <v>13</v>
      </c>
      <c r="E533" t="s">
        <v>20</v>
      </c>
      <c r="F533" t="s">
        <v>36</v>
      </c>
      <c r="G533" t="s">
        <v>31</v>
      </c>
      <c r="H533">
        <v>150000</v>
      </c>
      <c r="I533">
        <v>5</v>
      </c>
      <c r="J533" t="s">
        <v>17</v>
      </c>
      <c r="K533">
        <f t="shared" si="8"/>
        <v>120000</v>
      </c>
      <c r="L533">
        <f>Sales_Data2[[#This Row],[Unit Price]]*Sales_Data2[[#This Row],[Quantity]]</f>
        <v>750000</v>
      </c>
      <c r="M533">
        <f>Sales_Data2[[#This Row],[Cost Price]]*Sales_Data2[[#This Row],[Quantity]]</f>
        <v>600000</v>
      </c>
      <c r="N533" s="3">
        <f>Sales_Data2[[#This Row],[Revenue]]-Sales_Data2[[#This Row],[COGS]]</f>
        <v>150000</v>
      </c>
      <c r="O5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46207|West|Kano|Retail|Store|Printer P50|Electronics|150000|5|Chidinma|120000</v>
      </c>
      <c r="P533" s="3" t="str">
        <f>IF(COUNTIF(Sales_Data2[RowKey],Sales_Data2[[#This Row],[RowKey]])&gt;1,"Duplicate","Unique")</f>
        <v>Unique</v>
      </c>
      <c r="Q533" s="3" t="str">
        <f>IF(ISNUMBER(Sales_Data2[[#This Row],[Date]]),"OK","Check")</f>
        <v>OK</v>
      </c>
      <c r="R533" s="3" t="str">
        <f>IF(ISNUMBER(Sales_Data2[[#This Row],[Quantity]]),"OK","Check")</f>
        <v>OK</v>
      </c>
    </row>
    <row r="534" spans="1:18">
      <c r="A534" s="1">
        <v>46208</v>
      </c>
      <c r="B534" t="s">
        <v>18</v>
      </c>
      <c r="C534" t="s">
        <v>32</v>
      </c>
      <c r="D534" t="s">
        <v>23</v>
      </c>
      <c r="E534" t="s">
        <v>20</v>
      </c>
      <c r="F534" t="s">
        <v>41</v>
      </c>
      <c r="G534" t="s">
        <v>22</v>
      </c>
      <c r="H534">
        <v>220000</v>
      </c>
      <c r="I534">
        <v>8</v>
      </c>
      <c r="J534" t="s">
        <v>37</v>
      </c>
      <c r="K534">
        <f t="shared" si="8"/>
        <v>176000</v>
      </c>
      <c r="L534">
        <f>Sales_Data2[[#This Row],[Unit Price]]*Sales_Data2[[#This Row],[Quantity]]</f>
        <v>1760000</v>
      </c>
      <c r="M534">
        <f>Sales_Data2[[#This Row],[Cost Price]]*Sales_Data2[[#This Row],[Quantity]]</f>
        <v>1408000</v>
      </c>
      <c r="N534" s="3">
        <f>Sales_Data2[[#This Row],[Revenue]]-Sales_Data2[[#This Row],[COGS]]</f>
        <v>352000</v>
      </c>
      <c r="O5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46208|East|Abuja|Corporate|Store|Refrigerator R55|Home Appliances|220000|8|Aisha|176000</v>
      </c>
      <c r="P534" s="3" t="str">
        <f>IF(COUNTIF(Sales_Data2[RowKey],Sales_Data2[[#This Row],[RowKey]])&gt;1,"Duplicate","Unique")</f>
        <v>Unique</v>
      </c>
      <c r="Q534" s="3" t="str">
        <f>IF(ISNUMBER(Sales_Data2[[#This Row],[Date]]),"OK","Check")</f>
        <v>OK</v>
      </c>
      <c r="R534" s="3" t="str">
        <f>IF(ISNUMBER(Sales_Data2[[#This Row],[Quantity]]),"OK","Check")</f>
        <v>OK</v>
      </c>
    </row>
    <row r="535" spans="1:18">
      <c r="A535" s="1">
        <v>46209</v>
      </c>
      <c r="B535" t="s">
        <v>18</v>
      </c>
      <c r="C535" t="s">
        <v>19</v>
      </c>
      <c r="D535" t="s">
        <v>13</v>
      </c>
      <c r="E535" t="s">
        <v>14</v>
      </c>
      <c r="F535" t="s">
        <v>15</v>
      </c>
      <c r="G535" t="s">
        <v>16</v>
      </c>
      <c r="H535">
        <v>85000</v>
      </c>
      <c r="I535">
        <v>4</v>
      </c>
      <c r="J535" t="s">
        <v>35</v>
      </c>
      <c r="K535">
        <f t="shared" si="8"/>
        <v>68000</v>
      </c>
      <c r="L535">
        <f>Sales_Data2[[#This Row],[Unit Price]]*Sales_Data2[[#This Row],[Quantity]]</f>
        <v>340000</v>
      </c>
      <c r="M535">
        <f>Sales_Data2[[#This Row],[Cost Price]]*Sales_Data2[[#This Row],[Quantity]]</f>
        <v>272000</v>
      </c>
      <c r="N535" s="3">
        <f>Sales_Data2[[#This Row],[Revenue]]-Sales_Data2[[#This Row],[COGS]]</f>
        <v>68000</v>
      </c>
      <c r="O5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46209|East|Lagos|Retail|Online|Office Chair Pro|Furniture|85000|4|Peter|68000</v>
      </c>
      <c r="P535" s="3" t="str">
        <f>IF(COUNTIF(Sales_Data2[RowKey],Sales_Data2[[#This Row],[RowKey]])&gt;1,"Duplicate","Unique")</f>
        <v>Unique</v>
      </c>
      <c r="Q535" s="3" t="str">
        <f>IF(ISNUMBER(Sales_Data2[[#This Row],[Date]]),"OK","Check")</f>
        <v>OK</v>
      </c>
      <c r="R535" s="3" t="str">
        <f>IF(ISNUMBER(Sales_Data2[[#This Row],[Quantity]]),"OK","Check")</f>
        <v>OK</v>
      </c>
    </row>
    <row r="536" spans="1:18">
      <c r="A536" s="1">
        <v>46210</v>
      </c>
      <c r="B536" t="s">
        <v>25</v>
      </c>
      <c r="C536" t="s">
        <v>26</v>
      </c>
      <c r="D536" t="s">
        <v>13</v>
      </c>
      <c r="E536" t="s">
        <v>14</v>
      </c>
      <c r="F536" t="s">
        <v>34</v>
      </c>
      <c r="G536" t="s">
        <v>16</v>
      </c>
      <c r="H536">
        <v>320000</v>
      </c>
      <c r="I536">
        <v>4</v>
      </c>
      <c r="J536" t="s">
        <v>35</v>
      </c>
      <c r="K536">
        <f t="shared" si="8"/>
        <v>256000</v>
      </c>
      <c r="L536">
        <f>Sales_Data2[[#This Row],[Unit Price]]*Sales_Data2[[#This Row],[Quantity]]</f>
        <v>1280000</v>
      </c>
      <c r="M536">
        <f>Sales_Data2[[#This Row],[Cost Price]]*Sales_Data2[[#This Row],[Quantity]]</f>
        <v>1024000</v>
      </c>
      <c r="N536" s="3">
        <f>Sales_Data2[[#This Row],[Revenue]]-Sales_Data2[[#This Row],[COGS]]</f>
        <v>256000</v>
      </c>
      <c r="O5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46210|South|Kano|Retail|Online|Sofa Classic|Furniture|320000|4|Peter|256000</v>
      </c>
      <c r="P536" s="3" t="str">
        <f>IF(COUNTIF(Sales_Data2[RowKey],Sales_Data2[[#This Row],[RowKey]])&gt;1,"Duplicate","Unique")</f>
        <v>Unique</v>
      </c>
      <c r="Q536" s="3" t="str">
        <f>IF(ISNUMBER(Sales_Data2[[#This Row],[Date]]),"OK","Check")</f>
        <v>OK</v>
      </c>
      <c r="R536" s="3" t="str">
        <f>IF(ISNUMBER(Sales_Data2[[#This Row],[Quantity]]),"OK","Check")</f>
        <v>OK</v>
      </c>
    </row>
    <row r="537" spans="1:18">
      <c r="A537" s="1">
        <v>46211</v>
      </c>
      <c r="B537" t="s">
        <v>18</v>
      </c>
      <c r="C537" t="s">
        <v>26</v>
      </c>
      <c r="D537" t="s">
        <v>23</v>
      </c>
      <c r="E537" t="s">
        <v>14</v>
      </c>
      <c r="F537" t="s">
        <v>40</v>
      </c>
      <c r="G537" t="s">
        <v>31</v>
      </c>
      <c r="H537">
        <v>250000</v>
      </c>
      <c r="I537">
        <v>2</v>
      </c>
      <c r="J537" t="s">
        <v>24</v>
      </c>
      <c r="K537">
        <f t="shared" si="8"/>
        <v>200000</v>
      </c>
      <c r="L537">
        <f>Sales_Data2[[#This Row],[Unit Price]]*Sales_Data2[[#This Row],[Quantity]]</f>
        <v>500000</v>
      </c>
      <c r="M537">
        <f>Sales_Data2[[#This Row],[Cost Price]]*Sales_Data2[[#This Row],[Quantity]]</f>
        <v>400000</v>
      </c>
      <c r="N537" s="3">
        <f>Sales_Data2[[#This Row],[Revenue]]-Sales_Data2[[#This Row],[COGS]]</f>
        <v>100000</v>
      </c>
      <c r="O5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46211|East|Kano|Corporate|Online|Smartphone Z10|Electronics|250000|2|David|200000</v>
      </c>
      <c r="P537" s="3" t="str">
        <f>IF(COUNTIF(Sales_Data2[RowKey],Sales_Data2[[#This Row],[RowKey]])&gt;1,"Duplicate","Unique")</f>
        <v>Unique</v>
      </c>
      <c r="Q537" s="3" t="str">
        <f>IF(ISNUMBER(Sales_Data2[[#This Row],[Date]]),"OK","Check")</f>
        <v>OK</v>
      </c>
      <c r="R537" s="3" t="str">
        <f>IF(ISNUMBER(Sales_Data2[[#This Row],[Quantity]]),"OK","Check")</f>
        <v>OK</v>
      </c>
    </row>
    <row r="538" spans="1:18">
      <c r="A538" s="1">
        <v>46212</v>
      </c>
      <c r="B538" t="s">
        <v>18</v>
      </c>
      <c r="C538" t="s">
        <v>12</v>
      </c>
      <c r="D538" t="s">
        <v>13</v>
      </c>
      <c r="E538" t="s">
        <v>14</v>
      </c>
      <c r="F538" t="s">
        <v>30</v>
      </c>
      <c r="G538" t="s">
        <v>31</v>
      </c>
      <c r="H538">
        <v>300000</v>
      </c>
      <c r="I538">
        <v>5</v>
      </c>
      <c r="J538" t="s">
        <v>24</v>
      </c>
      <c r="K538">
        <f t="shared" si="8"/>
        <v>240000</v>
      </c>
      <c r="L538">
        <f>Sales_Data2[[#This Row],[Unit Price]]*Sales_Data2[[#This Row],[Quantity]]</f>
        <v>1500000</v>
      </c>
      <c r="M538">
        <f>Sales_Data2[[#This Row],[Cost Price]]*Sales_Data2[[#This Row],[Quantity]]</f>
        <v>1200000</v>
      </c>
      <c r="N538" s="3">
        <f>Sales_Data2[[#This Row],[Revenue]]-Sales_Data2[[#This Row],[COGS]]</f>
        <v>300000</v>
      </c>
      <c r="O5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46212|East|Port Harcourt|Retail|Online|Desktop PC D21|Electronics|300000|5|David|240000</v>
      </c>
      <c r="P538" s="3" t="str">
        <f>IF(COUNTIF(Sales_Data2[RowKey],Sales_Data2[[#This Row],[RowKey]])&gt;1,"Duplicate","Unique")</f>
        <v>Unique</v>
      </c>
      <c r="Q538" s="3" t="str">
        <f>IF(ISNUMBER(Sales_Data2[[#This Row],[Date]]),"OK","Check")</f>
        <v>OK</v>
      </c>
      <c r="R538" s="3" t="str">
        <f>IF(ISNUMBER(Sales_Data2[[#This Row],[Quantity]]),"OK","Check")</f>
        <v>OK</v>
      </c>
    </row>
    <row r="539" spans="1:18">
      <c r="A539" s="1">
        <v>46213</v>
      </c>
      <c r="B539" t="s">
        <v>18</v>
      </c>
      <c r="C539" t="s">
        <v>26</v>
      </c>
      <c r="D539" t="s">
        <v>13</v>
      </c>
      <c r="E539" t="s">
        <v>14</v>
      </c>
      <c r="F539" t="s">
        <v>27</v>
      </c>
      <c r="G539" t="s">
        <v>22</v>
      </c>
      <c r="H539">
        <v>60000</v>
      </c>
      <c r="I539">
        <v>9</v>
      </c>
      <c r="J539" t="s">
        <v>28</v>
      </c>
      <c r="K539">
        <f t="shared" si="8"/>
        <v>48000</v>
      </c>
      <c r="L539">
        <f>Sales_Data2[[#This Row],[Unit Price]]*Sales_Data2[[#This Row],[Quantity]]</f>
        <v>540000</v>
      </c>
      <c r="M539">
        <f>Sales_Data2[[#This Row],[Cost Price]]*Sales_Data2[[#This Row],[Quantity]]</f>
        <v>432000</v>
      </c>
      <c r="N539" s="3">
        <f>Sales_Data2[[#This Row],[Revenue]]-Sales_Data2[[#This Row],[COGS]]</f>
        <v>108000</v>
      </c>
      <c r="O5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46213|East|Kano|Retail|Online|Microwave M20|Home Appliances|60000|9|Musa|48000</v>
      </c>
      <c r="P539" s="3" t="str">
        <f>IF(COUNTIF(Sales_Data2[RowKey],Sales_Data2[[#This Row],[RowKey]])&gt;1,"Duplicate","Unique")</f>
        <v>Unique</v>
      </c>
      <c r="Q539" s="3" t="str">
        <f>IF(ISNUMBER(Sales_Data2[[#This Row],[Date]]),"OK","Check")</f>
        <v>OK</v>
      </c>
      <c r="R539" s="3" t="str">
        <f>IF(ISNUMBER(Sales_Data2[[#This Row],[Quantity]]),"OK","Check")</f>
        <v>OK</v>
      </c>
    </row>
    <row r="540" spans="1:18">
      <c r="A540" s="1">
        <v>46214</v>
      </c>
      <c r="B540" t="s">
        <v>18</v>
      </c>
      <c r="C540" t="s">
        <v>26</v>
      </c>
      <c r="D540" t="s">
        <v>23</v>
      </c>
      <c r="E540" t="s">
        <v>14</v>
      </c>
      <c r="F540" t="s">
        <v>36</v>
      </c>
      <c r="G540" t="s">
        <v>31</v>
      </c>
      <c r="H540">
        <v>150000</v>
      </c>
      <c r="I540">
        <v>6</v>
      </c>
      <c r="J540" t="s">
        <v>28</v>
      </c>
      <c r="K540">
        <f t="shared" si="8"/>
        <v>120000</v>
      </c>
      <c r="L540">
        <f>Sales_Data2[[#This Row],[Unit Price]]*Sales_Data2[[#This Row],[Quantity]]</f>
        <v>900000</v>
      </c>
      <c r="M540">
        <f>Sales_Data2[[#This Row],[Cost Price]]*Sales_Data2[[#This Row],[Quantity]]</f>
        <v>720000</v>
      </c>
      <c r="N540" s="3">
        <f>Sales_Data2[[#This Row],[Revenue]]-Sales_Data2[[#This Row],[COGS]]</f>
        <v>180000</v>
      </c>
      <c r="O5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46214|East|Kano|Corporate|Online|Printer P50|Electronics|150000|6|Musa|120000</v>
      </c>
      <c r="P540" s="3" t="str">
        <f>IF(COUNTIF(Sales_Data2[RowKey],Sales_Data2[[#This Row],[RowKey]])&gt;1,"Duplicate","Unique")</f>
        <v>Unique</v>
      </c>
      <c r="Q540" s="3" t="str">
        <f>IF(ISNUMBER(Sales_Data2[[#This Row],[Date]]),"OK","Check")</f>
        <v>OK</v>
      </c>
      <c r="R540" s="3" t="str">
        <f>IF(ISNUMBER(Sales_Data2[[#This Row],[Quantity]]),"OK","Check")</f>
        <v>OK</v>
      </c>
    </row>
    <row r="541" spans="1:18">
      <c r="A541" s="1">
        <v>46215</v>
      </c>
      <c r="B541" t="s">
        <v>25</v>
      </c>
      <c r="C541" t="s">
        <v>26</v>
      </c>
      <c r="D541" t="s">
        <v>23</v>
      </c>
      <c r="E541" t="s">
        <v>20</v>
      </c>
      <c r="F541" t="s">
        <v>15</v>
      </c>
      <c r="G541" t="s">
        <v>16</v>
      </c>
      <c r="H541">
        <v>85000</v>
      </c>
      <c r="I541">
        <v>3</v>
      </c>
      <c r="J541" t="s">
        <v>35</v>
      </c>
      <c r="K541">
        <f t="shared" si="8"/>
        <v>68000</v>
      </c>
      <c r="L541">
        <f>Sales_Data2[[#This Row],[Unit Price]]*Sales_Data2[[#This Row],[Quantity]]</f>
        <v>255000</v>
      </c>
      <c r="M541">
        <f>Sales_Data2[[#This Row],[Cost Price]]*Sales_Data2[[#This Row],[Quantity]]</f>
        <v>204000</v>
      </c>
      <c r="N541" s="3">
        <f>Sales_Data2[[#This Row],[Revenue]]-Sales_Data2[[#This Row],[COGS]]</f>
        <v>51000</v>
      </c>
      <c r="O5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46215|South|Kano|Corporate|Store|Office Chair Pro|Furniture|85000|3|Peter|68000</v>
      </c>
      <c r="P541" s="3" t="str">
        <f>IF(COUNTIF(Sales_Data2[RowKey],Sales_Data2[[#This Row],[RowKey]])&gt;1,"Duplicate","Unique")</f>
        <v>Unique</v>
      </c>
      <c r="Q541" s="3" t="str">
        <f>IF(ISNUMBER(Sales_Data2[[#This Row],[Date]]),"OK","Check")</f>
        <v>OK</v>
      </c>
      <c r="R541" s="3" t="str">
        <f>IF(ISNUMBER(Sales_Data2[[#This Row],[Quantity]]),"OK","Check")</f>
        <v>OK</v>
      </c>
    </row>
    <row r="542" spans="1:18">
      <c r="A542" s="1">
        <v>46216</v>
      </c>
      <c r="B542" t="s">
        <v>25</v>
      </c>
      <c r="C542" t="s">
        <v>19</v>
      </c>
      <c r="D542" t="s">
        <v>23</v>
      </c>
      <c r="E542" t="s">
        <v>20</v>
      </c>
      <c r="F542" t="s">
        <v>34</v>
      </c>
      <c r="G542" t="s">
        <v>16</v>
      </c>
      <c r="H542">
        <v>320000</v>
      </c>
      <c r="I542">
        <v>8</v>
      </c>
      <c r="J542" t="s">
        <v>28</v>
      </c>
      <c r="K542">
        <f t="shared" si="8"/>
        <v>256000</v>
      </c>
      <c r="L542">
        <f>Sales_Data2[[#This Row],[Unit Price]]*Sales_Data2[[#This Row],[Quantity]]</f>
        <v>2560000</v>
      </c>
      <c r="M542">
        <f>Sales_Data2[[#This Row],[Cost Price]]*Sales_Data2[[#This Row],[Quantity]]</f>
        <v>2048000</v>
      </c>
      <c r="N542" s="3">
        <f>Sales_Data2[[#This Row],[Revenue]]-Sales_Data2[[#This Row],[COGS]]</f>
        <v>512000</v>
      </c>
      <c r="O5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46216|South|Lagos|Corporate|Store|Sofa Classic|Furniture|320000|8|Musa|256000</v>
      </c>
      <c r="P542" s="3" t="str">
        <f>IF(COUNTIF(Sales_Data2[RowKey],Sales_Data2[[#This Row],[RowKey]])&gt;1,"Duplicate","Unique")</f>
        <v>Unique</v>
      </c>
      <c r="Q542" s="3" t="str">
        <f>IF(ISNUMBER(Sales_Data2[[#This Row],[Date]]),"OK","Check")</f>
        <v>OK</v>
      </c>
      <c r="R542" s="3" t="str">
        <f>IF(ISNUMBER(Sales_Data2[[#This Row],[Quantity]]),"OK","Check")</f>
        <v>OK</v>
      </c>
    </row>
    <row r="543" spans="1:18">
      <c r="A543" s="1">
        <v>46217</v>
      </c>
      <c r="B543" t="s">
        <v>18</v>
      </c>
      <c r="C543" t="s">
        <v>12</v>
      </c>
      <c r="D543" t="s">
        <v>23</v>
      </c>
      <c r="E543" t="s">
        <v>14</v>
      </c>
      <c r="F543" t="s">
        <v>40</v>
      </c>
      <c r="G543" t="s">
        <v>31</v>
      </c>
      <c r="H543">
        <v>250000</v>
      </c>
      <c r="I543">
        <v>1</v>
      </c>
      <c r="J543" t="s">
        <v>35</v>
      </c>
      <c r="K543">
        <f t="shared" si="8"/>
        <v>200000</v>
      </c>
      <c r="L543">
        <f>Sales_Data2[[#This Row],[Unit Price]]*Sales_Data2[[#This Row],[Quantity]]</f>
        <v>250000</v>
      </c>
      <c r="M543">
        <f>Sales_Data2[[#This Row],[Cost Price]]*Sales_Data2[[#This Row],[Quantity]]</f>
        <v>200000</v>
      </c>
      <c r="N543" s="3">
        <f>Sales_Data2[[#This Row],[Revenue]]-Sales_Data2[[#This Row],[COGS]]</f>
        <v>50000</v>
      </c>
      <c r="O5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46217|East|Port Harcourt|Corporate|Online|Smartphone Z10|Electronics|250000|1|Peter|200000</v>
      </c>
      <c r="P543" s="3" t="str">
        <f>IF(COUNTIF(Sales_Data2[RowKey],Sales_Data2[[#This Row],[RowKey]])&gt;1,"Duplicate","Unique")</f>
        <v>Unique</v>
      </c>
      <c r="Q543" s="3" t="str">
        <f>IF(ISNUMBER(Sales_Data2[[#This Row],[Date]]),"OK","Check")</f>
        <v>OK</v>
      </c>
      <c r="R543" s="3" t="str">
        <f>IF(ISNUMBER(Sales_Data2[[#This Row],[Quantity]]),"OK","Check")</f>
        <v>OK</v>
      </c>
    </row>
    <row r="544" spans="1:18">
      <c r="A544" s="1">
        <v>46218</v>
      </c>
      <c r="B544" t="s">
        <v>11</v>
      </c>
      <c r="C544" t="s">
        <v>19</v>
      </c>
      <c r="D544" t="s">
        <v>23</v>
      </c>
      <c r="E544" t="s">
        <v>20</v>
      </c>
      <c r="F544" t="s">
        <v>33</v>
      </c>
      <c r="G544" t="s">
        <v>22</v>
      </c>
      <c r="H544">
        <v>180000</v>
      </c>
      <c r="I544">
        <v>4</v>
      </c>
      <c r="J544" t="s">
        <v>17</v>
      </c>
      <c r="K544">
        <f t="shared" si="8"/>
        <v>144000</v>
      </c>
      <c r="L544">
        <f>Sales_Data2[[#This Row],[Unit Price]]*Sales_Data2[[#This Row],[Quantity]]</f>
        <v>720000</v>
      </c>
      <c r="M544">
        <f>Sales_Data2[[#This Row],[Cost Price]]*Sales_Data2[[#This Row],[Quantity]]</f>
        <v>576000</v>
      </c>
      <c r="N544" s="3">
        <f>Sales_Data2[[#This Row],[Revenue]]-Sales_Data2[[#This Row],[COGS]]</f>
        <v>144000</v>
      </c>
      <c r="O5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46218|West|Lagos|Corporate|Store|Air Conditioner X2|Home Appliances|180000|4|Chidinma|144000</v>
      </c>
      <c r="P544" s="3" t="str">
        <f>IF(COUNTIF(Sales_Data2[RowKey],Sales_Data2[[#This Row],[RowKey]])&gt;1,"Duplicate","Unique")</f>
        <v>Unique</v>
      </c>
      <c r="Q544" s="3" t="str">
        <f>IF(ISNUMBER(Sales_Data2[[#This Row],[Date]]),"OK","Check")</f>
        <v>OK</v>
      </c>
      <c r="R544" s="3" t="str">
        <f>IF(ISNUMBER(Sales_Data2[[#This Row],[Quantity]]),"OK","Check")</f>
        <v>OK</v>
      </c>
    </row>
    <row r="545" spans="1:18">
      <c r="A545" s="1">
        <v>46219</v>
      </c>
      <c r="B545" t="s">
        <v>18</v>
      </c>
      <c r="C545" t="s">
        <v>26</v>
      </c>
      <c r="D545" t="s">
        <v>13</v>
      </c>
      <c r="E545" t="s">
        <v>14</v>
      </c>
      <c r="F545" t="s">
        <v>27</v>
      </c>
      <c r="G545" t="s">
        <v>22</v>
      </c>
      <c r="H545">
        <v>60000</v>
      </c>
      <c r="I545">
        <v>6</v>
      </c>
      <c r="J545" t="s">
        <v>39</v>
      </c>
      <c r="K545">
        <f t="shared" si="8"/>
        <v>48000</v>
      </c>
      <c r="L545">
        <f>Sales_Data2[[#This Row],[Unit Price]]*Sales_Data2[[#This Row],[Quantity]]</f>
        <v>360000</v>
      </c>
      <c r="M545">
        <f>Sales_Data2[[#This Row],[Cost Price]]*Sales_Data2[[#This Row],[Quantity]]</f>
        <v>288000</v>
      </c>
      <c r="N545" s="3">
        <f>Sales_Data2[[#This Row],[Revenue]]-Sales_Data2[[#This Row],[COGS]]</f>
        <v>72000</v>
      </c>
      <c r="O5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46219|East|Kano|Retail|Online|Microwave M20|Home Appliances|60000|6|Grace|48000</v>
      </c>
      <c r="P545" s="3" t="str">
        <f>IF(COUNTIF(Sales_Data2[RowKey],Sales_Data2[[#This Row],[RowKey]])&gt;1,"Duplicate","Unique")</f>
        <v>Unique</v>
      </c>
      <c r="Q545" s="3" t="str">
        <f>IF(ISNUMBER(Sales_Data2[[#This Row],[Date]]),"OK","Check")</f>
        <v>OK</v>
      </c>
      <c r="R545" s="3" t="str">
        <f>IF(ISNUMBER(Sales_Data2[[#This Row],[Quantity]]),"OK","Check")</f>
        <v>OK</v>
      </c>
    </row>
    <row r="546" spans="1:18">
      <c r="A546" s="1">
        <v>46220</v>
      </c>
      <c r="B546" t="s">
        <v>29</v>
      </c>
      <c r="C546" t="s">
        <v>32</v>
      </c>
      <c r="D546" t="s">
        <v>13</v>
      </c>
      <c r="E546" t="s">
        <v>20</v>
      </c>
      <c r="F546" t="s">
        <v>33</v>
      </c>
      <c r="G546" t="s">
        <v>22</v>
      </c>
      <c r="H546">
        <v>180000</v>
      </c>
      <c r="I546">
        <v>7</v>
      </c>
      <c r="J546" t="s">
        <v>17</v>
      </c>
      <c r="K546">
        <f t="shared" si="8"/>
        <v>144000</v>
      </c>
      <c r="L546">
        <f>Sales_Data2[[#This Row],[Unit Price]]*Sales_Data2[[#This Row],[Quantity]]</f>
        <v>1260000</v>
      </c>
      <c r="M546">
        <f>Sales_Data2[[#This Row],[Cost Price]]*Sales_Data2[[#This Row],[Quantity]]</f>
        <v>1008000</v>
      </c>
      <c r="N546" s="3">
        <f>Sales_Data2[[#This Row],[Revenue]]-Sales_Data2[[#This Row],[COGS]]</f>
        <v>252000</v>
      </c>
      <c r="O5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46220|North|Abuja|Retail|Store|Air Conditioner X2|Home Appliances|180000|7|Chidinma|144000</v>
      </c>
      <c r="P546" s="3" t="str">
        <f>IF(COUNTIF(Sales_Data2[RowKey],Sales_Data2[[#This Row],[RowKey]])&gt;1,"Duplicate","Unique")</f>
        <v>Unique</v>
      </c>
      <c r="Q546" s="3" t="str">
        <f>IF(ISNUMBER(Sales_Data2[[#This Row],[Date]]),"OK","Check")</f>
        <v>OK</v>
      </c>
      <c r="R546" s="3" t="str">
        <f>IF(ISNUMBER(Sales_Data2[[#This Row],[Quantity]]),"OK","Check")</f>
        <v>OK</v>
      </c>
    </row>
    <row r="547" spans="1:18">
      <c r="A547" s="1">
        <v>46221</v>
      </c>
      <c r="B547" t="s">
        <v>29</v>
      </c>
      <c r="C547" t="s">
        <v>19</v>
      </c>
      <c r="D547" t="s">
        <v>13</v>
      </c>
      <c r="E547" t="s">
        <v>14</v>
      </c>
      <c r="F547" t="s">
        <v>36</v>
      </c>
      <c r="G547" t="s">
        <v>31</v>
      </c>
      <c r="H547">
        <v>150000</v>
      </c>
      <c r="I547">
        <v>10</v>
      </c>
      <c r="J547" t="s">
        <v>37</v>
      </c>
      <c r="K547">
        <f t="shared" si="8"/>
        <v>120000</v>
      </c>
      <c r="L547">
        <f>Sales_Data2[[#This Row],[Unit Price]]*Sales_Data2[[#This Row],[Quantity]]</f>
        <v>1500000</v>
      </c>
      <c r="M547">
        <f>Sales_Data2[[#This Row],[Cost Price]]*Sales_Data2[[#This Row],[Quantity]]</f>
        <v>1200000</v>
      </c>
      <c r="N547" s="3">
        <f>Sales_Data2[[#This Row],[Revenue]]-Sales_Data2[[#This Row],[COGS]]</f>
        <v>300000</v>
      </c>
      <c r="O5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46221|North|Lagos|Retail|Online|Printer P50|Electronics|150000|10|Aisha|120000</v>
      </c>
      <c r="P547" s="3" t="str">
        <f>IF(COUNTIF(Sales_Data2[RowKey],Sales_Data2[[#This Row],[RowKey]])&gt;1,"Duplicate","Unique")</f>
        <v>Unique</v>
      </c>
      <c r="Q547" s="3" t="str">
        <f>IF(ISNUMBER(Sales_Data2[[#This Row],[Date]]),"OK","Check")</f>
        <v>OK</v>
      </c>
      <c r="R547" s="3" t="str">
        <f>IF(ISNUMBER(Sales_Data2[[#This Row],[Quantity]]),"OK","Check")</f>
        <v>OK</v>
      </c>
    </row>
    <row r="548" spans="1:18">
      <c r="A548" s="1">
        <v>46222</v>
      </c>
      <c r="B548" t="s">
        <v>18</v>
      </c>
      <c r="C548" t="s">
        <v>26</v>
      </c>
      <c r="D548" t="s">
        <v>13</v>
      </c>
      <c r="E548" t="s">
        <v>20</v>
      </c>
      <c r="F548" t="s">
        <v>34</v>
      </c>
      <c r="G548" t="s">
        <v>16</v>
      </c>
      <c r="H548">
        <v>320000</v>
      </c>
      <c r="I548">
        <v>5</v>
      </c>
      <c r="J548" t="s">
        <v>37</v>
      </c>
      <c r="K548">
        <f t="shared" si="8"/>
        <v>256000</v>
      </c>
      <c r="L548">
        <f>Sales_Data2[[#This Row],[Unit Price]]*Sales_Data2[[#This Row],[Quantity]]</f>
        <v>1600000</v>
      </c>
      <c r="M548">
        <f>Sales_Data2[[#This Row],[Cost Price]]*Sales_Data2[[#This Row],[Quantity]]</f>
        <v>1280000</v>
      </c>
      <c r="N548" s="3">
        <f>Sales_Data2[[#This Row],[Revenue]]-Sales_Data2[[#This Row],[COGS]]</f>
        <v>320000</v>
      </c>
      <c r="O5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46222|East|Kano|Retail|Store|Sofa Classic|Furniture|320000|5|Aisha|256000</v>
      </c>
      <c r="P548" s="3" t="str">
        <f>IF(COUNTIF(Sales_Data2[RowKey],Sales_Data2[[#This Row],[RowKey]])&gt;1,"Duplicate","Unique")</f>
        <v>Unique</v>
      </c>
      <c r="Q548" s="3" t="str">
        <f>IF(ISNUMBER(Sales_Data2[[#This Row],[Date]]),"OK","Check")</f>
        <v>OK</v>
      </c>
      <c r="R548" s="3" t="str">
        <f>IF(ISNUMBER(Sales_Data2[[#This Row],[Quantity]]),"OK","Check")</f>
        <v>OK</v>
      </c>
    </row>
    <row r="549" spans="1:18">
      <c r="A549" s="1">
        <v>46223</v>
      </c>
      <c r="B549" t="s">
        <v>11</v>
      </c>
      <c r="C549" t="s">
        <v>12</v>
      </c>
      <c r="D549" t="s">
        <v>23</v>
      </c>
      <c r="E549" t="s">
        <v>20</v>
      </c>
      <c r="F549" t="s">
        <v>36</v>
      </c>
      <c r="G549" t="s">
        <v>31</v>
      </c>
      <c r="H549">
        <v>150000</v>
      </c>
      <c r="I549">
        <v>7</v>
      </c>
      <c r="J549" t="s">
        <v>24</v>
      </c>
      <c r="K549">
        <f t="shared" si="8"/>
        <v>120000</v>
      </c>
      <c r="L549">
        <f>Sales_Data2[[#This Row],[Unit Price]]*Sales_Data2[[#This Row],[Quantity]]</f>
        <v>1050000</v>
      </c>
      <c r="M549">
        <f>Sales_Data2[[#This Row],[Cost Price]]*Sales_Data2[[#This Row],[Quantity]]</f>
        <v>840000</v>
      </c>
      <c r="N549" s="3">
        <f>Sales_Data2[[#This Row],[Revenue]]-Sales_Data2[[#This Row],[COGS]]</f>
        <v>210000</v>
      </c>
      <c r="O5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46223|West|Port Harcourt|Corporate|Store|Printer P50|Electronics|150000|7|David|120000</v>
      </c>
      <c r="P549" s="3" t="str">
        <f>IF(COUNTIF(Sales_Data2[RowKey],Sales_Data2[[#This Row],[RowKey]])&gt;1,"Duplicate","Unique")</f>
        <v>Unique</v>
      </c>
      <c r="Q549" s="3" t="str">
        <f>IF(ISNUMBER(Sales_Data2[[#This Row],[Date]]),"OK","Check")</f>
        <v>OK</v>
      </c>
      <c r="R549" s="3" t="str">
        <f>IF(ISNUMBER(Sales_Data2[[#This Row],[Quantity]]),"OK","Check")</f>
        <v>OK</v>
      </c>
    </row>
    <row r="550" spans="1:18">
      <c r="A550" s="1">
        <v>46224</v>
      </c>
      <c r="B550" t="s">
        <v>18</v>
      </c>
      <c r="C550" t="s">
        <v>12</v>
      </c>
      <c r="D550" t="s">
        <v>23</v>
      </c>
      <c r="E550" t="s">
        <v>14</v>
      </c>
      <c r="F550" t="s">
        <v>36</v>
      </c>
      <c r="G550" t="s">
        <v>31</v>
      </c>
      <c r="H550">
        <v>150000</v>
      </c>
      <c r="I550">
        <v>4</v>
      </c>
      <c r="J550" t="s">
        <v>37</v>
      </c>
      <c r="K550">
        <f t="shared" si="8"/>
        <v>120000</v>
      </c>
      <c r="L550">
        <f>Sales_Data2[[#This Row],[Unit Price]]*Sales_Data2[[#This Row],[Quantity]]</f>
        <v>600000</v>
      </c>
      <c r="M550">
        <f>Sales_Data2[[#This Row],[Cost Price]]*Sales_Data2[[#This Row],[Quantity]]</f>
        <v>480000</v>
      </c>
      <c r="N550" s="3">
        <f>Sales_Data2[[#This Row],[Revenue]]-Sales_Data2[[#This Row],[COGS]]</f>
        <v>120000</v>
      </c>
      <c r="O5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46224|East|Port Harcourt|Corporate|Online|Printer P50|Electronics|150000|4|Aisha|120000</v>
      </c>
      <c r="P550" s="3" t="str">
        <f>IF(COUNTIF(Sales_Data2[RowKey],Sales_Data2[[#This Row],[RowKey]])&gt;1,"Duplicate","Unique")</f>
        <v>Unique</v>
      </c>
      <c r="Q550" s="3" t="str">
        <f>IF(ISNUMBER(Sales_Data2[[#This Row],[Date]]),"OK","Check")</f>
        <v>OK</v>
      </c>
      <c r="R550" s="3" t="str">
        <f>IF(ISNUMBER(Sales_Data2[[#This Row],[Quantity]]),"OK","Check")</f>
        <v>OK</v>
      </c>
    </row>
    <row r="551" spans="1:18">
      <c r="A551" s="1">
        <v>46225</v>
      </c>
      <c r="B551" t="s">
        <v>29</v>
      </c>
      <c r="C551" t="s">
        <v>26</v>
      </c>
      <c r="D551" t="s">
        <v>23</v>
      </c>
      <c r="E551" t="s">
        <v>14</v>
      </c>
      <c r="F551" t="s">
        <v>30</v>
      </c>
      <c r="G551" t="s">
        <v>31</v>
      </c>
      <c r="H551">
        <v>300000</v>
      </c>
      <c r="I551">
        <v>6</v>
      </c>
      <c r="J551" t="s">
        <v>28</v>
      </c>
      <c r="K551">
        <f t="shared" si="8"/>
        <v>240000</v>
      </c>
      <c r="L551">
        <f>Sales_Data2[[#This Row],[Unit Price]]*Sales_Data2[[#This Row],[Quantity]]</f>
        <v>1800000</v>
      </c>
      <c r="M551">
        <f>Sales_Data2[[#This Row],[Cost Price]]*Sales_Data2[[#This Row],[Quantity]]</f>
        <v>1440000</v>
      </c>
      <c r="N551" s="3">
        <f>Sales_Data2[[#This Row],[Revenue]]-Sales_Data2[[#This Row],[COGS]]</f>
        <v>360000</v>
      </c>
      <c r="O5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46225|North|Kano|Corporate|Online|Desktop PC D21|Electronics|300000|6|Musa|240000</v>
      </c>
      <c r="P551" s="3" t="str">
        <f>IF(COUNTIF(Sales_Data2[RowKey],Sales_Data2[[#This Row],[RowKey]])&gt;1,"Duplicate","Unique")</f>
        <v>Unique</v>
      </c>
      <c r="Q551" s="3" t="str">
        <f>IF(ISNUMBER(Sales_Data2[[#This Row],[Date]]),"OK","Check")</f>
        <v>OK</v>
      </c>
      <c r="R551" s="3" t="str">
        <f>IF(ISNUMBER(Sales_Data2[[#This Row],[Quantity]]),"OK","Check")</f>
        <v>OK</v>
      </c>
    </row>
    <row r="552" spans="1:18">
      <c r="A552" s="1">
        <v>46226</v>
      </c>
      <c r="B552" t="s">
        <v>29</v>
      </c>
      <c r="C552" t="s">
        <v>12</v>
      </c>
      <c r="D552" t="s">
        <v>13</v>
      </c>
      <c r="E552" t="s">
        <v>20</v>
      </c>
      <c r="F552" t="s">
        <v>34</v>
      </c>
      <c r="G552" t="s">
        <v>16</v>
      </c>
      <c r="H552">
        <v>320000</v>
      </c>
      <c r="I552">
        <v>4</v>
      </c>
      <c r="J552" t="s">
        <v>28</v>
      </c>
      <c r="K552">
        <f t="shared" si="8"/>
        <v>256000</v>
      </c>
      <c r="L552">
        <f>Sales_Data2[[#This Row],[Unit Price]]*Sales_Data2[[#This Row],[Quantity]]</f>
        <v>1280000</v>
      </c>
      <c r="M552">
        <f>Sales_Data2[[#This Row],[Cost Price]]*Sales_Data2[[#This Row],[Quantity]]</f>
        <v>1024000</v>
      </c>
      <c r="N552" s="3">
        <f>Sales_Data2[[#This Row],[Revenue]]-Sales_Data2[[#This Row],[COGS]]</f>
        <v>256000</v>
      </c>
      <c r="O5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46226|North|Port Harcourt|Retail|Store|Sofa Classic|Furniture|320000|4|Musa|256000</v>
      </c>
      <c r="P552" s="3" t="str">
        <f>IF(COUNTIF(Sales_Data2[RowKey],Sales_Data2[[#This Row],[RowKey]])&gt;1,"Duplicate","Unique")</f>
        <v>Unique</v>
      </c>
      <c r="Q552" s="3" t="str">
        <f>IF(ISNUMBER(Sales_Data2[[#This Row],[Date]]),"OK","Check")</f>
        <v>OK</v>
      </c>
      <c r="R552" s="3" t="str">
        <f>IF(ISNUMBER(Sales_Data2[[#This Row],[Quantity]]),"OK","Check")</f>
        <v>OK</v>
      </c>
    </row>
    <row r="553" spans="1:18">
      <c r="A553" s="1">
        <v>46227</v>
      </c>
      <c r="B553" t="s">
        <v>25</v>
      </c>
      <c r="C553" t="s">
        <v>19</v>
      </c>
      <c r="D553" t="s">
        <v>23</v>
      </c>
      <c r="E553" t="s">
        <v>14</v>
      </c>
      <c r="F553" t="s">
        <v>21</v>
      </c>
      <c r="G553" t="s">
        <v>22</v>
      </c>
      <c r="H553">
        <v>30000</v>
      </c>
      <c r="I553">
        <v>4</v>
      </c>
      <c r="J553" t="s">
        <v>24</v>
      </c>
      <c r="K553">
        <f t="shared" si="8"/>
        <v>24000</v>
      </c>
      <c r="L553">
        <f>Sales_Data2[[#This Row],[Unit Price]]*Sales_Data2[[#This Row],[Quantity]]</f>
        <v>120000</v>
      </c>
      <c r="M553">
        <f>Sales_Data2[[#This Row],[Cost Price]]*Sales_Data2[[#This Row],[Quantity]]</f>
        <v>96000</v>
      </c>
      <c r="N553" s="3">
        <f>Sales_Data2[[#This Row],[Revenue]]-Sales_Data2[[#This Row],[COGS]]</f>
        <v>24000</v>
      </c>
      <c r="O5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46227|South|Lagos|Corporate|Online|Blender B10|Home Appliances|30000|4|David|24000</v>
      </c>
      <c r="P553" s="3" t="str">
        <f>IF(COUNTIF(Sales_Data2[RowKey],Sales_Data2[[#This Row],[RowKey]])&gt;1,"Duplicate","Unique")</f>
        <v>Unique</v>
      </c>
      <c r="Q553" s="3" t="str">
        <f>IF(ISNUMBER(Sales_Data2[[#This Row],[Date]]),"OK","Check")</f>
        <v>OK</v>
      </c>
      <c r="R553" s="3" t="str">
        <f>IF(ISNUMBER(Sales_Data2[[#This Row],[Quantity]]),"OK","Check")</f>
        <v>OK</v>
      </c>
    </row>
    <row r="554" spans="1:18">
      <c r="A554" s="1">
        <v>46228</v>
      </c>
      <c r="B554" t="s">
        <v>18</v>
      </c>
      <c r="C554" t="s">
        <v>26</v>
      </c>
      <c r="D554" t="s">
        <v>23</v>
      </c>
      <c r="E554" t="s">
        <v>14</v>
      </c>
      <c r="F554" t="s">
        <v>36</v>
      </c>
      <c r="G554" t="s">
        <v>31</v>
      </c>
      <c r="H554">
        <v>150000</v>
      </c>
      <c r="I554">
        <v>8</v>
      </c>
      <c r="J554" t="s">
        <v>39</v>
      </c>
      <c r="K554">
        <f t="shared" si="8"/>
        <v>120000</v>
      </c>
      <c r="L554">
        <f>Sales_Data2[[#This Row],[Unit Price]]*Sales_Data2[[#This Row],[Quantity]]</f>
        <v>1200000</v>
      </c>
      <c r="M554">
        <f>Sales_Data2[[#This Row],[Cost Price]]*Sales_Data2[[#This Row],[Quantity]]</f>
        <v>960000</v>
      </c>
      <c r="N554" s="3">
        <f>Sales_Data2[[#This Row],[Revenue]]-Sales_Data2[[#This Row],[COGS]]</f>
        <v>240000</v>
      </c>
      <c r="O5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46228|East|Kano|Corporate|Online|Printer P50|Electronics|150000|8|Grace|120000</v>
      </c>
      <c r="P554" s="3" t="str">
        <f>IF(COUNTIF(Sales_Data2[RowKey],Sales_Data2[[#This Row],[RowKey]])&gt;1,"Duplicate","Unique")</f>
        <v>Unique</v>
      </c>
      <c r="Q554" s="3" t="str">
        <f>IF(ISNUMBER(Sales_Data2[[#This Row],[Date]]),"OK","Check")</f>
        <v>OK</v>
      </c>
      <c r="R554" s="3" t="str">
        <f>IF(ISNUMBER(Sales_Data2[[#This Row],[Quantity]]),"OK","Check")</f>
        <v>OK</v>
      </c>
    </row>
    <row r="555" spans="1:18">
      <c r="A555" s="1">
        <v>46229</v>
      </c>
      <c r="B555" t="s">
        <v>25</v>
      </c>
      <c r="C555" t="s">
        <v>19</v>
      </c>
      <c r="D555" t="s">
        <v>13</v>
      </c>
      <c r="E555" t="s">
        <v>20</v>
      </c>
      <c r="F555" t="s">
        <v>40</v>
      </c>
      <c r="G555" t="s">
        <v>31</v>
      </c>
      <c r="H555">
        <v>250000</v>
      </c>
      <c r="I555">
        <v>8</v>
      </c>
      <c r="J555" t="s">
        <v>37</v>
      </c>
      <c r="K555">
        <f t="shared" si="8"/>
        <v>200000</v>
      </c>
      <c r="L555">
        <f>Sales_Data2[[#This Row],[Unit Price]]*Sales_Data2[[#This Row],[Quantity]]</f>
        <v>2000000</v>
      </c>
      <c r="M555">
        <f>Sales_Data2[[#This Row],[Cost Price]]*Sales_Data2[[#This Row],[Quantity]]</f>
        <v>1600000</v>
      </c>
      <c r="N555" s="3">
        <f>Sales_Data2[[#This Row],[Revenue]]-Sales_Data2[[#This Row],[COGS]]</f>
        <v>400000</v>
      </c>
      <c r="O5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46229|South|Lagos|Retail|Store|Smartphone Z10|Electronics|250000|8|Aisha|200000</v>
      </c>
      <c r="P555" s="3" t="str">
        <f>IF(COUNTIF(Sales_Data2[RowKey],Sales_Data2[[#This Row],[RowKey]])&gt;1,"Duplicate","Unique")</f>
        <v>Unique</v>
      </c>
      <c r="Q555" s="3" t="str">
        <f>IF(ISNUMBER(Sales_Data2[[#This Row],[Date]]),"OK","Check")</f>
        <v>OK</v>
      </c>
      <c r="R555" s="3" t="str">
        <f>IF(ISNUMBER(Sales_Data2[[#This Row],[Quantity]]),"OK","Check")</f>
        <v>OK</v>
      </c>
    </row>
    <row r="556" spans="1:18">
      <c r="A556" s="1">
        <v>46230</v>
      </c>
      <c r="B556" t="s">
        <v>29</v>
      </c>
      <c r="C556" t="s">
        <v>19</v>
      </c>
      <c r="D556" t="s">
        <v>23</v>
      </c>
      <c r="E556" t="s">
        <v>14</v>
      </c>
      <c r="F556" t="s">
        <v>21</v>
      </c>
      <c r="G556" t="s">
        <v>22</v>
      </c>
      <c r="H556">
        <v>30000</v>
      </c>
      <c r="I556">
        <v>4</v>
      </c>
      <c r="J556" t="s">
        <v>39</v>
      </c>
      <c r="K556">
        <f t="shared" si="8"/>
        <v>24000</v>
      </c>
      <c r="L556">
        <f>Sales_Data2[[#This Row],[Unit Price]]*Sales_Data2[[#This Row],[Quantity]]</f>
        <v>120000</v>
      </c>
      <c r="M556">
        <f>Sales_Data2[[#This Row],[Cost Price]]*Sales_Data2[[#This Row],[Quantity]]</f>
        <v>96000</v>
      </c>
      <c r="N556" s="3">
        <f>Sales_Data2[[#This Row],[Revenue]]-Sales_Data2[[#This Row],[COGS]]</f>
        <v>24000</v>
      </c>
      <c r="O5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46230|North|Lagos|Corporate|Online|Blender B10|Home Appliances|30000|4|Grace|24000</v>
      </c>
      <c r="P556" s="3" t="str">
        <f>IF(COUNTIF(Sales_Data2[RowKey],Sales_Data2[[#This Row],[RowKey]])&gt;1,"Duplicate","Unique")</f>
        <v>Unique</v>
      </c>
      <c r="Q556" s="3" t="str">
        <f>IF(ISNUMBER(Sales_Data2[[#This Row],[Date]]),"OK","Check")</f>
        <v>OK</v>
      </c>
      <c r="R556" s="3" t="str">
        <f>IF(ISNUMBER(Sales_Data2[[#This Row],[Quantity]]),"OK","Check")</f>
        <v>OK</v>
      </c>
    </row>
    <row r="557" spans="1:18">
      <c r="A557" s="1">
        <v>46231</v>
      </c>
      <c r="B557" t="s">
        <v>25</v>
      </c>
      <c r="C557" t="s">
        <v>12</v>
      </c>
      <c r="D557" t="s">
        <v>23</v>
      </c>
      <c r="E557" t="s">
        <v>14</v>
      </c>
      <c r="F557" t="s">
        <v>38</v>
      </c>
      <c r="G557" t="s">
        <v>31</v>
      </c>
      <c r="H557">
        <v>420000</v>
      </c>
      <c r="I557">
        <v>2</v>
      </c>
      <c r="J557" t="s">
        <v>37</v>
      </c>
      <c r="K557">
        <f t="shared" si="8"/>
        <v>336000</v>
      </c>
      <c r="L557">
        <f>Sales_Data2[[#This Row],[Unit Price]]*Sales_Data2[[#This Row],[Quantity]]</f>
        <v>840000</v>
      </c>
      <c r="M557">
        <f>Sales_Data2[[#This Row],[Cost Price]]*Sales_Data2[[#This Row],[Quantity]]</f>
        <v>672000</v>
      </c>
      <c r="N557" s="3">
        <f>Sales_Data2[[#This Row],[Revenue]]-Sales_Data2[[#This Row],[COGS]]</f>
        <v>168000</v>
      </c>
      <c r="O5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46231|South|Port Harcourt|Corporate|Online|Laptop A13|Electronics|420000|2|Aisha|336000</v>
      </c>
      <c r="P557" s="3" t="str">
        <f>IF(COUNTIF(Sales_Data2[RowKey],Sales_Data2[[#This Row],[RowKey]])&gt;1,"Duplicate","Unique")</f>
        <v>Unique</v>
      </c>
      <c r="Q557" s="3" t="str">
        <f>IF(ISNUMBER(Sales_Data2[[#This Row],[Date]]),"OK","Check")</f>
        <v>OK</v>
      </c>
      <c r="R557" s="3" t="str">
        <f>IF(ISNUMBER(Sales_Data2[[#This Row],[Quantity]]),"OK","Check")</f>
        <v>OK</v>
      </c>
    </row>
    <row r="558" spans="1:18">
      <c r="A558" s="1">
        <v>46232</v>
      </c>
      <c r="B558" t="s">
        <v>25</v>
      </c>
      <c r="C558" t="s">
        <v>12</v>
      </c>
      <c r="D558" t="s">
        <v>23</v>
      </c>
      <c r="E558" t="s">
        <v>20</v>
      </c>
      <c r="F558" t="s">
        <v>21</v>
      </c>
      <c r="G558" t="s">
        <v>22</v>
      </c>
      <c r="H558">
        <v>30000</v>
      </c>
      <c r="I558">
        <v>6</v>
      </c>
      <c r="J558" t="s">
        <v>37</v>
      </c>
      <c r="K558">
        <f t="shared" si="8"/>
        <v>24000</v>
      </c>
      <c r="L558">
        <f>Sales_Data2[[#This Row],[Unit Price]]*Sales_Data2[[#This Row],[Quantity]]</f>
        <v>180000</v>
      </c>
      <c r="M558">
        <f>Sales_Data2[[#This Row],[Cost Price]]*Sales_Data2[[#This Row],[Quantity]]</f>
        <v>144000</v>
      </c>
      <c r="N558" s="3">
        <f>Sales_Data2[[#This Row],[Revenue]]-Sales_Data2[[#This Row],[COGS]]</f>
        <v>36000</v>
      </c>
      <c r="O5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46232|South|Port Harcourt|Corporate|Store|Blender B10|Home Appliances|30000|6|Aisha|24000</v>
      </c>
      <c r="P558" s="3" t="str">
        <f>IF(COUNTIF(Sales_Data2[RowKey],Sales_Data2[[#This Row],[RowKey]])&gt;1,"Duplicate","Unique")</f>
        <v>Unique</v>
      </c>
      <c r="Q558" s="3" t="str">
        <f>IF(ISNUMBER(Sales_Data2[[#This Row],[Date]]),"OK","Check")</f>
        <v>OK</v>
      </c>
      <c r="R558" s="3" t="str">
        <f>IF(ISNUMBER(Sales_Data2[[#This Row],[Quantity]]),"OK","Check")</f>
        <v>OK</v>
      </c>
    </row>
    <row r="559" spans="1:18">
      <c r="A559" s="1">
        <v>46233</v>
      </c>
      <c r="B559" t="s">
        <v>29</v>
      </c>
      <c r="C559" t="s">
        <v>32</v>
      </c>
      <c r="D559" t="s">
        <v>23</v>
      </c>
      <c r="E559" t="s">
        <v>14</v>
      </c>
      <c r="F559" t="s">
        <v>41</v>
      </c>
      <c r="G559" t="s">
        <v>22</v>
      </c>
      <c r="H559">
        <v>220000</v>
      </c>
      <c r="I559">
        <v>2</v>
      </c>
      <c r="J559" t="s">
        <v>35</v>
      </c>
      <c r="K559">
        <f t="shared" si="8"/>
        <v>176000</v>
      </c>
      <c r="L559">
        <f>Sales_Data2[[#This Row],[Unit Price]]*Sales_Data2[[#This Row],[Quantity]]</f>
        <v>440000</v>
      </c>
      <c r="M559">
        <f>Sales_Data2[[#This Row],[Cost Price]]*Sales_Data2[[#This Row],[Quantity]]</f>
        <v>352000</v>
      </c>
      <c r="N559" s="3">
        <f>Sales_Data2[[#This Row],[Revenue]]-Sales_Data2[[#This Row],[COGS]]</f>
        <v>88000</v>
      </c>
      <c r="O5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46233|North|Abuja|Corporate|Online|Refrigerator R55|Home Appliances|220000|2|Peter|176000</v>
      </c>
      <c r="P559" s="3" t="str">
        <f>IF(COUNTIF(Sales_Data2[RowKey],Sales_Data2[[#This Row],[RowKey]])&gt;1,"Duplicate","Unique")</f>
        <v>Unique</v>
      </c>
      <c r="Q559" s="3" t="str">
        <f>IF(ISNUMBER(Sales_Data2[[#This Row],[Date]]),"OK","Check")</f>
        <v>OK</v>
      </c>
      <c r="R559" s="3" t="str">
        <f>IF(ISNUMBER(Sales_Data2[[#This Row],[Quantity]]),"OK","Check")</f>
        <v>OK</v>
      </c>
    </row>
    <row r="560" spans="1:18">
      <c r="A560" s="1">
        <v>46234</v>
      </c>
      <c r="B560" t="s">
        <v>25</v>
      </c>
      <c r="C560" t="s">
        <v>12</v>
      </c>
      <c r="D560" t="s">
        <v>13</v>
      </c>
      <c r="E560" t="s">
        <v>14</v>
      </c>
      <c r="F560" t="s">
        <v>30</v>
      </c>
      <c r="G560" t="s">
        <v>31</v>
      </c>
      <c r="H560">
        <v>300000</v>
      </c>
      <c r="I560">
        <v>4</v>
      </c>
      <c r="J560" t="s">
        <v>35</v>
      </c>
      <c r="K560">
        <f t="shared" si="8"/>
        <v>240000</v>
      </c>
      <c r="L560">
        <f>Sales_Data2[[#This Row],[Unit Price]]*Sales_Data2[[#This Row],[Quantity]]</f>
        <v>1200000</v>
      </c>
      <c r="M560">
        <f>Sales_Data2[[#This Row],[Cost Price]]*Sales_Data2[[#This Row],[Quantity]]</f>
        <v>960000</v>
      </c>
      <c r="N560" s="3">
        <f>Sales_Data2[[#This Row],[Revenue]]-Sales_Data2[[#This Row],[COGS]]</f>
        <v>240000</v>
      </c>
      <c r="O5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46234|South|Port Harcourt|Retail|Online|Desktop PC D21|Electronics|300000|4|Peter|240000</v>
      </c>
      <c r="P560" s="3" t="str">
        <f>IF(COUNTIF(Sales_Data2[RowKey],Sales_Data2[[#This Row],[RowKey]])&gt;1,"Duplicate","Unique")</f>
        <v>Unique</v>
      </c>
      <c r="Q560" s="3" t="str">
        <f>IF(ISNUMBER(Sales_Data2[[#This Row],[Date]]),"OK","Check")</f>
        <v>OK</v>
      </c>
      <c r="R560" s="3" t="str">
        <f>IF(ISNUMBER(Sales_Data2[[#This Row],[Quantity]]),"OK","Check")</f>
        <v>OK</v>
      </c>
    </row>
    <row r="561" spans="1:18">
      <c r="A561" s="1">
        <v>46235</v>
      </c>
      <c r="B561" t="s">
        <v>25</v>
      </c>
      <c r="C561" t="s">
        <v>12</v>
      </c>
      <c r="D561" t="s">
        <v>23</v>
      </c>
      <c r="E561" t="s">
        <v>14</v>
      </c>
      <c r="F561" t="s">
        <v>38</v>
      </c>
      <c r="G561" t="s">
        <v>31</v>
      </c>
      <c r="H561">
        <v>420000</v>
      </c>
      <c r="I561">
        <v>8</v>
      </c>
      <c r="J561" t="s">
        <v>17</v>
      </c>
      <c r="K561">
        <f t="shared" si="8"/>
        <v>336000</v>
      </c>
      <c r="L561">
        <f>Sales_Data2[[#This Row],[Unit Price]]*Sales_Data2[[#This Row],[Quantity]]</f>
        <v>3360000</v>
      </c>
      <c r="M561">
        <f>Sales_Data2[[#This Row],[Cost Price]]*Sales_Data2[[#This Row],[Quantity]]</f>
        <v>2688000</v>
      </c>
      <c r="N561" s="3">
        <f>Sales_Data2[[#This Row],[Revenue]]-Sales_Data2[[#This Row],[COGS]]</f>
        <v>672000</v>
      </c>
      <c r="O5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46235|South|Port Harcourt|Corporate|Online|Laptop A13|Electronics|420000|8|Chidinma|336000</v>
      </c>
      <c r="P561" s="3" t="str">
        <f>IF(COUNTIF(Sales_Data2[RowKey],Sales_Data2[[#This Row],[RowKey]])&gt;1,"Duplicate","Unique")</f>
        <v>Unique</v>
      </c>
      <c r="Q561" s="3" t="str">
        <f>IF(ISNUMBER(Sales_Data2[[#This Row],[Date]]),"OK","Check")</f>
        <v>OK</v>
      </c>
      <c r="R561" s="3" t="str">
        <f>IF(ISNUMBER(Sales_Data2[[#This Row],[Quantity]]),"OK","Check")</f>
        <v>OK</v>
      </c>
    </row>
    <row r="562" spans="1:18">
      <c r="A562" s="1">
        <v>46236</v>
      </c>
      <c r="B562" t="s">
        <v>18</v>
      </c>
      <c r="C562" t="s">
        <v>12</v>
      </c>
      <c r="D562" t="s">
        <v>13</v>
      </c>
      <c r="E562" t="s">
        <v>14</v>
      </c>
      <c r="F562" t="s">
        <v>34</v>
      </c>
      <c r="G562" t="s">
        <v>16</v>
      </c>
      <c r="H562">
        <v>320000</v>
      </c>
      <c r="I562">
        <v>4</v>
      </c>
      <c r="J562" t="s">
        <v>35</v>
      </c>
      <c r="K562">
        <f t="shared" si="8"/>
        <v>256000</v>
      </c>
      <c r="L562">
        <f>Sales_Data2[[#This Row],[Unit Price]]*Sales_Data2[[#This Row],[Quantity]]</f>
        <v>1280000</v>
      </c>
      <c r="M562">
        <f>Sales_Data2[[#This Row],[Cost Price]]*Sales_Data2[[#This Row],[Quantity]]</f>
        <v>1024000</v>
      </c>
      <c r="N562" s="3">
        <f>Sales_Data2[[#This Row],[Revenue]]-Sales_Data2[[#This Row],[COGS]]</f>
        <v>256000</v>
      </c>
      <c r="O5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46236|East|Port Harcourt|Retail|Online|Sofa Classic|Furniture|320000|4|Peter|256000</v>
      </c>
      <c r="P562" s="3" t="str">
        <f>IF(COUNTIF(Sales_Data2[RowKey],Sales_Data2[[#This Row],[RowKey]])&gt;1,"Duplicate","Unique")</f>
        <v>Unique</v>
      </c>
      <c r="Q562" s="3" t="str">
        <f>IF(ISNUMBER(Sales_Data2[[#This Row],[Date]]),"OK","Check")</f>
        <v>OK</v>
      </c>
      <c r="R562" s="3" t="str">
        <f>IF(ISNUMBER(Sales_Data2[[#This Row],[Quantity]]),"OK","Check")</f>
        <v>OK</v>
      </c>
    </row>
    <row r="563" spans="1:18">
      <c r="A563" s="1">
        <v>46237</v>
      </c>
      <c r="B563" t="s">
        <v>11</v>
      </c>
      <c r="C563" t="s">
        <v>12</v>
      </c>
      <c r="D563" t="s">
        <v>23</v>
      </c>
      <c r="E563" t="s">
        <v>20</v>
      </c>
      <c r="F563" t="s">
        <v>40</v>
      </c>
      <c r="G563" t="s">
        <v>31</v>
      </c>
      <c r="H563">
        <v>250000</v>
      </c>
      <c r="I563">
        <v>8</v>
      </c>
      <c r="J563" t="s">
        <v>24</v>
      </c>
      <c r="K563">
        <f t="shared" si="8"/>
        <v>200000</v>
      </c>
      <c r="L563">
        <f>Sales_Data2[[#This Row],[Unit Price]]*Sales_Data2[[#This Row],[Quantity]]</f>
        <v>2000000</v>
      </c>
      <c r="M563">
        <f>Sales_Data2[[#This Row],[Cost Price]]*Sales_Data2[[#This Row],[Quantity]]</f>
        <v>1600000</v>
      </c>
      <c r="N563" s="3">
        <f>Sales_Data2[[#This Row],[Revenue]]-Sales_Data2[[#This Row],[COGS]]</f>
        <v>400000</v>
      </c>
      <c r="O5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46237|West|Port Harcourt|Corporate|Store|Smartphone Z10|Electronics|250000|8|David|200000</v>
      </c>
      <c r="P563" s="3" t="str">
        <f>IF(COUNTIF(Sales_Data2[RowKey],Sales_Data2[[#This Row],[RowKey]])&gt;1,"Duplicate","Unique")</f>
        <v>Unique</v>
      </c>
      <c r="Q563" s="3" t="str">
        <f>IF(ISNUMBER(Sales_Data2[[#This Row],[Date]]),"OK","Check")</f>
        <v>OK</v>
      </c>
      <c r="R563" s="3" t="str">
        <f>IF(ISNUMBER(Sales_Data2[[#This Row],[Quantity]]),"OK","Check")</f>
        <v>OK</v>
      </c>
    </row>
    <row r="564" spans="1:18">
      <c r="A564" s="1">
        <v>46238</v>
      </c>
      <c r="B564" t="s">
        <v>18</v>
      </c>
      <c r="C564" t="s">
        <v>19</v>
      </c>
      <c r="D564" t="s">
        <v>13</v>
      </c>
      <c r="E564" t="s">
        <v>20</v>
      </c>
      <c r="F564" t="s">
        <v>34</v>
      </c>
      <c r="G564" t="s">
        <v>16</v>
      </c>
      <c r="H564">
        <v>320000</v>
      </c>
      <c r="I564">
        <v>7</v>
      </c>
      <c r="J564" t="s">
        <v>39</v>
      </c>
      <c r="K564">
        <f t="shared" si="8"/>
        <v>256000</v>
      </c>
      <c r="L564">
        <f>Sales_Data2[[#This Row],[Unit Price]]*Sales_Data2[[#This Row],[Quantity]]</f>
        <v>2240000</v>
      </c>
      <c r="M564">
        <f>Sales_Data2[[#This Row],[Cost Price]]*Sales_Data2[[#This Row],[Quantity]]</f>
        <v>1792000</v>
      </c>
      <c r="N564" s="3">
        <f>Sales_Data2[[#This Row],[Revenue]]-Sales_Data2[[#This Row],[COGS]]</f>
        <v>448000</v>
      </c>
      <c r="O5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46238|East|Lagos|Retail|Store|Sofa Classic|Furniture|320000|7|Grace|256000</v>
      </c>
      <c r="P564" s="3" t="str">
        <f>IF(COUNTIF(Sales_Data2[RowKey],Sales_Data2[[#This Row],[RowKey]])&gt;1,"Duplicate","Unique")</f>
        <v>Unique</v>
      </c>
      <c r="Q564" s="3" t="str">
        <f>IF(ISNUMBER(Sales_Data2[[#This Row],[Date]]),"OK","Check")</f>
        <v>OK</v>
      </c>
      <c r="R564" s="3" t="str">
        <f>IF(ISNUMBER(Sales_Data2[[#This Row],[Quantity]]),"OK","Check")</f>
        <v>OK</v>
      </c>
    </row>
    <row r="565" spans="1:18">
      <c r="A565" s="1">
        <v>46239</v>
      </c>
      <c r="B565" t="s">
        <v>11</v>
      </c>
      <c r="C565" t="s">
        <v>19</v>
      </c>
      <c r="D565" t="s">
        <v>23</v>
      </c>
      <c r="E565" t="s">
        <v>20</v>
      </c>
      <c r="F565" t="s">
        <v>30</v>
      </c>
      <c r="G565" t="s">
        <v>31</v>
      </c>
      <c r="H565">
        <v>300000</v>
      </c>
      <c r="I565">
        <v>6</v>
      </c>
      <c r="J565" t="s">
        <v>24</v>
      </c>
      <c r="K565">
        <f t="shared" si="8"/>
        <v>240000</v>
      </c>
      <c r="L565">
        <f>Sales_Data2[[#This Row],[Unit Price]]*Sales_Data2[[#This Row],[Quantity]]</f>
        <v>1800000</v>
      </c>
      <c r="M565">
        <f>Sales_Data2[[#This Row],[Cost Price]]*Sales_Data2[[#This Row],[Quantity]]</f>
        <v>1440000</v>
      </c>
      <c r="N565" s="3">
        <f>Sales_Data2[[#This Row],[Revenue]]-Sales_Data2[[#This Row],[COGS]]</f>
        <v>360000</v>
      </c>
      <c r="O5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46239|West|Lagos|Corporate|Store|Desktop PC D21|Electronics|300000|6|David|240000</v>
      </c>
      <c r="P565" s="3" t="str">
        <f>IF(COUNTIF(Sales_Data2[RowKey],Sales_Data2[[#This Row],[RowKey]])&gt;1,"Duplicate","Unique")</f>
        <v>Unique</v>
      </c>
      <c r="Q565" s="3" t="str">
        <f>IF(ISNUMBER(Sales_Data2[[#This Row],[Date]]),"OK","Check")</f>
        <v>OK</v>
      </c>
      <c r="R565" s="3" t="str">
        <f>IF(ISNUMBER(Sales_Data2[[#This Row],[Quantity]]),"OK","Check")</f>
        <v>OK</v>
      </c>
    </row>
    <row r="566" spans="1:18">
      <c r="A566" s="1">
        <v>46240</v>
      </c>
      <c r="B566" t="s">
        <v>29</v>
      </c>
      <c r="C566" t="s">
        <v>32</v>
      </c>
      <c r="D566" t="s">
        <v>23</v>
      </c>
      <c r="E566" t="s">
        <v>20</v>
      </c>
      <c r="F566" t="s">
        <v>33</v>
      </c>
      <c r="G566" t="s">
        <v>22</v>
      </c>
      <c r="H566">
        <v>180000</v>
      </c>
      <c r="I566">
        <v>4</v>
      </c>
      <c r="J566" t="s">
        <v>17</v>
      </c>
      <c r="K566">
        <f t="shared" si="8"/>
        <v>144000</v>
      </c>
      <c r="L566">
        <f>Sales_Data2[[#This Row],[Unit Price]]*Sales_Data2[[#This Row],[Quantity]]</f>
        <v>720000</v>
      </c>
      <c r="M566">
        <f>Sales_Data2[[#This Row],[Cost Price]]*Sales_Data2[[#This Row],[Quantity]]</f>
        <v>576000</v>
      </c>
      <c r="N566" s="3">
        <f>Sales_Data2[[#This Row],[Revenue]]-Sales_Data2[[#This Row],[COGS]]</f>
        <v>144000</v>
      </c>
      <c r="O5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46240|North|Abuja|Corporate|Store|Air Conditioner X2|Home Appliances|180000|4|Chidinma|144000</v>
      </c>
      <c r="P566" s="3" t="str">
        <f>IF(COUNTIF(Sales_Data2[RowKey],Sales_Data2[[#This Row],[RowKey]])&gt;1,"Duplicate","Unique")</f>
        <v>Unique</v>
      </c>
      <c r="Q566" s="3" t="str">
        <f>IF(ISNUMBER(Sales_Data2[[#This Row],[Date]]),"OK","Check")</f>
        <v>OK</v>
      </c>
      <c r="R566" s="3" t="str">
        <f>IF(ISNUMBER(Sales_Data2[[#This Row],[Quantity]]),"OK","Check")</f>
        <v>OK</v>
      </c>
    </row>
    <row r="567" spans="1:18">
      <c r="A567" s="1">
        <v>46241</v>
      </c>
      <c r="B567" t="s">
        <v>11</v>
      </c>
      <c r="C567" t="s">
        <v>12</v>
      </c>
      <c r="D567" t="s">
        <v>23</v>
      </c>
      <c r="E567" t="s">
        <v>14</v>
      </c>
      <c r="F567" t="s">
        <v>40</v>
      </c>
      <c r="G567" t="s">
        <v>31</v>
      </c>
      <c r="H567">
        <v>250000</v>
      </c>
      <c r="I567">
        <v>6</v>
      </c>
      <c r="J567" t="s">
        <v>35</v>
      </c>
      <c r="K567">
        <f t="shared" si="8"/>
        <v>200000</v>
      </c>
      <c r="L567">
        <f>Sales_Data2[[#This Row],[Unit Price]]*Sales_Data2[[#This Row],[Quantity]]</f>
        <v>1500000</v>
      </c>
      <c r="M567">
        <f>Sales_Data2[[#This Row],[Cost Price]]*Sales_Data2[[#This Row],[Quantity]]</f>
        <v>1200000</v>
      </c>
      <c r="N567" s="3">
        <f>Sales_Data2[[#This Row],[Revenue]]-Sales_Data2[[#This Row],[COGS]]</f>
        <v>300000</v>
      </c>
      <c r="O5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46241|West|Port Harcourt|Corporate|Online|Smartphone Z10|Electronics|250000|6|Peter|200000</v>
      </c>
      <c r="P567" s="3" t="str">
        <f>IF(COUNTIF(Sales_Data2[RowKey],Sales_Data2[[#This Row],[RowKey]])&gt;1,"Duplicate","Unique")</f>
        <v>Unique</v>
      </c>
      <c r="Q567" s="3" t="str">
        <f>IF(ISNUMBER(Sales_Data2[[#This Row],[Date]]),"OK","Check")</f>
        <v>OK</v>
      </c>
      <c r="R567" s="3" t="str">
        <f>IF(ISNUMBER(Sales_Data2[[#This Row],[Quantity]]),"OK","Check")</f>
        <v>OK</v>
      </c>
    </row>
    <row r="568" spans="1:18">
      <c r="A568" s="1">
        <v>46242</v>
      </c>
      <c r="B568" t="s">
        <v>11</v>
      </c>
      <c r="C568" t="s">
        <v>26</v>
      </c>
      <c r="D568" t="s">
        <v>23</v>
      </c>
      <c r="E568" t="s">
        <v>14</v>
      </c>
      <c r="F568" t="s">
        <v>40</v>
      </c>
      <c r="G568" t="s">
        <v>31</v>
      </c>
      <c r="H568">
        <v>250000</v>
      </c>
      <c r="I568">
        <v>7</v>
      </c>
      <c r="J568" t="s">
        <v>35</v>
      </c>
      <c r="K568">
        <f t="shared" si="8"/>
        <v>200000</v>
      </c>
      <c r="L568">
        <f>Sales_Data2[[#This Row],[Unit Price]]*Sales_Data2[[#This Row],[Quantity]]</f>
        <v>1750000</v>
      </c>
      <c r="M568">
        <f>Sales_Data2[[#This Row],[Cost Price]]*Sales_Data2[[#This Row],[Quantity]]</f>
        <v>1400000</v>
      </c>
      <c r="N568" s="3">
        <f>Sales_Data2[[#This Row],[Revenue]]-Sales_Data2[[#This Row],[COGS]]</f>
        <v>350000</v>
      </c>
      <c r="O5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46242|West|Kano|Corporate|Online|Smartphone Z10|Electronics|250000|7|Peter|200000</v>
      </c>
      <c r="P568" s="3" t="str">
        <f>IF(COUNTIF(Sales_Data2[RowKey],Sales_Data2[[#This Row],[RowKey]])&gt;1,"Duplicate","Unique")</f>
        <v>Unique</v>
      </c>
      <c r="Q568" s="3" t="str">
        <f>IF(ISNUMBER(Sales_Data2[[#This Row],[Date]]),"OK","Check")</f>
        <v>OK</v>
      </c>
      <c r="R568" s="3" t="str">
        <f>IF(ISNUMBER(Sales_Data2[[#This Row],[Quantity]]),"OK","Check")</f>
        <v>OK</v>
      </c>
    </row>
    <row r="569" spans="1:18">
      <c r="A569" s="1">
        <v>46243</v>
      </c>
      <c r="B569" t="s">
        <v>18</v>
      </c>
      <c r="C569" t="s">
        <v>19</v>
      </c>
      <c r="D569" t="s">
        <v>13</v>
      </c>
      <c r="E569" t="s">
        <v>20</v>
      </c>
      <c r="F569" t="s">
        <v>38</v>
      </c>
      <c r="G569" t="s">
        <v>31</v>
      </c>
      <c r="H569">
        <v>420000</v>
      </c>
      <c r="I569">
        <v>2</v>
      </c>
      <c r="J569" t="s">
        <v>17</v>
      </c>
      <c r="K569">
        <f t="shared" si="8"/>
        <v>336000</v>
      </c>
      <c r="L569">
        <f>Sales_Data2[[#This Row],[Unit Price]]*Sales_Data2[[#This Row],[Quantity]]</f>
        <v>840000</v>
      </c>
      <c r="M569">
        <f>Sales_Data2[[#This Row],[Cost Price]]*Sales_Data2[[#This Row],[Quantity]]</f>
        <v>672000</v>
      </c>
      <c r="N569" s="3">
        <f>Sales_Data2[[#This Row],[Revenue]]-Sales_Data2[[#This Row],[COGS]]</f>
        <v>168000</v>
      </c>
      <c r="O5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46243|East|Lagos|Retail|Store|Laptop A13|Electronics|420000|2|Chidinma|336000</v>
      </c>
      <c r="P569" s="3" t="str">
        <f>IF(COUNTIF(Sales_Data2[RowKey],Sales_Data2[[#This Row],[RowKey]])&gt;1,"Duplicate","Unique")</f>
        <v>Unique</v>
      </c>
      <c r="Q569" s="3" t="str">
        <f>IF(ISNUMBER(Sales_Data2[[#This Row],[Date]]),"OK","Check")</f>
        <v>OK</v>
      </c>
      <c r="R569" s="3" t="str">
        <f>IF(ISNUMBER(Sales_Data2[[#This Row],[Quantity]]),"OK","Check")</f>
        <v>OK</v>
      </c>
    </row>
    <row r="570" spans="1:18">
      <c r="A570" s="1">
        <v>46244</v>
      </c>
      <c r="B570" t="s">
        <v>25</v>
      </c>
      <c r="C570" t="s">
        <v>19</v>
      </c>
      <c r="D570" t="s">
        <v>23</v>
      </c>
      <c r="E570" t="s">
        <v>14</v>
      </c>
      <c r="F570" t="s">
        <v>36</v>
      </c>
      <c r="G570" t="s">
        <v>31</v>
      </c>
      <c r="H570">
        <v>150000</v>
      </c>
      <c r="I570">
        <v>2</v>
      </c>
      <c r="J570" t="s">
        <v>24</v>
      </c>
      <c r="K570">
        <f t="shared" si="8"/>
        <v>120000</v>
      </c>
      <c r="L570">
        <f>Sales_Data2[[#This Row],[Unit Price]]*Sales_Data2[[#This Row],[Quantity]]</f>
        <v>300000</v>
      </c>
      <c r="M570">
        <f>Sales_Data2[[#This Row],[Cost Price]]*Sales_Data2[[#This Row],[Quantity]]</f>
        <v>240000</v>
      </c>
      <c r="N570" s="3">
        <f>Sales_Data2[[#This Row],[Revenue]]-Sales_Data2[[#This Row],[COGS]]</f>
        <v>60000</v>
      </c>
      <c r="O5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46244|South|Lagos|Corporate|Online|Printer P50|Electronics|150000|2|David|120000</v>
      </c>
      <c r="P570" s="3" t="str">
        <f>IF(COUNTIF(Sales_Data2[RowKey],Sales_Data2[[#This Row],[RowKey]])&gt;1,"Duplicate","Unique")</f>
        <v>Unique</v>
      </c>
      <c r="Q570" s="3" t="str">
        <f>IF(ISNUMBER(Sales_Data2[[#This Row],[Date]]),"OK","Check")</f>
        <v>OK</v>
      </c>
      <c r="R570" s="3" t="str">
        <f>IF(ISNUMBER(Sales_Data2[[#This Row],[Quantity]]),"OK","Check")</f>
        <v>OK</v>
      </c>
    </row>
    <row r="571" spans="1:18">
      <c r="A571" s="1">
        <v>46245</v>
      </c>
      <c r="B571" t="s">
        <v>29</v>
      </c>
      <c r="C571" t="s">
        <v>19</v>
      </c>
      <c r="D571" t="s">
        <v>13</v>
      </c>
      <c r="E571" t="s">
        <v>14</v>
      </c>
      <c r="F571" t="s">
        <v>41</v>
      </c>
      <c r="G571" t="s">
        <v>22</v>
      </c>
      <c r="H571">
        <v>220000</v>
      </c>
      <c r="I571">
        <v>8</v>
      </c>
      <c r="J571" t="s">
        <v>39</v>
      </c>
      <c r="K571">
        <f t="shared" si="8"/>
        <v>176000</v>
      </c>
      <c r="L571">
        <f>Sales_Data2[[#This Row],[Unit Price]]*Sales_Data2[[#This Row],[Quantity]]</f>
        <v>1760000</v>
      </c>
      <c r="M571">
        <f>Sales_Data2[[#This Row],[Cost Price]]*Sales_Data2[[#This Row],[Quantity]]</f>
        <v>1408000</v>
      </c>
      <c r="N571" s="3">
        <f>Sales_Data2[[#This Row],[Revenue]]-Sales_Data2[[#This Row],[COGS]]</f>
        <v>352000</v>
      </c>
      <c r="O5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46245|North|Lagos|Retail|Online|Refrigerator R55|Home Appliances|220000|8|Grace|176000</v>
      </c>
      <c r="P571" s="3" t="str">
        <f>IF(COUNTIF(Sales_Data2[RowKey],Sales_Data2[[#This Row],[RowKey]])&gt;1,"Duplicate","Unique")</f>
        <v>Unique</v>
      </c>
      <c r="Q571" s="3" t="str">
        <f>IF(ISNUMBER(Sales_Data2[[#This Row],[Date]]),"OK","Check")</f>
        <v>OK</v>
      </c>
      <c r="R571" s="3" t="str">
        <f>IF(ISNUMBER(Sales_Data2[[#This Row],[Quantity]]),"OK","Check")</f>
        <v>OK</v>
      </c>
    </row>
    <row r="572" spans="1:18">
      <c r="A572" s="1">
        <v>46246</v>
      </c>
      <c r="B572" t="s">
        <v>18</v>
      </c>
      <c r="C572" t="s">
        <v>12</v>
      </c>
      <c r="D572" t="s">
        <v>13</v>
      </c>
      <c r="E572" t="s">
        <v>20</v>
      </c>
      <c r="F572" t="s">
        <v>36</v>
      </c>
      <c r="G572" t="s">
        <v>31</v>
      </c>
      <c r="H572">
        <v>150000</v>
      </c>
      <c r="I572">
        <v>2</v>
      </c>
      <c r="J572" t="s">
        <v>28</v>
      </c>
      <c r="K572">
        <f t="shared" si="8"/>
        <v>120000</v>
      </c>
      <c r="L572">
        <f>Sales_Data2[[#This Row],[Unit Price]]*Sales_Data2[[#This Row],[Quantity]]</f>
        <v>300000</v>
      </c>
      <c r="M572">
        <f>Sales_Data2[[#This Row],[Cost Price]]*Sales_Data2[[#This Row],[Quantity]]</f>
        <v>240000</v>
      </c>
      <c r="N572" s="3">
        <f>Sales_Data2[[#This Row],[Revenue]]-Sales_Data2[[#This Row],[COGS]]</f>
        <v>60000</v>
      </c>
      <c r="O5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46246|East|Port Harcourt|Retail|Store|Printer P50|Electronics|150000|2|Musa|120000</v>
      </c>
      <c r="P572" s="3" t="str">
        <f>IF(COUNTIF(Sales_Data2[RowKey],Sales_Data2[[#This Row],[RowKey]])&gt;1,"Duplicate","Unique")</f>
        <v>Unique</v>
      </c>
      <c r="Q572" s="3" t="str">
        <f>IF(ISNUMBER(Sales_Data2[[#This Row],[Date]]),"OK","Check")</f>
        <v>OK</v>
      </c>
      <c r="R572" s="3" t="str">
        <f>IF(ISNUMBER(Sales_Data2[[#This Row],[Quantity]]),"OK","Check")</f>
        <v>OK</v>
      </c>
    </row>
    <row r="573" spans="1:18">
      <c r="A573" s="1">
        <v>46247</v>
      </c>
      <c r="B573" t="s">
        <v>18</v>
      </c>
      <c r="C573" t="s">
        <v>19</v>
      </c>
      <c r="D573" t="s">
        <v>23</v>
      </c>
      <c r="E573" t="s">
        <v>14</v>
      </c>
      <c r="F573" t="s">
        <v>21</v>
      </c>
      <c r="G573" t="s">
        <v>22</v>
      </c>
      <c r="H573">
        <v>30000</v>
      </c>
      <c r="I573">
        <v>1</v>
      </c>
      <c r="J573" t="s">
        <v>35</v>
      </c>
      <c r="K573">
        <f t="shared" si="8"/>
        <v>24000</v>
      </c>
      <c r="L573">
        <f>Sales_Data2[[#This Row],[Unit Price]]*Sales_Data2[[#This Row],[Quantity]]</f>
        <v>30000</v>
      </c>
      <c r="M573">
        <f>Sales_Data2[[#This Row],[Cost Price]]*Sales_Data2[[#This Row],[Quantity]]</f>
        <v>24000</v>
      </c>
      <c r="N573" s="3">
        <f>Sales_Data2[[#This Row],[Revenue]]-Sales_Data2[[#This Row],[COGS]]</f>
        <v>6000</v>
      </c>
      <c r="O5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46247|East|Lagos|Corporate|Online|Blender B10|Home Appliances|30000|1|Peter|24000</v>
      </c>
      <c r="P573" s="3" t="str">
        <f>IF(COUNTIF(Sales_Data2[RowKey],Sales_Data2[[#This Row],[RowKey]])&gt;1,"Duplicate","Unique")</f>
        <v>Unique</v>
      </c>
      <c r="Q573" s="3" t="str">
        <f>IF(ISNUMBER(Sales_Data2[[#This Row],[Date]]),"OK","Check")</f>
        <v>OK</v>
      </c>
      <c r="R573" s="3" t="str">
        <f>IF(ISNUMBER(Sales_Data2[[#This Row],[Quantity]]),"OK","Check")</f>
        <v>OK</v>
      </c>
    </row>
    <row r="574" spans="1:18">
      <c r="A574" s="1">
        <v>46248</v>
      </c>
      <c r="B574" t="s">
        <v>18</v>
      </c>
      <c r="C574" t="s">
        <v>12</v>
      </c>
      <c r="D574" t="s">
        <v>13</v>
      </c>
      <c r="E574" t="s">
        <v>20</v>
      </c>
      <c r="F574" t="s">
        <v>33</v>
      </c>
      <c r="G574" t="s">
        <v>22</v>
      </c>
      <c r="H574">
        <v>180000</v>
      </c>
      <c r="I574">
        <v>5</v>
      </c>
      <c r="J574" t="s">
        <v>17</v>
      </c>
      <c r="K574">
        <f t="shared" si="8"/>
        <v>144000</v>
      </c>
      <c r="L574">
        <f>Sales_Data2[[#This Row],[Unit Price]]*Sales_Data2[[#This Row],[Quantity]]</f>
        <v>900000</v>
      </c>
      <c r="M574">
        <f>Sales_Data2[[#This Row],[Cost Price]]*Sales_Data2[[#This Row],[Quantity]]</f>
        <v>720000</v>
      </c>
      <c r="N574" s="3">
        <f>Sales_Data2[[#This Row],[Revenue]]-Sales_Data2[[#This Row],[COGS]]</f>
        <v>180000</v>
      </c>
      <c r="O5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46248|East|Port Harcourt|Retail|Store|Air Conditioner X2|Home Appliances|180000|5|Chidinma|144000</v>
      </c>
      <c r="P574" s="3" t="str">
        <f>IF(COUNTIF(Sales_Data2[RowKey],Sales_Data2[[#This Row],[RowKey]])&gt;1,"Duplicate","Unique")</f>
        <v>Unique</v>
      </c>
      <c r="Q574" s="3" t="str">
        <f>IF(ISNUMBER(Sales_Data2[[#This Row],[Date]]),"OK","Check")</f>
        <v>OK</v>
      </c>
      <c r="R574" s="3" t="str">
        <f>IF(ISNUMBER(Sales_Data2[[#This Row],[Quantity]]),"OK","Check")</f>
        <v>OK</v>
      </c>
    </row>
    <row r="575" spans="1:18">
      <c r="A575" s="1">
        <v>46249</v>
      </c>
      <c r="B575" t="s">
        <v>11</v>
      </c>
      <c r="C575" t="s">
        <v>26</v>
      </c>
      <c r="D575" t="s">
        <v>23</v>
      </c>
      <c r="E575" t="s">
        <v>20</v>
      </c>
      <c r="F575" t="s">
        <v>36</v>
      </c>
      <c r="G575" t="s">
        <v>31</v>
      </c>
      <c r="H575">
        <v>150000</v>
      </c>
      <c r="I575">
        <v>9</v>
      </c>
      <c r="J575" t="s">
        <v>37</v>
      </c>
      <c r="K575">
        <f t="shared" si="8"/>
        <v>120000</v>
      </c>
      <c r="L575">
        <f>Sales_Data2[[#This Row],[Unit Price]]*Sales_Data2[[#This Row],[Quantity]]</f>
        <v>1350000</v>
      </c>
      <c r="M575">
        <f>Sales_Data2[[#This Row],[Cost Price]]*Sales_Data2[[#This Row],[Quantity]]</f>
        <v>1080000</v>
      </c>
      <c r="N575" s="3">
        <f>Sales_Data2[[#This Row],[Revenue]]-Sales_Data2[[#This Row],[COGS]]</f>
        <v>270000</v>
      </c>
      <c r="O5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46249|West|Kano|Corporate|Store|Printer P50|Electronics|150000|9|Aisha|120000</v>
      </c>
      <c r="P575" s="3" t="str">
        <f>IF(COUNTIF(Sales_Data2[RowKey],Sales_Data2[[#This Row],[RowKey]])&gt;1,"Duplicate","Unique")</f>
        <v>Unique</v>
      </c>
      <c r="Q575" s="3" t="str">
        <f>IF(ISNUMBER(Sales_Data2[[#This Row],[Date]]),"OK","Check")</f>
        <v>OK</v>
      </c>
      <c r="R575" s="3" t="str">
        <f>IF(ISNUMBER(Sales_Data2[[#This Row],[Quantity]]),"OK","Check")</f>
        <v>OK</v>
      </c>
    </row>
    <row r="576" spans="1:18">
      <c r="A576" s="1">
        <v>46250</v>
      </c>
      <c r="B576" t="s">
        <v>25</v>
      </c>
      <c r="C576" t="s">
        <v>19</v>
      </c>
      <c r="D576" t="s">
        <v>23</v>
      </c>
      <c r="E576" t="s">
        <v>20</v>
      </c>
      <c r="F576" t="s">
        <v>36</v>
      </c>
      <c r="G576" t="s">
        <v>31</v>
      </c>
      <c r="H576">
        <v>150000</v>
      </c>
      <c r="I576">
        <v>5</v>
      </c>
      <c r="J576" t="s">
        <v>37</v>
      </c>
      <c r="K576">
        <f t="shared" si="8"/>
        <v>120000</v>
      </c>
      <c r="L576">
        <f>Sales_Data2[[#This Row],[Unit Price]]*Sales_Data2[[#This Row],[Quantity]]</f>
        <v>750000</v>
      </c>
      <c r="M576">
        <f>Sales_Data2[[#This Row],[Cost Price]]*Sales_Data2[[#This Row],[Quantity]]</f>
        <v>600000</v>
      </c>
      <c r="N576" s="3">
        <f>Sales_Data2[[#This Row],[Revenue]]-Sales_Data2[[#This Row],[COGS]]</f>
        <v>150000</v>
      </c>
      <c r="O5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46250|South|Lagos|Corporate|Store|Printer P50|Electronics|150000|5|Aisha|120000</v>
      </c>
      <c r="P576" s="3" t="str">
        <f>IF(COUNTIF(Sales_Data2[RowKey],Sales_Data2[[#This Row],[RowKey]])&gt;1,"Duplicate","Unique")</f>
        <v>Unique</v>
      </c>
      <c r="Q576" s="3" t="str">
        <f>IF(ISNUMBER(Sales_Data2[[#This Row],[Date]]),"OK","Check")</f>
        <v>OK</v>
      </c>
      <c r="R576" s="3" t="str">
        <f>IF(ISNUMBER(Sales_Data2[[#This Row],[Quantity]]),"OK","Check")</f>
        <v>OK</v>
      </c>
    </row>
    <row r="577" spans="1:18">
      <c r="A577" s="1">
        <v>46251</v>
      </c>
      <c r="B577" t="s">
        <v>25</v>
      </c>
      <c r="C577" t="s">
        <v>12</v>
      </c>
      <c r="D577" t="s">
        <v>13</v>
      </c>
      <c r="E577" t="s">
        <v>14</v>
      </c>
      <c r="F577" t="s">
        <v>41</v>
      </c>
      <c r="G577" t="s">
        <v>22</v>
      </c>
      <c r="H577">
        <v>220000</v>
      </c>
      <c r="I577">
        <v>4</v>
      </c>
      <c r="J577" t="s">
        <v>39</v>
      </c>
      <c r="K577">
        <f t="shared" si="8"/>
        <v>176000</v>
      </c>
      <c r="L577">
        <f>Sales_Data2[[#This Row],[Unit Price]]*Sales_Data2[[#This Row],[Quantity]]</f>
        <v>880000</v>
      </c>
      <c r="M577">
        <f>Sales_Data2[[#This Row],[Cost Price]]*Sales_Data2[[#This Row],[Quantity]]</f>
        <v>704000</v>
      </c>
      <c r="N577" s="3">
        <f>Sales_Data2[[#This Row],[Revenue]]-Sales_Data2[[#This Row],[COGS]]</f>
        <v>176000</v>
      </c>
      <c r="O5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46251|South|Port Harcourt|Retail|Online|Refrigerator R55|Home Appliances|220000|4|Grace|176000</v>
      </c>
      <c r="P577" s="3" t="str">
        <f>IF(COUNTIF(Sales_Data2[RowKey],Sales_Data2[[#This Row],[RowKey]])&gt;1,"Duplicate","Unique")</f>
        <v>Unique</v>
      </c>
      <c r="Q577" s="3" t="str">
        <f>IF(ISNUMBER(Sales_Data2[[#This Row],[Date]]),"OK","Check")</f>
        <v>OK</v>
      </c>
      <c r="R577" s="3" t="str">
        <f>IF(ISNUMBER(Sales_Data2[[#This Row],[Quantity]]),"OK","Check")</f>
        <v>OK</v>
      </c>
    </row>
    <row r="578" spans="1:18">
      <c r="A578" s="1">
        <v>46252</v>
      </c>
      <c r="B578" t="s">
        <v>11</v>
      </c>
      <c r="C578" t="s">
        <v>26</v>
      </c>
      <c r="D578" t="s">
        <v>13</v>
      </c>
      <c r="E578" t="s">
        <v>14</v>
      </c>
      <c r="F578" t="s">
        <v>34</v>
      </c>
      <c r="G578" t="s">
        <v>16</v>
      </c>
      <c r="H578">
        <v>320000</v>
      </c>
      <c r="I578">
        <v>4</v>
      </c>
      <c r="J578" t="s">
        <v>17</v>
      </c>
      <c r="K578">
        <f t="shared" ref="K578:K641" si="9">H578-H578*0.2</f>
        <v>256000</v>
      </c>
      <c r="L578">
        <f>Sales_Data2[[#This Row],[Unit Price]]*Sales_Data2[[#This Row],[Quantity]]</f>
        <v>1280000</v>
      </c>
      <c r="M578">
        <f>Sales_Data2[[#This Row],[Cost Price]]*Sales_Data2[[#This Row],[Quantity]]</f>
        <v>1024000</v>
      </c>
      <c r="N578" s="3">
        <f>Sales_Data2[[#This Row],[Revenue]]-Sales_Data2[[#This Row],[COGS]]</f>
        <v>256000</v>
      </c>
      <c r="O5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46252|West|Kano|Retail|Online|Sofa Classic|Furniture|320000|4|Chidinma|256000</v>
      </c>
      <c r="P578" s="3" t="str">
        <f>IF(COUNTIF(Sales_Data2[RowKey],Sales_Data2[[#This Row],[RowKey]])&gt;1,"Duplicate","Unique")</f>
        <v>Unique</v>
      </c>
      <c r="Q578" s="3" t="str">
        <f>IF(ISNUMBER(Sales_Data2[[#This Row],[Date]]),"OK","Check")</f>
        <v>OK</v>
      </c>
      <c r="R578" s="3" t="str">
        <f>IF(ISNUMBER(Sales_Data2[[#This Row],[Quantity]]),"OK","Check")</f>
        <v>OK</v>
      </c>
    </row>
    <row r="579" spans="1:18">
      <c r="A579" s="1">
        <v>46253</v>
      </c>
      <c r="B579" t="s">
        <v>11</v>
      </c>
      <c r="C579" t="s">
        <v>32</v>
      </c>
      <c r="D579" t="s">
        <v>23</v>
      </c>
      <c r="E579" t="s">
        <v>20</v>
      </c>
      <c r="F579" t="s">
        <v>34</v>
      </c>
      <c r="G579" t="s">
        <v>16</v>
      </c>
      <c r="H579">
        <v>320000</v>
      </c>
      <c r="I579">
        <v>8</v>
      </c>
      <c r="J579" t="s">
        <v>17</v>
      </c>
      <c r="K579">
        <f t="shared" si="9"/>
        <v>256000</v>
      </c>
      <c r="L579">
        <f>Sales_Data2[[#This Row],[Unit Price]]*Sales_Data2[[#This Row],[Quantity]]</f>
        <v>2560000</v>
      </c>
      <c r="M579">
        <f>Sales_Data2[[#This Row],[Cost Price]]*Sales_Data2[[#This Row],[Quantity]]</f>
        <v>2048000</v>
      </c>
      <c r="N579" s="3">
        <f>Sales_Data2[[#This Row],[Revenue]]-Sales_Data2[[#This Row],[COGS]]</f>
        <v>512000</v>
      </c>
      <c r="O5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46253|West|Abuja|Corporate|Store|Sofa Classic|Furniture|320000|8|Chidinma|256000</v>
      </c>
      <c r="P579" s="3" t="str">
        <f>IF(COUNTIF(Sales_Data2[RowKey],Sales_Data2[[#This Row],[RowKey]])&gt;1,"Duplicate","Unique")</f>
        <v>Unique</v>
      </c>
      <c r="Q579" s="3" t="str">
        <f>IF(ISNUMBER(Sales_Data2[[#This Row],[Date]]),"OK","Check")</f>
        <v>OK</v>
      </c>
      <c r="R579" s="3" t="str">
        <f>IF(ISNUMBER(Sales_Data2[[#This Row],[Quantity]]),"OK","Check")</f>
        <v>OK</v>
      </c>
    </row>
    <row r="580" spans="1:18">
      <c r="A580" s="1">
        <v>46254</v>
      </c>
      <c r="B580" t="s">
        <v>29</v>
      </c>
      <c r="C580" t="s">
        <v>32</v>
      </c>
      <c r="D580" t="s">
        <v>13</v>
      </c>
      <c r="E580" t="s">
        <v>14</v>
      </c>
      <c r="F580" t="s">
        <v>27</v>
      </c>
      <c r="G580" t="s">
        <v>22</v>
      </c>
      <c r="H580">
        <v>60000</v>
      </c>
      <c r="I580">
        <v>9</v>
      </c>
      <c r="J580" t="s">
        <v>17</v>
      </c>
      <c r="K580">
        <f t="shared" si="9"/>
        <v>48000</v>
      </c>
      <c r="L580">
        <f>Sales_Data2[[#This Row],[Unit Price]]*Sales_Data2[[#This Row],[Quantity]]</f>
        <v>540000</v>
      </c>
      <c r="M580">
        <f>Sales_Data2[[#This Row],[Cost Price]]*Sales_Data2[[#This Row],[Quantity]]</f>
        <v>432000</v>
      </c>
      <c r="N580" s="3">
        <f>Sales_Data2[[#This Row],[Revenue]]-Sales_Data2[[#This Row],[COGS]]</f>
        <v>108000</v>
      </c>
      <c r="O5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46254|North|Abuja|Retail|Online|Microwave M20|Home Appliances|60000|9|Chidinma|48000</v>
      </c>
      <c r="P580" s="3" t="str">
        <f>IF(COUNTIF(Sales_Data2[RowKey],Sales_Data2[[#This Row],[RowKey]])&gt;1,"Duplicate","Unique")</f>
        <v>Unique</v>
      </c>
      <c r="Q580" s="3" t="str">
        <f>IF(ISNUMBER(Sales_Data2[[#This Row],[Date]]),"OK","Check")</f>
        <v>OK</v>
      </c>
      <c r="R580" s="3" t="str">
        <f>IF(ISNUMBER(Sales_Data2[[#This Row],[Quantity]]),"OK","Check")</f>
        <v>OK</v>
      </c>
    </row>
    <row r="581" spans="1:18">
      <c r="A581" s="1">
        <v>46255</v>
      </c>
      <c r="B581" t="s">
        <v>18</v>
      </c>
      <c r="C581" t="s">
        <v>19</v>
      </c>
      <c r="D581" t="s">
        <v>13</v>
      </c>
      <c r="E581" t="s">
        <v>20</v>
      </c>
      <c r="F581" t="s">
        <v>30</v>
      </c>
      <c r="G581" t="s">
        <v>31</v>
      </c>
      <c r="H581">
        <v>300000</v>
      </c>
      <c r="I581">
        <v>10</v>
      </c>
      <c r="J581" t="s">
        <v>17</v>
      </c>
      <c r="K581">
        <f t="shared" si="9"/>
        <v>240000</v>
      </c>
      <c r="L581">
        <f>Sales_Data2[[#This Row],[Unit Price]]*Sales_Data2[[#This Row],[Quantity]]</f>
        <v>3000000</v>
      </c>
      <c r="M581">
        <f>Sales_Data2[[#This Row],[Cost Price]]*Sales_Data2[[#This Row],[Quantity]]</f>
        <v>2400000</v>
      </c>
      <c r="N581" s="3">
        <f>Sales_Data2[[#This Row],[Revenue]]-Sales_Data2[[#This Row],[COGS]]</f>
        <v>600000</v>
      </c>
      <c r="O5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46255|East|Lagos|Retail|Store|Desktop PC D21|Electronics|300000|10|Chidinma|240000</v>
      </c>
      <c r="P581" s="3" t="str">
        <f>IF(COUNTIF(Sales_Data2[RowKey],Sales_Data2[[#This Row],[RowKey]])&gt;1,"Duplicate","Unique")</f>
        <v>Unique</v>
      </c>
      <c r="Q581" s="3" t="str">
        <f>IF(ISNUMBER(Sales_Data2[[#This Row],[Date]]),"OK","Check")</f>
        <v>OK</v>
      </c>
      <c r="R581" s="3" t="str">
        <f>IF(ISNUMBER(Sales_Data2[[#This Row],[Quantity]]),"OK","Check")</f>
        <v>OK</v>
      </c>
    </row>
    <row r="582" spans="1:18">
      <c r="A582" s="1">
        <v>46256</v>
      </c>
      <c r="B582" t="s">
        <v>29</v>
      </c>
      <c r="C582" t="s">
        <v>19</v>
      </c>
      <c r="D582" t="s">
        <v>23</v>
      </c>
      <c r="E582" t="s">
        <v>14</v>
      </c>
      <c r="F582" t="s">
        <v>36</v>
      </c>
      <c r="G582" t="s">
        <v>31</v>
      </c>
      <c r="H582">
        <v>150000</v>
      </c>
      <c r="I582">
        <v>6</v>
      </c>
      <c r="J582" t="s">
        <v>35</v>
      </c>
      <c r="K582">
        <f t="shared" si="9"/>
        <v>120000</v>
      </c>
      <c r="L582">
        <f>Sales_Data2[[#This Row],[Unit Price]]*Sales_Data2[[#This Row],[Quantity]]</f>
        <v>900000</v>
      </c>
      <c r="M582">
        <f>Sales_Data2[[#This Row],[Cost Price]]*Sales_Data2[[#This Row],[Quantity]]</f>
        <v>720000</v>
      </c>
      <c r="N582" s="3">
        <f>Sales_Data2[[#This Row],[Revenue]]-Sales_Data2[[#This Row],[COGS]]</f>
        <v>180000</v>
      </c>
      <c r="O5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46256|North|Lagos|Corporate|Online|Printer P50|Electronics|150000|6|Peter|120000</v>
      </c>
      <c r="P582" s="3" t="str">
        <f>IF(COUNTIF(Sales_Data2[RowKey],Sales_Data2[[#This Row],[RowKey]])&gt;1,"Duplicate","Unique")</f>
        <v>Unique</v>
      </c>
      <c r="Q582" s="3" t="str">
        <f>IF(ISNUMBER(Sales_Data2[[#This Row],[Date]]),"OK","Check")</f>
        <v>OK</v>
      </c>
      <c r="R582" s="3" t="str">
        <f>IF(ISNUMBER(Sales_Data2[[#This Row],[Quantity]]),"OK","Check")</f>
        <v>OK</v>
      </c>
    </row>
    <row r="583" spans="1:18">
      <c r="A583" s="1">
        <v>46257</v>
      </c>
      <c r="B583" t="s">
        <v>25</v>
      </c>
      <c r="C583" t="s">
        <v>26</v>
      </c>
      <c r="D583" t="s">
        <v>23</v>
      </c>
      <c r="E583" t="s">
        <v>14</v>
      </c>
      <c r="F583" t="s">
        <v>33</v>
      </c>
      <c r="G583" t="s">
        <v>22</v>
      </c>
      <c r="H583">
        <v>180000</v>
      </c>
      <c r="I583">
        <v>8</v>
      </c>
      <c r="J583" t="s">
        <v>37</v>
      </c>
      <c r="K583">
        <f t="shared" si="9"/>
        <v>144000</v>
      </c>
      <c r="L583">
        <f>Sales_Data2[[#This Row],[Unit Price]]*Sales_Data2[[#This Row],[Quantity]]</f>
        <v>1440000</v>
      </c>
      <c r="M583">
        <f>Sales_Data2[[#This Row],[Cost Price]]*Sales_Data2[[#This Row],[Quantity]]</f>
        <v>1152000</v>
      </c>
      <c r="N583" s="3">
        <f>Sales_Data2[[#This Row],[Revenue]]-Sales_Data2[[#This Row],[COGS]]</f>
        <v>288000</v>
      </c>
      <c r="O5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46257|South|Kano|Corporate|Online|Air Conditioner X2|Home Appliances|180000|8|Aisha|144000</v>
      </c>
      <c r="P583" s="3" t="str">
        <f>IF(COUNTIF(Sales_Data2[RowKey],Sales_Data2[[#This Row],[RowKey]])&gt;1,"Duplicate","Unique")</f>
        <v>Unique</v>
      </c>
      <c r="Q583" s="3" t="str">
        <f>IF(ISNUMBER(Sales_Data2[[#This Row],[Date]]),"OK","Check")</f>
        <v>OK</v>
      </c>
      <c r="R583" s="3" t="str">
        <f>IF(ISNUMBER(Sales_Data2[[#This Row],[Quantity]]),"OK","Check")</f>
        <v>OK</v>
      </c>
    </row>
    <row r="584" spans="1:18">
      <c r="A584" s="1">
        <v>46258</v>
      </c>
      <c r="B584" t="s">
        <v>18</v>
      </c>
      <c r="C584" t="s">
        <v>12</v>
      </c>
      <c r="D584" t="s">
        <v>13</v>
      </c>
      <c r="E584" t="s">
        <v>14</v>
      </c>
      <c r="F584" t="s">
        <v>27</v>
      </c>
      <c r="G584" t="s">
        <v>22</v>
      </c>
      <c r="H584">
        <v>60000</v>
      </c>
      <c r="I584">
        <v>7</v>
      </c>
      <c r="J584" t="s">
        <v>39</v>
      </c>
      <c r="K584">
        <f t="shared" si="9"/>
        <v>48000</v>
      </c>
      <c r="L584">
        <f>Sales_Data2[[#This Row],[Unit Price]]*Sales_Data2[[#This Row],[Quantity]]</f>
        <v>420000</v>
      </c>
      <c r="M584">
        <f>Sales_Data2[[#This Row],[Cost Price]]*Sales_Data2[[#This Row],[Quantity]]</f>
        <v>336000</v>
      </c>
      <c r="N584" s="3">
        <f>Sales_Data2[[#This Row],[Revenue]]-Sales_Data2[[#This Row],[COGS]]</f>
        <v>84000</v>
      </c>
      <c r="O5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46258|East|Port Harcourt|Retail|Online|Microwave M20|Home Appliances|60000|7|Grace|48000</v>
      </c>
      <c r="P584" s="3" t="str">
        <f>IF(COUNTIF(Sales_Data2[RowKey],Sales_Data2[[#This Row],[RowKey]])&gt;1,"Duplicate","Unique")</f>
        <v>Unique</v>
      </c>
      <c r="Q584" s="3" t="str">
        <f>IF(ISNUMBER(Sales_Data2[[#This Row],[Date]]),"OK","Check")</f>
        <v>OK</v>
      </c>
      <c r="R584" s="3" t="str">
        <f>IF(ISNUMBER(Sales_Data2[[#This Row],[Quantity]]),"OK","Check")</f>
        <v>OK</v>
      </c>
    </row>
    <row r="585" spans="1:18">
      <c r="A585" s="1">
        <v>46259</v>
      </c>
      <c r="B585" t="s">
        <v>18</v>
      </c>
      <c r="C585" t="s">
        <v>19</v>
      </c>
      <c r="D585" t="s">
        <v>13</v>
      </c>
      <c r="E585" t="s">
        <v>20</v>
      </c>
      <c r="F585" t="s">
        <v>36</v>
      </c>
      <c r="G585" t="s">
        <v>31</v>
      </c>
      <c r="H585">
        <v>150000</v>
      </c>
      <c r="I585">
        <v>9</v>
      </c>
      <c r="J585" t="s">
        <v>17</v>
      </c>
      <c r="K585">
        <f t="shared" si="9"/>
        <v>120000</v>
      </c>
      <c r="L585">
        <f>Sales_Data2[[#This Row],[Unit Price]]*Sales_Data2[[#This Row],[Quantity]]</f>
        <v>1350000</v>
      </c>
      <c r="M585">
        <f>Sales_Data2[[#This Row],[Cost Price]]*Sales_Data2[[#This Row],[Quantity]]</f>
        <v>1080000</v>
      </c>
      <c r="N585" s="3">
        <f>Sales_Data2[[#This Row],[Revenue]]-Sales_Data2[[#This Row],[COGS]]</f>
        <v>270000</v>
      </c>
      <c r="O5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46259|East|Lagos|Retail|Store|Printer P50|Electronics|150000|9|Chidinma|120000</v>
      </c>
      <c r="P585" s="3" t="str">
        <f>IF(COUNTIF(Sales_Data2[RowKey],Sales_Data2[[#This Row],[RowKey]])&gt;1,"Duplicate","Unique")</f>
        <v>Unique</v>
      </c>
      <c r="Q585" s="3" t="str">
        <f>IF(ISNUMBER(Sales_Data2[[#This Row],[Date]]),"OK","Check")</f>
        <v>OK</v>
      </c>
      <c r="R585" s="3" t="str">
        <f>IF(ISNUMBER(Sales_Data2[[#This Row],[Quantity]]),"OK","Check")</f>
        <v>OK</v>
      </c>
    </row>
    <row r="586" spans="1:18">
      <c r="A586" s="1">
        <v>46260</v>
      </c>
      <c r="B586" t="s">
        <v>18</v>
      </c>
      <c r="C586" t="s">
        <v>19</v>
      </c>
      <c r="D586" t="s">
        <v>13</v>
      </c>
      <c r="E586" t="s">
        <v>20</v>
      </c>
      <c r="F586" t="s">
        <v>33</v>
      </c>
      <c r="G586" t="s">
        <v>22</v>
      </c>
      <c r="H586">
        <v>180000</v>
      </c>
      <c r="I586">
        <v>4</v>
      </c>
      <c r="J586" t="s">
        <v>35</v>
      </c>
      <c r="K586">
        <f t="shared" si="9"/>
        <v>144000</v>
      </c>
      <c r="L586">
        <f>Sales_Data2[[#This Row],[Unit Price]]*Sales_Data2[[#This Row],[Quantity]]</f>
        <v>720000</v>
      </c>
      <c r="M586">
        <f>Sales_Data2[[#This Row],[Cost Price]]*Sales_Data2[[#This Row],[Quantity]]</f>
        <v>576000</v>
      </c>
      <c r="N586" s="3">
        <f>Sales_Data2[[#This Row],[Revenue]]-Sales_Data2[[#This Row],[COGS]]</f>
        <v>144000</v>
      </c>
      <c r="O5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46260|East|Lagos|Retail|Store|Air Conditioner X2|Home Appliances|180000|4|Peter|144000</v>
      </c>
      <c r="P586" s="3" t="str">
        <f>IF(COUNTIF(Sales_Data2[RowKey],Sales_Data2[[#This Row],[RowKey]])&gt;1,"Duplicate","Unique")</f>
        <v>Unique</v>
      </c>
      <c r="Q586" s="3" t="str">
        <f>IF(ISNUMBER(Sales_Data2[[#This Row],[Date]]),"OK","Check")</f>
        <v>OK</v>
      </c>
      <c r="R586" s="3" t="str">
        <f>IF(ISNUMBER(Sales_Data2[[#This Row],[Quantity]]),"OK","Check")</f>
        <v>OK</v>
      </c>
    </row>
    <row r="587" spans="1:18">
      <c r="A587" s="1">
        <v>46261</v>
      </c>
      <c r="B587" t="s">
        <v>11</v>
      </c>
      <c r="C587" t="s">
        <v>32</v>
      </c>
      <c r="D587" t="s">
        <v>13</v>
      </c>
      <c r="E587" t="s">
        <v>20</v>
      </c>
      <c r="F587" t="s">
        <v>33</v>
      </c>
      <c r="G587" t="s">
        <v>22</v>
      </c>
      <c r="H587">
        <v>180000</v>
      </c>
      <c r="I587">
        <v>1</v>
      </c>
      <c r="J587" t="s">
        <v>37</v>
      </c>
      <c r="K587">
        <f t="shared" si="9"/>
        <v>144000</v>
      </c>
      <c r="L587">
        <f>Sales_Data2[[#This Row],[Unit Price]]*Sales_Data2[[#This Row],[Quantity]]</f>
        <v>180000</v>
      </c>
      <c r="M587">
        <f>Sales_Data2[[#This Row],[Cost Price]]*Sales_Data2[[#This Row],[Quantity]]</f>
        <v>144000</v>
      </c>
      <c r="N587" s="3">
        <f>Sales_Data2[[#This Row],[Revenue]]-Sales_Data2[[#This Row],[COGS]]</f>
        <v>36000</v>
      </c>
      <c r="O5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46261|West|Abuja|Retail|Store|Air Conditioner X2|Home Appliances|180000|1|Aisha|144000</v>
      </c>
      <c r="P587" s="3" t="str">
        <f>IF(COUNTIF(Sales_Data2[RowKey],Sales_Data2[[#This Row],[RowKey]])&gt;1,"Duplicate","Unique")</f>
        <v>Unique</v>
      </c>
      <c r="Q587" s="3" t="str">
        <f>IF(ISNUMBER(Sales_Data2[[#This Row],[Date]]),"OK","Check")</f>
        <v>OK</v>
      </c>
      <c r="R587" s="3" t="str">
        <f>IF(ISNUMBER(Sales_Data2[[#This Row],[Quantity]]),"OK","Check")</f>
        <v>OK</v>
      </c>
    </row>
    <row r="588" spans="1:18">
      <c r="A588" s="1">
        <v>46262</v>
      </c>
      <c r="B588" t="s">
        <v>11</v>
      </c>
      <c r="C588" t="s">
        <v>12</v>
      </c>
      <c r="D588" t="s">
        <v>13</v>
      </c>
      <c r="E588" t="s">
        <v>14</v>
      </c>
      <c r="F588" t="s">
        <v>27</v>
      </c>
      <c r="G588" t="s">
        <v>22</v>
      </c>
      <c r="H588">
        <v>60000</v>
      </c>
      <c r="I588">
        <v>6</v>
      </c>
      <c r="J588" t="s">
        <v>37</v>
      </c>
      <c r="K588">
        <f t="shared" si="9"/>
        <v>48000</v>
      </c>
      <c r="L588">
        <f>Sales_Data2[[#This Row],[Unit Price]]*Sales_Data2[[#This Row],[Quantity]]</f>
        <v>360000</v>
      </c>
      <c r="M588">
        <f>Sales_Data2[[#This Row],[Cost Price]]*Sales_Data2[[#This Row],[Quantity]]</f>
        <v>288000</v>
      </c>
      <c r="N588" s="3">
        <f>Sales_Data2[[#This Row],[Revenue]]-Sales_Data2[[#This Row],[COGS]]</f>
        <v>72000</v>
      </c>
      <c r="O5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46262|West|Port Harcourt|Retail|Online|Microwave M20|Home Appliances|60000|6|Aisha|48000</v>
      </c>
      <c r="P588" s="3" t="str">
        <f>IF(COUNTIF(Sales_Data2[RowKey],Sales_Data2[[#This Row],[RowKey]])&gt;1,"Duplicate","Unique")</f>
        <v>Unique</v>
      </c>
      <c r="Q588" s="3" t="str">
        <f>IF(ISNUMBER(Sales_Data2[[#This Row],[Date]]),"OK","Check")</f>
        <v>OK</v>
      </c>
      <c r="R588" s="3" t="str">
        <f>IF(ISNUMBER(Sales_Data2[[#This Row],[Quantity]]),"OK","Check")</f>
        <v>OK</v>
      </c>
    </row>
    <row r="589" spans="1:18">
      <c r="A589" s="1">
        <v>46263</v>
      </c>
      <c r="B589" t="s">
        <v>18</v>
      </c>
      <c r="C589" t="s">
        <v>26</v>
      </c>
      <c r="D589" t="s">
        <v>23</v>
      </c>
      <c r="E589" t="s">
        <v>20</v>
      </c>
      <c r="F589" t="s">
        <v>34</v>
      </c>
      <c r="G589" t="s">
        <v>16</v>
      </c>
      <c r="H589">
        <v>320000</v>
      </c>
      <c r="I589">
        <v>8</v>
      </c>
      <c r="J589" t="s">
        <v>35</v>
      </c>
      <c r="K589">
        <f t="shared" si="9"/>
        <v>256000</v>
      </c>
      <c r="L589">
        <f>Sales_Data2[[#This Row],[Unit Price]]*Sales_Data2[[#This Row],[Quantity]]</f>
        <v>2560000</v>
      </c>
      <c r="M589">
        <f>Sales_Data2[[#This Row],[Cost Price]]*Sales_Data2[[#This Row],[Quantity]]</f>
        <v>2048000</v>
      </c>
      <c r="N589" s="3">
        <f>Sales_Data2[[#This Row],[Revenue]]-Sales_Data2[[#This Row],[COGS]]</f>
        <v>512000</v>
      </c>
      <c r="O5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46263|East|Kano|Corporate|Store|Sofa Classic|Furniture|320000|8|Peter|256000</v>
      </c>
      <c r="P589" s="3" t="str">
        <f>IF(COUNTIF(Sales_Data2[RowKey],Sales_Data2[[#This Row],[RowKey]])&gt;1,"Duplicate","Unique")</f>
        <v>Unique</v>
      </c>
      <c r="Q589" s="3" t="str">
        <f>IF(ISNUMBER(Sales_Data2[[#This Row],[Date]]),"OK","Check")</f>
        <v>OK</v>
      </c>
      <c r="R589" s="3" t="str">
        <f>IF(ISNUMBER(Sales_Data2[[#This Row],[Quantity]]),"OK","Check")</f>
        <v>OK</v>
      </c>
    </row>
    <row r="590" spans="1:18">
      <c r="A590" s="1">
        <v>46264</v>
      </c>
      <c r="B590" t="s">
        <v>18</v>
      </c>
      <c r="C590" t="s">
        <v>26</v>
      </c>
      <c r="D590" t="s">
        <v>13</v>
      </c>
      <c r="E590" t="s">
        <v>14</v>
      </c>
      <c r="F590" t="s">
        <v>33</v>
      </c>
      <c r="G590" t="s">
        <v>22</v>
      </c>
      <c r="H590">
        <v>180000</v>
      </c>
      <c r="I590">
        <v>6</v>
      </c>
      <c r="J590" t="s">
        <v>37</v>
      </c>
      <c r="K590">
        <f t="shared" si="9"/>
        <v>144000</v>
      </c>
      <c r="L590">
        <f>Sales_Data2[[#This Row],[Unit Price]]*Sales_Data2[[#This Row],[Quantity]]</f>
        <v>1080000</v>
      </c>
      <c r="M590">
        <f>Sales_Data2[[#This Row],[Cost Price]]*Sales_Data2[[#This Row],[Quantity]]</f>
        <v>864000</v>
      </c>
      <c r="N590" s="3">
        <f>Sales_Data2[[#This Row],[Revenue]]-Sales_Data2[[#This Row],[COGS]]</f>
        <v>216000</v>
      </c>
      <c r="O5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46264|East|Kano|Retail|Online|Air Conditioner X2|Home Appliances|180000|6|Aisha|144000</v>
      </c>
      <c r="P590" s="3" t="str">
        <f>IF(COUNTIF(Sales_Data2[RowKey],Sales_Data2[[#This Row],[RowKey]])&gt;1,"Duplicate","Unique")</f>
        <v>Unique</v>
      </c>
      <c r="Q590" s="3" t="str">
        <f>IF(ISNUMBER(Sales_Data2[[#This Row],[Date]]),"OK","Check")</f>
        <v>OK</v>
      </c>
      <c r="R590" s="3" t="str">
        <f>IF(ISNUMBER(Sales_Data2[[#This Row],[Quantity]]),"OK","Check")</f>
        <v>OK</v>
      </c>
    </row>
    <row r="591" spans="1:18">
      <c r="A591" s="1">
        <v>46265</v>
      </c>
      <c r="B591" t="s">
        <v>25</v>
      </c>
      <c r="C591" t="s">
        <v>19</v>
      </c>
      <c r="D591" t="s">
        <v>23</v>
      </c>
      <c r="E591" t="s">
        <v>14</v>
      </c>
      <c r="F591" t="s">
        <v>27</v>
      </c>
      <c r="G591" t="s">
        <v>22</v>
      </c>
      <c r="H591">
        <v>60000</v>
      </c>
      <c r="I591">
        <v>8</v>
      </c>
      <c r="J591" t="s">
        <v>24</v>
      </c>
      <c r="K591">
        <f t="shared" si="9"/>
        <v>48000</v>
      </c>
      <c r="L591">
        <f>Sales_Data2[[#This Row],[Unit Price]]*Sales_Data2[[#This Row],[Quantity]]</f>
        <v>480000</v>
      </c>
      <c r="M591">
        <f>Sales_Data2[[#This Row],[Cost Price]]*Sales_Data2[[#This Row],[Quantity]]</f>
        <v>384000</v>
      </c>
      <c r="N591" s="3">
        <f>Sales_Data2[[#This Row],[Revenue]]-Sales_Data2[[#This Row],[COGS]]</f>
        <v>96000</v>
      </c>
      <c r="O5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46265|South|Lagos|Corporate|Online|Microwave M20|Home Appliances|60000|8|David|48000</v>
      </c>
      <c r="P591" s="3" t="str">
        <f>IF(COUNTIF(Sales_Data2[RowKey],Sales_Data2[[#This Row],[RowKey]])&gt;1,"Duplicate","Unique")</f>
        <v>Unique</v>
      </c>
      <c r="Q591" s="3" t="str">
        <f>IF(ISNUMBER(Sales_Data2[[#This Row],[Date]]),"OK","Check")</f>
        <v>OK</v>
      </c>
      <c r="R591" s="3" t="str">
        <f>IF(ISNUMBER(Sales_Data2[[#This Row],[Quantity]]),"OK","Check")</f>
        <v>OK</v>
      </c>
    </row>
    <row r="592" spans="1:18">
      <c r="A592" s="1">
        <v>46266</v>
      </c>
      <c r="B592" t="s">
        <v>18</v>
      </c>
      <c r="C592" t="s">
        <v>19</v>
      </c>
      <c r="D592" t="s">
        <v>23</v>
      </c>
      <c r="E592" t="s">
        <v>14</v>
      </c>
      <c r="F592" t="s">
        <v>38</v>
      </c>
      <c r="G592" t="s">
        <v>31</v>
      </c>
      <c r="H592">
        <v>420000</v>
      </c>
      <c r="I592">
        <v>3</v>
      </c>
      <c r="J592" t="s">
        <v>17</v>
      </c>
      <c r="K592">
        <f t="shared" si="9"/>
        <v>336000</v>
      </c>
      <c r="L592">
        <f>Sales_Data2[[#This Row],[Unit Price]]*Sales_Data2[[#This Row],[Quantity]]</f>
        <v>1260000</v>
      </c>
      <c r="M592">
        <f>Sales_Data2[[#This Row],[Cost Price]]*Sales_Data2[[#This Row],[Quantity]]</f>
        <v>1008000</v>
      </c>
      <c r="N592" s="3">
        <f>Sales_Data2[[#This Row],[Revenue]]-Sales_Data2[[#This Row],[COGS]]</f>
        <v>252000</v>
      </c>
      <c r="O5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46266|East|Lagos|Corporate|Online|Laptop A13|Electronics|420000|3|Chidinma|336000</v>
      </c>
      <c r="P592" s="3" t="str">
        <f>IF(COUNTIF(Sales_Data2[RowKey],Sales_Data2[[#This Row],[RowKey]])&gt;1,"Duplicate","Unique")</f>
        <v>Unique</v>
      </c>
      <c r="Q592" s="3" t="str">
        <f>IF(ISNUMBER(Sales_Data2[[#This Row],[Date]]),"OK","Check")</f>
        <v>OK</v>
      </c>
      <c r="R592" s="3" t="str">
        <f>IF(ISNUMBER(Sales_Data2[[#This Row],[Quantity]]),"OK","Check")</f>
        <v>OK</v>
      </c>
    </row>
    <row r="593" spans="1:18">
      <c r="A593" s="1">
        <v>46267</v>
      </c>
      <c r="B593" t="s">
        <v>25</v>
      </c>
      <c r="C593" t="s">
        <v>26</v>
      </c>
      <c r="D593" t="s">
        <v>23</v>
      </c>
      <c r="E593" t="s">
        <v>14</v>
      </c>
      <c r="F593" t="s">
        <v>41</v>
      </c>
      <c r="G593" t="s">
        <v>22</v>
      </c>
      <c r="H593">
        <v>220000</v>
      </c>
      <c r="I593">
        <v>5</v>
      </c>
      <c r="J593" t="s">
        <v>24</v>
      </c>
      <c r="K593">
        <f t="shared" si="9"/>
        <v>176000</v>
      </c>
      <c r="L593">
        <f>Sales_Data2[[#This Row],[Unit Price]]*Sales_Data2[[#This Row],[Quantity]]</f>
        <v>1100000</v>
      </c>
      <c r="M593">
        <f>Sales_Data2[[#This Row],[Cost Price]]*Sales_Data2[[#This Row],[Quantity]]</f>
        <v>880000</v>
      </c>
      <c r="N593" s="3">
        <f>Sales_Data2[[#This Row],[Revenue]]-Sales_Data2[[#This Row],[COGS]]</f>
        <v>220000</v>
      </c>
      <c r="O5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46267|South|Kano|Corporate|Online|Refrigerator R55|Home Appliances|220000|5|David|176000</v>
      </c>
      <c r="P593" s="3" t="str">
        <f>IF(COUNTIF(Sales_Data2[RowKey],Sales_Data2[[#This Row],[RowKey]])&gt;1,"Duplicate","Unique")</f>
        <v>Unique</v>
      </c>
      <c r="Q593" s="3" t="str">
        <f>IF(ISNUMBER(Sales_Data2[[#This Row],[Date]]),"OK","Check")</f>
        <v>OK</v>
      </c>
      <c r="R593" s="3" t="str">
        <f>IF(ISNUMBER(Sales_Data2[[#This Row],[Quantity]]),"OK","Check")</f>
        <v>OK</v>
      </c>
    </row>
    <row r="594" spans="1:18">
      <c r="A594" s="1">
        <v>46268</v>
      </c>
      <c r="B594" t="s">
        <v>11</v>
      </c>
      <c r="C594" t="s">
        <v>32</v>
      </c>
      <c r="D594" t="s">
        <v>13</v>
      </c>
      <c r="E594" t="s">
        <v>14</v>
      </c>
      <c r="F594" t="s">
        <v>27</v>
      </c>
      <c r="G594" t="s">
        <v>22</v>
      </c>
      <c r="H594">
        <v>60000</v>
      </c>
      <c r="I594">
        <v>6</v>
      </c>
      <c r="J594" t="s">
        <v>17</v>
      </c>
      <c r="K594">
        <f t="shared" si="9"/>
        <v>48000</v>
      </c>
      <c r="L594">
        <f>Sales_Data2[[#This Row],[Unit Price]]*Sales_Data2[[#This Row],[Quantity]]</f>
        <v>360000</v>
      </c>
      <c r="M594">
        <f>Sales_Data2[[#This Row],[Cost Price]]*Sales_Data2[[#This Row],[Quantity]]</f>
        <v>288000</v>
      </c>
      <c r="N594" s="3">
        <f>Sales_Data2[[#This Row],[Revenue]]-Sales_Data2[[#This Row],[COGS]]</f>
        <v>72000</v>
      </c>
      <c r="O5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46268|West|Abuja|Retail|Online|Microwave M20|Home Appliances|60000|6|Chidinma|48000</v>
      </c>
      <c r="P594" s="3" t="str">
        <f>IF(COUNTIF(Sales_Data2[RowKey],Sales_Data2[[#This Row],[RowKey]])&gt;1,"Duplicate","Unique")</f>
        <v>Unique</v>
      </c>
      <c r="Q594" s="3" t="str">
        <f>IF(ISNUMBER(Sales_Data2[[#This Row],[Date]]),"OK","Check")</f>
        <v>OK</v>
      </c>
      <c r="R594" s="3" t="str">
        <f>IF(ISNUMBER(Sales_Data2[[#This Row],[Quantity]]),"OK","Check")</f>
        <v>OK</v>
      </c>
    </row>
    <row r="595" spans="1:18">
      <c r="A595" s="1">
        <v>46269</v>
      </c>
      <c r="B595" t="s">
        <v>11</v>
      </c>
      <c r="C595" t="s">
        <v>32</v>
      </c>
      <c r="D595" t="s">
        <v>13</v>
      </c>
      <c r="E595" t="s">
        <v>20</v>
      </c>
      <c r="F595" t="s">
        <v>27</v>
      </c>
      <c r="G595" t="s">
        <v>22</v>
      </c>
      <c r="H595">
        <v>60000</v>
      </c>
      <c r="I595">
        <v>8</v>
      </c>
      <c r="J595" t="s">
        <v>39</v>
      </c>
      <c r="K595">
        <f t="shared" si="9"/>
        <v>48000</v>
      </c>
      <c r="L595">
        <f>Sales_Data2[[#This Row],[Unit Price]]*Sales_Data2[[#This Row],[Quantity]]</f>
        <v>480000</v>
      </c>
      <c r="M595">
        <f>Sales_Data2[[#This Row],[Cost Price]]*Sales_Data2[[#This Row],[Quantity]]</f>
        <v>384000</v>
      </c>
      <c r="N595" s="3">
        <f>Sales_Data2[[#This Row],[Revenue]]-Sales_Data2[[#This Row],[COGS]]</f>
        <v>96000</v>
      </c>
      <c r="O5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46269|West|Abuja|Retail|Store|Microwave M20|Home Appliances|60000|8|Grace|48000</v>
      </c>
      <c r="P595" s="3" t="str">
        <f>IF(COUNTIF(Sales_Data2[RowKey],Sales_Data2[[#This Row],[RowKey]])&gt;1,"Duplicate","Unique")</f>
        <v>Unique</v>
      </c>
      <c r="Q595" s="3" t="str">
        <f>IF(ISNUMBER(Sales_Data2[[#This Row],[Date]]),"OK","Check")</f>
        <v>OK</v>
      </c>
      <c r="R595" s="3" t="str">
        <f>IF(ISNUMBER(Sales_Data2[[#This Row],[Quantity]]),"OK","Check")</f>
        <v>OK</v>
      </c>
    </row>
    <row r="596" spans="1:18">
      <c r="A596" s="1">
        <v>46270</v>
      </c>
      <c r="B596" t="s">
        <v>11</v>
      </c>
      <c r="C596" t="s">
        <v>19</v>
      </c>
      <c r="D596" t="s">
        <v>23</v>
      </c>
      <c r="E596" t="s">
        <v>14</v>
      </c>
      <c r="F596" t="s">
        <v>21</v>
      </c>
      <c r="G596" t="s">
        <v>22</v>
      </c>
      <c r="H596">
        <v>30000</v>
      </c>
      <c r="I596">
        <v>2</v>
      </c>
      <c r="J596" t="s">
        <v>17</v>
      </c>
      <c r="K596">
        <f t="shared" si="9"/>
        <v>24000</v>
      </c>
      <c r="L596">
        <f>Sales_Data2[[#This Row],[Unit Price]]*Sales_Data2[[#This Row],[Quantity]]</f>
        <v>60000</v>
      </c>
      <c r="M596">
        <f>Sales_Data2[[#This Row],[Cost Price]]*Sales_Data2[[#This Row],[Quantity]]</f>
        <v>48000</v>
      </c>
      <c r="N596" s="3">
        <f>Sales_Data2[[#This Row],[Revenue]]-Sales_Data2[[#This Row],[COGS]]</f>
        <v>12000</v>
      </c>
      <c r="O5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46270|West|Lagos|Corporate|Online|Blender B10|Home Appliances|30000|2|Chidinma|24000</v>
      </c>
      <c r="P596" s="3" t="str">
        <f>IF(COUNTIF(Sales_Data2[RowKey],Sales_Data2[[#This Row],[RowKey]])&gt;1,"Duplicate","Unique")</f>
        <v>Unique</v>
      </c>
      <c r="Q596" s="3" t="str">
        <f>IF(ISNUMBER(Sales_Data2[[#This Row],[Date]]),"OK","Check")</f>
        <v>OK</v>
      </c>
      <c r="R596" s="3" t="str">
        <f>IF(ISNUMBER(Sales_Data2[[#This Row],[Quantity]]),"OK","Check")</f>
        <v>OK</v>
      </c>
    </row>
    <row r="597" spans="1:18">
      <c r="A597" s="1">
        <v>46271</v>
      </c>
      <c r="B597" t="s">
        <v>18</v>
      </c>
      <c r="C597" t="s">
        <v>12</v>
      </c>
      <c r="D597" t="s">
        <v>23</v>
      </c>
      <c r="E597" t="s">
        <v>20</v>
      </c>
      <c r="F597" t="s">
        <v>30</v>
      </c>
      <c r="G597" t="s">
        <v>31</v>
      </c>
      <c r="H597">
        <v>300000</v>
      </c>
      <c r="I597">
        <v>3</v>
      </c>
      <c r="J597" t="s">
        <v>35</v>
      </c>
      <c r="K597">
        <f t="shared" si="9"/>
        <v>240000</v>
      </c>
      <c r="L597">
        <f>Sales_Data2[[#This Row],[Unit Price]]*Sales_Data2[[#This Row],[Quantity]]</f>
        <v>900000</v>
      </c>
      <c r="M597">
        <f>Sales_Data2[[#This Row],[Cost Price]]*Sales_Data2[[#This Row],[Quantity]]</f>
        <v>720000</v>
      </c>
      <c r="N597" s="3">
        <f>Sales_Data2[[#This Row],[Revenue]]-Sales_Data2[[#This Row],[COGS]]</f>
        <v>180000</v>
      </c>
      <c r="O5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46271|East|Port Harcourt|Corporate|Store|Desktop PC D21|Electronics|300000|3|Peter|240000</v>
      </c>
      <c r="P597" s="3" t="str">
        <f>IF(COUNTIF(Sales_Data2[RowKey],Sales_Data2[[#This Row],[RowKey]])&gt;1,"Duplicate","Unique")</f>
        <v>Unique</v>
      </c>
      <c r="Q597" s="3" t="str">
        <f>IF(ISNUMBER(Sales_Data2[[#This Row],[Date]]),"OK","Check")</f>
        <v>OK</v>
      </c>
      <c r="R597" s="3" t="str">
        <f>IF(ISNUMBER(Sales_Data2[[#This Row],[Quantity]]),"OK","Check")</f>
        <v>OK</v>
      </c>
    </row>
    <row r="598" spans="1:18">
      <c r="A598" s="1">
        <v>46272</v>
      </c>
      <c r="B598" t="s">
        <v>29</v>
      </c>
      <c r="C598" t="s">
        <v>19</v>
      </c>
      <c r="D598" t="s">
        <v>23</v>
      </c>
      <c r="E598" t="s">
        <v>20</v>
      </c>
      <c r="F598" t="s">
        <v>40</v>
      </c>
      <c r="G598" t="s">
        <v>31</v>
      </c>
      <c r="H598">
        <v>250000</v>
      </c>
      <c r="I598">
        <v>3</v>
      </c>
      <c r="J598" t="s">
        <v>24</v>
      </c>
      <c r="K598">
        <f t="shared" si="9"/>
        <v>200000</v>
      </c>
      <c r="L598">
        <f>Sales_Data2[[#This Row],[Unit Price]]*Sales_Data2[[#This Row],[Quantity]]</f>
        <v>750000</v>
      </c>
      <c r="M598">
        <f>Sales_Data2[[#This Row],[Cost Price]]*Sales_Data2[[#This Row],[Quantity]]</f>
        <v>600000</v>
      </c>
      <c r="N598" s="3">
        <f>Sales_Data2[[#This Row],[Revenue]]-Sales_Data2[[#This Row],[COGS]]</f>
        <v>150000</v>
      </c>
      <c r="O5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46272|North|Lagos|Corporate|Store|Smartphone Z10|Electronics|250000|3|David|200000</v>
      </c>
      <c r="P598" s="3" t="str">
        <f>IF(COUNTIF(Sales_Data2[RowKey],Sales_Data2[[#This Row],[RowKey]])&gt;1,"Duplicate","Unique")</f>
        <v>Unique</v>
      </c>
      <c r="Q598" s="3" t="str">
        <f>IF(ISNUMBER(Sales_Data2[[#This Row],[Date]]),"OK","Check")</f>
        <v>OK</v>
      </c>
      <c r="R598" s="3" t="str">
        <f>IF(ISNUMBER(Sales_Data2[[#This Row],[Quantity]]),"OK","Check")</f>
        <v>OK</v>
      </c>
    </row>
    <row r="599" spans="1:18">
      <c r="A599" s="1">
        <v>46273</v>
      </c>
      <c r="B599" t="s">
        <v>29</v>
      </c>
      <c r="C599" t="s">
        <v>19</v>
      </c>
      <c r="D599" t="s">
        <v>23</v>
      </c>
      <c r="E599" t="s">
        <v>20</v>
      </c>
      <c r="F599" t="s">
        <v>38</v>
      </c>
      <c r="G599" t="s">
        <v>31</v>
      </c>
      <c r="H599">
        <v>420000</v>
      </c>
      <c r="I599">
        <v>1</v>
      </c>
      <c r="J599" t="s">
        <v>24</v>
      </c>
      <c r="K599">
        <f t="shared" si="9"/>
        <v>336000</v>
      </c>
      <c r="L599">
        <f>Sales_Data2[[#This Row],[Unit Price]]*Sales_Data2[[#This Row],[Quantity]]</f>
        <v>420000</v>
      </c>
      <c r="M599">
        <f>Sales_Data2[[#This Row],[Cost Price]]*Sales_Data2[[#This Row],[Quantity]]</f>
        <v>336000</v>
      </c>
      <c r="N599" s="3">
        <f>Sales_Data2[[#This Row],[Revenue]]-Sales_Data2[[#This Row],[COGS]]</f>
        <v>84000</v>
      </c>
      <c r="O5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46273|North|Lagos|Corporate|Store|Laptop A13|Electronics|420000|1|David|336000</v>
      </c>
      <c r="P599" s="3" t="str">
        <f>IF(COUNTIF(Sales_Data2[RowKey],Sales_Data2[[#This Row],[RowKey]])&gt;1,"Duplicate","Unique")</f>
        <v>Unique</v>
      </c>
      <c r="Q599" s="3" t="str">
        <f>IF(ISNUMBER(Sales_Data2[[#This Row],[Date]]),"OK","Check")</f>
        <v>OK</v>
      </c>
      <c r="R599" s="3" t="str">
        <f>IF(ISNUMBER(Sales_Data2[[#This Row],[Quantity]]),"OK","Check")</f>
        <v>OK</v>
      </c>
    </row>
    <row r="600" spans="1:18">
      <c r="A600" s="1">
        <v>46274</v>
      </c>
      <c r="B600" t="s">
        <v>25</v>
      </c>
      <c r="C600" t="s">
        <v>12</v>
      </c>
      <c r="D600" t="s">
        <v>23</v>
      </c>
      <c r="E600" t="s">
        <v>20</v>
      </c>
      <c r="F600" t="s">
        <v>21</v>
      </c>
      <c r="G600" t="s">
        <v>22</v>
      </c>
      <c r="H600">
        <v>30000</v>
      </c>
      <c r="I600">
        <v>1</v>
      </c>
      <c r="J600" t="s">
        <v>35</v>
      </c>
      <c r="K600">
        <f t="shared" si="9"/>
        <v>24000</v>
      </c>
      <c r="L600">
        <f>Sales_Data2[[#This Row],[Unit Price]]*Sales_Data2[[#This Row],[Quantity]]</f>
        <v>30000</v>
      </c>
      <c r="M600">
        <f>Sales_Data2[[#This Row],[Cost Price]]*Sales_Data2[[#This Row],[Quantity]]</f>
        <v>24000</v>
      </c>
      <c r="N600" s="3">
        <f>Sales_Data2[[#This Row],[Revenue]]-Sales_Data2[[#This Row],[COGS]]</f>
        <v>6000</v>
      </c>
      <c r="O6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46274|South|Port Harcourt|Corporate|Store|Blender B10|Home Appliances|30000|1|Peter|24000</v>
      </c>
      <c r="P600" s="3" t="str">
        <f>IF(COUNTIF(Sales_Data2[RowKey],Sales_Data2[[#This Row],[RowKey]])&gt;1,"Duplicate","Unique")</f>
        <v>Unique</v>
      </c>
      <c r="Q600" s="3" t="str">
        <f>IF(ISNUMBER(Sales_Data2[[#This Row],[Date]]),"OK","Check")</f>
        <v>OK</v>
      </c>
      <c r="R600" s="3" t="str">
        <f>IF(ISNUMBER(Sales_Data2[[#This Row],[Quantity]]),"OK","Check")</f>
        <v>OK</v>
      </c>
    </row>
    <row r="601" spans="1:18">
      <c r="A601" s="1">
        <v>46275</v>
      </c>
      <c r="B601" t="s">
        <v>25</v>
      </c>
      <c r="C601" t="s">
        <v>26</v>
      </c>
      <c r="D601" t="s">
        <v>13</v>
      </c>
      <c r="E601" t="s">
        <v>14</v>
      </c>
      <c r="F601" t="s">
        <v>21</v>
      </c>
      <c r="G601" t="s">
        <v>22</v>
      </c>
      <c r="H601">
        <v>30000</v>
      </c>
      <c r="I601">
        <v>8</v>
      </c>
      <c r="J601" t="s">
        <v>37</v>
      </c>
      <c r="K601">
        <f t="shared" si="9"/>
        <v>24000</v>
      </c>
      <c r="L601">
        <f>Sales_Data2[[#This Row],[Unit Price]]*Sales_Data2[[#This Row],[Quantity]]</f>
        <v>240000</v>
      </c>
      <c r="M601">
        <f>Sales_Data2[[#This Row],[Cost Price]]*Sales_Data2[[#This Row],[Quantity]]</f>
        <v>192000</v>
      </c>
      <c r="N601" s="3">
        <f>Sales_Data2[[#This Row],[Revenue]]-Sales_Data2[[#This Row],[COGS]]</f>
        <v>48000</v>
      </c>
      <c r="O6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46275|South|Kano|Retail|Online|Blender B10|Home Appliances|30000|8|Aisha|24000</v>
      </c>
      <c r="P601" s="3" t="str">
        <f>IF(COUNTIF(Sales_Data2[RowKey],Sales_Data2[[#This Row],[RowKey]])&gt;1,"Duplicate","Unique")</f>
        <v>Unique</v>
      </c>
      <c r="Q601" s="3" t="str">
        <f>IF(ISNUMBER(Sales_Data2[[#This Row],[Date]]),"OK","Check")</f>
        <v>OK</v>
      </c>
      <c r="R601" s="3" t="str">
        <f>IF(ISNUMBER(Sales_Data2[[#This Row],[Quantity]]),"OK","Check")</f>
        <v>OK</v>
      </c>
    </row>
    <row r="602" spans="1:18">
      <c r="A602" s="1">
        <v>46276</v>
      </c>
      <c r="B602" t="s">
        <v>29</v>
      </c>
      <c r="C602" t="s">
        <v>12</v>
      </c>
      <c r="D602" t="s">
        <v>23</v>
      </c>
      <c r="E602" t="s">
        <v>14</v>
      </c>
      <c r="F602" t="s">
        <v>40</v>
      </c>
      <c r="G602" t="s">
        <v>31</v>
      </c>
      <c r="H602">
        <v>250000</v>
      </c>
      <c r="I602">
        <v>10</v>
      </c>
      <c r="J602" t="s">
        <v>37</v>
      </c>
      <c r="K602">
        <f t="shared" si="9"/>
        <v>200000</v>
      </c>
      <c r="L602">
        <f>Sales_Data2[[#This Row],[Unit Price]]*Sales_Data2[[#This Row],[Quantity]]</f>
        <v>2500000</v>
      </c>
      <c r="M602">
        <f>Sales_Data2[[#This Row],[Cost Price]]*Sales_Data2[[#This Row],[Quantity]]</f>
        <v>2000000</v>
      </c>
      <c r="N602" s="3">
        <f>Sales_Data2[[#This Row],[Revenue]]-Sales_Data2[[#This Row],[COGS]]</f>
        <v>500000</v>
      </c>
      <c r="O6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46276|North|Port Harcourt|Corporate|Online|Smartphone Z10|Electronics|250000|10|Aisha|200000</v>
      </c>
      <c r="P602" s="3" t="str">
        <f>IF(COUNTIF(Sales_Data2[RowKey],Sales_Data2[[#This Row],[RowKey]])&gt;1,"Duplicate","Unique")</f>
        <v>Unique</v>
      </c>
      <c r="Q602" s="3" t="str">
        <f>IF(ISNUMBER(Sales_Data2[[#This Row],[Date]]),"OK","Check")</f>
        <v>OK</v>
      </c>
      <c r="R602" s="3" t="str">
        <f>IF(ISNUMBER(Sales_Data2[[#This Row],[Quantity]]),"OK","Check")</f>
        <v>OK</v>
      </c>
    </row>
    <row r="603" spans="1:18">
      <c r="A603" s="1">
        <v>46277</v>
      </c>
      <c r="B603" t="s">
        <v>29</v>
      </c>
      <c r="C603" t="s">
        <v>26</v>
      </c>
      <c r="D603" t="s">
        <v>23</v>
      </c>
      <c r="E603" t="s">
        <v>20</v>
      </c>
      <c r="F603" t="s">
        <v>36</v>
      </c>
      <c r="G603" t="s">
        <v>31</v>
      </c>
      <c r="H603">
        <v>150000</v>
      </c>
      <c r="I603">
        <v>10</v>
      </c>
      <c r="J603" t="s">
        <v>24</v>
      </c>
      <c r="K603">
        <f t="shared" si="9"/>
        <v>120000</v>
      </c>
      <c r="L603">
        <f>Sales_Data2[[#This Row],[Unit Price]]*Sales_Data2[[#This Row],[Quantity]]</f>
        <v>1500000</v>
      </c>
      <c r="M603">
        <f>Sales_Data2[[#This Row],[Cost Price]]*Sales_Data2[[#This Row],[Quantity]]</f>
        <v>1200000</v>
      </c>
      <c r="N603" s="3">
        <f>Sales_Data2[[#This Row],[Revenue]]-Sales_Data2[[#This Row],[COGS]]</f>
        <v>300000</v>
      </c>
      <c r="O6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46277|North|Kano|Corporate|Store|Printer P50|Electronics|150000|10|David|120000</v>
      </c>
      <c r="P603" s="3" t="str">
        <f>IF(COUNTIF(Sales_Data2[RowKey],Sales_Data2[[#This Row],[RowKey]])&gt;1,"Duplicate","Unique")</f>
        <v>Unique</v>
      </c>
      <c r="Q603" s="3" t="str">
        <f>IF(ISNUMBER(Sales_Data2[[#This Row],[Date]]),"OK","Check")</f>
        <v>OK</v>
      </c>
      <c r="R603" s="3" t="str">
        <f>IF(ISNUMBER(Sales_Data2[[#This Row],[Quantity]]),"OK","Check")</f>
        <v>OK</v>
      </c>
    </row>
    <row r="604" spans="1:18">
      <c r="A604" s="1">
        <v>46278</v>
      </c>
      <c r="B604" t="s">
        <v>18</v>
      </c>
      <c r="C604" t="s">
        <v>32</v>
      </c>
      <c r="D604" t="s">
        <v>13</v>
      </c>
      <c r="E604" t="s">
        <v>20</v>
      </c>
      <c r="F604" t="s">
        <v>40</v>
      </c>
      <c r="G604" t="s">
        <v>31</v>
      </c>
      <c r="H604">
        <v>250000</v>
      </c>
      <c r="I604">
        <v>8</v>
      </c>
      <c r="J604" t="s">
        <v>17</v>
      </c>
      <c r="K604">
        <f t="shared" si="9"/>
        <v>200000</v>
      </c>
      <c r="L604">
        <f>Sales_Data2[[#This Row],[Unit Price]]*Sales_Data2[[#This Row],[Quantity]]</f>
        <v>2000000</v>
      </c>
      <c r="M604">
        <f>Sales_Data2[[#This Row],[Cost Price]]*Sales_Data2[[#This Row],[Quantity]]</f>
        <v>1600000</v>
      </c>
      <c r="N604" s="3">
        <f>Sales_Data2[[#This Row],[Revenue]]-Sales_Data2[[#This Row],[COGS]]</f>
        <v>400000</v>
      </c>
      <c r="O6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46278|East|Abuja|Retail|Store|Smartphone Z10|Electronics|250000|8|Chidinma|200000</v>
      </c>
      <c r="P604" s="3" t="str">
        <f>IF(COUNTIF(Sales_Data2[RowKey],Sales_Data2[[#This Row],[RowKey]])&gt;1,"Duplicate","Unique")</f>
        <v>Unique</v>
      </c>
      <c r="Q604" s="3" t="str">
        <f>IF(ISNUMBER(Sales_Data2[[#This Row],[Date]]),"OK","Check")</f>
        <v>OK</v>
      </c>
      <c r="R604" s="3" t="str">
        <f>IF(ISNUMBER(Sales_Data2[[#This Row],[Quantity]]),"OK","Check")</f>
        <v>OK</v>
      </c>
    </row>
    <row r="605" spans="1:18">
      <c r="A605" s="1">
        <v>46279</v>
      </c>
      <c r="B605" t="s">
        <v>29</v>
      </c>
      <c r="C605" t="s">
        <v>26</v>
      </c>
      <c r="D605" t="s">
        <v>13</v>
      </c>
      <c r="E605" t="s">
        <v>20</v>
      </c>
      <c r="F605" t="s">
        <v>40</v>
      </c>
      <c r="G605" t="s">
        <v>31</v>
      </c>
      <c r="H605">
        <v>250000</v>
      </c>
      <c r="I605">
        <v>9</v>
      </c>
      <c r="J605" t="s">
        <v>39</v>
      </c>
      <c r="K605">
        <f t="shared" si="9"/>
        <v>200000</v>
      </c>
      <c r="L605">
        <f>Sales_Data2[[#This Row],[Unit Price]]*Sales_Data2[[#This Row],[Quantity]]</f>
        <v>2250000</v>
      </c>
      <c r="M605">
        <f>Sales_Data2[[#This Row],[Cost Price]]*Sales_Data2[[#This Row],[Quantity]]</f>
        <v>1800000</v>
      </c>
      <c r="N605" s="3">
        <f>Sales_Data2[[#This Row],[Revenue]]-Sales_Data2[[#This Row],[COGS]]</f>
        <v>450000</v>
      </c>
      <c r="O6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46279|North|Kano|Retail|Store|Smartphone Z10|Electronics|250000|9|Grace|200000</v>
      </c>
      <c r="P605" s="3" t="str">
        <f>IF(COUNTIF(Sales_Data2[RowKey],Sales_Data2[[#This Row],[RowKey]])&gt;1,"Duplicate","Unique")</f>
        <v>Unique</v>
      </c>
      <c r="Q605" s="3" t="str">
        <f>IF(ISNUMBER(Sales_Data2[[#This Row],[Date]]),"OK","Check")</f>
        <v>OK</v>
      </c>
      <c r="R605" s="3" t="str">
        <f>IF(ISNUMBER(Sales_Data2[[#This Row],[Quantity]]),"OK","Check")</f>
        <v>OK</v>
      </c>
    </row>
    <row r="606" spans="1:18">
      <c r="A606" s="1">
        <v>46280</v>
      </c>
      <c r="B606" t="s">
        <v>29</v>
      </c>
      <c r="C606" t="s">
        <v>32</v>
      </c>
      <c r="D606" t="s">
        <v>13</v>
      </c>
      <c r="E606" t="s">
        <v>20</v>
      </c>
      <c r="F606" t="s">
        <v>38</v>
      </c>
      <c r="G606" t="s">
        <v>31</v>
      </c>
      <c r="H606">
        <v>420000</v>
      </c>
      <c r="I606">
        <v>10</v>
      </c>
      <c r="J606" t="s">
        <v>28</v>
      </c>
      <c r="K606">
        <f t="shared" si="9"/>
        <v>336000</v>
      </c>
      <c r="L606">
        <f>Sales_Data2[[#This Row],[Unit Price]]*Sales_Data2[[#This Row],[Quantity]]</f>
        <v>4200000</v>
      </c>
      <c r="M606">
        <f>Sales_Data2[[#This Row],[Cost Price]]*Sales_Data2[[#This Row],[Quantity]]</f>
        <v>3360000</v>
      </c>
      <c r="N606" s="3">
        <f>Sales_Data2[[#This Row],[Revenue]]-Sales_Data2[[#This Row],[COGS]]</f>
        <v>840000</v>
      </c>
      <c r="O6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46280|North|Abuja|Retail|Store|Laptop A13|Electronics|420000|10|Musa|336000</v>
      </c>
      <c r="P606" s="3" t="str">
        <f>IF(COUNTIF(Sales_Data2[RowKey],Sales_Data2[[#This Row],[RowKey]])&gt;1,"Duplicate","Unique")</f>
        <v>Unique</v>
      </c>
      <c r="Q606" s="3" t="str">
        <f>IF(ISNUMBER(Sales_Data2[[#This Row],[Date]]),"OK","Check")</f>
        <v>OK</v>
      </c>
      <c r="R606" s="3" t="str">
        <f>IF(ISNUMBER(Sales_Data2[[#This Row],[Quantity]]),"OK","Check")</f>
        <v>OK</v>
      </c>
    </row>
    <row r="607" spans="1:18">
      <c r="A607" s="1">
        <v>46281</v>
      </c>
      <c r="B607" t="s">
        <v>11</v>
      </c>
      <c r="C607" t="s">
        <v>19</v>
      </c>
      <c r="D607" t="s">
        <v>23</v>
      </c>
      <c r="E607" t="s">
        <v>14</v>
      </c>
      <c r="F607" t="s">
        <v>15</v>
      </c>
      <c r="G607" t="s">
        <v>16</v>
      </c>
      <c r="H607">
        <v>85000</v>
      </c>
      <c r="I607">
        <v>4</v>
      </c>
      <c r="J607" t="s">
        <v>24</v>
      </c>
      <c r="K607">
        <f t="shared" si="9"/>
        <v>68000</v>
      </c>
      <c r="L607">
        <f>Sales_Data2[[#This Row],[Unit Price]]*Sales_Data2[[#This Row],[Quantity]]</f>
        <v>340000</v>
      </c>
      <c r="M607">
        <f>Sales_Data2[[#This Row],[Cost Price]]*Sales_Data2[[#This Row],[Quantity]]</f>
        <v>272000</v>
      </c>
      <c r="N607" s="3">
        <f>Sales_Data2[[#This Row],[Revenue]]-Sales_Data2[[#This Row],[COGS]]</f>
        <v>68000</v>
      </c>
      <c r="O6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46281|West|Lagos|Corporate|Online|Office Chair Pro|Furniture|85000|4|David|68000</v>
      </c>
      <c r="P607" s="3" t="str">
        <f>IF(COUNTIF(Sales_Data2[RowKey],Sales_Data2[[#This Row],[RowKey]])&gt;1,"Duplicate","Unique")</f>
        <v>Unique</v>
      </c>
      <c r="Q607" s="3" t="str">
        <f>IF(ISNUMBER(Sales_Data2[[#This Row],[Date]]),"OK","Check")</f>
        <v>OK</v>
      </c>
      <c r="R607" s="3" t="str">
        <f>IF(ISNUMBER(Sales_Data2[[#This Row],[Quantity]]),"OK","Check")</f>
        <v>OK</v>
      </c>
    </row>
    <row r="608" spans="1:18">
      <c r="A608" s="1">
        <v>46282</v>
      </c>
      <c r="B608" t="s">
        <v>18</v>
      </c>
      <c r="C608" t="s">
        <v>19</v>
      </c>
      <c r="D608" t="s">
        <v>13</v>
      </c>
      <c r="E608" t="s">
        <v>14</v>
      </c>
      <c r="F608" t="s">
        <v>33</v>
      </c>
      <c r="G608" t="s">
        <v>22</v>
      </c>
      <c r="H608">
        <v>180000</v>
      </c>
      <c r="I608">
        <v>1</v>
      </c>
      <c r="J608" t="s">
        <v>39</v>
      </c>
      <c r="K608">
        <f t="shared" si="9"/>
        <v>144000</v>
      </c>
      <c r="L608">
        <f>Sales_Data2[[#This Row],[Unit Price]]*Sales_Data2[[#This Row],[Quantity]]</f>
        <v>180000</v>
      </c>
      <c r="M608">
        <f>Sales_Data2[[#This Row],[Cost Price]]*Sales_Data2[[#This Row],[Quantity]]</f>
        <v>144000</v>
      </c>
      <c r="N608" s="3">
        <f>Sales_Data2[[#This Row],[Revenue]]-Sales_Data2[[#This Row],[COGS]]</f>
        <v>36000</v>
      </c>
      <c r="O6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46282|East|Lagos|Retail|Online|Air Conditioner X2|Home Appliances|180000|1|Grace|144000</v>
      </c>
      <c r="P608" s="3" t="str">
        <f>IF(COUNTIF(Sales_Data2[RowKey],Sales_Data2[[#This Row],[RowKey]])&gt;1,"Duplicate","Unique")</f>
        <v>Unique</v>
      </c>
      <c r="Q608" s="3" t="str">
        <f>IF(ISNUMBER(Sales_Data2[[#This Row],[Date]]),"OK","Check")</f>
        <v>OK</v>
      </c>
      <c r="R608" s="3" t="str">
        <f>IF(ISNUMBER(Sales_Data2[[#This Row],[Quantity]]),"OK","Check")</f>
        <v>OK</v>
      </c>
    </row>
    <row r="609" spans="1:18">
      <c r="A609" s="1">
        <v>46283</v>
      </c>
      <c r="B609" t="s">
        <v>25</v>
      </c>
      <c r="C609" t="s">
        <v>19</v>
      </c>
      <c r="D609" t="s">
        <v>13</v>
      </c>
      <c r="E609" t="s">
        <v>20</v>
      </c>
      <c r="F609" t="s">
        <v>33</v>
      </c>
      <c r="G609" t="s">
        <v>22</v>
      </c>
      <c r="H609">
        <v>180000</v>
      </c>
      <c r="I609">
        <v>9</v>
      </c>
      <c r="J609" t="s">
        <v>35</v>
      </c>
      <c r="K609">
        <f t="shared" si="9"/>
        <v>144000</v>
      </c>
      <c r="L609">
        <f>Sales_Data2[[#This Row],[Unit Price]]*Sales_Data2[[#This Row],[Quantity]]</f>
        <v>1620000</v>
      </c>
      <c r="M609">
        <f>Sales_Data2[[#This Row],[Cost Price]]*Sales_Data2[[#This Row],[Quantity]]</f>
        <v>1296000</v>
      </c>
      <c r="N609" s="3">
        <f>Sales_Data2[[#This Row],[Revenue]]-Sales_Data2[[#This Row],[COGS]]</f>
        <v>324000</v>
      </c>
      <c r="O6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46283|South|Lagos|Retail|Store|Air Conditioner X2|Home Appliances|180000|9|Peter|144000</v>
      </c>
      <c r="P609" s="3" t="str">
        <f>IF(COUNTIF(Sales_Data2[RowKey],Sales_Data2[[#This Row],[RowKey]])&gt;1,"Duplicate","Unique")</f>
        <v>Unique</v>
      </c>
      <c r="Q609" s="3" t="str">
        <f>IF(ISNUMBER(Sales_Data2[[#This Row],[Date]]),"OK","Check")</f>
        <v>OK</v>
      </c>
      <c r="R609" s="3" t="str">
        <f>IF(ISNUMBER(Sales_Data2[[#This Row],[Quantity]]),"OK","Check")</f>
        <v>OK</v>
      </c>
    </row>
    <row r="610" spans="1:18">
      <c r="A610" s="1">
        <v>46284</v>
      </c>
      <c r="B610" t="s">
        <v>18</v>
      </c>
      <c r="C610" t="s">
        <v>26</v>
      </c>
      <c r="D610" t="s">
        <v>23</v>
      </c>
      <c r="E610" t="s">
        <v>20</v>
      </c>
      <c r="F610" t="s">
        <v>36</v>
      </c>
      <c r="G610" t="s">
        <v>31</v>
      </c>
      <c r="H610">
        <v>150000</v>
      </c>
      <c r="I610">
        <v>10</v>
      </c>
      <c r="J610" t="s">
        <v>28</v>
      </c>
      <c r="K610">
        <f t="shared" si="9"/>
        <v>120000</v>
      </c>
      <c r="L610">
        <f>Sales_Data2[[#This Row],[Unit Price]]*Sales_Data2[[#This Row],[Quantity]]</f>
        <v>1500000</v>
      </c>
      <c r="M610">
        <f>Sales_Data2[[#This Row],[Cost Price]]*Sales_Data2[[#This Row],[Quantity]]</f>
        <v>1200000</v>
      </c>
      <c r="N610" s="3">
        <f>Sales_Data2[[#This Row],[Revenue]]-Sales_Data2[[#This Row],[COGS]]</f>
        <v>300000</v>
      </c>
      <c r="O6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46284|East|Kano|Corporate|Store|Printer P50|Electronics|150000|10|Musa|120000</v>
      </c>
      <c r="P610" s="3" t="str">
        <f>IF(COUNTIF(Sales_Data2[RowKey],Sales_Data2[[#This Row],[RowKey]])&gt;1,"Duplicate","Unique")</f>
        <v>Unique</v>
      </c>
      <c r="Q610" s="3" t="str">
        <f>IF(ISNUMBER(Sales_Data2[[#This Row],[Date]]),"OK","Check")</f>
        <v>OK</v>
      </c>
      <c r="R610" s="3" t="str">
        <f>IF(ISNUMBER(Sales_Data2[[#This Row],[Quantity]]),"OK","Check")</f>
        <v>OK</v>
      </c>
    </row>
    <row r="611" spans="1:18">
      <c r="A611" s="1">
        <v>46285</v>
      </c>
      <c r="B611" t="s">
        <v>18</v>
      </c>
      <c r="C611" t="s">
        <v>32</v>
      </c>
      <c r="D611" t="s">
        <v>23</v>
      </c>
      <c r="E611" t="s">
        <v>20</v>
      </c>
      <c r="F611" t="s">
        <v>30</v>
      </c>
      <c r="G611" t="s">
        <v>31</v>
      </c>
      <c r="H611">
        <v>300000</v>
      </c>
      <c r="I611">
        <v>1</v>
      </c>
      <c r="J611" t="s">
        <v>28</v>
      </c>
      <c r="K611">
        <f t="shared" si="9"/>
        <v>240000</v>
      </c>
      <c r="L611">
        <f>Sales_Data2[[#This Row],[Unit Price]]*Sales_Data2[[#This Row],[Quantity]]</f>
        <v>300000</v>
      </c>
      <c r="M611">
        <f>Sales_Data2[[#This Row],[Cost Price]]*Sales_Data2[[#This Row],[Quantity]]</f>
        <v>240000</v>
      </c>
      <c r="N611" s="3">
        <f>Sales_Data2[[#This Row],[Revenue]]-Sales_Data2[[#This Row],[COGS]]</f>
        <v>60000</v>
      </c>
      <c r="O6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46285|East|Abuja|Corporate|Store|Desktop PC D21|Electronics|300000|1|Musa|240000</v>
      </c>
      <c r="P611" s="3" t="str">
        <f>IF(COUNTIF(Sales_Data2[RowKey],Sales_Data2[[#This Row],[RowKey]])&gt;1,"Duplicate","Unique")</f>
        <v>Unique</v>
      </c>
      <c r="Q611" s="3" t="str">
        <f>IF(ISNUMBER(Sales_Data2[[#This Row],[Date]]),"OK","Check")</f>
        <v>OK</v>
      </c>
      <c r="R611" s="3" t="str">
        <f>IF(ISNUMBER(Sales_Data2[[#This Row],[Quantity]]),"OK","Check")</f>
        <v>OK</v>
      </c>
    </row>
    <row r="612" spans="1:18">
      <c r="A612" s="1">
        <v>46286</v>
      </c>
      <c r="B612" t="s">
        <v>25</v>
      </c>
      <c r="C612" t="s">
        <v>32</v>
      </c>
      <c r="D612" t="s">
        <v>13</v>
      </c>
      <c r="E612" t="s">
        <v>14</v>
      </c>
      <c r="F612" t="s">
        <v>36</v>
      </c>
      <c r="G612" t="s">
        <v>31</v>
      </c>
      <c r="H612">
        <v>150000</v>
      </c>
      <c r="I612">
        <v>8</v>
      </c>
      <c r="J612" t="s">
        <v>17</v>
      </c>
      <c r="K612">
        <f t="shared" si="9"/>
        <v>120000</v>
      </c>
      <c r="L612">
        <f>Sales_Data2[[#This Row],[Unit Price]]*Sales_Data2[[#This Row],[Quantity]]</f>
        <v>1200000</v>
      </c>
      <c r="M612">
        <f>Sales_Data2[[#This Row],[Cost Price]]*Sales_Data2[[#This Row],[Quantity]]</f>
        <v>960000</v>
      </c>
      <c r="N612" s="3">
        <f>Sales_Data2[[#This Row],[Revenue]]-Sales_Data2[[#This Row],[COGS]]</f>
        <v>240000</v>
      </c>
      <c r="O6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46286|South|Abuja|Retail|Online|Printer P50|Electronics|150000|8|Chidinma|120000</v>
      </c>
      <c r="P612" s="3" t="str">
        <f>IF(COUNTIF(Sales_Data2[RowKey],Sales_Data2[[#This Row],[RowKey]])&gt;1,"Duplicate","Unique")</f>
        <v>Unique</v>
      </c>
      <c r="Q612" s="3" t="str">
        <f>IF(ISNUMBER(Sales_Data2[[#This Row],[Date]]),"OK","Check")</f>
        <v>OK</v>
      </c>
      <c r="R612" s="3" t="str">
        <f>IF(ISNUMBER(Sales_Data2[[#This Row],[Quantity]]),"OK","Check")</f>
        <v>OK</v>
      </c>
    </row>
    <row r="613" spans="1:18">
      <c r="A613" s="1">
        <v>46287</v>
      </c>
      <c r="B613" t="s">
        <v>11</v>
      </c>
      <c r="C613" t="s">
        <v>32</v>
      </c>
      <c r="D613" t="s">
        <v>13</v>
      </c>
      <c r="E613" t="s">
        <v>20</v>
      </c>
      <c r="F613" t="s">
        <v>36</v>
      </c>
      <c r="G613" t="s">
        <v>31</v>
      </c>
      <c r="H613">
        <v>150000</v>
      </c>
      <c r="I613">
        <v>3</v>
      </c>
      <c r="J613" t="s">
        <v>35</v>
      </c>
      <c r="K613">
        <f t="shared" si="9"/>
        <v>120000</v>
      </c>
      <c r="L613">
        <f>Sales_Data2[[#This Row],[Unit Price]]*Sales_Data2[[#This Row],[Quantity]]</f>
        <v>450000</v>
      </c>
      <c r="M613">
        <f>Sales_Data2[[#This Row],[Cost Price]]*Sales_Data2[[#This Row],[Quantity]]</f>
        <v>360000</v>
      </c>
      <c r="N613" s="3">
        <f>Sales_Data2[[#This Row],[Revenue]]-Sales_Data2[[#This Row],[COGS]]</f>
        <v>90000</v>
      </c>
      <c r="O6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46287|West|Abuja|Retail|Store|Printer P50|Electronics|150000|3|Peter|120000</v>
      </c>
      <c r="P613" s="3" t="str">
        <f>IF(COUNTIF(Sales_Data2[RowKey],Sales_Data2[[#This Row],[RowKey]])&gt;1,"Duplicate","Unique")</f>
        <v>Unique</v>
      </c>
      <c r="Q613" s="3" t="str">
        <f>IF(ISNUMBER(Sales_Data2[[#This Row],[Date]]),"OK","Check")</f>
        <v>OK</v>
      </c>
      <c r="R613" s="3" t="str">
        <f>IF(ISNUMBER(Sales_Data2[[#This Row],[Quantity]]),"OK","Check")</f>
        <v>OK</v>
      </c>
    </row>
    <row r="614" spans="1:18">
      <c r="A614" s="1">
        <v>46288</v>
      </c>
      <c r="B614" t="s">
        <v>29</v>
      </c>
      <c r="C614" t="s">
        <v>32</v>
      </c>
      <c r="D614" t="s">
        <v>13</v>
      </c>
      <c r="E614" t="s">
        <v>20</v>
      </c>
      <c r="F614" t="s">
        <v>34</v>
      </c>
      <c r="G614" t="s">
        <v>16</v>
      </c>
      <c r="H614">
        <v>320000</v>
      </c>
      <c r="I614">
        <v>3</v>
      </c>
      <c r="J614" t="s">
        <v>17</v>
      </c>
      <c r="K614">
        <f t="shared" si="9"/>
        <v>256000</v>
      </c>
      <c r="L614">
        <f>Sales_Data2[[#This Row],[Unit Price]]*Sales_Data2[[#This Row],[Quantity]]</f>
        <v>960000</v>
      </c>
      <c r="M614">
        <f>Sales_Data2[[#This Row],[Cost Price]]*Sales_Data2[[#This Row],[Quantity]]</f>
        <v>768000</v>
      </c>
      <c r="N614" s="3">
        <f>Sales_Data2[[#This Row],[Revenue]]-Sales_Data2[[#This Row],[COGS]]</f>
        <v>192000</v>
      </c>
      <c r="O6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46288|North|Abuja|Retail|Store|Sofa Classic|Furniture|320000|3|Chidinma|256000</v>
      </c>
      <c r="P614" s="3" t="str">
        <f>IF(COUNTIF(Sales_Data2[RowKey],Sales_Data2[[#This Row],[RowKey]])&gt;1,"Duplicate","Unique")</f>
        <v>Unique</v>
      </c>
      <c r="Q614" s="3" t="str">
        <f>IF(ISNUMBER(Sales_Data2[[#This Row],[Date]]),"OK","Check")</f>
        <v>OK</v>
      </c>
      <c r="R614" s="3" t="str">
        <f>IF(ISNUMBER(Sales_Data2[[#This Row],[Quantity]]),"OK","Check")</f>
        <v>OK</v>
      </c>
    </row>
    <row r="615" spans="1:18">
      <c r="A615" s="1">
        <v>46289</v>
      </c>
      <c r="B615" t="s">
        <v>25</v>
      </c>
      <c r="C615" t="s">
        <v>26</v>
      </c>
      <c r="D615" t="s">
        <v>13</v>
      </c>
      <c r="E615" t="s">
        <v>14</v>
      </c>
      <c r="F615" t="s">
        <v>33</v>
      </c>
      <c r="G615" t="s">
        <v>22</v>
      </c>
      <c r="H615">
        <v>180000</v>
      </c>
      <c r="I615">
        <v>8</v>
      </c>
      <c r="J615" t="s">
        <v>17</v>
      </c>
      <c r="K615">
        <f t="shared" si="9"/>
        <v>144000</v>
      </c>
      <c r="L615">
        <f>Sales_Data2[[#This Row],[Unit Price]]*Sales_Data2[[#This Row],[Quantity]]</f>
        <v>1440000</v>
      </c>
      <c r="M615">
        <f>Sales_Data2[[#This Row],[Cost Price]]*Sales_Data2[[#This Row],[Quantity]]</f>
        <v>1152000</v>
      </c>
      <c r="N615" s="3">
        <f>Sales_Data2[[#This Row],[Revenue]]-Sales_Data2[[#This Row],[COGS]]</f>
        <v>288000</v>
      </c>
      <c r="O6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46289|South|Kano|Retail|Online|Air Conditioner X2|Home Appliances|180000|8|Chidinma|144000</v>
      </c>
      <c r="P615" s="3" t="str">
        <f>IF(COUNTIF(Sales_Data2[RowKey],Sales_Data2[[#This Row],[RowKey]])&gt;1,"Duplicate","Unique")</f>
        <v>Unique</v>
      </c>
      <c r="Q615" s="3" t="str">
        <f>IF(ISNUMBER(Sales_Data2[[#This Row],[Date]]),"OK","Check")</f>
        <v>OK</v>
      </c>
      <c r="R615" s="3" t="str">
        <f>IF(ISNUMBER(Sales_Data2[[#This Row],[Quantity]]),"OK","Check")</f>
        <v>OK</v>
      </c>
    </row>
    <row r="616" spans="1:18">
      <c r="A616" s="1">
        <v>46290</v>
      </c>
      <c r="B616" t="s">
        <v>25</v>
      </c>
      <c r="C616" t="s">
        <v>26</v>
      </c>
      <c r="D616" t="s">
        <v>13</v>
      </c>
      <c r="E616" t="s">
        <v>20</v>
      </c>
      <c r="F616" t="s">
        <v>33</v>
      </c>
      <c r="G616" t="s">
        <v>22</v>
      </c>
      <c r="H616">
        <v>180000</v>
      </c>
      <c r="I616">
        <v>1</v>
      </c>
      <c r="J616" t="s">
        <v>24</v>
      </c>
      <c r="K616">
        <f t="shared" si="9"/>
        <v>144000</v>
      </c>
      <c r="L616">
        <f>Sales_Data2[[#This Row],[Unit Price]]*Sales_Data2[[#This Row],[Quantity]]</f>
        <v>180000</v>
      </c>
      <c r="M616">
        <f>Sales_Data2[[#This Row],[Cost Price]]*Sales_Data2[[#This Row],[Quantity]]</f>
        <v>144000</v>
      </c>
      <c r="N616" s="3">
        <f>Sales_Data2[[#This Row],[Revenue]]-Sales_Data2[[#This Row],[COGS]]</f>
        <v>36000</v>
      </c>
      <c r="O6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46290|South|Kano|Retail|Store|Air Conditioner X2|Home Appliances|180000|1|David|144000</v>
      </c>
      <c r="P616" s="3" t="str">
        <f>IF(COUNTIF(Sales_Data2[RowKey],Sales_Data2[[#This Row],[RowKey]])&gt;1,"Duplicate","Unique")</f>
        <v>Unique</v>
      </c>
      <c r="Q616" s="3" t="str">
        <f>IF(ISNUMBER(Sales_Data2[[#This Row],[Date]]),"OK","Check")</f>
        <v>OK</v>
      </c>
      <c r="R616" s="3" t="str">
        <f>IF(ISNUMBER(Sales_Data2[[#This Row],[Quantity]]),"OK","Check")</f>
        <v>OK</v>
      </c>
    </row>
    <row r="617" spans="1:18">
      <c r="A617" s="1">
        <v>46291</v>
      </c>
      <c r="B617" t="s">
        <v>11</v>
      </c>
      <c r="C617" t="s">
        <v>19</v>
      </c>
      <c r="D617" t="s">
        <v>13</v>
      </c>
      <c r="E617" t="s">
        <v>20</v>
      </c>
      <c r="F617" t="s">
        <v>27</v>
      </c>
      <c r="G617" t="s">
        <v>22</v>
      </c>
      <c r="H617">
        <v>60000</v>
      </c>
      <c r="I617">
        <v>7</v>
      </c>
      <c r="J617" t="s">
        <v>37</v>
      </c>
      <c r="K617">
        <f t="shared" si="9"/>
        <v>48000</v>
      </c>
      <c r="L617">
        <f>Sales_Data2[[#This Row],[Unit Price]]*Sales_Data2[[#This Row],[Quantity]]</f>
        <v>420000</v>
      </c>
      <c r="M617">
        <f>Sales_Data2[[#This Row],[Cost Price]]*Sales_Data2[[#This Row],[Quantity]]</f>
        <v>336000</v>
      </c>
      <c r="N617" s="3">
        <f>Sales_Data2[[#This Row],[Revenue]]-Sales_Data2[[#This Row],[COGS]]</f>
        <v>84000</v>
      </c>
      <c r="O6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46291|West|Lagos|Retail|Store|Microwave M20|Home Appliances|60000|7|Aisha|48000</v>
      </c>
      <c r="P617" s="3" t="str">
        <f>IF(COUNTIF(Sales_Data2[RowKey],Sales_Data2[[#This Row],[RowKey]])&gt;1,"Duplicate","Unique")</f>
        <v>Unique</v>
      </c>
      <c r="Q617" s="3" t="str">
        <f>IF(ISNUMBER(Sales_Data2[[#This Row],[Date]]),"OK","Check")</f>
        <v>OK</v>
      </c>
      <c r="R617" s="3" t="str">
        <f>IF(ISNUMBER(Sales_Data2[[#This Row],[Quantity]]),"OK","Check")</f>
        <v>OK</v>
      </c>
    </row>
    <row r="618" spans="1:18">
      <c r="A618" s="1">
        <v>46292</v>
      </c>
      <c r="B618" t="s">
        <v>18</v>
      </c>
      <c r="C618" t="s">
        <v>26</v>
      </c>
      <c r="D618" t="s">
        <v>23</v>
      </c>
      <c r="E618" t="s">
        <v>20</v>
      </c>
      <c r="F618" t="s">
        <v>34</v>
      </c>
      <c r="G618" t="s">
        <v>16</v>
      </c>
      <c r="H618">
        <v>320000</v>
      </c>
      <c r="I618">
        <v>7</v>
      </c>
      <c r="J618" t="s">
        <v>24</v>
      </c>
      <c r="K618">
        <f t="shared" si="9"/>
        <v>256000</v>
      </c>
      <c r="L618">
        <f>Sales_Data2[[#This Row],[Unit Price]]*Sales_Data2[[#This Row],[Quantity]]</f>
        <v>2240000</v>
      </c>
      <c r="M618">
        <f>Sales_Data2[[#This Row],[Cost Price]]*Sales_Data2[[#This Row],[Quantity]]</f>
        <v>1792000</v>
      </c>
      <c r="N618" s="3">
        <f>Sales_Data2[[#This Row],[Revenue]]-Sales_Data2[[#This Row],[COGS]]</f>
        <v>448000</v>
      </c>
      <c r="O6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46292|East|Kano|Corporate|Store|Sofa Classic|Furniture|320000|7|David|256000</v>
      </c>
      <c r="P618" s="3" t="str">
        <f>IF(COUNTIF(Sales_Data2[RowKey],Sales_Data2[[#This Row],[RowKey]])&gt;1,"Duplicate","Unique")</f>
        <v>Unique</v>
      </c>
      <c r="Q618" s="3" t="str">
        <f>IF(ISNUMBER(Sales_Data2[[#This Row],[Date]]),"OK","Check")</f>
        <v>OK</v>
      </c>
      <c r="R618" s="3" t="str">
        <f>IF(ISNUMBER(Sales_Data2[[#This Row],[Quantity]]),"OK","Check")</f>
        <v>OK</v>
      </c>
    </row>
    <row r="619" spans="1:18">
      <c r="A619" s="1">
        <v>46293</v>
      </c>
      <c r="B619" t="s">
        <v>25</v>
      </c>
      <c r="C619" t="s">
        <v>19</v>
      </c>
      <c r="D619" t="s">
        <v>23</v>
      </c>
      <c r="E619" t="s">
        <v>14</v>
      </c>
      <c r="F619" t="s">
        <v>15</v>
      </c>
      <c r="G619" t="s">
        <v>16</v>
      </c>
      <c r="H619">
        <v>85000</v>
      </c>
      <c r="I619">
        <v>9</v>
      </c>
      <c r="J619" t="s">
        <v>24</v>
      </c>
      <c r="K619">
        <f t="shared" si="9"/>
        <v>68000</v>
      </c>
      <c r="L619">
        <f>Sales_Data2[[#This Row],[Unit Price]]*Sales_Data2[[#This Row],[Quantity]]</f>
        <v>765000</v>
      </c>
      <c r="M619">
        <f>Sales_Data2[[#This Row],[Cost Price]]*Sales_Data2[[#This Row],[Quantity]]</f>
        <v>612000</v>
      </c>
      <c r="N619" s="3">
        <f>Sales_Data2[[#This Row],[Revenue]]-Sales_Data2[[#This Row],[COGS]]</f>
        <v>153000</v>
      </c>
      <c r="O6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46293|South|Lagos|Corporate|Online|Office Chair Pro|Furniture|85000|9|David|68000</v>
      </c>
      <c r="P619" s="3" t="str">
        <f>IF(COUNTIF(Sales_Data2[RowKey],Sales_Data2[[#This Row],[RowKey]])&gt;1,"Duplicate","Unique")</f>
        <v>Unique</v>
      </c>
      <c r="Q619" s="3" t="str">
        <f>IF(ISNUMBER(Sales_Data2[[#This Row],[Date]]),"OK","Check")</f>
        <v>OK</v>
      </c>
      <c r="R619" s="3" t="str">
        <f>IF(ISNUMBER(Sales_Data2[[#This Row],[Quantity]]),"OK","Check")</f>
        <v>OK</v>
      </c>
    </row>
    <row r="620" spans="1:18">
      <c r="A620" s="1">
        <v>46294</v>
      </c>
      <c r="B620" t="s">
        <v>11</v>
      </c>
      <c r="C620" t="s">
        <v>19</v>
      </c>
      <c r="D620" t="s">
        <v>13</v>
      </c>
      <c r="E620" t="s">
        <v>14</v>
      </c>
      <c r="F620" t="s">
        <v>34</v>
      </c>
      <c r="G620" t="s">
        <v>16</v>
      </c>
      <c r="H620">
        <v>320000</v>
      </c>
      <c r="I620">
        <v>3</v>
      </c>
      <c r="J620" t="s">
        <v>37</v>
      </c>
      <c r="K620">
        <f t="shared" si="9"/>
        <v>256000</v>
      </c>
      <c r="L620">
        <f>Sales_Data2[[#This Row],[Unit Price]]*Sales_Data2[[#This Row],[Quantity]]</f>
        <v>960000</v>
      </c>
      <c r="M620">
        <f>Sales_Data2[[#This Row],[Cost Price]]*Sales_Data2[[#This Row],[Quantity]]</f>
        <v>768000</v>
      </c>
      <c r="N620" s="3">
        <f>Sales_Data2[[#This Row],[Revenue]]-Sales_Data2[[#This Row],[COGS]]</f>
        <v>192000</v>
      </c>
      <c r="O6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46294|West|Lagos|Retail|Online|Sofa Classic|Furniture|320000|3|Aisha|256000</v>
      </c>
      <c r="P620" s="3" t="str">
        <f>IF(COUNTIF(Sales_Data2[RowKey],Sales_Data2[[#This Row],[RowKey]])&gt;1,"Duplicate","Unique")</f>
        <v>Unique</v>
      </c>
      <c r="Q620" s="3" t="str">
        <f>IF(ISNUMBER(Sales_Data2[[#This Row],[Date]]),"OK","Check")</f>
        <v>OK</v>
      </c>
      <c r="R620" s="3" t="str">
        <f>IF(ISNUMBER(Sales_Data2[[#This Row],[Quantity]]),"OK","Check")</f>
        <v>OK</v>
      </c>
    </row>
    <row r="621" spans="1:18">
      <c r="A621" s="1">
        <v>46295</v>
      </c>
      <c r="B621" t="s">
        <v>25</v>
      </c>
      <c r="C621" t="s">
        <v>32</v>
      </c>
      <c r="D621" t="s">
        <v>13</v>
      </c>
      <c r="E621" t="s">
        <v>14</v>
      </c>
      <c r="F621" t="s">
        <v>41</v>
      </c>
      <c r="G621" t="s">
        <v>22</v>
      </c>
      <c r="H621">
        <v>220000</v>
      </c>
      <c r="I621">
        <v>4</v>
      </c>
      <c r="J621" t="s">
        <v>37</v>
      </c>
      <c r="K621">
        <f t="shared" si="9"/>
        <v>176000</v>
      </c>
      <c r="L621">
        <f>Sales_Data2[[#This Row],[Unit Price]]*Sales_Data2[[#This Row],[Quantity]]</f>
        <v>880000</v>
      </c>
      <c r="M621">
        <f>Sales_Data2[[#This Row],[Cost Price]]*Sales_Data2[[#This Row],[Quantity]]</f>
        <v>704000</v>
      </c>
      <c r="N621" s="3">
        <f>Sales_Data2[[#This Row],[Revenue]]-Sales_Data2[[#This Row],[COGS]]</f>
        <v>176000</v>
      </c>
      <c r="O6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46295|South|Abuja|Retail|Online|Refrigerator R55|Home Appliances|220000|4|Aisha|176000</v>
      </c>
      <c r="P621" s="3" t="str">
        <f>IF(COUNTIF(Sales_Data2[RowKey],Sales_Data2[[#This Row],[RowKey]])&gt;1,"Duplicate","Unique")</f>
        <v>Unique</v>
      </c>
      <c r="Q621" s="3" t="str">
        <f>IF(ISNUMBER(Sales_Data2[[#This Row],[Date]]),"OK","Check")</f>
        <v>OK</v>
      </c>
      <c r="R621" s="3" t="str">
        <f>IF(ISNUMBER(Sales_Data2[[#This Row],[Quantity]]),"OK","Check")</f>
        <v>OK</v>
      </c>
    </row>
    <row r="622" spans="1:18">
      <c r="A622" s="1">
        <v>46296</v>
      </c>
      <c r="B622" t="s">
        <v>18</v>
      </c>
      <c r="C622" t="s">
        <v>26</v>
      </c>
      <c r="D622" t="s">
        <v>23</v>
      </c>
      <c r="E622" t="s">
        <v>14</v>
      </c>
      <c r="F622" t="s">
        <v>34</v>
      </c>
      <c r="G622" t="s">
        <v>16</v>
      </c>
      <c r="H622">
        <v>320000</v>
      </c>
      <c r="I622">
        <v>7</v>
      </c>
      <c r="J622" t="s">
        <v>35</v>
      </c>
      <c r="K622">
        <f t="shared" si="9"/>
        <v>256000</v>
      </c>
      <c r="L622">
        <f>Sales_Data2[[#This Row],[Unit Price]]*Sales_Data2[[#This Row],[Quantity]]</f>
        <v>2240000</v>
      </c>
      <c r="M622">
        <f>Sales_Data2[[#This Row],[Cost Price]]*Sales_Data2[[#This Row],[Quantity]]</f>
        <v>1792000</v>
      </c>
      <c r="N622" s="3">
        <f>Sales_Data2[[#This Row],[Revenue]]-Sales_Data2[[#This Row],[COGS]]</f>
        <v>448000</v>
      </c>
      <c r="O6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46296|East|Kano|Corporate|Online|Sofa Classic|Furniture|320000|7|Peter|256000</v>
      </c>
      <c r="P622" s="3" t="str">
        <f>IF(COUNTIF(Sales_Data2[RowKey],Sales_Data2[[#This Row],[RowKey]])&gt;1,"Duplicate","Unique")</f>
        <v>Unique</v>
      </c>
      <c r="Q622" s="3" t="str">
        <f>IF(ISNUMBER(Sales_Data2[[#This Row],[Date]]),"OK","Check")</f>
        <v>OK</v>
      </c>
      <c r="R622" s="3" t="str">
        <f>IF(ISNUMBER(Sales_Data2[[#This Row],[Quantity]]),"OK","Check")</f>
        <v>OK</v>
      </c>
    </row>
    <row r="623" spans="1:18">
      <c r="A623" s="1">
        <v>46297</v>
      </c>
      <c r="B623" t="s">
        <v>18</v>
      </c>
      <c r="C623" t="s">
        <v>12</v>
      </c>
      <c r="D623" t="s">
        <v>23</v>
      </c>
      <c r="E623" t="s">
        <v>14</v>
      </c>
      <c r="F623" t="s">
        <v>40</v>
      </c>
      <c r="G623" t="s">
        <v>31</v>
      </c>
      <c r="H623">
        <v>250000</v>
      </c>
      <c r="I623">
        <v>1</v>
      </c>
      <c r="J623" t="s">
        <v>28</v>
      </c>
      <c r="K623">
        <f t="shared" si="9"/>
        <v>200000</v>
      </c>
      <c r="L623">
        <f>Sales_Data2[[#This Row],[Unit Price]]*Sales_Data2[[#This Row],[Quantity]]</f>
        <v>250000</v>
      </c>
      <c r="M623">
        <f>Sales_Data2[[#This Row],[Cost Price]]*Sales_Data2[[#This Row],[Quantity]]</f>
        <v>200000</v>
      </c>
      <c r="N623" s="3">
        <f>Sales_Data2[[#This Row],[Revenue]]-Sales_Data2[[#This Row],[COGS]]</f>
        <v>50000</v>
      </c>
      <c r="O6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46297|East|Port Harcourt|Corporate|Online|Smartphone Z10|Electronics|250000|1|Musa|200000</v>
      </c>
      <c r="P623" s="3" t="str">
        <f>IF(COUNTIF(Sales_Data2[RowKey],Sales_Data2[[#This Row],[RowKey]])&gt;1,"Duplicate","Unique")</f>
        <v>Unique</v>
      </c>
      <c r="Q623" s="3" t="str">
        <f>IF(ISNUMBER(Sales_Data2[[#This Row],[Date]]),"OK","Check")</f>
        <v>OK</v>
      </c>
      <c r="R623" s="3" t="str">
        <f>IF(ISNUMBER(Sales_Data2[[#This Row],[Quantity]]),"OK","Check")</f>
        <v>OK</v>
      </c>
    </row>
    <row r="624" spans="1:18">
      <c r="A624" s="1">
        <v>46298</v>
      </c>
      <c r="B624" t="s">
        <v>18</v>
      </c>
      <c r="C624" t="s">
        <v>26</v>
      </c>
      <c r="D624" t="s">
        <v>13</v>
      </c>
      <c r="E624" t="s">
        <v>20</v>
      </c>
      <c r="F624" t="s">
        <v>21</v>
      </c>
      <c r="G624" t="s">
        <v>22</v>
      </c>
      <c r="H624">
        <v>30000</v>
      </c>
      <c r="I624">
        <v>5</v>
      </c>
      <c r="J624" t="s">
        <v>28</v>
      </c>
      <c r="K624">
        <f t="shared" si="9"/>
        <v>24000</v>
      </c>
      <c r="L624">
        <f>Sales_Data2[[#This Row],[Unit Price]]*Sales_Data2[[#This Row],[Quantity]]</f>
        <v>150000</v>
      </c>
      <c r="M624">
        <f>Sales_Data2[[#This Row],[Cost Price]]*Sales_Data2[[#This Row],[Quantity]]</f>
        <v>120000</v>
      </c>
      <c r="N624" s="3">
        <f>Sales_Data2[[#This Row],[Revenue]]-Sales_Data2[[#This Row],[COGS]]</f>
        <v>30000</v>
      </c>
      <c r="O6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46298|East|Kano|Retail|Store|Blender B10|Home Appliances|30000|5|Musa|24000</v>
      </c>
      <c r="P624" s="3" t="str">
        <f>IF(COUNTIF(Sales_Data2[RowKey],Sales_Data2[[#This Row],[RowKey]])&gt;1,"Duplicate","Unique")</f>
        <v>Unique</v>
      </c>
      <c r="Q624" s="3" t="str">
        <f>IF(ISNUMBER(Sales_Data2[[#This Row],[Date]]),"OK","Check")</f>
        <v>OK</v>
      </c>
      <c r="R624" s="3" t="str">
        <f>IF(ISNUMBER(Sales_Data2[[#This Row],[Quantity]]),"OK","Check")</f>
        <v>OK</v>
      </c>
    </row>
    <row r="625" spans="1:18">
      <c r="A625" s="1">
        <v>46299</v>
      </c>
      <c r="B625" t="s">
        <v>25</v>
      </c>
      <c r="C625" t="s">
        <v>26</v>
      </c>
      <c r="D625" t="s">
        <v>23</v>
      </c>
      <c r="E625" t="s">
        <v>14</v>
      </c>
      <c r="F625" t="s">
        <v>41</v>
      </c>
      <c r="G625" t="s">
        <v>22</v>
      </c>
      <c r="H625">
        <v>220000</v>
      </c>
      <c r="I625">
        <v>5</v>
      </c>
      <c r="J625" t="s">
        <v>24</v>
      </c>
      <c r="K625">
        <f t="shared" si="9"/>
        <v>176000</v>
      </c>
      <c r="L625">
        <f>Sales_Data2[[#This Row],[Unit Price]]*Sales_Data2[[#This Row],[Quantity]]</f>
        <v>1100000</v>
      </c>
      <c r="M625">
        <f>Sales_Data2[[#This Row],[Cost Price]]*Sales_Data2[[#This Row],[Quantity]]</f>
        <v>880000</v>
      </c>
      <c r="N625" s="3">
        <f>Sales_Data2[[#This Row],[Revenue]]-Sales_Data2[[#This Row],[COGS]]</f>
        <v>220000</v>
      </c>
      <c r="O6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46299|South|Kano|Corporate|Online|Refrigerator R55|Home Appliances|220000|5|David|176000</v>
      </c>
      <c r="P625" s="3" t="str">
        <f>IF(COUNTIF(Sales_Data2[RowKey],Sales_Data2[[#This Row],[RowKey]])&gt;1,"Duplicate","Unique")</f>
        <v>Unique</v>
      </c>
      <c r="Q625" s="3" t="str">
        <f>IF(ISNUMBER(Sales_Data2[[#This Row],[Date]]),"OK","Check")</f>
        <v>OK</v>
      </c>
      <c r="R625" s="3" t="str">
        <f>IF(ISNUMBER(Sales_Data2[[#This Row],[Quantity]]),"OK","Check")</f>
        <v>OK</v>
      </c>
    </row>
    <row r="626" spans="1:18">
      <c r="A626" s="1">
        <v>46300</v>
      </c>
      <c r="B626" t="s">
        <v>29</v>
      </c>
      <c r="C626" t="s">
        <v>26</v>
      </c>
      <c r="D626" t="s">
        <v>23</v>
      </c>
      <c r="E626" t="s">
        <v>20</v>
      </c>
      <c r="F626" t="s">
        <v>40</v>
      </c>
      <c r="G626" t="s">
        <v>31</v>
      </c>
      <c r="H626">
        <v>250000</v>
      </c>
      <c r="I626">
        <v>4</v>
      </c>
      <c r="J626" t="s">
        <v>35</v>
      </c>
      <c r="K626">
        <f t="shared" si="9"/>
        <v>200000</v>
      </c>
      <c r="L626">
        <f>Sales_Data2[[#This Row],[Unit Price]]*Sales_Data2[[#This Row],[Quantity]]</f>
        <v>1000000</v>
      </c>
      <c r="M626">
        <f>Sales_Data2[[#This Row],[Cost Price]]*Sales_Data2[[#This Row],[Quantity]]</f>
        <v>800000</v>
      </c>
      <c r="N626" s="3">
        <f>Sales_Data2[[#This Row],[Revenue]]-Sales_Data2[[#This Row],[COGS]]</f>
        <v>200000</v>
      </c>
      <c r="O6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46300|North|Kano|Corporate|Store|Smartphone Z10|Electronics|250000|4|Peter|200000</v>
      </c>
      <c r="P626" s="3" t="str">
        <f>IF(COUNTIF(Sales_Data2[RowKey],Sales_Data2[[#This Row],[RowKey]])&gt;1,"Duplicate","Unique")</f>
        <v>Unique</v>
      </c>
      <c r="Q626" s="3" t="str">
        <f>IF(ISNUMBER(Sales_Data2[[#This Row],[Date]]),"OK","Check")</f>
        <v>OK</v>
      </c>
      <c r="R626" s="3" t="str">
        <f>IF(ISNUMBER(Sales_Data2[[#This Row],[Quantity]]),"OK","Check")</f>
        <v>OK</v>
      </c>
    </row>
    <row r="627" spans="1:18">
      <c r="A627" s="1">
        <v>46301</v>
      </c>
      <c r="B627" t="s">
        <v>29</v>
      </c>
      <c r="C627" t="s">
        <v>12</v>
      </c>
      <c r="D627" t="s">
        <v>13</v>
      </c>
      <c r="E627" t="s">
        <v>20</v>
      </c>
      <c r="F627" t="s">
        <v>33</v>
      </c>
      <c r="G627" t="s">
        <v>22</v>
      </c>
      <c r="H627">
        <v>180000</v>
      </c>
      <c r="I627">
        <v>4</v>
      </c>
      <c r="J627" t="s">
        <v>17</v>
      </c>
      <c r="K627">
        <f t="shared" si="9"/>
        <v>144000</v>
      </c>
      <c r="L627">
        <f>Sales_Data2[[#This Row],[Unit Price]]*Sales_Data2[[#This Row],[Quantity]]</f>
        <v>720000</v>
      </c>
      <c r="M627">
        <f>Sales_Data2[[#This Row],[Cost Price]]*Sales_Data2[[#This Row],[Quantity]]</f>
        <v>576000</v>
      </c>
      <c r="N627" s="3">
        <f>Sales_Data2[[#This Row],[Revenue]]-Sales_Data2[[#This Row],[COGS]]</f>
        <v>144000</v>
      </c>
      <c r="O6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46301|North|Port Harcourt|Retail|Store|Air Conditioner X2|Home Appliances|180000|4|Chidinma|144000</v>
      </c>
      <c r="P627" s="3" t="str">
        <f>IF(COUNTIF(Sales_Data2[RowKey],Sales_Data2[[#This Row],[RowKey]])&gt;1,"Duplicate","Unique")</f>
        <v>Unique</v>
      </c>
      <c r="Q627" s="3" t="str">
        <f>IF(ISNUMBER(Sales_Data2[[#This Row],[Date]]),"OK","Check")</f>
        <v>OK</v>
      </c>
      <c r="R627" s="3" t="str">
        <f>IF(ISNUMBER(Sales_Data2[[#This Row],[Quantity]]),"OK","Check")</f>
        <v>OK</v>
      </c>
    </row>
    <row r="628" spans="1:18">
      <c r="A628" s="1">
        <v>46302</v>
      </c>
      <c r="B628" t="s">
        <v>25</v>
      </c>
      <c r="C628" t="s">
        <v>12</v>
      </c>
      <c r="D628" t="s">
        <v>23</v>
      </c>
      <c r="E628" t="s">
        <v>20</v>
      </c>
      <c r="F628" t="s">
        <v>27</v>
      </c>
      <c r="G628" t="s">
        <v>22</v>
      </c>
      <c r="H628">
        <v>60000</v>
      </c>
      <c r="I628">
        <v>10</v>
      </c>
      <c r="J628" t="s">
        <v>24</v>
      </c>
      <c r="K628">
        <f t="shared" si="9"/>
        <v>48000</v>
      </c>
      <c r="L628">
        <f>Sales_Data2[[#This Row],[Unit Price]]*Sales_Data2[[#This Row],[Quantity]]</f>
        <v>600000</v>
      </c>
      <c r="M628">
        <f>Sales_Data2[[#This Row],[Cost Price]]*Sales_Data2[[#This Row],[Quantity]]</f>
        <v>480000</v>
      </c>
      <c r="N628" s="3">
        <f>Sales_Data2[[#This Row],[Revenue]]-Sales_Data2[[#This Row],[COGS]]</f>
        <v>120000</v>
      </c>
      <c r="O6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46302|South|Port Harcourt|Corporate|Store|Microwave M20|Home Appliances|60000|10|David|48000</v>
      </c>
      <c r="P628" s="3" t="str">
        <f>IF(COUNTIF(Sales_Data2[RowKey],Sales_Data2[[#This Row],[RowKey]])&gt;1,"Duplicate","Unique")</f>
        <v>Unique</v>
      </c>
      <c r="Q628" s="3" t="str">
        <f>IF(ISNUMBER(Sales_Data2[[#This Row],[Date]]),"OK","Check")</f>
        <v>OK</v>
      </c>
      <c r="R628" s="3" t="str">
        <f>IF(ISNUMBER(Sales_Data2[[#This Row],[Quantity]]),"OK","Check")</f>
        <v>OK</v>
      </c>
    </row>
    <row r="629" spans="1:18">
      <c r="A629" s="1">
        <v>46303</v>
      </c>
      <c r="B629" t="s">
        <v>18</v>
      </c>
      <c r="C629" t="s">
        <v>26</v>
      </c>
      <c r="D629" t="s">
        <v>13</v>
      </c>
      <c r="E629" t="s">
        <v>14</v>
      </c>
      <c r="F629" t="s">
        <v>34</v>
      </c>
      <c r="G629" t="s">
        <v>16</v>
      </c>
      <c r="H629">
        <v>320000</v>
      </c>
      <c r="I629">
        <v>10</v>
      </c>
      <c r="J629" t="s">
        <v>17</v>
      </c>
      <c r="K629">
        <f t="shared" si="9"/>
        <v>256000</v>
      </c>
      <c r="L629">
        <f>Sales_Data2[[#This Row],[Unit Price]]*Sales_Data2[[#This Row],[Quantity]]</f>
        <v>3200000</v>
      </c>
      <c r="M629">
        <f>Sales_Data2[[#This Row],[Cost Price]]*Sales_Data2[[#This Row],[Quantity]]</f>
        <v>2560000</v>
      </c>
      <c r="N629" s="3">
        <f>Sales_Data2[[#This Row],[Revenue]]-Sales_Data2[[#This Row],[COGS]]</f>
        <v>640000</v>
      </c>
      <c r="O6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46303|East|Kano|Retail|Online|Sofa Classic|Furniture|320000|10|Chidinma|256000</v>
      </c>
      <c r="P629" s="3" t="str">
        <f>IF(COUNTIF(Sales_Data2[RowKey],Sales_Data2[[#This Row],[RowKey]])&gt;1,"Duplicate","Unique")</f>
        <v>Unique</v>
      </c>
      <c r="Q629" s="3" t="str">
        <f>IF(ISNUMBER(Sales_Data2[[#This Row],[Date]]),"OK","Check")</f>
        <v>OK</v>
      </c>
      <c r="R629" s="3" t="str">
        <f>IF(ISNUMBER(Sales_Data2[[#This Row],[Quantity]]),"OK","Check")</f>
        <v>OK</v>
      </c>
    </row>
    <row r="630" spans="1:18">
      <c r="A630" s="1">
        <v>46304</v>
      </c>
      <c r="B630" t="s">
        <v>18</v>
      </c>
      <c r="C630" t="s">
        <v>26</v>
      </c>
      <c r="D630" t="s">
        <v>13</v>
      </c>
      <c r="E630" t="s">
        <v>20</v>
      </c>
      <c r="F630" t="s">
        <v>36</v>
      </c>
      <c r="G630" t="s">
        <v>31</v>
      </c>
      <c r="H630">
        <v>150000</v>
      </c>
      <c r="I630">
        <v>4</v>
      </c>
      <c r="J630" t="s">
        <v>28</v>
      </c>
      <c r="K630">
        <f t="shared" si="9"/>
        <v>120000</v>
      </c>
      <c r="L630">
        <f>Sales_Data2[[#This Row],[Unit Price]]*Sales_Data2[[#This Row],[Quantity]]</f>
        <v>600000</v>
      </c>
      <c r="M630">
        <f>Sales_Data2[[#This Row],[Cost Price]]*Sales_Data2[[#This Row],[Quantity]]</f>
        <v>480000</v>
      </c>
      <c r="N630" s="3">
        <f>Sales_Data2[[#This Row],[Revenue]]-Sales_Data2[[#This Row],[COGS]]</f>
        <v>120000</v>
      </c>
      <c r="O6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46304|East|Kano|Retail|Store|Printer P50|Electronics|150000|4|Musa|120000</v>
      </c>
      <c r="P630" s="3" t="str">
        <f>IF(COUNTIF(Sales_Data2[RowKey],Sales_Data2[[#This Row],[RowKey]])&gt;1,"Duplicate","Unique")</f>
        <v>Unique</v>
      </c>
      <c r="Q630" s="3" t="str">
        <f>IF(ISNUMBER(Sales_Data2[[#This Row],[Date]]),"OK","Check")</f>
        <v>OK</v>
      </c>
      <c r="R630" s="3" t="str">
        <f>IF(ISNUMBER(Sales_Data2[[#This Row],[Quantity]]),"OK","Check")</f>
        <v>OK</v>
      </c>
    </row>
    <row r="631" spans="1:18">
      <c r="A631" s="1">
        <v>46305</v>
      </c>
      <c r="B631" t="s">
        <v>11</v>
      </c>
      <c r="C631" t="s">
        <v>12</v>
      </c>
      <c r="D631" t="s">
        <v>23</v>
      </c>
      <c r="E631" t="s">
        <v>20</v>
      </c>
      <c r="F631" t="s">
        <v>34</v>
      </c>
      <c r="G631" t="s">
        <v>16</v>
      </c>
      <c r="H631">
        <v>320000</v>
      </c>
      <c r="I631">
        <v>4</v>
      </c>
      <c r="J631" t="s">
        <v>17</v>
      </c>
      <c r="K631">
        <f t="shared" si="9"/>
        <v>256000</v>
      </c>
      <c r="L631">
        <f>Sales_Data2[[#This Row],[Unit Price]]*Sales_Data2[[#This Row],[Quantity]]</f>
        <v>1280000</v>
      </c>
      <c r="M631">
        <f>Sales_Data2[[#This Row],[Cost Price]]*Sales_Data2[[#This Row],[Quantity]]</f>
        <v>1024000</v>
      </c>
      <c r="N631" s="3">
        <f>Sales_Data2[[#This Row],[Revenue]]-Sales_Data2[[#This Row],[COGS]]</f>
        <v>256000</v>
      </c>
      <c r="O6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46305|West|Port Harcourt|Corporate|Store|Sofa Classic|Furniture|320000|4|Chidinma|256000</v>
      </c>
      <c r="P631" s="3" t="str">
        <f>IF(COUNTIF(Sales_Data2[RowKey],Sales_Data2[[#This Row],[RowKey]])&gt;1,"Duplicate","Unique")</f>
        <v>Unique</v>
      </c>
      <c r="Q631" s="3" t="str">
        <f>IF(ISNUMBER(Sales_Data2[[#This Row],[Date]]),"OK","Check")</f>
        <v>OK</v>
      </c>
      <c r="R631" s="3" t="str">
        <f>IF(ISNUMBER(Sales_Data2[[#This Row],[Quantity]]),"OK","Check")</f>
        <v>OK</v>
      </c>
    </row>
    <row r="632" spans="1:18">
      <c r="A632" s="1">
        <v>46306</v>
      </c>
      <c r="B632" t="s">
        <v>25</v>
      </c>
      <c r="C632" t="s">
        <v>19</v>
      </c>
      <c r="D632" t="s">
        <v>23</v>
      </c>
      <c r="E632" t="s">
        <v>14</v>
      </c>
      <c r="F632" t="s">
        <v>30</v>
      </c>
      <c r="G632" t="s">
        <v>31</v>
      </c>
      <c r="H632">
        <v>300000</v>
      </c>
      <c r="I632">
        <v>7</v>
      </c>
      <c r="J632" t="s">
        <v>37</v>
      </c>
      <c r="K632">
        <f t="shared" si="9"/>
        <v>240000</v>
      </c>
      <c r="L632">
        <f>Sales_Data2[[#This Row],[Unit Price]]*Sales_Data2[[#This Row],[Quantity]]</f>
        <v>2100000</v>
      </c>
      <c r="M632">
        <f>Sales_Data2[[#This Row],[Cost Price]]*Sales_Data2[[#This Row],[Quantity]]</f>
        <v>1680000</v>
      </c>
      <c r="N632" s="3">
        <f>Sales_Data2[[#This Row],[Revenue]]-Sales_Data2[[#This Row],[COGS]]</f>
        <v>420000</v>
      </c>
      <c r="O6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46306|South|Lagos|Corporate|Online|Desktop PC D21|Electronics|300000|7|Aisha|240000</v>
      </c>
      <c r="P632" s="3" t="str">
        <f>IF(COUNTIF(Sales_Data2[RowKey],Sales_Data2[[#This Row],[RowKey]])&gt;1,"Duplicate","Unique")</f>
        <v>Unique</v>
      </c>
      <c r="Q632" s="3" t="str">
        <f>IF(ISNUMBER(Sales_Data2[[#This Row],[Date]]),"OK","Check")</f>
        <v>OK</v>
      </c>
      <c r="R632" s="3" t="str">
        <f>IF(ISNUMBER(Sales_Data2[[#This Row],[Quantity]]),"OK","Check")</f>
        <v>OK</v>
      </c>
    </row>
    <row r="633" spans="1:18">
      <c r="A633" s="1">
        <v>46307</v>
      </c>
      <c r="B633" t="s">
        <v>29</v>
      </c>
      <c r="C633" t="s">
        <v>12</v>
      </c>
      <c r="D633" t="s">
        <v>23</v>
      </c>
      <c r="E633" t="s">
        <v>20</v>
      </c>
      <c r="F633" t="s">
        <v>36</v>
      </c>
      <c r="G633" t="s">
        <v>31</v>
      </c>
      <c r="H633">
        <v>150000</v>
      </c>
      <c r="I633">
        <v>10</v>
      </c>
      <c r="J633" t="s">
        <v>17</v>
      </c>
      <c r="K633">
        <f t="shared" si="9"/>
        <v>120000</v>
      </c>
      <c r="L633">
        <f>Sales_Data2[[#This Row],[Unit Price]]*Sales_Data2[[#This Row],[Quantity]]</f>
        <v>1500000</v>
      </c>
      <c r="M633">
        <f>Sales_Data2[[#This Row],[Cost Price]]*Sales_Data2[[#This Row],[Quantity]]</f>
        <v>1200000</v>
      </c>
      <c r="N633" s="3">
        <f>Sales_Data2[[#This Row],[Revenue]]-Sales_Data2[[#This Row],[COGS]]</f>
        <v>300000</v>
      </c>
      <c r="O6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46307|North|Port Harcourt|Corporate|Store|Printer P50|Electronics|150000|10|Chidinma|120000</v>
      </c>
      <c r="P633" s="3" t="str">
        <f>IF(COUNTIF(Sales_Data2[RowKey],Sales_Data2[[#This Row],[RowKey]])&gt;1,"Duplicate","Unique")</f>
        <v>Unique</v>
      </c>
      <c r="Q633" s="3" t="str">
        <f>IF(ISNUMBER(Sales_Data2[[#This Row],[Date]]),"OK","Check")</f>
        <v>OK</v>
      </c>
      <c r="R633" s="3" t="str">
        <f>IF(ISNUMBER(Sales_Data2[[#This Row],[Quantity]]),"OK","Check")</f>
        <v>OK</v>
      </c>
    </row>
    <row r="634" spans="1:18">
      <c r="A634" s="1">
        <v>46308</v>
      </c>
      <c r="B634" t="s">
        <v>25</v>
      </c>
      <c r="C634" t="s">
        <v>19</v>
      </c>
      <c r="D634" t="s">
        <v>23</v>
      </c>
      <c r="E634" t="s">
        <v>14</v>
      </c>
      <c r="F634" t="s">
        <v>41</v>
      </c>
      <c r="G634" t="s">
        <v>22</v>
      </c>
      <c r="H634">
        <v>220000</v>
      </c>
      <c r="I634">
        <v>9</v>
      </c>
      <c r="J634" t="s">
        <v>17</v>
      </c>
      <c r="K634">
        <f t="shared" si="9"/>
        <v>176000</v>
      </c>
      <c r="L634">
        <f>Sales_Data2[[#This Row],[Unit Price]]*Sales_Data2[[#This Row],[Quantity]]</f>
        <v>1980000</v>
      </c>
      <c r="M634">
        <f>Sales_Data2[[#This Row],[Cost Price]]*Sales_Data2[[#This Row],[Quantity]]</f>
        <v>1584000</v>
      </c>
      <c r="N634" s="3">
        <f>Sales_Data2[[#This Row],[Revenue]]-Sales_Data2[[#This Row],[COGS]]</f>
        <v>396000</v>
      </c>
      <c r="O6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46308|South|Lagos|Corporate|Online|Refrigerator R55|Home Appliances|220000|9|Chidinma|176000</v>
      </c>
      <c r="P634" s="3" t="str">
        <f>IF(COUNTIF(Sales_Data2[RowKey],Sales_Data2[[#This Row],[RowKey]])&gt;1,"Duplicate","Unique")</f>
        <v>Unique</v>
      </c>
      <c r="Q634" s="3" t="str">
        <f>IF(ISNUMBER(Sales_Data2[[#This Row],[Date]]),"OK","Check")</f>
        <v>OK</v>
      </c>
      <c r="R634" s="3" t="str">
        <f>IF(ISNUMBER(Sales_Data2[[#This Row],[Quantity]]),"OK","Check")</f>
        <v>OK</v>
      </c>
    </row>
    <row r="635" spans="1:18">
      <c r="A635" s="1">
        <v>46309</v>
      </c>
      <c r="B635" t="s">
        <v>11</v>
      </c>
      <c r="C635" t="s">
        <v>32</v>
      </c>
      <c r="D635" t="s">
        <v>23</v>
      </c>
      <c r="E635" t="s">
        <v>20</v>
      </c>
      <c r="F635" t="s">
        <v>15</v>
      </c>
      <c r="G635" t="s">
        <v>16</v>
      </c>
      <c r="H635">
        <v>85000</v>
      </c>
      <c r="I635">
        <v>4</v>
      </c>
      <c r="J635" t="s">
        <v>28</v>
      </c>
      <c r="K635">
        <f t="shared" si="9"/>
        <v>68000</v>
      </c>
      <c r="L635">
        <f>Sales_Data2[[#This Row],[Unit Price]]*Sales_Data2[[#This Row],[Quantity]]</f>
        <v>340000</v>
      </c>
      <c r="M635">
        <f>Sales_Data2[[#This Row],[Cost Price]]*Sales_Data2[[#This Row],[Quantity]]</f>
        <v>272000</v>
      </c>
      <c r="N635" s="3">
        <f>Sales_Data2[[#This Row],[Revenue]]-Sales_Data2[[#This Row],[COGS]]</f>
        <v>68000</v>
      </c>
      <c r="O6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46309|West|Abuja|Corporate|Store|Office Chair Pro|Furniture|85000|4|Musa|68000</v>
      </c>
      <c r="P635" s="3" t="str">
        <f>IF(COUNTIF(Sales_Data2[RowKey],Sales_Data2[[#This Row],[RowKey]])&gt;1,"Duplicate","Unique")</f>
        <v>Unique</v>
      </c>
      <c r="Q635" s="3" t="str">
        <f>IF(ISNUMBER(Sales_Data2[[#This Row],[Date]]),"OK","Check")</f>
        <v>OK</v>
      </c>
      <c r="R635" s="3" t="str">
        <f>IF(ISNUMBER(Sales_Data2[[#This Row],[Quantity]]),"OK","Check")</f>
        <v>OK</v>
      </c>
    </row>
    <row r="636" spans="1:18">
      <c r="A636" s="1">
        <v>46310</v>
      </c>
      <c r="B636" t="s">
        <v>25</v>
      </c>
      <c r="C636" t="s">
        <v>26</v>
      </c>
      <c r="D636" t="s">
        <v>23</v>
      </c>
      <c r="E636" t="s">
        <v>14</v>
      </c>
      <c r="F636" t="s">
        <v>34</v>
      </c>
      <c r="G636" t="s">
        <v>16</v>
      </c>
      <c r="H636">
        <v>320000</v>
      </c>
      <c r="I636">
        <v>1</v>
      </c>
      <c r="J636" t="s">
        <v>39</v>
      </c>
      <c r="K636">
        <f t="shared" si="9"/>
        <v>256000</v>
      </c>
      <c r="L636">
        <f>Sales_Data2[[#This Row],[Unit Price]]*Sales_Data2[[#This Row],[Quantity]]</f>
        <v>320000</v>
      </c>
      <c r="M636">
        <f>Sales_Data2[[#This Row],[Cost Price]]*Sales_Data2[[#This Row],[Quantity]]</f>
        <v>256000</v>
      </c>
      <c r="N636" s="3">
        <f>Sales_Data2[[#This Row],[Revenue]]-Sales_Data2[[#This Row],[COGS]]</f>
        <v>64000</v>
      </c>
      <c r="O6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46310|South|Kano|Corporate|Online|Sofa Classic|Furniture|320000|1|Grace|256000</v>
      </c>
      <c r="P636" s="3" t="str">
        <f>IF(COUNTIF(Sales_Data2[RowKey],Sales_Data2[[#This Row],[RowKey]])&gt;1,"Duplicate","Unique")</f>
        <v>Unique</v>
      </c>
      <c r="Q636" s="3" t="str">
        <f>IF(ISNUMBER(Sales_Data2[[#This Row],[Date]]),"OK","Check")</f>
        <v>OK</v>
      </c>
      <c r="R636" s="3" t="str">
        <f>IF(ISNUMBER(Sales_Data2[[#This Row],[Quantity]]),"OK","Check")</f>
        <v>OK</v>
      </c>
    </row>
    <row r="637" spans="1:18">
      <c r="A637" s="1">
        <v>46311</v>
      </c>
      <c r="B637" t="s">
        <v>18</v>
      </c>
      <c r="C637" t="s">
        <v>32</v>
      </c>
      <c r="D637" t="s">
        <v>23</v>
      </c>
      <c r="E637" t="s">
        <v>20</v>
      </c>
      <c r="F637" t="s">
        <v>38</v>
      </c>
      <c r="G637" t="s">
        <v>31</v>
      </c>
      <c r="H637">
        <v>420000</v>
      </c>
      <c r="I637">
        <v>1</v>
      </c>
      <c r="J637" t="s">
        <v>35</v>
      </c>
      <c r="K637">
        <f t="shared" si="9"/>
        <v>336000</v>
      </c>
      <c r="L637">
        <f>Sales_Data2[[#This Row],[Unit Price]]*Sales_Data2[[#This Row],[Quantity]]</f>
        <v>420000</v>
      </c>
      <c r="M637">
        <f>Sales_Data2[[#This Row],[Cost Price]]*Sales_Data2[[#This Row],[Quantity]]</f>
        <v>336000</v>
      </c>
      <c r="N637" s="3">
        <f>Sales_Data2[[#This Row],[Revenue]]-Sales_Data2[[#This Row],[COGS]]</f>
        <v>84000</v>
      </c>
      <c r="O6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46311|East|Abuja|Corporate|Store|Laptop A13|Electronics|420000|1|Peter|336000</v>
      </c>
      <c r="P637" s="3" t="str">
        <f>IF(COUNTIF(Sales_Data2[RowKey],Sales_Data2[[#This Row],[RowKey]])&gt;1,"Duplicate","Unique")</f>
        <v>Unique</v>
      </c>
      <c r="Q637" s="3" t="str">
        <f>IF(ISNUMBER(Sales_Data2[[#This Row],[Date]]),"OK","Check")</f>
        <v>OK</v>
      </c>
      <c r="R637" s="3" t="str">
        <f>IF(ISNUMBER(Sales_Data2[[#This Row],[Quantity]]),"OK","Check")</f>
        <v>OK</v>
      </c>
    </row>
    <row r="638" spans="1:18">
      <c r="A638" s="1">
        <v>46312</v>
      </c>
      <c r="B638" t="s">
        <v>25</v>
      </c>
      <c r="C638" t="s">
        <v>26</v>
      </c>
      <c r="D638" t="s">
        <v>23</v>
      </c>
      <c r="E638" t="s">
        <v>20</v>
      </c>
      <c r="F638" t="s">
        <v>38</v>
      </c>
      <c r="G638" t="s">
        <v>31</v>
      </c>
      <c r="H638">
        <v>420000</v>
      </c>
      <c r="I638">
        <v>6</v>
      </c>
      <c r="J638" t="s">
        <v>24</v>
      </c>
      <c r="K638">
        <f t="shared" si="9"/>
        <v>336000</v>
      </c>
      <c r="L638">
        <f>Sales_Data2[[#This Row],[Unit Price]]*Sales_Data2[[#This Row],[Quantity]]</f>
        <v>2520000</v>
      </c>
      <c r="M638">
        <f>Sales_Data2[[#This Row],[Cost Price]]*Sales_Data2[[#This Row],[Quantity]]</f>
        <v>2016000</v>
      </c>
      <c r="N638" s="3">
        <f>Sales_Data2[[#This Row],[Revenue]]-Sales_Data2[[#This Row],[COGS]]</f>
        <v>504000</v>
      </c>
      <c r="O6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46312|South|Kano|Corporate|Store|Laptop A13|Electronics|420000|6|David|336000</v>
      </c>
      <c r="P638" s="3" t="str">
        <f>IF(COUNTIF(Sales_Data2[RowKey],Sales_Data2[[#This Row],[RowKey]])&gt;1,"Duplicate","Unique")</f>
        <v>Unique</v>
      </c>
      <c r="Q638" s="3" t="str">
        <f>IF(ISNUMBER(Sales_Data2[[#This Row],[Date]]),"OK","Check")</f>
        <v>OK</v>
      </c>
      <c r="R638" s="3" t="str">
        <f>IF(ISNUMBER(Sales_Data2[[#This Row],[Quantity]]),"OK","Check")</f>
        <v>OK</v>
      </c>
    </row>
    <row r="639" spans="1:18">
      <c r="A639" s="1">
        <v>46313</v>
      </c>
      <c r="B639" t="s">
        <v>29</v>
      </c>
      <c r="C639" t="s">
        <v>19</v>
      </c>
      <c r="D639" t="s">
        <v>23</v>
      </c>
      <c r="E639" t="s">
        <v>14</v>
      </c>
      <c r="F639" t="s">
        <v>27</v>
      </c>
      <c r="G639" t="s">
        <v>22</v>
      </c>
      <c r="H639">
        <v>60000</v>
      </c>
      <c r="I639">
        <v>8</v>
      </c>
      <c r="J639" t="s">
        <v>37</v>
      </c>
      <c r="K639">
        <f t="shared" si="9"/>
        <v>48000</v>
      </c>
      <c r="L639">
        <f>Sales_Data2[[#This Row],[Unit Price]]*Sales_Data2[[#This Row],[Quantity]]</f>
        <v>480000</v>
      </c>
      <c r="M639">
        <f>Sales_Data2[[#This Row],[Cost Price]]*Sales_Data2[[#This Row],[Quantity]]</f>
        <v>384000</v>
      </c>
      <c r="N639" s="3">
        <f>Sales_Data2[[#This Row],[Revenue]]-Sales_Data2[[#This Row],[COGS]]</f>
        <v>96000</v>
      </c>
      <c r="O6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46313|North|Lagos|Corporate|Online|Microwave M20|Home Appliances|60000|8|Aisha|48000</v>
      </c>
      <c r="P639" s="3" t="str">
        <f>IF(COUNTIF(Sales_Data2[RowKey],Sales_Data2[[#This Row],[RowKey]])&gt;1,"Duplicate","Unique")</f>
        <v>Unique</v>
      </c>
      <c r="Q639" s="3" t="str">
        <f>IF(ISNUMBER(Sales_Data2[[#This Row],[Date]]),"OK","Check")</f>
        <v>OK</v>
      </c>
      <c r="R639" s="3" t="str">
        <f>IF(ISNUMBER(Sales_Data2[[#This Row],[Quantity]]),"OK","Check")</f>
        <v>OK</v>
      </c>
    </row>
    <row r="640" spans="1:18">
      <c r="A640" s="1">
        <v>46314</v>
      </c>
      <c r="B640" t="s">
        <v>18</v>
      </c>
      <c r="C640" t="s">
        <v>12</v>
      </c>
      <c r="D640" t="s">
        <v>23</v>
      </c>
      <c r="E640" t="s">
        <v>20</v>
      </c>
      <c r="F640" t="s">
        <v>41</v>
      </c>
      <c r="G640" t="s">
        <v>22</v>
      </c>
      <c r="H640">
        <v>220000</v>
      </c>
      <c r="I640">
        <v>7</v>
      </c>
      <c r="J640" t="s">
        <v>17</v>
      </c>
      <c r="K640">
        <f t="shared" si="9"/>
        <v>176000</v>
      </c>
      <c r="L640">
        <f>Sales_Data2[[#This Row],[Unit Price]]*Sales_Data2[[#This Row],[Quantity]]</f>
        <v>1540000</v>
      </c>
      <c r="M640">
        <f>Sales_Data2[[#This Row],[Cost Price]]*Sales_Data2[[#This Row],[Quantity]]</f>
        <v>1232000</v>
      </c>
      <c r="N640" s="3">
        <f>Sales_Data2[[#This Row],[Revenue]]-Sales_Data2[[#This Row],[COGS]]</f>
        <v>308000</v>
      </c>
      <c r="O6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46314|East|Port Harcourt|Corporate|Store|Refrigerator R55|Home Appliances|220000|7|Chidinma|176000</v>
      </c>
      <c r="P640" s="3" t="str">
        <f>IF(COUNTIF(Sales_Data2[RowKey],Sales_Data2[[#This Row],[RowKey]])&gt;1,"Duplicate","Unique")</f>
        <v>Unique</v>
      </c>
      <c r="Q640" s="3" t="str">
        <f>IF(ISNUMBER(Sales_Data2[[#This Row],[Date]]),"OK","Check")</f>
        <v>OK</v>
      </c>
      <c r="R640" s="3" t="str">
        <f>IF(ISNUMBER(Sales_Data2[[#This Row],[Quantity]]),"OK","Check")</f>
        <v>OK</v>
      </c>
    </row>
    <row r="641" spans="1:18">
      <c r="A641" s="1">
        <v>46315</v>
      </c>
      <c r="B641" t="s">
        <v>25</v>
      </c>
      <c r="C641" t="s">
        <v>12</v>
      </c>
      <c r="D641" t="s">
        <v>23</v>
      </c>
      <c r="E641" t="s">
        <v>14</v>
      </c>
      <c r="F641" t="s">
        <v>34</v>
      </c>
      <c r="G641" t="s">
        <v>16</v>
      </c>
      <c r="H641">
        <v>320000</v>
      </c>
      <c r="I641">
        <v>9</v>
      </c>
      <c r="J641" t="s">
        <v>35</v>
      </c>
      <c r="K641">
        <f t="shared" si="9"/>
        <v>256000</v>
      </c>
      <c r="L641">
        <f>Sales_Data2[[#This Row],[Unit Price]]*Sales_Data2[[#This Row],[Quantity]]</f>
        <v>2880000</v>
      </c>
      <c r="M641">
        <f>Sales_Data2[[#This Row],[Cost Price]]*Sales_Data2[[#This Row],[Quantity]]</f>
        <v>2304000</v>
      </c>
      <c r="N641" s="3">
        <f>Sales_Data2[[#This Row],[Revenue]]-Sales_Data2[[#This Row],[COGS]]</f>
        <v>576000</v>
      </c>
      <c r="O6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46315|South|Port Harcourt|Corporate|Online|Sofa Classic|Furniture|320000|9|Peter|256000</v>
      </c>
      <c r="P641" s="3" t="str">
        <f>IF(COUNTIF(Sales_Data2[RowKey],Sales_Data2[[#This Row],[RowKey]])&gt;1,"Duplicate","Unique")</f>
        <v>Unique</v>
      </c>
      <c r="Q641" s="3" t="str">
        <f>IF(ISNUMBER(Sales_Data2[[#This Row],[Date]]),"OK","Check")</f>
        <v>OK</v>
      </c>
      <c r="R641" s="3" t="str">
        <f>IF(ISNUMBER(Sales_Data2[[#This Row],[Quantity]]),"OK","Check")</f>
        <v>OK</v>
      </c>
    </row>
    <row r="642" spans="1:18">
      <c r="A642" s="1">
        <v>46316</v>
      </c>
      <c r="B642" t="s">
        <v>11</v>
      </c>
      <c r="C642" t="s">
        <v>32</v>
      </c>
      <c r="D642" t="s">
        <v>23</v>
      </c>
      <c r="E642" t="s">
        <v>20</v>
      </c>
      <c r="F642" t="s">
        <v>30</v>
      </c>
      <c r="G642" t="s">
        <v>31</v>
      </c>
      <c r="H642">
        <v>300000</v>
      </c>
      <c r="I642">
        <v>2</v>
      </c>
      <c r="J642" t="s">
        <v>37</v>
      </c>
      <c r="K642">
        <f t="shared" ref="K642:K705" si="10">H642-H642*0.2</f>
        <v>240000</v>
      </c>
      <c r="L642">
        <f>Sales_Data2[[#This Row],[Unit Price]]*Sales_Data2[[#This Row],[Quantity]]</f>
        <v>600000</v>
      </c>
      <c r="M642">
        <f>Sales_Data2[[#This Row],[Cost Price]]*Sales_Data2[[#This Row],[Quantity]]</f>
        <v>480000</v>
      </c>
      <c r="N642" s="3">
        <f>Sales_Data2[[#This Row],[Revenue]]-Sales_Data2[[#This Row],[COGS]]</f>
        <v>120000</v>
      </c>
      <c r="O6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46316|West|Abuja|Corporate|Store|Desktop PC D21|Electronics|300000|2|Aisha|240000</v>
      </c>
      <c r="P642" s="3" t="str">
        <f>IF(COUNTIF(Sales_Data2[RowKey],Sales_Data2[[#This Row],[RowKey]])&gt;1,"Duplicate","Unique")</f>
        <v>Unique</v>
      </c>
      <c r="Q642" s="3" t="str">
        <f>IF(ISNUMBER(Sales_Data2[[#This Row],[Date]]),"OK","Check")</f>
        <v>OK</v>
      </c>
      <c r="R642" s="3" t="str">
        <f>IF(ISNUMBER(Sales_Data2[[#This Row],[Quantity]]),"OK","Check")</f>
        <v>OK</v>
      </c>
    </row>
    <row r="643" spans="1:18">
      <c r="A643" s="1">
        <v>46317</v>
      </c>
      <c r="B643" t="s">
        <v>25</v>
      </c>
      <c r="C643" t="s">
        <v>12</v>
      </c>
      <c r="D643" t="s">
        <v>23</v>
      </c>
      <c r="E643" t="s">
        <v>14</v>
      </c>
      <c r="F643" t="s">
        <v>40</v>
      </c>
      <c r="G643" t="s">
        <v>31</v>
      </c>
      <c r="H643">
        <v>250000</v>
      </c>
      <c r="I643">
        <v>4</v>
      </c>
      <c r="J643" t="s">
        <v>37</v>
      </c>
      <c r="K643">
        <f t="shared" si="10"/>
        <v>200000</v>
      </c>
      <c r="L643">
        <f>Sales_Data2[[#This Row],[Unit Price]]*Sales_Data2[[#This Row],[Quantity]]</f>
        <v>1000000</v>
      </c>
      <c r="M643">
        <f>Sales_Data2[[#This Row],[Cost Price]]*Sales_Data2[[#This Row],[Quantity]]</f>
        <v>800000</v>
      </c>
      <c r="N643" s="3">
        <f>Sales_Data2[[#This Row],[Revenue]]-Sales_Data2[[#This Row],[COGS]]</f>
        <v>200000</v>
      </c>
      <c r="O6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46317|South|Port Harcourt|Corporate|Online|Smartphone Z10|Electronics|250000|4|Aisha|200000</v>
      </c>
      <c r="P643" s="3" t="str">
        <f>IF(COUNTIF(Sales_Data2[RowKey],Sales_Data2[[#This Row],[RowKey]])&gt;1,"Duplicate","Unique")</f>
        <v>Unique</v>
      </c>
      <c r="Q643" s="3" t="str">
        <f>IF(ISNUMBER(Sales_Data2[[#This Row],[Date]]),"OK","Check")</f>
        <v>OK</v>
      </c>
      <c r="R643" s="3" t="str">
        <f>IF(ISNUMBER(Sales_Data2[[#This Row],[Quantity]]),"OK","Check")</f>
        <v>OK</v>
      </c>
    </row>
    <row r="644" spans="1:18">
      <c r="A644" s="1">
        <v>46318</v>
      </c>
      <c r="B644" t="s">
        <v>29</v>
      </c>
      <c r="C644" t="s">
        <v>19</v>
      </c>
      <c r="D644" t="s">
        <v>13</v>
      </c>
      <c r="E644" t="s">
        <v>14</v>
      </c>
      <c r="F644" t="s">
        <v>21</v>
      </c>
      <c r="G644" t="s">
        <v>22</v>
      </c>
      <c r="H644">
        <v>30000</v>
      </c>
      <c r="I644">
        <v>4</v>
      </c>
      <c r="J644" t="s">
        <v>37</v>
      </c>
      <c r="K644">
        <f t="shared" si="10"/>
        <v>24000</v>
      </c>
      <c r="L644">
        <f>Sales_Data2[[#This Row],[Unit Price]]*Sales_Data2[[#This Row],[Quantity]]</f>
        <v>120000</v>
      </c>
      <c r="M644">
        <f>Sales_Data2[[#This Row],[Cost Price]]*Sales_Data2[[#This Row],[Quantity]]</f>
        <v>96000</v>
      </c>
      <c r="N644" s="3">
        <f>Sales_Data2[[#This Row],[Revenue]]-Sales_Data2[[#This Row],[COGS]]</f>
        <v>24000</v>
      </c>
      <c r="O6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46318|North|Lagos|Retail|Online|Blender B10|Home Appliances|30000|4|Aisha|24000</v>
      </c>
      <c r="P644" s="3" t="str">
        <f>IF(COUNTIF(Sales_Data2[RowKey],Sales_Data2[[#This Row],[RowKey]])&gt;1,"Duplicate","Unique")</f>
        <v>Unique</v>
      </c>
      <c r="Q644" s="3" t="str">
        <f>IF(ISNUMBER(Sales_Data2[[#This Row],[Date]]),"OK","Check")</f>
        <v>OK</v>
      </c>
      <c r="R644" s="3" t="str">
        <f>IF(ISNUMBER(Sales_Data2[[#This Row],[Quantity]]),"OK","Check")</f>
        <v>OK</v>
      </c>
    </row>
    <row r="645" spans="1:18">
      <c r="A645" s="1">
        <v>46319</v>
      </c>
      <c r="B645" t="s">
        <v>11</v>
      </c>
      <c r="C645" t="s">
        <v>19</v>
      </c>
      <c r="D645" t="s">
        <v>13</v>
      </c>
      <c r="E645" t="s">
        <v>20</v>
      </c>
      <c r="F645" t="s">
        <v>41</v>
      </c>
      <c r="G645" t="s">
        <v>22</v>
      </c>
      <c r="H645">
        <v>220000</v>
      </c>
      <c r="I645">
        <v>4</v>
      </c>
      <c r="J645" t="s">
        <v>17</v>
      </c>
      <c r="K645">
        <f t="shared" si="10"/>
        <v>176000</v>
      </c>
      <c r="L645">
        <f>Sales_Data2[[#This Row],[Unit Price]]*Sales_Data2[[#This Row],[Quantity]]</f>
        <v>880000</v>
      </c>
      <c r="M645">
        <f>Sales_Data2[[#This Row],[Cost Price]]*Sales_Data2[[#This Row],[Quantity]]</f>
        <v>704000</v>
      </c>
      <c r="N645" s="3">
        <f>Sales_Data2[[#This Row],[Revenue]]-Sales_Data2[[#This Row],[COGS]]</f>
        <v>176000</v>
      </c>
      <c r="O6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46319|West|Lagos|Retail|Store|Refrigerator R55|Home Appliances|220000|4|Chidinma|176000</v>
      </c>
      <c r="P645" s="3" t="str">
        <f>IF(COUNTIF(Sales_Data2[RowKey],Sales_Data2[[#This Row],[RowKey]])&gt;1,"Duplicate","Unique")</f>
        <v>Unique</v>
      </c>
      <c r="Q645" s="3" t="str">
        <f>IF(ISNUMBER(Sales_Data2[[#This Row],[Date]]),"OK","Check")</f>
        <v>OK</v>
      </c>
      <c r="R645" s="3" t="str">
        <f>IF(ISNUMBER(Sales_Data2[[#This Row],[Quantity]]),"OK","Check")</f>
        <v>OK</v>
      </c>
    </row>
    <row r="646" spans="1:18">
      <c r="A646" s="1">
        <v>46320</v>
      </c>
      <c r="B646" t="s">
        <v>29</v>
      </c>
      <c r="C646" t="s">
        <v>32</v>
      </c>
      <c r="D646" t="s">
        <v>13</v>
      </c>
      <c r="E646" t="s">
        <v>20</v>
      </c>
      <c r="F646" t="s">
        <v>30</v>
      </c>
      <c r="G646" t="s">
        <v>31</v>
      </c>
      <c r="H646">
        <v>300000</v>
      </c>
      <c r="I646">
        <v>2</v>
      </c>
      <c r="J646" t="s">
        <v>37</v>
      </c>
      <c r="K646">
        <f t="shared" si="10"/>
        <v>240000</v>
      </c>
      <c r="L646">
        <f>Sales_Data2[[#This Row],[Unit Price]]*Sales_Data2[[#This Row],[Quantity]]</f>
        <v>600000</v>
      </c>
      <c r="M646">
        <f>Sales_Data2[[#This Row],[Cost Price]]*Sales_Data2[[#This Row],[Quantity]]</f>
        <v>480000</v>
      </c>
      <c r="N646" s="3">
        <f>Sales_Data2[[#This Row],[Revenue]]-Sales_Data2[[#This Row],[COGS]]</f>
        <v>120000</v>
      </c>
      <c r="O6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46320|North|Abuja|Retail|Store|Desktop PC D21|Electronics|300000|2|Aisha|240000</v>
      </c>
      <c r="P646" s="3" t="str">
        <f>IF(COUNTIF(Sales_Data2[RowKey],Sales_Data2[[#This Row],[RowKey]])&gt;1,"Duplicate","Unique")</f>
        <v>Unique</v>
      </c>
      <c r="Q646" s="3" t="str">
        <f>IF(ISNUMBER(Sales_Data2[[#This Row],[Date]]),"OK","Check")</f>
        <v>OK</v>
      </c>
      <c r="R646" s="3" t="str">
        <f>IF(ISNUMBER(Sales_Data2[[#This Row],[Quantity]]),"OK","Check")</f>
        <v>OK</v>
      </c>
    </row>
    <row r="647" spans="1:18">
      <c r="A647" s="1">
        <v>46321</v>
      </c>
      <c r="B647" t="s">
        <v>25</v>
      </c>
      <c r="C647" t="s">
        <v>19</v>
      </c>
      <c r="D647" t="s">
        <v>13</v>
      </c>
      <c r="E647" t="s">
        <v>14</v>
      </c>
      <c r="F647" t="s">
        <v>34</v>
      </c>
      <c r="G647" t="s">
        <v>16</v>
      </c>
      <c r="H647">
        <v>320000</v>
      </c>
      <c r="I647">
        <v>7</v>
      </c>
      <c r="J647" t="s">
        <v>24</v>
      </c>
      <c r="K647">
        <f t="shared" si="10"/>
        <v>256000</v>
      </c>
      <c r="L647">
        <f>Sales_Data2[[#This Row],[Unit Price]]*Sales_Data2[[#This Row],[Quantity]]</f>
        <v>2240000</v>
      </c>
      <c r="M647">
        <f>Sales_Data2[[#This Row],[Cost Price]]*Sales_Data2[[#This Row],[Quantity]]</f>
        <v>1792000</v>
      </c>
      <c r="N647" s="3">
        <f>Sales_Data2[[#This Row],[Revenue]]-Sales_Data2[[#This Row],[COGS]]</f>
        <v>448000</v>
      </c>
      <c r="O6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46321|South|Lagos|Retail|Online|Sofa Classic|Furniture|320000|7|David|256000</v>
      </c>
      <c r="P647" s="3" t="str">
        <f>IF(COUNTIF(Sales_Data2[RowKey],Sales_Data2[[#This Row],[RowKey]])&gt;1,"Duplicate","Unique")</f>
        <v>Unique</v>
      </c>
      <c r="Q647" s="3" t="str">
        <f>IF(ISNUMBER(Sales_Data2[[#This Row],[Date]]),"OK","Check")</f>
        <v>OK</v>
      </c>
      <c r="R647" s="3" t="str">
        <f>IF(ISNUMBER(Sales_Data2[[#This Row],[Quantity]]),"OK","Check")</f>
        <v>OK</v>
      </c>
    </row>
    <row r="648" spans="1:18">
      <c r="A648" s="1">
        <v>46322</v>
      </c>
      <c r="B648" t="s">
        <v>18</v>
      </c>
      <c r="C648" t="s">
        <v>32</v>
      </c>
      <c r="D648" t="s">
        <v>23</v>
      </c>
      <c r="E648" t="s">
        <v>14</v>
      </c>
      <c r="F648" t="s">
        <v>27</v>
      </c>
      <c r="G648" t="s">
        <v>22</v>
      </c>
      <c r="H648">
        <v>60000</v>
      </c>
      <c r="I648">
        <v>5</v>
      </c>
      <c r="J648" t="s">
        <v>28</v>
      </c>
      <c r="K648">
        <f t="shared" si="10"/>
        <v>48000</v>
      </c>
      <c r="L648">
        <f>Sales_Data2[[#This Row],[Unit Price]]*Sales_Data2[[#This Row],[Quantity]]</f>
        <v>300000</v>
      </c>
      <c r="M648">
        <f>Sales_Data2[[#This Row],[Cost Price]]*Sales_Data2[[#This Row],[Quantity]]</f>
        <v>240000</v>
      </c>
      <c r="N648" s="3">
        <f>Sales_Data2[[#This Row],[Revenue]]-Sales_Data2[[#This Row],[COGS]]</f>
        <v>60000</v>
      </c>
      <c r="O6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46322|East|Abuja|Corporate|Online|Microwave M20|Home Appliances|60000|5|Musa|48000</v>
      </c>
      <c r="P648" s="3" t="str">
        <f>IF(COUNTIF(Sales_Data2[RowKey],Sales_Data2[[#This Row],[RowKey]])&gt;1,"Duplicate","Unique")</f>
        <v>Unique</v>
      </c>
      <c r="Q648" s="3" t="str">
        <f>IF(ISNUMBER(Sales_Data2[[#This Row],[Date]]),"OK","Check")</f>
        <v>OK</v>
      </c>
      <c r="R648" s="3" t="str">
        <f>IF(ISNUMBER(Sales_Data2[[#This Row],[Quantity]]),"OK","Check")</f>
        <v>OK</v>
      </c>
    </row>
    <row r="649" spans="1:18">
      <c r="A649" s="1">
        <v>46323</v>
      </c>
      <c r="B649" t="s">
        <v>25</v>
      </c>
      <c r="C649" t="s">
        <v>26</v>
      </c>
      <c r="D649" t="s">
        <v>13</v>
      </c>
      <c r="E649" t="s">
        <v>14</v>
      </c>
      <c r="F649" t="s">
        <v>15</v>
      </c>
      <c r="G649" t="s">
        <v>16</v>
      </c>
      <c r="H649">
        <v>85000</v>
      </c>
      <c r="I649">
        <v>7</v>
      </c>
      <c r="J649" t="s">
        <v>35</v>
      </c>
      <c r="K649">
        <f t="shared" si="10"/>
        <v>68000</v>
      </c>
      <c r="L649">
        <f>Sales_Data2[[#This Row],[Unit Price]]*Sales_Data2[[#This Row],[Quantity]]</f>
        <v>595000</v>
      </c>
      <c r="M649">
        <f>Sales_Data2[[#This Row],[Cost Price]]*Sales_Data2[[#This Row],[Quantity]]</f>
        <v>476000</v>
      </c>
      <c r="N649" s="3">
        <f>Sales_Data2[[#This Row],[Revenue]]-Sales_Data2[[#This Row],[COGS]]</f>
        <v>119000</v>
      </c>
      <c r="O6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46323|South|Kano|Retail|Online|Office Chair Pro|Furniture|85000|7|Peter|68000</v>
      </c>
      <c r="P649" s="3" t="str">
        <f>IF(COUNTIF(Sales_Data2[RowKey],Sales_Data2[[#This Row],[RowKey]])&gt;1,"Duplicate","Unique")</f>
        <v>Unique</v>
      </c>
      <c r="Q649" s="3" t="str">
        <f>IF(ISNUMBER(Sales_Data2[[#This Row],[Date]]),"OK","Check")</f>
        <v>OK</v>
      </c>
      <c r="R649" s="3" t="str">
        <f>IF(ISNUMBER(Sales_Data2[[#This Row],[Quantity]]),"OK","Check")</f>
        <v>OK</v>
      </c>
    </row>
    <row r="650" spans="1:18">
      <c r="A650" s="1">
        <v>46324</v>
      </c>
      <c r="B650" t="s">
        <v>11</v>
      </c>
      <c r="C650" t="s">
        <v>19</v>
      </c>
      <c r="D650" t="s">
        <v>13</v>
      </c>
      <c r="E650" t="s">
        <v>20</v>
      </c>
      <c r="F650" t="s">
        <v>30</v>
      </c>
      <c r="G650" t="s">
        <v>31</v>
      </c>
      <c r="H650">
        <v>300000</v>
      </c>
      <c r="I650">
        <v>6</v>
      </c>
      <c r="J650" t="s">
        <v>39</v>
      </c>
      <c r="K650">
        <f t="shared" si="10"/>
        <v>240000</v>
      </c>
      <c r="L650">
        <f>Sales_Data2[[#This Row],[Unit Price]]*Sales_Data2[[#This Row],[Quantity]]</f>
        <v>1800000</v>
      </c>
      <c r="M650">
        <f>Sales_Data2[[#This Row],[Cost Price]]*Sales_Data2[[#This Row],[Quantity]]</f>
        <v>1440000</v>
      </c>
      <c r="N650" s="3">
        <f>Sales_Data2[[#This Row],[Revenue]]-Sales_Data2[[#This Row],[COGS]]</f>
        <v>360000</v>
      </c>
      <c r="O6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46324|West|Lagos|Retail|Store|Desktop PC D21|Electronics|300000|6|Grace|240000</v>
      </c>
      <c r="P650" s="3" t="str">
        <f>IF(COUNTIF(Sales_Data2[RowKey],Sales_Data2[[#This Row],[RowKey]])&gt;1,"Duplicate","Unique")</f>
        <v>Unique</v>
      </c>
      <c r="Q650" s="3" t="str">
        <f>IF(ISNUMBER(Sales_Data2[[#This Row],[Date]]),"OK","Check")</f>
        <v>OK</v>
      </c>
      <c r="R650" s="3" t="str">
        <f>IF(ISNUMBER(Sales_Data2[[#This Row],[Quantity]]),"OK","Check")</f>
        <v>OK</v>
      </c>
    </row>
    <row r="651" spans="1:18">
      <c r="A651" s="1">
        <v>46325</v>
      </c>
      <c r="B651" t="s">
        <v>18</v>
      </c>
      <c r="C651" t="s">
        <v>26</v>
      </c>
      <c r="D651" t="s">
        <v>23</v>
      </c>
      <c r="E651" t="s">
        <v>14</v>
      </c>
      <c r="F651" t="s">
        <v>33</v>
      </c>
      <c r="G651" t="s">
        <v>22</v>
      </c>
      <c r="H651">
        <v>180000</v>
      </c>
      <c r="I651">
        <v>5</v>
      </c>
      <c r="J651" t="s">
        <v>28</v>
      </c>
      <c r="K651">
        <f t="shared" si="10"/>
        <v>144000</v>
      </c>
      <c r="L651">
        <f>Sales_Data2[[#This Row],[Unit Price]]*Sales_Data2[[#This Row],[Quantity]]</f>
        <v>900000</v>
      </c>
      <c r="M651">
        <f>Sales_Data2[[#This Row],[Cost Price]]*Sales_Data2[[#This Row],[Quantity]]</f>
        <v>720000</v>
      </c>
      <c r="N651" s="3">
        <f>Sales_Data2[[#This Row],[Revenue]]-Sales_Data2[[#This Row],[COGS]]</f>
        <v>180000</v>
      </c>
      <c r="O6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46325|East|Kano|Corporate|Online|Air Conditioner X2|Home Appliances|180000|5|Musa|144000</v>
      </c>
      <c r="P651" s="3" t="str">
        <f>IF(COUNTIF(Sales_Data2[RowKey],Sales_Data2[[#This Row],[RowKey]])&gt;1,"Duplicate","Unique")</f>
        <v>Unique</v>
      </c>
      <c r="Q651" s="3" t="str">
        <f>IF(ISNUMBER(Sales_Data2[[#This Row],[Date]]),"OK","Check")</f>
        <v>OK</v>
      </c>
      <c r="R651" s="3" t="str">
        <f>IF(ISNUMBER(Sales_Data2[[#This Row],[Quantity]]),"OK","Check")</f>
        <v>OK</v>
      </c>
    </row>
    <row r="652" spans="1:18">
      <c r="A652" s="1">
        <v>46326</v>
      </c>
      <c r="B652" t="s">
        <v>18</v>
      </c>
      <c r="C652" t="s">
        <v>19</v>
      </c>
      <c r="D652" t="s">
        <v>23</v>
      </c>
      <c r="E652" t="s">
        <v>20</v>
      </c>
      <c r="F652" t="s">
        <v>30</v>
      </c>
      <c r="G652" t="s">
        <v>31</v>
      </c>
      <c r="H652">
        <v>300000</v>
      </c>
      <c r="I652">
        <v>1</v>
      </c>
      <c r="J652" t="s">
        <v>37</v>
      </c>
      <c r="K652">
        <f t="shared" si="10"/>
        <v>240000</v>
      </c>
      <c r="L652">
        <f>Sales_Data2[[#This Row],[Unit Price]]*Sales_Data2[[#This Row],[Quantity]]</f>
        <v>300000</v>
      </c>
      <c r="M652">
        <f>Sales_Data2[[#This Row],[Cost Price]]*Sales_Data2[[#This Row],[Quantity]]</f>
        <v>240000</v>
      </c>
      <c r="N652" s="3">
        <f>Sales_Data2[[#This Row],[Revenue]]-Sales_Data2[[#This Row],[COGS]]</f>
        <v>60000</v>
      </c>
      <c r="O6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46326|East|Lagos|Corporate|Store|Desktop PC D21|Electronics|300000|1|Aisha|240000</v>
      </c>
      <c r="P652" s="3" t="str">
        <f>IF(COUNTIF(Sales_Data2[RowKey],Sales_Data2[[#This Row],[RowKey]])&gt;1,"Duplicate","Unique")</f>
        <v>Unique</v>
      </c>
      <c r="Q652" s="3" t="str">
        <f>IF(ISNUMBER(Sales_Data2[[#This Row],[Date]]),"OK","Check")</f>
        <v>OK</v>
      </c>
      <c r="R652" s="3" t="str">
        <f>IF(ISNUMBER(Sales_Data2[[#This Row],[Quantity]]),"OK","Check")</f>
        <v>OK</v>
      </c>
    </row>
    <row r="653" spans="1:18">
      <c r="A653" s="1">
        <v>46327</v>
      </c>
      <c r="B653" t="s">
        <v>11</v>
      </c>
      <c r="C653" t="s">
        <v>12</v>
      </c>
      <c r="D653" t="s">
        <v>13</v>
      </c>
      <c r="E653" t="s">
        <v>20</v>
      </c>
      <c r="F653" t="s">
        <v>27</v>
      </c>
      <c r="G653" t="s">
        <v>22</v>
      </c>
      <c r="H653">
        <v>60000</v>
      </c>
      <c r="I653">
        <v>7</v>
      </c>
      <c r="J653" t="s">
        <v>24</v>
      </c>
      <c r="K653">
        <f t="shared" si="10"/>
        <v>48000</v>
      </c>
      <c r="L653">
        <f>Sales_Data2[[#This Row],[Unit Price]]*Sales_Data2[[#This Row],[Quantity]]</f>
        <v>420000</v>
      </c>
      <c r="M653">
        <f>Sales_Data2[[#This Row],[Cost Price]]*Sales_Data2[[#This Row],[Quantity]]</f>
        <v>336000</v>
      </c>
      <c r="N653" s="3">
        <f>Sales_Data2[[#This Row],[Revenue]]-Sales_Data2[[#This Row],[COGS]]</f>
        <v>84000</v>
      </c>
      <c r="O6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46327|West|Port Harcourt|Retail|Store|Microwave M20|Home Appliances|60000|7|David|48000</v>
      </c>
      <c r="P653" s="3" t="str">
        <f>IF(COUNTIF(Sales_Data2[RowKey],Sales_Data2[[#This Row],[RowKey]])&gt;1,"Duplicate","Unique")</f>
        <v>Unique</v>
      </c>
      <c r="Q653" s="3" t="str">
        <f>IF(ISNUMBER(Sales_Data2[[#This Row],[Date]]),"OK","Check")</f>
        <v>OK</v>
      </c>
      <c r="R653" s="3" t="str">
        <f>IF(ISNUMBER(Sales_Data2[[#This Row],[Quantity]]),"OK","Check")</f>
        <v>OK</v>
      </c>
    </row>
    <row r="654" spans="1:18">
      <c r="A654" s="1">
        <v>46328</v>
      </c>
      <c r="B654" t="s">
        <v>25</v>
      </c>
      <c r="C654" t="s">
        <v>26</v>
      </c>
      <c r="D654" t="s">
        <v>13</v>
      </c>
      <c r="E654" t="s">
        <v>14</v>
      </c>
      <c r="F654" t="s">
        <v>21</v>
      </c>
      <c r="G654" t="s">
        <v>22</v>
      </c>
      <c r="H654">
        <v>30000</v>
      </c>
      <c r="I654">
        <v>8</v>
      </c>
      <c r="J654" t="s">
        <v>28</v>
      </c>
      <c r="K654">
        <f t="shared" si="10"/>
        <v>24000</v>
      </c>
      <c r="L654">
        <f>Sales_Data2[[#This Row],[Unit Price]]*Sales_Data2[[#This Row],[Quantity]]</f>
        <v>240000</v>
      </c>
      <c r="M654">
        <f>Sales_Data2[[#This Row],[Cost Price]]*Sales_Data2[[#This Row],[Quantity]]</f>
        <v>192000</v>
      </c>
      <c r="N654" s="3">
        <f>Sales_Data2[[#This Row],[Revenue]]-Sales_Data2[[#This Row],[COGS]]</f>
        <v>48000</v>
      </c>
      <c r="O6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46328|South|Kano|Retail|Online|Blender B10|Home Appliances|30000|8|Musa|24000</v>
      </c>
      <c r="P654" s="3" t="str">
        <f>IF(COUNTIF(Sales_Data2[RowKey],Sales_Data2[[#This Row],[RowKey]])&gt;1,"Duplicate","Unique")</f>
        <v>Unique</v>
      </c>
      <c r="Q654" s="3" t="str">
        <f>IF(ISNUMBER(Sales_Data2[[#This Row],[Date]]),"OK","Check")</f>
        <v>OK</v>
      </c>
      <c r="R654" s="3" t="str">
        <f>IF(ISNUMBER(Sales_Data2[[#This Row],[Quantity]]),"OK","Check")</f>
        <v>OK</v>
      </c>
    </row>
    <row r="655" spans="1:18">
      <c r="A655" s="1">
        <v>46329</v>
      </c>
      <c r="B655" t="s">
        <v>11</v>
      </c>
      <c r="C655" t="s">
        <v>19</v>
      </c>
      <c r="D655" t="s">
        <v>23</v>
      </c>
      <c r="E655" t="s">
        <v>14</v>
      </c>
      <c r="F655" t="s">
        <v>41</v>
      </c>
      <c r="G655" t="s">
        <v>22</v>
      </c>
      <c r="H655">
        <v>220000</v>
      </c>
      <c r="I655">
        <v>3</v>
      </c>
      <c r="J655" t="s">
        <v>35</v>
      </c>
      <c r="K655">
        <f t="shared" si="10"/>
        <v>176000</v>
      </c>
      <c r="L655">
        <f>Sales_Data2[[#This Row],[Unit Price]]*Sales_Data2[[#This Row],[Quantity]]</f>
        <v>660000</v>
      </c>
      <c r="M655">
        <f>Sales_Data2[[#This Row],[Cost Price]]*Sales_Data2[[#This Row],[Quantity]]</f>
        <v>528000</v>
      </c>
      <c r="N655" s="3">
        <f>Sales_Data2[[#This Row],[Revenue]]-Sales_Data2[[#This Row],[COGS]]</f>
        <v>132000</v>
      </c>
      <c r="O6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46329|West|Lagos|Corporate|Online|Refrigerator R55|Home Appliances|220000|3|Peter|176000</v>
      </c>
      <c r="P655" s="3" t="str">
        <f>IF(COUNTIF(Sales_Data2[RowKey],Sales_Data2[[#This Row],[RowKey]])&gt;1,"Duplicate","Unique")</f>
        <v>Unique</v>
      </c>
      <c r="Q655" s="3" t="str">
        <f>IF(ISNUMBER(Sales_Data2[[#This Row],[Date]]),"OK","Check")</f>
        <v>OK</v>
      </c>
      <c r="R655" s="3" t="str">
        <f>IF(ISNUMBER(Sales_Data2[[#This Row],[Quantity]]),"OK","Check")</f>
        <v>OK</v>
      </c>
    </row>
    <row r="656" spans="1:18">
      <c r="A656" s="1">
        <v>46330</v>
      </c>
      <c r="B656" t="s">
        <v>25</v>
      </c>
      <c r="C656" t="s">
        <v>19</v>
      </c>
      <c r="D656" t="s">
        <v>23</v>
      </c>
      <c r="E656" t="s">
        <v>14</v>
      </c>
      <c r="F656" t="s">
        <v>41</v>
      </c>
      <c r="G656" t="s">
        <v>22</v>
      </c>
      <c r="H656">
        <v>220000</v>
      </c>
      <c r="I656">
        <v>7</v>
      </c>
      <c r="J656" t="s">
        <v>35</v>
      </c>
      <c r="K656">
        <f t="shared" si="10"/>
        <v>176000</v>
      </c>
      <c r="L656">
        <f>Sales_Data2[[#This Row],[Unit Price]]*Sales_Data2[[#This Row],[Quantity]]</f>
        <v>1540000</v>
      </c>
      <c r="M656">
        <f>Sales_Data2[[#This Row],[Cost Price]]*Sales_Data2[[#This Row],[Quantity]]</f>
        <v>1232000</v>
      </c>
      <c r="N656" s="3">
        <f>Sales_Data2[[#This Row],[Revenue]]-Sales_Data2[[#This Row],[COGS]]</f>
        <v>308000</v>
      </c>
      <c r="O6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46330|South|Lagos|Corporate|Online|Refrigerator R55|Home Appliances|220000|7|Peter|176000</v>
      </c>
      <c r="P656" s="3" t="str">
        <f>IF(COUNTIF(Sales_Data2[RowKey],Sales_Data2[[#This Row],[RowKey]])&gt;1,"Duplicate","Unique")</f>
        <v>Unique</v>
      </c>
      <c r="Q656" s="3" t="str">
        <f>IF(ISNUMBER(Sales_Data2[[#This Row],[Date]]),"OK","Check")</f>
        <v>OK</v>
      </c>
      <c r="R656" s="3" t="str">
        <f>IF(ISNUMBER(Sales_Data2[[#This Row],[Quantity]]),"OK","Check")</f>
        <v>OK</v>
      </c>
    </row>
    <row r="657" spans="1:18">
      <c r="A657" s="1">
        <v>46331</v>
      </c>
      <c r="B657" t="s">
        <v>29</v>
      </c>
      <c r="C657" t="s">
        <v>12</v>
      </c>
      <c r="D657" t="s">
        <v>13</v>
      </c>
      <c r="E657" t="s">
        <v>20</v>
      </c>
      <c r="F657" t="s">
        <v>33</v>
      </c>
      <c r="G657" t="s">
        <v>22</v>
      </c>
      <c r="H657">
        <v>180000</v>
      </c>
      <c r="I657">
        <v>2</v>
      </c>
      <c r="J657" t="s">
        <v>24</v>
      </c>
      <c r="K657">
        <f t="shared" si="10"/>
        <v>144000</v>
      </c>
      <c r="L657">
        <f>Sales_Data2[[#This Row],[Unit Price]]*Sales_Data2[[#This Row],[Quantity]]</f>
        <v>360000</v>
      </c>
      <c r="M657">
        <f>Sales_Data2[[#This Row],[Cost Price]]*Sales_Data2[[#This Row],[Quantity]]</f>
        <v>288000</v>
      </c>
      <c r="N657" s="3">
        <f>Sales_Data2[[#This Row],[Revenue]]-Sales_Data2[[#This Row],[COGS]]</f>
        <v>72000</v>
      </c>
      <c r="O6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46331|North|Port Harcourt|Retail|Store|Air Conditioner X2|Home Appliances|180000|2|David|144000</v>
      </c>
      <c r="P657" s="3" t="str">
        <f>IF(COUNTIF(Sales_Data2[RowKey],Sales_Data2[[#This Row],[RowKey]])&gt;1,"Duplicate","Unique")</f>
        <v>Unique</v>
      </c>
      <c r="Q657" s="3" t="str">
        <f>IF(ISNUMBER(Sales_Data2[[#This Row],[Date]]),"OK","Check")</f>
        <v>OK</v>
      </c>
      <c r="R657" s="3" t="str">
        <f>IF(ISNUMBER(Sales_Data2[[#This Row],[Quantity]]),"OK","Check")</f>
        <v>OK</v>
      </c>
    </row>
    <row r="658" spans="1:18">
      <c r="A658" s="1">
        <v>46332</v>
      </c>
      <c r="B658" t="s">
        <v>11</v>
      </c>
      <c r="C658" t="s">
        <v>26</v>
      </c>
      <c r="D658" t="s">
        <v>13</v>
      </c>
      <c r="E658" t="s">
        <v>20</v>
      </c>
      <c r="F658" t="s">
        <v>27</v>
      </c>
      <c r="G658" t="s">
        <v>22</v>
      </c>
      <c r="H658">
        <v>60000</v>
      </c>
      <c r="I658">
        <v>8</v>
      </c>
      <c r="J658" t="s">
        <v>37</v>
      </c>
      <c r="K658">
        <f t="shared" si="10"/>
        <v>48000</v>
      </c>
      <c r="L658">
        <f>Sales_Data2[[#This Row],[Unit Price]]*Sales_Data2[[#This Row],[Quantity]]</f>
        <v>480000</v>
      </c>
      <c r="M658">
        <f>Sales_Data2[[#This Row],[Cost Price]]*Sales_Data2[[#This Row],[Quantity]]</f>
        <v>384000</v>
      </c>
      <c r="N658" s="3">
        <f>Sales_Data2[[#This Row],[Revenue]]-Sales_Data2[[#This Row],[COGS]]</f>
        <v>96000</v>
      </c>
      <c r="O6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46332|West|Kano|Retail|Store|Microwave M20|Home Appliances|60000|8|Aisha|48000</v>
      </c>
      <c r="P658" s="3" t="str">
        <f>IF(COUNTIF(Sales_Data2[RowKey],Sales_Data2[[#This Row],[RowKey]])&gt;1,"Duplicate","Unique")</f>
        <v>Unique</v>
      </c>
      <c r="Q658" s="3" t="str">
        <f>IF(ISNUMBER(Sales_Data2[[#This Row],[Date]]),"OK","Check")</f>
        <v>OK</v>
      </c>
      <c r="R658" s="3" t="str">
        <f>IF(ISNUMBER(Sales_Data2[[#This Row],[Quantity]]),"OK","Check")</f>
        <v>OK</v>
      </c>
    </row>
    <row r="659" spans="1:18">
      <c r="A659" s="1">
        <v>46333</v>
      </c>
      <c r="B659" t="s">
        <v>29</v>
      </c>
      <c r="C659" t="s">
        <v>19</v>
      </c>
      <c r="D659" t="s">
        <v>13</v>
      </c>
      <c r="E659" t="s">
        <v>14</v>
      </c>
      <c r="F659" t="s">
        <v>21</v>
      </c>
      <c r="G659" t="s">
        <v>22</v>
      </c>
      <c r="H659">
        <v>30000</v>
      </c>
      <c r="I659">
        <v>2</v>
      </c>
      <c r="J659" t="s">
        <v>35</v>
      </c>
      <c r="K659">
        <f t="shared" si="10"/>
        <v>24000</v>
      </c>
      <c r="L659">
        <f>Sales_Data2[[#This Row],[Unit Price]]*Sales_Data2[[#This Row],[Quantity]]</f>
        <v>60000</v>
      </c>
      <c r="M659">
        <f>Sales_Data2[[#This Row],[Cost Price]]*Sales_Data2[[#This Row],[Quantity]]</f>
        <v>48000</v>
      </c>
      <c r="N659" s="3">
        <f>Sales_Data2[[#This Row],[Revenue]]-Sales_Data2[[#This Row],[COGS]]</f>
        <v>12000</v>
      </c>
      <c r="O6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46333|North|Lagos|Retail|Online|Blender B10|Home Appliances|30000|2|Peter|24000</v>
      </c>
      <c r="P659" s="3" t="str">
        <f>IF(COUNTIF(Sales_Data2[RowKey],Sales_Data2[[#This Row],[RowKey]])&gt;1,"Duplicate","Unique")</f>
        <v>Unique</v>
      </c>
      <c r="Q659" s="3" t="str">
        <f>IF(ISNUMBER(Sales_Data2[[#This Row],[Date]]),"OK","Check")</f>
        <v>OK</v>
      </c>
      <c r="R659" s="3" t="str">
        <f>IF(ISNUMBER(Sales_Data2[[#This Row],[Quantity]]),"OK","Check")</f>
        <v>OK</v>
      </c>
    </row>
    <row r="660" spans="1:18">
      <c r="A660" s="1">
        <v>46334</v>
      </c>
      <c r="B660" t="s">
        <v>29</v>
      </c>
      <c r="C660" t="s">
        <v>19</v>
      </c>
      <c r="D660" t="s">
        <v>23</v>
      </c>
      <c r="E660" t="s">
        <v>14</v>
      </c>
      <c r="F660" t="s">
        <v>36</v>
      </c>
      <c r="G660" t="s">
        <v>31</v>
      </c>
      <c r="H660">
        <v>150000</v>
      </c>
      <c r="I660">
        <v>5</v>
      </c>
      <c r="J660" t="s">
        <v>35</v>
      </c>
      <c r="K660">
        <f t="shared" si="10"/>
        <v>120000</v>
      </c>
      <c r="L660">
        <f>Sales_Data2[[#This Row],[Unit Price]]*Sales_Data2[[#This Row],[Quantity]]</f>
        <v>750000</v>
      </c>
      <c r="M660">
        <f>Sales_Data2[[#This Row],[Cost Price]]*Sales_Data2[[#This Row],[Quantity]]</f>
        <v>600000</v>
      </c>
      <c r="N660" s="3">
        <f>Sales_Data2[[#This Row],[Revenue]]-Sales_Data2[[#This Row],[COGS]]</f>
        <v>150000</v>
      </c>
      <c r="O6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46334|North|Lagos|Corporate|Online|Printer P50|Electronics|150000|5|Peter|120000</v>
      </c>
      <c r="P660" s="3" t="str">
        <f>IF(COUNTIF(Sales_Data2[RowKey],Sales_Data2[[#This Row],[RowKey]])&gt;1,"Duplicate","Unique")</f>
        <v>Unique</v>
      </c>
      <c r="Q660" s="3" t="str">
        <f>IF(ISNUMBER(Sales_Data2[[#This Row],[Date]]),"OK","Check")</f>
        <v>OK</v>
      </c>
      <c r="R660" s="3" t="str">
        <f>IF(ISNUMBER(Sales_Data2[[#This Row],[Quantity]]),"OK","Check")</f>
        <v>OK</v>
      </c>
    </row>
    <row r="661" spans="1:18">
      <c r="A661" s="1">
        <v>46335</v>
      </c>
      <c r="B661" t="s">
        <v>11</v>
      </c>
      <c r="C661" t="s">
        <v>19</v>
      </c>
      <c r="D661" t="s">
        <v>23</v>
      </c>
      <c r="E661" t="s">
        <v>20</v>
      </c>
      <c r="F661" t="s">
        <v>40</v>
      </c>
      <c r="G661" t="s">
        <v>31</v>
      </c>
      <c r="H661">
        <v>250000</v>
      </c>
      <c r="I661">
        <v>5</v>
      </c>
      <c r="J661" t="s">
        <v>35</v>
      </c>
      <c r="K661">
        <f t="shared" si="10"/>
        <v>200000</v>
      </c>
      <c r="L661">
        <f>Sales_Data2[[#This Row],[Unit Price]]*Sales_Data2[[#This Row],[Quantity]]</f>
        <v>1250000</v>
      </c>
      <c r="M661">
        <f>Sales_Data2[[#This Row],[Cost Price]]*Sales_Data2[[#This Row],[Quantity]]</f>
        <v>1000000</v>
      </c>
      <c r="N661" s="3">
        <f>Sales_Data2[[#This Row],[Revenue]]-Sales_Data2[[#This Row],[COGS]]</f>
        <v>250000</v>
      </c>
      <c r="O6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46335|West|Lagos|Corporate|Store|Smartphone Z10|Electronics|250000|5|Peter|200000</v>
      </c>
      <c r="P661" s="3" t="str">
        <f>IF(COUNTIF(Sales_Data2[RowKey],Sales_Data2[[#This Row],[RowKey]])&gt;1,"Duplicate","Unique")</f>
        <v>Unique</v>
      </c>
      <c r="Q661" s="3" t="str">
        <f>IF(ISNUMBER(Sales_Data2[[#This Row],[Date]]),"OK","Check")</f>
        <v>OK</v>
      </c>
      <c r="R661" s="3" t="str">
        <f>IF(ISNUMBER(Sales_Data2[[#This Row],[Quantity]]),"OK","Check")</f>
        <v>OK</v>
      </c>
    </row>
    <row r="662" spans="1:18">
      <c r="A662" s="1">
        <v>46336</v>
      </c>
      <c r="B662" t="s">
        <v>25</v>
      </c>
      <c r="C662" t="s">
        <v>12</v>
      </c>
      <c r="D662" t="s">
        <v>23</v>
      </c>
      <c r="E662" t="s">
        <v>14</v>
      </c>
      <c r="F662" t="s">
        <v>15</v>
      </c>
      <c r="G662" t="s">
        <v>16</v>
      </c>
      <c r="H662">
        <v>85000</v>
      </c>
      <c r="I662">
        <v>4</v>
      </c>
      <c r="J662" t="s">
        <v>24</v>
      </c>
      <c r="K662">
        <f t="shared" si="10"/>
        <v>68000</v>
      </c>
      <c r="L662">
        <f>Sales_Data2[[#This Row],[Unit Price]]*Sales_Data2[[#This Row],[Quantity]]</f>
        <v>340000</v>
      </c>
      <c r="M662">
        <f>Sales_Data2[[#This Row],[Cost Price]]*Sales_Data2[[#This Row],[Quantity]]</f>
        <v>272000</v>
      </c>
      <c r="N662" s="3">
        <f>Sales_Data2[[#This Row],[Revenue]]-Sales_Data2[[#This Row],[COGS]]</f>
        <v>68000</v>
      </c>
      <c r="O6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46336|South|Port Harcourt|Corporate|Online|Office Chair Pro|Furniture|85000|4|David|68000</v>
      </c>
      <c r="P662" s="3" t="str">
        <f>IF(COUNTIF(Sales_Data2[RowKey],Sales_Data2[[#This Row],[RowKey]])&gt;1,"Duplicate","Unique")</f>
        <v>Unique</v>
      </c>
      <c r="Q662" s="3" t="str">
        <f>IF(ISNUMBER(Sales_Data2[[#This Row],[Date]]),"OK","Check")</f>
        <v>OK</v>
      </c>
      <c r="R662" s="3" t="str">
        <f>IF(ISNUMBER(Sales_Data2[[#This Row],[Quantity]]),"OK","Check")</f>
        <v>OK</v>
      </c>
    </row>
    <row r="663" spans="1:18">
      <c r="A663" s="1">
        <v>46337</v>
      </c>
      <c r="B663" t="s">
        <v>11</v>
      </c>
      <c r="C663" t="s">
        <v>26</v>
      </c>
      <c r="D663" t="s">
        <v>13</v>
      </c>
      <c r="E663" t="s">
        <v>20</v>
      </c>
      <c r="F663" t="s">
        <v>30</v>
      </c>
      <c r="G663" t="s">
        <v>31</v>
      </c>
      <c r="H663">
        <v>300000</v>
      </c>
      <c r="I663">
        <v>10</v>
      </c>
      <c r="J663" t="s">
        <v>24</v>
      </c>
      <c r="K663">
        <f t="shared" si="10"/>
        <v>240000</v>
      </c>
      <c r="L663">
        <f>Sales_Data2[[#This Row],[Unit Price]]*Sales_Data2[[#This Row],[Quantity]]</f>
        <v>3000000</v>
      </c>
      <c r="M663">
        <f>Sales_Data2[[#This Row],[Cost Price]]*Sales_Data2[[#This Row],[Quantity]]</f>
        <v>2400000</v>
      </c>
      <c r="N663" s="3">
        <f>Sales_Data2[[#This Row],[Revenue]]-Sales_Data2[[#This Row],[COGS]]</f>
        <v>600000</v>
      </c>
      <c r="O6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46337|West|Kano|Retail|Store|Desktop PC D21|Electronics|300000|10|David|240000</v>
      </c>
      <c r="P663" s="3" t="str">
        <f>IF(COUNTIF(Sales_Data2[RowKey],Sales_Data2[[#This Row],[RowKey]])&gt;1,"Duplicate","Unique")</f>
        <v>Unique</v>
      </c>
      <c r="Q663" s="3" t="str">
        <f>IF(ISNUMBER(Sales_Data2[[#This Row],[Date]]),"OK","Check")</f>
        <v>OK</v>
      </c>
      <c r="R663" s="3" t="str">
        <f>IF(ISNUMBER(Sales_Data2[[#This Row],[Quantity]]),"OK","Check")</f>
        <v>OK</v>
      </c>
    </row>
    <row r="664" spans="1:18">
      <c r="A664" s="1">
        <v>46338</v>
      </c>
      <c r="B664" t="s">
        <v>25</v>
      </c>
      <c r="C664" t="s">
        <v>12</v>
      </c>
      <c r="D664" t="s">
        <v>23</v>
      </c>
      <c r="E664" t="s">
        <v>14</v>
      </c>
      <c r="F664" t="s">
        <v>40</v>
      </c>
      <c r="G664" t="s">
        <v>31</v>
      </c>
      <c r="H664">
        <v>250000</v>
      </c>
      <c r="I664">
        <v>8</v>
      </c>
      <c r="J664" t="s">
        <v>39</v>
      </c>
      <c r="K664">
        <f t="shared" si="10"/>
        <v>200000</v>
      </c>
      <c r="L664">
        <f>Sales_Data2[[#This Row],[Unit Price]]*Sales_Data2[[#This Row],[Quantity]]</f>
        <v>2000000</v>
      </c>
      <c r="M664">
        <f>Sales_Data2[[#This Row],[Cost Price]]*Sales_Data2[[#This Row],[Quantity]]</f>
        <v>1600000</v>
      </c>
      <c r="N664" s="3">
        <f>Sales_Data2[[#This Row],[Revenue]]-Sales_Data2[[#This Row],[COGS]]</f>
        <v>400000</v>
      </c>
      <c r="O6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46338|South|Port Harcourt|Corporate|Online|Smartphone Z10|Electronics|250000|8|Grace|200000</v>
      </c>
      <c r="P664" s="3" t="str">
        <f>IF(COUNTIF(Sales_Data2[RowKey],Sales_Data2[[#This Row],[RowKey]])&gt;1,"Duplicate","Unique")</f>
        <v>Unique</v>
      </c>
      <c r="Q664" s="3" t="str">
        <f>IF(ISNUMBER(Sales_Data2[[#This Row],[Date]]),"OK","Check")</f>
        <v>OK</v>
      </c>
      <c r="R664" s="3" t="str">
        <f>IF(ISNUMBER(Sales_Data2[[#This Row],[Quantity]]),"OK","Check")</f>
        <v>OK</v>
      </c>
    </row>
    <row r="665" spans="1:18">
      <c r="A665" s="1">
        <v>46339</v>
      </c>
      <c r="B665" t="s">
        <v>11</v>
      </c>
      <c r="C665" t="s">
        <v>19</v>
      </c>
      <c r="D665" t="s">
        <v>13</v>
      </c>
      <c r="E665" t="s">
        <v>20</v>
      </c>
      <c r="F665" t="s">
        <v>34</v>
      </c>
      <c r="G665" t="s">
        <v>16</v>
      </c>
      <c r="H665">
        <v>320000</v>
      </c>
      <c r="I665">
        <v>4</v>
      </c>
      <c r="J665" t="s">
        <v>39</v>
      </c>
      <c r="K665">
        <f t="shared" si="10"/>
        <v>256000</v>
      </c>
      <c r="L665">
        <f>Sales_Data2[[#This Row],[Unit Price]]*Sales_Data2[[#This Row],[Quantity]]</f>
        <v>1280000</v>
      </c>
      <c r="M665">
        <f>Sales_Data2[[#This Row],[Cost Price]]*Sales_Data2[[#This Row],[Quantity]]</f>
        <v>1024000</v>
      </c>
      <c r="N665" s="3">
        <f>Sales_Data2[[#This Row],[Revenue]]-Sales_Data2[[#This Row],[COGS]]</f>
        <v>256000</v>
      </c>
      <c r="O6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46339|West|Lagos|Retail|Store|Sofa Classic|Furniture|320000|4|Grace|256000</v>
      </c>
      <c r="P665" s="3" t="str">
        <f>IF(COUNTIF(Sales_Data2[RowKey],Sales_Data2[[#This Row],[RowKey]])&gt;1,"Duplicate","Unique")</f>
        <v>Unique</v>
      </c>
      <c r="Q665" s="3" t="str">
        <f>IF(ISNUMBER(Sales_Data2[[#This Row],[Date]]),"OK","Check")</f>
        <v>OK</v>
      </c>
      <c r="R665" s="3" t="str">
        <f>IF(ISNUMBER(Sales_Data2[[#This Row],[Quantity]]),"OK","Check")</f>
        <v>OK</v>
      </c>
    </row>
    <row r="666" spans="1:18">
      <c r="A666" s="1">
        <v>46340</v>
      </c>
      <c r="B666" t="s">
        <v>29</v>
      </c>
      <c r="C666" t="s">
        <v>19</v>
      </c>
      <c r="D666" t="s">
        <v>23</v>
      </c>
      <c r="E666" t="s">
        <v>20</v>
      </c>
      <c r="F666" t="s">
        <v>21</v>
      </c>
      <c r="G666" t="s">
        <v>22</v>
      </c>
      <c r="H666">
        <v>30000</v>
      </c>
      <c r="I666">
        <v>10</v>
      </c>
      <c r="J666" t="s">
        <v>28</v>
      </c>
      <c r="K666">
        <f t="shared" si="10"/>
        <v>24000</v>
      </c>
      <c r="L666">
        <f>Sales_Data2[[#This Row],[Unit Price]]*Sales_Data2[[#This Row],[Quantity]]</f>
        <v>300000</v>
      </c>
      <c r="M666">
        <f>Sales_Data2[[#This Row],[Cost Price]]*Sales_Data2[[#This Row],[Quantity]]</f>
        <v>240000</v>
      </c>
      <c r="N666" s="3">
        <f>Sales_Data2[[#This Row],[Revenue]]-Sales_Data2[[#This Row],[COGS]]</f>
        <v>60000</v>
      </c>
      <c r="O6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46340|North|Lagos|Corporate|Store|Blender B10|Home Appliances|30000|10|Musa|24000</v>
      </c>
      <c r="P666" s="3" t="str">
        <f>IF(COUNTIF(Sales_Data2[RowKey],Sales_Data2[[#This Row],[RowKey]])&gt;1,"Duplicate","Unique")</f>
        <v>Unique</v>
      </c>
      <c r="Q666" s="3" t="str">
        <f>IF(ISNUMBER(Sales_Data2[[#This Row],[Date]]),"OK","Check")</f>
        <v>OK</v>
      </c>
      <c r="R666" s="3" t="str">
        <f>IF(ISNUMBER(Sales_Data2[[#This Row],[Quantity]]),"OK","Check")</f>
        <v>OK</v>
      </c>
    </row>
    <row r="667" spans="1:18">
      <c r="A667" s="1">
        <v>46341</v>
      </c>
      <c r="B667" t="s">
        <v>29</v>
      </c>
      <c r="C667" t="s">
        <v>12</v>
      </c>
      <c r="D667" t="s">
        <v>23</v>
      </c>
      <c r="E667" t="s">
        <v>14</v>
      </c>
      <c r="F667" t="s">
        <v>40</v>
      </c>
      <c r="G667" t="s">
        <v>31</v>
      </c>
      <c r="H667">
        <v>250000</v>
      </c>
      <c r="I667">
        <v>4</v>
      </c>
      <c r="J667" t="s">
        <v>37</v>
      </c>
      <c r="K667">
        <f t="shared" si="10"/>
        <v>200000</v>
      </c>
      <c r="L667">
        <f>Sales_Data2[[#This Row],[Unit Price]]*Sales_Data2[[#This Row],[Quantity]]</f>
        <v>1000000</v>
      </c>
      <c r="M667">
        <f>Sales_Data2[[#This Row],[Cost Price]]*Sales_Data2[[#This Row],[Quantity]]</f>
        <v>800000</v>
      </c>
      <c r="N667" s="3">
        <f>Sales_Data2[[#This Row],[Revenue]]-Sales_Data2[[#This Row],[COGS]]</f>
        <v>200000</v>
      </c>
      <c r="O6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46341|North|Port Harcourt|Corporate|Online|Smartphone Z10|Electronics|250000|4|Aisha|200000</v>
      </c>
      <c r="P667" s="3" t="str">
        <f>IF(COUNTIF(Sales_Data2[RowKey],Sales_Data2[[#This Row],[RowKey]])&gt;1,"Duplicate","Unique")</f>
        <v>Unique</v>
      </c>
      <c r="Q667" s="3" t="str">
        <f>IF(ISNUMBER(Sales_Data2[[#This Row],[Date]]),"OK","Check")</f>
        <v>OK</v>
      </c>
      <c r="R667" s="3" t="str">
        <f>IF(ISNUMBER(Sales_Data2[[#This Row],[Quantity]]),"OK","Check")</f>
        <v>OK</v>
      </c>
    </row>
    <row r="668" spans="1:18">
      <c r="A668" s="1">
        <v>46342</v>
      </c>
      <c r="B668" t="s">
        <v>18</v>
      </c>
      <c r="C668" t="s">
        <v>12</v>
      </c>
      <c r="D668" t="s">
        <v>23</v>
      </c>
      <c r="E668" t="s">
        <v>14</v>
      </c>
      <c r="F668" t="s">
        <v>34</v>
      </c>
      <c r="G668" t="s">
        <v>16</v>
      </c>
      <c r="H668">
        <v>320000</v>
      </c>
      <c r="I668">
        <v>5</v>
      </c>
      <c r="J668" t="s">
        <v>28</v>
      </c>
      <c r="K668">
        <f t="shared" si="10"/>
        <v>256000</v>
      </c>
      <c r="L668">
        <f>Sales_Data2[[#This Row],[Unit Price]]*Sales_Data2[[#This Row],[Quantity]]</f>
        <v>1600000</v>
      </c>
      <c r="M668">
        <f>Sales_Data2[[#This Row],[Cost Price]]*Sales_Data2[[#This Row],[Quantity]]</f>
        <v>1280000</v>
      </c>
      <c r="N668" s="3">
        <f>Sales_Data2[[#This Row],[Revenue]]-Sales_Data2[[#This Row],[COGS]]</f>
        <v>320000</v>
      </c>
      <c r="O6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46342|East|Port Harcourt|Corporate|Online|Sofa Classic|Furniture|320000|5|Musa|256000</v>
      </c>
      <c r="P668" s="3" t="str">
        <f>IF(COUNTIF(Sales_Data2[RowKey],Sales_Data2[[#This Row],[RowKey]])&gt;1,"Duplicate","Unique")</f>
        <v>Unique</v>
      </c>
      <c r="Q668" s="3" t="str">
        <f>IF(ISNUMBER(Sales_Data2[[#This Row],[Date]]),"OK","Check")</f>
        <v>OK</v>
      </c>
      <c r="R668" s="3" t="str">
        <f>IF(ISNUMBER(Sales_Data2[[#This Row],[Quantity]]),"OK","Check")</f>
        <v>OK</v>
      </c>
    </row>
    <row r="669" spans="1:18">
      <c r="A669" s="1">
        <v>46343</v>
      </c>
      <c r="B669" t="s">
        <v>18</v>
      </c>
      <c r="C669" t="s">
        <v>19</v>
      </c>
      <c r="D669" t="s">
        <v>13</v>
      </c>
      <c r="E669" t="s">
        <v>20</v>
      </c>
      <c r="F669" t="s">
        <v>34</v>
      </c>
      <c r="G669" t="s">
        <v>16</v>
      </c>
      <c r="H669">
        <v>320000</v>
      </c>
      <c r="I669">
        <v>9</v>
      </c>
      <c r="J669" t="s">
        <v>39</v>
      </c>
      <c r="K669">
        <f t="shared" si="10"/>
        <v>256000</v>
      </c>
      <c r="L669">
        <f>Sales_Data2[[#This Row],[Unit Price]]*Sales_Data2[[#This Row],[Quantity]]</f>
        <v>2880000</v>
      </c>
      <c r="M669">
        <f>Sales_Data2[[#This Row],[Cost Price]]*Sales_Data2[[#This Row],[Quantity]]</f>
        <v>2304000</v>
      </c>
      <c r="N669" s="3">
        <f>Sales_Data2[[#This Row],[Revenue]]-Sales_Data2[[#This Row],[COGS]]</f>
        <v>576000</v>
      </c>
      <c r="O6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46343|East|Lagos|Retail|Store|Sofa Classic|Furniture|320000|9|Grace|256000</v>
      </c>
      <c r="P669" s="3" t="str">
        <f>IF(COUNTIF(Sales_Data2[RowKey],Sales_Data2[[#This Row],[RowKey]])&gt;1,"Duplicate","Unique")</f>
        <v>Unique</v>
      </c>
      <c r="Q669" s="3" t="str">
        <f>IF(ISNUMBER(Sales_Data2[[#This Row],[Date]]),"OK","Check")</f>
        <v>OK</v>
      </c>
      <c r="R669" s="3" t="str">
        <f>IF(ISNUMBER(Sales_Data2[[#This Row],[Quantity]]),"OK","Check")</f>
        <v>OK</v>
      </c>
    </row>
    <row r="670" spans="1:18">
      <c r="A670" s="1">
        <v>46344</v>
      </c>
      <c r="B670" t="s">
        <v>18</v>
      </c>
      <c r="C670" t="s">
        <v>19</v>
      </c>
      <c r="D670" t="s">
        <v>13</v>
      </c>
      <c r="E670" t="s">
        <v>14</v>
      </c>
      <c r="F670" t="s">
        <v>33</v>
      </c>
      <c r="G670" t="s">
        <v>22</v>
      </c>
      <c r="H670">
        <v>180000</v>
      </c>
      <c r="I670">
        <v>1</v>
      </c>
      <c r="J670" t="s">
        <v>37</v>
      </c>
      <c r="K670">
        <f t="shared" si="10"/>
        <v>144000</v>
      </c>
      <c r="L670">
        <f>Sales_Data2[[#This Row],[Unit Price]]*Sales_Data2[[#This Row],[Quantity]]</f>
        <v>180000</v>
      </c>
      <c r="M670">
        <f>Sales_Data2[[#This Row],[Cost Price]]*Sales_Data2[[#This Row],[Quantity]]</f>
        <v>144000</v>
      </c>
      <c r="N670" s="3">
        <f>Sales_Data2[[#This Row],[Revenue]]-Sales_Data2[[#This Row],[COGS]]</f>
        <v>36000</v>
      </c>
      <c r="O6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46344|East|Lagos|Retail|Online|Air Conditioner X2|Home Appliances|180000|1|Aisha|144000</v>
      </c>
      <c r="P670" s="3" t="str">
        <f>IF(COUNTIF(Sales_Data2[RowKey],Sales_Data2[[#This Row],[RowKey]])&gt;1,"Duplicate","Unique")</f>
        <v>Unique</v>
      </c>
      <c r="Q670" s="3" t="str">
        <f>IF(ISNUMBER(Sales_Data2[[#This Row],[Date]]),"OK","Check")</f>
        <v>OK</v>
      </c>
      <c r="R670" s="3" t="str">
        <f>IF(ISNUMBER(Sales_Data2[[#This Row],[Quantity]]),"OK","Check")</f>
        <v>OK</v>
      </c>
    </row>
    <row r="671" spans="1:18">
      <c r="A671" s="1">
        <v>46345</v>
      </c>
      <c r="B671" t="s">
        <v>25</v>
      </c>
      <c r="C671" t="s">
        <v>12</v>
      </c>
      <c r="D671" t="s">
        <v>13</v>
      </c>
      <c r="E671" t="s">
        <v>14</v>
      </c>
      <c r="F671" t="s">
        <v>21</v>
      </c>
      <c r="G671" t="s">
        <v>22</v>
      </c>
      <c r="H671">
        <v>30000</v>
      </c>
      <c r="I671">
        <v>7</v>
      </c>
      <c r="J671" t="s">
        <v>28</v>
      </c>
      <c r="K671">
        <f t="shared" si="10"/>
        <v>24000</v>
      </c>
      <c r="L671">
        <f>Sales_Data2[[#This Row],[Unit Price]]*Sales_Data2[[#This Row],[Quantity]]</f>
        <v>210000</v>
      </c>
      <c r="M671">
        <f>Sales_Data2[[#This Row],[Cost Price]]*Sales_Data2[[#This Row],[Quantity]]</f>
        <v>168000</v>
      </c>
      <c r="N671" s="3">
        <f>Sales_Data2[[#This Row],[Revenue]]-Sales_Data2[[#This Row],[COGS]]</f>
        <v>42000</v>
      </c>
      <c r="O6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46345|South|Port Harcourt|Retail|Online|Blender B10|Home Appliances|30000|7|Musa|24000</v>
      </c>
      <c r="P671" s="3" t="str">
        <f>IF(COUNTIF(Sales_Data2[RowKey],Sales_Data2[[#This Row],[RowKey]])&gt;1,"Duplicate","Unique")</f>
        <v>Unique</v>
      </c>
      <c r="Q671" s="3" t="str">
        <f>IF(ISNUMBER(Sales_Data2[[#This Row],[Date]]),"OK","Check")</f>
        <v>OK</v>
      </c>
      <c r="R671" s="3" t="str">
        <f>IF(ISNUMBER(Sales_Data2[[#This Row],[Quantity]]),"OK","Check")</f>
        <v>OK</v>
      </c>
    </row>
    <row r="672" spans="1:18">
      <c r="A672" s="1">
        <v>46346</v>
      </c>
      <c r="B672" t="s">
        <v>29</v>
      </c>
      <c r="C672" t="s">
        <v>32</v>
      </c>
      <c r="D672" t="s">
        <v>23</v>
      </c>
      <c r="E672" t="s">
        <v>20</v>
      </c>
      <c r="F672" t="s">
        <v>41</v>
      </c>
      <c r="G672" t="s">
        <v>22</v>
      </c>
      <c r="H672">
        <v>220000</v>
      </c>
      <c r="I672">
        <v>5</v>
      </c>
      <c r="J672" t="s">
        <v>35</v>
      </c>
      <c r="K672">
        <f t="shared" si="10"/>
        <v>176000</v>
      </c>
      <c r="L672">
        <f>Sales_Data2[[#This Row],[Unit Price]]*Sales_Data2[[#This Row],[Quantity]]</f>
        <v>1100000</v>
      </c>
      <c r="M672">
        <f>Sales_Data2[[#This Row],[Cost Price]]*Sales_Data2[[#This Row],[Quantity]]</f>
        <v>880000</v>
      </c>
      <c r="N672" s="3">
        <f>Sales_Data2[[#This Row],[Revenue]]-Sales_Data2[[#This Row],[COGS]]</f>
        <v>220000</v>
      </c>
      <c r="O6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46346|North|Abuja|Corporate|Store|Refrigerator R55|Home Appliances|220000|5|Peter|176000</v>
      </c>
      <c r="P672" s="3" t="str">
        <f>IF(COUNTIF(Sales_Data2[RowKey],Sales_Data2[[#This Row],[RowKey]])&gt;1,"Duplicate","Unique")</f>
        <v>Unique</v>
      </c>
      <c r="Q672" s="3" t="str">
        <f>IF(ISNUMBER(Sales_Data2[[#This Row],[Date]]),"OK","Check")</f>
        <v>OK</v>
      </c>
      <c r="R672" s="3" t="str">
        <f>IF(ISNUMBER(Sales_Data2[[#This Row],[Quantity]]),"OK","Check")</f>
        <v>OK</v>
      </c>
    </row>
    <row r="673" spans="1:18">
      <c r="A673" s="1">
        <v>46347</v>
      </c>
      <c r="B673" t="s">
        <v>29</v>
      </c>
      <c r="C673" t="s">
        <v>32</v>
      </c>
      <c r="D673" t="s">
        <v>23</v>
      </c>
      <c r="E673" t="s">
        <v>14</v>
      </c>
      <c r="F673" t="s">
        <v>33</v>
      </c>
      <c r="G673" t="s">
        <v>22</v>
      </c>
      <c r="H673">
        <v>180000</v>
      </c>
      <c r="I673">
        <v>4</v>
      </c>
      <c r="J673" t="s">
        <v>39</v>
      </c>
      <c r="K673">
        <f t="shared" si="10"/>
        <v>144000</v>
      </c>
      <c r="L673">
        <f>Sales_Data2[[#This Row],[Unit Price]]*Sales_Data2[[#This Row],[Quantity]]</f>
        <v>720000</v>
      </c>
      <c r="M673">
        <f>Sales_Data2[[#This Row],[Cost Price]]*Sales_Data2[[#This Row],[Quantity]]</f>
        <v>576000</v>
      </c>
      <c r="N673" s="3">
        <f>Sales_Data2[[#This Row],[Revenue]]-Sales_Data2[[#This Row],[COGS]]</f>
        <v>144000</v>
      </c>
      <c r="O6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46347|North|Abuja|Corporate|Online|Air Conditioner X2|Home Appliances|180000|4|Grace|144000</v>
      </c>
      <c r="P673" s="3" t="str">
        <f>IF(COUNTIF(Sales_Data2[RowKey],Sales_Data2[[#This Row],[RowKey]])&gt;1,"Duplicate","Unique")</f>
        <v>Unique</v>
      </c>
      <c r="Q673" s="3" t="str">
        <f>IF(ISNUMBER(Sales_Data2[[#This Row],[Date]]),"OK","Check")</f>
        <v>OK</v>
      </c>
      <c r="R673" s="3" t="str">
        <f>IF(ISNUMBER(Sales_Data2[[#This Row],[Quantity]]),"OK","Check")</f>
        <v>OK</v>
      </c>
    </row>
    <row r="674" spans="1:18">
      <c r="A674" s="1">
        <v>46348</v>
      </c>
      <c r="B674" t="s">
        <v>25</v>
      </c>
      <c r="C674" t="s">
        <v>12</v>
      </c>
      <c r="D674" t="s">
        <v>23</v>
      </c>
      <c r="E674" t="s">
        <v>14</v>
      </c>
      <c r="F674" t="s">
        <v>33</v>
      </c>
      <c r="G674" t="s">
        <v>22</v>
      </c>
      <c r="H674">
        <v>180000</v>
      </c>
      <c r="I674">
        <v>2</v>
      </c>
      <c r="J674" t="s">
        <v>28</v>
      </c>
      <c r="K674">
        <f t="shared" si="10"/>
        <v>144000</v>
      </c>
      <c r="L674">
        <f>Sales_Data2[[#This Row],[Unit Price]]*Sales_Data2[[#This Row],[Quantity]]</f>
        <v>360000</v>
      </c>
      <c r="M674">
        <f>Sales_Data2[[#This Row],[Cost Price]]*Sales_Data2[[#This Row],[Quantity]]</f>
        <v>288000</v>
      </c>
      <c r="N674" s="3">
        <f>Sales_Data2[[#This Row],[Revenue]]-Sales_Data2[[#This Row],[COGS]]</f>
        <v>72000</v>
      </c>
      <c r="O6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46348|South|Port Harcourt|Corporate|Online|Air Conditioner X2|Home Appliances|180000|2|Musa|144000</v>
      </c>
      <c r="P674" s="3" t="str">
        <f>IF(COUNTIF(Sales_Data2[RowKey],Sales_Data2[[#This Row],[RowKey]])&gt;1,"Duplicate","Unique")</f>
        <v>Unique</v>
      </c>
      <c r="Q674" s="3" t="str">
        <f>IF(ISNUMBER(Sales_Data2[[#This Row],[Date]]),"OK","Check")</f>
        <v>OK</v>
      </c>
      <c r="R674" s="3" t="str">
        <f>IF(ISNUMBER(Sales_Data2[[#This Row],[Quantity]]),"OK","Check")</f>
        <v>OK</v>
      </c>
    </row>
    <row r="675" spans="1:18">
      <c r="A675" s="1">
        <v>46349</v>
      </c>
      <c r="B675" t="s">
        <v>11</v>
      </c>
      <c r="C675" t="s">
        <v>26</v>
      </c>
      <c r="D675" t="s">
        <v>23</v>
      </c>
      <c r="E675" t="s">
        <v>14</v>
      </c>
      <c r="F675" t="s">
        <v>41</v>
      </c>
      <c r="G675" t="s">
        <v>22</v>
      </c>
      <c r="H675">
        <v>220000</v>
      </c>
      <c r="I675">
        <v>2</v>
      </c>
      <c r="J675" t="s">
        <v>37</v>
      </c>
      <c r="K675">
        <f t="shared" si="10"/>
        <v>176000</v>
      </c>
      <c r="L675">
        <f>Sales_Data2[[#This Row],[Unit Price]]*Sales_Data2[[#This Row],[Quantity]]</f>
        <v>440000</v>
      </c>
      <c r="M675">
        <f>Sales_Data2[[#This Row],[Cost Price]]*Sales_Data2[[#This Row],[Quantity]]</f>
        <v>352000</v>
      </c>
      <c r="N675" s="3">
        <f>Sales_Data2[[#This Row],[Revenue]]-Sales_Data2[[#This Row],[COGS]]</f>
        <v>88000</v>
      </c>
      <c r="O6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46349|West|Kano|Corporate|Online|Refrigerator R55|Home Appliances|220000|2|Aisha|176000</v>
      </c>
      <c r="P675" s="3" t="str">
        <f>IF(COUNTIF(Sales_Data2[RowKey],Sales_Data2[[#This Row],[RowKey]])&gt;1,"Duplicate","Unique")</f>
        <v>Unique</v>
      </c>
      <c r="Q675" s="3" t="str">
        <f>IF(ISNUMBER(Sales_Data2[[#This Row],[Date]]),"OK","Check")</f>
        <v>OK</v>
      </c>
      <c r="R675" s="3" t="str">
        <f>IF(ISNUMBER(Sales_Data2[[#This Row],[Quantity]]),"OK","Check")</f>
        <v>OK</v>
      </c>
    </row>
    <row r="676" spans="1:18">
      <c r="A676" s="1">
        <v>46350</v>
      </c>
      <c r="B676" t="s">
        <v>11</v>
      </c>
      <c r="C676" t="s">
        <v>19</v>
      </c>
      <c r="D676" t="s">
        <v>23</v>
      </c>
      <c r="E676" t="s">
        <v>20</v>
      </c>
      <c r="F676" t="s">
        <v>27</v>
      </c>
      <c r="G676" t="s">
        <v>22</v>
      </c>
      <c r="H676">
        <v>60000</v>
      </c>
      <c r="I676">
        <v>10</v>
      </c>
      <c r="J676" t="s">
        <v>37</v>
      </c>
      <c r="K676">
        <f t="shared" si="10"/>
        <v>48000</v>
      </c>
      <c r="L676">
        <f>Sales_Data2[[#This Row],[Unit Price]]*Sales_Data2[[#This Row],[Quantity]]</f>
        <v>600000</v>
      </c>
      <c r="M676">
        <f>Sales_Data2[[#This Row],[Cost Price]]*Sales_Data2[[#This Row],[Quantity]]</f>
        <v>480000</v>
      </c>
      <c r="N676" s="3">
        <f>Sales_Data2[[#This Row],[Revenue]]-Sales_Data2[[#This Row],[COGS]]</f>
        <v>120000</v>
      </c>
      <c r="O6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46350|West|Lagos|Corporate|Store|Microwave M20|Home Appliances|60000|10|Aisha|48000</v>
      </c>
      <c r="P676" s="3" t="str">
        <f>IF(COUNTIF(Sales_Data2[RowKey],Sales_Data2[[#This Row],[RowKey]])&gt;1,"Duplicate","Unique")</f>
        <v>Unique</v>
      </c>
      <c r="Q676" s="3" t="str">
        <f>IF(ISNUMBER(Sales_Data2[[#This Row],[Date]]),"OK","Check")</f>
        <v>OK</v>
      </c>
      <c r="R676" s="3" t="str">
        <f>IF(ISNUMBER(Sales_Data2[[#This Row],[Quantity]]),"OK","Check")</f>
        <v>OK</v>
      </c>
    </row>
    <row r="677" spans="1:18">
      <c r="A677" s="1">
        <v>46351</v>
      </c>
      <c r="B677" t="s">
        <v>29</v>
      </c>
      <c r="C677" t="s">
        <v>12</v>
      </c>
      <c r="D677" t="s">
        <v>13</v>
      </c>
      <c r="E677" t="s">
        <v>20</v>
      </c>
      <c r="F677" t="s">
        <v>21</v>
      </c>
      <c r="G677" t="s">
        <v>22</v>
      </c>
      <c r="H677">
        <v>30000</v>
      </c>
      <c r="I677">
        <v>2</v>
      </c>
      <c r="J677" t="s">
        <v>39</v>
      </c>
      <c r="K677">
        <f t="shared" si="10"/>
        <v>24000</v>
      </c>
      <c r="L677">
        <f>Sales_Data2[[#This Row],[Unit Price]]*Sales_Data2[[#This Row],[Quantity]]</f>
        <v>60000</v>
      </c>
      <c r="M677">
        <f>Sales_Data2[[#This Row],[Cost Price]]*Sales_Data2[[#This Row],[Quantity]]</f>
        <v>48000</v>
      </c>
      <c r="N677" s="3">
        <f>Sales_Data2[[#This Row],[Revenue]]-Sales_Data2[[#This Row],[COGS]]</f>
        <v>12000</v>
      </c>
      <c r="O6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46351|North|Port Harcourt|Retail|Store|Blender B10|Home Appliances|30000|2|Grace|24000</v>
      </c>
      <c r="P677" s="3" t="str">
        <f>IF(COUNTIF(Sales_Data2[RowKey],Sales_Data2[[#This Row],[RowKey]])&gt;1,"Duplicate","Unique")</f>
        <v>Unique</v>
      </c>
      <c r="Q677" s="3" t="str">
        <f>IF(ISNUMBER(Sales_Data2[[#This Row],[Date]]),"OK","Check")</f>
        <v>OK</v>
      </c>
      <c r="R677" s="3" t="str">
        <f>IF(ISNUMBER(Sales_Data2[[#This Row],[Quantity]]),"OK","Check")</f>
        <v>OK</v>
      </c>
    </row>
    <row r="678" spans="1:18">
      <c r="A678" s="1">
        <v>46352</v>
      </c>
      <c r="B678" t="s">
        <v>18</v>
      </c>
      <c r="C678" t="s">
        <v>19</v>
      </c>
      <c r="D678" t="s">
        <v>23</v>
      </c>
      <c r="E678" t="s">
        <v>14</v>
      </c>
      <c r="F678" t="s">
        <v>30</v>
      </c>
      <c r="G678" t="s">
        <v>31</v>
      </c>
      <c r="H678">
        <v>300000</v>
      </c>
      <c r="I678">
        <v>3</v>
      </c>
      <c r="J678" t="s">
        <v>24</v>
      </c>
      <c r="K678">
        <f t="shared" si="10"/>
        <v>240000</v>
      </c>
      <c r="L678">
        <f>Sales_Data2[[#This Row],[Unit Price]]*Sales_Data2[[#This Row],[Quantity]]</f>
        <v>900000</v>
      </c>
      <c r="M678">
        <f>Sales_Data2[[#This Row],[Cost Price]]*Sales_Data2[[#This Row],[Quantity]]</f>
        <v>720000</v>
      </c>
      <c r="N678" s="3">
        <f>Sales_Data2[[#This Row],[Revenue]]-Sales_Data2[[#This Row],[COGS]]</f>
        <v>180000</v>
      </c>
      <c r="O6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46352|East|Lagos|Corporate|Online|Desktop PC D21|Electronics|300000|3|David|240000</v>
      </c>
      <c r="P678" s="3" t="str">
        <f>IF(COUNTIF(Sales_Data2[RowKey],Sales_Data2[[#This Row],[RowKey]])&gt;1,"Duplicate","Unique")</f>
        <v>Unique</v>
      </c>
      <c r="Q678" s="3" t="str">
        <f>IF(ISNUMBER(Sales_Data2[[#This Row],[Date]]),"OK","Check")</f>
        <v>OK</v>
      </c>
      <c r="R678" s="3" t="str">
        <f>IF(ISNUMBER(Sales_Data2[[#This Row],[Quantity]]),"OK","Check")</f>
        <v>OK</v>
      </c>
    </row>
    <row r="679" spans="1:18">
      <c r="A679" s="1">
        <v>46353</v>
      </c>
      <c r="B679" t="s">
        <v>25</v>
      </c>
      <c r="C679" t="s">
        <v>26</v>
      </c>
      <c r="D679" t="s">
        <v>13</v>
      </c>
      <c r="E679" t="s">
        <v>20</v>
      </c>
      <c r="F679" t="s">
        <v>21</v>
      </c>
      <c r="G679" t="s">
        <v>22</v>
      </c>
      <c r="H679">
        <v>30000</v>
      </c>
      <c r="I679">
        <v>8</v>
      </c>
      <c r="J679" t="s">
        <v>17</v>
      </c>
      <c r="K679">
        <f t="shared" si="10"/>
        <v>24000</v>
      </c>
      <c r="L679">
        <f>Sales_Data2[[#This Row],[Unit Price]]*Sales_Data2[[#This Row],[Quantity]]</f>
        <v>240000</v>
      </c>
      <c r="M679">
        <f>Sales_Data2[[#This Row],[Cost Price]]*Sales_Data2[[#This Row],[Quantity]]</f>
        <v>192000</v>
      </c>
      <c r="N679" s="3">
        <f>Sales_Data2[[#This Row],[Revenue]]-Sales_Data2[[#This Row],[COGS]]</f>
        <v>48000</v>
      </c>
      <c r="O6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46353|South|Kano|Retail|Store|Blender B10|Home Appliances|30000|8|Chidinma|24000</v>
      </c>
      <c r="P679" s="3" t="str">
        <f>IF(COUNTIF(Sales_Data2[RowKey],Sales_Data2[[#This Row],[RowKey]])&gt;1,"Duplicate","Unique")</f>
        <v>Unique</v>
      </c>
      <c r="Q679" s="3" t="str">
        <f>IF(ISNUMBER(Sales_Data2[[#This Row],[Date]]),"OK","Check")</f>
        <v>OK</v>
      </c>
      <c r="R679" s="3" t="str">
        <f>IF(ISNUMBER(Sales_Data2[[#This Row],[Quantity]]),"OK","Check")</f>
        <v>OK</v>
      </c>
    </row>
    <row r="680" spans="1:18">
      <c r="A680" s="1">
        <v>46354</v>
      </c>
      <c r="B680" t="s">
        <v>29</v>
      </c>
      <c r="C680" t="s">
        <v>12</v>
      </c>
      <c r="D680" t="s">
        <v>13</v>
      </c>
      <c r="E680" t="s">
        <v>14</v>
      </c>
      <c r="F680" t="s">
        <v>30</v>
      </c>
      <c r="G680" t="s">
        <v>31</v>
      </c>
      <c r="H680">
        <v>300000</v>
      </c>
      <c r="I680">
        <v>7</v>
      </c>
      <c r="J680" t="s">
        <v>17</v>
      </c>
      <c r="K680">
        <f t="shared" si="10"/>
        <v>240000</v>
      </c>
      <c r="L680">
        <f>Sales_Data2[[#This Row],[Unit Price]]*Sales_Data2[[#This Row],[Quantity]]</f>
        <v>2100000</v>
      </c>
      <c r="M680">
        <f>Sales_Data2[[#This Row],[Cost Price]]*Sales_Data2[[#This Row],[Quantity]]</f>
        <v>1680000</v>
      </c>
      <c r="N680" s="3">
        <f>Sales_Data2[[#This Row],[Revenue]]-Sales_Data2[[#This Row],[COGS]]</f>
        <v>420000</v>
      </c>
      <c r="O6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46354|North|Port Harcourt|Retail|Online|Desktop PC D21|Electronics|300000|7|Chidinma|240000</v>
      </c>
      <c r="P680" s="3" t="str">
        <f>IF(COUNTIF(Sales_Data2[RowKey],Sales_Data2[[#This Row],[RowKey]])&gt;1,"Duplicate","Unique")</f>
        <v>Unique</v>
      </c>
      <c r="Q680" s="3" t="str">
        <f>IF(ISNUMBER(Sales_Data2[[#This Row],[Date]]),"OK","Check")</f>
        <v>OK</v>
      </c>
      <c r="R680" s="3" t="str">
        <f>IF(ISNUMBER(Sales_Data2[[#This Row],[Quantity]]),"OK","Check")</f>
        <v>OK</v>
      </c>
    </row>
    <row r="681" spans="1:18">
      <c r="A681" s="1">
        <v>46355</v>
      </c>
      <c r="B681" t="s">
        <v>18</v>
      </c>
      <c r="C681" t="s">
        <v>12</v>
      </c>
      <c r="D681" t="s">
        <v>13</v>
      </c>
      <c r="E681" t="s">
        <v>14</v>
      </c>
      <c r="F681" t="s">
        <v>21</v>
      </c>
      <c r="G681" t="s">
        <v>22</v>
      </c>
      <c r="H681">
        <v>30000</v>
      </c>
      <c r="I681">
        <v>2</v>
      </c>
      <c r="J681" t="s">
        <v>35</v>
      </c>
      <c r="K681">
        <f t="shared" si="10"/>
        <v>24000</v>
      </c>
      <c r="L681">
        <f>Sales_Data2[[#This Row],[Unit Price]]*Sales_Data2[[#This Row],[Quantity]]</f>
        <v>60000</v>
      </c>
      <c r="M681">
        <f>Sales_Data2[[#This Row],[Cost Price]]*Sales_Data2[[#This Row],[Quantity]]</f>
        <v>48000</v>
      </c>
      <c r="N681" s="3">
        <f>Sales_Data2[[#This Row],[Revenue]]-Sales_Data2[[#This Row],[COGS]]</f>
        <v>12000</v>
      </c>
      <c r="O6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46355|East|Port Harcourt|Retail|Online|Blender B10|Home Appliances|30000|2|Peter|24000</v>
      </c>
      <c r="P681" s="3" t="str">
        <f>IF(COUNTIF(Sales_Data2[RowKey],Sales_Data2[[#This Row],[RowKey]])&gt;1,"Duplicate","Unique")</f>
        <v>Unique</v>
      </c>
      <c r="Q681" s="3" t="str">
        <f>IF(ISNUMBER(Sales_Data2[[#This Row],[Date]]),"OK","Check")</f>
        <v>OK</v>
      </c>
      <c r="R681" s="3" t="str">
        <f>IF(ISNUMBER(Sales_Data2[[#This Row],[Quantity]]),"OK","Check")</f>
        <v>OK</v>
      </c>
    </row>
    <row r="682" spans="1:18">
      <c r="A682" s="1">
        <v>46356</v>
      </c>
      <c r="B682" t="s">
        <v>18</v>
      </c>
      <c r="C682" t="s">
        <v>12</v>
      </c>
      <c r="D682" t="s">
        <v>23</v>
      </c>
      <c r="E682" t="s">
        <v>20</v>
      </c>
      <c r="F682" t="s">
        <v>41</v>
      </c>
      <c r="G682" t="s">
        <v>22</v>
      </c>
      <c r="H682">
        <v>220000</v>
      </c>
      <c r="I682">
        <v>8</v>
      </c>
      <c r="J682" t="s">
        <v>28</v>
      </c>
      <c r="K682">
        <f t="shared" si="10"/>
        <v>176000</v>
      </c>
      <c r="L682">
        <f>Sales_Data2[[#This Row],[Unit Price]]*Sales_Data2[[#This Row],[Quantity]]</f>
        <v>1760000</v>
      </c>
      <c r="M682">
        <f>Sales_Data2[[#This Row],[Cost Price]]*Sales_Data2[[#This Row],[Quantity]]</f>
        <v>1408000</v>
      </c>
      <c r="N682" s="3">
        <f>Sales_Data2[[#This Row],[Revenue]]-Sales_Data2[[#This Row],[COGS]]</f>
        <v>352000</v>
      </c>
      <c r="O6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46356|East|Port Harcourt|Corporate|Store|Refrigerator R55|Home Appliances|220000|8|Musa|176000</v>
      </c>
      <c r="P682" s="3" t="str">
        <f>IF(COUNTIF(Sales_Data2[RowKey],Sales_Data2[[#This Row],[RowKey]])&gt;1,"Duplicate","Unique")</f>
        <v>Unique</v>
      </c>
      <c r="Q682" s="3" t="str">
        <f>IF(ISNUMBER(Sales_Data2[[#This Row],[Date]]),"OK","Check")</f>
        <v>OK</v>
      </c>
      <c r="R682" s="3" t="str">
        <f>IF(ISNUMBER(Sales_Data2[[#This Row],[Quantity]]),"OK","Check")</f>
        <v>OK</v>
      </c>
    </row>
    <row r="683" spans="1:18">
      <c r="A683" s="1">
        <v>46357</v>
      </c>
      <c r="B683" t="s">
        <v>11</v>
      </c>
      <c r="C683" t="s">
        <v>26</v>
      </c>
      <c r="D683" t="s">
        <v>13</v>
      </c>
      <c r="E683" t="s">
        <v>14</v>
      </c>
      <c r="F683" t="s">
        <v>27</v>
      </c>
      <c r="G683" t="s">
        <v>22</v>
      </c>
      <c r="H683">
        <v>60000</v>
      </c>
      <c r="I683">
        <v>1</v>
      </c>
      <c r="J683" t="s">
        <v>17</v>
      </c>
      <c r="K683">
        <f t="shared" si="10"/>
        <v>48000</v>
      </c>
      <c r="L683">
        <f>Sales_Data2[[#This Row],[Unit Price]]*Sales_Data2[[#This Row],[Quantity]]</f>
        <v>60000</v>
      </c>
      <c r="M683">
        <f>Sales_Data2[[#This Row],[Cost Price]]*Sales_Data2[[#This Row],[Quantity]]</f>
        <v>48000</v>
      </c>
      <c r="N683" s="3">
        <f>Sales_Data2[[#This Row],[Revenue]]-Sales_Data2[[#This Row],[COGS]]</f>
        <v>12000</v>
      </c>
      <c r="O6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46357|West|Kano|Retail|Online|Microwave M20|Home Appliances|60000|1|Chidinma|48000</v>
      </c>
      <c r="P683" s="3" t="str">
        <f>IF(COUNTIF(Sales_Data2[RowKey],Sales_Data2[[#This Row],[RowKey]])&gt;1,"Duplicate","Unique")</f>
        <v>Unique</v>
      </c>
      <c r="Q683" s="3" t="str">
        <f>IF(ISNUMBER(Sales_Data2[[#This Row],[Date]]),"OK","Check")</f>
        <v>OK</v>
      </c>
      <c r="R683" s="3" t="str">
        <f>IF(ISNUMBER(Sales_Data2[[#This Row],[Quantity]]),"OK","Check")</f>
        <v>OK</v>
      </c>
    </row>
    <row r="684" spans="1:18">
      <c r="A684" s="1">
        <v>46358</v>
      </c>
      <c r="B684" t="s">
        <v>25</v>
      </c>
      <c r="C684" t="s">
        <v>26</v>
      </c>
      <c r="D684" t="s">
        <v>23</v>
      </c>
      <c r="E684" t="s">
        <v>14</v>
      </c>
      <c r="F684" t="s">
        <v>15</v>
      </c>
      <c r="G684" t="s">
        <v>16</v>
      </c>
      <c r="H684">
        <v>85000</v>
      </c>
      <c r="I684">
        <v>9</v>
      </c>
      <c r="J684" t="s">
        <v>37</v>
      </c>
      <c r="K684">
        <f t="shared" si="10"/>
        <v>68000</v>
      </c>
      <c r="L684">
        <f>Sales_Data2[[#This Row],[Unit Price]]*Sales_Data2[[#This Row],[Quantity]]</f>
        <v>765000</v>
      </c>
      <c r="M684">
        <f>Sales_Data2[[#This Row],[Cost Price]]*Sales_Data2[[#This Row],[Quantity]]</f>
        <v>612000</v>
      </c>
      <c r="N684" s="3">
        <f>Sales_Data2[[#This Row],[Revenue]]-Sales_Data2[[#This Row],[COGS]]</f>
        <v>153000</v>
      </c>
      <c r="O6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46358|South|Kano|Corporate|Online|Office Chair Pro|Furniture|85000|9|Aisha|68000</v>
      </c>
      <c r="P684" s="3" t="str">
        <f>IF(COUNTIF(Sales_Data2[RowKey],Sales_Data2[[#This Row],[RowKey]])&gt;1,"Duplicate","Unique")</f>
        <v>Unique</v>
      </c>
      <c r="Q684" s="3" t="str">
        <f>IF(ISNUMBER(Sales_Data2[[#This Row],[Date]]),"OK","Check")</f>
        <v>OK</v>
      </c>
      <c r="R684" s="3" t="str">
        <f>IF(ISNUMBER(Sales_Data2[[#This Row],[Quantity]]),"OK","Check")</f>
        <v>OK</v>
      </c>
    </row>
    <row r="685" spans="1:18">
      <c r="A685" s="1">
        <v>46359</v>
      </c>
      <c r="B685" t="s">
        <v>18</v>
      </c>
      <c r="C685" t="s">
        <v>19</v>
      </c>
      <c r="D685" t="s">
        <v>13</v>
      </c>
      <c r="E685" t="s">
        <v>20</v>
      </c>
      <c r="F685" t="s">
        <v>15</v>
      </c>
      <c r="G685" t="s">
        <v>16</v>
      </c>
      <c r="H685">
        <v>85000</v>
      </c>
      <c r="I685">
        <v>4</v>
      </c>
      <c r="J685" t="s">
        <v>35</v>
      </c>
      <c r="K685">
        <f t="shared" si="10"/>
        <v>68000</v>
      </c>
      <c r="L685">
        <f>Sales_Data2[[#This Row],[Unit Price]]*Sales_Data2[[#This Row],[Quantity]]</f>
        <v>340000</v>
      </c>
      <c r="M685">
        <f>Sales_Data2[[#This Row],[Cost Price]]*Sales_Data2[[#This Row],[Quantity]]</f>
        <v>272000</v>
      </c>
      <c r="N685" s="3">
        <f>Sales_Data2[[#This Row],[Revenue]]-Sales_Data2[[#This Row],[COGS]]</f>
        <v>68000</v>
      </c>
      <c r="O6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46359|East|Lagos|Retail|Store|Office Chair Pro|Furniture|85000|4|Peter|68000</v>
      </c>
      <c r="P685" s="3" t="str">
        <f>IF(COUNTIF(Sales_Data2[RowKey],Sales_Data2[[#This Row],[RowKey]])&gt;1,"Duplicate","Unique")</f>
        <v>Unique</v>
      </c>
      <c r="Q685" s="3" t="str">
        <f>IF(ISNUMBER(Sales_Data2[[#This Row],[Date]]),"OK","Check")</f>
        <v>OK</v>
      </c>
      <c r="R685" s="3" t="str">
        <f>IF(ISNUMBER(Sales_Data2[[#This Row],[Quantity]]),"OK","Check")</f>
        <v>OK</v>
      </c>
    </row>
    <row r="686" spans="1:18">
      <c r="A686" s="1">
        <v>46360</v>
      </c>
      <c r="B686" t="s">
        <v>18</v>
      </c>
      <c r="C686" t="s">
        <v>32</v>
      </c>
      <c r="D686" t="s">
        <v>23</v>
      </c>
      <c r="E686" t="s">
        <v>20</v>
      </c>
      <c r="F686" t="s">
        <v>33</v>
      </c>
      <c r="G686" t="s">
        <v>22</v>
      </c>
      <c r="H686">
        <v>180000</v>
      </c>
      <c r="I686">
        <v>6</v>
      </c>
      <c r="J686" t="s">
        <v>17</v>
      </c>
      <c r="K686">
        <f t="shared" si="10"/>
        <v>144000</v>
      </c>
      <c r="L686">
        <f>Sales_Data2[[#This Row],[Unit Price]]*Sales_Data2[[#This Row],[Quantity]]</f>
        <v>1080000</v>
      </c>
      <c r="M686">
        <f>Sales_Data2[[#This Row],[Cost Price]]*Sales_Data2[[#This Row],[Quantity]]</f>
        <v>864000</v>
      </c>
      <c r="N686" s="3">
        <f>Sales_Data2[[#This Row],[Revenue]]-Sales_Data2[[#This Row],[COGS]]</f>
        <v>216000</v>
      </c>
      <c r="O6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46360|East|Abuja|Corporate|Store|Air Conditioner X2|Home Appliances|180000|6|Chidinma|144000</v>
      </c>
      <c r="P686" s="3" t="str">
        <f>IF(COUNTIF(Sales_Data2[RowKey],Sales_Data2[[#This Row],[RowKey]])&gt;1,"Duplicate","Unique")</f>
        <v>Unique</v>
      </c>
      <c r="Q686" s="3" t="str">
        <f>IF(ISNUMBER(Sales_Data2[[#This Row],[Date]]),"OK","Check")</f>
        <v>OK</v>
      </c>
      <c r="R686" s="3" t="str">
        <f>IF(ISNUMBER(Sales_Data2[[#This Row],[Quantity]]),"OK","Check")</f>
        <v>OK</v>
      </c>
    </row>
    <row r="687" spans="1:18">
      <c r="A687" s="1">
        <v>46361</v>
      </c>
      <c r="B687" t="s">
        <v>11</v>
      </c>
      <c r="C687" t="s">
        <v>32</v>
      </c>
      <c r="D687" t="s">
        <v>13</v>
      </c>
      <c r="E687" t="s">
        <v>14</v>
      </c>
      <c r="F687" t="s">
        <v>33</v>
      </c>
      <c r="G687" t="s">
        <v>22</v>
      </c>
      <c r="H687">
        <v>180000</v>
      </c>
      <c r="I687">
        <v>2</v>
      </c>
      <c r="J687" t="s">
        <v>39</v>
      </c>
      <c r="K687">
        <f t="shared" si="10"/>
        <v>144000</v>
      </c>
      <c r="L687">
        <f>Sales_Data2[[#This Row],[Unit Price]]*Sales_Data2[[#This Row],[Quantity]]</f>
        <v>360000</v>
      </c>
      <c r="M687">
        <f>Sales_Data2[[#This Row],[Cost Price]]*Sales_Data2[[#This Row],[Quantity]]</f>
        <v>288000</v>
      </c>
      <c r="N687" s="3">
        <f>Sales_Data2[[#This Row],[Revenue]]-Sales_Data2[[#This Row],[COGS]]</f>
        <v>72000</v>
      </c>
      <c r="O6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46361|West|Abuja|Retail|Online|Air Conditioner X2|Home Appliances|180000|2|Grace|144000</v>
      </c>
      <c r="P687" s="3" t="str">
        <f>IF(COUNTIF(Sales_Data2[RowKey],Sales_Data2[[#This Row],[RowKey]])&gt;1,"Duplicate","Unique")</f>
        <v>Unique</v>
      </c>
      <c r="Q687" s="3" t="str">
        <f>IF(ISNUMBER(Sales_Data2[[#This Row],[Date]]),"OK","Check")</f>
        <v>OK</v>
      </c>
      <c r="R687" s="3" t="str">
        <f>IF(ISNUMBER(Sales_Data2[[#This Row],[Quantity]]),"OK","Check")</f>
        <v>OK</v>
      </c>
    </row>
    <row r="688" spans="1:18">
      <c r="A688" s="1">
        <v>46362</v>
      </c>
      <c r="B688" t="s">
        <v>29</v>
      </c>
      <c r="C688" t="s">
        <v>12</v>
      </c>
      <c r="D688" t="s">
        <v>13</v>
      </c>
      <c r="E688" t="s">
        <v>14</v>
      </c>
      <c r="F688" t="s">
        <v>27</v>
      </c>
      <c r="G688" t="s">
        <v>22</v>
      </c>
      <c r="H688">
        <v>60000</v>
      </c>
      <c r="I688">
        <v>8</v>
      </c>
      <c r="J688" t="s">
        <v>28</v>
      </c>
      <c r="K688">
        <f t="shared" si="10"/>
        <v>48000</v>
      </c>
      <c r="L688">
        <f>Sales_Data2[[#This Row],[Unit Price]]*Sales_Data2[[#This Row],[Quantity]]</f>
        <v>480000</v>
      </c>
      <c r="M688">
        <f>Sales_Data2[[#This Row],[Cost Price]]*Sales_Data2[[#This Row],[Quantity]]</f>
        <v>384000</v>
      </c>
      <c r="N688" s="3">
        <f>Sales_Data2[[#This Row],[Revenue]]-Sales_Data2[[#This Row],[COGS]]</f>
        <v>96000</v>
      </c>
      <c r="O6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46362|North|Port Harcourt|Retail|Online|Microwave M20|Home Appliances|60000|8|Musa|48000</v>
      </c>
      <c r="P688" s="3" t="str">
        <f>IF(COUNTIF(Sales_Data2[RowKey],Sales_Data2[[#This Row],[RowKey]])&gt;1,"Duplicate","Unique")</f>
        <v>Unique</v>
      </c>
      <c r="Q688" s="3" t="str">
        <f>IF(ISNUMBER(Sales_Data2[[#This Row],[Date]]),"OK","Check")</f>
        <v>OK</v>
      </c>
      <c r="R688" s="3" t="str">
        <f>IF(ISNUMBER(Sales_Data2[[#This Row],[Quantity]]),"OK","Check")</f>
        <v>OK</v>
      </c>
    </row>
    <row r="689" spans="1:18">
      <c r="A689" s="1">
        <v>46363</v>
      </c>
      <c r="B689" t="s">
        <v>29</v>
      </c>
      <c r="C689" t="s">
        <v>32</v>
      </c>
      <c r="D689" t="s">
        <v>13</v>
      </c>
      <c r="E689" t="s">
        <v>14</v>
      </c>
      <c r="F689" t="s">
        <v>34</v>
      </c>
      <c r="G689" t="s">
        <v>16</v>
      </c>
      <c r="H689">
        <v>320000</v>
      </c>
      <c r="I689">
        <v>4</v>
      </c>
      <c r="J689" t="s">
        <v>35</v>
      </c>
      <c r="K689">
        <f t="shared" si="10"/>
        <v>256000</v>
      </c>
      <c r="L689">
        <f>Sales_Data2[[#This Row],[Unit Price]]*Sales_Data2[[#This Row],[Quantity]]</f>
        <v>1280000</v>
      </c>
      <c r="M689">
        <f>Sales_Data2[[#This Row],[Cost Price]]*Sales_Data2[[#This Row],[Quantity]]</f>
        <v>1024000</v>
      </c>
      <c r="N689" s="3">
        <f>Sales_Data2[[#This Row],[Revenue]]-Sales_Data2[[#This Row],[COGS]]</f>
        <v>256000</v>
      </c>
      <c r="O6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46363|North|Abuja|Retail|Online|Sofa Classic|Furniture|320000|4|Peter|256000</v>
      </c>
      <c r="P689" s="3" t="str">
        <f>IF(COUNTIF(Sales_Data2[RowKey],Sales_Data2[[#This Row],[RowKey]])&gt;1,"Duplicate","Unique")</f>
        <v>Unique</v>
      </c>
      <c r="Q689" s="3" t="str">
        <f>IF(ISNUMBER(Sales_Data2[[#This Row],[Date]]),"OK","Check")</f>
        <v>OK</v>
      </c>
      <c r="R689" s="3" t="str">
        <f>IF(ISNUMBER(Sales_Data2[[#This Row],[Quantity]]),"OK","Check")</f>
        <v>OK</v>
      </c>
    </row>
    <row r="690" spans="1:18">
      <c r="A690" s="1">
        <v>46364</v>
      </c>
      <c r="B690" t="s">
        <v>18</v>
      </c>
      <c r="C690" t="s">
        <v>19</v>
      </c>
      <c r="D690" t="s">
        <v>23</v>
      </c>
      <c r="E690" t="s">
        <v>14</v>
      </c>
      <c r="F690" t="s">
        <v>33</v>
      </c>
      <c r="G690" t="s">
        <v>22</v>
      </c>
      <c r="H690">
        <v>180000</v>
      </c>
      <c r="I690">
        <v>3</v>
      </c>
      <c r="J690" t="s">
        <v>24</v>
      </c>
      <c r="K690">
        <f t="shared" si="10"/>
        <v>144000</v>
      </c>
      <c r="L690">
        <f>Sales_Data2[[#This Row],[Unit Price]]*Sales_Data2[[#This Row],[Quantity]]</f>
        <v>540000</v>
      </c>
      <c r="M690">
        <f>Sales_Data2[[#This Row],[Cost Price]]*Sales_Data2[[#This Row],[Quantity]]</f>
        <v>432000</v>
      </c>
      <c r="N690" s="3">
        <f>Sales_Data2[[#This Row],[Revenue]]-Sales_Data2[[#This Row],[COGS]]</f>
        <v>108000</v>
      </c>
      <c r="O6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46364|East|Lagos|Corporate|Online|Air Conditioner X2|Home Appliances|180000|3|David|144000</v>
      </c>
      <c r="P690" s="3" t="str">
        <f>IF(COUNTIF(Sales_Data2[RowKey],Sales_Data2[[#This Row],[RowKey]])&gt;1,"Duplicate","Unique")</f>
        <v>Unique</v>
      </c>
      <c r="Q690" s="3" t="str">
        <f>IF(ISNUMBER(Sales_Data2[[#This Row],[Date]]),"OK","Check")</f>
        <v>OK</v>
      </c>
      <c r="R690" s="3" t="str">
        <f>IF(ISNUMBER(Sales_Data2[[#This Row],[Quantity]]),"OK","Check")</f>
        <v>OK</v>
      </c>
    </row>
    <row r="691" spans="1:18">
      <c r="A691" s="1">
        <v>46365</v>
      </c>
      <c r="B691" t="s">
        <v>18</v>
      </c>
      <c r="C691" t="s">
        <v>12</v>
      </c>
      <c r="D691" t="s">
        <v>13</v>
      </c>
      <c r="E691" t="s">
        <v>20</v>
      </c>
      <c r="F691" t="s">
        <v>36</v>
      </c>
      <c r="G691" t="s">
        <v>31</v>
      </c>
      <c r="H691">
        <v>150000</v>
      </c>
      <c r="I691">
        <v>9</v>
      </c>
      <c r="J691" t="s">
        <v>28</v>
      </c>
      <c r="K691">
        <f t="shared" si="10"/>
        <v>120000</v>
      </c>
      <c r="L691">
        <f>Sales_Data2[[#This Row],[Unit Price]]*Sales_Data2[[#This Row],[Quantity]]</f>
        <v>1350000</v>
      </c>
      <c r="M691">
        <f>Sales_Data2[[#This Row],[Cost Price]]*Sales_Data2[[#This Row],[Quantity]]</f>
        <v>1080000</v>
      </c>
      <c r="N691" s="3">
        <f>Sales_Data2[[#This Row],[Revenue]]-Sales_Data2[[#This Row],[COGS]]</f>
        <v>270000</v>
      </c>
      <c r="O6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46365|East|Port Harcourt|Retail|Store|Printer P50|Electronics|150000|9|Musa|120000</v>
      </c>
      <c r="P691" s="3" t="str">
        <f>IF(COUNTIF(Sales_Data2[RowKey],Sales_Data2[[#This Row],[RowKey]])&gt;1,"Duplicate","Unique")</f>
        <v>Unique</v>
      </c>
      <c r="Q691" s="3" t="str">
        <f>IF(ISNUMBER(Sales_Data2[[#This Row],[Date]]),"OK","Check")</f>
        <v>OK</v>
      </c>
      <c r="R691" s="3" t="str">
        <f>IF(ISNUMBER(Sales_Data2[[#This Row],[Quantity]]),"OK","Check")</f>
        <v>OK</v>
      </c>
    </row>
    <row r="692" spans="1:18">
      <c r="A692" s="1">
        <v>46366</v>
      </c>
      <c r="B692" t="s">
        <v>18</v>
      </c>
      <c r="C692" t="s">
        <v>19</v>
      </c>
      <c r="D692" t="s">
        <v>23</v>
      </c>
      <c r="E692" t="s">
        <v>20</v>
      </c>
      <c r="F692" t="s">
        <v>15</v>
      </c>
      <c r="G692" t="s">
        <v>16</v>
      </c>
      <c r="H692">
        <v>85000</v>
      </c>
      <c r="I692">
        <v>4</v>
      </c>
      <c r="J692" t="s">
        <v>17</v>
      </c>
      <c r="K692">
        <f t="shared" si="10"/>
        <v>68000</v>
      </c>
      <c r="L692">
        <f>Sales_Data2[[#This Row],[Unit Price]]*Sales_Data2[[#This Row],[Quantity]]</f>
        <v>340000</v>
      </c>
      <c r="M692">
        <f>Sales_Data2[[#This Row],[Cost Price]]*Sales_Data2[[#This Row],[Quantity]]</f>
        <v>272000</v>
      </c>
      <c r="N692" s="3">
        <f>Sales_Data2[[#This Row],[Revenue]]-Sales_Data2[[#This Row],[COGS]]</f>
        <v>68000</v>
      </c>
      <c r="O6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46366|East|Lagos|Corporate|Store|Office Chair Pro|Furniture|85000|4|Chidinma|68000</v>
      </c>
      <c r="P692" s="3" t="str">
        <f>IF(COUNTIF(Sales_Data2[RowKey],Sales_Data2[[#This Row],[RowKey]])&gt;1,"Duplicate","Unique")</f>
        <v>Unique</v>
      </c>
      <c r="Q692" s="3" t="str">
        <f>IF(ISNUMBER(Sales_Data2[[#This Row],[Date]]),"OK","Check")</f>
        <v>OK</v>
      </c>
      <c r="R692" s="3" t="str">
        <f>IF(ISNUMBER(Sales_Data2[[#This Row],[Quantity]]),"OK","Check")</f>
        <v>OK</v>
      </c>
    </row>
    <row r="693" spans="1:18">
      <c r="A693" s="1">
        <v>46367</v>
      </c>
      <c r="B693" t="s">
        <v>25</v>
      </c>
      <c r="C693" t="s">
        <v>26</v>
      </c>
      <c r="D693" t="s">
        <v>13</v>
      </c>
      <c r="E693" t="s">
        <v>14</v>
      </c>
      <c r="F693" t="s">
        <v>41</v>
      </c>
      <c r="G693" t="s">
        <v>22</v>
      </c>
      <c r="H693">
        <v>220000</v>
      </c>
      <c r="I693">
        <v>4</v>
      </c>
      <c r="J693" t="s">
        <v>17</v>
      </c>
      <c r="K693">
        <f t="shared" si="10"/>
        <v>176000</v>
      </c>
      <c r="L693">
        <f>Sales_Data2[[#This Row],[Unit Price]]*Sales_Data2[[#This Row],[Quantity]]</f>
        <v>880000</v>
      </c>
      <c r="M693">
        <f>Sales_Data2[[#This Row],[Cost Price]]*Sales_Data2[[#This Row],[Quantity]]</f>
        <v>704000</v>
      </c>
      <c r="N693" s="3">
        <f>Sales_Data2[[#This Row],[Revenue]]-Sales_Data2[[#This Row],[COGS]]</f>
        <v>176000</v>
      </c>
      <c r="O6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46367|South|Kano|Retail|Online|Refrigerator R55|Home Appliances|220000|4|Chidinma|176000</v>
      </c>
      <c r="P693" s="3" t="str">
        <f>IF(COUNTIF(Sales_Data2[RowKey],Sales_Data2[[#This Row],[RowKey]])&gt;1,"Duplicate","Unique")</f>
        <v>Unique</v>
      </c>
      <c r="Q693" s="3" t="str">
        <f>IF(ISNUMBER(Sales_Data2[[#This Row],[Date]]),"OK","Check")</f>
        <v>OK</v>
      </c>
      <c r="R693" s="3" t="str">
        <f>IF(ISNUMBER(Sales_Data2[[#This Row],[Quantity]]),"OK","Check")</f>
        <v>OK</v>
      </c>
    </row>
    <row r="694" spans="1:18">
      <c r="A694" s="1">
        <v>46368</v>
      </c>
      <c r="B694" t="s">
        <v>29</v>
      </c>
      <c r="C694" t="s">
        <v>12</v>
      </c>
      <c r="D694" t="s">
        <v>13</v>
      </c>
      <c r="E694" t="s">
        <v>14</v>
      </c>
      <c r="F694" t="s">
        <v>21</v>
      </c>
      <c r="G694" t="s">
        <v>22</v>
      </c>
      <c r="H694">
        <v>30000</v>
      </c>
      <c r="I694">
        <v>8</v>
      </c>
      <c r="J694" t="s">
        <v>37</v>
      </c>
      <c r="K694">
        <f t="shared" si="10"/>
        <v>24000</v>
      </c>
      <c r="L694">
        <f>Sales_Data2[[#This Row],[Unit Price]]*Sales_Data2[[#This Row],[Quantity]]</f>
        <v>240000</v>
      </c>
      <c r="M694">
        <f>Sales_Data2[[#This Row],[Cost Price]]*Sales_Data2[[#This Row],[Quantity]]</f>
        <v>192000</v>
      </c>
      <c r="N694" s="3">
        <f>Sales_Data2[[#This Row],[Revenue]]-Sales_Data2[[#This Row],[COGS]]</f>
        <v>48000</v>
      </c>
      <c r="O6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46368|North|Port Harcourt|Retail|Online|Blender B10|Home Appliances|30000|8|Aisha|24000</v>
      </c>
      <c r="P694" s="3" t="str">
        <f>IF(COUNTIF(Sales_Data2[RowKey],Sales_Data2[[#This Row],[RowKey]])&gt;1,"Duplicate","Unique")</f>
        <v>Unique</v>
      </c>
      <c r="Q694" s="3" t="str">
        <f>IF(ISNUMBER(Sales_Data2[[#This Row],[Date]]),"OK","Check")</f>
        <v>OK</v>
      </c>
      <c r="R694" s="3" t="str">
        <f>IF(ISNUMBER(Sales_Data2[[#This Row],[Quantity]]),"OK","Check")</f>
        <v>OK</v>
      </c>
    </row>
    <row r="695" spans="1:18">
      <c r="A695" s="1">
        <v>46369</v>
      </c>
      <c r="B695" t="s">
        <v>25</v>
      </c>
      <c r="C695" t="s">
        <v>12</v>
      </c>
      <c r="D695" t="s">
        <v>13</v>
      </c>
      <c r="E695" t="s">
        <v>14</v>
      </c>
      <c r="F695" t="s">
        <v>15</v>
      </c>
      <c r="G695" t="s">
        <v>16</v>
      </c>
      <c r="H695">
        <v>85000</v>
      </c>
      <c r="I695">
        <v>4</v>
      </c>
      <c r="J695" t="s">
        <v>17</v>
      </c>
      <c r="K695">
        <f t="shared" si="10"/>
        <v>68000</v>
      </c>
      <c r="L695">
        <f>Sales_Data2[[#This Row],[Unit Price]]*Sales_Data2[[#This Row],[Quantity]]</f>
        <v>340000</v>
      </c>
      <c r="M695">
        <f>Sales_Data2[[#This Row],[Cost Price]]*Sales_Data2[[#This Row],[Quantity]]</f>
        <v>272000</v>
      </c>
      <c r="N695" s="3">
        <f>Sales_Data2[[#This Row],[Revenue]]-Sales_Data2[[#This Row],[COGS]]</f>
        <v>68000</v>
      </c>
      <c r="O6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46369|South|Port Harcourt|Retail|Online|Office Chair Pro|Furniture|85000|4|Chidinma|68000</v>
      </c>
      <c r="P695" s="3" t="str">
        <f>IF(COUNTIF(Sales_Data2[RowKey],Sales_Data2[[#This Row],[RowKey]])&gt;1,"Duplicate","Unique")</f>
        <v>Unique</v>
      </c>
      <c r="Q695" s="3" t="str">
        <f>IF(ISNUMBER(Sales_Data2[[#This Row],[Date]]),"OK","Check")</f>
        <v>OK</v>
      </c>
      <c r="R695" s="3" t="str">
        <f>IF(ISNUMBER(Sales_Data2[[#This Row],[Quantity]]),"OK","Check")</f>
        <v>OK</v>
      </c>
    </row>
    <row r="696" spans="1:18">
      <c r="A696" s="1">
        <v>46370</v>
      </c>
      <c r="B696" t="s">
        <v>29</v>
      </c>
      <c r="C696" t="s">
        <v>12</v>
      </c>
      <c r="D696" t="s">
        <v>13</v>
      </c>
      <c r="E696" t="s">
        <v>14</v>
      </c>
      <c r="F696" t="s">
        <v>30</v>
      </c>
      <c r="G696" t="s">
        <v>31</v>
      </c>
      <c r="H696">
        <v>300000</v>
      </c>
      <c r="I696">
        <v>2</v>
      </c>
      <c r="J696" t="s">
        <v>28</v>
      </c>
      <c r="K696">
        <f t="shared" si="10"/>
        <v>240000</v>
      </c>
      <c r="L696">
        <f>Sales_Data2[[#This Row],[Unit Price]]*Sales_Data2[[#This Row],[Quantity]]</f>
        <v>600000</v>
      </c>
      <c r="M696">
        <f>Sales_Data2[[#This Row],[Cost Price]]*Sales_Data2[[#This Row],[Quantity]]</f>
        <v>480000</v>
      </c>
      <c r="N696" s="3">
        <f>Sales_Data2[[#This Row],[Revenue]]-Sales_Data2[[#This Row],[COGS]]</f>
        <v>120000</v>
      </c>
      <c r="O6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46370|North|Port Harcourt|Retail|Online|Desktop PC D21|Electronics|300000|2|Musa|240000</v>
      </c>
      <c r="P696" s="3" t="str">
        <f>IF(COUNTIF(Sales_Data2[RowKey],Sales_Data2[[#This Row],[RowKey]])&gt;1,"Duplicate","Unique")</f>
        <v>Unique</v>
      </c>
      <c r="Q696" s="3" t="str">
        <f>IF(ISNUMBER(Sales_Data2[[#This Row],[Date]]),"OK","Check")</f>
        <v>OK</v>
      </c>
      <c r="R696" s="3" t="str">
        <f>IF(ISNUMBER(Sales_Data2[[#This Row],[Quantity]]),"OK","Check")</f>
        <v>OK</v>
      </c>
    </row>
    <row r="697" spans="1:18">
      <c r="A697" s="1">
        <v>46371</v>
      </c>
      <c r="B697" t="s">
        <v>11</v>
      </c>
      <c r="C697" t="s">
        <v>26</v>
      </c>
      <c r="D697" t="s">
        <v>23</v>
      </c>
      <c r="E697" t="s">
        <v>20</v>
      </c>
      <c r="F697" t="s">
        <v>15</v>
      </c>
      <c r="G697" t="s">
        <v>16</v>
      </c>
      <c r="H697">
        <v>85000</v>
      </c>
      <c r="I697">
        <v>2</v>
      </c>
      <c r="J697" t="s">
        <v>37</v>
      </c>
      <c r="K697">
        <f t="shared" si="10"/>
        <v>68000</v>
      </c>
      <c r="L697">
        <f>Sales_Data2[[#This Row],[Unit Price]]*Sales_Data2[[#This Row],[Quantity]]</f>
        <v>170000</v>
      </c>
      <c r="M697">
        <f>Sales_Data2[[#This Row],[Cost Price]]*Sales_Data2[[#This Row],[Quantity]]</f>
        <v>136000</v>
      </c>
      <c r="N697" s="3">
        <f>Sales_Data2[[#This Row],[Revenue]]-Sales_Data2[[#This Row],[COGS]]</f>
        <v>34000</v>
      </c>
      <c r="O6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46371|West|Kano|Corporate|Store|Office Chair Pro|Furniture|85000|2|Aisha|68000</v>
      </c>
      <c r="P697" s="3" t="str">
        <f>IF(COUNTIF(Sales_Data2[RowKey],Sales_Data2[[#This Row],[RowKey]])&gt;1,"Duplicate","Unique")</f>
        <v>Unique</v>
      </c>
      <c r="Q697" s="3" t="str">
        <f>IF(ISNUMBER(Sales_Data2[[#This Row],[Date]]),"OK","Check")</f>
        <v>OK</v>
      </c>
      <c r="R697" s="3" t="str">
        <f>IF(ISNUMBER(Sales_Data2[[#This Row],[Quantity]]),"OK","Check")</f>
        <v>OK</v>
      </c>
    </row>
    <row r="698" spans="1:18">
      <c r="A698" s="1">
        <v>46372</v>
      </c>
      <c r="B698" t="s">
        <v>11</v>
      </c>
      <c r="C698" t="s">
        <v>12</v>
      </c>
      <c r="D698" t="s">
        <v>23</v>
      </c>
      <c r="E698" t="s">
        <v>14</v>
      </c>
      <c r="F698" t="s">
        <v>38</v>
      </c>
      <c r="G698" t="s">
        <v>31</v>
      </c>
      <c r="H698">
        <v>420000</v>
      </c>
      <c r="I698">
        <v>5</v>
      </c>
      <c r="J698" t="s">
        <v>17</v>
      </c>
      <c r="K698">
        <f t="shared" si="10"/>
        <v>336000</v>
      </c>
      <c r="L698">
        <f>Sales_Data2[[#This Row],[Unit Price]]*Sales_Data2[[#This Row],[Quantity]]</f>
        <v>2100000</v>
      </c>
      <c r="M698">
        <f>Sales_Data2[[#This Row],[Cost Price]]*Sales_Data2[[#This Row],[Quantity]]</f>
        <v>1680000</v>
      </c>
      <c r="N698" s="3">
        <f>Sales_Data2[[#This Row],[Revenue]]-Sales_Data2[[#This Row],[COGS]]</f>
        <v>420000</v>
      </c>
      <c r="O6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46372|West|Port Harcourt|Corporate|Online|Laptop A13|Electronics|420000|5|Chidinma|336000</v>
      </c>
      <c r="P698" s="3" t="str">
        <f>IF(COUNTIF(Sales_Data2[RowKey],Sales_Data2[[#This Row],[RowKey]])&gt;1,"Duplicate","Unique")</f>
        <v>Unique</v>
      </c>
      <c r="Q698" s="3" t="str">
        <f>IF(ISNUMBER(Sales_Data2[[#This Row],[Date]]),"OK","Check")</f>
        <v>OK</v>
      </c>
      <c r="R698" s="3" t="str">
        <f>IF(ISNUMBER(Sales_Data2[[#This Row],[Quantity]]),"OK","Check")</f>
        <v>OK</v>
      </c>
    </row>
    <row r="699" spans="1:18">
      <c r="A699" s="1">
        <v>46373</v>
      </c>
      <c r="B699" t="s">
        <v>25</v>
      </c>
      <c r="C699" t="s">
        <v>26</v>
      </c>
      <c r="D699" t="s">
        <v>23</v>
      </c>
      <c r="E699" t="s">
        <v>14</v>
      </c>
      <c r="F699" t="s">
        <v>30</v>
      </c>
      <c r="G699" t="s">
        <v>31</v>
      </c>
      <c r="H699">
        <v>300000</v>
      </c>
      <c r="I699">
        <v>8</v>
      </c>
      <c r="J699" t="s">
        <v>24</v>
      </c>
      <c r="K699">
        <f t="shared" si="10"/>
        <v>240000</v>
      </c>
      <c r="L699">
        <f>Sales_Data2[[#This Row],[Unit Price]]*Sales_Data2[[#This Row],[Quantity]]</f>
        <v>2400000</v>
      </c>
      <c r="M699">
        <f>Sales_Data2[[#This Row],[Cost Price]]*Sales_Data2[[#This Row],[Quantity]]</f>
        <v>1920000</v>
      </c>
      <c r="N699" s="3">
        <f>Sales_Data2[[#This Row],[Revenue]]-Sales_Data2[[#This Row],[COGS]]</f>
        <v>480000</v>
      </c>
      <c r="O6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46373|South|Kano|Corporate|Online|Desktop PC D21|Electronics|300000|8|David|240000</v>
      </c>
      <c r="P699" s="3" t="str">
        <f>IF(COUNTIF(Sales_Data2[RowKey],Sales_Data2[[#This Row],[RowKey]])&gt;1,"Duplicate","Unique")</f>
        <v>Unique</v>
      </c>
      <c r="Q699" s="3" t="str">
        <f>IF(ISNUMBER(Sales_Data2[[#This Row],[Date]]),"OK","Check")</f>
        <v>OK</v>
      </c>
      <c r="R699" s="3" t="str">
        <f>IF(ISNUMBER(Sales_Data2[[#This Row],[Quantity]]),"OK","Check")</f>
        <v>OK</v>
      </c>
    </row>
    <row r="700" spans="1:18">
      <c r="A700" s="1">
        <v>46374</v>
      </c>
      <c r="B700" t="s">
        <v>11</v>
      </c>
      <c r="C700" t="s">
        <v>19</v>
      </c>
      <c r="D700" t="s">
        <v>23</v>
      </c>
      <c r="E700" t="s">
        <v>20</v>
      </c>
      <c r="F700" t="s">
        <v>27</v>
      </c>
      <c r="G700" t="s">
        <v>22</v>
      </c>
      <c r="H700">
        <v>60000</v>
      </c>
      <c r="I700">
        <v>1</v>
      </c>
      <c r="J700" t="s">
        <v>17</v>
      </c>
      <c r="K700">
        <f t="shared" si="10"/>
        <v>48000</v>
      </c>
      <c r="L700">
        <f>Sales_Data2[[#This Row],[Unit Price]]*Sales_Data2[[#This Row],[Quantity]]</f>
        <v>60000</v>
      </c>
      <c r="M700">
        <f>Sales_Data2[[#This Row],[Cost Price]]*Sales_Data2[[#This Row],[Quantity]]</f>
        <v>48000</v>
      </c>
      <c r="N700" s="3">
        <f>Sales_Data2[[#This Row],[Revenue]]-Sales_Data2[[#This Row],[COGS]]</f>
        <v>12000</v>
      </c>
      <c r="O7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46374|West|Lagos|Corporate|Store|Microwave M20|Home Appliances|60000|1|Chidinma|48000</v>
      </c>
      <c r="P700" s="3" t="str">
        <f>IF(COUNTIF(Sales_Data2[RowKey],Sales_Data2[[#This Row],[RowKey]])&gt;1,"Duplicate","Unique")</f>
        <v>Unique</v>
      </c>
      <c r="Q700" s="3" t="str">
        <f>IF(ISNUMBER(Sales_Data2[[#This Row],[Date]]),"OK","Check")</f>
        <v>OK</v>
      </c>
      <c r="R700" s="3" t="str">
        <f>IF(ISNUMBER(Sales_Data2[[#This Row],[Quantity]]),"OK","Check")</f>
        <v>OK</v>
      </c>
    </row>
    <row r="701" spans="1:18">
      <c r="A701" s="1">
        <v>46375</v>
      </c>
      <c r="B701" t="s">
        <v>11</v>
      </c>
      <c r="C701" t="s">
        <v>26</v>
      </c>
      <c r="D701" t="s">
        <v>13</v>
      </c>
      <c r="E701" t="s">
        <v>14</v>
      </c>
      <c r="F701" t="s">
        <v>40</v>
      </c>
      <c r="G701" t="s">
        <v>31</v>
      </c>
      <c r="H701">
        <v>250000</v>
      </c>
      <c r="I701">
        <v>8</v>
      </c>
      <c r="J701" t="s">
        <v>17</v>
      </c>
      <c r="K701">
        <f t="shared" si="10"/>
        <v>200000</v>
      </c>
      <c r="L701">
        <f>Sales_Data2[[#This Row],[Unit Price]]*Sales_Data2[[#This Row],[Quantity]]</f>
        <v>2000000</v>
      </c>
      <c r="M701">
        <f>Sales_Data2[[#This Row],[Cost Price]]*Sales_Data2[[#This Row],[Quantity]]</f>
        <v>1600000</v>
      </c>
      <c r="N701" s="3">
        <f>Sales_Data2[[#This Row],[Revenue]]-Sales_Data2[[#This Row],[COGS]]</f>
        <v>400000</v>
      </c>
      <c r="O7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46375|West|Kano|Retail|Online|Smartphone Z10|Electronics|250000|8|Chidinma|200000</v>
      </c>
      <c r="P701" s="3" t="str">
        <f>IF(COUNTIF(Sales_Data2[RowKey],Sales_Data2[[#This Row],[RowKey]])&gt;1,"Duplicate","Unique")</f>
        <v>Unique</v>
      </c>
      <c r="Q701" s="3" t="str">
        <f>IF(ISNUMBER(Sales_Data2[[#This Row],[Date]]),"OK","Check")</f>
        <v>OK</v>
      </c>
      <c r="R701" s="3" t="str">
        <f>IF(ISNUMBER(Sales_Data2[[#This Row],[Quantity]]),"OK","Check")</f>
        <v>OK</v>
      </c>
    </row>
    <row r="702" spans="1:18">
      <c r="A702" s="1">
        <v>46376</v>
      </c>
      <c r="B702" t="s">
        <v>11</v>
      </c>
      <c r="C702" t="s">
        <v>19</v>
      </c>
      <c r="D702" t="s">
        <v>23</v>
      </c>
      <c r="E702" t="s">
        <v>14</v>
      </c>
      <c r="F702" t="s">
        <v>30</v>
      </c>
      <c r="G702" t="s">
        <v>31</v>
      </c>
      <c r="H702">
        <v>300000</v>
      </c>
      <c r="I702">
        <v>4</v>
      </c>
      <c r="J702" t="s">
        <v>17</v>
      </c>
      <c r="K702">
        <f t="shared" si="10"/>
        <v>240000</v>
      </c>
      <c r="L702">
        <f>Sales_Data2[[#This Row],[Unit Price]]*Sales_Data2[[#This Row],[Quantity]]</f>
        <v>1200000</v>
      </c>
      <c r="M702">
        <f>Sales_Data2[[#This Row],[Cost Price]]*Sales_Data2[[#This Row],[Quantity]]</f>
        <v>960000</v>
      </c>
      <c r="N702" s="3">
        <f>Sales_Data2[[#This Row],[Revenue]]-Sales_Data2[[#This Row],[COGS]]</f>
        <v>240000</v>
      </c>
      <c r="O7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46376|West|Lagos|Corporate|Online|Desktop PC D21|Electronics|300000|4|Chidinma|240000</v>
      </c>
      <c r="P702" s="3" t="str">
        <f>IF(COUNTIF(Sales_Data2[RowKey],Sales_Data2[[#This Row],[RowKey]])&gt;1,"Duplicate","Unique")</f>
        <v>Unique</v>
      </c>
      <c r="Q702" s="3" t="str">
        <f>IF(ISNUMBER(Sales_Data2[[#This Row],[Date]]),"OK","Check")</f>
        <v>OK</v>
      </c>
      <c r="R702" s="3" t="str">
        <f>IF(ISNUMBER(Sales_Data2[[#This Row],[Quantity]]),"OK","Check")</f>
        <v>OK</v>
      </c>
    </row>
    <row r="703" spans="1:18">
      <c r="A703" s="1">
        <v>46377</v>
      </c>
      <c r="B703" t="s">
        <v>18</v>
      </c>
      <c r="C703" t="s">
        <v>26</v>
      </c>
      <c r="D703" t="s">
        <v>23</v>
      </c>
      <c r="E703" t="s">
        <v>14</v>
      </c>
      <c r="F703" t="s">
        <v>30</v>
      </c>
      <c r="G703" t="s">
        <v>31</v>
      </c>
      <c r="H703">
        <v>300000</v>
      </c>
      <c r="I703">
        <v>10</v>
      </c>
      <c r="J703" t="s">
        <v>37</v>
      </c>
      <c r="K703">
        <f t="shared" si="10"/>
        <v>240000</v>
      </c>
      <c r="L703">
        <f>Sales_Data2[[#This Row],[Unit Price]]*Sales_Data2[[#This Row],[Quantity]]</f>
        <v>3000000</v>
      </c>
      <c r="M703">
        <f>Sales_Data2[[#This Row],[Cost Price]]*Sales_Data2[[#This Row],[Quantity]]</f>
        <v>2400000</v>
      </c>
      <c r="N703" s="3">
        <f>Sales_Data2[[#This Row],[Revenue]]-Sales_Data2[[#This Row],[COGS]]</f>
        <v>600000</v>
      </c>
      <c r="O7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46377|East|Kano|Corporate|Online|Desktop PC D21|Electronics|300000|10|Aisha|240000</v>
      </c>
      <c r="P703" s="3" t="str">
        <f>IF(COUNTIF(Sales_Data2[RowKey],Sales_Data2[[#This Row],[RowKey]])&gt;1,"Duplicate","Unique")</f>
        <v>Unique</v>
      </c>
      <c r="Q703" s="3" t="str">
        <f>IF(ISNUMBER(Sales_Data2[[#This Row],[Date]]),"OK","Check")</f>
        <v>OK</v>
      </c>
      <c r="R703" s="3" t="str">
        <f>IF(ISNUMBER(Sales_Data2[[#This Row],[Quantity]]),"OK","Check")</f>
        <v>OK</v>
      </c>
    </row>
    <row r="704" spans="1:18">
      <c r="A704" s="1">
        <v>46378</v>
      </c>
      <c r="B704" t="s">
        <v>25</v>
      </c>
      <c r="C704" t="s">
        <v>19</v>
      </c>
      <c r="D704" t="s">
        <v>13</v>
      </c>
      <c r="E704" t="s">
        <v>14</v>
      </c>
      <c r="F704" t="s">
        <v>30</v>
      </c>
      <c r="G704" t="s">
        <v>31</v>
      </c>
      <c r="H704">
        <v>300000</v>
      </c>
      <c r="I704">
        <v>2</v>
      </c>
      <c r="J704" t="s">
        <v>39</v>
      </c>
      <c r="K704">
        <f t="shared" si="10"/>
        <v>240000</v>
      </c>
      <c r="L704">
        <f>Sales_Data2[[#This Row],[Unit Price]]*Sales_Data2[[#This Row],[Quantity]]</f>
        <v>600000</v>
      </c>
      <c r="M704">
        <f>Sales_Data2[[#This Row],[Cost Price]]*Sales_Data2[[#This Row],[Quantity]]</f>
        <v>480000</v>
      </c>
      <c r="N704" s="3">
        <f>Sales_Data2[[#This Row],[Revenue]]-Sales_Data2[[#This Row],[COGS]]</f>
        <v>120000</v>
      </c>
      <c r="O7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46378|South|Lagos|Retail|Online|Desktop PC D21|Electronics|300000|2|Grace|240000</v>
      </c>
      <c r="P704" s="3" t="str">
        <f>IF(COUNTIF(Sales_Data2[RowKey],Sales_Data2[[#This Row],[RowKey]])&gt;1,"Duplicate","Unique")</f>
        <v>Unique</v>
      </c>
      <c r="Q704" s="3" t="str">
        <f>IF(ISNUMBER(Sales_Data2[[#This Row],[Date]]),"OK","Check")</f>
        <v>OK</v>
      </c>
      <c r="R704" s="3" t="str">
        <f>IF(ISNUMBER(Sales_Data2[[#This Row],[Quantity]]),"OK","Check")</f>
        <v>OK</v>
      </c>
    </row>
    <row r="705" spans="1:18">
      <c r="A705" s="1">
        <v>46379</v>
      </c>
      <c r="B705" t="s">
        <v>11</v>
      </c>
      <c r="C705" t="s">
        <v>32</v>
      </c>
      <c r="D705" t="s">
        <v>13</v>
      </c>
      <c r="E705" t="s">
        <v>20</v>
      </c>
      <c r="F705" t="s">
        <v>15</v>
      </c>
      <c r="G705" t="s">
        <v>16</v>
      </c>
      <c r="H705">
        <v>85000</v>
      </c>
      <c r="I705">
        <v>2</v>
      </c>
      <c r="J705" t="s">
        <v>35</v>
      </c>
      <c r="K705">
        <f t="shared" si="10"/>
        <v>68000</v>
      </c>
      <c r="L705">
        <f>Sales_Data2[[#This Row],[Unit Price]]*Sales_Data2[[#This Row],[Quantity]]</f>
        <v>170000</v>
      </c>
      <c r="M705">
        <f>Sales_Data2[[#This Row],[Cost Price]]*Sales_Data2[[#This Row],[Quantity]]</f>
        <v>136000</v>
      </c>
      <c r="N705" s="3">
        <f>Sales_Data2[[#This Row],[Revenue]]-Sales_Data2[[#This Row],[COGS]]</f>
        <v>34000</v>
      </c>
      <c r="O7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46379|West|Abuja|Retail|Store|Office Chair Pro|Furniture|85000|2|Peter|68000</v>
      </c>
      <c r="P705" s="3" t="str">
        <f>IF(COUNTIF(Sales_Data2[RowKey],Sales_Data2[[#This Row],[RowKey]])&gt;1,"Duplicate","Unique")</f>
        <v>Unique</v>
      </c>
      <c r="Q705" s="3" t="str">
        <f>IF(ISNUMBER(Sales_Data2[[#This Row],[Date]]),"OK","Check")</f>
        <v>OK</v>
      </c>
      <c r="R705" s="3" t="str">
        <f>IF(ISNUMBER(Sales_Data2[[#This Row],[Quantity]]),"OK","Check")</f>
        <v>OK</v>
      </c>
    </row>
    <row r="706" spans="1:18">
      <c r="A706" s="1">
        <v>46380</v>
      </c>
      <c r="B706" t="s">
        <v>29</v>
      </c>
      <c r="C706" t="s">
        <v>19</v>
      </c>
      <c r="D706" t="s">
        <v>13</v>
      </c>
      <c r="E706" t="s">
        <v>14</v>
      </c>
      <c r="F706" t="s">
        <v>34</v>
      </c>
      <c r="G706" t="s">
        <v>16</v>
      </c>
      <c r="H706">
        <v>320000</v>
      </c>
      <c r="I706">
        <v>3</v>
      </c>
      <c r="J706" t="s">
        <v>28</v>
      </c>
      <c r="K706">
        <f t="shared" ref="K706:K769" si="11">H706-H706*0.2</f>
        <v>256000</v>
      </c>
      <c r="L706">
        <f>Sales_Data2[[#This Row],[Unit Price]]*Sales_Data2[[#This Row],[Quantity]]</f>
        <v>960000</v>
      </c>
      <c r="M706">
        <f>Sales_Data2[[#This Row],[Cost Price]]*Sales_Data2[[#This Row],[Quantity]]</f>
        <v>768000</v>
      </c>
      <c r="N706" s="3">
        <f>Sales_Data2[[#This Row],[Revenue]]-Sales_Data2[[#This Row],[COGS]]</f>
        <v>192000</v>
      </c>
      <c r="O7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46380|North|Lagos|Retail|Online|Sofa Classic|Furniture|320000|3|Musa|256000</v>
      </c>
      <c r="P706" s="3" t="str">
        <f>IF(COUNTIF(Sales_Data2[RowKey],Sales_Data2[[#This Row],[RowKey]])&gt;1,"Duplicate","Unique")</f>
        <v>Unique</v>
      </c>
      <c r="Q706" s="3" t="str">
        <f>IF(ISNUMBER(Sales_Data2[[#This Row],[Date]]),"OK","Check")</f>
        <v>OK</v>
      </c>
      <c r="R706" s="3" t="str">
        <f>IF(ISNUMBER(Sales_Data2[[#This Row],[Quantity]]),"OK","Check")</f>
        <v>OK</v>
      </c>
    </row>
    <row r="707" spans="1:18">
      <c r="A707" s="1">
        <v>46381</v>
      </c>
      <c r="B707" t="s">
        <v>11</v>
      </c>
      <c r="C707" t="s">
        <v>26</v>
      </c>
      <c r="D707" t="s">
        <v>13</v>
      </c>
      <c r="E707" t="s">
        <v>20</v>
      </c>
      <c r="F707" t="s">
        <v>36</v>
      </c>
      <c r="G707" t="s">
        <v>31</v>
      </c>
      <c r="H707">
        <v>150000</v>
      </c>
      <c r="I707">
        <v>4</v>
      </c>
      <c r="J707" t="s">
        <v>17</v>
      </c>
      <c r="K707">
        <f t="shared" si="11"/>
        <v>120000</v>
      </c>
      <c r="L707">
        <f>Sales_Data2[[#This Row],[Unit Price]]*Sales_Data2[[#This Row],[Quantity]]</f>
        <v>600000</v>
      </c>
      <c r="M707">
        <f>Sales_Data2[[#This Row],[Cost Price]]*Sales_Data2[[#This Row],[Quantity]]</f>
        <v>480000</v>
      </c>
      <c r="N707" s="3">
        <f>Sales_Data2[[#This Row],[Revenue]]-Sales_Data2[[#This Row],[COGS]]</f>
        <v>120000</v>
      </c>
      <c r="O7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46381|West|Kano|Retail|Store|Printer P50|Electronics|150000|4|Chidinma|120000</v>
      </c>
      <c r="P707" s="3" t="str">
        <f>IF(COUNTIF(Sales_Data2[RowKey],Sales_Data2[[#This Row],[RowKey]])&gt;1,"Duplicate","Unique")</f>
        <v>Unique</v>
      </c>
      <c r="Q707" s="3" t="str">
        <f>IF(ISNUMBER(Sales_Data2[[#This Row],[Date]]),"OK","Check")</f>
        <v>OK</v>
      </c>
      <c r="R707" s="3" t="str">
        <f>IF(ISNUMBER(Sales_Data2[[#This Row],[Quantity]]),"OK","Check")</f>
        <v>OK</v>
      </c>
    </row>
    <row r="708" spans="1:18">
      <c r="A708" s="1">
        <v>46382</v>
      </c>
      <c r="B708" t="s">
        <v>11</v>
      </c>
      <c r="C708" t="s">
        <v>26</v>
      </c>
      <c r="D708" t="s">
        <v>23</v>
      </c>
      <c r="E708" t="s">
        <v>20</v>
      </c>
      <c r="F708" t="s">
        <v>27</v>
      </c>
      <c r="G708" t="s">
        <v>22</v>
      </c>
      <c r="H708">
        <v>60000</v>
      </c>
      <c r="I708">
        <v>8</v>
      </c>
      <c r="J708" t="s">
        <v>28</v>
      </c>
      <c r="K708">
        <f t="shared" si="11"/>
        <v>48000</v>
      </c>
      <c r="L708">
        <f>Sales_Data2[[#This Row],[Unit Price]]*Sales_Data2[[#This Row],[Quantity]]</f>
        <v>480000</v>
      </c>
      <c r="M708">
        <f>Sales_Data2[[#This Row],[Cost Price]]*Sales_Data2[[#This Row],[Quantity]]</f>
        <v>384000</v>
      </c>
      <c r="N708" s="3">
        <f>Sales_Data2[[#This Row],[Revenue]]-Sales_Data2[[#This Row],[COGS]]</f>
        <v>96000</v>
      </c>
      <c r="O7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46382|West|Kano|Corporate|Store|Microwave M20|Home Appliances|60000|8|Musa|48000</v>
      </c>
      <c r="P708" s="3" t="str">
        <f>IF(COUNTIF(Sales_Data2[RowKey],Sales_Data2[[#This Row],[RowKey]])&gt;1,"Duplicate","Unique")</f>
        <v>Unique</v>
      </c>
      <c r="Q708" s="3" t="str">
        <f>IF(ISNUMBER(Sales_Data2[[#This Row],[Date]]),"OK","Check")</f>
        <v>OK</v>
      </c>
      <c r="R708" s="3" t="str">
        <f>IF(ISNUMBER(Sales_Data2[[#This Row],[Quantity]]),"OK","Check")</f>
        <v>OK</v>
      </c>
    </row>
    <row r="709" spans="1:18">
      <c r="A709" s="1">
        <v>46383</v>
      </c>
      <c r="B709" t="s">
        <v>29</v>
      </c>
      <c r="C709" t="s">
        <v>12</v>
      </c>
      <c r="D709" t="s">
        <v>23</v>
      </c>
      <c r="E709" t="s">
        <v>20</v>
      </c>
      <c r="F709" t="s">
        <v>15</v>
      </c>
      <c r="G709" t="s">
        <v>16</v>
      </c>
      <c r="H709">
        <v>85000</v>
      </c>
      <c r="I709">
        <v>2</v>
      </c>
      <c r="J709" t="s">
        <v>17</v>
      </c>
      <c r="K709">
        <f t="shared" si="11"/>
        <v>68000</v>
      </c>
      <c r="L709">
        <f>Sales_Data2[[#This Row],[Unit Price]]*Sales_Data2[[#This Row],[Quantity]]</f>
        <v>170000</v>
      </c>
      <c r="M709">
        <f>Sales_Data2[[#This Row],[Cost Price]]*Sales_Data2[[#This Row],[Quantity]]</f>
        <v>136000</v>
      </c>
      <c r="N709" s="3">
        <f>Sales_Data2[[#This Row],[Revenue]]-Sales_Data2[[#This Row],[COGS]]</f>
        <v>34000</v>
      </c>
      <c r="O7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46383|North|Port Harcourt|Corporate|Store|Office Chair Pro|Furniture|85000|2|Chidinma|68000</v>
      </c>
      <c r="P709" s="3" t="str">
        <f>IF(COUNTIF(Sales_Data2[RowKey],Sales_Data2[[#This Row],[RowKey]])&gt;1,"Duplicate","Unique")</f>
        <v>Unique</v>
      </c>
      <c r="Q709" s="3" t="str">
        <f>IF(ISNUMBER(Sales_Data2[[#This Row],[Date]]),"OK","Check")</f>
        <v>OK</v>
      </c>
      <c r="R709" s="3" t="str">
        <f>IF(ISNUMBER(Sales_Data2[[#This Row],[Quantity]]),"OK","Check")</f>
        <v>OK</v>
      </c>
    </row>
    <row r="710" spans="1:18">
      <c r="A710" s="1">
        <v>46384</v>
      </c>
      <c r="B710" t="s">
        <v>29</v>
      </c>
      <c r="C710" t="s">
        <v>19</v>
      </c>
      <c r="D710" t="s">
        <v>23</v>
      </c>
      <c r="E710" t="s">
        <v>20</v>
      </c>
      <c r="F710" t="s">
        <v>30</v>
      </c>
      <c r="G710" t="s">
        <v>31</v>
      </c>
      <c r="H710">
        <v>300000</v>
      </c>
      <c r="I710">
        <v>8</v>
      </c>
      <c r="J710" t="s">
        <v>24</v>
      </c>
      <c r="K710">
        <f t="shared" si="11"/>
        <v>240000</v>
      </c>
      <c r="L710">
        <f>Sales_Data2[[#This Row],[Unit Price]]*Sales_Data2[[#This Row],[Quantity]]</f>
        <v>2400000</v>
      </c>
      <c r="M710">
        <f>Sales_Data2[[#This Row],[Cost Price]]*Sales_Data2[[#This Row],[Quantity]]</f>
        <v>1920000</v>
      </c>
      <c r="N710" s="3">
        <f>Sales_Data2[[#This Row],[Revenue]]-Sales_Data2[[#This Row],[COGS]]</f>
        <v>480000</v>
      </c>
      <c r="O7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46384|North|Lagos|Corporate|Store|Desktop PC D21|Electronics|300000|8|David|240000</v>
      </c>
      <c r="P710" s="3" t="str">
        <f>IF(COUNTIF(Sales_Data2[RowKey],Sales_Data2[[#This Row],[RowKey]])&gt;1,"Duplicate","Unique")</f>
        <v>Unique</v>
      </c>
      <c r="Q710" s="3" t="str">
        <f>IF(ISNUMBER(Sales_Data2[[#This Row],[Date]]),"OK","Check")</f>
        <v>OK</v>
      </c>
      <c r="R710" s="3" t="str">
        <f>IF(ISNUMBER(Sales_Data2[[#This Row],[Quantity]]),"OK","Check")</f>
        <v>OK</v>
      </c>
    </row>
    <row r="711" spans="1:18">
      <c r="A711" s="1">
        <v>46385</v>
      </c>
      <c r="B711" t="s">
        <v>29</v>
      </c>
      <c r="C711" t="s">
        <v>12</v>
      </c>
      <c r="D711" t="s">
        <v>13</v>
      </c>
      <c r="E711" t="s">
        <v>14</v>
      </c>
      <c r="F711" t="s">
        <v>34</v>
      </c>
      <c r="G711" t="s">
        <v>16</v>
      </c>
      <c r="H711">
        <v>320000</v>
      </c>
      <c r="I711">
        <v>5</v>
      </c>
      <c r="J711" t="s">
        <v>37</v>
      </c>
      <c r="K711">
        <f t="shared" si="11"/>
        <v>256000</v>
      </c>
      <c r="L711">
        <f>Sales_Data2[[#This Row],[Unit Price]]*Sales_Data2[[#This Row],[Quantity]]</f>
        <v>1600000</v>
      </c>
      <c r="M711">
        <f>Sales_Data2[[#This Row],[Cost Price]]*Sales_Data2[[#This Row],[Quantity]]</f>
        <v>1280000</v>
      </c>
      <c r="N711" s="3">
        <f>Sales_Data2[[#This Row],[Revenue]]-Sales_Data2[[#This Row],[COGS]]</f>
        <v>320000</v>
      </c>
      <c r="O7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46385|North|Port Harcourt|Retail|Online|Sofa Classic|Furniture|320000|5|Aisha|256000</v>
      </c>
      <c r="P711" s="3" t="str">
        <f>IF(COUNTIF(Sales_Data2[RowKey],Sales_Data2[[#This Row],[RowKey]])&gt;1,"Duplicate","Unique")</f>
        <v>Unique</v>
      </c>
      <c r="Q711" s="3" t="str">
        <f>IF(ISNUMBER(Sales_Data2[[#This Row],[Date]]),"OK","Check")</f>
        <v>OK</v>
      </c>
      <c r="R711" s="3" t="str">
        <f>IF(ISNUMBER(Sales_Data2[[#This Row],[Quantity]]),"OK","Check")</f>
        <v>OK</v>
      </c>
    </row>
    <row r="712" spans="1:18">
      <c r="A712" s="1">
        <v>46386</v>
      </c>
      <c r="B712" t="s">
        <v>11</v>
      </c>
      <c r="C712" t="s">
        <v>19</v>
      </c>
      <c r="D712" t="s">
        <v>23</v>
      </c>
      <c r="E712" t="s">
        <v>20</v>
      </c>
      <c r="F712" t="s">
        <v>21</v>
      </c>
      <c r="G712" t="s">
        <v>22</v>
      </c>
      <c r="H712">
        <v>30000</v>
      </c>
      <c r="I712">
        <v>3</v>
      </c>
      <c r="J712" t="s">
        <v>24</v>
      </c>
      <c r="K712">
        <f t="shared" si="11"/>
        <v>24000</v>
      </c>
      <c r="L712">
        <f>Sales_Data2[[#This Row],[Unit Price]]*Sales_Data2[[#This Row],[Quantity]]</f>
        <v>90000</v>
      </c>
      <c r="M712">
        <f>Sales_Data2[[#This Row],[Cost Price]]*Sales_Data2[[#This Row],[Quantity]]</f>
        <v>72000</v>
      </c>
      <c r="N712" s="3">
        <f>Sales_Data2[[#This Row],[Revenue]]-Sales_Data2[[#This Row],[COGS]]</f>
        <v>18000</v>
      </c>
      <c r="O7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46386|West|Lagos|Corporate|Store|Blender B10|Home Appliances|30000|3|David|24000</v>
      </c>
      <c r="P712" s="3" t="str">
        <f>IF(COUNTIF(Sales_Data2[RowKey],Sales_Data2[[#This Row],[RowKey]])&gt;1,"Duplicate","Unique")</f>
        <v>Unique</v>
      </c>
      <c r="Q712" s="3" t="str">
        <f>IF(ISNUMBER(Sales_Data2[[#This Row],[Date]]),"OK","Check")</f>
        <v>OK</v>
      </c>
      <c r="R712" s="3" t="str">
        <f>IF(ISNUMBER(Sales_Data2[[#This Row],[Quantity]]),"OK","Check")</f>
        <v>OK</v>
      </c>
    </row>
    <row r="713" spans="1:18">
      <c r="A713" s="1">
        <v>46387</v>
      </c>
      <c r="B713" t="s">
        <v>25</v>
      </c>
      <c r="C713" t="s">
        <v>12</v>
      </c>
      <c r="D713" t="s">
        <v>13</v>
      </c>
      <c r="E713" t="s">
        <v>20</v>
      </c>
      <c r="F713" t="s">
        <v>21</v>
      </c>
      <c r="G713" t="s">
        <v>22</v>
      </c>
      <c r="H713">
        <v>30000</v>
      </c>
      <c r="I713">
        <v>1</v>
      </c>
      <c r="J713" t="s">
        <v>24</v>
      </c>
      <c r="K713">
        <f t="shared" si="11"/>
        <v>24000</v>
      </c>
      <c r="L713">
        <f>Sales_Data2[[#This Row],[Unit Price]]*Sales_Data2[[#This Row],[Quantity]]</f>
        <v>30000</v>
      </c>
      <c r="M713">
        <f>Sales_Data2[[#This Row],[Cost Price]]*Sales_Data2[[#This Row],[Quantity]]</f>
        <v>24000</v>
      </c>
      <c r="N713" s="3">
        <f>Sales_Data2[[#This Row],[Revenue]]-Sales_Data2[[#This Row],[COGS]]</f>
        <v>6000</v>
      </c>
      <c r="O7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46387|South|Port Harcourt|Retail|Store|Blender B10|Home Appliances|30000|1|David|24000</v>
      </c>
      <c r="P713" s="3" t="str">
        <f>IF(COUNTIF(Sales_Data2[RowKey],Sales_Data2[[#This Row],[RowKey]])&gt;1,"Duplicate","Unique")</f>
        <v>Unique</v>
      </c>
      <c r="Q713" s="3" t="str">
        <f>IF(ISNUMBER(Sales_Data2[[#This Row],[Date]]),"OK","Check")</f>
        <v>OK</v>
      </c>
      <c r="R713" s="3" t="str">
        <f>IF(ISNUMBER(Sales_Data2[[#This Row],[Quantity]]),"OK","Check")</f>
        <v>OK</v>
      </c>
    </row>
    <row r="714" spans="1:18">
      <c r="A714" s="1">
        <v>46388</v>
      </c>
      <c r="B714" t="s">
        <v>25</v>
      </c>
      <c r="C714" t="s">
        <v>32</v>
      </c>
      <c r="D714" t="s">
        <v>23</v>
      </c>
      <c r="E714" t="s">
        <v>20</v>
      </c>
      <c r="F714" t="s">
        <v>36</v>
      </c>
      <c r="G714" t="s">
        <v>31</v>
      </c>
      <c r="H714">
        <v>150000</v>
      </c>
      <c r="I714">
        <v>3</v>
      </c>
      <c r="J714" t="s">
        <v>24</v>
      </c>
      <c r="K714">
        <f t="shared" si="11"/>
        <v>120000</v>
      </c>
      <c r="L714">
        <f>Sales_Data2[[#This Row],[Unit Price]]*Sales_Data2[[#This Row],[Quantity]]</f>
        <v>450000</v>
      </c>
      <c r="M714">
        <f>Sales_Data2[[#This Row],[Cost Price]]*Sales_Data2[[#This Row],[Quantity]]</f>
        <v>360000</v>
      </c>
      <c r="N714" s="3">
        <f>Sales_Data2[[#This Row],[Revenue]]-Sales_Data2[[#This Row],[COGS]]</f>
        <v>90000</v>
      </c>
      <c r="O7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46388|South|Abuja|Corporate|Store|Printer P50|Electronics|150000|3|David|120000</v>
      </c>
      <c r="P714" s="3" t="str">
        <f>IF(COUNTIF(Sales_Data2[RowKey],Sales_Data2[[#This Row],[RowKey]])&gt;1,"Duplicate","Unique")</f>
        <v>Unique</v>
      </c>
      <c r="Q714" s="3" t="str">
        <f>IF(ISNUMBER(Sales_Data2[[#This Row],[Date]]),"OK","Check")</f>
        <v>OK</v>
      </c>
      <c r="R714" s="3" t="str">
        <f>IF(ISNUMBER(Sales_Data2[[#This Row],[Quantity]]),"OK","Check")</f>
        <v>OK</v>
      </c>
    </row>
    <row r="715" spans="1:18">
      <c r="A715" s="1">
        <v>46389</v>
      </c>
      <c r="B715" t="s">
        <v>25</v>
      </c>
      <c r="C715" t="s">
        <v>26</v>
      </c>
      <c r="D715" t="s">
        <v>13</v>
      </c>
      <c r="E715" t="s">
        <v>14</v>
      </c>
      <c r="F715" t="s">
        <v>21</v>
      </c>
      <c r="G715" t="s">
        <v>22</v>
      </c>
      <c r="H715">
        <v>30000</v>
      </c>
      <c r="I715">
        <v>5</v>
      </c>
      <c r="J715" t="s">
        <v>35</v>
      </c>
      <c r="K715">
        <f t="shared" si="11"/>
        <v>24000</v>
      </c>
      <c r="L715">
        <f>Sales_Data2[[#This Row],[Unit Price]]*Sales_Data2[[#This Row],[Quantity]]</f>
        <v>150000</v>
      </c>
      <c r="M715">
        <f>Sales_Data2[[#This Row],[Cost Price]]*Sales_Data2[[#This Row],[Quantity]]</f>
        <v>120000</v>
      </c>
      <c r="N715" s="3">
        <f>Sales_Data2[[#This Row],[Revenue]]-Sales_Data2[[#This Row],[COGS]]</f>
        <v>30000</v>
      </c>
      <c r="O7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46389|South|Kano|Retail|Online|Blender B10|Home Appliances|30000|5|Peter|24000</v>
      </c>
      <c r="P715" s="3" t="str">
        <f>IF(COUNTIF(Sales_Data2[RowKey],Sales_Data2[[#This Row],[RowKey]])&gt;1,"Duplicate","Unique")</f>
        <v>Unique</v>
      </c>
      <c r="Q715" s="3" t="str">
        <f>IF(ISNUMBER(Sales_Data2[[#This Row],[Date]]),"OK","Check")</f>
        <v>OK</v>
      </c>
      <c r="R715" s="3" t="str">
        <f>IF(ISNUMBER(Sales_Data2[[#This Row],[Quantity]]),"OK","Check")</f>
        <v>OK</v>
      </c>
    </row>
    <row r="716" spans="1:18">
      <c r="A716" s="1">
        <v>46390</v>
      </c>
      <c r="B716" t="s">
        <v>29</v>
      </c>
      <c r="C716" t="s">
        <v>32</v>
      </c>
      <c r="D716" t="s">
        <v>23</v>
      </c>
      <c r="E716" t="s">
        <v>20</v>
      </c>
      <c r="F716" t="s">
        <v>33</v>
      </c>
      <c r="G716" t="s">
        <v>22</v>
      </c>
      <c r="H716">
        <v>180000</v>
      </c>
      <c r="I716">
        <v>4</v>
      </c>
      <c r="J716" t="s">
        <v>24</v>
      </c>
      <c r="K716">
        <f t="shared" si="11"/>
        <v>144000</v>
      </c>
      <c r="L716">
        <f>Sales_Data2[[#This Row],[Unit Price]]*Sales_Data2[[#This Row],[Quantity]]</f>
        <v>720000</v>
      </c>
      <c r="M716">
        <f>Sales_Data2[[#This Row],[Cost Price]]*Sales_Data2[[#This Row],[Quantity]]</f>
        <v>576000</v>
      </c>
      <c r="N716" s="3">
        <f>Sales_Data2[[#This Row],[Revenue]]-Sales_Data2[[#This Row],[COGS]]</f>
        <v>144000</v>
      </c>
      <c r="O7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46390|North|Abuja|Corporate|Store|Air Conditioner X2|Home Appliances|180000|4|David|144000</v>
      </c>
      <c r="P716" s="3" t="str">
        <f>IF(COUNTIF(Sales_Data2[RowKey],Sales_Data2[[#This Row],[RowKey]])&gt;1,"Duplicate","Unique")</f>
        <v>Unique</v>
      </c>
      <c r="Q716" s="3" t="str">
        <f>IF(ISNUMBER(Sales_Data2[[#This Row],[Date]]),"OK","Check")</f>
        <v>OK</v>
      </c>
      <c r="R716" s="3" t="str">
        <f>IF(ISNUMBER(Sales_Data2[[#This Row],[Quantity]]),"OK","Check")</f>
        <v>OK</v>
      </c>
    </row>
    <row r="717" spans="1:18">
      <c r="A717" s="1">
        <v>46391</v>
      </c>
      <c r="B717" t="s">
        <v>25</v>
      </c>
      <c r="C717" t="s">
        <v>26</v>
      </c>
      <c r="D717" t="s">
        <v>23</v>
      </c>
      <c r="E717" t="s">
        <v>20</v>
      </c>
      <c r="F717" t="s">
        <v>33</v>
      </c>
      <c r="G717" t="s">
        <v>22</v>
      </c>
      <c r="H717">
        <v>180000</v>
      </c>
      <c r="I717">
        <v>3</v>
      </c>
      <c r="J717" t="s">
        <v>39</v>
      </c>
      <c r="K717">
        <f t="shared" si="11"/>
        <v>144000</v>
      </c>
      <c r="L717">
        <f>Sales_Data2[[#This Row],[Unit Price]]*Sales_Data2[[#This Row],[Quantity]]</f>
        <v>540000</v>
      </c>
      <c r="M717">
        <f>Sales_Data2[[#This Row],[Cost Price]]*Sales_Data2[[#This Row],[Quantity]]</f>
        <v>432000</v>
      </c>
      <c r="N717" s="3">
        <f>Sales_Data2[[#This Row],[Revenue]]-Sales_Data2[[#This Row],[COGS]]</f>
        <v>108000</v>
      </c>
      <c r="O7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46391|South|Kano|Corporate|Store|Air Conditioner X2|Home Appliances|180000|3|Grace|144000</v>
      </c>
      <c r="P717" s="3" t="str">
        <f>IF(COUNTIF(Sales_Data2[RowKey],Sales_Data2[[#This Row],[RowKey]])&gt;1,"Duplicate","Unique")</f>
        <v>Unique</v>
      </c>
      <c r="Q717" s="3" t="str">
        <f>IF(ISNUMBER(Sales_Data2[[#This Row],[Date]]),"OK","Check")</f>
        <v>OK</v>
      </c>
      <c r="R717" s="3" t="str">
        <f>IF(ISNUMBER(Sales_Data2[[#This Row],[Quantity]]),"OK","Check")</f>
        <v>OK</v>
      </c>
    </row>
    <row r="718" spans="1:18">
      <c r="A718" s="1">
        <v>46392</v>
      </c>
      <c r="B718" t="s">
        <v>18</v>
      </c>
      <c r="C718" t="s">
        <v>19</v>
      </c>
      <c r="D718" t="s">
        <v>23</v>
      </c>
      <c r="E718" t="s">
        <v>20</v>
      </c>
      <c r="F718" t="s">
        <v>30</v>
      </c>
      <c r="G718" t="s">
        <v>31</v>
      </c>
      <c r="H718">
        <v>300000</v>
      </c>
      <c r="I718">
        <v>8</v>
      </c>
      <c r="J718" t="s">
        <v>17</v>
      </c>
      <c r="K718">
        <f t="shared" si="11"/>
        <v>240000</v>
      </c>
      <c r="L718">
        <f>Sales_Data2[[#This Row],[Unit Price]]*Sales_Data2[[#This Row],[Quantity]]</f>
        <v>2400000</v>
      </c>
      <c r="M718">
        <f>Sales_Data2[[#This Row],[Cost Price]]*Sales_Data2[[#This Row],[Quantity]]</f>
        <v>1920000</v>
      </c>
      <c r="N718" s="3">
        <f>Sales_Data2[[#This Row],[Revenue]]-Sales_Data2[[#This Row],[COGS]]</f>
        <v>480000</v>
      </c>
      <c r="O7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46392|East|Lagos|Corporate|Store|Desktop PC D21|Electronics|300000|8|Chidinma|240000</v>
      </c>
      <c r="P718" s="3" t="str">
        <f>IF(COUNTIF(Sales_Data2[RowKey],Sales_Data2[[#This Row],[RowKey]])&gt;1,"Duplicate","Unique")</f>
        <v>Unique</v>
      </c>
      <c r="Q718" s="3" t="str">
        <f>IF(ISNUMBER(Sales_Data2[[#This Row],[Date]]),"OK","Check")</f>
        <v>OK</v>
      </c>
      <c r="R718" s="3" t="str">
        <f>IF(ISNUMBER(Sales_Data2[[#This Row],[Quantity]]),"OK","Check")</f>
        <v>OK</v>
      </c>
    </row>
    <row r="719" spans="1:18">
      <c r="A719" s="1">
        <v>46393</v>
      </c>
      <c r="B719" t="s">
        <v>18</v>
      </c>
      <c r="C719" t="s">
        <v>32</v>
      </c>
      <c r="D719" t="s">
        <v>23</v>
      </c>
      <c r="E719" t="s">
        <v>14</v>
      </c>
      <c r="F719" t="s">
        <v>15</v>
      </c>
      <c r="G719" t="s">
        <v>16</v>
      </c>
      <c r="H719">
        <v>85000</v>
      </c>
      <c r="I719">
        <v>8</v>
      </c>
      <c r="J719" t="s">
        <v>24</v>
      </c>
      <c r="K719">
        <f t="shared" si="11"/>
        <v>68000</v>
      </c>
      <c r="L719">
        <f>Sales_Data2[[#This Row],[Unit Price]]*Sales_Data2[[#This Row],[Quantity]]</f>
        <v>680000</v>
      </c>
      <c r="M719">
        <f>Sales_Data2[[#This Row],[Cost Price]]*Sales_Data2[[#This Row],[Quantity]]</f>
        <v>544000</v>
      </c>
      <c r="N719" s="3">
        <f>Sales_Data2[[#This Row],[Revenue]]-Sales_Data2[[#This Row],[COGS]]</f>
        <v>136000</v>
      </c>
      <c r="O7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46393|East|Abuja|Corporate|Online|Office Chair Pro|Furniture|85000|8|David|68000</v>
      </c>
      <c r="P719" s="3" t="str">
        <f>IF(COUNTIF(Sales_Data2[RowKey],Sales_Data2[[#This Row],[RowKey]])&gt;1,"Duplicate","Unique")</f>
        <v>Unique</v>
      </c>
      <c r="Q719" s="3" t="str">
        <f>IF(ISNUMBER(Sales_Data2[[#This Row],[Date]]),"OK","Check")</f>
        <v>OK</v>
      </c>
      <c r="R719" s="3" t="str">
        <f>IF(ISNUMBER(Sales_Data2[[#This Row],[Quantity]]),"OK","Check")</f>
        <v>OK</v>
      </c>
    </row>
    <row r="720" spans="1:18">
      <c r="A720" s="1">
        <v>46394</v>
      </c>
      <c r="B720" t="s">
        <v>29</v>
      </c>
      <c r="C720" t="s">
        <v>19</v>
      </c>
      <c r="D720" t="s">
        <v>13</v>
      </c>
      <c r="E720" t="s">
        <v>20</v>
      </c>
      <c r="F720" t="s">
        <v>33</v>
      </c>
      <c r="G720" t="s">
        <v>22</v>
      </c>
      <c r="H720">
        <v>180000</v>
      </c>
      <c r="I720">
        <v>1</v>
      </c>
      <c r="J720" t="s">
        <v>17</v>
      </c>
      <c r="K720">
        <f t="shared" si="11"/>
        <v>144000</v>
      </c>
      <c r="L720">
        <f>Sales_Data2[[#This Row],[Unit Price]]*Sales_Data2[[#This Row],[Quantity]]</f>
        <v>180000</v>
      </c>
      <c r="M720">
        <f>Sales_Data2[[#This Row],[Cost Price]]*Sales_Data2[[#This Row],[Quantity]]</f>
        <v>144000</v>
      </c>
      <c r="N720" s="3">
        <f>Sales_Data2[[#This Row],[Revenue]]-Sales_Data2[[#This Row],[COGS]]</f>
        <v>36000</v>
      </c>
      <c r="O7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46394|North|Lagos|Retail|Store|Air Conditioner X2|Home Appliances|180000|1|Chidinma|144000</v>
      </c>
      <c r="P720" s="3" t="str">
        <f>IF(COUNTIF(Sales_Data2[RowKey],Sales_Data2[[#This Row],[RowKey]])&gt;1,"Duplicate","Unique")</f>
        <v>Unique</v>
      </c>
      <c r="Q720" s="3" t="str">
        <f>IF(ISNUMBER(Sales_Data2[[#This Row],[Date]]),"OK","Check")</f>
        <v>OK</v>
      </c>
      <c r="R720" s="3" t="str">
        <f>IF(ISNUMBER(Sales_Data2[[#This Row],[Quantity]]),"OK","Check")</f>
        <v>OK</v>
      </c>
    </row>
    <row r="721" spans="1:18">
      <c r="A721" s="1">
        <v>46395</v>
      </c>
      <c r="B721" t="s">
        <v>25</v>
      </c>
      <c r="C721" t="s">
        <v>12</v>
      </c>
      <c r="D721" t="s">
        <v>23</v>
      </c>
      <c r="E721" t="s">
        <v>14</v>
      </c>
      <c r="F721" t="s">
        <v>38</v>
      </c>
      <c r="G721" t="s">
        <v>31</v>
      </c>
      <c r="H721">
        <v>420000</v>
      </c>
      <c r="I721">
        <v>6</v>
      </c>
      <c r="J721" t="s">
        <v>24</v>
      </c>
      <c r="K721">
        <f t="shared" si="11"/>
        <v>336000</v>
      </c>
      <c r="L721">
        <f>Sales_Data2[[#This Row],[Unit Price]]*Sales_Data2[[#This Row],[Quantity]]</f>
        <v>2520000</v>
      </c>
      <c r="M721">
        <f>Sales_Data2[[#This Row],[Cost Price]]*Sales_Data2[[#This Row],[Quantity]]</f>
        <v>2016000</v>
      </c>
      <c r="N721" s="3">
        <f>Sales_Data2[[#This Row],[Revenue]]-Sales_Data2[[#This Row],[COGS]]</f>
        <v>504000</v>
      </c>
      <c r="O7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46395|South|Port Harcourt|Corporate|Online|Laptop A13|Electronics|420000|6|David|336000</v>
      </c>
      <c r="P721" s="3" t="str">
        <f>IF(COUNTIF(Sales_Data2[RowKey],Sales_Data2[[#This Row],[RowKey]])&gt;1,"Duplicate","Unique")</f>
        <v>Unique</v>
      </c>
      <c r="Q721" s="3" t="str">
        <f>IF(ISNUMBER(Sales_Data2[[#This Row],[Date]]),"OK","Check")</f>
        <v>OK</v>
      </c>
      <c r="R721" s="3" t="str">
        <f>IF(ISNUMBER(Sales_Data2[[#This Row],[Quantity]]),"OK","Check")</f>
        <v>OK</v>
      </c>
    </row>
    <row r="722" spans="1:18">
      <c r="A722" s="1">
        <v>46396</v>
      </c>
      <c r="B722" t="s">
        <v>11</v>
      </c>
      <c r="C722" t="s">
        <v>32</v>
      </c>
      <c r="D722" t="s">
        <v>13</v>
      </c>
      <c r="E722" t="s">
        <v>20</v>
      </c>
      <c r="F722" t="s">
        <v>38</v>
      </c>
      <c r="G722" t="s">
        <v>31</v>
      </c>
      <c r="H722">
        <v>420000</v>
      </c>
      <c r="I722">
        <v>4</v>
      </c>
      <c r="J722" t="s">
        <v>37</v>
      </c>
      <c r="K722">
        <f t="shared" si="11"/>
        <v>336000</v>
      </c>
      <c r="L722">
        <f>Sales_Data2[[#This Row],[Unit Price]]*Sales_Data2[[#This Row],[Quantity]]</f>
        <v>1680000</v>
      </c>
      <c r="M722">
        <f>Sales_Data2[[#This Row],[Cost Price]]*Sales_Data2[[#This Row],[Quantity]]</f>
        <v>1344000</v>
      </c>
      <c r="N722" s="3">
        <f>Sales_Data2[[#This Row],[Revenue]]-Sales_Data2[[#This Row],[COGS]]</f>
        <v>336000</v>
      </c>
      <c r="O7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46396|West|Abuja|Retail|Store|Laptop A13|Electronics|420000|4|Aisha|336000</v>
      </c>
      <c r="P722" s="3" t="str">
        <f>IF(COUNTIF(Sales_Data2[RowKey],Sales_Data2[[#This Row],[RowKey]])&gt;1,"Duplicate","Unique")</f>
        <v>Unique</v>
      </c>
      <c r="Q722" s="3" t="str">
        <f>IF(ISNUMBER(Sales_Data2[[#This Row],[Date]]),"OK","Check")</f>
        <v>OK</v>
      </c>
      <c r="R722" s="3" t="str">
        <f>IF(ISNUMBER(Sales_Data2[[#This Row],[Quantity]]),"OK","Check")</f>
        <v>OK</v>
      </c>
    </row>
    <row r="723" spans="1:18">
      <c r="A723" s="1">
        <v>46397</v>
      </c>
      <c r="B723" t="s">
        <v>18</v>
      </c>
      <c r="C723" t="s">
        <v>32</v>
      </c>
      <c r="D723" t="s">
        <v>23</v>
      </c>
      <c r="E723" t="s">
        <v>20</v>
      </c>
      <c r="F723" t="s">
        <v>33</v>
      </c>
      <c r="G723" t="s">
        <v>22</v>
      </c>
      <c r="H723">
        <v>180000</v>
      </c>
      <c r="I723">
        <v>3</v>
      </c>
      <c r="J723" t="s">
        <v>24</v>
      </c>
      <c r="K723">
        <f t="shared" si="11"/>
        <v>144000</v>
      </c>
      <c r="L723">
        <f>Sales_Data2[[#This Row],[Unit Price]]*Sales_Data2[[#This Row],[Quantity]]</f>
        <v>540000</v>
      </c>
      <c r="M723">
        <f>Sales_Data2[[#This Row],[Cost Price]]*Sales_Data2[[#This Row],[Quantity]]</f>
        <v>432000</v>
      </c>
      <c r="N723" s="3">
        <f>Sales_Data2[[#This Row],[Revenue]]-Sales_Data2[[#This Row],[COGS]]</f>
        <v>108000</v>
      </c>
      <c r="O7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46397|East|Abuja|Corporate|Store|Air Conditioner X2|Home Appliances|180000|3|David|144000</v>
      </c>
      <c r="P723" s="3" t="str">
        <f>IF(COUNTIF(Sales_Data2[RowKey],Sales_Data2[[#This Row],[RowKey]])&gt;1,"Duplicate","Unique")</f>
        <v>Unique</v>
      </c>
      <c r="Q723" s="3" t="str">
        <f>IF(ISNUMBER(Sales_Data2[[#This Row],[Date]]),"OK","Check")</f>
        <v>OK</v>
      </c>
      <c r="R723" s="3" t="str">
        <f>IF(ISNUMBER(Sales_Data2[[#This Row],[Quantity]]),"OK","Check")</f>
        <v>OK</v>
      </c>
    </row>
    <row r="724" spans="1:18">
      <c r="A724" s="1">
        <v>46398</v>
      </c>
      <c r="B724" t="s">
        <v>25</v>
      </c>
      <c r="C724" t="s">
        <v>19</v>
      </c>
      <c r="D724" t="s">
        <v>13</v>
      </c>
      <c r="E724" t="s">
        <v>14</v>
      </c>
      <c r="F724" t="s">
        <v>27</v>
      </c>
      <c r="G724" t="s">
        <v>22</v>
      </c>
      <c r="H724">
        <v>60000</v>
      </c>
      <c r="I724">
        <v>3</v>
      </c>
      <c r="J724" t="s">
        <v>24</v>
      </c>
      <c r="K724">
        <f t="shared" si="11"/>
        <v>48000</v>
      </c>
      <c r="L724">
        <f>Sales_Data2[[#This Row],[Unit Price]]*Sales_Data2[[#This Row],[Quantity]]</f>
        <v>180000</v>
      </c>
      <c r="M724">
        <f>Sales_Data2[[#This Row],[Cost Price]]*Sales_Data2[[#This Row],[Quantity]]</f>
        <v>144000</v>
      </c>
      <c r="N724" s="3">
        <f>Sales_Data2[[#This Row],[Revenue]]-Sales_Data2[[#This Row],[COGS]]</f>
        <v>36000</v>
      </c>
      <c r="O7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46398|South|Lagos|Retail|Online|Microwave M20|Home Appliances|60000|3|David|48000</v>
      </c>
      <c r="P724" s="3" t="str">
        <f>IF(COUNTIF(Sales_Data2[RowKey],Sales_Data2[[#This Row],[RowKey]])&gt;1,"Duplicate","Unique")</f>
        <v>Unique</v>
      </c>
      <c r="Q724" s="3" t="str">
        <f>IF(ISNUMBER(Sales_Data2[[#This Row],[Date]]),"OK","Check")</f>
        <v>OK</v>
      </c>
      <c r="R724" s="3" t="str">
        <f>IF(ISNUMBER(Sales_Data2[[#This Row],[Quantity]]),"OK","Check")</f>
        <v>OK</v>
      </c>
    </row>
    <row r="725" spans="1:18">
      <c r="A725" s="1">
        <v>46399</v>
      </c>
      <c r="B725" t="s">
        <v>18</v>
      </c>
      <c r="C725" t="s">
        <v>32</v>
      </c>
      <c r="D725" t="s">
        <v>13</v>
      </c>
      <c r="E725" t="s">
        <v>20</v>
      </c>
      <c r="F725" t="s">
        <v>36</v>
      </c>
      <c r="G725" t="s">
        <v>31</v>
      </c>
      <c r="H725">
        <v>150000</v>
      </c>
      <c r="I725">
        <v>1</v>
      </c>
      <c r="J725" t="s">
        <v>28</v>
      </c>
      <c r="K725">
        <f t="shared" si="11"/>
        <v>120000</v>
      </c>
      <c r="L725">
        <f>Sales_Data2[[#This Row],[Unit Price]]*Sales_Data2[[#This Row],[Quantity]]</f>
        <v>150000</v>
      </c>
      <c r="M725">
        <f>Sales_Data2[[#This Row],[Cost Price]]*Sales_Data2[[#This Row],[Quantity]]</f>
        <v>120000</v>
      </c>
      <c r="N725" s="3">
        <f>Sales_Data2[[#This Row],[Revenue]]-Sales_Data2[[#This Row],[COGS]]</f>
        <v>30000</v>
      </c>
      <c r="O7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46399|East|Abuja|Retail|Store|Printer P50|Electronics|150000|1|Musa|120000</v>
      </c>
      <c r="P725" s="3" t="str">
        <f>IF(COUNTIF(Sales_Data2[RowKey],Sales_Data2[[#This Row],[RowKey]])&gt;1,"Duplicate","Unique")</f>
        <v>Unique</v>
      </c>
      <c r="Q725" s="3" t="str">
        <f>IF(ISNUMBER(Sales_Data2[[#This Row],[Date]]),"OK","Check")</f>
        <v>OK</v>
      </c>
      <c r="R725" s="3" t="str">
        <f>IF(ISNUMBER(Sales_Data2[[#This Row],[Quantity]]),"OK","Check")</f>
        <v>OK</v>
      </c>
    </row>
    <row r="726" spans="1:18">
      <c r="A726" s="1">
        <v>46400</v>
      </c>
      <c r="B726" t="s">
        <v>25</v>
      </c>
      <c r="C726" t="s">
        <v>12</v>
      </c>
      <c r="D726" t="s">
        <v>23</v>
      </c>
      <c r="E726" t="s">
        <v>14</v>
      </c>
      <c r="F726" t="s">
        <v>38</v>
      </c>
      <c r="G726" t="s">
        <v>31</v>
      </c>
      <c r="H726">
        <v>420000</v>
      </c>
      <c r="I726">
        <v>4</v>
      </c>
      <c r="J726" t="s">
        <v>24</v>
      </c>
      <c r="K726">
        <f t="shared" si="11"/>
        <v>336000</v>
      </c>
      <c r="L726">
        <f>Sales_Data2[[#This Row],[Unit Price]]*Sales_Data2[[#This Row],[Quantity]]</f>
        <v>1680000</v>
      </c>
      <c r="M726">
        <f>Sales_Data2[[#This Row],[Cost Price]]*Sales_Data2[[#This Row],[Quantity]]</f>
        <v>1344000</v>
      </c>
      <c r="N726" s="3">
        <f>Sales_Data2[[#This Row],[Revenue]]-Sales_Data2[[#This Row],[COGS]]</f>
        <v>336000</v>
      </c>
      <c r="O7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46400|South|Port Harcourt|Corporate|Online|Laptop A13|Electronics|420000|4|David|336000</v>
      </c>
      <c r="P726" s="3" t="str">
        <f>IF(COUNTIF(Sales_Data2[RowKey],Sales_Data2[[#This Row],[RowKey]])&gt;1,"Duplicate","Unique")</f>
        <v>Unique</v>
      </c>
      <c r="Q726" s="3" t="str">
        <f>IF(ISNUMBER(Sales_Data2[[#This Row],[Date]]),"OK","Check")</f>
        <v>OK</v>
      </c>
      <c r="R726" s="3" t="str">
        <f>IF(ISNUMBER(Sales_Data2[[#This Row],[Quantity]]),"OK","Check")</f>
        <v>OK</v>
      </c>
    </row>
    <row r="727" spans="1:18">
      <c r="A727" s="1">
        <v>46401</v>
      </c>
      <c r="B727" t="s">
        <v>29</v>
      </c>
      <c r="C727" t="s">
        <v>19</v>
      </c>
      <c r="D727" t="s">
        <v>23</v>
      </c>
      <c r="E727" t="s">
        <v>14</v>
      </c>
      <c r="F727" t="s">
        <v>40</v>
      </c>
      <c r="G727" t="s">
        <v>31</v>
      </c>
      <c r="H727">
        <v>250000</v>
      </c>
      <c r="I727">
        <v>6</v>
      </c>
      <c r="J727" t="s">
        <v>28</v>
      </c>
      <c r="K727">
        <f t="shared" si="11"/>
        <v>200000</v>
      </c>
      <c r="L727">
        <f>Sales_Data2[[#This Row],[Unit Price]]*Sales_Data2[[#This Row],[Quantity]]</f>
        <v>1500000</v>
      </c>
      <c r="M727">
        <f>Sales_Data2[[#This Row],[Cost Price]]*Sales_Data2[[#This Row],[Quantity]]</f>
        <v>1200000</v>
      </c>
      <c r="N727" s="3">
        <f>Sales_Data2[[#This Row],[Revenue]]-Sales_Data2[[#This Row],[COGS]]</f>
        <v>300000</v>
      </c>
      <c r="O7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46401|North|Lagos|Corporate|Online|Smartphone Z10|Electronics|250000|6|Musa|200000</v>
      </c>
      <c r="P727" s="3" t="str">
        <f>IF(COUNTIF(Sales_Data2[RowKey],Sales_Data2[[#This Row],[RowKey]])&gt;1,"Duplicate","Unique")</f>
        <v>Unique</v>
      </c>
      <c r="Q727" s="3" t="str">
        <f>IF(ISNUMBER(Sales_Data2[[#This Row],[Date]]),"OK","Check")</f>
        <v>OK</v>
      </c>
      <c r="R727" s="3" t="str">
        <f>IF(ISNUMBER(Sales_Data2[[#This Row],[Quantity]]),"OK","Check")</f>
        <v>OK</v>
      </c>
    </row>
    <row r="728" spans="1:18">
      <c r="A728" s="1">
        <v>46402</v>
      </c>
      <c r="B728" t="s">
        <v>25</v>
      </c>
      <c r="C728" t="s">
        <v>12</v>
      </c>
      <c r="D728" t="s">
        <v>23</v>
      </c>
      <c r="E728" t="s">
        <v>20</v>
      </c>
      <c r="F728" t="s">
        <v>34</v>
      </c>
      <c r="G728" t="s">
        <v>16</v>
      </c>
      <c r="H728">
        <v>320000</v>
      </c>
      <c r="I728">
        <v>1</v>
      </c>
      <c r="J728" t="s">
        <v>35</v>
      </c>
      <c r="K728">
        <f t="shared" si="11"/>
        <v>256000</v>
      </c>
      <c r="L728">
        <f>Sales_Data2[[#This Row],[Unit Price]]*Sales_Data2[[#This Row],[Quantity]]</f>
        <v>320000</v>
      </c>
      <c r="M728">
        <f>Sales_Data2[[#This Row],[Cost Price]]*Sales_Data2[[#This Row],[Quantity]]</f>
        <v>256000</v>
      </c>
      <c r="N728" s="3">
        <f>Sales_Data2[[#This Row],[Revenue]]-Sales_Data2[[#This Row],[COGS]]</f>
        <v>64000</v>
      </c>
      <c r="O7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46402|South|Port Harcourt|Corporate|Store|Sofa Classic|Furniture|320000|1|Peter|256000</v>
      </c>
      <c r="P728" s="3" t="str">
        <f>IF(COUNTIF(Sales_Data2[RowKey],Sales_Data2[[#This Row],[RowKey]])&gt;1,"Duplicate","Unique")</f>
        <v>Unique</v>
      </c>
      <c r="Q728" s="3" t="str">
        <f>IF(ISNUMBER(Sales_Data2[[#This Row],[Date]]),"OK","Check")</f>
        <v>OK</v>
      </c>
      <c r="R728" s="3" t="str">
        <f>IF(ISNUMBER(Sales_Data2[[#This Row],[Quantity]]),"OK","Check")</f>
        <v>OK</v>
      </c>
    </row>
    <row r="729" spans="1:18">
      <c r="A729" s="1">
        <v>46403</v>
      </c>
      <c r="B729" t="s">
        <v>29</v>
      </c>
      <c r="C729" t="s">
        <v>32</v>
      </c>
      <c r="D729" t="s">
        <v>23</v>
      </c>
      <c r="E729" t="s">
        <v>20</v>
      </c>
      <c r="F729" t="s">
        <v>41</v>
      </c>
      <c r="G729" t="s">
        <v>22</v>
      </c>
      <c r="H729">
        <v>220000</v>
      </c>
      <c r="I729">
        <v>10</v>
      </c>
      <c r="J729" t="s">
        <v>39</v>
      </c>
      <c r="K729">
        <f t="shared" si="11"/>
        <v>176000</v>
      </c>
      <c r="L729">
        <f>Sales_Data2[[#This Row],[Unit Price]]*Sales_Data2[[#This Row],[Quantity]]</f>
        <v>2200000</v>
      </c>
      <c r="M729">
        <f>Sales_Data2[[#This Row],[Cost Price]]*Sales_Data2[[#This Row],[Quantity]]</f>
        <v>1760000</v>
      </c>
      <c r="N729" s="3">
        <f>Sales_Data2[[#This Row],[Revenue]]-Sales_Data2[[#This Row],[COGS]]</f>
        <v>440000</v>
      </c>
      <c r="O7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46403|North|Abuja|Corporate|Store|Refrigerator R55|Home Appliances|220000|10|Grace|176000</v>
      </c>
      <c r="P729" s="3" t="str">
        <f>IF(COUNTIF(Sales_Data2[RowKey],Sales_Data2[[#This Row],[RowKey]])&gt;1,"Duplicate","Unique")</f>
        <v>Unique</v>
      </c>
      <c r="Q729" s="3" t="str">
        <f>IF(ISNUMBER(Sales_Data2[[#This Row],[Date]]),"OK","Check")</f>
        <v>OK</v>
      </c>
      <c r="R729" s="3" t="str">
        <f>IF(ISNUMBER(Sales_Data2[[#This Row],[Quantity]]),"OK","Check")</f>
        <v>OK</v>
      </c>
    </row>
    <row r="730" spans="1:18">
      <c r="A730" s="1">
        <v>46404</v>
      </c>
      <c r="B730" t="s">
        <v>29</v>
      </c>
      <c r="C730" t="s">
        <v>19</v>
      </c>
      <c r="D730" t="s">
        <v>13</v>
      </c>
      <c r="E730" t="s">
        <v>14</v>
      </c>
      <c r="F730" t="s">
        <v>41</v>
      </c>
      <c r="G730" t="s">
        <v>22</v>
      </c>
      <c r="H730">
        <v>220000</v>
      </c>
      <c r="I730">
        <v>5</v>
      </c>
      <c r="J730" t="s">
        <v>24</v>
      </c>
      <c r="K730">
        <f t="shared" si="11"/>
        <v>176000</v>
      </c>
      <c r="L730">
        <f>Sales_Data2[[#This Row],[Unit Price]]*Sales_Data2[[#This Row],[Quantity]]</f>
        <v>1100000</v>
      </c>
      <c r="M730">
        <f>Sales_Data2[[#This Row],[Cost Price]]*Sales_Data2[[#This Row],[Quantity]]</f>
        <v>880000</v>
      </c>
      <c r="N730" s="3">
        <f>Sales_Data2[[#This Row],[Revenue]]-Sales_Data2[[#This Row],[COGS]]</f>
        <v>220000</v>
      </c>
      <c r="O7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46404|North|Lagos|Retail|Online|Refrigerator R55|Home Appliances|220000|5|David|176000</v>
      </c>
      <c r="P730" s="3" t="str">
        <f>IF(COUNTIF(Sales_Data2[RowKey],Sales_Data2[[#This Row],[RowKey]])&gt;1,"Duplicate","Unique")</f>
        <v>Unique</v>
      </c>
      <c r="Q730" s="3" t="str">
        <f>IF(ISNUMBER(Sales_Data2[[#This Row],[Date]]),"OK","Check")</f>
        <v>OK</v>
      </c>
      <c r="R730" s="3" t="str">
        <f>IF(ISNUMBER(Sales_Data2[[#This Row],[Quantity]]),"OK","Check")</f>
        <v>OK</v>
      </c>
    </row>
    <row r="731" spans="1:18">
      <c r="A731" s="1">
        <v>46405</v>
      </c>
      <c r="B731" t="s">
        <v>25</v>
      </c>
      <c r="C731" t="s">
        <v>26</v>
      </c>
      <c r="D731" t="s">
        <v>23</v>
      </c>
      <c r="E731" t="s">
        <v>20</v>
      </c>
      <c r="F731" t="s">
        <v>41</v>
      </c>
      <c r="G731" t="s">
        <v>22</v>
      </c>
      <c r="H731">
        <v>220000</v>
      </c>
      <c r="I731">
        <v>8</v>
      </c>
      <c r="J731" t="s">
        <v>39</v>
      </c>
      <c r="K731">
        <f t="shared" si="11"/>
        <v>176000</v>
      </c>
      <c r="L731">
        <f>Sales_Data2[[#This Row],[Unit Price]]*Sales_Data2[[#This Row],[Quantity]]</f>
        <v>1760000</v>
      </c>
      <c r="M731">
        <f>Sales_Data2[[#This Row],[Cost Price]]*Sales_Data2[[#This Row],[Quantity]]</f>
        <v>1408000</v>
      </c>
      <c r="N731" s="3">
        <f>Sales_Data2[[#This Row],[Revenue]]-Sales_Data2[[#This Row],[COGS]]</f>
        <v>352000</v>
      </c>
      <c r="O7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46405|South|Kano|Corporate|Store|Refrigerator R55|Home Appliances|220000|8|Grace|176000</v>
      </c>
      <c r="P731" s="3" t="str">
        <f>IF(COUNTIF(Sales_Data2[RowKey],Sales_Data2[[#This Row],[RowKey]])&gt;1,"Duplicate","Unique")</f>
        <v>Unique</v>
      </c>
      <c r="Q731" s="3" t="str">
        <f>IF(ISNUMBER(Sales_Data2[[#This Row],[Date]]),"OK","Check")</f>
        <v>OK</v>
      </c>
      <c r="R731" s="3" t="str">
        <f>IF(ISNUMBER(Sales_Data2[[#This Row],[Quantity]]),"OK","Check")</f>
        <v>OK</v>
      </c>
    </row>
    <row r="732" spans="1:18">
      <c r="A732" s="1">
        <v>46406</v>
      </c>
      <c r="B732" t="s">
        <v>18</v>
      </c>
      <c r="C732" t="s">
        <v>12</v>
      </c>
      <c r="D732" t="s">
        <v>13</v>
      </c>
      <c r="E732" t="s">
        <v>14</v>
      </c>
      <c r="F732" t="s">
        <v>41</v>
      </c>
      <c r="G732" t="s">
        <v>22</v>
      </c>
      <c r="H732">
        <v>220000</v>
      </c>
      <c r="I732">
        <v>9</v>
      </c>
      <c r="J732" t="s">
        <v>28</v>
      </c>
      <c r="K732">
        <f t="shared" si="11"/>
        <v>176000</v>
      </c>
      <c r="L732">
        <f>Sales_Data2[[#This Row],[Unit Price]]*Sales_Data2[[#This Row],[Quantity]]</f>
        <v>1980000</v>
      </c>
      <c r="M732">
        <f>Sales_Data2[[#This Row],[Cost Price]]*Sales_Data2[[#This Row],[Quantity]]</f>
        <v>1584000</v>
      </c>
      <c r="N732" s="3">
        <f>Sales_Data2[[#This Row],[Revenue]]-Sales_Data2[[#This Row],[COGS]]</f>
        <v>396000</v>
      </c>
      <c r="O7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46406|East|Port Harcourt|Retail|Online|Refrigerator R55|Home Appliances|220000|9|Musa|176000</v>
      </c>
      <c r="P732" s="3" t="str">
        <f>IF(COUNTIF(Sales_Data2[RowKey],Sales_Data2[[#This Row],[RowKey]])&gt;1,"Duplicate","Unique")</f>
        <v>Unique</v>
      </c>
      <c r="Q732" s="3" t="str">
        <f>IF(ISNUMBER(Sales_Data2[[#This Row],[Date]]),"OK","Check")</f>
        <v>OK</v>
      </c>
      <c r="R732" s="3" t="str">
        <f>IF(ISNUMBER(Sales_Data2[[#This Row],[Quantity]]),"OK","Check")</f>
        <v>OK</v>
      </c>
    </row>
    <row r="733" spans="1:18">
      <c r="A733" s="1">
        <v>46407</v>
      </c>
      <c r="B733" t="s">
        <v>29</v>
      </c>
      <c r="C733" t="s">
        <v>26</v>
      </c>
      <c r="D733" t="s">
        <v>23</v>
      </c>
      <c r="E733" t="s">
        <v>14</v>
      </c>
      <c r="F733" t="s">
        <v>30</v>
      </c>
      <c r="G733" t="s">
        <v>31</v>
      </c>
      <c r="H733">
        <v>300000</v>
      </c>
      <c r="I733">
        <v>7</v>
      </c>
      <c r="J733" t="s">
        <v>39</v>
      </c>
      <c r="K733">
        <f t="shared" si="11"/>
        <v>240000</v>
      </c>
      <c r="L733">
        <f>Sales_Data2[[#This Row],[Unit Price]]*Sales_Data2[[#This Row],[Quantity]]</f>
        <v>2100000</v>
      </c>
      <c r="M733">
        <f>Sales_Data2[[#This Row],[Cost Price]]*Sales_Data2[[#This Row],[Quantity]]</f>
        <v>1680000</v>
      </c>
      <c r="N733" s="3">
        <f>Sales_Data2[[#This Row],[Revenue]]-Sales_Data2[[#This Row],[COGS]]</f>
        <v>420000</v>
      </c>
      <c r="O7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46407|North|Kano|Corporate|Online|Desktop PC D21|Electronics|300000|7|Grace|240000</v>
      </c>
      <c r="P733" s="3" t="str">
        <f>IF(COUNTIF(Sales_Data2[RowKey],Sales_Data2[[#This Row],[RowKey]])&gt;1,"Duplicate","Unique")</f>
        <v>Unique</v>
      </c>
      <c r="Q733" s="3" t="str">
        <f>IF(ISNUMBER(Sales_Data2[[#This Row],[Date]]),"OK","Check")</f>
        <v>OK</v>
      </c>
      <c r="R733" s="3" t="str">
        <f>IF(ISNUMBER(Sales_Data2[[#This Row],[Quantity]]),"OK","Check")</f>
        <v>OK</v>
      </c>
    </row>
    <row r="734" spans="1:18">
      <c r="A734" s="1">
        <v>46408</v>
      </c>
      <c r="B734" t="s">
        <v>11</v>
      </c>
      <c r="C734" t="s">
        <v>32</v>
      </c>
      <c r="D734" t="s">
        <v>13</v>
      </c>
      <c r="E734" t="s">
        <v>14</v>
      </c>
      <c r="F734" t="s">
        <v>38</v>
      </c>
      <c r="G734" t="s">
        <v>31</v>
      </c>
      <c r="H734">
        <v>420000</v>
      </c>
      <c r="I734">
        <v>1</v>
      </c>
      <c r="J734" t="s">
        <v>28</v>
      </c>
      <c r="K734">
        <f t="shared" si="11"/>
        <v>336000</v>
      </c>
      <c r="L734">
        <f>Sales_Data2[[#This Row],[Unit Price]]*Sales_Data2[[#This Row],[Quantity]]</f>
        <v>420000</v>
      </c>
      <c r="M734">
        <f>Sales_Data2[[#This Row],[Cost Price]]*Sales_Data2[[#This Row],[Quantity]]</f>
        <v>336000</v>
      </c>
      <c r="N734" s="3">
        <f>Sales_Data2[[#This Row],[Revenue]]-Sales_Data2[[#This Row],[COGS]]</f>
        <v>84000</v>
      </c>
      <c r="O7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46408|West|Abuja|Retail|Online|Laptop A13|Electronics|420000|1|Musa|336000</v>
      </c>
      <c r="P734" s="3" t="str">
        <f>IF(COUNTIF(Sales_Data2[RowKey],Sales_Data2[[#This Row],[RowKey]])&gt;1,"Duplicate","Unique")</f>
        <v>Unique</v>
      </c>
      <c r="Q734" s="3" t="str">
        <f>IF(ISNUMBER(Sales_Data2[[#This Row],[Date]]),"OK","Check")</f>
        <v>OK</v>
      </c>
      <c r="R734" s="3" t="str">
        <f>IF(ISNUMBER(Sales_Data2[[#This Row],[Quantity]]),"OK","Check")</f>
        <v>OK</v>
      </c>
    </row>
    <row r="735" spans="1:18">
      <c r="A735" s="1">
        <v>46409</v>
      </c>
      <c r="B735" t="s">
        <v>11</v>
      </c>
      <c r="C735" t="s">
        <v>19</v>
      </c>
      <c r="D735" t="s">
        <v>23</v>
      </c>
      <c r="E735" t="s">
        <v>20</v>
      </c>
      <c r="F735" t="s">
        <v>33</v>
      </c>
      <c r="G735" t="s">
        <v>22</v>
      </c>
      <c r="H735">
        <v>180000</v>
      </c>
      <c r="I735">
        <v>6</v>
      </c>
      <c r="J735" t="s">
        <v>28</v>
      </c>
      <c r="K735">
        <f t="shared" si="11"/>
        <v>144000</v>
      </c>
      <c r="L735">
        <f>Sales_Data2[[#This Row],[Unit Price]]*Sales_Data2[[#This Row],[Quantity]]</f>
        <v>1080000</v>
      </c>
      <c r="M735">
        <f>Sales_Data2[[#This Row],[Cost Price]]*Sales_Data2[[#This Row],[Quantity]]</f>
        <v>864000</v>
      </c>
      <c r="N735" s="3">
        <f>Sales_Data2[[#This Row],[Revenue]]-Sales_Data2[[#This Row],[COGS]]</f>
        <v>216000</v>
      </c>
      <c r="O7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46409|West|Lagos|Corporate|Store|Air Conditioner X2|Home Appliances|180000|6|Musa|144000</v>
      </c>
      <c r="P735" s="3" t="str">
        <f>IF(COUNTIF(Sales_Data2[RowKey],Sales_Data2[[#This Row],[RowKey]])&gt;1,"Duplicate","Unique")</f>
        <v>Unique</v>
      </c>
      <c r="Q735" s="3" t="str">
        <f>IF(ISNUMBER(Sales_Data2[[#This Row],[Date]]),"OK","Check")</f>
        <v>OK</v>
      </c>
      <c r="R735" s="3" t="str">
        <f>IF(ISNUMBER(Sales_Data2[[#This Row],[Quantity]]),"OK","Check")</f>
        <v>OK</v>
      </c>
    </row>
    <row r="736" spans="1:18">
      <c r="A736" s="1">
        <v>46410</v>
      </c>
      <c r="B736" t="s">
        <v>29</v>
      </c>
      <c r="C736" t="s">
        <v>12</v>
      </c>
      <c r="D736" t="s">
        <v>13</v>
      </c>
      <c r="E736" t="s">
        <v>14</v>
      </c>
      <c r="F736" t="s">
        <v>40</v>
      </c>
      <c r="G736" t="s">
        <v>31</v>
      </c>
      <c r="H736">
        <v>250000</v>
      </c>
      <c r="I736">
        <v>3</v>
      </c>
      <c r="J736" t="s">
        <v>28</v>
      </c>
      <c r="K736">
        <f t="shared" si="11"/>
        <v>200000</v>
      </c>
      <c r="L736">
        <f>Sales_Data2[[#This Row],[Unit Price]]*Sales_Data2[[#This Row],[Quantity]]</f>
        <v>750000</v>
      </c>
      <c r="M736">
        <f>Sales_Data2[[#This Row],[Cost Price]]*Sales_Data2[[#This Row],[Quantity]]</f>
        <v>600000</v>
      </c>
      <c r="N736" s="3">
        <f>Sales_Data2[[#This Row],[Revenue]]-Sales_Data2[[#This Row],[COGS]]</f>
        <v>150000</v>
      </c>
      <c r="O7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46410|North|Port Harcourt|Retail|Online|Smartphone Z10|Electronics|250000|3|Musa|200000</v>
      </c>
      <c r="P736" s="3" t="str">
        <f>IF(COUNTIF(Sales_Data2[RowKey],Sales_Data2[[#This Row],[RowKey]])&gt;1,"Duplicate","Unique")</f>
        <v>Unique</v>
      </c>
      <c r="Q736" s="3" t="str">
        <f>IF(ISNUMBER(Sales_Data2[[#This Row],[Date]]),"OK","Check")</f>
        <v>OK</v>
      </c>
      <c r="R736" s="3" t="str">
        <f>IF(ISNUMBER(Sales_Data2[[#This Row],[Quantity]]),"OK","Check")</f>
        <v>OK</v>
      </c>
    </row>
    <row r="737" spans="1:18">
      <c r="A737" s="1">
        <v>46411</v>
      </c>
      <c r="B737" t="s">
        <v>29</v>
      </c>
      <c r="C737" t="s">
        <v>32</v>
      </c>
      <c r="D737" t="s">
        <v>13</v>
      </c>
      <c r="E737" t="s">
        <v>14</v>
      </c>
      <c r="F737" t="s">
        <v>34</v>
      </c>
      <c r="G737" t="s">
        <v>16</v>
      </c>
      <c r="H737">
        <v>320000</v>
      </c>
      <c r="I737">
        <v>2</v>
      </c>
      <c r="J737" t="s">
        <v>17</v>
      </c>
      <c r="K737">
        <f t="shared" si="11"/>
        <v>256000</v>
      </c>
      <c r="L737">
        <f>Sales_Data2[[#This Row],[Unit Price]]*Sales_Data2[[#This Row],[Quantity]]</f>
        <v>640000</v>
      </c>
      <c r="M737">
        <f>Sales_Data2[[#This Row],[Cost Price]]*Sales_Data2[[#This Row],[Quantity]]</f>
        <v>512000</v>
      </c>
      <c r="N737" s="3">
        <f>Sales_Data2[[#This Row],[Revenue]]-Sales_Data2[[#This Row],[COGS]]</f>
        <v>128000</v>
      </c>
      <c r="O7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46411|North|Abuja|Retail|Online|Sofa Classic|Furniture|320000|2|Chidinma|256000</v>
      </c>
      <c r="P737" s="3" t="str">
        <f>IF(COUNTIF(Sales_Data2[RowKey],Sales_Data2[[#This Row],[RowKey]])&gt;1,"Duplicate","Unique")</f>
        <v>Unique</v>
      </c>
      <c r="Q737" s="3" t="str">
        <f>IF(ISNUMBER(Sales_Data2[[#This Row],[Date]]),"OK","Check")</f>
        <v>OK</v>
      </c>
      <c r="R737" s="3" t="str">
        <f>IF(ISNUMBER(Sales_Data2[[#This Row],[Quantity]]),"OK","Check")</f>
        <v>OK</v>
      </c>
    </row>
    <row r="738" spans="1:18">
      <c r="A738" s="1">
        <v>46412</v>
      </c>
      <c r="B738" t="s">
        <v>18</v>
      </c>
      <c r="C738" t="s">
        <v>19</v>
      </c>
      <c r="D738" t="s">
        <v>23</v>
      </c>
      <c r="E738" t="s">
        <v>14</v>
      </c>
      <c r="F738" t="s">
        <v>27</v>
      </c>
      <c r="G738" t="s">
        <v>22</v>
      </c>
      <c r="H738">
        <v>60000</v>
      </c>
      <c r="I738">
        <v>3</v>
      </c>
      <c r="J738" t="s">
        <v>24</v>
      </c>
      <c r="K738">
        <f t="shared" si="11"/>
        <v>48000</v>
      </c>
      <c r="L738">
        <f>Sales_Data2[[#This Row],[Unit Price]]*Sales_Data2[[#This Row],[Quantity]]</f>
        <v>180000</v>
      </c>
      <c r="M738">
        <f>Sales_Data2[[#This Row],[Cost Price]]*Sales_Data2[[#This Row],[Quantity]]</f>
        <v>144000</v>
      </c>
      <c r="N738" s="3">
        <f>Sales_Data2[[#This Row],[Revenue]]-Sales_Data2[[#This Row],[COGS]]</f>
        <v>36000</v>
      </c>
      <c r="O7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46412|East|Lagos|Corporate|Online|Microwave M20|Home Appliances|60000|3|David|48000</v>
      </c>
      <c r="P738" s="3" t="str">
        <f>IF(COUNTIF(Sales_Data2[RowKey],Sales_Data2[[#This Row],[RowKey]])&gt;1,"Duplicate","Unique")</f>
        <v>Unique</v>
      </c>
      <c r="Q738" s="3" t="str">
        <f>IF(ISNUMBER(Sales_Data2[[#This Row],[Date]]),"OK","Check")</f>
        <v>OK</v>
      </c>
      <c r="R738" s="3" t="str">
        <f>IF(ISNUMBER(Sales_Data2[[#This Row],[Quantity]]),"OK","Check")</f>
        <v>OK</v>
      </c>
    </row>
    <row r="739" spans="1:18">
      <c r="A739" s="1">
        <v>46413</v>
      </c>
      <c r="B739" t="s">
        <v>25</v>
      </c>
      <c r="C739" t="s">
        <v>32</v>
      </c>
      <c r="D739" t="s">
        <v>23</v>
      </c>
      <c r="E739" t="s">
        <v>20</v>
      </c>
      <c r="F739" t="s">
        <v>21</v>
      </c>
      <c r="G739" t="s">
        <v>22</v>
      </c>
      <c r="H739">
        <v>30000</v>
      </c>
      <c r="I739">
        <v>9</v>
      </c>
      <c r="J739" t="s">
        <v>24</v>
      </c>
      <c r="K739">
        <f t="shared" si="11"/>
        <v>24000</v>
      </c>
      <c r="L739">
        <f>Sales_Data2[[#This Row],[Unit Price]]*Sales_Data2[[#This Row],[Quantity]]</f>
        <v>270000</v>
      </c>
      <c r="M739">
        <f>Sales_Data2[[#This Row],[Cost Price]]*Sales_Data2[[#This Row],[Quantity]]</f>
        <v>216000</v>
      </c>
      <c r="N739" s="3">
        <f>Sales_Data2[[#This Row],[Revenue]]-Sales_Data2[[#This Row],[COGS]]</f>
        <v>54000</v>
      </c>
      <c r="O7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46413|South|Abuja|Corporate|Store|Blender B10|Home Appliances|30000|9|David|24000</v>
      </c>
      <c r="P739" s="3" t="str">
        <f>IF(COUNTIF(Sales_Data2[RowKey],Sales_Data2[[#This Row],[RowKey]])&gt;1,"Duplicate","Unique")</f>
        <v>Unique</v>
      </c>
      <c r="Q739" s="3" t="str">
        <f>IF(ISNUMBER(Sales_Data2[[#This Row],[Date]]),"OK","Check")</f>
        <v>OK</v>
      </c>
      <c r="R739" s="3" t="str">
        <f>IF(ISNUMBER(Sales_Data2[[#This Row],[Quantity]]),"OK","Check")</f>
        <v>OK</v>
      </c>
    </row>
    <row r="740" spans="1:18">
      <c r="A740" s="1">
        <v>46414</v>
      </c>
      <c r="B740" t="s">
        <v>18</v>
      </c>
      <c r="C740" t="s">
        <v>26</v>
      </c>
      <c r="D740" t="s">
        <v>23</v>
      </c>
      <c r="E740" t="s">
        <v>20</v>
      </c>
      <c r="F740" t="s">
        <v>33</v>
      </c>
      <c r="G740" t="s">
        <v>22</v>
      </c>
      <c r="H740">
        <v>180000</v>
      </c>
      <c r="I740">
        <v>6</v>
      </c>
      <c r="J740" t="s">
        <v>24</v>
      </c>
      <c r="K740">
        <f t="shared" si="11"/>
        <v>144000</v>
      </c>
      <c r="L740">
        <f>Sales_Data2[[#This Row],[Unit Price]]*Sales_Data2[[#This Row],[Quantity]]</f>
        <v>1080000</v>
      </c>
      <c r="M740">
        <f>Sales_Data2[[#This Row],[Cost Price]]*Sales_Data2[[#This Row],[Quantity]]</f>
        <v>864000</v>
      </c>
      <c r="N740" s="3">
        <f>Sales_Data2[[#This Row],[Revenue]]-Sales_Data2[[#This Row],[COGS]]</f>
        <v>216000</v>
      </c>
      <c r="O7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46414|East|Kano|Corporate|Store|Air Conditioner X2|Home Appliances|180000|6|David|144000</v>
      </c>
      <c r="P740" s="3" t="str">
        <f>IF(COUNTIF(Sales_Data2[RowKey],Sales_Data2[[#This Row],[RowKey]])&gt;1,"Duplicate","Unique")</f>
        <v>Unique</v>
      </c>
      <c r="Q740" s="3" t="str">
        <f>IF(ISNUMBER(Sales_Data2[[#This Row],[Date]]),"OK","Check")</f>
        <v>OK</v>
      </c>
      <c r="R740" s="3" t="str">
        <f>IF(ISNUMBER(Sales_Data2[[#This Row],[Quantity]]),"OK","Check")</f>
        <v>OK</v>
      </c>
    </row>
    <row r="741" spans="1:18">
      <c r="A741" s="1">
        <v>46415</v>
      </c>
      <c r="B741" t="s">
        <v>25</v>
      </c>
      <c r="C741" t="s">
        <v>26</v>
      </c>
      <c r="D741" t="s">
        <v>23</v>
      </c>
      <c r="E741" t="s">
        <v>14</v>
      </c>
      <c r="F741" t="s">
        <v>27</v>
      </c>
      <c r="G741" t="s">
        <v>22</v>
      </c>
      <c r="H741">
        <v>60000</v>
      </c>
      <c r="I741">
        <v>8</v>
      </c>
      <c r="J741" t="s">
        <v>37</v>
      </c>
      <c r="K741">
        <f t="shared" si="11"/>
        <v>48000</v>
      </c>
      <c r="L741">
        <f>Sales_Data2[[#This Row],[Unit Price]]*Sales_Data2[[#This Row],[Quantity]]</f>
        <v>480000</v>
      </c>
      <c r="M741">
        <f>Sales_Data2[[#This Row],[Cost Price]]*Sales_Data2[[#This Row],[Quantity]]</f>
        <v>384000</v>
      </c>
      <c r="N741" s="3">
        <f>Sales_Data2[[#This Row],[Revenue]]-Sales_Data2[[#This Row],[COGS]]</f>
        <v>96000</v>
      </c>
      <c r="O7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46415|South|Kano|Corporate|Online|Microwave M20|Home Appliances|60000|8|Aisha|48000</v>
      </c>
      <c r="P741" s="3" t="str">
        <f>IF(COUNTIF(Sales_Data2[RowKey],Sales_Data2[[#This Row],[RowKey]])&gt;1,"Duplicate","Unique")</f>
        <v>Unique</v>
      </c>
      <c r="Q741" s="3" t="str">
        <f>IF(ISNUMBER(Sales_Data2[[#This Row],[Date]]),"OK","Check")</f>
        <v>OK</v>
      </c>
      <c r="R741" s="3" t="str">
        <f>IF(ISNUMBER(Sales_Data2[[#This Row],[Quantity]]),"OK","Check")</f>
        <v>OK</v>
      </c>
    </row>
    <row r="742" spans="1:18">
      <c r="A742" s="1">
        <v>46416</v>
      </c>
      <c r="B742" t="s">
        <v>25</v>
      </c>
      <c r="C742" t="s">
        <v>26</v>
      </c>
      <c r="D742" t="s">
        <v>23</v>
      </c>
      <c r="E742" t="s">
        <v>14</v>
      </c>
      <c r="F742" t="s">
        <v>27</v>
      </c>
      <c r="G742" t="s">
        <v>22</v>
      </c>
      <c r="H742">
        <v>60000</v>
      </c>
      <c r="I742">
        <v>8</v>
      </c>
      <c r="J742" t="s">
        <v>39</v>
      </c>
      <c r="K742">
        <f t="shared" si="11"/>
        <v>48000</v>
      </c>
      <c r="L742">
        <f>Sales_Data2[[#This Row],[Unit Price]]*Sales_Data2[[#This Row],[Quantity]]</f>
        <v>480000</v>
      </c>
      <c r="M742">
        <f>Sales_Data2[[#This Row],[Cost Price]]*Sales_Data2[[#This Row],[Quantity]]</f>
        <v>384000</v>
      </c>
      <c r="N742" s="3">
        <f>Sales_Data2[[#This Row],[Revenue]]-Sales_Data2[[#This Row],[COGS]]</f>
        <v>96000</v>
      </c>
      <c r="O7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46416|South|Kano|Corporate|Online|Microwave M20|Home Appliances|60000|8|Grace|48000</v>
      </c>
      <c r="P742" s="3" t="str">
        <f>IF(COUNTIF(Sales_Data2[RowKey],Sales_Data2[[#This Row],[RowKey]])&gt;1,"Duplicate","Unique")</f>
        <v>Unique</v>
      </c>
      <c r="Q742" s="3" t="str">
        <f>IF(ISNUMBER(Sales_Data2[[#This Row],[Date]]),"OK","Check")</f>
        <v>OK</v>
      </c>
      <c r="R742" s="3" t="str">
        <f>IF(ISNUMBER(Sales_Data2[[#This Row],[Quantity]]),"OK","Check")</f>
        <v>OK</v>
      </c>
    </row>
    <row r="743" spans="1:18">
      <c r="A743" s="1">
        <v>46417</v>
      </c>
      <c r="B743" t="s">
        <v>25</v>
      </c>
      <c r="C743" t="s">
        <v>26</v>
      </c>
      <c r="D743" t="s">
        <v>23</v>
      </c>
      <c r="E743" t="s">
        <v>20</v>
      </c>
      <c r="F743" t="s">
        <v>40</v>
      </c>
      <c r="G743" t="s">
        <v>31</v>
      </c>
      <c r="H743">
        <v>250000</v>
      </c>
      <c r="I743">
        <v>3</v>
      </c>
      <c r="J743" t="s">
        <v>35</v>
      </c>
      <c r="K743">
        <f t="shared" si="11"/>
        <v>200000</v>
      </c>
      <c r="L743">
        <f>Sales_Data2[[#This Row],[Unit Price]]*Sales_Data2[[#This Row],[Quantity]]</f>
        <v>750000</v>
      </c>
      <c r="M743">
        <f>Sales_Data2[[#This Row],[Cost Price]]*Sales_Data2[[#This Row],[Quantity]]</f>
        <v>600000</v>
      </c>
      <c r="N743" s="3">
        <f>Sales_Data2[[#This Row],[Revenue]]-Sales_Data2[[#This Row],[COGS]]</f>
        <v>150000</v>
      </c>
      <c r="O7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46417|South|Kano|Corporate|Store|Smartphone Z10|Electronics|250000|3|Peter|200000</v>
      </c>
      <c r="P743" s="3" t="str">
        <f>IF(COUNTIF(Sales_Data2[RowKey],Sales_Data2[[#This Row],[RowKey]])&gt;1,"Duplicate","Unique")</f>
        <v>Unique</v>
      </c>
      <c r="Q743" s="3" t="str">
        <f>IF(ISNUMBER(Sales_Data2[[#This Row],[Date]]),"OK","Check")</f>
        <v>OK</v>
      </c>
      <c r="R743" s="3" t="str">
        <f>IF(ISNUMBER(Sales_Data2[[#This Row],[Quantity]]),"OK","Check")</f>
        <v>OK</v>
      </c>
    </row>
    <row r="744" spans="1:18">
      <c r="A744" s="1">
        <v>46418</v>
      </c>
      <c r="B744" t="s">
        <v>29</v>
      </c>
      <c r="C744" t="s">
        <v>26</v>
      </c>
      <c r="D744" t="s">
        <v>23</v>
      </c>
      <c r="E744" t="s">
        <v>20</v>
      </c>
      <c r="F744" t="s">
        <v>15</v>
      </c>
      <c r="G744" t="s">
        <v>16</v>
      </c>
      <c r="H744">
        <v>85000</v>
      </c>
      <c r="I744">
        <v>6</v>
      </c>
      <c r="J744" t="s">
        <v>37</v>
      </c>
      <c r="K744">
        <f t="shared" si="11"/>
        <v>68000</v>
      </c>
      <c r="L744">
        <f>Sales_Data2[[#This Row],[Unit Price]]*Sales_Data2[[#This Row],[Quantity]]</f>
        <v>510000</v>
      </c>
      <c r="M744">
        <f>Sales_Data2[[#This Row],[Cost Price]]*Sales_Data2[[#This Row],[Quantity]]</f>
        <v>408000</v>
      </c>
      <c r="N744" s="3">
        <f>Sales_Data2[[#This Row],[Revenue]]-Sales_Data2[[#This Row],[COGS]]</f>
        <v>102000</v>
      </c>
      <c r="O7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46418|North|Kano|Corporate|Store|Office Chair Pro|Furniture|85000|6|Aisha|68000</v>
      </c>
      <c r="P744" s="3" t="str">
        <f>IF(COUNTIF(Sales_Data2[RowKey],Sales_Data2[[#This Row],[RowKey]])&gt;1,"Duplicate","Unique")</f>
        <v>Unique</v>
      </c>
      <c r="Q744" s="3" t="str">
        <f>IF(ISNUMBER(Sales_Data2[[#This Row],[Date]]),"OK","Check")</f>
        <v>OK</v>
      </c>
      <c r="R744" s="3" t="str">
        <f>IF(ISNUMBER(Sales_Data2[[#This Row],[Quantity]]),"OK","Check")</f>
        <v>OK</v>
      </c>
    </row>
    <row r="745" spans="1:18">
      <c r="A745" s="1">
        <v>46419</v>
      </c>
      <c r="B745" t="s">
        <v>18</v>
      </c>
      <c r="C745" t="s">
        <v>32</v>
      </c>
      <c r="D745" t="s">
        <v>23</v>
      </c>
      <c r="E745" t="s">
        <v>14</v>
      </c>
      <c r="F745" t="s">
        <v>41</v>
      </c>
      <c r="G745" t="s">
        <v>22</v>
      </c>
      <c r="H745">
        <v>220000</v>
      </c>
      <c r="I745">
        <v>9</v>
      </c>
      <c r="J745" t="s">
        <v>28</v>
      </c>
      <c r="K745">
        <f t="shared" si="11"/>
        <v>176000</v>
      </c>
      <c r="L745">
        <f>Sales_Data2[[#This Row],[Unit Price]]*Sales_Data2[[#This Row],[Quantity]]</f>
        <v>1980000</v>
      </c>
      <c r="M745">
        <f>Sales_Data2[[#This Row],[Cost Price]]*Sales_Data2[[#This Row],[Quantity]]</f>
        <v>1584000</v>
      </c>
      <c r="N745" s="3">
        <f>Sales_Data2[[#This Row],[Revenue]]-Sales_Data2[[#This Row],[COGS]]</f>
        <v>396000</v>
      </c>
      <c r="O7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46419|East|Abuja|Corporate|Online|Refrigerator R55|Home Appliances|220000|9|Musa|176000</v>
      </c>
      <c r="P745" s="3" t="str">
        <f>IF(COUNTIF(Sales_Data2[RowKey],Sales_Data2[[#This Row],[RowKey]])&gt;1,"Duplicate","Unique")</f>
        <v>Unique</v>
      </c>
      <c r="Q745" s="3" t="str">
        <f>IF(ISNUMBER(Sales_Data2[[#This Row],[Date]]),"OK","Check")</f>
        <v>OK</v>
      </c>
      <c r="R745" s="3" t="str">
        <f>IF(ISNUMBER(Sales_Data2[[#This Row],[Quantity]]),"OK","Check")</f>
        <v>OK</v>
      </c>
    </row>
    <row r="746" spans="1:18">
      <c r="A746" s="1">
        <v>46420</v>
      </c>
      <c r="B746" t="s">
        <v>29</v>
      </c>
      <c r="C746" t="s">
        <v>32</v>
      </c>
      <c r="D746" t="s">
        <v>23</v>
      </c>
      <c r="E746" t="s">
        <v>20</v>
      </c>
      <c r="F746" t="s">
        <v>40</v>
      </c>
      <c r="G746" t="s">
        <v>31</v>
      </c>
      <c r="H746">
        <v>250000</v>
      </c>
      <c r="I746">
        <v>4</v>
      </c>
      <c r="J746" t="s">
        <v>28</v>
      </c>
      <c r="K746">
        <f t="shared" si="11"/>
        <v>200000</v>
      </c>
      <c r="L746">
        <f>Sales_Data2[[#This Row],[Unit Price]]*Sales_Data2[[#This Row],[Quantity]]</f>
        <v>1000000</v>
      </c>
      <c r="M746">
        <f>Sales_Data2[[#This Row],[Cost Price]]*Sales_Data2[[#This Row],[Quantity]]</f>
        <v>800000</v>
      </c>
      <c r="N746" s="3">
        <f>Sales_Data2[[#This Row],[Revenue]]-Sales_Data2[[#This Row],[COGS]]</f>
        <v>200000</v>
      </c>
      <c r="O7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46420|North|Abuja|Corporate|Store|Smartphone Z10|Electronics|250000|4|Musa|200000</v>
      </c>
      <c r="P746" s="3" t="str">
        <f>IF(COUNTIF(Sales_Data2[RowKey],Sales_Data2[[#This Row],[RowKey]])&gt;1,"Duplicate","Unique")</f>
        <v>Unique</v>
      </c>
      <c r="Q746" s="3" t="str">
        <f>IF(ISNUMBER(Sales_Data2[[#This Row],[Date]]),"OK","Check")</f>
        <v>OK</v>
      </c>
      <c r="R746" s="3" t="str">
        <f>IF(ISNUMBER(Sales_Data2[[#This Row],[Quantity]]),"OK","Check")</f>
        <v>OK</v>
      </c>
    </row>
    <row r="747" spans="1:18">
      <c r="A747" s="1">
        <v>46421</v>
      </c>
      <c r="B747" t="s">
        <v>25</v>
      </c>
      <c r="C747" t="s">
        <v>26</v>
      </c>
      <c r="D747" t="s">
        <v>23</v>
      </c>
      <c r="E747" t="s">
        <v>20</v>
      </c>
      <c r="F747" t="s">
        <v>40</v>
      </c>
      <c r="G747" t="s">
        <v>31</v>
      </c>
      <c r="H747">
        <v>250000</v>
      </c>
      <c r="I747">
        <v>3</v>
      </c>
      <c r="J747" t="s">
        <v>17</v>
      </c>
      <c r="K747">
        <f t="shared" si="11"/>
        <v>200000</v>
      </c>
      <c r="L747">
        <f>Sales_Data2[[#This Row],[Unit Price]]*Sales_Data2[[#This Row],[Quantity]]</f>
        <v>750000</v>
      </c>
      <c r="M747">
        <f>Sales_Data2[[#This Row],[Cost Price]]*Sales_Data2[[#This Row],[Quantity]]</f>
        <v>600000</v>
      </c>
      <c r="N747" s="3">
        <f>Sales_Data2[[#This Row],[Revenue]]-Sales_Data2[[#This Row],[COGS]]</f>
        <v>150000</v>
      </c>
      <c r="O7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46421|South|Kano|Corporate|Store|Smartphone Z10|Electronics|250000|3|Chidinma|200000</v>
      </c>
      <c r="P747" s="3" t="str">
        <f>IF(COUNTIF(Sales_Data2[RowKey],Sales_Data2[[#This Row],[RowKey]])&gt;1,"Duplicate","Unique")</f>
        <v>Unique</v>
      </c>
      <c r="Q747" s="3" t="str">
        <f>IF(ISNUMBER(Sales_Data2[[#This Row],[Date]]),"OK","Check")</f>
        <v>OK</v>
      </c>
      <c r="R747" s="3" t="str">
        <f>IF(ISNUMBER(Sales_Data2[[#This Row],[Quantity]]),"OK","Check")</f>
        <v>OK</v>
      </c>
    </row>
    <row r="748" spans="1:18">
      <c r="A748" s="1">
        <v>46422</v>
      </c>
      <c r="B748" t="s">
        <v>25</v>
      </c>
      <c r="C748" t="s">
        <v>32</v>
      </c>
      <c r="D748" t="s">
        <v>23</v>
      </c>
      <c r="E748" t="s">
        <v>20</v>
      </c>
      <c r="F748" t="s">
        <v>21</v>
      </c>
      <c r="G748" t="s">
        <v>22</v>
      </c>
      <c r="H748">
        <v>30000</v>
      </c>
      <c r="I748">
        <v>10</v>
      </c>
      <c r="J748" t="s">
        <v>17</v>
      </c>
      <c r="K748">
        <f t="shared" si="11"/>
        <v>24000</v>
      </c>
      <c r="L748">
        <f>Sales_Data2[[#This Row],[Unit Price]]*Sales_Data2[[#This Row],[Quantity]]</f>
        <v>300000</v>
      </c>
      <c r="M748">
        <f>Sales_Data2[[#This Row],[Cost Price]]*Sales_Data2[[#This Row],[Quantity]]</f>
        <v>240000</v>
      </c>
      <c r="N748" s="3">
        <f>Sales_Data2[[#This Row],[Revenue]]-Sales_Data2[[#This Row],[COGS]]</f>
        <v>60000</v>
      </c>
      <c r="O7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46422|South|Abuja|Corporate|Store|Blender B10|Home Appliances|30000|10|Chidinma|24000</v>
      </c>
      <c r="P748" s="3" t="str">
        <f>IF(COUNTIF(Sales_Data2[RowKey],Sales_Data2[[#This Row],[RowKey]])&gt;1,"Duplicate","Unique")</f>
        <v>Unique</v>
      </c>
      <c r="Q748" s="3" t="str">
        <f>IF(ISNUMBER(Sales_Data2[[#This Row],[Date]]),"OK","Check")</f>
        <v>OK</v>
      </c>
      <c r="R748" s="3" t="str">
        <f>IF(ISNUMBER(Sales_Data2[[#This Row],[Quantity]]),"OK","Check")</f>
        <v>OK</v>
      </c>
    </row>
    <row r="749" spans="1:18">
      <c r="A749" s="1">
        <v>46423</v>
      </c>
      <c r="B749" t="s">
        <v>29</v>
      </c>
      <c r="C749" t="s">
        <v>26</v>
      </c>
      <c r="D749" t="s">
        <v>23</v>
      </c>
      <c r="E749" t="s">
        <v>20</v>
      </c>
      <c r="F749" t="s">
        <v>30</v>
      </c>
      <c r="G749" t="s">
        <v>31</v>
      </c>
      <c r="H749">
        <v>300000</v>
      </c>
      <c r="I749">
        <v>4</v>
      </c>
      <c r="J749" t="s">
        <v>39</v>
      </c>
      <c r="K749">
        <f t="shared" si="11"/>
        <v>240000</v>
      </c>
      <c r="L749">
        <f>Sales_Data2[[#This Row],[Unit Price]]*Sales_Data2[[#This Row],[Quantity]]</f>
        <v>1200000</v>
      </c>
      <c r="M749">
        <f>Sales_Data2[[#This Row],[Cost Price]]*Sales_Data2[[#This Row],[Quantity]]</f>
        <v>960000</v>
      </c>
      <c r="N749" s="3">
        <f>Sales_Data2[[#This Row],[Revenue]]-Sales_Data2[[#This Row],[COGS]]</f>
        <v>240000</v>
      </c>
      <c r="O7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46423|North|Kano|Corporate|Store|Desktop PC D21|Electronics|300000|4|Grace|240000</v>
      </c>
      <c r="P749" s="3" t="str">
        <f>IF(COUNTIF(Sales_Data2[RowKey],Sales_Data2[[#This Row],[RowKey]])&gt;1,"Duplicate","Unique")</f>
        <v>Unique</v>
      </c>
      <c r="Q749" s="3" t="str">
        <f>IF(ISNUMBER(Sales_Data2[[#This Row],[Date]]),"OK","Check")</f>
        <v>OK</v>
      </c>
      <c r="R749" s="3" t="str">
        <f>IF(ISNUMBER(Sales_Data2[[#This Row],[Quantity]]),"OK","Check")</f>
        <v>OK</v>
      </c>
    </row>
    <row r="750" spans="1:18">
      <c r="A750" s="1">
        <v>46424</v>
      </c>
      <c r="B750" t="s">
        <v>25</v>
      </c>
      <c r="C750" t="s">
        <v>12</v>
      </c>
      <c r="D750" t="s">
        <v>23</v>
      </c>
      <c r="E750" t="s">
        <v>20</v>
      </c>
      <c r="F750" t="s">
        <v>34</v>
      </c>
      <c r="G750" t="s">
        <v>16</v>
      </c>
      <c r="H750">
        <v>320000</v>
      </c>
      <c r="I750">
        <v>2</v>
      </c>
      <c r="J750" t="s">
        <v>35</v>
      </c>
      <c r="K750">
        <f t="shared" si="11"/>
        <v>256000</v>
      </c>
      <c r="L750">
        <f>Sales_Data2[[#This Row],[Unit Price]]*Sales_Data2[[#This Row],[Quantity]]</f>
        <v>640000</v>
      </c>
      <c r="M750">
        <f>Sales_Data2[[#This Row],[Cost Price]]*Sales_Data2[[#This Row],[Quantity]]</f>
        <v>512000</v>
      </c>
      <c r="N750" s="3">
        <f>Sales_Data2[[#This Row],[Revenue]]-Sales_Data2[[#This Row],[COGS]]</f>
        <v>128000</v>
      </c>
      <c r="O7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46424|South|Port Harcourt|Corporate|Store|Sofa Classic|Furniture|320000|2|Peter|256000</v>
      </c>
      <c r="P750" s="3" t="str">
        <f>IF(COUNTIF(Sales_Data2[RowKey],Sales_Data2[[#This Row],[RowKey]])&gt;1,"Duplicate","Unique")</f>
        <v>Unique</v>
      </c>
      <c r="Q750" s="3" t="str">
        <f>IF(ISNUMBER(Sales_Data2[[#This Row],[Date]]),"OK","Check")</f>
        <v>OK</v>
      </c>
      <c r="R750" s="3" t="str">
        <f>IF(ISNUMBER(Sales_Data2[[#This Row],[Quantity]]),"OK","Check")</f>
        <v>OK</v>
      </c>
    </row>
    <row r="751" spans="1:18">
      <c r="A751" s="1">
        <v>46425</v>
      </c>
      <c r="B751" t="s">
        <v>25</v>
      </c>
      <c r="C751" t="s">
        <v>32</v>
      </c>
      <c r="D751" t="s">
        <v>23</v>
      </c>
      <c r="E751" t="s">
        <v>20</v>
      </c>
      <c r="F751" t="s">
        <v>38</v>
      </c>
      <c r="G751" t="s">
        <v>31</v>
      </c>
      <c r="H751">
        <v>420000</v>
      </c>
      <c r="I751">
        <v>8</v>
      </c>
      <c r="J751" t="s">
        <v>39</v>
      </c>
      <c r="K751">
        <f t="shared" si="11"/>
        <v>336000</v>
      </c>
      <c r="L751">
        <f>Sales_Data2[[#This Row],[Unit Price]]*Sales_Data2[[#This Row],[Quantity]]</f>
        <v>3360000</v>
      </c>
      <c r="M751">
        <f>Sales_Data2[[#This Row],[Cost Price]]*Sales_Data2[[#This Row],[Quantity]]</f>
        <v>2688000</v>
      </c>
      <c r="N751" s="3">
        <f>Sales_Data2[[#This Row],[Revenue]]-Sales_Data2[[#This Row],[COGS]]</f>
        <v>672000</v>
      </c>
      <c r="O7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46425|South|Abuja|Corporate|Store|Laptop A13|Electronics|420000|8|Grace|336000</v>
      </c>
      <c r="P751" s="3" t="str">
        <f>IF(COUNTIF(Sales_Data2[RowKey],Sales_Data2[[#This Row],[RowKey]])&gt;1,"Duplicate","Unique")</f>
        <v>Unique</v>
      </c>
      <c r="Q751" s="3" t="str">
        <f>IF(ISNUMBER(Sales_Data2[[#This Row],[Date]]),"OK","Check")</f>
        <v>OK</v>
      </c>
      <c r="R751" s="3" t="str">
        <f>IF(ISNUMBER(Sales_Data2[[#This Row],[Quantity]]),"OK","Check")</f>
        <v>OK</v>
      </c>
    </row>
    <row r="752" spans="1:18">
      <c r="A752" s="1">
        <v>46426</v>
      </c>
      <c r="B752" t="s">
        <v>25</v>
      </c>
      <c r="C752" t="s">
        <v>32</v>
      </c>
      <c r="D752" t="s">
        <v>23</v>
      </c>
      <c r="E752" t="s">
        <v>20</v>
      </c>
      <c r="F752" t="s">
        <v>21</v>
      </c>
      <c r="G752" t="s">
        <v>22</v>
      </c>
      <c r="H752">
        <v>30000</v>
      </c>
      <c r="I752">
        <v>2</v>
      </c>
      <c r="J752" t="s">
        <v>24</v>
      </c>
      <c r="K752">
        <f t="shared" si="11"/>
        <v>24000</v>
      </c>
      <c r="L752">
        <f>Sales_Data2[[#This Row],[Unit Price]]*Sales_Data2[[#This Row],[Quantity]]</f>
        <v>60000</v>
      </c>
      <c r="M752">
        <f>Sales_Data2[[#This Row],[Cost Price]]*Sales_Data2[[#This Row],[Quantity]]</f>
        <v>48000</v>
      </c>
      <c r="N752" s="3">
        <f>Sales_Data2[[#This Row],[Revenue]]-Sales_Data2[[#This Row],[COGS]]</f>
        <v>12000</v>
      </c>
      <c r="O7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46426|South|Abuja|Corporate|Store|Blender B10|Home Appliances|30000|2|David|24000</v>
      </c>
      <c r="P752" s="3" t="str">
        <f>IF(COUNTIF(Sales_Data2[RowKey],Sales_Data2[[#This Row],[RowKey]])&gt;1,"Duplicate","Unique")</f>
        <v>Unique</v>
      </c>
      <c r="Q752" s="3" t="str">
        <f>IF(ISNUMBER(Sales_Data2[[#This Row],[Date]]),"OK","Check")</f>
        <v>OK</v>
      </c>
      <c r="R752" s="3" t="str">
        <f>IF(ISNUMBER(Sales_Data2[[#This Row],[Quantity]]),"OK","Check")</f>
        <v>OK</v>
      </c>
    </row>
    <row r="753" spans="1:18">
      <c r="A753" s="1">
        <v>46427</v>
      </c>
      <c r="B753" t="s">
        <v>29</v>
      </c>
      <c r="C753" t="s">
        <v>32</v>
      </c>
      <c r="D753" t="s">
        <v>23</v>
      </c>
      <c r="E753" t="s">
        <v>20</v>
      </c>
      <c r="F753" t="s">
        <v>36</v>
      </c>
      <c r="G753" t="s">
        <v>31</v>
      </c>
      <c r="H753">
        <v>150000</v>
      </c>
      <c r="I753">
        <v>3</v>
      </c>
      <c r="J753" t="s">
        <v>17</v>
      </c>
      <c r="K753">
        <f t="shared" si="11"/>
        <v>120000</v>
      </c>
      <c r="L753">
        <f>Sales_Data2[[#This Row],[Unit Price]]*Sales_Data2[[#This Row],[Quantity]]</f>
        <v>450000</v>
      </c>
      <c r="M753">
        <f>Sales_Data2[[#This Row],[Cost Price]]*Sales_Data2[[#This Row],[Quantity]]</f>
        <v>360000</v>
      </c>
      <c r="N753" s="3">
        <f>Sales_Data2[[#This Row],[Revenue]]-Sales_Data2[[#This Row],[COGS]]</f>
        <v>90000</v>
      </c>
      <c r="O7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46427|North|Abuja|Corporate|Store|Printer P50|Electronics|150000|3|Chidinma|120000</v>
      </c>
      <c r="P753" s="3" t="str">
        <f>IF(COUNTIF(Sales_Data2[RowKey],Sales_Data2[[#This Row],[RowKey]])&gt;1,"Duplicate","Unique")</f>
        <v>Unique</v>
      </c>
      <c r="Q753" s="3" t="str">
        <f>IF(ISNUMBER(Sales_Data2[[#This Row],[Date]]),"OK","Check")</f>
        <v>OK</v>
      </c>
      <c r="R753" s="3" t="str">
        <f>IF(ISNUMBER(Sales_Data2[[#This Row],[Quantity]]),"OK","Check")</f>
        <v>OK</v>
      </c>
    </row>
    <row r="754" spans="1:18">
      <c r="A754" s="1">
        <v>46428</v>
      </c>
      <c r="B754" t="s">
        <v>25</v>
      </c>
      <c r="C754" t="s">
        <v>19</v>
      </c>
      <c r="D754" t="s">
        <v>23</v>
      </c>
      <c r="E754" t="s">
        <v>20</v>
      </c>
      <c r="F754" t="s">
        <v>41</v>
      </c>
      <c r="G754" t="s">
        <v>22</v>
      </c>
      <c r="H754">
        <v>220000</v>
      </c>
      <c r="I754">
        <v>6</v>
      </c>
      <c r="J754" t="s">
        <v>24</v>
      </c>
      <c r="K754">
        <f t="shared" si="11"/>
        <v>176000</v>
      </c>
      <c r="L754">
        <f>Sales_Data2[[#This Row],[Unit Price]]*Sales_Data2[[#This Row],[Quantity]]</f>
        <v>1320000</v>
      </c>
      <c r="M754">
        <f>Sales_Data2[[#This Row],[Cost Price]]*Sales_Data2[[#This Row],[Quantity]]</f>
        <v>1056000</v>
      </c>
      <c r="N754" s="3">
        <f>Sales_Data2[[#This Row],[Revenue]]-Sales_Data2[[#This Row],[COGS]]</f>
        <v>264000</v>
      </c>
      <c r="O7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46428|South|Lagos|Corporate|Store|Refrigerator R55|Home Appliances|220000|6|David|176000</v>
      </c>
      <c r="P754" s="3" t="str">
        <f>IF(COUNTIF(Sales_Data2[RowKey],Sales_Data2[[#This Row],[RowKey]])&gt;1,"Duplicate","Unique")</f>
        <v>Unique</v>
      </c>
      <c r="Q754" s="3" t="str">
        <f>IF(ISNUMBER(Sales_Data2[[#This Row],[Date]]),"OK","Check")</f>
        <v>OK</v>
      </c>
      <c r="R754" s="3" t="str">
        <f>IF(ISNUMBER(Sales_Data2[[#This Row],[Quantity]]),"OK","Check")</f>
        <v>OK</v>
      </c>
    </row>
    <row r="755" spans="1:18">
      <c r="A755" s="1">
        <v>46429</v>
      </c>
      <c r="B755" t="s">
        <v>11</v>
      </c>
      <c r="C755" t="s">
        <v>12</v>
      </c>
      <c r="D755" t="s">
        <v>23</v>
      </c>
      <c r="E755" t="s">
        <v>14</v>
      </c>
      <c r="F755" t="s">
        <v>27</v>
      </c>
      <c r="G755" t="s">
        <v>22</v>
      </c>
      <c r="H755">
        <v>60000</v>
      </c>
      <c r="I755">
        <v>7</v>
      </c>
      <c r="J755" t="s">
        <v>35</v>
      </c>
      <c r="K755">
        <f t="shared" si="11"/>
        <v>48000</v>
      </c>
      <c r="L755">
        <f>Sales_Data2[[#This Row],[Unit Price]]*Sales_Data2[[#This Row],[Quantity]]</f>
        <v>420000</v>
      </c>
      <c r="M755">
        <f>Sales_Data2[[#This Row],[Cost Price]]*Sales_Data2[[#This Row],[Quantity]]</f>
        <v>336000</v>
      </c>
      <c r="N755" s="3">
        <f>Sales_Data2[[#This Row],[Revenue]]-Sales_Data2[[#This Row],[COGS]]</f>
        <v>84000</v>
      </c>
      <c r="O7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46429|West|Port Harcourt|Corporate|Online|Microwave M20|Home Appliances|60000|7|Peter|48000</v>
      </c>
      <c r="P755" s="3" t="str">
        <f>IF(COUNTIF(Sales_Data2[RowKey],Sales_Data2[[#This Row],[RowKey]])&gt;1,"Duplicate","Unique")</f>
        <v>Unique</v>
      </c>
      <c r="Q755" s="3" t="str">
        <f>IF(ISNUMBER(Sales_Data2[[#This Row],[Date]]),"OK","Check")</f>
        <v>OK</v>
      </c>
      <c r="R755" s="3" t="str">
        <f>IF(ISNUMBER(Sales_Data2[[#This Row],[Quantity]]),"OK","Check")</f>
        <v>OK</v>
      </c>
    </row>
    <row r="756" spans="1:18">
      <c r="A756" s="1">
        <v>46430</v>
      </c>
      <c r="B756" t="s">
        <v>25</v>
      </c>
      <c r="C756" t="s">
        <v>12</v>
      </c>
      <c r="D756" t="s">
        <v>13</v>
      </c>
      <c r="E756" t="s">
        <v>14</v>
      </c>
      <c r="F756" t="s">
        <v>15</v>
      </c>
      <c r="G756" t="s">
        <v>16</v>
      </c>
      <c r="H756">
        <v>85000</v>
      </c>
      <c r="I756">
        <v>7</v>
      </c>
      <c r="J756" t="s">
        <v>35</v>
      </c>
      <c r="K756">
        <f t="shared" si="11"/>
        <v>68000</v>
      </c>
      <c r="L756">
        <f>Sales_Data2[[#This Row],[Unit Price]]*Sales_Data2[[#This Row],[Quantity]]</f>
        <v>595000</v>
      </c>
      <c r="M756">
        <f>Sales_Data2[[#This Row],[Cost Price]]*Sales_Data2[[#This Row],[Quantity]]</f>
        <v>476000</v>
      </c>
      <c r="N756" s="3">
        <f>Sales_Data2[[#This Row],[Revenue]]-Sales_Data2[[#This Row],[COGS]]</f>
        <v>119000</v>
      </c>
      <c r="O7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46430|South|Port Harcourt|Retail|Online|Office Chair Pro|Furniture|85000|7|Peter|68000</v>
      </c>
      <c r="P756" s="3" t="str">
        <f>IF(COUNTIF(Sales_Data2[RowKey],Sales_Data2[[#This Row],[RowKey]])&gt;1,"Duplicate","Unique")</f>
        <v>Unique</v>
      </c>
      <c r="Q756" s="3" t="str">
        <f>IF(ISNUMBER(Sales_Data2[[#This Row],[Date]]),"OK","Check")</f>
        <v>OK</v>
      </c>
      <c r="R756" s="3" t="str">
        <f>IF(ISNUMBER(Sales_Data2[[#This Row],[Quantity]]),"OK","Check")</f>
        <v>OK</v>
      </c>
    </row>
    <row r="757" spans="1:18">
      <c r="A757" s="1">
        <v>46431</v>
      </c>
      <c r="B757" t="s">
        <v>11</v>
      </c>
      <c r="C757" t="s">
        <v>19</v>
      </c>
      <c r="D757" t="s">
        <v>13</v>
      </c>
      <c r="E757" t="s">
        <v>14</v>
      </c>
      <c r="F757" t="s">
        <v>38</v>
      </c>
      <c r="G757" t="s">
        <v>31</v>
      </c>
      <c r="H757">
        <v>420000</v>
      </c>
      <c r="I757">
        <v>6</v>
      </c>
      <c r="J757" t="s">
        <v>17</v>
      </c>
      <c r="K757">
        <f t="shared" si="11"/>
        <v>336000</v>
      </c>
      <c r="L757">
        <f>Sales_Data2[[#This Row],[Unit Price]]*Sales_Data2[[#This Row],[Quantity]]</f>
        <v>2520000</v>
      </c>
      <c r="M757">
        <f>Sales_Data2[[#This Row],[Cost Price]]*Sales_Data2[[#This Row],[Quantity]]</f>
        <v>2016000</v>
      </c>
      <c r="N757" s="3">
        <f>Sales_Data2[[#This Row],[Revenue]]-Sales_Data2[[#This Row],[COGS]]</f>
        <v>504000</v>
      </c>
      <c r="O7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46431|West|Lagos|Retail|Online|Laptop A13|Electronics|420000|6|Chidinma|336000</v>
      </c>
      <c r="P757" s="3" t="str">
        <f>IF(COUNTIF(Sales_Data2[RowKey],Sales_Data2[[#This Row],[RowKey]])&gt;1,"Duplicate","Unique")</f>
        <v>Unique</v>
      </c>
      <c r="Q757" s="3" t="str">
        <f>IF(ISNUMBER(Sales_Data2[[#This Row],[Date]]),"OK","Check")</f>
        <v>OK</v>
      </c>
      <c r="R757" s="3" t="str">
        <f>IF(ISNUMBER(Sales_Data2[[#This Row],[Quantity]]),"OK","Check")</f>
        <v>OK</v>
      </c>
    </row>
    <row r="758" spans="1:18">
      <c r="A758" s="1">
        <v>46432</v>
      </c>
      <c r="B758" t="s">
        <v>11</v>
      </c>
      <c r="C758" t="s">
        <v>12</v>
      </c>
      <c r="D758" t="s">
        <v>13</v>
      </c>
      <c r="E758" t="s">
        <v>20</v>
      </c>
      <c r="F758" t="s">
        <v>30</v>
      </c>
      <c r="G758" t="s">
        <v>31</v>
      </c>
      <c r="H758">
        <v>300000</v>
      </c>
      <c r="I758">
        <v>3</v>
      </c>
      <c r="J758" t="s">
        <v>28</v>
      </c>
      <c r="K758">
        <f t="shared" si="11"/>
        <v>240000</v>
      </c>
      <c r="L758">
        <f>Sales_Data2[[#This Row],[Unit Price]]*Sales_Data2[[#This Row],[Quantity]]</f>
        <v>900000</v>
      </c>
      <c r="M758">
        <f>Sales_Data2[[#This Row],[Cost Price]]*Sales_Data2[[#This Row],[Quantity]]</f>
        <v>720000</v>
      </c>
      <c r="N758" s="3">
        <f>Sales_Data2[[#This Row],[Revenue]]-Sales_Data2[[#This Row],[COGS]]</f>
        <v>180000</v>
      </c>
      <c r="O7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46432|West|Port Harcourt|Retail|Store|Desktop PC D21|Electronics|300000|3|Musa|240000</v>
      </c>
      <c r="P758" s="3" t="str">
        <f>IF(COUNTIF(Sales_Data2[RowKey],Sales_Data2[[#This Row],[RowKey]])&gt;1,"Duplicate","Unique")</f>
        <v>Unique</v>
      </c>
      <c r="Q758" s="3" t="str">
        <f>IF(ISNUMBER(Sales_Data2[[#This Row],[Date]]),"OK","Check")</f>
        <v>OK</v>
      </c>
      <c r="R758" s="3" t="str">
        <f>IF(ISNUMBER(Sales_Data2[[#This Row],[Quantity]]),"OK","Check")</f>
        <v>OK</v>
      </c>
    </row>
    <row r="759" spans="1:18">
      <c r="A759" s="1">
        <v>46433</v>
      </c>
      <c r="B759" t="s">
        <v>29</v>
      </c>
      <c r="C759" t="s">
        <v>32</v>
      </c>
      <c r="D759" t="s">
        <v>13</v>
      </c>
      <c r="E759" t="s">
        <v>14</v>
      </c>
      <c r="F759" t="s">
        <v>41</v>
      </c>
      <c r="G759" t="s">
        <v>22</v>
      </c>
      <c r="H759">
        <v>220000</v>
      </c>
      <c r="I759">
        <v>10</v>
      </c>
      <c r="J759" t="s">
        <v>17</v>
      </c>
      <c r="K759">
        <f t="shared" si="11"/>
        <v>176000</v>
      </c>
      <c r="L759">
        <f>Sales_Data2[[#This Row],[Unit Price]]*Sales_Data2[[#This Row],[Quantity]]</f>
        <v>2200000</v>
      </c>
      <c r="M759">
        <f>Sales_Data2[[#This Row],[Cost Price]]*Sales_Data2[[#This Row],[Quantity]]</f>
        <v>1760000</v>
      </c>
      <c r="N759" s="3">
        <f>Sales_Data2[[#This Row],[Revenue]]-Sales_Data2[[#This Row],[COGS]]</f>
        <v>440000</v>
      </c>
      <c r="O7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46433|North|Abuja|Retail|Online|Refrigerator R55|Home Appliances|220000|10|Chidinma|176000</v>
      </c>
      <c r="P759" s="3" t="str">
        <f>IF(COUNTIF(Sales_Data2[RowKey],Sales_Data2[[#This Row],[RowKey]])&gt;1,"Duplicate","Unique")</f>
        <v>Unique</v>
      </c>
      <c r="Q759" s="3" t="str">
        <f>IF(ISNUMBER(Sales_Data2[[#This Row],[Date]]),"OK","Check")</f>
        <v>OK</v>
      </c>
      <c r="R759" s="3" t="str">
        <f>IF(ISNUMBER(Sales_Data2[[#This Row],[Quantity]]),"OK","Check")</f>
        <v>OK</v>
      </c>
    </row>
    <row r="760" spans="1:18">
      <c r="A760" s="1">
        <v>46434</v>
      </c>
      <c r="B760" t="s">
        <v>29</v>
      </c>
      <c r="C760" t="s">
        <v>12</v>
      </c>
      <c r="D760" t="s">
        <v>23</v>
      </c>
      <c r="E760" t="s">
        <v>20</v>
      </c>
      <c r="F760" t="s">
        <v>15</v>
      </c>
      <c r="G760" t="s">
        <v>16</v>
      </c>
      <c r="H760">
        <v>85000</v>
      </c>
      <c r="I760">
        <v>4</v>
      </c>
      <c r="J760" t="s">
        <v>35</v>
      </c>
      <c r="K760">
        <f t="shared" si="11"/>
        <v>68000</v>
      </c>
      <c r="L760">
        <f>Sales_Data2[[#This Row],[Unit Price]]*Sales_Data2[[#This Row],[Quantity]]</f>
        <v>340000</v>
      </c>
      <c r="M760">
        <f>Sales_Data2[[#This Row],[Cost Price]]*Sales_Data2[[#This Row],[Quantity]]</f>
        <v>272000</v>
      </c>
      <c r="N760" s="3">
        <f>Sales_Data2[[#This Row],[Revenue]]-Sales_Data2[[#This Row],[COGS]]</f>
        <v>68000</v>
      </c>
      <c r="O7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46434|North|Port Harcourt|Corporate|Store|Office Chair Pro|Furniture|85000|4|Peter|68000</v>
      </c>
      <c r="P760" s="3" t="str">
        <f>IF(COUNTIF(Sales_Data2[RowKey],Sales_Data2[[#This Row],[RowKey]])&gt;1,"Duplicate","Unique")</f>
        <v>Unique</v>
      </c>
      <c r="Q760" s="3" t="str">
        <f>IF(ISNUMBER(Sales_Data2[[#This Row],[Date]]),"OK","Check")</f>
        <v>OK</v>
      </c>
      <c r="R760" s="3" t="str">
        <f>IF(ISNUMBER(Sales_Data2[[#This Row],[Quantity]]),"OK","Check")</f>
        <v>OK</v>
      </c>
    </row>
    <row r="761" spans="1:18">
      <c r="A761" s="1">
        <v>46435</v>
      </c>
      <c r="B761" t="s">
        <v>29</v>
      </c>
      <c r="C761" t="s">
        <v>19</v>
      </c>
      <c r="D761" t="s">
        <v>13</v>
      </c>
      <c r="E761" t="s">
        <v>20</v>
      </c>
      <c r="F761" t="s">
        <v>34</v>
      </c>
      <c r="G761" t="s">
        <v>16</v>
      </c>
      <c r="H761">
        <v>320000</v>
      </c>
      <c r="I761">
        <v>4</v>
      </c>
      <c r="J761" t="s">
        <v>39</v>
      </c>
      <c r="K761">
        <f t="shared" si="11"/>
        <v>256000</v>
      </c>
      <c r="L761">
        <f>Sales_Data2[[#This Row],[Unit Price]]*Sales_Data2[[#This Row],[Quantity]]</f>
        <v>1280000</v>
      </c>
      <c r="M761">
        <f>Sales_Data2[[#This Row],[Cost Price]]*Sales_Data2[[#This Row],[Quantity]]</f>
        <v>1024000</v>
      </c>
      <c r="N761" s="3">
        <f>Sales_Data2[[#This Row],[Revenue]]-Sales_Data2[[#This Row],[COGS]]</f>
        <v>256000</v>
      </c>
      <c r="O7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46435|North|Lagos|Retail|Store|Sofa Classic|Furniture|320000|4|Grace|256000</v>
      </c>
      <c r="P761" s="3" t="str">
        <f>IF(COUNTIF(Sales_Data2[RowKey],Sales_Data2[[#This Row],[RowKey]])&gt;1,"Duplicate","Unique")</f>
        <v>Unique</v>
      </c>
      <c r="Q761" s="3" t="str">
        <f>IF(ISNUMBER(Sales_Data2[[#This Row],[Date]]),"OK","Check")</f>
        <v>OK</v>
      </c>
      <c r="R761" s="3" t="str">
        <f>IF(ISNUMBER(Sales_Data2[[#This Row],[Quantity]]),"OK","Check")</f>
        <v>OK</v>
      </c>
    </row>
    <row r="762" spans="1:18">
      <c r="A762" s="1">
        <v>46436</v>
      </c>
      <c r="B762" t="s">
        <v>25</v>
      </c>
      <c r="C762" t="s">
        <v>32</v>
      </c>
      <c r="D762" t="s">
        <v>13</v>
      </c>
      <c r="E762" t="s">
        <v>20</v>
      </c>
      <c r="F762" t="s">
        <v>36</v>
      </c>
      <c r="G762" t="s">
        <v>31</v>
      </c>
      <c r="H762">
        <v>150000</v>
      </c>
      <c r="I762">
        <v>6</v>
      </c>
      <c r="J762" t="s">
        <v>39</v>
      </c>
      <c r="K762">
        <f t="shared" si="11"/>
        <v>120000</v>
      </c>
      <c r="L762">
        <f>Sales_Data2[[#This Row],[Unit Price]]*Sales_Data2[[#This Row],[Quantity]]</f>
        <v>900000</v>
      </c>
      <c r="M762">
        <f>Sales_Data2[[#This Row],[Cost Price]]*Sales_Data2[[#This Row],[Quantity]]</f>
        <v>720000</v>
      </c>
      <c r="N762" s="3">
        <f>Sales_Data2[[#This Row],[Revenue]]-Sales_Data2[[#This Row],[COGS]]</f>
        <v>180000</v>
      </c>
      <c r="O7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46436|South|Abuja|Retail|Store|Printer P50|Electronics|150000|6|Grace|120000</v>
      </c>
      <c r="P762" s="3" t="str">
        <f>IF(COUNTIF(Sales_Data2[RowKey],Sales_Data2[[#This Row],[RowKey]])&gt;1,"Duplicate","Unique")</f>
        <v>Unique</v>
      </c>
      <c r="Q762" s="3" t="str">
        <f>IF(ISNUMBER(Sales_Data2[[#This Row],[Date]]),"OK","Check")</f>
        <v>OK</v>
      </c>
      <c r="R762" s="3" t="str">
        <f>IF(ISNUMBER(Sales_Data2[[#This Row],[Quantity]]),"OK","Check")</f>
        <v>OK</v>
      </c>
    </row>
    <row r="763" spans="1:18">
      <c r="A763" s="1">
        <v>46437</v>
      </c>
      <c r="B763" t="s">
        <v>11</v>
      </c>
      <c r="C763" t="s">
        <v>19</v>
      </c>
      <c r="D763" t="s">
        <v>13</v>
      </c>
      <c r="E763" t="s">
        <v>20</v>
      </c>
      <c r="F763" t="s">
        <v>34</v>
      </c>
      <c r="G763" t="s">
        <v>16</v>
      </c>
      <c r="H763">
        <v>320000</v>
      </c>
      <c r="I763">
        <v>2</v>
      </c>
      <c r="J763" t="s">
        <v>39</v>
      </c>
      <c r="K763">
        <f t="shared" si="11"/>
        <v>256000</v>
      </c>
      <c r="L763">
        <f>Sales_Data2[[#This Row],[Unit Price]]*Sales_Data2[[#This Row],[Quantity]]</f>
        <v>640000</v>
      </c>
      <c r="M763">
        <f>Sales_Data2[[#This Row],[Cost Price]]*Sales_Data2[[#This Row],[Quantity]]</f>
        <v>512000</v>
      </c>
      <c r="N763" s="3">
        <f>Sales_Data2[[#This Row],[Revenue]]-Sales_Data2[[#This Row],[COGS]]</f>
        <v>128000</v>
      </c>
      <c r="O7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46437|West|Lagos|Retail|Store|Sofa Classic|Furniture|320000|2|Grace|256000</v>
      </c>
      <c r="P763" s="3" t="str">
        <f>IF(COUNTIF(Sales_Data2[RowKey],Sales_Data2[[#This Row],[RowKey]])&gt;1,"Duplicate","Unique")</f>
        <v>Unique</v>
      </c>
      <c r="Q763" s="3" t="str">
        <f>IF(ISNUMBER(Sales_Data2[[#This Row],[Date]]),"OK","Check")</f>
        <v>OK</v>
      </c>
      <c r="R763" s="3" t="str">
        <f>IF(ISNUMBER(Sales_Data2[[#This Row],[Quantity]]),"OK","Check")</f>
        <v>OK</v>
      </c>
    </row>
    <row r="764" spans="1:18">
      <c r="A764" s="1">
        <v>46438</v>
      </c>
      <c r="B764" t="s">
        <v>29</v>
      </c>
      <c r="C764" t="s">
        <v>26</v>
      </c>
      <c r="D764" t="s">
        <v>13</v>
      </c>
      <c r="E764" t="s">
        <v>14</v>
      </c>
      <c r="F764" t="s">
        <v>34</v>
      </c>
      <c r="G764" t="s">
        <v>16</v>
      </c>
      <c r="H764">
        <v>320000</v>
      </c>
      <c r="I764">
        <v>10</v>
      </c>
      <c r="J764" t="s">
        <v>39</v>
      </c>
      <c r="K764">
        <f t="shared" si="11"/>
        <v>256000</v>
      </c>
      <c r="L764">
        <f>Sales_Data2[[#This Row],[Unit Price]]*Sales_Data2[[#This Row],[Quantity]]</f>
        <v>3200000</v>
      </c>
      <c r="M764">
        <f>Sales_Data2[[#This Row],[Cost Price]]*Sales_Data2[[#This Row],[Quantity]]</f>
        <v>2560000</v>
      </c>
      <c r="N764" s="3">
        <f>Sales_Data2[[#This Row],[Revenue]]-Sales_Data2[[#This Row],[COGS]]</f>
        <v>640000</v>
      </c>
      <c r="O7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46438|North|Kano|Retail|Online|Sofa Classic|Furniture|320000|10|Grace|256000</v>
      </c>
      <c r="P764" s="3" t="str">
        <f>IF(COUNTIF(Sales_Data2[RowKey],Sales_Data2[[#This Row],[RowKey]])&gt;1,"Duplicate","Unique")</f>
        <v>Unique</v>
      </c>
      <c r="Q764" s="3" t="str">
        <f>IF(ISNUMBER(Sales_Data2[[#This Row],[Date]]),"OK","Check")</f>
        <v>OK</v>
      </c>
      <c r="R764" s="3" t="str">
        <f>IF(ISNUMBER(Sales_Data2[[#This Row],[Quantity]]),"OK","Check")</f>
        <v>OK</v>
      </c>
    </row>
    <row r="765" spans="1:18">
      <c r="A765" s="1">
        <v>46439</v>
      </c>
      <c r="B765" t="s">
        <v>25</v>
      </c>
      <c r="C765" t="s">
        <v>19</v>
      </c>
      <c r="D765" t="s">
        <v>23</v>
      </c>
      <c r="E765" t="s">
        <v>14</v>
      </c>
      <c r="F765" t="s">
        <v>38</v>
      </c>
      <c r="G765" t="s">
        <v>31</v>
      </c>
      <c r="H765">
        <v>420000</v>
      </c>
      <c r="I765">
        <v>8</v>
      </c>
      <c r="J765" t="s">
        <v>17</v>
      </c>
      <c r="K765">
        <f t="shared" si="11"/>
        <v>336000</v>
      </c>
      <c r="L765">
        <f>Sales_Data2[[#This Row],[Unit Price]]*Sales_Data2[[#This Row],[Quantity]]</f>
        <v>3360000</v>
      </c>
      <c r="M765">
        <f>Sales_Data2[[#This Row],[Cost Price]]*Sales_Data2[[#This Row],[Quantity]]</f>
        <v>2688000</v>
      </c>
      <c r="N765" s="3">
        <f>Sales_Data2[[#This Row],[Revenue]]-Sales_Data2[[#This Row],[COGS]]</f>
        <v>672000</v>
      </c>
      <c r="O7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46439|South|Lagos|Corporate|Online|Laptop A13|Electronics|420000|8|Chidinma|336000</v>
      </c>
      <c r="P765" s="3" t="str">
        <f>IF(COUNTIF(Sales_Data2[RowKey],Sales_Data2[[#This Row],[RowKey]])&gt;1,"Duplicate","Unique")</f>
        <v>Unique</v>
      </c>
      <c r="Q765" s="3" t="str">
        <f>IF(ISNUMBER(Sales_Data2[[#This Row],[Date]]),"OK","Check")</f>
        <v>OK</v>
      </c>
      <c r="R765" s="3" t="str">
        <f>IF(ISNUMBER(Sales_Data2[[#This Row],[Quantity]]),"OK","Check")</f>
        <v>OK</v>
      </c>
    </row>
    <row r="766" spans="1:18">
      <c r="A766" s="1">
        <v>46440</v>
      </c>
      <c r="B766" t="s">
        <v>29</v>
      </c>
      <c r="C766" t="s">
        <v>12</v>
      </c>
      <c r="D766" t="s">
        <v>23</v>
      </c>
      <c r="E766" t="s">
        <v>14</v>
      </c>
      <c r="F766" t="s">
        <v>36</v>
      </c>
      <c r="G766" t="s">
        <v>31</v>
      </c>
      <c r="H766">
        <v>150000</v>
      </c>
      <c r="I766">
        <v>5</v>
      </c>
      <c r="J766" t="s">
        <v>37</v>
      </c>
      <c r="K766">
        <f t="shared" si="11"/>
        <v>120000</v>
      </c>
      <c r="L766">
        <f>Sales_Data2[[#This Row],[Unit Price]]*Sales_Data2[[#This Row],[Quantity]]</f>
        <v>750000</v>
      </c>
      <c r="M766">
        <f>Sales_Data2[[#This Row],[Cost Price]]*Sales_Data2[[#This Row],[Quantity]]</f>
        <v>600000</v>
      </c>
      <c r="N766" s="3">
        <f>Sales_Data2[[#This Row],[Revenue]]-Sales_Data2[[#This Row],[COGS]]</f>
        <v>150000</v>
      </c>
      <c r="O7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46440|North|Port Harcourt|Corporate|Online|Printer P50|Electronics|150000|5|Aisha|120000</v>
      </c>
      <c r="P766" s="3" t="str">
        <f>IF(COUNTIF(Sales_Data2[RowKey],Sales_Data2[[#This Row],[RowKey]])&gt;1,"Duplicate","Unique")</f>
        <v>Unique</v>
      </c>
      <c r="Q766" s="3" t="str">
        <f>IF(ISNUMBER(Sales_Data2[[#This Row],[Date]]),"OK","Check")</f>
        <v>OK</v>
      </c>
      <c r="R766" s="3" t="str">
        <f>IF(ISNUMBER(Sales_Data2[[#This Row],[Quantity]]),"OK","Check")</f>
        <v>OK</v>
      </c>
    </row>
    <row r="767" spans="1:18">
      <c r="A767" s="1">
        <v>46441</v>
      </c>
      <c r="B767" t="s">
        <v>11</v>
      </c>
      <c r="C767" t="s">
        <v>26</v>
      </c>
      <c r="D767" t="s">
        <v>23</v>
      </c>
      <c r="E767" t="s">
        <v>20</v>
      </c>
      <c r="F767" t="s">
        <v>15</v>
      </c>
      <c r="G767" t="s">
        <v>16</v>
      </c>
      <c r="H767">
        <v>85000</v>
      </c>
      <c r="I767">
        <v>1</v>
      </c>
      <c r="J767" t="s">
        <v>37</v>
      </c>
      <c r="K767">
        <f t="shared" si="11"/>
        <v>68000</v>
      </c>
      <c r="L767">
        <f>Sales_Data2[[#This Row],[Unit Price]]*Sales_Data2[[#This Row],[Quantity]]</f>
        <v>85000</v>
      </c>
      <c r="M767">
        <f>Sales_Data2[[#This Row],[Cost Price]]*Sales_Data2[[#This Row],[Quantity]]</f>
        <v>68000</v>
      </c>
      <c r="N767" s="3">
        <f>Sales_Data2[[#This Row],[Revenue]]-Sales_Data2[[#This Row],[COGS]]</f>
        <v>17000</v>
      </c>
      <c r="O7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46441|West|Kano|Corporate|Store|Office Chair Pro|Furniture|85000|1|Aisha|68000</v>
      </c>
      <c r="P767" s="3" t="str">
        <f>IF(COUNTIF(Sales_Data2[RowKey],Sales_Data2[[#This Row],[RowKey]])&gt;1,"Duplicate","Unique")</f>
        <v>Unique</v>
      </c>
      <c r="Q767" s="3" t="str">
        <f>IF(ISNUMBER(Sales_Data2[[#This Row],[Date]]),"OK","Check")</f>
        <v>OK</v>
      </c>
      <c r="R767" s="3" t="str">
        <f>IF(ISNUMBER(Sales_Data2[[#This Row],[Quantity]]),"OK","Check")</f>
        <v>OK</v>
      </c>
    </row>
    <row r="768" spans="1:18">
      <c r="A768" s="1">
        <v>46442</v>
      </c>
      <c r="B768" t="s">
        <v>18</v>
      </c>
      <c r="C768" t="s">
        <v>32</v>
      </c>
      <c r="D768" t="s">
        <v>23</v>
      </c>
      <c r="E768" t="s">
        <v>20</v>
      </c>
      <c r="F768" t="s">
        <v>38</v>
      </c>
      <c r="G768" t="s">
        <v>31</v>
      </c>
      <c r="H768">
        <v>420000</v>
      </c>
      <c r="I768">
        <v>2</v>
      </c>
      <c r="J768" t="s">
        <v>39</v>
      </c>
      <c r="K768">
        <f t="shared" si="11"/>
        <v>336000</v>
      </c>
      <c r="L768">
        <f>Sales_Data2[[#This Row],[Unit Price]]*Sales_Data2[[#This Row],[Quantity]]</f>
        <v>840000</v>
      </c>
      <c r="M768">
        <f>Sales_Data2[[#This Row],[Cost Price]]*Sales_Data2[[#This Row],[Quantity]]</f>
        <v>672000</v>
      </c>
      <c r="N768" s="3">
        <f>Sales_Data2[[#This Row],[Revenue]]-Sales_Data2[[#This Row],[COGS]]</f>
        <v>168000</v>
      </c>
      <c r="O7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46442|East|Abuja|Corporate|Store|Laptop A13|Electronics|420000|2|Grace|336000</v>
      </c>
      <c r="P768" s="3" t="str">
        <f>IF(COUNTIF(Sales_Data2[RowKey],Sales_Data2[[#This Row],[RowKey]])&gt;1,"Duplicate","Unique")</f>
        <v>Unique</v>
      </c>
      <c r="Q768" s="3" t="str">
        <f>IF(ISNUMBER(Sales_Data2[[#This Row],[Date]]),"OK","Check")</f>
        <v>OK</v>
      </c>
      <c r="R768" s="3" t="str">
        <f>IF(ISNUMBER(Sales_Data2[[#This Row],[Quantity]]),"OK","Check")</f>
        <v>OK</v>
      </c>
    </row>
    <row r="769" spans="1:18">
      <c r="A769" s="1">
        <v>46443</v>
      </c>
      <c r="B769" t="s">
        <v>18</v>
      </c>
      <c r="C769" t="s">
        <v>32</v>
      </c>
      <c r="D769" t="s">
        <v>13</v>
      </c>
      <c r="E769" t="s">
        <v>20</v>
      </c>
      <c r="F769" t="s">
        <v>33</v>
      </c>
      <c r="G769" t="s">
        <v>22</v>
      </c>
      <c r="H769">
        <v>180000</v>
      </c>
      <c r="I769">
        <v>6</v>
      </c>
      <c r="J769" t="s">
        <v>39</v>
      </c>
      <c r="K769">
        <f t="shared" si="11"/>
        <v>144000</v>
      </c>
      <c r="L769">
        <f>Sales_Data2[[#This Row],[Unit Price]]*Sales_Data2[[#This Row],[Quantity]]</f>
        <v>1080000</v>
      </c>
      <c r="M769">
        <f>Sales_Data2[[#This Row],[Cost Price]]*Sales_Data2[[#This Row],[Quantity]]</f>
        <v>864000</v>
      </c>
      <c r="N769" s="3">
        <f>Sales_Data2[[#This Row],[Revenue]]-Sales_Data2[[#This Row],[COGS]]</f>
        <v>216000</v>
      </c>
      <c r="O7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46443|East|Abuja|Retail|Store|Air Conditioner X2|Home Appliances|180000|6|Grace|144000</v>
      </c>
      <c r="P769" s="3" t="str">
        <f>IF(COUNTIF(Sales_Data2[RowKey],Sales_Data2[[#This Row],[RowKey]])&gt;1,"Duplicate","Unique")</f>
        <v>Unique</v>
      </c>
      <c r="Q769" s="3" t="str">
        <f>IF(ISNUMBER(Sales_Data2[[#This Row],[Date]]),"OK","Check")</f>
        <v>OK</v>
      </c>
      <c r="R769" s="3" t="str">
        <f>IF(ISNUMBER(Sales_Data2[[#This Row],[Quantity]]),"OK","Check")</f>
        <v>OK</v>
      </c>
    </row>
    <row r="770" spans="1:18">
      <c r="A770" s="1">
        <v>46444</v>
      </c>
      <c r="B770" t="s">
        <v>18</v>
      </c>
      <c r="C770" t="s">
        <v>12</v>
      </c>
      <c r="D770" t="s">
        <v>13</v>
      </c>
      <c r="E770" t="s">
        <v>20</v>
      </c>
      <c r="F770" t="s">
        <v>41</v>
      </c>
      <c r="G770" t="s">
        <v>22</v>
      </c>
      <c r="H770">
        <v>220000</v>
      </c>
      <c r="I770">
        <v>7</v>
      </c>
      <c r="J770" t="s">
        <v>17</v>
      </c>
      <c r="K770">
        <f t="shared" ref="K770:K833" si="12">H770-H770*0.2</f>
        <v>176000</v>
      </c>
      <c r="L770">
        <f>Sales_Data2[[#This Row],[Unit Price]]*Sales_Data2[[#This Row],[Quantity]]</f>
        <v>1540000</v>
      </c>
      <c r="M770">
        <f>Sales_Data2[[#This Row],[Cost Price]]*Sales_Data2[[#This Row],[Quantity]]</f>
        <v>1232000</v>
      </c>
      <c r="N770" s="3">
        <f>Sales_Data2[[#This Row],[Revenue]]-Sales_Data2[[#This Row],[COGS]]</f>
        <v>308000</v>
      </c>
      <c r="O7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46444|East|Port Harcourt|Retail|Store|Refrigerator R55|Home Appliances|220000|7|Chidinma|176000</v>
      </c>
      <c r="P770" s="3" t="str">
        <f>IF(COUNTIF(Sales_Data2[RowKey],Sales_Data2[[#This Row],[RowKey]])&gt;1,"Duplicate","Unique")</f>
        <v>Unique</v>
      </c>
      <c r="Q770" s="3" t="str">
        <f>IF(ISNUMBER(Sales_Data2[[#This Row],[Date]]),"OK","Check")</f>
        <v>OK</v>
      </c>
      <c r="R770" s="3" t="str">
        <f>IF(ISNUMBER(Sales_Data2[[#This Row],[Quantity]]),"OK","Check")</f>
        <v>OK</v>
      </c>
    </row>
    <row r="771" spans="1:18">
      <c r="A771" s="1">
        <v>46445</v>
      </c>
      <c r="B771" t="s">
        <v>18</v>
      </c>
      <c r="C771" t="s">
        <v>12</v>
      </c>
      <c r="D771" t="s">
        <v>13</v>
      </c>
      <c r="E771" t="s">
        <v>14</v>
      </c>
      <c r="F771" t="s">
        <v>41</v>
      </c>
      <c r="G771" t="s">
        <v>22</v>
      </c>
      <c r="H771">
        <v>220000</v>
      </c>
      <c r="I771">
        <v>5</v>
      </c>
      <c r="J771" t="s">
        <v>24</v>
      </c>
      <c r="K771">
        <f t="shared" si="12"/>
        <v>176000</v>
      </c>
      <c r="L771">
        <f>Sales_Data2[[#This Row],[Unit Price]]*Sales_Data2[[#This Row],[Quantity]]</f>
        <v>1100000</v>
      </c>
      <c r="M771">
        <f>Sales_Data2[[#This Row],[Cost Price]]*Sales_Data2[[#This Row],[Quantity]]</f>
        <v>880000</v>
      </c>
      <c r="N771" s="3">
        <f>Sales_Data2[[#This Row],[Revenue]]-Sales_Data2[[#This Row],[COGS]]</f>
        <v>220000</v>
      </c>
      <c r="O7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46445|East|Port Harcourt|Retail|Online|Refrigerator R55|Home Appliances|220000|5|David|176000</v>
      </c>
      <c r="P771" s="3" t="str">
        <f>IF(COUNTIF(Sales_Data2[RowKey],Sales_Data2[[#This Row],[RowKey]])&gt;1,"Duplicate","Unique")</f>
        <v>Unique</v>
      </c>
      <c r="Q771" s="3" t="str">
        <f>IF(ISNUMBER(Sales_Data2[[#This Row],[Date]]),"OK","Check")</f>
        <v>OK</v>
      </c>
      <c r="R771" s="3" t="str">
        <f>IF(ISNUMBER(Sales_Data2[[#This Row],[Quantity]]),"OK","Check")</f>
        <v>OK</v>
      </c>
    </row>
    <row r="772" spans="1:18">
      <c r="A772" s="1">
        <v>46446</v>
      </c>
      <c r="B772" t="s">
        <v>29</v>
      </c>
      <c r="C772" t="s">
        <v>12</v>
      </c>
      <c r="D772" t="s">
        <v>13</v>
      </c>
      <c r="E772" t="s">
        <v>20</v>
      </c>
      <c r="F772" t="s">
        <v>30</v>
      </c>
      <c r="G772" t="s">
        <v>31</v>
      </c>
      <c r="H772">
        <v>300000</v>
      </c>
      <c r="I772">
        <v>6</v>
      </c>
      <c r="J772" t="s">
        <v>28</v>
      </c>
      <c r="K772">
        <f t="shared" si="12"/>
        <v>240000</v>
      </c>
      <c r="L772">
        <f>Sales_Data2[[#This Row],[Unit Price]]*Sales_Data2[[#This Row],[Quantity]]</f>
        <v>1800000</v>
      </c>
      <c r="M772">
        <f>Sales_Data2[[#This Row],[Cost Price]]*Sales_Data2[[#This Row],[Quantity]]</f>
        <v>1440000</v>
      </c>
      <c r="N772" s="3">
        <f>Sales_Data2[[#This Row],[Revenue]]-Sales_Data2[[#This Row],[COGS]]</f>
        <v>360000</v>
      </c>
      <c r="O7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46446|North|Port Harcourt|Retail|Store|Desktop PC D21|Electronics|300000|6|Musa|240000</v>
      </c>
      <c r="P772" s="3" t="str">
        <f>IF(COUNTIF(Sales_Data2[RowKey],Sales_Data2[[#This Row],[RowKey]])&gt;1,"Duplicate","Unique")</f>
        <v>Unique</v>
      </c>
      <c r="Q772" s="3" t="str">
        <f>IF(ISNUMBER(Sales_Data2[[#This Row],[Date]]),"OK","Check")</f>
        <v>OK</v>
      </c>
      <c r="R772" s="3" t="str">
        <f>IF(ISNUMBER(Sales_Data2[[#This Row],[Quantity]]),"OK","Check")</f>
        <v>OK</v>
      </c>
    </row>
    <row r="773" spans="1:18">
      <c r="A773" s="1">
        <v>46447</v>
      </c>
      <c r="B773" t="s">
        <v>11</v>
      </c>
      <c r="C773" t="s">
        <v>26</v>
      </c>
      <c r="D773" t="s">
        <v>13</v>
      </c>
      <c r="E773" t="s">
        <v>20</v>
      </c>
      <c r="F773" t="s">
        <v>40</v>
      </c>
      <c r="G773" t="s">
        <v>31</v>
      </c>
      <c r="H773">
        <v>250000</v>
      </c>
      <c r="I773">
        <v>4</v>
      </c>
      <c r="J773" t="s">
        <v>28</v>
      </c>
      <c r="K773">
        <f t="shared" si="12"/>
        <v>200000</v>
      </c>
      <c r="L773">
        <f>Sales_Data2[[#This Row],[Unit Price]]*Sales_Data2[[#This Row],[Quantity]]</f>
        <v>1000000</v>
      </c>
      <c r="M773">
        <f>Sales_Data2[[#This Row],[Cost Price]]*Sales_Data2[[#This Row],[Quantity]]</f>
        <v>800000</v>
      </c>
      <c r="N773" s="3">
        <f>Sales_Data2[[#This Row],[Revenue]]-Sales_Data2[[#This Row],[COGS]]</f>
        <v>200000</v>
      </c>
      <c r="O7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46447|West|Kano|Retail|Store|Smartphone Z10|Electronics|250000|4|Musa|200000</v>
      </c>
      <c r="P773" s="3" t="str">
        <f>IF(COUNTIF(Sales_Data2[RowKey],Sales_Data2[[#This Row],[RowKey]])&gt;1,"Duplicate","Unique")</f>
        <v>Unique</v>
      </c>
      <c r="Q773" s="3" t="str">
        <f>IF(ISNUMBER(Sales_Data2[[#This Row],[Date]]),"OK","Check")</f>
        <v>OK</v>
      </c>
      <c r="R773" s="3" t="str">
        <f>IF(ISNUMBER(Sales_Data2[[#This Row],[Quantity]]),"OK","Check")</f>
        <v>OK</v>
      </c>
    </row>
    <row r="774" spans="1:18">
      <c r="A774" s="1">
        <v>46448</v>
      </c>
      <c r="B774" t="s">
        <v>29</v>
      </c>
      <c r="C774" t="s">
        <v>19</v>
      </c>
      <c r="D774" t="s">
        <v>23</v>
      </c>
      <c r="E774" t="s">
        <v>14</v>
      </c>
      <c r="F774" t="s">
        <v>34</v>
      </c>
      <c r="G774" t="s">
        <v>16</v>
      </c>
      <c r="H774">
        <v>320000</v>
      </c>
      <c r="I774">
        <v>5</v>
      </c>
      <c r="J774" t="s">
        <v>24</v>
      </c>
      <c r="K774">
        <f t="shared" si="12"/>
        <v>256000</v>
      </c>
      <c r="L774">
        <f>Sales_Data2[[#This Row],[Unit Price]]*Sales_Data2[[#This Row],[Quantity]]</f>
        <v>1600000</v>
      </c>
      <c r="M774">
        <f>Sales_Data2[[#This Row],[Cost Price]]*Sales_Data2[[#This Row],[Quantity]]</f>
        <v>1280000</v>
      </c>
      <c r="N774" s="3">
        <f>Sales_Data2[[#This Row],[Revenue]]-Sales_Data2[[#This Row],[COGS]]</f>
        <v>320000</v>
      </c>
      <c r="O7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46448|North|Lagos|Corporate|Online|Sofa Classic|Furniture|320000|5|David|256000</v>
      </c>
      <c r="P774" s="3" t="str">
        <f>IF(COUNTIF(Sales_Data2[RowKey],Sales_Data2[[#This Row],[RowKey]])&gt;1,"Duplicate","Unique")</f>
        <v>Unique</v>
      </c>
      <c r="Q774" s="3" t="str">
        <f>IF(ISNUMBER(Sales_Data2[[#This Row],[Date]]),"OK","Check")</f>
        <v>OK</v>
      </c>
      <c r="R774" s="3" t="str">
        <f>IF(ISNUMBER(Sales_Data2[[#This Row],[Quantity]]),"OK","Check")</f>
        <v>OK</v>
      </c>
    </row>
    <row r="775" spans="1:18">
      <c r="A775" s="1">
        <v>46449</v>
      </c>
      <c r="B775" t="s">
        <v>29</v>
      </c>
      <c r="C775" t="s">
        <v>12</v>
      </c>
      <c r="D775" t="s">
        <v>13</v>
      </c>
      <c r="E775" t="s">
        <v>20</v>
      </c>
      <c r="F775" t="s">
        <v>30</v>
      </c>
      <c r="G775" t="s">
        <v>31</v>
      </c>
      <c r="H775">
        <v>300000</v>
      </c>
      <c r="I775">
        <v>10</v>
      </c>
      <c r="J775" t="s">
        <v>39</v>
      </c>
      <c r="K775">
        <f t="shared" si="12"/>
        <v>240000</v>
      </c>
      <c r="L775">
        <f>Sales_Data2[[#This Row],[Unit Price]]*Sales_Data2[[#This Row],[Quantity]]</f>
        <v>3000000</v>
      </c>
      <c r="M775">
        <f>Sales_Data2[[#This Row],[Cost Price]]*Sales_Data2[[#This Row],[Quantity]]</f>
        <v>2400000</v>
      </c>
      <c r="N775" s="3">
        <f>Sales_Data2[[#This Row],[Revenue]]-Sales_Data2[[#This Row],[COGS]]</f>
        <v>600000</v>
      </c>
      <c r="O7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46449|North|Port Harcourt|Retail|Store|Desktop PC D21|Electronics|300000|10|Grace|240000</v>
      </c>
      <c r="P775" s="3" t="str">
        <f>IF(COUNTIF(Sales_Data2[RowKey],Sales_Data2[[#This Row],[RowKey]])&gt;1,"Duplicate","Unique")</f>
        <v>Unique</v>
      </c>
      <c r="Q775" s="3" t="str">
        <f>IF(ISNUMBER(Sales_Data2[[#This Row],[Date]]),"OK","Check")</f>
        <v>OK</v>
      </c>
      <c r="R775" s="3" t="str">
        <f>IF(ISNUMBER(Sales_Data2[[#This Row],[Quantity]]),"OK","Check")</f>
        <v>OK</v>
      </c>
    </row>
    <row r="776" spans="1:18">
      <c r="A776" s="1">
        <v>46450</v>
      </c>
      <c r="B776" t="s">
        <v>29</v>
      </c>
      <c r="C776" t="s">
        <v>12</v>
      </c>
      <c r="D776" t="s">
        <v>13</v>
      </c>
      <c r="E776" t="s">
        <v>20</v>
      </c>
      <c r="F776" t="s">
        <v>27</v>
      </c>
      <c r="G776" t="s">
        <v>22</v>
      </c>
      <c r="H776">
        <v>60000</v>
      </c>
      <c r="I776">
        <v>5</v>
      </c>
      <c r="J776" t="s">
        <v>37</v>
      </c>
      <c r="K776">
        <f t="shared" si="12"/>
        <v>48000</v>
      </c>
      <c r="L776">
        <f>Sales_Data2[[#This Row],[Unit Price]]*Sales_Data2[[#This Row],[Quantity]]</f>
        <v>300000</v>
      </c>
      <c r="M776">
        <f>Sales_Data2[[#This Row],[Cost Price]]*Sales_Data2[[#This Row],[Quantity]]</f>
        <v>240000</v>
      </c>
      <c r="N776" s="3">
        <f>Sales_Data2[[#This Row],[Revenue]]-Sales_Data2[[#This Row],[COGS]]</f>
        <v>60000</v>
      </c>
      <c r="O7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46450|North|Port Harcourt|Retail|Store|Microwave M20|Home Appliances|60000|5|Aisha|48000</v>
      </c>
      <c r="P776" s="3" t="str">
        <f>IF(COUNTIF(Sales_Data2[RowKey],Sales_Data2[[#This Row],[RowKey]])&gt;1,"Duplicate","Unique")</f>
        <v>Unique</v>
      </c>
      <c r="Q776" s="3" t="str">
        <f>IF(ISNUMBER(Sales_Data2[[#This Row],[Date]]),"OK","Check")</f>
        <v>OK</v>
      </c>
      <c r="R776" s="3" t="str">
        <f>IF(ISNUMBER(Sales_Data2[[#This Row],[Quantity]]),"OK","Check")</f>
        <v>OK</v>
      </c>
    </row>
    <row r="777" spans="1:18">
      <c r="A777" s="1">
        <v>46451</v>
      </c>
      <c r="B777" t="s">
        <v>29</v>
      </c>
      <c r="C777" t="s">
        <v>26</v>
      </c>
      <c r="D777" t="s">
        <v>13</v>
      </c>
      <c r="E777" t="s">
        <v>14</v>
      </c>
      <c r="F777" t="s">
        <v>38</v>
      </c>
      <c r="G777" t="s">
        <v>31</v>
      </c>
      <c r="H777">
        <v>420000</v>
      </c>
      <c r="I777">
        <v>8</v>
      </c>
      <c r="J777" t="s">
        <v>35</v>
      </c>
      <c r="K777">
        <f t="shared" si="12"/>
        <v>336000</v>
      </c>
      <c r="L777">
        <f>Sales_Data2[[#This Row],[Unit Price]]*Sales_Data2[[#This Row],[Quantity]]</f>
        <v>3360000</v>
      </c>
      <c r="M777">
        <f>Sales_Data2[[#This Row],[Cost Price]]*Sales_Data2[[#This Row],[Quantity]]</f>
        <v>2688000</v>
      </c>
      <c r="N777" s="3">
        <f>Sales_Data2[[#This Row],[Revenue]]-Sales_Data2[[#This Row],[COGS]]</f>
        <v>672000</v>
      </c>
      <c r="O7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46451|North|Kano|Retail|Online|Laptop A13|Electronics|420000|8|Peter|336000</v>
      </c>
      <c r="P777" s="3" t="str">
        <f>IF(COUNTIF(Sales_Data2[RowKey],Sales_Data2[[#This Row],[RowKey]])&gt;1,"Duplicate","Unique")</f>
        <v>Unique</v>
      </c>
      <c r="Q777" s="3" t="str">
        <f>IF(ISNUMBER(Sales_Data2[[#This Row],[Date]]),"OK","Check")</f>
        <v>OK</v>
      </c>
      <c r="R777" s="3" t="str">
        <f>IF(ISNUMBER(Sales_Data2[[#This Row],[Quantity]]),"OK","Check")</f>
        <v>OK</v>
      </c>
    </row>
    <row r="778" spans="1:18">
      <c r="A778" s="1">
        <v>46452</v>
      </c>
      <c r="B778" t="s">
        <v>11</v>
      </c>
      <c r="C778" t="s">
        <v>32</v>
      </c>
      <c r="D778" t="s">
        <v>23</v>
      </c>
      <c r="E778" t="s">
        <v>14</v>
      </c>
      <c r="F778" t="s">
        <v>30</v>
      </c>
      <c r="G778" t="s">
        <v>31</v>
      </c>
      <c r="H778">
        <v>300000</v>
      </c>
      <c r="I778">
        <v>1</v>
      </c>
      <c r="J778" t="s">
        <v>24</v>
      </c>
      <c r="K778">
        <f t="shared" si="12"/>
        <v>240000</v>
      </c>
      <c r="L778">
        <f>Sales_Data2[[#This Row],[Unit Price]]*Sales_Data2[[#This Row],[Quantity]]</f>
        <v>300000</v>
      </c>
      <c r="M778">
        <f>Sales_Data2[[#This Row],[Cost Price]]*Sales_Data2[[#This Row],[Quantity]]</f>
        <v>240000</v>
      </c>
      <c r="N778" s="3">
        <f>Sales_Data2[[#This Row],[Revenue]]-Sales_Data2[[#This Row],[COGS]]</f>
        <v>60000</v>
      </c>
      <c r="O7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46452|West|Abuja|Corporate|Online|Desktop PC D21|Electronics|300000|1|David|240000</v>
      </c>
      <c r="P778" s="3" t="str">
        <f>IF(COUNTIF(Sales_Data2[RowKey],Sales_Data2[[#This Row],[RowKey]])&gt;1,"Duplicate","Unique")</f>
        <v>Unique</v>
      </c>
      <c r="Q778" s="3" t="str">
        <f>IF(ISNUMBER(Sales_Data2[[#This Row],[Date]]),"OK","Check")</f>
        <v>OK</v>
      </c>
      <c r="R778" s="3" t="str">
        <f>IF(ISNUMBER(Sales_Data2[[#This Row],[Quantity]]),"OK","Check")</f>
        <v>OK</v>
      </c>
    </row>
    <row r="779" spans="1:18">
      <c r="A779" s="1">
        <v>46453</v>
      </c>
      <c r="B779" t="s">
        <v>11</v>
      </c>
      <c r="C779" t="s">
        <v>26</v>
      </c>
      <c r="D779" t="s">
        <v>23</v>
      </c>
      <c r="E779" t="s">
        <v>20</v>
      </c>
      <c r="F779" t="s">
        <v>38</v>
      </c>
      <c r="G779" t="s">
        <v>31</v>
      </c>
      <c r="H779">
        <v>420000</v>
      </c>
      <c r="I779">
        <v>2</v>
      </c>
      <c r="J779" t="s">
        <v>37</v>
      </c>
      <c r="K779">
        <f t="shared" si="12"/>
        <v>336000</v>
      </c>
      <c r="L779">
        <f>Sales_Data2[[#This Row],[Unit Price]]*Sales_Data2[[#This Row],[Quantity]]</f>
        <v>840000</v>
      </c>
      <c r="M779">
        <f>Sales_Data2[[#This Row],[Cost Price]]*Sales_Data2[[#This Row],[Quantity]]</f>
        <v>672000</v>
      </c>
      <c r="N779" s="3">
        <f>Sales_Data2[[#This Row],[Revenue]]-Sales_Data2[[#This Row],[COGS]]</f>
        <v>168000</v>
      </c>
      <c r="O7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46453|West|Kano|Corporate|Store|Laptop A13|Electronics|420000|2|Aisha|336000</v>
      </c>
      <c r="P779" s="3" t="str">
        <f>IF(COUNTIF(Sales_Data2[RowKey],Sales_Data2[[#This Row],[RowKey]])&gt;1,"Duplicate","Unique")</f>
        <v>Unique</v>
      </c>
      <c r="Q779" s="3" t="str">
        <f>IF(ISNUMBER(Sales_Data2[[#This Row],[Date]]),"OK","Check")</f>
        <v>OK</v>
      </c>
      <c r="R779" s="3" t="str">
        <f>IF(ISNUMBER(Sales_Data2[[#This Row],[Quantity]]),"OK","Check")</f>
        <v>OK</v>
      </c>
    </row>
    <row r="780" spans="1:18">
      <c r="A780" s="1">
        <v>46454</v>
      </c>
      <c r="B780" t="s">
        <v>25</v>
      </c>
      <c r="C780" t="s">
        <v>19</v>
      </c>
      <c r="D780" t="s">
        <v>23</v>
      </c>
      <c r="E780" t="s">
        <v>14</v>
      </c>
      <c r="F780" t="s">
        <v>38</v>
      </c>
      <c r="G780" t="s">
        <v>31</v>
      </c>
      <c r="H780">
        <v>420000</v>
      </c>
      <c r="I780">
        <v>7</v>
      </c>
      <c r="J780" t="s">
        <v>35</v>
      </c>
      <c r="K780">
        <f t="shared" si="12"/>
        <v>336000</v>
      </c>
      <c r="L780">
        <f>Sales_Data2[[#This Row],[Unit Price]]*Sales_Data2[[#This Row],[Quantity]]</f>
        <v>2940000</v>
      </c>
      <c r="M780">
        <f>Sales_Data2[[#This Row],[Cost Price]]*Sales_Data2[[#This Row],[Quantity]]</f>
        <v>2352000</v>
      </c>
      <c r="N780" s="3">
        <f>Sales_Data2[[#This Row],[Revenue]]-Sales_Data2[[#This Row],[COGS]]</f>
        <v>588000</v>
      </c>
      <c r="O7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46454|South|Lagos|Corporate|Online|Laptop A13|Electronics|420000|7|Peter|336000</v>
      </c>
      <c r="P780" s="3" t="str">
        <f>IF(COUNTIF(Sales_Data2[RowKey],Sales_Data2[[#This Row],[RowKey]])&gt;1,"Duplicate","Unique")</f>
        <v>Unique</v>
      </c>
      <c r="Q780" s="3" t="str">
        <f>IF(ISNUMBER(Sales_Data2[[#This Row],[Date]]),"OK","Check")</f>
        <v>OK</v>
      </c>
      <c r="R780" s="3" t="str">
        <f>IF(ISNUMBER(Sales_Data2[[#This Row],[Quantity]]),"OK","Check")</f>
        <v>OK</v>
      </c>
    </row>
    <row r="781" spans="1:18">
      <c r="A781" s="1">
        <v>46455</v>
      </c>
      <c r="B781" t="s">
        <v>11</v>
      </c>
      <c r="C781" t="s">
        <v>26</v>
      </c>
      <c r="D781" t="s">
        <v>23</v>
      </c>
      <c r="E781" t="s">
        <v>14</v>
      </c>
      <c r="F781" t="s">
        <v>33</v>
      </c>
      <c r="G781" t="s">
        <v>22</v>
      </c>
      <c r="H781">
        <v>180000</v>
      </c>
      <c r="I781">
        <v>8</v>
      </c>
      <c r="J781" t="s">
        <v>28</v>
      </c>
      <c r="K781">
        <f t="shared" si="12"/>
        <v>144000</v>
      </c>
      <c r="L781">
        <f>Sales_Data2[[#This Row],[Unit Price]]*Sales_Data2[[#This Row],[Quantity]]</f>
        <v>1440000</v>
      </c>
      <c r="M781">
        <f>Sales_Data2[[#This Row],[Cost Price]]*Sales_Data2[[#This Row],[Quantity]]</f>
        <v>1152000</v>
      </c>
      <c r="N781" s="3">
        <f>Sales_Data2[[#This Row],[Revenue]]-Sales_Data2[[#This Row],[COGS]]</f>
        <v>288000</v>
      </c>
      <c r="O7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46455|West|Kano|Corporate|Online|Air Conditioner X2|Home Appliances|180000|8|Musa|144000</v>
      </c>
      <c r="P781" s="3" t="str">
        <f>IF(COUNTIF(Sales_Data2[RowKey],Sales_Data2[[#This Row],[RowKey]])&gt;1,"Duplicate","Unique")</f>
        <v>Unique</v>
      </c>
      <c r="Q781" s="3" t="str">
        <f>IF(ISNUMBER(Sales_Data2[[#This Row],[Date]]),"OK","Check")</f>
        <v>OK</v>
      </c>
      <c r="R781" s="3" t="str">
        <f>IF(ISNUMBER(Sales_Data2[[#This Row],[Quantity]]),"OK","Check")</f>
        <v>OK</v>
      </c>
    </row>
    <row r="782" spans="1:18">
      <c r="A782" s="1">
        <v>46456</v>
      </c>
      <c r="B782" t="s">
        <v>11</v>
      </c>
      <c r="C782" t="s">
        <v>26</v>
      </c>
      <c r="D782" t="s">
        <v>13</v>
      </c>
      <c r="E782" t="s">
        <v>14</v>
      </c>
      <c r="F782" t="s">
        <v>27</v>
      </c>
      <c r="G782" t="s">
        <v>22</v>
      </c>
      <c r="H782">
        <v>60000</v>
      </c>
      <c r="I782">
        <v>7</v>
      </c>
      <c r="J782" t="s">
        <v>28</v>
      </c>
      <c r="K782">
        <f t="shared" si="12"/>
        <v>48000</v>
      </c>
      <c r="L782">
        <f>Sales_Data2[[#This Row],[Unit Price]]*Sales_Data2[[#This Row],[Quantity]]</f>
        <v>420000</v>
      </c>
      <c r="M782">
        <f>Sales_Data2[[#This Row],[Cost Price]]*Sales_Data2[[#This Row],[Quantity]]</f>
        <v>336000</v>
      </c>
      <c r="N782" s="3">
        <f>Sales_Data2[[#This Row],[Revenue]]-Sales_Data2[[#This Row],[COGS]]</f>
        <v>84000</v>
      </c>
      <c r="O7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46456|West|Kano|Retail|Online|Microwave M20|Home Appliances|60000|7|Musa|48000</v>
      </c>
      <c r="P782" s="3" t="str">
        <f>IF(COUNTIF(Sales_Data2[RowKey],Sales_Data2[[#This Row],[RowKey]])&gt;1,"Duplicate","Unique")</f>
        <v>Unique</v>
      </c>
      <c r="Q782" s="3" t="str">
        <f>IF(ISNUMBER(Sales_Data2[[#This Row],[Date]]),"OK","Check")</f>
        <v>OK</v>
      </c>
      <c r="R782" s="3" t="str">
        <f>IF(ISNUMBER(Sales_Data2[[#This Row],[Quantity]]),"OK","Check")</f>
        <v>OK</v>
      </c>
    </row>
    <row r="783" spans="1:18">
      <c r="A783" s="1">
        <v>46457</v>
      </c>
      <c r="B783" t="s">
        <v>18</v>
      </c>
      <c r="C783" t="s">
        <v>19</v>
      </c>
      <c r="D783" t="s">
        <v>23</v>
      </c>
      <c r="E783" t="s">
        <v>14</v>
      </c>
      <c r="F783" t="s">
        <v>38</v>
      </c>
      <c r="G783" t="s">
        <v>31</v>
      </c>
      <c r="H783">
        <v>420000</v>
      </c>
      <c r="I783">
        <v>7</v>
      </c>
      <c r="J783" t="s">
        <v>28</v>
      </c>
      <c r="K783">
        <f t="shared" si="12"/>
        <v>336000</v>
      </c>
      <c r="L783">
        <f>Sales_Data2[[#This Row],[Unit Price]]*Sales_Data2[[#This Row],[Quantity]]</f>
        <v>2940000</v>
      </c>
      <c r="M783">
        <f>Sales_Data2[[#This Row],[Cost Price]]*Sales_Data2[[#This Row],[Quantity]]</f>
        <v>2352000</v>
      </c>
      <c r="N783" s="3">
        <f>Sales_Data2[[#This Row],[Revenue]]-Sales_Data2[[#This Row],[COGS]]</f>
        <v>588000</v>
      </c>
      <c r="O7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46457|East|Lagos|Corporate|Online|Laptop A13|Electronics|420000|7|Musa|336000</v>
      </c>
      <c r="P783" s="3" t="str">
        <f>IF(COUNTIF(Sales_Data2[RowKey],Sales_Data2[[#This Row],[RowKey]])&gt;1,"Duplicate","Unique")</f>
        <v>Unique</v>
      </c>
      <c r="Q783" s="3" t="str">
        <f>IF(ISNUMBER(Sales_Data2[[#This Row],[Date]]),"OK","Check")</f>
        <v>OK</v>
      </c>
      <c r="R783" s="3" t="str">
        <f>IF(ISNUMBER(Sales_Data2[[#This Row],[Quantity]]),"OK","Check")</f>
        <v>OK</v>
      </c>
    </row>
    <row r="784" spans="1:18">
      <c r="A784" s="1">
        <v>46458</v>
      </c>
      <c r="B784" t="s">
        <v>18</v>
      </c>
      <c r="C784" t="s">
        <v>12</v>
      </c>
      <c r="D784" t="s">
        <v>13</v>
      </c>
      <c r="E784" t="s">
        <v>14</v>
      </c>
      <c r="F784" t="s">
        <v>33</v>
      </c>
      <c r="G784" t="s">
        <v>22</v>
      </c>
      <c r="H784">
        <v>180000</v>
      </c>
      <c r="I784">
        <v>5</v>
      </c>
      <c r="J784" t="s">
        <v>39</v>
      </c>
      <c r="K784">
        <f t="shared" si="12"/>
        <v>144000</v>
      </c>
      <c r="L784">
        <f>Sales_Data2[[#This Row],[Unit Price]]*Sales_Data2[[#This Row],[Quantity]]</f>
        <v>900000</v>
      </c>
      <c r="M784">
        <f>Sales_Data2[[#This Row],[Cost Price]]*Sales_Data2[[#This Row],[Quantity]]</f>
        <v>720000</v>
      </c>
      <c r="N784" s="3">
        <f>Sales_Data2[[#This Row],[Revenue]]-Sales_Data2[[#This Row],[COGS]]</f>
        <v>180000</v>
      </c>
      <c r="O7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46458|East|Port Harcourt|Retail|Online|Air Conditioner X2|Home Appliances|180000|5|Grace|144000</v>
      </c>
      <c r="P784" s="3" t="str">
        <f>IF(COUNTIF(Sales_Data2[RowKey],Sales_Data2[[#This Row],[RowKey]])&gt;1,"Duplicate","Unique")</f>
        <v>Unique</v>
      </c>
      <c r="Q784" s="3" t="str">
        <f>IF(ISNUMBER(Sales_Data2[[#This Row],[Date]]),"OK","Check")</f>
        <v>OK</v>
      </c>
      <c r="R784" s="3" t="str">
        <f>IF(ISNUMBER(Sales_Data2[[#This Row],[Quantity]]),"OK","Check")</f>
        <v>OK</v>
      </c>
    </row>
    <row r="785" spans="1:18">
      <c r="A785" s="1">
        <v>46459</v>
      </c>
      <c r="B785" t="s">
        <v>18</v>
      </c>
      <c r="C785" t="s">
        <v>26</v>
      </c>
      <c r="D785" t="s">
        <v>23</v>
      </c>
      <c r="E785" t="s">
        <v>20</v>
      </c>
      <c r="F785" t="s">
        <v>38</v>
      </c>
      <c r="G785" t="s">
        <v>31</v>
      </c>
      <c r="H785">
        <v>420000</v>
      </c>
      <c r="I785">
        <v>9</v>
      </c>
      <c r="J785" t="s">
        <v>39</v>
      </c>
      <c r="K785">
        <f t="shared" si="12"/>
        <v>336000</v>
      </c>
      <c r="L785">
        <f>Sales_Data2[[#This Row],[Unit Price]]*Sales_Data2[[#This Row],[Quantity]]</f>
        <v>3780000</v>
      </c>
      <c r="M785">
        <f>Sales_Data2[[#This Row],[Cost Price]]*Sales_Data2[[#This Row],[Quantity]]</f>
        <v>3024000</v>
      </c>
      <c r="N785" s="3">
        <f>Sales_Data2[[#This Row],[Revenue]]-Sales_Data2[[#This Row],[COGS]]</f>
        <v>756000</v>
      </c>
      <c r="O7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46459|East|Kano|Corporate|Store|Laptop A13|Electronics|420000|9|Grace|336000</v>
      </c>
      <c r="P785" s="3" t="str">
        <f>IF(COUNTIF(Sales_Data2[RowKey],Sales_Data2[[#This Row],[RowKey]])&gt;1,"Duplicate","Unique")</f>
        <v>Unique</v>
      </c>
      <c r="Q785" s="3" t="str">
        <f>IF(ISNUMBER(Sales_Data2[[#This Row],[Date]]),"OK","Check")</f>
        <v>OK</v>
      </c>
      <c r="R785" s="3" t="str">
        <f>IF(ISNUMBER(Sales_Data2[[#This Row],[Quantity]]),"OK","Check")</f>
        <v>OK</v>
      </c>
    </row>
    <row r="786" spans="1:18">
      <c r="A786" s="1">
        <v>46460</v>
      </c>
      <c r="B786" t="s">
        <v>18</v>
      </c>
      <c r="C786" t="s">
        <v>26</v>
      </c>
      <c r="D786" t="s">
        <v>23</v>
      </c>
      <c r="E786" t="s">
        <v>20</v>
      </c>
      <c r="F786" t="s">
        <v>30</v>
      </c>
      <c r="G786" t="s">
        <v>31</v>
      </c>
      <c r="H786">
        <v>300000</v>
      </c>
      <c r="I786">
        <v>7</v>
      </c>
      <c r="J786" t="s">
        <v>35</v>
      </c>
      <c r="K786">
        <f t="shared" si="12"/>
        <v>240000</v>
      </c>
      <c r="L786">
        <f>Sales_Data2[[#This Row],[Unit Price]]*Sales_Data2[[#This Row],[Quantity]]</f>
        <v>2100000</v>
      </c>
      <c r="M786">
        <f>Sales_Data2[[#This Row],[Cost Price]]*Sales_Data2[[#This Row],[Quantity]]</f>
        <v>1680000</v>
      </c>
      <c r="N786" s="3">
        <f>Sales_Data2[[#This Row],[Revenue]]-Sales_Data2[[#This Row],[COGS]]</f>
        <v>420000</v>
      </c>
      <c r="O7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46460|East|Kano|Corporate|Store|Desktop PC D21|Electronics|300000|7|Peter|240000</v>
      </c>
      <c r="P786" s="3" t="str">
        <f>IF(COUNTIF(Sales_Data2[RowKey],Sales_Data2[[#This Row],[RowKey]])&gt;1,"Duplicate","Unique")</f>
        <v>Unique</v>
      </c>
      <c r="Q786" s="3" t="str">
        <f>IF(ISNUMBER(Sales_Data2[[#This Row],[Date]]),"OK","Check")</f>
        <v>OK</v>
      </c>
      <c r="R786" s="3" t="str">
        <f>IF(ISNUMBER(Sales_Data2[[#This Row],[Quantity]]),"OK","Check")</f>
        <v>OK</v>
      </c>
    </row>
    <row r="787" spans="1:18">
      <c r="A787" s="1">
        <v>46461</v>
      </c>
      <c r="B787" t="s">
        <v>11</v>
      </c>
      <c r="C787" t="s">
        <v>32</v>
      </c>
      <c r="D787" t="s">
        <v>13</v>
      </c>
      <c r="E787" t="s">
        <v>20</v>
      </c>
      <c r="F787" t="s">
        <v>36</v>
      </c>
      <c r="G787" t="s">
        <v>31</v>
      </c>
      <c r="H787">
        <v>150000</v>
      </c>
      <c r="I787">
        <v>3</v>
      </c>
      <c r="J787" t="s">
        <v>24</v>
      </c>
      <c r="K787">
        <f t="shared" si="12"/>
        <v>120000</v>
      </c>
      <c r="L787">
        <f>Sales_Data2[[#This Row],[Unit Price]]*Sales_Data2[[#This Row],[Quantity]]</f>
        <v>450000</v>
      </c>
      <c r="M787">
        <f>Sales_Data2[[#This Row],[Cost Price]]*Sales_Data2[[#This Row],[Quantity]]</f>
        <v>360000</v>
      </c>
      <c r="N787" s="3">
        <f>Sales_Data2[[#This Row],[Revenue]]-Sales_Data2[[#This Row],[COGS]]</f>
        <v>90000</v>
      </c>
      <c r="O7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46461|West|Abuja|Retail|Store|Printer P50|Electronics|150000|3|David|120000</v>
      </c>
      <c r="P787" s="3" t="str">
        <f>IF(COUNTIF(Sales_Data2[RowKey],Sales_Data2[[#This Row],[RowKey]])&gt;1,"Duplicate","Unique")</f>
        <v>Unique</v>
      </c>
      <c r="Q787" s="3" t="str">
        <f>IF(ISNUMBER(Sales_Data2[[#This Row],[Date]]),"OK","Check")</f>
        <v>OK</v>
      </c>
      <c r="R787" s="3" t="str">
        <f>IF(ISNUMBER(Sales_Data2[[#This Row],[Quantity]]),"OK","Check")</f>
        <v>OK</v>
      </c>
    </row>
    <row r="788" spans="1:18">
      <c r="A788" s="1">
        <v>46462</v>
      </c>
      <c r="B788" t="s">
        <v>11</v>
      </c>
      <c r="C788" t="s">
        <v>19</v>
      </c>
      <c r="D788" t="s">
        <v>13</v>
      </c>
      <c r="E788" t="s">
        <v>20</v>
      </c>
      <c r="F788" t="s">
        <v>30</v>
      </c>
      <c r="G788" t="s">
        <v>31</v>
      </c>
      <c r="H788">
        <v>300000</v>
      </c>
      <c r="I788">
        <v>10</v>
      </c>
      <c r="J788" t="s">
        <v>39</v>
      </c>
      <c r="K788">
        <f t="shared" si="12"/>
        <v>240000</v>
      </c>
      <c r="L788">
        <f>Sales_Data2[[#This Row],[Unit Price]]*Sales_Data2[[#This Row],[Quantity]]</f>
        <v>3000000</v>
      </c>
      <c r="M788">
        <f>Sales_Data2[[#This Row],[Cost Price]]*Sales_Data2[[#This Row],[Quantity]]</f>
        <v>2400000</v>
      </c>
      <c r="N788" s="3">
        <f>Sales_Data2[[#This Row],[Revenue]]-Sales_Data2[[#This Row],[COGS]]</f>
        <v>600000</v>
      </c>
      <c r="O7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46462|West|Lagos|Retail|Store|Desktop PC D21|Electronics|300000|10|Grace|240000</v>
      </c>
      <c r="P788" s="3" t="str">
        <f>IF(COUNTIF(Sales_Data2[RowKey],Sales_Data2[[#This Row],[RowKey]])&gt;1,"Duplicate","Unique")</f>
        <v>Unique</v>
      </c>
      <c r="Q788" s="3" t="str">
        <f>IF(ISNUMBER(Sales_Data2[[#This Row],[Date]]),"OK","Check")</f>
        <v>OK</v>
      </c>
      <c r="R788" s="3" t="str">
        <f>IF(ISNUMBER(Sales_Data2[[#This Row],[Quantity]]),"OK","Check")</f>
        <v>OK</v>
      </c>
    </row>
    <row r="789" spans="1:18">
      <c r="A789" s="1">
        <v>46463</v>
      </c>
      <c r="B789" t="s">
        <v>18</v>
      </c>
      <c r="C789" t="s">
        <v>12</v>
      </c>
      <c r="D789" t="s">
        <v>13</v>
      </c>
      <c r="E789" t="s">
        <v>14</v>
      </c>
      <c r="F789" t="s">
        <v>38</v>
      </c>
      <c r="G789" t="s">
        <v>31</v>
      </c>
      <c r="H789">
        <v>420000</v>
      </c>
      <c r="I789">
        <v>8</v>
      </c>
      <c r="J789" t="s">
        <v>39</v>
      </c>
      <c r="K789">
        <f t="shared" si="12"/>
        <v>336000</v>
      </c>
      <c r="L789">
        <f>Sales_Data2[[#This Row],[Unit Price]]*Sales_Data2[[#This Row],[Quantity]]</f>
        <v>3360000</v>
      </c>
      <c r="M789">
        <f>Sales_Data2[[#This Row],[Cost Price]]*Sales_Data2[[#This Row],[Quantity]]</f>
        <v>2688000</v>
      </c>
      <c r="N789" s="3">
        <f>Sales_Data2[[#This Row],[Revenue]]-Sales_Data2[[#This Row],[COGS]]</f>
        <v>672000</v>
      </c>
      <c r="O7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46463|East|Port Harcourt|Retail|Online|Laptop A13|Electronics|420000|8|Grace|336000</v>
      </c>
      <c r="P789" s="3" t="str">
        <f>IF(COUNTIF(Sales_Data2[RowKey],Sales_Data2[[#This Row],[RowKey]])&gt;1,"Duplicate","Unique")</f>
        <v>Unique</v>
      </c>
      <c r="Q789" s="3" t="str">
        <f>IF(ISNUMBER(Sales_Data2[[#This Row],[Date]]),"OK","Check")</f>
        <v>OK</v>
      </c>
      <c r="R789" s="3" t="str">
        <f>IF(ISNUMBER(Sales_Data2[[#This Row],[Quantity]]),"OK","Check")</f>
        <v>OK</v>
      </c>
    </row>
    <row r="790" spans="1:18">
      <c r="A790" s="1">
        <v>46464</v>
      </c>
      <c r="B790" t="s">
        <v>11</v>
      </c>
      <c r="C790" t="s">
        <v>26</v>
      </c>
      <c r="D790" t="s">
        <v>23</v>
      </c>
      <c r="E790" t="s">
        <v>20</v>
      </c>
      <c r="F790" t="s">
        <v>41</v>
      </c>
      <c r="G790" t="s">
        <v>22</v>
      </c>
      <c r="H790">
        <v>220000</v>
      </c>
      <c r="I790">
        <v>2</v>
      </c>
      <c r="J790" t="s">
        <v>28</v>
      </c>
      <c r="K790">
        <f t="shared" si="12"/>
        <v>176000</v>
      </c>
      <c r="L790">
        <f>Sales_Data2[[#This Row],[Unit Price]]*Sales_Data2[[#This Row],[Quantity]]</f>
        <v>440000</v>
      </c>
      <c r="M790">
        <f>Sales_Data2[[#This Row],[Cost Price]]*Sales_Data2[[#This Row],[Quantity]]</f>
        <v>352000</v>
      </c>
      <c r="N790" s="3">
        <f>Sales_Data2[[#This Row],[Revenue]]-Sales_Data2[[#This Row],[COGS]]</f>
        <v>88000</v>
      </c>
      <c r="O7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46464|West|Kano|Corporate|Store|Refrigerator R55|Home Appliances|220000|2|Musa|176000</v>
      </c>
      <c r="P790" s="3" t="str">
        <f>IF(COUNTIF(Sales_Data2[RowKey],Sales_Data2[[#This Row],[RowKey]])&gt;1,"Duplicate","Unique")</f>
        <v>Unique</v>
      </c>
      <c r="Q790" s="3" t="str">
        <f>IF(ISNUMBER(Sales_Data2[[#This Row],[Date]]),"OK","Check")</f>
        <v>OK</v>
      </c>
      <c r="R790" s="3" t="str">
        <f>IF(ISNUMBER(Sales_Data2[[#This Row],[Quantity]]),"OK","Check")</f>
        <v>OK</v>
      </c>
    </row>
    <row r="791" spans="1:18">
      <c r="A791" s="1">
        <v>46465</v>
      </c>
      <c r="B791" t="s">
        <v>11</v>
      </c>
      <c r="C791" t="s">
        <v>32</v>
      </c>
      <c r="D791" t="s">
        <v>13</v>
      </c>
      <c r="E791" t="s">
        <v>14</v>
      </c>
      <c r="F791" t="s">
        <v>36</v>
      </c>
      <c r="G791" t="s">
        <v>31</v>
      </c>
      <c r="H791">
        <v>150000</v>
      </c>
      <c r="I791">
        <v>4</v>
      </c>
      <c r="J791" t="s">
        <v>17</v>
      </c>
      <c r="K791">
        <f t="shared" si="12"/>
        <v>120000</v>
      </c>
      <c r="L791">
        <f>Sales_Data2[[#This Row],[Unit Price]]*Sales_Data2[[#This Row],[Quantity]]</f>
        <v>600000</v>
      </c>
      <c r="M791">
        <f>Sales_Data2[[#This Row],[Cost Price]]*Sales_Data2[[#This Row],[Quantity]]</f>
        <v>480000</v>
      </c>
      <c r="N791" s="3">
        <f>Sales_Data2[[#This Row],[Revenue]]-Sales_Data2[[#This Row],[COGS]]</f>
        <v>120000</v>
      </c>
      <c r="O7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46465|West|Abuja|Retail|Online|Printer P50|Electronics|150000|4|Chidinma|120000</v>
      </c>
      <c r="P791" s="3" t="str">
        <f>IF(COUNTIF(Sales_Data2[RowKey],Sales_Data2[[#This Row],[RowKey]])&gt;1,"Duplicate","Unique")</f>
        <v>Unique</v>
      </c>
      <c r="Q791" s="3" t="str">
        <f>IF(ISNUMBER(Sales_Data2[[#This Row],[Date]]),"OK","Check")</f>
        <v>OK</v>
      </c>
      <c r="R791" s="3" t="str">
        <f>IF(ISNUMBER(Sales_Data2[[#This Row],[Quantity]]),"OK","Check")</f>
        <v>OK</v>
      </c>
    </row>
    <row r="792" spans="1:18">
      <c r="A792" s="1">
        <v>46466</v>
      </c>
      <c r="B792" t="s">
        <v>11</v>
      </c>
      <c r="C792" t="s">
        <v>19</v>
      </c>
      <c r="D792" t="s">
        <v>13</v>
      </c>
      <c r="E792" t="s">
        <v>14</v>
      </c>
      <c r="F792" t="s">
        <v>21</v>
      </c>
      <c r="G792" t="s">
        <v>22</v>
      </c>
      <c r="H792">
        <v>30000</v>
      </c>
      <c r="I792">
        <v>8</v>
      </c>
      <c r="J792" t="s">
        <v>35</v>
      </c>
      <c r="K792">
        <f t="shared" si="12"/>
        <v>24000</v>
      </c>
      <c r="L792">
        <f>Sales_Data2[[#This Row],[Unit Price]]*Sales_Data2[[#This Row],[Quantity]]</f>
        <v>240000</v>
      </c>
      <c r="M792">
        <f>Sales_Data2[[#This Row],[Cost Price]]*Sales_Data2[[#This Row],[Quantity]]</f>
        <v>192000</v>
      </c>
      <c r="N792" s="3">
        <f>Sales_Data2[[#This Row],[Revenue]]-Sales_Data2[[#This Row],[COGS]]</f>
        <v>48000</v>
      </c>
      <c r="O7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46466|West|Lagos|Retail|Online|Blender B10|Home Appliances|30000|8|Peter|24000</v>
      </c>
      <c r="P792" s="3" t="str">
        <f>IF(COUNTIF(Sales_Data2[RowKey],Sales_Data2[[#This Row],[RowKey]])&gt;1,"Duplicate","Unique")</f>
        <v>Unique</v>
      </c>
      <c r="Q792" s="3" t="str">
        <f>IF(ISNUMBER(Sales_Data2[[#This Row],[Date]]),"OK","Check")</f>
        <v>OK</v>
      </c>
      <c r="R792" s="3" t="str">
        <f>IF(ISNUMBER(Sales_Data2[[#This Row],[Quantity]]),"OK","Check")</f>
        <v>OK</v>
      </c>
    </row>
    <row r="793" spans="1:18">
      <c r="A793" s="1">
        <v>46467</v>
      </c>
      <c r="B793" t="s">
        <v>11</v>
      </c>
      <c r="C793" t="s">
        <v>26</v>
      </c>
      <c r="D793" t="s">
        <v>23</v>
      </c>
      <c r="E793" t="s">
        <v>20</v>
      </c>
      <c r="F793" t="s">
        <v>38</v>
      </c>
      <c r="G793" t="s">
        <v>31</v>
      </c>
      <c r="H793">
        <v>420000</v>
      </c>
      <c r="I793">
        <v>3</v>
      </c>
      <c r="J793" t="s">
        <v>37</v>
      </c>
      <c r="K793">
        <f t="shared" si="12"/>
        <v>336000</v>
      </c>
      <c r="L793">
        <f>Sales_Data2[[#This Row],[Unit Price]]*Sales_Data2[[#This Row],[Quantity]]</f>
        <v>1260000</v>
      </c>
      <c r="M793">
        <f>Sales_Data2[[#This Row],[Cost Price]]*Sales_Data2[[#This Row],[Quantity]]</f>
        <v>1008000</v>
      </c>
      <c r="N793" s="3">
        <f>Sales_Data2[[#This Row],[Revenue]]-Sales_Data2[[#This Row],[COGS]]</f>
        <v>252000</v>
      </c>
      <c r="O7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46467|West|Kano|Corporate|Store|Laptop A13|Electronics|420000|3|Aisha|336000</v>
      </c>
      <c r="P793" s="3" t="str">
        <f>IF(COUNTIF(Sales_Data2[RowKey],Sales_Data2[[#This Row],[RowKey]])&gt;1,"Duplicate","Unique")</f>
        <v>Unique</v>
      </c>
      <c r="Q793" s="3" t="str">
        <f>IF(ISNUMBER(Sales_Data2[[#This Row],[Date]]),"OK","Check")</f>
        <v>OK</v>
      </c>
      <c r="R793" s="3" t="str">
        <f>IF(ISNUMBER(Sales_Data2[[#This Row],[Quantity]]),"OK","Check")</f>
        <v>OK</v>
      </c>
    </row>
    <row r="794" spans="1:18">
      <c r="A794" s="1">
        <v>46468</v>
      </c>
      <c r="B794" t="s">
        <v>11</v>
      </c>
      <c r="C794" t="s">
        <v>12</v>
      </c>
      <c r="D794" t="s">
        <v>23</v>
      </c>
      <c r="E794" t="s">
        <v>20</v>
      </c>
      <c r="F794" t="s">
        <v>30</v>
      </c>
      <c r="G794" t="s">
        <v>31</v>
      </c>
      <c r="H794">
        <v>300000</v>
      </c>
      <c r="I794">
        <v>4</v>
      </c>
      <c r="J794" t="s">
        <v>39</v>
      </c>
      <c r="K794">
        <f t="shared" si="12"/>
        <v>240000</v>
      </c>
      <c r="L794">
        <f>Sales_Data2[[#This Row],[Unit Price]]*Sales_Data2[[#This Row],[Quantity]]</f>
        <v>1200000</v>
      </c>
      <c r="M794">
        <f>Sales_Data2[[#This Row],[Cost Price]]*Sales_Data2[[#This Row],[Quantity]]</f>
        <v>960000</v>
      </c>
      <c r="N794" s="3">
        <f>Sales_Data2[[#This Row],[Revenue]]-Sales_Data2[[#This Row],[COGS]]</f>
        <v>240000</v>
      </c>
      <c r="O7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46468|West|Port Harcourt|Corporate|Store|Desktop PC D21|Electronics|300000|4|Grace|240000</v>
      </c>
      <c r="P794" s="3" t="str">
        <f>IF(COUNTIF(Sales_Data2[RowKey],Sales_Data2[[#This Row],[RowKey]])&gt;1,"Duplicate","Unique")</f>
        <v>Unique</v>
      </c>
      <c r="Q794" s="3" t="str">
        <f>IF(ISNUMBER(Sales_Data2[[#This Row],[Date]]),"OK","Check")</f>
        <v>OK</v>
      </c>
      <c r="R794" s="3" t="str">
        <f>IF(ISNUMBER(Sales_Data2[[#This Row],[Quantity]]),"OK","Check")</f>
        <v>OK</v>
      </c>
    </row>
    <row r="795" spans="1:18">
      <c r="A795" s="1">
        <v>46469</v>
      </c>
      <c r="B795" t="s">
        <v>11</v>
      </c>
      <c r="C795" t="s">
        <v>19</v>
      </c>
      <c r="D795" t="s">
        <v>13</v>
      </c>
      <c r="E795" t="s">
        <v>14</v>
      </c>
      <c r="F795" t="s">
        <v>40</v>
      </c>
      <c r="G795" t="s">
        <v>31</v>
      </c>
      <c r="H795">
        <v>250000</v>
      </c>
      <c r="I795">
        <v>6</v>
      </c>
      <c r="J795" t="s">
        <v>24</v>
      </c>
      <c r="K795">
        <f t="shared" si="12"/>
        <v>200000</v>
      </c>
      <c r="L795">
        <f>Sales_Data2[[#This Row],[Unit Price]]*Sales_Data2[[#This Row],[Quantity]]</f>
        <v>1500000</v>
      </c>
      <c r="M795">
        <f>Sales_Data2[[#This Row],[Cost Price]]*Sales_Data2[[#This Row],[Quantity]]</f>
        <v>1200000</v>
      </c>
      <c r="N795" s="3">
        <f>Sales_Data2[[#This Row],[Revenue]]-Sales_Data2[[#This Row],[COGS]]</f>
        <v>300000</v>
      </c>
      <c r="O7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46469|West|Lagos|Retail|Online|Smartphone Z10|Electronics|250000|6|David|200000</v>
      </c>
      <c r="P795" s="3" t="str">
        <f>IF(COUNTIF(Sales_Data2[RowKey],Sales_Data2[[#This Row],[RowKey]])&gt;1,"Duplicate","Unique")</f>
        <v>Unique</v>
      </c>
      <c r="Q795" s="3" t="str">
        <f>IF(ISNUMBER(Sales_Data2[[#This Row],[Date]]),"OK","Check")</f>
        <v>OK</v>
      </c>
      <c r="R795" s="3" t="str">
        <f>IF(ISNUMBER(Sales_Data2[[#This Row],[Quantity]]),"OK","Check")</f>
        <v>OK</v>
      </c>
    </row>
    <row r="796" spans="1:18">
      <c r="A796" s="1">
        <v>46470</v>
      </c>
      <c r="B796" t="s">
        <v>11</v>
      </c>
      <c r="C796" t="s">
        <v>26</v>
      </c>
      <c r="D796" t="s">
        <v>23</v>
      </c>
      <c r="E796" t="s">
        <v>20</v>
      </c>
      <c r="F796" t="s">
        <v>34</v>
      </c>
      <c r="G796" t="s">
        <v>16</v>
      </c>
      <c r="H796">
        <v>320000</v>
      </c>
      <c r="I796">
        <v>6</v>
      </c>
      <c r="J796" t="s">
        <v>35</v>
      </c>
      <c r="K796">
        <f t="shared" si="12"/>
        <v>256000</v>
      </c>
      <c r="L796">
        <f>Sales_Data2[[#This Row],[Unit Price]]*Sales_Data2[[#This Row],[Quantity]]</f>
        <v>1920000</v>
      </c>
      <c r="M796">
        <f>Sales_Data2[[#This Row],[Cost Price]]*Sales_Data2[[#This Row],[Quantity]]</f>
        <v>1536000</v>
      </c>
      <c r="N796" s="3">
        <f>Sales_Data2[[#This Row],[Revenue]]-Sales_Data2[[#This Row],[COGS]]</f>
        <v>384000</v>
      </c>
      <c r="O7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46470|West|Kano|Corporate|Store|Sofa Classic|Furniture|320000|6|Peter|256000</v>
      </c>
      <c r="P796" s="3" t="str">
        <f>IF(COUNTIF(Sales_Data2[RowKey],Sales_Data2[[#This Row],[RowKey]])&gt;1,"Duplicate","Unique")</f>
        <v>Unique</v>
      </c>
      <c r="Q796" s="3" t="str">
        <f>IF(ISNUMBER(Sales_Data2[[#This Row],[Date]]),"OK","Check")</f>
        <v>OK</v>
      </c>
      <c r="R796" s="3" t="str">
        <f>IF(ISNUMBER(Sales_Data2[[#This Row],[Quantity]]),"OK","Check")</f>
        <v>OK</v>
      </c>
    </row>
    <row r="797" spans="1:18">
      <c r="A797" s="1">
        <v>46471</v>
      </c>
      <c r="B797" t="s">
        <v>11</v>
      </c>
      <c r="C797" t="s">
        <v>26</v>
      </c>
      <c r="D797" t="s">
        <v>13</v>
      </c>
      <c r="E797" t="s">
        <v>14</v>
      </c>
      <c r="F797" t="s">
        <v>33</v>
      </c>
      <c r="G797" t="s">
        <v>22</v>
      </c>
      <c r="H797">
        <v>180000</v>
      </c>
      <c r="I797">
        <v>5</v>
      </c>
      <c r="J797" t="s">
        <v>35</v>
      </c>
      <c r="K797">
        <f t="shared" si="12"/>
        <v>144000</v>
      </c>
      <c r="L797">
        <f>Sales_Data2[[#This Row],[Unit Price]]*Sales_Data2[[#This Row],[Quantity]]</f>
        <v>900000</v>
      </c>
      <c r="M797">
        <f>Sales_Data2[[#This Row],[Cost Price]]*Sales_Data2[[#This Row],[Quantity]]</f>
        <v>720000</v>
      </c>
      <c r="N797" s="3">
        <f>Sales_Data2[[#This Row],[Revenue]]-Sales_Data2[[#This Row],[COGS]]</f>
        <v>180000</v>
      </c>
      <c r="O7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46471|West|Kano|Retail|Online|Air Conditioner X2|Home Appliances|180000|5|Peter|144000</v>
      </c>
      <c r="P797" s="3" t="str">
        <f>IF(COUNTIF(Sales_Data2[RowKey],Sales_Data2[[#This Row],[RowKey]])&gt;1,"Duplicate","Unique")</f>
        <v>Unique</v>
      </c>
      <c r="Q797" s="3" t="str">
        <f>IF(ISNUMBER(Sales_Data2[[#This Row],[Date]]),"OK","Check")</f>
        <v>OK</v>
      </c>
      <c r="R797" s="3" t="str">
        <f>IF(ISNUMBER(Sales_Data2[[#This Row],[Quantity]]),"OK","Check")</f>
        <v>OK</v>
      </c>
    </row>
    <row r="798" spans="1:18">
      <c r="A798" s="1">
        <v>46472</v>
      </c>
      <c r="B798" t="s">
        <v>11</v>
      </c>
      <c r="C798" t="s">
        <v>12</v>
      </c>
      <c r="D798" t="s">
        <v>13</v>
      </c>
      <c r="E798" t="s">
        <v>14</v>
      </c>
      <c r="F798" t="s">
        <v>36</v>
      </c>
      <c r="G798" t="s">
        <v>31</v>
      </c>
      <c r="H798">
        <v>150000</v>
      </c>
      <c r="I798">
        <v>1</v>
      </c>
      <c r="J798" t="s">
        <v>28</v>
      </c>
      <c r="K798">
        <f t="shared" si="12"/>
        <v>120000</v>
      </c>
      <c r="L798">
        <f>Sales_Data2[[#This Row],[Unit Price]]*Sales_Data2[[#This Row],[Quantity]]</f>
        <v>150000</v>
      </c>
      <c r="M798">
        <f>Sales_Data2[[#This Row],[Cost Price]]*Sales_Data2[[#This Row],[Quantity]]</f>
        <v>120000</v>
      </c>
      <c r="N798" s="3">
        <f>Sales_Data2[[#This Row],[Revenue]]-Sales_Data2[[#This Row],[COGS]]</f>
        <v>30000</v>
      </c>
      <c r="O7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46472|West|Port Harcourt|Retail|Online|Printer P50|Electronics|150000|1|Musa|120000</v>
      </c>
      <c r="P798" s="3" t="str">
        <f>IF(COUNTIF(Sales_Data2[RowKey],Sales_Data2[[#This Row],[RowKey]])&gt;1,"Duplicate","Unique")</f>
        <v>Unique</v>
      </c>
      <c r="Q798" s="3" t="str">
        <f>IF(ISNUMBER(Sales_Data2[[#This Row],[Date]]),"OK","Check")</f>
        <v>OK</v>
      </c>
      <c r="R798" s="3" t="str">
        <f>IF(ISNUMBER(Sales_Data2[[#This Row],[Quantity]]),"OK","Check")</f>
        <v>OK</v>
      </c>
    </row>
    <row r="799" spans="1:18">
      <c r="A799" s="1">
        <v>46473</v>
      </c>
      <c r="B799" t="s">
        <v>11</v>
      </c>
      <c r="C799" t="s">
        <v>12</v>
      </c>
      <c r="D799" t="s">
        <v>13</v>
      </c>
      <c r="E799" t="s">
        <v>20</v>
      </c>
      <c r="F799" t="s">
        <v>27</v>
      </c>
      <c r="G799" t="s">
        <v>22</v>
      </c>
      <c r="H799">
        <v>60000</v>
      </c>
      <c r="I799">
        <v>3</v>
      </c>
      <c r="J799" t="s">
        <v>39</v>
      </c>
      <c r="K799">
        <f t="shared" si="12"/>
        <v>48000</v>
      </c>
      <c r="L799">
        <f>Sales_Data2[[#This Row],[Unit Price]]*Sales_Data2[[#This Row],[Quantity]]</f>
        <v>180000</v>
      </c>
      <c r="M799">
        <f>Sales_Data2[[#This Row],[Cost Price]]*Sales_Data2[[#This Row],[Quantity]]</f>
        <v>144000</v>
      </c>
      <c r="N799" s="3">
        <f>Sales_Data2[[#This Row],[Revenue]]-Sales_Data2[[#This Row],[COGS]]</f>
        <v>36000</v>
      </c>
      <c r="O7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46473|West|Port Harcourt|Retail|Store|Microwave M20|Home Appliances|60000|3|Grace|48000</v>
      </c>
      <c r="P799" s="3" t="str">
        <f>IF(COUNTIF(Sales_Data2[RowKey],Sales_Data2[[#This Row],[RowKey]])&gt;1,"Duplicate","Unique")</f>
        <v>Unique</v>
      </c>
      <c r="Q799" s="3" t="str">
        <f>IF(ISNUMBER(Sales_Data2[[#This Row],[Date]]),"OK","Check")</f>
        <v>OK</v>
      </c>
      <c r="R799" s="3" t="str">
        <f>IF(ISNUMBER(Sales_Data2[[#This Row],[Quantity]]),"OK","Check")</f>
        <v>OK</v>
      </c>
    </row>
    <row r="800" spans="1:18">
      <c r="A800" s="1">
        <v>46474</v>
      </c>
      <c r="B800" t="s">
        <v>18</v>
      </c>
      <c r="C800" t="s">
        <v>32</v>
      </c>
      <c r="D800" t="s">
        <v>23</v>
      </c>
      <c r="E800" t="s">
        <v>14</v>
      </c>
      <c r="F800" t="s">
        <v>15</v>
      </c>
      <c r="G800" t="s">
        <v>16</v>
      </c>
      <c r="H800">
        <v>85000</v>
      </c>
      <c r="I800">
        <v>10</v>
      </c>
      <c r="J800" t="s">
        <v>24</v>
      </c>
      <c r="K800">
        <f t="shared" si="12"/>
        <v>68000</v>
      </c>
      <c r="L800">
        <f>Sales_Data2[[#This Row],[Unit Price]]*Sales_Data2[[#This Row],[Quantity]]</f>
        <v>850000</v>
      </c>
      <c r="M800">
        <f>Sales_Data2[[#This Row],[Cost Price]]*Sales_Data2[[#This Row],[Quantity]]</f>
        <v>680000</v>
      </c>
      <c r="N800" s="3">
        <f>Sales_Data2[[#This Row],[Revenue]]-Sales_Data2[[#This Row],[COGS]]</f>
        <v>170000</v>
      </c>
      <c r="O8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46474|East|Abuja|Corporate|Online|Office Chair Pro|Furniture|85000|10|David|68000</v>
      </c>
      <c r="P800" s="3" t="str">
        <f>IF(COUNTIF(Sales_Data2[RowKey],Sales_Data2[[#This Row],[RowKey]])&gt;1,"Duplicate","Unique")</f>
        <v>Unique</v>
      </c>
      <c r="Q800" s="3" t="str">
        <f>IF(ISNUMBER(Sales_Data2[[#This Row],[Date]]),"OK","Check")</f>
        <v>OK</v>
      </c>
      <c r="R800" s="3" t="str">
        <f>IF(ISNUMBER(Sales_Data2[[#This Row],[Quantity]]),"OK","Check")</f>
        <v>OK</v>
      </c>
    </row>
    <row r="801" spans="1:18">
      <c r="A801" s="1">
        <v>46475</v>
      </c>
      <c r="B801" t="s">
        <v>11</v>
      </c>
      <c r="C801" t="s">
        <v>32</v>
      </c>
      <c r="D801" t="s">
        <v>23</v>
      </c>
      <c r="E801" t="s">
        <v>20</v>
      </c>
      <c r="F801" t="s">
        <v>36</v>
      </c>
      <c r="G801" t="s">
        <v>31</v>
      </c>
      <c r="H801">
        <v>150000</v>
      </c>
      <c r="I801">
        <v>3</v>
      </c>
      <c r="J801" t="s">
        <v>37</v>
      </c>
      <c r="K801">
        <f t="shared" si="12"/>
        <v>120000</v>
      </c>
      <c r="L801">
        <f>Sales_Data2[[#This Row],[Unit Price]]*Sales_Data2[[#This Row],[Quantity]]</f>
        <v>450000</v>
      </c>
      <c r="M801">
        <f>Sales_Data2[[#This Row],[Cost Price]]*Sales_Data2[[#This Row],[Quantity]]</f>
        <v>360000</v>
      </c>
      <c r="N801" s="3">
        <f>Sales_Data2[[#This Row],[Revenue]]-Sales_Data2[[#This Row],[COGS]]</f>
        <v>90000</v>
      </c>
      <c r="O8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46475|West|Abuja|Corporate|Store|Printer P50|Electronics|150000|3|Aisha|120000</v>
      </c>
      <c r="P801" s="3" t="str">
        <f>IF(COUNTIF(Sales_Data2[RowKey],Sales_Data2[[#This Row],[RowKey]])&gt;1,"Duplicate","Unique")</f>
        <v>Unique</v>
      </c>
      <c r="Q801" s="3" t="str">
        <f>IF(ISNUMBER(Sales_Data2[[#This Row],[Date]]),"OK","Check")</f>
        <v>OK</v>
      </c>
      <c r="R801" s="3" t="str">
        <f>IF(ISNUMBER(Sales_Data2[[#This Row],[Quantity]]),"OK","Check")</f>
        <v>OK</v>
      </c>
    </row>
    <row r="802" spans="1:18">
      <c r="A802" s="1">
        <v>46476</v>
      </c>
      <c r="B802" t="s">
        <v>25</v>
      </c>
      <c r="C802" t="s">
        <v>12</v>
      </c>
      <c r="D802" t="s">
        <v>23</v>
      </c>
      <c r="E802" t="s">
        <v>20</v>
      </c>
      <c r="F802" t="s">
        <v>38</v>
      </c>
      <c r="G802" t="s">
        <v>31</v>
      </c>
      <c r="H802">
        <v>420000</v>
      </c>
      <c r="I802">
        <v>9</v>
      </c>
      <c r="J802" t="s">
        <v>37</v>
      </c>
      <c r="K802">
        <f t="shared" si="12"/>
        <v>336000</v>
      </c>
      <c r="L802">
        <f>Sales_Data2[[#This Row],[Unit Price]]*Sales_Data2[[#This Row],[Quantity]]</f>
        <v>3780000</v>
      </c>
      <c r="M802">
        <f>Sales_Data2[[#This Row],[Cost Price]]*Sales_Data2[[#This Row],[Quantity]]</f>
        <v>3024000</v>
      </c>
      <c r="N802" s="3">
        <f>Sales_Data2[[#This Row],[Revenue]]-Sales_Data2[[#This Row],[COGS]]</f>
        <v>756000</v>
      </c>
      <c r="O8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46476|South|Port Harcourt|Corporate|Store|Laptop A13|Electronics|420000|9|Aisha|336000</v>
      </c>
      <c r="P802" s="3" t="str">
        <f>IF(COUNTIF(Sales_Data2[RowKey],Sales_Data2[[#This Row],[RowKey]])&gt;1,"Duplicate","Unique")</f>
        <v>Unique</v>
      </c>
      <c r="Q802" s="3" t="str">
        <f>IF(ISNUMBER(Sales_Data2[[#This Row],[Date]]),"OK","Check")</f>
        <v>OK</v>
      </c>
      <c r="R802" s="3" t="str">
        <f>IF(ISNUMBER(Sales_Data2[[#This Row],[Quantity]]),"OK","Check")</f>
        <v>OK</v>
      </c>
    </row>
    <row r="803" spans="1:18">
      <c r="A803" s="1">
        <v>46477</v>
      </c>
      <c r="B803" t="s">
        <v>25</v>
      </c>
      <c r="C803" t="s">
        <v>32</v>
      </c>
      <c r="D803" t="s">
        <v>13</v>
      </c>
      <c r="E803" t="s">
        <v>20</v>
      </c>
      <c r="F803" t="s">
        <v>41</v>
      </c>
      <c r="G803" t="s">
        <v>22</v>
      </c>
      <c r="H803">
        <v>220000</v>
      </c>
      <c r="I803">
        <v>1</v>
      </c>
      <c r="J803" t="s">
        <v>35</v>
      </c>
      <c r="K803">
        <f t="shared" si="12"/>
        <v>176000</v>
      </c>
      <c r="L803">
        <f>Sales_Data2[[#This Row],[Unit Price]]*Sales_Data2[[#This Row],[Quantity]]</f>
        <v>220000</v>
      </c>
      <c r="M803">
        <f>Sales_Data2[[#This Row],[Cost Price]]*Sales_Data2[[#This Row],[Quantity]]</f>
        <v>176000</v>
      </c>
      <c r="N803" s="3">
        <f>Sales_Data2[[#This Row],[Revenue]]-Sales_Data2[[#This Row],[COGS]]</f>
        <v>44000</v>
      </c>
      <c r="O8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46477|South|Abuja|Retail|Store|Refrigerator R55|Home Appliances|220000|1|Peter|176000</v>
      </c>
      <c r="P803" s="3" t="str">
        <f>IF(COUNTIF(Sales_Data2[RowKey],Sales_Data2[[#This Row],[RowKey]])&gt;1,"Duplicate","Unique")</f>
        <v>Unique</v>
      </c>
      <c r="Q803" s="3" t="str">
        <f>IF(ISNUMBER(Sales_Data2[[#This Row],[Date]]),"OK","Check")</f>
        <v>OK</v>
      </c>
      <c r="R803" s="3" t="str">
        <f>IF(ISNUMBER(Sales_Data2[[#This Row],[Quantity]]),"OK","Check")</f>
        <v>OK</v>
      </c>
    </row>
    <row r="804" spans="1:18">
      <c r="A804" s="1">
        <v>46478</v>
      </c>
      <c r="B804" t="s">
        <v>18</v>
      </c>
      <c r="C804" t="s">
        <v>32</v>
      </c>
      <c r="D804" t="s">
        <v>23</v>
      </c>
      <c r="E804" t="s">
        <v>14</v>
      </c>
      <c r="F804" t="s">
        <v>15</v>
      </c>
      <c r="G804" t="s">
        <v>16</v>
      </c>
      <c r="H804">
        <v>85000</v>
      </c>
      <c r="I804">
        <v>4</v>
      </c>
      <c r="J804" t="s">
        <v>24</v>
      </c>
      <c r="K804">
        <f t="shared" si="12"/>
        <v>68000</v>
      </c>
      <c r="L804">
        <f>Sales_Data2[[#This Row],[Unit Price]]*Sales_Data2[[#This Row],[Quantity]]</f>
        <v>340000</v>
      </c>
      <c r="M804">
        <f>Sales_Data2[[#This Row],[Cost Price]]*Sales_Data2[[#This Row],[Quantity]]</f>
        <v>272000</v>
      </c>
      <c r="N804" s="3">
        <f>Sales_Data2[[#This Row],[Revenue]]-Sales_Data2[[#This Row],[COGS]]</f>
        <v>68000</v>
      </c>
      <c r="O8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46478|East|Abuja|Corporate|Online|Office Chair Pro|Furniture|85000|4|David|68000</v>
      </c>
      <c r="P804" s="3" t="str">
        <f>IF(COUNTIF(Sales_Data2[RowKey],Sales_Data2[[#This Row],[RowKey]])&gt;1,"Duplicate","Unique")</f>
        <v>Unique</v>
      </c>
      <c r="Q804" s="3" t="str">
        <f>IF(ISNUMBER(Sales_Data2[[#This Row],[Date]]),"OK","Check")</f>
        <v>OK</v>
      </c>
      <c r="R804" s="3" t="str">
        <f>IF(ISNUMBER(Sales_Data2[[#This Row],[Quantity]]),"OK","Check")</f>
        <v>OK</v>
      </c>
    </row>
    <row r="805" spans="1:18">
      <c r="A805" s="1">
        <v>46479</v>
      </c>
      <c r="B805" t="s">
        <v>11</v>
      </c>
      <c r="C805" t="s">
        <v>12</v>
      </c>
      <c r="D805" t="s">
        <v>13</v>
      </c>
      <c r="E805" t="s">
        <v>14</v>
      </c>
      <c r="F805" t="s">
        <v>38</v>
      </c>
      <c r="G805" t="s">
        <v>31</v>
      </c>
      <c r="H805">
        <v>420000</v>
      </c>
      <c r="I805">
        <v>6</v>
      </c>
      <c r="J805" t="s">
        <v>37</v>
      </c>
      <c r="K805">
        <f t="shared" si="12"/>
        <v>336000</v>
      </c>
      <c r="L805">
        <f>Sales_Data2[[#This Row],[Unit Price]]*Sales_Data2[[#This Row],[Quantity]]</f>
        <v>2520000</v>
      </c>
      <c r="M805">
        <f>Sales_Data2[[#This Row],[Cost Price]]*Sales_Data2[[#This Row],[Quantity]]</f>
        <v>2016000</v>
      </c>
      <c r="N805" s="3">
        <f>Sales_Data2[[#This Row],[Revenue]]-Sales_Data2[[#This Row],[COGS]]</f>
        <v>504000</v>
      </c>
      <c r="O8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46479|West|Port Harcourt|Retail|Online|Laptop A13|Electronics|420000|6|Aisha|336000</v>
      </c>
      <c r="P805" s="3" t="str">
        <f>IF(COUNTIF(Sales_Data2[RowKey],Sales_Data2[[#This Row],[RowKey]])&gt;1,"Duplicate","Unique")</f>
        <v>Unique</v>
      </c>
      <c r="Q805" s="3" t="str">
        <f>IF(ISNUMBER(Sales_Data2[[#This Row],[Date]]),"OK","Check")</f>
        <v>OK</v>
      </c>
      <c r="R805" s="3" t="str">
        <f>IF(ISNUMBER(Sales_Data2[[#This Row],[Quantity]]),"OK","Check")</f>
        <v>OK</v>
      </c>
    </row>
    <row r="806" spans="1:18">
      <c r="A806" s="1">
        <v>46480</v>
      </c>
      <c r="B806" t="s">
        <v>29</v>
      </c>
      <c r="C806" t="s">
        <v>32</v>
      </c>
      <c r="D806" t="s">
        <v>23</v>
      </c>
      <c r="E806" t="s">
        <v>14</v>
      </c>
      <c r="F806" t="s">
        <v>38</v>
      </c>
      <c r="G806" t="s">
        <v>31</v>
      </c>
      <c r="H806">
        <v>420000</v>
      </c>
      <c r="I806">
        <v>6</v>
      </c>
      <c r="J806" t="s">
        <v>28</v>
      </c>
      <c r="K806">
        <f t="shared" si="12"/>
        <v>336000</v>
      </c>
      <c r="L806">
        <f>Sales_Data2[[#This Row],[Unit Price]]*Sales_Data2[[#This Row],[Quantity]]</f>
        <v>2520000</v>
      </c>
      <c r="M806">
        <f>Sales_Data2[[#This Row],[Cost Price]]*Sales_Data2[[#This Row],[Quantity]]</f>
        <v>2016000</v>
      </c>
      <c r="N806" s="3">
        <f>Sales_Data2[[#This Row],[Revenue]]-Sales_Data2[[#This Row],[COGS]]</f>
        <v>504000</v>
      </c>
      <c r="O8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46480|North|Abuja|Corporate|Online|Laptop A13|Electronics|420000|6|Musa|336000</v>
      </c>
      <c r="P806" s="3" t="str">
        <f>IF(COUNTIF(Sales_Data2[RowKey],Sales_Data2[[#This Row],[RowKey]])&gt;1,"Duplicate","Unique")</f>
        <v>Unique</v>
      </c>
      <c r="Q806" s="3" t="str">
        <f>IF(ISNUMBER(Sales_Data2[[#This Row],[Date]]),"OK","Check")</f>
        <v>OK</v>
      </c>
      <c r="R806" s="3" t="str">
        <f>IF(ISNUMBER(Sales_Data2[[#This Row],[Quantity]]),"OK","Check")</f>
        <v>OK</v>
      </c>
    </row>
    <row r="807" spans="1:18">
      <c r="A807" s="1">
        <v>46481</v>
      </c>
      <c r="B807" t="s">
        <v>18</v>
      </c>
      <c r="C807" t="s">
        <v>12</v>
      </c>
      <c r="D807" t="s">
        <v>13</v>
      </c>
      <c r="E807" t="s">
        <v>14</v>
      </c>
      <c r="F807" t="s">
        <v>30</v>
      </c>
      <c r="G807" t="s">
        <v>31</v>
      </c>
      <c r="H807">
        <v>300000</v>
      </c>
      <c r="I807">
        <v>10</v>
      </c>
      <c r="J807" t="s">
        <v>35</v>
      </c>
      <c r="K807">
        <f t="shared" si="12"/>
        <v>240000</v>
      </c>
      <c r="L807">
        <f>Sales_Data2[[#This Row],[Unit Price]]*Sales_Data2[[#This Row],[Quantity]]</f>
        <v>3000000</v>
      </c>
      <c r="M807">
        <f>Sales_Data2[[#This Row],[Cost Price]]*Sales_Data2[[#This Row],[Quantity]]</f>
        <v>2400000</v>
      </c>
      <c r="N807" s="3">
        <f>Sales_Data2[[#This Row],[Revenue]]-Sales_Data2[[#This Row],[COGS]]</f>
        <v>600000</v>
      </c>
      <c r="O8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46481|East|Port Harcourt|Retail|Online|Desktop PC D21|Electronics|300000|10|Peter|240000</v>
      </c>
      <c r="P807" s="3" t="str">
        <f>IF(COUNTIF(Sales_Data2[RowKey],Sales_Data2[[#This Row],[RowKey]])&gt;1,"Duplicate","Unique")</f>
        <v>Unique</v>
      </c>
      <c r="Q807" s="3" t="str">
        <f>IF(ISNUMBER(Sales_Data2[[#This Row],[Date]]),"OK","Check")</f>
        <v>OK</v>
      </c>
      <c r="R807" s="3" t="str">
        <f>IF(ISNUMBER(Sales_Data2[[#This Row],[Quantity]]),"OK","Check")</f>
        <v>OK</v>
      </c>
    </row>
    <row r="808" spans="1:18">
      <c r="A808" s="1">
        <v>46482</v>
      </c>
      <c r="B808" t="s">
        <v>25</v>
      </c>
      <c r="C808" t="s">
        <v>19</v>
      </c>
      <c r="D808" t="s">
        <v>13</v>
      </c>
      <c r="E808" t="s">
        <v>20</v>
      </c>
      <c r="F808" t="s">
        <v>41</v>
      </c>
      <c r="G808" t="s">
        <v>22</v>
      </c>
      <c r="H808">
        <v>220000</v>
      </c>
      <c r="I808">
        <v>4</v>
      </c>
      <c r="J808" t="s">
        <v>28</v>
      </c>
      <c r="K808">
        <f t="shared" si="12"/>
        <v>176000</v>
      </c>
      <c r="L808">
        <f>Sales_Data2[[#This Row],[Unit Price]]*Sales_Data2[[#This Row],[Quantity]]</f>
        <v>880000</v>
      </c>
      <c r="M808">
        <f>Sales_Data2[[#This Row],[Cost Price]]*Sales_Data2[[#This Row],[Quantity]]</f>
        <v>704000</v>
      </c>
      <c r="N808" s="3">
        <f>Sales_Data2[[#This Row],[Revenue]]-Sales_Data2[[#This Row],[COGS]]</f>
        <v>176000</v>
      </c>
      <c r="O8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46482|South|Lagos|Retail|Store|Refrigerator R55|Home Appliances|220000|4|Musa|176000</v>
      </c>
      <c r="P808" s="3" t="str">
        <f>IF(COUNTIF(Sales_Data2[RowKey],Sales_Data2[[#This Row],[RowKey]])&gt;1,"Duplicate","Unique")</f>
        <v>Unique</v>
      </c>
      <c r="Q808" s="3" t="str">
        <f>IF(ISNUMBER(Sales_Data2[[#This Row],[Date]]),"OK","Check")</f>
        <v>OK</v>
      </c>
      <c r="R808" s="3" t="str">
        <f>IF(ISNUMBER(Sales_Data2[[#This Row],[Quantity]]),"OK","Check")</f>
        <v>OK</v>
      </c>
    </row>
    <row r="809" spans="1:18">
      <c r="A809" s="1">
        <v>46483</v>
      </c>
      <c r="B809" t="s">
        <v>11</v>
      </c>
      <c r="C809" t="s">
        <v>32</v>
      </c>
      <c r="D809" t="s">
        <v>13</v>
      </c>
      <c r="E809" t="s">
        <v>20</v>
      </c>
      <c r="F809" t="s">
        <v>33</v>
      </c>
      <c r="G809" t="s">
        <v>22</v>
      </c>
      <c r="H809">
        <v>180000</v>
      </c>
      <c r="I809">
        <v>8</v>
      </c>
      <c r="J809" t="s">
        <v>37</v>
      </c>
      <c r="K809">
        <f t="shared" si="12"/>
        <v>144000</v>
      </c>
      <c r="L809">
        <f>Sales_Data2[[#This Row],[Unit Price]]*Sales_Data2[[#This Row],[Quantity]]</f>
        <v>1440000</v>
      </c>
      <c r="M809">
        <f>Sales_Data2[[#This Row],[Cost Price]]*Sales_Data2[[#This Row],[Quantity]]</f>
        <v>1152000</v>
      </c>
      <c r="N809" s="3">
        <f>Sales_Data2[[#This Row],[Revenue]]-Sales_Data2[[#This Row],[COGS]]</f>
        <v>288000</v>
      </c>
      <c r="O8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46483|West|Abuja|Retail|Store|Air Conditioner X2|Home Appliances|180000|8|Aisha|144000</v>
      </c>
      <c r="P809" s="3" t="str">
        <f>IF(COUNTIF(Sales_Data2[RowKey],Sales_Data2[[#This Row],[RowKey]])&gt;1,"Duplicate","Unique")</f>
        <v>Unique</v>
      </c>
      <c r="Q809" s="3" t="str">
        <f>IF(ISNUMBER(Sales_Data2[[#This Row],[Date]]),"OK","Check")</f>
        <v>OK</v>
      </c>
      <c r="R809" s="3" t="str">
        <f>IF(ISNUMBER(Sales_Data2[[#This Row],[Quantity]]),"OK","Check")</f>
        <v>OK</v>
      </c>
    </row>
    <row r="810" spans="1:18">
      <c r="A810" s="1">
        <v>46484</v>
      </c>
      <c r="B810" t="s">
        <v>11</v>
      </c>
      <c r="C810" t="s">
        <v>32</v>
      </c>
      <c r="D810" t="s">
        <v>13</v>
      </c>
      <c r="E810" t="s">
        <v>14</v>
      </c>
      <c r="F810" t="s">
        <v>40</v>
      </c>
      <c r="G810" t="s">
        <v>31</v>
      </c>
      <c r="H810">
        <v>250000</v>
      </c>
      <c r="I810">
        <v>3</v>
      </c>
      <c r="J810" t="s">
        <v>17</v>
      </c>
      <c r="K810">
        <f t="shared" si="12"/>
        <v>200000</v>
      </c>
      <c r="L810">
        <f>Sales_Data2[[#This Row],[Unit Price]]*Sales_Data2[[#This Row],[Quantity]]</f>
        <v>750000</v>
      </c>
      <c r="M810">
        <f>Sales_Data2[[#This Row],[Cost Price]]*Sales_Data2[[#This Row],[Quantity]]</f>
        <v>600000</v>
      </c>
      <c r="N810" s="3">
        <f>Sales_Data2[[#This Row],[Revenue]]-Sales_Data2[[#This Row],[COGS]]</f>
        <v>150000</v>
      </c>
      <c r="O8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46484|West|Abuja|Retail|Online|Smartphone Z10|Electronics|250000|3|Chidinma|200000</v>
      </c>
      <c r="P810" s="3" t="str">
        <f>IF(COUNTIF(Sales_Data2[RowKey],Sales_Data2[[#This Row],[RowKey]])&gt;1,"Duplicate","Unique")</f>
        <v>Unique</v>
      </c>
      <c r="Q810" s="3" t="str">
        <f>IF(ISNUMBER(Sales_Data2[[#This Row],[Date]]),"OK","Check")</f>
        <v>OK</v>
      </c>
      <c r="R810" s="3" t="str">
        <f>IF(ISNUMBER(Sales_Data2[[#This Row],[Quantity]]),"OK","Check")</f>
        <v>OK</v>
      </c>
    </row>
    <row r="811" spans="1:18">
      <c r="A811" s="1">
        <v>46485</v>
      </c>
      <c r="B811" t="s">
        <v>29</v>
      </c>
      <c r="C811" t="s">
        <v>26</v>
      </c>
      <c r="D811" t="s">
        <v>23</v>
      </c>
      <c r="E811" t="s">
        <v>14</v>
      </c>
      <c r="F811" t="s">
        <v>30</v>
      </c>
      <c r="G811" t="s">
        <v>31</v>
      </c>
      <c r="H811">
        <v>300000</v>
      </c>
      <c r="I811">
        <v>7</v>
      </c>
      <c r="J811" t="s">
        <v>17</v>
      </c>
      <c r="K811">
        <f t="shared" si="12"/>
        <v>240000</v>
      </c>
      <c r="L811">
        <f>Sales_Data2[[#This Row],[Unit Price]]*Sales_Data2[[#This Row],[Quantity]]</f>
        <v>2100000</v>
      </c>
      <c r="M811">
        <f>Sales_Data2[[#This Row],[Cost Price]]*Sales_Data2[[#This Row],[Quantity]]</f>
        <v>1680000</v>
      </c>
      <c r="N811" s="3">
        <f>Sales_Data2[[#This Row],[Revenue]]-Sales_Data2[[#This Row],[COGS]]</f>
        <v>420000</v>
      </c>
      <c r="O8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46485|North|Kano|Corporate|Online|Desktop PC D21|Electronics|300000|7|Chidinma|240000</v>
      </c>
      <c r="P811" s="3" t="str">
        <f>IF(COUNTIF(Sales_Data2[RowKey],Sales_Data2[[#This Row],[RowKey]])&gt;1,"Duplicate","Unique")</f>
        <v>Unique</v>
      </c>
      <c r="Q811" s="3" t="str">
        <f>IF(ISNUMBER(Sales_Data2[[#This Row],[Date]]),"OK","Check")</f>
        <v>OK</v>
      </c>
      <c r="R811" s="3" t="str">
        <f>IF(ISNUMBER(Sales_Data2[[#This Row],[Quantity]]),"OK","Check")</f>
        <v>OK</v>
      </c>
    </row>
    <row r="812" spans="1:18">
      <c r="A812" s="1">
        <v>46486</v>
      </c>
      <c r="B812" t="s">
        <v>29</v>
      </c>
      <c r="C812" t="s">
        <v>32</v>
      </c>
      <c r="D812" t="s">
        <v>13</v>
      </c>
      <c r="E812" t="s">
        <v>20</v>
      </c>
      <c r="F812" t="s">
        <v>30</v>
      </c>
      <c r="G812" t="s">
        <v>31</v>
      </c>
      <c r="H812">
        <v>300000</v>
      </c>
      <c r="I812">
        <v>7</v>
      </c>
      <c r="J812" t="s">
        <v>39</v>
      </c>
      <c r="K812">
        <f t="shared" si="12"/>
        <v>240000</v>
      </c>
      <c r="L812">
        <f>Sales_Data2[[#This Row],[Unit Price]]*Sales_Data2[[#This Row],[Quantity]]</f>
        <v>2100000</v>
      </c>
      <c r="M812">
        <f>Sales_Data2[[#This Row],[Cost Price]]*Sales_Data2[[#This Row],[Quantity]]</f>
        <v>1680000</v>
      </c>
      <c r="N812" s="3">
        <f>Sales_Data2[[#This Row],[Revenue]]-Sales_Data2[[#This Row],[COGS]]</f>
        <v>420000</v>
      </c>
      <c r="O8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46486|North|Abuja|Retail|Store|Desktop PC D21|Electronics|300000|7|Grace|240000</v>
      </c>
      <c r="P812" s="3" t="str">
        <f>IF(COUNTIF(Sales_Data2[RowKey],Sales_Data2[[#This Row],[RowKey]])&gt;1,"Duplicate","Unique")</f>
        <v>Unique</v>
      </c>
      <c r="Q812" s="3" t="str">
        <f>IF(ISNUMBER(Sales_Data2[[#This Row],[Date]]),"OK","Check")</f>
        <v>OK</v>
      </c>
      <c r="R812" s="3" t="str">
        <f>IF(ISNUMBER(Sales_Data2[[#This Row],[Quantity]]),"OK","Check")</f>
        <v>OK</v>
      </c>
    </row>
    <row r="813" spans="1:18">
      <c r="A813" s="1">
        <v>46487</v>
      </c>
      <c r="B813" t="s">
        <v>29</v>
      </c>
      <c r="C813" t="s">
        <v>32</v>
      </c>
      <c r="D813" t="s">
        <v>23</v>
      </c>
      <c r="E813" t="s">
        <v>20</v>
      </c>
      <c r="F813" t="s">
        <v>40</v>
      </c>
      <c r="G813" t="s">
        <v>31</v>
      </c>
      <c r="H813">
        <v>250000</v>
      </c>
      <c r="I813">
        <v>1</v>
      </c>
      <c r="J813" t="s">
        <v>37</v>
      </c>
      <c r="K813">
        <f t="shared" si="12"/>
        <v>200000</v>
      </c>
      <c r="L813">
        <f>Sales_Data2[[#This Row],[Unit Price]]*Sales_Data2[[#This Row],[Quantity]]</f>
        <v>250000</v>
      </c>
      <c r="M813">
        <f>Sales_Data2[[#This Row],[Cost Price]]*Sales_Data2[[#This Row],[Quantity]]</f>
        <v>200000</v>
      </c>
      <c r="N813" s="3">
        <f>Sales_Data2[[#This Row],[Revenue]]-Sales_Data2[[#This Row],[COGS]]</f>
        <v>50000</v>
      </c>
      <c r="O8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46487|North|Abuja|Corporate|Store|Smartphone Z10|Electronics|250000|1|Aisha|200000</v>
      </c>
      <c r="P813" s="3" t="str">
        <f>IF(COUNTIF(Sales_Data2[RowKey],Sales_Data2[[#This Row],[RowKey]])&gt;1,"Duplicate","Unique")</f>
        <v>Unique</v>
      </c>
      <c r="Q813" s="3" t="str">
        <f>IF(ISNUMBER(Sales_Data2[[#This Row],[Date]]),"OK","Check")</f>
        <v>OK</v>
      </c>
      <c r="R813" s="3" t="str">
        <f>IF(ISNUMBER(Sales_Data2[[#This Row],[Quantity]]),"OK","Check")</f>
        <v>OK</v>
      </c>
    </row>
    <row r="814" spans="1:18">
      <c r="A814" s="1">
        <v>46488</v>
      </c>
      <c r="B814" t="s">
        <v>11</v>
      </c>
      <c r="C814" t="s">
        <v>19</v>
      </c>
      <c r="D814" t="s">
        <v>23</v>
      </c>
      <c r="E814" t="s">
        <v>14</v>
      </c>
      <c r="F814" t="s">
        <v>30</v>
      </c>
      <c r="G814" t="s">
        <v>31</v>
      </c>
      <c r="H814">
        <v>300000</v>
      </c>
      <c r="I814">
        <v>3</v>
      </c>
      <c r="J814" t="s">
        <v>35</v>
      </c>
      <c r="K814">
        <f t="shared" si="12"/>
        <v>240000</v>
      </c>
      <c r="L814">
        <f>Sales_Data2[[#This Row],[Unit Price]]*Sales_Data2[[#This Row],[Quantity]]</f>
        <v>900000</v>
      </c>
      <c r="M814">
        <f>Sales_Data2[[#This Row],[Cost Price]]*Sales_Data2[[#This Row],[Quantity]]</f>
        <v>720000</v>
      </c>
      <c r="N814" s="3">
        <f>Sales_Data2[[#This Row],[Revenue]]-Sales_Data2[[#This Row],[COGS]]</f>
        <v>180000</v>
      </c>
      <c r="O8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46488|West|Lagos|Corporate|Online|Desktop PC D21|Electronics|300000|3|Peter|240000</v>
      </c>
      <c r="P814" s="3" t="str">
        <f>IF(COUNTIF(Sales_Data2[RowKey],Sales_Data2[[#This Row],[RowKey]])&gt;1,"Duplicate","Unique")</f>
        <v>Unique</v>
      </c>
      <c r="Q814" s="3" t="str">
        <f>IF(ISNUMBER(Sales_Data2[[#This Row],[Date]]),"OK","Check")</f>
        <v>OK</v>
      </c>
      <c r="R814" s="3" t="str">
        <f>IF(ISNUMBER(Sales_Data2[[#This Row],[Quantity]]),"OK","Check")</f>
        <v>OK</v>
      </c>
    </row>
    <row r="815" spans="1:18">
      <c r="A815" s="1">
        <v>46489</v>
      </c>
      <c r="B815" t="s">
        <v>25</v>
      </c>
      <c r="C815" t="s">
        <v>12</v>
      </c>
      <c r="D815" t="s">
        <v>13</v>
      </c>
      <c r="E815" t="s">
        <v>14</v>
      </c>
      <c r="F815" t="s">
        <v>38</v>
      </c>
      <c r="G815" t="s">
        <v>31</v>
      </c>
      <c r="H815">
        <v>420000</v>
      </c>
      <c r="I815">
        <v>10</v>
      </c>
      <c r="J815" t="s">
        <v>28</v>
      </c>
      <c r="K815">
        <f t="shared" si="12"/>
        <v>336000</v>
      </c>
      <c r="L815">
        <f>Sales_Data2[[#This Row],[Unit Price]]*Sales_Data2[[#This Row],[Quantity]]</f>
        <v>4200000</v>
      </c>
      <c r="M815">
        <f>Sales_Data2[[#This Row],[Cost Price]]*Sales_Data2[[#This Row],[Quantity]]</f>
        <v>3360000</v>
      </c>
      <c r="N815" s="3">
        <f>Sales_Data2[[#This Row],[Revenue]]-Sales_Data2[[#This Row],[COGS]]</f>
        <v>840000</v>
      </c>
      <c r="O8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46489|South|Port Harcourt|Retail|Online|Laptop A13|Electronics|420000|10|Musa|336000</v>
      </c>
      <c r="P815" s="3" t="str">
        <f>IF(COUNTIF(Sales_Data2[RowKey],Sales_Data2[[#This Row],[RowKey]])&gt;1,"Duplicate","Unique")</f>
        <v>Unique</v>
      </c>
      <c r="Q815" s="3" t="str">
        <f>IF(ISNUMBER(Sales_Data2[[#This Row],[Date]]),"OK","Check")</f>
        <v>OK</v>
      </c>
      <c r="R815" s="3" t="str">
        <f>IF(ISNUMBER(Sales_Data2[[#This Row],[Quantity]]),"OK","Check")</f>
        <v>OK</v>
      </c>
    </row>
    <row r="816" spans="1:18">
      <c r="A816" s="1">
        <v>46490</v>
      </c>
      <c r="B816" t="s">
        <v>29</v>
      </c>
      <c r="C816" t="s">
        <v>26</v>
      </c>
      <c r="D816" t="s">
        <v>23</v>
      </c>
      <c r="E816" t="s">
        <v>14</v>
      </c>
      <c r="F816" t="s">
        <v>27</v>
      </c>
      <c r="G816" t="s">
        <v>22</v>
      </c>
      <c r="H816">
        <v>60000</v>
      </c>
      <c r="I816">
        <v>9</v>
      </c>
      <c r="J816" t="s">
        <v>35</v>
      </c>
      <c r="K816">
        <f t="shared" si="12"/>
        <v>48000</v>
      </c>
      <c r="L816">
        <f>Sales_Data2[[#This Row],[Unit Price]]*Sales_Data2[[#This Row],[Quantity]]</f>
        <v>540000</v>
      </c>
      <c r="M816">
        <f>Sales_Data2[[#This Row],[Cost Price]]*Sales_Data2[[#This Row],[Quantity]]</f>
        <v>432000</v>
      </c>
      <c r="N816" s="3">
        <f>Sales_Data2[[#This Row],[Revenue]]-Sales_Data2[[#This Row],[COGS]]</f>
        <v>108000</v>
      </c>
      <c r="O8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46490|North|Kano|Corporate|Online|Microwave M20|Home Appliances|60000|9|Peter|48000</v>
      </c>
      <c r="P816" s="3" t="str">
        <f>IF(COUNTIF(Sales_Data2[RowKey],Sales_Data2[[#This Row],[RowKey]])&gt;1,"Duplicate","Unique")</f>
        <v>Unique</v>
      </c>
      <c r="Q816" s="3" t="str">
        <f>IF(ISNUMBER(Sales_Data2[[#This Row],[Date]]),"OK","Check")</f>
        <v>OK</v>
      </c>
      <c r="R816" s="3" t="str">
        <f>IF(ISNUMBER(Sales_Data2[[#This Row],[Quantity]]),"OK","Check")</f>
        <v>OK</v>
      </c>
    </row>
    <row r="817" spans="1:18">
      <c r="A817" s="1">
        <v>46491</v>
      </c>
      <c r="B817" t="s">
        <v>11</v>
      </c>
      <c r="C817" t="s">
        <v>12</v>
      </c>
      <c r="D817" t="s">
        <v>13</v>
      </c>
      <c r="E817" t="s">
        <v>14</v>
      </c>
      <c r="F817" t="s">
        <v>40</v>
      </c>
      <c r="G817" t="s">
        <v>31</v>
      </c>
      <c r="H817">
        <v>250000</v>
      </c>
      <c r="I817">
        <v>4</v>
      </c>
      <c r="J817" t="s">
        <v>28</v>
      </c>
      <c r="K817">
        <f t="shared" si="12"/>
        <v>200000</v>
      </c>
      <c r="L817">
        <f>Sales_Data2[[#This Row],[Unit Price]]*Sales_Data2[[#This Row],[Quantity]]</f>
        <v>1000000</v>
      </c>
      <c r="M817">
        <f>Sales_Data2[[#This Row],[Cost Price]]*Sales_Data2[[#This Row],[Quantity]]</f>
        <v>800000</v>
      </c>
      <c r="N817" s="3">
        <f>Sales_Data2[[#This Row],[Revenue]]-Sales_Data2[[#This Row],[COGS]]</f>
        <v>200000</v>
      </c>
      <c r="O8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46491|West|Port Harcourt|Retail|Online|Smartphone Z10|Electronics|250000|4|Musa|200000</v>
      </c>
      <c r="P817" s="3" t="str">
        <f>IF(COUNTIF(Sales_Data2[RowKey],Sales_Data2[[#This Row],[RowKey]])&gt;1,"Duplicate","Unique")</f>
        <v>Unique</v>
      </c>
      <c r="Q817" s="3" t="str">
        <f>IF(ISNUMBER(Sales_Data2[[#This Row],[Date]]),"OK","Check")</f>
        <v>OK</v>
      </c>
      <c r="R817" s="3" t="str">
        <f>IF(ISNUMBER(Sales_Data2[[#This Row],[Quantity]]),"OK","Check")</f>
        <v>OK</v>
      </c>
    </row>
    <row r="818" spans="1:18">
      <c r="A818" s="1">
        <v>46492</v>
      </c>
      <c r="B818" t="s">
        <v>18</v>
      </c>
      <c r="C818" t="s">
        <v>26</v>
      </c>
      <c r="D818" t="s">
        <v>13</v>
      </c>
      <c r="E818" t="s">
        <v>14</v>
      </c>
      <c r="F818" t="s">
        <v>40</v>
      </c>
      <c r="G818" t="s">
        <v>31</v>
      </c>
      <c r="H818">
        <v>250000</v>
      </c>
      <c r="I818">
        <v>3</v>
      </c>
      <c r="J818" t="s">
        <v>37</v>
      </c>
      <c r="K818">
        <f t="shared" si="12"/>
        <v>200000</v>
      </c>
      <c r="L818">
        <f>Sales_Data2[[#This Row],[Unit Price]]*Sales_Data2[[#This Row],[Quantity]]</f>
        <v>750000</v>
      </c>
      <c r="M818">
        <f>Sales_Data2[[#This Row],[Cost Price]]*Sales_Data2[[#This Row],[Quantity]]</f>
        <v>600000</v>
      </c>
      <c r="N818" s="3">
        <f>Sales_Data2[[#This Row],[Revenue]]-Sales_Data2[[#This Row],[COGS]]</f>
        <v>150000</v>
      </c>
      <c r="O8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46492|East|Kano|Retail|Online|Smartphone Z10|Electronics|250000|3|Aisha|200000</v>
      </c>
      <c r="P818" s="3" t="str">
        <f>IF(COUNTIF(Sales_Data2[RowKey],Sales_Data2[[#This Row],[RowKey]])&gt;1,"Duplicate","Unique")</f>
        <v>Unique</v>
      </c>
      <c r="Q818" s="3" t="str">
        <f>IF(ISNUMBER(Sales_Data2[[#This Row],[Date]]),"OK","Check")</f>
        <v>OK</v>
      </c>
      <c r="R818" s="3" t="str">
        <f>IF(ISNUMBER(Sales_Data2[[#This Row],[Quantity]]),"OK","Check")</f>
        <v>OK</v>
      </c>
    </row>
    <row r="819" spans="1:18">
      <c r="A819" s="1">
        <v>46493</v>
      </c>
      <c r="B819" t="s">
        <v>11</v>
      </c>
      <c r="C819" t="s">
        <v>32</v>
      </c>
      <c r="D819" t="s">
        <v>13</v>
      </c>
      <c r="E819" t="s">
        <v>20</v>
      </c>
      <c r="F819" t="s">
        <v>27</v>
      </c>
      <c r="G819" t="s">
        <v>22</v>
      </c>
      <c r="H819">
        <v>60000</v>
      </c>
      <c r="I819">
        <v>3</v>
      </c>
      <c r="J819" t="s">
        <v>17</v>
      </c>
      <c r="K819">
        <f t="shared" si="12"/>
        <v>48000</v>
      </c>
      <c r="L819">
        <f>Sales_Data2[[#This Row],[Unit Price]]*Sales_Data2[[#This Row],[Quantity]]</f>
        <v>180000</v>
      </c>
      <c r="M819">
        <f>Sales_Data2[[#This Row],[Cost Price]]*Sales_Data2[[#This Row],[Quantity]]</f>
        <v>144000</v>
      </c>
      <c r="N819" s="3">
        <f>Sales_Data2[[#This Row],[Revenue]]-Sales_Data2[[#This Row],[COGS]]</f>
        <v>36000</v>
      </c>
      <c r="O8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46493|West|Abuja|Retail|Store|Microwave M20|Home Appliances|60000|3|Chidinma|48000</v>
      </c>
      <c r="P819" s="3" t="str">
        <f>IF(COUNTIF(Sales_Data2[RowKey],Sales_Data2[[#This Row],[RowKey]])&gt;1,"Duplicate","Unique")</f>
        <v>Unique</v>
      </c>
      <c r="Q819" s="3" t="str">
        <f>IF(ISNUMBER(Sales_Data2[[#This Row],[Date]]),"OK","Check")</f>
        <v>OK</v>
      </c>
      <c r="R819" s="3" t="str">
        <f>IF(ISNUMBER(Sales_Data2[[#This Row],[Quantity]]),"OK","Check")</f>
        <v>OK</v>
      </c>
    </row>
    <row r="820" spans="1:18">
      <c r="A820" s="1">
        <v>46494</v>
      </c>
      <c r="B820" t="s">
        <v>11</v>
      </c>
      <c r="C820" t="s">
        <v>19</v>
      </c>
      <c r="D820" t="s">
        <v>23</v>
      </c>
      <c r="E820" t="s">
        <v>14</v>
      </c>
      <c r="F820" t="s">
        <v>34</v>
      </c>
      <c r="G820" t="s">
        <v>16</v>
      </c>
      <c r="H820">
        <v>320000</v>
      </c>
      <c r="I820">
        <v>1</v>
      </c>
      <c r="J820" t="s">
        <v>24</v>
      </c>
      <c r="K820">
        <f t="shared" si="12"/>
        <v>256000</v>
      </c>
      <c r="L820">
        <f>Sales_Data2[[#This Row],[Unit Price]]*Sales_Data2[[#This Row],[Quantity]]</f>
        <v>320000</v>
      </c>
      <c r="M820">
        <f>Sales_Data2[[#This Row],[Cost Price]]*Sales_Data2[[#This Row],[Quantity]]</f>
        <v>256000</v>
      </c>
      <c r="N820" s="3">
        <f>Sales_Data2[[#This Row],[Revenue]]-Sales_Data2[[#This Row],[COGS]]</f>
        <v>64000</v>
      </c>
      <c r="O8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46494|West|Lagos|Corporate|Online|Sofa Classic|Furniture|320000|1|David|256000</v>
      </c>
      <c r="P820" s="3" t="str">
        <f>IF(COUNTIF(Sales_Data2[RowKey],Sales_Data2[[#This Row],[RowKey]])&gt;1,"Duplicate","Unique")</f>
        <v>Unique</v>
      </c>
      <c r="Q820" s="3" t="str">
        <f>IF(ISNUMBER(Sales_Data2[[#This Row],[Date]]),"OK","Check")</f>
        <v>OK</v>
      </c>
      <c r="R820" s="3" t="str">
        <f>IF(ISNUMBER(Sales_Data2[[#This Row],[Quantity]]),"OK","Check")</f>
        <v>OK</v>
      </c>
    </row>
    <row r="821" spans="1:18">
      <c r="A821" s="1">
        <v>46495</v>
      </c>
      <c r="B821" t="s">
        <v>29</v>
      </c>
      <c r="C821" t="s">
        <v>32</v>
      </c>
      <c r="D821" t="s">
        <v>23</v>
      </c>
      <c r="E821" t="s">
        <v>20</v>
      </c>
      <c r="F821" t="s">
        <v>27</v>
      </c>
      <c r="G821" t="s">
        <v>22</v>
      </c>
      <c r="H821">
        <v>60000</v>
      </c>
      <c r="I821">
        <v>8</v>
      </c>
      <c r="J821" t="s">
        <v>24</v>
      </c>
      <c r="K821">
        <f t="shared" si="12"/>
        <v>48000</v>
      </c>
      <c r="L821">
        <f>Sales_Data2[[#This Row],[Unit Price]]*Sales_Data2[[#This Row],[Quantity]]</f>
        <v>480000</v>
      </c>
      <c r="M821">
        <f>Sales_Data2[[#This Row],[Cost Price]]*Sales_Data2[[#This Row],[Quantity]]</f>
        <v>384000</v>
      </c>
      <c r="N821" s="3">
        <f>Sales_Data2[[#This Row],[Revenue]]-Sales_Data2[[#This Row],[COGS]]</f>
        <v>96000</v>
      </c>
      <c r="O8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46495|North|Abuja|Corporate|Store|Microwave M20|Home Appliances|60000|8|David|48000</v>
      </c>
      <c r="P821" s="3" t="str">
        <f>IF(COUNTIF(Sales_Data2[RowKey],Sales_Data2[[#This Row],[RowKey]])&gt;1,"Duplicate","Unique")</f>
        <v>Unique</v>
      </c>
      <c r="Q821" s="3" t="str">
        <f>IF(ISNUMBER(Sales_Data2[[#This Row],[Date]]),"OK","Check")</f>
        <v>OK</v>
      </c>
      <c r="R821" s="3" t="str">
        <f>IF(ISNUMBER(Sales_Data2[[#This Row],[Quantity]]),"OK","Check")</f>
        <v>OK</v>
      </c>
    </row>
    <row r="822" spans="1:18">
      <c r="A822" s="1">
        <v>46496</v>
      </c>
      <c r="B822" t="s">
        <v>18</v>
      </c>
      <c r="C822" t="s">
        <v>26</v>
      </c>
      <c r="D822" t="s">
        <v>23</v>
      </c>
      <c r="E822" t="s">
        <v>20</v>
      </c>
      <c r="F822" t="s">
        <v>40</v>
      </c>
      <c r="G822" t="s">
        <v>31</v>
      </c>
      <c r="H822">
        <v>250000</v>
      </c>
      <c r="I822">
        <v>5</v>
      </c>
      <c r="J822" t="s">
        <v>35</v>
      </c>
      <c r="K822">
        <f t="shared" si="12"/>
        <v>200000</v>
      </c>
      <c r="L822">
        <f>Sales_Data2[[#This Row],[Unit Price]]*Sales_Data2[[#This Row],[Quantity]]</f>
        <v>1250000</v>
      </c>
      <c r="M822">
        <f>Sales_Data2[[#This Row],[Cost Price]]*Sales_Data2[[#This Row],[Quantity]]</f>
        <v>1000000</v>
      </c>
      <c r="N822" s="3">
        <f>Sales_Data2[[#This Row],[Revenue]]-Sales_Data2[[#This Row],[COGS]]</f>
        <v>250000</v>
      </c>
      <c r="O8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46496|East|Kano|Corporate|Store|Smartphone Z10|Electronics|250000|5|Peter|200000</v>
      </c>
      <c r="P822" s="3" t="str">
        <f>IF(COUNTIF(Sales_Data2[RowKey],Sales_Data2[[#This Row],[RowKey]])&gt;1,"Duplicate","Unique")</f>
        <v>Unique</v>
      </c>
      <c r="Q822" s="3" t="str">
        <f>IF(ISNUMBER(Sales_Data2[[#This Row],[Date]]),"OK","Check")</f>
        <v>OK</v>
      </c>
      <c r="R822" s="3" t="str">
        <f>IF(ISNUMBER(Sales_Data2[[#This Row],[Quantity]]),"OK","Check")</f>
        <v>OK</v>
      </c>
    </row>
    <row r="823" spans="1:18">
      <c r="A823" s="1">
        <v>46497</v>
      </c>
      <c r="B823" t="s">
        <v>11</v>
      </c>
      <c r="C823" t="s">
        <v>12</v>
      </c>
      <c r="D823" t="s">
        <v>23</v>
      </c>
      <c r="E823" t="s">
        <v>20</v>
      </c>
      <c r="F823" t="s">
        <v>34</v>
      </c>
      <c r="G823" t="s">
        <v>16</v>
      </c>
      <c r="H823">
        <v>320000</v>
      </c>
      <c r="I823">
        <v>2</v>
      </c>
      <c r="J823" t="s">
        <v>39</v>
      </c>
      <c r="K823">
        <f t="shared" si="12"/>
        <v>256000</v>
      </c>
      <c r="L823">
        <f>Sales_Data2[[#This Row],[Unit Price]]*Sales_Data2[[#This Row],[Quantity]]</f>
        <v>640000</v>
      </c>
      <c r="M823">
        <f>Sales_Data2[[#This Row],[Cost Price]]*Sales_Data2[[#This Row],[Quantity]]</f>
        <v>512000</v>
      </c>
      <c r="N823" s="3">
        <f>Sales_Data2[[#This Row],[Revenue]]-Sales_Data2[[#This Row],[COGS]]</f>
        <v>128000</v>
      </c>
      <c r="O8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46497|West|Port Harcourt|Corporate|Store|Sofa Classic|Furniture|320000|2|Grace|256000</v>
      </c>
      <c r="P823" s="3" t="str">
        <f>IF(COUNTIF(Sales_Data2[RowKey],Sales_Data2[[#This Row],[RowKey]])&gt;1,"Duplicate","Unique")</f>
        <v>Unique</v>
      </c>
      <c r="Q823" s="3" t="str">
        <f>IF(ISNUMBER(Sales_Data2[[#This Row],[Date]]),"OK","Check")</f>
        <v>OK</v>
      </c>
      <c r="R823" s="3" t="str">
        <f>IF(ISNUMBER(Sales_Data2[[#This Row],[Quantity]]),"OK","Check")</f>
        <v>OK</v>
      </c>
    </row>
    <row r="824" spans="1:18">
      <c r="A824" s="1">
        <v>46498</v>
      </c>
      <c r="B824" t="s">
        <v>25</v>
      </c>
      <c r="C824" t="s">
        <v>26</v>
      </c>
      <c r="D824" t="s">
        <v>23</v>
      </c>
      <c r="E824" t="s">
        <v>14</v>
      </c>
      <c r="F824" t="s">
        <v>41</v>
      </c>
      <c r="G824" t="s">
        <v>22</v>
      </c>
      <c r="H824">
        <v>220000</v>
      </c>
      <c r="I824">
        <v>5</v>
      </c>
      <c r="J824" t="s">
        <v>24</v>
      </c>
      <c r="K824">
        <f t="shared" si="12"/>
        <v>176000</v>
      </c>
      <c r="L824">
        <f>Sales_Data2[[#This Row],[Unit Price]]*Sales_Data2[[#This Row],[Quantity]]</f>
        <v>1100000</v>
      </c>
      <c r="M824">
        <f>Sales_Data2[[#This Row],[Cost Price]]*Sales_Data2[[#This Row],[Quantity]]</f>
        <v>880000</v>
      </c>
      <c r="N824" s="3">
        <f>Sales_Data2[[#This Row],[Revenue]]-Sales_Data2[[#This Row],[COGS]]</f>
        <v>220000</v>
      </c>
      <c r="O8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46498|South|Kano|Corporate|Online|Refrigerator R55|Home Appliances|220000|5|David|176000</v>
      </c>
      <c r="P824" s="3" t="str">
        <f>IF(COUNTIF(Sales_Data2[RowKey],Sales_Data2[[#This Row],[RowKey]])&gt;1,"Duplicate","Unique")</f>
        <v>Unique</v>
      </c>
      <c r="Q824" s="3" t="str">
        <f>IF(ISNUMBER(Sales_Data2[[#This Row],[Date]]),"OK","Check")</f>
        <v>OK</v>
      </c>
      <c r="R824" s="3" t="str">
        <f>IF(ISNUMBER(Sales_Data2[[#This Row],[Quantity]]),"OK","Check")</f>
        <v>OK</v>
      </c>
    </row>
    <row r="825" spans="1:18">
      <c r="A825" s="1">
        <v>46499</v>
      </c>
      <c r="B825" t="s">
        <v>11</v>
      </c>
      <c r="C825" t="s">
        <v>19</v>
      </c>
      <c r="D825" t="s">
        <v>23</v>
      </c>
      <c r="E825" t="s">
        <v>20</v>
      </c>
      <c r="F825" t="s">
        <v>40</v>
      </c>
      <c r="G825" t="s">
        <v>31</v>
      </c>
      <c r="H825">
        <v>250000</v>
      </c>
      <c r="I825">
        <v>3</v>
      </c>
      <c r="J825" t="s">
        <v>17</v>
      </c>
      <c r="K825">
        <f t="shared" si="12"/>
        <v>200000</v>
      </c>
      <c r="L825">
        <f>Sales_Data2[[#This Row],[Unit Price]]*Sales_Data2[[#This Row],[Quantity]]</f>
        <v>750000</v>
      </c>
      <c r="M825">
        <f>Sales_Data2[[#This Row],[Cost Price]]*Sales_Data2[[#This Row],[Quantity]]</f>
        <v>600000</v>
      </c>
      <c r="N825" s="3">
        <f>Sales_Data2[[#This Row],[Revenue]]-Sales_Data2[[#This Row],[COGS]]</f>
        <v>150000</v>
      </c>
      <c r="O8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46499|West|Lagos|Corporate|Store|Smartphone Z10|Electronics|250000|3|Chidinma|200000</v>
      </c>
      <c r="P825" s="3" t="str">
        <f>IF(COUNTIF(Sales_Data2[RowKey],Sales_Data2[[#This Row],[RowKey]])&gt;1,"Duplicate","Unique")</f>
        <v>Unique</v>
      </c>
      <c r="Q825" s="3" t="str">
        <f>IF(ISNUMBER(Sales_Data2[[#This Row],[Date]]),"OK","Check")</f>
        <v>OK</v>
      </c>
      <c r="R825" s="3" t="str">
        <f>IF(ISNUMBER(Sales_Data2[[#This Row],[Quantity]]),"OK","Check")</f>
        <v>OK</v>
      </c>
    </row>
    <row r="826" spans="1:18">
      <c r="A826" s="1">
        <v>46500</v>
      </c>
      <c r="B826" t="s">
        <v>11</v>
      </c>
      <c r="C826" t="s">
        <v>26</v>
      </c>
      <c r="D826" t="s">
        <v>13</v>
      </c>
      <c r="E826" t="s">
        <v>20</v>
      </c>
      <c r="F826" t="s">
        <v>15</v>
      </c>
      <c r="G826" t="s">
        <v>16</v>
      </c>
      <c r="H826">
        <v>85000</v>
      </c>
      <c r="I826">
        <v>10</v>
      </c>
      <c r="J826" t="s">
        <v>28</v>
      </c>
      <c r="K826">
        <f t="shared" si="12"/>
        <v>68000</v>
      </c>
      <c r="L826">
        <f>Sales_Data2[[#This Row],[Unit Price]]*Sales_Data2[[#This Row],[Quantity]]</f>
        <v>850000</v>
      </c>
      <c r="M826">
        <f>Sales_Data2[[#This Row],[Cost Price]]*Sales_Data2[[#This Row],[Quantity]]</f>
        <v>680000</v>
      </c>
      <c r="N826" s="3">
        <f>Sales_Data2[[#This Row],[Revenue]]-Sales_Data2[[#This Row],[COGS]]</f>
        <v>170000</v>
      </c>
      <c r="O8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46500|West|Kano|Retail|Store|Office Chair Pro|Furniture|85000|10|Musa|68000</v>
      </c>
      <c r="P826" s="3" t="str">
        <f>IF(COUNTIF(Sales_Data2[RowKey],Sales_Data2[[#This Row],[RowKey]])&gt;1,"Duplicate","Unique")</f>
        <v>Unique</v>
      </c>
      <c r="Q826" s="3" t="str">
        <f>IF(ISNUMBER(Sales_Data2[[#This Row],[Date]]),"OK","Check")</f>
        <v>OK</v>
      </c>
      <c r="R826" s="3" t="str">
        <f>IF(ISNUMBER(Sales_Data2[[#This Row],[Quantity]]),"OK","Check")</f>
        <v>OK</v>
      </c>
    </row>
    <row r="827" spans="1:18">
      <c r="A827" s="1">
        <v>46501</v>
      </c>
      <c r="B827" t="s">
        <v>25</v>
      </c>
      <c r="C827" t="s">
        <v>12</v>
      </c>
      <c r="D827" t="s">
        <v>13</v>
      </c>
      <c r="E827" t="s">
        <v>20</v>
      </c>
      <c r="F827" t="s">
        <v>38</v>
      </c>
      <c r="G827" t="s">
        <v>31</v>
      </c>
      <c r="H827">
        <v>420000</v>
      </c>
      <c r="I827">
        <v>6</v>
      </c>
      <c r="J827" t="s">
        <v>35</v>
      </c>
      <c r="K827">
        <f t="shared" si="12"/>
        <v>336000</v>
      </c>
      <c r="L827">
        <f>Sales_Data2[[#This Row],[Unit Price]]*Sales_Data2[[#This Row],[Quantity]]</f>
        <v>2520000</v>
      </c>
      <c r="M827">
        <f>Sales_Data2[[#This Row],[Cost Price]]*Sales_Data2[[#This Row],[Quantity]]</f>
        <v>2016000</v>
      </c>
      <c r="N827" s="3">
        <f>Sales_Data2[[#This Row],[Revenue]]-Sales_Data2[[#This Row],[COGS]]</f>
        <v>504000</v>
      </c>
      <c r="O8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46501|South|Port Harcourt|Retail|Store|Laptop A13|Electronics|420000|6|Peter|336000</v>
      </c>
      <c r="P827" s="3" t="str">
        <f>IF(COUNTIF(Sales_Data2[RowKey],Sales_Data2[[#This Row],[RowKey]])&gt;1,"Duplicate","Unique")</f>
        <v>Unique</v>
      </c>
      <c r="Q827" s="3" t="str">
        <f>IF(ISNUMBER(Sales_Data2[[#This Row],[Date]]),"OK","Check")</f>
        <v>OK</v>
      </c>
      <c r="R827" s="3" t="str">
        <f>IF(ISNUMBER(Sales_Data2[[#This Row],[Quantity]]),"OK","Check")</f>
        <v>OK</v>
      </c>
    </row>
    <row r="828" spans="1:18">
      <c r="A828" s="1">
        <v>46502</v>
      </c>
      <c r="B828" t="s">
        <v>29</v>
      </c>
      <c r="C828" t="s">
        <v>19</v>
      </c>
      <c r="D828" t="s">
        <v>13</v>
      </c>
      <c r="E828" t="s">
        <v>20</v>
      </c>
      <c r="F828" t="s">
        <v>36</v>
      </c>
      <c r="G828" t="s">
        <v>31</v>
      </c>
      <c r="H828">
        <v>150000</v>
      </c>
      <c r="I828">
        <v>5</v>
      </c>
      <c r="J828" t="s">
        <v>24</v>
      </c>
      <c r="K828">
        <f t="shared" si="12"/>
        <v>120000</v>
      </c>
      <c r="L828">
        <f>Sales_Data2[[#This Row],[Unit Price]]*Sales_Data2[[#This Row],[Quantity]]</f>
        <v>750000</v>
      </c>
      <c r="M828">
        <f>Sales_Data2[[#This Row],[Cost Price]]*Sales_Data2[[#This Row],[Quantity]]</f>
        <v>600000</v>
      </c>
      <c r="N828" s="3">
        <f>Sales_Data2[[#This Row],[Revenue]]-Sales_Data2[[#This Row],[COGS]]</f>
        <v>150000</v>
      </c>
      <c r="O8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46502|North|Lagos|Retail|Store|Printer P50|Electronics|150000|5|David|120000</v>
      </c>
      <c r="P828" s="3" t="str">
        <f>IF(COUNTIF(Sales_Data2[RowKey],Sales_Data2[[#This Row],[RowKey]])&gt;1,"Duplicate","Unique")</f>
        <v>Unique</v>
      </c>
      <c r="Q828" s="3" t="str">
        <f>IF(ISNUMBER(Sales_Data2[[#This Row],[Date]]),"OK","Check")</f>
        <v>OK</v>
      </c>
      <c r="R828" s="3" t="str">
        <f>IF(ISNUMBER(Sales_Data2[[#This Row],[Quantity]]),"OK","Check")</f>
        <v>OK</v>
      </c>
    </row>
    <row r="829" spans="1:18">
      <c r="A829" s="1">
        <v>46503</v>
      </c>
      <c r="B829" t="s">
        <v>29</v>
      </c>
      <c r="C829" t="s">
        <v>12</v>
      </c>
      <c r="D829" t="s">
        <v>13</v>
      </c>
      <c r="E829" t="s">
        <v>20</v>
      </c>
      <c r="F829" t="s">
        <v>34</v>
      </c>
      <c r="G829" t="s">
        <v>16</v>
      </c>
      <c r="H829">
        <v>320000</v>
      </c>
      <c r="I829">
        <v>3</v>
      </c>
      <c r="J829" t="s">
        <v>37</v>
      </c>
      <c r="K829">
        <f t="shared" si="12"/>
        <v>256000</v>
      </c>
      <c r="L829">
        <f>Sales_Data2[[#This Row],[Unit Price]]*Sales_Data2[[#This Row],[Quantity]]</f>
        <v>960000</v>
      </c>
      <c r="M829">
        <f>Sales_Data2[[#This Row],[Cost Price]]*Sales_Data2[[#This Row],[Quantity]]</f>
        <v>768000</v>
      </c>
      <c r="N829" s="3">
        <f>Sales_Data2[[#This Row],[Revenue]]-Sales_Data2[[#This Row],[COGS]]</f>
        <v>192000</v>
      </c>
      <c r="O8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46503|North|Port Harcourt|Retail|Store|Sofa Classic|Furniture|320000|3|Aisha|256000</v>
      </c>
      <c r="P829" s="3" t="str">
        <f>IF(COUNTIF(Sales_Data2[RowKey],Sales_Data2[[#This Row],[RowKey]])&gt;1,"Duplicate","Unique")</f>
        <v>Unique</v>
      </c>
      <c r="Q829" s="3" t="str">
        <f>IF(ISNUMBER(Sales_Data2[[#This Row],[Date]]),"OK","Check")</f>
        <v>OK</v>
      </c>
      <c r="R829" s="3" t="str">
        <f>IF(ISNUMBER(Sales_Data2[[#This Row],[Quantity]]),"OK","Check")</f>
        <v>OK</v>
      </c>
    </row>
    <row r="830" spans="1:18">
      <c r="A830" s="1">
        <v>46504</v>
      </c>
      <c r="B830" t="s">
        <v>29</v>
      </c>
      <c r="C830" t="s">
        <v>32</v>
      </c>
      <c r="D830" t="s">
        <v>23</v>
      </c>
      <c r="E830" t="s">
        <v>14</v>
      </c>
      <c r="F830" t="s">
        <v>21</v>
      </c>
      <c r="G830" t="s">
        <v>22</v>
      </c>
      <c r="H830">
        <v>30000</v>
      </c>
      <c r="I830">
        <v>1</v>
      </c>
      <c r="J830" t="s">
        <v>35</v>
      </c>
      <c r="K830">
        <f t="shared" si="12"/>
        <v>24000</v>
      </c>
      <c r="L830">
        <f>Sales_Data2[[#This Row],[Unit Price]]*Sales_Data2[[#This Row],[Quantity]]</f>
        <v>30000</v>
      </c>
      <c r="M830">
        <f>Sales_Data2[[#This Row],[Cost Price]]*Sales_Data2[[#This Row],[Quantity]]</f>
        <v>24000</v>
      </c>
      <c r="N830" s="3">
        <f>Sales_Data2[[#This Row],[Revenue]]-Sales_Data2[[#This Row],[COGS]]</f>
        <v>6000</v>
      </c>
      <c r="O8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46504|North|Abuja|Corporate|Online|Blender B10|Home Appliances|30000|1|Peter|24000</v>
      </c>
      <c r="P830" s="3" t="str">
        <f>IF(COUNTIF(Sales_Data2[RowKey],Sales_Data2[[#This Row],[RowKey]])&gt;1,"Duplicate","Unique")</f>
        <v>Unique</v>
      </c>
      <c r="Q830" s="3" t="str">
        <f>IF(ISNUMBER(Sales_Data2[[#This Row],[Date]]),"OK","Check")</f>
        <v>OK</v>
      </c>
      <c r="R830" s="3" t="str">
        <f>IF(ISNUMBER(Sales_Data2[[#This Row],[Quantity]]),"OK","Check")</f>
        <v>OK</v>
      </c>
    </row>
    <row r="831" spans="1:18">
      <c r="A831" s="1">
        <v>46505</v>
      </c>
      <c r="B831" t="s">
        <v>11</v>
      </c>
      <c r="C831" t="s">
        <v>26</v>
      </c>
      <c r="D831" t="s">
        <v>13</v>
      </c>
      <c r="E831" t="s">
        <v>14</v>
      </c>
      <c r="F831" t="s">
        <v>33</v>
      </c>
      <c r="G831" t="s">
        <v>22</v>
      </c>
      <c r="H831">
        <v>180000</v>
      </c>
      <c r="I831">
        <v>10</v>
      </c>
      <c r="J831" t="s">
        <v>35</v>
      </c>
      <c r="K831">
        <f t="shared" si="12"/>
        <v>144000</v>
      </c>
      <c r="L831">
        <f>Sales_Data2[[#This Row],[Unit Price]]*Sales_Data2[[#This Row],[Quantity]]</f>
        <v>1800000</v>
      </c>
      <c r="M831">
        <f>Sales_Data2[[#This Row],[Cost Price]]*Sales_Data2[[#This Row],[Quantity]]</f>
        <v>1440000</v>
      </c>
      <c r="N831" s="3">
        <f>Sales_Data2[[#This Row],[Revenue]]-Sales_Data2[[#This Row],[COGS]]</f>
        <v>360000</v>
      </c>
      <c r="O8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46505|West|Kano|Retail|Online|Air Conditioner X2|Home Appliances|180000|10|Peter|144000</v>
      </c>
      <c r="P831" s="3" t="str">
        <f>IF(COUNTIF(Sales_Data2[RowKey],Sales_Data2[[#This Row],[RowKey]])&gt;1,"Duplicate","Unique")</f>
        <v>Unique</v>
      </c>
      <c r="Q831" s="3" t="str">
        <f>IF(ISNUMBER(Sales_Data2[[#This Row],[Date]]),"OK","Check")</f>
        <v>OK</v>
      </c>
      <c r="R831" s="3" t="str">
        <f>IF(ISNUMBER(Sales_Data2[[#This Row],[Quantity]]),"OK","Check")</f>
        <v>OK</v>
      </c>
    </row>
    <row r="832" spans="1:18">
      <c r="A832" s="1">
        <v>46506</v>
      </c>
      <c r="B832" t="s">
        <v>25</v>
      </c>
      <c r="C832" t="s">
        <v>12</v>
      </c>
      <c r="D832" t="s">
        <v>23</v>
      </c>
      <c r="E832" t="s">
        <v>20</v>
      </c>
      <c r="F832" t="s">
        <v>33</v>
      </c>
      <c r="G832" t="s">
        <v>22</v>
      </c>
      <c r="H832">
        <v>180000</v>
      </c>
      <c r="I832">
        <v>3</v>
      </c>
      <c r="J832" t="s">
        <v>17</v>
      </c>
      <c r="K832">
        <f t="shared" si="12"/>
        <v>144000</v>
      </c>
      <c r="L832">
        <f>Sales_Data2[[#This Row],[Unit Price]]*Sales_Data2[[#This Row],[Quantity]]</f>
        <v>540000</v>
      </c>
      <c r="M832">
        <f>Sales_Data2[[#This Row],[Cost Price]]*Sales_Data2[[#This Row],[Quantity]]</f>
        <v>432000</v>
      </c>
      <c r="N832" s="3">
        <f>Sales_Data2[[#This Row],[Revenue]]-Sales_Data2[[#This Row],[COGS]]</f>
        <v>108000</v>
      </c>
      <c r="O8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46506|South|Port Harcourt|Corporate|Store|Air Conditioner X2|Home Appliances|180000|3|Chidinma|144000</v>
      </c>
      <c r="P832" s="3" t="str">
        <f>IF(COUNTIF(Sales_Data2[RowKey],Sales_Data2[[#This Row],[RowKey]])&gt;1,"Duplicate","Unique")</f>
        <v>Unique</v>
      </c>
      <c r="Q832" s="3" t="str">
        <f>IF(ISNUMBER(Sales_Data2[[#This Row],[Date]]),"OK","Check")</f>
        <v>OK</v>
      </c>
      <c r="R832" s="3" t="str">
        <f>IF(ISNUMBER(Sales_Data2[[#This Row],[Quantity]]),"OK","Check")</f>
        <v>OK</v>
      </c>
    </row>
    <row r="833" spans="1:18">
      <c r="A833" s="1">
        <v>46507</v>
      </c>
      <c r="B833" t="s">
        <v>18</v>
      </c>
      <c r="C833" t="s">
        <v>12</v>
      </c>
      <c r="D833" t="s">
        <v>23</v>
      </c>
      <c r="E833" t="s">
        <v>14</v>
      </c>
      <c r="F833" t="s">
        <v>38</v>
      </c>
      <c r="G833" t="s">
        <v>31</v>
      </c>
      <c r="H833">
        <v>420000</v>
      </c>
      <c r="I833">
        <v>3</v>
      </c>
      <c r="J833" t="s">
        <v>24</v>
      </c>
      <c r="K833">
        <f t="shared" si="12"/>
        <v>336000</v>
      </c>
      <c r="L833">
        <f>Sales_Data2[[#This Row],[Unit Price]]*Sales_Data2[[#This Row],[Quantity]]</f>
        <v>1260000</v>
      </c>
      <c r="M833">
        <f>Sales_Data2[[#This Row],[Cost Price]]*Sales_Data2[[#This Row],[Quantity]]</f>
        <v>1008000</v>
      </c>
      <c r="N833" s="3">
        <f>Sales_Data2[[#This Row],[Revenue]]-Sales_Data2[[#This Row],[COGS]]</f>
        <v>252000</v>
      </c>
      <c r="O8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46507|East|Port Harcourt|Corporate|Online|Laptop A13|Electronics|420000|3|David|336000</v>
      </c>
      <c r="P833" s="3" t="str">
        <f>IF(COUNTIF(Sales_Data2[RowKey],Sales_Data2[[#This Row],[RowKey]])&gt;1,"Duplicate","Unique")</f>
        <v>Unique</v>
      </c>
      <c r="Q833" s="3" t="str">
        <f>IF(ISNUMBER(Sales_Data2[[#This Row],[Date]]),"OK","Check")</f>
        <v>OK</v>
      </c>
      <c r="R833" s="3" t="str">
        <f>IF(ISNUMBER(Sales_Data2[[#This Row],[Quantity]]),"OK","Check")</f>
        <v>OK</v>
      </c>
    </row>
    <row r="834" spans="1:18">
      <c r="A834" s="1">
        <v>46508</v>
      </c>
      <c r="B834" t="s">
        <v>18</v>
      </c>
      <c r="C834" t="s">
        <v>19</v>
      </c>
      <c r="D834" t="s">
        <v>13</v>
      </c>
      <c r="E834" t="s">
        <v>14</v>
      </c>
      <c r="F834" t="s">
        <v>41</v>
      </c>
      <c r="G834" t="s">
        <v>22</v>
      </c>
      <c r="H834">
        <v>220000</v>
      </c>
      <c r="I834">
        <v>6</v>
      </c>
      <c r="J834" t="s">
        <v>37</v>
      </c>
      <c r="K834">
        <f t="shared" ref="K834:K897" si="13">H834-H834*0.2</f>
        <v>176000</v>
      </c>
      <c r="L834">
        <f>Sales_Data2[[#This Row],[Unit Price]]*Sales_Data2[[#This Row],[Quantity]]</f>
        <v>1320000</v>
      </c>
      <c r="M834">
        <f>Sales_Data2[[#This Row],[Cost Price]]*Sales_Data2[[#This Row],[Quantity]]</f>
        <v>1056000</v>
      </c>
      <c r="N834" s="3">
        <f>Sales_Data2[[#This Row],[Revenue]]-Sales_Data2[[#This Row],[COGS]]</f>
        <v>264000</v>
      </c>
      <c r="O8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46508|East|Lagos|Retail|Online|Refrigerator R55|Home Appliances|220000|6|Aisha|176000</v>
      </c>
      <c r="P834" s="3" t="str">
        <f>IF(COUNTIF(Sales_Data2[RowKey],Sales_Data2[[#This Row],[RowKey]])&gt;1,"Duplicate","Unique")</f>
        <v>Unique</v>
      </c>
      <c r="Q834" s="3" t="str">
        <f>IF(ISNUMBER(Sales_Data2[[#This Row],[Date]]),"OK","Check")</f>
        <v>OK</v>
      </c>
      <c r="R834" s="3" t="str">
        <f>IF(ISNUMBER(Sales_Data2[[#This Row],[Quantity]]),"OK","Check")</f>
        <v>OK</v>
      </c>
    </row>
    <row r="835" spans="1:18">
      <c r="A835" s="1">
        <v>46509</v>
      </c>
      <c r="B835" t="s">
        <v>25</v>
      </c>
      <c r="C835" t="s">
        <v>26</v>
      </c>
      <c r="D835" t="s">
        <v>13</v>
      </c>
      <c r="E835" t="s">
        <v>14</v>
      </c>
      <c r="F835" t="s">
        <v>27</v>
      </c>
      <c r="G835" t="s">
        <v>22</v>
      </c>
      <c r="H835">
        <v>60000</v>
      </c>
      <c r="I835">
        <v>10</v>
      </c>
      <c r="J835" t="s">
        <v>35</v>
      </c>
      <c r="K835">
        <f t="shared" si="13"/>
        <v>48000</v>
      </c>
      <c r="L835">
        <f>Sales_Data2[[#This Row],[Unit Price]]*Sales_Data2[[#This Row],[Quantity]]</f>
        <v>600000</v>
      </c>
      <c r="M835">
        <f>Sales_Data2[[#This Row],[Cost Price]]*Sales_Data2[[#This Row],[Quantity]]</f>
        <v>480000</v>
      </c>
      <c r="N835" s="3">
        <f>Sales_Data2[[#This Row],[Revenue]]-Sales_Data2[[#This Row],[COGS]]</f>
        <v>120000</v>
      </c>
      <c r="O8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46509|South|Kano|Retail|Online|Microwave M20|Home Appliances|60000|10|Peter|48000</v>
      </c>
      <c r="P835" s="3" t="str">
        <f>IF(COUNTIF(Sales_Data2[RowKey],Sales_Data2[[#This Row],[RowKey]])&gt;1,"Duplicate","Unique")</f>
        <v>Unique</v>
      </c>
      <c r="Q835" s="3" t="str">
        <f>IF(ISNUMBER(Sales_Data2[[#This Row],[Date]]),"OK","Check")</f>
        <v>OK</v>
      </c>
      <c r="R835" s="3" t="str">
        <f>IF(ISNUMBER(Sales_Data2[[#This Row],[Quantity]]),"OK","Check")</f>
        <v>OK</v>
      </c>
    </row>
    <row r="836" spans="1:18">
      <c r="A836" s="1">
        <v>46510</v>
      </c>
      <c r="B836" t="s">
        <v>25</v>
      </c>
      <c r="C836" t="s">
        <v>19</v>
      </c>
      <c r="D836" t="s">
        <v>13</v>
      </c>
      <c r="E836" t="s">
        <v>20</v>
      </c>
      <c r="F836" t="s">
        <v>33</v>
      </c>
      <c r="G836" t="s">
        <v>22</v>
      </c>
      <c r="H836">
        <v>180000</v>
      </c>
      <c r="I836">
        <v>10</v>
      </c>
      <c r="J836" t="s">
        <v>28</v>
      </c>
      <c r="K836">
        <f t="shared" si="13"/>
        <v>144000</v>
      </c>
      <c r="L836">
        <f>Sales_Data2[[#This Row],[Unit Price]]*Sales_Data2[[#This Row],[Quantity]]</f>
        <v>1800000</v>
      </c>
      <c r="M836">
        <f>Sales_Data2[[#This Row],[Cost Price]]*Sales_Data2[[#This Row],[Quantity]]</f>
        <v>1440000</v>
      </c>
      <c r="N836" s="3">
        <f>Sales_Data2[[#This Row],[Revenue]]-Sales_Data2[[#This Row],[COGS]]</f>
        <v>360000</v>
      </c>
      <c r="O8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46510|South|Lagos|Retail|Store|Air Conditioner X2|Home Appliances|180000|10|Musa|144000</v>
      </c>
      <c r="P836" s="3" t="str">
        <f>IF(COUNTIF(Sales_Data2[RowKey],Sales_Data2[[#This Row],[RowKey]])&gt;1,"Duplicate","Unique")</f>
        <v>Unique</v>
      </c>
      <c r="Q836" s="3" t="str">
        <f>IF(ISNUMBER(Sales_Data2[[#This Row],[Date]]),"OK","Check")</f>
        <v>OK</v>
      </c>
      <c r="R836" s="3" t="str">
        <f>IF(ISNUMBER(Sales_Data2[[#This Row],[Quantity]]),"OK","Check")</f>
        <v>OK</v>
      </c>
    </row>
    <row r="837" spans="1:18">
      <c r="A837" s="1">
        <v>46511</v>
      </c>
      <c r="B837" t="s">
        <v>18</v>
      </c>
      <c r="C837" t="s">
        <v>12</v>
      </c>
      <c r="D837" t="s">
        <v>23</v>
      </c>
      <c r="E837" t="s">
        <v>20</v>
      </c>
      <c r="F837" t="s">
        <v>41</v>
      </c>
      <c r="G837" t="s">
        <v>22</v>
      </c>
      <c r="H837">
        <v>220000</v>
      </c>
      <c r="I837">
        <v>4</v>
      </c>
      <c r="J837" t="s">
        <v>24</v>
      </c>
      <c r="K837">
        <f t="shared" si="13"/>
        <v>176000</v>
      </c>
      <c r="L837">
        <f>Sales_Data2[[#This Row],[Unit Price]]*Sales_Data2[[#This Row],[Quantity]]</f>
        <v>880000</v>
      </c>
      <c r="M837">
        <f>Sales_Data2[[#This Row],[Cost Price]]*Sales_Data2[[#This Row],[Quantity]]</f>
        <v>704000</v>
      </c>
      <c r="N837" s="3">
        <f>Sales_Data2[[#This Row],[Revenue]]-Sales_Data2[[#This Row],[COGS]]</f>
        <v>176000</v>
      </c>
      <c r="O8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46511|East|Port Harcourt|Corporate|Store|Refrigerator R55|Home Appliances|220000|4|David|176000</v>
      </c>
      <c r="P837" s="3" t="str">
        <f>IF(COUNTIF(Sales_Data2[RowKey],Sales_Data2[[#This Row],[RowKey]])&gt;1,"Duplicate","Unique")</f>
        <v>Unique</v>
      </c>
      <c r="Q837" s="3" t="str">
        <f>IF(ISNUMBER(Sales_Data2[[#This Row],[Date]]),"OK","Check")</f>
        <v>OK</v>
      </c>
      <c r="R837" s="3" t="str">
        <f>IF(ISNUMBER(Sales_Data2[[#This Row],[Quantity]]),"OK","Check")</f>
        <v>OK</v>
      </c>
    </row>
    <row r="838" spans="1:18">
      <c r="A838" s="1">
        <v>46512</v>
      </c>
      <c r="B838" t="s">
        <v>25</v>
      </c>
      <c r="C838" t="s">
        <v>32</v>
      </c>
      <c r="D838" t="s">
        <v>23</v>
      </c>
      <c r="E838" t="s">
        <v>20</v>
      </c>
      <c r="F838" t="s">
        <v>40</v>
      </c>
      <c r="G838" t="s">
        <v>31</v>
      </c>
      <c r="H838">
        <v>250000</v>
      </c>
      <c r="I838">
        <v>4</v>
      </c>
      <c r="J838" t="s">
        <v>35</v>
      </c>
      <c r="K838">
        <f t="shared" si="13"/>
        <v>200000</v>
      </c>
      <c r="L838">
        <f>Sales_Data2[[#This Row],[Unit Price]]*Sales_Data2[[#This Row],[Quantity]]</f>
        <v>1000000</v>
      </c>
      <c r="M838">
        <f>Sales_Data2[[#This Row],[Cost Price]]*Sales_Data2[[#This Row],[Quantity]]</f>
        <v>800000</v>
      </c>
      <c r="N838" s="3">
        <f>Sales_Data2[[#This Row],[Revenue]]-Sales_Data2[[#This Row],[COGS]]</f>
        <v>200000</v>
      </c>
      <c r="O8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46512|South|Abuja|Corporate|Store|Smartphone Z10|Electronics|250000|4|Peter|200000</v>
      </c>
      <c r="P838" s="3" t="str">
        <f>IF(COUNTIF(Sales_Data2[RowKey],Sales_Data2[[#This Row],[RowKey]])&gt;1,"Duplicate","Unique")</f>
        <v>Unique</v>
      </c>
      <c r="Q838" s="3" t="str">
        <f>IF(ISNUMBER(Sales_Data2[[#This Row],[Date]]),"OK","Check")</f>
        <v>OK</v>
      </c>
      <c r="R838" s="3" t="str">
        <f>IF(ISNUMBER(Sales_Data2[[#This Row],[Quantity]]),"OK","Check")</f>
        <v>OK</v>
      </c>
    </row>
    <row r="839" spans="1:18">
      <c r="A839" s="1">
        <v>46513</v>
      </c>
      <c r="B839" t="s">
        <v>25</v>
      </c>
      <c r="C839" t="s">
        <v>19</v>
      </c>
      <c r="D839" t="s">
        <v>23</v>
      </c>
      <c r="E839" t="s">
        <v>20</v>
      </c>
      <c r="F839" t="s">
        <v>21</v>
      </c>
      <c r="G839" t="s">
        <v>22</v>
      </c>
      <c r="H839">
        <v>30000</v>
      </c>
      <c r="I839">
        <v>2</v>
      </c>
      <c r="J839" t="s">
        <v>39</v>
      </c>
      <c r="K839">
        <f t="shared" si="13"/>
        <v>24000</v>
      </c>
      <c r="L839">
        <f>Sales_Data2[[#This Row],[Unit Price]]*Sales_Data2[[#This Row],[Quantity]]</f>
        <v>60000</v>
      </c>
      <c r="M839">
        <f>Sales_Data2[[#This Row],[Cost Price]]*Sales_Data2[[#This Row],[Quantity]]</f>
        <v>48000</v>
      </c>
      <c r="N839" s="3">
        <f>Sales_Data2[[#This Row],[Revenue]]-Sales_Data2[[#This Row],[COGS]]</f>
        <v>12000</v>
      </c>
      <c r="O8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46513|South|Lagos|Corporate|Store|Blender B10|Home Appliances|30000|2|Grace|24000</v>
      </c>
      <c r="P839" s="3" t="str">
        <f>IF(COUNTIF(Sales_Data2[RowKey],Sales_Data2[[#This Row],[RowKey]])&gt;1,"Duplicate","Unique")</f>
        <v>Unique</v>
      </c>
      <c r="Q839" s="3" t="str">
        <f>IF(ISNUMBER(Sales_Data2[[#This Row],[Date]]),"OK","Check")</f>
        <v>OK</v>
      </c>
      <c r="R839" s="3" t="str">
        <f>IF(ISNUMBER(Sales_Data2[[#This Row],[Quantity]]),"OK","Check")</f>
        <v>OK</v>
      </c>
    </row>
    <row r="840" spans="1:18">
      <c r="A840" s="1">
        <v>46514</v>
      </c>
      <c r="B840" t="s">
        <v>11</v>
      </c>
      <c r="C840" t="s">
        <v>26</v>
      </c>
      <c r="D840" t="s">
        <v>13</v>
      </c>
      <c r="E840" t="s">
        <v>20</v>
      </c>
      <c r="F840" t="s">
        <v>33</v>
      </c>
      <c r="G840" t="s">
        <v>22</v>
      </c>
      <c r="H840">
        <v>180000</v>
      </c>
      <c r="I840">
        <v>6</v>
      </c>
      <c r="J840" t="s">
        <v>28</v>
      </c>
      <c r="K840">
        <f t="shared" si="13"/>
        <v>144000</v>
      </c>
      <c r="L840">
        <f>Sales_Data2[[#This Row],[Unit Price]]*Sales_Data2[[#This Row],[Quantity]]</f>
        <v>1080000</v>
      </c>
      <c r="M840">
        <f>Sales_Data2[[#This Row],[Cost Price]]*Sales_Data2[[#This Row],[Quantity]]</f>
        <v>864000</v>
      </c>
      <c r="N840" s="3">
        <f>Sales_Data2[[#This Row],[Revenue]]-Sales_Data2[[#This Row],[COGS]]</f>
        <v>216000</v>
      </c>
      <c r="O8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46514|West|Kano|Retail|Store|Air Conditioner X2|Home Appliances|180000|6|Musa|144000</v>
      </c>
      <c r="P840" s="3" t="str">
        <f>IF(COUNTIF(Sales_Data2[RowKey],Sales_Data2[[#This Row],[RowKey]])&gt;1,"Duplicate","Unique")</f>
        <v>Unique</v>
      </c>
      <c r="Q840" s="3" t="str">
        <f>IF(ISNUMBER(Sales_Data2[[#This Row],[Date]]),"OK","Check")</f>
        <v>OK</v>
      </c>
      <c r="R840" s="3" t="str">
        <f>IF(ISNUMBER(Sales_Data2[[#This Row],[Quantity]]),"OK","Check")</f>
        <v>OK</v>
      </c>
    </row>
    <row r="841" spans="1:18">
      <c r="A841" s="1">
        <v>46515</v>
      </c>
      <c r="B841" t="s">
        <v>25</v>
      </c>
      <c r="C841" t="s">
        <v>32</v>
      </c>
      <c r="D841" t="s">
        <v>23</v>
      </c>
      <c r="E841" t="s">
        <v>20</v>
      </c>
      <c r="F841" t="s">
        <v>33</v>
      </c>
      <c r="G841" t="s">
        <v>22</v>
      </c>
      <c r="H841">
        <v>180000</v>
      </c>
      <c r="I841">
        <v>8</v>
      </c>
      <c r="J841" t="s">
        <v>39</v>
      </c>
      <c r="K841">
        <f t="shared" si="13"/>
        <v>144000</v>
      </c>
      <c r="L841">
        <f>Sales_Data2[[#This Row],[Unit Price]]*Sales_Data2[[#This Row],[Quantity]]</f>
        <v>1440000</v>
      </c>
      <c r="M841">
        <f>Sales_Data2[[#This Row],[Cost Price]]*Sales_Data2[[#This Row],[Quantity]]</f>
        <v>1152000</v>
      </c>
      <c r="N841" s="3">
        <f>Sales_Data2[[#This Row],[Revenue]]-Sales_Data2[[#This Row],[COGS]]</f>
        <v>288000</v>
      </c>
      <c r="O8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46515|South|Abuja|Corporate|Store|Air Conditioner X2|Home Appliances|180000|8|Grace|144000</v>
      </c>
      <c r="P841" s="3" t="str">
        <f>IF(COUNTIF(Sales_Data2[RowKey],Sales_Data2[[#This Row],[RowKey]])&gt;1,"Duplicate","Unique")</f>
        <v>Unique</v>
      </c>
      <c r="Q841" s="3" t="str">
        <f>IF(ISNUMBER(Sales_Data2[[#This Row],[Date]]),"OK","Check")</f>
        <v>OK</v>
      </c>
      <c r="R841" s="3" t="str">
        <f>IF(ISNUMBER(Sales_Data2[[#This Row],[Quantity]]),"OK","Check")</f>
        <v>OK</v>
      </c>
    </row>
    <row r="842" spans="1:18">
      <c r="A842" s="1">
        <v>46516</v>
      </c>
      <c r="B842" t="s">
        <v>11</v>
      </c>
      <c r="C842" t="s">
        <v>19</v>
      </c>
      <c r="D842" t="s">
        <v>23</v>
      </c>
      <c r="E842" t="s">
        <v>20</v>
      </c>
      <c r="F842" t="s">
        <v>38</v>
      </c>
      <c r="G842" t="s">
        <v>31</v>
      </c>
      <c r="H842">
        <v>420000</v>
      </c>
      <c r="I842">
        <v>3</v>
      </c>
      <c r="J842" t="s">
        <v>17</v>
      </c>
      <c r="K842">
        <f t="shared" si="13"/>
        <v>336000</v>
      </c>
      <c r="L842">
        <f>Sales_Data2[[#This Row],[Unit Price]]*Sales_Data2[[#This Row],[Quantity]]</f>
        <v>1260000</v>
      </c>
      <c r="M842">
        <f>Sales_Data2[[#This Row],[Cost Price]]*Sales_Data2[[#This Row],[Quantity]]</f>
        <v>1008000</v>
      </c>
      <c r="N842" s="3">
        <f>Sales_Data2[[#This Row],[Revenue]]-Sales_Data2[[#This Row],[COGS]]</f>
        <v>252000</v>
      </c>
      <c r="O8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46516|West|Lagos|Corporate|Store|Laptop A13|Electronics|420000|3|Chidinma|336000</v>
      </c>
      <c r="P842" s="3" t="str">
        <f>IF(COUNTIF(Sales_Data2[RowKey],Sales_Data2[[#This Row],[RowKey]])&gt;1,"Duplicate","Unique")</f>
        <v>Unique</v>
      </c>
      <c r="Q842" s="3" t="str">
        <f>IF(ISNUMBER(Sales_Data2[[#This Row],[Date]]),"OK","Check")</f>
        <v>OK</v>
      </c>
      <c r="R842" s="3" t="str">
        <f>IF(ISNUMBER(Sales_Data2[[#This Row],[Quantity]]),"OK","Check")</f>
        <v>OK</v>
      </c>
    </row>
    <row r="843" spans="1:18">
      <c r="A843" s="1">
        <v>46517</v>
      </c>
      <c r="B843" t="s">
        <v>29</v>
      </c>
      <c r="C843" t="s">
        <v>26</v>
      </c>
      <c r="D843" t="s">
        <v>23</v>
      </c>
      <c r="E843" t="s">
        <v>14</v>
      </c>
      <c r="F843" t="s">
        <v>21</v>
      </c>
      <c r="G843" t="s">
        <v>22</v>
      </c>
      <c r="H843">
        <v>30000</v>
      </c>
      <c r="I843">
        <v>10</v>
      </c>
      <c r="J843" t="s">
        <v>28</v>
      </c>
      <c r="K843">
        <f t="shared" si="13"/>
        <v>24000</v>
      </c>
      <c r="L843">
        <f>Sales_Data2[[#This Row],[Unit Price]]*Sales_Data2[[#This Row],[Quantity]]</f>
        <v>300000</v>
      </c>
      <c r="M843">
        <f>Sales_Data2[[#This Row],[Cost Price]]*Sales_Data2[[#This Row],[Quantity]]</f>
        <v>240000</v>
      </c>
      <c r="N843" s="3">
        <f>Sales_Data2[[#This Row],[Revenue]]-Sales_Data2[[#This Row],[COGS]]</f>
        <v>60000</v>
      </c>
      <c r="O8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46517|North|Kano|Corporate|Online|Blender B10|Home Appliances|30000|10|Musa|24000</v>
      </c>
      <c r="P843" s="3" t="str">
        <f>IF(COUNTIF(Sales_Data2[RowKey],Sales_Data2[[#This Row],[RowKey]])&gt;1,"Duplicate","Unique")</f>
        <v>Unique</v>
      </c>
      <c r="Q843" s="3" t="str">
        <f>IF(ISNUMBER(Sales_Data2[[#This Row],[Date]]),"OK","Check")</f>
        <v>OK</v>
      </c>
      <c r="R843" s="3" t="str">
        <f>IF(ISNUMBER(Sales_Data2[[#This Row],[Quantity]]),"OK","Check")</f>
        <v>OK</v>
      </c>
    </row>
    <row r="844" spans="1:18">
      <c r="A844" s="1">
        <v>46518</v>
      </c>
      <c r="B844" t="s">
        <v>18</v>
      </c>
      <c r="C844" t="s">
        <v>26</v>
      </c>
      <c r="D844" t="s">
        <v>23</v>
      </c>
      <c r="E844" t="s">
        <v>14</v>
      </c>
      <c r="F844" t="s">
        <v>15</v>
      </c>
      <c r="G844" t="s">
        <v>16</v>
      </c>
      <c r="H844">
        <v>85000</v>
      </c>
      <c r="I844">
        <v>7</v>
      </c>
      <c r="J844" t="s">
        <v>39</v>
      </c>
      <c r="K844">
        <f t="shared" si="13"/>
        <v>68000</v>
      </c>
      <c r="L844">
        <f>Sales_Data2[[#This Row],[Unit Price]]*Sales_Data2[[#This Row],[Quantity]]</f>
        <v>595000</v>
      </c>
      <c r="M844">
        <f>Sales_Data2[[#This Row],[Cost Price]]*Sales_Data2[[#This Row],[Quantity]]</f>
        <v>476000</v>
      </c>
      <c r="N844" s="3">
        <f>Sales_Data2[[#This Row],[Revenue]]-Sales_Data2[[#This Row],[COGS]]</f>
        <v>119000</v>
      </c>
      <c r="O8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46518|East|Kano|Corporate|Online|Office Chair Pro|Furniture|85000|7|Grace|68000</v>
      </c>
      <c r="P844" s="3" t="str">
        <f>IF(COUNTIF(Sales_Data2[RowKey],Sales_Data2[[#This Row],[RowKey]])&gt;1,"Duplicate","Unique")</f>
        <v>Unique</v>
      </c>
      <c r="Q844" s="3" t="str">
        <f>IF(ISNUMBER(Sales_Data2[[#This Row],[Date]]),"OK","Check")</f>
        <v>OK</v>
      </c>
      <c r="R844" s="3" t="str">
        <f>IF(ISNUMBER(Sales_Data2[[#This Row],[Quantity]]),"OK","Check")</f>
        <v>OK</v>
      </c>
    </row>
    <row r="845" spans="1:18">
      <c r="A845" s="1">
        <v>46519</v>
      </c>
      <c r="B845" t="s">
        <v>11</v>
      </c>
      <c r="C845" t="s">
        <v>12</v>
      </c>
      <c r="D845" t="s">
        <v>13</v>
      </c>
      <c r="E845" t="s">
        <v>20</v>
      </c>
      <c r="F845" t="s">
        <v>21</v>
      </c>
      <c r="G845" t="s">
        <v>22</v>
      </c>
      <c r="H845">
        <v>30000</v>
      </c>
      <c r="I845">
        <v>5</v>
      </c>
      <c r="J845" t="s">
        <v>17</v>
      </c>
      <c r="K845">
        <f t="shared" si="13"/>
        <v>24000</v>
      </c>
      <c r="L845">
        <f>Sales_Data2[[#This Row],[Unit Price]]*Sales_Data2[[#This Row],[Quantity]]</f>
        <v>150000</v>
      </c>
      <c r="M845">
        <f>Sales_Data2[[#This Row],[Cost Price]]*Sales_Data2[[#This Row],[Quantity]]</f>
        <v>120000</v>
      </c>
      <c r="N845" s="3">
        <f>Sales_Data2[[#This Row],[Revenue]]-Sales_Data2[[#This Row],[COGS]]</f>
        <v>30000</v>
      </c>
      <c r="O8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46519|West|Port Harcourt|Retail|Store|Blender B10|Home Appliances|30000|5|Chidinma|24000</v>
      </c>
      <c r="P845" s="3" t="str">
        <f>IF(COUNTIF(Sales_Data2[RowKey],Sales_Data2[[#This Row],[RowKey]])&gt;1,"Duplicate","Unique")</f>
        <v>Unique</v>
      </c>
      <c r="Q845" s="3" t="str">
        <f>IF(ISNUMBER(Sales_Data2[[#This Row],[Date]]),"OK","Check")</f>
        <v>OK</v>
      </c>
      <c r="R845" s="3" t="str">
        <f>IF(ISNUMBER(Sales_Data2[[#This Row],[Quantity]]),"OK","Check")</f>
        <v>OK</v>
      </c>
    </row>
    <row r="846" spans="1:18">
      <c r="A846" s="1">
        <v>46520</v>
      </c>
      <c r="B846" t="s">
        <v>29</v>
      </c>
      <c r="C846" t="s">
        <v>12</v>
      </c>
      <c r="D846" t="s">
        <v>13</v>
      </c>
      <c r="E846" t="s">
        <v>20</v>
      </c>
      <c r="F846" t="s">
        <v>30</v>
      </c>
      <c r="G846" t="s">
        <v>31</v>
      </c>
      <c r="H846">
        <v>300000</v>
      </c>
      <c r="I846">
        <v>5</v>
      </c>
      <c r="J846" t="s">
        <v>39</v>
      </c>
      <c r="K846">
        <f t="shared" si="13"/>
        <v>240000</v>
      </c>
      <c r="L846">
        <f>Sales_Data2[[#This Row],[Unit Price]]*Sales_Data2[[#This Row],[Quantity]]</f>
        <v>1500000</v>
      </c>
      <c r="M846">
        <f>Sales_Data2[[#This Row],[Cost Price]]*Sales_Data2[[#This Row],[Quantity]]</f>
        <v>1200000</v>
      </c>
      <c r="N846" s="3">
        <f>Sales_Data2[[#This Row],[Revenue]]-Sales_Data2[[#This Row],[COGS]]</f>
        <v>300000</v>
      </c>
      <c r="O8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46520|North|Port Harcourt|Retail|Store|Desktop PC D21|Electronics|300000|5|Grace|240000</v>
      </c>
      <c r="P846" s="3" t="str">
        <f>IF(COUNTIF(Sales_Data2[RowKey],Sales_Data2[[#This Row],[RowKey]])&gt;1,"Duplicate","Unique")</f>
        <v>Unique</v>
      </c>
      <c r="Q846" s="3" t="str">
        <f>IF(ISNUMBER(Sales_Data2[[#This Row],[Date]]),"OK","Check")</f>
        <v>OK</v>
      </c>
      <c r="R846" s="3" t="str">
        <f>IF(ISNUMBER(Sales_Data2[[#This Row],[Quantity]]),"OK","Check")</f>
        <v>OK</v>
      </c>
    </row>
    <row r="847" spans="1:18">
      <c r="A847" s="1">
        <v>46521</v>
      </c>
      <c r="B847" t="s">
        <v>11</v>
      </c>
      <c r="C847" t="s">
        <v>26</v>
      </c>
      <c r="D847" t="s">
        <v>23</v>
      </c>
      <c r="E847" t="s">
        <v>20</v>
      </c>
      <c r="F847" t="s">
        <v>15</v>
      </c>
      <c r="G847" t="s">
        <v>16</v>
      </c>
      <c r="H847">
        <v>85000</v>
      </c>
      <c r="I847">
        <v>8</v>
      </c>
      <c r="J847" t="s">
        <v>28</v>
      </c>
      <c r="K847">
        <f t="shared" si="13"/>
        <v>68000</v>
      </c>
      <c r="L847">
        <f>Sales_Data2[[#This Row],[Unit Price]]*Sales_Data2[[#This Row],[Quantity]]</f>
        <v>680000</v>
      </c>
      <c r="M847">
        <f>Sales_Data2[[#This Row],[Cost Price]]*Sales_Data2[[#This Row],[Quantity]]</f>
        <v>544000</v>
      </c>
      <c r="N847" s="3">
        <f>Sales_Data2[[#This Row],[Revenue]]-Sales_Data2[[#This Row],[COGS]]</f>
        <v>136000</v>
      </c>
      <c r="O8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46521|West|Kano|Corporate|Store|Office Chair Pro|Furniture|85000|8|Musa|68000</v>
      </c>
      <c r="P847" s="3" t="str">
        <f>IF(COUNTIF(Sales_Data2[RowKey],Sales_Data2[[#This Row],[RowKey]])&gt;1,"Duplicate","Unique")</f>
        <v>Unique</v>
      </c>
      <c r="Q847" s="3" t="str">
        <f>IF(ISNUMBER(Sales_Data2[[#This Row],[Date]]),"OK","Check")</f>
        <v>OK</v>
      </c>
      <c r="R847" s="3" t="str">
        <f>IF(ISNUMBER(Sales_Data2[[#This Row],[Quantity]]),"OK","Check")</f>
        <v>OK</v>
      </c>
    </row>
    <row r="848" spans="1:18">
      <c r="A848" s="1">
        <v>46522</v>
      </c>
      <c r="B848" t="s">
        <v>25</v>
      </c>
      <c r="C848" t="s">
        <v>32</v>
      </c>
      <c r="D848" t="s">
        <v>23</v>
      </c>
      <c r="E848" t="s">
        <v>20</v>
      </c>
      <c r="F848" t="s">
        <v>41</v>
      </c>
      <c r="G848" t="s">
        <v>22</v>
      </c>
      <c r="H848">
        <v>220000</v>
      </c>
      <c r="I848">
        <v>7</v>
      </c>
      <c r="J848" t="s">
        <v>24</v>
      </c>
      <c r="K848">
        <f t="shared" si="13"/>
        <v>176000</v>
      </c>
      <c r="L848">
        <f>Sales_Data2[[#This Row],[Unit Price]]*Sales_Data2[[#This Row],[Quantity]]</f>
        <v>1540000</v>
      </c>
      <c r="M848">
        <f>Sales_Data2[[#This Row],[Cost Price]]*Sales_Data2[[#This Row],[Quantity]]</f>
        <v>1232000</v>
      </c>
      <c r="N848" s="3">
        <f>Sales_Data2[[#This Row],[Revenue]]-Sales_Data2[[#This Row],[COGS]]</f>
        <v>308000</v>
      </c>
      <c r="O8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46522|South|Abuja|Corporate|Store|Refrigerator R55|Home Appliances|220000|7|David|176000</v>
      </c>
      <c r="P848" s="3" t="str">
        <f>IF(COUNTIF(Sales_Data2[RowKey],Sales_Data2[[#This Row],[RowKey]])&gt;1,"Duplicate","Unique")</f>
        <v>Unique</v>
      </c>
      <c r="Q848" s="3" t="str">
        <f>IF(ISNUMBER(Sales_Data2[[#This Row],[Date]]),"OK","Check")</f>
        <v>OK</v>
      </c>
      <c r="R848" s="3" t="str">
        <f>IF(ISNUMBER(Sales_Data2[[#This Row],[Quantity]]),"OK","Check")</f>
        <v>OK</v>
      </c>
    </row>
    <row r="849" spans="1:18">
      <c r="A849" s="1">
        <v>46523</v>
      </c>
      <c r="B849" t="s">
        <v>29</v>
      </c>
      <c r="C849" t="s">
        <v>19</v>
      </c>
      <c r="D849" t="s">
        <v>13</v>
      </c>
      <c r="E849" t="s">
        <v>14</v>
      </c>
      <c r="F849" t="s">
        <v>15</v>
      </c>
      <c r="G849" t="s">
        <v>16</v>
      </c>
      <c r="H849">
        <v>85000</v>
      </c>
      <c r="I849">
        <v>8</v>
      </c>
      <c r="J849" t="s">
        <v>24</v>
      </c>
      <c r="K849">
        <f t="shared" si="13"/>
        <v>68000</v>
      </c>
      <c r="L849">
        <f>Sales_Data2[[#This Row],[Unit Price]]*Sales_Data2[[#This Row],[Quantity]]</f>
        <v>680000</v>
      </c>
      <c r="M849">
        <f>Sales_Data2[[#This Row],[Cost Price]]*Sales_Data2[[#This Row],[Quantity]]</f>
        <v>544000</v>
      </c>
      <c r="N849" s="3">
        <f>Sales_Data2[[#This Row],[Revenue]]-Sales_Data2[[#This Row],[COGS]]</f>
        <v>136000</v>
      </c>
      <c r="O8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46523|North|Lagos|Retail|Online|Office Chair Pro|Furniture|85000|8|David|68000</v>
      </c>
      <c r="P849" s="3" t="str">
        <f>IF(COUNTIF(Sales_Data2[RowKey],Sales_Data2[[#This Row],[RowKey]])&gt;1,"Duplicate","Unique")</f>
        <v>Unique</v>
      </c>
      <c r="Q849" s="3" t="str">
        <f>IF(ISNUMBER(Sales_Data2[[#This Row],[Date]]),"OK","Check")</f>
        <v>OK</v>
      </c>
      <c r="R849" s="3" t="str">
        <f>IF(ISNUMBER(Sales_Data2[[#This Row],[Quantity]]),"OK","Check")</f>
        <v>OK</v>
      </c>
    </row>
    <row r="850" spans="1:18">
      <c r="A850" s="1">
        <v>46524</v>
      </c>
      <c r="B850" t="s">
        <v>18</v>
      </c>
      <c r="C850" t="s">
        <v>32</v>
      </c>
      <c r="D850" t="s">
        <v>23</v>
      </c>
      <c r="E850" t="s">
        <v>14</v>
      </c>
      <c r="F850" t="s">
        <v>36</v>
      </c>
      <c r="G850" t="s">
        <v>31</v>
      </c>
      <c r="H850">
        <v>150000</v>
      </c>
      <c r="I850">
        <v>5</v>
      </c>
      <c r="J850" t="s">
        <v>35</v>
      </c>
      <c r="K850">
        <f t="shared" si="13"/>
        <v>120000</v>
      </c>
      <c r="L850">
        <f>Sales_Data2[[#This Row],[Unit Price]]*Sales_Data2[[#This Row],[Quantity]]</f>
        <v>750000</v>
      </c>
      <c r="M850">
        <f>Sales_Data2[[#This Row],[Cost Price]]*Sales_Data2[[#This Row],[Quantity]]</f>
        <v>600000</v>
      </c>
      <c r="N850" s="3">
        <f>Sales_Data2[[#This Row],[Revenue]]-Sales_Data2[[#This Row],[COGS]]</f>
        <v>150000</v>
      </c>
      <c r="O8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46524|East|Abuja|Corporate|Online|Printer P50|Electronics|150000|5|Peter|120000</v>
      </c>
      <c r="P850" s="3" t="str">
        <f>IF(COUNTIF(Sales_Data2[RowKey],Sales_Data2[[#This Row],[RowKey]])&gt;1,"Duplicate","Unique")</f>
        <v>Unique</v>
      </c>
      <c r="Q850" s="3" t="str">
        <f>IF(ISNUMBER(Sales_Data2[[#This Row],[Date]]),"OK","Check")</f>
        <v>OK</v>
      </c>
      <c r="R850" s="3" t="str">
        <f>IF(ISNUMBER(Sales_Data2[[#This Row],[Quantity]]),"OK","Check")</f>
        <v>OK</v>
      </c>
    </row>
    <row r="851" spans="1:18">
      <c r="A851" s="1">
        <v>46525</v>
      </c>
      <c r="B851" t="s">
        <v>18</v>
      </c>
      <c r="C851" t="s">
        <v>12</v>
      </c>
      <c r="D851" t="s">
        <v>13</v>
      </c>
      <c r="E851" t="s">
        <v>20</v>
      </c>
      <c r="F851" t="s">
        <v>27</v>
      </c>
      <c r="G851" t="s">
        <v>22</v>
      </c>
      <c r="H851">
        <v>60000</v>
      </c>
      <c r="I851">
        <v>10</v>
      </c>
      <c r="J851" t="s">
        <v>24</v>
      </c>
      <c r="K851">
        <f t="shared" si="13"/>
        <v>48000</v>
      </c>
      <c r="L851">
        <f>Sales_Data2[[#This Row],[Unit Price]]*Sales_Data2[[#This Row],[Quantity]]</f>
        <v>600000</v>
      </c>
      <c r="M851">
        <f>Sales_Data2[[#This Row],[Cost Price]]*Sales_Data2[[#This Row],[Quantity]]</f>
        <v>480000</v>
      </c>
      <c r="N851" s="3">
        <f>Sales_Data2[[#This Row],[Revenue]]-Sales_Data2[[#This Row],[COGS]]</f>
        <v>120000</v>
      </c>
      <c r="O8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46525|East|Port Harcourt|Retail|Store|Microwave M20|Home Appliances|60000|10|David|48000</v>
      </c>
      <c r="P851" s="3" t="str">
        <f>IF(COUNTIF(Sales_Data2[RowKey],Sales_Data2[[#This Row],[RowKey]])&gt;1,"Duplicate","Unique")</f>
        <v>Unique</v>
      </c>
      <c r="Q851" s="3" t="str">
        <f>IF(ISNUMBER(Sales_Data2[[#This Row],[Date]]),"OK","Check")</f>
        <v>OK</v>
      </c>
      <c r="R851" s="3" t="str">
        <f>IF(ISNUMBER(Sales_Data2[[#This Row],[Quantity]]),"OK","Check")</f>
        <v>OK</v>
      </c>
    </row>
    <row r="852" spans="1:18">
      <c r="A852" s="1">
        <v>46526</v>
      </c>
      <c r="B852" t="s">
        <v>11</v>
      </c>
      <c r="C852" t="s">
        <v>26</v>
      </c>
      <c r="D852" t="s">
        <v>23</v>
      </c>
      <c r="E852" t="s">
        <v>14</v>
      </c>
      <c r="F852" t="s">
        <v>41</v>
      </c>
      <c r="G852" t="s">
        <v>22</v>
      </c>
      <c r="H852">
        <v>220000</v>
      </c>
      <c r="I852">
        <v>1</v>
      </c>
      <c r="J852" t="s">
        <v>17</v>
      </c>
      <c r="K852">
        <f t="shared" si="13"/>
        <v>176000</v>
      </c>
      <c r="L852">
        <f>Sales_Data2[[#This Row],[Unit Price]]*Sales_Data2[[#This Row],[Quantity]]</f>
        <v>220000</v>
      </c>
      <c r="M852">
        <f>Sales_Data2[[#This Row],[Cost Price]]*Sales_Data2[[#This Row],[Quantity]]</f>
        <v>176000</v>
      </c>
      <c r="N852" s="3">
        <f>Sales_Data2[[#This Row],[Revenue]]-Sales_Data2[[#This Row],[COGS]]</f>
        <v>44000</v>
      </c>
      <c r="O8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46526|West|Kano|Corporate|Online|Refrigerator R55|Home Appliances|220000|1|Chidinma|176000</v>
      </c>
      <c r="P852" s="3" t="str">
        <f>IF(COUNTIF(Sales_Data2[RowKey],Sales_Data2[[#This Row],[RowKey]])&gt;1,"Duplicate","Unique")</f>
        <v>Unique</v>
      </c>
      <c r="Q852" s="3" t="str">
        <f>IF(ISNUMBER(Sales_Data2[[#This Row],[Date]]),"OK","Check")</f>
        <v>OK</v>
      </c>
      <c r="R852" s="3" t="str">
        <f>IF(ISNUMBER(Sales_Data2[[#This Row],[Quantity]]),"OK","Check")</f>
        <v>OK</v>
      </c>
    </row>
    <row r="853" spans="1:18">
      <c r="A853" s="1">
        <v>46527</v>
      </c>
      <c r="B853" t="s">
        <v>29</v>
      </c>
      <c r="C853" t="s">
        <v>19</v>
      </c>
      <c r="D853" t="s">
        <v>23</v>
      </c>
      <c r="E853" t="s">
        <v>14</v>
      </c>
      <c r="F853" t="s">
        <v>21</v>
      </c>
      <c r="G853" t="s">
        <v>22</v>
      </c>
      <c r="H853">
        <v>30000</v>
      </c>
      <c r="I853">
        <v>3</v>
      </c>
      <c r="J853" t="s">
        <v>28</v>
      </c>
      <c r="K853">
        <f t="shared" si="13"/>
        <v>24000</v>
      </c>
      <c r="L853">
        <f>Sales_Data2[[#This Row],[Unit Price]]*Sales_Data2[[#This Row],[Quantity]]</f>
        <v>90000</v>
      </c>
      <c r="M853">
        <f>Sales_Data2[[#This Row],[Cost Price]]*Sales_Data2[[#This Row],[Quantity]]</f>
        <v>72000</v>
      </c>
      <c r="N853" s="3">
        <f>Sales_Data2[[#This Row],[Revenue]]-Sales_Data2[[#This Row],[COGS]]</f>
        <v>18000</v>
      </c>
      <c r="O8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46527|North|Lagos|Corporate|Online|Blender B10|Home Appliances|30000|3|Musa|24000</v>
      </c>
      <c r="P853" s="3" t="str">
        <f>IF(COUNTIF(Sales_Data2[RowKey],Sales_Data2[[#This Row],[RowKey]])&gt;1,"Duplicate","Unique")</f>
        <v>Unique</v>
      </c>
      <c r="Q853" s="3" t="str">
        <f>IF(ISNUMBER(Sales_Data2[[#This Row],[Date]]),"OK","Check")</f>
        <v>OK</v>
      </c>
      <c r="R853" s="3" t="str">
        <f>IF(ISNUMBER(Sales_Data2[[#This Row],[Quantity]]),"OK","Check")</f>
        <v>OK</v>
      </c>
    </row>
    <row r="854" spans="1:18">
      <c r="A854" s="1">
        <v>46528</v>
      </c>
      <c r="B854" t="s">
        <v>25</v>
      </c>
      <c r="C854" t="s">
        <v>19</v>
      </c>
      <c r="D854" t="s">
        <v>23</v>
      </c>
      <c r="E854" t="s">
        <v>14</v>
      </c>
      <c r="F854" t="s">
        <v>38</v>
      </c>
      <c r="G854" t="s">
        <v>31</v>
      </c>
      <c r="H854">
        <v>420000</v>
      </c>
      <c r="I854">
        <v>1</v>
      </c>
      <c r="J854" t="s">
        <v>35</v>
      </c>
      <c r="K854">
        <f t="shared" si="13"/>
        <v>336000</v>
      </c>
      <c r="L854">
        <f>Sales_Data2[[#This Row],[Unit Price]]*Sales_Data2[[#This Row],[Quantity]]</f>
        <v>420000</v>
      </c>
      <c r="M854">
        <f>Sales_Data2[[#This Row],[Cost Price]]*Sales_Data2[[#This Row],[Quantity]]</f>
        <v>336000</v>
      </c>
      <c r="N854" s="3">
        <f>Sales_Data2[[#This Row],[Revenue]]-Sales_Data2[[#This Row],[COGS]]</f>
        <v>84000</v>
      </c>
      <c r="O8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46528|South|Lagos|Corporate|Online|Laptop A13|Electronics|420000|1|Peter|336000</v>
      </c>
      <c r="P854" s="3" t="str">
        <f>IF(COUNTIF(Sales_Data2[RowKey],Sales_Data2[[#This Row],[RowKey]])&gt;1,"Duplicate","Unique")</f>
        <v>Unique</v>
      </c>
      <c r="Q854" s="3" t="str">
        <f>IF(ISNUMBER(Sales_Data2[[#This Row],[Date]]),"OK","Check")</f>
        <v>OK</v>
      </c>
      <c r="R854" s="3" t="str">
        <f>IF(ISNUMBER(Sales_Data2[[#This Row],[Quantity]]),"OK","Check")</f>
        <v>OK</v>
      </c>
    </row>
    <row r="855" spans="1:18">
      <c r="A855" s="1">
        <v>46529</v>
      </c>
      <c r="B855" t="s">
        <v>18</v>
      </c>
      <c r="C855" t="s">
        <v>12</v>
      </c>
      <c r="D855" t="s">
        <v>13</v>
      </c>
      <c r="E855" t="s">
        <v>20</v>
      </c>
      <c r="F855" t="s">
        <v>21</v>
      </c>
      <c r="G855" t="s">
        <v>22</v>
      </c>
      <c r="H855">
        <v>30000</v>
      </c>
      <c r="I855">
        <v>5</v>
      </c>
      <c r="J855" t="s">
        <v>39</v>
      </c>
      <c r="K855">
        <f t="shared" si="13"/>
        <v>24000</v>
      </c>
      <c r="L855">
        <f>Sales_Data2[[#This Row],[Unit Price]]*Sales_Data2[[#This Row],[Quantity]]</f>
        <v>150000</v>
      </c>
      <c r="M855">
        <f>Sales_Data2[[#This Row],[Cost Price]]*Sales_Data2[[#This Row],[Quantity]]</f>
        <v>120000</v>
      </c>
      <c r="N855" s="3">
        <f>Sales_Data2[[#This Row],[Revenue]]-Sales_Data2[[#This Row],[COGS]]</f>
        <v>30000</v>
      </c>
      <c r="O8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46529|East|Port Harcourt|Retail|Store|Blender B10|Home Appliances|30000|5|Grace|24000</v>
      </c>
      <c r="P855" s="3" t="str">
        <f>IF(COUNTIF(Sales_Data2[RowKey],Sales_Data2[[#This Row],[RowKey]])&gt;1,"Duplicate","Unique")</f>
        <v>Unique</v>
      </c>
      <c r="Q855" s="3" t="str">
        <f>IF(ISNUMBER(Sales_Data2[[#This Row],[Date]]),"OK","Check")</f>
        <v>OK</v>
      </c>
      <c r="R855" s="3" t="str">
        <f>IF(ISNUMBER(Sales_Data2[[#This Row],[Quantity]]),"OK","Check")</f>
        <v>OK</v>
      </c>
    </row>
    <row r="856" spans="1:18">
      <c r="A856" s="1">
        <v>46530</v>
      </c>
      <c r="B856" t="s">
        <v>18</v>
      </c>
      <c r="C856" t="s">
        <v>32</v>
      </c>
      <c r="D856" t="s">
        <v>23</v>
      </c>
      <c r="E856" t="s">
        <v>14</v>
      </c>
      <c r="F856" t="s">
        <v>38</v>
      </c>
      <c r="G856" t="s">
        <v>31</v>
      </c>
      <c r="H856">
        <v>420000</v>
      </c>
      <c r="I856">
        <v>7</v>
      </c>
      <c r="J856" t="s">
        <v>17</v>
      </c>
      <c r="K856">
        <f t="shared" si="13"/>
        <v>336000</v>
      </c>
      <c r="L856">
        <f>Sales_Data2[[#This Row],[Unit Price]]*Sales_Data2[[#This Row],[Quantity]]</f>
        <v>2940000</v>
      </c>
      <c r="M856">
        <f>Sales_Data2[[#This Row],[Cost Price]]*Sales_Data2[[#This Row],[Quantity]]</f>
        <v>2352000</v>
      </c>
      <c r="N856" s="3">
        <f>Sales_Data2[[#This Row],[Revenue]]-Sales_Data2[[#This Row],[COGS]]</f>
        <v>588000</v>
      </c>
      <c r="O8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46530|East|Abuja|Corporate|Online|Laptop A13|Electronics|420000|7|Chidinma|336000</v>
      </c>
      <c r="P856" s="3" t="str">
        <f>IF(COUNTIF(Sales_Data2[RowKey],Sales_Data2[[#This Row],[RowKey]])&gt;1,"Duplicate","Unique")</f>
        <v>Unique</v>
      </c>
      <c r="Q856" s="3" t="str">
        <f>IF(ISNUMBER(Sales_Data2[[#This Row],[Date]]),"OK","Check")</f>
        <v>OK</v>
      </c>
      <c r="R856" s="3" t="str">
        <f>IF(ISNUMBER(Sales_Data2[[#This Row],[Quantity]]),"OK","Check")</f>
        <v>OK</v>
      </c>
    </row>
    <row r="857" spans="1:18">
      <c r="A857" s="1">
        <v>46531</v>
      </c>
      <c r="B857" t="s">
        <v>25</v>
      </c>
      <c r="C857" t="s">
        <v>19</v>
      </c>
      <c r="D857" t="s">
        <v>13</v>
      </c>
      <c r="E857" t="s">
        <v>20</v>
      </c>
      <c r="F857" t="s">
        <v>33</v>
      </c>
      <c r="G857" t="s">
        <v>22</v>
      </c>
      <c r="H857">
        <v>180000</v>
      </c>
      <c r="I857">
        <v>8</v>
      </c>
      <c r="J857" t="s">
        <v>37</v>
      </c>
      <c r="K857">
        <f t="shared" si="13"/>
        <v>144000</v>
      </c>
      <c r="L857">
        <f>Sales_Data2[[#This Row],[Unit Price]]*Sales_Data2[[#This Row],[Quantity]]</f>
        <v>1440000</v>
      </c>
      <c r="M857">
        <f>Sales_Data2[[#This Row],[Cost Price]]*Sales_Data2[[#This Row],[Quantity]]</f>
        <v>1152000</v>
      </c>
      <c r="N857" s="3">
        <f>Sales_Data2[[#This Row],[Revenue]]-Sales_Data2[[#This Row],[COGS]]</f>
        <v>288000</v>
      </c>
      <c r="O8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46531|South|Lagos|Retail|Store|Air Conditioner X2|Home Appliances|180000|8|Aisha|144000</v>
      </c>
      <c r="P857" s="3" t="str">
        <f>IF(COUNTIF(Sales_Data2[RowKey],Sales_Data2[[#This Row],[RowKey]])&gt;1,"Duplicate","Unique")</f>
        <v>Unique</v>
      </c>
      <c r="Q857" s="3" t="str">
        <f>IF(ISNUMBER(Sales_Data2[[#This Row],[Date]]),"OK","Check")</f>
        <v>OK</v>
      </c>
      <c r="R857" s="3" t="str">
        <f>IF(ISNUMBER(Sales_Data2[[#This Row],[Quantity]]),"OK","Check")</f>
        <v>OK</v>
      </c>
    </row>
    <row r="858" spans="1:18">
      <c r="A858" s="1">
        <v>46532</v>
      </c>
      <c r="B858" t="s">
        <v>11</v>
      </c>
      <c r="C858" t="s">
        <v>32</v>
      </c>
      <c r="D858" t="s">
        <v>23</v>
      </c>
      <c r="E858" t="s">
        <v>20</v>
      </c>
      <c r="F858" t="s">
        <v>41</v>
      </c>
      <c r="G858" t="s">
        <v>22</v>
      </c>
      <c r="H858">
        <v>220000</v>
      </c>
      <c r="I858">
        <v>3</v>
      </c>
      <c r="J858" t="s">
        <v>28</v>
      </c>
      <c r="K858">
        <f t="shared" si="13"/>
        <v>176000</v>
      </c>
      <c r="L858">
        <f>Sales_Data2[[#This Row],[Unit Price]]*Sales_Data2[[#This Row],[Quantity]]</f>
        <v>660000</v>
      </c>
      <c r="M858">
        <f>Sales_Data2[[#This Row],[Cost Price]]*Sales_Data2[[#This Row],[Quantity]]</f>
        <v>528000</v>
      </c>
      <c r="N858" s="3">
        <f>Sales_Data2[[#This Row],[Revenue]]-Sales_Data2[[#This Row],[COGS]]</f>
        <v>132000</v>
      </c>
      <c r="O8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46532|West|Abuja|Corporate|Store|Refrigerator R55|Home Appliances|220000|3|Musa|176000</v>
      </c>
      <c r="P858" s="3" t="str">
        <f>IF(COUNTIF(Sales_Data2[RowKey],Sales_Data2[[#This Row],[RowKey]])&gt;1,"Duplicate","Unique")</f>
        <v>Unique</v>
      </c>
      <c r="Q858" s="3" t="str">
        <f>IF(ISNUMBER(Sales_Data2[[#This Row],[Date]]),"OK","Check")</f>
        <v>OK</v>
      </c>
      <c r="R858" s="3" t="str">
        <f>IF(ISNUMBER(Sales_Data2[[#This Row],[Quantity]]),"OK","Check")</f>
        <v>OK</v>
      </c>
    </row>
    <row r="859" spans="1:18">
      <c r="A859" s="1">
        <v>46533</v>
      </c>
      <c r="B859" t="s">
        <v>18</v>
      </c>
      <c r="C859" t="s">
        <v>32</v>
      </c>
      <c r="D859" t="s">
        <v>13</v>
      </c>
      <c r="E859" t="s">
        <v>14</v>
      </c>
      <c r="F859" t="s">
        <v>38</v>
      </c>
      <c r="G859" t="s">
        <v>31</v>
      </c>
      <c r="H859">
        <v>420000</v>
      </c>
      <c r="I859">
        <v>3</v>
      </c>
      <c r="J859" t="s">
        <v>17</v>
      </c>
      <c r="K859">
        <f t="shared" si="13"/>
        <v>336000</v>
      </c>
      <c r="L859">
        <f>Sales_Data2[[#This Row],[Unit Price]]*Sales_Data2[[#This Row],[Quantity]]</f>
        <v>1260000</v>
      </c>
      <c r="M859">
        <f>Sales_Data2[[#This Row],[Cost Price]]*Sales_Data2[[#This Row],[Quantity]]</f>
        <v>1008000</v>
      </c>
      <c r="N859" s="3">
        <f>Sales_Data2[[#This Row],[Revenue]]-Sales_Data2[[#This Row],[COGS]]</f>
        <v>252000</v>
      </c>
      <c r="O8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46533|East|Abuja|Retail|Online|Laptop A13|Electronics|420000|3|Chidinma|336000</v>
      </c>
      <c r="P859" s="3" t="str">
        <f>IF(COUNTIF(Sales_Data2[RowKey],Sales_Data2[[#This Row],[RowKey]])&gt;1,"Duplicate","Unique")</f>
        <v>Unique</v>
      </c>
      <c r="Q859" s="3" t="str">
        <f>IF(ISNUMBER(Sales_Data2[[#This Row],[Date]]),"OK","Check")</f>
        <v>OK</v>
      </c>
      <c r="R859" s="3" t="str">
        <f>IF(ISNUMBER(Sales_Data2[[#This Row],[Quantity]]),"OK","Check")</f>
        <v>OK</v>
      </c>
    </row>
    <row r="860" spans="1:18">
      <c r="A860" s="1">
        <v>46534</v>
      </c>
      <c r="B860" t="s">
        <v>18</v>
      </c>
      <c r="C860" t="s">
        <v>26</v>
      </c>
      <c r="D860" t="s">
        <v>13</v>
      </c>
      <c r="E860" t="s">
        <v>14</v>
      </c>
      <c r="F860" t="s">
        <v>33</v>
      </c>
      <c r="G860" t="s">
        <v>22</v>
      </c>
      <c r="H860">
        <v>180000</v>
      </c>
      <c r="I860">
        <v>5</v>
      </c>
      <c r="J860" t="s">
        <v>39</v>
      </c>
      <c r="K860">
        <f t="shared" si="13"/>
        <v>144000</v>
      </c>
      <c r="L860">
        <f>Sales_Data2[[#This Row],[Unit Price]]*Sales_Data2[[#This Row],[Quantity]]</f>
        <v>900000</v>
      </c>
      <c r="M860">
        <f>Sales_Data2[[#This Row],[Cost Price]]*Sales_Data2[[#This Row],[Quantity]]</f>
        <v>720000</v>
      </c>
      <c r="N860" s="3">
        <f>Sales_Data2[[#This Row],[Revenue]]-Sales_Data2[[#This Row],[COGS]]</f>
        <v>180000</v>
      </c>
      <c r="O8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46534|East|Kano|Retail|Online|Air Conditioner X2|Home Appliances|180000|5|Grace|144000</v>
      </c>
      <c r="P860" s="3" t="str">
        <f>IF(COUNTIF(Sales_Data2[RowKey],Sales_Data2[[#This Row],[RowKey]])&gt;1,"Duplicate","Unique")</f>
        <v>Unique</v>
      </c>
      <c r="Q860" s="3" t="str">
        <f>IF(ISNUMBER(Sales_Data2[[#This Row],[Date]]),"OK","Check")</f>
        <v>OK</v>
      </c>
      <c r="R860" s="3" t="str">
        <f>IF(ISNUMBER(Sales_Data2[[#This Row],[Quantity]]),"OK","Check")</f>
        <v>OK</v>
      </c>
    </row>
    <row r="861" spans="1:18">
      <c r="A861" s="1">
        <v>46535</v>
      </c>
      <c r="B861" t="s">
        <v>11</v>
      </c>
      <c r="C861" t="s">
        <v>26</v>
      </c>
      <c r="D861" t="s">
        <v>23</v>
      </c>
      <c r="E861" t="s">
        <v>14</v>
      </c>
      <c r="F861" t="s">
        <v>41</v>
      </c>
      <c r="G861" t="s">
        <v>22</v>
      </c>
      <c r="H861">
        <v>220000</v>
      </c>
      <c r="I861">
        <v>5</v>
      </c>
      <c r="J861" t="s">
        <v>28</v>
      </c>
      <c r="K861">
        <f t="shared" si="13"/>
        <v>176000</v>
      </c>
      <c r="L861">
        <f>Sales_Data2[[#This Row],[Unit Price]]*Sales_Data2[[#This Row],[Quantity]]</f>
        <v>1100000</v>
      </c>
      <c r="M861">
        <f>Sales_Data2[[#This Row],[Cost Price]]*Sales_Data2[[#This Row],[Quantity]]</f>
        <v>880000</v>
      </c>
      <c r="N861" s="3">
        <f>Sales_Data2[[#This Row],[Revenue]]-Sales_Data2[[#This Row],[COGS]]</f>
        <v>220000</v>
      </c>
      <c r="O8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46535|West|Kano|Corporate|Online|Refrigerator R55|Home Appliances|220000|5|Musa|176000</v>
      </c>
      <c r="P861" s="3" t="str">
        <f>IF(COUNTIF(Sales_Data2[RowKey],Sales_Data2[[#This Row],[RowKey]])&gt;1,"Duplicate","Unique")</f>
        <v>Unique</v>
      </c>
      <c r="Q861" s="3" t="str">
        <f>IF(ISNUMBER(Sales_Data2[[#This Row],[Date]]),"OK","Check")</f>
        <v>OK</v>
      </c>
      <c r="R861" s="3" t="str">
        <f>IF(ISNUMBER(Sales_Data2[[#This Row],[Quantity]]),"OK","Check")</f>
        <v>OK</v>
      </c>
    </row>
    <row r="862" spans="1:18">
      <c r="A862" s="1">
        <v>46536</v>
      </c>
      <c r="B862" t="s">
        <v>29</v>
      </c>
      <c r="C862" t="s">
        <v>32</v>
      </c>
      <c r="D862" t="s">
        <v>23</v>
      </c>
      <c r="E862" t="s">
        <v>14</v>
      </c>
      <c r="F862" t="s">
        <v>40</v>
      </c>
      <c r="G862" t="s">
        <v>31</v>
      </c>
      <c r="H862">
        <v>250000</v>
      </c>
      <c r="I862">
        <v>2</v>
      </c>
      <c r="J862" t="s">
        <v>35</v>
      </c>
      <c r="K862">
        <f t="shared" si="13"/>
        <v>200000</v>
      </c>
      <c r="L862">
        <f>Sales_Data2[[#This Row],[Unit Price]]*Sales_Data2[[#This Row],[Quantity]]</f>
        <v>500000</v>
      </c>
      <c r="M862">
        <f>Sales_Data2[[#This Row],[Cost Price]]*Sales_Data2[[#This Row],[Quantity]]</f>
        <v>400000</v>
      </c>
      <c r="N862" s="3">
        <f>Sales_Data2[[#This Row],[Revenue]]-Sales_Data2[[#This Row],[COGS]]</f>
        <v>100000</v>
      </c>
      <c r="O8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46536|North|Abuja|Corporate|Online|Smartphone Z10|Electronics|250000|2|Peter|200000</v>
      </c>
      <c r="P862" s="3" t="str">
        <f>IF(COUNTIF(Sales_Data2[RowKey],Sales_Data2[[#This Row],[RowKey]])&gt;1,"Duplicate","Unique")</f>
        <v>Unique</v>
      </c>
      <c r="Q862" s="3" t="str">
        <f>IF(ISNUMBER(Sales_Data2[[#This Row],[Date]]),"OK","Check")</f>
        <v>OK</v>
      </c>
      <c r="R862" s="3" t="str">
        <f>IF(ISNUMBER(Sales_Data2[[#This Row],[Quantity]]),"OK","Check")</f>
        <v>OK</v>
      </c>
    </row>
    <row r="863" spans="1:18">
      <c r="A863" s="1">
        <v>46537</v>
      </c>
      <c r="B863" t="s">
        <v>18</v>
      </c>
      <c r="C863" t="s">
        <v>26</v>
      </c>
      <c r="D863" t="s">
        <v>23</v>
      </c>
      <c r="E863" t="s">
        <v>14</v>
      </c>
      <c r="F863" t="s">
        <v>38</v>
      </c>
      <c r="G863" t="s">
        <v>31</v>
      </c>
      <c r="H863">
        <v>420000</v>
      </c>
      <c r="I863">
        <v>3</v>
      </c>
      <c r="J863" t="s">
        <v>35</v>
      </c>
      <c r="K863">
        <f t="shared" si="13"/>
        <v>336000</v>
      </c>
      <c r="L863">
        <f>Sales_Data2[[#This Row],[Unit Price]]*Sales_Data2[[#This Row],[Quantity]]</f>
        <v>1260000</v>
      </c>
      <c r="M863">
        <f>Sales_Data2[[#This Row],[Cost Price]]*Sales_Data2[[#This Row],[Quantity]]</f>
        <v>1008000</v>
      </c>
      <c r="N863" s="3">
        <f>Sales_Data2[[#This Row],[Revenue]]-Sales_Data2[[#This Row],[COGS]]</f>
        <v>252000</v>
      </c>
      <c r="O8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46537|East|Kano|Corporate|Online|Laptop A13|Electronics|420000|3|Peter|336000</v>
      </c>
      <c r="P863" s="3" t="str">
        <f>IF(COUNTIF(Sales_Data2[RowKey],Sales_Data2[[#This Row],[RowKey]])&gt;1,"Duplicate","Unique")</f>
        <v>Unique</v>
      </c>
      <c r="Q863" s="3" t="str">
        <f>IF(ISNUMBER(Sales_Data2[[#This Row],[Date]]),"OK","Check")</f>
        <v>OK</v>
      </c>
      <c r="R863" s="3" t="str">
        <f>IF(ISNUMBER(Sales_Data2[[#This Row],[Quantity]]),"OK","Check")</f>
        <v>OK</v>
      </c>
    </row>
    <row r="864" spans="1:18">
      <c r="A864" s="1">
        <v>46538</v>
      </c>
      <c r="B864" t="s">
        <v>18</v>
      </c>
      <c r="C864" t="s">
        <v>19</v>
      </c>
      <c r="D864" t="s">
        <v>23</v>
      </c>
      <c r="E864" t="s">
        <v>14</v>
      </c>
      <c r="F864" t="s">
        <v>38</v>
      </c>
      <c r="G864" t="s">
        <v>31</v>
      </c>
      <c r="H864">
        <v>420000</v>
      </c>
      <c r="I864">
        <v>8</v>
      </c>
      <c r="J864" t="s">
        <v>28</v>
      </c>
      <c r="K864">
        <f t="shared" si="13"/>
        <v>336000</v>
      </c>
      <c r="L864">
        <f>Sales_Data2[[#This Row],[Unit Price]]*Sales_Data2[[#This Row],[Quantity]]</f>
        <v>3360000</v>
      </c>
      <c r="M864">
        <f>Sales_Data2[[#This Row],[Cost Price]]*Sales_Data2[[#This Row],[Quantity]]</f>
        <v>2688000</v>
      </c>
      <c r="N864" s="3">
        <f>Sales_Data2[[#This Row],[Revenue]]-Sales_Data2[[#This Row],[COGS]]</f>
        <v>672000</v>
      </c>
      <c r="O8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46538|East|Lagos|Corporate|Online|Laptop A13|Electronics|420000|8|Musa|336000</v>
      </c>
      <c r="P864" s="3" t="str">
        <f>IF(COUNTIF(Sales_Data2[RowKey],Sales_Data2[[#This Row],[RowKey]])&gt;1,"Duplicate","Unique")</f>
        <v>Unique</v>
      </c>
      <c r="Q864" s="3" t="str">
        <f>IF(ISNUMBER(Sales_Data2[[#This Row],[Date]]),"OK","Check")</f>
        <v>OK</v>
      </c>
      <c r="R864" s="3" t="str">
        <f>IF(ISNUMBER(Sales_Data2[[#This Row],[Quantity]]),"OK","Check")</f>
        <v>OK</v>
      </c>
    </row>
    <row r="865" spans="1:18">
      <c r="A865" s="1">
        <v>46539</v>
      </c>
      <c r="B865" t="s">
        <v>18</v>
      </c>
      <c r="C865" t="s">
        <v>12</v>
      </c>
      <c r="D865" t="s">
        <v>23</v>
      </c>
      <c r="E865" t="s">
        <v>14</v>
      </c>
      <c r="F865" t="s">
        <v>38</v>
      </c>
      <c r="G865" t="s">
        <v>31</v>
      </c>
      <c r="H865">
        <v>420000</v>
      </c>
      <c r="I865">
        <v>7</v>
      </c>
      <c r="J865" t="s">
        <v>17</v>
      </c>
      <c r="K865">
        <f t="shared" si="13"/>
        <v>336000</v>
      </c>
      <c r="L865">
        <f>Sales_Data2[[#This Row],[Unit Price]]*Sales_Data2[[#This Row],[Quantity]]</f>
        <v>2940000</v>
      </c>
      <c r="M865">
        <f>Sales_Data2[[#This Row],[Cost Price]]*Sales_Data2[[#This Row],[Quantity]]</f>
        <v>2352000</v>
      </c>
      <c r="N865" s="3">
        <f>Sales_Data2[[#This Row],[Revenue]]-Sales_Data2[[#This Row],[COGS]]</f>
        <v>588000</v>
      </c>
      <c r="O8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46539|East|Port Harcourt|Corporate|Online|Laptop A13|Electronics|420000|7|Chidinma|336000</v>
      </c>
      <c r="P865" s="3" t="str">
        <f>IF(COUNTIF(Sales_Data2[RowKey],Sales_Data2[[#This Row],[RowKey]])&gt;1,"Duplicate","Unique")</f>
        <v>Unique</v>
      </c>
      <c r="Q865" s="3" t="str">
        <f>IF(ISNUMBER(Sales_Data2[[#This Row],[Date]]),"OK","Check")</f>
        <v>OK</v>
      </c>
      <c r="R865" s="3" t="str">
        <f>IF(ISNUMBER(Sales_Data2[[#This Row],[Quantity]]),"OK","Check")</f>
        <v>OK</v>
      </c>
    </row>
    <row r="866" spans="1:18">
      <c r="A866" s="1">
        <v>46540</v>
      </c>
      <c r="B866" t="s">
        <v>11</v>
      </c>
      <c r="C866" t="s">
        <v>26</v>
      </c>
      <c r="D866" t="s">
        <v>23</v>
      </c>
      <c r="E866" t="s">
        <v>14</v>
      </c>
      <c r="F866" t="s">
        <v>34</v>
      </c>
      <c r="G866" t="s">
        <v>16</v>
      </c>
      <c r="H866">
        <v>320000</v>
      </c>
      <c r="I866">
        <v>6</v>
      </c>
      <c r="J866" t="s">
        <v>28</v>
      </c>
      <c r="K866">
        <f t="shared" si="13"/>
        <v>256000</v>
      </c>
      <c r="L866">
        <f>Sales_Data2[[#This Row],[Unit Price]]*Sales_Data2[[#This Row],[Quantity]]</f>
        <v>1920000</v>
      </c>
      <c r="M866">
        <f>Sales_Data2[[#This Row],[Cost Price]]*Sales_Data2[[#This Row],[Quantity]]</f>
        <v>1536000</v>
      </c>
      <c r="N866" s="3">
        <f>Sales_Data2[[#This Row],[Revenue]]-Sales_Data2[[#This Row],[COGS]]</f>
        <v>384000</v>
      </c>
      <c r="O8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46540|West|Kano|Corporate|Online|Sofa Classic|Furniture|320000|6|Musa|256000</v>
      </c>
      <c r="P866" s="3" t="str">
        <f>IF(COUNTIF(Sales_Data2[RowKey],Sales_Data2[[#This Row],[RowKey]])&gt;1,"Duplicate","Unique")</f>
        <v>Unique</v>
      </c>
      <c r="Q866" s="3" t="str">
        <f>IF(ISNUMBER(Sales_Data2[[#This Row],[Date]]),"OK","Check")</f>
        <v>OK</v>
      </c>
      <c r="R866" s="3" t="str">
        <f>IF(ISNUMBER(Sales_Data2[[#This Row],[Quantity]]),"OK","Check")</f>
        <v>OK</v>
      </c>
    </row>
    <row r="867" spans="1:18">
      <c r="A867" s="1">
        <v>46541</v>
      </c>
      <c r="B867" t="s">
        <v>29</v>
      </c>
      <c r="C867" t="s">
        <v>26</v>
      </c>
      <c r="D867" t="s">
        <v>23</v>
      </c>
      <c r="E867" t="s">
        <v>14</v>
      </c>
      <c r="F867" t="s">
        <v>27</v>
      </c>
      <c r="G867" t="s">
        <v>22</v>
      </c>
      <c r="H867">
        <v>60000</v>
      </c>
      <c r="I867">
        <v>3</v>
      </c>
      <c r="J867" t="s">
        <v>28</v>
      </c>
      <c r="K867">
        <f t="shared" si="13"/>
        <v>48000</v>
      </c>
      <c r="L867">
        <f>Sales_Data2[[#This Row],[Unit Price]]*Sales_Data2[[#This Row],[Quantity]]</f>
        <v>180000</v>
      </c>
      <c r="M867">
        <f>Sales_Data2[[#This Row],[Cost Price]]*Sales_Data2[[#This Row],[Quantity]]</f>
        <v>144000</v>
      </c>
      <c r="N867" s="3">
        <f>Sales_Data2[[#This Row],[Revenue]]-Sales_Data2[[#This Row],[COGS]]</f>
        <v>36000</v>
      </c>
      <c r="O8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46541|North|Kano|Corporate|Online|Microwave M20|Home Appliances|60000|3|Musa|48000</v>
      </c>
      <c r="P867" s="3" t="str">
        <f>IF(COUNTIF(Sales_Data2[RowKey],Sales_Data2[[#This Row],[RowKey]])&gt;1,"Duplicate","Unique")</f>
        <v>Unique</v>
      </c>
      <c r="Q867" s="3" t="str">
        <f>IF(ISNUMBER(Sales_Data2[[#This Row],[Date]]),"OK","Check")</f>
        <v>OK</v>
      </c>
      <c r="R867" s="3" t="str">
        <f>IF(ISNUMBER(Sales_Data2[[#This Row],[Quantity]]),"OK","Check")</f>
        <v>OK</v>
      </c>
    </row>
    <row r="868" spans="1:18">
      <c r="A868" s="1">
        <v>46542</v>
      </c>
      <c r="B868" t="s">
        <v>11</v>
      </c>
      <c r="C868" t="s">
        <v>12</v>
      </c>
      <c r="D868" t="s">
        <v>23</v>
      </c>
      <c r="E868" t="s">
        <v>20</v>
      </c>
      <c r="F868" t="s">
        <v>15</v>
      </c>
      <c r="G868" t="s">
        <v>16</v>
      </c>
      <c r="H868">
        <v>85000</v>
      </c>
      <c r="I868">
        <v>8</v>
      </c>
      <c r="J868" t="s">
        <v>17</v>
      </c>
      <c r="K868">
        <f t="shared" si="13"/>
        <v>68000</v>
      </c>
      <c r="L868">
        <f>Sales_Data2[[#This Row],[Unit Price]]*Sales_Data2[[#This Row],[Quantity]]</f>
        <v>680000</v>
      </c>
      <c r="M868">
        <f>Sales_Data2[[#This Row],[Cost Price]]*Sales_Data2[[#This Row],[Quantity]]</f>
        <v>544000</v>
      </c>
      <c r="N868" s="3">
        <f>Sales_Data2[[#This Row],[Revenue]]-Sales_Data2[[#This Row],[COGS]]</f>
        <v>136000</v>
      </c>
      <c r="O8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46542|West|Port Harcourt|Corporate|Store|Office Chair Pro|Furniture|85000|8|Chidinma|68000</v>
      </c>
      <c r="P868" s="3" t="str">
        <f>IF(COUNTIF(Sales_Data2[RowKey],Sales_Data2[[#This Row],[RowKey]])&gt;1,"Duplicate","Unique")</f>
        <v>Unique</v>
      </c>
      <c r="Q868" s="3" t="str">
        <f>IF(ISNUMBER(Sales_Data2[[#This Row],[Date]]),"OK","Check")</f>
        <v>OK</v>
      </c>
      <c r="R868" s="3" t="str">
        <f>IF(ISNUMBER(Sales_Data2[[#This Row],[Quantity]]),"OK","Check")</f>
        <v>OK</v>
      </c>
    </row>
    <row r="869" spans="1:18">
      <c r="A869" s="1">
        <v>46543</v>
      </c>
      <c r="B869" t="s">
        <v>11</v>
      </c>
      <c r="C869" t="s">
        <v>12</v>
      </c>
      <c r="D869" t="s">
        <v>23</v>
      </c>
      <c r="E869" t="s">
        <v>20</v>
      </c>
      <c r="F869" t="s">
        <v>33</v>
      </c>
      <c r="G869" t="s">
        <v>22</v>
      </c>
      <c r="H869">
        <v>180000</v>
      </c>
      <c r="I869">
        <v>9</v>
      </c>
      <c r="J869" t="s">
        <v>35</v>
      </c>
      <c r="K869">
        <f t="shared" si="13"/>
        <v>144000</v>
      </c>
      <c r="L869">
        <f>Sales_Data2[[#This Row],[Unit Price]]*Sales_Data2[[#This Row],[Quantity]]</f>
        <v>1620000</v>
      </c>
      <c r="M869">
        <f>Sales_Data2[[#This Row],[Cost Price]]*Sales_Data2[[#This Row],[Quantity]]</f>
        <v>1296000</v>
      </c>
      <c r="N869" s="3">
        <f>Sales_Data2[[#This Row],[Revenue]]-Sales_Data2[[#This Row],[COGS]]</f>
        <v>324000</v>
      </c>
      <c r="O8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46543|West|Port Harcourt|Corporate|Store|Air Conditioner X2|Home Appliances|180000|9|Peter|144000</v>
      </c>
      <c r="P869" s="3" t="str">
        <f>IF(COUNTIF(Sales_Data2[RowKey],Sales_Data2[[#This Row],[RowKey]])&gt;1,"Duplicate","Unique")</f>
        <v>Unique</v>
      </c>
      <c r="Q869" s="3" t="str">
        <f>IF(ISNUMBER(Sales_Data2[[#This Row],[Date]]),"OK","Check")</f>
        <v>OK</v>
      </c>
      <c r="R869" s="3" t="str">
        <f>IF(ISNUMBER(Sales_Data2[[#This Row],[Quantity]]),"OK","Check")</f>
        <v>OK</v>
      </c>
    </row>
    <row r="870" spans="1:18">
      <c r="A870" s="1">
        <v>46544</v>
      </c>
      <c r="B870" t="s">
        <v>11</v>
      </c>
      <c r="C870" t="s">
        <v>26</v>
      </c>
      <c r="D870" t="s">
        <v>23</v>
      </c>
      <c r="E870" t="s">
        <v>20</v>
      </c>
      <c r="F870" t="s">
        <v>41</v>
      </c>
      <c r="G870" t="s">
        <v>22</v>
      </c>
      <c r="H870">
        <v>220000</v>
      </c>
      <c r="I870">
        <v>5</v>
      </c>
      <c r="J870" t="s">
        <v>35</v>
      </c>
      <c r="K870">
        <f t="shared" si="13"/>
        <v>176000</v>
      </c>
      <c r="L870">
        <f>Sales_Data2[[#This Row],[Unit Price]]*Sales_Data2[[#This Row],[Quantity]]</f>
        <v>1100000</v>
      </c>
      <c r="M870">
        <f>Sales_Data2[[#This Row],[Cost Price]]*Sales_Data2[[#This Row],[Quantity]]</f>
        <v>880000</v>
      </c>
      <c r="N870" s="3">
        <f>Sales_Data2[[#This Row],[Revenue]]-Sales_Data2[[#This Row],[COGS]]</f>
        <v>220000</v>
      </c>
      <c r="O8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46544|West|Kano|Corporate|Store|Refrigerator R55|Home Appliances|220000|5|Peter|176000</v>
      </c>
      <c r="P870" s="3" t="str">
        <f>IF(COUNTIF(Sales_Data2[RowKey],Sales_Data2[[#This Row],[RowKey]])&gt;1,"Duplicate","Unique")</f>
        <v>Unique</v>
      </c>
      <c r="Q870" s="3" t="str">
        <f>IF(ISNUMBER(Sales_Data2[[#This Row],[Date]]),"OK","Check")</f>
        <v>OK</v>
      </c>
      <c r="R870" s="3" t="str">
        <f>IF(ISNUMBER(Sales_Data2[[#This Row],[Quantity]]),"OK","Check")</f>
        <v>OK</v>
      </c>
    </row>
    <row r="871" spans="1:18">
      <c r="A871" s="1">
        <v>46545</v>
      </c>
      <c r="B871" t="s">
        <v>25</v>
      </c>
      <c r="C871" t="s">
        <v>26</v>
      </c>
      <c r="D871" t="s">
        <v>23</v>
      </c>
      <c r="E871" t="s">
        <v>20</v>
      </c>
      <c r="F871" t="s">
        <v>33</v>
      </c>
      <c r="G871" t="s">
        <v>22</v>
      </c>
      <c r="H871">
        <v>180000</v>
      </c>
      <c r="I871">
        <v>5</v>
      </c>
      <c r="J871" t="s">
        <v>35</v>
      </c>
      <c r="K871">
        <f t="shared" si="13"/>
        <v>144000</v>
      </c>
      <c r="L871">
        <f>Sales_Data2[[#This Row],[Unit Price]]*Sales_Data2[[#This Row],[Quantity]]</f>
        <v>900000</v>
      </c>
      <c r="M871">
        <f>Sales_Data2[[#This Row],[Cost Price]]*Sales_Data2[[#This Row],[Quantity]]</f>
        <v>720000</v>
      </c>
      <c r="N871" s="3">
        <f>Sales_Data2[[#This Row],[Revenue]]-Sales_Data2[[#This Row],[COGS]]</f>
        <v>180000</v>
      </c>
      <c r="O8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46545|South|Kano|Corporate|Store|Air Conditioner X2|Home Appliances|180000|5|Peter|144000</v>
      </c>
      <c r="P871" s="3" t="str">
        <f>IF(COUNTIF(Sales_Data2[RowKey],Sales_Data2[[#This Row],[RowKey]])&gt;1,"Duplicate","Unique")</f>
        <v>Unique</v>
      </c>
      <c r="Q871" s="3" t="str">
        <f>IF(ISNUMBER(Sales_Data2[[#This Row],[Date]]),"OK","Check")</f>
        <v>OK</v>
      </c>
      <c r="R871" s="3" t="str">
        <f>IF(ISNUMBER(Sales_Data2[[#This Row],[Quantity]]),"OK","Check")</f>
        <v>OK</v>
      </c>
    </row>
    <row r="872" spans="1:18">
      <c r="A872" s="1">
        <v>46546</v>
      </c>
      <c r="B872" t="s">
        <v>11</v>
      </c>
      <c r="C872" t="s">
        <v>19</v>
      </c>
      <c r="D872" t="s">
        <v>23</v>
      </c>
      <c r="E872" t="s">
        <v>14</v>
      </c>
      <c r="F872" t="s">
        <v>27</v>
      </c>
      <c r="G872" t="s">
        <v>22</v>
      </c>
      <c r="H872">
        <v>60000</v>
      </c>
      <c r="I872">
        <v>7</v>
      </c>
      <c r="J872" t="s">
        <v>17</v>
      </c>
      <c r="K872">
        <f t="shared" si="13"/>
        <v>48000</v>
      </c>
      <c r="L872">
        <f>Sales_Data2[[#This Row],[Unit Price]]*Sales_Data2[[#This Row],[Quantity]]</f>
        <v>420000</v>
      </c>
      <c r="M872">
        <f>Sales_Data2[[#This Row],[Cost Price]]*Sales_Data2[[#This Row],[Quantity]]</f>
        <v>336000</v>
      </c>
      <c r="N872" s="3">
        <f>Sales_Data2[[#This Row],[Revenue]]-Sales_Data2[[#This Row],[COGS]]</f>
        <v>84000</v>
      </c>
      <c r="O8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46546|West|Lagos|Corporate|Online|Microwave M20|Home Appliances|60000|7|Chidinma|48000</v>
      </c>
      <c r="P872" s="3" t="str">
        <f>IF(COUNTIF(Sales_Data2[RowKey],Sales_Data2[[#This Row],[RowKey]])&gt;1,"Duplicate","Unique")</f>
        <v>Unique</v>
      </c>
      <c r="Q872" s="3" t="str">
        <f>IF(ISNUMBER(Sales_Data2[[#This Row],[Date]]),"OK","Check")</f>
        <v>OK</v>
      </c>
      <c r="R872" s="3" t="str">
        <f>IF(ISNUMBER(Sales_Data2[[#This Row],[Quantity]]),"OK","Check")</f>
        <v>OK</v>
      </c>
    </row>
    <row r="873" spans="1:18">
      <c r="A873" s="1">
        <v>46547</v>
      </c>
      <c r="B873" t="s">
        <v>25</v>
      </c>
      <c r="C873" t="s">
        <v>26</v>
      </c>
      <c r="D873" t="s">
        <v>23</v>
      </c>
      <c r="E873" t="s">
        <v>20</v>
      </c>
      <c r="F873" t="s">
        <v>36</v>
      </c>
      <c r="G873" t="s">
        <v>31</v>
      </c>
      <c r="H873">
        <v>150000</v>
      </c>
      <c r="I873">
        <v>7</v>
      </c>
      <c r="J873" t="s">
        <v>35</v>
      </c>
      <c r="K873">
        <f t="shared" si="13"/>
        <v>120000</v>
      </c>
      <c r="L873">
        <f>Sales_Data2[[#This Row],[Unit Price]]*Sales_Data2[[#This Row],[Quantity]]</f>
        <v>1050000</v>
      </c>
      <c r="M873">
        <f>Sales_Data2[[#This Row],[Cost Price]]*Sales_Data2[[#This Row],[Quantity]]</f>
        <v>840000</v>
      </c>
      <c r="N873" s="3">
        <f>Sales_Data2[[#This Row],[Revenue]]-Sales_Data2[[#This Row],[COGS]]</f>
        <v>210000</v>
      </c>
      <c r="O8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46547|South|Kano|Corporate|Store|Printer P50|Electronics|150000|7|Peter|120000</v>
      </c>
      <c r="P873" s="3" t="str">
        <f>IF(COUNTIF(Sales_Data2[RowKey],Sales_Data2[[#This Row],[RowKey]])&gt;1,"Duplicate","Unique")</f>
        <v>Unique</v>
      </c>
      <c r="Q873" s="3" t="str">
        <f>IF(ISNUMBER(Sales_Data2[[#This Row],[Date]]),"OK","Check")</f>
        <v>OK</v>
      </c>
      <c r="R873" s="3" t="str">
        <f>IF(ISNUMBER(Sales_Data2[[#This Row],[Quantity]]),"OK","Check")</f>
        <v>OK</v>
      </c>
    </row>
    <row r="874" spans="1:18">
      <c r="A874" s="1">
        <v>46548</v>
      </c>
      <c r="B874" t="s">
        <v>18</v>
      </c>
      <c r="C874" t="s">
        <v>12</v>
      </c>
      <c r="D874" t="s">
        <v>23</v>
      </c>
      <c r="E874" t="s">
        <v>20</v>
      </c>
      <c r="F874" t="s">
        <v>21</v>
      </c>
      <c r="G874" t="s">
        <v>22</v>
      </c>
      <c r="H874">
        <v>30000</v>
      </c>
      <c r="I874">
        <v>4</v>
      </c>
      <c r="J874" t="s">
        <v>37</v>
      </c>
      <c r="K874">
        <f t="shared" si="13"/>
        <v>24000</v>
      </c>
      <c r="L874">
        <f>Sales_Data2[[#This Row],[Unit Price]]*Sales_Data2[[#This Row],[Quantity]]</f>
        <v>120000</v>
      </c>
      <c r="M874">
        <f>Sales_Data2[[#This Row],[Cost Price]]*Sales_Data2[[#This Row],[Quantity]]</f>
        <v>96000</v>
      </c>
      <c r="N874" s="3">
        <f>Sales_Data2[[#This Row],[Revenue]]-Sales_Data2[[#This Row],[COGS]]</f>
        <v>24000</v>
      </c>
      <c r="O8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46548|East|Port Harcourt|Corporate|Store|Blender B10|Home Appliances|30000|4|Aisha|24000</v>
      </c>
      <c r="P874" s="3" t="str">
        <f>IF(COUNTIF(Sales_Data2[RowKey],Sales_Data2[[#This Row],[RowKey]])&gt;1,"Duplicate","Unique")</f>
        <v>Unique</v>
      </c>
      <c r="Q874" s="3" t="str">
        <f>IF(ISNUMBER(Sales_Data2[[#This Row],[Date]]),"OK","Check")</f>
        <v>OK</v>
      </c>
      <c r="R874" s="3" t="str">
        <f>IF(ISNUMBER(Sales_Data2[[#This Row],[Quantity]]),"OK","Check")</f>
        <v>OK</v>
      </c>
    </row>
    <row r="875" spans="1:18">
      <c r="A875" s="1">
        <v>46549</v>
      </c>
      <c r="B875" t="s">
        <v>11</v>
      </c>
      <c r="C875" t="s">
        <v>32</v>
      </c>
      <c r="D875" t="s">
        <v>23</v>
      </c>
      <c r="E875" t="s">
        <v>20</v>
      </c>
      <c r="F875" t="s">
        <v>38</v>
      </c>
      <c r="G875" t="s">
        <v>31</v>
      </c>
      <c r="H875">
        <v>420000</v>
      </c>
      <c r="I875">
        <v>1</v>
      </c>
      <c r="J875" t="s">
        <v>37</v>
      </c>
      <c r="K875">
        <f t="shared" si="13"/>
        <v>336000</v>
      </c>
      <c r="L875">
        <f>Sales_Data2[[#This Row],[Unit Price]]*Sales_Data2[[#This Row],[Quantity]]</f>
        <v>420000</v>
      </c>
      <c r="M875">
        <f>Sales_Data2[[#This Row],[Cost Price]]*Sales_Data2[[#This Row],[Quantity]]</f>
        <v>336000</v>
      </c>
      <c r="N875" s="3">
        <f>Sales_Data2[[#This Row],[Revenue]]-Sales_Data2[[#This Row],[COGS]]</f>
        <v>84000</v>
      </c>
      <c r="O8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46549|West|Abuja|Corporate|Store|Laptop A13|Electronics|420000|1|Aisha|336000</v>
      </c>
      <c r="P875" s="3" t="str">
        <f>IF(COUNTIF(Sales_Data2[RowKey],Sales_Data2[[#This Row],[RowKey]])&gt;1,"Duplicate","Unique")</f>
        <v>Unique</v>
      </c>
      <c r="Q875" s="3" t="str">
        <f>IF(ISNUMBER(Sales_Data2[[#This Row],[Date]]),"OK","Check")</f>
        <v>OK</v>
      </c>
      <c r="R875" s="3" t="str">
        <f>IF(ISNUMBER(Sales_Data2[[#This Row],[Quantity]]),"OK","Check")</f>
        <v>OK</v>
      </c>
    </row>
    <row r="876" spans="1:18">
      <c r="A876" s="1">
        <v>46550</v>
      </c>
      <c r="B876" t="s">
        <v>11</v>
      </c>
      <c r="C876" t="s">
        <v>26</v>
      </c>
      <c r="D876" t="s">
        <v>23</v>
      </c>
      <c r="E876" t="s">
        <v>20</v>
      </c>
      <c r="F876" t="s">
        <v>38</v>
      </c>
      <c r="G876" t="s">
        <v>31</v>
      </c>
      <c r="H876">
        <v>420000</v>
      </c>
      <c r="I876">
        <v>4</v>
      </c>
      <c r="J876" t="s">
        <v>35</v>
      </c>
      <c r="K876">
        <f t="shared" si="13"/>
        <v>336000</v>
      </c>
      <c r="L876">
        <f>Sales_Data2[[#This Row],[Unit Price]]*Sales_Data2[[#This Row],[Quantity]]</f>
        <v>1680000</v>
      </c>
      <c r="M876">
        <f>Sales_Data2[[#This Row],[Cost Price]]*Sales_Data2[[#This Row],[Quantity]]</f>
        <v>1344000</v>
      </c>
      <c r="N876" s="3">
        <f>Sales_Data2[[#This Row],[Revenue]]-Sales_Data2[[#This Row],[COGS]]</f>
        <v>336000</v>
      </c>
      <c r="O8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46550|West|Kano|Corporate|Store|Laptop A13|Electronics|420000|4|Peter|336000</v>
      </c>
      <c r="P876" s="3" t="str">
        <f>IF(COUNTIF(Sales_Data2[RowKey],Sales_Data2[[#This Row],[RowKey]])&gt;1,"Duplicate","Unique")</f>
        <v>Unique</v>
      </c>
      <c r="Q876" s="3" t="str">
        <f>IF(ISNUMBER(Sales_Data2[[#This Row],[Date]]),"OK","Check")</f>
        <v>OK</v>
      </c>
      <c r="R876" s="3" t="str">
        <f>IF(ISNUMBER(Sales_Data2[[#This Row],[Quantity]]),"OK","Check")</f>
        <v>OK</v>
      </c>
    </row>
    <row r="877" spans="1:18">
      <c r="A877" s="1">
        <v>46551</v>
      </c>
      <c r="B877" t="s">
        <v>29</v>
      </c>
      <c r="C877" t="s">
        <v>26</v>
      </c>
      <c r="D877" t="s">
        <v>23</v>
      </c>
      <c r="E877" t="s">
        <v>14</v>
      </c>
      <c r="F877" t="s">
        <v>15</v>
      </c>
      <c r="G877" t="s">
        <v>16</v>
      </c>
      <c r="H877">
        <v>85000</v>
      </c>
      <c r="I877">
        <v>4</v>
      </c>
      <c r="J877" t="s">
        <v>35</v>
      </c>
      <c r="K877">
        <f t="shared" si="13"/>
        <v>68000</v>
      </c>
      <c r="L877">
        <f>Sales_Data2[[#This Row],[Unit Price]]*Sales_Data2[[#This Row],[Quantity]]</f>
        <v>340000</v>
      </c>
      <c r="M877">
        <f>Sales_Data2[[#This Row],[Cost Price]]*Sales_Data2[[#This Row],[Quantity]]</f>
        <v>272000</v>
      </c>
      <c r="N877" s="3">
        <f>Sales_Data2[[#This Row],[Revenue]]-Sales_Data2[[#This Row],[COGS]]</f>
        <v>68000</v>
      </c>
      <c r="O8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46551|North|Kano|Corporate|Online|Office Chair Pro|Furniture|85000|4|Peter|68000</v>
      </c>
      <c r="P877" s="3" t="str">
        <f>IF(COUNTIF(Sales_Data2[RowKey],Sales_Data2[[#This Row],[RowKey]])&gt;1,"Duplicate","Unique")</f>
        <v>Unique</v>
      </c>
      <c r="Q877" s="3" t="str">
        <f>IF(ISNUMBER(Sales_Data2[[#This Row],[Date]]),"OK","Check")</f>
        <v>OK</v>
      </c>
      <c r="R877" s="3" t="str">
        <f>IF(ISNUMBER(Sales_Data2[[#This Row],[Quantity]]),"OK","Check")</f>
        <v>OK</v>
      </c>
    </row>
    <row r="878" spans="1:18">
      <c r="A878" s="1">
        <v>46552</v>
      </c>
      <c r="B878" t="s">
        <v>11</v>
      </c>
      <c r="C878" t="s">
        <v>19</v>
      </c>
      <c r="D878" t="s">
        <v>23</v>
      </c>
      <c r="E878" t="s">
        <v>20</v>
      </c>
      <c r="F878" t="s">
        <v>34</v>
      </c>
      <c r="G878" t="s">
        <v>16</v>
      </c>
      <c r="H878">
        <v>320000</v>
      </c>
      <c r="I878">
        <v>5</v>
      </c>
      <c r="J878" t="s">
        <v>28</v>
      </c>
      <c r="K878">
        <f t="shared" si="13"/>
        <v>256000</v>
      </c>
      <c r="L878">
        <f>Sales_Data2[[#This Row],[Unit Price]]*Sales_Data2[[#This Row],[Quantity]]</f>
        <v>1600000</v>
      </c>
      <c r="M878">
        <f>Sales_Data2[[#This Row],[Cost Price]]*Sales_Data2[[#This Row],[Quantity]]</f>
        <v>1280000</v>
      </c>
      <c r="N878" s="3">
        <f>Sales_Data2[[#This Row],[Revenue]]-Sales_Data2[[#This Row],[COGS]]</f>
        <v>320000</v>
      </c>
      <c r="O8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46552|West|Lagos|Corporate|Store|Sofa Classic|Furniture|320000|5|Musa|256000</v>
      </c>
      <c r="P878" s="3" t="str">
        <f>IF(COUNTIF(Sales_Data2[RowKey],Sales_Data2[[#This Row],[RowKey]])&gt;1,"Duplicate","Unique")</f>
        <v>Unique</v>
      </c>
      <c r="Q878" s="3" t="str">
        <f>IF(ISNUMBER(Sales_Data2[[#This Row],[Date]]),"OK","Check")</f>
        <v>OK</v>
      </c>
      <c r="R878" s="3" t="str">
        <f>IF(ISNUMBER(Sales_Data2[[#This Row],[Quantity]]),"OK","Check")</f>
        <v>OK</v>
      </c>
    </row>
    <row r="879" spans="1:18">
      <c r="A879" s="1">
        <v>46553</v>
      </c>
      <c r="B879" t="s">
        <v>18</v>
      </c>
      <c r="C879" t="s">
        <v>12</v>
      </c>
      <c r="D879" t="s">
        <v>23</v>
      </c>
      <c r="E879" t="s">
        <v>20</v>
      </c>
      <c r="F879" t="s">
        <v>15</v>
      </c>
      <c r="G879" t="s">
        <v>16</v>
      </c>
      <c r="H879">
        <v>85000</v>
      </c>
      <c r="I879">
        <v>4</v>
      </c>
      <c r="J879" t="s">
        <v>28</v>
      </c>
      <c r="K879">
        <f t="shared" si="13"/>
        <v>68000</v>
      </c>
      <c r="L879">
        <f>Sales_Data2[[#This Row],[Unit Price]]*Sales_Data2[[#This Row],[Quantity]]</f>
        <v>340000</v>
      </c>
      <c r="M879">
        <f>Sales_Data2[[#This Row],[Cost Price]]*Sales_Data2[[#This Row],[Quantity]]</f>
        <v>272000</v>
      </c>
      <c r="N879" s="3">
        <f>Sales_Data2[[#This Row],[Revenue]]-Sales_Data2[[#This Row],[COGS]]</f>
        <v>68000</v>
      </c>
      <c r="O8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46553|East|Port Harcourt|Corporate|Store|Office Chair Pro|Furniture|85000|4|Musa|68000</v>
      </c>
      <c r="P879" s="3" t="str">
        <f>IF(COUNTIF(Sales_Data2[RowKey],Sales_Data2[[#This Row],[RowKey]])&gt;1,"Duplicate","Unique")</f>
        <v>Unique</v>
      </c>
      <c r="Q879" s="3" t="str">
        <f>IF(ISNUMBER(Sales_Data2[[#This Row],[Date]]),"OK","Check")</f>
        <v>OK</v>
      </c>
      <c r="R879" s="3" t="str">
        <f>IF(ISNUMBER(Sales_Data2[[#This Row],[Quantity]]),"OK","Check")</f>
        <v>OK</v>
      </c>
    </row>
    <row r="880" spans="1:18">
      <c r="A880" s="1">
        <v>46554</v>
      </c>
      <c r="B880" t="s">
        <v>11</v>
      </c>
      <c r="C880" t="s">
        <v>12</v>
      </c>
      <c r="D880" t="s">
        <v>23</v>
      </c>
      <c r="E880" t="s">
        <v>20</v>
      </c>
      <c r="F880" t="s">
        <v>38</v>
      </c>
      <c r="G880" t="s">
        <v>31</v>
      </c>
      <c r="H880">
        <v>420000</v>
      </c>
      <c r="I880">
        <v>7</v>
      </c>
      <c r="J880" t="s">
        <v>39</v>
      </c>
      <c r="K880">
        <f t="shared" si="13"/>
        <v>336000</v>
      </c>
      <c r="L880">
        <f>Sales_Data2[[#This Row],[Unit Price]]*Sales_Data2[[#This Row],[Quantity]]</f>
        <v>2940000</v>
      </c>
      <c r="M880">
        <f>Sales_Data2[[#This Row],[Cost Price]]*Sales_Data2[[#This Row],[Quantity]]</f>
        <v>2352000</v>
      </c>
      <c r="N880" s="3">
        <f>Sales_Data2[[#This Row],[Revenue]]-Sales_Data2[[#This Row],[COGS]]</f>
        <v>588000</v>
      </c>
      <c r="O8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46554|West|Port Harcourt|Corporate|Store|Laptop A13|Electronics|420000|7|Grace|336000</v>
      </c>
      <c r="P880" s="3" t="str">
        <f>IF(COUNTIF(Sales_Data2[RowKey],Sales_Data2[[#This Row],[RowKey]])&gt;1,"Duplicate","Unique")</f>
        <v>Unique</v>
      </c>
      <c r="Q880" s="3" t="str">
        <f>IF(ISNUMBER(Sales_Data2[[#This Row],[Date]]),"OK","Check")</f>
        <v>OK</v>
      </c>
      <c r="R880" s="3" t="str">
        <f>IF(ISNUMBER(Sales_Data2[[#This Row],[Quantity]]),"OK","Check")</f>
        <v>OK</v>
      </c>
    </row>
    <row r="881" spans="1:18">
      <c r="A881" s="1">
        <v>46555</v>
      </c>
      <c r="B881" t="s">
        <v>11</v>
      </c>
      <c r="C881" t="s">
        <v>26</v>
      </c>
      <c r="D881" t="s">
        <v>23</v>
      </c>
      <c r="E881" t="s">
        <v>14</v>
      </c>
      <c r="F881" t="s">
        <v>21</v>
      </c>
      <c r="G881" t="s">
        <v>22</v>
      </c>
      <c r="H881">
        <v>30000</v>
      </c>
      <c r="I881">
        <v>10</v>
      </c>
      <c r="J881" t="s">
        <v>28</v>
      </c>
      <c r="K881">
        <f t="shared" si="13"/>
        <v>24000</v>
      </c>
      <c r="L881">
        <f>Sales_Data2[[#This Row],[Unit Price]]*Sales_Data2[[#This Row],[Quantity]]</f>
        <v>300000</v>
      </c>
      <c r="M881">
        <f>Sales_Data2[[#This Row],[Cost Price]]*Sales_Data2[[#This Row],[Quantity]]</f>
        <v>240000</v>
      </c>
      <c r="N881" s="3">
        <f>Sales_Data2[[#This Row],[Revenue]]-Sales_Data2[[#This Row],[COGS]]</f>
        <v>60000</v>
      </c>
      <c r="O8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46555|West|Kano|Corporate|Online|Blender B10|Home Appliances|30000|10|Musa|24000</v>
      </c>
      <c r="P881" s="3" t="str">
        <f>IF(COUNTIF(Sales_Data2[RowKey],Sales_Data2[[#This Row],[RowKey]])&gt;1,"Duplicate","Unique")</f>
        <v>Unique</v>
      </c>
      <c r="Q881" s="3" t="str">
        <f>IF(ISNUMBER(Sales_Data2[[#This Row],[Date]]),"OK","Check")</f>
        <v>OK</v>
      </c>
      <c r="R881" s="3" t="str">
        <f>IF(ISNUMBER(Sales_Data2[[#This Row],[Quantity]]),"OK","Check")</f>
        <v>OK</v>
      </c>
    </row>
    <row r="882" spans="1:18">
      <c r="A882" s="1">
        <v>46556</v>
      </c>
      <c r="B882" t="s">
        <v>11</v>
      </c>
      <c r="C882" t="s">
        <v>26</v>
      </c>
      <c r="D882" t="s">
        <v>23</v>
      </c>
      <c r="E882" t="s">
        <v>14</v>
      </c>
      <c r="F882" t="s">
        <v>36</v>
      </c>
      <c r="G882" t="s">
        <v>31</v>
      </c>
      <c r="H882">
        <v>150000</v>
      </c>
      <c r="I882">
        <v>10</v>
      </c>
      <c r="J882" t="s">
        <v>28</v>
      </c>
      <c r="K882">
        <f t="shared" si="13"/>
        <v>120000</v>
      </c>
      <c r="L882">
        <f>Sales_Data2[[#This Row],[Unit Price]]*Sales_Data2[[#This Row],[Quantity]]</f>
        <v>1500000</v>
      </c>
      <c r="M882">
        <f>Sales_Data2[[#This Row],[Cost Price]]*Sales_Data2[[#This Row],[Quantity]]</f>
        <v>1200000</v>
      </c>
      <c r="N882" s="3">
        <f>Sales_Data2[[#This Row],[Revenue]]-Sales_Data2[[#This Row],[COGS]]</f>
        <v>300000</v>
      </c>
      <c r="O8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46556|West|Kano|Corporate|Online|Printer P50|Electronics|150000|10|Musa|120000</v>
      </c>
      <c r="P882" s="3" t="str">
        <f>IF(COUNTIF(Sales_Data2[RowKey],Sales_Data2[[#This Row],[RowKey]])&gt;1,"Duplicate","Unique")</f>
        <v>Unique</v>
      </c>
      <c r="Q882" s="3" t="str">
        <f>IF(ISNUMBER(Sales_Data2[[#This Row],[Date]]),"OK","Check")</f>
        <v>OK</v>
      </c>
      <c r="R882" s="3" t="str">
        <f>IF(ISNUMBER(Sales_Data2[[#This Row],[Quantity]]),"OK","Check")</f>
        <v>OK</v>
      </c>
    </row>
    <row r="883" spans="1:18">
      <c r="A883" s="1">
        <v>46557</v>
      </c>
      <c r="B883" t="s">
        <v>25</v>
      </c>
      <c r="C883" t="s">
        <v>12</v>
      </c>
      <c r="D883" t="s">
        <v>23</v>
      </c>
      <c r="E883" t="s">
        <v>20</v>
      </c>
      <c r="F883" t="s">
        <v>40</v>
      </c>
      <c r="G883" t="s">
        <v>31</v>
      </c>
      <c r="H883">
        <v>250000</v>
      </c>
      <c r="I883">
        <v>4</v>
      </c>
      <c r="J883" t="s">
        <v>37</v>
      </c>
      <c r="K883">
        <f t="shared" si="13"/>
        <v>200000</v>
      </c>
      <c r="L883">
        <f>Sales_Data2[[#This Row],[Unit Price]]*Sales_Data2[[#This Row],[Quantity]]</f>
        <v>1000000</v>
      </c>
      <c r="M883">
        <f>Sales_Data2[[#This Row],[Cost Price]]*Sales_Data2[[#This Row],[Quantity]]</f>
        <v>800000</v>
      </c>
      <c r="N883" s="3">
        <f>Sales_Data2[[#This Row],[Revenue]]-Sales_Data2[[#This Row],[COGS]]</f>
        <v>200000</v>
      </c>
      <c r="O8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46557|South|Port Harcourt|Corporate|Store|Smartphone Z10|Electronics|250000|4|Aisha|200000</v>
      </c>
      <c r="P883" s="3" t="str">
        <f>IF(COUNTIF(Sales_Data2[RowKey],Sales_Data2[[#This Row],[RowKey]])&gt;1,"Duplicate","Unique")</f>
        <v>Unique</v>
      </c>
      <c r="Q883" s="3" t="str">
        <f>IF(ISNUMBER(Sales_Data2[[#This Row],[Date]]),"OK","Check")</f>
        <v>OK</v>
      </c>
      <c r="R883" s="3" t="str">
        <f>IF(ISNUMBER(Sales_Data2[[#This Row],[Quantity]]),"OK","Check")</f>
        <v>OK</v>
      </c>
    </row>
    <row r="884" spans="1:18">
      <c r="A884" s="1">
        <v>46558</v>
      </c>
      <c r="B884" t="s">
        <v>18</v>
      </c>
      <c r="C884" t="s">
        <v>32</v>
      </c>
      <c r="D884" t="s">
        <v>13</v>
      </c>
      <c r="E884" t="s">
        <v>14</v>
      </c>
      <c r="F884" t="s">
        <v>41</v>
      </c>
      <c r="G884" t="s">
        <v>22</v>
      </c>
      <c r="H884">
        <v>220000</v>
      </c>
      <c r="I884">
        <v>6</v>
      </c>
      <c r="J884" t="s">
        <v>37</v>
      </c>
      <c r="K884">
        <f t="shared" si="13"/>
        <v>176000</v>
      </c>
      <c r="L884">
        <f>Sales_Data2[[#This Row],[Unit Price]]*Sales_Data2[[#This Row],[Quantity]]</f>
        <v>1320000</v>
      </c>
      <c r="M884">
        <f>Sales_Data2[[#This Row],[Cost Price]]*Sales_Data2[[#This Row],[Quantity]]</f>
        <v>1056000</v>
      </c>
      <c r="N884" s="3">
        <f>Sales_Data2[[#This Row],[Revenue]]-Sales_Data2[[#This Row],[COGS]]</f>
        <v>264000</v>
      </c>
      <c r="O8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46558|East|Abuja|Retail|Online|Refrigerator R55|Home Appliances|220000|6|Aisha|176000</v>
      </c>
      <c r="P884" s="3" t="str">
        <f>IF(COUNTIF(Sales_Data2[RowKey],Sales_Data2[[#This Row],[RowKey]])&gt;1,"Duplicate","Unique")</f>
        <v>Unique</v>
      </c>
      <c r="Q884" s="3" t="str">
        <f>IF(ISNUMBER(Sales_Data2[[#This Row],[Date]]),"OK","Check")</f>
        <v>OK</v>
      </c>
      <c r="R884" s="3" t="str">
        <f>IF(ISNUMBER(Sales_Data2[[#This Row],[Quantity]]),"OK","Check")</f>
        <v>OK</v>
      </c>
    </row>
    <row r="885" spans="1:18">
      <c r="A885" s="1">
        <v>46559</v>
      </c>
      <c r="B885" t="s">
        <v>29</v>
      </c>
      <c r="C885" t="s">
        <v>12</v>
      </c>
      <c r="D885" t="s">
        <v>13</v>
      </c>
      <c r="E885" t="s">
        <v>20</v>
      </c>
      <c r="F885" t="s">
        <v>36</v>
      </c>
      <c r="G885" t="s">
        <v>31</v>
      </c>
      <c r="H885">
        <v>150000</v>
      </c>
      <c r="I885">
        <v>10</v>
      </c>
      <c r="J885" t="s">
        <v>24</v>
      </c>
      <c r="K885">
        <f t="shared" si="13"/>
        <v>120000</v>
      </c>
      <c r="L885">
        <f>Sales_Data2[[#This Row],[Unit Price]]*Sales_Data2[[#This Row],[Quantity]]</f>
        <v>1500000</v>
      </c>
      <c r="M885">
        <f>Sales_Data2[[#This Row],[Cost Price]]*Sales_Data2[[#This Row],[Quantity]]</f>
        <v>1200000</v>
      </c>
      <c r="N885" s="3">
        <f>Sales_Data2[[#This Row],[Revenue]]-Sales_Data2[[#This Row],[COGS]]</f>
        <v>300000</v>
      </c>
      <c r="O8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46559|North|Port Harcourt|Retail|Store|Printer P50|Electronics|150000|10|David|120000</v>
      </c>
      <c r="P885" s="3" t="str">
        <f>IF(COUNTIF(Sales_Data2[RowKey],Sales_Data2[[#This Row],[RowKey]])&gt;1,"Duplicate","Unique")</f>
        <v>Unique</v>
      </c>
      <c r="Q885" s="3" t="str">
        <f>IF(ISNUMBER(Sales_Data2[[#This Row],[Date]]),"OK","Check")</f>
        <v>OK</v>
      </c>
      <c r="R885" s="3" t="str">
        <f>IF(ISNUMBER(Sales_Data2[[#This Row],[Quantity]]),"OK","Check")</f>
        <v>OK</v>
      </c>
    </row>
    <row r="886" spans="1:18">
      <c r="A886" s="1">
        <v>46560</v>
      </c>
      <c r="B886" t="s">
        <v>18</v>
      </c>
      <c r="C886" t="s">
        <v>26</v>
      </c>
      <c r="D886" t="s">
        <v>13</v>
      </c>
      <c r="E886" t="s">
        <v>14</v>
      </c>
      <c r="F886" t="s">
        <v>36</v>
      </c>
      <c r="G886" t="s">
        <v>31</v>
      </c>
      <c r="H886">
        <v>150000</v>
      </c>
      <c r="I886">
        <v>2</v>
      </c>
      <c r="J886" t="s">
        <v>28</v>
      </c>
      <c r="K886">
        <f t="shared" si="13"/>
        <v>120000</v>
      </c>
      <c r="L886">
        <f>Sales_Data2[[#This Row],[Unit Price]]*Sales_Data2[[#This Row],[Quantity]]</f>
        <v>300000</v>
      </c>
      <c r="M886">
        <f>Sales_Data2[[#This Row],[Cost Price]]*Sales_Data2[[#This Row],[Quantity]]</f>
        <v>240000</v>
      </c>
      <c r="N886" s="3">
        <f>Sales_Data2[[#This Row],[Revenue]]-Sales_Data2[[#This Row],[COGS]]</f>
        <v>60000</v>
      </c>
      <c r="O8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46560|East|Kano|Retail|Online|Printer P50|Electronics|150000|2|Musa|120000</v>
      </c>
      <c r="P886" s="3" t="str">
        <f>IF(COUNTIF(Sales_Data2[RowKey],Sales_Data2[[#This Row],[RowKey]])&gt;1,"Duplicate","Unique")</f>
        <v>Unique</v>
      </c>
      <c r="Q886" s="3" t="str">
        <f>IF(ISNUMBER(Sales_Data2[[#This Row],[Date]]),"OK","Check")</f>
        <v>OK</v>
      </c>
      <c r="R886" s="3" t="str">
        <f>IF(ISNUMBER(Sales_Data2[[#This Row],[Quantity]]),"OK","Check")</f>
        <v>OK</v>
      </c>
    </row>
    <row r="887" spans="1:18">
      <c r="A887" s="1">
        <v>46561</v>
      </c>
      <c r="B887" t="s">
        <v>11</v>
      </c>
      <c r="C887" t="s">
        <v>12</v>
      </c>
      <c r="D887" t="s">
        <v>13</v>
      </c>
      <c r="E887" t="s">
        <v>14</v>
      </c>
      <c r="F887" t="s">
        <v>40</v>
      </c>
      <c r="G887" t="s">
        <v>31</v>
      </c>
      <c r="H887">
        <v>250000</v>
      </c>
      <c r="I887">
        <v>4</v>
      </c>
      <c r="J887" t="s">
        <v>35</v>
      </c>
      <c r="K887">
        <f t="shared" si="13"/>
        <v>200000</v>
      </c>
      <c r="L887">
        <f>Sales_Data2[[#This Row],[Unit Price]]*Sales_Data2[[#This Row],[Quantity]]</f>
        <v>1000000</v>
      </c>
      <c r="M887">
        <f>Sales_Data2[[#This Row],[Cost Price]]*Sales_Data2[[#This Row],[Quantity]]</f>
        <v>800000</v>
      </c>
      <c r="N887" s="3">
        <f>Sales_Data2[[#This Row],[Revenue]]-Sales_Data2[[#This Row],[COGS]]</f>
        <v>200000</v>
      </c>
      <c r="O8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46561|West|Port Harcourt|Retail|Online|Smartphone Z10|Electronics|250000|4|Peter|200000</v>
      </c>
      <c r="P887" s="3" t="str">
        <f>IF(COUNTIF(Sales_Data2[RowKey],Sales_Data2[[#This Row],[RowKey]])&gt;1,"Duplicate","Unique")</f>
        <v>Unique</v>
      </c>
      <c r="Q887" s="3" t="str">
        <f>IF(ISNUMBER(Sales_Data2[[#This Row],[Date]]),"OK","Check")</f>
        <v>OK</v>
      </c>
      <c r="R887" s="3" t="str">
        <f>IF(ISNUMBER(Sales_Data2[[#This Row],[Quantity]]),"OK","Check")</f>
        <v>OK</v>
      </c>
    </row>
    <row r="888" spans="1:18">
      <c r="A888" s="1">
        <v>46562</v>
      </c>
      <c r="B888" t="s">
        <v>18</v>
      </c>
      <c r="C888" t="s">
        <v>12</v>
      </c>
      <c r="D888" t="s">
        <v>13</v>
      </c>
      <c r="E888" t="s">
        <v>20</v>
      </c>
      <c r="F888" t="s">
        <v>36</v>
      </c>
      <c r="G888" t="s">
        <v>31</v>
      </c>
      <c r="H888">
        <v>150000</v>
      </c>
      <c r="I888">
        <v>9</v>
      </c>
      <c r="J888" t="s">
        <v>24</v>
      </c>
      <c r="K888">
        <f t="shared" si="13"/>
        <v>120000</v>
      </c>
      <c r="L888">
        <f>Sales_Data2[[#This Row],[Unit Price]]*Sales_Data2[[#This Row],[Quantity]]</f>
        <v>1350000</v>
      </c>
      <c r="M888">
        <f>Sales_Data2[[#This Row],[Cost Price]]*Sales_Data2[[#This Row],[Quantity]]</f>
        <v>1080000</v>
      </c>
      <c r="N888" s="3">
        <f>Sales_Data2[[#This Row],[Revenue]]-Sales_Data2[[#This Row],[COGS]]</f>
        <v>270000</v>
      </c>
      <c r="O8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46562|East|Port Harcourt|Retail|Store|Printer P50|Electronics|150000|9|David|120000</v>
      </c>
      <c r="P888" s="3" t="str">
        <f>IF(COUNTIF(Sales_Data2[RowKey],Sales_Data2[[#This Row],[RowKey]])&gt;1,"Duplicate","Unique")</f>
        <v>Unique</v>
      </c>
      <c r="Q888" s="3" t="str">
        <f>IF(ISNUMBER(Sales_Data2[[#This Row],[Date]]),"OK","Check")</f>
        <v>OK</v>
      </c>
      <c r="R888" s="3" t="str">
        <f>IF(ISNUMBER(Sales_Data2[[#This Row],[Quantity]]),"OK","Check")</f>
        <v>OK</v>
      </c>
    </row>
    <row r="889" spans="1:18">
      <c r="A889" s="1">
        <v>46563</v>
      </c>
      <c r="B889" t="s">
        <v>29</v>
      </c>
      <c r="C889" t="s">
        <v>26</v>
      </c>
      <c r="D889" t="s">
        <v>13</v>
      </c>
      <c r="E889" t="s">
        <v>20</v>
      </c>
      <c r="F889" t="s">
        <v>38</v>
      </c>
      <c r="G889" t="s">
        <v>31</v>
      </c>
      <c r="H889">
        <v>420000</v>
      </c>
      <c r="I889">
        <v>7</v>
      </c>
      <c r="J889" t="s">
        <v>35</v>
      </c>
      <c r="K889">
        <f t="shared" si="13"/>
        <v>336000</v>
      </c>
      <c r="L889">
        <f>Sales_Data2[[#This Row],[Unit Price]]*Sales_Data2[[#This Row],[Quantity]]</f>
        <v>2940000</v>
      </c>
      <c r="M889">
        <f>Sales_Data2[[#This Row],[Cost Price]]*Sales_Data2[[#This Row],[Quantity]]</f>
        <v>2352000</v>
      </c>
      <c r="N889" s="3">
        <f>Sales_Data2[[#This Row],[Revenue]]-Sales_Data2[[#This Row],[COGS]]</f>
        <v>588000</v>
      </c>
      <c r="O8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46563|North|Kano|Retail|Store|Laptop A13|Electronics|420000|7|Peter|336000</v>
      </c>
      <c r="P889" s="3" t="str">
        <f>IF(COUNTIF(Sales_Data2[RowKey],Sales_Data2[[#This Row],[RowKey]])&gt;1,"Duplicate","Unique")</f>
        <v>Unique</v>
      </c>
      <c r="Q889" s="3" t="str">
        <f>IF(ISNUMBER(Sales_Data2[[#This Row],[Date]]),"OK","Check")</f>
        <v>OK</v>
      </c>
      <c r="R889" s="3" t="str">
        <f>IF(ISNUMBER(Sales_Data2[[#This Row],[Quantity]]),"OK","Check")</f>
        <v>OK</v>
      </c>
    </row>
    <row r="890" spans="1:18">
      <c r="A890" s="1">
        <v>46564</v>
      </c>
      <c r="B890" t="s">
        <v>18</v>
      </c>
      <c r="C890" t="s">
        <v>19</v>
      </c>
      <c r="D890" t="s">
        <v>13</v>
      </c>
      <c r="E890" t="s">
        <v>14</v>
      </c>
      <c r="F890" t="s">
        <v>15</v>
      </c>
      <c r="G890" t="s">
        <v>16</v>
      </c>
      <c r="H890">
        <v>85000</v>
      </c>
      <c r="I890">
        <v>2</v>
      </c>
      <c r="J890" t="s">
        <v>17</v>
      </c>
      <c r="K890">
        <f t="shared" si="13"/>
        <v>68000</v>
      </c>
      <c r="L890">
        <f>Sales_Data2[[#This Row],[Unit Price]]*Sales_Data2[[#This Row],[Quantity]]</f>
        <v>170000</v>
      </c>
      <c r="M890">
        <f>Sales_Data2[[#This Row],[Cost Price]]*Sales_Data2[[#This Row],[Quantity]]</f>
        <v>136000</v>
      </c>
      <c r="N890" s="3">
        <f>Sales_Data2[[#This Row],[Revenue]]-Sales_Data2[[#This Row],[COGS]]</f>
        <v>34000</v>
      </c>
      <c r="O8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46564|East|Lagos|Retail|Online|Office Chair Pro|Furniture|85000|2|Chidinma|68000</v>
      </c>
      <c r="P890" s="3" t="str">
        <f>IF(COUNTIF(Sales_Data2[RowKey],Sales_Data2[[#This Row],[RowKey]])&gt;1,"Duplicate","Unique")</f>
        <v>Unique</v>
      </c>
      <c r="Q890" s="3" t="str">
        <f>IF(ISNUMBER(Sales_Data2[[#This Row],[Date]]),"OK","Check")</f>
        <v>OK</v>
      </c>
      <c r="R890" s="3" t="str">
        <f>IF(ISNUMBER(Sales_Data2[[#This Row],[Quantity]]),"OK","Check")</f>
        <v>OK</v>
      </c>
    </row>
    <row r="891" spans="1:18">
      <c r="A891" s="1">
        <v>46565</v>
      </c>
      <c r="B891" t="s">
        <v>25</v>
      </c>
      <c r="C891" t="s">
        <v>19</v>
      </c>
      <c r="D891" t="s">
        <v>23</v>
      </c>
      <c r="E891" t="s">
        <v>20</v>
      </c>
      <c r="F891" t="s">
        <v>15</v>
      </c>
      <c r="G891" t="s">
        <v>16</v>
      </c>
      <c r="H891">
        <v>85000</v>
      </c>
      <c r="I891">
        <v>1</v>
      </c>
      <c r="J891" t="s">
        <v>35</v>
      </c>
      <c r="K891">
        <f t="shared" si="13"/>
        <v>68000</v>
      </c>
      <c r="L891">
        <f>Sales_Data2[[#This Row],[Unit Price]]*Sales_Data2[[#This Row],[Quantity]]</f>
        <v>85000</v>
      </c>
      <c r="M891">
        <f>Sales_Data2[[#This Row],[Cost Price]]*Sales_Data2[[#This Row],[Quantity]]</f>
        <v>68000</v>
      </c>
      <c r="N891" s="3">
        <f>Sales_Data2[[#This Row],[Revenue]]-Sales_Data2[[#This Row],[COGS]]</f>
        <v>17000</v>
      </c>
      <c r="O8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46565|South|Lagos|Corporate|Store|Office Chair Pro|Furniture|85000|1|Peter|68000</v>
      </c>
      <c r="P891" s="3" t="str">
        <f>IF(COUNTIF(Sales_Data2[RowKey],Sales_Data2[[#This Row],[RowKey]])&gt;1,"Duplicate","Unique")</f>
        <v>Unique</v>
      </c>
      <c r="Q891" s="3" t="str">
        <f>IF(ISNUMBER(Sales_Data2[[#This Row],[Date]]),"OK","Check")</f>
        <v>OK</v>
      </c>
      <c r="R891" s="3" t="str">
        <f>IF(ISNUMBER(Sales_Data2[[#This Row],[Quantity]]),"OK","Check")</f>
        <v>OK</v>
      </c>
    </row>
    <row r="892" spans="1:18">
      <c r="A892" s="1">
        <v>46566</v>
      </c>
      <c r="B892" t="s">
        <v>25</v>
      </c>
      <c r="C892" t="s">
        <v>26</v>
      </c>
      <c r="D892" t="s">
        <v>13</v>
      </c>
      <c r="E892" t="s">
        <v>20</v>
      </c>
      <c r="F892" t="s">
        <v>38</v>
      </c>
      <c r="G892" t="s">
        <v>31</v>
      </c>
      <c r="H892">
        <v>420000</v>
      </c>
      <c r="I892">
        <v>9</v>
      </c>
      <c r="J892" t="s">
        <v>17</v>
      </c>
      <c r="K892">
        <f t="shared" si="13"/>
        <v>336000</v>
      </c>
      <c r="L892">
        <f>Sales_Data2[[#This Row],[Unit Price]]*Sales_Data2[[#This Row],[Quantity]]</f>
        <v>3780000</v>
      </c>
      <c r="M892">
        <f>Sales_Data2[[#This Row],[Cost Price]]*Sales_Data2[[#This Row],[Quantity]]</f>
        <v>3024000</v>
      </c>
      <c r="N892" s="3">
        <f>Sales_Data2[[#This Row],[Revenue]]-Sales_Data2[[#This Row],[COGS]]</f>
        <v>756000</v>
      </c>
      <c r="O8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46566|South|Kano|Retail|Store|Laptop A13|Electronics|420000|9|Chidinma|336000</v>
      </c>
      <c r="P892" s="3" t="str">
        <f>IF(COUNTIF(Sales_Data2[RowKey],Sales_Data2[[#This Row],[RowKey]])&gt;1,"Duplicate","Unique")</f>
        <v>Unique</v>
      </c>
      <c r="Q892" s="3" t="str">
        <f>IF(ISNUMBER(Sales_Data2[[#This Row],[Date]]),"OK","Check")</f>
        <v>OK</v>
      </c>
      <c r="R892" s="3" t="str">
        <f>IF(ISNUMBER(Sales_Data2[[#This Row],[Quantity]]),"OK","Check")</f>
        <v>OK</v>
      </c>
    </row>
    <row r="893" spans="1:18">
      <c r="A893" s="1">
        <v>46567</v>
      </c>
      <c r="B893" t="s">
        <v>29</v>
      </c>
      <c r="C893" t="s">
        <v>19</v>
      </c>
      <c r="D893" t="s">
        <v>13</v>
      </c>
      <c r="E893" t="s">
        <v>20</v>
      </c>
      <c r="F893" t="s">
        <v>41</v>
      </c>
      <c r="G893" t="s">
        <v>22</v>
      </c>
      <c r="H893">
        <v>220000</v>
      </c>
      <c r="I893">
        <v>2</v>
      </c>
      <c r="J893" t="s">
        <v>39</v>
      </c>
      <c r="K893">
        <f t="shared" si="13"/>
        <v>176000</v>
      </c>
      <c r="L893">
        <f>Sales_Data2[[#This Row],[Unit Price]]*Sales_Data2[[#This Row],[Quantity]]</f>
        <v>440000</v>
      </c>
      <c r="M893">
        <f>Sales_Data2[[#This Row],[Cost Price]]*Sales_Data2[[#This Row],[Quantity]]</f>
        <v>352000</v>
      </c>
      <c r="N893" s="3">
        <f>Sales_Data2[[#This Row],[Revenue]]-Sales_Data2[[#This Row],[COGS]]</f>
        <v>88000</v>
      </c>
      <c r="O8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46567|North|Lagos|Retail|Store|Refrigerator R55|Home Appliances|220000|2|Grace|176000</v>
      </c>
      <c r="P893" s="3" t="str">
        <f>IF(COUNTIF(Sales_Data2[RowKey],Sales_Data2[[#This Row],[RowKey]])&gt;1,"Duplicate","Unique")</f>
        <v>Unique</v>
      </c>
      <c r="Q893" s="3" t="str">
        <f>IF(ISNUMBER(Sales_Data2[[#This Row],[Date]]),"OK","Check")</f>
        <v>OK</v>
      </c>
      <c r="R893" s="3" t="str">
        <f>IF(ISNUMBER(Sales_Data2[[#This Row],[Quantity]]),"OK","Check")</f>
        <v>OK</v>
      </c>
    </row>
    <row r="894" spans="1:18">
      <c r="A894" s="1">
        <v>46568</v>
      </c>
      <c r="B894" t="s">
        <v>11</v>
      </c>
      <c r="C894" t="s">
        <v>26</v>
      </c>
      <c r="D894" t="s">
        <v>23</v>
      </c>
      <c r="E894" t="s">
        <v>20</v>
      </c>
      <c r="F894" t="s">
        <v>41</v>
      </c>
      <c r="G894" t="s">
        <v>22</v>
      </c>
      <c r="H894">
        <v>220000</v>
      </c>
      <c r="I894">
        <v>8</v>
      </c>
      <c r="J894" t="s">
        <v>37</v>
      </c>
      <c r="K894">
        <f t="shared" si="13"/>
        <v>176000</v>
      </c>
      <c r="L894">
        <f>Sales_Data2[[#This Row],[Unit Price]]*Sales_Data2[[#This Row],[Quantity]]</f>
        <v>1760000</v>
      </c>
      <c r="M894">
        <f>Sales_Data2[[#This Row],[Cost Price]]*Sales_Data2[[#This Row],[Quantity]]</f>
        <v>1408000</v>
      </c>
      <c r="N894" s="3">
        <f>Sales_Data2[[#This Row],[Revenue]]-Sales_Data2[[#This Row],[COGS]]</f>
        <v>352000</v>
      </c>
      <c r="O8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46568|West|Kano|Corporate|Store|Refrigerator R55|Home Appliances|220000|8|Aisha|176000</v>
      </c>
      <c r="P894" s="3" t="str">
        <f>IF(COUNTIF(Sales_Data2[RowKey],Sales_Data2[[#This Row],[RowKey]])&gt;1,"Duplicate","Unique")</f>
        <v>Unique</v>
      </c>
      <c r="Q894" s="3" t="str">
        <f>IF(ISNUMBER(Sales_Data2[[#This Row],[Date]]),"OK","Check")</f>
        <v>OK</v>
      </c>
      <c r="R894" s="3" t="str">
        <f>IF(ISNUMBER(Sales_Data2[[#This Row],[Quantity]]),"OK","Check")</f>
        <v>OK</v>
      </c>
    </row>
    <row r="895" spans="1:18">
      <c r="A895" s="1">
        <v>46569</v>
      </c>
      <c r="B895" t="s">
        <v>29</v>
      </c>
      <c r="C895" t="s">
        <v>12</v>
      </c>
      <c r="D895" t="s">
        <v>23</v>
      </c>
      <c r="E895" t="s">
        <v>14</v>
      </c>
      <c r="F895" t="s">
        <v>21</v>
      </c>
      <c r="G895" t="s">
        <v>22</v>
      </c>
      <c r="H895">
        <v>30000</v>
      </c>
      <c r="I895">
        <v>9</v>
      </c>
      <c r="J895" t="s">
        <v>17</v>
      </c>
      <c r="K895">
        <f t="shared" si="13"/>
        <v>24000</v>
      </c>
      <c r="L895">
        <f>Sales_Data2[[#This Row],[Unit Price]]*Sales_Data2[[#This Row],[Quantity]]</f>
        <v>270000</v>
      </c>
      <c r="M895">
        <f>Sales_Data2[[#This Row],[Cost Price]]*Sales_Data2[[#This Row],[Quantity]]</f>
        <v>216000</v>
      </c>
      <c r="N895" s="3">
        <f>Sales_Data2[[#This Row],[Revenue]]-Sales_Data2[[#This Row],[COGS]]</f>
        <v>54000</v>
      </c>
      <c r="O8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46569|North|Port Harcourt|Corporate|Online|Blender B10|Home Appliances|30000|9|Chidinma|24000</v>
      </c>
      <c r="P895" s="3" t="str">
        <f>IF(COUNTIF(Sales_Data2[RowKey],Sales_Data2[[#This Row],[RowKey]])&gt;1,"Duplicate","Unique")</f>
        <v>Unique</v>
      </c>
      <c r="Q895" s="3" t="str">
        <f>IF(ISNUMBER(Sales_Data2[[#This Row],[Date]]),"OK","Check")</f>
        <v>OK</v>
      </c>
      <c r="R895" s="3" t="str">
        <f>IF(ISNUMBER(Sales_Data2[[#This Row],[Quantity]]),"OK","Check")</f>
        <v>OK</v>
      </c>
    </row>
    <row r="896" spans="1:18">
      <c r="A896" s="1">
        <v>46570</v>
      </c>
      <c r="B896" t="s">
        <v>29</v>
      </c>
      <c r="C896" t="s">
        <v>32</v>
      </c>
      <c r="D896" t="s">
        <v>23</v>
      </c>
      <c r="E896" t="s">
        <v>14</v>
      </c>
      <c r="F896" t="s">
        <v>34</v>
      </c>
      <c r="G896" t="s">
        <v>16</v>
      </c>
      <c r="H896">
        <v>320000</v>
      </c>
      <c r="I896">
        <v>3</v>
      </c>
      <c r="J896" t="s">
        <v>37</v>
      </c>
      <c r="K896">
        <f t="shared" si="13"/>
        <v>256000</v>
      </c>
      <c r="L896">
        <f>Sales_Data2[[#This Row],[Unit Price]]*Sales_Data2[[#This Row],[Quantity]]</f>
        <v>960000</v>
      </c>
      <c r="M896">
        <f>Sales_Data2[[#This Row],[Cost Price]]*Sales_Data2[[#This Row],[Quantity]]</f>
        <v>768000</v>
      </c>
      <c r="N896" s="3">
        <f>Sales_Data2[[#This Row],[Revenue]]-Sales_Data2[[#This Row],[COGS]]</f>
        <v>192000</v>
      </c>
      <c r="O8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46570|North|Abuja|Corporate|Online|Sofa Classic|Furniture|320000|3|Aisha|256000</v>
      </c>
      <c r="P896" s="3" t="str">
        <f>IF(COUNTIF(Sales_Data2[RowKey],Sales_Data2[[#This Row],[RowKey]])&gt;1,"Duplicate","Unique")</f>
        <v>Unique</v>
      </c>
      <c r="Q896" s="3" t="str">
        <f>IF(ISNUMBER(Sales_Data2[[#This Row],[Date]]),"OK","Check")</f>
        <v>OK</v>
      </c>
      <c r="R896" s="3" t="str">
        <f>IF(ISNUMBER(Sales_Data2[[#This Row],[Quantity]]),"OK","Check")</f>
        <v>OK</v>
      </c>
    </row>
    <row r="897" spans="1:18">
      <c r="A897" s="1">
        <v>46571</v>
      </c>
      <c r="B897" t="s">
        <v>29</v>
      </c>
      <c r="C897" t="s">
        <v>12</v>
      </c>
      <c r="D897" t="s">
        <v>13</v>
      </c>
      <c r="E897" t="s">
        <v>14</v>
      </c>
      <c r="F897" t="s">
        <v>21</v>
      </c>
      <c r="G897" t="s">
        <v>22</v>
      </c>
      <c r="H897">
        <v>30000</v>
      </c>
      <c r="I897">
        <v>6</v>
      </c>
      <c r="J897" t="s">
        <v>35</v>
      </c>
      <c r="K897">
        <f t="shared" si="13"/>
        <v>24000</v>
      </c>
      <c r="L897">
        <f>Sales_Data2[[#This Row],[Unit Price]]*Sales_Data2[[#This Row],[Quantity]]</f>
        <v>180000</v>
      </c>
      <c r="M897">
        <f>Sales_Data2[[#This Row],[Cost Price]]*Sales_Data2[[#This Row],[Quantity]]</f>
        <v>144000</v>
      </c>
      <c r="N897" s="3">
        <f>Sales_Data2[[#This Row],[Revenue]]-Sales_Data2[[#This Row],[COGS]]</f>
        <v>36000</v>
      </c>
      <c r="O8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46571|North|Port Harcourt|Retail|Online|Blender B10|Home Appliances|30000|6|Peter|24000</v>
      </c>
      <c r="P897" s="3" t="str">
        <f>IF(COUNTIF(Sales_Data2[RowKey],Sales_Data2[[#This Row],[RowKey]])&gt;1,"Duplicate","Unique")</f>
        <v>Unique</v>
      </c>
      <c r="Q897" s="3" t="str">
        <f>IF(ISNUMBER(Sales_Data2[[#This Row],[Date]]),"OK","Check")</f>
        <v>OK</v>
      </c>
      <c r="R897" s="3" t="str">
        <f>IF(ISNUMBER(Sales_Data2[[#This Row],[Quantity]]),"OK","Check")</f>
        <v>OK</v>
      </c>
    </row>
    <row r="898" spans="1:18">
      <c r="A898" s="1">
        <v>46572</v>
      </c>
      <c r="B898" t="s">
        <v>29</v>
      </c>
      <c r="C898" t="s">
        <v>26</v>
      </c>
      <c r="D898" t="s">
        <v>23</v>
      </c>
      <c r="E898" t="s">
        <v>14</v>
      </c>
      <c r="F898" t="s">
        <v>27</v>
      </c>
      <c r="G898" t="s">
        <v>22</v>
      </c>
      <c r="H898">
        <v>60000</v>
      </c>
      <c r="I898">
        <v>7</v>
      </c>
      <c r="J898" t="s">
        <v>28</v>
      </c>
      <c r="K898">
        <f t="shared" ref="K898:K961" si="14">H898-H898*0.2</f>
        <v>48000</v>
      </c>
      <c r="L898">
        <f>Sales_Data2[[#This Row],[Unit Price]]*Sales_Data2[[#This Row],[Quantity]]</f>
        <v>420000</v>
      </c>
      <c r="M898">
        <f>Sales_Data2[[#This Row],[Cost Price]]*Sales_Data2[[#This Row],[Quantity]]</f>
        <v>336000</v>
      </c>
      <c r="N898" s="3">
        <f>Sales_Data2[[#This Row],[Revenue]]-Sales_Data2[[#This Row],[COGS]]</f>
        <v>84000</v>
      </c>
      <c r="O8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46572|North|Kano|Corporate|Online|Microwave M20|Home Appliances|60000|7|Musa|48000</v>
      </c>
      <c r="P898" s="3" t="str">
        <f>IF(COUNTIF(Sales_Data2[RowKey],Sales_Data2[[#This Row],[RowKey]])&gt;1,"Duplicate","Unique")</f>
        <v>Unique</v>
      </c>
      <c r="Q898" s="3" t="str">
        <f>IF(ISNUMBER(Sales_Data2[[#This Row],[Date]]),"OK","Check")</f>
        <v>OK</v>
      </c>
      <c r="R898" s="3" t="str">
        <f>IF(ISNUMBER(Sales_Data2[[#This Row],[Quantity]]),"OK","Check")</f>
        <v>OK</v>
      </c>
    </row>
    <row r="899" spans="1:18">
      <c r="A899" s="1">
        <v>46573</v>
      </c>
      <c r="B899" t="s">
        <v>25</v>
      </c>
      <c r="C899" t="s">
        <v>26</v>
      </c>
      <c r="D899" t="s">
        <v>13</v>
      </c>
      <c r="E899" t="s">
        <v>14</v>
      </c>
      <c r="F899" t="s">
        <v>33</v>
      </c>
      <c r="G899" t="s">
        <v>22</v>
      </c>
      <c r="H899">
        <v>180000</v>
      </c>
      <c r="I899">
        <v>2</v>
      </c>
      <c r="J899" t="s">
        <v>35</v>
      </c>
      <c r="K899">
        <f t="shared" si="14"/>
        <v>144000</v>
      </c>
      <c r="L899">
        <f>Sales_Data2[[#This Row],[Unit Price]]*Sales_Data2[[#This Row],[Quantity]]</f>
        <v>360000</v>
      </c>
      <c r="M899">
        <f>Sales_Data2[[#This Row],[Cost Price]]*Sales_Data2[[#This Row],[Quantity]]</f>
        <v>288000</v>
      </c>
      <c r="N899" s="3">
        <f>Sales_Data2[[#This Row],[Revenue]]-Sales_Data2[[#This Row],[COGS]]</f>
        <v>72000</v>
      </c>
      <c r="O8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46573|South|Kano|Retail|Online|Air Conditioner X2|Home Appliances|180000|2|Peter|144000</v>
      </c>
      <c r="P899" s="3" t="str">
        <f>IF(COUNTIF(Sales_Data2[RowKey],Sales_Data2[[#This Row],[RowKey]])&gt;1,"Duplicate","Unique")</f>
        <v>Unique</v>
      </c>
      <c r="Q899" s="3" t="str">
        <f>IF(ISNUMBER(Sales_Data2[[#This Row],[Date]]),"OK","Check")</f>
        <v>OK</v>
      </c>
      <c r="R899" s="3" t="str">
        <f>IF(ISNUMBER(Sales_Data2[[#This Row],[Quantity]]),"OK","Check")</f>
        <v>OK</v>
      </c>
    </row>
    <row r="900" spans="1:18">
      <c r="A900" s="1">
        <v>46574</v>
      </c>
      <c r="B900" t="s">
        <v>18</v>
      </c>
      <c r="C900" t="s">
        <v>32</v>
      </c>
      <c r="D900" t="s">
        <v>23</v>
      </c>
      <c r="E900" t="s">
        <v>20</v>
      </c>
      <c r="F900" t="s">
        <v>21</v>
      </c>
      <c r="G900" t="s">
        <v>22</v>
      </c>
      <c r="H900">
        <v>30000</v>
      </c>
      <c r="I900">
        <v>5</v>
      </c>
      <c r="J900" t="s">
        <v>17</v>
      </c>
      <c r="K900">
        <f t="shared" si="14"/>
        <v>24000</v>
      </c>
      <c r="L900">
        <f>Sales_Data2[[#This Row],[Unit Price]]*Sales_Data2[[#This Row],[Quantity]]</f>
        <v>150000</v>
      </c>
      <c r="M900">
        <f>Sales_Data2[[#This Row],[Cost Price]]*Sales_Data2[[#This Row],[Quantity]]</f>
        <v>120000</v>
      </c>
      <c r="N900" s="3">
        <f>Sales_Data2[[#This Row],[Revenue]]-Sales_Data2[[#This Row],[COGS]]</f>
        <v>30000</v>
      </c>
      <c r="O9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46574|East|Abuja|Corporate|Store|Blender B10|Home Appliances|30000|5|Chidinma|24000</v>
      </c>
      <c r="P900" s="3" t="str">
        <f>IF(COUNTIF(Sales_Data2[RowKey],Sales_Data2[[#This Row],[RowKey]])&gt;1,"Duplicate","Unique")</f>
        <v>Unique</v>
      </c>
      <c r="Q900" s="3" t="str">
        <f>IF(ISNUMBER(Sales_Data2[[#This Row],[Date]]),"OK","Check")</f>
        <v>OK</v>
      </c>
      <c r="R900" s="3" t="str">
        <f>IF(ISNUMBER(Sales_Data2[[#This Row],[Quantity]]),"OK","Check")</f>
        <v>OK</v>
      </c>
    </row>
    <row r="901" spans="1:18">
      <c r="A901" s="1">
        <v>46575</v>
      </c>
      <c r="B901" t="s">
        <v>11</v>
      </c>
      <c r="C901" t="s">
        <v>19</v>
      </c>
      <c r="D901" t="s">
        <v>23</v>
      </c>
      <c r="E901" t="s">
        <v>20</v>
      </c>
      <c r="F901" t="s">
        <v>36</v>
      </c>
      <c r="G901" t="s">
        <v>31</v>
      </c>
      <c r="H901">
        <v>150000</v>
      </c>
      <c r="I901">
        <v>2</v>
      </c>
      <c r="J901" t="s">
        <v>37</v>
      </c>
      <c r="K901">
        <f t="shared" si="14"/>
        <v>120000</v>
      </c>
      <c r="L901">
        <f>Sales_Data2[[#This Row],[Unit Price]]*Sales_Data2[[#This Row],[Quantity]]</f>
        <v>300000</v>
      </c>
      <c r="M901">
        <f>Sales_Data2[[#This Row],[Cost Price]]*Sales_Data2[[#This Row],[Quantity]]</f>
        <v>240000</v>
      </c>
      <c r="N901" s="3">
        <f>Sales_Data2[[#This Row],[Revenue]]-Sales_Data2[[#This Row],[COGS]]</f>
        <v>60000</v>
      </c>
      <c r="O9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46575|West|Lagos|Corporate|Store|Printer P50|Electronics|150000|2|Aisha|120000</v>
      </c>
      <c r="P901" s="3" t="str">
        <f>IF(COUNTIF(Sales_Data2[RowKey],Sales_Data2[[#This Row],[RowKey]])&gt;1,"Duplicate","Unique")</f>
        <v>Unique</v>
      </c>
      <c r="Q901" s="3" t="str">
        <f>IF(ISNUMBER(Sales_Data2[[#This Row],[Date]]),"OK","Check")</f>
        <v>OK</v>
      </c>
      <c r="R901" s="3" t="str">
        <f>IF(ISNUMBER(Sales_Data2[[#This Row],[Quantity]]),"OK","Check")</f>
        <v>OK</v>
      </c>
    </row>
    <row r="902" spans="1:18">
      <c r="A902" s="1">
        <v>46576</v>
      </c>
      <c r="B902" t="s">
        <v>25</v>
      </c>
      <c r="C902" t="s">
        <v>12</v>
      </c>
      <c r="D902" t="s">
        <v>13</v>
      </c>
      <c r="E902" t="s">
        <v>14</v>
      </c>
      <c r="F902" t="s">
        <v>21</v>
      </c>
      <c r="G902" t="s">
        <v>22</v>
      </c>
      <c r="H902">
        <v>30000</v>
      </c>
      <c r="I902">
        <v>9</v>
      </c>
      <c r="J902" t="s">
        <v>39</v>
      </c>
      <c r="K902">
        <f t="shared" si="14"/>
        <v>24000</v>
      </c>
      <c r="L902">
        <f>Sales_Data2[[#This Row],[Unit Price]]*Sales_Data2[[#This Row],[Quantity]]</f>
        <v>270000</v>
      </c>
      <c r="M902">
        <f>Sales_Data2[[#This Row],[Cost Price]]*Sales_Data2[[#This Row],[Quantity]]</f>
        <v>216000</v>
      </c>
      <c r="N902" s="3">
        <f>Sales_Data2[[#This Row],[Revenue]]-Sales_Data2[[#This Row],[COGS]]</f>
        <v>54000</v>
      </c>
      <c r="O9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46576|South|Port Harcourt|Retail|Online|Blender B10|Home Appliances|30000|9|Grace|24000</v>
      </c>
      <c r="P902" s="3" t="str">
        <f>IF(COUNTIF(Sales_Data2[RowKey],Sales_Data2[[#This Row],[RowKey]])&gt;1,"Duplicate","Unique")</f>
        <v>Unique</v>
      </c>
      <c r="Q902" s="3" t="str">
        <f>IF(ISNUMBER(Sales_Data2[[#This Row],[Date]]),"OK","Check")</f>
        <v>OK</v>
      </c>
      <c r="R902" s="3" t="str">
        <f>IF(ISNUMBER(Sales_Data2[[#This Row],[Quantity]]),"OK","Check")</f>
        <v>OK</v>
      </c>
    </row>
    <row r="903" spans="1:18">
      <c r="A903" s="1">
        <v>46577</v>
      </c>
      <c r="B903" t="s">
        <v>25</v>
      </c>
      <c r="C903" t="s">
        <v>26</v>
      </c>
      <c r="D903" t="s">
        <v>23</v>
      </c>
      <c r="E903" t="s">
        <v>14</v>
      </c>
      <c r="F903" t="s">
        <v>36</v>
      </c>
      <c r="G903" t="s">
        <v>31</v>
      </c>
      <c r="H903">
        <v>150000</v>
      </c>
      <c r="I903">
        <v>5</v>
      </c>
      <c r="J903" t="s">
        <v>35</v>
      </c>
      <c r="K903">
        <f t="shared" si="14"/>
        <v>120000</v>
      </c>
      <c r="L903">
        <f>Sales_Data2[[#This Row],[Unit Price]]*Sales_Data2[[#This Row],[Quantity]]</f>
        <v>750000</v>
      </c>
      <c r="M903">
        <f>Sales_Data2[[#This Row],[Cost Price]]*Sales_Data2[[#This Row],[Quantity]]</f>
        <v>600000</v>
      </c>
      <c r="N903" s="3">
        <f>Sales_Data2[[#This Row],[Revenue]]-Sales_Data2[[#This Row],[COGS]]</f>
        <v>150000</v>
      </c>
      <c r="O9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46577|South|Kano|Corporate|Online|Printer P50|Electronics|150000|5|Peter|120000</v>
      </c>
      <c r="P903" s="3" t="str">
        <f>IF(COUNTIF(Sales_Data2[RowKey],Sales_Data2[[#This Row],[RowKey]])&gt;1,"Duplicate","Unique")</f>
        <v>Unique</v>
      </c>
      <c r="Q903" s="3" t="str">
        <f>IF(ISNUMBER(Sales_Data2[[#This Row],[Date]]),"OK","Check")</f>
        <v>OK</v>
      </c>
      <c r="R903" s="3" t="str">
        <f>IF(ISNUMBER(Sales_Data2[[#This Row],[Quantity]]),"OK","Check")</f>
        <v>OK</v>
      </c>
    </row>
    <row r="904" spans="1:18">
      <c r="A904" s="1">
        <v>46578</v>
      </c>
      <c r="B904" t="s">
        <v>25</v>
      </c>
      <c r="C904" t="s">
        <v>26</v>
      </c>
      <c r="D904" t="s">
        <v>13</v>
      </c>
      <c r="E904" t="s">
        <v>20</v>
      </c>
      <c r="F904" t="s">
        <v>27</v>
      </c>
      <c r="G904" t="s">
        <v>22</v>
      </c>
      <c r="H904">
        <v>60000</v>
      </c>
      <c r="I904">
        <v>8</v>
      </c>
      <c r="J904" t="s">
        <v>39</v>
      </c>
      <c r="K904">
        <f t="shared" si="14"/>
        <v>48000</v>
      </c>
      <c r="L904">
        <f>Sales_Data2[[#This Row],[Unit Price]]*Sales_Data2[[#This Row],[Quantity]]</f>
        <v>480000</v>
      </c>
      <c r="M904">
        <f>Sales_Data2[[#This Row],[Cost Price]]*Sales_Data2[[#This Row],[Quantity]]</f>
        <v>384000</v>
      </c>
      <c r="N904" s="3">
        <f>Sales_Data2[[#This Row],[Revenue]]-Sales_Data2[[#This Row],[COGS]]</f>
        <v>96000</v>
      </c>
      <c r="O9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46578|South|Kano|Retail|Store|Microwave M20|Home Appliances|60000|8|Grace|48000</v>
      </c>
      <c r="P904" s="3" t="str">
        <f>IF(COUNTIF(Sales_Data2[RowKey],Sales_Data2[[#This Row],[RowKey]])&gt;1,"Duplicate","Unique")</f>
        <v>Unique</v>
      </c>
      <c r="Q904" s="3" t="str">
        <f>IF(ISNUMBER(Sales_Data2[[#This Row],[Date]]),"OK","Check")</f>
        <v>OK</v>
      </c>
      <c r="R904" s="3" t="str">
        <f>IF(ISNUMBER(Sales_Data2[[#This Row],[Quantity]]),"OK","Check")</f>
        <v>OK</v>
      </c>
    </row>
    <row r="905" spans="1:18">
      <c r="A905" s="1">
        <v>46579</v>
      </c>
      <c r="B905" t="s">
        <v>18</v>
      </c>
      <c r="C905" t="s">
        <v>19</v>
      </c>
      <c r="D905" t="s">
        <v>13</v>
      </c>
      <c r="E905" t="s">
        <v>14</v>
      </c>
      <c r="F905" t="s">
        <v>36</v>
      </c>
      <c r="G905" t="s">
        <v>31</v>
      </c>
      <c r="H905">
        <v>150000</v>
      </c>
      <c r="I905">
        <v>8</v>
      </c>
      <c r="J905" t="s">
        <v>37</v>
      </c>
      <c r="K905">
        <f t="shared" si="14"/>
        <v>120000</v>
      </c>
      <c r="L905">
        <f>Sales_Data2[[#This Row],[Unit Price]]*Sales_Data2[[#This Row],[Quantity]]</f>
        <v>1200000</v>
      </c>
      <c r="M905">
        <f>Sales_Data2[[#This Row],[Cost Price]]*Sales_Data2[[#This Row],[Quantity]]</f>
        <v>960000</v>
      </c>
      <c r="N905" s="3">
        <f>Sales_Data2[[#This Row],[Revenue]]-Sales_Data2[[#This Row],[COGS]]</f>
        <v>240000</v>
      </c>
      <c r="O9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46579|East|Lagos|Retail|Online|Printer P50|Electronics|150000|8|Aisha|120000</v>
      </c>
      <c r="P905" s="3" t="str">
        <f>IF(COUNTIF(Sales_Data2[RowKey],Sales_Data2[[#This Row],[RowKey]])&gt;1,"Duplicate","Unique")</f>
        <v>Unique</v>
      </c>
      <c r="Q905" s="3" t="str">
        <f>IF(ISNUMBER(Sales_Data2[[#This Row],[Date]]),"OK","Check")</f>
        <v>OK</v>
      </c>
      <c r="R905" s="3" t="str">
        <f>IF(ISNUMBER(Sales_Data2[[#This Row],[Quantity]]),"OK","Check")</f>
        <v>OK</v>
      </c>
    </row>
    <row r="906" spans="1:18">
      <c r="A906" s="1">
        <v>46580</v>
      </c>
      <c r="B906" t="s">
        <v>18</v>
      </c>
      <c r="C906" t="s">
        <v>26</v>
      </c>
      <c r="D906" t="s">
        <v>13</v>
      </c>
      <c r="E906" t="s">
        <v>20</v>
      </c>
      <c r="F906" t="s">
        <v>15</v>
      </c>
      <c r="G906" t="s">
        <v>16</v>
      </c>
      <c r="H906">
        <v>85000</v>
      </c>
      <c r="I906">
        <v>3</v>
      </c>
      <c r="J906" t="s">
        <v>39</v>
      </c>
      <c r="K906">
        <f t="shared" si="14"/>
        <v>68000</v>
      </c>
      <c r="L906">
        <f>Sales_Data2[[#This Row],[Unit Price]]*Sales_Data2[[#This Row],[Quantity]]</f>
        <v>255000</v>
      </c>
      <c r="M906">
        <f>Sales_Data2[[#This Row],[Cost Price]]*Sales_Data2[[#This Row],[Quantity]]</f>
        <v>204000</v>
      </c>
      <c r="N906" s="3">
        <f>Sales_Data2[[#This Row],[Revenue]]-Sales_Data2[[#This Row],[COGS]]</f>
        <v>51000</v>
      </c>
      <c r="O9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46580|East|Kano|Retail|Store|Office Chair Pro|Furniture|85000|3|Grace|68000</v>
      </c>
      <c r="P906" s="3" t="str">
        <f>IF(COUNTIF(Sales_Data2[RowKey],Sales_Data2[[#This Row],[RowKey]])&gt;1,"Duplicate","Unique")</f>
        <v>Unique</v>
      </c>
      <c r="Q906" s="3" t="str">
        <f>IF(ISNUMBER(Sales_Data2[[#This Row],[Date]]),"OK","Check")</f>
        <v>OK</v>
      </c>
      <c r="R906" s="3" t="str">
        <f>IF(ISNUMBER(Sales_Data2[[#This Row],[Quantity]]),"OK","Check")</f>
        <v>OK</v>
      </c>
    </row>
    <row r="907" spans="1:18">
      <c r="A907" s="1">
        <v>46581</v>
      </c>
      <c r="B907" t="s">
        <v>25</v>
      </c>
      <c r="C907" t="s">
        <v>12</v>
      </c>
      <c r="D907" t="s">
        <v>23</v>
      </c>
      <c r="E907" t="s">
        <v>14</v>
      </c>
      <c r="F907" t="s">
        <v>33</v>
      </c>
      <c r="G907" t="s">
        <v>22</v>
      </c>
      <c r="H907">
        <v>180000</v>
      </c>
      <c r="I907">
        <v>4</v>
      </c>
      <c r="J907" t="s">
        <v>37</v>
      </c>
      <c r="K907">
        <f t="shared" si="14"/>
        <v>144000</v>
      </c>
      <c r="L907">
        <f>Sales_Data2[[#This Row],[Unit Price]]*Sales_Data2[[#This Row],[Quantity]]</f>
        <v>720000</v>
      </c>
      <c r="M907">
        <f>Sales_Data2[[#This Row],[Cost Price]]*Sales_Data2[[#This Row],[Quantity]]</f>
        <v>576000</v>
      </c>
      <c r="N907" s="3">
        <f>Sales_Data2[[#This Row],[Revenue]]-Sales_Data2[[#This Row],[COGS]]</f>
        <v>144000</v>
      </c>
      <c r="O9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46581|South|Port Harcourt|Corporate|Online|Air Conditioner X2|Home Appliances|180000|4|Aisha|144000</v>
      </c>
      <c r="P907" s="3" t="str">
        <f>IF(COUNTIF(Sales_Data2[RowKey],Sales_Data2[[#This Row],[RowKey]])&gt;1,"Duplicate","Unique")</f>
        <v>Unique</v>
      </c>
      <c r="Q907" s="3" t="str">
        <f>IF(ISNUMBER(Sales_Data2[[#This Row],[Date]]),"OK","Check")</f>
        <v>OK</v>
      </c>
      <c r="R907" s="3" t="str">
        <f>IF(ISNUMBER(Sales_Data2[[#This Row],[Quantity]]),"OK","Check")</f>
        <v>OK</v>
      </c>
    </row>
    <row r="908" spans="1:18">
      <c r="A908" s="1">
        <v>46582</v>
      </c>
      <c r="B908" t="s">
        <v>29</v>
      </c>
      <c r="C908" t="s">
        <v>12</v>
      </c>
      <c r="D908" t="s">
        <v>13</v>
      </c>
      <c r="E908" t="s">
        <v>14</v>
      </c>
      <c r="F908" t="s">
        <v>38</v>
      </c>
      <c r="G908" t="s">
        <v>31</v>
      </c>
      <c r="H908">
        <v>420000</v>
      </c>
      <c r="I908">
        <v>7</v>
      </c>
      <c r="J908" t="s">
        <v>24</v>
      </c>
      <c r="K908">
        <f t="shared" si="14"/>
        <v>336000</v>
      </c>
      <c r="L908">
        <f>Sales_Data2[[#This Row],[Unit Price]]*Sales_Data2[[#This Row],[Quantity]]</f>
        <v>2940000</v>
      </c>
      <c r="M908">
        <f>Sales_Data2[[#This Row],[Cost Price]]*Sales_Data2[[#This Row],[Quantity]]</f>
        <v>2352000</v>
      </c>
      <c r="N908" s="3">
        <f>Sales_Data2[[#This Row],[Revenue]]-Sales_Data2[[#This Row],[COGS]]</f>
        <v>588000</v>
      </c>
      <c r="O9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46582|North|Port Harcourt|Retail|Online|Laptop A13|Electronics|420000|7|David|336000</v>
      </c>
      <c r="P908" s="3" t="str">
        <f>IF(COUNTIF(Sales_Data2[RowKey],Sales_Data2[[#This Row],[RowKey]])&gt;1,"Duplicate","Unique")</f>
        <v>Unique</v>
      </c>
      <c r="Q908" s="3" t="str">
        <f>IF(ISNUMBER(Sales_Data2[[#This Row],[Date]]),"OK","Check")</f>
        <v>OK</v>
      </c>
      <c r="R908" s="3" t="str">
        <f>IF(ISNUMBER(Sales_Data2[[#This Row],[Quantity]]),"OK","Check")</f>
        <v>OK</v>
      </c>
    </row>
    <row r="909" spans="1:18">
      <c r="A909" s="1">
        <v>46583</v>
      </c>
      <c r="B909" t="s">
        <v>18</v>
      </c>
      <c r="C909" t="s">
        <v>19</v>
      </c>
      <c r="D909" t="s">
        <v>13</v>
      </c>
      <c r="E909" t="s">
        <v>20</v>
      </c>
      <c r="F909" t="s">
        <v>27</v>
      </c>
      <c r="G909" t="s">
        <v>22</v>
      </c>
      <c r="H909">
        <v>60000</v>
      </c>
      <c r="I909">
        <v>8</v>
      </c>
      <c r="J909" t="s">
        <v>24</v>
      </c>
      <c r="K909">
        <f t="shared" si="14"/>
        <v>48000</v>
      </c>
      <c r="L909">
        <f>Sales_Data2[[#This Row],[Unit Price]]*Sales_Data2[[#This Row],[Quantity]]</f>
        <v>480000</v>
      </c>
      <c r="M909">
        <f>Sales_Data2[[#This Row],[Cost Price]]*Sales_Data2[[#This Row],[Quantity]]</f>
        <v>384000</v>
      </c>
      <c r="N909" s="3">
        <f>Sales_Data2[[#This Row],[Revenue]]-Sales_Data2[[#This Row],[COGS]]</f>
        <v>96000</v>
      </c>
      <c r="O9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46583|East|Lagos|Retail|Store|Microwave M20|Home Appliances|60000|8|David|48000</v>
      </c>
      <c r="P909" s="3" t="str">
        <f>IF(COUNTIF(Sales_Data2[RowKey],Sales_Data2[[#This Row],[RowKey]])&gt;1,"Duplicate","Unique")</f>
        <v>Unique</v>
      </c>
      <c r="Q909" s="3" t="str">
        <f>IF(ISNUMBER(Sales_Data2[[#This Row],[Date]]),"OK","Check")</f>
        <v>OK</v>
      </c>
      <c r="R909" s="3" t="str">
        <f>IF(ISNUMBER(Sales_Data2[[#This Row],[Quantity]]),"OK","Check")</f>
        <v>OK</v>
      </c>
    </row>
    <row r="910" spans="1:18">
      <c r="A910" s="1">
        <v>46584</v>
      </c>
      <c r="B910" t="s">
        <v>25</v>
      </c>
      <c r="C910" t="s">
        <v>26</v>
      </c>
      <c r="D910" t="s">
        <v>13</v>
      </c>
      <c r="E910" t="s">
        <v>20</v>
      </c>
      <c r="F910" t="s">
        <v>30</v>
      </c>
      <c r="G910" t="s">
        <v>31</v>
      </c>
      <c r="H910">
        <v>300000</v>
      </c>
      <c r="I910">
        <v>1</v>
      </c>
      <c r="J910" t="s">
        <v>35</v>
      </c>
      <c r="K910">
        <f t="shared" si="14"/>
        <v>240000</v>
      </c>
      <c r="L910">
        <f>Sales_Data2[[#This Row],[Unit Price]]*Sales_Data2[[#This Row],[Quantity]]</f>
        <v>300000</v>
      </c>
      <c r="M910">
        <f>Sales_Data2[[#This Row],[Cost Price]]*Sales_Data2[[#This Row],[Quantity]]</f>
        <v>240000</v>
      </c>
      <c r="N910" s="3">
        <f>Sales_Data2[[#This Row],[Revenue]]-Sales_Data2[[#This Row],[COGS]]</f>
        <v>60000</v>
      </c>
      <c r="O9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46584|South|Kano|Retail|Store|Desktop PC D21|Electronics|300000|1|Peter|240000</v>
      </c>
      <c r="P910" s="3" t="str">
        <f>IF(COUNTIF(Sales_Data2[RowKey],Sales_Data2[[#This Row],[RowKey]])&gt;1,"Duplicate","Unique")</f>
        <v>Unique</v>
      </c>
      <c r="Q910" s="3" t="str">
        <f>IF(ISNUMBER(Sales_Data2[[#This Row],[Date]]),"OK","Check")</f>
        <v>OK</v>
      </c>
      <c r="R910" s="3" t="str">
        <f>IF(ISNUMBER(Sales_Data2[[#This Row],[Quantity]]),"OK","Check")</f>
        <v>OK</v>
      </c>
    </row>
    <row r="911" spans="1:18">
      <c r="A911" s="1">
        <v>46585</v>
      </c>
      <c r="B911" t="s">
        <v>18</v>
      </c>
      <c r="C911" t="s">
        <v>26</v>
      </c>
      <c r="D911" t="s">
        <v>13</v>
      </c>
      <c r="E911" t="s">
        <v>14</v>
      </c>
      <c r="F911" t="s">
        <v>21</v>
      </c>
      <c r="G911" t="s">
        <v>22</v>
      </c>
      <c r="H911">
        <v>30000</v>
      </c>
      <c r="I911">
        <v>6</v>
      </c>
      <c r="J911" t="s">
        <v>35</v>
      </c>
      <c r="K911">
        <f t="shared" si="14"/>
        <v>24000</v>
      </c>
      <c r="L911">
        <f>Sales_Data2[[#This Row],[Unit Price]]*Sales_Data2[[#This Row],[Quantity]]</f>
        <v>180000</v>
      </c>
      <c r="M911">
        <f>Sales_Data2[[#This Row],[Cost Price]]*Sales_Data2[[#This Row],[Quantity]]</f>
        <v>144000</v>
      </c>
      <c r="N911" s="3">
        <f>Sales_Data2[[#This Row],[Revenue]]-Sales_Data2[[#This Row],[COGS]]</f>
        <v>36000</v>
      </c>
      <c r="O9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46585|East|Kano|Retail|Online|Blender B10|Home Appliances|30000|6|Peter|24000</v>
      </c>
      <c r="P911" s="3" t="str">
        <f>IF(COUNTIF(Sales_Data2[RowKey],Sales_Data2[[#This Row],[RowKey]])&gt;1,"Duplicate","Unique")</f>
        <v>Unique</v>
      </c>
      <c r="Q911" s="3" t="str">
        <f>IF(ISNUMBER(Sales_Data2[[#This Row],[Date]]),"OK","Check")</f>
        <v>OK</v>
      </c>
      <c r="R911" s="3" t="str">
        <f>IF(ISNUMBER(Sales_Data2[[#This Row],[Quantity]]),"OK","Check")</f>
        <v>OK</v>
      </c>
    </row>
    <row r="912" spans="1:18">
      <c r="A912" s="1">
        <v>46586</v>
      </c>
      <c r="B912" t="s">
        <v>29</v>
      </c>
      <c r="C912" t="s">
        <v>19</v>
      </c>
      <c r="D912" t="s">
        <v>23</v>
      </c>
      <c r="E912" t="s">
        <v>20</v>
      </c>
      <c r="F912" t="s">
        <v>40</v>
      </c>
      <c r="G912" t="s">
        <v>31</v>
      </c>
      <c r="H912">
        <v>250000</v>
      </c>
      <c r="I912">
        <v>9</v>
      </c>
      <c r="J912" t="s">
        <v>37</v>
      </c>
      <c r="K912">
        <f t="shared" si="14"/>
        <v>200000</v>
      </c>
      <c r="L912">
        <f>Sales_Data2[[#This Row],[Unit Price]]*Sales_Data2[[#This Row],[Quantity]]</f>
        <v>2250000</v>
      </c>
      <c r="M912">
        <f>Sales_Data2[[#This Row],[Cost Price]]*Sales_Data2[[#This Row],[Quantity]]</f>
        <v>1800000</v>
      </c>
      <c r="N912" s="3">
        <f>Sales_Data2[[#This Row],[Revenue]]-Sales_Data2[[#This Row],[COGS]]</f>
        <v>450000</v>
      </c>
      <c r="O9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46586|North|Lagos|Corporate|Store|Smartphone Z10|Electronics|250000|9|Aisha|200000</v>
      </c>
      <c r="P912" s="3" t="str">
        <f>IF(COUNTIF(Sales_Data2[RowKey],Sales_Data2[[#This Row],[RowKey]])&gt;1,"Duplicate","Unique")</f>
        <v>Unique</v>
      </c>
      <c r="Q912" s="3" t="str">
        <f>IF(ISNUMBER(Sales_Data2[[#This Row],[Date]]),"OK","Check")</f>
        <v>OK</v>
      </c>
      <c r="R912" s="3" t="str">
        <f>IF(ISNUMBER(Sales_Data2[[#This Row],[Quantity]]),"OK","Check")</f>
        <v>OK</v>
      </c>
    </row>
    <row r="913" spans="1:18">
      <c r="A913" s="1">
        <v>46587</v>
      </c>
      <c r="B913" t="s">
        <v>18</v>
      </c>
      <c r="C913" t="s">
        <v>26</v>
      </c>
      <c r="D913" t="s">
        <v>23</v>
      </c>
      <c r="E913" t="s">
        <v>20</v>
      </c>
      <c r="F913" t="s">
        <v>38</v>
      </c>
      <c r="G913" t="s">
        <v>31</v>
      </c>
      <c r="H913">
        <v>420000</v>
      </c>
      <c r="I913">
        <v>9</v>
      </c>
      <c r="J913" t="s">
        <v>35</v>
      </c>
      <c r="K913">
        <f t="shared" si="14"/>
        <v>336000</v>
      </c>
      <c r="L913">
        <f>Sales_Data2[[#This Row],[Unit Price]]*Sales_Data2[[#This Row],[Quantity]]</f>
        <v>3780000</v>
      </c>
      <c r="M913">
        <f>Sales_Data2[[#This Row],[Cost Price]]*Sales_Data2[[#This Row],[Quantity]]</f>
        <v>3024000</v>
      </c>
      <c r="N913" s="3">
        <f>Sales_Data2[[#This Row],[Revenue]]-Sales_Data2[[#This Row],[COGS]]</f>
        <v>756000</v>
      </c>
      <c r="O9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46587|East|Kano|Corporate|Store|Laptop A13|Electronics|420000|9|Peter|336000</v>
      </c>
      <c r="P913" s="3" t="str">
        <f>IF(COUNTIF(Sales_Data2[RowKey],Sales_Data2[[#This Row],[RowKey]])&gt;1,"Duplicate","Unique")</f>
        <v>Unique</v>
      </c>
      <c r="Q913" s="3" t="str">
        <f>IF(ISNUMBER(Sales_Data2[[#This Row],[Date]]),"OK","Check")</f>
        <v>OK</v>
      </c>
      <c r="R913" s="3" t="str">
        <f>IF(ISNUMBER(Sales_Data2[[#This Row],[Quantity]]),"OK","Check")</f>
        <v>OK</v>
      </c>
    </row>
    <row r="914" spans="1:18">
      <c r="A914" s="1">
        <v>46588</v>
      </c>
      <c r="B914" t="s">
        <v>18</v>
      </c>
      <c r="C914" t="s">
        <v>26</v>
      </c>
      <c r="D914" t="s">
        <v>23</v>
      </c>
      <c r="E914" t="s">
        <v>20</v>
      </c>
      <c r="F914" t="s">
        <v>36</v>
      </c>
      <c r="G914" t="s">
        <v>31</v>
      </c>
      <c r="H914">
        <v>150000</v>
      </c>
      <c r="I914">
        <v>9</v>
      </c>
      <c r="J914" t="s">
        <v>35</v>
      </c>
      <c r="K914">
        <f t="shared" si="14"/>
        <v>120000</v>
      </c>
      <c r="L914">
        <f>Sales_Data2[[#This Row],[Unit Price]]*Sales_Data2[[#This Row],[Quantity]]</f>
        <v>1350000</v>
      </c>
      <c r="M914">
        <f>Sales_Data2[[#This Row],[Cost Price]]*Sales_Data2[[#This Row],[Quantity]]</f>
        <v>1080000</v>
      </c>
      <c r="N914" s="3">
        <f>Sales_Data2[[#This Row],[Revenue]]-Sales_Data2[[#This Row],[COGS]]</f>
        <v>270000</v>
      </c>
      <c r="O9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46588|East|Kano|Corporate|Store|Printer P50|Electronics|150000|9|Peter|120000</v>
      </c>
      <c r="P914" s="3" t="str">
        <f>IF(COUNTIF(Sales_Data2[RowKey],Sales_Data2[[#This Row],[RowKey]])&gt;1,"Duplicate","Unique")</f>
        <v>Unique</v>
      </c>
      <c r="Q914" s="3" t="str">
        <f>IF(ISNUMBER(Sales_Data2[[#This Row],[Date]]),"OK","Check")</f>
        <v>OK</v>
      </c>
      <c r="R914" s="3" t="str">
        <f>IF(ISNUMBER(Sales_Data2[[#This Row],[Quantity]]),"OK","Check")</f>
        <v>OK</v>
      </c>
    </row>
    <row r="915" spans="1:18">
      <c r="A915" s="1">
        <v>46589</v>
      </c>
      <c r="B915" t="s">
        <v>18</v>
      </c>
      <c r="C915" t="s">
        <v>19</v>
      </c>
      <c r="D915" t="s">
        <v>23</v>
      </c>
      <c r="E915" t="s">
        <v>14</v>
      </c>
      <c r="F915" t="s">
        <v>30</v>
      </c>
      <c r="G915" t="s">
        <v>31</v>
      </c>
      <c r="H915">
        <v>300000</v>
      </c>
      <c r="I915">
        <v>5</v>
      </c>
      <c r="J915" t="s">
        <v>39</v>
      </c>
      <c r="K915">
        <f t="shared" si="14"/>
        <v>240000</v>
      </c>
      <c r="L915">
        <f>Sales_Data2[[#This Row],[Unit Price]]*Sales_Data2[[#This Row],[Quantity]]</f>
        <v>1500000</v>
      </c>
      <c r="M915">
        <f>Sales_Data2[[#This Row],[Cost Price]]*Sales_Data2[[#This Row],[Quantity]]</f>
        <v>1200000</v>
      </c>
      <c r="N915" s="3">
        <f>Sales_Data2[[#This Row],[Revenue]]-Sales_Data2[[#This Row],[COGS]]</f>
        <v>300000</v>
      </c>
      <c r="O9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46589|East|Lagos|Corporate|Online|Desktop PC D21|Electronics|300000|5|Grace|240000</v>
      </c>
      <c r="P915" s="3" t="str">
        <f>IF(COUNTIF(Sales_Data2[RowKey],Sales_Data2[[#This Row],[RowKey]])&gt;1,"Duplicate","Unique")</f>
        <v>Unique</v>
      </c>
      <c r="Q915" s="3" t="str">
        <f>IF(ISNUMBER(Sales_Data2[[#This Row],[Date]]),"OK","Check")</f>
        <v>OK</v>
      </c>
      <c r="R915" s="3" t="str">
        <f>IF(ISNUMBER(Sales_Data2[[#This Row],[Quantity]]),"OK","Check")</f>
        <v>OK</v>
      </c>
    </row>
    <row r="916" spans="1:18">
      <c r="A916" s="1">
        <v>46590</v>
      </c>
      <c r="B916" t="s">
        <v>29</v>
      </c>
      <c r="C916" t="s">
        <v>32</v>
      </c>
      <c r="D916" t="s">
        <v>13</v>
      </c>
      <c r="E916" t="s">
        <v>14</v>
      </c>
      <c r="F916" t="s">
        <v>21</v>
      </c>
      <c r="G916" t="s">
        <v>22</v>
      </c>
      <c r="H916">
        <v>30000</v>
      </c>
      <c r="I916">
        <v>4</v>
      </c>
      <c r="J916" t="s">
        <v>35</v>
      </c>
      <c r="K916">
        <f t="shared" si="14"/>
        <v>24000</v>
      </c>
      <c r="L916">
        <f>Sales_Data2[[#This Row],[Unit Price]]*Sales_Data2[[#This Row],[Quantity]]</f>
        <v>120000</v>
      </c>
      <c r="M916">
        <f>Sales_Data2[[#This Row],[Cost Price]]*Sales_Data2[[#This Row],[Quantity]]</f>
        <v>96000</v>
      </c>
      <c r="N916" s="3">
        <f>Sales_Data2[[#This Row],[Revenue]]-Sales_Data2[[#This Row],[COGS]]</f>
        <v>24000</v>
      </c>
      <c r="O9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46590|North|Abuja|Retail|Online|Blender B10|Home Appliances|30000|4|Peter|24000</v>
      </c>
      <c r="P916" s="3" t="str">
        <f>IF(COUNTIF(Sales_Data2[RowKey],Sales_Data2[[#This Row],[RowKey]])&gt;1,"Duplicate","Unique")</f>
        <v>Unique</v>
      </c>
      <c r="Q916" s="3" t="str">
        <f>IF(ISNUMBER(Sales_Data2[[#This Row],[Date]]),"OK","Check")</f>
        <v>OK</v>
      </c>
      <c r="R916" s="3" t="str">
        <f>IF(ISNUMBER(Sales_Data2[[#This Row],[Quantity]]),"OK","Check")</f>
        <v>OK</v>
      </c>
    </row>
    <row r="917" spans="1:18">
      <c r="A917" s="1">
        <v>46591</v>
      </c>
      <c r="B917" t="s">
        <v>11</v>
      </c>
      <c r="C917" t="s">
        <v>32</v>
      </c>
      <c r="D917" t="s">
        <v>13</v>
      </c>
      <c r="E917" t="s">
        <v>20</v>
      </c>
      <c r="F917" t="s">
        <v>38</v>
      </c>
      <c r="G917" t="s">
        <v>31</v>
      </c>
      <c r="H917">
        <v>420000</v>
      </c>
      <c r="I917">
        <v>7</v>
      </c>
      <c r="J917" t="s">
        <v>39</v>
      </c>
      <c r="K917">
        <f t="shared" si="14"/>
        <v>336000</v>
      </c>
      <c r="L917">
        <f>Sales_Data2[[#This Row],[Unit Price]]*Sales_Data2[[#This Row],[Quantity]]</f>
        <v>2940000</v>
      </c>
      <c r="M917">
        <f>Sales_Data2[[#This Row],[Cost Price]]*Sales_Data2[[#This Row],[Quantity]]</f>
        <v>2352000</v>
      </c>
      <c r="N917" s="3">
        <f>Sales_Data2[[#This Row],[Revenue]]-Sales_Data2[[#This Row],[COGS]]</f>
        <v>588000</v>
      </c>
      <c r="O9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46591|West|Abuja|Retail|Store|Laptop A13|Electronics|420000|7|Grace|336000</v>
      </c>
      <c r="P917" s="3" t="str">
        <f>IF(COUNTIF(Sales_Data2[RowKey],Sales_Data2[[#This Row],[RowKey]])&gt;1,"Duplicate","Unique")</f>
        <v>Unique</v>
      </c>
      <c r="Q917" s="3" t="str">
        <f>IF(ISNUMBER(Sales_Data2[[#This Row],[Date]]),"OK","Check")</f>
        <v>OK</v>
      </c>
      <c r="R917" s="3" t="str">
        <f>IF(ISNUMBER(Sales_Data2[[#This Row],[Quantity]]),"OK","Check")</f>
        <v>OK</v>
      </c>
    </row>
    <row r="918" spans="1:18">
      <c r="A918" s="1">
        <v>46592</v>
      </c>
      <c r="B918" t="s">
        <v>18</v>
      </c>
      <c r="C918" t="s">
        <v>19</v>
      </c>
      <c r="D918" t="s">
        <v>23</v>
      </c>
      <c r="E918" t="s">
        <v>20</v>
      </c>
      <c r="F918" t="s">
        <v>34</v>
      </c>
      <c r="G918" t="s">
        <v>16</v>
      </c>
      <c r="H918">
        <v>320000</v>
      </c>
      <c r="I918">
        <v>6</v>
      </c>
      <c r="J918" t="s">
        <v>35</v>
      </c>
      <c r="K918">
        <f t="shared" si="14"/>
        <v>256000</v>
      </c>
      <c r="L918">
        <f>Sales_Data2[[#This Row],[Unit Price]]*Sales_Data2[[#This Row],[Quantity]]</f>
        <v>1920000</v>
      </c>
      <c r="M918">
        <f>Sales_Data2[[#This Row],[Cost Price]]*Sales_Data2[[#This Row],[Quantity]]</f>
        <v>1536000</v>
      </c>
      <c r="N918" s="3">
        <f>Sales_Data2[[#This Row],[Revenue]]-Sales_Data2[[#This Row],[COGS]]</f>
        <v>384000</v>
      </c>
      <c r="O9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46592|East|Lagos|Corporate|Store|Sofa Classic|Furniture|320000|6|Peter|256000</v>
      </c>
      <c r="P918" s="3" t="str">
        <f>IF(COUNTIF(Sales_Data2[RowKey],Sales_Data2[[#This Row],[RowKey]])&gt;1,"Duplicate","Unique")</f>
        <v>Unique</v>
      </c>
      <c r="Q918" s="3" t="str">
        <f>IF(ISNUMBER(Sales_Data2[[#This Row],[Date]]),"OK","Check")</f>
        <v>OK</v>
      </c>
      <c r="R918" s="3" t="str">
        <f>IF(ISNUMBER(Sales_Data2[[#This Row],[Quantity]]),"OK","Check")</f>
        <v>OK</v>
      </c>
    </row>
    <row r="919" spans="1:18">
      <c r="A919" s="1">
        <v>46593</v>
      </c>
      <c r="B919" t="s">
        <v>25</v>
      </c>
      <c r="C919" t="s">
        <v>32</v>
      </c>
      <c r="D919" t="s">
        <v>13</v>
      </c>
      <c r="E919" t="s">
        <v>14</v>
      </c>
      <c r="F919" t="s">
        <v>15</v>
      </c>
      <c r="G919" t="s">
        <v>16</v>
      </c>
      <c r="H919">
        <v>85000</v>
      </c>
      <c r="I919">
        <v>2</v>
      </c>
      <c r="J919" t="s">
        <v>39</v>
      </c>
      <c r="K919">
        <f t="shared" si="14"/>
        <v>68000</v>
      </c>
      <c r="L919">
        <f>Sales_Data2[[#This Row],[Unit Price]]*Sales_Data2[[#This Row],[Quantity]]</f>
        <v>170000</v>
      </c>
      <c r="M919">
        <f>Sales_Data2[[#This Row],[Cost Price]]*Sales_Data2[[#This Row],[Quantity]]</f>
        <v>136000</v>
      </c>
      <c r="N919" s="3">
        <f>Sales_Data2[[#This Row],[Revenue]]-Sales_Data2[[#This Row],[COGS]]</f>
        <v>34000</v>
      </c>
      <c r="O9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46593|South|Abuja|Retail|Online|Office Chair Pro|Furniture|85000|2|Grace|68000</v>
      </c>
      <c r="P919" s="3" t="str">
        <f>IF(COUNTIF(Sales_Data2[RowKey],Sales_Data2[[#This Row],[RowKey]])&gt;1,"Duplicate","Unique")</f>
        <v>Unique</v>
      </c>
      <c r="Q919" s="3" t="str">
        <f>IF(ISNUMBER(Sales_Data2[[#This Row],[Date]]),"OK","Check")</f>
        <v>OK</v>
      </c>
      <c r="R919" s="3" t="str">
        <f>IF(ISNUMBER(Sales_Data2[[#This Row],[Quantity]]),"OK","Check")</f>
        <v>OK</v>
      </c>
    </row>
    <row r="920" spans="1:18">
      <c r="A920" s="1">
        <v>46594</v>
      </c>
      <c r="B920" t="s">
        <v>11</v>
      </c>
      <c r="C920" t="s">
        <v>19</v>
      </c>
      <c r="D920" t="s">
        <v>13</v>
      </c>
      <c r="E920" t="s">
        <v>14</v>
      </c>
      <c r="F920" t="s">
        <v>36</v>
      </c>
      <c r="G920" t="s">
        <v>31</v>
      </c>
      <c r="H920">
        <v>150000</v>
      </c>
      <c r="I920">
        <v>1</v>
      </c>
      <c r="J920" t="s">
        <v>39</v>
      </c>
      <c r="K920">
        <f t="shared" si="14"/>
        <v>120000</v>
      </c>
      <c r="L920">
        <f>Sales_Data2[[#This Row],[Unit Price]]*Sales_Data2[[#This Row],[Quantity]]</f>
        <v>150000</v>
      </c>
      <c r="M920">
        <f>Sales_Data2[[#This Row],[Cost Price]]*Sales_Data2[[#This Row],[Quantity]]</f>
        <v>120000</v>
      </c>
      <c r="N920" s="3">
        <f>Sales_Data2[[#This Row],[Revenue]]-Sales_Data2[[#This Row],[COGS]]</f>
        <v>30000</v>
      </c>
      <c r="O9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46594|West|Lagos|Retail|Online|Printer P50|Electronics|150000|1|Grace|120000</v>
      </c>
      <c r="P920" s="3" t="str">
        <f>IF(COUNTIF(Sales_Data2[RowKey],Sales_Data2[[#This Row],[RowKey]])&gt;1,"Duplicate","Unique")</f>
        <v>Unique</v>
      </c>
      <c r="Q920" s="3" t="str">
        <f>IF(ISNUMBER(Sales_Data2[[#This Row],[Date]]),"OK","Check")</f>
        <v>OK</v>
      </c>
      <c r="R920" s="3" t="str">
        <f>IF(ISNUMBER(Sales_Data2[[#This Row],[Quantity]]),"OK","Check")</f>
        <v>OK</v>
      </c>
    </row>
    <row r="921" spans="1:18">
      <c r="A921" s="1">
        <v>46595</v>
      </c>
      <c r="B921" t="s">
        <v>11</v>
      </c>
      <c r="C921" t="s">
        <v>12</v>
      </c>
      <c r="D921" t="s">
        <v>23</v>
      </c>
      <c r="E921" t="s">
        <v>20</v>
      </c>
      <c r="F921" t="s">
        <v>15</v>
      </c>
      <c r="G921" t="s">
        <v>16</v>
      </c>
      <c r="H921">
        <v>85000</v>
      </c>
      <c r="I921">
        <v>2</v>
      </c>
      <c r="J921" t="s">
        <v>37</v>
      </c>
      <c r="K921">
        <f t="shared" si="14"/>
        <v>68000</v>
      </c>
      <c r="L921">
        <f>Sales_Data2[[#This Row],[Unit Price]]*Sales_Data2[[#This Row],[Quantity]]</f>
        <v>170000</v>
      </c>
      <c r="M921">
        <f>Sales_Data2[[#This Row],[Cost Price]]*Sales_Data2[[#This Row],[Quantity]]</f>
        <v>136000</v>
      </c>
      <c r="N921" s="3">
        <f>Sales_Data2[[#This Row],[Revenue]]-Sales_Data2[[#This Row],[COGS]]</f>
        <v>34000</v>
      </c>
      <c r="O9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46595|West|Port Harcourt|Corporate|Store|Office Chair Pro|Furniture|85000|2|Aisha|68000</v>
      </c>
      <c r="P921" s="3" t="str">
        <f>IF(COUNTIF(Sales_Data2[RowKey],Sales_Data2[[#This Row],[RowKey]])&gt;1,"Duplicate","Unique")</f>
        <v>Unique</v>
      </c>
      <c r="Q921" s="3" t="str">
        <f>IF(ISNUMBER(Sales_Data2[[#This Row],[Date]]),"OK","Check")</f>
        <v>OK</v>
      </c>
      <c r="R921" s="3" t="str">
        <f>IF(ISNUMBER(Sales_Data2[[#This Row],[Quantity]]),"OK","Check")</f>
        <v>OK</v>
      </c>
    </row>
    <row r="922" spans="1:18">
      <c r="A922" s="1">
        <v>46596</v>
      </c>
      <c r="B922" t="s">
        <v>11</v>
      </c>
      <c r="C922" t="s">
        <v>32</v>
      </c>
      <c r="D922" t="s">
        <v>23</v>
      </c>
      <c r="E922" t="s">
        <v>14</v>
      </c>
      <c r="F922" t="s">
        <v>15</v>
      </c>
      <c r="G922" t="s">
        <v>16</v>
      </c>
      <c r="H922">
        <v>85000</v>
      </c>
      <c r="I922">
        <v>1</v>
      </c>
      <c r="J922" t="s">
        <v>28</v>
      </c>
      <c r="K922">
        <f t="shared" si="14"/>
        <v>68000</v>
      </c>
      <c r="L922">
        <f>Sales_Data2[[#This Row],[Unit Price]]*Sales_Data2[[#This Row],[Quantity]]</f>
        <v>85000</v>
      </c>
      <c r="M922">
        <f>Sales_Data2[[#This Row],[Cost Price]]*Sales_Data2[[#This Row],[Quantity]]</f>
        <v>68000</v>
      </c>
      <c r="N922" s="3">
        <f>Sales_Data2[[#This Row],[Revenue]]-Sales_Data2[[#This Row],[COGS]]</f>
        <v>17000</v>
      </c>
      <c r="O9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46596|West|Abuja|Corporate|Online|Office Chair Pro|Furniture|85000|1|Musa|68000</v>
      </c>
      <c r="P922" s="3" t="str">
        <f>IF(COUNTIF(Sales_Data2[RowKey],Sales_Data2[[#This Row],[RowKey]])&gt;1,"Duplicate","Unique")</f>
        <v>Unique</v>
      </c>
      <c r="Q922" s="3" t="str">
        <f>IF(ISNUMBER(Sales_Data2[[#This Row],[Date]]),"OK","Check")</f>
        <v>OK</v>
      </c>
      <c r="R922" s="3" t="str">
        <f>IF(ISNUMBER(Sales_Data2[[#This Row],[Quantity]]),"OK","Check")</f>
        <v>OK</v>
      </c>
    </row>
    <row r="923" spans="1:18">
      <c r="A923" s="1">
        <v>46597</v>
      </c>
      <c r="B923" t="s">
        <v>29</v>
      </c>
      <c r="C923" t="s">
        <v>26</v>
      </c>
      <c r="D923" t="s">
        <v>13</v>
      </c>
      <c r="E923" t="s">
        <v>14</v>
      </c>
      <c r="F923" t="s">
        <v>33</v>
      </c>
      <c r="G923" t="s">
        <v>22</v>
      </c>
      <c r="H923">
        <v>180000</v>
      </c>
      <c r="I923">
        <v>4</v>
      </c>
      <c r="J923" t="s">
        <v>39</v>
      </c>
      <c r="K923">
        <f t="shared" si="14"/>
        <v>144000</v>
      </c>
      <c r="L923">
        <f>Sales_Data2[[#This Row],[Unit Price]]*Sales_Data2[[#This Row],[Quantity]]</f>
        <v>720000</v>
      </c>
      <c r="M923">
        <f>Sales_Data2[[#This Row],[Cost Price]]*Sales_Data2[[#This Row],[Quantity]]</f>
        <v>576000</v>
      </c>
      <c r="N923" s="3">
        <f>Sales_Data2[[#This Row],[Revenue]]-Sales_Data2[[#This Row],[COGS]]</f>
        <v>144000</v>
      </c>
      <c r="O9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46597|North|Kano|Retail|Online|Air Conditioner X2|Home Appliances|180000|4|Grace|144000</v>
      </c>
      <c r="P923" s="3" t="str">
        <f>IF(COUNTIF(Sales_Data2[RowKey],Sales_Data2[[#This Row],[RowKey]])&gt;1,"Duplicate","Unique")</f>
        <v>Unique</v>
      </c>
      <c r="Q923" s="3" t="str">
        <f>IF(ISNUMBER(Sales_Data2[[#This Row],[Date]]),"OK","Check")</f>
        <v>OK</v>
      </c>
      <c r="R923" s="3" t="str">
        <f>IF(ISNUMBER(Sales_Data2[[#This Row],[Quantity]]),"OK","Check")</f>
        <v>OK</v>
      </c>
    </row>
    <row r="924" spans="1:18">
      <c r="A924" s="1">
        <v>46598</v>
      </c>
      <c r="B924" t="s">
        <v>18</v>
      </c>
      <c r="C924" t="s">
        <v>12</v>
      </c>
      <c r="D924" t="s">
        <v>23</v>
      </c>
      <c r="E924" t="s">
        <v>14</v>
      </c>
      <c r="F924" t="s">
        <v>38</v>
      </c>
      <c r="G924" t="s">
        <v>31</v>
      </c>
      <c r="H924">
        <v>420000</v>
      </c>
      <c r="I924">
        <v>8</v>
      </c>
      <c r="J924" t="s">
        <v>24</v>
      </c>
      <c r="K924">
        <f t="shared" si="14"/>
        <v>336000</v>
      </c>
      <c r="L924">
        <f>Sales_Data2[[#This Row],[Unit Price]]*Sales_Data2[[#This Row],[Quantity]]</f>
        <v>3360000</v>
      </c>
      <c r="M924">
        <f>Sales_Data2[[#This Row],[Cost Price]]*Sales_Data2[[#This Row],[Quantity]]</f>
        <v>2688000</v>
      </c>
      <c r="N924" s="3">
        <f>Sales_Data2[[#This Row],[Revenue]]-Sales_Data2[[#This Row],[COGS]]</f>
        <v>672000</v>
      </c>
      <c r="O9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46598|East|Port Harcourt|Corporate|Online|Laptop A13|Electronics|420000|8|David|336000</v>
      </c>
      <c r="P924" s="3" t="str">
        <f>IF(COUNTIF(Sales_Data2[RowKey],Sales_Data2[[#This Row],[RowKey]])&gt;1,"Duplicate","Unique")</f>
        <v>Unique</v>
      </c>
      <c r="Q924" s="3" t="str">
        <f>IF(ISNUMBER(Sales_Data2[[#This Row],[Date]]),"OK","Check")</f>
        <v>OK</v>
      </c>
      <c r="R924" s="3" t="str">
        <f>IF(ISNUMBER(Sales_Data2[[#This Row],[Quantity]]),"OK","Check")</f>
        <v>OK</v>
      </c>
    </row>
    <row r="925" spans="1:18">
      <c r="A925" s="1">
        <v>46599</v>
      </c>
      <c r="B925" t="s">
        <v>11</v>
      </c>
      <c r="C925" t="s">
        <v>26</v>
      </c>
      <c r="D925" t="s">
        <v>23</v>
      </c>
      <c r="E925" t="s">
        <v>20</v>
      </c>
      <c r="F925" t="s">
        <v>33</v>
      </c>
      <c r="G925" t="s">
        <v>22</v>
      </c>
      <c r="H925">
        <v>180000</v>
      </c>
      <c r="I925">
        <v>9</v>
      </c>
      <c r="J925" t="s">
        <v>24</v>
      </c>
      <c r="K925">
        <f t="shared" si="14"/>
        <v>144000</v>
      </c>
      <c r="L925">
        <f>Sales_Data2[[#This Row],[Unit Price]]*Sales_Data2[[#This Row],[Quantity]]</f>
        <v>1620000</v>
      </c>
      <c r="M925">
        <f>Sales_Data2[[#This Row],[Cost Price]]*Sales_Data2[[#This Row],[Quantity]]</f>
        <v>1296000</v>
      </c>
      <c r="N925" s="3">
        <f>Sales_Data2[[#This Row],[Revenue]]-Sales_Data2[[#This Row],[COGS]]</f>
        <v>324000</v>
      </c>
      <c r="O9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46599|West|Kano|Corporate|Store|Air Conditioner X2|Home Appliances|180000|9|David|144000</v>
      </c>
      <c r="P925" s="3" t="str">
        <f>IF(COUNTIF(Sales_Data2[RowKey],Sales_Data2[[#This Row],[RowKey]])&gt;1,"Duplicate","Unique")</f>
        <v>Unique</v>
      </c>
      <c r="Q925" s="3" t="str">
        <f>IF(ISNUMBER(Sales_Data2[[#This Row],[Date]]),"OK","Check")</f>
        <v>OK</v>
      </c>
      <c r="R925" s="3" t="str">
        <f>IF(ISNUMBER(Sales_Data2[[#This Row],[Quantity]]),"OK","Check")</f>
        <v>OK</v>
      </c>
    </row>
    <row r="926" spans="1:18">
      <c r="A926" s="1">
        <v>46600</v>
      </c>
      <c r="B926" t="s">
        <v>29</v>
      </c>
      <c r="C926" t="s">
        <v>19</v>
      </c>
      <c r="D926" t="s">
        <v>23</v>
      </c>
      <c r="E926" t="s">
        <v>20</v>
      </c>
      <c r="F926" t="s">
        <v>30</v>
      </c>
      <c r="G926" t="s">
        <v>31</v>
      </c>
      <c r="H926">
        <v>300000</v>
      </c>
      <c r="I926">
        <v>5</v>
      </c>
      <c r="J926" t="s">
        <v>39</v>
      </c>
      <c r="K926">
        <f t="shared" si="14"/>
        <v>240000</v>
      </c>
      <c r="L926">
        <f>Sales_Data2[[#This Row],[Unit Price]]*Sales_Data2[[#This Row],[Quantity]]</f>
        <v>1500000</v>
      </c>
      <c r="M926">
        <f>Sales_Data2[[#This Row],[Cost Price]]*Sales_Data2[[#This Row],[Quantity]]</f>
        <v>1200000</v>
      </c>
      <c r="N926" s="3">
        <f>Sales_Data2[[#This Row],[Revenue]]-Sales_Data2[[#This Row],[COGS]]</f>
        <v>300000</v>
      </c>
      <c r="O9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46600|North|Lagos|Corporate|Store|Desktop PC D21|Electronics|300000|5|Grace|240000</v>
      </c>
      <c r="P926" s="3" t="str">
        <f>IF(COUNTIF(Sales_Data2[RowKey],Sales_Data2[[#This Row],[RowKey]])&gt;1,"Duplicate","Unique")</f>
        <v>Unique</v>
      </c>
      <c r="Q926" s="3" t="str">
        <f>IF(ISNUMBER(Sales_Data2[[#This Row],[Date]]),"OK","Check")</f>
        <v>OK</v>
      </c>
      <c r="R926" s="3" t="str">
        <f>IF(ISNUMBER(Sales_Data2[[#This Row],[Quantity]]),"OK","Check")</f>
        <v>OK</v>
      </c>
    </row>
    <row r="927" spans="1:18">
      <c r="A927" s="1">
        <v>46601</v>
      </c>
      <c r="B927" t="s">
        <v>11</v>
      </c>
      <c r="C927" t="s">
        <v>26</v>
      </c>
      <c r="D927" t="s">
        <v>23</v>
      </c>
      <c r="E927" t="s">
        <v>20</v>
      </c>
      <c r="F927" t="s">
        <v>27</v>
      </c>
      <c r="G927" t="s">
        <v>22</v>
      </c>
      <c r="H927">
        <v>60000</v>
      </c>
      <c r="I927">
        <v>4</v>
      </c>
      <c r="J927" t="s">
        <v>37</v>
      </c>
      <c r="K927">
        <f t="shared" si="14"/>
        <v>48000</v>
      </c>
      <c r="L927">
        <f>Sales_Data2[[#This Row],[Unit Price]]*Sales_Data2[[#This Row],[Quantity]]</f>
        <v>240000</v>
      </c>
      <c r="M927">
        <f>Sales_Data2[[#This Row],[Cost Price]]*Sales_Data2[[#This Row],[Quantity]]</f>
        <v>192000</v>
      </c>
      <c r="N927" s="3">
        <f>Sales_Data2[[#This Row],[Revenue]]-Sales_Data2[[#This Row],[COGS]]</f>
        <v>48000</v>
      </c>
      <c r="O9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46601|West|Kano|Corporate|Store|Microwave M20|Home Appliances|60000|4|Aisha|48000</v>
      </c>
      <c r="P927" s="3" t="str">
        <f>IF(COUNTIF(Sales_Data2[RowKey],Sales_Data2[[#This Row],[RowKey]])&gt;1,"Duplicate","Unique")</f>
        <v>Unique</v>
      </c>
      <c r="Q927" s="3" t="str">
        <f>IF(ISNUMBER(Sales_Data2[[#This Row],[Date]]),"OK","Check")</f>
        <v>OK</v>
      </c>
      <c r="R927" s="3" t="str">
        <f>IF(ISNUMBER(Sales_Data2[[#This Row],[Quantity]]),"OK","Check")</f>
        <v>OK</v>
      </c>
    </row>
    <row r="928" spans="1:18">
      <c r="A928" s="1">
        <v>46602</v>
      </c>
      <c r="B928" t="s">
        <v>18</v>
      </c>
      <c r="C928" t="s">
        <v>19</v>
      </c>
      <c r="D928" t="s">
        <v>23</v>
      </c>
      <c r="E928" t="s">
        <v>14</v>
      </c>
      <c r="F928" t="s">
        <v>40</v>
      </c>
      <c r="G928" t="s">
        <v>31</v>
      </c>
      <c r="H928">
        <v>250000</v>
      </c>
      <c r="I928">
        <v>4</v>
      </c>
      <c r="J928" t="s">
        <v>37</v>
      </c>
      <c r="K928">
        <f t="shared" si="14"/>
        <v>200000</v>
      </c>
      <c r="L928">
        <f>Sales_Data2[[#This Row],[Unit Price]]*Sales_Data2[[#This Row],[Quantity]]</f>
        <v>1000000</v>
      </c>
      <c r="M928">
        <f>Sales_Data2[[#This Row],[Cost Price]]*Sales_Data2[[#This Row],[Quantity]]</f>
        <v>800000</v>
      </c>
      <c r="N928" s="3">
        <f>Sales_Data2[[#This Row],[Revenue]]-Sales_Data2[[#This Row],[COGS]]</f>
        <v>200000</v>
      </c>
      <c r="O9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46602|East|Lagos|Corporate|Online|Smartphone Z10|Electronics|250000|4|Aisha|200000</v>
      </c>
      <c r="P928" s="3" t="str">
        <f>IF(COUNTIF(Sales_Data2[RowKey],Sales_Data2[[#This Row],[RowKey]])&gt;1,"Duplicate","Unique")</f>
        <v>Unique</v>
      </c>
      <c r="Q928" s="3" t="str">
        <f>IF(ISNUMBER(Sales_Data2[[#This Row],[Date]]),"OK","Check")</f>
        <v>OK</v>
      </c>
      <c r="R928" s="3" t="str">
        <f>IF(ISNUMBER(Sales_Data2[[#This Row],[Quantity]]),"OK","Check")</f>
        <v>OK</v>
      </c>
    </row>
    <row r="929" spans="1:18">
      <c r="A929" s="1">
        <v>46603</v>
      </c>
      <c r="B929" t="s">
        <v>29</v>
      </c>
      <c r="C929" t="s">
        <v>12</v>
      </c>
      <c r="D929" t="s">
        <v>13</v>
      </c>
      <c r="E929" t="s">
        <v>20</v>
      </c>
      <c r="F929" t="s">
        <v>41</v>
      </c>
      <c r="G929" t="s">
        <v>22</v>
      </c>
      <c r="H929">
        <v>220000</v>
      </c>
      <c r="I929">
        <v>6</v>
      </c>
      <c r="J929" t="s">
        <v>39</v>
      </c>
      <c r="K929">
        <f t="shared" si="14"/>
        <v>176000</v>
      </c>
      <c r="L929">
        <f>Sales_Data2[[#This Row],[Unit Price]]*Sales_Data2[[#This Row],[Quantity]]</f>
        <v>1320000</v>
      </c>
      <c r="M929">
        <f>Sales_Data2[[#This Row],[Cost Price]]*Sales_Data2[[#This Row],[Quantity]]</f>
        <v>1056000</v>
      </c>
      <c r="N929" s="3">
        <f>Sales_Data2[[#This Row],[Revenue]]-Sales_Data2[[#This Row],[COGS]]</f>
        <v>264000</v>
      </c>
      <c r="O9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46603|North|Port Harcourt|Retail|Store|Refrigerator R55|Home Appliances|220000|6|Grace|176000</v>
      </c>
      <c r="P929" s="3" t="str">
        <f>IF(COUNTIF(Sales_Data2[RowKey],Sales_Data2[[#This Row],[RowKey]])&gt;1,"Duplicate","Unique")</f>
        <v>Unique</v>
      </c>
      <c r="Q929" s="3" t="str">
        <f>IF(ISNUMBER(Sales_Data2[[#This Row],[Date]]),"OK","Check")</f>
        <v>OK</v>
      </c>
      <c r="R929" s="3" t="str">
        <f>IF(ISNUMBER(Sales_Data2[[#This Row],[Quantity]]),"OK","Check")</f>
        <v>OK</v>
      </c>
    </row>
    <row r="930" spans="1:18">
      <c r="A930" s="1">
        <v>46604</v>
      </c>
      <c r="B930" t="s">
        <v>18</v>
      </c>
      <c r="C930" t="s">
        <v>19</v>
      </c>
      <c r="D930" t="s">
        <v>23</v>
      </c>
      <c r="E930" t="s">
        <v>14</v>
      </c>
      <c r="F930" t="s">
        <v>30</v>
      </c>
      <c r="G930" t="s">
        <v>31</v>
      </c>
      <c r="H930">
        <v>300000</v>
      </c>
      <c r="I930">
        <v>7</v>
      </c>
      <c r="J930" t="s">
        <v>28</v>
      </c>
      <c r="K930">
        <f t="shared" si="14"/>
        <v>240000</v>
      </c>
      <c r="L930">
        <f>Sales_Data2[[#This Row],[Unit Price]]*Sales_Data2[[#This Row],[Quantity]]</f>
        <v>2100000</v>
      </c>
      <c r="M930">
        <f>Sales_Data2[[#This Row],[Cost Price]]*Sales_Data2[[#This Row],[Quantity]]</f>
        <v>1680000</v>
      </c>
      <c r="N930" s="3">
        <f>Sales_Data2[[#This Row],[Revenue]]-Sales_Data2[[#This Row],[COGS]]</f>
        <v>420000</v>
      </c>
      <c r="O9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46604|East|Lagos|Corporate|Online|Desktop PC D21|Electronics|300000|7|Musa|240000</v>
      </c>
      <c r="P930" s="3" t="str">
        <f>IF(COUNTIF(Sales_Data2[RowKey],Sales_Data2[[#This Row],[RowKey]])&gt;1,"Duplicate","Unique")</f>
        <v>Unique</v>
      </c>
      <c r="Q930" s="3" t="str">
        <f>IF(ISNUMBER(Sales_Data2[[#This Row],[Date]]),"OK","Check")</f>
        <v>OK</v>
      </c>
      <c r="R930" s="3" t="str">
        <f>IF(ISNUMBER(Sales_Data2[[#This Row],[Quantity]]),"OK","Check")</f>
        <v>OK</v>
      </c>
    </row>
    <row r="931" spans="1:18">
      <c r="A931" s="1">
        <v>46605</v>
      </c>
      <c r="B931" t="s">
        <v>25</v>
      </c>
      <c r="C931" t="s">
        <v>19</v>
      </c>
      <c r="D931" t="s">
        <v>13</v>
      </c>
      <c r="E931" t="s">
        <v>14</v>
      </c>
      <c r="F931" t="s">
        <v>38</v>
      </c>
      <c r="G931" t="s">
        <v>31</v>
      </c>
      <c r="H931">
        <v>420000</v>
      </c>
      <c r="I931">
        <v>10</v>
      </c>
      <c r="J931" t="s">
        <v>28</v>
      </c>
      <c r="K931">
        <f t="shared" si="14"/>
        <v>336000</v>
      </c>
      <c r="L931">
        <f>Sales_Data2[[#This Row],[Unit Price]]*Sales_Data2[[#This Row],[Quantity]]</f>
        <v>4200000</v>
      </c>
      <c r="M931">
        <f>Sales_Data2[[#This Row],[Cost Price]]*Sales_Data2[[#This Row],[Quantity]]</f>
        <v>3360000</v>
      </c>
      <c r="N931" s="3">
        <f>Sales_Data2[[#This Row],[Revenue]]-Sales_Data2[[#This Row],[COGS]]</f>
        <v>840000</v>
      </c>
      <c r="O9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46605|South|Lagos|Retail|Online|Laptop A13|Electronics|420000|10|Musa|336000</v>
      </c>
      <c r="P931" s="3" t="str">
        <f>IF(COUNTIF(Sales_Data2[RowKey],Sales_Data2[[#This Row],[RowKey]])&gt;1,"Duplicate","Unique")</f>
        <v>Unique</v>
      </c>
      <c r="Q931" s="3" t="str">
        <f>IF(ISNUMBER(Sales_Data2[[#This Row],[Date]]),"OK","Check")</f>
        <v>OK</v>
      </c>
      <c r="R931" s="3" t="str">
        <f>IF(ISNUMBER(Sales_Data2[[#This Row],[Quantity]]),"OK","Check")</f>
        <v>OK</v>
      </c>
    </row>
    <row r="932" spans="1:18">
      <c r="A932" s="1">
        <v>46606</v>
      </c>
      <c r="B932" t="s">
        <v>11</v>
      </c>
      <c r="C932" t="s">
        <v>19</v>
      </c>
      <c r="D932" t="s">
        <v>23</v>
      </c>
      <c r="E932" t="s">
        <v>20</v>
      </c>
      <c r="F932" t="s">
        <v>21</v>
      </c>
      <c r="G932" t="s">
        <v>22</v>
      </c>
      <c r="H932">
        <v>30000</v>
      </c>
      <c r="I932">
        <v>7</v>
      </c>
      <c r="J932" t="s">
        <v>28</v>
      </c>
      <c r="K932">
        <f t="shared" si="14"/>
        <v>24000</v>
      </c>
      <c r="L932">
        <f>Sales_Data2[[#This Row],[Unit Price]]*Sales_Data2[[#This Row],[Quantity]]</f>
        <v>210000</v>
      </c>
      <c r="M932">
        <f>Sales_Data2[[#This Row],[Cost Price]]*Sales_Data2[[#This Row],[Quantity]]</f>
        <v>168000</v>
      </c>
      <c r="N932" s="3">
        <f>Sales_Data2[[#This Row],[Revenue]]-Sales_Data2[[#This Row],[COGS]]</f>
        <v>42000</v>
      </c>
      <c r="O9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46606|West|Lagos|Corporate|Store|Blender B10|Home Appliances|30000|7|Musa|24000</v>
      </c>
      <c r="P932" s="3" t="str">
        <f>IF(COUNTIF(Sales_Data2[RowKey],Sales_Data2[[#This Row],[RowKey]])&gt;1,"Duplicate","Unique")</f>
        <v>Unique</v>
      </c>
      <c r="Q932" s="3" t="str">
        <f>IF(ISNUMBER(Sales_Data2[[#This Row],[Date]]),"OK","Check")</f>
        <v>OK</v>
      </c>
      <c r="R932" s="3" t="str">
        <f>IF(ISNUMBER(Sales_Data2[[#This Row],[Quantity]]),"OK","Check")</f>
        <v>OK</v>
      </c>
    </row>
    <row r="933" spans="1:18">
      <c r="A933" s="1">
        <v>46607</v>
      </c>
      <c r="B933" t="s">
        <v>29</v>
      </c>
      <c r="C933" t="s">
        <v>19</v>
      </c>
      <c r="D933" t="s">
        <v>23</v>
      </c>
      <c r="E933" t="s">
        <v>14</v>
      </c>
      <c r="F933" t="s">
        <v>41</v>
      </c>
      <c r="G933" t="s">
        <v>22</v>
      </c>
      <c r="H933">
        <v>220000</v>
      </c>
      <c r="I933">
        <v>8</v>
      </c>
      <c r="J933" t="s">
        <v>37</v>
      </c>
      <c r="K933">
        <f t="shared" si="14"/>
        <v>176000</v>
      </c>
      <c r="L933">
        <f>Sales_Data2[[#This Row],[Unit Price]]*Sales_Data2[[#This Row],[Quantity]]</f>
        <v>1760000</v>
      </c>
      <c r="M933">
        <f>Sales_Data2[[#This Row],[Cost Price]]*Sales_Data2[[#This Row],[Quantity]]</f>
        <v>1408000</v>
      </c>
      <c r="N933" s="3">
        <f>Sales_Data2[[#This Row],[Revenue]]-Sales_Data2[[#This Row],[COGS]]</f>
        <v>352000</v>
      </c>
      <c r="O9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46607|North|Lagos|Corporate|Online|Refrigerator R55|Home Appliances|220000|8|Aisha|176000</v>
      </c>
      <c r="P933" s="3" t="str">
        <f>IF(COUNTIF(Sales_Data2[RowKey],Sales_Data2[[#This Row],[RowKey]])&gt;1,"Duplicate","Unique")</f>
        <v>Unique</v>
      </c>
      <c r="Q933" s="3" t="str">
        <f>IF(ISNUMBER(Sales_Data2[[#This Row],[Date]]),"OK","Check")</f>
        <v>OK</v>
      </c>
      <c r="R933" s="3" t="str">
        <f>IF(ISNUMBER(Sales_Data2[[#This Row],[Quantity]]),"OK","Check")</f>
        <v>OK</v>
      </c>
    </row>
    <row r="934" spans="1:18">
      <c r="A934" s="1">
        <v>46608</v>
      </c>
      <c r="B934" t="s">
        <v>25</v>
      </c>
      <c r="C934" t="s">
        <v>32</v>
      </c>
      <c r="D934" t="s">
        <v>13</v>
      </c>
      <c r="E934" t="s">
        <v>20</v>
      </c>
      <c r="F934" t="s">
        <v>34</v>
      </c>
      <c r="G934" t="s">
        <v>16</v>
      </c>
      <c r="H934">
        <v>320000</v>
      </c>
      <c r="I934">
        <v>9</v>
      </c>
      <c r="J934" t="s">
        <v>24</v>
      </c>
      <c r="K934">
        <f t="shared" si="14"/>
        <v>256000</v>
      </c>
      <c r="L934">
        <f>Sales_Data2[[#This Row],[Unit Price]]*Sales_Data2[[#This Row],[Quantity]]</f>
        <v>2880000</v>
      </c>
      <c r="M934">
        <f>Sales_Data2[[#This Row],[Cost Price]]*Sales_Data2[[#This Row],[Quantity]]</f>
        <v>2304000</v>
      </c>
      <c r="N934" s="3">
        <f>Sales_Data2[[#This Row],[Revenue]]-Sales_Data2[[#This Row],[COGS]]</f>
        <v>576000</v>
      </c>
      <c r="O9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46608|South|Abuja|Retail|Store|Sofa Classic|Furniture|320000|9|David|256000</v>
      </c>
      <c r="P934" s="3" t="str">
        <f>IF(COUNTIF(Sales_Data2[RowKey],Sales_Data2[[#This Row],[RowKey]])&gt;1,"Duplicate","Unique")</f>
        <v>Unique</v>
      </c>
      <c r="Q934" s="3" t="str">
        <f>IF(ISNUMBER(Sales_Data2[[#This Row],[Date]]),"OK","Check")</f>
        <v>OK</v>
      </c>
      <c r="R934" s="3" t="str">
        <f>IF(ISNUMBER(Sales_Data2[[#This Row],[Quantity]]),"OK","Check")</f>
        <v>OK</v>
      </c>
    </row>
    <row r="935" spans="1:18">
      <c r="A935" s="1">
        <v>46609</v>
      </c>
      <c r="B935" t="s">
        <v>18</v>
      </c>
      <c r="C935" t="s">
        <v>26</v>
      </c>
      <c r="D935" t="s">
        <v>23</v>
      </c>
      <c r="E935" t="s">
        <v>20</v>
      </c>
      <c r="F935" t="s">
        <v>33</v>
      </c>
      <c r="G935" t="s">
        <v>22</v>
      </c>
      <c r="H935">
        <v>180000</v>
      </c>
      <c r="I935">
        <v>8</v>
      </c>
      <c r="J935" t="s">
        <v>28</v>
      </c>
      <c r="K935">
        <f t="shared" si="14"/>
        <v>144000</v>
      </c>
      <c r="L935">
        <f>Sales_Data2[[#This Row],[Unit Price]]*Sales_Data2[[#This Row],[Quantity]]</f>
        <v>1440000</v>
      </c>
      <c r="M935">
        <f>Sales_Data2[[#This Row],[Cost Price]]*Sales_Data2[[#This Row],[Quantity]]</f>
        <v>1152000</v>
      </c>
      <c r="N935" s="3">
        <f>Sales_Data2[[#This Row],[Revenue]]-Sales_Data2[[#This Row],[COGS]]</f>
        <v>288000</v>
      </c>
      <c r="O9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46609|East|Kano|Corporate|Store|Air Conditioner X2|Home Appliances|180000|8|Musa|144000</v>
      </c>
      <c r="P935" s="3" t="str">
        <f>IF(COUNTIF(Sales_Data2[RowKey],Sales_Data2[[#This Row],[RowKey]])&gt;1,"Duplicate","Unique")</f>
        <v>Unique</v>
      </c>
      <c r="Q935" s="3" t="str">
        <f>IF(ISNUMBER(Sales_Data2[[#This Row],[Date]]),"OK","Check")</f>
        <v>OK</v>
      </c>
      <c r="R935" s="3" t="str">
        <f>IF(ISNUMBER(Sales_Data2[[#This Row],[Quantity]]),"OK","Check")</f>
        <v>OK</v>
      </c>
    </row>
    <row r="936" spans="1:18">
      <c r="A936" s="1">
        <v>46610</v>
      </c>
      <c r="B936" t="s">
        <v>29</v>
      </c>
      <c r="C936" t="s">
        <v>12</v>
      </c>
      <c r="D936" t="s">
        <v>13</v>
      </c>
      <c r="E936" t="s">
        <v>14</v>
      </c>
      <c r="F936" t="s">
        <v>21</v>
      </c>
      <c r="G936" t="s">
        <v>22</v>
      </c>
      <c r="H936">
        <v>30000</v>
      </c>
      <c r="I936">
        <v>5</v>
      </c>
      <c r="J936" t="s">
        <v>35</v>
      </c>
      <c r="K936">
        <f t="shared" si="14"/>
        <v>24000</v>
      </c>
      <c r="L936">
        <f>Sales_Data2[[#This Row],[Unit Price]]*Sales_Data2[[#This Row],[Quantity]]</f>
        <v>150000</v>
      </c>
      <c r="M936">
        <f>Sales_Data2[[#This Row],[Cost Price]]*Sales_Data2[[#This Row],[Quantity]]</f>
        <v>120000</v>
      </c>
      <c r="N936" s="3">
        <f>Sales_Data2[[#This Row],[Revenue]]-Sales_Data2[[#This Row],[COGS]]</f>
        <v>30000</v>
      </c>
      <c r="O9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46610|North|Port Harcourt|Retail|Online|Blender B10|Home Appliances|30000|5|Peter|24000</v>
      </c>
      <c r="P936" s="3" t="str">
        <f>IF(COUNTIF(Sales_Data2[RowKey],Sales_Data2[[#This Row],[RowKey]])&gt;1,"Duplicate","Unique")</f>
        <v>Unique</v>
      </c>
      <c r="Q936" s="3" t="str">
        <f>IF(ISNUMBER(Sales_Data2[[#This Row],[Date]]),"OK","Check")</f>
        <v>OK</v>
      </c>
      <c r="R936" s="3" t="str">
        <f>IF(ISNUMBER(Sales_Data2[[#This Row],[Quantity]]),"OK","Check")</f>
        <v>OK</v>
      </c>
    </row>
    <row r="937" spans="1:18">
      <c r="A937" s="1">
        <v>46611</v>
      </c>
      <c r="B937" t="s">
        <v>25</v>
      </c>
      <c r="C937" t="s">
        <v>26</v>
      </c>
      <c r="D937" t="s">
        <v>13</v>
      </c>
      <c r="E937" t="s">
        <v>20</v>
      </c>
      <c r="F937" t="s">
        <v>34</v>
      </c>
      <c r="G937" t="s">
        <v>16</v>
      </c>
      <c r="H937">
        <v>320000</v>
      </c>
      <c r="I937">
        <v>8</v>
      </c>
      <c r="J937" t="s">
        <v>28</v>
      </c>
      <c r="K937">
        <f t="shared" si="14"/>
        <v>256000</v>
      </c>
      <c r="L937">
        <f>Sales_Data2[[#This Row],[Unit Price]]*Sales_Data2[[#This Row],[Quantity]]</f>
        <v>2560000</v>
      </c>
      <c r="M937">
        <f>Sales_Data2[[#This Row],[Cost Price]]*Sales_Data2[[#This Row],[Quantity]]</f>
        <v>2048000</v>
      </c>
      <c r="N937" s="3">
        <f>Sales_Data2[[#This Row],[Revenue]]-Sales_Data2[[#This Row],[COGS]]</f>
        <v>512000</v>
      </c>
      <c r="O9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46611|South|Kano|Retail|Store|Sofa Classic|Furniture|320000|8|Musa|256000</v>
      </c>
      <c r="P937" s="3" t="str">
        <f>IF(COUNTIF(Sales_Data2[RowKey],Sales_Data2[[#This Row],[RowKey]])&gt;1,"Duplicate","Unique")</f>
        <v>Unique</v>
      </c>
      <c r="Q937" s="3" t="str">
        <f>IF(ISNUMBER(Sales_Data2[[#This Row],[Date]]),"OK","Check")</f>
        <v>OK</v>
      </c>
      <c r="R937" s="3" t="str">
        <f>IF(ISNUMBER(Sales_Data2[[#This Row],[Quantity]]),"OK","Check")</f>
        <v>OK</v>
      </c>
    </row>
    <row r="938" spans="1:18">
      <c r="A938" s="1">
        <v>46612</v>
      </c>
      <c r="B938" t="s">
        <v>29</v>
      </c>
      <c r="C938" t="s">
        <v>19</v>
      </c>
      <c r="D938" t="s">
        <v>13</v>
      </c>
      <c r="E938" t="s">
        <v>20</v>
      </c>
      <c r="F938" t="s">
        <v>34</v>
      </c>
      <c r="G938" t="s">
        <v>16</v>
      </c>
      <c r="H938">
        <v>320000</v>
      </c>
      <c r="I938">
        <v>8</v>
      </c>
      <c r="J938" t="s">
        <v>24</v>
      </c>
      <c r="K938">
        <f t="shared" si="14"/>
        <v>256000</v>
      </c>
      <c r="L938">
        <f>Sales_Data2[[#This Row],[Unit Price]]*Sales_Data2[[#This Row],[Quantity]]</f>
        <v>2560000</v>
      </c>
      <c r="M938">
        <f>Sales_Data2[[#This Row],[Cost Price]]*Sales_Data2[[#This Row],[Quantity]]</f>
        <v>2048000</v>
      </c>
      <c r="N938" s="3">
        <f>Sales_Data2[[#This Row],[Revenue]]-Sales_Data2[[#This Row],[COGS]]</f>
        <v>512000</v>
      </c>
      <c r="O9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46612|North|Lagos|Retail|Store|Sofa Classic|Furniture|320000|8|David|256000</v>
      </c>
      <c r="P938" s="3" t="str">
        <f>IF(COUNTIF(Sales_Data2[RowKey],Sales_Data2[[#This Row],[RowKey]])&gt;1,"Duplicate","Unique")</f>
        <v>Unique</v>
      </c>
      <c r="Q938" s="3" t="str">
        <f>IF(ISNUMBER(Sales_Data2[[#This Row],[Date]]),"OK","Check")</f>
        <v>OK</v>
      </c>
      <c r="R938" s="3" t="str">
        <f>IF(ISNUMBER(Sales_Data2[[#This Row],[Quantity]]),"OK","Check")</f>
        <v>OK</v>
      </c>
    </row>
    <row r="939" spans="1:18">
      <c r="A939" s="1">
        <v>46613</v>
      </c>
      <c r="B939" t="s">
        <v>18</v>
      </c>
      <c r="C939" t="s">
        <v>26</v>
      </c>
      <c r="D939" t="s">
        <v>23</v>
      </c>
      <c r="E939" t="s">
        <v>20</v>
      </c>
      <c r="F939" t="s">
        <v>21</v>
      </c>
      <c r="G939" t="s">
        <v>22</v>
      </c>
      <c r="H939">
        <v>30000</v>
      </c>
      <c r="I939">
        <v>4</v>
      </c>
      <c r="J939" t="s">
        <v>28</v>
      </c>
      <c r="K939">
        <f t="shared" si="14"/>
        <v>24000</v>
      </c>
      <c r="L939">
        <f>Sales_Data2[[#This Row],[Unit Price]]*Sales_Data2[[#This Row],[Quantity]]</f>
        <v>120000</v>
      </c>
      <c r="M939">
        <f>Sales_Data2[[#This Row],[Cost Price]]*Sales_Data2[[#This Row],[Quantity]]</f>
        <v>96000</v>
      </c>
      <c r="N939" s="3">
        <f>Sales_Data2[[#This Row],[Revenue]]-Sales_Data2[[#This Row],[COGS]]</f>
        <v>24000</v>
      </c>
      <c r="O9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46613|East|Kano|Corporate|Store|Blender B10|Home Appliances|30000|4|Musa|24000</v>
      </c>
      <c r="P939" s="3" t="str">
        <f>IF(COUNTIF(Sales_Data2[RowKey],Sales_Data2[[#This Row],[RowKey]])&gt;1,"Duplicate","Unique")</f>
        <v>Unique</v>
      </c>
      <c r="Q939" s="3" t="str">
        <f>IF(ISNUMBER(Sales_Data2[[#This Row],[Date]]),"OK","Check")</f>
        <v>OK</v>
      </c>
      <c r="R939" s="3" t="str">
        <f>IF(ISNUMBER(Sales_Data2[[#This Row],[Quantity]]),"OK","Check")</f>
        <v>OK</v>
      </c>
    </row>
    <row r="940" spans="1:18">
      <c r="A940" s="1">
        <v>46614</v>
      </c>
      <c r="B940" t="s">
        <v>11</v>
      </c>
      <c r="C940" t="s">
        <v>32</v>
      </c>
      <c r="D940" t="s">
        <v>13</v>
      </c>
      <c r="E940" t="s">
        <v>20</v>
      </c>
      <c r="F940" t="s">
        <v>33</v>
      </c>
      <c r="G940" t="s">
        <v>22</v>
      </c>
      <c r="H940">
        <v>180000</v>
      </c>
      <c r="I940">
        <v>3</v>
      </c>
      <c r="J940" t="s">
        <v>35</v>
      </c>
      <c r="K940">
        <f t="shared" si="14"/>
        <v>144000</v>
      </c>
      <c r="L940">
        <f>Sales_Data2[[#This Row],[Unit Price]]*Sales_Data2[[#This Row],[Quantity]]</f>
        <v>540000</v>
      </c>
      <c r="M940">
        <f>Sales_Data2[[#This Row],[Cost Price]]*Sales_Data2[[#This Row],[Quantity]]</f>
        <v>432000</v>
      </c>
      <c r="N940" s="3">
        <f>Sales_Data2[[#This Row],[Revenue]]-Sales_Data2[[#This Row],[COGS]]</f>
        <v>108000</v>
      </c>
      <c r="O9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46614|West|Abuja|Retail|Store|Air Conditioner X2|Home Appliances|180000|3|Peter|144000</v>
      </c>
      <c r="P940" s="3" t="str">
        <f>IF(COUNTIF(Sales_Data2[RowKey],Sales_Data2[[#This Row],[RowKey]])&gt;1,"Duplicate","Unique")</f>
        <v>Unique</v>
      </c>
      <c r="Q940" s="3" t="str">
        <f>IF(ISNUMBER(Sales_Data2[[#This Row],[Date]]),"OK","Check")</f>
        <v>OK</v>
      </c>
      <c r="R940" s="3" t="str">
        <f>IF(ISNUMBER(Sales_Data2[[#This Row],[Quantity]]),"OK","Check")</f>
        <v>OK</v>
      </c>
    </row>
    <row r="941" spans="1:18">
      <c r="A941" s="1">
        <v>46615</v>
      </c>
      <c r="B941" t="s">
        <v>29</v>
      </c>
      <c r="C941" t="s">
        <v>26</v>
      </c>
      <c r="D941" t="s">
        <v>13</v>
      </c>
      <c r="E941" t="s">
        <v>14</v>
      </c>
      <c r="F941" t="s">
        <v>33</v>
      </c>
      <c r="G941" t="s">
        <v>22</v>
      </c>
      <c r="H941">
        <v>180000</v>
      </c>
      <c r="I941">
        <v>9</v>
      </c>
      <c r="J941" t="s">
        <v>35</v>
      </c>
      <c r="K941">
        <f t="shared" si="14"/>
        <v>144000</v>
      </c>
      <c r="L941">
        <f>Sales_Data2[[#This Row],[Unit Price]]*Sales_Data2[[#This Row],[Quantity]]</f>
        <v>1620000</v>
      </c>
      <c r="M941">
        <f>Sales_Data2[[#This Row],[Cost Price]]*Sales_Data2[[#This Row],[Quantity]]</f>
        <v>1296000</v>
      </c>
      <c r="N941" s="3">
        <f>Sales_Data2[[#This Row],[Revenue]]-Sales_Data2[[#This Row],[COGS]]</f>
        <v>324000</v>
      </c>
      <c r="O9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46615|North|Kano|Retail|Online|Air Conditioner X2|Home Appliances|180000|9|Peter|144000</v>
      </c>
      <c r="P941" s="3" t="str">
        <f>IF(COUNTIF(Sales_Data2[RowKey],Sales_Data2[[#This Row],[RowKey]])&gt;1,"Duplicate","Unique")</f>
        <v>Unique</v>
      </c>
      <c r="Q941" s="3" t="str">
        <f>IF(ISNUMBER(Sales_Data2[[#This Row],[Date]]),"OK","Check")</f>
        <v>OK</v>
      </c>
      <c r="R941" s="3" t="str">
        <f>IF(ISNUMBER(Sales_Data2[[#This Row],[Quantity]]),"OK","Check")</f>
        <v>OK</v>
      </c>
    </row>
    <row r="942" spans="1:18">
      <c r="A942" s="1">
        <v>46616</v>
      </c>
      <c r="B942" t="s">
        <v>29</v>
      </c>
      <c r="C942" t="s">
        <v>19</v>
      </c>
      <c r="D942" t="s">
        <v>23</v>
      </c>
      <c r="E942" t="s">
        <v>20</v>
      </c>
      <c r="F942" t="s">
        <v>33</v>
      </c>
      <c r="G942" t="s">
        <v>22</v>
      </c>
      <c r="H942">
        <v>180000</v>
      </c>
      <c r="I942">
        <v>1</v>
      </c>
      <c r="J942" t="s">
        <v>28</v>
      </c>
      <c r="K942">
        <f t="shared" si="14"/>
        <v>144000</v>
      </c>
      <c r="L942">
        <f>Sales_Data2[[#This Row],[Unit Price]]*Sales_Data2[[#This Row],[Quantity]]</f>
        <v>180000</v>
      </c>
      <c r="M942">
        <f>Sales_Data2[[#This Row],[Cost Price]]*Sales_Data2[[#This Row],[Quantity]]</f>
        <v>144000</v>
      </c>
      <c r="N942" s="3">
        <f>Sales_Data2[[#This Row],[Revenue]]-Sales_Data2[[#This Row],[COGS]]</f>
        <v>36000</v>
      </c>
      <c r="O9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46616|North|Lagos|Corporate|Store|Air Conditioner X2|Home Appliances|180000|1|Musa|144000</v>
      </c>
      <c r="P942" s="3" t="str">
        <f>IF(COUNTIF(Sales_Data2[RowKey],Sales_Data2[[#This Row],[RowKey]])&gt;1,"Duplicate","Unique")</f>
        <v>Unique</v>
      </c>
      <c r="Q942" s="3" t="str">
        <f>IF(ISNUMBER(Sales_Data2[[#This Row],[Date]]),"OK","Check")</f>
        <v>OK</v>
      </c>
      <c r="R942" s="3" t="str">
        <f>IF(ISNUMBER(Sales_Data2[[#This Row],[Quantity]]),"OK","Check")</f>
        <v>OK</v>
      </c>
    </row>
    <row r="943" spans="1:18">
      <c r="A943" s="1">
        <v>46617</v>
      </c>
      <c r="B943" t="s">
        <v>11</v>
      </c>
      <c r="C943" t="s">
        <v>32</v>
      </c>
      <c r="D943" t="s">
        <v>23</v>
      </c>
      <c r="E943" t="s">
        <v>14</v>
      </c>
      <c r="F943" t="s">
        <v>41</v>
      </c>
      <c r="G943" t="s">
        <v>22</v>
      </c>
      <c r="H943">
        <v>220000</v>
      </c>
      <c r="I943">
        <v>6</v>
      </c>
      <c r="J943" t="s">
        <v>24</v>
      </c>
      <c r="K943">
        <f t="shared" si="14"/>
        <v>176000</v>
      </c>
      <c r="L943">
        <f>Sales_Data2[[#This Row],[Unit Price]]*Sales_Data2[[#This Row],[Quantity]]</f>
        <v>1320000</v>
      </c>
      <c r="M943">
        <f>Sales_Data2[[#This Row],[Cost Price]]*Sales_Data2[[#This Row],[Quantity]]</f>
        <v>1056000</v>
      </c>
      <c r="N943" s="3">
        <f>Sales_Data2[[#This Row],[Revenue]]-Sales_Data2[[#This Row],[COGS]]</f>
        <v>264000</v>
      </c>
      <c r="O9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46617|West|Abuja|Corporate|Online|Refrigerator R55|Home Appliances|220000|6|David|176000</v>
      </c>
      <c r="P943" s="3" t="str">
        <f>IF(COUNTIF(Sales_Data2[RowKey],Sales_Data2[[#This Row],[RowKey]])&gt;1,"Duplicate","Unique")</f>
        <v>Unique</v>
      </c>
      <c r="Q943" s="3" t="str">
        <f>IF(ISNUMBER(Sales_Data2[[#This Row],[Date]]),"OK","Check")</f>
        <v>OK</v>
      </c>
      <c r="R943" s="3" t="str">
        <f>IF(ISNUMBER(Sales_Data2[[#This Row],[Quantity]]),"OK","Check")</f>
        <v>OK</v>
      </c>
    </row>
    <row r="944" spans="1:18">
      <c r="A944" s="1">
        <v>46618</v>
      </c>
      <c r="B944" t="s">
        <v>18</v>
      </c>
      <c r="C944" t="s">
        <v>19</v>
      </c>
      <c r="D944" t="s">
        <v>13</v>
      </c>
      <c r="E944" t="s">
        <v>14</v>
      </c>
      <c r="F944" t="s">
        <v>30</v>
      </c>
      <c r="G944" t="s">
        <v>31</v>
      </c>
      <c r="H944">
        <v>300000</v>
      </c>
      <c r="I944">
        <v>3</v>
      </c>
      <c r="J944" t="s">
        <v>24</v>
      </c>
      <c r="K944">
        <f t="shared" si="14"/>
        <v>240000</v>
      </c>
      <c r="L944">
        <f>Sales_Data2[[#This Row],[Unit Price]]*Sales_Data2[[#This Row],[Quantity]]</f>
        <v>900000</v>
      </c>
      <c r="M944">
        <f>Sales_Data2[[#This Row],[Cost Price]]*Sales_Data2[[#This Row],[Quantity]]</f>
        <v>720000</v>
      </c>
      <c r="N944" s="3">
        <f>Sales_Data2[[#This Row],[Revenue]]-Sales_Data2[[#This Row],[COGS]]</f>
        <v>180000</v>
      </c>
      <c r="O9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46618|East|Lagos|Retail|Online|Desktop PC D21|Electronics|300000|3|David|240000</v>
      </c>
      <c r="P944" s="3" t="str">
        <f>IF(COUNTIF(Sales_Data2[RowKey],Sales_Data2[[#This Row],[RowKey]])&gt;1,"Duplicate","Unique")</f>
        <v>Unique</v>
      </c>
      <c r="Q944" s="3" t="str">
        <f>IF(ISNUMBER(Sales_Data2[[#This Row],[Date]]),"OK","Check")</f>
        <v>OK</v>
      </c>
      <c r="R944" s="3" t="str">
        <f>IF(ISNUMBER(Sales_Data2[[#This Row],[Quantity]]),"OK","Check")</f>
        <v>OK</v>
      </c>
    </row>
    <row r="945" spans="1:18">
      <c r="A945" s="1">
        <v>46619</v>
      </c>
      <c r="B945" t="s">
        <v>25</v>
      </c>
      <c r="C945" t="s">
        <v>19</v>
      </c>
      <c r="D945" t="s">
        <v>23</v>
      </c>
      <c r="E945" t="s">
        <v>20</v>
      </c>
      <c r="F945" t="s">
        <v>34</v>
      </c>
      <c r="G945" t="s">
        <v>16</v>
      </c>
      <c r="H945">
        <v>320000</v>
      </c>
      <c r="I945">
        <v>1</v>
      </c>
      <c r="J945" t="s">
        <v>35</v>
      </c>
      <c r="K945">
        <f t="shared" si="14"/>
        <v>256000</v>
      </c>
      <c r="L945">
        <f>Sales_Data2[[#This Row],[Unit Price]]*Sales_Data2[[#This Row],[Quantity]]</f>
        <v>320000</v>
      </c>
      <c r="M945">
        <f>Sales_Data2[[#This Row],[Cost Price]]*Sales_Data2[[#This Row],[Quantity]]</f>
        <v>256000</v>
      </c>
      <c r="N945" s="3">
        <f>Sales_Data2[[#This Row],[Revenue]]-Sales_Data2[[#This Row],[COGS]]</f>
        <v>64000</v>
      </c>
      <c r="O9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46619|South|Lagos|Corporate|Store|Sofa Classic|Furniture|320000|1|Peter|256000</v>
      </c>
      <c r="P945" s="3" t="str">
        <f>IF(COUNTIF(Sales_Data2[RowKey],Sales_Data2[[#This Row],[RowKey]])&gt;1,"Duplicate","Unique")</f>
        <v>Unique</v>
      </c>
      <c r="Q945" s="3" t="str">
        <f>IF(ISNUMBER(Sales_Data2[[#This Row],[Date]]),"OK","Check")</f>
        <v>OK</v>
      </c>
      <c r="R945" s="3" t="str">
        <f>IF(ISNUMBER(Sales_Data2[[#This Row],[Quantity]]),"OK","Check")</f>
        <v>OK</v>
      </c>
    </row>
    <row r="946" spans="1:18">
      <c r="A946" s="1">
        <v>46620</v>
      </c>
      <c r="B946" t="s">
        <v>25</v>
      </c>
      <c r="C946" t="s">
        <v>12</v>
      </c>
      <c r="D946" t="s">
        <v>23</v>
      </c>
      <c r="E946" t="s">
        <v>20</v>
      </c>
      <c r="F946" t="s">
        <v>36</v>
      </c>
      <c r="G946" t="s">
        <v>31</v>
      </c>
      <c r="H946">
        <v>150000</v>
      </c>
      <c r="I946">
        <v>6</v>
      </c>
      <c r="J946" t="s">
        <v>35</v>
      </c>
      <c r="K946">
        <f t="shared" si="14"/>
        <v>120000</v>
      </c>
      <c r="L946">
        <f>Sales_Data2[[#This Row],[Unit Price]]*Sales_Data2[[#This Row],[Quantity]]</f>
        <v>900000</v>
      </c>
      <c r="M946">
        <f>Sales_Data2[[#This Row],[Cost Price]]*Sales_Data2[[#This Row],[Quantity]]</f>
        <v>720000</v>
      </c>
      <c r="N946" s="3">
        <f>Sales_Data2[[#This Row],[Revenue]]-Sales_Data2[[#This Row],[COGS]]</f>
        <v>180000</v>
      </c>
      <c r="O9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46620|South|Port Harcourt|Corporate|Store|Printer P50|Electronics|150000|6|Peter|120000</v>
      </c>
      <c r="P946" s="3" t="str">
        <f>IF(COUNTIF(Sales_Data2[RowKey],Sales_Data2[[#This Row],[RowKey]])&gt;1,"Duplicate","Unique")</f>
        <v>Unique</v>
      </c>
      <c r="Q946" s="3" t="str">
        <f>IF(ISNUMBER(Sales_Data2[[#This Row],[Date]]),"OK","Check")</f>
        <v>OK</v>
      </c>
      <c r="R946" s="3" t="str">
        <f>IF(ISNUMBER(Sales_Data2[[#This Row],[Quantity]]),"OK","Check")</f>
        <v>OK</v>
      </c>
    </row>
    <row r="947" spans="1:18">
      <c r="A947" s="1">
        <v>46621</v>
      </c>
      <c r="B947" t="s">
        <v>18</v>
      </c>
      <c r="C947" t="s">
        <v>19</v>
      </c>
      <c r="D947" t="s">
        <v>23</v>
      </c>
      <c r="E947" t="s">
        <v>20</v>
      </c>
      <c r="F947" t="s">
        <v>41</v>
      </c>
      <c r="G947" t="s">
        <v>22</v>
      </c>
      <c r="H947">
        <v>220000</v>
      </c>
      <c r="I947">
        <v>7</v>
      </c>
      <c r="J947" t="s">
        <v>24</v>
      </c>
      <c r="K947">
        <f t="shared" si="14"/>
        <v>176000</v>
      </c>
      <c r="L947">
        <f>Sales_Data2[[#This Row],[Unit Price]]*Sales_Data2[[#This Row],[Quantity]]</f>
        <v>1540000</v>
      </c>
      <c r="M947">
        <f>Sales_Data2[[#This Row],[Cost Price]]*Sales_Data2[[#This Row],[Quantity]]</f>
        <v>1232000</v>
      </c>
      <c r="N947" s="3">
        <f>Sales_Data2[[#This Row],[Revenue]]-Sales_Data2[[#This Row],[COGS]]</f>
        <v>308000</v>
      </c>
      <c r="O9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46621|East|Lagos|Corporate|Store|Refrigerator R55|Home Appliances|220000|7|David|176000</v>
      </c>
      <c r="P947" s="3" t="str">
        <f>IF(COUNTIF(Sales_Data2[RowKey],Sales_Data2[[#This Row],[RowKey]])&gt;1,"Duplicate","Unique")</f>
        <v>Unique</v>
      </c>
      <c r="Q947" s="3" t="str">
        <f>IF(ISNUMBER(Sales_Data2[[#This Row],[Date]]),"OK","Check")</f>
        <v>OK</v>
      </c>
      <c r="R947" s="3" t="str">
        <f>IF(ISNUMBER(Sales_Data2[[#This Row],[Quantity]]),"OK","Check")</f>
        <v>OK</v>
      </c>
    </row>
    <row r="948" spans="1:18">
      <c r="A948" s="1">
        <v>46622</v>
      </c>
      <c r="B948" t="s">
        <v>11</v>
      </c>
      <c r="C948" t="s">
        <v>19</v>
      </c>
      <c r="D948" t="s">
        <v>13</v>
      </c>
      <c r="E948" t="s">
        <v>14</v>
      </c>
      <c r="F948" t="s">
        <v>41</v>
      </c>
      <c r="G948" t="s">
        <v>22</v>
      </c>
      <c r="H948">
        <v>220000</v>
      </c>
      <c r="I948">
        <v>1</v>
      </c>
      <c r="J948" t="s">
        <v>28</v>
      </c>
      <c r="K948">
        <f t="shared" si="14"/>
        <v>176000</v>
      </c>
      <c r="L948">
        <f>Sales_Data2[[#This Row],[Unit Price]]*Sales_Data2[[#This Row],[Quantity]]</f>
        <v>220000</v>
      </c>
      <c r="M948">
        <f>Sales_Data2[[#This Row],[Cost Price]]*Sales_Data2[[#This Row],[Quantity]]</f>
        <v>176000</v>
      </c>
      <c r="N948" s="3">
        <f>Sales_Data2[[#This Row],[Revenue]]-Sales_Data2[[#This Row],[COGS]]</f>
        <v>44000</v>
      </c>
      <c r="O9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46622|West|Lagos|Retail|Online|Refrigerator R55|Home Appliances|220000|1|Musa|176000</v>
      </c>
      <c r="P948" s="3" t="str">
        <f>IF(COUNTIF(Sales_Data2[RowKey],Sales_Data2[[#This Row],[RowKey]])&gt;1,"Duplicate","Unique")</f>
        <v>Unique</v>
      </c>
      <c r="Q948" s="3" t="str">
        <f>IF(ISNUMBER(Sales_Data2[[#This Row],[Date]]),"OK","Check")</f>
        <v>OK</v>
      </c>
      <c r="R948" s="3" t="str">
        <f>IF(ISNUMBER(Sales_Data2[[#This Row],[Quantity]]),"OK","Check")</f>
        <v>OK</v>
      </c>
    </row>
    <row r="949" spans="1:18">
      <c r="A949" s="1">
        <v>46623</v>
      </c>
      <c r="B949" t="s">
        <v>18</v>
      </c>
      <c r="C949" t="s">
        <v>12</v>
      </c>
      <c r="D949" t="s">
        <v>13</v>
      </c>
      <c r="E949" t="s">
        <v>14</v>
      </c>
      <c r="F949" t="s">
        <v>15</v>
      </c>
      <c r="G949" t="s">
        <v>16</v>
      </c>
      <c r="H949">
        <v>85000</v>
      </c>
      <c r="I949">
        <v>4</v>
      </c>
      <c r="J949" t="s">
        <v>35</v>
      </c>
      <c r="K949">
        <f t="shared" si="14"/>
        <v>68000</v>
      </c>
      <c r="L949">
        <f>Sales_Data2[[#This Row],[Unit Price]]*Sales_Data2[[#This Row],[Quantity]]</f>
        <v>340000</v>
      </c>
      <c r="M949">
        <f>Sales_Data2[[#This Row],[Cost Price]]*Sales_Data2[[#This Row],[Quantity]]</f>
        <v>272000</v>
      </c>
      <c r="N949" s="3">
        <f>Sales_Data2[[#This Row],[Revenue]]-Sales_Data2[[#This Row],[COGS]]</f>
        <v>68000</v>
      </c>
      <c r="O9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46623|East|Port Harcourt|Retail|Online|Office Chair Pro|Furniture|85000|4|Peter|68000</v>
      </c>
      <c r="P949" s="3" t="str">
        <f>IF(COUNTIF(Sales_Data2[RowKey],Sales_Data2[[#This Row],[RowKey]])&gt;1,"Duplicate","Unique")</f>
        <v>Unique</v>
      </c>
      <c r="Q949" s="3" t="str">
        <f>IF(ISNUMBER(Sales_Data2[[#This Row],[Date]]),"OK","Check")</f>
        <v>OK</v>
      </c>
      <c r="R949" s="3" t="str">
        <f>IF(ISNUMBER(Sales_Data2[[#This Row],[Quantity]]),"OK","Check")</f>
        <v>OK</v>
      </c>
    </row>
    <row r="950" spans="1:18">
      <c r="A950" s="1">
        <v>46624</v>
      </c>
      <c r="B950" t="s">
        <v>11</v>
      </c>
      <c r="C950" t="s">
        <v>32</v>
      </c>
      <c r="D950" t="s">
        <v>23</v>
      </c>
      <c r="E950" t="s">
        <v>14</v>
      </c>
      <c r="F950" t="s">
        <v>40</v>
      </c>
      <c r="G950" t="s">
        <v>31</v>
      </c>
      <c r="H950">
        <v>250000</v>
      </c>
      <c r="I950">
        <v>10</v>
      </c>
      <c r="J950" t="s">
        <v>35</v>
      </c>
      <c r="K950">
        <f t="shared" si="14"/>
        <v>200000</v>
      </c>
      <c r="L950">
        <f>Sales_Data2[[#This Row],[Unit Price]]*Sales_Data2[[#This Row],[Quantity]]</f>
        <v>2500000</v>
      </c>
      <c r="M950">
        <f>Sales_Data2[[#This Row],[Cost Price]]*Sales_Data2[[#This Row],[Quantity]]</f>
        <v>2000000</v>
      </c>
      <c r="N950" s="3">
        <f>Sales_Data2[[#This Row],[Revenue]]-Sales_Data2[[#This Row],[COGS]]</f>
        <v>500000</v>
      </c>
      <c r="O9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46624|West|Abuja|Corporate|Online|Smartphone Z10|Electronics|250000|10|Peter|200000</v>
      </c>
      <c r="P950" s="3" t="str">
        <f>IF(COUNTIF(Sales_Data2[RowKey],Sales_Data2[[#This Row],[RowKey]])&gt;1,"Duplicate","Unique")</f>
        <v>Unique</v>
      </c>
      <c r="Q950" s="3" t="str">
        <f>IF(ISNUMBER(Sales_Data2[[#This Row],[Date]]),"OK","Check")</f>
        <v>OK</v>
      </c>
      <c r="R950" s="3" t="str">
        <f>IF(ISNUMBER(Sales_Data2[[#This Row],[Quantity]]),"OK","Check")</f>
        <v>OK</v>
      </c>
    </row>
    <row r="951" spans="1:18">
      <c r="A951" s="1">
        <v>46625</v>
      </c>
      <c r="B951" t="s">
        <v>29</v>
      </c>
      <c r="C951" t="s">
        <v>32</v>
      </c>
      <c r="D951" t="s">
        <v>13</v>
      </c>
      <c r="E951" t="s">
        <v>20</v>
      </c>
      <c r="F951" t="s">
        <v>34</v>
      </c>
      <c r="G951" t="s">
        <v>16</v>
      </c>
      <c r="H951">
        <v>320000</v>
      </c>
      <c r="I951">
        <v>1</v>
      </c>
      <c r="J951" t="s">
        <v>37</v>
      </c>
      <c r="K951">
        <f t="shared" si="14"/>
        <v>256000</v>
      </c>
      <c r="L951">
        <f>Sales_Data2[[#This Row],[Unit Price]]*Sales_Data2[[#This Row],[Quantity]]</f>
        <v>320000</v>
      </c>
      <c r="M951">
        <f>Sales_Data2[[#This Row],[Cost Price]]*Sales_Data2[[#This Row],[Quantity]]</f>
        <v>256000</v>
      </c>
      <c r="N951" s="3">
        <f>Sales_Data2[[#This Row],[Revenue]]-Sales_Data2[[#This Row],[COGS]]</f>
        <v>64000</v>
      </c>
      <c r="O9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46625|North|Abuja|Retail|Store|Sofa Classic|Furniture|320000|1|Aisha|256000</v>
      </c>
      <c r="P951" s="3" t="str">
        <f>IF(COUNTIF(Sales_Data2[RowKey],Sales_Data2[[#This Row],[RowKey]])&gt;1,"Duplicate","Unique")</f>
        <v>Unique</v>
      </c>
      <c r="Q951" s="3" t="str">
        <f>IF(ISNUMBER(Sales_Data2[[#This Row],[Date]]),"OK","Check")</f>
        <v>OK</v>
      </c>
      <c r="R951" s="3" t="str">
        <f>IF(ISNUMBER(Sales_Data2[[#This Row],[Quantity]]),"OK","Check")</f>
        <v>OK</v>
      </c>
    </row>
    <row r="952" spans="1:18">
      <c r="A952" s="1">
        <v>46626</v>
      </c>
      <c r="B952" t="s">
        <v>11</v>
      </c>
      <c r="C952" t="s">
        <v>12</v>
      </c>
      <c r="D952" t="s">
        <v>23</v>
      </c>
      <c r="E952" t="s">
        <v>20</v>
      </c>
      <c r="F952" t="s">
        <v>27</v>
      </c>
      <c r="G952" t="s">
        <v>22</v>
      </c>
      <c r="H952">
        <v>60000</v>
      </c>
      <c r="I952">
        <v>8</v>
      </c>
      <c r="J952" t="s">
        <v>24</v>
      </c>
      <c r="K952">
        <f t="shared" si="14"/>
        <v>48000</v>
      </c>
      <c r="L952">
        <f>Sales_Data2[[#This Row],[Unit Price]]*Sales_Data2[[#This Row],[Quantity]]</f>
        <v>480000</v>
      </c>
      <c r="M952">
        <f>Sales_Data2[[#This Row],[Cost Price]]*Sales_Data2[[#This Row],[Quantity]]</f>
        <v>384000</v>
      </c>
      <c r="N952" s="3">
        <f>Sales_Data2[[#This Row],[Revenue]]-Sales_Data2[[#This Row],[COGS]]</f>
        <v>96000</v>
      </c>
      <c r="O9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46626|West|Port Harcourt|Corporate|Store|Microwave M20|Home Appliances|60000|8|David|48000</v>
      </c>
      <c r="P952" s="3" t="str">
        <f>IF(COUNTIF(Sales_Data2[RowKey],Sales_Data2[[#This Row],[RowKey]])&gt;1,"Duplicate","Unique")</f>
        <v>Unique</v>
      </c>
      <c r="Q952" s="3" t="str">
        <f>IF(ISNUMBER(Sales_Data2[[#This Row],[Date]]),"OK","Check")</f>
        <v>OK</v>
      </c>
      <c r="R952" s="3" t="str">
        <f>IF(ISNUMBER(Sales_Data2[[#This Row],[Quantity]]),"OK","Check")</f>
        <v>OK</v>
      </c>
    </row>
    <row r="953" spans="1:18">
      <c r="A953" s="1">
        <v>46627</v>
      </c>
      <c r="B953" t="s">
        <v>29</v>
      </c>
      <c r="C953" t="s">
        <v>32</v>
      </c>
      <c r="D953" t="s">
        <v>13</v>
      </c>
      <c r="E953" t="s">
        <v>20</v>
      </c>
      <c r="F953" t="s">
        <v>38</v>
      </c>
      <c r="G953" t="s">
        <v>31</v>
      </c>
      <c r="H953">
        <v>420000</v>
      </c>
      <c r="I953">
        <v>2</v>
      </c>
      <c r="J953" t="s">
        <v>37</v>
      </c>
      <c r="K953">
        <f t="shared" si="14"/>
        <v>336000</v>
      </c>
      <c r="L953">
        <f>Sales_Data2[[#This Row],[Unit Price]]*Sales_Data2[[#This Row],[Quantity]]</f>
        <v>840000</v>
      </c>
      <c r="M953">
        <f>Sales_Data2[[#This Row],[Cost Price]]*Sales_Data2[[#This Row],[Quantity]]</f>
        <v>672000</v>
      </c>
      <c r="N953" s="3">
        <f>Sales_Data2[[#This Row],[Revenue]]-Sales_Data2[[#This Row],[COGS]]</f>
        <v>168000</v>
      </c>
      <c r="O9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46627|North|Abuja|Retail|Store|Laptop A13|Electronics|420000|2|Aisha|336000</v>
      </c>
      <c r="P953" s="3" t="str">
        <f>IF(COUNTIF(Sales_Data2[RowKey],Sales_Data2[[#This Row],[RowKey]])&gt;1,"Duplicate","Unique")</f>
        <v>Unique</v>
      </c>
      <c r="Q953" s="3" t="str">
        <f>IF(ISNUMBER(Sales_Data2[[#This Row],[Date]]),"OK","Check")</f>
        <v>OK</v>
      </c>
      <c r="R953" s="3" t="str">
        <f>IF(ISNUMBER(Sales_Data2[[#This Row],[Quantity]]),"OK","Check")</f>
        <v>OK</v>
      </c>
    </row>
    <row r="954" spans="1:18">
      <c r="A954" s="1">
        <v>46628</v>
      </c>
      <c r="B954" t="s">
        <v>29</v>
      </c>
      <c r="C954" t="s">
        <v>26</v>
      </c>
      <c r="D954" t="s">
        <v>23</v>
      </c>
      <c r="E954" t="s">
        <v>14</v>
      </c>
      <c r="F954" t="s">
        <v>40</v>
      </c>
      <c r="G954" t="s">
        <v>31</v>
      </c>
      <c r="H954">
        <v>250000</v>
      </c>
      <c r="I954">
        <v>2</v>
      </c>
      <c r="J954" t="s">
        <v>17</v>
      </c>
      <c r="K954">
        <f t="shared" si="14"/>
        <v>200000</v>
      </c>
      <c r="L954">
        <f>Sales_Data2[[#This Row],[Unit Price]]*Sales_Data2[[#This Row],[Quantity]]</f>
        <v>500000</v>
      </c>
      <c r="M954">
        <f>Sales_Data2[[#This Row],[Cost Price]]*Sales_Data2[[#This Row],[Quantity]]</f>
        <v>400000</v>
      </c>
      <c r="N954" s="3">
        <f>Sales_Data2[[#This Row],[Revenue]]-Sales_Data2[[#This Row],[COGS]]</f>
        <v>100000</v>
      </c>
      <c r="O9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46628|North|Kano|Corporate|Online|Smartphone Z10|Electronics|250000|2|Chidinma|200000</v>
      </c>
      <c r="P954" s="3" t="str">
        <f>IF(COUNTIF(Sales_Data2[RowKey],Sales_Data2[[#This Row],[RowKey]])&gt;1,"Duplicate","Unique")</f>
        <v>Unique</v>
      </c>
      <c r="Q954" s="3" t="str">
        <f>IF(ISNUMBER(Sales_Data2[[#This Row],[Date]]),"OK","Check")</f>
        <v>OK</v>
      </c>
      <c r="R954" s="3" t="str">
        <f>IF(ISNUMBER(Sales_Data2[[#This Row],[Quantity]]),"OK","Check")</f>
        <v>OK</v>
      </c>
    </row>
    <row r="955" spans="1:18">
      <c r="A955" s="1">
        <v>46629</v>
      </c>
      <c r="B955" t="s">
        <v>11</v>
      </c>
      <c r="C955" t="s">
        <v>19</v>
      </c>
      <c r="D955" t="s">
        <v>13</v>
      </c>
      <c r="E955" t="s">
        <v>20</v>
      </c>
      <c r="F955" t="s">
        <v>41</v>
      </c>
      <c r="G955" t="s">
        <v>22</v>
      </c>
      <c r="H955">
        <v>220000</v>
      </c>
      <c r="I955">
        <v>6</v>
      </c>
      <c r="J955" t="s">
        <v>39</v>
      </c>
      <c r="K955">
        <f t="shared" si="14"/>
        <v>176000</v>
      </c>
      <c r="L955">
        <f>Sales_Data2[[#This Row],[Unit Price]]*Sales_Data2[[#This Row],[Quantity]]</f>
        <v>1320000</v>
      </c>
      <c r="M955">
        <f>Sales_Data2[[#This Row],[Cost Price]]*Sales_Data2[[#This Row],[Quantity]]</f>
        <v>1056000</v>
      </c>
      <c r="N955" s="3">
        <f>Sales_Data2[[#This Row],[Revenue]]-Sales_Data2[[#This Row],[COGS]]</f>
        <v>264000</v>
      </c>
      <c r="O9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46629|West|Lagos|Retail|Store|Refrigerator R55|Home Appliances|220000|6|Grace|176000</v>
      </c>
      <c r="P955" s="3" t="str">
        <f>IF(COUNTIF(Sales_Data2[RowKey],Sales_Data2[[#This Row],[RowKey]])&gt;1,"Duplicate","Unique")</f>
        <v>Unique</v>
      </c>
      <c r="Q955" s="3" t="str">
        <f>IF(ISNUMBER(Sales_Data2[[#This Row],[Date]]),"OK","Check")</f>
        <v>OK</v>
      </c>
      <c r="R955" s="3" t="str">
        <f>IF(ISNUMBER(Sales_Data2[[#This Row],[Quantity]]),"OK","Check")</f>
        <v>OK</v>
      </c>
    </row>
    <row r="956" spans="1:18">
      <c r="A956" s="1">
        <v>46630</v>
      </c>
      <c r="B956" t="s">
        <v>29</v>
      </c>
      <c r="C956" t="s">
        <v>19</v>
      </c>
      <c r="D956" t="s">
        <v>23</v>
      </c>
      <c r="E956" t="s">
        <v>20</v>
      </c>
      <c r="F956" t="s">
        <v>27</v>
      </c>
      <c r="G956" t="s">
        <v>22</v>
      </c>
      <c r="H956">
        <v>60000</v>
      </c>
      <c r="I956">
        <v>1</v>
      </c>
      <c r="J956" t="s">
        <v>35</v>
      </c>
      <c r="K956">
        <f t="shared" si="14"/>
        <v>48000</v>
      </c>
      <c r="L956">
        <f>Sales_Data2[[#This Row],[Unit Price]]*Sales_Data2[[#This Row],[Quantity]]</f>
        <v>60000</v>
      </c>
      <c r="M956">
        <f>Sales_Data2[[#This Row],[Cost Price]]*Sales_Data2[[#This Row],[Quantity]]</f>
        <v>48000</v>
      </c>
      <c r="N956" s="3">
        <f>Sales_Data2[[#This Row],[Revenue]]-Sales_Data2[[#This Row],[COGS]]</f>
        <v>12000</v>
      </c>
      <c r="O9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46630|North|Lagos|Corporate|Store|Microwave M20|Home Appliances|60000|1|Peter|48000</v>
      </c>
      <c r="P956" s="3" t="str">
        <f>IF(COUNTIF(Sales_Data2[RowKey],Sales_Data2[[#This Row],[RowKey]])&gt;1,"Duplicate","Unique")</f>
        <v>Unique</v>
      </c>
      <c r="Q956" s="3" t="str">
        <f>IF(ISNUMBER(Sales_Data2[[#This Row],[Date]]),"OK","Check")</f>
        <v>OK</v>
      </c>
      <c r="R956" s="3" t="str">
        <f>IF(ISNUMBER(Sales_Data2[[#This Row],[Quantity]]),"OK","Check")</f>
        <v>OK</v>
      </c>
    </row>
    <row r="957" spans="1:18">
      <c r="A957" s="1">
        <v>46631</v>
      </c>
      <c r="B957" t="s">
        <v>11</v>
      </c>
      <c r="C957" t="s">
        <v>12</v>
      </c>
      <c r="D957" t="s">
        <v>13</v>
      </c>
      <c r="E957" t="s">
        <v>20</v>
      </c>
      <c r="F957" t="s">
        <v>15</v>
      </c>
      <c r="G957" t="s">
        <v>16</v>
      </c>
      <c r="H957">
        <v>85000</v>
      </c>
      <c r="I957">
        <v>9</v>
      </c>
      <c r="J957" t="s">
        <v>39</v>
      </c>
      <c r="K957">
        <f t="shared" si="14"/>
        <v>68000</v>
      </c>
      <c r="L957">
        <f>Sales_Data2[[#This Row],[Unit Price]]*Sales_Data2[[#This Row],[Quantity]]</f>
        <v>765000</v>
      </c>
      <c r="M957">
        <f>Sales_Data2[[#This Row],[Cost Price]]*Sales_Data2[[#This Row],[Quantity]]</f>
        <v>612000</v>
      </c>
      <c r="N957" s="3">
        <f>Sales_Data2[[#This Row],[Revenue]]-Sales_Data2[[#This Row],[COGS]]</f>
        <v>153000</v>
      </c>
      <c r="O9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46631|West|Port Harcourt|Retail|Store|Office Chair Pro|Furniture|85000|9|Grace|68000</v>
      </c>
      <c r="P957" s="3" t="str">
        <f>IF(COUNTIF(Sales_Data2[RowKey],Sales_Data2[[#This Row],[RowKey]])&gt;1,"Duplicate","Unique")</f>
        <v>Unique</v>
      </c>
      <c r="Q957" s="3" t="str">
        <f>IF(ISNUMBER(Sales_Data2[[#This Row],[Date]]),"OK","Check")</f>
        <v>OK</v>
      </c>
      <c r="R957" s="3" t="str">
        <f>IF(ISNUMBER(Sales_Data2[[#This Row],[Quantity]]),"OK","Check")</f>
        <v>OK</v>
      </c>
    </row>
    <row r="958" spans="1:18">
      <c r="A958" s="1">
        <v>46632</v>
      </c>
      <c r="B958" t="s">
        <v>25</v>
      </c>
      <c r="C958" t="s">
        <v>19</v>
      </c>
      <c r="D958" t="s">
        <v>13</v>
      </c>
      <c r="E958" t="s">
        <v>20</v>
      </c>
      <c r="F958" t="s">
        <v>27</v>
      </c>
      <c r="G958" t="s">
        <v>22</v>
      </c>
      <c r="H958">
        <v>60000</v>
      </c>
      <c r="I958">
        <v>9</v>
      </c>
      <c r="J958" t="s">
        <v>37</v>
      </c>
      <c r="K958">
        <f t="shared" si="14"/>
        <v>48000</v>
      </c>
      <c r="L958">
        <f>Sales_Data2[[#This Row],[Unit Price]]*Sales_Data2[[#This Row],[Quantity]]</f>
        <v>540000</v>
      </c>
      <c r="M958">
        <f>Sales_Data2[[#This Row],[Cost Price]]*Sales_Data2[[#This Row],[Quantity]]</f>
        <v>432000</v>
      </c>
      <c r="N958" s="3">
        <f>Sales_Data2[[#This Row],[Revenue]]-Sales_Data2[[#This Row],[COGS]]</f>
        <v>108000</v>
      </c>
      <c r="O9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46632|South|Lagos|Retail|Store|Microwave M20|Home Appliances|60000|9|Aisha|48000</v>
      </c>
      <c r="P958" s="3" t="str">
        <f>IF(COUNTIF(Sales_Data2[RowKey],Sales_Data2[[#This Row],[RowKey]])&gt;1,"Duplicate","Unique")</f>
        <v>Unique</v>
      </c>
      <c r="Q958" s="3" t="str">
        <f>IF(ISNUMBER(Sales_Data2[[#This Row],[Date]]),"OK","Check")</f>
        <v>OK</v>
      </c>
      <c r="R958" s="3" t="str">
        <f>IF(ISNUMBER(Sales_Data2[[#This Row],[Quantity]]),"OK","Check")</f>
        <v>OK</v>
      </c>
    </row>
    <row r="959" spans="1:18">
      <c r="A959" s="1">
        <v>46633</v>
      </c>
      <c r="B959" t="s">
        <v>18</v>
      </c>
      <c r="C959" t="s">
        <v>26</v>
      </c>
      <c r="D959" t="s">
        <v>23</v>
      </c>
      <c r="E959" t="s">
        <v>20</v>
      </c>
      <c r="F959" t="s">
        <v>15</v>
      </c>
      <c r="G959" t="s">
        <v>16</v>
      </c>
      <c r="H959">
        <v>85000</v>
      </c>
      <c r="I959">
        <v>7</v>
      </c>
      <c r="J959" t="s">
        <v>24</v>
      </c>
      <c r="K959">
        <f t="shared" si="14"/>
        <v>68000</v>
      </c>
      <c r="L959">
        <f>Sales_Data2[[#This Row],[Unit Price]]*Sales_Data2[[#This Row],[Quantity]]</f>
        <v>595000</v>
      </c>
      <c r="M959">
        <f>Sales_Data2[[#This Row],[Cost Price]]*Sales_Data2[[#This Row],[Quantity]]</f>
        <v>476000</v>
      </c>
      <c r="N959" s="3">
        <f>Sales_Data2[[#This Row],[Revenue]]-Sales_Data2[[#This Row],[COGS]]</f>
        <v>119000</v>
      </c>
      <c r="O9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46633|East|Kano|Corporate|Store|Office Chair Pro|Furniture|85000|7|David|68000</v>
      </c>
      <c r="P959" s="3" t="str">
        <f>IF(COUNTIF(Sales_Data2[RowKey],Sales_Data2[[#This Row],[RowKey]])&gt;1,"Duplicate","Unique")</f>
        <v>Unique</v>
      </c>
      <c r="Q959" s="3" t="str">
        <f>IF(ISNUMBER(Sales_Data2[[#This Row],[Date]]),"OK","Check")</f>
        <v>OK</v>
      </c>
      <c r="R959" s="3" t="str">
        <f>IF(ISNUMBER(Sales_Data2[[#This Row],[Quantity]]),"OK","Check")</f>
        <v>OK</v>
      </c>
    </row>
    <row r="960" spans="1:18">
      <c r="A960" s="1">
        <v>46634</v>
      </c>
      <c r="B960" t="s">
        <v>25</v>
      </c>
      <c r="C960" t="s">
        <v>32</v>
      </c>
      <c r="D960" t="s">
        <v>13</v>
      </c>
      <c r="E960" t="s">
        <v>14</v>
      </c>
      <c r="F960" t="s">
        <v>34</v>
      </c>
      <c r="G960" t="s">
        <v>16</v>
      </c>
      <c r="H960">
        <v>320000</v>
      </c>
      <c r="I960">
        <v>4</v>
      </c>
      <c r="J960" t="s">
        <v>28</v>
      </c>
      <c r="K960">
        <f t="shared" si="14"/>
        <v>256000</v>
      </c>
      <c r="L960">
        <f>Sales_Data2[[#This Row],[Unit Price]]*Sales_Data2[[#This Row],[Quantity]]</f>
        <v>1280000</v>
      </c>
      <c r="M960">
        <f>Sales_Data2[[#This Row],[Cost Price]]*Sales_Data2[[#This Row],[Quantity]]</f>
        <v>1024000</v>
      </c>
      <c r="N960" s="3">
        <f>Sales_Data2[[#This Row],[Revenue]]-Sales_Data2[[#This Row],[COGS]]</f>
        <v>256000</v>
      </c>
      <c r="O9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46634|South|Abuja|Retail|Online|Sofa Classic|Furniture|320000|4|Musa|256000</v>
      </c>
      <c r="P960" s="3" t="str">
        <f>IF(COUNTIF(Sales_Data2[RowKey],Sales_Data2[[#This Row],[RowKey]])&gt;1,"Duplicate","Unique")</f>
        <v>Unique</v>
      </c>
      <c r="Q960" s="3" t="str">
        <f>IF(ISNUMBER(Sales_Data2[[#This Row],[Date]]),"OK","Check")</f>
        <v>OK</v>
      </c>
      <c r="R960" s="3" t="str">
        <f>IF(ISNUMBER(Sales_Data2[[#This Row],[Quantity]]),"OK","Check")</f>
        <v>OK</v>
      </c>
    </row>
    <row r="961" spans="1:18">
      <c r="A961" s="1">
        <v>46635</v>
      </c>
      <c r="B961" t="s">
        <v>25</v>
      </c>
      <c r="C961" t="s">
        <v>32</v>
      </c>
      <c r="D961" t="s">
        <v>23</v>
      </c>
      <c r="E961" t="s">
        <v>14</v>
      </c>
      <c r="F961" t="s">
        <v>40</v>
      </c>
      <c r="G961" t="s">
        <v>31</v>
      </c>
      <c r="H961">
        <v>250000</v>
      </c>
      <c r="I961">
        <v>4</v>
      </c>
      <c r="J961" t="s">
        <v>35</v>
      </c>
      <c r="K961">
        <f t="shared" si="14"/>
        <v>200000</v>
      </c>
      <c r="L961">
        <f>Sales_Data2[[#This Row],[Unit Price]]*Sales_Data2[[#This Row],[Quantity]]</f>
        <v>1000000</v>
      </c>
      <c r="M961">
        <f>Sales_Data2[[#This Row],[Cost Price]]*Sales_Data2[[#This Row],[Quantity]]</f>
        <v>800000</v>
      </c>
      <c r="N961" s="3">
        <f>Sales_Data2[[#This Row],[Revenue]]-Sales_Data2[[#This Row],[COGS]]</f>
        <v>200000</v>
      </c>
      <c r="O9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46635|South|Abuja|Corporate|Online|Smartphone Z10|Electronics|250000|4|Peter|200000</v>
      </c>
      <c r="P961" s="3" t="str">
        <f>IF(COUNTIF(Sales_Data2[RowKey],Sales_Data2[[#This Row],[RowKey]])&gt;1,"Duplicate","Unique")</f>
        <v>Unique</v>
      </c>
      <c r="Q961" s="3" t="str">
        <f>IF(ISNUMBER(Sales_Data2[[#This Row],[Date]]),"OK","Check")</f>
        <v>OK</v>
      </c>
      <c r="R961" s="3" t="str">
        <f>IF(ISNUMBER(Sales_Data2[[#This Row],[Quantity]]),"OK","Check")</f>
        <v>OK</v>
      </c>
    </row>
    <row r="962" spans="1:18">
      <c r="A962" s="1">
        <v>46636</v>
      </c>
      <c r="B962" t="s">
        <v>18</v>
      </c>
      <c r="C962" t="s">
        <v>26</v>
      </c>
      <c r="D962" t="s">
        <v>23</v>
      </c>
      <c r="E962" t="s">
        <v>14</v>
      </c>
      <c r="F962" t="s">
        <v>27</v>
      </c>
      <c r="G962" t="s">
        <v>22</v>
      </c>
      <c r="H962">
        <v>60000</v>
      </c>
      <c r="I962">
        <v>8</v>
      </c>
      <c r="J962" t="s">
        <v>24</v>
      </c>
      <c r="K962">
        <f t="shared" ref="K962:K1025" si="15">H962-H962*0.2</f>
        <v>48000</v>
      </c>
      <c r="L962">
        <f>Sales_Data2[[#This Row],[Unit Price]]*Sales_Data2[[#This Row],[Quantity]]</f>
        <v>480000</v>
      </c>
      <c r="M962">
        <f>Sales_Data2[[#This Row],[Cost Price]]*Sales_Data2[[#This Row],[Quantity]]</f>
        <v>384000</v>
      </c>
      <c r="N962" s="3">
        <f>Sales_Data2[[#This Row],[Revenue]]-Sales_Data2[[#This Row],[COGS]]</f>
        <v>96000</v>
      </c>
      <c r="O9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46636|East|Kano|Corporate|Online|Microwave M20|Home Appliances|60000|8|David|48000</v>
      </c>
      <c r="P962" s="3" t="str">
        <f>IF(COUNTIF(Sales_Data2[RowKey],Sales_Data2[[#This Row],[RowKey]])&gt;1,"Duplicate","Unique")</f>
        <v>Unique</v>
      </c>
      <c r="Q962" s="3" t="str">
        <f>IF(ISNUMBER(Sales_Data2[[#This Row],[Date]]),"OK","Check")</f>
        <v>OK</v>
      </c>
      <c r="R962" s="3" t="str">
        <f>IF(ISNUMBER(Sales_Data2[[#This Row],[Quantity]]),"OK","Check")</f>
        <v>OK</v>
      </c>
    </row>
    <row r="963" spans="1:18">
      <c r="A963" s="1">
        <v>46637</v>
      </c>
      <c r="B963" t="s">
        <v>11</v>
      </c>
      <c r="C963" t="s">
        <v>26</v>
      </c>
      <c r="D963" t="s">
        <v>23</v>
      </c>
      <c r="E963" t="s">
        <v>14</v>
      </c>
      <c r="F963" t="s">
        <v>38</v>
      </c>
      <c r="G963" t="s">
        <v>31</v>
      </c>
      <c r="H963">
        <v>420000</v>
      </c>
      <c r="I963">
        <v>2</v>
      </c>
      <c r="J963" t="s">
        <v>39</v>
      </c>
      <c r="K963">
        <f t="shared" si="15"/>
        <v>336000</v>
      </c>
      <c r="L963">
        <f>Sales_Data2[[#This Row],[Unit Price]]*Sales_Data2[[#This Row],[Quantity]]</f>
        <v>840000</v>
      </c>
      <c r="M963">
        <f>Sales_Data2[[#This Row],[Cost Price]]*Sales_Data2[[#This Row],[Quantity]]</f>
        <v>672000</v>
      </c>
      <c r="N963" s="3">
        <f>Sales_Data2[[#This Row],[Revenue]]-Sales_Data2[[#This Row],[COGS]]</f>
        <v>168000</v>
      </c>
      <c r="O9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46637|West|Kano|Corporate|Online|Laptop A13|Electronics|420000|2|Grace|336000</v>
      </c>
      <c r="P963" s="3" t="str">
        <f>IF(COUNTIF(Sales_Data2[RowKey],Sales_Data2[[#This Row],[RowKey]])&gt;1,"Duplicate","Unique")</f>
        <v>Unique</v>
      </c>
      <c r="Q963" s="3" t="str">
        <f>IF(ISNUMBER(Sales_Data2[[#This Row],[Date]]),"OK","Check")</f>
        <v>OK</v>
      </c>
      <c r="R963" s="3" t="str">
        <f>IF(ISNUMBER(Sales_Data2[[#This Row],[Quantity]]),"OK","Check")</f>
        <v>OK</v>
      </c>
    </row>
    <row r="964" spans="1:18">
      <c r="A964" s="1">
        <v>46638</v>
      </c>
      <c r="B964" t="s">
        <v>18</v>
      </c>
      <c r="C964" t="s">
        <v>32</v>
      </c>
      <c r="D964" t="s">
        <v>23</v>
      </c>
      <c r="E964" t="s">
        <v>20</v>
      </c>
      <c r="F964" t="s">
        <v>36</v>
      </c>
      <c r="G964" t="s">
        <v>31</v>
      </c>
      <c r="H964">
        <v>150000</v>
      </c>
      <c r="I964">
        <v>1</v>
      </c>
      <c r="J964" t="s">
        <v>35</v>
      </c>
      <c r="K964">
        <f t="shared" si="15"/>
        <v>120000</v>
      </c>
      <c r="L964">
        <f>Sales_Data2[[#This Row],[Unit Price]]*Sales_Data2[[#This Row],[Quantity]]</f>
        <v>150000</v>
      </c>
      <c r="M964">
        <f>Sales_Data2[[#This Row],[Cost Price]]*Sales_Data2[[#This Row],[Quantity]]</f>
        <v>120000</v>
      </c>
      <c r="N964" s="3">
        <f>Sales_Data2[[#This Row],[Revenue]]-Sales_Data2[[#This Row],[COGS]]</f>
        <v>30000</v>
      </c>
      <c r="O9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46638|East|Abuja|Corporate|Store|Printer P50|Electronics|150000|1|Peter|120000</v>
      </c>
      <c r="P964" s="3" t="str">
        <f>IF(COUNTIF(Sales_Data2[RowKey],Sales_Data2[[#This Row],[RowKey]])&gt;1,"Duplicate","Unique")</f>
        <v>Unique</v>
      </c>
      <c r="Q964" s="3" t="str">
        <f>IF(ISNUMBER(Sales_Data2[[#This Row],[Date]]),"OK","Check")</f>
        <v>OK</v>
      </c>
      <c r="R964" s="3" t="str">
        <f>IF(ISNUMBER(Sales_Data2[[#This Row],[Quantity]]),"OK","Check")</f>
        <v>OK</v>
      </c>
    </row>
    <row r="965" spans="1:18">
      <c r="A965" s="1">
        <v>46639</v>
      </c>
      <c r="B965" t="s">
        <v>25</v>
      </c>
      <c r="C965" t="s">
        <v>19</v>
      </c>
      <c r="D965" t="s">
        <v>13</v>
      </c>
      <c r="E965" t="s">
        <v>14</v>
      </c>
      <c r="F965" t="s">
        <v>40</v>
      </c>
      <c r="G965" t="s">
        <v>31</v>
      </c>
      <c r="H965">
        <v>250000</v>
      </c>
      <c r="I965">
        <v>8</v>
      </c>
      <c r="J965" t="s">
        <v>37</v>
      </c>
      <c r="K965">
        <f t="shared" si="15"/>
        <v>200000</v>
      </c>
      <c r="L965">
        <f>Sales_Data2[[#This Row],[Unit Price]]*Sales_Data2[[#This Row],[Quantity]]</f>
        <v>2000000</v>
      </c>
      <c r="M965">
        <f>Sales_Data2[[#This Row],[Cost Price]]*Sales_Data2[[#This Row],[Quantity]]</f>
        <v>1600000</v>
      </c>
      <c r="N965" s="3">
        <f>Sales_Data2[[#This Row],[Revenue]]-Sales_Data2[[#This Row],[COGS]]</f>
        <v>400000</v>
      </c>
      <c r="O9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46639|South|Lagos|Retail|Online|Smartphone Z10|Electronics|250000|8|Aisha|200000</v>
      </c>
      <c r="P965" s="3" t="str">
        <f>IF(COUNTIF(Sales_Data2[RowKey],Sales_Data2[[#This Row],[RowKey]])&gt;1,"Duplicate","Unique")</f>
        <v>Unique</v>
      </c>
      <c r="Q965" s="3" t="str">
        <f>IF(ISNUMBER(Sales_Data2[[#This Row],[Date]]),"OK","Check")</f>
        <v>OK</v>
      </c>
      <c r="R965" s="3" t="str">
        <f>IF(ISNUMBER(Sales_Data2[[#This Row],[Quantity]]),"OK","Check")</f>
        <v>OK</v>
      </c>
    </row>
    <row r="966" spans="1:18">
      <c r="A966" s="1">
        <v>46640</v>
      </c>
      <c r="B966" t="s">
        <v>11</v>
      </c>
      <c r="C966" t="s">
        <v>32</v>
      </c>
      <c r="D966" t="s">
        <v>13</v>
      </c>
      <c r="E966" t="s">
        <v>14</v>
      </c>
      <c r="F966" t="s">
        <v>30</v>
      </c>
      <c r="G966" t="s">
        <v>31</v>
      </c>
      <c r="H966">
        <v>300000</v>
      </c>
      <c r="I966">
        <v>10</v>
      </c>
      <c r="J966" t="s">
        <v>39</v>
      </c>
      <c r="K966">
        <f t="shared" si="15"/>
        <v>240000</v>
      </c>
      <c r="L966">
        <f>Sales_Data2[[#This Row],[Unit Price]]*Sales_Data2[[#This Row],[Quantity]]</f>
        <v>3000000</v>
      </c>
      <c r="M966">
        <f>Sales_Data2[[#This Row],[Cost Price]]*Sales_Data2[[#This Row],[Quantity]]</f>
        <v>2400000</v>
      </c>
      <c r="N966" s="3">
        <f>Sales_Data2[[#This Row],[Revenue]]-Sales_Data2[[#This Row],[COGS]]</f>
        <v>600000</v>
      </c>
      <c r="O9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46640|West|Abuja|Retail|Online|Desktop PC D21|Electronics|300000|10|Grace|240000</v>
      </c>
      <c r="P966" s="3" t="str">
        <f>IF(COUNTIF(Sales_Data2[RowKey],Sales_Data2[[#This Row],[RowKey]])&gt;1,"Duplicate","Unique")</f>
        <v>Unique</v>
      </c>
      <c r="Q966" s="3" t="str">
        <f>IF(ISNUMBER(Sales_Data2[[#This Row],[Date]]),"OK","Check")</f>
        <v>OK</v>
      </c>
      <c r="R966" s="3" t="str">
        <f>IF(ISNUMBER(Sales_Data2[[#This Row],[Quantity]]),"OK","Check")</f>
        <v>OK</v>
      </c>
    </row>
    <row r="967" spans="1:18">
      <c r="A967" s="1">
        <v>46641</v>
      </c>
      <c r="B967" t="s">
        <v>18</v>
      </c>
      <c r="C967" t="s">
        <v>19</v>
      </c>
      <c r="D967" t="s">
        <v>23</v>
      </c>
      <c r="E967" t="s">
        <v>20</v>
      </c>
      <c r="F967" t="s">
        <v>27</v>
      </c>
      <c r="G967" t="s">
        <v>22</v>
      </c>
      <c r="H967">
        <v>60000</v>
      </c>
      <c r="I967">
        <v>3</v>
      </c>
      <c r="J967" t="s">
        <v>24</v>
      </c>
      <c r="K967">
        <f t="shared" si="15"/>
        <v>48000</v>
      </c>
      <c r="L967">
        <f>Sales_Data2[[#This Row],[Unit Price]]*Sales_Data2[[#This Row],[Quantity]]</f>
        <v>180000</v>
      </c>
      <c r="M967">
        <f>Sales_Data2[[#This Row],[Cost Price]]*Sales_Data2[[#This Row],[Quantity]]</f>
        <v>144000</v>
      </c>
      <c r="N967" s="3">
        <f>Sales_Data2[[#This Row],[Revenue]]-Sales_Data2[[#This Row],[COGS]]</f>
        <v>36000</v>
      </c>
      <c r="O9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46641|East|Lagos|Corporate|Store|Microwave M20|Home Appliances|60000|3|David|48000</v>
      </c>
      <c r="P967" s="3" t="str">
        <f>IF(COUNTIF(Sales_Data2[RowKey],Sales_Data2[[#This Row],[RowKey]])&gt;1,"Duplicate","Unique")</f>
        <v>Unique</v>
      </c>
      <c r="Q967" s="3" t="str">
        <f>IF(ISNUMBER(Sales_Data2[[#This Row],[Date]]),"OK","Check")</f>
        <v>OK</v>
      </c>
      <c r="R967" s="3" t="str">
        <f>IF(ISNUMBER(Sales_Data2[[#This Row],[Quantity]]),"OK","Check")</f>
        <v>OK</v>
      </c>
    </row>
    <row r="968" spans="1:18">
      <c r="A968" s="1">
        <v>46642</v>
      </c>
      <c r="B968" t="s">
        <v>11</v>
      </c>
      <c r="C968" t="s">
        <v>32</v>
      </c>
      <c r="D968" t="s">
        <v>23</v>
      </c>
      <c r="E968" t="s">
        <v>14</v>
      </c>
      <c r="F968" t="s">
        <v>15</v>
      </c>
      <c r="G968" t="s">
        <v>16</v>
      </c>
      <c r="H968">
        <v>85000</v>
      </c>
      <c r="I968">
        <v>1</v>
      </c>
      <c r="J968" t="s">
        <v>24</v>
      </c>
      <c r="K968">
        <f t="shared" si="15"/>
        <v>68000</v>
      </c>
      <c r="L968">
        <f>Sales_Data2[[#This Row],[Unit Price]]*Sales_Data2[[#This Row],[Quantity]]</f>
        <v>85000</v>
      </c>
      <c r="M968">
        <f>Sales_Data2[[#This Row],[Cost Price]]*Sales_Data2[[#This Row],[Quantity]]</f>
        <v>68000</v>
      </c>
      <c r="N968" s="3">
        <f>Sales_Data2[[#This Row],[Revenue]]-Sales_Data2[[#This Row],[COGS]]</f>
        <v>17000</v>
      </c>
      <c r="O9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46642|West|Abuja|Corporate|Online|Office Chair Pro|Furniture|85000|1|David|68000</v>
      </c>
      <c r="P968" s="3" t="str">
        <f>IF(COUNTIF(Sales_Data2[RowKey],Sales_Data2[[#This Row],[RowKey]])&gt;1,"Duplicate","Unique")</f>
        <v>Unique</v>
      </c>
      <c r="Q968" s="3" t="str">
        <f>IF(ISNUMBER(Sales_Data2[[#This Row],[Date]]),"OK","Check")</f>
        <v>OK</v>
      </c>
      <c r="R968" s="3" t="str">
        <f>IF(ISNUMBER(Sales_Data2[[#This Row],[Quantity]]),"OK","Check")</f>
        <v>OK</v>
      </c>
    </row>
    <row r="969" spans="1:18">
      <c r="A969" s="1">
        <v>46643</v>
      </c>
      <c r="B969" t="s">
        <v>18</v>
      </c>
      <c r="C969" t="s">
        <v>19</v>
      </c>
      <c r="D969" t="s">
        <v>23</v>
      </c>
      <c r="E969" t="s">
        <v>14</v>
      </c>
      <c r="F969" t="s">
        <v>33</v>
      </c>
      <c r="G969" t="s">
        <v>22</v>
      </c>
      <c r="H969">
        <v>180000</v>
      </c>
      <c r="I969">
        <v>7</v>
      </c>
      <c r="J969" t="s">
        <v>17</v>
      </c>
      <c r="K969">
        <f t="shared" si="15"/>
        <v>144000</v>
      </c>
      <c r="L969">
        <f>Sales_Data2[[#This Row],[Unit Price]]*Sales_Data2[[#This Row],[Quantity]]</f>
        <v>1260000</v>
      </c>
      <c r="M969">
        <f>Sales_Data2[[#This Row],[Cost Price]]*Sales_Data2[[#This Row],[Quantity]]</f>
        <v>1008000</v>
      </c>
      <c r="N969" s="3">
        <f>Sales_Data2[[#This Row],[Revenue]]-Sales_Data2[[#This Row],[COGS]]</f>
        <v>252000</v>
      </c>
      <c r="O9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46643|East|Lagos|Corporate|Online|Air Conditioner X2|Home Appliances|180000|7|Chidinma|144000</v>
      </c>
      <c r="P969" s="3" t="str">
        <f>IF(COUNTIF(Sales_Data2[RowKey],Sales_Data2[[#This Row],[RowKey]])&gt;1,"Duplicate","Unique")</f>
        <v>Unique</v>
      </c>
      <c r="Q969" s="3" t="str">
        <f>IF(ISNUMBER(Sales_Data2[[#This Row],[Date]]),"OK","Check")</f>
        <v>OK</v>
      </c>
      <c r="R969" s="3" t="str">
        <f>IF(ISNUMBER(Sales_Data2[[#This Row],[Quantity]]),"OK","Check")</f>
        <v>OK</v>
      </c>
    </row>
    <row r="970" spans="1:18">
      <c r="A970" s="1">
        <v>46644</v>
      </c>
      <c r="B970" t="s">
        <v>18</v>
      </c>
      <c r="C970" t="s">
        <v>26</v>
      </c>
      <c r="D970" t="s">
        <v>23</v>
      </c>
      <c r="E970" t="s">
        <v>14</v>
      </c>
      <c r="F970" t="s">
        <v>40</v>
      </c>
      <c r="G970" t="s">
        <v>31</v>
      </c>
      <c r="H970">
        <v>250000</v>
      </c>
      <c r="I970">
        <v>6</v>
      </c>
      <c r="J970" t="s">
        <v>28</v>
      </c>
      <c r="K970">
        <f t="shared" si="15"/>
        <v>200000</v>
      </c>
      <c r="L970">
        <f>Sales_Data2[[#This Row],[Unit Price]]*Sales_Data2[[#This Row],[Quantity]]</f>
        <v>1500000</v>
      </c>
      <c r="M970">
        <f>Sales_Data2[[#This Row],[Cost Price]]*Sales_Data2[[#This Row],[Quantity]]</f>
        <v>1200000</v>
      </c>
      <c r="N970" s="3">
        <f>Sales_Data2[[#This Row],[Revenue]]-Sales_Data2[[#This Row],[COGS]]</f>
        <v>300000</v>
      </c>
      <c r="O9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46644|East|Kano|Corporate|Online|Smartphone Z10|Electronics|250000|6|Musa|200000</v>
      </c>
      <c r="P970" s="3" t="str">
        <f>IF(COUNTIF(Sales_Data2[RowKey],Sales_Data2[[#This Row],[RowKey]])&gt;1,"Duplicate","Unique")</f>
        <v>Unique</v>
      </c>
      <c r="Q970" s="3" t="str">
        <f>IF(ISNUMBER(Sales_Data2[[#This Row],[Date]]),"OK","Check")</f>
        <v>OK</v>
      </c>
      <c r="R970" s="3" t="str">
        <f>IF(ISNUMBER(Sales_Data2[[#This Row],[Quantity]]),"OK","Check")</f>
        <v>OK</v>
      </c>
    </row>
    <row r="971" spans="1:18">
      <c r="A971" s="1">
        <v>46645</v>
      </c>
      <c r="B971" t="s">
        <v>11</v>
      </c>
      <c r="C971" t="s">
        <v>12</v>
      </c>
      <c r="D971" t="s">
        <v>23</v>
      </c>
      <c r="E971" t="s">
        <v>14</v>
      </c>
      <c r="F971" t="s">
        <v>38</v>
      </c>
      <c r="G971" t="s">
        <v>31</v>
      </c>
      <c r="H971">
        <v>420000</v>
      </c>
      <c r="I971">
        <v>3</v>
      </c>
      <c r="J971" t="s">
        <v>17</v>
      </c>
      <c r="K971">
        <f t="shared" si="15"/>
        <v>336000</v>
      </c>
      <c r="L971">
        <f>Sales_Data2[[#This Row],[Unit Price]]*Sales_Data2[[#This Row],[Quantity]]</f>
        <v>1260000</v>
      </c>
      <c r="M971">
        <f>Sales_Data2[[#This Row],[Cost Price]]*Sales_Data2[[#This Row],[Quantity]]</f>
        <v>1008000</v>
      </c>
      <c r="N971" s="3">
        <f>Sales_Data2[[#This Row],[Revenue]]-Sales_Data2[[#This Row],[COGS]]</f>
        <v>252000</v>
      </c>
      <c r="O9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46645|West|Port Harcourt|Corporate|Online|Laptop A13|Electronics|420000|3|Chidinma|336000</v>
      </c>
      <c r="P971" s="3" t="str">
        <f>IF(COUNTIF(Sales_Data2[RowKey],Sales_Data2[[#This Row],[RowKey]])&gt;1,"Duplicate","Unique")</f>
        <v>Unique</v>
      </c>
      <c r="Q971" s="3" t="str">
        <f>IF(ISNUMBER(Sales_Data2[[#This Row],[Date]]),"OK","Check")</f>
        <v>OK</v>
      </c>
      <c r="R971" s="3" t="str">
        <f>IF(ISNUMBER(Sales_Data2[[#This Row],[Quantity]]),"OK","Check")</f>
        <v>OK</v>
      </c>
    </row>
    <row r="972" spans="1:18">
      <c r="A972" s="1">
        <v>46646</v>
      </c>
      <c r="B972" t="s">
        <v>11</v>
      </c>
      <c r="C972" t="s">
        <v>12</v>
      </c>
      <c r="D972" t="s">
        <v>13</v>
      </c>
      <c r="E972" t="s">
        <v>14</v>
      </c>
      <c r="F972" t="s">
        <v>21</v>
      </c>
      <c r="G972" t="s">
        <v>22</v>
      </c>
      <c r="H972">
        <v>30000</v>
      </c>
      <c r="I972">
        <v>1</v>
      </c>
      <c r="J972" t="s">
        <v>28</v>
      </c>
      <c r="K972">
        <f t="shared" si="15"/>
        <v>24000</v>
      </c>
      <c r="L972">
        <f>Sales_Data2[[#This Row],[Unit Price]]*Sales_Data2[[#This Row],[Quantity]]</f>
        <v>30000</v>
      </c>
      <c r="M972">
        <f>Sales_Data2[[#This Row],[Cost Price]]*Sales_Data2[[#This Row],[Quantity]]</f>
        <v>24000</v>
      </c>
      <c r="N972" s="3">
        <f>Sales_Data2[[#This Row],[Revenue]]-Sales_Data2[[#This Row],[COGS]]</f>
        <v>6000</v>
      </c>
      <c r="O9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46646|West|Port Harcourt|Retail|Online|Blender B10|Home Appliances|30000|1|Musa|24000</v>
      </c>
      <c r="P972" s="3" t="str">
        <f>IF(COUNTIF(Sales_Data2[RowKey],Sales_Data2[[#This Row],[RowKey]])&gt;1,"Duplicate","Unique")</f>
        <v>Unique</v>
      </c>
      <c r="Q972" s="3" t="str">
        <f>IF(ISNUMBER(Sales_Data2[[#This Row],[Date]]),"OK","Check")</f>
        <v>OK</v>
      </c>
      <c r="R972" s="3" t="str">
        <f>IF(ISNUMBER(Sales_Data2[[#This Row],[Quantity]]),"OK","Check")</f>
        <v>OK</v>
      </c>
    </row>
    <row r="973" spans="1:18">
      <c r="A973" s="1">
        <v>46647</v>
      </c>
      <c r="B973" t="s">
        <v>29</v>
      </c>
      <c r="C973" t="s">
        <v>12</v>
      </c>
      <c r="D973" t="s">
        <v>23</v>
      </c>
      <c r="E973" t="s">
        <v>20</v>
      </c>
      <c r="F973" t="s">
        <v>40</v>
      </c>
      <c r="G973" t="s">
        <v>31</v>
      </c>
      <c r="H973">
        <v>250000</v>
      </c>
      <c r="I973">
        <v>3</v>
      </c>
      <c r="J973" t="s">
        <v>17</v>
      </c>
      <c r="K973">
        <f t="shared" si="15"/>
        <v>200000</v>
      </c>
      <c r="L973">
        <f>Sales_Data2[[#This Row],[Unit Price]]*Sales_Data2[[#This Row],[Quantity]]</f>
        <v>750000</v>
      </c>
      <c r="M973">
        <f>Sales_Data2[[#This Row],[Cost Price]]*Sales_Data2[[#This Row],[Quantity]]</f>
        <v>600000</v>
      </c>
      <c r="N973" s="3">
        <f>Sales_Data2[[#This Row],[Revenue]]-Sales_Data2[[#This Row],[COGS]]</f>
        <v>150000</v>
      </c>
      <c r="O9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46647|North|Port Harcourt|Corporate|Store|Smartphone Z10|Electronics|250000|3|Chidinma|200000</v>
      </c>
      <c r="P973" s="3" t="str">
        <f>IF(COUNTIF(Sales_Data2[RowKey],Sales_Data2[[#This Row],[RowKey]])&gt;1,"Duplicate","Unique")</f>
        <v>Unique</v>
      </c>
      <c r="Q973" s="3" t="str">
        <f>IF(ISNUMBER(Sales_Data2[[#This Row],[Date]]),"OK","Check")</f>
        <v>OK</v>
      </c>
      <c r="R973" s="3" t="str">
        <f>IF(ISNUMBER(Sales_Data2[[#This Row],[Quantity]]),"OK","Check")</f>
        <v>OK</v>
      </c>
    </row>
    <row r="974" spans="1:18">
      <c r="A974" s="1">
        <v>46648</v>
      </c>
      <c r="B974" t="s">
        <v>18</v>
      </c>
      <c r="C974" t="s">
        <v>26</v>
      </c>
      <c r="D974" t="s">
        <v>13</v>
      </c>
      <c r="E974" t="s">
        <v>14</v>
      </c>
      <c r="F974" t="s">
        <v>34</v>
      </c>
      <c r="G974" t="s">
        <v>16</v>
      </c>
      <c r="H974">
        <v>320000</v>
      </c>
      <c r="I974">
        <v>10</v>
      </c>
      <c r="J974" t="s">
        <v>17</v>
      </c>
      <c r="K974">
        <f t="shared" si="15"/>
        <v>256000</v>
      </c>
      <c r="L974">
        <f>Sales_Data2[[#This Row],[Unit Price]]*Sales_Data2[[#This Row],[Quantity]]</f>
        <v>3200000</v>
      </c>
      <c r="M974">
        <f>Sales_Data2[[#This Row],[Cost Price]]*Sales_Data2[[#This Row],[Quantity]]</f>
        <v>2560000</v>
      </c>
      <c r="N974" s="3">
        <f>Sales_Data2[[#This Row],[Revenue]]-Sales_Data2[[#This Row],[COGS]]</f>
        <v>640000</v>
      </c>
      <c r="O9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46648|East|Kano|Retail|Online|Sofa Classic|Furniture|320000|10|Chidinma|256000</v>
      </c>
      <c r="P974" s="3" t="str">
        <f>IF(COUNTIF(Sales_Data2[RowKey],Sales_Data2[[#This Row],[RowKey]])&gt;1,"Duplicate","Unique")</f>
        <v>Unique</v>
      </c>
      <c r="Q974" s="3" t="str">
        <f>IF(ISNUMBER(Sales_Data2[[#This Row],[Date]]),"OK","Check")</f>
        <v>OK</v>
      </c>
      <c r="R974" s="3" t="str">
        <f>IF(ISNUMBER(Sales_Data2[[#This Row],[Quantity]]),"OK","Check")</f>
        <v>OK</v>
      </c>
    </row>
    <row r="975" spans="1:18">
      <c r="A975" s="1">
        <v>46649</v>
      </c>
      <c r="B975" t="s">
        <v>11</v>
      </c>
      <c r="C975" t="s">
        <v>12</v>
      </c>
      <c r="D975" t="s">
        <v>13</v>
      </c>
      <c r="E975" t="s">
        <v>20</v>
      </c>
      <c r="F975" t="s">
        <v>40</v>
      </c>
      <c r="G975" t="s">
        <v>31</v>
      </c>
      <c r="H975">
        <v>250000</v>
      </c>
      <c r="I975">
        <v>7</v>
      </c>
      <c r="J975" t="s">
        <v>24</v>
      </c>
      <c r="K975">
        <f t="shared" si="15"/>
        <v>200000</v>
      </c>
      <c r="L975">
        <f>Sales_Data2[[#This Row],[Unit Price]]*Sales_Data2[[#This Row],[Quantity]]</f>
        <v>1750000</v>
      </c>
      <c r="M975">
        <f>Sales_Data2[[#This Row],[Cost Price]]*Sales_Data2[[#This Row],[Quantity]]</f>
        <v>1400000</v>
      </c>
      <c r="N975" s="3">
        <f>Sales_Data2[[#This Row],[Revenue]]-Sales_Data2[[#This Row],[COGS]]</f>
        <v>350000</v>
      </c>
      <c r="O9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46649|West|Port Harcourt|Retail|Store|Smartphone Z10|Electronics|250000|7|David|200000</v>
      </c>
      <c r="P975" s="3" t="str">
        <f>IF(COUNTIF(Sales_Data2[RowKey],Sales_Data2[[#This Row],[RowKey]])&gt;1,"Duplicate","Unique")</f>
        <v>Unique</v>
      </c>
      <c r="Q975" s="3" t="str">
        <f>IF(ISNUMBER(Sales_Data2[[#This Row],[Date]]),"OK","Check")</f>
        <v>OK</v>
      </c>
      <c r="R975" s="3" t="str">
        <f>IF(ISNUMBER(Sales_Data2[[#This Row],[Quantity]]),"OK","Check")</f>
        <v>OK</v>
      </c>
    </row>
    <row r="976" spans="1:18">
      <c r="A976" s="1">
        <v>46650</v>
      </c>
      <c r="B976" t="s">
        <v>29</v>
      </c>
      <c r="C976" t="s">
        <v>19</v>
      </c>
      <c r="D976" t="s">
        <v>23</v>
      </c>
      <c r="E976" t="s">
        <v>14</v>
      </c>
      <c r="F976" t="s">
        <v>34</v>
      </c>
      <c r="G976" t="s">
        <v>16</v>
      </c>
      <c r="H976">
        <v>320000</v>
      </c>
      <c r="I976">
        <v>2</v>
      </c>
      <c r="J976" t="s">
        <v>28</v>
      </c>
      <c r="K976">
        <f t="shared" si="15"/>
        <v>256000</v>
      </c>
      <c r="L976">
        <f>Sales_Data2[[#This Row],[Unit Price]]*Sales_Data2[[#This Row],[Quantity]]</f>
        <v>640000</v>
      </c>
      <c r="M976">
        <f>Sales_Data2[[#This Row],[Cost Price]]*Sales_Data2[[#This Row],[Quantity]]</f>
        <v>512000</v>
      </c>
      <c r="N976" s="3">
        <f>Sales_Data2[[#This Row],[Revenue]]-Sales_Data2[[#This Row],[COGS]]</f>
        <v>128000</v>
      </c>
      <c r="O9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46650|North|Lagos|Corporate|Online|Sofa Classic|Furniture|320000|2|Musa|256000</v>
      </c>
      <c r="P976" s="3" t="str">
        <f>IF(COUNTIF(Sales_Data2[RowKey],Sales_Data2[[#This Row],[RowKey]])&gt;1,"Duplicate","Unique")</f>
        <v>Unique</v>
      </c>
      <c r="Q976" s="3" t="str">
        <f>IF(ISNUMBER(Sales_Data2[[#This Row],[Date]]),"OK","Check")</f>
        <v>OK</v>
      </c>
      <c r="R976" s="3" t="str">
        <f>IF(ISNUMBER(Sales_Data2[[#This Row],[Quantity]]),"OK","Check")</f>
        <v>OK</v>
      </c>
    </row>
    <row r="977" spans="1:18">
      <c r="A977" s="1">
        <v>46651</v>
      </c>
      <c r="B977" t="s">
        <v>29</v>
      </c>
      <c r="C977" t="s">
        <v>12</v>
      </c>
      <c r="D977" t="s">
        <v>23</v>
      </c>
      <c r="E977" t="s">
        <v>20</v>
      </c>
      <c r="F977" t="s">
        <v>41</v>
      </c>
      <c r="G977" t="s">
        <v>22</v>
      </c>
      <c r="H977">
        <v>220000</v>
      </c>
      <c r="I977">
        <v>5</v>
      </c>
      <c r="J977" t="s">
        <v>35</v>
      </c>
      <c r="K977">
        <f t="shared" si="15"/>
        <v>176000</v>
      </c>
      <c r="L977">
        <f>Sales_Data2[[#This Row],[Unit Price]]*Sales_Data2[[#This Row],[Quantity]]</f>
        <v>1100000</v>
      </c>
      <c r="M977">
        <f>Sales_Data2[[#This Row],[Cost Price]]*Sales_Data2[[#This Row],[Quantity]]</f>
        <v>880000</v>
      </c>
      <c r="N977" s="3">
        <f>Sales_Data2[[#This Row],[Revenue]]-Sales_Data2[[#This Row],[COGS]]</f>
        <v>220000</v>
      </c>
      <c r="O9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46651|North|Port Harcourt|Corporate|Store|Refrigerator R55|Home Appliances|220000|5|Peter|176000</v>
      </c>
      <c r="P977" s="3" t="str">
        <f>IF(COUNTIF(Sales_Data2[RowKey],Sales_Data2[[#This Row],[RowKey]])&gt;1,"Duplicate","Unique")</f>
        <v>Unique</v>
      </c>
      <c r="Q977" s="3" t="str">
        <f>IF(ISNUMBER(Sales_Data2[[#This Row],[Date]]),"OK","Check")</f>
        <v>OK</v>
      </c>
      <c r="R977" s="3" t="str">
        <f>IF(ISNUMBER(Sales_Data2[[#This Row],[Quantity]]),"OK","Check")</f>
        <v>OK</v>
      </c>
    </row>
    <row r="978" spans="1:18">
      <c r="A978" s="1">
        <v>46652</v>
      </c>
      <c r="B978" t="s">
        <v>29</v>
      </c>
      <c r="C978" t="s">
        <v>32</v>
      </c>
      <c r="D978" t="s">
        <v>23</v>
      </c>
      <c r="E978" t="s">
        <v>20</v>
      </c>
      <c r="F978" t="s">
        <v>38</v>
      </c>
      <c r="G978" t="s">
        <v>31</v>
      </c>
      <c r="H978">
        <v>420000</v>
      </c>
      <c r="I978">
        <v>3</v>
      </c>
      <c r="J978" t="s">
        <v>35</v>
      </c>
      <c r="K978">
        <f t="shared" si="15"/>
        <v>336000</v>
      </c>
      <c r="L978">
        <f>Sales_Data2[[#This Row],[Unit Price]]*Sales_Data2[[#This Row],[Quantity]]</f>
        <v>1260000</v>
      </c>
      <c r="M978">
        <f>Sales_Data2[[#This Row],[Cost Price]]*Sales_Data2[[#This Row],[Quantity]]</f>
        <v>1008000</v>
      </c>
      <c r="N978" s="3">
        <f>Sales_Data2[[#This Row],[Revenue]]-Sales_Data2[[#This Row],[COGS]]</f>
        <v>252000</v>
      </c>
      <c r="O9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46652|North|Abuja|Corporate|Store|Laptop A13|Electronics|420000|3|Peter|336000</v>
      </c>
      <c r="P978" s="3" t="str">
        <f>IF(COUNTIF(Sales_Data2[RowKey],Sales_Data2[[#This Row],[RowKey]])&gt;1,"Duplicate","Unique")</f>
        <v>Unique</v>
      </c>
      <c r="Q978" s="3" t="str">
        <f>IF(ISNUMBER(Sales_Data2[[#This Row],[Date]]),"OK","Check")</f>
        <v>OK</v>
      </c>
      <c r="R978" s="3" t="str">
        <f>IF(ISNUMBER(Sales_Data2[[#This Row],[Quantity]]),"OK","Check")</f>
        <v>OK</v>
      </c>
    </row>
    <row r="979" spans="1:18">
      <c r="A979" s="1">
        <v>46653</v>
      </c>
      <c r="B979" t="s">
        <v>29</v>
      </c>
      <c r="C979" t="s">
        <v>19</v>
      </c>
      <c r="D979" t="s">
        <v>23</v>
      </c>
      <c r="E979" t="s">
        <v>14</v>
      </c>
      <c r="F979" t="s">
        <v>41</v>
      </c>
      <c r="G979" t="s">
        <v>22</v>
      </c>
      <c r="H979">
        <v>220000</v>
      </c>
      <c r="I979">
        <v>3</v>
      </c>
      <c r="J979" t="s">
        <v>28</v>
      </c>
      <c r="K979">
        <f t="shared" si="15"/>
        <v>176000</v>
      </c>
      <c r="L979">
        <f>Sales_Data2[[#This Row],[Unit Price]]*Sales_Data2[[#This Row],[Quantity]]</f>
        <v>660000</v>
      </c>
      <c r="M979">
        <f>Sales_Data2[[#This Row],[Cost Price]]*Sales_Data2[[#This Row],[Quantity]]</f>
        <v>528000</v>
      </c>
      <c r="N979" s="3">
        <f>Sales_Data2[[#This Row],[Revenue]]-Sales_Data2[[#This Row],[COGS]]</f>
        <v>132000</v>
      </c>
      <c r="O9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46653|North|Lagos|Corporate|Online|Refrigerator R55|Home Appliances|220000|3|Musa|176000</v>
      </c>
      <c r="P979" s="3" t="str">
        <f>IF(COUNTIF(Sales_Data2[RowKey],Sales_Data2[[#This Row],[RowKey]])&gt;1,"Duplicate","Unique")</f>
        <v>Unique</v>
      </c>
      <c r="Q979" s="3" t="str">
        <f>IF(ISNUMBER(Sales_Data2[[#This Row],[Date]]),"OK","Check")</f>
        <v>OK</v>
      </c>
      <c r="R979" s="3" t="str">
        <f>IF(ISNUMBER(Sales_Data2[[#This Row],[Quantity]]),"OK","Check")</f>
        <v>OK</v>
      </c>
    </row>
    <row r="980" spans="1:18">
      <c r="A980" s="1">
        <v>46654</v>
      </c>
      <c r="B980" t="s">
        <v>25</v>
      </c>
      <c r="C980" t="s">
        <v>12</v>
      </c>
      <c r="D980" t="s">
        <v>23</v>
      </c>
      <c r="E980" t="s">
        <v>14</v>
      </c>
      <c r="F980" t="s">
        <v>34</v>
      </c>
      <c r="G980" t="s">
        <v>16</v>
      </c>
      <c r="H980">
        <v>320000</v>
      </c>
      <c r="I980">
        <v>5</v>
      </c>
      <c r="J980" t="s">
        <v>24</v>
      </c>
      <c r="K980">
        <f t="shared" si="15"/>
        <v>256000</v>
      </c>
      <c r="L980">
        <f>Sales_Data2[[#This Row],[Unit Price]]*Sales_Data2[[#This Row],[Quantity]]</f>
        <v>1600000</v>
      </c>
      <c r="M980">
        <f>Sales_Data2[[#This Row],[Cost Price]]*Sales_Data2[[#This Row],[Quantity]]</f>
        <v>1280000</v>
      </c>
      <c r="N980" s="3">
        <f>Sales_Data2[[#This Row],[Revenue]]-Sales_Data2[[#This Row],[COGS]]</f>
        <v>320000</v>
      </c>
      <c r="O9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46654|South|Port Harcourt|Corporate|Online|Sofa Classic|Furniture|320000|5|David|256000</v>
      </c>
      <c r="P980" s="3" t="str">
        <f>IF(COUNTIF(Sales_Data2[RowKey],Sales_Data2[[#This Row],[RowKey]])&gt;1,"Duplicate","Unique")</f>
        <v>Unique</v>
      </c>
      <c r="Q980" s="3" t="str">
        <f>IF(ISNUMBER(Sales_Data2[[#This Row],[Date]]),"OK","Check")</f>
        <v>OK</v>
      </c>
      <c r="R980" s="3" t="str">
        <f>IF(ISNUMBER(Sales_Data2[[#This Row],[Quantity]]),"OK","Check")</f>
        <v>OK</v>
      </c>
    </row>
    <row r="981" spans="1:18">
      <c r="A981" s="1">
        <v>46655</v>
      </c>
      <c r="B981" t="s">
        <v>18</v>
      </c>
      <c r="C981" t="s">
        <v>26</v>
      </c>
      <c r="D981" t="s">
        <v>13</v>
      </c>
      <c r="E981" t="s">
        <v>20</v>
      </c>
      <c r="F981" t="s">
        <v>15</v>
      </c>
      <c r="G981" t="s">
        <v>16</v>
      </c>
      <c r="H981">
        <v>85000</v>
      </c>
      <c r="I981">
        <v>8</v>
      </c>
      <c r="J981" t="s">
        <v>17</v>
      </c>
      <c r="K981">
        <f t="shared" si="15"/>
        <v>68000</v>
      </c>
      <c r="L981">
        <f>Sales_Data2[[#This Row],[Unit Price]]*Sales_Data2[[#This Row],[Quantity]]</f>
        <v>680000</v>
      </c>
      <c r="M981">
        <f>Sales_Data2[[#This Row],[Cost Price]]*Sales_Data2[[#This Row],[Quantity]]</f>
        <v>544000</v>
      </c>
      <c r="N981" s="3">
        <f>Sales_Data2[[#This Row],[Revenue]]-Sales_Data2[[#This Row],[COGS]]</f>
        <v>136000</v>
      </c>
      <c r="O9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46655|East|Kano|Retail|Store|Office Chair Pro|Furniture|85000|8|Chidinma|68000</v>
      </c>
      <c r="P981" s="3" t="str">
        <f>IF(COUNTIF(Sales_Data2[RowKey],Sales_Data2[[#This Row],[RowKey]])&gt;1,"Duplicate","Unique")</f>
        <v>Unique</v>
      </c>
      <c r="Q981" s="3" t="str">
        <f>IF(ISNUMBER(Sales_Data2[[#This Row],[Date]]),"OK","Check")</f>
        <v>OK</v>
      </c>
      <c r="R981" s="3" t="str">
        <f>IF(ISNUMBER(Sales_Data2[[#This Row],[Quantity]]),"OK","Check")</f>
        <v>OK</v>
      </c>
    </row>
    <row r="982" spans="1:18">
      <c r="A982" s="1">
        <v>46656</v>
      </c>
      <c r="B982" t="s">
        <v>18</v>
      </c>
      <c r="C982" t="s">
        <v>32</v>
      </c>
      <c r="D982" t="s">
        <v>23</v>
      </c>
      <c r="E982" t="s">
        <v>20</v>
      </c>
      <c r="F982" t="s">
        <v>36</v>
      </c>
      <c r="G982" t="s">
        <v>31</v>
      </c>
      <c r="H982">
        <v>150000</v>
      </c>
      <c r="I982">
        <v>9</v>
      </c>
      <c r="J982" t="s">
        <v>39</v>
      </c>
      <c r="K982">
        <f t="shared" si="15"/>
        <v>120000</v>
      </c>
      <c r="L982">
        <f>Sales_Data2[[#This Row],[Unit Price]]*Sales_Data2[[#This Row],[Quantity]]</f>
        <v>1350000</v>
      </c>
      <c r="M982">
        <f>Sales_Data2[[#This Row],[Cost Price]]*Sales_Data2[[#This Row],[Quantity]]</f>
        <v>1080000</v>
      </c>
      <c r="N982" s="3">
        <f>Sales_Data2[[#This Row],[Revenue]]-Sales_Data2[[#This Row],[COGS]]</f>
        <v>270000</v>
      </c>
      <c r="O9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46656|East|Abuja|Corporate|Store|Printer P50|Electronics|150000|9|Grace|120000</v>
      </c>
      <c r="P982" s="3" t="str">
        <f>IF(COUNTIF(Sales_Data2[RowKey],Sales_Data2[[#This Row],[RowKey]])&gt;1,"Duplicate","Unique")</f>
        <v>Unique</v>
      </c>
      <c r="Q982" s="3" t="str">
        <f>IF(ISNUMBER(Sales_Data2[[#This Row],[Date]]),"OK","Check")</f>
        <v>OK</v>
      </c>
      <c r="R982" s="3" t="str">
        <f>IF(ISNUMBER(Sales_Data2[[#This Row],[Quantity]]),"OK","Check")</f>
        <v>OK</v>
      </c>
    </row>
    <row r="983" spans="1:18">
      <c r="A983" s="1">
        <v>46657</v>
      </c>
      <c r="B983" t="s">
        <v>11</v>
      </c>
      <c r="C983" t="s">
        <v>12</v>
      </c>
      <c r="D983" t="s">
        <v>23</v>
      </c>
      <c r="E983" t="s">
        <v>14</v>
      </c>
      <c r="F983" t="s">
        <v>40</v>
      </c>
      <c r="G983" t="s">
        <v>31</v>
      </c>
      <c r="H983">
        <v>250000</v>
      </c>
      <c r="I983">
        <v>4</v>
      </c>
      <c r="J983" t="s">
        <v>35</v>
      </c>
      <c r="K983">
        <f t="shared" si="15"/>
        <v>200000</v>
      </c>
      <c r="L983">
        <f>Sales_Data2[[#This Row],[Unit Price]]*Sales_Data2[[#This Row],[Quantity]]</f>
        <v>1000000</v>
      </c>
      <c r="M983">
        <f>Sales_Data2[[#This Row],[Cost Price]]*Sales_Data2[[#This Row],[Quantity]]</f>
        <v>800000</v>
      </c>
      <c r="N983" s="3">
        <f>Sales_Data2[[#This Row],[Revenue]]-Sales_Data2[[#This Row],[COGS]]</f>
        <v>200000</v>
      </c>
      <c r="O9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46657|West|Port Harcourt|Corporate|Online|Smartphone Z10|Electronics|250000|4|Peter|200000</v>
      </c>
      <c r="P983" s="3" t="str">
        <f>IF(COUNTIF(Sales_Data2[RowKey],Sales_Data2[[#This Row],[RowKey]])&gt;1,"Duplicate","Unique")</f>
        <v>Unique</v>
      </c>
      <c r="Q983" s="3" t="str">
        <f>IF(ISNUMBER(Sales_Data2[[#This Row],[Date]]),"OK","Check")</f>
        <v>OK</v>
      </c>
      <c r="R983" s="3" t="str">
        <f>IF(ISNUMBER(Sales_Data2[[#This Row],[Quantity]]),"OK","Check")</f>
        <v>OK</v>
      </c>
    </row>
    <row r="984" spans="1:18">
      <c r="A984" s="1">
        <v>46658</v>
      </c>
      <c r="B984" t="s">
        <v>29</v>
      </c>
      <c r="C984" t="s">
        <v>19</v>
      </c>
      <c r="D984" t="s">
        <v>13</v>
      </c>
      <c r="E984" t="s">
        <v>20</v>
      </c>
      <c r="F984" t="s">
        <v>41</v>
      </c>
      <c r="G984" t="s">
        <v>22</v>
      </c>
      <c r="H984">
        <v>220000</v>
      </c>
      <c r="I984">
        <v>4</v>
      </c>
      <c r="J984" t="s">
        <v>35</v>
      </c>
      <c r="K984">
        <f t="shared" si="15"/>
        <v>176000</v>
      </c>
      <c r="L984">
        <f>Sales_Data2[[#This Row],[Unit Price]]*Sales_Data2[[#This Row],[Quantity]]</f>
        <v>880000</v>
      </c>
      <c r="M984">
        <f>Sales_Data2[[#This Row],[Cost Price]]*Sales_Data2[[#This Row],[Quantity]]</f>
        <v>704000</v>
      </c>
      <c r="N984" s="3">
        <f>Sales_Data2[[#This Row],[Revenue]]-Sales_Data2[[#This Row],[COGS]]</f>
        <v>176000</v>
      </c>
      <c r="O9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46658|North|Lagos|Retail|Store|Refrigerator R55|Home Appliances|220000|4|Peter|176000</v>
      </c>
      <c r="P984" s="3" t="str">
        <f>IF(COUNTIF(Sales_Data2[RowKey],Sales_Data2[[#This Row],[RowKey]])&gt;1,"Duplicate","Unique")</f>
        <v>Unique</v>
      </c>
      <c r="Q984" s="3" t="str">
        <f>IF(ISNUMBER(Sales_Data2[[#This Row],[Date]]),"OK","Check")</f>
        <v>OK</v>
      </c>
      <c r="R984" s="3" t="str">
        <f>IF(ISNUMBER(Sales_Data2[[#This Row],[Quantity]]),"OK","Check")</f>
        <v>OK</v>
      </c>
    </row>
    <row r="985" spans="1:18">
      <c r="A985" s="1">
        <v>46659</v>
      </c>
      <c r="B985" t="s">
        <v>29</v>
      </c>
      <c r="C985" t="s">
        <v>12</v>
      </c>
      <c r="D985" t="s">
        <v>23</v>
      </c>
      <c r="E985" t="s">
        <v>20</v>
      </c>
      <c r="F985" t="s">
        <v>15</v>
      </c>
      <c r="G985" t="s">
        <v>16</v>
      </c>
      <c r="H985">
        <v>85000</v>
      </c>
      <c r="I985">
        <v>2</v>
      </c>
      <c r="J985" t="s">
        <v>17</v>
      </c>
      <c r="K985">
        <f t="shared" si="15"/>
        <v>68000</v>
      </c>
      <c r="L985">
        <f>Sales_Data2[[#This Row],[Unit Price]]*Sales_Data2[[#This Row],[Quantity]]</f>
        <v>170000</v>
      </c>
      <c r="M985">
        <f>Sales_Data2[[#This Row],[Cost Price]]*Sales_Data2[[#This Row],[Quantity]]</f>
        <v>136000</v>
      </c>
      <c r="N985" s="3">
        <f>Sales_Data2[[#This Row],[Revenue]]-Sales_Data2[[#This Row],[COGS]]</f>
        <v>34000</v>
      </c>
      <c r="O9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46659|North|Port Harcourt|Corporate|Store|Office Chair Pro|Furniture|85000|2|Chidinma|68000</v>
      </c>
      <c r="P985" s="3" t="str">
        <f>IF(COUNTIF(Sales_Data2[RowKey],Sales_Data2[[#This Row],[RowKey]])&gt;1,"Duplicate","Unique")</f>
        <v>Unique</v>
      </c>
      <c r="Q985" s="3" t="str">
        <f>IF(ISNUMBER(Sales_Data2[[#This Row],[Date]]),"OK","Check")</f>
        <v>OK</v>
      </c>
      <c r="R985" s="3" t="str">
        <f>IF(ISNUMBER(Sales_Data2[[#This Row],[Quantity]]),"OK","Check")</f>
        <v>OK</v>
      </c>
    </row>
    <row r="986" spans="1:18">
      <c r="A986" s="1">
        <v>46660</v>
      </c>
      <c r="B986" t="s">
        <v>18</v>
      </c>
      <c r="C986" t="s">
        <v>12</v>
      </c>
      <c r="D986" t="s">
        <v>13</v>
      </c>
      <c r="E986" t="s">
        <v>14</v>
      </c>
      <c r="F986" t="s">
        <v>40</v>
      </c>
      <c r="G986" t="s">
        <v>31</v>
      </c>
      <c r="H986">
        <v>250000</v>
      </c>
      <c r="I986">
        <v>3</v>
      </c>
      <c r="J986" t="s">
        <v>35</v>
      </c>
      <c r="K986">
        <f t="shared" si="15"/>
        <v>200000</v>
      </c>
      <c r="L986">
        <f>Sales_Data2[[#This Row],[Unit Price]]*Sales_Data2[[#This Row],[Quantity]]</f>
        <v>750000</v>
      </c>
      <c r="M986">
        <f>Sales_Data2[[#This Row],[Cost Price]]*Sales_Data2[[#This Row],[Quantity]]</f>
        <v>600000</v>
      </c>
      <c r="N986" s="3">
        <f>Sales_Data2[[#This Row],[Revenue]]-Sales_Data2[[#This Row],[COGS]]</f>
        <v>150000</v>
      </c>
      <c r="O9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46660|East|Port Harcourt|Retail|Online|Smartphone Z10|Electronics|250000|3|Peter|200000</v>
      </c>
      <c r="P986" s="3" t="str">
        <f>IF(COUNTIF(Sales_Data2[RowKey],Sales_Data2[[#This Row],[RowKey]])&gt;1,"Duplicate","Unique")</f>
        <v>Unique</v>
      </c>
      <c r="Q986" s="3" t="str">
        <f>IF(ISNUMBER(Sales_Data2[[#This Row],[Date]]),"OK","Check")</f>
        <v>OK</v>
      </c>
      <c r="R986" s="3" t="str">
        <f>IF(ISNUMBER(Sales_Data2[[#This Row],[Quantity]]),"OK","Check")</f>
        <v>OK</v>
      </c>
    </row>
    <row r="987" spans="1:18">
      <c r="A987" s="1">
        <v>46661</v>
      </c>
      <c r="B987" t="s">
        <v>29</v>
      </c>
      <c r="C987" t="s">
        <v>26</v>
      </c>
      <c r="D987" t="s">
        <v>23</v>
      </c>
      <c r="E987" t="s">
        <v>14</v>
      </c>
      <c r="F987" t="s">
        <v>36</v>
      </c>
      <c r="G987" t="s">
        <v>31</v>
      </c>
      <c r="H987">
        <v>150000</v>
      </c>
      <c r="I987">
        <v>4</v>
      </c>
      <c r="J987" t="s">
        <v>35</v>
      </c>
      <c r="K987">
        <f t="shared" si="15"/>
        <v>120000</v>
      </c>
      <c r="L987">
        <f>Sales_Data2[[#This Row],[Unit Price]]*Sales_Data2[[#This Row],[Quantity]]</f>
        <v>600000</v>
      </c>
      <c r="M987">
        <f>Sales_Data2[[#This Row],[Cost Price]]*Sales_Data2[[#This Row],[Quantity]]</f>
        <v>480000</v>
      </c>
      <c r="N987" s="3">
        <f>Sales_Data2[[#This Row],[Revenue]]-Sales_Data2[[#This Row],[COGS]]</f>
        <v>120000</v>
      </c>
      <c r="O9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46661|North|Kano|Corporate|Online|Printer P50|Electronics|150000|4|Peter|120000</v>
      </c>
      <c r="P987" s="3" t="str">
        <f>IF(COUNTIF(Sales_Data2[RowKey],Sales_Data2[[#This Row],[RowKey]])&gt;1,"Duplicate","Unique")</f>
        <v>Unique</v>
      </c>
      <c r="Q987" s="3" t="str">
        <f>IF(ISNUMBER(Sales_Data2[[#This Row],[Date]]),"OK","Check")</f>
        <v>OK</v>
      </c>
      <c r="R987" s="3" t="str">
        <f>IF(ISNUMBER(Sales_Data2[[#This Row],[Quantity]]),"OK","Check")</f>
        <v>OK</v>
      </c>
    </row>
    <row r="988" spans="1:18">
      <c r="A988" s="1">
        <v>46662</v>
      </c>
      <c r="B988" t="s">
        <v>29</v>
      </c>
      <c r="C988" t="s">
        <v>12</v>
      </c>
      <c r="D988" t="s">
        <v>13</v>
      </c>
      <c r="E988" t="s">
        <v>14</v>
      </c>
      <c r="F988" t="s">
        <v>15</v>
      </c>
      <c r="G988" t="s">
        <v>16</v>
      </c>
      <c r="H988">
        <v>85000</v>
      </c>
      <c r="I988">
        <v>2</v>
      </c>
      <c r="J988" t="s">
        <v>17</v>
      </c>
      <c r="K988">
        <f t="shared" si="15"/>
        <v>68000</v>
      </c>
      <c r="L988">
        <f>Sales_Data2[[#This Row],[Unit Price]]*Sales_Data2[[#This Row],[Quantity]]</f>
        <v>170000</v>
      </c>
      <c r="M988">
        <f>Sales_Data2[[#This Row],[Cost Price]]*Sales_Data2[[#This Row],[Quantity]]</f>
        <v>136000</v>
      </c>
      <c r="N988" s="3">
        <f>Sales_Data2[[#This Row],[Revenue]]-Sales_Data2[[#This Row],[COGS]]</f>
        <v>34000</v>
      </c>
      <c r="O9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46662|North|Port Harcourt|Retail|Online|Office Chair Pro|Furniture|85000|2|Chidinma|68000</v>
      </c>
      <c r="P988" s="3" t="str">
        <f>IF(COUNTIF(Sales_Data2[RowKey],Sales_Data2[[#This Row],[RowKey]])&gt;1,"Duplicate","Unique")</f>
        <v>Unique</v>
      </c>
      <c r="Q988" s="3" t="str">
        <f>IF(ISNUMBER(Sales_Data2[[#This Row],[Date]]),"OK","Check")</f>
        <v>OK</v>
      </c>
      <c r="R988" s="3" t="str">
        <f>IF(ISNUMBER(Sales_Data2[[#This Row],[Quantity]]),"OK","Check")</f>
        <v>OK</v>
      </c>
    </row>
    <row r="989" spans="1:18">
      <c r="A989" s="1">
        <v>46663</v>
      </c>
      <c r="B989" t="s">
        <v>11</v>
      </c>
      <c r="C989" t="s">
        <v>26</v>
      </c>
      <c r="D989" t="s">
        <v>23</v>
      </c>
      <c r="E989" t="s">
        <v>20</v>
      </c>
      <c r="F989" t="s">
        <v>36</v>
      </c>
      <c r="G989" t="s">
        <v>31</v>
      </c>
      <c r="H989">
        <v>150000</v>
      </c>
      <c r="I989">
        <v>4</v>
      </c>
      <c r="J989" t="s">
        <v>28</v>
      </c>
      <c r="K989">
        <f t="shared" si="15"/>
        <v>120000</v>
      </c>
      <c r="L989">
        <f>Sales_Data2[[#This Row],[Unit Price]]*Sales_Data2[[#This Row],[Quantity]]</f>
        <v>600000</v>
      </c>
      <c r="M989">
        <f>Sales_Data2[[#This Row],[Cost Price]]*Sales_Data2[[#This Row],[Quantity]]</f>
        <v>480000</v>
      </c>
      <c r="N989" s="3">
        <f>Sales_Data2[[#This Row],[Revenue]]-Sales_Data2[[#This Row],[COGS]]</f>
        <v>120000</v>
      </c>
      <c r="O9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46663|West|Kano|Corporate|Store|Printer P50|Electronics|150000|4|Musa|120000</v>
      </c>
      <c r="P989" s="3" t="str">
        <f>IF(COUNTIF(Sales_Data2[RowKey],Sales_Data2[[#This Row],[RowKey]])&gt;1,"Duplicate","Unique")</f>
        <v>Unique</v>
      </c>
      <c r="Q989" s="3" t="str">
        <f>IF(ISNUMBER(Sales_Data2[[#This Row],[Date]]),"OK","Check")</f>
        <v>OK</v>
      </c>
      <c r="R989" s="3" t="str">
        <f>IF(ISNUMBER(Sales_Data2[[#This Row],[Quantity]]),"OK","Check")</f>
        <v>OK</v>
      </c>
    </row>
    <row r="990" spans="1:18">
      <c r="A990" s="1">
        <v>46664</v>
      </c>
      <c r="B990" t="s">
        <v>29</v>
      </c>
      <c r="C990" t="s">
        <v>12</v>
      </c>
      <c r="D990" t="s">
        <v>13</v>
      </c>
      <c r="E990" t="s">
        <v>14</v>
      </c>
      <c r="F990" t="s">
        <v>36</v>
      </c>
      <c r="G990" t="s">
        <v>31</v>
      </c>
      <c r="H990">
        <v>150000</v>
      </c>
      <c r="I990">
        <v>3</v>
      </c>
      <c r="J990" t="s">
        <v>24</v>
      </c>
      <c r="K990">
        <f t="shared" si="15"/>
        <v>120000</v>
      </c>
      <c r="L990">
        <f>Sales_Data2[[#This Row],[Unit Price]]*Sales_Data2[[#This Row],[Quantity]]</f>
        <v>450000</v>
      </c>
      <c r="M990">
        <f>Sales_Data2[[#This Row],[Cost Price]]*Sales_Data2[[#This Row],[Quantity]]</f>
        <v>360000</v>
      </c>
      <c r="N990" s="3">
        <f>Sales_Data2[[#This Row],[Revenue]]-Sales_Data2[[#This Row],[COGS]]</f>
        <v>90000</v>
      </c>
      <c r="O9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46664|North|Port Harcourt|Retail|Online|Printer P50|Electronics|150000|3|David|120000</v>
      </c>
      <c r="P990" s="3" t="str">
        <f>IF(COUNTIF(Sales_Data2[RowKey],Sales_Data2[[#This Row],[RowKey]])&gt;1,"Duplicate","Unique")</f>
        <v>Unique</v>
      </c>
      <c r="Q990" s="3" t="str">
        <f>IF(ISNUMBER(Sales_Data2[[#This Row],[Date]]),"OK","Check")</f>
        <v>OK</v>
      </c>
      <c r="R990" s="3" t="str">
        <f>IF(ISNUMBER(Sales_Data2[[#This Row],[Quantity]]),"OK","Check")</f>
        <v>OK</v>
      </c>
    </row>
    <row r="991" spans="1:18">
      <c r="A991" s="1">
        <v>46665</v>
      </c>
      <c r="B991" t="s">
        <v>29</v>
      </c>
      <c r="C991" t="s">
        <v>12</v>
      </c>
      <c r="D991" t="s">
        <v>23</v>
      </c>
      <c r="E991" t="s">
        <v>14</v>
      </c>
      <c r="F991" t="s">
        <v>21</v>
      </c>
      <c r="G991" t="s">
        <v>22</v>
      </c>
      <c r="H991">
        <v>30000</v>
      </c>
      <c r="I991">
        <v>3</v>
      </c>
      <c r="J991" t="s">
        <v>24</v>
      </c>
      <c r="K991">
        <f t="shared" si="15"/>
        <v>24000</v>
      </c>
      <c r="L991">
        <f>Sales_Data2[[#This Row],[Unit Price]]*Sales_Data2[[#This Row],[Quantity]]</f>
        <v>90000</v>
      </c>
      <c r="M991">
        <f>Sales_Data2[[#This Row],[Cost Price]]*Sales_Data2[[#This Row],[Quantity]]</f>
        <v>72000</v>
      </c>
      <c r="N991" s="3">
        <f>Sales_Data2[[#This Row],[Revenue]]-Sales_Data2[[#This Row],[COGS]]</f>
        <v>18000</v>
      </c>
      <c r="O9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46665|North|Port Harcourt|Corporate|Online|Blender B10|Home Appliances|30000|3|David|24000</v>
      </c>
      <c r="P991" s="3" t="str">
        <f>IF(COUNTIF(Sales_Data2[RowKey],Sales_Data2[[#This Row],[RowKey]])&gt;1,"Duplicate","Unique")</f>
        <v>Unique</v>
      </c>
      <c r="Q991" s="3" t="str">
        <f>IF(ISNUMBER(Sales_Data2[[#This Row],[Date]]),"OK","Check")</f>
        <v>OK</v>
      </c>
      <c r="R991" s="3" t="str">
        <f>IF(ISNUMBER(Sales_Data2[[#This Row],[Quantity]]),"OK","Check")</f>
        <v>OK</v>
      </c>
    </row>
    <row r="992" spans="1:18">
      <c r="A992" s="1">
        <v>46666</v>
      </c>
      <c r="B992" t="s">
        <v>29</v>
      </c>
      <c r="C992" t="s">
        <v>19</v>
      </c>
      <c r="D992" t="s">
        <v>23</v>
      </c>
      <c r="E992" t="s">
        <v>20</v>
      </c>
      <c r="F992" t="s">
        <v>34</v>
      </c>
      <c r="G992" t="s">
        <v>16</v>
      </c>
      <c r="H992">
        <v>320000</v>
      </c>
      <c r="I992">
        <v>5</v>
      </c>
      <c r="J992" t="s">
        <v>39</v>
      </c>
      <c r="K992">
        <f t="shared" si="15"/>
        <v>256000</v>
      </c>
      <c r="L992">
        <f>Sales_Data2[[#This Row],[Unit Price]]*Sales_Data2[[#This Row],[Quantity]]</f>
        <v>1600000</v>
      </c>
      <c r="M992">
        <f>Sales_Data2[[#This Row],[Cost Price]]*Sales_Data2[[#This Row],[Quantity]]</f>
        <v>1280000</v>
      </c>
      <c r="N992" s="3">
        <f>Sales_Data2[[#This Row],[Revenue]]-Sales_Data2[[#This Row],[COGS]]</f>
        <v>320000</v>
      </c>
      <c r="O9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46666|North|Lagos|Corporate|Store|Sofa Classic|Furniture|320000|5|Grace|256000</v>
      </c>
      <c r="P992" s="3" t="str">
        <f>IF(COUNTIF(Sales_Data2[RowKey],Sales_Data2[[#This Row],[RowKey]])&gt;1,"Duplicate","Unique")</f>
        <v>Unique</v>
      </c>
      <c r="Q992" s="3" t="str">
        <f>IF(ISNUMBER(Sales_Data2[[#This Row],[Date]]),"OK","Check")</f>
        <v>OK</v>
      </c>
      <c r="R992" s="3" t="str">
        <f>IF(ISNUMBER(Sales_Data2[[#This Row],[Quantity]]),"OK","Check")</f>
        <v>OK</v>
      </c>
    </row>
    <row r="993" spans="1:18">
      <c r="A993" s="1">
        <v>46667</v>
      </c>
      <c r="B993" t="s">
        <v>18</v>
      </c>
      <c r="C993" t="s">
        <v>32</v>
      </c>
      <c r="D993" t="s">
        <v>23</v>
      </c>
      <c r="E993" t="s">
        <v>14</v>
      </c>
      <c r="F993" t="s">
        <v>40</v>
      </c>
      <c r="G993" t="s">
        <v>31</v>
      </c>
      <c r="H993">
        <v>250000</v>
      </c>
      <c r="I993">
        <v>3</v>
      </c>
      <c r="J993" t="s">
        <v>17</v>
      </c>
      <c r="K993">
        <f t="shared" si="15"/>
        <v>200000</v>
      </c>
      <c r="L993">
        <f>Sales_Data2[[#This Row],[Unit Price]]*Sales_Data2[[#This Row],[Quantity]]</f>
        <v>750000</v>
      </c>
      <c r="M993">
        <f>Sales_Data2[[#This Row],[Cost Price]]*Sales_Data2[[#This Row],[Quantity]]</f>
        <v>600000</v>
      </c>
      <c r="N993" s="3">
        <f>Sales_Data2[[#This Row],[Revenue]]-Sales_Data2[[#This Row],[COGS]]</f>
        <v>150000</v>
      </c>
      <c r="O9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46667|East|Abuja|Corporate|Online|Smartphone Z10|Electronics|250000|3|Chidinma|200000</v>
      </c>
      <c r="P993" s="3" t="str">
        <f>IF(COUNTIF(Sales_Data2[RowKey],Sales_Data2[[#This Row],[RowKey]])&gt;1,"Duplicate","Unique")</f>
        <v>Unique</v>
      </c>
      <c r="Q993" s="3" t="str">
        <f>IF(ISNUMBER(Sales_Data2[[#This Row],[Date]]),"OK","Check")</f>
        <v>OK</v>
      </c>
      <c r="R993" s="3" t="str">
        <f>IF(ISNUMBER(Sales_Data2[[#This Row],[Quantity]]),"OK","Check")</f>
        <v>OK</v>
      </c>
    </row>
    <row r="994" spans="1:18">
      <c r="A994" s="1">
        <v>46668</v>
      </c>
      <c r="B994" t="s">
        <v>18</v>
      </c>
      <c r="C994" t="s">
        <v>26</v>
      </c>
      <c r="D994" t="s">
        <v>23</v>
      </c>
      <c r="E994" t="s">
        <v>20</v>
      </c>
      <c r="F994" t="s">
        <v>27</v>
      </c>
      <c r="G994" t="s">
        <v>22</v>
      </c>
      <c r="H994">
        <v>60000</v>
      </c>
      <c r="I994">
        <v>10</v>
      </c>
      <c r="J994" t="s">
        <v>39</v>
      </c>
      <c r="K994">
        <f t="shared" si="15"/>
        <v>48000</v>
      </c>
      <c r="L994">
        <f>Sales_Data2[[#This Row],[Unit Price]]*Sales_Data2[[#This Row],[Quantity]]</f>
        <v>600000</v>
      </c>
      <c r="M994">
        <f>Sales_Data2[[#This Row],[Cost Price]]*Sales_Data2[[#This Row],[Quantity]]</f>
        <v>480000</v>
      </c>
      <c r="N994" s="3">
        <f>Sales_Data2[[#This Row],[Revenue]]-Sales_Data2[[#This Row],[COGS]]</f>
        <v>120000</v>
      </c>
      <c r="O9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46668|East|Kano|Corporate|Store|Microwave M20|Home Appliances|60000|10|Grace|48000</v>
      </c>
      <c r="P994" s="3" t="str">
        <f>IF(COUNTIF(Sales_Data2[RowKey],Sales_Data2[[#This Row],[RowKey]])&gt;1,"Duplicate","Unique")</f>
        <v>Unique</v>
      </c>
      <c r="Q994" s="3" t="str">
        <f>IF(ISNUMBER(Sales_Data2[[#This Row],[Date]]),"OK","Check")</f>
        <v>OK</v>
      </c>
      <c r="R994" s="3" t="str">
        <f>IF(ISNUMBER(Sales_Data2[[#This Row],[Quantity]]),"OK","Check")</f>
        <v>OK</v>
      </c>
    </row>
    <row r="995" spans="1:18">
      <c r="A995" s="1">
        <v>46669</v>
      </c>
      <c r="B995" t="s">
        <v>29</v>
      </c>
      <c r="C995" t="s">
        <v>12</v>
      </c>
      <c r="D995" t="s">
        <v>13</v>
      </c>
      <c r="E995" t="s">
        <v>20</v>
      </c>
      <c r="F995" t="s">
        <v>27</v>
      </c>
      <c r="G995" t="s">
        <v>22</v>
      </c>
      <c r="H995">
        <v>60000</v>
      </c>
      <c r="I995">
        <v>3</v>
      </c>
      <c r="J995" t="s">
        <v>37</v>
      </c>
      <c r="K995">
        <f t="shared" si="15"/>
        <v>48000</v>
      </c>
      <c r="L995">
        <f>Sales_Data2[[#This Row],[Unit Price]]*Sales_Data2[[#This Row],[Quantity]]</f>
        <v>180000</v>
      </c>
      <c r="M995">
        <f>Sales_Data2[[#This Row],[Cost Price]]*Sales_Data2[[#This Row],[Quantity]]</f>
        <v>144000</v>
      </c>
      <c r="N995" s="3">
        <f>Sales_Data2[[#This Row],[Revenue]]-Sales_Data2[[#This Row],[COGS]]</f>
        <v>36000</v>
      </c>
      <c r="O9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46669|North|Port Harcourt|Retail|Store|Microwave M20|Home Appliances|60000|3|Aisha|48000</v>
      </c>
      <c r="P995" s="3" t="str">
        <f>IF(COUNTIF(Sales_Data2[RowKey],Sales_Data2[[#This Row],[RowKey]])&gt;1,"Duplicate","Unique")</f>
        <v>Unique</v>
      </c>
      <c r="Q995" s="3" t="str">
        <f>IF(ISNUMBER(Sales_Data2[[#This Row],[Date]]),"OK","Check")</f>
        <v>OK</v>
      </c>
      <c r="R995" s="3" t="str">
        <f>IF(ISNUMBER(Sales_Data2[[#This Row],[Quantity]]),"OK","Check")</f>
        <v>OK</v>
      </c>
    </row>
    <row r="996" spans="1:18">
      <c r="A996" s="1">
        <v>46670</v>
      </c>
      <c r="B996" t="s">
        <v>18</v>
      </c>
      <c r="C996" t="s">
        <v>19</v>
      </c>
      <c r="D996" t="s">
        <v>23</v>
      </c>
      <c r="E996" t="s">
        <v>20</v>
      </c>
      <c r="F996" t="s">
        <v>15</v>
      </c>
      <c r="G996" t="s">
        <v>16</v>
      </c>
      <c r="H996">
        <v>85000</v>
      </c>
      <c r="I996">
        <v>9</v>
      </c>
      <c r="J996" t="s">
        <v>35</v>
      </c>
      <c r="K996">
        <f t="shared" si="15"/>
        <v>68000</v>
      </c>
      <c r="L996">
        <f>Sales_Data2[[#This Row],[Unit Price]]*Sales_Data2[[#This Row],[Quantity]]</f>
        <v>765000</v>
      </c>
      <c r="M996">
        <f>Sales_Data2[[#This Row],[Cost Price]]*Sales_Data2[[#This Row],[Quantity]]</f>
        <v>612000</v>
      </c>
      <c r="N996" s="3">
        <f>Sales_Data2[[#This Row],[Revenue]]-Sales_Data2[[#This Row],[COGS]]</f>
        <v>153000</v>
      </c>
      <c r="O9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46670|East|Lagos|Corporate|Store|Office Chair Pro|Furniture|85000|9|Peter|68000</v>
      </c>
      <c r="P996" s="3" t="str">
        <f>IF(COUNTIF(Sales_Data2[RowKey],Sales_Data2[[#This Row],[RowKey]])&gt;1,"Duplicate","Unique")</f>
        <v>Unique</v>
      </c>
      <c r="Q996" s="3" t="str">
        <f>IF(ISNUMBER(Sales_Data2[[#This Row],[Date]]),"OK","Check")</f>
        <v>OK</v>
      </c>
      <c r="R996" s="3" t="str">
        <f>IF(ISNUMBER(Sales_Data2[[#This Row],[Quantity]]),"OK","Check")</f>
        <v>OK</v>
      </c>
    </row>
    <row r="997" spans="1:18">
      <c r="A997" s="1">
        <v>46671</v>
      </c>
      <c r="B997" t="s">
        <v>18</v>
      </c>
      <c r="C997" t="s">
        <v>32</v>
      </c>
      <c r="D997" t="s">
        <v>23</v>
      </c>
      <c r="E997" t="s">
        <v>20</v>
      </c>
      <c r="F997" t="s">
        <v>38</v>
      </c>
      <c r="G997" t="s">
        <v>31</v>
      </c>
      <c r="H997">
        <v>420000</v>
      </c>
      <c r="I997">
        <v>4</v>
      </c>
      <c r="J997" t="s">
        <v>35</v>
      </c>
      <c r="K997">
        <f t="shared" si="15"/>
        <v>336000</v>
      </c>
      <c r="L997">
        <f>Sales_Data2[[#This Row],[Unit Price]]*Sales_Data2[[#This Row],[Quantity]]</f>
        <v>1680000</v>
      </c>
      <c r="M997">
        <f>Sales_Data2[[#This Row],[Cost Price]]*Sales_Data2[[#This Row],[Quantity]]</f>
        <v>1344000</v>
      </c>
      <c r="N997" s="3">
        <f>Sales_Data2[[#This Row],[Revenue]]-Sales_Data2[[#This Row],[COGS]]</f>
        <v>336000</v>
      </c>
      <c r="O9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46671|East|Abuja|Corporate|Store|Laptop A13|Electronics|420000|4|Peter|336000</v>
      </c>
      <c r="P997" s="3" t="str">
        <f>IF(COUNTIF(Sales_Data2[RowKey],Sales_Data2[[#This Row],[RowKey]])&gt;1,"Duplicate","Unique")</f>
        <v>Unique</v>
      </c>
      <c r="Q997" s="3" t="str">
        <f>IF(ISNUMBER(Sales_Data2[[#This Row],[Date]]),"OK","Check")</f>
        <v>OK</v>
      </c>
      <c r="R997" s="3" t="str">
        <f>IF(ISNUMBER(Sales_Data2[[#This Row],[Quantity]]),"OK","Check")</f>
        <v>OK</v>
      </c>
    </row>
    <row r="998" spans="1:18">
      <c r="A998" s="1">
        <v>46672</v>
      </c>
      <c r="B998" t="s">
        <v>29</v>
      </c>
      <c r="C998" t="s">
        <v>26</v>
      </c>
      <c r="D998" t="s">
        <v>23</v>
      </c>
      <c r="E998" t="s">
        <v>14</v>
      </c>
      <c r="F998" t="s">
        <v>36</v>
      </c>
      <c r="G998" t="s">
        <v>31</v>
      </c>
      <c r="H998">
        <v>150000</v>
      </c>
      <c r="I998">
        <v>6</v>
      </c>
      <c r="J998" t="s">
        <v>37</v>
      </c>
      <c r="K998">
        <f t="shared" si="15"/>
        <v>120000</v>
      </c>
      <c r="L998">
        <f>Sales_Data2[[#This Row],[Unit Price]]*Sales_Data2[[#This Row],[Quantity]]</f>
        <v>900000</v>
      </c>
      <c r="M998">
        <f>Sales_Data2[[#This Row],[Cost Price]]*Sales_Data2[[#This Row],[Quantity]]</f>
        <v>720000</v>
      </c>
      <c r="N998" s="3">
        <f>Sales_Data2[[#This Row],[Revenue]]-Sales_Data2[[#This Row],[COGS]]</f>
        <v>180000</v>
      </c>
      <c r="O9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46672|North|Kano|Corporate|Online|Printer P50|Electronics|150000|6|Aisha|120000</v>
      </c>
      <c r="P998" s="3" t="str">
        <f>IF(COUNTIF(Sales_Data2[RowKey],Sales_Data2[[#This Row],[RowKey]])&gt;1,"Duplicate","Unique")</f>
        <v>Unique</v>
      </c>
      <c r="Q998" s="3" t="str">
        <f>IF(ISNUMBER(Sales_Data2[[#This Row],[Date]]),"OK","Check")</f>
        <v>OK</v>
      </c>
      <c r="R998" s="3" t="str">
        <f>IF(ISNUMBER(Sales_Data2[[#This Row],[Quantity]]),"OK","Check")</f>
        <v>OK</v>
      </c>
    </row>
    <row r="999" spans="1:18">
      <c r="A999" s="1">
        <v>46673</v>
      </c>
      <c r="B999" t="s">
        <v>29</v>
      </c>
      <c r="C999" t="s">
        <v>26</v>
      </c>
      <c r="D999" t="s">
        <v>23</v>
      </c>
      <c r="E999" t="s">
        <v>14</v>
      </c>
      <c r="F999" t="s">
        <v>34</v>
      </c>
      <c r="G999" t="s">
        <v>16</v>
      </c>
      <c r="H999">
        <v>320000</v>
      </c>
      <c r="I999">
        <v>3</v>
      </c>
      <c r="J999" t="s">
        <v>35</v>
      </c>
      <c r="K999">
        <f t="shared" si="15"/>
        <v>256000</v>
      </c>
      <c r="L999">
        <f>Sales_Data2[[#This Row],[Unit Price]]*Sales_Data2[[#This Row],[Quantity]]</f>
        <v>960000</v>
      </c>
      <c r="M999">
        <f>Sales_Data2[[#This Row],[Cost Price]]*Sales_Data2[[#This Row],[Quantity]]</f>
        <v>768000</v>
      </c>
      <c r="N999" s="3">
        <f>Sales_Data2[[#This Row],[Revenue]]-Sales_Data2[[#This Row],[COGS]]</f>
        <v>192000</v>
      </c>
      <c r="O9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46673|North|Kano|Corporate|Online|Sofa Classic|Furniture|320000|3|Peter|256000</v>
      </c>
      <c r="P999" s="3" t="str">
        <f>IF(COUNTIF(Sales_Data2[RowKey],Sales_Data2[[#This Row],[RowKey]])&gt;1,"Duplicate","Unique")</f>
        <v>Unique</v>
      </c>
      <c r="Q999" s="3" t="str">
        <f>IF(ISNUMBER(Sales_Data2[[#This Row],[Date]]),"OK","Check")</f>
        <v>OK</v>
      </c>
      <c r="R999" s="3" t="str">
        <f>IF(ISNUMBER(Sales_Data2[[#This Row],[Quantity]]),"OK","Check")</f>
        <v>OK</v>
      </c>
    </row>
    <row r="1000" spans="1:18">
      <c r="A1000" s="1">
        <v>46674</v>
      </c>
      <c r="B1000" t="s">
        <v>25</v>
      </c>
      <c r="C1000" t="s">
        <v>32</v>
      </c>
      <c r="D1000" t="s">
        <v>13</v>
      </c>
      <c r="E1000" t="s">
        <v>20</v>
      </c>
      <c r="F1000" t="s">
        <v>30</v>
      </c>
      <c r="G1000" t="s">
        <v>31</v>
      </c>
      <c r="H1000">
        <v>300000</v>
      </c>
      <c r="I1000">
        <v>2</v>
      </c>
      <c r="J1000" t="s">
        <v>17</v>
      </c>
      <c r="K1000">
        <f t="shared" si="15"/>
        <v>240000</v>
      </c>
      <c r="L1000">
        <f>Sales_Data2[[#This Row],[Unit Price]]*Sales_Data2[[#This Row],[Quantity]]</f>
        <v>600000</v>
      </c>
      <c r="M1000">
        <f>Sales_Data2[[#This Row],[Cost Price]]*Sales_Data2[[#This Row],[Quantity]]</f>
        <v>480000</v>
      </c>
      <c r="N1000" s="3">
        <f>Sales_Data2[[#This Row],[Revenue]]-Sales_Data2[[#This Row],[COGS]]</f>
        <v>120000</v>
      </c>
      <c r="O10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46674|South|Abuja|Retail|Store|Desktop PC D21|Electronics|300000|2|Chidinma|240000</v>
      </c>
      <c r="P1000" s="3" t="str">
        <f>IF(COUNTIF(Sales_Data2[RowKey],Sales_Data2[[#This Row],[RowKey]])&gt;1,"Duplicate","Unique")</f>
        <v>Unique</v>
      </c>
      <c r="Q1000" s="3" t="str">
        <f>IF(ISNUMBER(Sales_Data2[[#This Row],[Date]]),"OK","Check")</f>
        <v>OK</v>
      </c>
      <c r="R1000" s="3" t="str">
        <f>IF(ISNUMBER(Sales_Data2[[#This Row],[Quantity]]),"OK","Check")</f>
        <v>OK</v>
      </c>
    </row>
    <row r="1001" spans="1:18">
      <c r="A1001" s="1">
        <v>46675</v>
      </c>
      <c r="B1001" t="s">
        <v>18</v>
      </c>
      <c r="C1001" t="s">
        <v>26</v>
      </c>
      <c r="D1001" t="s">
        <v>23</v>
      </c>
      <c r="E1001" t="s">
        <v>14</v>
      </c>
      <c r="F1001" t="s">
        <v>36</v>
      </c>
      <c r="G1001" t="s">
        <v>31</v>
      </c>
      <c r="H1001">
        <v>150000</v>
      </c>
      <c r="I1001">
        <v>10</v>
      </c>
      <c r="J1001" t="s">
        <v>37</v>
      </c>
      <c r="K1001">
        <f t="shared" si="15"/>
        <v>120000</v>
      </c>
      <c r="L1001">
        <f>Sales_Data2[[#This Row],[Unit Price]]*Sales_Data2[[#This Row],[Quantity]]</f>
        <v>1500000</v>
      </c>
      <c r="M1001">
        <f>Sales_Data2[[#This Row],[Cost Price]]*Sales_Data2[[#This Row],[Quantity]]</f>
        <v>1200000</v>
      </c>
      <c r="N1001" s="3">
        <f>Sales_Data2[[#This Row],[Revenue]]-Sales_Data2[[#This Row],[COGS]]</f>
        <v>300000</v>
      </c>
      <c r="O10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46675|East|Kano|Corporate|Online|Printer P50|Electronics|150000|10|Aisha|120000</v>
      </c>
      <c r="P1001" s="3" t="str">
        <f>IF(COUNTIF(Sales_Data2[RowKey],Sales_Data2[[#This Row],[RowKey]])&gt;1,"Duplicate","Unique")</f>
        <v>Unique</v>
      </c>
      <c r="Q1001" s="3" t="str">
        <f>IF(ISNUMBER(Sales_Data2[[#This Row],[Date]]),"OK","Check")</f>
        <v>OK</v>
      </c>
      <c r="R1001" s="3" t="str">
        <f>IF(ISNUMBER(Sales_Data2[[#This Row],[Quantity]]),"OK","Check")</f>
        <v>OK</v>
      </c>
    </row>
    <row r="1002" spans="1:18">
      <c r="A1002" s="1">
        <v>46676</v>
      </c>
      <c r="B1002" t="s">
        <v>18</v>
      </c>
      <c r="C1002" t="s">
        <v>32</v>
      </c>
      <c r="D1002" t="s">
        <v>13</v>
      </c>
      <c r="E1002" t="s">
        <v>20</v>
      </c>
      <c r="F1002" t="s">
        <v>38</v>
      </c>
      <c r="G1002" t="s">
        <v>31</v>
      </c>
      <c r="H1002">
        <v>420000</v>
      </c>
      <c r="I1002">
        <v>10</v>
      </c>
      <c r="J1002" t="s">
        <v>28</v>
      </c>
      <c r="K1002">
        <f t="shared" si="15"/>
        <v>336000</v>
      </c>
      <c r="L1002">
        <f>Sales_Data2[[#This Row],[Unit Price]]*Sales_Data2[[#This Row],[Quantity]]</f>
        <v>4200000</v>
      </c>
      <c r="M1002">
        <f>Sales_Data2[[#This Row],[Cost Price]]*Sales_Data2[[#This Row],[Quantity]]</f>
        <v>3360000</v>
      </c>
      <c r="N1002" s="3">
        <f>Sales_Data2[[#This Row],[Revenue]]-Sales_Data2[[#This Row],[COGS]]</f>
        <v>840000</v>
      </c>
      <c r="O10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46676|East|Abuja|Retail|Store|Laptop A13|Electronics|420000|10|Musa|336000</v>
      </c>
      <c r="P1002" s="3" t="str">
        <f>IF(COUNTIF(Sales_Data2[RowKey],Sales_Data2[[#This Row],[RowKey]])&gt;1,"Duplicate","Unique")</f>
        <v>Unique</v>
      </c>
      <c r="Q1002" s="3" t="str">
        <f>IF(ISNUMBER(Sales_Data2[[#This Row],[Date]]),"OK","Check")</f>
        <v>OK</v>
      </c>
      <c r="R1002" s="3" t="str">
        <f>IF(ISNUMBER(Sales_Data2[[#This Row],[Quantity]]),"OK","Check")</f>
        <v>OK</v>
      </c>
    </row>
    <row r="1003" spans="1:18">
      <c r="A1003" s="1">
        <v>46677</v>
      </c>
      <c r="B1003" t="s">
        <v>29</v>
      </c>
      <c r="C1003" t="s">
        <v>32</v>
      </c>
      <c r="D1003" t="s">
        <v>23</v>
      </c>
      <c r="E1003" t="s">
        <v>20</v>
      </c>
      <c r="F1003" t="s">
        <v>33</v>
      </c>
      <c r="G1003" t="s">
        <v>22</v>
      </c>
      <c r="H1003">
        <v>180000</v>
      </c>
      <c r="I1003">
        <v>5</v>
      </c>
      <c r="J1003" t="s">
        <v>37</v>
      </c>
      <c r="K1003">
        <f t="shared" si="15"/>
        <v>144000</v>
      </c>
      <c r="L1003">
        <f>Sales_Data2[[#This Row],[Unit Price]]*Sales_Data2[[#This Row],[Quantity]]</f>
        <v>900000</v>
      </c>
      <c r="M1003">
        <f>Sales_Data2[[#This Row],[Cost Price]]*Sales_Data2[[#This Row],[Quantity]]</f>
        <v>720000</v>
      </c>
      <c r="N1003" s="3">
        <f>Sales_Data2[[#This Row],[Revenue]]-Sales_Data2[[#This Row],[COGS]]</f>
        <v>180000</v>
      </c>
      <c r="O10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46677|North|Abuja|Corporate|Store|Air Conditioner X2|Home Appliances|180000|5|Aisha|144000</v>
      </c>
      <c r="P1003" s="3" t="str">
        <f>IF(COUNTIF(Sales_Data2[RowKey],Sales_Data2[[#This Row],[RowKey]])&gt;1,"Duplicate","Unique")</f>
        <v>Unique</v>
      </c>
      <c r="Q1003" s="3" t="str">
        <f>IF(ISNUMBER(Sales_Data2[[#This Row],[Date]]),"OK","Check")</f>
        <v>OK</v>
      </c>
      <c r="R1003" s="3" t="str">
        <f>IF(ISNUMBER(Sales_Data2[[#This Row],[Quantity]]),"OK","Check")</f>
        <v>OK</v>
      </c>
    </row>
    <row r="1004" spans="1:18">
      <c r="A1004" s="1">
        <v>46678</v>
      </c>
      <c r="B1004" t="s">
        <v>18</v>
      </c>
      <c r="C1004" t="s">
        <v>32</v>
      </c>
      <c r="D1004" t="s">
        <v>23</v>
      </c>
      <c r="E1004" t="s">
        <v>20</v>
      </c>
      <c r="F1004" t="s">
        <v>40</v>
      </c>
      <c r="G1004" t="s">
        <v>31</v>
      </c>
      <c r="H1004">
        <v>250000</v>
      </c>
      <c r="I1004">
        <v>7</v>
      </c>
      <c r="J1004" t="s">
        <v>28</v>
      </c>
      <c r="K1004">
        <f t="shared" si="15"/>
        <v>200000</v>
      </c>
      <c r="L1004">
        <f>Sales_Data2[[#This Row],[Unit Price]]*Sales_Data2[[#This Row],[Quantity]]</f>
        <v>1750000</v>
      </c>
      <c r="M1004">
        <f>Sales_Data2[[#This Row],[Cost Price]]*Sales_Data2[[#This Row],[Quantity]]</f>
        <v>1400000</v>
      </c>
      <c r="N1004" s="3">
        <f>Sales_Data2[[#This Row],[Revenue]]-Sales_Data2[[#This Row],[COGS]]</f>
        <v>350000</v>
      </c>
      <c r="O10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46678|East|Abuja|Corporate|Store|Smartphone Z10|Electronics|250000|7|Musa|200000</v>
      </c>
      <c r="P1004" s="3" t="str">
        <f>IF(COUNTIF(Sales_Data2[RowKey],Sales_Data2[[#This Row],[RowKey]])&gt;1,"Duplicate","Unique")</f>
        <v>Unique</v>
      </c>
      <c r="Q1004" s="3" t="str">
        <f>IF(ISNUMBER(Sales_Data2[[#This Row],[Date]]),"OK","Check")</f>
        <v>OK</v>
      </c>
      <c r="R1004" s="3" t="str">
        <f>IF(ISNUMBER(Sales_Data2[[#This Row],[Quantity]]),"OK","Check")</f>
        <v>OK</v>
      </c>
    </row>
    <row r="1005" spans="1:18">
      <c r="A1005" s="1">
        <v>46679</v>
      </c>
      <c r="B1005" t="s">
        <v>11</v>
      </c>
      <c r="C1005" t="s">
        <v>19</v>
      </c>
      <c r="D1005" t="s">
        <v>13</v>
      </c>
      <c r="E1005" t="s">
        <v>20</v>
      </c>
      <c r="F1005" t="s">
        <v>34</v>
      </c>
      <c r="G1005" t="s">
        <v>16</v>
      </c>
      <c r="H1005">
        <v>320000</v>
      </c>
      <c r="I1005">
        <v>4</v>
      </c>
      <c r="J1005" t="s">
        <v>24</v>
      </c>
      <c r="K1005">
        <f t="shared" si="15"/>
        <v>256000</v>
      </c>
      <c r="L1005">
        <f>Sales_Data2[[#This Row],[Unit Price]]*Sales_Data2[[#This Row],[Quantity]]</f>
        <v>1280000</v>
      </c>
      <c r="M1005">
        <f>Sales_Data2[[#This Row],[Cost Price]]*Sales_Data2[[#This Row],[Quantity]]</f>
        <v>1024000</v>
      </c>
      <c r="N1005" s="3">
        <f>Sales_Data2[[#This Row],[Revenue]]-Sales_Data2[[#This Row],[COGS]]</f>
        <v>256000</v>
      </c>
      <c r="O10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46679|West|Lagos|Retail|Store|Sofa Classic|Furniture|320000|4|David|256000</v>
      </c>
      <c r="P1005" s="3" t="str">
        <f>IF(COUNTIF(Sales_Data2[RowKey],Sales_Data2[[#This Row],[RowKey]])&gt;1,"Duplicate","Unique")</f>
        <v>Unique</v>
      </c>
      <c r="Q1005" s="3" t="str">
        <f>IF(ISNUMBER(Sales_Data2[[#This Row],[Date]]),"OK","Check")</f>
        <v>OK</v>
      </c>
      <c r="R1005" s="3" t="str">
        <f>IF(ISNUMBER(Sales_Data2[[#This Row],[Quantity]]),"OK","Check")</f>
        <v>OK</v>
      </c>
    </row>
    <row r="1006" spans="1:18">
      <c r="A1006" s="1">
        <v>46680</v>
      </c>
      <c r="B1006" t="s">
        <v>18</v>
      </c>
      <c r="C1006" t="s">
        <v>19</v>
      </c>
      <c r="D1006" t="s">
        <v>13</v>
      </c>
      <c r="E1006" t="s">
        <v>14</v>
      </c>
      <c r="F1006" t="s">
        <v>21</v>
      </c>
      <c r="G1006" t="s">
        <v>22</v>
      </c>
      <c r="H1006">
        <v>30000</v>
      </c>
      <c r="I1006">
        <v>2</v>
      </c>
      <c r="J1006" t="s">
        <v>17</v>
      </c>
      <c r="K1006">
        <f t="shared" si="15"/>
        <v>24000</v>
      </c>
      <c r="L1006">
        <f>Sales_Data2[[#This Row],[Unit Price]]*Sales_Data2[[#This Row],[Quantity]]</f>
        <v>60000</v>
      </c>
      <c r="M1006">
        <f>Sales_Data2[[#This Row],[Cost Price]]*Sales_Data2[[#This Row],[Quantity]]</f>
        <v>48000</v>
      </c>
      <c r="N1006" s="3">
        <f>Sales_Data2[[#This Row],[Revenue]]-Sales_Data2[[#This Row],[COGS]]</f>
        <v>12000</v>
      </c>
      <c r="O10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46680|East|Lagos|Retail|Online|Blender B10|Home Appliances|30000|2|Chidinma|24000</v>
      </c>
      <c r="P1006" s="3" t="str">
        <f>IF(COUNTIF(Sales_Data2[RowKey],Sales_Data2[[#This Row],[RowKey]])&gt;1,"Duplicate","Unique")</f>
        <v>Unique</v>
      </c>
      <c r="Q1006" s="3" t="str">
        <f>IF(ISNUMBER(Sales_Data2[[#This Row],[Date]]),"OK","Check")</f>
        <v>OK</v>
      </c>
      <c r="R1006" s="3" t="str">
        <f>IF(ISNUMBER(Sales_Data2[[#This Row],[Quantity]]),"OK","Check")</f>
        <v>OK</v>
      </c>
    </row>
    <row r="1007" spans="1:18">
      <c r="A1007" s="1">
        <v>46681</v>
      </c>
      <c r="B1007" t="s">
        <v>29</v>
      </c>
      <c r="C1007" t="s">
        <v>32</v>
      </c>
      <c r="D1007" t="s">
        <v>13</v>
      </c>
      <c r="E1007" t="s">
        <v>14</v>
      </c>
      <c r="F1007" t="s">
        <v>36</v>
      </c>
      <c r="G1007" t="s">
        <v>31</v>
      </c>
      <c r="H1007">
        <v>150000</v>
      </c>
      <c r="I1007">
        <v>4</v>
      </c>
      <c r="J1007" t="s">
        <v>17</v>
      </c>
      <c r="K1007">
        <f t="shared" si="15"/>
        <v>120000</v>
      </c>
      <c r="L1007">
        <f>Sales_Data2[[#This Row],[Unit Price]]*Sales_Data2[[#This Row],[Quantity]]</f>
        <v>600000</v>
      </c>
      <c r="M1007">
        <f>Sales_Data2[[#This Row],[Cost Price]]*Sales_Data2[[#This Row],[Quantity]]</f>
        <v>480000</v>
      </c>
      <c r="N1007" s="3">
        <f>Sales_Data2[[#This Row],[Revenue]]-Sales_Data2[[#This Row],[COGS]]</f>
        <v>120000</v>
      </c>
      <c r="O10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46681|North|Abuja|Retail|Online|Printer P50|Electronics|150000|4|Chidinma|120000</v>
      </c>
      <c r="P1007" s="3" t="str">
        <f>IF(COUNTIF(Sales_Data2[RowKey],Sales_Data2[[#This Row],[RowKey]])&gt;1,"Duplicate","Unique")</f>
        <v>Unique</v>
      </c>
      <c r="Q1007" s="3" t="str">
        <f>IF(ISNUMBER(Sales_Data2[[#This Row],[Date]]),"OK","Check")</f>
        <v>OK</v>
      </c>
      <c r="R1007" s="3" t="str">
        <f>IF(ISNUMBER(Sales_Data2[[#This Row],[Quantity]]),"OK","Check")</f>
        <v>OK</v>
      </c>
    </row>
    <row r="1008" spans="1:18">
      <c r="A1008" s="1">
        <v>46682</v>
      </c>
      <c r="B1008" t="s">
        <v>29</v>
      </c>
      <c r="C1008" t="s">
        <v>26</v>
      </c>
      <c r="D1008" t="s">
        <v>23</v>
      </c>
      <c r="E1008" t="s">
        <v>20</v>
      </c>
      <c r="F1008" t="s">
        <v>27</v>
      </c>
      <c r="G1008" t="s">
        <v>22</v>
      </c>
      <c r="H1008">
        <v>60000</v>
      </c>
      <c r="I1008">
        <v>4</v>
      </c>
      <c r="J1008" t="s">
        <v>28</v>
      </c>
      <c r="K1008">
        <f t="shared" si="15"/>
        <v>48000</v>
      </c>
      <c r="L1008">
        <f>Sales_Data2[[#This Row],[Unit Price]]*Sales_Data2[[#This Row],[Quantity]]</f>
        <v>240000</v>
      </c>
      <c r="M1008">
        <f>Sales_Data2[[#This Row],[Cost Price]]*Sales_Data2[[#This Row],[Quantity]]</f>
        <v>192000</v>
      </c>
      <c r="N1008" s="3">
        <f>Sales_Data2[[#This Row],[Revenue]]-Sales_Data2[[#This Row],[COGS]]</f>
        <v>48000</v>
      </c>
      <c r="O10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46682|North|Kano|Corporate|Store|Microwave M20|Home Appliances|60000|4|Musa|48000</v>
      </c>
      <c r="P1008" s="3" t="str">
        <f>IF(COUNTIF(Sales_Data2[RowKey],Sales_Data2[[#This Row],[RowKey]])&gt;1,"Duplicate","Unique")</f>
        <v>Unique</v>
      </c>
      <c r="Q1008" s="3" t="str">
        <f>IF(ISNUMBER(Sales_Data2[[#This Row],[Date]]),"OK","Check")</f>
        <v>OK</v>
      </c>
      <c r="R1008" s="3" t="str">
        <f>IF(ISNUMBER(Sales_Data2[[#This Row],[Quantity]]),"OK","Check")</f>
        <v>OK</v>
      </c>
    </row>
    <row r="1009" spans="1:18">
      <c r="A1009" s="1">
        <v>46683</v>
      </c>
      <c r="B1009" t="s">
        <v>18</v>
      </c>
      <c r="C1009" t="s">
        <v>32</v>
      </c>
      <c r="D1009" t="s">
        <v>13</v>
      </c>
      <c r="E1009" t="s">
        <v>20</v>
      </c>
      <c r="F1009" t="s">
        <v>34</v>
      </c>
      <c r="G1009" t="s">
        <v>16</v>
      </c>
      <c r="H1009">
        <v>320000</v>
      </c>
      <c r="I1009">
        <v>4</v>
      </c>
      <c r="J1009" t="s">
        <v>37</v>
      </c>
      <c r="K1009">
        <f t="shared" si="15"/>
        <v>256000</v>
      </c>
      <c r="L1009">
        <f>Sales_Data2[[#This Row],[Unit Price]]*Sales_Data2[[#This Row],[Quantity]]</f>
        <v>1280000</v>
      </c>
      <c r="M1009">
        <f>Sales_Data2[[#This Row],[Cost Price]]*Sales_Data2[[#This Row],[Quantity]]</f>
        <v>1024000</v>
      </c>
      <c r="N1009" s="3">
        <f>Sales_Data2[[#This Row],[Revenue]]-Sales_Data2[[#This Row],[COGS]]</f>
        <v>256000</v>
      </c>
      <c r="O10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46683|East|Abuja|Retail|Store|Sofa Classic|Furniture|320000|4|Aisha|256000</v>
      </c>
      <c r="P1009" s="3" t="str">
        <f>IF(COUNTIF(Sales_Data2[RowKey],Sales_Data2[[#This Row],[RowKey]])&gt;1,"Duplicate","Unique")</f>
        <v>Unique</v>
      </c>
      <c r="Q1009" s="3" t="str">
        <f>IF(ISNUMBER(Sales_Data2[[#This Row],[Date]]),"OK","Check")</f>
        <v>OK</v>
      </c>
      <c r="R1009" s="3" t="str">
        <f>IF(ISNUMBER(Sales_Data2[[#This Row],[Quantity]]),"OK","Check")</f>
        <v>OK</v>
      </c>
    </row>
    <row r="1010" spans="1:18">
      <c r="A1010" s="1">
        <v>46684</v>
      </c>
      <c r="B1010" t="s">
        <v>29</v>
      </c>
      <c r="C1010" t="s">
        <v>19</v>
      </c>
      <c r="D1010" t="s">
        <v>13</v>
      </c>
      <c r="E1010" t="s">
        <v>14</v>
      </c>
      <c r="F1010" t="s">
        <v>27</v>
      </c>
      <c r="G1010" t="s">
        <v>22</v>
      </c>
      <c r="H1010">
        <v>60000</v>
      </c>
      <c r="I1010">
        <v>2</v>
      </c>
      <c r="J1010" t="s">
        <v>24</v>
      </c>
      <c r="K1010">
        <f t="shared" si="15"/>
        <v>48000</v>
      </c>
      <c r="L1010">
        <f>Sales_Data2[[#This Row],[Unit Price]]*Sales_Data2[[#This Row],[Quantity]]</f>
        <v>120000</v>
      </c>
      <c r="M1010">
        <f>Sales_Data2[[#This Row],[Cost Price]]*Sales_Data2[[#This Row],[Quantity]]</f>
        <v>96000</v>
      </c>
      <c r="N1010" s="3">
        <f>Sales_Data2[[#This Row],[Revenue]]-Sales_Data2[[#This Row],[COGS]]</f>
        <v>24000</v>
      </c>
      <c r="O10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46684|North|Lagos|Retail|Online|Microwave M20|Home Appliances|60000|2|David|48000</v>
      </c>
      <c r="P1010" s="3" t="str">
        <f>IF(COUNTIF(Sales_Data2[RowKey],Sales_Data2[[#This Row],[RowKey]])&gt;1,"Duplicate","Unique")</f>
        <v>Unique</v>
      </c>
      <c r="Q1010" s="3" t="str">
        <f>IF(ISNUMBER(Sales_Data2[[#This Row],[Date]]),"OK","Check")</f>
        <v>OK</v>
      </c>
      <c r="R1010" s="3" t="str">
        <f>IF(ISNUMBER(Sales_Data2[[#This Row],[Quantity]]),"OK","Check")</f>
        <v>OK</v>
      </c>
    </row>
    <row r="1011" spans="1:18">
      <c r="A1011" s="1">
        <v>46685</v>
      </c>
      <c r="B1011" t="s">
        <v>11</v>
      </c>
      <c r="C1011" t="s">
        <v>12</v>
      </c>
      <c r="D1011" t="s">
        <v>23</v>
      </c>
      <c r="E1011" t="s">
        <v>14</v>
      </c>
      <c r="F1011" t="s">
        <v>21</v>
      </c>
      <c r="G1011" t="s">
        <v>22</v>
      </c>
      <c r="H1011">
        <v>30000</v>
      </c>
      <c r="I1011">
        <v>7</v>
      </c>
      <c r="J1011" t="s">
        <v>35</v>
      </c>
      <c r="K1011">
        <f t="shared" si="15"/>
        <v>24000</v>
      </c>
      <c r="L1011">
        <f>Sales_Data2[[#This Row],[Unit Price]]*Sales_Data2[[#This Row],[Quantity]]</f>
        <v>210000</v>
      </c>
      <c r="M1011">
        <f>Sales_Data2[[#This Row],[Cost Price]]*Sales_Data2[[#This Row],[Quantity]]</f>
        <v>168000</v>
      </c>
      <c r="N1011" s="3">
        <f>Sales_Data2[[#This Row],[Revenue]]-Sales_Data2[[#This Row],[COGS]]</f>
        <v>42000</v>
      </c>
      <c r="O10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46685|West|Port Harcourt|Corporate|Online|Blender B10|Home Appliances|30000|7|Peter|24000</v>
      </c>
      <c r="P1011" s="3" t="str">
        <f>IF(COUNTIF(Sales_Data2[RowKey],Sales_Data2[[#This Row],[RowKey]])&gt;1,"Duplicate","Unique")</f>
        <v>Unique</v>
      </c>
      <c r="Q1011" s="3" t="str">
        <f>IF(ISNUMBER(Sales_Data2[[#This Row],[Date]]),"OK","Check")</f>
        <v>OK</v>
      </c>
      <c r="R1011" s="3" t="str">
        <f>IF(ISNUMBER(Sales_Data2[[#This Row],[Quantity]]),"OK","Check")</f>
        <v>OK</v>
      </c>
    </row>
    <row r="1012" spans="1:18">
      <c r="A1012" s="1">
        <v>46686</v>
      </c>
      <c r="B1012" t="s">
        <v>18</v>
      </c>
      <c r="C1012" t="s">
        <v>12</v>
      </c>
      <c r="D1012" t="s">
        <v>13</v>
      </c>
      <c r="E1012" t="s">
        <v>20</v>
      </c>
      <c r="F1012" t="s">
        <v>40</v>
      </c>
      <c r="G1012" t="s">
        <v>31</v>
      </c>
      <c r="H1012">
        <v>250000</v>
      </c>
      <c r="I1012">
        <v>6</v>
      </c>
      <c r="J1012" t="s">
        <v>35</v>
      </c>
      <c r="K1012">
        <f t="shared" si="15"/>
        <v>200000</v>
      </c>
      <c r="L1012">
        <f>Sales_Data2[[#This Row],[Unit Price]]*Sales_Data2[[#This Row],[Quantity]]</f>
        <v>1500000</v>
      </c>
      <c r="M1012">
        <f>Sales_Data2[[#This Row],[Cost Price]]*Sales_Data2[[#This Row],[Quantity]]</f>
        <v>1200000</v>
      </c>
      <c r="N1012" s="3">
        <f>Sales_Data2[[#This Row],[Revenue]]-Sales_Data2[[#This Row],[COGS]]</f>
        <v>300000</v>
      </c>
      <c r="O10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46686|East|Port Harcourt|Retail|Store|Smartphone Z10|Electronics|250000|6|Peter|200000</v>
      </c>
      <c r="P1012" s="3" t="str">
        <f>IF(COUNTIF(Sales_Data2[RowKey],Sales_Data2[[#This Row],[RowKey]])&gt;1,"Duplicate","Unique")</f>
        <v>Unique</v>
      </c>
      <c r="Q1012" s="3" t="str">
        <f>IF(ISNUMBER(Sales_Data2[[#This Row],[Date]]),"OK","Check")</f>
        <v>OK</v>
      </c>
      <c r="R1012" s="3" t="str">
        <f>IF(ISNUMBER(Sales_Data2[[#This Row],[Quantity]]),"OK","Check")</f>
        <v>OK</v>
      </c>
    </row>
    <row r="1013" spans="1:18">
      <c r="A1013" s="1">
        <v>46687</v>
      </c>
      <c r="B1013" t="s">
        <v>29</v>
      </c>
      <c r="C1013" t="s">
        <v>26</v>
      </c>
      <c r="D1013" t="s">
        <v>13</v>
      </c>
      <c r="E1013" t="s">
        <v>14</v>
      </c>
      <c r="F1013" t="s">
        <v>41</v>
      </c>
      <c r="G1013" t="s">
        <v>22</v>
      </c>
      <c r="H1013">
        <v>220000</v>
      </c>
      <c r="I1013">
        <v>9</v>
      </c>
      <c r="J1013" t="s">
        <v>17</v>
      </c>
      <c r="K1013">
        <f t="shared" si="15"/>
        <v>176000</v>
      </c>
      <c r="L1013">
        <f>Sales_Data2[[#This Row],[Unit Price]]*Sales_Data2[[#This Row],[Quantity]]</f>
        <v>1980000</v>
      </c>
      <c r="M1013">
        <f>Sales_Data2[[#This Row],[Cost Price]]*Sales_Data2[[#This Row],[Quantity]]</f>
        <v>1584000</v>
      </c>
      <c r="N1013" s="3">
        <f>Sales_Data2[[#This Row],[Revenue]]-Sales_Data2[[#This Row],[COGS]]</f>
        <v>396000</v>
      </c>
      <c r="O10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46687|North|Kano|Retail|Online|Refrigerator R55|Home Appliances|220000|9|Chidinma|176000</v>
      </c>
      <c r="P1013" s="3" t="str">
        <f>IF(COUNTIF(Sales_Data2[RowKey],Sales_Data2[[#This Row],[RowKey]])&gt;1,"Duplicate","Unique")</f>
        <v>Unique</v>
      </c>
      <c r="Q1013" s="3" t="str">
        <f>IF(ISNUMBER(Sales_Data2[[#This Row],[Date]]),"OK","Check")</f>
        <v>OK</v>
      </c>
      <c r="R1013" s="3" t="str">
        <f>IF(ISNUMBER(Sales_Data2[[#This Row],[Quantity]]),"OK","Check")</f>
        <v>OK</v>
      </c>
    </row>
    <row r="1014" spans="1:18">
      <c r="A1014" s="1">
        <v>46688</v>
      </c>
      <c r="B1014" t="s">
        <v>18</v>
      </c>
      <c r="C1014" t="s">
        <v>26</v>
      </c>
      <c r="D1014" t="s">
        <v>23</v>
      </c>
      <c r="E1014" t="s">
        <v>14</v>
      </c>
      <c r="F1014" t="s">
        <v>30</v>
      </c>
      <c r="G1014" t="s">
        <v>31</v>
      </c>
      <c r="H1014">
        <v>300000</v>
      </c>
      <c r="I1014">
        <v>2</v>
      </c>
      <c r="J1014" t="s">
        <v>24</v>
      </c>
      <c r="K1014">
        <f t="shared" si="15"/>
        <v>240000</v>
      </c>
      <c r="L1014">
        <f>Sales_Data2[[#This Row],[Unit Price]]*Sales_Data2[[#This Row],[Quantity]]</f>
        <v>600000</v>
      </c>
      <c r="M1014">
        <f>Sales_Data2[[#This Row],[Cost Price]]*Sales_Data2[[#This Row],[Quantity]]</f>
        <v>480000</v>
      </c>
      <c r="N1014" s="3">
        <f>Sales_Data2[[#This Row],[Revenue]]-Sales_Data2[[#This Row],[COGS]]</f>
        <v>120000</v>
      </c>
      <c r="O10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46688|East|Kano|Corporate|Online|Desktop PC D21|Electronics|300000|2|David|240000</v>
      </c>
      <c r="P1014" s="3" t="str">
        <f>IF(COUNTIF(Sales_Data2[RowKey],Sales_Data2[[#This Row],[RowKey]])&gt;1,"Duplicate","Unique")</f>
        <v>Unique</v>
      </c>
      <c r="Q1014" s="3" t="str">
        <f>IF(ISNUMBER(Sales_Data2[[#This Row],[Date]]),"OK","Check")</f>
        <v>OK</v>
      </c>
      <c r="R1014" s="3" t="str">
        <f>IF(ISNUMBER(Sales_Data2[[#This Row],[Quantity]]),"OK","Check")</f>
        <v>OK</v>
      </c>
    </row>
    <row r="1015" spans="1:18">
      <c r="A1015" s="1">
        <v>46689</v>
      </c>
      <c r="B1015" t="s">
        <v>11</v>
      </c>
      <c r="C1015" t="s">
        <v>26</v>
      </c>
      <c r="D1015" t="s">
        <v>13</v>
      </c>
      <c r="E1015" t="s">
        <v>20</v>
      </c>
      <c r="F1015" t="s">
        <v>38</v>
      </c>
      <c r="G1015" t="s">
        <v>31</v>
      </c>
      <c r="H1015">
        <v>420000</v>
      </c>
      <c r="I1015">
        <v>2</v>
      </c>
      <c r="J1015" t="s">
        <v>24</v>
      </c>
      <c r="K1015">
        <f t="shared" si="15"/>
        <v>336000</v>
      </c>
      <c r="L1015">
        <f>Sales_Data2[[#This Row],[Unit Price]]*Sales_Data2[[#This Row],[Quantity]]</f>
        <v>840000</v>
      </c>
      <c r="M1015">
        <f>Sales_Data2[[#This Row],[Cost Price]]*Sales_Data2[[#This Row],[Quantity]]</f>
        <v>672000</v>
      </c>
      <c r="N1015" s="3">
        <f>Sales_Data2[[#This Row],[Revenue]]-Sales_Data2[[#This Row],[COGS]]</f>
        <v>168000</v>
      </c>
      <c r="O10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46689|West|Kano|Retail|Store|Laptop A13|Electronics|420000|2|David|336000</v>
      </c>
      <c r="P1015" s="3" t="str">
        <f>IF(COUNTIF(Sales_Data2[RowKey],Sales_Data2[[#This Row],[RowKey]])&gt;1,"Duplicate","Unique")</f>
        <v>Unique</v>
      </c>
      <c r="Q1015" s="3" t="str">
        <f>IF(ISNUMBER(Sales_Data2[[#This Row],[Date]]),"OK","Check")</f>
        <v>OK</v>
      </c>
      <c r="R1015" s="3" t="str">
        <f>IF(ISNUMBER(Sales_Data2[[#This Row],[Quantity]]),"OK","Check")</f>
        <v>OK</v>
      </c>
    </row>
    <row r="1016" spans="1:18">
      <c r="A1016" s="1">
        <v>46690</v>
      </c>
      <c r="B1016" t="s">
        <v>25</v>
      </c>
      <c r="C1016" t="s">
        <v>19</v>
      </c>
      <c r="D1016" t="s">
        <v>13</v>
      </c>
      <c r="E1016" t="s">
        <v>20</v>
      </c>
      <c r="F1016" t="s">
        <v>41</v>
      </c>
      <c r="G1016" t="s">
        <v>22</v>
      </c>
      <c r="H1016">
        <v>220000</v>
      </c>
      <c r="I1016">
        <v>3</v>
      </c>
      <c r="J1016" t="s">
        <v>35</v>
      </c>
      <c r="K1016">
        <f t="shared" si="15"/>
        <v>176000</v>
      </c>
      <c r="L1016">
        <f>Sales_Data2[[#This Row],[Unit Price]]*Sales_Data2[[#This Row],[Quantity]]</f>
        <v>660000</v>
      </c>
      <c r="M1016">
        <f>Sales_Data2[[#This Row],[Cost Price]]*Sales_Data2[[#This Row],[Quantity]]</f>
        <v>528000</v>
      </c>
      <c r="N1016" s="3">
        <f>Sales_Data2[[#This Row],[Revenue]]-Sales_Data2[[#This Row],[COGS]]</f>
        <v>132000</v>
      </c>
      <c r="O10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46690|South|Lagos|Retail|Store|Refrigerator R55|Home Appliances|220000|3|Peter|176000</v>
      </c>
      <c r="P1016" s="3" t="str">
        <f>IF(COUNTIF(Sales_Data2[RowKey],Sales_Data2[[#This Row],[RowKey]])&gt;1,"Duplicate","Unique")</f>
        <v>Unique</v>
      </c>
      <c r="Q1016" s="3" t="str">
        <f>IF(ISNUMBER(Sales_Data2[[#This Row],[Date]]),"OK","Check")</f>
        <v>OK</v>
      </c>
      <c r="R1016" s="3" t="str">
        <f>IF(ISNUMBER(Sales_Data2[[#This Row],[Quantity]]),"OK","Check")</f>
        <v>OK</v>
      </c>
    </row>
    <row r="1017" spans="1:18">
      <c r="A1017" s="1">
        <v>46691</v>
      </c>
      <c r="B1017" t="s">
        <v>25</v>
      </c>
      <c r="C1017" t="s">
        <v>12</v>
      </c>
      <c r="D1017" t="s">
        <v>23</v>
      </c>
      <c r="E1017" t="s">
        <v>14</v>
      </c>
      <c r="F1017" t="s">
        <v>41</v>
      </c>
      <c r="G1017" t="s">
        <v>22</v>
      </c>
      <c r="H1017">
        <v>220000</v>
      </c>
      <c r="I1017">
        <v>10</v>
      </c>
      <c r="J1017" t="s">
        <v>35</v>
      </c>
      <c r="K1017">
        <f t="shared" si="15"/>
        <v>176000</v>
      </c>
      <c r="L1017">
        <f>Sales_Data2[[#This Row],[Unit Price]]*Sales_Data2[[#This Row],[Quantity]]</f>
        <v>2200000</v>
      </c>
      <c r="M1017">
        <f>Sales_Data2[[#This Row],[Cost Price]]*Sales_Data2[[#This Row],[Quantity]]</f>
        <v>1760000</v>
      </c>
      <c r="N1017" s="3">
        <f>Sales_Data2[[#This Row],[Revenue]]-Sales_Data2[[#This Row],[COGS]]</f>
        <v>440000</v>
      </c>
      <c r="O10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46691|South|Port Harcourt|Corporate|Online|Refrigerator R55|Home Appliances|220000|10|Peter|176000</v>
      </c>
      <c r="P1017" s="3" t="str">
        <f>IF(COUNTIF(Sales_Data2[RowKey],Sales_Data2[[#This Row],[RowKey]])&gt;1,"Duplicate","Unique")</f>
        <v>Unique</v>
      </c>
      <c r="Q1017" s="3" t="str">
        <f>IF(ISNUMBER(Sales_Data2[[#This Row],[Date]]),"OK","Check")</f>
        <v>OK</v>
      </c>
      <c r="R1017" s="3" t="str">
        <f>IF(ISNUMBER(Sales_Data2[[#This Row],[Quantity]]),"OK","Check")</f>
        <v>OK</v>
      </c>
    </row>
    <row r="1018" spans="1:18">
      <c r="A1018" s="1">
        <v>46692</v>
      </c>
      <c r="B1018" t="s">
        <v>25</v>
      </c>
      <c r="C1018" t="s">
        <v>32</v>
      </c>
      <c r="D1018" t="s">
        <v>23</v>
      </c>
      <c r="E1018" t="s">
        <v>20</v>
      </c>
      <c r="F1018" t="s">
        <v>40</v>
      </c>
      <c r="G1018" t="s">
        <v>31</v>
      </c>
      <c r="H1018">
        <v>250000</v>
      </c>
      <c r="I1018">
        <v>8</v>
      </c>
      <c r="J1018" t="s">
        <v>17</v>
      </c>
      <c r="K1018">
        <f t="shared" si="15"/>
        <v>200000</v>
      </c>
      <c r="L1018">
        <f>Sales_Data2[[#This Row],[Unit Price]]*Sales_Data2[[#This Row],[Quantity]]</f>
        <v>2000000</v>
      </c>
      <c r="M1018">
        <f>Sales_Data2[[#This Row],[Cost Price]]*Sales_Data2[[#This Row],[Quantity]]</f>
        <v>1600000</v>
      </c>
      <c r="N1018" s="3">
        <f>Sales_Data2[[#This Row],[Revenue]]-Sales_Data2[[#This Row],[COGS]]</f>
        <v>400000</v>
      </c>
      <c r="O10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46692|South|Abuja|Corporate|Store|Smartphone Z10|Electronics|250000|8|Chidinma|200000</v>
      </c>
      <c r="P1018" s="3" t="str">
        <f>IF(COUNTIF(Sales_Data2[RowKey],Sales_Data2[[#This Row],[RowKey]])&gt;1,"Duplicate","Unique")</f>
        <v>Unique</v>
      </c>
      <c r="Q1018" s="3" t="str">
        <f>IF(ISNUMBER(Sales_Data2[[#This Row],[Date]]),"OK","Check")</f>
        <v>OK</v>
      </c>
      <c r="R1018" s="3" t="str">
        <f>IF(ISNUMBER(Sales_Data2[[#This Row],[Quantity]]),"OK","Check")</f>
        <v>OK</v>
      </c>
    </row>
    <row r="1019" spans="1:18">
      <c r="A1019" s="1">
        <v>46693</v>
      </c>
      <c r="B1019" t="s">
        <v>18</v>
      </c>
      <c r="C1019" t="s">
        <v>32</v>
      </c>
      <c r="D1019" t="s">
        <v>13</v>
      </c>
      <c r="E1019" t="s">
        <v>14</v>
      </c>
      <c r="F1019" t="s">
        <v>27</v>
      </c>
      <c r="G1019" t="s">
        <v>22</v>
      </c>
      <c r="H1019">
        <v>60000</v>
      </c>
      <c r="I1019">
        <v>6</v>
      </c>
      <c r="J1019" t="s">
        <v>28</v>
      </c>
      <c r="K1019">
        <f t="shared" si="15"/>
        <v>48000</v>
      </c>
      <c r="L1019">
        <f>Sales_Data2[[#This Row],[Unit Price]]*Sales_Data2[[#This Row],[Quantity]]</f>
        <v>360000</v>
      </c>
      <c r="M1019">
        <f>Sales_Data2[[#This Row],[Cost Price]]*Sales_Data2[[#This Row],[Quantity]]</f>
        <v>288000</v>
      </c>
      <c r="N1019" s="3">
        <f>Sales_Data2[[#This Row],[Revenue]]-Sales_Data2[[#This Row],[COGS]]</f>
        <v>72000</v>
      </c>
      <c r="O10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46693|East|Abuja|Retail|Online|Microwave M20|Home Appliances|60000|6|Musa|48000</v>
      </c>
      <c r="P1019" s="3" t="str">
        <f>IF(COUNTIF(Sales_Data2[RowKey],Sales_Data2[[#This Row],[RowKey]])&gt;1,"Duplicate","Unique")</f>
        <v>Unique</v>
      </c>
      <c r="Q1019" s="3" t="str">
        <f>IF(ISNUMBER(Sales_Data2[[#This Row],[Date]]),"OK","Check")</f>
        <v>OK</v>
      </c>
      <c r="R1019" s="3" t="str">
        <f>IF(ISNUMBER(Sales_Data2[[#This Row],[Quantity]]),"OK","Check")</f>
        <v>OK</v>
      </c>
    </row>
    <row r="1020" spans="1:18">
      <c r="A1020" s="1">
        <v>46694</v>
      </c>
      <c r="B1020" t="s">
        <v>18</v>
      </c>
      <c r="C1020" t="s">
        <v>19</v>
      </c>
      <c r="D1020" t="s">
        <v>13</v>
      </c>
      <c r="E1020" t="s">
        <v>14</v>
      </c>
      <c r="F1020" t="s">
        <v>34</v>
      </c>
      <c r="G1020" t="s">
        <v>16</v>
      </c>
      <c r="H1020">
        <v>320000</v>
      </c>
      <c r="I1020">
        <v>4</v>
      </c>
      <c r="J1020" t="s">
        <v>39</v>
      </c>
      <c r="K1020">
        <f t="shared" si="15"/>
        <v>256000</v>
      </c>
      <c r="L1020">
        <f>Sales_Data2[[#This Row],[Unit Price]]*Sales_Data2[[#This Row],[Quantity]]</f>
        <v>1280000</v>
      </c>
      <c r="M1020">
        <f>Sales_Data2[[#This Row],[Cost Price]]*Sales_Data2[[#This Row],[Quantity]]</f>
        <v>1024000</v>
      </c>
      <c r="N1020" s="3">
        <f>Sales_Data2[[#This Row],[Revenue]]-Sales_Data2[[#This Row],[COGS]]</f>
        <v>256000</v>
      </c>
      <c r="O10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46694|East|Lagos|Retail|Online|Sofa Classic|Furniture|320000|4|Grace|256000</v>
      </c>
      <c r="P1020" s="3" t="str">
        <f>IF(COUNTIF(Sales_Data2[RowKey],Sales_Data2[[#This Row],[RowKey]])&gt;1,"Duplicate","Unique")</f>
        <v>Unique</v>
      </c>
      <c r="Q1020" s="3" t="str">
        <f>IF(ISNUMBER(Sales_Data2[[#This Row],[Date]]),"OK","Check")</f>
        <v>OK</v>
      </c>
      <c r="R1020" s="3" t="str">
        <f>IF(ISNUMBER(Sales_Data2[[#This Row],[Quantity]]),"OK","Check")</f>
        <v>OK</v>
      </c>
    </row>
    <row r="1021" spans="1:18">
      <c r="A1021" s="1">
        <v>46695</v>
      </c>
      <c r="B1021" t="s">
        <v>18</v>
      </c>
      <c r="C1021" t="s">
        <v>12</v>
      </c>
      <c r="D1021" t="s">
        <v>13</v>
      </c>
      <c r="E1021" t="s">
        <v>20</v>
      </c>
      <c r="F1021" t="s">
        <v>33</v>
      </c>
      <c r="G1021" t="s">
        <v>22</v>
      </c>
      <c r="H1021">
        <v>180000</v>
      </c>
      <c r="I1021">
        <v>7</v>
      </c>
      <c r="J1021" t="s">
        <v>39</v>
      </c>
      <c r="K1021">
        <f t="shared" si="15"/>
        <v>144000</v>
      </c>
      <c r="L1021">
        <f>Sales_Data2[[#This Row],[Unit Price]]*Sales_Data2[[#This Row],[Quantity]]</f>
        <v>1260000</v>
      </c>
      <c r="M1021">
        <f>Sales_Data2[[#This Row],[Cost Price]]*Sales_Data2[[#This Row],[Quantity]]</f>
        <v>1008000</v>
      </c>
      <c r="N1021" s="3">
        <f>Sales_Data2[[#This Row],[Revenue]]-Sales_Data2[[#This Row],[COGS]]</f>
        <v>252000</v>
      </c>
      <c r="O10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46695|East|Port Harcourt|Retail|Store|Air Conditioner X2|Home Appliances|180000|7|Grace|144000</v>
      </c>
      <c r="P1021" s="3" t="str">
        <f>IF(COUNTIF(Sales_Data2[RowKey],Sales_Data2[[#This Row],[RowKey]])&gt;1,"Duplicate","Unique")</f>
        <v>Unique</v>
      </c>
      <c r="Q1021" s="3" t="str">
        <f>IF(ISNUMBER(Sales_Data2[[#This Row],[Date]]),"OK","Check")</f>
        <v>OK</v>
      </c>
      <c r="R1021" s="3" t="str">
        <f>IF(ISNUMBER(Sales_Data2[[#This Row],[Quantity]]),"OK","Check")</f>
        <v>OK</v>
      </c>
    </row>
    <row r="1022" spans="1:18">
      <c r="A1022" s="1">
        <v>46696</v>
      </c>
      <c r="B1022" t="s">
        <v>18</v>
      </c>
      <c r="C1022" t="s">
        <v>12</v>
      </c>
      <c r="D1022" t="s">
        <v>13</v>
      </c>
      <c r="E1022" t="s">
        <v>14</v>
      </c>
      <c r="F1022" t="s">
        <v>27</v>
      </c>
      <c r="G1022" t="s">
        <v>22</v>
      </c>
      <c r="H1022">
        <v>60000</v>
      </c>
      <c r="I1022">
        <v>7</v>
      </c>
      <c r="J1022" t="s">
        <v>17</v>
      </c>
      <c r="K1022">
        <f t="shared" si="15"/>
        <v>48000</v>
      </c>
      <c r="L1022">
        <f>Sales_Data2[[#This Row],[Unit Price]]*Sales_Data2[[#This Row],[Quantity]]</f>
        <v>420000</v>
      </c>
      <c r="M1022">
        <f>Sales_Data2[[#This Row],[Cost Price]]*Sales_Data2[[#This Row],[Quantity]]</f>
        <v>336000</v>
      </c>
      <c r="N1022" s="3">
        <f>Sales_Data2[[#This Row],[Revenue]]-Sales_Data2[[#This Row],[COGS]]</f>
        <v>84000</v>
      </c>
      <c r="O10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46696|East|Port Harcourt|Retail|Online|Microwave M20|Home Appliances|60000|7|Chidinma|48000</v>
      </c>
      <c r="P1022" s="3" t="str">
        <f>IF(COUNTIF(Sales_Data2[RowKey],Sales_Data2[[#This Row],[RowKey]])&gt;1,"Duplicate","Unique")</f>
        <v>Unique</v>
      </c>
      <c r="Q1022" s="3" t="str">
        <f>IF(ISNUMBER(Sales_Data2[[#This Row],[Date]]),"OK","Check")</f>
        <v>OK</v>
      </c>
      <c r="R1022" s="3" t="str">
        <f>IF(ISNUMBER(Sales_Data2[[#This Row],[Quantity]]),"OK","Check")</f>
        <v>OK</v>
      </c>
    </row>
    <row r="1023" spans="1:18">
      <c r="A1023" s="1">
        <v>46697</v>
      </c>
      <c r="B1023" t="s">
        <v>25</v>
      </c>
      <c r="C1023" t="s">
        <v>32</v>
      </c>
      <c r="D1023" t="s">
        <v>13</v>
      </c>
      <c r="E1023" t="s">
        <v>14</v>
      </c>
      <c r="F1023" t="s">
        <v>33</v>
      </c>
      <c r="G1023" t="s">
        <v>22</v>
      </c>
      <c r="H1023">
        <v>180000</v>
      </c>
      <c r="I1023">
        <v>9</v>
      </c>
      <c r="J1023" t="s">
        <v>24</v>
      </c>
      <c r="K1023">
        <f t="shared" si="15"/>
        <v>144000</v>
      </c>
      <c r="L1023">
        <f>Sales_Data2[[#This Row],[Unit Price]]*Sales_Data2[[#This Row],[Quantity]]</f>
        <v>1620000</v>
      </c>
      <c r="M1023">
        <f>Sales_Data2[[#This Row],[Cost Price]]*Sales_Data2[[#This Row],[Quantity]]</f>
        <v>1296000</v>
      </c>
      <c r="N1023" s="3">
        <f>Sales_Data2[[#This Row],[Revenue]]-Sales_Data2[[#This Row],[COGS]]</f>
        <v>324000</v>
      </c>
      <c r="O10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46697|South|Abuja|Retail|Online|Air Conditioner X2|Home Appliances|180000|9|David|144000</v>
      </c>
      <c r="P1023" s="3" t="str">
        <f>IF(COUNTIF(Sales_Data2[RowKey],Sales_Data2[[#This Row],[RowKey]])&gt;1,"Duplicate","Unique")</f>
        <v>Unique</v>
      </c>
      <c r="Q1023" s="3" t="str">
        <f>IF(ISNUMBER(Sales_Data2[[#This Row],[Date]]),"OK","Check")</f>
        <v>OK</v>
      </c>
      <c r="R1023" s="3" t="str">
        <f>IF(ISNUMBER(Sales_Data2[[#This Row],[Quantity]]),"OK","Check")</f>
        <v>OK</v>
      </c>
    </row>
    <row r="1024" spans="1:18">
      <c r="A1024" s="1">
        <v>46698</v>
      </c>
      <c r="B1024" t="s">
        <v>29</v>
      </c>
      <c r="C1024" t="s">
        <v>12</v>
      </c>
      <c r="D1024" t="s">
        <v>23</v>
      </c>
      <c r="E1024" t="s">
        <v>14</v>
      </c>
      <c r="F1024" t="s">
        <v>21</v>
      </c>
      <c r="G1024" t="s">
        <v>22</v>
      </c>
      <c r="H1024">
        <v>30000</v>
      </c>
      <c r="I1024">
        <v>6</v>
      </c>
      <c r="J1024" t="s">
        <v>24</v>
      </c>
      <c r="K1024">
        <f t="shared" si="15"/>
        <v>24000</v>
      </c>
      <c r="L1024">
        <f>Sales_Data2[[#This Row],[Unit Price]]*Sales_Data2[[#This Row],[Quantity]]</f>
        <v>180000</v>
      </c>
      <c r="M1024">
        <f>Sales_Data2[[#This Row],[Cost Price]]*Sales_Data2[[#This Row],[Quantity]]</f>
        <v>144000</v>
      </c>
      <c r="N1024" s="3">
        <f>Sales_Data2[[#This Row],[Revenue]]-Sales_Data2[[#This Row],[COGS]]</f>
        <v>36000</v>
      </c>
      <c r="O10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46698|North|Port Harcourt|Corporate|Online|Blender B10|Home Appliances|30000|6|David|24000</v>
      </c>
      <c r="P1024" s="3" t="str">
        <f>IF(COUNTIF(Sales_Data2[RowKey],Sales_Data2[[#This Row],[RowKey]])&gt;1,"Duplicate","Unique")</f>
        <v>Unique</v>
      </c>
      <c r="Q1024" s="3" t="str">
        <f>IF(ISNUMBER(Sales_Data2[[#This Row],[Date]]),"OK","Check")</f>
        <v>OK</v>
      </c>
      <c r="R1024" s="3" t="str">
        <f>IF(ISNUMBER(Sales_Data2[[#This Row],[Quantity]]),"OK","Check")</f>
        <v>OK</v>
      </c>
    </row>
    <row r="1025" spans="1:18">
      <c r="A1025" s="1">
        <v>46699</v>
      </c>
      <c r="B1025" t="s">
        <v>25</v>
      </c>
      <c r="C1025" t="s">
        <v>19</v>
      </c>
      <c r="D1025" t="s">
        <v>13</v>
      </c>
      <c r="E1025" t="s">
        <v>14</v>
      </c>
      <c r="F1025" t="s">
        <v>30</v>
      </c>
      <c r="G1025" t="s">
        <v>31</v>
      </c>
      <c r="H1025">
        <v>300000</v>
      </c>
      <c r="I1025">
        <v>10</v>
      </c>
      <c r="J1025" t="s">
        <v>37</v>
      </c>
      <c r="K1025">
        <f t="shared" si="15"/>
        <v>240000</v>
      </c>
      <c r="L1025">
        <f>Sales_Data2[[#This Row],[Unit Price]]*Sales_Data2[[#This Row],[Quantity]]</f>
        <v>3000000</v>
      </c>
      <c r="M1025">
        <f>Sales_Data2[[#This Row],[Cost Price]]*Sales_Data2[[#This Row],[Quantity]]</f>
        <v>2400000</v>
      </c>
      <c r="N1025" s="3">
        <f>Sales_Data2[[#This Row],[Revenue]]-Sales_Data2[[#This Row],[COGS]]</f>
        <v>600000</v>
      </c>
      <c r="O10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46699|South|Lagos|Retail|Online|Desktop PC D21|Electronics|300000|10|Aisha|240000</v>
      </c>
      <c r="P1025" s="3" t="str">
        <f>IF(COUNTIF(Sales_Data2[RowKey],Sales_Data2[[#This Row],[RowKey]])&gt;1,"Duplicate","Unique")</f>
        <v>Unique</v>
      </c>
      <c r="Q1025" s="3" t="str">
        <f>IF(ISNUMBER(Sales_Data2[[#This Row],[Date]]),"OK","Check")</f>
        <v>OK</v>
      </c>
      <c r="R1025" s="3" t="str">
        <f>IF(ISNUMBER(Sales_Data2[[#This Row],[Quantity]]),"OK","Check")</f>
        <v>OK</v>
      </c>
    </row>
    <row r="1026" spans="1:18">
      <c r="A1026" s="1">
        <v>46700</v>
      </c>
      <c r="B1026" t="s">
        <v>25</v>
      </c>
      <c r="C1026" t="s">
        <v>32</v>
      </c>
      <c r="D1026" t="s">
        <v>23</v>
      </c>
      <c r="E1026" t="s">
        <v>14</v>
      </c>
      <c r="F1026" t="s">
        <v>21</v>
      </c>
      <c r="G1026" t="s">
        <v>22</v>
      </c>
      <c r="H1026">
        <v>30000</v>
      </c>
      <c r="I1026">
        <v>2</v>
      </c>
      <c r="J1026" t="s">
        <v>28</v>
      </c>
      <c r="K1026">
        <f t="shared" ref="K1026:K1089" si="16">H1026-H1026*0.2</f>
        <v>24000</v>
      </c>
      <c r="L1026">
        <f>Sales_Data2[[#This Row],[Unit Price]]*Sales_Data2[[#This Row],[Quantity]]</f>
        <v>60000</v>
      </c>
      <c r="M1026">
        <f>Sales_Data2[[#This Row],[Cost Price]]*Sales_Data2[[#This Row],[Quantity]]</f>
        <v>48000</v>
      </c>
      <c r="N1026" s="3">
        <f>Sales_Data2[[#This Row],[Revenue]]-Sales_Data2[[#This Row],[COGS]]</f>
        <v>12000</v>
      </c>
      <c r="O10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46700|South|Abuja|Corporate|Online|Blender B10|Home Appliances|30000|2|Musa|24000</v>
      </c>
      <c r="P1026" s="3" t="str">
        <f>IF(COUNTIF(Sales_Data2[RowKey],Sales_Data2[[#This Row],[RowKey]])&gt;1,"Duplicate","Unique")</f>
        <v>Unique</v>
      </c>
      <c r="Q1026" s="3" t="str">
        <f>IF(ISNUMBER(Sales_Data2[[#This Row],[Date]]),"OK","Check")</f>
        <v>OK</v>
      </c>
      <c r="R1026" s="3" t="str">
        <f>IF(ISNUMBER(Sales_Data2[[#This Row],[Quantity]]),"OK","Check")</f>
        <v>OK</v>
      </c>
    </row>
    <row r="1027" spans="1:18">
      <c r="A1027" s="1">
        <v>46701</v>
      </c>
      <c r="B1027" t="s">
        <v>18</v>
      </c>
      <c r="C1027" t="s">
        <v>26</v>
      </c>
      <c r="D1027" t="s">
        <v>23</v>
      </c>
      <c r="E1027" t="s">
        <v>14</v>
      </c>
      <c r="F1027" t="s">
        <v>21</v>
      </c>
      <c r="G1027" t="s">
        <v>22</v>
      </c>
      <c r="H1027">
        <v>30000</v>
      </c>
      <c r="I1027">
        <v>8</v>
      </c>
      <c r="J1027" t="s">
        <v>39</v>
      </c>
      <c r="K1027">
        <f t="shared" si="16"/>
        <v>24000</v>
      </c>
      <c r="L1027">
        <f>Sales_Data2[[#This Row],[Unit Price]]*Sales_Data2[[#This Row],[Quantity]]</f>
        <v>240000</v>
      </c>
      <c r="M1027">
        <f>Sales_Data2[[#This Row],[Cost Price]]*Sales_Data2[[#This Row],[Quantity]]</f>
        <v>192000</v>
      </c>
      <c r="N1027" s="3">
        <f>Sales_Data2[[#This Row],[Revenue]]-Sales_Data2[[#This Row],[COGS]]</f>
        <v>48000</v>
      </c>
      <c r="O10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46701|East|Kano|Corporate|Online|Blender B10|Home Appliances|30000|8|Grace|24000</v>
      </c>
      <c r="P1027" s="3" t="str">
        <f>IF(COUNTIF(Sales_Data2[RowKey],Sales_Data2[[#This Row],[RowKey]])&gt;1,"Duplicate","Unique")</f>
        <v>Unique</v>
      </c>
      <c r="Q1027" s="3" t="str">
        <f>IF(ISNUMBER(Sales_Data2[[#This Row],[Date]]),"OK","Check")</f>
        <v>OK</v>
      </c>
      <c r="R1027" s="3" t="str">
        <f>IF(ISNUMBER(Sales_Data2[[#This Row],[Quantity]]),"OK","Check")</f>
        <v>OK</v>
      </c>
    </row>
    <row r="1028" spans="1:18">
      <c r="A1028" s="1">
        <v>46702</v>
      </c>
      <c r="B1028" t="s">
        <v>25</v>
      </c>
      <c r="C1028" t="s">
        <v>26</v>
      </c>
      <c r="D1028" t="s">
        <v>23</v>
      </c>
      <c r="E1028" t="s">
        <v>20</v>
      </c>
      <c r="F1028" t="s">
        <v>21</v>
      </c>
      <c r="G1028" t="s">
        <v>22</v>
      </c>
      <c r="H1028">
        <v>30000</v>
      </c>
      <c r="I1028">
        <v>9</v>
      </c>
      <c r="J1028" t="s">
        <v>28</v>
      </c>
      <c r="K1028">
        <f t="shared" si="16"/>
        <v>24000</v>
      </c>
      <c r="L1028">
        <f>Sales_Data2[[#This Row],[Unit Price]]*Sales_Data2[[#This Row],[Quantity]]</f>
        <v>270000</v>
      </c>
      <c r="M1028">
        <f>Sales_Data2[[#This Row],[Cost Price]]*Sales_Data2[[#This Row],[Quantity]]</f>
        <v>216000</v>
      </c>
      <c r="N1028" s="3">
        <f>Sales_Data2[[#This Row],[Revenue]]-Sales_Data2[[#This Row],[COGS]]</f>
        <v>54000</v>
      </c>
      <c r="O10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46702|South|Kano|Corporate|Store|Blender B10|Home Appliances|30000|9|Musa|24000</v>
      </c>
      <c r="P1028" s="3" t="str">
        <f>IF(COUNTIF(Sales_Data2[RowKey],Sales_Data2[[#This Row],[RowKey]])&gt;1,"Duplicate","Unique")</f>
        <v>Unique</v>
      </c>
      <c r="Q1028" s="3" t="str">
        <f>IF(ISNUMBER(Sales_Data2[[#This Row],[Date]]),"OK","Check")</f>
        <v>OK</v>
      </c>
      <c r="R1028" s="3" t="str">
        <f>IF(ISNUMBER(Sales_Data2[[#This Row],[Quantity]]),"OK","Check")</f>
        <v>OK</v>
      </c>
    </row>
    <row r="1029" spans="1:18">
      <c r="A1029" s="1">
        <v>46703</v>
      </c>
      <c r="B1029" t="s">
        <v>29</v>
      </c>
      <c r="C1029" t="s">
        <v>12</v>
      </c>
      <c r="D1029" t="s">
        <v>13</v>
      </c>
      <c r="E1029" t="s">
        <v>20</v>
      </c>
      <c r="F1029" t="s">
        <v>41</v>
      </c>
      <c r="G1029" t="s">
        <v>22</v>
      </c>
      <c r="H1029">
        <v>220000</v>
      </c>
      <c r="I1029">
        <v>2</v>
      </c>
      <c r="J1029" t="s">
        <v>39</v>
      </c>
      <c r="K1029">
        <f t="shared" si="16"/>
        <v>176000</v>
      </c>
      <c r="L1029">
        <f>Sales_Data2[[#This Row],[Unit Price]]*Sales_Data2[[#This Row],[Quantity]]</f>
        <v>440000</v>
      </c>
      <c r="M1029">
        <f>Sales_Data2[[#This Row],[Cost Price]]*Sales_Data2[[#This Row],[Quantity]]</f>
        <v>352000</v>
      </c>
      <c r="N1029" s="3">
        <f>Sales_Data2[[#This Row],[Revenue]]-Sales_Data2[[#This Row],[COGS]]</f>
        <v>88000</v>
      </c>
      <c r="O10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46703|North|Port Harcourt|Retail|Store|Refrigerator R55|Home Appliances|220000|2|Grace|176000</v>
      </c>
      <c r="P1029" s="3" t="str">
        <f>IF(COUNTIF(Sales_Data2[RowKey],Sales_Data2[[#This Row],[RowKey]])&gt;1,"Duplicate","Unique")</f>
        <v>Unique</v>
      </c>
      <c r="Q1029" s="3" t="str">
        <f>IF(ISNUMBER(Sales_Data2[[#This Row],[Date]]),"OK","Check")</f>
        <v>OK</v>
      </c>
      <c r="R1029" s="3" t="str">
        <f>IF(ISNUMBER(Sales_Data2[[#This Row],[Quantity]]),"OK","Check")</f>
        <v>OK</v>
      </c>
    </row>
    <row r="1030" spans="1:18">
      <c r="A1030" s="1">
        <v>46704</v>
      </c>
      <c r="B1030" t="s">
        <v>25</v>
      </c>
      <c r="C1030" t="s">
        <v>26</v>
      </c>
      <c r="D1030" t="s">
        <v>13</v>
      </c>
      <c r="E1030" t="s">
        <v>20</v>
      </c>
      <c r="F1030" t="s">
        <v>41</v>
      </c>
      <c r="G1030" t="s">
        <v>22</v>
      </c>
      <c r="H1030">
        <v>220000</v>
      </c>
      <c r="I1030">
        <v>3</v>
      </c>
      <c r="J1030" t="s">
        <v>39</v>
      </c>
      <c r="K1030">
        <f t="shared" si="16"/>
        <v>176000</v>
      </c>
      <c r="L1030">
        <f>Sales_Data2[[#This Row],[Unit Price]]*Sales_Data2[[#This Row],[Quantity]]</f>
        <v>660000</v>
      </c>
      <c r="M1030">
        <f>Sales_Data2[[#This Row],[Cost Price]]*Sales_Data2[[#This Row],[Quantity]]</f>
        <v>528000</v>
      </c>
      <c r="N1030" s="3">
        <f>Sales_Data2[[#This Row],[Revenue]]-Sales_Data2[[#This Row],[COGS]]</f>
        <v>132000</v>
      </c>
      <c r="O10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46704|South|Kano|Retail|Store|Refrigerator R55|Home Appliances|220000|3|Grace|176000</v>
      </c>
      <c r="P1030" s="3" t="str">
        <f>IF(COUNTIF(Sales_Data2[RowKey],Sales_Data2[[#This Row],[RowKey]])&gt;1,"Duplicate","Unique")</f>
        <v>Unique</v>
      </c>
      <c r="Q1030" s="3" t="str">
        <f>IF(ISNUMBER(Sales_Data2[[#This Row],[Date]]),"OK","Check")</f>
        <v>OK</v>
      </c>
      <c r="R1030" s="3" t="str">
        <f>IF(ISNUMBER(Sales_Data2[[#This Row],[Quantity]]),"OK","Check")</f>
        <v>OK</v>
      </c>
    </row>
    <row r="1031" spans="1:18">
      <c r="A1031" s="1">
        <v>46705</v>
      </c>
      <c r="B1031" t="s">
        <v>25</v>
      </c>
      <c r="C1031" t="s">
        <v>32</v>
      </c>
      <c r="D1031" t="s">
        <v>13</v>
      </c>
      <c r="E1031" t="s">
        <v>20</v>
      </c>
      <c r="F1031" t="s">
        <v>15</v>
      </c>
      <c r="G1031" t="s">
        <v>16</v>
      </c>
      <c r="H1031">
        <v>85000</v>
      </c>
      <c r="I1031">
        <v>3</v>
      </c>
      <c r="J1031" t="s">
        <v>24</v>
      </c>
      <c r="K1031">
        <f t="shared" si="16"/>
        <v>68000</v>
      </c>
      <c r="L1031">
        <f>Sales_Data2[[#This Row],[Unit Price]]*Sales_Data2[[#This Row],[Quantity]]</f>
        <v>255000</v>
      </c>
      <c r="M1031">
        <f>Sales_Data2[[#This Row],[Cost Price]]*Sales_Data2[[#This Row],[Quantity]]</f>
        <v>204000</v>
      </c>
      <c r="N1031" s="3">
        <f>Sales_Data2[[#This Row],[Revenue]]-Sales_Data2[[#This Row],[COGS]]</f>
        <v>51000</v>
      </c>
      <c r="O10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46705|South|Abuja|Retail|Store|Office Chair Pro|Furniture|85000|3|David|68000</v>
      </c>
      <c r="P1031" s="3" t="str">
        <f>IF(COUNTIF(Sales_Data2[RowKey],Sales_Data2[[#This Row],[RowKey]])&gt;1,"Duplicate","Unique")</f>
        <v>Unique</v>
      </c>
      <c r="Q1031" s="3" t="str">
        <f>IF(ISNUMBER(Sales_Data2[[#This Row],[Date]]),"OK","Check")</f>
        <v>OK</v>
      </c>
      <c r="R1031" s="3" t="str">
        <f>IF(ISNUMBER(Sales_Data2[[#This Row],[Quantity]]),"OK","Check")</f>
        <v>OK</v>
      </c>
    </row>
    <row r="1032" spans="1:18">
      <c r="A1032" s="1">
        <v>46706</v>
      </c>
      <c r="B1032" t="s">
        <v>11</v>
      </c>
      <c r="C1032" t="s">
        <v>19</v>
      </c>
      <c r="D1032" t="s">
        <v>23</v>
      </c>
      <c r="E1032" t="s">
        <v>14</v>
      </c>
      <c r="F1032" t="s">
        <v>27</v>
      </c>
      <c r="G1032" t="s">
        <v>22</v>
      </c>
      <c r="H1032">
        <v>60000</v>
      </c>
      <c r="I1032">
        <v>3</v>
      </c>
      <c r="J1032" t="s">
        <v>35</v>
      </c>
      <c r="K1032">
        <f t="shared" si="16"/>
        <v>48000</v>
      </c>
      <c r="L1032">
        <f>Sales_Data2[[#This Row],[Unit Price]]*Sales_Data2[[#This Row],[Quantity]]</f>
        <v>180000</v>
      </c>
      <c r="M1032">
        <f>Sales_Data2[[#This Row],[Cost Price]]*Sales_Data2[[#This Row],[Quantity]]</f>
        <v>144000</v>
      </c>
      <c r="N1032" s="3">
        <f>Sales_Data2[[#This Row],[Revenue]]-Sales_Data2[[#This Row],[COGS]]</f>
        <v>36000</v>
      </c>
      <c r="O10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46706|West|Lagos|Corporate|Online|Microwave M20|Home Appliances|60000|3|Peter|48000</v>
      </c>
      <c r="P1032" s="3" t="str">
        <f>IF(COUNTIF(Sales_Data2[RowKey],Sales_Data2[[#This Row],[RowKey]])&gt;1,"Duplicate","Unique")</f>
        <v>Unique</v>
      </c>
      <c r="Q1032" s="3" t="str">
        <f>IF(ISNUMBER(Sales_Data2[[#This Row],[Date]]),"OK","Check")</f>
        <v>OK</v>
      </c>
      <c r="R1032" s="3" t="str">
        <f>IF(ISNUMBER(Sales_Data2[[#This Row],[Quantity]]),"OK","Check")</f>
        <v>OK</v>
      </c>
    </row>
    <row r="1033" spans="1:18">
      <c r="A1033" s="1">
        <v>46707</v>
      </c>
      <c r="B1033" t="s">
        <v>11</v>
      </c>
      <c r="C1033" t="s">
        <v>26</v>
      </c>
      <c r="D1033" t="s">
        <v>23</v>
      </c>
      <c r="E1033" t="s">
        <v>20</v>
      </c>
      <c r="F1033" t="s">
        <v>41</v>
      </c>
      <c r="G1033" t="s">
        <v>22</v>
      </c>
      <c r="H1033">
        <v>220000</v>
      </c>
      <c r="I1033">
        <v>3</v>
      </c>
      <c r="J1033" t="s">
        <v>39</v>
      </c>
      <c r="K1033">
        <f t="shared" si="16"/>
        <v>176000</v>
      </c>
      <c r="L1033">
        <f>Sales_Data2[[#This Row],[Unit Price]]*Sales_Data2[[#This Row],[Quantity]]</f>
        <v>660000</v>
      </c>
      <c r="M1033">
        <f>Sales_Data2[[#This Row],[Cost Price]]*Sales_Data2[[#This Row],[Quantity]]</f>
        <v>528000</v>
      </c>
      <c r="N1033" s="3">
        <f>Sales_Data2[[#This Row],[Revenue]]-Sales_Data2[[#This Row],[COGS]]</f>
        <v>132000</v>
      </c>
      <c r="O10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46707|West|Kano|Corporate|Store|Refrigerator R55|Home Appliances|220000|3|Grace|176000</v>
      </c>
      <c r="P1033" s="3" t="str">
        <f>IF(COUNTIF(Sales_Data2[RowKey],Sales_Data2[[#This Row],[RowKey]])&gt;1,"Duplicate","Unique")</f>
        <v>Unique</v>
      </c>
      <c r="Q1033" s="3" t="str">
        <f>IF(ISNUMBER(Sales_Data2[[#This Row],[Date]]),"OK","Check")</f>
        <v>OK</v>
      </c>
      <c r="R1033" s="3" t="str">
        <f>IF(ISNUMBER(Sales_Data2[[#This Row],[Quantity]]),"OK","Check")</f>
        <v>OK</v>
      </c>
    </row>
    <row r="1034" spans="1:18">
      <c r="A1034" s="1">
        <v>46708</v>
      </c>
      <c r="B1034" t="s">
        <v>11</v>
      </c>
      <c r="C1034" t="s">
        <v>12</v>
      </c>
      <c r="D1034" t="s">
        <v>13</v>
      </c>
      <c r="E1034" t="s">
        <v>20</v>
      </c>
      <c r="F1034" t="s">
        <v>21</v>
      </c>
      <c r="G1034" t="s">
        <v>22</v>
      </c>
      <c r="H1034">
        <v>30000</v>
      </c>
      <c r="I1034">
        <v>1</v>
      </c>
      <c r="J1034" t="s">
        <v>17</v>
      </c>
      <c r="K1034">
        <f t="shared" si="16"/>
        <v>24000</v>
      </c>
      <c r="L1034">
        <f>Sales_Data2[[#This Row],[Unit Price]]*Sales_Data2[[#This Row],[Quantity]]</f>
        <v>30000</v>
      </c>
      <c r="M1034">
        <f>Sales_Data2[[#This Row],[Cost Price]]*Sales_Data2[[#This Row],[Quantity]]</f>
        <v>24000</v>
      </c>
      <c r="N1034" s="3">
        <f>Sales_Data2[[#This Row],[Revenue]]-Sales_Data2[[#This Row],[COGS]]</f>
        <v>6000</v>
      </c>
      <c r="O10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46708|West|Port Harcourt|Retail|Store|Blender B10|Home Appliances|30000|1|Chidinma|24000</v>
      </c>
      <c r="P1034" s="3" t="str">
        <f>IF(COUNTIF(Sales_Data2[RowKey],Sales_Data2[[#This Row],[RowKey]])&gt;1,"Duplicate","Unique")</f>
        <v>Unique</v>
      </c>
      <c r="Q1034" s="3" t="str">
        <f>IF(ISNUMBER(Sales_Data2[[#This Row],[Date]]),"OK","Check")</f>
        <v>OK</v>
      </c>
      <c r="R1034" s="3" t="str">
        <f>IF(ISNUMBER(Sales_Data2[[#This Row],[Quantity]]),"OK","Check")</f>
        <v>OK</v>
      </c>
    </row>
    <row r="1035" spans="1:18">
      <c r="A1035" s="1">
        <v>46709</v>
      </c>
      <c r="B1035" t="s">
        <v>18</v>
      </c>
      <c r="C1035" t="s">
        <v>32</v>
      </c>
      <c r="D1035" t="s">
        <v>23</v>
      </c>
      <c r="E1035" t="s">
        <v>20</v>
      </c>
      <c r="F1035" t="s">
        <v>38</v>
      </c>
      <c r="G1035" t="s">
        <v>31</v>
      </c>
      <c r="H1035">
        <v>420000</v>
      </c>
      <c r="I1035">
        <v>1</v>
      </c>
      <c r="J1035" t="s">
        <v>39</v>
      </c>
      <c r="K1035">
        <f t="shared" si="16"/>
        <v>336000</v>
      </c>
      <c r="L1035">
        <f>Sales_Data2[[#This Row],[Unit Price]]*Sales_Data2[[#This Row],[Quantity]]</f>
        <v>420000</v>
      </c>
      <c r="M1035">
        <f>Sales_Data2[[#This Row],[Cost Price]]*Sales_Data2[[#This Row],[Quantity]]</f>
        <v>336000</v>
      </c>
      <c r="N1035" s="3">
        <f>Sales_Data2[[#This Row],[Revenue]]-Sales_Data2[[#This Row],[COGS]]</f>
        <v>84000</v>
      </c>
      <c r="O10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46709|East|Abuja|Corporate|Store|Laptop A13|Electronics|420000|1|Grace|336000</v>
      </c>
      <c r="P1035" s="3" t="str">
        <f>IF(COUNTIF(Sales_Data2[RowKey],Sales_Data2[[#This Row],[RowKey]])&gt;1,"Duplicate","Unique")</f>
        <v>Unique</v>
      </c>
      <c r="Q1035" s="3" t="str">
        <f>IF(ISNUMBER(Sales_Data2[[#This Row],[Date]]),"OK","Check")</f>
        <v>OK</v>
      </c>
      <c r="R1035" s="3" t="str">
        <f>IF(ISNUMBER(Sales_Data2[[#This Row],[Quantity]]),"OK","Check")</f>
        <v>OK</v>
      </c>
    </row>
    <row r="1036" spans="1:18">
      <c r="A1036" s="1">
        <v>46710</v>
      </c>
      <c r="B1036" t="s">
        <v>11</v>
      </c>
      <c r="C1036" t="s">
        <v>19</v>
      </c>
      <c r="D1036" t="s">
        <v>13</v>
      </c>
      <c r="E1036" t="s">
        <v>20</v>
      </c>
      <c r="F1036" t="s">
        <v>41</v>
      </c>
      <c r="G1036" t="s">
        <v>22</v>
      </c>
      <c r="H1036">
        <v>220000</v>
      </c>
      <c r="I1036">
        <v>10</v>
      </c>
      <c r="J1036" t="s">
        <v>24</v>
      </c>
      <c r="K1036">
        <f t="shared" si="16"/>
        <v>176000</v>
      </c>
      <c r="L1036">
        <f>Sales_Data2[[#This Row],[Unit Price]]*Sales_Data2[[#This Row],[Quantity]]</f>
        <v>2200000</v>
      </c>
      <c r="M1036">
        <f>Sales_Data2[[#This Row],[Cost Price]]*Sales_Data2[[#This Row],[Quantity]]</f>
        <v>1760000</v>
      </c>
      <c r="N1036" s="3">
        <f>Sales_Data2[[#This Row],[Revenue]]-Sales_Data2[[#This Row],[COGS]]</f>
        <v>440000</v>
      </c>
      <c r="O10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46710|West|Lagos|Retail|Store|Refrigerator R55|Home Appliances|220000|10|David|176000</v>
      </c>
      <c r="P1036" s="3" t="str">
        <f>IF(COUNTIF(Sales_Data2[RowKey],Sales_Data2[[#This Row],[RowKey]])&gt;1,"Duplicate","Unique")</f>
        <v>Unique</v>
      </c>
      <c r="Q1036" s="3" t="str">
        <f>IF(ISNUMBER(Sales_Data2[[#This Row],[Date]]),"OK","Check")</f>
        <v>OK</v>
      </c>
      <c r="R1036" s="3" t="str">
        <f>IF(ISNUMBER(Sales_Data2[[#This Row],[Quantity]]),"OK","Check")</f>
        <v>OK</v>
      </c>
    </row>
    <row r="1037" spans="1:18">
      <c r="A1037" s="1">
        <v>46711</v>
      </c>
      <c r="B1037" t="s">
        <v>25</v>
      </c>
      <c r="C1037" t="s">
        <v>26</v>
      </c>
      <c r="D1037" t="s">
        <v>23</v>
      </c>
      <c r="E1037" t="s">
        <v>20</v>
      </c>
      <c r="F1037" t="s">
        <v>33</v>
      </c>
      <c r="G1037" t="s">
        <v>22</v>
      </c>
      <c r="H1037">
        <v>180000</v>
      </c>
      <c r="I1037">
        <v>10</v>
      </c>
      <c r="J1037" t="s">
        <v>39</v>
      </c>
      <c r="K1037">
        <f t="shared" si="16"/>
        <v>144000</v>
      </c>
      <c r="L1037">
        <f>Sales_Data2[[#This Row],[Unit Price]]*Sales_Data2[[#This Row],[Quantity]]</f>
        <v>1800000</v>
      </c>
      <c r="M1037">
        <f>Sales_Data2[[#This Row],[Cost Price]]*Sales_Data2[[#This Row],[Quantity]]</f>
        <v>1440000</v>
      </c>
      <c r="N1037" s="3">
        <f>Sales_Data2[[#This Row],[Revenue]]-Sales_Data2[[#This Row],[COGS]]</f>
        <v>360000</v>
      </c>
      <c r="O10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46711|South|Kano|Corporate|Store|Air Conditioner X2|Home Appliances|180000|10|Grace|144000</v>
      </c>
      <c r="P1037" s="3" t="str">
        <f>IF(COUNTIF(Sales_Data2[RowKey],Sales_Data2[[#This Row],[RowKey]])&gt;1,"Duplicate","Unique")</f>
        <v>Unique</v>
      </c>
      <c r="Q1037" s="3" t="str">
        <f>IF(ISNUMBER(Sales_Data2[[#This Row],[Date]]),"OK","Check")</f>
        <v>OK</v>
      </c>
      <c r="R1037" s="3" t="str">
        <f>IF(ISNUMBER(Sales_Data2[[#This Row],[Quantity]]),"OK","Check")</f>
        <v>OK</v>
      </c>
    </row>
    <row r="1038" spans="1:18">
      <c r="A1038" s="1">
        <v>46712</v>
      </c>
      <c r="B1038" t="s">
        <v>25</v>
      </c>
      <c r="C1038" t="s">
        <v>12</v>
      </c>
      <c r="D1038" t="s">
        <v>13</v>
      </c>
      <c r="E1038" t="s">
        <v>14</v>
      </c>
      <c r="F1038" t="s">
        <v>38</v>
      </c>
      <c r="G1038" t="s">
        <v>31</v>
      </c>
      <c r="H1038">
        <v>420000</v>
      </c>
      <c r="I1038">
        <v>3</v>
      </c>
      <c r="J1038" t="s">
        <v>37</v>
      </c>
      <c r="K1038">
        <f t="shared" si="16"/>
        <v>336000</v>
      </c>
      <c r="L1038">
        <f>Sales_Data2[[#This Row],[Unit Price]]*Sales_Data2[[#This Row],[Quantity]]</f>
        <v>1260000</v>
      </c>
      <c r="M1038">
        <f>Sales_Data2[[#This Row],[Cost Price]]*Sales_Data2[[#This Row],[Quantity]]</f>
        <v>1008000</v>
      </c>
      <c r="N1038" s="3">
        <f>Sales_Data2[[#This Row],[Revenue]]-Sales_Data2[[#This Row],[COGS]]</f>
        <v>252000</v>
      </c>
      <c r="O10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46712|South|Port Harcourt|Retail|Online|Laptop A13|Electronics|420000|3|Aisha|336000</v>
      </c>
      <c r="P1038" s="3" t="str">
        <f>IF(COUNTIF(Sales_Data2[RowKey],Sales_Data2[[#This Row],[RowKey]])&gt;1,"Duplicate","Unique")</f>
        <v>Unique</v>
      </c>
      <c r="Q1038" s="3" t="str">
        <f>IF(ISNUMBER(Sales_Data2[[#This Row],[Date]]),"OK","Check")</f>
        <v>OK</v>
      </c>
      <c r="R1038" s="3" t="str">
        <f>IF(ISNUMBER(Sales_Data2[[#This Row],[Quantity]]),"OK","Check")</f>
        <v>OK</v>
      </c>
    </row>
    <row r="1039" spans="1:18">
      <c r="A1039" s="1">
        <v>46713</v>
      </c>
      <c r="B1039" t="s">
        <v>11</v>
      </c>
      <c r="C1039" t="s">
        <v>32</v>
      </c>
      <c r="D1039" t="s">
        <v>23</v>
      </c>
      <c r="E1039" t="s">
        <v>14</v>
      </c>
      <c r="F1039" t="s">
        <v>15</v>
      </c>
      <c r="G1039" t="s">
        <v>16</v>
      </c>
      <c r="H1039">
        <v>85000</v>
      </c>
      <c r="I1039">
        <v>4</v>
      </c>
      <c r="J1039" t="s">
        <v>28</v>
      </c>
      <c r="K1039">
        <f t="shared" si="16"/>
        <v>68000</v>
      </c>
      <c r="L1039">
        <f>Sales_Data2[[#This Row],[Unit Price]]*Sales_Data2[[#This Row],[Quantity]]</f>
        <v>340000</v>
      </c>
      <c r="M1039">
        <f>Sales_Data2[[#This Row],[Cost Price]]*Sales_Data2[[#This Row],[Quantity]]</f>
        <v>272000</v>
      </c>
      <c r="N1039" s="3">
        <f>Sales_Data2[[#This Row],[Revenue]]-Sales_Data2[[#This Row],[COGS]]</f>
        <v>68000</v>
      </c>
      <c r="O10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46713|West|Abuja|Corporate|Online|Office Chair Pro|Furniture|85000|4|Musa|68000</v>
      </c>
      <c r="P1039" s="3" t="str">
        <f>IF(COUNTIF(Sales_Data2[RowKey],Sales_Data2[[#This Row],[RowKey]])&gt;1,"Duplicate","Unique")</f>
        <v>Unique</v>
      </c>
      <c r="Q1039" s="3" t="str">
        <f>IF(ISNUMBER(Sales_Data2[[#This Row],[Date]]),"OK","Check")</f>
        <v>OK</v>
      </c>
      <c r="R1039" s="3" t="str">
        <f>IF(ISNUMBER(Sales_Data2[[#This Row],[Quantity]]),"OK","Check")</f>
        <v>OK</v>
      </c>
    </row>
    <row r="1040" spans="1:18">
      <c r="A1040" s="1">
        <v>46714</v>
      </c>
      <c r="B1040" t="s">
        <v>25</v>
      </c>
      <c r="C1040" t="s">
        <v>26</v>
      </c>
      <c r="D1040" t="s">
        <v>23</v>
      </c>
      <c r="E1040" t="s">
        <v>14</v>
      </c>
      <c r="F1040" t="s">
        <v>34</v>
      </c>
      <c r="G1040" t="s">
        <v>16</v>
      </c>
      <c r="H1040">
        <v>320000</v>
      </c>
      <c r="I1040">
        <v>4</v>
      </c>
      <c r="J1040" t="s">
        <v>35</v>
      </c>
      <c r="K1040">
        <f t="shared" si="16"/>
        <v>256000</v>
      </c>
      <c r="L1040">
        <f>Sales_Data2[[#This Row],[Unit Price]]*Sales_Data2[[#This Row],[Quantity]]</f>
        <v>1280000</v>
      </c>
      <c r="M1040">
        <f>Sales_Data2[[#This Row],[Cost Price]]*Sales_Data2[[#This Row],[Quantity]]</f>
        <v>1024000</v>
      </c>
      <c r="N1040" s="3">
        <f>Sales_Data2[[#This Row],[Revenue]]-Sales_Data2[[#This Row],[COGS]]</f>
        <v>256000</v>
      </c>
      <c r="O10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46714|South|Kano|Corporate|Online|Sofa Classic|Furniture|320000|4|Peter|256000</v>
      </c>
      <c r="P1040" s="3" t="str">
        <f>IF(COUNTIF(Sales_Data2[RowKey],Sales_Data2[[#This Row],[RowKey]])&gt;1,"Duplicate","Unique")</f>
        <v>Unique</v>
      </c>
      <c r="Q1040" s="3" t="str">
        <f>IF(ISNUMBER(Sales_Data2[[#This Row],[Date]]),"OK","Check")</f>
        <v>OK</v>
      </c>
      <c r="R1040" s="3" t="str">
        <f>IF(ISNUMBER(Sales_Data2[[#This Row],[Quantity]]),"OK","Check")</f>
        <v>OK</v>
      </c>
    </row>
    <row r="1041" spans="1:18">
      <c r="A1041" s="1">
        <v>46715</v>
      </c>
      <c r="B1041" t="s">
        <v>11</v>
      </c>
      <c r="C1041" t="s">
        <v>32</v>
      </c>
      <c r="D1041" t="s">
        <v>13</v>
      </c>
      <c r="E1041" t="s">
        <v>20</v>
      </c>
      <c r="F1041" t="s">
        <v>41</v>
      </c>
      <c r="G1041" t="s">
        <v>22</v>
      </c>
      <c r="H1041">
        <v>220000</v>
      </c>
      <c r="I1041">
        <v>1</v>
      </c>
      <c r="J1041" t="s">
        <v>37</v>
      </c>
      <c r="K1041">
        <f t="shared" si="16"/>
        <v>176000</v>
      </c>
      <c r="L1041">
        <f>Sales_Data2[[#This Row],[Unit Price]]*Sales_Data2[[#This Row],[Quantity]]</f>
        <v>220000</v>
      </c>
      <c r="M1041">
        <f>Sales_Data2[[#This Row],[Cost Price]]*Sales_Data2[[#This Row],[Quantity]]</f>
        <v>176000</v>
      </c>
      <c r="N1041" s="3">
        <f>Sales_Data2[[#This Row],[Revenue]]-Sales_Data2[[#This Row],[COGS]]</f>
        <v>44000</v>
      </c>
      <c r="O10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46715|West|Abuja|Retail|Store|Refrigerator R55|Home Appliances|220000|1|Aisha|176000</v>
      </c>
      <c r="P1041" s="3" t="str">
        <f>IF(COUNTIF(Sales_Data2[RowKey],Sales_Data2[[#This Row],[RowKey]])&gt;1,"Duplicate","Unique")</f>
        <v>Unique</v>
      </c>
      <c r="Q1041" s="3" t="str">
        <f>IF(ISNUMBER(Sales_Data2[[#This Row],[Date]]),"OK","Check")</f>
        <v>OK</v>
      </c>
      <c r="R1041" s="3" t="str">
        <f>IF(ISNUMBER(Sales_Data2[[#This Row],[Quantity]]),"OK","Check")</f>
        <v>OK</v>
      </c>
    </row>
    <row r="1042" spans="1:18">
      <c r="A1042" s="1">
        <v>46716</v>
      </c>
      <c r="B1042" t="s">
        <v>25</v>
      </c>
      <c r="C1042" t="s">
        <v>19</v>
      </c>
      <c r="D1042" t="s">
        <v>23</v>
      </c>
      <c r="E1042" t="s">
        <v>20</v>
      </c>
      <c r="F1042" t="s">
        <v>15</v>
      </c>
      <c r="G1042" t="s">
        <v>16</v>
      </c>
      <c r="H1042">
        <v>85000</v>
      </c>
      <c r="I1042">
        <v>1</v>
      </c>
      <c r="J1042" t="s">
        <v>24</v>
      </c>
      <c r="K1042">
        <f t="shared" si="16"/>
        <v>68000</v>
      </c>
      <c r="L1042">
        <f>Sales_Data2[[#This Row],[Unit Price]]*Sales_Data2[[#This Row],[Quantity]]</f>
        <v>85000</v>
      </c>
      <c r="M1042">
        <f>Sales_Data2[[#This Row],[Cost Price]]*Sales_Data2[[#This Row],[Quantity]]</f>
        <v>68000</v>
      </c>
      <c r="N1042" s="3">
        <f>Sales_Data2[[#This Row],[Revenue]]-Sales_Data2[[#This Row],[COGS]]</f>
        <v>17000</v>
      </c>
      <c r="O10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46716|South|Lagos|Corporate|Store|Office Chair Pro|Furniture|85000|1|David|68000</v>
      </c>
      <c r="P1042" s="3" t="str">
        <f>IF(COUNTIF(Sales_Data2[RowKey],Sales_Data2[[#This Row],[RowKey]])&gt;1,"Duplicate","Unique")</f>
        <v>Unique</v>
      </c>
      <c r="Q1042" s="3" t="str">
        <f>IF(ISNUMBER(Sales_Data2[[#This Row],[Date]]),"OK","Check")</f>
        <v>OK</v>
      </c>
      <c r="R1042" s="3" t="str">
        <f>IF(ISNUMBER(Sales_Data2[[#This Row],[Quantity]]),"OK","Check")</f>
        <v>OK</v>
      </c>
    </row>
    <row r="1043" spans="1:18">
      <c r="A1043" s="1">
        <v>46717</v>
      </c>
      <c r="B1043" t="s">
        <v>11</v>
      </c>
      <c r="C1043" t="s">
        <v>32</v>
      </c>
      <c r="D1043" t="s">
        <v>13</v>
      </c>
      <c r="E1043" t="s">
        <v>14</v>
      </c>
      <c r="F1043" t="s">
        <v>36</v>
      </c>
      <c r="G1043" t="s">
        <v>31</v>
      </c>
      <c r="H1043">
        <v>150000</v>
      </c>
      <c r="I1043">
        <v>8</v>
      </c>
      <c r="J1043" t="s">
        <v>39</v>
      </c>
      <c r="K1043">
        <f t="shared" si="16"/>
        <v>120000</v>
      </c>
      <c r="L1043">
        <f>Sales_Data2[[#This Row],[Unit Price]]*Sales_Data2[[#This Row],[Quantity]]</f>
        <v>1200000</v>
      </c>
      <c r="M1043">
        <f>Sales_Data2[[#This Row],[Cost Price]]*Sales_Data2[[#This Row],[Quantity]]</f>
        <v>960000</v>
      </c>
      <c r="N1043" s="3">
        <f>Sales_Data2[[#This Row],[Revenue]]-Sales_Data2[[#This Row],[COGS]]</f>
        <v>240000</v>
      </c>
      <c r="O10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46717|West|Abuja|Retail|Online|Printer P50|Electronics|150000|8|Grace|120000</v>
      </c>
      <c r="P1043" s="3" t="str">
        <f>IF(COUNTIF(Sales_Data2[RowKey],Sales_Data2[[#This Row],[RowKey]])&gt;1,"Duplicate","Unique")</f>
        <v>Unique</v>
      </c>
      <c r="Q1043" s="3" t="str">
        <f>IF(ISNUMBER(Sales_Data2[[#This Row],[Date]]),"OK","Check")</f>
        <v>OK</v>
      </c>
      <c r="R1043" s="3" t="str">
        <f>IF(ISNUMBER(Sales_Data2[[#This Row],[Quantity]]),"OK","Check")</f>
        <v>OK</v>
      </c>
    </row>
    <row r="1044" spans="1:18">
      <c r="A1044" s="1">
        <v>46718</v>
      </c>
      <c r="B1044" t="s">
        <v>29</v>
      </c>
      <c r="C1044" t="s">
        <v>19</v>
      </c>
      <c r="D1044" t="s">
        <v>23</v>
      </c>
      <c r="E1044" t="s">
        <v>14</v>
      </c>
      <c r="F1044" t="s">
        <v>36</v>
      </c>
      <c r="G1044" t="s">
        <v>31</v>
      </c>
      <c r="H1044">
        <v>150000</v>
      </c>
      <c r="I1044">
        <v>9</v>
      </c>
      <c r="J1044" t="s">
        <v>17</v>
      </c>
      <c r="K1044">
        <f t="shared" si="16"/>
        <v>120000</v>
      </c>
      <c r="L1044">
        <f>Sales_Data2[[#This Row],[Unit Price]]*Sales_Data2[[#This Row],[Quantity]]</f>
        <v>1350000</v>
      </c>
      <c r="M1044">
        <f>Sales_Data2[[#This Row],[Cost Price]]*Sales_Data2[[#This Row],[Quantity]]</f>
        <v>1080000</v>
      </c>
      <c r="N1044" s="3">
        <f>Sales_Data2[[#This Row],[Revenue]]-Sales_Data2[[#This Row],[COGS]]</f>
        <v>270000</v>
      </c>
      <c r="O10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46718|North|Lagos|Corporate|Online|Printer P50|Electronics|150000|9|Chidinma|120000</v>
      </c>
      <c r="P1044" s="3" t="str">
        <f>IF(COUNTIF(Sales_Data2[RowKey],Sales_Data2[[#This Row],[RowKey]])&gt;1,"Duplicate","Unique")</f>
        <v>Unique</v>
      </c>
      <c r="Q1044" s="3" t="str">
        <f>IF(ISNUMBER(Sales_Data2[[#This Row],[Date]]),"OK","Check")</f>
        <v>OK</v>
      </c>
      <c r="R1044" s="3" t="str">
        <f>IF(ISNUMBER(Sales_Data2[[#This Row],[Quantity]]),"OK","Check")</f>
        <v>OK</v>
      </c>
    </row>
    <row r="1045" spans="1:18">
      <c r="A1045" s="1">
        <v>46719</v>
      </c>
      <c r="B1045" t="s">
        <v>11</v>
      </c>
      <c r="C1045" t="s">
        <v>19</v>
      </c>
      <c r="D1045" t="s">
        <v>23</v>
      </c>
      <c r="E1045" t="s">
        <v>14</v>
      </c>
      <c r="F1045" t="s">
        <v>30</v>
      </c>
      <c r="G1045" t="s">
        <v>31</v>
      </c>
      <c r="H1045">
        <v>300000</v>
      </c>
      <c r="I1045">
        <v>3</v>
      </c>
      <c r="J1045" t="s">
        <v>17</v>
      </c>
      <c r="K1045">
        <f t="shared" si="16"/>
        <v>240000</v>
      </c>
      <c r="L1045">
        <f>Sales_Data2[[#This Row],[Unit Price]]*Sales_Data2[[#This Row],[Quantity]]</f>
        <v>900000</v>
      </c>
      <c r="M1045">
        <f>Sales_Data2[[#This Row],[Cost Price]]*Sales_Data2[[#This Row],[Quantity]]</f>
        <v>720000</v>
      </c>
      <c r="N1045" s="3">
        <f>Sales_Data2[[#This Row],[Revenue]]-Sales_Data2[[#This Row],[COGS]]</f>
        <v>180000</v>
      </c>
      <c r="O10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46719|West|Lagos|Corporate|Online|Desktop PC D21|Electronics|300000|3|Chidinma|240000</v>
      </c>
      <c r="P1045" s="3" t="str">
        <f>IF(COUNTIF(Sales_Data2[RowKey],Sales_Data2[[#This Row],[RowKey]])&gt;1,"Duplicate","Unique")</f>
        <v>Unique</v>
      </c>
      <c r="Q1045" s="3" t="str">
        <f>IF(ISNUMBER(Sales_Data2[[#This Row],[Date]]),"OK","Check")</f>
        <v>OK</v>
      </c>
      <c r="R1045" s="3" t="str">
        <f>IF(ISNUMBER(Sales_Data2[[#This Row],[Quantity]]),"OK","Check")</f>
        <v>OK</v>
      </c>
    </row>
    <row r="1046" spans="1:18">
      <c r="A1046" s="1">
        <v>46720</v>
      </c>
      <c r="B1046" t="s">
        <v>29</v>
      </c>
      <c r="C1046" t="s">
        <v>32</v>
      </c>
      <c r="D1046" t="s">
        <v>23</v>
      </c>
      <c r="E1046" t="s">
        <v>14</v>
      </c>
      <c r="F1046" t="s">
        <v>36</v>
      </c>
      <c r="G1046" t="s">
        <v>31</v>
      </c>
      <c r="H1046">
        <v>150000</v>
      </c>
      <c r="I1046">
        <v>10</v>
      </c>
      <c r="J1046" t="s">
        <v>35</v>
      </c>
      <c r="K1046">
        <f t="shared" si="16"/>
        <v>120000</v>
      </c>
      <c r="L1046">
        <f>Sales_Data2[[#This Row],[Unit Price]]*Sales_Data2[[#This Row],[Quantity]]</f>
        <v>1500000</v>
      </c>
      <c r="M1046">
        <f>Sales_Data2[[#This Row],[Cost Price]]*Sales_Data2[[#This Row],[Quantity]]</f>
        <v>1200000</v>
      </c>
      <c r="N1046" s="3">
        <f>Sales_Data2[[#This Row],[Revenue]]-Sales_Data2[[#This Row],[COGS]]</f>
        <v>300000</v>
      </c>
      <c r="O10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46720|North|Abuja|Corporate|Online|Printer P50|Electronics|150000|10|Peter|120000</v>
      </c>
      <c r="P1046" s="3" t="str">
        <f>IF(COUNTIF(Sales_Data2[RowKey],Sales_Data2[[#This Row],[RowKey]])&gt;1,"Duplicate","Unique")</f>
        <v>Unique</v>
      </c>
      <c r="Q1046" s="3" t="str">
        <f>IF(ISNUMBER(Sales_Data2[[#This Row],[Date]]),"OK","Check")</f>
        <v>OK</v>
      </c>
      <c r="R1046" s="3" t="str">
        <f>IF(ISNUMBER(Sales_Data2[[#This Row],[Quantity]]),"OK","Check")</f>
        <v>OK</v>
      </c>
    </row>
    <row r="1047" spans="1:18">
      <c r="A1047" s="1">
        <v>46721</v>
      </c>
      <c r="B1047" t="s">
        <v>11</v>
      </c>
      <c r="C1047" t="s">
        <v>32</v>
      </c>
      <c r="D1047" t="s">
        <v>13</v>
      </c>
      <c r="E1047" t="s">
        <v>20</v>
      </c>
      <c r="F1047" t="s">
        <v>15</v>
      </c>
      <c r="G1047" t="s">
        <v>16</v>
      </c>
      <c r="H1047">
        <v>85000</v>
      </c>
      <c r="I1047">
        <v>2</v>
      </c>
      <c r="J1047" t="s">
        <v>35</v>
      </c>
      <c r="K1047">
        <f t="shared" si="16"/>
        <v>68000</v>
      </c>
      <c r="L1047">
        <f>Sales_Data2[[#This Row],[Unit Price]]*Sales_Data2[[#This Row],[Quantity]]</f>
        <v>170000</v>
      </c>
      <c r="M1047">
        <f>Sales_Data2[[#This Row],[Cost Price]]*Sales_Data2[[#This Row],[Quantity]]</f>
        <v>136000</v>
      </c>
      <c r="N1047" s="3">
        <f>Sales_Data2[[#This Row],[Revenue]]-Sales_Data2[[#This Row],[COGS]]</f>
        <v>34000</v>
      </c>
      <c r="O10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46721|West|Abuja|Retail|Store|Office Chair Pro|Furniture|85000|2|Peter|68000</v>
      </c>
      <c r="P1047" s="3" t="str">
        <f>IF(COUNTIF(Sales_Data2[RowKey],Sales_Data2[[#This Row],[RowKey]])&gt;1,"Duplicate","Unique")</f>
        <v>Unique</v>
      </c>
      <c r="Q1047" s="3" t="str">
        <f>IF(ISNUMBER(Sales_Data2[[#This Row],[Date]]),"OK","Check")</f>
        <v>OK</v>
      </c>
      <c r="R1047" s="3" t="str">
        <f>IF(ISNUMBER(Sales_Data2[[#This Row],[Quantity]]),"OK","Check")</f>
        <v>OK</v>
      </c>
    </row>
    <row r="1048" spans="1:18">
      <c r="A1048" s="1">
        <v>46722</v>
      </c>
      <c r="B1048" t="s">
        <v>18</v>
      </c>
      <c r="C1048" t="s">
        <v>12</v>
      </c>
      <c r="D1048" t="s">
        <v>23</v>
      </c>
      <c r="E1048" t="s">
        <v>20</v>
      </c>
      <c r="F1048" t="s">
        <v>38</v>
      </c>
      <c r="G1048" t="s">
        <v>31</v>
      </c>
      <c r="H1048">
        <v>420000</v>
      </c>
      <c r="I1048">
        <v>9</v>
      </c>
      <c r="J1048" t="s">
        <v>24</v>
      </c>
      <c r="K1048">
        <f t="shared" si="16"/>
        <v>336000</v>
      </c>
      <c r="L1048">
        <f>Sales_Data2[[#This Row],[Unit Price]]*Sales_Data2[[#This Row],[Quantity]]</f>
        <v>3780000</v>
      </c>
      <c r="M1048">
        <f>Sales_Data2[[#This Row],[Cost Price]]*Sales_Data2[[#This Row],[Quantity]]</f>
        <v>3024000</v>
      </c>
      <c r="N1048" s="3">
        <f>Sales_Data2[[#This Row],[Revenue]]-Sales_Data2[[#This Row],[COGS]]</f>
        <v>756000</v>
      </c>
      <c r="O10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46722|East|Port Harcourt|Corporate|Store|Laptop A13|Electronics|420000|9|David|336000</v>
      </c>
      <c r="P1048" s="3" t="str">
        <f>IF(COUNTIF(Sales_Data2[RowKey],Sales_Data2[[#This Row],[RowKey]])&gt;1,"Duplicate","Unique")</f>
        <v>Unique</v>
      </c>
      <c r="Q1048" s="3" t="str">
        <f>IF(ISNUMBER(Sales_Data2[[#This Row],[Date]]),"OK","Check")</f>
        <v>OK</v>
      </c>
      <c r="R1048" s="3" t="str">
        <f>IF(ISNUMBER(Sales_Data2[[#This Row],[Quantity]]),"OK","Check")</f>
        <v>OK</v>
      </c>
    </row>
    <row r="1049" spans="1:18">
      <c r="A1049" s="1">
        <v>46723</v>
      </c>
      <c r="B1049" t="s">
        <v>11</v>
      </c>
      <c r="C1049" t="s">
        <v>19</v>
      </c>
      <c r="D1049" t="s">
        <v>23</v>
      </c>
      <c r="E1049" t="s">
        <v>14</v>
      </c>
      <c r="F1049" t="s">
        <v>30</v>
      </c>
      <c r="G1049" t="s">
        <v>31</v>
      </c>
      <c r="H1049">
        <v>300000</v>
      </c>
      <c r="I1049">
        <v>2</v>
      </c>
      <c r="J1049" t="s">
        <v>39</v>
      </c>
      <c r="K1049">
        <f t="shared" si="16"/>
        <v>240000</v>
      </c>
      <c r="L1049">
        <f>Sales_Data2[[#This Row],[Unit Price]]*Sales_Data2[[#This Row],[Quantity]]</f>
        <v>600000</v>
      </c>
      <c r="M1049">
        <f>Sales_Data2[[#This Row],[Cost Price]]*Sales_Data2[[#This Row],[Quantity]]</f>
        <v>480000</v>
      </c>
      <c r="N1049" s="3">
        <f>Sales_Data2[[#This Row],[Revenue]]-Sales_Data2[[#This Row],[COGS]]</f>
        <v>120000</v>
      </c>
      <c r="O10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46723|West|Lagos|Corporate|Online|Desktop PC D21|Electronics|300000|2|Grace|240000</v>
      </c>
      <c r="P1049" s="3" t="str">
        <f>IF(COUNTIF(Sales_Data2[RowKey],Sales_Data2[[#This Row],[RowKey]])&gt;1,"Duplicate","Unique")</f>
        <v>Unique</v>
      </c>
      <c r="Q1049" s="3" t="str">
        <f>IF(ISNUMBER(Sales_Data2[[#This Row],[Date]]),"OK","Check")</f>
        <v>OK</v>
      </c>
      <c r="R1049" s="3" t="str">
        <f>IF(ISNUMBER(Sales_Data2[[#This Row],[Quantity]]),"OK","Check")</f>
        <v>OK</v>
      </c>
    </row>
    <row r="1050" spans="1:18">
      <c r="A1050" s="1">
        <v>46724</v>
      </c>
      <c r="B1050" t="s">
        <v>18</v>
      </c>
      <c r="C1050" t="s">
        <v>26</v>
      </c>
      <c r="D1050" t="s">
        <v>23</v>
      </c>
      <c r="E1050" t="s">
        <v>14</v>
      </c>
      <c r="F1050" t="s">
        <v>36</v>
      </c>
      <c r="G1050" t="s">
        <v>31</v>
      </c>
      <c r="H1050">
        <v>150000</v>
      </c>
      <c r="I1050">
        <v>4</v>
      </c>
      <c r="J1050" t="s">
        <v>37</v>
      </c>
      <c r="K1050">
        <f t="shared" si="16"/>
        <v>120000</v>
      </c>
      <c r="L1050">
        <f>Sales_Data2[[#This Row],[Unit Price]]*Sales_Data2[[#This Row],[Quantity]]</f>
        <v>600000</v>
      </c>
      <c r="M1050">
        <f>Sales_Data2[[#This Row],[Cost Price]]*Sales_Data2[[#This Row],[Quantity]]</f>
        <v>480000</v>
      </c>
      <c r="N1050" s="3">
        <f>Sales_Data2[[#This Row],[Revenue]]-Sales_Data2[[#This Row],[COGS]]</f>
        <v>120000</v>
      </c>
      <c r="O10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46724|East|Kano|Corporate|Online|Printer P50|Electronics|150000|4|Aisha|120000</v>
      </c>
      <c r="P1050" s="3" t="str">
        <f>IF(COUNTIF(Sales_Data2[RowKey],Sales_Data2[[#This Row],[RowKey]])&gt;1,"Duplicate","Unique")</f>
        <v>Unique</v>
      </c>
      <c r="Q1050" s="3" t="str">
        <f>IF(ISNUMBER(Sales_Data2[[#This Row],[Date]]),"OK","Check")</f>
        <v>OK</v>
      </c>
      <c r="R1050" s="3" t="str">
        <f>IF(ISNUMBER(Sales_Data2[[#This Row],[Quantity]]),"OK","Check")</f>
        <v>OK</v>
      </c>
    </row>
    <row r="1051" spans="1:18">
      <c r="A1051" s="1">
        <v>46725</v>
      </c>
      <c r="B1051" t="s">
        <v>18</v>
      </c>
      <c r="C1051" t="s">
        <v>19</v>
      </c>
      <c r="D1051" t="s">
        <v>13</v>
      </c>
      <c r="E1051" t="s">
        <v>14</v>
      </c>
      <c r="F1051" t="s">
        <v>38</v>
      </c>
      <c r="G1051" t="s">
        <v>31</v>
      </c>
      <c r="H1051">
        <v>420000</v>
      </c>
      <c r="I1051">
        <v>9</v>
      </c>
      <c r="J1051" t="s">
        <v>24</v>
      </c>
      <c r="K1051">
        <f t="shared" si="16"/>
        <v>336000</v>
      </c>
      <c r="L1051">
        <f>Sales_Data2[[#This Row],[Unit Price]]*Sales_Data2[[#This Row],[Quantity]]</f>
        <v>3780000</v>
      </c>
      <c r="M1051">
        <f>Sales_Data2[[#This Row],[Cost Price]]*Sales_Data2[[#This Row],[Quantity]]</f>
        <v>3024000</v>
      </c>
      <c r="N1051" s="3">
        <f>Sales_Data2[[#This Row],[Revenue]]-Sales_Data2[[#This Row],[COGS]]</f>
        <v>756000</v>
      </c>
      <c r="O10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46725|East|Lagos|Retail|Online|Laptop A13|Electronics|420000|9|David|336000</v>
      </c>
      <c r="P1051" s="3" t="str">
        <f>IF(COUNTIF(Sales_Data2[RowKey],Sales_Data2[[#This Row],[RowKey]])&gt;1,"Duplicate","Unique")</f>
        <v>Unique</v>
      </c>
      <c r="Q1051" s="3" t="str">
        <f>IF(ISNUMBER(Sales_Data2[[#This Row],[Date]]),"OK","Check")</f>
        <v>OK</v>
      </c>
      <c r="R1051" s="3" t="str">
        <f>IF(ISNUMBER(Sales_Data2[[#This Row],[Quantity]]),"OK","Check")</f>
        <v>OK</v>
      </c>
    </row>
    <row r="1052" spans="1:18">
      <c r="A1052" s="1">
        <v>46726</v>
      </c>
      <c r="B1052" t="s">
        <v>29</v>
      </c>
      <c r="C1052" t="s">
        <v>26</v>
      </c>
      <c r="D1052" t="s">
        <v>13</v>
      </c>
      <c r="E1052" t="s">
        <v>20</v>
      </c>
      <c r="F1052" t="s">
        <v>40</v>
      </c>
      <c r="G1052" t="s">
        <v>31</v>
      </c>
      <c r="H1052">
        <v>250000</v>
      </c>
      <c r="I1052">
        <v>5</v>
      </c>
      <c r="J1052" t="s">
        <v>24</v>
      </c>
      <c r="K1052">
        <f t="shared" si="16"/>
        <v>200000</v>
      </c>
      <c r="L1052">
        <f>Sales_Data2[[#This Row],[Unit Price]]*Sales_Data2[[#This Row],[Quantity]]</f>
        <v>1250000</v>
      </c>
      <c r="M1052">
        <f>Sales_Data2[[#This Row],[Cost Price]]*Sales_Data2[[#This Row],[Quantity]]</f>
        <v>1000000</v>
      </c>
      <c r="N1052" s="3">
        <f>Sales_Data2[[#This Row],[Revenue]]-Sales_Data2[[#This Row],[COGS]]</f>
        <v>250000</v>
      </c>
      <c r="O10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46726|North|Kano|Retail|Store|Smartphone Z10|Electronics|250000|5|David|200000</v>
      </c>
      <c r="P1052" s="3" t="str">
        <f>IF(COUNTIF(Sales_Data2[RowKey],Sales_Data2[[#This Row],[RowKey]])&gt;1,"Duplicate","Unique")</f>
        <v>Unique</v>
      </c>
      <c r="Q1052" s="3" t="str">
        <f>IF(ISNUMBER(Sales_Data2[[#This Row],[Date]]),"OK","Check")</f>
        <v>OK</v>
      </c>
      <c r="R1052" s="3" t="str">
        <f>IF(ISNUMBER(Sales_Data2[[#This Row],[Quantity]]),"OK","Check")</f>
        <v>OK</v>
      </c>
    </row>
    <row r="1053" spans="1:18">
      <c r="A1053" s="1">
        <v>46727</v>
      </c>
      <c r="B1053" t="s">
        <v>29</v>
      </c>
      <c r="C1053" t="s">
        <v>32</v>
      </c>
      <c r="D1053" t="s">
        <v>23</v>
      </c>
      <c r="E1053" t="s">
        <v>14</v>
      </c>
      <c r="F1053" t="s">
        <v>21</v>
      </c>
      <c r="G1053" t="s">
        <v>22</v>
      </c>
      <c r="H1053">
        <v>30000</v>
      </c>
      <c r="I1053">
        <v>10</v>
      </c>
      <c r="J1053" t="s">
        <v>37</v>
      </c>
      <c r="K1053">
        <f t="shared" si="16"/>
        <v>24000</v>
      </c>
      <c r="L1053">
        <f>Sales_Data2[[#This Row],[Unit Price]]*Sales_Data2[[#This Row],[Quantity]]</f>
        <v>300000</v>
      </c>
      <c r="M1053">
        <f>Sales_Data2[[#This Row],[Cost Price]]*Sales_Data2[[#This Row],[Quantity]]</f>
        <v>240000</v>
      </c>
      <c r="N1053" s="3">
        <f>Sales_Data2[[#This Row],[Revenue]]-Sales_Data2[[#This Row],[COGS]]</f>
        <v>60000</v>
      </c>
      <c r="O10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46727|North|Abuja|Corporate|Online|Blender B10|Home Appliances|30000|10|Aisha|24000</v>
      </c>
      <c r="P1053" s="3" t="str">
        <f>IF(COUNTIF(Sales_Data2[RowKey],Sales_Data2[[#This Row],[RowKey]])&gt;1,"Duplicate","Unique")</f>
        <v>Unique</v>
      </c>
      <c r="Q1053" s="3" t="str">
        <f>IF(ISNUMBER(Sales_Data2[[#This Row],[Date]]),"OK","Check")</f>
        <v>OK</v>
      </c>
      <c r="R1053" s="3" t="str">
        <f>IF(ISNUMBER(Sales_Data2[[#This Row],[Quantity]]),"OK","Check")</f>
        <v>OK</v>
      </c>
    </row>
    <row r="1054" spans="1:18">
      <c r="A1054" s="1">
        <v>46728</v>
      </c>
      <c r="B1054" t="s">
        <v>25</v>
      </c>
      <c r="C1054" t="s">
        <v>26</v>
      </c>
      <c r="D1054" t="s">
        <v>13</v>
      </c>
      <c r="E1054" t="s">
        <v>20</v>
      </c>
      <c r="F1054" t="s">
        <v>38</v>
      </c>
      <c r="G1054" t="s">
        <v>31</v>
      </c>
      <c r="H1054">
        <v>420000</v>
      </c>
      <c r="I1054">
        <v>3</v>
      </c>
      <c r="J1054" t="s">
        <v>17</v>
      </c>
      <c r="K1054">
        <f t="shared" si="16"/>
        <v>336000</v>
      </c>
      <c r="L1054">
        <f>Sales_Data2[[#This Row],[Unit Price]]*Sales_Data2[[#This Row],[Quantity]]</f>
        <v>1260000</v>
      </c>
      <c r="M1054">
        <f>Sales_Data2[[#This Row],[Cost Price]]*Sales_Data2[[#This Row],[Quantity]]</f>
        <v>1008000</v>
      </c>
      <c r="N1054" s="3">
        <f>Sales_Data2[[#This Row],[Revenue]]-Sales_Data2[[#This Row],[COGS]]</f>
        <v>252000</v>
      </c>
      <c r="O10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46728|South|Kano|Retail|Store|Laptop A13|Electronics|420000|3|Chidinma|336000</v>
      </c>
      <c r="P1054" s="3" t="str">
        <f>IF(COUNTIF(Sales_Data2[RowKey],Sales_Data2[[#This Row],[RowKey]])&gt;1,"Duplicate","Unique")</f>
        <v>Unique</v>
      </c>
      <c r="Q1054" s="3" t="str">
        <f>IF(ISNUMBER(Sales_Data2[[#This Row],[Date]]),"OK","Check")</f>
        <v>OK</v>
      </c>
      <c r="R1054" s="3" t="str">
        <f>IF(ISNUMBER(Sales_Data2[[#This Row],[Quantity]]),"OK","Check")</f>
        <v>OK</v>
      </c>
    </row>
    <row r="1055" spans="1:18">
      <c r="A1055" s="1">
        <v>46729</v>
      </c>
      <c r="B1055" t="s">
        <v>25</v>
      </c>
      <c r="C1055" t="s">
        <v>32</v>
      </c>
      <c r="D1055" t="s">
        <v>13</v>
      </c>
      <c r="E1055" t="s">
        <v>14</v>
      </c>
      <c r="F1055" t="s">
        <v>34</v>
      </c>
      <c r="G1055" t="s">
        <v>16</v>
      </c>
      <c r="H1055">
        <v>320000</v>
      </c>
      <c r="I1055">
        <v>8</v>
      </c>
      <c r="J1055" t="s">
        <v>37</v>
      </c>
      <c r="K1055">
        <f t="shared" si="16"/>
        <v>256000</v>
      </c>
      <c r="L1055">
        <f>Sales_Data2[[#This Row],[Unit Price]]*Sales_Data2[[#This Row],[Quantity]]</f>
        <v>2560000</v>
      </c>
      <c r="M1055">
        <f>Sales_Data2[[#This Row],[Cost Price]]*Sales_Data2[[#This Row],[Quantity]]</f>
        <v>2048000</v>
      </c>
      <c r="N1055" s="3">
        <f>Sales_Data2[[#This Row],[Revenue]]-Sales_Data2[[#This Row],[COGS]]</f>
        <v>512000</v>
      </c>
      <c r="O10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46729|South|Abuja|Retail|Online|Sofa Classic|Furniture|320000|8|Aisha|256000</v>
      </c>
      <c r="P1055" s="3" t="str">
        <f>IF(COUNTIF(Sales_Data2[RowKey],Sales_Data2[[#This Row],[RowKey]])&gt;1,"Duplicate","Unique")</f>
        <v>Unique</v>
      </c>
      <c r="Q1055" s="3" t="str">
        <f>IF(ISNUMBER(Sales_Data2[[#This Row],[Date]]),"OK","Check")</f>
        <v>OK</v>
      </c>
      <c r="R1055" s="3" t="str">
        <f>IF(ISNUMBER(Sales_Data2[[#This Row],[Quantity]]),"OK","Check")</f>
        <v>OK</v>
      </c>
    </row>
    <row r="1056" spans="1:18">
      <c r="A1056" s="1">
        <v>46730</v>
      </c>
      <c r="B1056" t="s">
        <v>29</v>
      </c>
      <c r="C1056" t="s">
        <v>19</v>
      </c>
      <c r="D1056" t="s">
        <v>23</v>
      </c>
      <c r="E1056" t="s">
        <v>14</v>
      </c>
      <c r="F1056" t="s">
        <v>38</v>
      </c>
      <c r="G1056" t="s">
        <v>31</v>
      </c>
      <c r="H1056">
        <v>420000</v>
      </c>
      <c r="I1056">
        <v>8</v>
      </c>
      <c r="J1056" t="s">
        <v>37</v>
      </c>
      <c r="K1056">
        <f t="shared" si="16"/>
        <v>336000</v>
      </c>
      <c r="L1056">
        <f>Sales_Data2[[#This Row],[Unit Price]]*Sales_Data2[[#This Row],[Quantity]]</f>
        <v>3360000</v>
      </c>
      <c r="M1056">
        <f>Sales_Data2[[#This Row],[Cost Price]]*Sales_Data2[[#This Row],[Quantity]]</f>
        <v>2688000</v>
      </c>
      <c r="N1056" s="3">
        <f>Sales_Data2[[#This Row],[Revenue]]-Sales_Data2[[#This Row],[COGS]]</f>
        <v>672000</v>
      </c>
      <c r="O10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46730|North|Lagos|Corporate|Online|Laptop A13|Electronics|420000|8|Aisha|336000</v>
      </c>
      <c r="P1056" s="3" t="str">
        <f>IF(COUNTIF(Sales_Data2[RowKey],Sales_Data2[[#This Row],[RowKey]])&gt;1,"Duplicate","Unique")</f>
        <v>Unique</v>
      </c>
      <c r="Q1056" s="3" t="str">
        <f>IF(ISNUMBER(Sales_Data2[[#This Row],[Date]]),"OK","Check")</f>
        <v>OK</v>
      </c>
      <c r="R1056" s="3" t="str">
        <f>IF(ISNUMBER(Sales_Data2[[#This Row],[Quantity]]),"OK","Check")</f>
        <v>OK</v>
      </c>
    </row>
    <row r="1057" spans="1:18">
      <c r="A1057" s="1">
        <v>46731</v>
      </c>
      <c r="B1057" t="s">
        <v>25</v>
      </c>
      <c r="C1057" t="s">
        <v>26</v>
      </c>
      <c r="D1057" t="s">
        <v>23</v>
      </c>
      <c r="E1057" t="s">
        <v>14</v>
      </c>
      <c r="F1057" t="s">
        <v>36</v>
      </c>
      <c r="G1057" t="s">
        <v>31</v>
      </c>
      <c r="H1057">
        <v>150000</v>
      </c>
      <c r="I1057">
        <v>1</v>
      </c>
      <c r="J1057" t="s">
        <v>37</v>
      </c>
      <c r="K1057">
        <f t="shared" si="16"/>
        <v>120000</v>
      </c>
      <c r="L1057">
        <f>Sales_Data2[[#This Row],[Unit Price]]*Sales_Data2[[#This Row],[Quantity]]</f>
        <v>150000</v>
      </c>
      <c r="M1057">
        <f>Sales_Data2[[#This Row],[Cost Price]]*Sales_Data2[[#This Row],[Quantity]]</f>
        <v>120000</v>
      </c>
      <c r="N1057" s="3">
        <f>Sales_Data2[[#This Row],[Revenue]]-Sales_Data2[[#This Row],[COGS]]</f>
        <v>30000</v>
      </c>
      <c r="O10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46731|South|Kano|Corporate|Online|Printer P50|Electronics|150000|1|Aisha|120000</v>
      </c>
      <c r="P1057" s="3" t="str">
        <f>IF(COUNTIF(Sales_Data2[RowKey],Sales_Data2[[#This Row],[RowKey]])&gt;1,"Duplicate","Unique")</f>
        <v>Unique</v>
      </c>
      <c r="Q1057" s="3" t="str">
        <f>IF(ISNUMBER(Sales_Data2[[#This Row],[Date]]),"OK","Check")</f>
        <v>OK</v>
      </c>
      <c r="R1057" s="3" t="str">
        <f>IF(ISNUMBER(Sales_Data2[[#This Row],[Quantity]]),"OK","Check")</f>
        <v>OK</v>
      </c>
    </row>
    <row r="1058" spans="1:18">
      <c r="A1058" s="1">
        <v>46732</v>
      </c>
      <c r="B1058" t="s">
        <v>25</v>
      </c>
      <c r="C1058" t="s">
        <v>19</v>
      </c>
      <c r="D1058" t="s">
        <v>13</v>
      </c>
      <c r="E1058" t="s">
        <v>14</v>
      </c>
      <c r="F1058" t="s">
        <v>27</v>
      </c>
      <c r="G1058" t="s">
        <v>22</v>
      </c>
      <c r="H1058">
        <v>60000</v>
      </c>
      <c r="I1058">
        <v>7</v>
      </c>
      <c r="J1058" t="s">
        <v>35</v>
      </c>
      <c r="K1058">
        <f t="shared" si="16"/>
        <v>48000</v>
      </c>
      <c r="L1058">
        <f>Sales_Data2[[#This Row],[Unit Price]]*Sales_Data2[[#This Row],[Quantity]]</f>
        <v>420000</v>
      </c>
      <c r="M1058">
        <f>Sales_Data2[[#This Row],[Cost Price]]*Sales_Data2[[#This Row],[Quantity]]</f>
        <v>336000</v>
      </c>
      <c r="N1058" s="3">
        <f>Sales_Data2[[#This Row],[Revenue]]-Sales_Data2[[#This Row],[COGS]]</f>
        <v>84000</v>
      </c>
      <c r="O10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46732|South|Lagos|Retail|Online|Microwave M20|Home Appliances|60000|7|Peter|48000</v>
      </c>
      <c r="P1058" s="3" t="str">
        <f>IF(COUNTIF(Sales_Data2[RowKey],Sales_Data2[[#This Row],[RowKey]])&gt;1,"Duplicate","Unique")</f>
        <v>Unique</v>
      </c>
      <c r="Q1058" s="3" t="str">
        <f>IF(ISNUMBER(Sales_Data2[[#This Row],[Date]]),"OK","Check")</f>
        <v>OK</v>
      </c>
      <c r="R1058" s="3" t="str">
        <f>IF(ISNUMBER(Sales_Data2[[#This Row],[Quantity]]),"OK","Check")</f>
        <v>OK</v>
      </c>
    </row>
    <row r="1059" spans="1:18">
      <c r="A1059" s="1">
        <v>46733</v>
      </c>
      <c r="B1059" t="s">
        <v>25</v>
      </c>
      <c r="C1059" t="s">
        <v>19</v>
      </c>
      <c r="D1059" t="s">
        <v>13</v>
      </c>
      <c r="E1059" t="s">
        <v>20</v>
      </c>
      <c r="F1059" t="s">
        <v>38</v>
      </c>
      <c r="G1059" t="s">
        <v>31</v>
      </c>
      <c r="H1059">
        <v>420000</v>
      </c>
      <c r="I1059">
        <v>9</v>
      </c>
      <c r="J1059" t="s">
        <v>37</v>
      </c>
      <c r="K1059">
        <f t="shared" si="16"/>
        <v>336000</v>
      </c>
      <c r="L1059">
        <f>Sales_Data2[[#This Row],[Unit Price]]*Sales_Data2[[#This Row],[Quantity]]</f>
        <v>3780000</v>
      </c>
      <c r="M1059">
        <f>Sales_Data2[[#This Row],[Cost Price]]*Sales_Data2[[#This Row],[Quantity]]</f>
        <v>3024000</v>
      </c>
      <c r="N1059" s="3">
        <f>Sales_Data2[[#This Row],[Revenue]]-Sales_Data2[[#This Row],[COGS]]</f>
        <v>756000</v>
      </c>
      <c r="O10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46733|South|Lagos|Retail|Store|Laptop A13|Electronics|420000|9|Aisha|336000</v>
      </c>
      <c r="P1059" s="3" t="str">
        <f>IF(COUNTIF(Sales_Data2[RowKey],Sales_Data2[[#This Row],[RowKey]])&gt;1,"Duplicate","Unique")</f>
        <v>Unique</v>
      </c>
      <c r="Q1059" s="3" t="str">
        <f>IF(ISNUMBER(Sales_Data2[[#This Row],[Date]]),"OK","Check")</f>
        <v>OK</v>
      </c>
      <c r="R1059" s="3" t="str">
        <f>IF(ISNUMBER(Sales_Data2[[#This Row],[Quantity]]),"OK","Check")</f>
        <v>OK</v>
      </c>
    </row>
    <row r="1060" spans="1:18">
      <c r="A1060" s="1">
        <v>46734</v>
      </c>
      <c r="B1060" t="s">
        <v>18</v>
      </c>
      <c r="C1060" t="s">
        <v>26</v>
      </c>
      <c r="D1060" t="s">
        <v>23</v>
      </c>
      <c r="E1060" t="s">
        <v>20</v>
      </c>
      <c r="F1060" t="s">
        <v>38</v>
      </c>
      <c r="G1060" t="s">
        <v>31</v>
      </c>
      <c r="H1060">
        <v>420000</v>
      </c>
      <c r="I1060">
        <v>6</v>
      </c>
      <c r="J1060" t="s">
        <v>24</v>
      </c>
      <c r="K1060">
        <f t="shared" si="16"/>
        <v>336000</v>
      </c>
      <c r="L1060">
        <f>Sales_Data2[[#This Row],[Unit Price]]*Sales_Data2[[#This Row],[Quantity]]</f>
        <v>2520000</v>
      </c>
      <c r="M1060">
        <f>Sales_Data2[[#This Row],[Cost Price]]*Sales_Data2[[#This Row],[Quantity]]</f>
        <v>2016000</v>
      </c>
      <c r="N1060" s="3">
        <f>Sales_Data2[[#This Row],[Revenue]]-Sales_Data2[[#This Row],[COGS]]</f>
        <v>504000</v>
      </c>
      <c r="O10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46734|East|Kano|Corporate|Store|Laptop A13|Electronics|420000|6|David|336000</v>
      </c>
      <c r="P1060" s="3" t="str">
        <f>IF(COUNTIF(Sales_Data2[RowKey],Sales_Data2[[#This Row],[RowKey]])&gt;1,"Duplicate","Unique")</f>
        <v>Unique</v>
      </c>
      <c r="Q1060" s="3" t="str">
        <f>IF(ISNUMBER(Sales_Data2[[#This Row],[Date]]),"OK","Check")</f>
        <v>OK</v>
      </c>
      <c r="R1060" s="3" t="str">
        <f>IF(ISNUMBER(Sales_Data2[[#This Row],[Quantity]]),"OK","Check")</f>
        <v>OK</v>
      </c>
    </row>
    <row r="1061" spans="1:18">
      <c r="A1061" s="1">
        <v>46735</v>
      </c>
      <c r="B1061" t="s">
        <v>18</v>
      </c>
      <c r="C1061" t="s">
        <v>12</v>
      </c>
      <c r="D1061" t="s">
        <v>13</v>
      </c>
      <c r="E1061" t="s">
        <v>14</v>
      </c>
      <c r="F1061" t="s">
        <v>30</v>
      </c>
      <c r="G1061" t="s">
        <v>31</v>
      </c>
      <c r="H1061">
        <v>300000</v>
      </c>
      <c r="I1061">
        <v>9</v>
      </c>
      <c r="J1061" t="s">
        <v>37</v>
      </c>
      <c r="K1061">
        <f t="shared" si="16"/>
        <v>240000</v>
      </c>
      <c r="L1061">
        <f>Sales_Data2[[#This Row],[Unit Price]]*Sales_Data2[[#This Row],[Quantity]]</f>
        <v>2700000</v>
      </c>
      <c r="M1061">
        <f>Sales_Data2[[#This Row],[Cost Price]]*Sales_Data2[[#This Row],[Quantity]]</f>
        <v>2160000</v>
      </c>
      <c r="N1061" s="3">
        <f>Sales_Data2[[#This Row],[Revenue]]-Sales_Data2[[#This Row],[COGS]]</f>
        <v>540000</v>
      </c>
      <c r="O10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46735|East|Port Harcourt|Retail|Online|Desktop PC D21|Electronics|300000|9|Aisha|240000</v>
      </c>
      <c r="P1061" s="3" t="str">
        <f>IF(COUNTIF(Sales_Data2[RowKey],Sales_Data2[[#This Row],[RowKey]])&gt;1,"Duplicate","Unique")</f>
        <v>Unique</v>
      </c>
      <c r="Q1061" s="3" t="str">
        <f>IF(ISNUMBER(Sales_Data2[[#This Row],[Date]]),"OK","Check")</f>
        <v>OK</v>
      </c>
      <c r="R1061" s="3" t="str">
        <f>IF(ISNUMBER(Sales_Data2[[#This Row],[Quantity]]),"OK","Check")</f>
        <v>OK</v>
      </c>
    </row>
    <row r="1062" spans="1:18">
      <c r="A1062" s="1">
        <v>46736</v>
      </c>
      <c r="B1062" t="s">
        <v>29</v>
      </c>
      <c r="C1062" t="s">
        <v>12</v>
      </c>
      <c r="D1062" t="s">
        <v>23</v>
      </c>
      <c r="E1062" t="s">
        <v>14</v>
      </c>
      <c r="F1062" t="s">
        <v>33</v>
      </c>
      <c r="G1062" t="s">
        <v>22</v>
      </c>
      <c r="H1062">
        <v>180000</v>
      </c>
      <c r="I1062">
        <v>5</v>
      </c>
      <c r="J1062" t="s">
        <v>39</v>
      </c>
      <c r="K1062">
        <f t="shared" si="16"/>
        <v>144000</v>
      </c>
      <c r="L1062">
        <f>Sales_Data2[[#This Row],[Unit Price]]*Sales_Data2[[#This Row],[Quantity]]</f>
        <v>900000</v>
      </c>
      <c r="M1062">
        <f>Sales_Data2[[#This Row],[Cost Price]]*Sales_Data2[[#This Row],[Quantity]]</f>
        <v>720000</v>
      </c>
      <c r="N1062" s="3">
        <f>Sales_Data2[[#This Row],[Revenue]]-Sales_Data2[[#This Row],[COGS]]</f>
        <v>180000</v>
      </c>
      <c r="O10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46736|North|Port Harcourt|Corporate|Online|Air Conditioner X2|Home Appliances|180000|5|Grace|144000</v>
      </c>
      <c r="P1062" s="3" t="str">
        <f>IF(COUNTIF(Sales_Data2[RowKey],Sales_Data2[[#This Row],[RowKey]])&gt;1,"Duplicate","Unique")</f>
        <v>Unique</v>
      </c>
      <c r="Q1062" s="3" t="str">
        <f>IF(ISNUMBER(Sales_Data2[[#This Row],[Date]]),"OK","Check")</f>
        <v>OK</v>
      </c>
      <c r="R1062" s="3" t="str">
        <f>IF(ISNUMBER(Sales_Data2[[#This Row],[Quantity]]),"OK","Check")</f>
        <v>OK</v>
      </c>
    </row>
    <row r="1063" spans="1:18">
      <c r="A1063" s="1">
        <v>46737</v>
      </c>
      <c r="B1063" t="s">
        <v>25</v>
      </c>
      <c r="C1063" t="s">
        <v>26</v>
      </c>
      <c r="D1063" t="s">
        <v>13</v>
      </c>
      <c r="E1063" t="s">
        <v>20</v>
      </c>
      <c r="F1063" t="s">
        <v>36</v>
      </c>
      <c r="G1063" t="s">
        <v>31</v>
      </c>
      <c r="H1063">
        <v>150000</v>
      </c>
      <c r="I1063">
        <v>5</v>
      </c>
      <c r="J1063" t="s">
        <v>28</v>
      </c>
      <c r="K1063">
        <f t="shared" si="16"/>
        <v>120000</v>
      </c>
      <c r="L1063">
        <f>Sales_Data2[[#This Row],[Unit Price]]*Sales_Data2[[#This Row],[Quantity]]</f>
        <v>750000</v>
      </c>
      <c r="M1063">
        <f>Sales_Data2[[#This Row],[Cost Price]]*Sales_Data2[[#This Row],[Quantity]]</f>
        <v>600000</v>
      </c>
      <c r="N1063" s="3">
        <f>Sales_Data2[[#This Row],[Revenue]]-Sales_Data2[[#This Row],[COGS]]</f>
        <v>150000</v>
      </c>
      <c r="O10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46737|South|Kano|Retail|Store|Printer P50|Electronics|150000|5|Musa|120000</v>
      </c>
      <c r="P1063" s="3" t="str">
        <f>IF(COUNTIF(Sales_Data2[RowKey],Sales_Data2[[#This Row],[RowKey]])&gt;1,"Duplicate","Unique")</f>
        <v>Unique</v>
      </c>
      <c r="Q1063" s="3" t="str">
        <f>IF(ISNUMBER(Sales_Data2[[#This Row],[Date]]),"OK","Check")</f>
        <v>OK</v>
      </c>
      <c r="R1063" s="3" t="str">
        <f>IF(ISNUMBER(Sales_Data2[[#This Row],[Quantity]]),"OK","Check")</f>
        <v>OK</v>
      </c>
    </row>
    <row r="1064" spans="1:18">
      <c r="A1064" s="1">
        <v>46738</v>
      </c>
      <c r="B1064" t="s">
        <v>18</v>
      </c>
      <c r="C1064" t="s">
        <v>12</v>
      </c>
      <c r="D1064" t="s">
        <v>13</v>
      </c>
      <c r="E1064" t="s">
        <v>14</v>
      </c>
      <c r="F1064" t="s">
        <v>15</v>
      </c>
      <c r="G1064" t="s">
        <v>16</v>
      </c>
      <c r="H1064">
        <v>85000</v>
      </c>
      <c r="I1064">
        <v>9</v>
      </c>
      <c r="J1064" t="s">
        <v>28</v>
      </c>
      <c r="K1064">
        <f t="shared" si="16"/>
        <v>68000</v>
      </c>
      <c r="L1064">
        <f>Sales_Data2[[#This Row],[Unit Price]]*Sales_Data2[[#This Row],[Quantity]]</f>
        <v>765000</v>
      </c>
      <c r="M1064">
        <f>Sales_Data2[[#This Row],[Cost Price]]*Sales_Data2[[#This Row],[Quantity]]</f>
        <v>612000</v>
      </c>
      <c r="N1064" s="3">
        <f>Sales_Data2[[#This Row],[Revenue]]-Sales_Data2[[#This Row],[COGS]]</f>
        <v>153000</v>
      </c>
      <c r="O10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46738|East|Port Harcourt|Retail|Online|Office Chair Pro|Furniture|85000|9|Musa|68000</v>
      </c>
      <c r="P1064" s="3" t="str">
        <f>IF(COUNTIF(Sales_Data2[RowKey],Sales_Data2[[#This Row],[RowKey]])&gt;1,"Duplicate","Unique")</f>
        <v>Unique</v>
      </c>
      <c r="Q1064" s="3" t="str">
        <f>IF(ISNUMBER(Sales_Data2[[#This Row],[Date]]),"OK","Check")</f>
        <v>OK</v>
      </c>
      <c r="R1064" s="3" t="str">
        <f>IF(ISNUMBER(Sales_Data2[[#This Row],[Quantity]]),"OK","Check")</f>
        <v>OK</v>
      </c>
    </row>
    <row r="1065" spans="1:18">
      <c r="A1065" s="1">
        <v>46739</v>
      </c>
      <c r="B1065" t="s">
        <v>11</v>
      </c>
      <c r="C1065" t="s">
        <v>32</v>
      </c>
      <c r="D1065" t="s">
        <v>23</v>
      </c>
      <c r="E1065" t="s">
        <v>14</v>
      </c>
      <c r="F1065" t="s">
        <v>38</v>
      </c>
      <c r="G1065" t="s">
        <v>31</v>
      </c>
      <c r="H1065">
        <v>420000</v>
      </c>
      <c r="I1065">
        <v>5</v>
      </c>
      <c r="J1065" t="s">
        <v>39</v>
      </c>
      <c r="K1065">
        <f t="shared" si="16"/>
        <v>336000</v>
      </c>
      <c r="L1065">
        <f>Sales_Data2[[#This Row],[Unit Price]]*Sales_Data2[[#This Row],[Quantity]]</f>
        <v>2100000</v>
      </c>
      <c r="M1065">
        <f>Sales_Data2[[#This Row],[Cost Price]]*Sales_Data2[[#This Row],[Quantity]]</f>
        <v>1680000</v>
      </c>
      <c r="N1065" s="3">
        <f>Sales_Data2[[#This Row],[Revenue]]-Sales_Data2[[#This Row],[COGS]]</f>
        <v>420000</v>
      </c>
      <c r="O10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46739|West|Abuja|Corporate|Online|Laptop A13|Electronics|420000|5|Grace|336000</v>
      </c>
      <c r="P1065" s="3" t="str">
        <f>IF(COUNTIF(Sales_Data2[RowKey],Sales_Data2[[#This Row],[RowKey]])&gt;1,"Duplicate","Unique")</f>
        <v>Unique</v>
      </c>
      <c r="Q1065" s="3" t="str">
        <f>IF(ISNUMBER(Sales_Data2[[#This Row],[Date]]),"OK","Check")</f>
        <v>OK</v>
      </c>
      <c r="R1065" s="3" t="str">
        <f>IF(ISNUMBER(Sales_Data2[[#This Row],[Quantity]]),"OK","Check")</f>
        <v>OK</v>
      </c>
    </row>
    <row r="1066" spans="1:18">
      <c r="A1066" s="1">
        <v>46740</v>
      </c>
      <c r="B1066" t="s">
        <v>18</v>
      </c>
      <c r="C1066" t="s">
        <v>19</v>
      </c>
      <c r="D1066" t="s">
        <v>13</v>
      </c>
      <c r="E1066" t="s">
        <v>20</v>
      </c>
      <c r="F1066" t="s">
        <v>34</v>
      </c>
      <c r="G1066" t="s">
        <v>16</v>
      </c>
      <c r="H1066">
        <v>320000</v>
      </c>
      <c r="I1066">
        <v>4</v>
      </c>
      <c r="J1066" t="s">
        <v>28</v>
      </c>
      <c r="K1066">
        <f t="shared" si="16"/>
        <v>256000</v>
      </c>
      <c r="L1066">
        <f>Sales_Data2[[#This Row],[Unit Price]]*Sales_Data2[[#This Row],[Quantity]]</f>
        <v>1280000</v>
      </c>
      <c r="M1066">
        <f>Sales_Data2[[#This Row],[Cost Price]]*Sales_Data2[[#This Row],[Quantity]]</f>
        <v>1024000</v>
      </c>
      <c r="N1066" s="3">
        <f>Sales_Data2[[#This Row],[Revenue]]-Sales_Data2[[#This Row],[COGS]]</f>
        <v>256000</v>
      </c>
      <c r="O10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46740|East|Lagos|Retail|Store|Sofa Classic|Furniture|320000|4|Musa|256000</v>
      </c>
      <c r="P1066" s="3" t="str">
        <f>IF(COUNTIF(Sales_Data2[RowKey],Sales_Data2[[#This Row],[RowKey]])&gt;1,"Duplicate","Unique")</f>
        <v>Unique</v>
      </c>
      <c r="Q1066" s="3" t="str">
        <f>IF(ISNUMBER(Sales_Data2[[#This Row],[Date]]),"OK","Check")</f>
        <v>OK</v>
      </c>
      <c r="R1066" s="3" t="str">
        <f>IF(ISNUMBER(Sales_Data2[[#This Row],[Quantity]]),"OK","Check")</f>
        <v>OK</v>
      </c>
    </row>
    <row r="1067" spans="1:18">
      <c r="A1067" s="1">
        <v>46741</v>
      </c>
      <c r="B1067" t="s">
        <v>18</v>
      </c>
      <c r="C1067" t="s">
        <v>19</v>
      </c>
      <c r="D1067" t="s">
        <v>23</v>
      </c>
      <c r="E1067" t="s">
        <v>14</v>
      </c>
      <c r="F1067" t="s">
        <v>21</v>
      </c>
      <c r="G1067" t="s">
        <v>22</v>
      </c>
      <c r="H1067">
        <v>30000</v>
      </c>
      <c r="I1067">
        <v>4</v>
      </c>
      <c r="J1067" t="s">
        <v>28</v>
      </c>
      <c r="K1067">
        <f t="shared" si="16"/>
        <v>24000</v>
      </c>
      <c r="L1067">
        <f>Sales_Data2[[#This Row],[Unit Price]]*Sales_Data2[[#This Row],[Quantity]]</f>
        <v>120000</v>
      </c>
      <c r="M1067">
        <f>Sales_Data2[[#This Row],[Cost Price]]*Sales_Data2[[#This Row],[Quantity]]</f>
        <v>96000</v>
      </c>
      <c r="N1067" s="3">
        <f>Sales_Data2[[#This Row],[Revenue]]-Sales_Data2[[#This Row],[COGS]]</f>
        <v>24000</v>
      </c>
      <c r="O10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46741|East|Lagos|Corporate|Online|Blender B10|Home Appliances|30000|4|Musa|24000</v>
      </c>
      <c r="P1067" s="3" t="str">
        <f>IF(COUNTIF(Sales_Data2[RowKey],Sales_Data2[[#This Row],[RowKey]])&gt;1,"Duplicate","Unique")</f>
        <v>Unique</v>
      </c>
      <c r="Q1067" s="3" t="str">
        <f>IF(ISNUMBER(Sales_Data2[[#This Row],[Date]]),"OK","Check")</f>
        <v>OK</v>
      </c>
      <c r="R1067" s="3" t="str">
        <f>IF(ISNUMBER(Sales_Data2[[#This Row],[Quantity]]),"OK","Check")</f>
        <v>OK</v>
      </c>
    </row>
    <row r="1068" spans="1:18">
      <c r="A1068" s="1">
        <v>46742</v>
      </c>
      <c r="B1068" t="s">
        <v>25</v>
      </c>
      <c r="C1068" t="s">
        <v>32</v>
      </c>
      <c r="D1068" t="s">
        <v>23</v>
      </c>
      <c r="E1068" t="s">
        <v>20</v>
      </c>
      <c r="F1068" t="s">
        <v>36</v>
      </c>
      <c r="G1068" t="s">
        <v>31</v>
      </c>
      <c r="H1068">
        <v>150000</v>
      </c>
      <c r="I1068">
        <v>3</v>
      </c>
      <c r="J1068" t="s">
        <v>37</v>
      </c>
      <c r="K1068">
        <f t="shared" si="16"/>
        <v>120000</v>
      </c>
      <c r="L1068">
        <f>Sales_Data2[[#This Row],[Unit Price]]*Sales_Data2[[#This Row],[Quantity]]</f>
        <v>450000</v>
      </c>
      <c r="M1068">
        <f>Sales_Data2[[#This Row],[Cost Price]]*Sales_Data2[[#This Row],[Quantity]]</f>
        <v>360000</v>
      </c>
      <c r="N1068" s="3">
        <f>Sales_Data2[[#This Row],[Revenue]]-Sales_Data2[[#This Row],[COGS]]</f>
        <v>90000</v>
      </c>
      <c r="O10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46742|South|Abuja|Corporate|Store|Printer P50|Electronics|150000|3|Aisha|120000</v>
      </c>
      <c r="P1068" s="3" t="str">
        <f>IF(COUNTIF(Sales_Data2[RowKey],Sales_Data2[[#This Row],[RowKey]])&gt;1,"Duplicate","Unique")</f>
        <v>Unique</v>
      </c>
      <c r="Q1068" s="3" t="str">
        <f>IF(ISNUMBER(Sales_Data2[[#This Row],[Date]]),"OK","Check")</f>
        <v>OK</v>
      </c>
      <c r="R1068" s="3" t="str">
        <f>IF(ISNUMBER(Sales_Data2[[#This Row],[Quantity]]),"OK","Check")</f>
        <v>OK</v>
      </c>
    </row>
    <row r="1069" spans="1:18">
      <c r="A1069" s="1">
        <v>46743</v>
      </c>
      <c r="B1069" t="s">
        <v>11</v>
      </c>
      <c r="C1069" t="s">
        <v>19</v>
      </c>
      <c r="D1069" t="s">
        <v>13</v>
      </c>
      <c r="E1069" t="s">
        <v>14</v>
      </c>
      <c r="F1069" t="s">
        <v>41</v>
      </c>
      <c r="G1069" t="s">
        <v>22</v>
      </c>
      <c r="H1069">
        <v>220000</v>
      </c>
      <c r="I1069">
        <v>7</v>
      </c>
      <c r="J1069" t="s">
        <v>17</v>
      </c>
      <c r="K1069">
        <f t="shared" si="16"/>
        <v>176000</v>
      </c>
      <c r="L1069">
        <f>Sales_Data2[[#This Row],[Unit Price]]*Sales_Data2[[#This Row],[Quantity]]</f>
        <v>1540000</v>
      </c>
      <c r="M1069">
        <f>Sales_Data2[[#This Row],[Cost Price]]*Sales_Data2[[#This Row],[Quantity]]</f>
        <v>1232000</v>
      </c>
      <c r="N1069" s="3">
        <f>Sales_Data2[[#This Row],[Revenue]]-Sales_Data2[[#This Row],[COGS]]</f>
        <v>308000</v>
      </c>
      <c r="O10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46743|West|Lagos|Retail|Online|Refrigerator R55|Home Appliances|220000|7|Chidinma|176000</v>
      </c>
      <c r="P1069" s="3" t="str">
        <f>IF(COUNTIF(Sales_Data2[RowKey],Sales_Data2[[#This Row],[RowKey]])&gt;1,"Duplicate","Unique")</f>
        <v>Unique</v>
      </c>
      <c r="Q1069" s="3" t="str">
        <f>IF(ISNUMBER(Sales_Data2[[#This Row],[Date]]),"OK","Check")</f>
        <v>OK</v>
      </c>
      <c r="R1069" s="3" t="str">
        <f>IF(ISNUMBER(Sales_Data2[[#This Row],[Quantity]]),"OK","Check")</f>
        <v>OK</v>
      </c>
    </row>
    <row r="1070" spans="1:18">
      <c r="A1070" s="1">
        <v>46744</v>
      </c>
      <c r="B1070" t="s">
        <v>18</v>
      </c>
      <c r="C1070" t="s">
        <v>12</v>
      </c>
      <c r="D1070" t="s">
        <v>13</v>
      </c>
      <c r="E1070" t="s">
        <v>20</v>
      </c>
      <c r="F1070" t="s">
        <v>33</v>
      </c>
      <c r="G1070" t="s">
        <v>22</v>
      </c>
      <c r="H1070">
        <v>180000</v>
      </c>
      <c r="I1070">
        <v>10</v>
      </c>
      <c r="J1070" t="s">
        <v>35</v>
      </c>
      <c r="K1070">
        <f t="shared" si="16"/>
        <v>144000</v>
      </c>
      <c r="L1070">
        <f>Sales_Data2[[#This Row],[Unit Price]]*Sales_Data2[[#This Row],[Quantity]]</f>
        <v>1800000</v>
      </c>
      <c r="M1070">
        <f>Sales_Data2[[#This Row],[Cost Price]]*Sales_Data2[[#This Row],[Quantity]]</f>
        <v>1440000</v>
      </c>
      <c r="N1070" s="3">
        <f>Sales_Data2[[#This Row],[Revenue]]-Sales_Data2[[#This Row],[COGS]]</f>
        <v>360000</v>
      </c>
      <c r="O10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46744|East|Port Harcourt|Retail|Store|Air Conditioner X2|Home Appliances|180000|10|Peter|144000</v>
      </c>
      <c r="P1070" s="3" t="str">
        <f>IF(COUNTIF(Sales_Data2[RowKey],Sales_Data2[[#This Row],[RowKey]])&gt;1,"Duplicate","Unique")</f>
        <v>Unique</v>
      </c>
      <c r="Q1070" s="3" t="str">
        <f>IF(ISNUMBER(Sales_Data2[[#This Row],[Date]]),"OK","Check")</f>
        <v>OK</v>
      </c>
      <c r="R1070" s="3" t="str">
        <f>IF(ISNUMBER(Sales_Data2[[#This Row],[Quantity]]),"OK","Check")</f>
        <v>OK</v>
      </c>
    </row>
    <row r="1071" spans="1:18">
      <c r="A1071" s="1">
        <v>46745</v>
      </c>
      <c r="B1071" t="s">
        <v>11</v>
      </c>
      <c r="C1071" t="s">
        <v>32</v>
      </c>
      <c r="D1071" t="s">
        <v>23</v>
      </c>
      <c r="E1071" t="s">
        <v>14</v>
      </c>
      <c r="F1071" t="s">
        <v>15</v>
      </c>
      <c r="G1071" t="s">
        <v>16</v>
      </c>
      <c r="H1071">
        <v>85000</v>
      </c>
      <c r="I1071">
        <v>7</v>
      </c>
      <c r="J1071" t="s">
        <v>24</v>
      </c>
      <c r="K1071">
        <f t="shared" si="16"/>
        <v>68000</v>
      </c>
      <c r="L1071">
        <f>Sales_Data2[[#This Row],[Unit Price]]*Sales_Data2[[#This Row],[Quantity]]</f>
        <v>595000</v>
      </c>
      <c r="M1071">
        <f>Sales_Data2[[#This Row],[Cost Price]]*Sales_Data2[[#This Row],[Quantity]]</f>
        <v>476000</v>
      </c>
      <c r="N1071" s="3">
        <f>Sales_Data2[[#This Row],[Revenue]]-Sales_Data2[[#This Row],[COGS]]</f>
        <v>119000</v>
      </c>
      <c r="O10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46745|West|Abuja|Corporate|Online|Office Chair Pro|Furniture|85000|7|David|68000</v>
      </c>
      <c r="P1071" s="3" t="str">
        <f>IF(COUNTIF(Sales_Data2[RowKey],Sales_Data2[[#This Row],[RowKey]])&gt;1,"Duplicate","Unique")</f>
        <v>Unique</v>
      </c>
      <c r="Q1071" s="3" t="str">
        <f>IF(ISNUMBER(Sales_Data2[[#This Row],[Date]]),"OK","Check")</f>
        <v>OK</v>
      </c>
      <c r="R1071" s="3" t="str">
        <f>IF(ISNUMBER(Sales_Data2[[#This Row],[Quantity]]),"OK","Check")</f>
        <v>OK</v>
      </c>
    </row>
    <row r="1072" spans="1:18">
      <c r="A1072" s="1">
        <v>46746</v>
      </c>
      <c r="B1072" t="s">
        <v>18</v>
      </c>
      <c r="C1072" t="s">
        <v>19</v>
      </c>
      <c r="D1072" t="s">
        <v>13</v>
      </c>
      <c r="E1072" t="s">
        <v>14</v>
      </c>
      <c r="F1072" t="s">
        <v>21</v>
      </c>
      <c r="G1072" t="s">
        <v>22</v>
      </c>
      <c r="H1072">
        <v>30000</v>
      </c>
      <c r="I1072">
        <v>3</v>
      </c>
      <c r="J1072" t="s">
        <v>24</v>
      </c>
      <c r="K1072">
        <f t="shared" si="16"/>
        <v>24000</v>
      </c>
      <c r="L1072">
        <f>Sales_Data2[[#This Row],[Unit Price]]*Sales_Data2[[#This Row],[Quantity]]</f>
        <v>90000</v>
      </c>
      <c r="M1072">
        <f>Sales_Data2[[#This Row],[Cost Price]]*Sales_Data2[[#This Row],[Quantity]]</f>
        <v>72000</v>
      </c>
      <c r="N1072" s="3">
        <f>Sales_Data2[[#This Row],[Revenue]]-Sales_Data2[[#This Row],[COGS]]</f>
        <v>18000</v>
      </c>
      <c r="O10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46746|East|Lagos|Retail|Online|Blender B10|Home Appliances|30000|3|David|24000</v>
      </c>
      <c r="P1072" s="3" t="str">
        <f>IF(COUNTIF(Sales_Data2[RowKey],Sales_Data2[[#This Row],[RowKey]])&gt;1,"Duplicate","Unique")</f>
        <v>Unique</v>
      </c>
      <c r="Q1072" s="3" t="str">
        <f>IF(ISNUMBER(Sales_Data2[[#This Row],[Date]]),"OK","Check")</f>
        <v>OK</v>
      </c>
      <c r="R1072" s="3" t="str">
        <f>IF(ISNUMBER(Sales_Data2[[#This Row],[Quantity]]),"OK","Check")</f>
        <v>OK</v>
      </c>
    </row>
    <row r="1073" spans="1:18">
      <c r="A1073" s="1">
        <v>46747</v>
      </c>
      <c r="B1073" t="s">
        <v>29</v>
      </c>
      <c r="C1073" t="s">
        <v>12</v>
      </c>
      <c r="D1073" t="s">
        <v>23</v>
      </c>
      <c r="E1073" t="s">
        <v>14</v>
      </c>
      <c r="F1073" t="s">
        <v>34</v>
      </c>
      <c r="G1073" t="s">
        <v>16</v>
      </c>
      <c r="H1073">
        <v>320000</v>
      </c>
      <c r="I1073">
        <v>9</v>
      </c>
      <c r="J1073" t="s">
        <v>37</v>
      </c>
      <c r="K1073">
        <f t="shared" si="16"/>
        <v>256000</v>
      </c>
      <c r="L1073">
        <f>Sales_Data2[[#This Row],[Unit Price]]*Sales_Data2[[#This Row],[Quantity]]</f>
        <v>2880000</v>
      </c>
      <c r="M1073">
        <f>Sales_Data2[[#This Row],[Cost Price]]*Sales_Data2[[#This Row],[Quantity]]</f>
        <v>2304000</v>
      </c>
      <c r="N1073" s="3">
        <f>Sales_Data2[[#This Row],[Revenue]]-Sales_Data2[[#This Row],[COGS]]</f>
        <v>576000</v>
      </c>
      <c r="O10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46747|North|Port Harcourt|Corporate|Online|Sofa Classic|Furniture|320000|9|Aisha|256000</v>
      </c>
      <c r="P1073" s="3" t="str">
        <f>IF(COUNTIF(Sales_Data2[RowKey],Sales_Data2[[#This Row],[RowKey]])&gt;1,"Duplicate","Unique")</f>
        <v>Unique</v>
      </c>
      <c r="Q1073" s="3" t="str">
        <f>IF(ISNUMBER(Sales_Data2[[#This Row],[Date]]),"OK","Check")</f>
        <v>OK</v>
      </c>
      <c r="R1073" s="3" t="str">
        <f>IF(ISNUMBER(Sales_Data2[[#This Row],[Quantity]]),"OK","Check")</f>
        <v>OK</v>
      </c>
    </row>
    <row r="1074" spans="1:18">
      <c r="A1074" s="1">
        <v>46748</v>
      </c>
      <c r="B1074" t="s">
        <v>11</v>
      </c>
      <c r="C1074" t="s">
        <v>19</v>
      </c>
      <c r="D1074" t="s">
        <v>13</v>
      </c>
      <c r="E1074" t="s">
        <v>20</v>
      </c>
      <c r="F1074" t="s">
        <v>36</v>
      </c>
      <c r="G1074" t="s">
        <v>31</v>
      </c>
      <c r="H1074">
        <v>150000</v>
      </c>
      <c r="I1074">
        <v>2</v>
      </c>
      <c r="J1074" t="s">
        <v>24</v>
      </c>
      <c r="K1074">
        <f t="shared" si="16"/>
        <v>120000</v>
      </c>
      <c r="L1074">
        <f>Sales_Data2[[#This Row],[Unit Price]]*Sales_Data2[[#This Row],[Quantity]]</f>
        <v>300000</v>
      </c>
      <c r="M1074">
        <f>Sales_Data2[[#This Row],[Cost Price]]*Sales_Data2[[#This Row],[Quantity]]</f>
        <v>240000</v>
      </c>
      <c r="N1074" s="3">
        <f>Sales_Data2[[#This Row],[Revenue]]-Sales_Data2[[#This Row],[COGS]]</f>
        <v>60000</v>
      </c>
      <c r="O10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46748|West|Lagos|Retail|Store|Printer P50|Electronics|150000|2|David|120000</v>
      </c>
      <c r="P1074" s="3" t="str">
        <f>IF(COUNTIF(Sales_Data2[RowKey],Sales_Data2[[#This Row],[RowKey]])&gt;1,"Duplicate","Unique")</f>
        <v>Unique</v>
      </c>
      <c r="Q1074" s="3" t="str">
        <f>IF(ISNUMBER(Sales_Data2[[#This Row],[Date]]),"OK","Check")</f>
        <v>OK</v>
      </c>
      <c r="R1074" s="3" t="str">
        <f>IF(ISNUMBER(Sales_Data2[[#This Row],[Quantity]]),"OK","Check")</f>
        <v>OK</v>
      </c>
    </row>
    <row r="1075" spans="1:18">
      <c r="A1075" s="1">
        <v>46749</v>
      </c>
      <c r="B1075" t="s">
        <v>18</v>
      </c>
      <c r="C1075" t="s">
        <v>19</v>
      </c>
      <c r="D1075" t="s">
        <v>23</v>
      </c>
      <c r="E1075" t="s">
        <v>20</v>
      </c>
      <c r="F1075" t="s">
        <v>33</v>
      </c>
      <c r="G1075" t="s">
        <v>22</v>
      </c>
      <c r="H1075">
        <v>180000</v>
      </c>
      <c r="I1075">
        <v>8</v>
      </c>
      <c r="J1075" t="s">
        <v>37</v>
      </c>
      <c r="K1075">
        <f t="shared" si="16"/>
        <v>144000</v>
      </c>
      <c r="L1075">
        <f>Sales_Data2[[#This Row],[Unit Price]]*Sales_Data2[[#This Row],[Quantity]]</f>
        <v>1440000</v>
      </c>
      <c r="M1075">
        <f>Sales_Data2[[#This Row],[Cost Price]]*Sales_Data2[[#This Row],[Quantity]]</f>
        <v>1152000</v>
      </c>
      <c r="N1075" s="3">
        <f>Sales_Data2[[#This Row],[Revenue]]-Sales_Data2[[#This Row],[COGS]]</f>
        <v>288000</v>
      </c>
      <c r="O10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46749|East|Lagos|Corporate|Store|Air Conditioner X2|Home Appliances|180000|8|Aisha|144000</v>
      </c>
      <c r="P1075" s="3" t="str">
        <f>IF(COUNTIF(Sales_Data2[RowKey],Sales_Data2[[#This Row],[RowKey]])&gt;1,"Duplicate","Unique")</f>
        <v>Unique</v>
      </c>
      <c r="Q1075" s="3" t="str">
        <f>IF(ISNUMBER(Sales_Data2[[#This Row],[Date]]),"OK","Check")</f>
        <v>OK</v>
      </c>
      <c r="R1075" s="3" t="str">
        <f>IF(ISNUMBER(Sales_Data2[[#This Row],[Quantity]]),"OK","Check")</f>
        <v>OK</v>
      </c>
    </row>
    <row r="1076" spans="1:18">
      <c r="A1076" s="1">
        <v>46750</v>
      </c>
      <c r="B1076" t="s">
        <v>18</v>
      </c>
      <c r="C1076" t="s">
        <v>19</v>
      </c>
      <c r="D1076" t="s">
        <v>23</v>
      </c>
      <c r="E1076" t="s">
        <v>20</v>
      </c>
      <c r="F1076" t="s">
        <v>15</v>
      </c>
      <c r="G1076" t="s">
        <v>16</v>
      </c>
      <c r="H1076">
        <v>85000</v>
      </c>
      <c r="I1076">
        <v>7</v>
      </c>
      <c r="J1076" t="s">
        <v>17</v>
      </c>
      <c r="K1076">
        <f t="shared" si="16"/>
        <v>68000</v>
      </c>
      <c r="L1076">
        <f>Sales_Data2[[#This Row],[Unit Price]]*Sales_Data2[[#This Row],[Quantity]]</f>
        <v>595000</v>
      </c>
      <c r="M1076">
        <f>Sales_Data2[[#This Row],[Cost Price]]*Sales_Data2[[#This Row],[Quantity]]</f>
        <v>476000</v>
      </c>
      <c r="N1076" s="3">
        <f>Sales_Data2[[#This Row],[Revenue]]-Sales_Data2[[#This Row],[COGS]]</f>
        <v>119000</v>
      </c>
      <c r="O10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46750|East|Lagos|Corporate|Store|Office Chair Pro|Furniture|85000|7|Chidinma|68000</v>
      </c>
      <c r="P1076" s="3" t="str">
        <f>IF(COUNTIF(Sales_Data2[RowKey],Sales_Data2[[#This Row],[RowKey]])&gt;1,"Duplicate","Unique")</f>
        <v>Unique</v>
      </c>
      <c r="Q1076" s="3" t="str">
        <f>IF(ISNUMBER(Sales_Data2[[#This Row],[Date]]),"OK","Check")</f>
        <v>OK</v>
      </c>
      <c r="R1076" s="3" t="str">
        <f>IF(ISNUMBER(Sales_Data2[[#This Row],[Quantity]]),"OK","Check")</f>
        <v>OK</v>
      </c>
    </row>
    <row r="1077" spans="1:18">
      <c r="A1077" s="1">
        <v>46751</v>
      </c>
      <c r="B1077" t="s">
        <v>11</v>
      </c>
      <c r="C1077" t="s">
        <v>32</v>
      </c>
      <c r="D1077" t="s">
        <v>23</v>
      </c>
      <c r="E1077" t="s">
        <v>14</v>
      </c>
      <c r="F1077" t="s">
        <v>33</v>
      </c>
      <c r="G1077" t="s">
        <v>22</v>
      </c>
      <c r="H1077">
        <v>180000</v>
      </c>
      <c r="I1077">
        <v>8</v>
      </c>
      <c r="J1077" t="s">
        <v>39</v>
      </c>
      <c r="K1077">
        <f t="shared" si="16"/>
        <v>144000</v>
      </c>
      <c r="L1077">
        <f>Sales_Data2[[#This Row],[Unit Price]]*Sales_Data2[[#This Row],[Quantity]]</f>
        <v>1440000</v>
      </c>
      <c r="M1077">
        <f>Sales_Data2[[#This Row],[Cost Price]]*Sales_Data2[[#This Row],[Quantity]]</f>
        <v>1152000</v>
      </c>
      <c r="N1077" s="3">
        <f>Sales_Data2[[#This Row],[Revenue]]-Sales_Data2[[#This Row],[COGS]]</f>
        <v>288000</v>
      </c>
      <c r="O10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46751|West|Abuja|Corporate|Online|Air Conditioner X2|Home Appliances|180000|8|Grace|144000</v>
      </c>
      <c r="P1077" s="3" t="str">
        <f>IF(COUNTIF(Sales_Data2[RowKey],Sales_Data2[[#This Row],[RowKey]])&gt;1,"Duplicate","Unique")</f>
        <v>Unique</v>
      </c>
      <c r="Q1077" s="3" t="str">
        <f>IF(ISNUMBER(Sales_Data2[[#This Row],[Date]]),"OK","Check")</f>
        <v>OK</v>
      </c>
      <c r="R1077" s="3" t="str">
        <f>IF(ISNUMBER(Sales_Data2[[#This Row],[Quantity]]),"OK","Check")</f>
        <v>OK</v>
      </c>
    </row>
    <row r="1078" spans="1:18">
      <c r="A1078" s="1">
        <v>46752</v>
      </c>
      <c r="B1078" t="s">
        <v>29</v>
      </c>
      <c r="C1078" t="s">
        <v>12</v>
      </c>
      <c r="D1078" t="s">
        <v>23</v>
      </c>
      <c r="E1078" t="s">
        <v>14</v>
      </c>
      <c r="F1078" t="s">
        <v>41</v>
      </c>
      <c r="G1078" t="s">
        <v>22</v>
      </c>
      <c r="H1078">
        <v>220000</v>
      </c>
      <c r="I1078">
        <v>5</v>
      </c>
      <c r="J1078" t="s">
        <v>39</v>
      </c>
      <c r="K1078">
        <f t="shared" si="16"/>
        <v>176000</v>
      </c>
      <c r="L1078">
        <f>Sales_Data2[[#This Row],[Unit Price]]*Sales_Data2[[#This Row],[Quantity]]</f>
        <v>1100000</v>
      </c>
      <c r="M1078">
        <f>Sales_Data2[[#This Row],[Cost Price]]*Sales_Data2[[#This Row],[Quantity]]</f>
        <v>880000</v>
      </c>
      <c r="N1078" s="3">
        <f>Sales_Data2[[#This Row],[Revenue]]-Sales_Data2[[#This Row],[COGS]]</f>
        <v>220000</v>
      </c>
      <c r="O10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46752|North|Port Harcourt|Corporate|Online|Refrigerator R55|Home Appliances|220000|5|Grace|176000</v>
      </c>
      <c r="P1078" s="3" t="str">
        <f>IF(COUNTIF(Sales_Data2[RowKey],Sales_Data2[[#This Row],[RowKey]])&gt;1,"Duplicate","Unique")</f>
        <v>Unique</v>
      </c>
      <c r="Q1078" s="3" t="str">
        <f>IF(ISNUMBER(Sales_Data2[[#This Row],[Date]]),"OK","Check")</f>
        <v>OK</v>
      </c>
      <c r="R1078" s="3" t="str">
        <f>IF(ISNUMBER(Sales_Data2[[#This Row],[Quantity]]),"OK","Check")</f>
        <v>OK</v>
      </c>
    </row>
    <row r="1079" spans="1:18">
      <c r="A1079" s="1">
        <v>46753</v>
      </c>
      <c r="B1079" t="s">
        <v>29</v>
      </c>
      <c r="C1079" t="s">
        <v>26</v>
      </c>
      <c r="D1079" t="s">
        <v>13</v>
      </c>
      <c r="E1079" t="s">
        <v>14</v>
      </c>
      <c r="F1079" t="s">
        <v>30</v>
      </c>
      <c r="G1079" t="s">
        <v>31</v>
      </c>
      <c r="H1079">
        <v>300000</v>
      </c>
      <c r="I1079">
        <v>5</v>
      </c>
      <c r="J1079" t="s">
        <v>37</v>
      </c>
      <c r="K1079">
        <f t="shared" si="16"/>
        <v>240000</v>
      </c>
      <c r="L1079">
        <f>Sales_Data2[[#This Row],[Unit Price]]*Sales_Data2[[#This Row],[Quantity]]</f>
        <v>1500000</v>
      </c>
      <c r="M1079">
        <f>Sales_Data2[[#This Row],[Cost Price]]*Sales_Data2[[#This Row],[Quantity]]</f>
        <v>1200000</v>
      </c>
      <c r="N1079" s="3">
        <f>Sales_Data2[[#This Row],[Revenue]]-Sales_Data2[[#This Row],[COGS]]</f>
        <v>300000</v>
      </c>
      <c r="O10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46753|North|Kano|Retail|Online|Desktop PC D21|Electronics|300000|5|Aisha|240000</v>
      </c>
      <c r="P1079" s="3" t="str">
        <f>IF(COUNTIF(Sales_Data2[RowKey],Sales_Data2[[#This Row],[RowKey]])&gt;1,"Duplicate","Unique")</f>
        <v>Unique</v>
      </c>
      <c r="Q1079" s="3" t="str">
        <f>IF(ISNUMBER(Sales_Data2[[#This Row],[Date]]),"OK","Check")</f>
        <v>OK</v>
      </c>
      <c r="R1079" s="3" t="str">
        <f>IF(ISNUMBER(Sales_Data2[[#This Row],[Quantity]]),"OK","Check")</f>
        <v>OK</v>
      </c>
    </row>
    <row r="1080" spans="1:18">
      <c r="A1080" s="1">
        <v>46754</v>
      </c>
      <c r="B1080" t="s">
        <v>29</v>
      </c>
      <c r="C1080" t="s">
        <v>32</v>
      </c>
      <c r="D1080" t="s">
        <v>13</v>
      </c>
      <c r="E1080" t="s">
        <v>20</v>
      </c>
      <c r="F1080" t="s">
        <v>40</v>
      </c>
      <c r="G1080" t="s">
        <v>31</v>
      </c>
      <c r="H1080">
        <v>250000</v>
      </c>
      <c r="I1080">
        <v>7</v>
      </c>
      <c r="J1080" t="s">
        <v>17</v>
      </c>
      <c r="K1080">
        <f t="shared" si="16"/>
        <v>200000</v>
      </c>
      <c r="L1080">
        <f>Sales_Data2[[#This Row],[Unit Price]]*Sales_Data2[[#This Row],[Quantity]]</f>
        <v>1750000</v>
      </c>
      <c r="M1080">
        <f>Sales_Data2[[#This Row],[Cost Price]]*Sales_Data2[[#This Row],[Quantity]]</f>
        <v>1400000</v>
      </c>
      <c r="N1080" s="3">
        <f>Sales_Data2[[#This Row],[Revenue]]-Sales_Data2[[#This Row],[COGS]]</f>
        <v>350000</v>
      </c>
      <c r="O10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46754|North|Abuja|Retail|Store|Smartphone Z10|Electronics|250000|7|Chidinma|200000</v>
      </c>
      <c r="P1080" s="3" t="str">
        <f>IF(COUNTIF(Sales_Data2[RowKey],Sales_Data2[[#This Row],[RowKey]])&gt;1,"Duplicate","Unique")</f>
        <v>Unique</v>
      </c>
      <c r="Q1080" s="3" t="str">
        <f>IF(ISNUMBER(Sales_Data2[[#This Row],[Date]]),"OK","Check")</f>
        <v>OK</v>
      </c>
      <c r="R1080" s="3" t="str">
        <f>IF(ISNUMBER(Sales_Data2[[#This Row],[Quantity]]),"OK","Check")</f>
        <v>OK</v>
      </c>
    </row>
    <row r="1081" spans="1:18">
      <c r="A1081" s="1">
        <v>46755</v>
      </c>
      <c r="B1081" t="s">
        <v>11</v>
      </c>
      <c r="C1081" t="s">
        <v>32</v>
      </c>
      <c r="D1081" t="s">
        <v>23</v>
      </c>
      <c r="E1081" t="s">
        <v>20</v>
      </c>
      <c r="F1081" t="s">
        <v>27</v>
      </c>
      <c r="G1081" t="s">
        <v>22</v>
      </c>
      <c r="H1081">
        <v>60000</v>
      </c>
      <c r="I1081">
        <v>7</v>
      </c>
      <c r="J1081" t="s">
        <v>37</v>
      </c>
      <c r="K1081">
        <f t="shared" si="16"/>
        <v>48000</v>
      </c>
      <c r="L1081">
        <f>Sales_Data2[[#This Row],[Unit Price]]*Sales_Data2[[#This Row],[Quantity]]</f>
        <v>420000</v>
      </c>
      <c r="M1081">
        <f>Sales_Data2[[#This Row],[Cost Price]]*Sales_Data2[[#This Row],[Quantity]]</f>
        <v>336000</v>
      </c>
      <c r="N1081" s="3">
        <f>Sales_Data2[[#This Row],[Revenue]]-Sales_Data2[[#This Row],[COGS]]</f>
        <v>84000</v>
      </c>
      <c r="O10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46755|West|Abuja|Corporate|Store|Microwave M20|Home Appliances|60000|7|Aisha|48000</v>
      </c>
      <c r="P1081" s="3" t="str">
        <f>IF(COUNTIF(Sales_Data2[RowKey],Sales_Data2[[#This Row],[RowKey]])&gt;1,"Duplicate","Unique")</f>
        <v>Unique</v>
      </c>
      <c r="Q1081" s="3" t="str">
        <f>IF(ISNUMBER(Sales_Data2[[#This Row],[Date]]),"OK","Check")</f>
        <v>OK</v>
      </c>
      <c r="R1081" s="3" t="str">
        <f>IF(ISNUMBER(Sales_Data2[[#This Row],[Quantity]]),"OK","Check")</f>
        <v>OK</v>
      </c>
    </row>
    <row r="1082" spans="1:18">
      <c r="A1082" s="1">
        <v>46756</v>
      </c>
      <c r="B1082" t="s">
        <v>18</v>
      </c>
      <c r="C1082" t="s">
        <v>12</v>
      </c>
      <c r="D1082" t="s">
        <v>23</v>
      </c>
      <c r="E1082" t="s">
        <v>14</v>
      </c>
      <c r="F1082" t="s">
        <v>15</v>
      </c>
      <c r="G1082" t="s">
        <v>16</v>
      </c>
      <c r="H1082">
        <v>85000</v>
      </c>
      <c r="I1082">
        <v>2</v>
      </c>
      <c r="J1082" t="s">
        <v>35</v>
      </c>
      <c r="K1082">
        <f t="shared" si="16"/>
        <v>68000</v>
      </c>
      <c r="L1082">
        <f>Sales_Data2[[#This Row],[Unit Price]]*Sales_Data2[[#This Row],[Quantity]]</f>
        <v>170000</v>
      </c>
      <c r="M1082">
        <f>Sales_Data2[[#This Row],[Cost Price]]*Sales_Data2[[#This Row],[Quantity]]</f>
        <v>136000</v>
      </c>
      <c r="N1082" s="3">
        <f>Sales_Data2[[#This Row],[Revenue]]-Sales_Data2[[#This Row],[COGS]]</f>
        <v>34000</v>
      </c>
      <c r="O10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46756|East|Port Harcourt|Corporate|Online|Office Chair Pro|Furniture|85000|2|Peter|68000</v>
      </c>
      <c r="P1082" s="3" t="str">
        <f>IF(COUNTIF(Sales_Data2[RowKey],Sales_Data2[[#This Row],[RowKey]])&gt;1,"Duplicate","Unique")</f>
        <v>Unique</v>
      </c>
      <c r="Q1082" s="3" t="str">
        <f>IF(ISNUMBER(Sales_Data2[[#This Row],[Date]]),"OK","Check")</f>
        <v>OK</v>
      </c>
      <c r="R1082" s="3" t="str">
        <f>IF(ISNUMBER(Sales_Data2[[#This Row],[Quantity]]),"OK","Check")</f>
        <v>OK</v>
      </c>
    </row>
    <row r="1083" spans="1:18">
      <c r="A1083" s="1">
        <v>46757</v>
      </c>
      <c r="B1083" t="s">
        <v>11</v>
      </c>
      <c r="C1083" t="s">
        <v>12</v>
      </c>
      <c r="D1083" t="s">
        <v>13</v>
      </c>
      <c r="E1083" t="s">
        <v>20</v>
      </c>
      <c r="F1083" t="s">
        <v>27</v>
      </c>
      <c r="G1083" t="s">
        <v>22</v>
      </c>
      <c r="H1083">
        <v>60000</v>
      </c>
      <c r="I1083">
        <v>2</v>
      </c>
      <c r="J1083" t="s">
        <v>39</v>
      </c>
      <c r="K1083">
        <f t="shared" si="16"/>
        <v>48000</v>
      </c>
      <c r="L1083">
        <f>Sales_Data2[[#This Row],[Unit Price]]*Sales_Data2[[#This Row],[Quantity]]</f>
        <v>120000</v>
      </c>
      <c r="M1083">
        <f>Sales_Data2[[#This Row],[Cost Price]]*Sales_Data2[[#This Row],[Quantity]]</f>
        <v>96000</v>
      </c>
      <c r="N1083" s="3">
        <f>Sales_Data2[[#This Row],[Revenue]]-Sales_Data2[[#This Row],[COGS]]</f>
        <v>24000</v>
      </c>
      <c r="O10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46757|West|Port Harcourt|Retail|Store|Microwave M20|Home Appliances|60000|2|Grace|48000</v>
      </c>
      <c r="P1083" s="3" t="str">
        <f>IF(COUNTIF(Sales_Data2[RowKey],Sales_Data2[[#This Row],[RowKey]])&gt;1,"Duplicate","Unique")</f>
        <v>Unique</v>
      </c>
      <c r="Q1083" s="3" t="str">
        <f>IF(ISNUMBER(Sales_Data2[[#This Row],[Date]]),"OK","Check")</f>
        <v>OK</v>
      </c>
      <c r="R1083" s="3" t="str">
        <f>IF(ISNUMBER(Sales_Data2[[#This Row],[Quantity]]),"OK","Check")</f>
        <v>OK</v>
      </c>
    </row>
    <row r="1084" spans="1:18">
      <c r="A1084" s="1">
        <v>46758</v>
      </c>
      <c r="B1084" t="s">
        <v>18</v>
      </c>
      <c r="C1084" t="s">
        <v>32</v>
      </c>
      <c r="D1084" t="s">
        <v>23</v>
      </c>
      <c r="E1084" t="s">
        <v>14</v>
      </c>
      <c r="F1084" t="s">
        <v>21</v>
      </c>
      <c r="G1084" t="s">
        <v>22</v>
      </c>
      <c r="H1084">
        <v>30000</v>
      </c>
      <c r="I1084">
        <v>10</v>
      </c>
      <c r="J1084" t="s">
        <v>39</v>
      </c>
      <c r="K1084">
        <f t="shared" si="16"/>
        <v>24000</v>
      </c>
      <c r="L1084">
        <f>Sales_Data2[[#This Row],[Unit Price]]*Sales_Data2[[#This Row],[Quantity]]</f>
        <v>300000</v>
      </c>
      <c r="M1084">
        <f>Sales_Data2[[#This Row],[Cost Price]]*Sales_Data2[[#This Row],[Quantity]]</f>
        <v>240000</v>
      </c>
      <c r="N1084" s="3">
        <f>Sales_Data2[[#This Row],[Revenue]]-Sales_Data2[[#This Row],[COGS]]</f>
        <v>60000</v>
      </c>
      <c r="O10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46758|East|Abuja|Corporate|Online|Blender B10|Home Appliances|30000|10|Grace|24000</v>
      </c>
      <c r="P1084" s="3" t="str">
        <f>IF(COUNTIF(Sales_Data2[RowKey],Sales_Data2[[#This Row],[RowKey]])&gt;1,"Duplicate","Unique")</f>
        <v>Unique</v>
      </c>
      <c r="Q1084" s="3" t="str">
        <f>IF(ISNUMBER(Sales_Data2[[#This Row],[Date]]),"OK","Check")</f>
        <v>OK</v>
      </c>
      <c r="R1084" s="3" t="str">
        <f>IF(ISNUMBER(Sales_Data2[[#This Row],[Quantity]]),"OK","Check")</f>
        <v>OK</v>
      </c>
    </row>
    <row r="1085" spans="1:18">
      <c r="A1085" s="1">
        <v>46759</v>
      </c>
      <c r="B1085" t="s">
        <v>29</v>
      </c>
      <c r="C1085" t="s">
        <v>19</v>
      </c>
      <c r="D1085" t="s">
        <v>23</v>
      </c>
      <c r="E1085" t="s">
        <v>20</v>
      </c>
      <c r="F1085" t="s">
        <v>38</v>
      </c>
      <c r="G1085" t="s">
        <v>31</v>
      </c>
      <c r="H1085">
        <v>420000</v>
      </c>
      <c r="I1085">
        <v>8</v>
      </c>
      <c r="J1085" t="s">
        <v>24</v>
      </c>
      <c r="K1085">
        <f t="shared" si="16"/>
        <v>336000</v>
      </c>
      <c r="L1085">
        <f>Sales_Data2[[#This Row],[Unit Price]]*Sales_Data2[[#This Row],[Quantity]]</f>
        <v>3360000</v>
      </c>
      <c r="M1085">
        <f>Sales_Data2[[#This Row],[Cost Price]]*Sales_Data2[[#This Row],[Quantity]]</f>
        <v>2688000</v>
      </c>
      <c r="N1085" s="3">
        <f>Sales_Data2[[#This Row],[Revenue]]-Sales_Data2[[#This Row],[COGS]]</f>
        <v>672000</v>
      </c>
      <c r="O10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46759|North|Lagos|Corporate|Store|Laptop A13|Electronics|420000|8|David|336000</v>
      </c>
      <c r="P1085" s="3" t="str">
        <f>IF(COUNTIF(Sales_Data2[RowKey],Sales_Data2[[#This Row],[RowKey]])&gt;1,"Duplicate","Unique")</f>
        <v>Unique</v>
      </c>
      <c r="Q1085" s="3" t="str">
        <f>IF(ISNUMBER(Sales_Data2[[#This Row],[Date]]),"OK","Check")</f>
        <v>OK</v>
      </c>
      <c r="R1085" s="3" t="str">
        <f>IF(ISNUMBER(Sales_Data2[[#This Row],[Quantity]]),"OK","Check")</f>
        <v>OK</v>
      </c>
    </row>
    <row r="1086" spans="1:18">
      <c r="A1086" s="1">
        <v>46760</v>
      </c>
      <c r="B1086" t="s">
        <v>11</v>
      </c>
      <c r="C1086" t="s">
        <v>19</v>
      </c>
      <c r="D1086" t="s">
        <v>23</v>
      </c>
      <c r="E1086" t="s">
        <v>14</v>
      </c>
      <c r="F1086" t="s">
        <v>27</v>
      </c>
      <c r="G1086" t="s">
        <v>22</v>
      </c>
      <c r="H1086">
        <v>60000</v>
      </c>
      <c r="I1086">
        <v>2</v>
      </c>
      <c r="J1086" t="s">
        <v>37</v>
      </c>
      <c r="K1086">
        <f t="shared" si="16"/>
        <v>48000</v>
      </c>
      <c r="L1086">
        <f>Sales_Data2[[#This Row],[Unit Price]]*Sales_Data2[[#This Row],[Quantity]]</f>
        <v>120000</v>
      </c>
      <c r="M1086">
        <f>Sales_Data2[[#This Row],[Cost Price]]*Sales_Data2[[#This Row],[Quantity]]</f>
        <v>96000</v>
      </c>
      <c r="N1086" s="3">
        <f>Sales_Data2[[#This Row],[Revenue]]-Sales_Data2[[#This Row],[COGS]]</f>
        <v>24000</v>
      </c>
      <c r="O10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46760|West|Lagos|Corporate|Online|Microwave M20|Home Appliances|60000|2|Aisha|48000</v>
      </c>
      <c r="P1086" s="3" t="str">
        <f>IF(COUNTIF(Sales_Data2[RowKey],Sales_Data2[[#This Row],[RowKey]])&gt;1,"Duplicate","Unique")</f>
        <v>Unique</v>
      </c>
      <c r="Q1086" s="3" t="str">
        <f>IF(ISNUMBER(Sales_Data2[[#This Row],[Date]]),"OK","Check")</f>
        <v>OK</v>
      </c>
      <c r="R1086" s="3" t="str">
        <f>IF(ISNUMBER(Sales_Data2[[#This Row],[Quantity]]),"OK","Check")</f>
        <v>OK</v>
      </c>
    </row>
    <row r="1087" spans="1:18">
      <c r="A1087" s="1">
        <v>46761</v>
      </c>
      <c r="B1087" t="s">
        <v>25</v>
      </c>
      <c r="C1087" t="s">
        <v>26</v>
      </c>
      <c r="D1087" t="s">
        <v>23</v>
      </c>
      <c r="E1087" t="s">
        <v>20</v>
      </c>
      <c r="F1087" t="s">
        <v>15</v>
      </c>
      <c r="G1087" t="s">
        <v>16</v>
      </c>
      <c r="H1087">
        <v>85000</v>
      </c>
      <c r="I1087">
        <v>8</v>
      </c>
      <c r="J1087" t="s">
        <v>39</v>
      </c>
      <c r="K1087">
        <f t="shared" si="16"/>
        <v>68000</v>
      </c>
      <c r="L1087">
        <f>Sales_Data2[[#This Row],[Unit Price]]*Sales_Data2[[#This Row],[Quantity]]</f>
        <v>680000</v>
      </c>
      <c r="M1087">
        <f>Sales_Data2[[#This Row],[Cost Price]]*Sales_Data2[[#This Row],[Quantity]]</f>
        <v>544000</v>
      </c>
      <c r="N1087" s="3">
        <f>Sales_Data2[[#This Row],[Revenue]]-Sales_Data2[[#This Row],[COGS]]</f>
        <v>136000</v>
      </c>
      <c r="O10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46761|South|Kano|Corporate|Store|Office Chair Pro|Furniture|85000|8|Grace|68000</v>
      </c>
      <c r="P1087" s="3" t="str">
        <f>IF(COUNTIF(Sales_Data2[RowKey],Sales_Data2[[#This Row],[RowKey]])&gt;1,"Duplicate","Unique")</f>
        <v>Unique</v>
      </c>
      <c r="Q1087" s="3" t="str">
        <f>IF(ISNUMBER(Sales_Data2[[#This Row],[Date]]),"OK","Check")</f>
        <v>OK</v>
      </c>
      <c r="R1087" s="3" t="str">
        <f>IF(ISNUMBER(Sales_Data2[[#This Row],[Quantity]]),"OK","Check")</f>
        <v>OK</v>
      </c>
    </row>
    <row r="1088" spans="1:18">
      <c r="A1088" s="1">
        <v>46762</v>
      </c>
      <c r="B1088" t="s">
        <v>11</v>
      </c>
      <c r="C1088" t="s">
        <v>12</v>
      </c>
      <c r="D1088" t="s">
        <v>13</v>
      </c>
      <c r="E1088" t="s">
        <v>20</v>
      </c>
      <c r="F1088" t="s">
        <v>38</v>
      </c>
      <c r="G1088" t="s">
        <v>31</v>
      </c>
      <c r="H1088">
        <v>420000</v>
      </c>
      <c r="I1088">
        <v>7</v>
      </c>
      <c r="J1088" t="s">
        <v>35</v>
      </c>
      <c r="K1088">
        <f t="shared" si="16"/>
        <v>336000</v>
      </c>
      <c r="L1088">
        <f>Sales_Data2[[#This Row],[Unit Price]]*Sales_Data2[[#This Row],[Quantity]]</f>
        <v>2940000</v>
      </c>
      <c r="M1088">
        <f>Sales_Data2[[#This Row],[Cost Price]]*Sales_Data2[[#This Row],[Quantity]]</f>
        <v>2352000</v>
      </c>
      <c r="N1088" s="3">
        <f>Sales_Data2[[#This Row],[Revenue]]-Sales_Data2[[#This Row],[COGS]]</f>
        <v>588000</v>
      </c>
      <c r="O10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46762|West|Port Harcourt|Retail|Store|Laptop A13|Electronics|420000|7|Peter|336000</v>
      </c>
      <c r="P1088" s="3" t="str">
        <f>IF(COUNTIF(Sales_Data2[RowKey],Sales_Data2[[#This Row],[RowKey]])&gt;1,"Duplicate","Unique")</f>
        <v>Unique</v>
      </c>
      <c r="Q1088" s="3" t="str">
        <f>IF(ISNUMBER(Sales_Data2[[#This Row],[Date]]),"OK","Check")</f>
        <v>OK</v>
      </c>
      <c r="R1088" s="3" t="str">
        <f>IF(ISNUMBER(Sales_Data2[[#This Row],[Quantity]]),"OK","Check")</f>
        <v>OK</v>
      </c>
    </row>
    <row r="1089" spans="1:18">
      <c r="A1089" s="1">
        <v>46763</v>
      </c>
      <c r="B1089" t="s">
        <v>18</v>
      </c>
      <c r="C1089" t="s">
        <v>32</v>
      </c>
      <c r="D1089" t="s">
        <v>13</v>
      </c>
      <c r="E1089" t="s">
        <v>20</v>
      </c>
      <c r="F1089" t="s">
        <v>30</v>
      </c>
      <c r="G1089" t="s">
        <v>31</v>
      </c>
      <c r="H1089">
        <v>300000</v>
      </c>
      <c r="I1089">
        <v>6</v>
      </c>
      <c r="J1089" t="s">
        <v>39</v>
      </c>
      <c r="K1089">
        <f t="shared" si="16"/>
        <v>240000</v>
      </c>
      <c r="L1089">
        <f>Sales_Data2[[#This Row],[Unit Price]]*Sales_Data2[[#This Row],[Quantity]]</f>
        <v>1800000</v>
      </c>
      <c r="M1089">
        <f>Sales_Data2[[#This Row],[Cost Price]]*Sales_Data2[[#This Row],[Quantity]]</f>
        <v>1440000</v>
      </c>
      <c r="N1089" s="3">
        <f>Sales_Data2[[#This Row],[Revenue]]-Sales_Data2[[#This Row],[COGS]]</f>
        <v>360000</v>
      </c>
      <c r="O10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46763|East|Abuja|Retail|Store|Desktop PC D21|Electronics|300000|6|Grace|240000</v>
      </c>
      <c r="P1089" s="3" t="str">
        <f>IF(COUNTIF(Sales_Data2[RowKey],Sales_Data2[[#This Row],[RowKey]])&gt;1,"Duplicate","Unique")</f>
        <v>Unique</v>
      </c>
      <c r="Q1089" s="3" t="str">
        <f>IF(ISNUMBER(Sales_Data2[[#This Row],[Date]]),"OK","Check")</f>
        <v>OK</v>
      </c>
      <c r="R1089" s="3" t="str">
        <f>IF(ISNUMBER(Sales_Data2[[#This Row],[Quantity]]),"OK","Check")</f>
        <v>OK</v>
      </c>
    </row>
    <row r="1090" spans="1:18">
      <c r="A1090" s="1">
        <v>46764</v>
      </c>
      <c r="B1090" t="s">
        <v>29</v>
      </c>
      <c r="C1090" t="s">
        <v>12</v>
      </c>
      <c r="D1090" t="s">
        <v>13</v>
      </c>
      <c r="E1090" t="s">
        <v>14</v>
      </c>
      <c r="F1090" t="s">
        <v>38</v>
      </c>
      <c r="G1090" t="s">
        <v>31</v>
      </c>
      <c r="H1090">
        <v>420000</v>
      </c>
      <c r="I1090">
        <v>2</v>
      </c>
      <c r="J1090" t="s">
        <v>37</v>
      </c>
      <c r="K1090">
        <f t="shared" ref="K1090:K1153" si="17">H1090-H1090*0.2</f>
        <v>336000</v>
      </c>
      <c r="L1090">
        <f>Sales_Data2[[#This Row],[Unit Price]]*Sales_Data2[[#This Row],[Quantity]]</f>
        <v>840000</v>
      </c>
      <c r="M1090">
        <f>Sales_Data2[[#This Row],[Cost Price]]*Sales_Data2[[#This Row],[Quantity]]</f>
        <v>672000</v>
      </c>
      <c r="N1090" s="3">
        <f>Sales_Data2[[#This Row],[Revenue]]-Sales_Data2[[#This Row],[COGS]]</f>
        <v>168000</v>
      </c>
      <c r="O10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46764|North|Port Harcourt|Retail|Online|Laptop A13|Electronics|420000|2|Aisha|336000</v>
      </c>
      <c r="P1090" s="3" t="str">
        <f>IF(COUNTIF(Sales_Data2[RowKey],Sales_Data2[[#This Row],[RowKey]])&gt;1,"Duplicate","Unique")</f>
        <v>Unique</v>
      </c>
      <c r="Q1090" s="3" t="str">
        <f>IF(ISNUMBER(Sales_Data2[[#This Row],[Date]]),"OK","Check")</f>
        <v>OK</v>
      </c>
      <c r="R1090" s="3" t="str">
        <f>IF(ISNUMBER(Sales_Data2[[#This Row],[Quantity]]),"OK","Check")</f>
        <v>OK</v>
      </c>
    </row>
    <row r="1091" spans="1:18">
      <c r="A1091" s="1">
        <v>46765</v>
      </c>
      <c r="B1091" t="s">
        <v>29</v>
      </c>
      <c r="C1091" t="s">
        <v>12</v>
      </c>
      <c r="D1091" t="s">
        <v>23</v>
      </c>
      <c r="E1091" t="s">
        <v>14</v>
      </c>
      <c r="F1091" t="s">
        <v>30</v>
      </c>
      <c r="G1091" t="s">
        <v>31</v>
      </c>
      <c r="H1091">
        <v>300000</v>
      </c>
      <c r="I1091">
        <v>8</v>
      </c>
      <c r="J1091" t="s">
        <v>35</v>
      </c>
      <c r="K1091">
        <f t="shared" si="17"/>
        <v>240000</v>
      </c>
      <c r="L1091">
        <f>Sales_Data2[[#This Row],[Unit Price]]*Sales_Data2[[#This Row],[Quantity]]</f>
        <v>2400000</v>
      </c>
      <c r="M1091">
        <f>Sales_Data2[[#This Row],[Cost Price]]*Sales_Data2[[#This Row],[Quantity]]</f>
        <v>1920000</v>
      </c>
      <c r="N1091" s="3">
        <f>Sales_Data2[[#This Row],[Revenue]]-Sales_Data2[[#This Row],[COGS]]</f>
        <v>480000</v>
      </c>
      <c r="O10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46765|North|Port Harcourt|Corporate|Online|Desktop PC D21|Electronics|300000|8|Peter|240000</v>
      </c>
      <c r="P1091" s="3" t="str">
        <f>IF(COUNTIF(Sales_Data2[RowKey],Sales_Data2[[#This Row],[RowKey]])&gt;1,"Duplicate","Unique")</f>
        <v>Unique</v>
      </c>
      <c r="Q1091" s="3" t="str">
        <f>IF(ISNUMBER(Sales_Data2[[#This Row],[Date]]),"OK","Check")</f>
        <v>OK</v>
      </c>
      <c r="R1091" s="3" t="str">
        <f>IF(ISNUMBER(Sales_Data2[[#This Row],[Quantity]]),"OK","Check")</f>
        <v>OK</v>
      </c>
    </row>
    <row r="1092" spans="1:18">
      <c r="A1092" s="1">
        <v>46766</v>
      </c>
      <c r="B1092" t="s">
        <v>29</v>
      </c>
      <c r="C1092" t="s">
        <v>26</v>
      </c>
      <c r="D1092" t="s">
        <v>13</v>
      </c>
      <c r="E1092" t="s">
        <v>14</v>
      </c>
      <c r="F1092" t="s">
        <v>40</v>
      </c>
      <c r="G1092" t="s">
        <v>31</v>
      </c>
      <c r="H1092">
        <v>250000</v>
      </c>
      <c r="I1092">
        <v>5</v>
      </c>
      <c r="J1092" t="s">
        <v>35</v>
      </c>
      <c r="K1092">
        <f t="shared" si="17"/>
        <v>200000</v>
      </c>
      <c r="L1092">
        <f>Sales_Data2[[#This Row],[Unit Price]]*Sales_Data2[[#This Row],[Quantity]]</f>
        <v>1250000</v>
      </c>
      <c r="M1092">
        <f>Sales_Data2[[#This Row],[Cost Price]]*Sales_Data2[[#This Row],[Quantity]]</f>
        <v>1000000</v>
      </c>
      <c r="N1092" s="3">
        <f>Sales_Data2[[#This Row],[Revenue]]-Sales_Data2[[#This Row],[COGS]]</f>
        <v>250000</v>
      </c>
      <c r="O10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46766|North|Kano|Retail|Online|Smartphone Z10|Electronics|250000|5|Peter|200000</v>
      </c>
      <c r="P1092" s="3" t="str">
        <f>IF(COUNTIF(Sales_Data2[RowKey],Sales_Data2[[#This Row],[RowKey]])&gt;1,"Duplicate","Unique")</f>
        <v>Unique</v>
      </c>
      <c r="Q1092" s="3" t="str">
        <f>IF(ISNUMBER(Sales_Data2[[#This Row],[Date]]),"OK","Check")</f>
        <v>OK</v>
      </c>
      <c r="R1092" s="3" t="str">
        <f>IF(ISNUMBER(Sales_Data2[[#This Row],[Quantity]]),"OK","Check")</f>
        <v>OK</v>
      </c>
    </row>
    <row r="1093" spans="1:18">
      <c r="A1093" s="1">
        <v>46767</v>
      </c>
      <c r="B1093" t="s">
        <v>18</v>
      </c>
      <c r="C1093" t="s">
        <v>32</v>
      </c>
      <c r="D1093" t="s">
        <v>23</v>
      </c>
      <c r="E1093" t="s">
        <v>20</v>
      </c>
      <c r="F1093" t="s">
        <v>38</v>
      </c>
      <c r="G1093" t="s">
        <v>31</v>
      </c>
      <c r="H1093">
        <v>420000</v>
      </c>
      <c r="I1093">
        <v>5</v>
      </c>
      <c r="J1093" t="s">
        <v>35</v>
      </c>
      <c r="K1093">
        <f t="shared" si="17"/>
        <v>336000</v>
      </c>
      <c r="L1093">
        <f>Sales_Data2[[#This Row],[Unit Price]]*Sales_Data2[[#This Row],[Quantity]]</f>
        <v>2100000</v>
      </c>
      <c r="M1093">
        <f>Sales_Data2[[#This Row],[Cost Price]]*Sales_Data2[[#This Row],[Quantity]]</f>
        <v>1680000</v>
      </c>
      <c r="N1093" s="3">
        <f>Sales_Data2[[#This Row],[Revenue]]-Sales_Data2[[#This Row],[COGS]]</f>
        <v>420000</v>
      </c>
      <c r="O10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46767|East|Abuja|Corporate|Store|Laptop A13|Electronics|420000|5|Peter|336000</v>
      </c>
      <c r="P1093" s="3" t="str">
        <f>IF(COUNTIF(Sales_Data2[RowKey],Sales_Data2[[#This Row],[RowKey]])&gt;1,"Duplicate","Unique")</f>
        <v>Unique</v>
      </c>
      <c r="Q1093" s="3" t="str">
        <f>IF(ISNUMBER(Sales_Data2[[#This Row],[Date]]),"OK","Check")</f>
        <v>OK</v>
      </c>
      <c r="R1093" s="3" t="str">
        <f>IF(ISNUMBER(Sales_Data2[[#This Row],[Quantity]]),"OK","Check")</f>
        <v>OK</v>
      </c>
    </row>
    <row r="1094" spans="1:18">
      <c r="A1094" s="1">
        <v>46768</v>
      </c>
      <c r="B1094" t="s">
        <v>18</v>
      </c>
      <c r="C1094" t="s">
        <v>26</v>
      </c>
      <c r="D1094" t="s">
        <v>23</v>
      </c>
      <c r="E1094" t="s">
        <v>14</v>
      </c>
      <c r="F1094" t="s">
        <v>38</v>
      </c>
      <c r="G1094" t="s">
        <v>31</v>
      </c>
      <c r="H1094">
        <v>420000</v>
      </c>
      <c r="I1094">
        <v>10</v>
      </c>
      <c r="J1094" t="s">
        <v>24</v>
      </c>
      <c r="K1094">
        <f t="shared" si="17"/>
        <v>336000</v>
      </c>
      <c r="L1094">
        <f>Sales_Data2[[#This Row],[Unit Price]]*Sales_Data2[[#This Row],[Quantity]]</f>
        <v>4200000</v>
      </c>
      <c r="M1094">
        <f>Sales_Data2[[#This Row],[Cost Price]]*Sales_Data2[[#This Row],[Quantity]]</f>
        <v>3360000</v>
      </c>
      <c r="N1094" s="3">
        <f>Sales_Data2[[#This Row],[Revenue]]-Sales_Data2[[#This Row],[COGS]]</f>
        <v>840000</v>
      </c>
      <c r="O10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46768|East|Kano|Corporate|Online|Laptop A13|Electronics|420000|10|David|336000</v>
      </c>
      <c r="P1094" s="3" t="str">
        <f>IF(COUNTIF(Sales_Data2[RowKey],Sales_Data2[[#This Row],[RowKey]])&gt;1,"Duplicate","Unique")</f>
        <v>Unique</v>
      </c>
      <c r="Q1094" s="3" t="str">
        <f>IF(ISNUMBER(Sales_Data2[[#This Row],[Date]]),"OK","Check")</f>
        <v>OK</v>
      </c>
      <c r="R1094" s="3" t="str">
        <f>IF(ISNUMBER(Sales_Data2[[#This Row],[Quantity]]),"OK","Check")</f>
        <v>OK</v>
      </c>
    </row>
    <row r="1095" spans="1:18">
      <c r="A1095" s="1">
        <v>46769</v>
      </c>
      <c r="B1095" t="s">
        <v>29</v>
      </c>
      <c r="C1095" t="s">
        <v>26</v>
      </c>
      <c r="D1095" t="s">
        <v>13</v>
      </c>
      <c r="E1095" t="s">
        <v>14</v>
      </c>
      <c r="F1095" t="s">
        <v>34</v>
      </c>
      <c r="G1095" t="s">
        <v>16</v>
      </c>
      <c r="H1095">
        <v>320000</v>
      </c>
      <c r="I1095">
        <v>1</v>
      </c>
      <c r="J1095" t="s">
        <v>28</v>
      </c>
      <c r="K1095">
        <f t="shared" si="17"/>
        <v>256000</v>
      </c>
      <c r="L1095">
        <f>Sales_Data2[[#This Row],[Unit Price]]*Sales_Data2[[#This Row],[Quantity]]</f>
        <v>320000</v>
      </c>
      <c r="M1095">
        <f>Sales_Data2[[#This Row],[Cost Price]]*Sales_Data2[[#This Row],[Quantity]]</f>
        <v>256000</v>
      </c>
      <c r="N1095" s="3">
        <f>Sales_Data2[[#This Row],[Revenue]]-Sales_Data2[[#This Row],[COGS]]</f>
        <v>64000</v>
      </c>
      <c r="O10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46769|North|Kano|Retail|Online|Sofa Classic|Furniture|320000|1|Musa|256000</v>
      </c>
      <c r="P1095" s="3" t="str">
        <f>IF(COUNTIF(Sales_Data2[RowKey],Sales_Data2[[#This Row],[RowKey]])&gt;1,"Duplicate","Unique")</f>
        <v>Unique</v>
      </c>
      <c r="Q1095" s="3" t="str">
        <f>IF(ISNUMBER(Sales_Data2[[#This Row],[Date]]),"OK","Check")</f>
        <v>OK</v>
      </c>
      <c r="R1095" s="3" t="str">
        <f>IF(ISNUMBER(Sales_Data2[[#This Row],[Quantity]]),"OK","Check")</f>
        <v>OK</v>
      </c>
    </row>
    <row r="1096" spans="1:18">
      <c r="A1096" s="1">
        <v>46770</v>
      </c>
      <c r="B1096" t="s">
        <v>25</v>
      </c>
      <c r="C1096" t="s">
        <v>32</v>
      </c>
      <c r="D1096" t="s">
        <v>13</v>
      </c>
      <c r="E1096" t="s">
        <v>14</v>
      </c>
      <c r="F1096" t="s">
        <v>34</v>
      </c>
      <c r="G1096" t="s">
        <v>16</v>
      </c>
      <c r="H1096">
        <v>320000</v>
      </c>
      <c r="I1096">
        <v>1</v>
      </c>
      <c r="J1096" t="s">
        <v>35</v>
      </c>
      <c r="K1096">
        <f t="shared" si="17"/>
        <v>256000</v>
      </c>
      <c r="L1096">
        <f>Sales_Data2[[#This Row],[Unit Price]]*Sales_Data2[[#This Row],[Quantity]]</f>
        <v>320000</v>
      </c>
      <c r="M1096">
        <f>Sales_Data2[[#This Row],[Cost Price]]*Sales_Data2[[#This Row],[Quantity]]</f>
        <v>256000</v>
      </c>
      <c r="N1096" s="3">
        <f>Sales_Data2[[#This Row],[Revenue]]-Sales_Data2[[#This Row],[COGS]]</f>
        <v>64000</v>
      </c>
      <c r="O10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46770|South|Abuja|Retail|Online|Sofa Classic|Furniture|320000|1|Peter|256000</v>
      </c>
      <c r="P1096" s="3" t="str">
        <f>IF(COUNTIF(Sales_Data2[RowKey],Sales_Data2[[#This Row],[RowKey]])&gt;1,"Duplicate","Unique")</f>
        <v>Unique</v>
      </c>
      <c r="Q1096" s="3" t="str">
        <f>IF(ISNUMBER(Sales_Data2[[#This Row],[Date]]),"OK","Check")</f>
        <v>OK</v>
      </c>
      <c r="R1096" s="3" t="str">
        <f>IF(ISNUMBER(Sales_Data2[[#This Row],[Quantity]]),"OK","Check")</f>
        <v>OK</v>
      </c>
    </row>
    <row r="1097" spans="1:18">
      <c r="A1097" s="1">
        <v>46771</v>
      </c>
      <c r="B1097" t="s">
        <v>29</v>
      </c>
      <c r="C1097" t="s">
        <v>26</v>
      </c>
      <c r="D1097" t="s">
        <v>23</v>
      </c>
      <c r="E1097" t="s">
        <v>20</v>
      </c>
      <c r="F1097" t="s">
        <v>36</v>
      </c>
      <c r="G1097" t="s">
        <v>31</v>
      </c>
      <c r="H1097">
        <v>150000</v>
      </c>
      <c r="I1097">
        <v>1</v>
      </c>
      <c r="J1097" t="s">
        <v>39</v>
      </c>
      <c r="K1097">
        <f t="shared" si="17"/>
        <v>120000</v>
      </c>
      <c r="L1097">
        <f>Sales_Data2[[#This Row],[Unit Price]]*Sales_Data2[[#This Row],[Quantity]]</f>
        <v>150000</v>
      </c>
      <c r="M1097">
        <f>Sales_Data2[[#This Row],[Cost Price]]*Sales_Data2[[#This Row],[Quantity]]</f>
        <v>120000</v>
      </c>
      <c r="N1097" s="3">
        <f>Sales_Data2[[#This Row],[Revenue]]-Sales_Data2[[#This Row],[COGS]]</f>
        <v>30000</v>
      </c>
      <c r="O10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46771|North|Kano|Corporate|Store|Printer P50|Electronics|150000|1|Grace|120000</v>
      </c>
      <c r="P1097" s="3" t="str">
        <f>IF(COUNTIF(Sales_Data2[RowKey],Sales_Data2[[#This Row],[RowKey]])&gt;1,"Duplicate","Unique")</f>
        <v>Unique</v>
      </c>
      <c r="Q1097" s="3" t="str">
        <f>IF(ISNUMBER(Sales_Data2[[#This Row],[Date]]),"OK","Check")</f>
        <v>OK</v>
      </c>
      <c r="R1097" s="3" t="str">
        <f>IF(ISNUMBER(Sales_Data2[[#This Row],[Quantity]]),"OK","Check")</f>
        <v>OK</v>
      </c>
    </row>
    <row r="1098" spans="1:18">
      <c r="A1098" s="1">
        <v>46772</v>
      </c>
      <c r="B1098" t="s">
        <v>18</v>
      </c>
      <c r="C1098" t="s">
        <v>12</v>
      </c>
      <c r="D1098" t="s">
        <v>23</v>
      </c>
      <c r="E1098" t="s">
        <v>14</v>
      </c>
      <c r="F1098" t="s">
        <v>33</v>
      </c>
      <c r="G1098" t="s">
        <v>22</v>
      </c>
      <c r="H1098">
        <v>180000</v>
      </c>
      <c r="I1098">
        <v>10</v>
      </c>
      <c r="J1098" t="s">
        <v>28</v>
      </c>
      <c r="K1098">
        <f t="shared" si="17"/>
        <v>144000</v>
      </c>
      <c r="L1098">
        <f>Sales_Data2[[#This Row],[Unit Price]]*Sales_Data2[[#This Row],[Quantity]]</f>
        <v>1800000</v>
      </c>
      <c r="M1098">
        <f>Sales_Data2[[#This Row],[Cost Price]]*Sales_Data2[[#This Row],[Quantity]]</f>
        <v>1440000</v>
      </c>
      <c r="N1098" s="3">
        <f>Sales_Data2[[#This Row],[Revenue]]-Sales_Data2[[#This Row],[COGS]]</f>
        <v>360000</v>
      </c>
      <c r="O10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46772|East|Port Harcourt|Corporate|Online|Air Conditioner X2|Home Appliances|180000|10|Musa|144000</v>
      </c>
      <c r="P1098" s="3" t="str">
        <f>IF(COUNTIF(Sales_Data2[RowKey],Sales_Data2[[#This Row],[RowKey]])&gt;1,"Duplicate","Unique")</f>
        <v>Unique</v>
      </c>
      <c r="Q1098" s="3" t="str">
        <f>IF(ISNUMBER(Sales_Data2[[#This Row],[Date]]),"OK","Check")</f>
        <v>OK</v>
      </c>
      <c r="R1098" s="3" t="str">
        <f>IF(ISNUMBER(Sales_Data2[[#This Row],[Quantity]]),"OK","Check")</f>
        <v>OK</v>
      </c>
    </row>
    <row r="1099" spans="1:18">
      <c r="A1099" s="1">
        <v>46773</v>
      </c>
      <c r="B1099" t="s">
        <v>29</v>
      </c>
      <c r="C1099" t="s">
        <v>26</v>
      </c>
      <c r="D1099" t="s">
        <v>13</v>
      </c>
      <c r="E1099" t="s">
        <v>20</v>
      </c>
      <c r="F1099" t="s">
        <v>38</v>
      </c>
      <c r="G1099" t="s">
        <v>31</v>
      </c>
      <c r="H1099">
        <v>420000</v>
      </c>
      <c r="I1099">
        <v>3</v>
      </c>
      <c r="J1099" t="s">
        <v>24</v>
      </c>
      <c r="K1099">
        <f t="shared" si="17"/>
        <v>336000</v>
      </c>
      <c r="L1099">
        <f>Sales_Data2[[#This Row],[Unit Price]]*Sales_Data2[[#This Row],[Quantity]]</f>
        <v>1260000</v>
      </c>
      <c r="M1099">
        <f>Sales_Data2[[#This Row],[Cost Price]]*Sales_Data2[[#This Row],[Quantity]]</f>
        <v>1008000</v>
      </c>
      <c r="N1099" s="3">
        <f>Sales_Data2[[#This Row],[Revenue]]-Sales_Data2[[#This Row],[COGS]]</f>
        <v>252000</v>
      </c>
      <c r="O10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46773|North|Kano|Retail|Store|Laptop A13|Electronics|420000|3|David|336000</v>
      </c>
      <c r="P1099" s="3" t="str">
        <f>IF(COUNTIF(Sales_Data2[RowKey],Sales_Data2[[#This Row],[RowKey]])&gt;1,"Duplicate","Unique")</f>
        <v>Unique</v>
      </c>
      <c r="Q1099" s="3" t="str">
        <f>IF(ISNUMBER(Sales_Data2[[#This Row],[Date]]),"OK","Check")</f>
        <v>OK</v>
      </c>
      <c r="R1099" s="3" t="str">
        <f>IF(ISNUMBER(Sales_Data2[[#This Row],[Quantity]]),"OK","Check")</f>
        <v>OK</v>
      </c>
    </row>
    <row r="1100" spans="1:18">
      <c r="A1100" s="1">
        <v>46774</v>
      </c>
      <c r="B1100" t="s">
        <v>29</v>
      </c>
      <c r="C1100" t="s">
        <v>32</v>
      </c>
      <c r="D1100" t="s">
        <v>13</v>
      </c>
      <c r="E1100" t="s">
        <v>14</v>
      </c>
      <c r="F1100" t="s">
        <v>41</v>
      </c>
      <c r="G1100" t="s">
        <v>22</v>
      </c>
      <c r="H1100">
        <v>220000</v>
      </c>
      <c r="I1100">
        <v>10</v>
      </c>
      <c r="J1100" t="s">
        <v>39</v>
      </c>
      <c r="K1100">
        <f t="shared" si="17"/>
        <v>176000</v>
      </c>
      <c r="L1100">
        <f>Sales_Data2[[#This Row],[Unit Price]]*Sales_Data2[[#This Row],[Quantity]]</f>
        <v>2200000</v>
      </c>
      <c r="M1100">
        <f>Sales_Data2[[#This Row],[Cost Price]]*Sales_Data2[[#This Row],[Quantity]]</f>
        <v>1760000</v>
      </c>
      <c r="N1100" s="3">
        <f>Sales_Data2[[#This Row],[Revenue]]-Sales_Data2[[#This Row],[COGS]]</f>
        <v>440000</v>
      </c>
      <c r="O11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46774|North|Abuja|Retail|Online|Refrigerator R55|Home Appliances|220000|10|Grace|176000</v>
      </c>
      <c r="P1100" s="3" t="str">
        <f>IF(COUNTIF(Sales_Data2[RowKey],Sales_Data2[[#This Row],[RowKey]])&gt;1,"Duplicate","Unique")</f>
        <v>Unique</v>
      </c>
      <c r="Q1100" s="3" t="str">
        <f>IF(ISNUMBER(Sales_Data2[[#This Row],[Date]]),"OK","Check")</f>
        <v>OK</v>
      </c>
      <c r="R1100" s="3" t="str">
        <f>IF(ISNUMBER(Sales_Data2[[#This Row],[Quantity]]),"OK","Check")</f>
        <v>OK</v>
      </c>
    </row>
    <row r="1101" spans="1:18">
      <c r="A1101" s="1">
        <v>46775</v>
      </c>
      <c r="B1101" t="s">
        <v>18</v>
      </c>
      <c r="C1101" t="s">
        <v>32</v>
      </c>
      <c r="D1101" t="s">
        <v>23</v>
      </c>
      <c r="E1101" t="s">
        <v>20</v>
      </c>
      <c r="F1101" t="s">
        <v>38</v>
      </c>
      <c r="G1101" t="s">
        <v>31</v>
      </c>
      <c r="H1101">
        <v>420000</v>
      </c>
      <c r="I1101">
        <v>9</v>
      </c>
      <c r="J1101" t="s">
        <v>35</v>
      </c>
      <c r="K1101">
        <f t="shared" si="17"/>
        <v>336000</v>
      </c>
      <c r="L1101">
        <f>Sales_Data2[[#This Row],[Unit Price]]*Sales_Data2[[#This Row],[Quantity]]</f>
        <v>3780000</v>
      </c>
      <c r="M1101">
        <f>Sales_Data2[[#This Row],[Cost Price]]*Sales_Data2[[#This Row],[Quantity]]</f>
        <v>3024000</v>
      </c>
      <c r="N1101" s="3">
        <f>Sales_Data2[[#This Row],[Revenue]]-Sales_Data2[[#This Row],[COGS]]</f>
        <v>756000</v>
      </c>
      <c r="O11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46775|East|Abuja|Corporate|Store|Laptop A13|Electronics|420000|9|Peter|336000</v>
      </c>
      <c r="P1101" s="3" t="str">
        <f>IF(COUNTIF(Sales_Data2[RowKey],Sales_Data2[[#This Row],[RowKey]])&gt;1,"Duplicate","Unique")</f>
        <v>Unique</v>
      </c>
      <c r="Q1101" s="3" t="str">
        <f>IF(ISNUMBER(Sales_Data2[[#This Row],[Date]]),"OK","Check")</f>
        <v>OK</v>
      </c>
      <c r="R1101" s="3" t="str">
        <f>IF(ISNUMBER(Sales_Data2[[#This Row],[Quantity]]),"OK","Check")</f>
        <v>OK</v>
      </c>
    </row>
    <row r="1102" spans="1:18">
      <c r="A1102" s="1">
        <v>46776</v>
      </c>
      <c r="B1102" t="s">
        <v>11</v>
      </c>
      <c r="C1102" t="s">
        <v>32</v>
      </c>
      <c r="D1102" t="s">
        <v>13</v>
      </c>
      <c r="E1102" t="s">
        <v>20</v>
      </c>
      <c r="F1102" t="s">
        <v>21</v>
      </c>
      <c r="G1102" t="s">
        <v>22</v>
      </c>
      <c r="H1102">
        <v>30000</v>
      </c>
      <c r="I1102">
        <v>6</v>
      </c>
      <c r="J1102" t="s">
        <v>39</v>
      </c>
      <c r="K1102">
        <f t="shared" si="17"/>
        <v>24000</v>
      </c>
      <c r="L1102">
        <f>Sales_Data2[[#This Row],[Unit Price]]*Sales_Data2[[#This Row],[Quantity]]</f>
        <v>180000</v>
      </c>
      <c r="M1102">
        <f>Sales_Data2[[#This Row],[Cost Price]]*Sales_Data2[[#This Row],[Quantity]]</f>
        <v>144000</v>
      </c>
      <c r="N1102" s="3">
        <f>Sales_Data2[[#This Row],[Revenue]]-Sales_Data2[[#This Row],[COGS]]</f>
        <v>36000</v>
      </c>
      <c r="O11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46776|West|Abuja|Retail|Store|Blender B10|Home Appliances|30000|6|Grace|24000</v>
      </c>
      <c r="P1102" s="3" t="str">
        <f>IF(COUNTIF(Sales_Data2[RowKey],Sales_Data2[[#This Row],[RowKey]])&gt;1,"Duplicate","Unique")</f>
        <v>Unique</v>
      </c>
      <c r="Q1102" s="3" t="str">
        <f>IF(ISNUMBER(Sales_Data2[[#This Row],[Date]]),"OK","Check")</f>
        <v>OK</v>
      </c>
      <c r="R1102" s="3" t="str">
        <f>IF(ISNUMBER(Sales_Data2[[#This Row],[Quantity]]),"OK","Check")</f>
        <v>OK</v>
      </c>
    </row>
    <row r="1103" spans="1:18">
      <c r="A1103" s="1">
        <v>46777</v>
      </c>
      <c r="B1103" t="s">
        <v>29</v>
      </c>
      <c r="C1103" t="s">
        <v>12</v>
      </c>
      <c r="D1103" t="s">
        <v>13</v>
      </c>
      <c r="E1103" t="s">
        <v>20</v>
      </c>
      <c r="F1103" t="s">
        <v>40</v>
      </c>
      <c r="G1103" t="s">
        <v>31</v>
      </c>
      <c r="H1103">
        <v>250000</v>
      </c>
      <c r="I1103">
        <v>10</v>
      </c>
      <c r="J1103" t="s">
        <v>24</v>
      </c>
      <c r="K1103">
        <f t="shared" si="17"/>
        <v>200000</v>
      </c>
      <c r="L1103">
        <f>Sales_Data2[[#This Row],[Unit Price]]*Sales_Data2[[#This Row],[Quantity]]</f>
        <v>2500000</v>
      </c>
      <c r="M1103">
        <f>Sales_Data2[[#This Row],[Cost Price]]*Sales_Data2[[#This Row],[Quantity]]</f>
        <v>2000000</v>
      </c>
      <c r="N1103" s="3">
        <f>Sales_Data2[[#This Row],[Revenue]]-Sales_Data2[[#This Row],[COGS]]</f>
        <v>500000</v>
      </c>
      <c r="O11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46777|North|Port Harcourt|Retail|Store|Smartphone Z10|Electronics|250000|10|David|200000</v>
      </c>
      <c r="P1103" s="3" t="str">
        <f>IF(COUNTIF(Sales_Data2[RowKey],Sales_Data2[[#This Row],[RowKey]])&gt;1,"Duplicate","Unique")</f>
        <v>Unique</v>
      </c>
      <c r="Q1103" s="3" t="str">
        <f>IF(ISNUMBER(Sales_Data2[[#This Row],[Date]]),"OK","Check")</f>
        <v>OK</v>
      </c>
      <c r="R1103" s="3" t="str">
        <f>IF(ISNUMBER(Sales_Data2[[#This Row],[Quantity]]),"OK","Check")</f>
        <v>OK</v>
      </c>
    </row>
    <row r="1104" spans="1:18">
      <c r="A1104" s="1">
        <v>46778</v>
      </c>
      <c r="B1104" t="s">
        <v>18</v>
      </c>
      <c r="C1104" t="s">
        <v>26</v>
      </c>
      <c r="D1104" t="s">
        <v>13</v>
      </c>
      <c r="E1104" t="s">
        <v>20</v>
      </c>
      <c r="F1104" t="s">
        <v>15</v>
      </c>
      <c r="G1104" t="s">
        <v>16</v>
      </c>
      <c r="H1104">
        <v>85000</v>
      </c>
      <c r="I1104">
        <v>6</v>
      </c>
      <c r="J1104" t="s">
        <v>39</v>
      </c>
      <c r="K1104">
        <f t="shared" si="17"/>
        <v>68000</v>
      </c>
      <c r="L1104">
        <f>Sales_Data2[[#This Row],[Unit Price]]*Sales_Data2[[#This Row],[Quantity]]</f>
        <v>510000</v>
      </c>
      <c r="M1104">
        <f>Sales_Data2[[#This Row],[Cost Price]]*Sales_Data2[[#This Row],[Quantity]]</f>
        <v>408000</v>
      </c>
      <c r="N1104" s="3">
        <f>Sales_Data2[[#This Row],[Revenue]]-Sales_Data2[[#This Row],[COGS]]</f>
        <v>102000</v>
      </c>
      <c r="O11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46778|East|Kano|Retail|Store|Office Chair Pro|Furniture|85000|6|Grace|68000</v>
      </c>
      <c r="P1104" s="3" t="str">
        <f>IF(COUNTIF(Sales_Data2[RowKey],Sales_Data2[[#This Row],[RowKey]])&gt;1,"Duplicate","Unique")</f>
        <v>Unique</v>
      </c>
      <c r="Q1104" s="3" t="str">
        <f>IF(ISNUMBER(Sales_Data2[[#This Row],[Date]]),"OK","Check")</f>
        <v>OK</v>
      </c>
      <c r="R1104" s="3" t="str">
        <f>IF(ISNUMBER(Sales_Data2[[#This Row],[Quantity]]),"OK","Check")</f>
        <v>OK</v>
      </c>
    </row>
    <row r="1105" spans="1:18">
      <c r="A1105" s="1">
        <v>46779</v>
      </c>
      <c r="B1105" t="s">
        <v>29</v>
      </c>
      <c r="C1105" t="s">
        <v>19</v>
      </c>
      <c r="D1105" t="s">
        <v>23</v>
      </c>
      <c r="E1105" t="s">
        <v>20</v>
      </c>
      <c r="F1105" t="s">
        <v>38</v>
      </c>
      <c r="G1105" t="s">
        <v>31</v>
      </c>
      <c r="H1105">
        <v>420000</v>
      </c>
      <c r="I1105">
        <v>3</v>
      </c>
      <c r="J1105" t="s">
        <v>37</v>
      </c>
      <c r="K1105">
        <f t="shared" si="17"/>
        <v>336000</v>
      </c>
      <c r="L1105">
        <f>Sales_Data2[[#This Row],[Unit Price]]*Sales_Data2[[#This Row],[Quantity]]</f>
        <v>1260000</v>
      </c>
      <c r="M1105">
        <f>Sales_Data2[[#This Row],[Cost Price]]*Sales_Data2[[#This Row],[Quantity]]</f>
        <v>1008000</v>
      </c>
      <c r="N1105" s="3">
        <f>Sales_Data2[[#This Row],[Revenue]]-Sales_Data2[[#This Row],[COGS]]</f>
        <v>252000</v>
      </c>
      <c r="O11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46779|North|Lagos|Corporate|Store|Laptop A13|Electronics|420000|3|Aisha|336000</v>
      </c>
      <c r="P1105" s="3" t="str">
        <f>IF(COUNTIF(Sales_Data2[RowKey],Sales_Data2[[#This Row],[RowKey]])&gt;1,"Duplicate","Unique")</f>
        <v>Unique</v>
      </c>
      <c r="Q1105" s="3" t="str">
        <f>IF(ISNUMBER(Sales_Data2[[#This Row],[Date]]),"OK","Check")</f>
        <v>OK</v>
      </c>
      <c r="R1105" s="3" t="str">
        <f>IF(ISNUMBER(Sales_Data2[[#This Row],[Quantity]]),"OK","Check")</f>
        <v>OK</v>
      </c>
    </row>
    <row r="1106" spans="1:18">
      <c r="A1106" s="1">
        <v>46780</v>
      </c>
      <c r="B1106" t="s">
        <v>18</v>
      </c>
      <c r="C1106" t="s">
        <v>32</v>
      </c>
      <c r="D1106" t="s">
        <v>13</v>
      </c>
      <c r="E1106" t="s">
        <v>14</v>
      </c>
      <c r="F1106" t="s">
        <v>36</v>
      </c>
      <c r="G1106" t="s">
        <v>31</v>
      </c>
      <c r="H1106">
        <v>150000</v>
      </c>
      <c r="I1106">
        <v>8</v>
      </c>
      <c r="J1106" t="s">
        <v>17</v>
      </c>
      <c r="K1106">
        <f t="shared" si="17"/>
        <v>120000</v>
      </c>
      <c r="L1106">
        <f>Sales_Data2[[#This Row],[Unit Price]]*Sales_Data2[[#This Row],[Quantity]]</f>
        <v>1200000</v>
      </c>
      <c r="M1106">
        <f>Sales_Data2[[#This Row],[Cost Price]]*Sales_Data2[[#This Row],[Quantity]]</f>
        <v>960000</v>
      </c>
      <c r="N1106" s="3">
        <f>Sales_Data2[[#This Row],[Revenue]]-Sales_Data2[[#This Row],[COGS]]</f>
        <v>240000</v>
      </c>
      <c r="O11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46780|East|Abuja|Retail|Online|Printer P50|Electronics|150000|8|Chidinma|120000</v>
      </c>
      <c r="P1106" s="3" t="str">
        <f>IF(COUNTIF(Sales_Data2[RowKey],Sales_Data2[[#This Row],[RowKey]])&gt;1,"Duplicate","Unique")</f>
        <v>Unique</v>
      </c>
      <c r="Q1106" s="3" t="str">
        <f>IF(ISNUMBER(Sales_Data2[[#This Row],[Date]]),"OK","Check")</f>
        <v>OK</v>
      </c>
      <c r="R1106" s="3" t="str">
        <f>IF(ISNUMBER(Sales_Data2[[#This Row],[Quantity]]),"OK","Check")</f>
        <v>OK</v>
      </c>
    </row>
    <row r="1107" spans="1:18">
      <c r="A1107" s="1">
        <v>46781</v>
      </c>
      <c r="B1107" t="s">
        <v>11</v>
      </c>
      <c r="C1107" t="s">
        <v>19</v>
      </c>
      <c r="D1107" t="s">
        <v>23</v>
      </c>
      <c r="E1107" t="s">
        <v>14</v>
      </c>
      <c r="F1107" t="s">
        <v>27</v>
      </c>
      <c r="G1107" t="s">
        <v>22</v>
      </c>
      <c r="H1107">
        <v>60000</v>
      </c>
      <c r="I1107">
        <v>5</v>
      </c>
      <c r="J1107" t="s">
        <v>35</v>
      </c>
      <c r="K1107">
        <f t="shared" si="17"/>
        <v>48000</v>
      </c>
      <c r="L1107">
        <f>Sales_Data2[[#This Row],[Unit Price]]*Sales_Data2[[#This Row],[Quantity]]</f>
        <v>300000</v>
      </c>
      <c r="M1107">
        <f>Sales_Data2[[#This Row],[Cost Price]]*Sales_Data2[[#This Row],[Quantity]]</f>
        <v>240000</v>
      </c>
      <c r="N1107" s="3">
        <f>Sales_Data2[[#This Row],[Revenue]]-Sales_Data2[[#This Row],[COGS]]</f>
        <v>60000</v>
      </c>
      <c r="O11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46781|West|Lagos|Corporate|Online|Microwave M20|Home Appliances|60000|5|Peter|48000</v>
      </c>
      <c r="P1107" s="3" t="str">
        <f>IF(COUNTIF(Sales_Data2[RowKey],Sales_Data2[[#This Row],[RowKey]])&gt;1,"Duplicate","Unique")</f>
        <v>Unique</v>
      </c>
      <c r="Q1107" s="3" t="str">
        <f>IF(ISNUMBER(Sales_Data2[[#This Row],[Date]]),"OK","Check")</f>
        <v>OK</v>
      </c>
      <c r="R1107" s="3" t="str">
        <f>IF(ISNUMBER(Sales_Data2[[#This Row],[Quantity]]),"OK","Check")</f>
        <v>OK</v>
      </c>
    </row>
    <row r="1108" spans="1:18">
      <c r="A1108" s="1">
        <v>46782</v>
      </c>
      <c r="B1108" t="s">
        <v>11</v>
      </c>
      <c r="C1108" t="s">
        <v>26</v>
      </c>
      <c r="D1108" t="s">
        <v>23</v>
      </c>
      <c r="E1108" t="s">
        <v>20</v>
      </c>
      <c r="F1108" t="s">
        <v>34</v>
      </c>
      <c r="G1108" t="s">
        <v>16</v>
      </c>
      <c r="H1108">
        <v>320000</v>
      </c>
      <c r="I1108">
        <v>9</v>
      </c>
      <c r="J1108" t="s">
        <v>37</v>
      </c>
      <c r="K1108">
        <f t="shared" si="17"/>
        <v>256000</v>
      </c>
      <c r="L1108">
        <f>Sales_Data2[[#This Row],[Unit Price]]*Sales_Data2[[#This Row],[Quantity]]</f>
        <v>2880000</v>
      </c>
      <c r="M1108">
        <f>Sales_Data2[[#This Row],[Cost Price]]*Sales_Data2[[#This Row],[Quantity]]</f>
        <v>2304000</v>
      </c>
      <c r="N1108" s="3">
        <f>Sales_Data2[[#This Row],[Revenue]]-Sales_Data2[[#This Row],[COGS]]</f>
        <v>576000</v>
      </c>
      <c r="O11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46782|West|Kano|Corporate|Store|Sofa Classic|Furniture|320000|9|Aisha|256000</v>
      </c>
      <c r="P1108" s="3" t="str">
        <f>IF(COUNTIF(Sales_Data2[RowKey],Sales_Data2[[#This Row],[RowKey]])&gt;1,"Duplicate","Unique")</f>
        <v>Unique</v>
      </c>
      <c r="Q1108" s="3" t="str">
        <f>IF(ISNUMBER(Sales_Data2[[#This Row],[Date]]),"OK","Check")</f>
        <v>OK</v>
      </c>
      <c r="R1108" s="3" t="str">
        <f>IF(ISNUMBER(Sales_Data2[[#This Row],[Quantity]]),"OK","Check")</f>
        <v>OK</v>
      </c>
    </row>
    <row r="1109" spans="1:18">
      <c r="A1109" s="1">
        <v>46783</v>
      </c>
      <c r="B1109" t="s">
        <v>11</v>
      </c>
      <c r="C1109" t="s">
        <v>19</v>
      </c>
      <c r="D1109" t="s">
        <v>23</v>
      </c>
      <c r="E1109" t="s">
        <v>14</v>
      </c>
      <c r="F1109" t="s">
        <v>38</v>
      </c>
      <c r="G1109" t="s">
        <v>31</v>
      </c>
      <c r="H1109">
        <v>420000</v>
      </c>
      <c r="I1109">
        <v>5</v>
      </c>
      <c r="J1109" t="s">
        <v>17</v>
      </c>
      <c r="K1109">
        <f t="shared" si="17"/>
        <v>336000</v>
      </c>
      <c r="L1109">
        <f>Sales_Data2[[#This Row],[Unit Price]]*Sales_Data2[[#This Row],[Quantity]]</f>
        <v>2100000</v>
      </c>
      <c r="M1109">
        <f>Sales_Data2[[#This Row],[Cost Price]]*Sales_Data2[[#This Row],[Quantity]]</f>
        <v>1680000</v>
      </c>
      <c r="N1109" s="3">
        <f>Sales_Data2[[#This Row],[Revenue]]-Sales_Data2[[#This Row],[COGS]]</f>
        <v>420000</v>
      </c>
      <c r="O11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46783|West|Lagos|Corporate|Online|Laptop A13|Electronics|420000|5|Chidinma|336000</v>
      </c>
      <c r="P1109" s="3" t="str">
        <f>IF(COUNTIF(Sales_Data2[RowKey],Sales_Data2[[#This Row],[RowKey]])&gt;1,"Duplicate","Unique")</f>
        <v>Unique</v>
      </c>
      <c r="Q1109" s="3" t="str">
        <f>IF(ISNUMBER(Sales_Data2[[#This Row],[Date]]),"OK","Check")</f>
        <v>OK</v>
      </c>
      <c r="R1109" s="3" t="str">
        <f>IF(ISNUMBER(Sales_Data2[[#This Row],[Quantity]]),"OK","Check")</f>
        <v>OK</v>
      </c>
    </row>
    <row r="1110" spans="1:18">
      <c r="A1110" s="1">
        <v>46784</v>
      </c>
      <c r="B1110" t="s">
        <v>29</v>
      </c>
      <c r="C1110" t="s">
        <v>19</v>
      </c>
      <c r="D1110" t="s">
        <v>23</v>
      </c>
      <c r="E1110" t="s">
        <v>14</v>
      </c>
      <c r="F1110" t="s">
        <v>27</v>
      </c>
      <c r="G1110" t="s">
        <v>22</v>
      </c>
      <c r="H1110">
        <v>60000</v>
      </c>
      <c r="I1110">
        <v>9</v>
      </c>
      <c r="J1110" t="s">
        <v>28</v>
      </c>
      <c r="K1110">
        <f t="shared" si="17"/>
        <v>48000</v>
      </c>
      <c r="L1110">
        <f>Sales_Data2[[#This Row],[Unit Price]]*Sales_Data2[[#This Row],[Quantity]]</f>
        <v>540000</v>
      </c>
      <c r="M1110">
        <f>Sales_Data2[[#This Row],[Cost Price]]*Sales_Data2[[#This Row],[Quantity]]</f>
        <v>432000</v>
      </c>
      <c r="N1110" s="3">
        <f>Sales_Data2[[#This Row],[Revenue]]-Sales_Data2[[#This Row],[COGS]]</f>
        <v>108000</v>
      </c>
      <c r="O11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46784|North|Lagos|Corporate|Online|Microwave M20|Home Appliances|60000|9|Musa|48000</v>
      </c>
      <c r="P1110" s="3" t="str">
        <f>IF(COUNTIF(Sales_Data2[RowKey],Sales_Data2[[#This Row],[RowKey]])&gt;1,"Duplicate","Unique")</f>
        <v>Unique</v>
      </c>
      <c r="Q1110" s="3" t="str">
        <f>IF(ISNUMBER(Sales_Data2[[#This Row],[Date]]),"OK","Check")</f>
        <v>OK</v>
      </c>
      <c r="R1110" s="3" t="str">
        <f>IF(ISNUMBER(Sales_Data2[[#This Row],[Quantity]]),"OK","Check")</f>
        <v>OK</v>
      </c>
    </row>
    <row r="1111" spans="1:18">
      <c r="A1111" s="1">
        <v>46785</v>
      </c>
      <c r="B1111" t="s">
        <v>25</v>
      </c>
      <c r="C1111" t="s">
        <v>19</v>
      </c>
      <c r="D1111" t="s">
        <v>13</v>
      </c>
      <c r="E1111" t="s">
        <v>14</v>
      </c>
      <c r="F1111" t="s">
        <v>38</v>
      </c>
      <c r="G1111" t="s">
        <v>31</v>
      </c>
      <c r="H1111">
        <v>420000</v>
      </c>
      <c r="I1111">
        <v>1</v>
      </c>
      <c r="J1111" t="s">
        <v>39</v>
      </c>
      <c r="K1111">
        <f t="shared" si="17"/>
        <v>336000</v>
      </c>
      <c r="L1111">
        <f>Sales_Data2[[#This Row],[Unit Price]]*Sales_Data2[[#This Row],[Quantity]]</f>
        <v>420000</v>
      </c>
      <c r="M1111">
        <f>Sales_Data2[[#This Row],[Cost Price]]*Sales_Data2[[#This Row],[Quantity]]</f>
        <v>336000</v>
      </c>
      <c r="N1111" s="3">
        <f>Sales_Data2[[#This Row],[Revenue]]-Sales_Data2[[#This Row],[COGS]]</f>
        <v>84000</v>
      </c>
      <c r="O11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46785|South|Lagos|Retail|Online|Laptop A13|Electronics|420000|1|Grace|336000</v>
      </c>
      <c r="P1111" s="3" t="str">
        <f>IF(COUNTIF(Sales_Data2[RowKey],Sales_Data2[[#This Row],[RowKey]])&gt;1,"Duplicate","Unique")</f>
        <v>Unique</v>
      </c>
      <c r="Q1111" s="3" t="str">
        <f>IF(ISNUMBER(Sales_Data2[[#This Row],[Date]]),"OK","Check")</f>
        <v>OK</v>
      </c>
      <c r="R1111" s="3" t="str">
        <f>IF(ISNUMBER(Sales_Data2[[#This Row],[Quantity]]),"OK","Check")</f>
        <v>OK</v>
      </c>
    </row>
    <row r="1112" spans="1:18">
      <c r="A1112" s="1">
        <v>46786</v>
      </c>
      <c r="B1112" t="s">
        <v>18</v>
      </c>
      <c r="C1112" t="s">
        <v>32</v>
      </c>
      <c r="D1112" t="s">
        <v>13</v>
      </c>
      <c r="E1112" t="s">
        <v>14</v>
      </c>
      <c r="F1112" t="s">
        <v>36</v>
      </c>
      <c r="G1112" t="s">
        <v>31</v>
      </c>
      <c r="H1112">
        <v>150000</v>
      </c>
      <c r="I1112">
        <v>9</v>
      </c>
      <c r="J1112" t="s">
        <v>37</v>
      </c>
      <c r="K1112">
        <f t="shared" si="17"/>
        <v>120000</v>
      </c>
      <c r="L1112">
        <f>Sales_Data2[[#This Row],[Unit Price]]*Sales_Data2[[#This Row],[Quantity]]</f>
        <v>1350000</v>
      </c>
      <c r="M1112">
        <f>Sales_Data2[[#This Row],[Cost Price]]*Sales_Data2[[#This Row],[Quantity]]</f>
        <v>1080000</v>
      </c>
      <c r="N1112" s="3">
        <f>Sales_Data2[[#This Row],[Revenue]]-Sales_Data2[[#This Row],[COGS]]</f>
        <v>270000</v>
      </c>
      <c r="O11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46786|East|Abuja|Retail|Online|Printer P50|Electronics|150000|9|Aisha|120000</v>
      </c>
      <c r="P1112" s="3" t="str">
        <f>IF(COUNTIF(Sales_Data2[RowKey],Sales_Data2[[#This Row],[RowKey]])&gt;1,"Duplicate","Unique")</f>
        <v>Unique</v>
      </c>
      <c r="Q1112" s="3" t="str">
        <f>IF(ISNUMBER(Sales_Data2[[#This Row],[Date]]),"OK","Check")</f>
        <v>OK</v>
      </c>
      <c r="R1112" s="3" t="str">
        <f>IF(ISNUMBER(Sales_Data2[[#This Row],[Quantity]]),"OK","Check")</f>
        <v>OK</v>
      </c>
    </row>
    <row r="1113" spans="1:18">
      <c r="A1113" s="1">
        <v>46787</v>
      </c>
      <c r="B1113" t="s">
        <v>25</v>
      </c>
      <c r="C1113" t="s">
        <v>32</v>
      </c>
      <c r="D1113" t="s">
        <v>23</v>
      </c>
      <c r="E1113" t="s">
        <v>20</v>
      </c>
      <c r="F1113" t="s">
        <v>41</v>
      </c>
      <c r="G1113" t="s">
        <v>22</v>
      </c>
      <c r="H1113">
        <v>220000</v>
      </c>
      <c r="I1113">
        <v>7</v>
      </c>
      <c r="J1113" t="s">
        <v>17</v>
      </c>
      <c r="K1113">
        <f t="shared" si="17"/>
        <v>176000</v>
      </c>
      <c r="L1113">
        <f>Sales_Data2[[#This Row],[Unit Price]]*Sales_Data2[[#This Row],[Quantity]]</f>
        <v>1540000</v>
      </c>
      <c r="M1113">
        <f>Sales_Data2[[#This Row],[Cost Price]]*Sales_Data2[[#This Row],[Quantity]]</f>
        <v>1232000</v>
      </c>
      <c r="N1113" s="3">
        <f>Sales_Data2[[#This Row],[Revenue]]-Sales_Data2[[#This Row],[COGS]]</f>
        <v>308000</v>
      </c>
      <c r="O11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46787|South|Abuja|Corporate|Store|Refrigerator R55|Home Appliances|220000|7|Chidinma|176000</v>
      </c>
      <c r="P1113" s="3" t="str">
        <f>IF(COUNTIF(Sales_Data2[RowKey],Sales_Data2[[#This Row],[RowKey]])&gt;1,"Duplicate","Unique")</f>
        <v>Unique</v>
      </c>
      <c r="Q1113" s="3" t="str">
        <f>IF(ISNUMBER(Sales_Data2[[#This Row],[Date]]),"OK","Check")</f>
        <v>OK</v>
      </c>
      <c r="R1113" s="3" t="str">
        <f>IF(ISNUMBER(Sales_Data2[[#This Row],[Quantity]]),"OK","Check")</f>
        <v>OK</v>
      </c>
    </row>
    <row r="1114" spans="1:18">
      <c r="A1114" s="1">
        <v>46788</v>
      </c>
      <c r="B1114" t="s">
        <v>29</v>
      </c>
      <c r="C1114" t="s">
        <v>12</v>
      </c>
      <c r="D1114" t="s">
        <v>13</v>
      </c>
      <c r="E1114" t="s">
        <v>20</v>
      </c>
      <c r="F1114" t="s">
        <v>34</v>
      </c>
      <c r="G1114" t="s">
        <v>16</v>
      </c>
      <c r="H1114">
        <v>320000</v>
      </c>
      <c r="I1114">
        <v>3</v>
      </c>
      <c r="J1114" t="s">
        <v>35</v>
      </c>
      <c r="K1114">
        <f t="shared" si="17"/>
        <v>256000</v>
      </c>
      <c r="L1114">
        <f>Sales_Data2[[#This Row],[Unit Price]]*Sales_Data2[[#This Row],[Quantity]]</f>
        <v>960000</v>
      </c>
      <c r="M1114">
        <f>Sales_Data2[[#This Row],[Cost Price]]*Sales_Data2[[#This Row],[Quantity]]</f>
        <v>768000</v>
      </c>
      <c r="N1114" s="3">
        <f>Sales_Data2[[#This Row],[Revenue]]-Sales_Data2[[#This Row],[COGS]]</f>
        <v>192000</v>
      </c>
      <c r="O11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46788|North|Port Harcourt|Retail|Store|Sofa Classic|Furniture|320000|3|Peter|256000</v>
      </c>
      <c r="P1114" s="3" t="str">
        <f>IF(COUNTIF(Sales_Data2[RowKey],Sales_Data2[[#This Row],[RowKey]])&gt;1,"Duplicate","Unique")</f>
        <v>Unique</v>
      </c>
      <c r="Q1114" s="3" t="str">
        <f>IF(ISNUMBER(Sales_Data2[[#This Row],[Date]]),"OK","Check")</f>
        <v>OK</v>
      </c>
      <c r="R1114" s="3" t="str">
        <f>IF(ISNUMBER(Sales_Data2[[#This Row],[Quantity]]),"OK","Check")</f>
        <v>OK</v>
      </c>
    </row>
    <row r="1115" spans="1:18">
      <c r="A1115" s="1">
        <v>46789</v>
      </c>
      <c r="B1115" t="s">
        <v>25</v>
      </c>
      <c r="C1115" t="s">
        <v>19</v>
      </c>
      <c r="D1115" t="s">
        <v>23</v>
      </c>
      <c r="E1115" t="s">
        <v>14</v>
      </c>
      <c r="F1115" t="s">
        <v>34</v>
      </c>
      <c r="G1115" t="s">
        <v>16</v>
      </c>
      <c r="H1115">
        <v>320000</v>
      </c>
      <c r="I1115">
        <v>8</v>
      </c>
      <c r="J1115" t="s">
        <v>37</v>
      </c>
      <c r="K1115">
        <f t="shared" si="17"/>
        <v>256000</v>
      </c>
      <c r="L1115">
        <f>Sales_Data2[[#This Row],[Unit Price]]*Sales_Data2[[#This Row],[Quantity]]</f>
        <v>2560000</v>
      </c>
      <c r="M1115">
        <f>Sales_Data2[[#This Row],[Cost Price]]*Sales_Data2[[#This Row],[Quantity]]</f>
        <v>2048000</v>
      </c>
      <c r="N1115" s="3">
        <f>Sales_Data2[[#This Row],[Revenue]]-Sales_Data2[[#This Row],[COGS]]</f>
        <v>512000</v>
      </c>
      <c r="O11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46789|South|Lagos|Corporate|Online|Sofa Classic|Furniture|320000|8|Aisha|256000</v>
      </c>
      <c r="P1115" s="3" t="str">
        <f>IF(COUNTIF(Sales_Data2[RowKey],Sales_Data2[[#This Row],[RowKey]])&gt;1,"Duplicate","Unique")</f>
        <v>Unique</v>
      </c>
      <c r="Q1115" s="3" t="str">
        <f>IF(ISNUMBER(Sales_Data2[[#This Row],[Date]]),"OK","Check")</f>
        <v>OK</v>
      </c>
      <c r="R1115" s="3" t="str">
        <f>IF(ISNUMBER(Sales_Data2[[#This Row],[Quantity]]),"OK","Check")</f>
        <v>OK</v>
      </c>
    </row>
    <row r="1116" spans="1:18">
      <c r="A1116" s="1">
        <v>46790</v>
      </c>
      <c r="B1116" t="s">
        <v>25</v>
      </c>
      <c r="C1116" t="s">
        <v>26</v>
      </c>
      <c r="D1116" t="s">
        <v>23</v>
      </c>
      <c r="E1116" t="s">
        <v>14</v>
      </c>
      <c r="F1116" t="s">
        <v>36</v>
      </c>
      <c r="G1116" t="s">
        <v>31</v>
      </c>
      <c r="H1116">
        <v>150000</v>
      </c>
      <c r="I1116">
        <v>3</v>
      </c>
      <c r="J1116" t="s">
        <v>37</v>
      </c>
      <c r="K1116">
        <f t="shared" si="17"/>
        <v>120000</v>
      </c>
      <c r="L1116">
        <f>Sales_Data2[[#This Row],[Unit Price]]*Sales_Data2[[#This Row],[Quantity]]</f>
        <v>450000</v>
      </c>
      <c r="M1116">
        <f>Sales_Data2[[#This Row],[Cost Price]]*Sales_Data2[[#This Row],[Quantity]]</f>
        <v>360000</v>
      </c>
      <c r="N1116" s="3">
        <f>Sales_Data2[[#This Row],[Revenue]]-Sales_Data2[[#This Row],[COGS]]</f>
        <v>90000</v>
      </c>
      <c r="O11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46790|South|Kano|Corporate|Online|Printer P50|Electronics|150000|3|Aisha|120000</v>
      </c>
      <c r="P1116" s="3" t="str">
        <f>IF(COUNTIF(Sales_Data2[RowKey],Sales_Data2[[#This Row],[RowKey]])&gt;1,"Duplicate","Unique")</f>
        <v>Unique</v>
      </c>
      <c r="Q1116" s="3" t="str">
        <f>IF(ISNUMBER(Sales_Data2[[#This Row],[Date]]),"OK","Check")</f>
        <v>OK</v>
      </c>
      <c r="R1116" s="3" t="str">
        <f>IF(ISNUMBER(Sales_Data2[[#This Row],[Quantity]]),"OK","Check")</f>
        <v>OK</v>
      </c>
    </row>
    <row r="1117" spans="1:18">
      <c r="A1117" s="1">
        <v>46791</v>
      </c>
      <c r="B1117" t="s">
        <v>11</v>
      </c>
      <c r="C1117" t="s">
        <v>32</v>
      </c>
      <c r="D1117" t="s">
        <v>13</v>
      </c>
      <c r="E1117" t="s">
        <v>14</v>
      </c>
      <c r="F1117" t="s">
        <v>40</v>
      </c>
      <c r="G1117" t="s">
        <v>31</v>
      </c>
      <c r="H1117">
        <v>250000</v>
      </c>
      <c r="I1117">
        <v>9</v>
      </c>
      <c r="J1117" t="s">
        <v>17</v>
      </c>
      <c r="K1117">
        <f t="shared" si="17"/>
        <v>200000</v>
      </c>
      <c r="L1117">
        <f>Sales_Data2[[#This Row],[Unit Price]]*Sales_Data2[[#This Row],[Quantity]]</f>
        <v>2250000</v>
      </c>
      <c r="M1117">
        <f>Sales_Data2[[#This Row],[Cost Price]]*Sales_Data2[[#This Row],[Quantity]]</f>
        <v>1800000</v>
      </c>
      <c r="N1117" s="3">
        <f>Sales_Data2[[#This Row],[Revenue]]-Sales_Data2[[#This Row],[COGS]]</f>
        <v>450000</v>
      </c>
      <c r="O11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46791|West|Abuja|Retail|Online|Smartphone Z10|Electronics|250000|9|Chidinma|200000</v>
      </c>
      <c r="P1117" s="3" t="str">
        <f>IF(COUNTIF(Sales_Data2[RowKey],Sales_Data2[[#This Row],[RowKey]])&gt;1,"Duplicate","Unique")</f>
        <v>Unique</v>
      </c>
      <c r="Q1117" s="3" t="str">
        <f>IF(ISNUMBER(Sales_Data2[[#This Row],[Date]]),"OK","Check")</f>
        <v>OK</v>
      </c>
      <c r="R1117" s="3" t="str">
        <f>IF(ISNUMBER(Sales_Data2[[#This Row],[Quantity]]),"OK","Check")</f>
        <v>OK</v>
      </c>
    </row>
    <row r="1118" spans="1:18">
      <c r="A1118" s="1">
        <v>46792</v>
      </c>
      <c r="B1118" t="s">
        <v>11</v>
      </c>
      <c r="C1118" t="s">
        <v>19</v>
      </c>
      <c r="D1118" t="s">
        <v>13</v>
      </c>
      <c r="E1118" t="s">
        <v>20</v>
      </c>
      <c r="F1118" t="s">
        <v>38</v>
      </c>
      <c r="G1118" t="s">
        <v>31</v>
      </c>
      <c r="H1118">
        <v>420000</v>
      </c>
      <c r="I1118">
        <v>7</v>
      </c>
      <c r="J1118" t="s">
        <v>28</v>
      </c>
      <c r="K1118">
        <f t="shared" si="17"/>
        <v>336000</v>
      </c>
      <c r="L1118">
        <f>Sales_Data2[[#This Row],[Unit Price]]*Sales_Data2[[#This Row],[Quantity]]</f>
        <v>2940000</v>
      </c>
      <c r="M1118">
        <f>Sales_Data2[[#This Row],[Cost Price]]*Sales_Data2[[#This Row],[Quantity]]</f>
        <v>2352000</v>
      </c>
      <c r="N1118" s="3">
        <f>Sales_Data2[[#This Row],[Revenue]]-Sales_Data2[[#This Row],[COGS]]</f>
        <v>588000</v>
      </c>
      <c r="O11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46792|West|Lagos|Retail|Store|Laptop A13|Electronics|420000|7|Musa|336000</v>
      </c>
      <c r="P1118" s="3" t="str">
        <f>IF(COUNTIF(Sales_Data2[RowKey],Sales_Data2[[#This Row],[RowKey]])&gt;1,"Duplicate","Unique")</f>
        <v>Unique</v>
      </c>
      <c r="Q1118" s="3" t="str">
        <f>IF(ISNUMBER(Sales_Data2[[#This Row],[Date]]),"OK","Check")</f>
        <v>OK</v>
      </c>
      <c r="R1118" s="3" t="str">
        <f>IF(ISNUMBER(Sales_Data2[[#This Row],[Quantity]]),"OK","Check")</f>
        <v>OK</v>
      </c>
    </row>
    <row r="1119" spans="1:18">
      <c r="A1119" s="1">
        <v>46793</v>
      </c>
      <c r="B1119" t="s">
        <v>11</v>
      </c>
      <c r="C1119" t="s">
        <v>12</v>
      </c>
      <c r="D1119" t="s">
        <v>23</v>
      </c>
      <c r="E1119" t="s">
        <v>20</v>
      </c>
      <c r="F1119" t="s">
        <v>40</v>
      </c>
      <c r="G1119" t="s">
        <v>31</v>
      </c>
      <c r="H1119">
        <v>250000</v>
      </c>
      <c r="I1119">
        <v>10</v>
      </c>
      <c r="J1119" t="s">
        <v>24</v>
      </c>
      <c r="K1119">
        <f t="shared" si="17"/>
        <v>200000</v>
      </c>
      <c r="L1119">
        <f>Sales_Data2[[#This Row],[Unit Price]]*Sales_Data2[[#This Row],[Quantity]]</f>
        <v>2500000</v>
      </c>
      <c r="M1119">
        <f>Sales_Data2[[#This Row],[Cost Price]]*Sales_Data2[[#This Row],[Quantity]]</f>
        <v>2000000</v>
      </c>
      <c r="N1119" s="3">
        <f>Sales_Data2[[#This Row],[Revenue]]-Sales_Data2[[#This Row],[COGS]]</f>
        <v>500000</v>
      </c>
      <c r="O11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46793|West|Port Harcourt|Corporate|Store|Smartphone Z10|Electronics|250000|10|David|200000</v>
      </c>
      <c r="P1119" s="3" t="str">
        <f>IF(COUNTIF(Sales_Data2[RowKey],Sales_Data2[[#This Row],[RowKey]])&gt;1,"Duplicate","Unique")</f>
        <v>Unique</v>
      </c>
      <c r="Q1119" s="3" t="str">
        <f>IF(ISNUMBER(Sales_Data2[[#This Row],[Date]]),"OK","Check")</f>
        <v>OK</v>
      </c>
      <c r="R1119" s="3" t="str">
        <f>IF(ISNUMBER(Sales_Data2[[#This Row],[Quantity]]),"OK","Check")</f>
        <v>OK</v>
      </c>
    </row>
    <row r="1120" spans="1:18">
      <c r="A1120" s="1">
        <v>46794</v>
      </c>
      <c r="B1120" t="s">
        <v>18</v>
      </c>
      <c r="C1120" t="s">
        <v>26</v>
      </c>
      <c r="D1120" t="s">
        <v>13</v>
      </c>
      <c r="E1120" t="s">
        <v>14</v>
      </c>
      <c r="F1120" t="s">
        <v>27</v>
      </c>
      <c r="G1120" t="s">
        <v>22</v>
      </c>
      <c r="H1120">
        <v>60000</v>
      </c>
      <c r="I1120">
        <v>4</v>
      </c>
      <c r="J1120" t="s">
        <v>24</v>
      </c>
      <c r="K1120">
        <f t="shared" si="17"/>
        <v>48000</v>
      </c>
      <c r="L1120">
        <f>Sales_Data2[[#This Row],[Unit Price]]*Sales_Data2[[#This Row],[Quantity]]</f>
        <v>240000</v>
      </c>
      <c r="M1120">
        <f>Sales_Data2[[#This Row],[Cost Price]]*Sales_Data2[[#This Row],[Quantity]]</f>
        <v>192000</v>
      </c>
      <c r="N1120" s="3">
        <f>Sales_Data2[[#This Row],[Revenue]]-Sales_Data2[[#This Row],[COGS]]</f>
        <v>48000</v>
      </c>
      <c r="O11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46794|East|Kano|Retail|Online|Microwave M20|Home Appliances|60000|4|David|48000</v>
      </c>
      <c r="P1120" s="3" t="str">
        <f>IF(COUNTIF(Sales_Data2[RowKey],Sales_Data2[[#This Row],[RowKey]])&gt;1,"Duplicate","Unique")</f>
        <v>Unique</v>
      </c>
      <c r="Q1120" s="3" t="str">
        <f>IF(ISNUMBER(Sales_Data2[[#This Row],[Date]]),"OK","Check")</f>
        <v>OK</v>
      </c>
      <c r="R1120" s="3" t="str">
        <f>IF(ISNUMBER(Sales_Data2[[#This Row],[Quantity]]),"OK","Check")</f>
        <v>OK</v>
      </c>
    </row>
    <row r="1121" spans="1:18">
      <c r="A1121" s="1">
        <v>46795</v>
      </c>
      <c r="B1121" t="s">
        <v>29</v>
      </c>
      <c r="C1121" t="s">
        <v>19</v>
      </c>
      <c r="D1121" t="s">
        <v>13</v>
      </c>
      <c r="E1121" t="s">
        <v>14</v>
      </c>
      <c r="F1121" t="s">
        <v>40</v>
      </c>
      <c r="G1121" t="s">
        <v>31</v>
      </c>
      <c r="H1121">
        <v>250000</v>
      </c>
      <c r="I1121">
        <v>4</v>
      </c>
      <c r="J1121" t="s">
        <v>17</v>
      </c>
      <c r="K1121">
        <f t="shared" si="17"/>
        <v>200000</v>
      </c>
      <c r="L1121">
        <f>Sales_Data2[[#This Row],[Unit Price]]*Sales_Data2[[#This Row],[Quantity]]</f>
        <v>1000000</v>
      </c>
      <c r="M1121">
        <f>Sales_Data2[[#This Row],[Cost Price]]*Sales_Data2[[#This Row],[Quantity]]</f>
        <v>800000</v>
      </c>
      <c r="N1121" s="3">
        <f>Sales_Data2[[#This Row],[Revenue]]-Sales_Data2[[#This Row],[COGS]]</f>
        <v>200000</v>
      </c>
      <c r="O11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46795|North|Lagos|Retail|Online|Smartphone Z10|Electronics|250000|4|Chidinma|200000</v>
      </c>
      <c r="P1121" s="3" t="str">
        <f>IF(COUNTIF(Sales_Data2[RowKey],Sales_Data2[[#This Row],[RowKey]])&gt;1,"Duplicate","Unique")</f>
        <v>Unique</v>
      </c>
      <c r="Q1121" s="3" t="str">
        <f>IF(ISNUMBER(Sales_Data2[[#This Row],[Date]]),"OK","Check")</f>
        <v>OK</v>
      </c>
      <c r="R1121" s="3" t="str">
        <f>IF(ISNUMBER(Sales_Data2[[#This Row],[Quantity]]),"OK","Check")</f>
        <v>OK</v>
      </c>
    </row>
    <row r="1122" spans="1:18">
      <c r="A1122" s="1">
        <v>46796</v>
      </c>
      <c r="B1122" t="s">
        <v>29</v>
      </c>
      <c r="C1122" t="s">
        <v>12</v>
      </c>
      <c r="D1122" t="s">
        <v>13</v>
      </c>
      <c r="E1122" t="s">
        <v>14</v>
      </c>
      <c r="F1122" t="s">
        <v>30</v>
      </c>
      <c r="G1122" t="s">
        <v>31</v>
      </c>
      <c r="H1122">
        <v>300000</v>
      </c>
      <c r="I1122">
        <v>3</v>
      </c>
      <c r="J1122" t="s">
        <v>39</v>
      </c>
      <c r="K1122">
        <f t="shared" si="17"/>
        <v>240000</v>
      </c>
      <c r="L1122">
        <f>Sales_Data2[[#This Row],[Unit Price]]*Sales_Data2[[#This Row],[Quantity]]</f>
        <v>900000</v>
      </c>
      <c r="M1122">
        <f>Sales_Data2[[#This Row],[Cost Price]]*Sales_Data2[[#This Row],[Quantity]]</f>
        <v>720000</v>
      </c>
      <c r="N1122" s="3">
        <f>Sales_Data2[[#This Row],[Revenue]]-Sales_Data2[[#This Row],[COGS]]</f>
        <v>180000</v>
      </c>
      <c r="O11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46796|North|Port Harcourt|Retail|Online|Desktop PC D21|Electronics|300000|3|Grace|240000</v>
      </c>
      <c r="P1122" s="3" t="str">
        <f>IF(COUNTIF(Sales_Data2[RowKey],Sales_Data2[[#This Row],[RowKey]])&gt;1,"Duplicate","Unique")</f>
        <v>Unique</v>
      </c>
      <c r="Q1122" s="3" t="str">
        <f>IF(ISNUMBER(Sales_Data2[[#This Row],[Date]]),"OK","Check")</f>
        <v>OK</v>
      </c>
      <c r="R1122" s="3" t="str">
        <f>IF(ISNUMBER(Sales_Data2[[#This Row],[Quantity]]),"OK","Check")</f>
        <v>OK</v>
      </c>
    </row>
    <row r="1123" spans="1:18">
      <c r="A1123" s="1">
        <v>46797</v>
      </c>
      <c r="B1123" t="s">
        <v>25</v>
      </c>
      <c r="C1123" t="s">
        <v>19</v>
      </c>
      <c r="D1123" t="s">
        <v>23</v>
      </c>
      <c r="E1123" t="s">
        <v>14</v>
      </c>
      <c r="F1123" t="s">
        <v>38</v>
      </c>
      <c r="G1123" t="s">
        <v>31</v>
      </c>
      <c r="H1123">
        <v>420000</v>
      </c>
      <c r="I1123">
        <v>9</v>
      </c>
      <c r="J1123" t="s">
        <v>37</v>
      </c>
      <c r="K1123">
        <f t="shared" si="17"/>
        <v>336000</v>
      </c>
      <c r="L1123">
        <f>Sales_Data2[[#This Row],[Unit Price]]*Sales_Data2[[#This Row],[Quantity]]</f>
        <v>3780000</v>
      </c>
      <c r="M1123">
        <f>Sales_Data2[[#This Row],[Cost Price]]*Sales_Data2[[#This Row],[Quantity]]</f>
        <v>3024000</v>
      </c>
      <c r="N1123" s="3">
        <f>Sales_Data2[[#This Row],[Revenue]]-Sales_Data2[[#This Row],[COGS]]</f>
        <v>756000</v>
      </c>
      <c r="O11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46797|South|Lagos|Corporate|Online|Laptop A13|Electronics|420000|9|Aisha|336000</v>
      </c>
      <c r="P1123" s="3" t="str">
        <f>IF(COUNTIF(Sales_Data2[RowKey],Sales_Data2[[#This Row],[RowKey]])&gt;1,"Duplicate","Unique")</f>
        <v>Unique</v>
      </c>
      <c r="Q1123" s="3" t="str">
        <f>IF(ISNUMBER(Sales_Data2[[#This Row],[Date]]),"OK","Check")</f>
        <v>OK</v>
      </c>
      <c r="R1123" s="3" t="str">
        <f>IF(ISNUMBER(Sales_Data2[[#This Row],[Quantity]]),"OK","Check")</f>
        <v>OK</v>
      </c>
    </row>
    <row r="1124" spans="1:18">
      <c r="A1124" s="1">
        <v>46798</v>
      </c>
      <c r="B1124" t="s">
        <v>25</v>
      </c>
      <c r="C1124" t="s">
        <v>19</v>
      </c>
      <c r="D1124" t="s">
        <v>23</v>
      </c>
      <c r="E1124" t="s">
        <v>14</v>
      </c>
      <c r="F1124" t="s">
        <v>38</v>
      </c>
      <c r="G1124" t="s">
        <v>31</v>
      </c>
      <c r="H1124">
        <v>420000</v>
      </c>
      <c r="I1124">
        <v>7</v>
      </c>
      <c r="J1124" t="s">
        <v>28</v>
      </c>
      <c r="K1124">
        <f t="shared" si="17"/>
        <v>336000</v>
      </c>
      <c r="L1124">
        <f>Sales_Data2[[#This Row],[Unit Price]]*Sales_Data2[[#This Row],[Quantity]]</f>
        <v>2940000</v>
      </c>
      <c r="M1124">
        <f>Sales_Data2[[#This Row],[Cost Price]]*Sales_Data2[[#This Row],[Quantity]]</f>
        <v>2352000</v>
      </c>
      <c r="N1124" s="3">
        <f>Sales_Data2[[#This Row],[Revenue]]-Sales_Data2[[#This Row],[COGS]]</f>
        <v>588000</v>
      </c>
      <c r="O11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46798|South|Lagos|Corporate|Online|Laptop A13|Electronics|420000|7|Musa|336000</v>
      </c>
      <c r="P1124" s="3" t="str">
        <f>IF(COUNTIF(Sales_Data2[RowKey],Sales_Data2[[#This Row],[RowKey]])&gt;1,"Duplicate","Unique")</f>
        <v>Unique</v>
      </c>
      <c r="Q1124" s="3" t="str">
        <f>IF(ISNUMBER(Sales_Data2[[#This Row],[Date]]),"OK","Check")</f>
        <v>OK</v>
      </c>
      <c r="R1124" s="3" t="str">
        <f>IF(ISNUMBER(Sales_Data2[[#This Row],[Quantity]]),"OK","Check")</f>
        <v>OK</v>
      </c>
    </row>
    <row r="1125" spans="1:18">
      <c r="A1125" s="1">
        <v>46799</v>
      </c>
      <c r="B1125" t="s">
        <v>18</v>
      </c>
      <c r="C1125" t="s">
        <v>26</v>
      </c>
      <c r="D1125" t="s">
        <v>13</v>
      </c>
      <c r="E1125" t="s">
        <v>14</v>
      </c>
      <c r="F1125" t="s">
        <v>41</v>
      </c>
      <c r="G1125" t="s">
        <v>22</v>
      </c>
      <c r="H1125">
        <v>220000</v>
      </c>
      <c r="I1125">
        <v>9</v>
      </c>
      <c r="J1125" t="s">
        <v>39</v>
      </c>
      <c r="K1125">
        <f t="shared" si="17"/>
        <v>176000</v>
      </c>
      <c r="L1125">
        <f>Sales_Data2[[#This Row],[Unit Price]]*Sales_Data2[[#This Row],[Quantity]]</f>
        <v>1980000</v>
      </c>
      <c r="M1125">
        <f>Sales_Data2[[#This Row],[Cost Price]]*Sales_Data2[[#This Row],[Quantity]]</f>
        <v>1584000</v>
      </c>
      <c r="N1125" s="3">
        <f>Sales_Data2[[#This Row],[Revenue]]-Sales_Data2[[#This Row],[COGS]]</f>
        <v>396000</v>
      </c>
      <c r="O11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46799|East|Kano|Retail|Online|Refrigerator R55|Home Appliances|220000|9|Grace|176000</v>
      </c>
      <c r="P1125" s="3" t="str">
        <f>IF(COUNTIF(Sales_Data2[RowKey],Sales_Data2[[#This Row],[RowKey]])&gt;1,"Duplicate","Unique")</f>
        <v>Unique</v>
      </c>
      <c r="Q1125" s="3" t="str">
        <f>IF(ISNUMBER(Sales_Data2[[#This Row],[Date]]),"OK","Check")</f>
        <v>OK</v>
      </c>
      <c r="R1125" s="3" t="str">
        <f>IF(ISNUMBER(Sales_Data2[[#This Row],[Quantity]]),"OK","Check")</f>
        <v>OK</v>
      </c>
    </row>
    <row r="1126" spans="1:18">
      <c r="A1126" s="1">
        <v>46800</v>
      </c>
      <c r="B1126" t="s">
        <v>18</v>
      </c>
      <c r="C1126" t="s">
        <v>32</v>
      </c>
      <c r="D1126" t="s">
        <v>23</v>
      </c>
      <c r="E1126" t="s">
        <v>14</v>
      </c>
      <c r="F1126" t="s">
        <v>15</v>
      </c>
      <c r="G1126" t="s">
        <v>16</v>
      </c>
      <c r="H1126">
        <v>85000</v>
      </c>
      <c r="I1126">
        <v>8</v>
      </c>
      <c r="J1126" t="s">
        <v>28</v>
      </c>
      <c r="K1126">
        <f t="shared" si="17"/>
        <v>68000</v>
      </c>
      <c r="L1126">
        <f>Sales_Data2[[#This Row],[Unit Price]]*Sales_Data2[[#This Row],[Quantity]]</f>
        <v>680000</v>
      </c>
      <c r="M1126">
        <f>Sales_Data2[[#This Row],[Cost Price]]*Sales_Data2[[#This Row],[Quantity]]</f>
        <v>544000</v>
      </c>
      <c r="N1126" s="3">
        <f>Sales_Data2[[#This Row],[Revenue]]-Sales_Data2[[#This Row],[COGS]]</f>
        <v>136000</v>
      </c>
      <c r="O11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46800|East|Abuja|Corporate|Online|Office Chair Pro|Furniture|85000|8|Musa|68000</v>
      </c>
      <c r="P1126" s="3" t="str">
        <f>IF(COUNTIF(Sales_Data2[RowKey],Sales_Data2[[#This Row],[RowKey]])&gt;1,"Duplicate","Unique")</f>
        <v>Unique</v>
      </c>
      <c r="Q1126" s="3" t="str">
        <f>IF(ISNUMBER(Sales_Data2[[#This Row],[Date]]),"OK","Check")</f>
        <v>OK</v>
      </c>
      <c r="R1126" s="3" t="str">
        <f>IF(ISNUMBER(Sales_Data2[[#This Row],[Quantity]]),"OK","Check")</f>
        <v>OK</v>
      </c>
    </row>
    <row r="1127" spans="1:18">
      <c r="A1127" s="1">
        <v>46801</v>
      </c>
      <c r="B1127" t="s">
        <v>25</v>
      </c>
      <c r="C1127" t="s">
        <v>12</v>
      </c>
      <c r="D1127" t="s">
        <v>23</v>
      </c>
      <c r="E1127" t="s">
        <v>20</v>
      </c>
      <c r="F1127" t="s">
        <v>15</v>
      </c>
      <c r="G1127" t="s">
        <v>16</v>
      </c>
      <c r="H1127">
        <v>85000</v>
      </c>
      <c r="I1127">
        <v>5</v>
      </c>
      <c r="J1127" t="s">
        <v>35</v>
      </c>
      <c r="K1127">
        <f t="shared" si="17"/>
        <v>68000</v>
      </c>
      <c r="L1127">
        <f>Sales_Data2[[#This Row],[Unit Price]]*Sales_Data2[[#This Row],[Quantity]]</f>
        <v>425000</v>
      </c>
      <c r="M1127">
        <f>Sales_Data2[[#This Row],[Cost Price]]*Sales_Data2[[#This Row],[Quantity]]</f>
        <v>340000</v>
      </c>
      <c r="N1127" s="3">
        <f>Sales_Data2[[#This Row],[Revenue]]-Sales_Data2[[#This Row],[COGS]]</f>
        <v>85000</v>
      </c>
      <c r="O11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46801|South|Port Harcourt|Corporate|Store|Office Chair Pro|Furniture|85000|5|Peter|68000</v>
      </c>
      <c r="P1127" s="3" t="str">
        <f>IF(COUNTIF(Sales_Data2[RowKey],Sales_Data2[[#This Row],[RowKey]])&gt;1,"Duplicate","Unique")</f>
        <v>Unique</v>
      </c>
      <c r="Q1127" s="3" t="str">
        <f>IF(ISNUMBER(Sales_Data2[[#This Row],[Date]]),"OK","Check")</f>
        <v>OK</v>
      </c>
      <c r="R1127" s="3" t="str">
        <f>IF(ISNUMBER(Sales_Data2[[#This Row],[Quantity]]),"OK","Check")</f>
        <v>OK</v>
      </c>
    </row>
    <row r="1128" spans="1:18">
      <c r="A1128" s="1">
        <v>46802</v>
      </c>
      <c r="B1128" t="s">
        <v>25</v>
      </c>
      <c r="C1128" t="s">
        <v>32</v>
      </c>
      <c r="D1128" t="s">
        <v>13</v>
      </c>
      <c r="E1128" t="s">
        <v>20</v>
      </c>
      <c r="F1128" t="s">
        <v>40</v>
      </c>
      <c r="G1128" t="s">
        <v>31</v>
      </c>
      <c r="H1128">
        <v>250000</v>
      </c>
      <c r="I1128">
        <v>6</v>
      </c>
      <c r="J1128" t="s">
        <v>39</v>
      </c>
      <c r="K1128">
        <f t="shared" si="17"/>
        <v>200000</v>
      </c>
      <c r="L1128">
        <f>Sales_Data2[[#This Row],[Unit Price]]*Sales_Data2[[#This Row],[Quantity]]</f>
        <v>1500000</v>
      </c>
      <c r="M1128">
        <f>Sales_Data2[[#This Row],[Cost Price]]*Sales_Data2[[#This Row],[Quantity]]</f>
        <v>1200000</v>
      </c>
      <c r="N1128" s="3">
        <f>Sales_Data2[[#This Row],[Revenue]]-Sales_Data2[[#This Row],[COGS]]</f>
        <v>300000</v>
      </c>
      <c r="O11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46802|South|Abuja|Retail|Store|Smartphone Z10|Electronics|250000|6|Grace|200000</v>
      </c>
      <c r="P1128" s="3" t="str">
        <f>IF(COUNTIF(Sales_Data2[RowKey],Sales_Data2[[#This Row],[RowKey]])&gt;1,"Duplicate","Unique")</f>
        <v>Unique</v>
      </c>
      <c r="Q1128" s="3" t="str">
        <f>IF(ISNUMBER(Sales_Data2[[#This Row],[Date]]),"OK","Check")</f>
        <v>OK</v>
      </c>
      <c r="R1128" s="3" t="str">
        <f>IF(ISNUMBER(Sales_Data2[[#This Row],[Quantity]]),"OK","Check")</f>
        <v>OK</v>
      </c>
    </row>
    <row r="1129" spans="1:18">
      <c r="A1129" s="1">
        <v>46803</v>
      </c>
      <c r="B1129" t="s">
        <v>18</v>
      </c>
      <c r="C1129" t="s">
        <v>26</v>
      </c>
      <c r="D1129" t="s">
        <v>23</v>
      </c>
      <c r="E1129" t="s">
        <v>20</v>
      </c>
      <c r="F1129" t="s">
        <v>21</v>
      </c>
      <c r="G1129" t="s">
        <v>22</v>
      </c>
      <c r="H1129">
        <v>30000</v>
      </c>
      <c r="I1129">
        <v>8</v>
      </c>
      <c r="J1129" t="s">
        <v>39</v>
      </c>
      <c r="K1129">
        <f t="shared" si="17"/>
        <v>24000</v>
      </c>
      <c r="L1129">
        <f>Sales_Data2[[#This Row],[Unit Price]]*Sales_Data2[[#This Row],[Quantity]]</f>
        <v>240000</v>
      </c>
      <c r="M1129">
        <f>Sales_Data2[[#This Row],[Cost Price]]*Sales_Data2[[#This Row],[Quantity]]</f>
        <v>192000</v>
      </c>
      <c r="N1129" s="3">
        <f>Sales_Data2[[#This Row],[Revenue]]-Sales_Data2[[#This Row],[COGS]]</f>
        <v>48000</v>
      </c>
      <c r="O11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46803|East|Kano|Corporate|Store|Blender B10|Home Appliances|30000|8|Grace|24000</v>
      </c>
      <c r="P1129" s="3" t="str">
        <f>IF(COUNTIF(Sales_Data2[RowKey],Sales_Data2[[#This Row],[RowKey]])&gt;1,"Duplicate","Unique")</f>
        <v>Unique</v>
      </c>
      <c r="Q1129" s="3" t="str">
        <f>IF(ISNUMBER(Sales_Data2[[#This Row],[Date]]),"OK","Check")</f>
        <v>OK</v>
      </c>
      <c r="R1129" s="3" t="str">
        <f>IF(ISNUMBER(Sales_Data2[[#This Row],[Quantity]]),"OK","Check")</f>
        <v>OK</v>
      </c>
    </row>
    <row r="1130" spans="1:18">
      <c r="A1130" s="1">
        <v>46804</v>
      </c>
      <c r="B1130" t="s">
        <v>29</v>
      </c>
      <c r="C1130" t="s">
        <v>12</v>
      </c>
      <c r="D1130" t="s">
        <v>23</v>
      </c>
      <c r="E1130" t="s">
        <v>14</v>
      </c>
      <c r="F1130" t="s">
        <v>40</v>
      </c>
      <c r="G1130" t="s">
        <v>31</v>
      </c>
      <c r="H1130">
        <v>250000</v>
      </c>
      <c r="I1130">
        <v>6</v>
      </c>
      <c r="J1130" t="s">
        <v>37</v>
      </c>
      <c r="K1130">
        <f t="shared" si="17"/>
        <v>200000</v>
      </c>
      <c r="L1130">
        <f>Sales_Data2[[#This Row],[Unit Price]]*Sales_Data2[[#This Row],[Quantity]]</f>
        <v>1500000</v>
      </c>
      <c r="M1130">
        <f>Sales_Data2[[#This Row],[Cost Price]]*Sales_Data2[[#This Row],[Quantity]]</f>
        <v>1200000</v>
      </c>
      <c r="N1130" s="3">
        <f>Sales_Data2[[#This Row],[Revenue]]-Sales_Data2[[#This Row],[COGS]]</f>
        <v>300000</v>
      </c>
      <c r="O11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46804|North|Port Harcourt|Corporate|Online|Smartphone Z10|Electronics|250000|6|Aisha|200000</v>
      </c>
      <c r="P1130" s="3" t="str">
        <f>IF(COUNTIF(Sales_Data2[RowKey],Sales_Data2[[#This Row],[RowKey]])&gt;1,"Duplicate","Unique")</f>
        <v>Unique</v>
      </c>
      <c r="Q1130" s="3" t="str">
        <f>IF(ISNUMBER(Sales_Data2[[#This Row],[Date]]),"OK","Check")</f>
        <v>OK</v>
      </c>
      <c r="R1130" s="3" t="str">
        <f>IF(ISNUMBER(Sales_Data2[[#This Row],[Quantity]]),"OK","Check")</f>
        <v>OK</v>
      </c>
    </row>
    <row r="1131" spans="1:18">
      <c r="A1131" s="1">
        <v>46805</v>
      </c>
      <c r="B1131" t="s">
        <v>25</v>
      </c>
      <c r="C1131" t="s">
        <v>19</v>
      </c>
      <c r="D1131" t="s">
        <v>23</v>
      </c>
      <c r="E1131" t="s">
        <v>20</v>
      </c>
      <c r="F1131" t="s">
        <v>34</v>
      </c>
      <c r="G1131" t="s">
        <v>16</v>
      </c>
      <c r="H1131">
        <v>320000</v>
      </c>
      <c r="I1131">
        <v>10</v>
      </c>
      <c r="J1131" t="s">
        <v>35</v>
      </c>
      <c r="K1131">
        <f t="shared" si="17"/>
        <v>256000</v>
      </c>
      <c r="L1131">
        <f>Sales_Data2[[#This Row],[Unit Price]]*Sales_Data2[[#This Row],[Quantity]]</f>
        <v>3200000</v>
      </c>
      <c r="M1131">
        <f>Sales_Data2[[#This Row],[Cost Price]]*Sales_Data2[[#This Row],[Quantity]]</f>
        <v>2560000</v>
      </c>
      <c r="N1131" s="3">
        <f>Sales_Data2[[#This Row],[Revenue]]-Sales_Data2[[#This Row],[COGS]]</f>
        <v>640000</v>
      </c>
      <c r="O11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46805|South|Lagos|Corporate|Store|Sofa Classic|Furniture|320000|10|Peter|256000</v>
      </c>
      <c r="P1131" s="3" t="str">
        <f>IF(COUNTIF(Sales_Data2[RowKey],Sales_Data2[[#This Row],[RowKey]])&gt;1,"Duplicate","Unique")</f>
        <v>Unique</v>
      </c>
      <c r="Q1131" s="3" t="str">
        <f>IF(ISNUMBER(Sales_Data2[[#This Row],[Date]]),"OK","Check")</f>
        <v>OK</v>
      </c>
      <c r="R1131" s="3" t="str">
        <f>IF(ISNUMBER(Sales_Data2[[#This Row],[Quantity]]),"OK","Check")</f>
        <v>OK</v>
      </c>
    </row>
    <row r="1132" spans="1:18">
      <c r="A1132" s="1">
        <v>46806</v>
      </c>
      <c r="B1132" t="s">
        <v>18</v>
      </c>
      <c r="C1132" t="s">
        <v>32</v>
      </c>
      <c r="D1132" t="s">
        <v>13</v>
      </c>
      <c r="E1132" t="s">
        <v>20</v>
      </c>
      <c r="F1132" t="s">
        <v>21</v>
      </c>
      <c r="G1132" t="s">
        <v>22</v>
      </c>
      <c r="H1132">
        <v>30000</v>
      </c>
      <c r="I1132">
        <v>4</v>
      </c>
      <c r="J1132" t="s">
        <v>35</v>
      </c>
      <c r="K1132">
        <f t="shared" si="17"/>
        <v>24000</v>
      </c>
      <c r="L1132">
        <f>Sales_Data2[[#This Row],[Unit Price]]*Sales_Data2[[#This Row],[Quantity]]</f>
        <v>120000</v>
      </c>
      <c r="M1132">
        <f>Sales_Data2[[#This Row],[Cost Price]]*Sales_Data2[[#This Row],[Quantity]]</f>
        <v>96000</v>
      </c>
      <c r="N1132" s="3">
        <f>Sales_Data2[[#This Row],[Revenue]]-Sales_Data2[[#This Row],[COGS]]</f>
        <v>24000</v>
      </c>
      <c r="O11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46806|East|Abuja|Retail|Store|Blender B10|Home Appliances|30000|4|Peter|24000</v>
      </c>
      <c r="P1132" s="3" t="str">
        <f>IF(COUNTIF(Sales_Data2[RowKey],Sales_Data2[[#This Row],[RowKey]])&gt;1,"Duplicate","Unique")</f>
        <v>Unique</v>
      </c>
      <c r="Q1132" s="3" t="str">
        <f>IF(ISNUMBER(Sales_Data2[[#This Row],[Date]]),"OK","Check")</f>
        <v>OK</v>
      </c>
      <c r="R1132" s="3" t="str">
        <f>IF(ISNUMBER(Sales_Data2[[#This Row],[Quantity]]),"OK","Check")</f>
        <v>OK</v>
      </c>
    </row>
    <row r="1133" spans="1:18">
      <c r="A1133" s="1">
        <v>46807</v>
      </c>
      <c r="B1133" t="s">
        <v>25</v>
      </c>
      <c r="C1133" t="s">
        <v>32</v>
      </c>
      <c r="D1133" t="s">
        <v>13</v>
      </c>
      <c r="E1133" t="s">
        <v>20</v>
      </c>
      <c r="F1133" t="s">
        <v>15</v>
      </c>
      <c r="G1133" t="s">
        <v>16</v>
      </c>
      <c r="H1133">
        <v>85000</v>
      </c>
      <c r="I1133">
        <v>10</v>
      </c>
      <c r="J1133" t="s">
        <v>17</v>
      </c>
      <c r="K1133">
        <f t="shared" si="17"/>
        <v>68000</v>
      </c>
      <c r="L1133">
        <f>Sales_Data2[[#This Row],[Unit Price]]*Sales_Data2[[#This Row],[Quantity]]</f>
        <v>850000</v>
      </c>
      <c r="M1133">
        <f>Sales_Data2[[#This Row],[Cost Price]]*Sales_Data2[[#This Row],[Quantity]]</f>
        <v>680000</v>
      </c>
      <c r="N1133" s="3">
        <f>Sales_Data2[[#This Row],[Revenue]]-Sales_Data2[[#This Row],[COGS]]</f>
        <v>170000</v>
      </c>
      <c r="O11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46807|South|Abuja|Retail|Store|Office Chair Pro|Furniture|85000|10|Chidinma|68000</v>
      </c>
      <c r="P1133" s="3" t="str">
        <f>IF(COUNTIF(Sales_Data2[RowKey],Sales_Data2[[#This Row],[RowKey]])&gt;1,"Duplicate","Unique")</f>
        <v>Unique</v>
      </c>
      <c r="Q1133" s="3" t="str">
        <f>IF(ISNUMBER(Sales_Data2[[#This Row],[Date]]),"OK","Check")</f>
        <v>OK</v>
      </c>
      <c r="R1133" s="3" t="str">
        <f>IF(ISNUMBER(Sales_Data2[[#This Row],[Quantity]]),"OK","Check")</f>
        <v>OK</v>
      </c>
    </row>
    <row r="1134" spans="1:18">
      <c r="A1134" s="1">
        <v>46808</v>
      </c>
      <c r="B1134" t="s">
        <v>29</v>
      </c>
      <c r="C1134" t="s">
        <v>32</v>
      </c>
      <c r="D1134" t="s">
        <v>23</v>
      </c>
      <c r="E1134" t="s">
        <v>20</v>
      </c>
      <c r="F1134" t="s">
        <v>40</v>
      </c>
      <c r="G1134" t="s">
        <v>31</v>
      </c>
      <c r="H1134">
        <v>250000</v>
      </c>
      <c r="I1134">
        <v>6</v>
      </c>
      <c r="J1134" t="s">
        <v>28</v>
      </c>
      <c r="K1134">
        <f t="shared" si="17"/>
        <v>200000</v>
      </c>
      <c r="L1134">
        <f>Sales_Data2[[#This Row],[Unit Price]]*Sales_Data2[[#This Row],[Quantity]]</f>
        <v>1500000</v>
      </c>
      <c r="M1134">
        <f>Sales_Data2[[#This Row],[Cost Price]]*Sales_Data2[[#This Row],[Quantity]]</f>
        <v>1200000</v>
      </c>
      <c r="N1134" s="3">
        <f>Sales_Data2[[#This Row],[Revenue]]-Sales_Data2[[#This Row],[COGS]]</f>
        <v>300000</v>
      </c>
      <c r="O11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46808|North|Abuja|Corporate|Store|Smartphone Z10|Electronics|250000|6|Musa|200000</v>
      </c>
      <c r="P1134" s="3" t="str">
        <f>IF(COUNTIF(Sales_Data2[RowKey],Sales_Data2[[#This Row],[RowKey]])&gt;1,"Duplicate","Unique")</f>
        <v>Unique</v>
      </c>
      <c r="Q1134" s="3" t="str">
        <f>IF(ISNUMBER(Sales_Data2[[#This Row],[Date]]),"OK","Check")</f>
        <v>OK</v>
      </c>
      <c r="R1134" s="3" t="str">
        <f>IF(ISNUMBER(Sales_Data2[[#This Row],[Quantity]]),"OK","Check")</f>
        <v>OK</v>
      </c>
    </row>
    <row r="1135" spans="1:18">
      <c r="A1135" s="1">
        <v>46809</v>
      </c>
      <c r="B1135" t="s">
        <v>25</v>
      </c>
      <c r="C1135" t="s">
        <v>19</v>
      </c>
      <c r="D1135" t="s">
        <v>13</v>
      </c>
      <c r="E1135" t="s">
        <v>20</v>
      </c>
      <c r="F1135" t="s">
        <v>27</v>
      </c>
      <c r="G1135" t="s">
        <v>22</v>
      </c>
      <c r="H1135">
        <v>60000</v>
      </c>
      <c r="I1135">
        <v>10</v>
      </c>
      <c r="J1135" t="s">
        <v>24</v>
      </c>
      <c r="K1135">
        <f t="shared" si="17"/>
        <v>48000</v>
      </c>
      <c r="L1135">
        <f>Sales_Data2[[#This Row],[Unit Price]]*Sales_Data2[[#This Row],[Quantity]]</f>
        <v>600000</v>
      </c>
      <c r="M1135">
        <f>Sales_Data2[[#This Row],[Cost Price]]*Sales_Data2[[#This Row],[Quantity]]</f>
        <v>480000</v>
      </c>
      <c r="N1135" s="3">
        <f>Sales_Data2[[#This Row],[Revenue]]-Sales_Data2[[#This Row],[COGS]]</f>
        <v>120000</v>
      </c>
      <c r="O11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46809|South|Lagos|Retail|Store|Microwave M20|Home Appliances|60000|10|David|48000</v>
      </c>
      <c r="P1135" s="3" t="str">
        <f>IF(COUNTIF(Sales_Data2[RowKey],Sales_Data2[[#This Row],[RowKey]])&gt;1,"Duplicate","Unique")</f>
        <v>Unique</v>
      </c>
      <c r="Q1135" s="3" t="str">
        <f>IF(ISNUMBER(Sales_Data2[[#This Row],[Date]]),"OK","Check")</f>
        <v>OK</v>
      </c>
      <c r="R1135" s="3" t="str">
        <f>IF(ISNUMBER(Sales_Data2[[#This Row],[Quantity]]),"OK","Check")</f>
        <v>OK</v>
      </c>
    </row>
    <row r="1136" spans="1:18">
      <c r="A1136" s="1">
        <v>46810</v>
      </c>
      <c r="B1136" t="s">
        <v>18</v>
      </c>
      <c r="C1136" t="s">
        <v>19</v>
      </c>
      <c r="D1136" t="s">
        <v>13</v>
      </c>
      <c r="E1136" t="s">
        <v>20</v>
      </c>
      <c r="F1136" t="s">
        <v>30</v>
      </c>
      <c r="G1136" t="s">
        <v>31</v>
      </c>
      <c r="H1136">
        <v>300000</v>
      </c>
      <c r="I1136">
        <v>3</v>
      </c>
      <c r="J1136" t="s">
        <v>24</v>
      </c>
      <c r="K1136">
        <f t="shared" si="17"/>
        <v>240000</v>
      </c>
      <c r="L1136">
        <f>Sales_Data2[[#This Row],[Unit Price]]*Sales_Data2[[#This Row],[Quantity]]</f>
        <v>900000</v>
      </c>
      <c r="M1136">
        <f>Sales_Data2[[#This Row],[Cost Price]]*Sales_Data2[[#This Row],[Quantity]]</f>
        <v>720000</v>
      </c>
      <c r="N1136" s="3">
        <f>Sales_Data2[[#This Row],[Revenue]]-Sales_Data2[[#This Row],[COGS]]</f>
        <v>180000</v>
      </c>
      <c r="O11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46810|East|Lagos|Retail|Store|Desktop PC D21|Electronics|300000|3|David|240000</v>
      </c>
      <c r="P1136" s="3" t="str">
        <f>IF(COUNTIF(Sales_Data2[RowKey],Sales_Data2[[#This Row],[RowKey]])&gt;1,"Duplicate","Unique")</f>
        <v>Unique</v>
      </c>
      <c r="Q1136" s="3" t="str">
        <f>IF(ISNUMBER(Sales_Data2[[#This Row],[Date]]),"OK","Check")</f>
        <v>OK</v>
      </c>
      <c r="R1136" s="3" t="str">
        <f>IF(ISNUMBER(Sales_Data2[[#This Row],[Quantity]]),"OK","Check")</f>
        <v>OK</v>
      </c>
    </row>
    <row r="1137" spans="1:18">
      <c r="A1137" s="1">
        <v>46811</v>
      </c>
      <c r="B1137" t="s">
        <v>11</v>
      </c>
      <c r="C1137" t="s">
        <v>32</v>
      </c>
      <c r="D1137" t="s">
        <v>13</v>
      </c>
      <c r="E1137" t="s">
        <v>20</v>
      </c>
      <c r="F1137" t="s">
        <v>36</v>
      </c>
      <c r="G1137" t="s">
        <v>31</v>
      </c>
      <c r="H1137">
        <v>150000</v>
      </c>
      <c r="I1137">
        <v>10</v>
      </c>
      <c r="J1137" t="s">
        <v>39</v>
      </c>
      <c r="K1137">
        <f t="shared" si="17"/>
        <v>120000</v>
      </c>
      <c r="L1137">
        <f>Sales_Data2[[#This Row],[Unit Price]]*Sales_Data2[[#This Row],[Quantity]]</f>
        <v>1500000</v>
      </c>
      <c r="M1137">
        <f>Sales_Data2[[#This Row],[Cost Price]]*Sales_Data2[[#This Row],[Quantity]]</f>
        <v>1200000</v>
      </c>
      <c r="N1137" s="3">
        <f>Sales_Data2[[#This Row],[Revenue]]-Sales_Data2[[#This Row],[COGS]]</f>
        <v>300000</v>
      </c>
      <c r="O11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46811|West|Abuja|Retail|Store|Printer P50|Electronics|150000|10|Grace|120000</v>
      </c>
      <c r="P1137" s="3" t="str">
        <f>IF(COUNTIF(Sales_Data2[RowKey],Sales_Data2[[#This Row],[RowKey]])&gt;1,"Duplicate","Unique")</f>
        <v>Unique</v>
      </c>
      <c r="Q1137" s="3" t="str">
        <f>IF(ISNUMBER(Sales_Data2[[#This Row],[Date]]),"OK","Check")</f>
        <v>OK</v>
      </c>
      <c r="R1137" s="3" t="str">
        <f>IF(ISNUMBER(Sales_Data2[[#This Row],[Quantity]]),"OK","Check")</f>
        <v>OK</v>
      </c>
    </row>
    <row r="1138" spans="1:18">
      <c r="A1138" s="1">
        <v>46812</v>
      </c>
      <c r="B1138" t="s">
        <v>25</v>
      </c>
      <c r="C1138" t="s">
        <v>19</v>
      </c>
      <c r="D1138" t="s">
        <v>23</v>
      </c>
      <c r="E1138" t="s">
        <v>20</v>
      </c>
      <c r="F1138" t="s">
        <v>21</v>
      </c>
      <c r="G1138" t="s">
        <v>22</v>
      </c>
      <c r="H1138">
        <v>30000</v>
      </c>
      <c r="I1138">
        <v>7</v>
      </c>
      <c r="J1138" t="s">
        <v>35</v>
      </c>
      <c r="K1138">
        <f t="shared" si="17"/>
        <v>24000</v>
      </c>
      <c r="L1138">
        <f>Sales_Data2[[#This Row],[Unit Price]]*Sales_Data2[[#This Row],[Quantity]]</f>
        <v>210000</v>
      </c>
      <c r="M1138">
        <f>Sales_Data2[[#This Row],[Cost Price]]*Sales_Data2[[#This Row],[Quantity]]</f>
        <v>168000</v>
      </c>
      <c r="N1138" s="3">
        <f>Sales_Data2[[#This Row],[Revenue]]-Sales_Data2[[#This Row],[COGS]]</f>
        <v>42000</v>
      </c>
      <c r="O11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46812|South|Lagos|Corporate|Store|Blender B10|Home Appliances|30000|7|Peter|24000</v>
      </c>
      <c r="P1138" s="3" t="str">
        <f>IF(COUNTIF(Sales_Data2[RowKey],Sales_Data2[[#This Row],[RowKey]])&gt;1,"Duplicate","Unique")</f>
        <v>Unique</v>
      </c>
      <c r="Q1138" s="3" t="str">
        <f>IF(ISNUMBER(Sales_Data2[[#This Row],[Date]]),"OK","Check")</f>
        <v>OK</v>
      </c>
      <c r="R1138" s="3" t="str">
        <f>IF(ISNUMBER(Sales_Data2[[#This Row],[Quantity]]),"OK","Check")</f>
        <v>OK</v>
      </c>
    </row>
    <row r="1139" spans="1:18">
      <c r="A1139" s="1">
        <v>46813</v>
      </c>
      <c r="B1139" t="s">
        <v>18</v>
      </c>
      <c r="C1139" t="s">
        <v>19</v>
      </c>
      <c r="D1139" t="s">
        <v>23</v>
      </c>
      <c r="E1139" t="s">
        <v>20</v>
      </c>
      <c r="F1139" t="s">
        <v>30</v>
      </c>
      <c r="G1139" t="s">
        <v>31</v>
      </c>
      <c r="H1139">
        <v>300000</v>
      </c>
      <c r="I1139">
        <v>9</v>
      </c>
      <c r="J1139" t="s">
        <v>37</v>
      </c>
      <c r="K1139">
        <f t="shared" si="17"/>
        <v>240000</v>
      </c>
      <c r="L1139">
        <f>Sales_Data2[[#This Row],[Unit Price]]*Sales_Data2[[#This Row],[Quantity]]</f>
        <v>2700000</v>
      </c>
      <c r="M1139">
        <f>Sales_Data2[[#This Row],[Cost Price]]*Sales_Data2[[#This Row],[Quantity]]</f>
        <v>2160000</v>
      </c>
      <c r="N1139" s="3">
        <f>Sales_Data2[[#This Row],[Revenue]]-Sales_Data2[[#This Row],[COGS]]</f>
        <v>540000</v>
      </c>
      <c r="O11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46813|East|Lagos|Corporate|Store|Desktop PC D21|Electronics|300000|9|Aisha|240000</v>
      </c>
      <c r="P1139" s="3" t="str">
        <f>IF(COUNTIF(Sales_Data2[RowKey],Sales_Data2[[#This Row],[RowKey]])&gt;1,"Duplicate","Unique")</f>
        <v>Unique</v>
      </c>
      <c r="Q1139" s="3" t="str">
        <f>IF(ISNUMBER(Sales_Data2[[#This Row],[Date]]),"OK","Check")</f>
        <v>OK</v>
      </c>
      <c r="R1139" s="3" t="str">
        <f>IF(ISNUMBER(Sales_Data2[[#This Row],[Quantity]]),"OK","Check")</f>
        <v>OK</v>
      </c>
    </row>
    <row r="1140" spans="1:18">
      <c r="A1140" s="1">
        <v>46814</v>
      </c>
      <c r="B1140" t="s">
        <v>29</v>
      </c>
      <c r="C1140" t="s">
        <v>32</v>
      </c>
      <c r="D1140" t="s">
        <v>23</v>
      </c>
      <c r="E1140" t="s">
        <v>20</v>
      </c>
      <c r="F1140" t="s">
        <v>41</v>
      </c>
      <c r="G1140" t="s">
        <v>22</v>
      </c>
      <c r="H1140">
        <v>220000</v>
      </c>
      <c r="I1140">
        <v>4</v>
      </c>
      <c r="J1140" t="s">
        <v>28</v>
      </c>
      <c r="K1140">
        <f t="shared" si="17"/>
        <v>176000</v>
      </c>
      <c r="L1140">
        <f>Sales_Data2[[#This Row],[Unit Price]]*Sales_Data2[[#This Row],[Quantity]]</f>
        <v>880000</v>
      </c>
      <c r="M1140">
        <f>Sales_Data2[[#This Row],[Cost Price]]*Sales_Data2[[#This Row],[Quantity]]</f>
        <v>704000</v>
      </c>
      <c r="N1140" s="3">
        <f>Sales_Data2[[#This Row],[Revenue]]-Sales_Data2[[#This Row],[COGS]]</f>
        <v>176000</v>
      </c>
      <c r="O11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46814|North|Abuja|Corporate|Store|Refrigerator R55|Home Appliances|220000|4|Musa|176000</v>
      </c>
      <c r="P1140" s="3" t="str">
        <f>IF(COUNTIF(Sales_Data2[RowKey],Sales_Data2[[#This Row],[RowKey]])&gt;1,"Duplicate","Unique")</f>
        <v>Unique</v>
      </c>
      <c r="Q1140" s="3" t="str">
        <f>IF(ISNUMBER(Sales_Data2[[#This Row],[Date]]),"OK","Check")</f>
        <v>OK</v>
      </c>
      <c r="R1140" s="3" t="str">
        <f>IF(ISNUMBER(Sales_Data2[[#This Row],[Quantity]]),"OK","Check")</f>
        <v>OK</v>
      </c>
    </row>
    <row r="1141" spans="1:18">
      <c r="A1141" s="1">
        <v>46815</v>
      </c>
      <c r="B1141" t="s">
        <v>18</v>
      </c>
      <c r="C1141" t="s">
        <v>26</v>
      </c>
      <c r="D1141" t="s">
        <v>23</v>
      </c>
      <c r="E1141" t="s">
        <v>14</v>
      </c>
      <c r="F1141" t="s">
        <v>40</v>
      </c>
      <c r="G1141" t="s">
        <v>31</v>
      </c>
      <c r="H1141">
        <v>250000</v>
      </c>
      <c r="I1141">
        <v>9</v>
      </c>
      <c r="J1141" t="s">
        <v>17</v>
      </c>
      <c r="K1141">
        <f t="shared" si="17"/>
        <v>200000</v>
      </c>
      <c r="L1141">
        <f>Sales_Data2[[#This Row],[Unit Price]]*Sales_Data2[[#This Row],[Quantity]]</f>
        <v>2250000</v>
      </c>
      <c r="M1141">
        <f>Sales_Data2[[#This Row],[Cost Price]]*Sales_Data2[[#This Row],[Quantity]]</f>
        <v>1800000</v>
      </c>
      <c r="N1141" s="3">
        <f>Sales_Data2[[#This Row],[Revenue]]-Sales_Data2[[#This Row],[COGS]]</f>
        <v>450000</v>
      </c>
      <c r="O11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46815|East|Kano|Corporate|Online|Smartphone Z10|Electronics|250000|9|Chidinma|200000</v>
      </c>
      <c r="P1141" s="3" t="str">
        <f>IF(COUNTIF(Sales_Data2[RowKey],Sales_Data2[[#This Row],[RowKey]])&gt;1,"Duplicate","Unique")</f>
        <v>Unique</v>
      </c>
      <c r="Q1141" s="3" t="str">
        <f>IF(ISNUMBER(Sales_Data2[[#This Row],[Date]]),"OK","Check")</f>
        <v>OK</v>
      </c>
      <c r="R1141" s="3" t="str">
        <f>IF(ISNUMBER(Sales_Data2[[#This Row],[Quantity]]),"OK","Check")</f>
        <v>OK</v>
      </c>
    </row>
    <row r="1142" spans="1:18">
      <c r="A1142" s="1">
        <v>46816</v>
      </c>
      <c r="B1142" t="s">
        <v>11</v>
      </c>
      <c r="C1142" t="s">
        <v>12</v>
      </c>
      <c r="D1142" t="s">
        <v>23</v>
      </c>
      <c r="E1142" t="s">
        <v>20</v>
      </c>
      <c r="F1142" t="s">
        <v>30</v>
      </c>
      <c r="G1142" t="s">
        <v>31</v>
      </c>
      <c r="H1142">
        <v>300000</v>
      </c>
      <c r="I1142">
        <v>4</v>
      </c>
      <c r="J1142" t="s">
        <v>39</v>
      </c>
      <c r="K1142">
        <f t="shared" si="17"/>
        <v>240000</v>
      </c>
      <c r="L1142">
        <f>Sales_Data2[[#This Row],[Unit Price]]*Sales_Data2[[#This Row],[Quantity]]</f>
        <v>1200000</v>
      </c>
      <c r="M1142">
        <f>Sales_Data2[[#This Row],[Cost Price]]*Sales_Data2[[#This Row],[Quantity]]</f>
        <v>960000</v>
      </c>
      <c r="N1142" s="3">
        <f>Sales_Data2[[#This Row],[Revenue]]-Sales_Data2[[#This Row],[COGS]]</f>
        <v>240000</v>
      </c>
      <c r="O11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46816|West|Port Harcourt|Corporate|Store|Desktop PC D21|Electronics|300000|4|Grace|240000</v>
      </c>
      <c r="P1142" s="3" t="str">
        <f>IF(COUNTIF(Sales_Data2[RowKey],Sales_Data2[[#This Row],[RowKey]])&gt;1,"Duplicate","Unique")</f>
        <v>Unique</v>
      </c>
      <c r="Q1142" s="3" t="str">
        <f>IF(ISNUMBER(Sales_Data2[[#This Row],[Date]]),"OK","Check")</f>
        <v>OK</v>
      </c>
      <c r="R1142" s="3" t="str">
        <f>IF(ISNUMBER(Sales_Data2[[#This Row],[Quantity]]),"OK","Check")</f>
        <v>OK</v>
      </c>
    </row>
    <row r="1143" spans="1:18">
      <c r="A1143" s="1">
        <v>46817</v>
      </c>
      <c r="B1143" t="s">
        <v>11</v>
      </c>
      <c r="C1143" t="s">
        <v>12</v>
      </c>
      <c r="D1143" t="s">
        <v>13</v>
      </c>
      <c r="E1143" t="s">
        <v>20</v>
      </c>
      <c r="F1143" t="s">
        <v>27</v>
      </c>
      <c r="G1143" t="s">
        <v>22</v>
      </c>
      <c r="H1143">
        <v>60000</v>
      </c>
      <c r="I1143">
        <v>10</v>
      </c>
      <c r="J1143" t="s">
        <v>37</v>
      </c>
      <c r="K1143">
        <f t="shared" si="17"/>
        <v>48000</v>
      </c>
      <c r="L1143">
        <f>Sales_Data2[[#This Row],[Unit Price]]*Sales_Data2[[#This Row],[Quantity]]</f>
        <v>600000</v>
      </c>
      <c r="M1143">
        <f>Sales_Data2[[#This Row],[Cost Price]]*Sales_Data2[[#This Row],[Quantity]]</f>
        <v>480000</v>
      </c>
      <c r="N1143" s="3">
        <f>Sales_Data2[[#This Row],[Revenue]]-Sales_Data2[[#This Row],[COGS]]</f>
        <v>120000</v>
      </c>
      <c r="O11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46817|West|Port Harcourt|Retail|Store|Microwave M20|Home Appliances|60000|10|Aisha|48000</v>
      </c>
      <c r="P1143" s="3" t="str">
        <f>IF(COUNTIF(Sales_Data2[RowKey],Sales_Data2[[#This Row],[RowKey]])&gt;1,"Duplicate","Unique")</f>
        <v>Unique</v>
      </c>
      <c r="Q1143" s="3" t="str">
        <f>IF(ISNUMBER(Sales_Data2[[#This Row],[Date]]),"OK","Check")</f>
        <v>OK</v>
      </c>
      <c r="R1143" s="3" t="str">
        <f>IF(ISNUMBER(Sales_Data2[[#This Row],[Quantity]]),"OK","Check")</f>
        <v>OK</v>
      </c>
    </row>
    <row r="1144" spans="1:18">
      <c r="A1144" s="1">
        <v>46818</v>
      </c>
      <c r="B1144" t="s">
        <v>29</v>
      </c>
      <c r="C1144" t="s">
        <v>26</v>
      </c>
      <c r="D1144" t="s">
        <v>23</v>
      </c>
      <c r="E1144" t="s">
        <v>14</v>
      </c>
      <c r="F1144" t="s">
        <v>38</v>
      </c>
      <c r="G1144" t="s">
        <v>31</v>
      </c>
      <c r="H1144">
        <v>420000</v>
      </c>
      <c r="I1144">
        <v>10</v>
      </c>
      <c r="J1144" t="s">
        <v>28</v>
      </c>
      <c r="K1144">
        <f t="shared" si="17"/>
        <v>336000</v>
      </c>
      <c r="L1144">
        <f>Sales_Data2[[#This Row],[Unit Price]]*Sales_Data2[[#This Row],[Quantity]]</f>
        <v>4200000</v>
      </c>
      <c r="M1144">
        <f>Sales_Data2[[#This Row],[Cost Price]]*Sales_Data2[[#This Row],[Quantity]]</f>
        <v>3360000</v>
      </c>
      <c r="N1144" s="3">
        <f>Sales_Data2[[#This Row],[Revenue]]-Sales_Data2[[#This Row],[COGS]]</f>
        <v>840000</v>
      </c>
      <c r="O11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46818|North|Kano|Corporate|Online|Laptop A13|Electronics|420000|10|Musa|336000</v>
      </c>
      <c r="P1144" s="3" t="str">
        <f>IF(COUNTIF(Sales_Data2[RowKey],Sales_Data2[[#This Row],[RowKey]])&gt;1,"Duplicate","Unique")</f>
        <v>Unique</v>
      </c>
      <c r="Q1144" s="3" t="str">
        <f>IF(ISNUMBER(Sales_Data2[[#This Row],[Date]]),"OK","Check")</f>
        <v>OK</v>
      </c>
      <c r="R1144" s="3" t="str">
        <f>IF(ISNUMBER(Sales_Data2[[#This Row],[Quantity]]),"OK","Check")</f>
        <v>OK</v>
      </c>
    </row>
    <row r="1145" spans="1:18">
      <c r="A1145" s="1">
        <v>46819</v>
      </c>
      <c r="B1145" t="s">
        <v>11</v>
      </c>
      <c r="C1145" t="s">
        <v>26</v>
      </c>
      <c r="D1145" t="s">
        <v>13</v>
      </c>
      <c r="E1145" t="s">
        <v>20</v>
      </c>
      <c r="F1145" t="s">
        <v>36</v>
      </c>
      <c r="G1145" t="s">
        <v>31</v>
      </c>
      <c r="H1145">
        <v>150000</v>
      </c>
      <c r="I1145">
        <v>1</v>
      </c>
      <c r="J1145" t="s">
        <v>39</v>
      </c>
      <c r="K1145">
        <f t="shared" si="17"/>
        <v>120000</v>
      </c>
      <c r="L1145">
        <f>Sales_Data2[[#This Row],[Unit Price]]*Sales_Data2[[#This Row],[Quantity]]</f>
        <v>150000</v>
      </c>
      <c r="M1145">
        <f>Sales_Data2[[#This Row],[Cost Price]]*Sales_Data2[[#This Row],[Quantity]]</f>
        <v>120000</v>
      </c>
      <c r="N1145" s="3">
        <f>Sales_Data2[[#This Row],[Revenue]]-Sales_Data2[[#This Row],[COGS]]</f>
        <v>30000</v>
      </c>
      <c r="O11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46819|West|Kano|Retail|Store|Printer P50|Electronics|150000|1|Grace|120000</v>
      </c>
      <c r="P1145" s="3" t="str">
        <f>IF(COUNTIF(Sales_Data2[RowKey],Sales_Data2[[#This Row],[RowKey]])&gt;1,"Duplicate","Unique")</f>
        <v>Unique</v>
      </c>
      <c r="Q1145" s="3" t="str">
        <f>IF(ISNUMBER(Sales_Data2[[#This Row],[Date]]),"OK","Check")</f>
        <v>OK</v>
      </c>
      <c r="R1145" s="3" t="str">
        <f>IF(ISNUMBER(Sales_Data2[[#This Row],[Quantity]]),"OK","Check")</f>
        <v>OK</v>
      </c>
    </row>
    <row r="1146" spans="1:18">
      <c r="A1146" s="1">
        <v>46820</v>
      </c>
      <c r="B1146" t="s">
        <v>25</v>
      </c>
      <c r="C1146" t="s">
        <v>26</v>
      </c>
      <c r="D1146" t="s">
        <v>13</v>
      </c>
      <c r="E1146" t="s">
        <v>20</v>
      </c>
      <c r="F1146" t="s">
        <v>40</v>
      </c>
      <c r="G1146" t="s">
        <v>31</v>
      </c>
      <c r="H1146">
        <v>250000</v>
      </c>
      <c r="I1146">
        <v>7</v>
      </c>
      <c r="J1146" t="s">
        <v>24</v>
      </c>
      <c r="K1146">
        <f t="shared" si="17"/>
        <v>200000</v>
      </c>
      <c r="L1146">
        <f>Sales_Data2[[#This Row],[Unit Price]]*Sales_Data2[[#This Row],[Quantity]]</f>
        <v>1750000</v>
      </c>
      <c r="M1146">
        <f>Sales_Data2[[#This Row],[Cost Price]]*Sales_Data2[[#This Row],[Quantity]]</f>
        <v>1400000</v>
      </c>
      <c r="N1146" s="3">
        <f>Sales_Data2[[#This Row],[Revenue]]-Sales_Data2[[#This Row],[COGS]]</f>
        <v>350000</v>
      </c>
      <c r="O11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46820|South|Kano|Retail|Store|Smartphone Z10|Electronics|250000|7|David|200000</v>
      </c>
      <c r="P1146" s="3" t="str">
        <f>IF(COUNTIF(Sales_Data2[RowKey],Sales_Data2[[#This Row],[RowKey]])&gt;1,"Duplicate","Unique")</f>
        <v>Unique</v>
      </c>
      <c r="Q1146" s="3" t="str">
        <f>IF(ISNUMBER(Sales_Data2[[#This Row],[Date]]),"OK","Check")</f>
        <v>OK</v>
      </c>
      <c r="R1146" s="3" t="str">
        <f>IF(ISNUMBER(Sales_Data2[[#This Row],[Quantity]]),"OK","Check")</f>
        <v>OK</v>
      </c>
    </row>
    <row r="1147" spans="1:18">
      <c r="A1147" s="1">
        <v>46821</v>
      </c>
      <c r="B1147" t="s">
        <v>25</v>
      </c>
      <c r="C1147" t="s">
        <v>32</v>
      </c>
      <c r="D1147" t="s">
        <v>13</v>
      </c>
      <c r="E1147" t="s">
        <v>20</v>
      </c>
      <c r="F1147" t="s">
        <v>30</v>
      </c>
      <c r="G1147" t="s">
        <v>31</v>
      </c>
      <c r="H1147">
        <v>300000</v>
      </c>
      <c r="I1147">
        <v>9</v>
      </c>
      <c r="J1147" t="s">
        <v>28</v>
      </c>
      <c r="K1147">
        <f t="shared" si="17"/>
        <v>240000</v>
      </c>
      <c r="L1147">
        <f>Sales_Data2[[#This Row],[Unit Price]]*Sales_Data2[[#This Row],[Quantity]]</f>
        <v>2700000</v>
      </c>
      <c r="M1147">
        <f>Sales_Data2[[#This Row],[Cost Price]]*Sales_Data2[[#This Row],[Quantity]]</f>
        <v>2160000</v>
      </c>
      <c r="N1147" s="3">
        <f>Sales_Data2[[#This Row],[Revenue]]-Sales_Data2[[#This Row],[COGS]]</f>
        <v>540000</v>
      </c>
      <c r="O11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46821|South|Abuja|Retail|Store|Desktop PC D21|Electronics|300000|9|Musa|240000</v>
      </c>
      <c r="P1147" s="3" t="str">
        <f>IF(COUNTIF(Sales_Data2[RowKey],Sales_Data2[[#This Row],[RowKey]])&gt;1,"Duplicate","Unique")</f>
        <v>Unique</v>
      </c>
      <c r="Q1147" s="3" t="str">
        <f>IF(ISNUMBER(Sales_Data2[[#This Row],[Date]]),"OK","Check")</f>
        <v>OK</v>
      </c>
      <c r="R1147" s="3" t="str">
        <f>IF(ISNUMBER(Sales_Data2[[#This Row],[Quantity]]),"OK","Check")</f>
        <v>OK</v>
      </c>
    </row>
    <row r="1148" spans="1:18">
      <c r="A1148" s="1">
        <v>46822</v>
      </c>
      <c r="B1148" t="s">
        <v>29</v>
      </c>
      <c r="C1148" t="s">
        <v>12</v>
      </c>
      <c r="D1148" t="s">
        <v>13</v>
      </c>
      <c r="E1148" t="s">
        <v>20</v>
      </c>
      <c r="F1148" t="s">
        <v>36</v>
      </c>
      <c r="G1148" t="s">
        <v>31</v>
      </c>
      <c r="H1148">
        <v>150000</v>
      </c>
      <c r="I1148">
        <v>2</v>
      </c>
      <c r="J1148" t="s">
        <v>37</v>
      </c>
      <c r="K1148">
        <f t="shared" si="17"/>
        <v>120000</v>
      </c>
      <c r="L1148">
        <f>Sales_Data2[[#This Row],[Unit Price]]*Sales_Data2[[#This Row],[Quantity]]</f>
        <v>300000</v>
      </c>
      <c r="M1148">
        <f>Sales_Data2[[#This Row],[Cost Price]]*Sales_Data2[[#This Row],[Quantity]]</f>
        <v>240000</v>
      </c>
      <c r="N1148" s="3">
        <f>Sales_Data2[[#This Row],[Revenue]]-Sales_Data2[[#This Row],[COGS]]</f>
        <v>60000</v>
      </c>
      <c r="O11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46822|North|Port Harcourt|Retail|Store|Printer P50|Electronics|150000|2|Aisha|120000</v>
      </c>
      <c r="P1148" s="3" t="str">
        <f>IF(COUNTIF(Sales_Data2[RowKey],Sales_Data2[[#This Row],[RowKey]])&gt;1,"Duplicate","Unique")</f>
        <v>Unique</v>
      </c>
      <c r="Q1148" s="3" t="str">
        <f>IF(ISNUMBER(Sales_Data2[[#This Row],[Date]]),"OK","Check")</f>
        <v>OK</v>
      </c>
      <c r="R1148" s="3" t="str">
        <f>IF(ISNUMBER(Sales_Data2[[#This Row],[Quantity]]),"OK","Check")</f>
        <v>OK</v>
      </c>
    </row>
    <row r="1149" spans="1:18">
      <c r="A1149" s="1">
        <v>46823</v>
      </c>
      <c r="B1149" t="s">
        <v>11</v>
      </c>
      <c r="C1149" t="s">
        <v>19</v>
      </c>
      <c r="D1149" t="s">
        <v>13</v>
      </c>
      <c r="E1149" t="s">
        <v>20</v>
      </c>
      <c r="F1149" t="s">
        <v>41</v>
      </c>
      <c r="G1149" t="s">
        <v>22</v>
      </c>
      <c r="H1149">
        <v>220000</v>
      </c>
      <c r="I1149">
        <v>9</v>
      </c>
      <c r="J1149" t="s">
        <v>24</v>
      </c>
      <c r="K1149">
        <f t="shared" si="17"/>
        <v>176000</v>
      </c>
      <c r="L1149">
        <f>Sales_Data2[[#This Row],[Unit Price]]*Sales_Data2[[#This Row],[Quantity]]</f>
        <v>1980000</v>
      </c>
      <c r="M1149">
        <f>Sales_Data2[[#This Row],[Cost Price]]*Sales_Data2[[#This Row],[Quantity]]</f>
        <v>1584000</v>
      </c>
      <c r="N1149" s="3">
        <f>Sales_Data2[[#This Row],[Revenue]]-Sales_Data2[[#This Row],[COGS]]</f>
        <v>396000</v>
      </c>
      <c r="O11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46823|West|Lagos|Retail|Store|Refrigerator R55|Home Appliances|220000|9|David|176000</v>
      </c>
      <c r="P1149" s="3" t="str">
        <f>IF(COUNTIF(Sales_Data2[RowKey],Sales_Data2[[#This Row],[RowKey]])&gt;1,"Duplicate","Unique")</f>
        <v>Unique</v>
      </c>
      <c r="Q1149" s="3" t="str">
        <f>IF(ISNUMBER(Sales_Data2[[#This Row],[Date]]),"OK","Check")</f>
        <v>OK</v>
      </c>
      <c r="R1149" s="3" t="str">
        <f>IF(ISNUMBER(Sales_Data2[[#This Row],[Quantity]]),"OK","Check")</f>
        <v>OK</v>
      </c>
    </row>
    <row r="1150" spans="1:18">
      <c r="A1150" s="1">
        <v>46824</v>
      </c>
      <c r="B1150" t="s">
        <v>29</v>
      </c>
      <c r="C1150" t="s">
        <v>32</v>
      </c>
      <c r="D1150" t="s">
        <v>13</v>
      </c>
      <c r="E1150" t="s">
        <v>20</v>
      </c>
      <c r="F1150" t="s">
        <v>27</v>
      </c>
      <c r="G1150" t="s">
        <v>22</v>
      </c>
      <c r="H1150">
        <v>60000</v>
      </c>
      <c r="I1150">
        <v>5</v>
      </c>
      <c r="J1150" t="s">
        <v>17</v>
      </c>
      <c r="K1150">
        <f t="shared" si="17"/>
        <v>48000</v>
      </c>
      <c r="L1150">
        <f>Sales_Data2[[#This Row],[Unit Price]]*Sales_Data2[[#This Row],[Quantity]]</f>
        <v>300000</v>
      </c>
      <c r="M1150">
        <f>Sales_Data2[[#This Row],[Cost Price]]*Sales_Data2[[#This Row],[Quantity]]</f>
        <v>240000</v>
      </c>
      <c r="N1150" s="3">
        <f>Sales_Data2[[#This Row],[Revenue]]-Sales_Data2[[#This Row],[COGS]]</f>
        <v>60000</v>
      </c>
      <c r="O11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46824|North|Abuja|Retail|Store|Microwave M20|Home Appliances|60000|5|Chidinma|48000</v>
      </c>
      <c r="P1150" s="3" t="str">
        <f>IF(COUNTIF(Sales_Data2[RowKey],Sales_Data2[[#This Row],[RowKey]])&gt;1,"Duplicate","Unique")</f>
        <v>Unique</v>
      </c>
      <c r="Q1150" s="3" t="str">
        <f>IF(ISNUMBER(Sales_Data2[[#This Row],[Date]]),"OK","Check")</f>
        <v>OK</v>
      </c>
      <c r="R1150" s="3" t="str">
        <f>IF(ISNUMBER(Sales_Data2[[#This Row],[Quantity]]),"OK","Check")</f>
        <v>OK</v>
      </c>
    </row>
    <row r="1151" spans="1:18">
      <c r="A1151" s="1">
        <v>46825</v>
      </c>
      <c r="B1151" t="s">
        <v>11</v>
      </c>
      <c r="C1151" t="s">
        <v>12</v>
      </c>
      <c r="D1151" t="s">
        <v>23</v>
      </c>
      <c r="E1151" t="s">
        <v>20</v>
      </c>
      <c r="F1151" t="s">
        <v>33</v>
      </c>
      <c r="G1151" t="s">
        <v>22</v>
      </c>
      <c r="H1151">
        <v>180000</v>
      </c>
      <c r="I1151">
        <v>6</v>
      </c>
      <c r="J1151" t="s">
        <v>35</v>
      </c>
      <c r="K1151">
        <f t="shared" si="17"/>
        <v>144000</v>
      </c>
      <c r="L1151">
        <f>Sales_Data2[[#This Row],[Unit Price]]*Sales_Data2[[#This Row],[Quantity]]</f>
        <v>1080000</v>
      </c>
      <c r="M1151">
        <f>Sales_Data2[[#This Row],[Cost Price]]*Sales_Data2[[#This Row],[Quantity]]</f>
        <v>864000</v>
      </c>
      <c r="N1151" s="3">
        <f>Sales_Data2[[#This Row],[Revenue]]-Sales_Data2[[#This Row],[COGS]]</f>
        <v>216000</v>
      </c>
      <c r="O11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46825|West|Port Harcourt|Corporate|Store|Air Conditioner X2|Home Appliances|180000|6|Peter|144000</v>
      </c>
      <c r="P1151" s="3" t="str">
        <f>IF(COUNTIF(Sales_Data2[RowKey],Sales_Data2[[#This Row],[RowKey]])&gt;1,"Duplicate","Unique")</f>
        <v>Unique</v>
      </c>
      <c r="Q1151" s="3" t="str">
        <f>IF(ISNUMBER(Sales_Data2[[#This Row],[Date]]),"OK","Check")</f>
        <v>OK</v>
      </c>
      <c r="R1151" s="3" t="str">
        <f>IF(ISNUMBER(Sales_Data2[[#This Row],[Quantity]]),"OK","Check")</f>
        <v>OK</v>
      </c>
    </row>
    <row r="1152" spans="1:18">
      <c r="A1152" s="1">
        <v>46826</v>
      </c>
      <c r="B1152" t="s">
        <v>18</v>
      </c>
      <c r="C1152" t="s">
        <v>12</v>
      </c>
      <c r="D1152" t="s">
        <v>23</v>
      </c>
      <c r="E1152" t="s">
        <v>20</v>
      </c>
      <c r="F1152" t="s">
        <v>40</v>
      </c>
      <c r="G1152" t="s">
        <v>31</v>
      </c>
      <c r="H1152">
        <v>250000</v>
      </c>
      <c r="I1152">
        <v>10</v>
      </c>
      <c r="J1152" t="s">
        <v>17</v>
      </c>
      <c r="K1152">
        <f t="shared" si="17"/>
        <v>200000</v>
      </c>
      <c r="L1152">
        <f>Sales_Data2[[#This Row],[Unit Price]]*Sales_Data2[[#This Row],[Quantity]]</f>
        <v>2500000</v>
      </c>
      <c r="M1152">
        <f>Sales_Data2[[#This Row],[Cost Price]]*Sales_Data2[[#This Row],[Quantity]]</f>
        <v>2000000</v>
      </c>
      <c r="N1152" s="3">
        <f>Sales_Data2[[#This Row],[Revenue]]-Sales_Data2[[#This Row],[COGS]]</f>
        <v>500000</v>
      </c>
      <c r="O11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46826|East|Port Harcourt|Corporate|Store|Smartphone Z10|Electronics|250000|10|Chidinma|200000</v>
      </c>
      <c r="P1152" s="3" t="str">
        <f>IF(COUNTIF(Sales_Data2[RowKey],Sales_Data2[[#This Row],[RowKey]])&gt;1,"Duplicate","Unique")</f>
        <v>Unique</v>
      </c>
      <c r="Q1152" s="3" t="str">
        <f>IF(ISNUMBER(Sales_Data2[[#This Row],[Date]]),"OK","Check")</f>
        <v>OK</v>
      </c>
      <c r="R1152" s="3" t="str">
        <f>IF(ISNUMBER(Sales_Data2[[#This Row],[Quantity]]),"OK","Check")</f>
        <v>OK</v>
      </c>
    </row>
    <row r="1153" spans="1:18">
      <c r="A1153" s="1">
        <v>46827</v>
      </c>
      <c r="B1153" t="s">
        <v>18</v>
      </c>
      <c r="C1153" t="s">
        <v>32</v>
      </c>
      <c r="D1153" t="s">
        <v>13</v>
      </c>
      <c r="E1153" t="s">
        <v>20</v>
      </c>
      <c r="F1153" t="s">
        <v>15</v>
      </c>
      <c r="G1153" t="s">
        <v>16</v>
      </c>
      <c r="H1153">
        <v>85000</v>
      </c>
      <c r="I1153">
        <v>1</v>
      </c>
      <c r="J1153" t="s">
        <v>37</v>
      </c>
      <c r="K1153">
        <f t="shared" si="17"/>
        <v>68000</v>
      </c>
      <c r="L1153">
        <f>Sales_Data2[[#This Row],[Unit Price]]*Sales_Data2[[#This Row],[Quantity]]</f>
        <v>85000</v>
      </c>
      <c r="M1153">
        <f>Sales_Data2[[#This Row],[Cost Price]]*Sales_Data2[[#This Row],[Quantity]]</f>
        <v>68000</v>
      </c>
      <c r="N1153" s="3">
        <f>Sales_Data2[[#This Row],[Revenue]]-Sales_Data2[[#This Row],[COGS]]</f>
        <v>17000</v>
      </c>
      <c r="O11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46827|East|Abuja|Retail|Store|Office Chair Pro|Furniture|85000|1|Aisha|68000</v>
      </c>
      <c r="P1153" s="3" t="str">
        <f>IF(COUNTIF(Sales_Data2[RowKey],Sales_Data2[[#This Row],[RowKey]])&gt;1,"Duplicate","Unique")</f>
        <v>Unique</v>
      </c>
      <c r="Q1153" s="3" t="str">
        <f>IF(ISNUMBER(Sales_Data2[[#This Row],[Date]]),"OK","Check")</f>
        <v>OK</v>
      </c>
      <c r="R1153" s="3" t="str">
        <f>IF(ISNUMBER(Sales_Data2[[#This Row],[Quantity]]),"OK","Check")</f>
        <v>OK</v>
      </c>
    </row>
    <row r="1154" spans="1:18">
      <c r="A1154" s="1">
        <v>46828</v>
      </c>
      <c r="B1154" t="s">
        <v>29</v>
      </c>
      <c r="C1154" t="s">
        <v>12</v>
      </c>
      <c r="D1154" t="s">
        <v>13</v>
      </c>
      <c r="E1154" t="s">
        <v>14</v>
      </c>
      <c r="F1154" t="s">
        <v>40</v>
      </c>
      <c r="G1154" t="s">
        <v>31</v>
      </c>
      <c r="H1154">
        <v>250000</v>
      </c>
      <c r="I1154">
        <v>9</v>
      </c>
      <c r="J1154" t="s">
        <v>24</v>
      </c>
      <c r="K1154">
        <f t="shared" ref="K1154:K1217" si="18">H1154-H1154*0.2</f>
        <v>200000</v>
      </c>
      <c r="L1154">
        <f>Sales_Data2[[#This Row],[Unit Price]]*Sales_Data2[[#This Row],[Quantity]]</f>
        <v>2250000</v>
      </c>
      <c r="M1154">
        <f>Sales_Data2[[#This Row],[Cost Price]]*Sales_Data2[[#This Row],[Quantity]]</f>
        <v>1800000</v>
      </c>
      <c r="N1154" s="3">
        <f>Sales_Data2[[#This Row],[Revenue]]-Sales_Data2[[#This Row],[COGS]]</f>
        <v>450000</v>
      </c>
      <c r="O11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46828|North|Port Harcourt|Retail|Online|Smartphone Z10|Electronics|250000|9|David|200000</v>
      </c>
      <c r="P1154" s="3" t="str">
        <f>IF(COUNTIF(Sales_Data2[RowKey],Sales_Data2[[#This Row],[RowKey]])&gt;1,"Duplicate","Unique")</f>
        <v>Unique</v>
      </c>
      <c r="Q1154" s="3" t="str">
        <f>IF(ISNUMBER(Sales_Data2[[#This Row],[Date]]),"OK","Check")</f>
        <v>OK</v>
      </c>
      <c r="R1154" s="3" t="str">
        <f>IF(ISNUMBER(Sales_Data2[[#This Row],[Quantity]]),"OK","Check")</f>
        <v>OK</v>
      </c>
    </row>
    <row r="1155" spans="1:18">
      <c r="A1155" s="1">
        <v>46829</v>
      </c>
      <c r="B1155" t="s">
        <v>18</v>
      </c>
      <c r="C1155" t="s">
        <v>19</v>
      </c>
      <c r="D1155" t="s">
        <v>13</v>
      </c>
      <c r="E1155" t="s">
        <v>14</v>
      </c>
      <c r="F1155" t="s">
        <v>40</v>
      </c>
      <c r="G1155" t="s">
        <v>31</v>
      </c>
      <c r="H1155">
        <v>250000</v>
      </c>
      <c r="I1155">
        <v>2</v>
      </c>
      <c r="J1155" t="s">
        <v>24</v>
      </c>
      <c r="K1155">
        <f t="shared" si="18"/>
        <v>200000</v>
      </c>
      <c r="L1155">
        <f>Sales_Data2[[#This Row],[Unit Price]]*Sales_Data2[[#This Row],[Quantity]]</f>
        <v>500000</v>
      </c>
      <c r="M1155">
        <f>Sales_Data2[[#This Row],[Cost Price]]*Sales_Data2[[#This Row],[Quantity]]</f>
        <v>400000</v>
      </c>
      <c r="N1155" s="3">
        <f>Sales_Data2[[#This Row],[Revenue]]-Sales_Data2[[#This Row],[COGS]]</f>
        <v>100000</v>
      </c>
      <c r="O11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46829|East|Lagos|Retail|Online|Smartphone Z10|Electronics|250000|2|David|200000</v>
      </c>
      <c r="P1155" s="3" t="str">
        <f>IF(COUNTIF(Sales_Data2[RowKey],Sales_Data2[[#This Row],[RowKey]])&gt;1,"Duplicate","Unique")</f>
        <v>Unique</v>
      </c>
      <c r="Q1155" s="3" t="str">
        <f>IF(ISNUMBER(Sales_Data2[[#This Row],[Date]]),"OK","Check")</f>
        <v>OK</v>
      </c>
      <c r="R1155" s="3" t="str">
        <f>IF(ISNUMBER(Sales_Data2[[#This Row],[Quantity]]),"OK","Check")</f>
        <v>OK</v>
      </c>
    </row>
    <row r="1156" spans="1:18">
      <c r="A1156" s="1">
        <v>46830</v>
      </c>
      <c r="B1156" t="s">
        <v>25</v>
      </c>
      <c r="C1156" t="s">
        <v>19</v>
      </c>
      <c r="D1156" t="s">
        <v>13</v>
      </c>
      <c r="E1156" t="s">
        <v>14</v>
      </c>
      <c r="F1156" t="s">
        <v>40</v>
      </c>
      <c r="G1156" t="s">
        <v>31</v>
      </c>
      <c r="H1156">
        <v>250000</v>
      </c>
      <c r="I1156">
        <v>1</v>
      </c>
      <c r="J1156" t="s">
        <v>39</v>
      </c>
      <c r="K1156">
        <f t="shared" si="18"/>
        <v>200000</v>
      </c>
      <c r="L1156">
        <f>Sales_Data2[[#This Row],[Unit Price]]*Sales_Data2[[#This Row],[Quantity]]</f>
        <v>250000</v>
      </c>
      <c r="M1156">
        <f>Sales_Data2[[#This Row],[Cost Price]]*Sales_Data2[[#This Row],[Quantity]]</f>
        <v>200000</v>
      </c>
      <c r="N1156" s="3">
        <f>Sales_Data2[[#This Row],[Revenue]]-Sales_Data2[[#This Row],[COGS]]</f>
        <v>50000</v>
      </c>
      <c r="O11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46830|South|Lagos|Retail|Online|Smartphone Z10|Electronics|250000|1|Grace|200000</v>
      </c>
      <c r="P1156" s="3" t="str">
        <f>IF(COUNTIF(Sales_Data2[RowKey],Sales_Data2[[#This Row],[RowKey]])&gt;1,"Duplicate","Unique")</f>
        <v>Unique</v>
      </c>
      <c r="Q1156" s="3" t="str">
        <f>IF(ISNUMBER(Sales_Data2[[#This Row],[Date]]),"OK","Check")</f>
        <v>OK</v>
      </c>
      <c r="R1156" s="3" t="str">
        <f>IF(ISNUMBER(Sales_Data2[[#This Row],[Quantity]]),"OK","Check")</f>
        <v>OK</v>
      </c>
    </row>
    <row r="1157" spans="1:18">
      <c r="A1157" s="1">
        <v>46831</v>
      </c>
      <c r="B1157" t="s">
        <v>11</v>
      </c>
      <c r="C1157" t="s">
        <v>12</v>
      </c>
      <c r="D1157" t="s">
        <v>23</v>
      </c>
      <c r="E1157" t="s">
        <v>20</v>
      </c>
      <c r="F1157" t="s">
        <v>30</v>
      </c>
      <c r="G1157" t="s">
        <v>31</v>
      </c>
      <c r="H1157">
        <v>300000</v>
      </c>
      <c r="I1157">
        <v>9</v>
      </c>
      <c r="J1157" t="s">
        <v>28</v>
      </c>
      <c r="K1157">
        <f t="shared" si="18"/>
        <v>240000</v>
      </c>
      <c r="L1157">
        <f>Sales_Data2[[#This Row],[Unit Price]]*Sales_Data2[[#This Row],[Quantity]]</f>
        <v>2700000</v>
      </c>
      <c r="M1157">
        <f>Sales_Data2[[#This Row],[Cost Price]]*Sales_Data2[[#This Row],[Quantity]]</f>
        <v>2160000</v>
      </c>
      <c r="N1157" s="3">
        <f>Sales_Data2[[#This Row],[Revenue]]-Sales_Data2[[#This Row],[COGS]]</f>
        <v>540000</v>
      </c>
      <c r="O11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46831|West|Port Harcourt|Corporate|Store|Desktop PC D21|Electronics|300000|9|Musa|240000</v>
      </c>
      <c r="P1157" s="3" t="str">
        <f>IF(COUNTIF(Sales_Data2[RowKey],Sales_Data2[[#This Row],[RowKey]])&gt;1,"Duplicate","Unique")</f>
        <v>Unique</v>
      </c>
      <c r="Q1157" s="3" t="str">
        <f>IF(ISNUMBER(Sales_Data2[[#This Row],[Date]]),"OK","Check")</f>
        <v>OK</v>
      </c>
      <c r="R1157" s="3" t="str">
        <f>IF(ISNUMBER(Sales_Data2[[#This Row],[Quantity]]),"OK","Check")</f>
        <v>OK</v>
      </c>
    </row>
    <row r="1158" spans="1:18">
      <c r="A1158" s="1">
        <v>46832</v>
      </c>
      <c r="B1158" t="s">
        <v>11</v>
      </c>
      <c r="C1158" t="s">
        <v>19</v>
      </c>
      <c r="D1158" t="s">
        <v>23</v>
      </c>
      <c r="E1158" t="s">
        <v>14</v>
      </c>
      <c r="F1158" t="s">
        <v>34</v>
      </c>
      <c r="G1158" t="s">
        <v>16</v>
      </c>
      <c r="H1158">
        <v>320000</v>
      </c>
      <c r="I1158">
        <v>10</v>
      </c>
      <c r="J1158" t="s">
        <v>24</v>
      </c>
      <c r="K1158">
        <f t="shared" si="18"/>
        <v>256000</v>
      </c>
      <c r="L1158">
        <f>Sales_Data2[[#This Row],[Unit Price]]*Sales_Data2[[#This Row],[Quantity]]</f>
        <v>3200000</v>
      </c>
      <c r="M1158">
        <f>Sales_Data2[[#This Row],[Cost Price]]*Sales_Data2[[#This Row],[Quantity]]</f>
        <v>2560000</v>
      </c>
      <c r="N1158" s="3">
        <f>Sales_Data2[[#This Row],[Revenue]]-Sales_Data2[[#This Row],[COGS]]</f>
        <v>640000</v>
      </c>
      <c r="O11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46832|West|Lagos|Corporate|Online|Sofa Classic|Furniture|320000|10|David|256000</v>
      </c>
      <c r="P1158" s="3" t="str">
        <f>IF(COUNTIF(Sales_Data2[RowKey],Sales_Data2[[#This Row],[RowKey]])&gt;1,"Duplicate","Unique")</f>
        <v>Unique</v>
      </c>
      <c r="Q1158" s="3" t="str">
        <f>IF(ISNUMBER(Sales_Data2[[#This Row],[Date]]),"OK","Check")</f>
        <v>OK</v>
      </c>
      <c r="R1158" s="3" t="str">
        <f>IF(ISNUMBER(Sales_Data2[[#This Row],[Quantity]]),"OK","Check")</f>
        <v>OK</v>
      </c>
    </row>
    <row r="1159" spans="1:18">
      <c r="A1159" s="1">
        <v>46833</v>
      </c>
      <c r="B1159" t="s">
        <v>25</v>
      </c>
      <c r="C1159" t="s">
        <v>19</v>
      </c>
      <c r="D1159" t="s">
        <v>23</v>
      </c>
      <c r="E1159" t="s">
        <v>14</v>
      </c>
      <c r="F1159" t="s">
        <v>33</v>
      </c>
      <c r="G1159" t="s">
        <v>22</v>
      </c>
      <c r="H1159">
        <v>180000</v>
      </c>
      <c r="I1159">
        <v>9</v>
      </c>
      <c r="J1159" t="s">
        <v>37</v>
      </c>
      <c r="K1159">
        <f t="shared" si="18"/>
        <v>144000</v>
      </c>
      <c r="L1159">
        <f>Sales_Data2[[#This Row],[Unit Price]]*Sales_Data2[[#This Row],[Quantity]]</f>
        <v>1620000</v>
      </c>
      <c r="M1159">
        <f>Sales_Data2[[#This Row],[Cost Price]]*Sales_Data2[[#This Row],[Quantity]]</f>
        <v>1296000</v>
      </c>
      <c r="N1159" s="3">
        <f>Sales_Data2[[#This Row],[Revenue]]-Sales_Data2[[#This Row],[COGS]]</f>
        <v>324000</v>
      </c>
      <c r="O11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46833|South|Lagos|Corporate|Online|Air Conditioner X2|Home Appliances|180000|9|Aisha|144000</v>
      </c>
      <c r="P1159" s="3" t="str">
        <f>IF(COUNTIF(Sales_Data2[RowKey],Sales_Data2[[#This Row],[RowKey]])&gt;1,"Duplicate","Unique")</f>
        <v>Unique</v>
      </c>
      <c r="Q1159" s="3" t="str">
        <f>IF(ISNUMBER(Sales_Data2[[#This Row],[Date]]),"OK","Check")</f>
        <v>OK</v>
      </c>
      <c r="R1159" s="3" t="str">
        <f>IF(ISNUMBER(Sales_Data2[[#This Row],[Quantity]]),"OK","Check")</f>
        <v>OK</v>
      </c>
    </row>
    <row r="1160" spans="1:18">
      <c r="A1160" s="1">
        <v>46834</v>
      </c>
      <c r="B1160" t="s">
        <v>25</v>
      </c>
      <c r="C1160" t="s">
        <v>26</v>
      </c>
      <c r="D1160" t="s">
        <v>23</v>
      </c>
      <c r="E1160" t="s">
        <v>14</v>
      </c>
      <c r="F1160" t="s">
        <v>40</v>
      </c>
      <c r="G1160" t="s">
        <v>31</v>
      </c>
      <c r="H1160">
        <v>250000</v>
      </c>
      <c r="I1160">
        <v>1</v>
      </c>
      <c r="J1160" t="s">
        <v>39</v>
      </c>
      <c r="K1160">
        <f t="shared" si="18"/>
        <v>200000</v>
      </c>
      <c r="L1160">
        <f>Sales_Data2[[#This Row],[Unit Price]]*Sales_Data2[[#This Row],[Quantity]]</f>
        <v>250000</v>
      </c>
      <c r="M1160">
        <f>Sales_Data2[[#This Row],[Cost Price]]*Sales_Data2[[#This Row],[Quantity]]</f>
        <v>200000</v>
      </c>
      <c r="N1160" s="3">
        <f>Sales_Data2[[#This Row],[Revenue]]-Sales_Data2[[#This Row],[COGS]]</f>
        <v>50000</v>
      </c>
      <c r="O11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46834|South|Kano|Corporate|Online|Smartphone Z10|Electronics|250000|1|Grace|200000</v>
      </c>
      <c r="P1160" s="3" t="str">
        <f>IF(COUNTIF(Sales_Data2[RowKey],Sales_Data2[[#This Row],[RowKey]])&gt;1,"Duplicate","Unique")</f>
        <v>Unique</v>
      </c>
      <c r="Q1160" s="3" t="str">
        <f>IF(ISNUMBER(Sales_Data2[[#This Row],[Date]]),"OK","Check")</f>
        <v>OK</v>
      </c>
      <c r="R1160" s="3" t="str">
        <f>IF(ISNUMBER(Sales_Data2[[#This Row],[Quantity]]),"OK","Check")</f>
        <v>OK</v>
      </c>
    </row>
    <row r="1161" spans="1:18">
      <c r="A1161" s="1">
        <v>46835</v>
      </c>
      <c r="B1161" t="s">
        <v>25</v>
      </c>
      <c r="C1161" t="s">
        <v>32</v>
      </c>
      <c r="D1161" t="s">
        <v>23</v>
      </c>
      <c r="E1161" t="s">
        <v>14</v>
      </c>
      <c r="F1161" t="s">
        <v>15</v>
      </c>
      <c r="G1161" t="s">
        <v>16</v>
      </c>
      <c r="H1161">
        <v>85000</v>
      </c>
      <c r="I1161">
        <v>7</v>
      </c>
      <c r="J1161" t="s">
        <v>39</v>
      </c>
      <c r="K1161">
        <f t="shared" si="18"/>
        <v>68000</v>
      </c>
      <c r="L1161">
        <f>Sales_Data2[[#This Row],[Unit Price]]*Sales_Data2[[#This Row],[Quantity]]</f>
        <v>595000</v>
      </c>
      <c r="M1161">
        <f>Sales_Data2[[#This Row],[Cost Price]]*Sales_Data2[[#This Row],[Quantity]]</f>
        <v>476000</v>
      </c>
      <c r="N1161" s="3">
        <f>Sales_Data2[[#This Row],[Revenue]]-Sales_Data2[[#This Row],[COGS]]</f>
        <v>119000</v>
      </c>
      <c r="O11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46835|South|Abuja|Corporate|Online|Office Chair Pro|Furniture|85000|7|Grace|68000</v>
      </c>
      <c r="P1161" s="3" t="str">
        <f>IF(COUNTIF(Sales_Data2[RowKey],Sales_Data2[[#This Row],[RowKey]])&gt;1,"Duplicate","Unique")</f>
        <v>Unique</v>
      </c>
      <c r="Q1161" s="3" t="str">
        <f>IF(ISNUMBER(Sales_Data2[[#This Row],[Date]]),"OK","Check")</f>
        <v>OK</v>
      </c>
      <c r="R1161" s="3" t="str">
        <f>IF(ISNUMBER(Sales_Data2[[#This Row],[Quantity]]),"OK","Check")</f>
        <v>OK</v>
      </c>
    </row>
    <row r="1162" spans="1:18">
      <c r="A1162" s="1">
        <v>46836</v>
      </c>
      <c r="B1162" t="s">
        <v>11</v>
      </c>
      <c r="C1162" t="s">
        <v>12</v>
      </c>
      <c r="D1162" t="s">
        <v>13</v>
      </c>
      <c r="E1162" t="s">
        <v>20</v>
      </c>
      <c r="F1162" t="s">
        <v>21</v>
      </c>
      <c r="G1162" t="s">
        <v>22</v>
      </c>
      <c r="H1162">
        <v>30000</v>
      </c>
      <c r="I1162">
        <v>6</v>
      </c>
      <c r="J1162" t="s">
        <v>28</v>
      </c>
      <c r="K1162">
        <f t="shared" si="18"/>
        <v>24000</v>
      </c>
      <c r="L1162">
        <f>Sales_Data2[[#This Row],[Unit Price]]*Sales_Data2[[#This Row],[Quantity]]</f>
        <v>180000</v>
      </c>
      <c r="M1162">
        <f>Sales_Data2[[#This Row],[Cost Price]]*Sales_Data2[[#This Row],[Quantity]]</f>
        <v>144000</v>
      </c>
      <c r="N1162" s="3">
        <f>Sales_Data2[[#This Row],[Revenue]]-Sales_Data2[[#This Row],[COGS]]</f>
        <v>36000</v>
      </c>
      <c r="O11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46836|West|Port Harcourt|Retail|Store|Blender B10|Home Appliances|30000|6|Musa|24000</v>
      </c>
      <c r="P1162" s="3" t="str">
        <f>IF(COUNTIF(Sales_Data2[RowKey],Sales_Data2[[#This Row],[RowKey]])&gt;1,"Duplicate","Unique")</f>
        <v>Unique</v>
      </c>
      <c r="Q1162" s="3" t="str">
        <f>IF(ISNUMBER(Sales_Data2[[#This Row],[Date]]),"OK","Check")</f>
        <v>OK</v>
      </c>
      <c r="R1162" s="3" t="str">
        <f>IF(ISNUMBER(Sales_Data2[[#This Row],[Quantity]]),"OK","Check")</f>
        <v>OK</v>
      </c>
    </row>
    <row r="1163" spans="1:18">
      <c r="A1163" s="1">
        <v>46837</v>
      </c>
      <c r="B1163" t="s">
        <v>11</v>
      </c>
      <c r="C1163" t="s">
        <v>19</v>
      </c>
      <c r="D1163" t="s">
        <v>13</v>
      </c>
      <c r="E1163" t="s">
        <v>20</v>
      </c>
      <c r="F1163" t="s">
        <v>21</v>
      </c>
      <c r="G1163" t="s">
        <v>22</v>
      </c>
      <c r="H1163">
        <v>30000</v>
      </c>
      <c r="I1163">
        <v>6</v>
      </c>
      <c r="J1163" t="s">
        <v>24</v>
      </c>
      <c r="K1163">
        <f t="shared" si="18"/>
        <v>24000</v>
      </c>
      <c r="L1163">
        <f>Sales_Data2[[#This Row],[Unit Price]]*Sales_Data2[[#This Row],[Quantity]]</f>
        <v>180000</v>
      </c>
      <c r="M1163">
        <f>Sales_Data2[[#This Row],[Cost Price]]*Sales_Data2[[#This Row],[Quantity]]</f>
        <v>144000</v>
      </c>
      <c r="N1163" s="3">
        <f>Sales_Data2[[#This Row],[Revenue]]-Sales_Data2[[#This Row],[COGS]]</f>
        <v>36000</v>
      </c>
      <c r="O11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46837|West|Lagos|Retail|Store|Blender B10|Home Appliances|30000|6|David|24000</v>
      </c>
      <c r="P1163" s="3" t="str">
        <f>IF(COUNTIF(Sales_Data2[RowKey],Sales_Data2[[#This Row],[RowKey]])&gt;1,"Duplicate","Unique")</f>
        <v>Unique</v>
      </c>
      <c r="Q1163" s="3" t="str">
        <f>IF(ISNUMBER(Sales_Data2[[#This Row],[Date]]),"OK","Check")</f>
        <v>OK</v>
      </c>
      <c r="R1163" s="3" t="str">
        <f>IF(ISNUMBER(Sales_Data2[[#This Row],[Quantity]]),"OK","Check")</f>
        <v>OK</v>
      </c>
    </row>
    <row r="1164" spans="1:18">
      <c r="A1164" s="1">
        <v>46838</v>
      </c>
      <c r="B1164" t="s">
        <v>11</v>
      </c>
      <c r="C1164" t="s">
        <v>12</v>
      </c>
      <c r="D1164" t="s">
        <v>23</v>
      </c>
      <c r="E1164" t="s">
        <v>20</v>
      </c>
      <c r="F1164" t="s">
        <v>34</v>
      </c>
      <c r="G1164" t="s">
        <v>16</v>
      </c>
      <c r="H1164">
        <v>320000</v>
      </c>
      <c r="I1164">
        <v>2</v>
      </c>
      <c r="J1164" t="s">
        <v>37</v>
      </c>
      <c r="K1164">
        <f t="shared" si="18"/>
        <v>256000</v>
      </c>
      <c r="L1164">
        <f>Sales_Data2[[#This Row],[Unit Price]]*Sales_Data2[[#This Row],[Quantity]]</f>
        <v>640000</v>
      </c>
      <c r="M1164">
        <f>Sales_Data2[[#This Row],[Cost Price]]*Sales_Data2[[#This Row],[Quantity]]</f>
        <v>512000</v>
      </c>
      <c r="N1164" s="3">
        <f>Sales_Data2[[#This Row],[Revenue]]-Sales_Data2[[#This Row],[COGS]]</f>
        <v>128000</v>
      </c>
      <c r="O11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46838|West|Port Harcourt|Corporate|Store|Sofa Classic|Furniture|320000|2|Aisha|256000</v>
      </c>
      <c r="P1164" s="3" t="str">
        <f>IF(COUNTIF(Sales_Data2[RowKey],Sales_Data2[[#This Row],[RowKey]])&gt;1,"Duplicate","Unique")</f>
        <v>Unique</v>
      </c>
      <c r="Q1164" s="3" t="str">
        <f>IF(ISNUMBER(Sales_Data2[[#This Row],[Date]]),"OK","Check")</f>
        <v>OK</v>
      </c>
      <c r="R1164" s="3" t="str">
        <f>IF(ISNUMBER(Sales_Data2[[#This Row],[Quantity]]),"OK","Check")</f>
        <v>OK</v>
      </c>
    </row>
    <row r="1165" spans="1:18">
      <c r="A1165" s="1">
        <v>46839</v>
      </c>
      <c r="B1165" t="s">
        <v>11</v>
      </c>
      <c r="C1165" t="s">
        <v>32</v>
      </c>
      <c r="D1165" t="s">
        <v>13</v>
      </c>
      <c r="E1165" t="s">
        <v>20</v>
      </c>
      <c r="F1165" t="s">
        <v>27</v>
      </c>
      <c r="G1165" t="s">
        <v>22</v>
      </c>
      <c r="H1165">
        <v>60000</v>
      </c>
      <c r="I1165">
        <v>6</v>
      </c>
      <c r="J1165" t="s">
        <v>24</v>
      </c>
      <c r="K1165">
        <f t="shared" si="18"/>
        <v>48000</v>
      </c>
      <c r="L1165">
        <f>Sales_Data2[[#This Row],[Unit Price]]*Sales_Data2[[#This Row],[Quantity]]</f>
        <v>360000</v>
      </c>
      <c r="M1165">
        <f>Sales_Data2[[#This Row],[Cost Price]]*Sales_Data2[[#This Row],[Quantity]]</f>
        <v>288000</v>
      </c>
      <c r="N1165" s="3">
        <f>Sales_Data2[[#This Row],[Revenue]]-Sales_Data2[[#This Row],[COGS]]</f>
        <v>72000</v>
      </c>
      <c r="O11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46839|West|Abuja|Retail|Store|Microwave M20|Home Appliances|60000|6|David|48000</v>
      </c>
      <c r="P1165" s="3" t="str">
        <f>IF(COUNTIF(Sales_Data2[RowKey],Sales_Data2[[#This Row],[RowKey]])&gt;1,"Duplicate","Unique")</f>
        <v>Unique</v>
      </c>
      <c r="Q1165" s="3" t="str">
        <f>IF(ISNUMBER(Sales_Data2[[#This Row],[Date]]),"OK","Check")</f>
        <v>OK</v>
      </c>
      <c r="R1165" s="3" t="str">
        <f>IF(ISNUMBER(Sales_Data2[[#This Row],[Quantity]]),"OK","Check")</f>
        <v>OK</v>
      </c>
    </row>
    <row r="1166" spans="1:18">
      <c r="A1166" s="1">
        <v>46840</v>
      </c>
      <c r="B1166" t="s">
        <v>11</v>
      </c>
      <c r="C1166" t="s">
        <v>19</v>
      </c>
      <c r="D1166" t="s">
        <v>13</v>
      </c>
      <c r="E1166" t="s">
        <v>20</v>
      </c>
      <c r="F1166" t="s">
        <v>41</v>
      </c>
      <c r="G1166" t="s">
        <v>22</v>
      </c>
      <c r="H1166">
        <v>220000</v>
      </c>
      <c r="I1166">
        <v>10</v>
      </c>
      <c r="J1166" t="s">
        <v>39</v>
      </c>
      <c r="K1166">
        <f t="shared" si="18"/>
        <v>176000</v>
      </c>
      <c r="L1166">
        <f>Sales_Data2[[#This Row],[Unit Price]]*Sales_Data2[[#This Row],[Quantity]]</f>
        <v>2200000</v>
      </c>
      <c r="M1166">
        <f>Sales_Data2[[#This Row],[Cost Price]]*Sales_Data2[[#This Row],[Quantity]]</f>
        <v>1760000</v>
      </c>
      <c r="N1166" s="3">
        <f>Sales_Data2[[#This Row],[Revenue]]-Sales_Data2[[#This Row],[COGS]]</f>
        <v>440000</v>
      </c>
      <c r="O11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46840|West|Lagos|Retail|Store|Refrigerator R55|Home Appliances|220000|10|Grace|176000</v>
      </c>
      <c r="P1166" s="3" t="str">
        <f>IF(COUNTIF(Sales_Data2[RowKey],Sales_Data2[[#This Row],[RowKey]])&gt;1,"Duplicate","Unique")</f>
        <v>Unique</v>
      </c>
      <c r="Q1166" s="3" t="str">
        <f>IF(ISNUMBER(Sales_Data2[[#This Row],[Date]]),"OK","Check")</f>
        <v>OK</v>
      </c>
      <c r="R1166" s="3" t="str">
        <f>IF(ISNUMBER(Sales_Data2[[#This Row],[Quantity]]),"OK","Check")</f>
        <v>OK</v>
      </c>
    </row>
    <row r="1167" spans="1:18">
      <c r="A1167" s="1">
        <v>46841</v>
      </c>
      <c r="B1167" t="s">
        <v>11</v>
      </c>
      <c r="C1167" t="s">
        <v>32</v>
      </c>
      <c r="D1167" t="s">
        <v>13</v>
      </c>
      <c r="E1167" t="s">
        <v>14</v>
      </c>
      <c r="F1167" t="s">
        <v>27</v>
      </c>
      <c r="G1167" t="s">
        <v>22</v>
      </c>
      <c r="H1167">
        <v>60000</v>
      </c>
      <c r="I1167">
        <v>6</v>
      </c>
      <c r="J1167" t="s">
        <v>39</v>
      </c>
      <c r="K1167">
        <f t="shared" si="18"/>
        <v>48000</v>
      </c>
      <c r="L1167">
        <f>Sales_Data2[[#This Row],[Unit Price]]*Sales_Data2[[#This Row],[Quantity]]</f>
        <v>360000</v>
      </c>
      <c r="M1167">
        <f>Sales_Data2[[#This Row],[Cost Price]]*Sales_Data2[[#This Row],[Quantity]]</f>
        <v>288000</v>
      </c>
      <c r="N1167" s="3">
        <f>Sales_Data2[[#This Row],[Revenue]]-Sales_Data2[[#This Row],[COGS]]</f>
        <v>72000</v>
      </c>
      <c r="O11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46841|West|Abuja|Retail|Online|Microwave M20|Home Appliances|60000|6|Grace|48000</v>
      </c>
      <c r="P1167" s="3" t="str">
        <f>IF(COUNTIF(Sales_Data2[RowKey],Sales_Data2[[#This Row],[RowKey]])&gt;1,"Duplicate","Unique")</f>
        <v>Unique</v>
      </c>
      <c r="Q1167" s="3" t="str">
        <f>IF(ISNUMBER(Sales_Data2[[#This Row],[Date]]),"OK","Check")</f>
        <v>OK</v>
      </c>
      <c r="R1167" s="3" t="str">
        <f>IF(ISNUMBER(Sales_Data2[[#This Row],[Quantity]]),"OK","Check")</f>
        <v>OK</v>
      </c>
    </row>
    <row r="1168" spans="1:18">
      <c r="A1168" s="1">
        <v>46842</v>
      </c>
      <c r="B1168" t="s">
        <v>11</v>
      </c>
      <c r="C1168" t="s">
        <v>26</v>
      </c>
      <c r="D1168" t="s">
        <v>13</v>
      </c>
      <c r="E1168" t="s">
        <v>14</v>
      </c>
      <c r="F1168" t="s">
        <v>41</v>
      </c>
      <c r="G1168" t="s">
        <v>22</v>
      </c>
      <c r="H1168">
        <v>220000</v>
      </c>
      <c r="I1168">
        <v>7</v>
      </c>
      <c r="J1168" t="s">
        <v>37</v>
      </c>
      <c r="K1168">
        <f t="shared" si="18"/>
        <v>176000</v>
      </c>
      <c r="L1168">
        <f>Sales_Data2[[#This Row],[Unit Price]]*Sales_Data2[[#This Row],[Quantity]]</f>
        <v>1540000</v>
      </c>
      <c r="M1168">
        <f>Sales_Data2[[#This Row],[Cost Price]]*Sales_Data2[[#This Row],[Quantity]]</f>
        <v>1232000</v>
      </c>
      <c r="N1168" s="3">
        <f>Sales_Data2[[#This Row],[Revenue]]-Sales_Data2[[#This Row],[COGS]]</f>
        <v>308000</v>
      </c>
      <c r="O11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46842|West|Kano|Retail|Online|Refrigerator R55|Home Appliances|220000|7|Aisha|176000</v>
      </c>
      <c r="P1168" s="3" t="str">
        <f>IF(COUNTIF(Sales_Data2[RowKey],Sales_Data2[[#This Row],[RowKey]])&gt;1,"Duplicate","Unique")</f>
        <v>Unique</v>
      </c>
      <c r="Q1168" s="3" t="str">
        <f>IF(ISNUMBER(Sales_Data2[[#This Row],[Date]]),"OK","Check")</f>
        <v>OK</v>
      </c>
      <c r="R1168" s="3" t="str">
        <f>IF(ISNUMBER(Sales_Data2[[#This Row],[Quantity]]),"OK","Check")</f>
        <v>OK</v>
      </c>
    </row>
    <row r="1169" spans="1:18">
      <c r="A1169" s="1">
        <v>46843</v>
      </c>
      <c r="B1169" t="s">
        <v>18</v>
      </c>
      <c r="C1169" t="s">
        <v>19</v>
      </c>
      <c r="D1169" t="s">
        <v>23</v>
      </c>
      <c r="E1169" t="s">
        <v>20</v>
      </c>
      <c r="F1169" t="s">
        <v>38</v>
      </c>
      <c r="G1169" t="s">
        <v>31</v>
      </c>
      <c r="H1169">
        <v>420000</v>
      </c>
      <c r="I1169">
        <v>8</v>
      </c>
      <c r="J1169" t="s">
        <v>37</v>
      </c>
      <c r="K1169">
        <f t="shared" si="18"/>
        <v>336000</v>
      </c>
      <c r="L1169">
        <f>Sales_Data2[[#This Row],[Unit Price]]*Sales_Data2[[#This Row],[Quantity]]</f>
        <v>3360000</v>
      </c>
      <c r="M1169">
        <f>Sales_Data2[[#This Row],[Cost Price]]*Sales_Data2[[#This Row],[Quantity]]</f>
        <v>2688000</v>
      </c>
      <c r="N1169" s="3">
        <f>Sales_Data2[[#This Row],[Revenue]]-Sales_Data2[[#This Row],[COGS]]</f>
        <v>672000</v>
      </c>
      <c r="O11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46843|East|Lagos|Corporate|Store|Laptop A13|Electronics|420000|8|Aisha|336000</v>
      </c>
      <c r="P1169" s="3" t="str">
        <f>IF(COUNTIF(Sales_Data2[RowKey],Sales_Data2[[#This Row],[RowKey]])&gt;1,"Duplicate","Unique")</f>
        <v>Unique</v>
      </c>
      <c r="Q1169" s="3" t="str">
        <f>IF(ISNUMBER(Sales_Data2[[#This Row],[Date]]),"OK","Check")</f>
        <v>OK</v>
      </c>
      <c r="R1169" s="3" t="str">
        <f>IF(ISNUMBER(Sales_Data2[[#This Row],[Quantity]]),"OK","Check")</f>
        <v>OK</v>
      </c>
    </row>
    <row r="1170" spans="1:18">
      <c r="A1170" s="1">
        <v>46844</v>
      </c>
      <c r="B1170" t="s">
        <v>18</v>
      </c>
      <c r="C1170" t="s">
        <v>19</v>
      </c>
      <c r="D1170" t="s">
        <v>13</v>
      </c>
      <c r="E1170" t="s">
        <v>20</v>
      </c>
      <c r="F1170" t="s">
        <v>38</v>
      </c>
      <c r="G1170" t="s">
        <v>31</v>
      </c>
      <c r="H1170">
        <v>420000</v>
      </c>
      <c r="I1170">
        <v>1</v>
      </c>
      <c r="J1170" t="s">
        <v>39</v>
      </c>
      <c r="K1170">
        <f t="shared" si="18"/>
        <v>336000</v>
      </c>
      <c r="L1170">
        <f>Sales_Data2[[#This Row],[Unit Price]]*Sales_Data2[[#This Row],[Quantity]]</f>
        <v>420000</v>
      </c>
      <c r="M1170">
        <f>Sales_Data2[[#This Row],[Cost Price]]*Sales_Data2[[#This Row],[Quantity]]</f>
        <v>336000</v>
      </c>
      <c r="N1170" s="3">
        <f>Sales_Data2[[#This Row],[Revenue]]-Sales_Data2[[#This Row],[COGS]]</f>
        <v>84000</v>
      </c>
      <c r="O11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46844|East|Lagos|Retail|Store|Laptop A13|Electronics|420000|1|Grace|336000</v>
      </c>
      <c r="P1170" s="3" t="str">
        <f>IF(COUNTIF(Sales_Data2[RowKey],Sales_Data2[[#This Row],[RowKey]])&gt;1,"Duplicate","Unique")</f>
        <v>Unique</v>
      </c>
      <c r="Q1170" s="3" t="str">
        <f>IF(ISNUMBER(Sales_Data2[[#This Row],[Date]]),"OK","Check")</f>
        <v>OK</v>
      </c>
      <c r="R1170" s="3" t="str">
        <f>IF(ISNUMBER(Sales_Data2[[#This Row],[Quantity]]),"OK","Check")</f>
        <v>OK</v>
      </c>
    </row>
    <row r="1171" spans="1:18">
      <c r="A1171" s="1">
        <v>46845</v>
      </c>
      <c r="B1171" t="s">
        <v>18</v>
      </c>
      <c r="C1171" t="s">
        <v>12</v>
      </c>
      <c r="D1171" t="s">
        <v>23</v>
      </c>
      <c r="E1171" t="s">
        <v>20</v>
      </c>
      <c r="F1171" t="s">
        <v>40</v>
      </c>
      <c r="G1171" t="s">
        <v>31</v>
      </c>
      <c r="H1171">
        <v>250000</v>
      </c>
      <c r="I1171">
        <v>9</v>
      </c>
      <c r="J1171" t="s">
        <v>37</v>
      </c>
      <c r="K1171">
        <f t="shared" si="18"/>
        <v>200000</v>
      </c>
      <c r="L1171">
        <f>Sales_Data2[[#This Row],[Unit Price]]*Sales_Data2[[#This Row],[Quantity]]</f>
        <v>2250000</v>
      </c>
      <c r="M1171">
        <f>Sales_Data2[[#This Row],[Cost Price]]*Sales_Data2[[#This Row],[Quantity]]</f>
        <v>1800000</v>
      </c>
      <c r="N1171" s="3">
        <f>Sales_Data2[[#This Row],[Revenue]]-Sales_Data2[[#This Row],[COGS]]</f>
        <v>450000</v>
      </c>
      <c r="O11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46845|East|Port Harcourt|Corporate|Store|Smartphone Z10|Electronics|250000|9|Aisha|200000</v>
      </c>
      <c r="P1171" s="3" t="str">
        <f>IF(COUNTIF(Sales_Data2[RowKey],Sales_Data2[[#This Row],[RowKey]])&gt;1,"Duplicate","Unique")</f>
        <v>Unique</v>
      </c>
      <c r="Q1171" s="3" t="str">
        <f>IF(ISNUMBER(Sales_Data2[[#This Row],[Date]]),"OK","Check")</f>
        <v>OK</v>
      </c>
      <c r="R1171" s="3" t="str">
        <f>IF(ISNUMBER(Sales_Data2[[#This Row],[Quantity]]),"OK","Check")</f>
        <v>OK</v>
      </c>
    </row>
    <row r="1172" spans="1:18">
      <c r="A1172" s="1">
        <v>46846</v>
      </c>
      <c r="B1172" t="s">
        <v>29</v>
      </c>
      <c r="C1172" t="s">
        <v>32</v>
      </c>
      <c r="D1172" t="s">
        <v>13</v>
      </c>
      <c r="E1172" t="s">
        <v>14</v>
      </c>
      <c r="F1172" t="s">
        <v>21</v>
      </c>
      <c r="G1172" t="s">
        <v>22</v>
      </c>
      <c r="H1172">
        <v>30000</v>
      </c>
      <c r="I1172">
        <v>3</v>
      </c>
      <c r="J1172" t="s">
        <v>24</v>
      </c>
      <c r="K1172">
        <f t="shared" si="18"/>
        <v>24000</v>
      </c>
      <c r="L1172">
        <f>Sales_Data2[[#This Row],[Unit Price]]*Sales_Data2[[#This Row],[Quantity]]</f>
        <v>90000</v>
      </c>
      <c r="M1172">
        <f>Sales_Data2[[#This Row],[Cost Price]]*Sales_Data2[[#This Row],[Quantity]]</f>
        <v>72000</v>
      </c>
      <c r="N1172" s="3">
        <f>Sales_Data2[[#This Row],[Revenue]]-Sales_Data2[[#This Row],[COGS]]</f>
        <v>18000</v>
      </c>
      <c r="O11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46846|North|Abuja|Retail|Online|Blender B10|Home Appliances|30000|3|David|24000</v>
      </c>
      <c r="P1172" s="3" t="str">
        <f>IF(COUNTIF(Sales_Data2[RowKey],Sales_Data2[[#This Row],[RowKey]])&gt;1,"Duplicate","Unique")</f>
        <v>Unique</v>
      </c>
      <c r="Q1172" s="3" t="str">
        <f>IF(ISNUMBER(Sales_Data2[[#This Row],[Date]]),"OK","Check")</f>
        <v>OK</v>
      </c>
      <c r="R1172" s="3" t="str">
        <f>IF(ISNUMBER(Sales_Data2[[#This Row],[Quantity]]),"OK","Check")</f>
        <v>OK</v>
      </c>
    </row>
    <row r="1173" spans="1:18">
      <c r="A1173" s="1">
        <v>46847</v>
      </c>
      <c r="B1173" t="s">
        <v>29</v>
      </c>
      <c r="C1173" t="s">
        <v>26</v>
      </c>
      <c r="D1173" t="s">
        <v>13</v>
      </c>
      <c r="E1173" t="s">
        <v>14</v>
      </c>
      <c r="F1173" t="s">
        <v>34</v>
      </c>
      <c r="G1173" t="s">
        <v>16</v>
      </c>
      <c r="H1173">
        <v>320000</v>
      </c>
      <c r="I1173">
        <v>1</v>
      </c>
      <c r="J1173" t="s">
        <v>39</v>
      </c>
      <c r="K1173">
        <f t="shared" si="18"/>
        <v>256000</v>
      </c>
      <c r="L1173">
        <f>Sales_Data2[[#This Row],[Unit Price]]*Sales_Data2[[#This Row],[Quantity]]</f>
        <v>320000</v>
      </c>
      <c r="M1173">
        <f>Sales_Data2[[#This Row],[Cost Price]]*Sales_Data2[[#This Row],[Quantity]]</f>
        <v>256000</v>
      </c>
      <c r="N1173" s="3">
        <f>Sales_Data2[[#This Row],[Revenue]]-Sales_Data2[[#This Row],[COGS]]</f>
        <v>64000</v>
      </c>
      <c r="O11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46847|North|Kano|Retail|Online|Sofa Classic|Furniture|320000|1|Grace|256000</v>
      </c>
      <c r="P1173" s="3" t="str">
        <f>IF(COUNTIF(Sales_Data2[RowKey],Sales_Data2[[#This Row],[RowKey]])&gt;1,"Duplicate","Unique")</f>
        <v>Unique</v>
      </c>
      <c r="Q1173" s="3" t="str">
        <f>IF(ISNUMBER(Sales_Data2[[#This Row],[Date]]),"OK","Check")</f>
        <v>OK</v>
      </c>
      <c r="R1173" s="3" t="str">
        <f>IF(ISNUMBER(Sales_Data2[[#This Row],[Quantity]]),"OK","Check")</f>
        <v>OK</v>
      </c>
    </row>
    <row r="1174" spans="1:18">
      <c r="A1174" s="1">
        <v>46848</v>
      </c>
      <c r="B1174" t="s">
        <v>11</v>
      </c>
      <c r="C1174" t="s">
        <v>32</v>
      </c>
      <c r="D1174" t="s">
        <v>23</v>
      </c>
      <c r="E1174" t="s">
        <v>14</v>
      </c>
      <c r="F1174" t="s">
        <v>34</v>
      </c>
      <c r="G1174" t="s">
        <v>16</v>
      </c>
      <c r="H1174">
        <v>320000</v>
      </c>
      <c r="I1174">
        <v>10</v>
      </c>
      <c r="J1174" t="s">
        <v>28</v>
      </c>
      <c r="K1174">
        <f t="shared" si="18"/>
        <v>256000</v>
      </c>
      <c r="L1174">
        <f>Sales_Data2[[#This Row],[Unit Price]]*Sales_Data2[[#This Row],[Quantity]]</f>
        <v>3200000</v>
      </c>
      <c r="M1174">
        <f>Sales_Data2[[#This Row],[Cost Price]]*Sales_Data2[[#This Row],[Quantity]]</f>
        <v>2560000</v>
      </c>
      <c r="N1174" s="3">
        <f>Sales_Data2[[#This Row],[Revenue]]-Sales_Data2[[#This Row],[COGS]]</f>
        <v>640000</v>
      </c>
      <c r="O11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46848|West|Abuja|Corporate|Online|Sofa Classic|Furniture|320000|10|Musa|256000</v>
      </c>
      <c r="P1174" s="3" t="str">
        <f>IF(COUNTIF(Sales_Data2[RowKey],Sales_Data2[[#This Row],[RowKey]])&gt;1,"Duplicate","Unique")</f>
        <v>Unique</v>
      </c>
      <c r="Q1174" s="3" t="str">
        <f>IF(ISNUMBER(Sales_Data2[[#This Row],[Date]]),"OK","Check")</f>
        <v>OK</v>
      </c>
      <c r="R1174" s="3" t="str">
        <f>IF(ISNUMBER(Sales_Data2[[#This Row],[Quantity]]),"OK","Check")</f>
        <v>OK</v>
      </c>
    </row>
    <row r="1175" spans="1:18">
      <c r="A1175" s="1">
        <v>46849</v>
      </c>
      <c r="B1175" t="s">
        <v>29</v>
      </c>
      <c r="C1175" t="s">
        <v>19</v>
      </c>
      <c r="D1175" t="s">
        <v>23</v>
      </c>
      <c r="E1175" t="s">
        <v>14</v>
      </c>
      <c r="F1175" t="s">
        <v>33</v>
      </c>
      <c r="G1175" t="s">
        <v>22</v>
      </c>
      <c r="H1175">
        <v>180000</v>
      </c>
      <c r="I1175">
        <v>4</v>
      </c>
      <c r="J1175" t="s">
        <v>28</v>
      </c>
      <c r="K1175">
        <f t="shared" si="18"/>
        <v>144000</v>
      </c>
      <c r="L1175">
        <f>Sales_Data2[[#This Row],[Unit Price]]*Sales_Data2[[#This Row],[Quantity]]</f>
        <v>720000</v>
      </c>
      <c r="M1175">
        <f>Sales_Data2[[#This Row],[Cost Price]]*Sales_Data2[[#This Row],[Quantity]]</f>
        <v>576000</v>
      </c>
      <c r="N1175" s="3">
        <f>Sales_Data2[[#This Row],[Revenue]]-Sales_Data2[[#This Row],[COGS]]</f>
        <v>144000</v>
      </c>
      <c r="O11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46849|North|Lagos|Corporate|Online|Air Conditioner X2|Home Appliances|180000|4|Musa|144000</v>
      </c>
      <c r="P1175" s="3" t="str">
        <f>IF(COUNTIF(Sales_Data2[RowKey],Sales_Data2[[#This Row],[RowKey]])&gt;1,"Duplicate","Unique")</f>
        <v>Unique</v>
      </c>
      <c r="Q1175" s="3" t="str">
        <f>IF(ISNUMBER(Sales_Data2[[#This Row],[Date]]),"OK","Check")</f>
        <v>OK</v>
      </c>
      <c r="R1175" s="3" t="str">
        <f>IF(ISNUMBER(Sales_Data2[[#This Row],[Quantity]]),"OK","Check")</f>
        <v>OK</v>
      </c>
    </row>
    <row r="1176" spans="1:18">
      <c r="A1176" s="1">
        <v>46850</v>
      </c>
      <c r="B1176" t="s">
        <v>11</v>
      </c>
      <c r="C1176" t="s">
        <v>19</v>
      </c>
      <c r="D1176" t="s">
        <v>13</v>
      </c>
      <c r="E1176" t="s">
        <v>20</v>
      </c>
      <c r="F1176" t="s">
        <v>38</v>
      </c>
      <c r="G1176" t="s">
        <v>31</v>
      </c>
      <c r="H1176">
        <v>420000</v>
      </c>
      <c r="I1176">
        <v>5</v>
      </c>
      <c r="J1176" t="s">
        <v>37</v>
      </c>
      <c r="K1176">
        <f t="shared" si="18"/>
        <v>336000</v>
      </c>
      <c r="L1176">
        <f>Sales_Data2[[#This Row],[Unit Price]]*Sales_Data2[[#This Row],[Quantity]]</f>
        <v>2100000</v>
      </c>
      <c r="M1176">
        <f>Sales_Data2[[#This Row],[Cost Price]]*Sales_Data2[[#This Row],[Quantity]]</f>
        <v>1680000</v>
      </c>
      <c r="N1176" s="3">
        <f>Sales_Data2[[#This Row],[Revenue]]-Sales_Data2[[#This Row],[COGS]]</f>
        <v>420000</v>
      </c>
      <c r="O11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46850|West|Lagos|Retail|Store|Laptop A13|Electronics|420000|5|Aisha|336000</v>
      </c>
      <c r="P1176" s="3" t="str">
        <f>IF(COUNTIF(Sales_Data2[RowKey],Sales_Data2[[#This Row],[RowKey]])&gt;1,"Duplicate","Unique")</f>
        <v>Unique</v>
      </c>
      <c r="Q1176" s="3" t="str">
        <f>IF(ISNUMBER(Sales_Data2[[#This Row],[Date]]),"OK","Check")</f>
        <v>OK</v>
      </c>
      <c r="R1176" s="3" t="str">
        <f>IF(ISNUMBER(Sales_Data2[[#This Row],[Quantity]]),"OK","Check")</f>
        <v>OK</v>
      </c>
    </row>
    <row r="1177" spans="1:18">
      <c r="A1177" s="1">
        <v>46851</v>
      </c>
      <c r="B1177" t="s">
        <v>29</v>
      </c>
      <c r="C1177" t="s">
        <v>32</v>
      </c>
      <c r="D1177" t="s">
        <v>13</v>
      </c>
      <c r="E1177" t="s">
        <v>14</v>
      </c>
      <c r="F1177" t="s">
        <v>27</v>
      </c>
      <c r="G1177" t="s">
        <v>22</v>
      </c>
      <c r="H1177">
        <v>60000</v>
      </c>
      <c r="I1177">
        <v>5</v>
      </c>
      <c r="J1177" t="s">
        <v>24</v>
      </c>
      <c r="K1177">
        <f t="shared" si="18"/>
        <v>48000</v>
      </c>
      <c r="L1177">
        <f>Sales_Data2[[#This Row],[Unit Price]]*Sales_Data2[[#This Row],[Quantity]]</f>
        <v>300000</v>
      </c>
      <c r="M1177">
        <f>Sales_Data2[[#This Row],[Cost Price]]*Sales_Data2[[#This Row],[Quantity]]</f>
        <v>240000</v>
      </c>
      <c r="N1177" s="3">
        <f>Sales_Data2[[#This Row],[Revenue]]-Sales_Data2[[#This Row],[COGS]]</f>
        <v>60000</v>
      </c>
      <c r="O11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46851|North|Abuja|Retail|Online|Microwave M20|Home Appliances|60000|5|David|48000</v>
      </c>
      <c r="P1177" s="3" t="str">
        <f>IF(COUNTIF(Sales_Data2[RowKey],Sales_Data2[[#This Row],[RowKey]])&gt;1,"Duplicate","Unique")</f>
        <v>Unique</v>
      </c>
      <c r="Q1177" s="3" t="str">
        <f>IF(ISNUMBER(Sales_Data2[[#This Row],[Date]]),"OK","Check")</f>
        <v>OK</v>
      </c>
      <c r="R1177" s="3" t="str">
        <f>IF(ISNUMBER(Sales_Data2[[#This Row],[Quantity]]),"OK","Check")</f>
        <v>OK</v>
      </c>
    </row>
    <row r="1178" spans="1:18">
      <c r="A1178" s="1">
        <v>46852</v>
      </c>
      <c r="B1178" t="s">
        <v>29</v>
      </c>
      <c r="C1178" t="s">
        <v>32</v>
      </c>
      <c r="D1178" t="s">
        <v>13</v>
      </c>
      <c r="E1178" t="s">
        <v>20</v>
      </c>
      <c r="F1178" t="s">
        <v>27</v>
      </c>
      <c r="G1178" t="s">
        <v>22</v>
      </c>
      <c r="H1178">
        <v>60000</v>
      </c>
      <c r="I1178">
        <v>9</v>
      </c>
      <c r="J1178" t="s">
        <v>37</v>
      </c>
      <c r="K1178">
        <f t="shared" si="18"/>
        <v>48000</v>
      </c>
      <c r="L1178">
        <f>Sales_Data2[[#This Row],[Unit Price]]*Sales_Data2[[#This Row],[Quantity]]</f>
        <v>540000</v>
      </c>
      <c r="M1178">
        <f>Sales_Data2[[#This Row],[Cost Price]]*Sales_Data2[[#This Row],[Quantity]]</f>
        <v>432000</v>
      </c>
      <c r="N1178" s="3">
        <f>Sales_Data2[[#This Row],[Revenue]]-Sales_Data2[[#This Row],[COGS]]</f>
        <v>108000</v>
      </c>
      <c r="O11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46852|North|Abuja|Retail|Store|Microwave M20|Home Appliances|60000|9|Aisha|48000</v>
      </c>
      <c r="P1178" s="3" t="str">
        <f>IF(COUNTIF(Sales_Data2[RowKey],Sales_Data2[[#This Row],[RowKey]])&gt;1,"Duplicate","Unique")</f>
        <v>Unique</v>
      </c>
      <c r="Q1178" s="3" t="str">
        <f>IF(ISNUMBER(Sales_Data2[[#This Row],[Date]]),"OK","Check")</f>
        <v>OK</v>
      </c>
      <c r="R1178" s="3" t="str">
        <f>IF(ISNUMBER(Sales_Data2[[#This Row],[Quantity]]),"OK","Check")</f>
        <v>OK</v>
      </c>
    </row>
    <row r="1179" spans="1:18">
      <c r="A1179" s="1">
        <v>46853</v>
      </c>
      <c r="B1179" t="s">
        <v>18</v>
      </c>
      <c r="C1179" t="s">
        <v>26</v>
      </c>
      <c r="D1179" t="s">
        <v>23</v>
      </c>
      <c r="E1179" t="s">
        <v>20</v>
      </c>
      <c r="F1179" t="s">
        <v>30</v>
      </c>
      <c r="G1179" t="s">
        <v>31</v>
      </c>
      <c r="H1179">
        <v>300000</v>
      </c>
      <c r="I1179">
        <v>10</v>
      </c>
      <c r="J1179" t="s">
        <v>24</v>
      </c>
      <c r="K1179">
        <f t="shared" si="18"/>
        <v>240000</v>
      </c>
      <c r="L1179">
        <f>Sales_Data2[[#This Row],[Unit Price]]*Sales_Data2[[#This Row],[Quantity]]</f>
        <v>3000000</v>
      </c>
      <c r="M1179">
        <f>Sales_Data2[[#This Row],[Cost Price]]*Sales_Data2[[#This Row],[Quantity]]</f>
        <v>2400000</v>
      </c>
      <c r="N1179" s="3">
        <f>Sales_Data2[[#This Row],[Revenue]]-Sales_Data2[[#This Row],[COGS]]</f>
        <v>600000</v>
      </c>
      <c r="O11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46853|East|Kano|Corporate|Store|Desktop PC D21|Electronics|300000|10|David|240000</v>
      </c>
      <c r="P1179" s="3" t="str">
        <f>IF(COUNTIF(Sales_Data2[RowKey],Sales_Data2[[#This Row],[RowKey]])&gt;1,"Duplicate","Unique")</f>
        <v>Unique</v>
      </c>
      <c r="Q1179" s="3" t="str">
        <f>IF(ISNUMBER(Sales_Data2[[#This Row],[Date]]),"OK","Check")</f>
        <v>OK</v>
      </c>
      <c r="R1179" s="3" t="str">
        <f>IF(ISNUMBER(Sales_Data2[[#This Row],[Quantity]]),"OK","Check")</f>
        <v>OK</v>
      </c>
    </row>
    <row r="1180" spans="1:18">
      <c r="A1180" s="1">
        <v>46854</v>
      </c>
      <c r="B1180" t="s">
        <v>25</v>
      </c>
      <c r="C1180" t="s">
        <v>32</v>
      </c>
      <c r="D1180" t="s">
        <v>13</v>
      </c>
      <c r="E1180" t="s">
        <v>20</v>
      </c>
      <c r="F1180" t="s">
        <v>38</v>
      </c>
      <c r="G1180" t="s">
        <v>31</v>
      </c>
      <c r="H1180">
        <v>420000</v>
      </c>
      <c r="I1180">
        <v>8</v>
      </c>
      <c r="J1180" t="s">
        <v>39</v>
      </c>
      <c r="K1180">
        <f t="shared" si="18"/>
        <v>336000</v>
      </c>
      <c r="L1180">
        <f>Sales_Data2[[#This Row],[Unit Price]]*Sales_Data2[[#This Row],[Quantity]]</f>
        <v>3360000</v>
      </c>
      <c r="M1180">
        <f>Sales_Data2[[#This Row],[Cost Price]]*Sales_Data2[[#This Row],[Quantity]]</f>
        <v>2688000</v>
      </c>
      <c r="N1180" s="3">
        <f>Sales_Data2[[#This Row],[Revenue]]-Sales_Data2[[#This Row],[COGS]]</f>
        <v>672000</v>
      </c>
      <c r="O11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46854|South|Abuja|Retail|Store|Laptop A13|Electronics|420000|8|Grace|336000</v>
      </c>
      <c r="P1180" s="3" t="str">
        <f>IF(COUNTIF(Sales_Data2[RowKey],Sales_Data2[[#This Row],[RowKey]])&gt;1,"Duplicate","Unique")</f>
        <v>Unique</v>
      </c>
      <c r="Q1180" s="3" t="str">
        <f>IF(ISNUMBER(Sales_Data2[[#This Row],[Date]]),"OK","Check")</f>
        <v>OK</v>
      </c>
      <c r="R1180" s="3" t="str">
        <f>IF(ISNUMBER(Sales_Data2[[#This Row],[Quantity]]),"OK","Check")</f>
        <v>OK</v>
      </c>
    </row>
    <row r="1181" spans="1:18">
      <c r="A1181" s="1">
        <v>46855</v>
      </c>
      <c r="B1181" t="s">
        <v>25</v>
      </c>
      <c r="C1181" t="s">
        <v>26</v>
      </c>
      <c r="D1181" t="s">
        <v>23</v>
      </c>
      <c r="E1181" t="s">
        <v>20</v>
      </c>
      <c r="F1181" t="s">
        <v>33</v>
      </c>
      <c r="G1181" t="s">
        <v>22</v>
      </c>
      <c r="H1181">
        <v>180000</v>
      </c>
      <c r="I1181">
        <v>4</v>
      </c>
      <c r="J1181" t="s">
        <v>24</v>
      </c>
      <c r="K1181">
        <f t="shared" si="18"/>
        <v>144000</v>
      </c>
      <c r="L1181">
        <f>Sales_Data2[[#This Row],[Unit Price]]*Sales_Data2[[#This Row],[Quantity]]</f>
        <v>720000</v>
      </c>
      <c r="M1181">
        <f>Sales_Data2[[#This Row],[Cost Price]]*Sales_Data2[[#This Row],[Quantity]]</f>
        <v>576000</v>
      </c>
      <c r="N1181" s="3">
        <f>Sales_Data2[[#This Row],[Revenue]]-Sales_Data2[[#This Row],[COGS]]</f>
        <v>144000</v>
      </c>
      <c r="O11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46855|South|Kano|Corporate|Store|Air Conditioner X2|Home Appliances|180000|4|David|144000</v>
      </c>
      <c r="P1181" s="3" t="str">
        <f>IF(COUNTIF(Sales_Data2[RowKey],Sales_Data2[[#This Row],[RowKey]])&gt;1,"Duplicate","Unique")</f>
        <v>Unique</v>
      </c>
      <c r="Q1181" s="3" t="str">
        <f>IF(ISNUMBER(Sales_Data2[[#This Row],[Date]]),"OK","Check")</f>
        <v>OK</v>
      </c>
      <c r="R1181" s="3" t="str">
        <f>IF(ISNUMBER(Sales_Data2[[#This Row],[Quantity]]),"OK","Check")</f>
        <v>OK</v>
      </c>
    </row>
    <row r="1182" spans="1:18">
      <c r="A1182" s="1">
        <v>46856</v>
      </c>
      <c r="B1182" t="s">
        <v>18</v>
      </c>
      <c r="C1182" t="s">
        <v>26</v>
      </c>
      <c r="D1182" t="s">
        <v>13</v>
      </c>
      <c r="E1182" t="s">
        <v>20</v>
      </c>
      <c r="F1182" t="s">
        <v>21</v>
      </c>
      <c r="G1182" t="s">
        <v>22</v>
      </c>
      <c r="H1182">
        <v>30000</v>
      </c>
      <c r="I1182">
        <v>5</v>
      </c>
      <c r="J1182" t="s">
        <v>37</v>
      </c>
      <c r="K1182">
        <f t="shared" si="18"/>
        <v>24000</v>
      </c>
      <c r="L1182">
        <f>Sales_Data2[[#This Row],[Unit Price]]*Sales_Data2[[#This Row],[Quantity]]</f>
        <v>150000</v>
      </c>
      <c r="M1182">
        <f>Sales_Data2[[#This Row],[Cost Price]]*Sales_Data2[[#This Row],[Quantity]]</f>
        <v>120000</v>
      </c>
      <c r="N1182" s="3">
        <f>Sales_Data2[[#This Row],[Revenue]]-Sales_Data2[[#This Row],[COGS]]</f>
        <v>30000</v>
      </c>
      <c r="O11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46856|East|Kano|Retail|Store|Blender B10|Home Appliances|30000|5|Aisha|24000</v>
      </c>
      <c r="P1182" s="3" t="str">
        <f>IF(COUNTIF(Sales_Data2[RowKey],Sales_Data2[[#This Row],[RowKey]])&gt;1,"Duplicate","Unique")</f>
        <v>Unique</v>
      </c>
      <c r="Q1182" s="3" t="str">
        <f>IF(ISNUMBER(Sales_Data2[[#This Row],[Date]]),"OK","Check")</f>
        <v>OK</v>
      </c>
      <c r="R1182" s="3" t="str">
        <f>IF(ISNUMBER(Sales_Data2[[#This Row],[Quantity]]),"OK","Check")</f>
        <v>OK</v>
      </c>
    </row>
    <row r="1183" spans="1:18">
      <c r="A1183" s="1">
        <v>46857</v>
      </c>
      <c r="B1183" t="s">
        <v>29</v>
      </c>
      <c r="C1183" t="s">
        <v>19</v>
      </c>
      <c r="D1183" t="s">
        <v>13</v>
      </c>
      <c r="E1183" t="s">
        <v>14</v>
      </c>
      <c r="F1183" t="s">
        <v>40</v>
      </c>
      <c r="G1183" t="s">
        <v>31</v>
      </c>
      <c r="H1183">
        <v>250000</v>
      </c>
      <c r="I1183">
        <v>3</v>
      </c>
      <c r="J1183" t="s">
        <v>24</v>
      </c>
      <c r="K1183">
        <f t="shared" si="18"/>
        <v>200000</v>
      </c>
      <c r="L1183">
        <f>Sales_Data2[[#This Row],[Unit Price]]*Sales_Data2[[#This Row],[Quantity]]</f>
        <v>750000</v>
      </c>
      <c r="M1183">
        <f>Sales_Data2[[#This Row],[Cost Price]]*Sales_Data2[[#This Row],[Quantity]]</f>
        <v>600000</v>
      </c>
      <c r="N1183" s="3">
        <f>Sales_Data2[[#This Row],[Revenue]]-Sales_Data2[[#This Row],[COGS]]</f>
        <v>150000</v>
      </c>
      <c r="O11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46857|North|Lagos|Retail|Online|Smartphone Z10|Electronics|250000|3|David|200000</v>
      </c>
      <c r="P1183" s="3" t="str">
        <f>IF(COUNTIF(Sales_Data2[RowKey],Sales_Data2[[#This Row],[RowKey]])&gt;1,"Duplicate","Unique")</f>
        <v>Unique</v>
      </c>
      <c r="Q1183" s="3" t="str">
        <f>IF(ISNUMBER(Sales_Data2[[#This Row],[Date]]),"OK","Check")</f>
        <v>OK</v>
      </c>
      <c r="R1183" s="3" t="str">
        <f>IF(ISNUMBER(Sales_Data2[[#This Row],[Quantity]]),"OK","Check")</f>
        <v>OK</v>
      </c>
    </row>
    <row r="1184" spans="1:18">
      <c r="A1184" s="1">
        <v>46858</v>
      </c>
      <c r="B1184" t="s">
        <v>18</v>
      </c>
      <c r="C1184" t="s">
        <v>26</v>
      </c>
      <c r="D1184" t="s">
        <v>23</v>
      </c>
      <c r="E1184" t="s">
        <v>20</v>
      </c>
      <c r="F1184" t="s">
        <v>15</v>
      </c>
      <c r="G1184" t="s">
        <v>16</v>
      </c>
      <c r="H1184">
        <v>85000</v>
      </c>
      <c r="I1184">
        <v>8</v>
      </c>
      <c r="J1184" t="s">
        <v>28</v>
      </c>
      <c r="K1184">
        <f t="shared" si="18"/>
        <v>68000</v>
      </c>
      <c r="L1184">
        <f>Sales_Data2[[#This Row],[Unit Price]]*Sales_Data2[[#This Row],[Quantity]]</f>
        <v>680000</v>
      </c>
      <c r="M1184">
        <f>Sales_Data2[[#This Row],[Cost Price]]*Sales_Data2[[#This Row],[Quantity]]</f>
        <v>544000</v>
      </c>
      <c r="N1184" s="3">
        <f>Sales_Data2[[#This Row],[Revenue]]-Sales_Data2[[#This Row],[COGS]]</f>
        <v>136000</v>
      </c>
      <c r="O11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46858|East|Kano|Corporate|Store|Office Chair Pro|Furniture|85000|8|Musa|68000</v>
      </c>
      <c r="P1184" s="3" t="str">
        <f>IF(COUNTIF(Sales_Data2[RowKey],Sales_Data2[[#This Row],[RowKey]])&gt;1,"Duplicate","Unique")</f>
        <v>Unique</v>
      </c>
      <c r="Q1184" s="3" t="str">
        <f>IF(ISNUMBER(Sales_Data2[[#This Row],[Date]]),"OK","Check")</f>
        <v>OK</v>
      </c>
      <c r="R1184" s="3" t="str">
        <f>IF(ISNUMBER(Sales_Data2[[#This Row],[Quantity]]),"OK","Check")</f>
        <v>OK</v>
      </c>
    </row>
    <row r="1185" spans="1:18">
      <c r="A1185" s="1">
        <v>46859</v>
      </c>
      <c r="B1185" t="s">
        <v>25</v>
      </c>
      <c r="C1185" t="s">
        <v>12</v>
      </c>
      <c r="D1185" t="s">
        <v>23</v>
      </c>
      <c r="E1185" t="s">
        <v>14</v>
      </c>
      <c r="F1185" t="s">
        <v>27</v>
      </c>
      <c r="G1185" t="s">
        <v>22</v>
      </c>
      <c r="H1185">
        <v>60000</v>
      </c>
      <c r="I1185">
        <v>8</v>
      </c>
      <c r="J1185" t="s">
        <v>37</v>
      </c>
      <c r="K1185">
        <f t="shared" si="18"/>
        <v>48000</v>
      </c>
      <c r="L1185">
        <f>Sales_Data2[[#This Row],[Unit Price]]*Sales_Data2[[#This Row],[Quantity]]</f>
        <v>480000</v>
      </c>
      <c r="M1185">
        <f>Sales_Data2[[#This Row],[Cost Price]]*Sales_Data2[[#This Row],[Quantity]]</f>
        <v>384000</v>
      </c>
      <c r="N1185" s="3">
        <f>Sales_Data2[[#This Row],[Revenue]]-Sales_Data2[[#This Row],[COGS]]</f>
        <v>96000</v>
      </c>
      <c r="O11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46859|South|Port Harcourt|Corporate|Online|Microwave M20|Home Appliances|60000|8|Aisha|48000</v>
      </c>
      <c r="P1185" s="3" t="str">
        <f>IF(COUNTIF(Sales_Data2[RowKey],Sales_Data2[[#This Row],[RowKey]])&gt;1,"Duplicate","Unique")</f>
        <v>Unique</v>
      </c>
      <c r="Q1185" s="3" t="str">
        <f>IF(ISNUMBER(Sales_Data2[[#This Row],[Date]]),"OK","Check")</f>
        <v>OK</v>
      </c>
      <c r="R1185" s="3" t="str">
        <f>IF(ISNUMBER(Sales_Data2[[#This Row],[Quantity]]),"OK","Check")</f>
        <v>OK</v>
      </c>
    </row>
    <row r="1186" spans="1:18">
      <c r="A1186" s="1">
        <v>46860</v>
      </c>
      <c r="B1186" t="s">
        <v>25</v>
      </c>
      <c r="C1186" t="s">
        <v>12</v>
      </c>
      <c r="D1186" t="s">
        <v>23</v>
      </c>
      <c r="E1186" t="s">
        <v>20</v>
      </c>
      <c r="F1186" t="s">
        <v>36</v>
      </c>
      <c r="G1186" t="s">
        <v>31</v>
      </c>
      <c r="H1186">
        <v>150000</v>
      </c>
      <c r="I1186">
        <v>5</v>
      </c>
      <c r="J1186" t="s">
        <v>17</v>
      </c>
      <c r="K1186">
        <f t="shared" si="18"/>
        <v>120000</v>
      </c>
      <c r="L1186">
        <f>Sales_Data2[[#This Row],[Unit Price]]*Sales_Data2[[#This Row],[Quantity]]</f>
        <v>750000</v>
      </c>
      <c r="M1186">
        <f>Sales_Data2[[#This Row],[Cost Price]]*Sales_Data2[[#This Row],[Quantity]]</f>
        <v>600000</v>
      </c>
      <c r="N1186" s="3">
        <f>Sales_Data2[[#This Row],[Revenue]]-Sales_Data2[[#This Row],[COGS]]</f>
        <v>150000</v>
      </c>
      <c r="O11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46860|South|Port Harcourt|Corporate|Store|Printer P50|Electronics|150000|5|Chidinma|120000</v>
      </c>
      <c r="P1186" s="3" t="str">
        <f>IF(COUNTIF(Sales_Data2[RowKey],Sales_Data2[[#This Row],[RowKey]])&gt;1,"Duplicate","Unique")</f>
        <v>Unique</v>
      </c>
      <c r="Q1186" s="3" t="str">
        <f>IF(ISNUMBER(Sales_Data2[[#This Row],[Date]]),"OK","Check")</f>
        <v>OK</v>
      </c>
      <c r="R1186" s="3" t="str">
        <f>IF(ISNUMBER(Sales_Data2[[#This Row],[Quantity]]),"OK","Check")</f>
        <v>OK</v>
      </c>
    </row>
    <row r="1187" spans="1:18">
      <c r="A1187" s="1">
        <v>46861</v>
      </c>
      <c r="B1187" t="s">
        <v>29</v>
      </c>
      <c r="C1187" t="s">
        <v>12</v>
      </c>
      <c r="D1187" t="s">
        <v>23</v>
      </c>
      <c r="E1187" t="s">
        <v>14</v>
      </c>
      <c r="F1187" t="s">
        <v>34</v>
      </c>
      <c r="G1187" t="s">
        <v>16</v>
      </c>
      <c r="H1187">
        <v>320000</v>
      </c>
      <c r="I1187">
        <v>9</v>
      </c>
      <c r="J1187" t="s">
        <v>35</v>
      </c>
      <c r="K1187">
        <f t="shared" si="18"/>
        <v>256000</v>
      </c>
      <c r="L1187">
        <f>Sales_Data2[[#This Row],[Unit Price]]*Sales_Data2[[#This Row],[Quantity]]</f>
        <v>2880000</v>
      </c>
      <c r="M1187">
        <f>Sales_Data2[[#This Row],[Cost Price]]*Sales_Data2[[#This Row],[Quantity]]</f>
        <v>2304000</v>
      </c>
      <c r="N1187" s="3">
        <f>Sales_Data2[[#This Row],[Revenue]]-Sales_Data2[[#This Row],[COGS]]</f>
        <v>576000</v>
      </c>
      <c r="O11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46861|North|Port Harcourt|Corporate|Online|Sofa Classic|Furniture|320000|9|Peter|256000</v>
      </c>
      <c r="P1187" s="3" t="str">
        <f>IF(COUNTIF(Sales_Data2[RowKey],Sales_Data2[[#This Row],[RowKey]])&gt;1,"Duplicate","Unique")</f>
        <v>Unique</v>
      </c>
      <c r="Q1187" s="3" t="str">
        <f>IF(ISNUMBER(Sales_Data2[[#This Row],[Date]]),"OK","Check")</f>
        <v>OK</v>
      </c>
      <c r="R1187" s="3" t="str">
        <f>IF(ISNUMBER(Sales_Data2[[#This Row],[Quantity]]),"OK","Check")</f>
        <v>OK</v>
      </c>
    </row>
    <row r="1188" spans="1:18">
      <c r="A1188" s="1">
        <v>46862</v>
      </c>
      <c r="B1188" t="s">
        <v>29</v>
      </c>
      <c r="C1188" t="s">
        <v>32</v>
      </c>
      <c r="D1188" t="s">
        <v>23</v>
      </c>
      <c r="E1188" t="s">
        <v>14</v>
      </c>
      <c r="F1188" t="s">
        <v>38</v>
      </c>
      <c r="G1188" t="s">
        <v>31</v>
      </c>
      <c r="H1188">
        <v>420000</v>
      </c>
      <c r="I1188">
        <v>7</v>
      </c>
      <c r="J1188" t="s">
        <v>17</v>
      </c>
      <c r="K1188">
        <f t="shared" si="18"/>
        <v>336000</v>
      </c>
      <c r="L1188">
        <f>Sales_Data2[[#This Row],[Unit Price]]*Sales_Data2[[#This Row],[Quantity]]</f>
        <v>2940000</v>
      </c>
      <c r="M1188">
        <f>Sales_Data2[[#This Row],[Cost Price]]*Sales_Data2[[#This Row],[Quantity]]</f>
        <v>2352000</v>
      </c>
      <c r="N1188" s="3">
        <f>Sales_Data2[[#This Row],[Revenue]]-Sales_Data2[[#This Row],[COGS]]</f>
        <v>588000</v>
      </c>
      <c r="O11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46862|North|Abuja|Corporate|Online|Laptop A13|Electronics|420000|7|Chidinma|336000</v>
      </c>
      <c r="P1188" s="3" t="str">
        <f>IF(COUNTIF(Sales_Data2[RowKey],Sales_Data2[[#This Row],[RowKey]])&gt;1,"Duplicate","Unique")</f>
        <v>Unique</v>
      </c>
      <c r="Q1188" s="3" t="str">
        <f>IF(ISNUMBER(Sales_Data2[[#This Row],[Date]]),"OK","Check")</f>
        <v>OK</v>
      </c>
      <c r="R1188" s="3" t="str">
        <f>IF(ISNUMBER(Sales_Data2[[#This Row],[Quantity]]),"OK","Check")</f>
        <v>OK</v>
      </c>
    </row>
    <row r="1189" spans="1:18">
      <c r="A1189" s="1">
        <v>46863</v>
      </c>
      <c r="B1189" t="s">
        <v>25</v>
      </c>
      <c r="C1189" t="s">
        <v>26</v>
      </c>
      <c r="D1189" t="s">
        <v>23</v>
      </c>
      <c r="E1189" t="s">
        <v>20</v>
      </c>
      <c r="F1189" t="s">
        <v>27</v>
      </c>
      <c r="G1189" t="s">
        <v>22</v>
      </c>
      <c r="H1189">
        <v>60000</v>
      </c>
      <c r="I1189">
        <v>6</v>
      </c>
      <c r="J1189" t="s">
        <v>37</v>
      </c>
      <c r="K1189">
        <f t="shared" si="18"/>
        <v>48000</v>
      </c>
      <c r="L1189">
        <f>Sales_Data2[[#This Row],[Unit Price]]*Sales_Data2[[#This Row],[Quantity]]</f>
        <v>360000</v>
      </c>
      <c r="M1189">
        <f>Sales_Data2[[#This Row],[Cost Price]]*Sales_Data2[[#This Row],[Quantity]]</f>
        <v>288000</v>
      </c>
      <c r="N1189" s="3">
        <f>Sales_Data2[[#This Row],[Revenue]]-Sales_Data2[[#This Row],[COGS]]</f>
        <v>72000</v>
      </c>
      <c r="O11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46863|South|Kano|Corporate|Store|Microwave M20|Home Appliances|60000|6|Aisha|48000</v>
      </c>
      <c r="P1189" s="3" t="str">
        <f>IF(COUNTIF(Sales_Data2[RowKey],Sales_Data2[[#This Row],[RowKey]])&gt;1,"Duplicate","Unique")</f>
        <v>Unique</v>
      </c>
      <c r="Q1189" s="3" t="str">
        <f>IF(ISNUMBER(Sales_Data2[[#This Row],[Date]]),"OK","Check")</f>
        <v>OK</v>
      </c>
      <c r="R1189" s="3" t="str">
        <f>IF(ISNUMBER(Sales_Data2[[#This Row],[Quantity]]),"OK","Check")</f>
        <v>OK</v>
      </c>
    </row>
    <row r="1190" spans="1:18">
      <c r="A1190" s="1">
        <v>46864</v>
      </c>
      <c r="B1190" t="s">
        <v>29</v>
      </c>
      <c r="C1190" t="s">
        <v>12</v>
      </c>
      <c r="D1190" t="s">
        <v>13</v>
      </c>
      <c r="E1190" t="s">
        <v>20</v>
      </c>
      <c r="F1190" t="s">
        <v>36</v>
      </c>
      <c r="G1190" t="s">
        <v>31</v>
      </c>
      <c r="H1190">
        <v>150000</v>
      </c>
      <c r="I1190">
        <v>7</v>
      </c>
      <c r="J1190" t="s">
        <v>39</v>
      </c>
      <c r="K1190">
        <f t="shared" si="18"/>
        <v>120000</v>
      </c>
      <c r="L1190">
        <f>Sales_Data2[[#This Row],[Unit Price]]*Sales_Data2[[#This Row],[Quantity]]</f>
        <v>1050000</v>
      </c>
      <c r="M1190">
        <f>Sales_Data2[[#This Row],[Cost Price]]*Sales_Data2[[#This Row],[Quantity]]</f>
        <v>840000</v>
      </c>
      <c r="N1190" s="3">
        <f>Sales_Data2[[#This Row],[Revenue]]-Sales_Data2[[#This Row],[COGS]]</f>
        <v>210000</v>
      </c>
      <c r="O11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46864|North|Port Harcourt|Retail|Store|Printer P50|Electronics|150000|7|Grace|120000</v>
      </c>
      <c r="P1190" s="3" t="str">
        <f>IF(COUNTIF(Sales_Data2[RowKey],Sales_Data2[[#This Row],[RowKey]])&gt;1,"Duplicate","Unique")</f>
        <v>Unique</v>
      </c>
      <c r="Q1190" s="3" t="str">
        <f>IF(ISNUMBER(Sales_Data2[[#This Row],[Date]]),"OK","Check")</f>
        <v>OK</v>
      </c>
      <c r="R1190" s="3" t="str">
        <f>IF(ISNUMBER(Sales_Data2[[#This Row],[Quantity]]),"OK","Check")</f>
        <v>OK</v>
      </c>
    </row>
    <row r="1191" spans="1:18">
      <c r="A1191" s="1">
        <v>46865</v>
      </c>
      <c r="B1191" t="s">
        <v>18</v>
      </c>
      <c r="C1191" t="s">
        <v>26</v>
      </c>
      <c r="D1191" t="s">
        <v>13</v>
      </c>
      <c r="E1191" t="s">
        <v>20</v>
      </c>
      <c r="F1191" t="s">
        <v>34</v>
      </c>
      <c r="G1191" t="s">
        <v>16</v>
      </c>
      <c r="H1191">
        <v>320000</v>
      </c>
      <c r="I1191">
        <v>10</v>
      </c>
      <c r="J1191" t="s">
        <v>28</v>
      </c>
      <c r="K1191">
        <f t="shared" si="18"/>
        <v>256000</v>
      </c>
      <c r="L1191">
        <f>Sales_Data2[[#This Row],[Unit Price]]*Sales_Data2[[#This Row],[Quantity]]</f>
        <v>3200000</v>
      </c>
      <c r="M1191">
        <f>Sales_Data2[[#This Row],[Cost Price]]*Sales_Data2[[#This Row],[Quantity]]</f>
        <v>2560000</v>
      </c>
      <c r="N1191" s="3">
        <f>Sales_Data2[[#This Row],[Revenue]]-Sales_Data2[[#This Row],[COGS]]</f>
        <v>640000</v>
      </c>
      <c r="O11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46865|East|Kano|Retail|Store|Sofa Classic|Furniture|320000|10|Musa|256000</v>
      </c>
      <c r="P1191" s="3" t="str">
        <f>IF(COUNTIF(Sales_Data2[RowKey],Sales_Data2[[#This Row],[RowKey]])&gt;1,"Duplicate","Unique")</f>
        <v>Unique</v>
      </c>
      <c r="Q1191" s="3" t="str">
        <f>IF(ISNUMBER(Sales_Data2[[#This Row],[Date]]),"OK","Check")</f>
        <v>OK</v>
      </c>
      <c r="R1191" s="3" t="str">
        <f>IF(ISNUMBER(Sales_Data2[[#This Row],[Quantity]]),"OK","Check")</f>
        <v>OK</v>
      </c>
    </row>
    <row r="1192" spans="1:18">
      <c r="A1192" s="1">
        <v>46866</v>
      </c>
      <c r="B1192" t="s">
        <v>18</v>
      </c>
      <c r="C1192" t="s">
        <v>12</v>
      </c>
      <c r="D1192" t="s">
        <v>23</v>
      </c>
      <c r="E1192" t="s">
        <v>14</v>
      </c>
      <c r="F1192" t="s">
        <v>30</v>
      </c>
      <c r="G1192" t="s">
        <v>31</v>
      </c>
      <c r="H1192">
        <v>300000</v>
      </c>
      <c r="I1192">
        <v>8</v>
      </c>
      <c r="J1192" t="s">
        <v>24</v>
      </c>
      <c r="K1192">
        <f t="shared" si="18"/>
        <v>240000</v>
      </c>
      <c r="L1192">
        <f>Sales_Data2[[#This Row],[Unit Price]]*Sales_Data2[[#This Row],[Quantity]]</f>
        <v>2400000</v>
      </c>
      <c r="M1192">
        <f>Sales_Data2[[#This Row],[Cost Price]]*Sales_Data2[[#This Row],[Quantity]]</f>
        <v>1920000</v>
      </c>
      <c r="N1192" s="3">
        <f>Sales_Data2[[#This Row],[Revenue]]-Sales_Data2[[#This Row],[COGS]]</f>
        <v>480000</v>
      </c>
      <c r="O11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46866|East|Port Harcourt|Corporate|Online|Desktop PC D21|Electronics|300000|8|David|240000</v>
      </c>
      <c r="P1192" s="3" t="str">
        <f>IF(COUNTIF(Sales_Data2[RowKey],Sales_Data2[[#This Row],[RowKey]])&gt;1,"Duplicate","Unique")</f>
        <v>Unique</v>
      </c>
      <c r="Q1192" s="3" t="str">
        <f>IF(ISNUMBER(Sales_Data2[[#This Row],[Date]]),"OK","Check")</f>
        <v>OK</v>
      </c>
      <c r="R1192" s="3" t="str">
        <f>IF(ISNUMBER(Sales_Data2[[#This Row],[Quantity]]),"OK","Check")</f>
        <v>OK</v>
      </c>
    </row>
    <row r="1193" spans="1:18">
      <c r="A1193" s="1">
        <v>46867</v>
      </c>
      <c r="B1193" t="s">
        <v>11</v>
      </c>
      <c r="C1193" t="s">
        <v>12</v>
      </c>
      <c r="D1193" t="s">
        <v>13</v>
      </c>
      <c r="E1193" t="s">
        <v>14</v>
      </c>
      <c r="F1193" t="s">
        <v>38</v>
      </c>
      <c r="G1193" t="s">
        <v>31</v>
      </c>
      <c r="H1193">
        <v>420000</v>
      </c>
      <c r="I1193">
        <v>5</v>
      </c>
      <c r="J1193" t="s">
        <v>35</v>
      </c>
      <c r="K1193">
        <f t="shared" si="18"/>
        <v>336000</v>
      </c>
      <c r="L1193">
        <f>Sales_Data2[[#This Row],[Unit Price]]*Sales_Data2[[#This Row],[Quantity]]</f>
        <v>2100000</v>
      </c>
      <c r="M1193">
        <f>Sales_Data2[[#This Row],[Cost Price]]*Sales_Data2[[#This Row],[Quantity]]</f>
        <v>1680000</v>
      </c>
      <c r="N1193" s="3">
        <f>Sales_Data2[[#This Row],[Revenue]]-Sales_Data2[[#This Row],[COGS]]</f>
        <v>420000</v>
      </c>
      <c r="O11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46867|West|Port Harcourt|Retail|Online|Laptop A13|Electronics|420000|5|Peter|336000</v>
      </c>
      <c r="P1193" s="3" t="str">
        <f>IF(COUNTIF(Sales_Data2[RowKey],Sales_Data2[[#This Row],[RowKey]])&gt;1,"Duplicate","Unique")</f>
        <v>Unique</v>
      </c>
      <c r="Q1193" s="3" t="str">
        <f>IF(ISNUMBER(Sales_Data2[[#This Row],[Date]]),"OK","Check")</f>
        <v>OK</v>
      </c>
      <c r="R1193" s="3" t="str">
        <f>IF(ISNUMBER(Sales_Data2[[#This Row],[Quantity]]),"OK","Check")</f>
        <v>OK</v>
      </c>
    </row>
    <row r="1194" spans="1:18">
      <c r="A1194" s="1">
        <v>46868</v>
      </c>
      <c r="B1194" t="s">
        <v>18</v>
      </c>
      <c r="C1194" t="s">
        <v>26</v>
      </c>
      <c r="D1194" t="s">
        <v>13</v>
      </c>
      <c r="E1194" t="s">
        <v>20</v>
      </c>
      <c r="F1194" t="s">
        <v>41</v>
      </c>
      <c r="G1194" t="s">
        <v>22</v>
      </c>
      <c r="H1194">
        <v>220000</v>
      </c>
      <c r="I1194">
        <v>5</v>
      </c>
      <c r="J1194" t="s">
        <v>17</v>
      </c>
      <c r="K1194">
        <f t="shared" si="18"/>
        <v>176000</v>
      </c>
      <c r="L1194">
        <f>Sales_Data2[[#This Row],[Unit Price]]*Sales_Data2[[#This Row],[Quantity]]</f>
        <v>1100000</v>
      </c>
      <c r="M1194">
        <f>Sales_Data2[[#This Row],[Cost Price]]*Sales_Data2[[#This Row],[Quantity]]</f>
        <v>880000</v>
      </c>
      <c r="N1194" s="3">
        <f>Sales_Data2[[#This Row],[Revenue]]-Sales_Data2[[#This Row],[COGS]]</f>
        <v>220000</v>
      </c>
      <c r="O11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46868|East|Kano|Retail|Store|Refrigerator R55|Home Appliances|220000|5|Chidinma|176000</v>
      </c>
      <c r="P1194" s="3" t="str">
        <f>IF(COUNTIF(Sales_Data2[RowKey],Sales_Data2[[#This Row],[RowKey]])&gt;1,"Duplicate","Unique")</f>
        <v>Unique</v>
      </c>
      <c r="Q1194" s="3" t="str">
        <f>IF(ISNUMBER(Sales_Data2[[#This Row],[Date]]),"OK","Check")</f>
        <v>OK</v>
      </c>
      <c r="R1194" s="3" t="str">
        <f>IF(ISNUMBER(Sales_Data2[[#This Row],[Quantity]]),"OK","Check")</f>
        <v>OK</v>
      </c>
    </row>
    <row r="1195" spans="1:18">
      <c r="A1195" s="1">
        <v>46869</v>
      </c>
      <c r="B1195" t="s">
        <v>11</v>
      </c>
      <c r="C1195" t="s">
        <v>12</v>
      </c>
      <c r="D1195" t="s">
        <v>23</v>
      </c>
      <c r="E1195" t="s">
        <v>20</v>
      </c>
      <c r="F1195" t="s">
        <v>34</v>
      </c>
      <c r="G1195" t="s">
        <v>16</v>
      </c>
      <c r="H1195">
        <v>320000</v>
      </c>
      <c r="I1195">
        <v>3</v>
      </c>
      <c r="J1195" t="s">
        <v>24</v>
      </c>
      <c r="K1195">
        <f t="shared" si="18"/>
        <v>256000</v>
      </c>
      <c r="L1195">
        <f>Sales_Data2[[#This Row],[Unit Price]]*Sales_Data2[[#This Row],[Quantity]]</f>
        <v>960000</v>
      </c>
      <c r="M1195">
        <f>Sales_Data2[[#This Row],[Cost Price]]*Sales_Data2[[#This Row],[Quantity]]</f>
        <v>768000</v>
      </c>
      <c r="N1195" s="3">
        <f>Sales_Data2[[#This Row],[Revenue]]-Sales_Data2[[#This Row],[COGS]]</f>
        <v>192000</v>
      </c>
      <c r="O11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46869|West|Port Harcourt|Corporate|Store|Sofa Classic|Furniture|320000|3|David|256000</v>
      </c>
      <c r="P1195" s="3" t="str">
        <f>IF(COUNTIF(Sales_Data2[RowKey],Sales_Data2[[#This Row],[RowKey]])&gt;1,"Duplicate","Unique")</f>
        <v>Unique</v>
      </c>
      <c r="Q1195" s="3" t="str">
        <f>IF(ISNUMBER(Sales_Data2[[#This Row],[Date]]),"OK","Check")</f>
        <v>OK</v>
      </c>
      <c r="R1195" s="3" t="str">
        <f>IF(ISNUMBER(Sales_Data2[[#This Row],[Quantity]]),"OK","Check")</f>
        <v>OK</v>
      </c>
    </row>
    <row r="1196" spans="1:18">
      <c r="A1196" s="1">
        <v>46870</v>
      </c>
      <c r="B1196" t="s">
        <v>18</v>
      </c>
      <c r="C1196" t="s">
        <v>12</v>
      </c>
      <c r="D1196" t="s">
        <v>13</v>
      </c>
      <c r="E1196" t="s">
        <v>14</v>
      </c>
      <c r="F1196" t="s">
        <v>33</v>
      </c>
      <c r="G1196" t="s">
        <v>22</v>
      </c>
      <c r="H1196">
        <v>180000</v>
      </c>
      <c r="I1196">
        <v>9</v>
      </c>
      <c r="J1196" t="s">
        <v>39</v>
      </c>
      <c r="K1196">
        <f t="shared" si="18"/>
        <v>144000</v>
      </c>
      <c r="L1196">
        <f>Sales_Data2[[#This Row],[Unit Price]]*Sales_Data2[[#This Row],[Quantity]]</f>
        <v>1620000</v>
      </c>
      <c r="M1196">
        <f>Sales_Data2[[#This Row],[Cost Price]]*Sales_Data2[[#This Row],[Quantity]]</f>
        <v>1296000</v>
      </c>
      <c r="N1196" s="3">
        <f>Sales_Data2[[#This Row],[Revenue]]-Sales_Data2[[#This Row],[COGS]]</f>
        <v>324000</v>
      </c>
      <c r="O11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46870|East|Port Harcourt|Retail|Online|Air Conditioner X2|Home Appliances|180000|9|Grace|144000</v>
      </c>
      <c r="P1196" s="3" t="str">
        <f>IF(COUNTIF(Sales_Data2[RowKey],Sales_Data2[[#This Row],[RowKey]])&gt;1,"Duplicate","Unique")</f>
        <v>Unique</v>
      </c>
      <c r="Q1196" s="3" t="str">
        <f>IF(ISNUMBER(Sales_Data2[[#This Row],[Date]]),"OK","Check")</f>
        <v>OK</v>
      </c>
      <c r="R1196" s="3" t="str">
        <f>IF(ISNUMBER(Sales_Data2[[#This Row],[Quantity]]),"OK","Check")</f>
        <v>OK</v>
      </c>
    </row>
    <row r="1197" spans="1:18">
      <c r="A1197" s="1">
        <v>46871</v>
      </c>
      <c r="B1197" t="s">
        <v>29</v>
      </c>
      <c r="C1197" t="s">
        <v>12</v>
      </c>
      <c r="D1197" t="s">
        <v>13</v>
      </c>
      <c r="E1197" t="s">
        <v>14</v>
      </c>
      <c r="F1197" t="s">
        <v>30</v>
      </c>
      <c r="G1197" t="s">
        <v>31</v>
      </c>
      <c r="H1197">
        <v>300000</v>
      </c>
      <c r="I1197">
        <v>1</v>
      </c>
      <c r="J1197" t="s">
        <v>39</v>
      </c>
      <c r="K1197">
        <f t="shared" si="18"/>
        <v>240000</v>
      </c>
      <c r="L1197">
        <f>Sales_Data2[[#This Row],[Unit Price]]*Sales_Data2[[#This Row],[Quantity]]</f>
        <v>300000</v>
      </c>
      <c r="M1197">
        <f>Sales_Data2[[#This Row],[Cost Price]]*Sales_Data2[[#This Row],[Quantity]]</f>
        <v>240000</v>
      </c>
      <c r="N1197" s="3">
        <f>Sales_Data2[[#This Row],[Revenue]]-Sales_Data2[[#This Row],[COGS]]</f>
        <v>60000</v>
      </c>
      <c r="O11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46871|North|Port Harcourt|Retail|Online|Desktop PC D21|Electronics|300000|1|Grace|240000</v>
      </c>
      <c r="P1197" s="3" t="str">
        <f>IF(COUNTIF(Sales_Data2[RowKey],Sales_Data2[[#This Row],[RowKey]])&gt;1,"Duplicate","Unique")</f>
        <v>Unique</v>
      </c>
      <c r="Q1197" s="3" t="str">
        <f>IF(ISNUMBER(Sales_Data2[[#This Row],[Date]]),"OK","Check")</f>
        <v>OK</v>
      </c>
      <c r="R1197" s="3" t="str">
        <f>IF(ISNUMBER(Sales_Data2[[#This Row],[Quantity]]),"OK","Check")</f>
        <v>OK</v>
      </c>
    </row>
    <row r="1198" spans="1:18">
      <c r="A1198" s="1">
        <v>46872</v>
      </c>
      <c r="B1198" t="s">
        <v>29</v>
      </c>
      <c r="C1198" t="s">
        <v>26</v>
      </c>
      <c r="D1198" t="s">
        <v>13</v>
      </c>
      <c r="E1198" t="s">
        <v>20</v>
      </c>
      <c r="F1198" t="s">
        <v>41</v>
      </c>
      <c r="G1198" t="s">
        <v>22</v>
      </c>
      <c r="H1198">
        <v>220000</v>
      </c>
      <c r="I1198">
        <v>7</v>
      </c>
      <c r="J1198" t="s">
        <v>39</v>
      </c>
      <c r="K1198">
        <f t="shared" si="18"/>
        <v>176000</v>
      </c>
      <c r="L1198">
        <f>Sales_Data2[[#This Row],[Unit Price]]*Sales_Data2[[#This Row],[Quantity]]</f>
        <v>1540000</v>
      </c>
      <c r="M1198">
        <f>Sales_Data2[[#This Row],[Cost Price]]*Sales_Data2[[#This Row],[Quantity]]</f>
        <v>1232000</v>
      </c>
      <c r="N1198" s="3">
        <f>Sales_Data2[[#This Row],[Revenue]]-Sales_Data2[[#This Row],[COGS]]</f>
        <v>308000</v>
      </c>
      <c r="O11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46872|North|Kano|Retail|Store|Refrigerator R55|Home Appliances|220000|7|Grace|176000</v>
      </c>
      <c r="P1198" s="3" t="str">
        <f>IF(COUNTIF(Sales_Data2[RowKey],Sales_Data2[[#This Row],[RowKey]])&gt;1,"Duplicate","Unique")</f>
        <v>Unique</v>
      </c>
      <c r="Q1198" s="3" t="str">
        <f>IF(ISNUMBER(Sales_Data2[[#This Row],[Date]]),"OK","Check")</f>
        <v>OK</v>
      </c>
      <c r="R1198" s="3" t="str">
        <f>IF(ISNUMBER(Sales_Data2[[#This Row],[Quantity]]),"OK","Check")</f>
        <v>OK</v>
      </c>
    </row>
    <row r="1199" spans="1:18">
      <c r="A1199" s="1">
        <v>46873</v>
      </c>
      <c r="B1199" t="s">
        <v>18</v>
      </c>
      <c r="C1199" t="s">
        <v>19</v>
      </c>
      <c r="D1199" t="s">
        <v>23</v>
      </c>
      <c r="E1199" t="s">
        <v>20</v>
      </c>
      <c r="F1199" t="s">
        <v>15</v>
      </c>
      <c r="G1199" t="s">
        <v>16</v>
      </c>
      <c r="H1199">
        <v>85000</v>
      </c>
      <c r="I1199">
        <v>9</v>
      </c>
      <c r="J1199" t="s">
        <v>24</v>
      </c>
      <c r="K1199">
        <f t="shared" si="18"/>
        <v>68000</v>
      </c>
      <c r="L1199">
        <f>Sales_Data2[[#This Row],[Unit Price]]*Sales_Data2[[#This Row],[Quantity]]</f>
        <v>765000</v>
      </c>
      <c r="M1199">
        <f>Sales_Data2[[#This Row],[Cost Price]]*Sales_Data2[[#This Row],[Quantity]]</f>
        <v>612000</v>
      </c>
      <c r="N1199" s="3">
        <f>Sales_Data2[[#This Row],[Revenue]]-Sales_Data2[[#This Row],[COGS]]</f>
        <v>153000</v>
      </c>
      <c r="O11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46873|East|Lagos|Corporate|Store|Office Chair Pro|Furniture|85000|9|David|68000</v>
      </c>
      <c r="P1199" s="3" t="str">
        <f>IF(COUNTIF(Sales_Data2[RowKey],Sales_Data2[[#This Row],[RowKey]])&gt;1,"Duplicate","Unique")</f>
        <v>Unique</v>
      </c>
      <c r="Q1199" s="3" t="str">
        <f>IF(ISNUMBER(Sales_Data2[[#This Row],[Date]]),"OK","Check")</f>
        <v>OK</v>
      </c>
      <c r="R1199" s="3" t="str">
        <f>IF(ISNUMBER(Sales_Data2[[#This Row],[Quantity]]),"OK","Check")</f>
        <v>OK</v>
      </c>
    </row>
    <row r="1200" spans="1:18">
      <c r="A1200" s="1">
        <v>46874</v>
      </c>
      <c r="B1200" t="s">
        <v>18</v>
      </c>
      <c r="C1200" t="s">
        <v>19</v>
      </c>
      <c r="D1200" t="s">
        <v>13</v>
      </c>
      <c r="E1200" t="s">
        <v>14</v>
      </c>
      <c r="F1200" t="s">
        <v>15</v>
      </c>
      <c r="G1200" t="s">
        <v>16</v>
      </c>
      <c r="H1200">
        <v>85000</v>
      </c>
      <c r="I1200">
        <v>4</v>
      </c>
      <c r="J1200" t="s">
        <v>28</v>
      </c>
      <c r="K1200">
        <f t="shared" si="18"/>
        <v>68000</v>
      </c>
      <c r="L1200">
        <f>Sales_Data2[[#This Row],[Unit Price]]*Sales_Data2[[#This Row],[Quantity]]</f>
        <v>340000</v>
      </c>
      <c r="M1200">
        <f>Sales_Data2[[#This Row],[Cost Price]]*Sales_Data2[[#This Row],[Quantity]]</f>
        <v>272000</v>
      </c>
      <c r="N1200" s="3">
        <f>Sales_Data2[[#This Row],[Revenue]]-Sales_Data2[[#This Row],[COGS]]</f>
        <v>68000</v>
      </c>
      <c r="O12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46874|East|Lagos|Retail|Online|Office Chair Pro|Furniture|85000|4|Musa|68000</v>
      </c>
      <c r="P1200" s="3" t="str">
        <f>IF(COUNTIF(Sales_Data2[RowKey],Sales_Data2[[#This Row],[RowKey]])&gt;1,"Duplicate","Unique")</f>
        <v>Unique</v>
      </c>
      <c r="Q1200" s="3" t="str">
        <f>IF(ISNUMBER(Sales_Data2[[#This Row],[Date]]),"OK","Check")</f>
        <v>OK</v>
      </c>
      <c r="R1200" s="3" t="str">
        <f>IF(ISNUMBER(Sales_Data2[[#This Row],[Quantity]]),"OK","Check")</f>
        <v>OK</v>
      </c>
    </row>
    <row r="1201" spans="1:18">
      <c r="A1201" s="1">
        <v>46875</v>
      </c>
      <c r="B1201" t="s">
        <v>18</v>
      </c>
      <c r="C1201" t="s">
        <v>32</v>
      </c>
      <c r="D1201" t="s">
        <v>13</v>
      </c>
      <c r="E1201" t="s">
        <v>20</v>
      </c>
      <c r="F1201" t="s">
        <v>27</v>
      </c>
      <c r="G1201" t="s">
        <v>22</v>
      </c>
      <c r="H1201">
        <v>60000</v>
      </c>
      <c r="I1201">
        <v>8</v>
      </c>
      <c r="J1201" t="s">
        <v>28</v>
      </c>
      <c r="K1201">
        <f t="shared" si="18"/>
        <v>48000</v>
      </c>
      <c r="L1201">
        <f>Sales_Data2[[#This Row],[Unit Price]]*Sales_Data2[[#This Row],[Quantity]]</f>
        <v>480000</v>
      </c>
      <c r="M1201">
        <f>Sales_Data2[[#This Row],[Cost Price]]*Sales_Data2[[#This Row],[Quantity]]</f>
        <v>384000</v>
      </c>
      <c r="N1201" s="3">
        <f>Sales_Data2[[#This Row],[Revenue]]-Sales_Data2[[#This Row],[COGS]]</f>
        <v>96000</v>
      </c>
      <c r="O12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46875|East|Abuja|Retail|Store|Microwave M20|Home Appliances|60000|8|Musa|48000</v>
      </c>
      <c r="P1201" s="3" t="str">
        <f>IF(COUNTIF(Sales_Data2[RowKey],Sales_Data2[[#This Row],[RowKey]])&gt;1,"Duplicate","Unique")</f>
        <v>Unique</v>
      </c>
      <c r="Q1201" s="3" t="str">
        <f>IF(ISNUMBER(Sales_Data2[[#This Row],[Date]]),"OK","Check")</f>
        <v>OK</v>
      </c>
      <c r="R1201" s="3" t="str">
        <f>IF(ISNUMBER(Sales_Data2[[#This Row],[Quantity]]),"OK","Check")</f>
        <v>OK</v>
      </c>
    </row>
    <row r="1202" spans="1:18">
      <c r="A1202" s="1">
        <v>46876</v>
      </c>
      <c r="B1202" t="s">
        <v>25</v>
      </c>
      <c r="C1202" t="s">
        <v>19</v>
      </c>
      <c r="D1202" t="s">
        <v>23</v>
      </c>
      <c r="E1202" t="s">
        <v>20</v>
      </c>
      <c r="F1202" t="s">
        <v>36</v>
      </c>
      <c r="G1202" t="s">
        <v>31</v>
      </c>
      <c r="H1202">
        <v>150000</v>
      </c>
      <c r="I1202">
        <v>6</v>
      </c>
      <c r="J1202" t="s">
        <v>35</v>
      </c>
      <c r="K1202">
        <f t="shared" si="18"/>
        <v>120000</v>
      </c>
      <c r="L1202">
        <f>Sales_Data2[[#This Row],[Unit Price]]*Sales_Data2[[#This Row],[Quantity]]</f>
        <v>900000</v>
      </c>
      <c r="M1202">
        <f>Sales_Data2[[#This Row],[Cost Price]]*Sales_Data2[[#This Row],[Quantity]]</f>
        <v>720000</v>
      </c>
      <c r="N1202" s="3">
        <f>Sales_Data2[[#This Row],[Revenue]]-Sales_Data2[[#This Row],[COGS]]</f>
        <v>180000</v>
      </c>
      <c r="O12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46876|South|Lagos|Corporate|Store|Printer P50|Electronics|150000|6|Peter|120000</v>
      </c>
      <c r="P1202" s="3" t="str">
        <f>IF(COUNTIF(Sales_Data2[RowKey],Sales_Data2[[#This Row],[RowKey]])&gt;1,"Duplicate","Unique")</f>
        <v>Unique</v>
      </c>
      <c r="Q1202" s="3" t="str">
        <f>IF(ISNUMBER(Sales_Data2[[#This Row],[Date]]),"OK","Check")</f>
        <v>OK</v>
      </c>
      <c r="R1202" s="3" t="str">
        <f>IF(ISNUMBER(Sales_Data2[[#This Row],[Quantity]]),"OK","Check")</f>
        <v>OK</v>
      </c>
    </row>
    <row r="1203" spans="1:18">
      <c r="A1203" s="1">
        <v>46877</v>
      </c>
      <c r="B1203" t="s">
        <v>18</v>
      </c>
      <c r="C1203" t="s">
        <v>26</v>
      </c>
      <c r="D1203" t="s">
        <v>23</v>
      </c>
      <c r="E1203" t="s">
        <v>14</v>
      </c>
      <c r="F1203" t="s">
        <v>15</v>
      </c>
      <c r="G1203" t="s">
        <v>16</v>
      </c>
      <c r="H1203">
        <v>85000</v>
      </c>
      <c r="I1203">
        <v>10</v>
      </c>
      <c r="J1203" t="s">
        <v>28</v>
      </c>
      <c r="K1203">
        <f t="shared" si="18"/>
        <v>68000</v>
      </c>
      <c r="L1203">
        <f>Sales_Data2[[#This Row],[Unit Price]]*Sales_Data2[[#This Row],[Quantity]]</f>
        <v>850000</v>
      </c>
      <c r="M1203">
        <f>Sales_Data2[[#This Row],[Cost Price]]*Sales_Data2[[#This Row],[Quantity]]</f>
        <v>680000</v>
      </c>
      <c r="N1203" s="3">
        <f>Sales_Data2[[#This Row],[Revenue]]-Sales_Data2[[#This Row],[COGS]]</f>
        <v>170000</v>
      </c>
      <c r="O12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46877|East|Kano|Corporate|Online|Office Chair Pro|Furniture|85000|10|Musa|68000</v>
      </c>
      <c r="P1203" s="3" t="str">
        <f>IF(COUNTIF(Sales_Data2[RowKey],Sales_Data2[[#This Row],[RowKey]])&gt;1,"Duplicate","Unique")</f>
        <v>Unique</v>
      </c>
      <c r="Q1203" s="3" t="str">
        <f>IF(ISNUMBER(Sales_Data2[[#This Row],[Date]]),"OK","Check")</f>
        <v>OK</v>
      </c>
      <c r="R1203" s="3" t="str">
        <f>IF(ISNUMBER(Sales_Data2[[#This Row],[Quantity]]),"OK","Check")</f>
        <v>OK</v>
      </c>
    </row>
    <row r="1204" spans="1:18">
      <c r="A1204" s="1">
        <v>46878</v>
      </c>
      <c r="B1204" t="s">
        <v>11</v>
      </c>
      <c r="C1204" t="s">
        <v>19</v>
      </c>
      <c r="D1204" t="s">
        <v>23</v>
      </c>
      <c r="E1204" t="s">
        <v>20</v>
      </c>
      <c r="F1204" t="s">
        <v>15</v>
      </c>
      <c r="G1204" t="s">
        <v>16</v>
      </c>
      <c r="H1204">
        <v>85000</v>
      </c>
      <c r="I1204">
        <v>3</v>
      </c>
      <c r="J1204" t="s">
        <v>39</v>
      </c>
      <c r="K1204">
        <f t="shared" si="18"/>
        <v>68000</v>
      </c>
      <c r="L1204">
        <f>Sales_Data2[[#This Row],[Unit Price]]*Sales_Data2[[#This Row],[Quantity]]</f>
        <v>255000</v>
      </c>
      <c r="M1204">
        <f>Sales_Data2[[#This Row],[Cost Price]]*Sales_Data2[[#This Row],[Quantity]]</f>
        <v>204000</v>
      </c>
      <c r="N1204" s="3">
        <f>Sales_Data2[[#This Row],[Revenue]]-Sales_Data2[[#This Row],[COGS]]</f>
        <v>51000</v>
      </c>
      <c r="O12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46878|West|Lagos|Corporate|Store|Office Chair Pro|Furniture|85000|3|Grace|68000</v>
      </c>
      <c r="P1204" s="3" t="str">
        <f>IF(COUNTIF(Sales_Data2[RowKey],Sales_Data2[[#This Row],[RowKey]])&gt;1,"Duplicate","Unique")</f>
        <v>Unique</v>
      </c>
      <c r="Q1204" s="3" t="str">
        <f>IF(ISNUMBER(Sales_Data2[[#This Row],[Date]]),"OK","Check")</f>
        <v>OK</v>
      </c>
      <c r="R1204" s="3" t="str">
        <f>IF(ISNUMBER(Sales_Data2[[#This Row],[Quantity]]),"OK","Check")</f>
        <v>OK</v>
      </c>
    </row>
    <row r="1205" spans="1:18">
      <c r="A1205" s="1">
        <v>46879</v>
      </c>
      <c r="B1205" t="s">
        <v>11</v>
      </c>
      <c r="C1205" t="s">
        <v>26</v>
      </c>
      <c r="D1205" t="s">
        <v>23</v>
      </c>
      <c r="E1205" t="s">
        <v>14</v>
      </c>
      <c r="F1205" t="s">
        <v>30</v>
      </c>
      <c r="G1205" t="s">
        <v>31</v>
      </c>
      <c r="H1205">
        <v>300000</v>
      </c>
      <c r="I1205">
        <v>8</v>
      </c>
      <c r="J1205" t="s">
        <v>35</v>
      </c>
      <c r="K1205">
        <f t="shared" si="18"/>
        <v>240000</v>
      </c>
      <c r="L1205">
        <f>Sales_Data2[[#This Row],[Unit Price]]*Sales_Data2[[#This Row],[Quantity]]</f>
        <v>2400000</v>
      </c>
      <c r="M1205">
        <f>Sales_Data2[[#This Row],[Cost Price]]*Sales_Data2[[#This Row],[Quantity]]</f>
        <v>1920000</v>
      </c>
      <c r="N1205" s="3">
        <f>Sales_Data2[[#This Row],[Revenue]]-Sales_Data2[[#This Row],[COGS]]</f>
        <v>480000</v>
      </c>
      <c r="O12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46879|West|Kano|Corporate|Online|Desktop PC D21|Electronics|300000|8|Peter|240000</v>
      </c>
      <c r="P1205" s="3" t="str">
        <f>IF(COUNTIF(Sales_Data2[RowKey],Sales_Data2[[#This Row],[RowKey]])&gt;1,"Duplicate","Unique")</f>
        <v>Unique</v>
      </c>
      <c r="Q1205" s="3" t="str">
        <f>IF(ISNUMBER(Sales_Data2[[#This Row],[Date]]),"OK","Check")</f>
        <v>OK</v>
      </c>
      <c r="R1205" s="3" t="str">
        <f>IF(ISNUMBER(Sales_Data2[[#This Row],[Quantity]]),"OK","Check")</f>
        <v>OK</v>
      </c>
    </row>
    <row r="1206" spans="1:18">
      <c r="A1206" s="1">
        <v>46880</v>
      </c>
      <c r="B1206" t="s">
        <v>11</v>
      </c>
      <c r="C1206" t="s">
        <v>12</v>
      </c>
      <c r="D1206" t="s">
        <v>23</v>
      </c>
      <c r="E1206" t="s">
        <v>14</v>
      </c>
      <c r="F1206" t="s">
        <v>38</v>
      </c>
      <c r="G1206" t="s">
        <v>31</v>
      </c>
      <c r="H1206">
        <v>420000</v>
      </c>
      <c r="I1206">
        <v>6</v>
      </c>
      <c r="J1206" t="s">
        <v>37</v>
      </c>
      <c r="K1206">
        <f t="shared" si="18"/>
        <v>336000</v>
      </c>
      <c r="L1206">
        <f>Sales_Data2[[#This Row],[Unit Price]]*Sales_Data2[[#This Row],[Quantity]]</f>
        <v>2520000</v>
      </c>
      <c r="M1206">
        <f>Sales_Data2[[#This Row],[Cost Price]]*Sales_Data2[[#This Row],[Quantity]]</f>
        <v>2016000</v>
      </c>
      <c r="N1206" s="3">
        <f>Sales_Data2[[#This Row],[Revenue]]-Sales_Data2[[#This Row],[COGS]]</f>
        <v>504000</v>
      </c>
      <c r="O12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46880|West|Port Harcourt|Corporate|Online|Laptop A13|Electronics|420000|6|Aisha|336000</v>
      </c>
      <c r="P1206" s="3" t="str">
        <f>IF(COUNTIF(Sales_Data2[RowKey],Sales_Data2[[#This Row],[RowKey]])&gt;1,"Duplicate","Unique")</f>
        <v>Unique</v>
      </c>
      <c r="Q1206" s="3" t="str">
        <f>IF(ISNUMBER(Sales_Data2[[#This Row],[Date]]),"OK","Check")</f>
        <v>OK</v>
      </c>
      <c r="R1206" s="3" t="str">
        <f>IF(ISNUMBER(Sales_Data2[[#This Row],[Quantity]]),"OK","Check")</f>
        <v>OK</v>
      </c>
    </row>
    <row r="1207" spans="1:18">
      <c r="A1207" s="1">
        <v>46881</v>
      </c>
      <c r="B1207" t="s">
        <v>25</v>
      </c>
      <c r="C1207" t="s">
        <v>26</v>
      </c>
      <c r="D1207" t="s">
        <v>23</v>
      </c>
      <c r="E1207" t="s">
        <v>14</v>
      </c>
      <c r="F1207" t="s">
        <v>40</v>
      </c>
      <c r="G1207" t="s">
        <v>31</v>
      </c>
      <c r="H1207">
        <v>250000</v>
      </c>
      <c r="I1207">
        <v>3</v>
      </c>
      <c r="J1207" t="s">
        <v>24</v>
      </c>
      <c r="K1207">
        <f t="shared" si="18"/>
        <v>200000</v>
      </c>
      <c r="L1207">
        <f>Sales_Data2[[#This Row],[Unit Price]]*Sales_Data2[[#This Row],[Quantity]]</f>
        <v>750000</v>
      </c>
      <c r="M1207">
        <f>Sales_Data2[[#This Row],[Cost Price]]*Sales_Data2[[#This Row],[Quantity]]</f>
        <v>600000</v>
      </c>
      <c r="N1207" s="3">
        <f>Sales_Data2[[#This Row],[Revenue]]-Sales_Data2[[#This Row],[COGS]]</f>
        <v>150000</v>
      </c>
      <c r="O12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46881|South|Kano|Corporate|Online|Smartphone Z10|Electronics|250000|3|David|200000</v>
      </c>
      <c r="P1207" s="3" t="str">
        <f>IF(COUNTIF(Sales_Data2[RowKey],Sales_Data2[[#This Row],[RowKey]])&gt;1,"Duplicate","Unique")</f>
        <v>Unique</v>
      </c>
      <c r="Q1207" s="3" t="str">
        <f>IF(ISNUMBER(Sales_Data2[[#This Row],[Date]]),"OK","Check")</f>
        <v>OK</v>
      </c>
      <c r="R1207" s="3" t="str">
        <f>IF(ISNUMBER(Sales_Data2[[#This Row],[Quantity]]),"OK","Check")</f>
        <v>OK</v>
      </c>
    </row>
    <row r="1208" spans="1:18">
      <c r="A1208" s="1">
        <v>46882</v>
      </c>
      <c r="B1208" t="s">
        <v>11</v>
      </c>
      <c r="C1208" t="s">
        <v>32</v>
      </c>
      <c r="D1208" t="s">
        <v>13</v>
      </c>
      <c r="E1208" t="s">
        <v>20</v>
      </c>
      <c r="F1208" t="s">
        <v>40</v>
      </c>
      <c r="G1208" t="s">
        <v>31</v>
      </c>
      <c r="H1208">
        <v>250000</v>
      </c>
      <c r="I1208">
        <v>8</v>
      </c>
      <c r="J1208" t="s">
        <v>28</v>
      </c>
      <c r="K1208">
        <f t="shared" si="18"/>
        <v>200000</v>
      </c>
      <c r="L1208">
        <f>Sales_Data2[[#This Row],[Unit Price]]*Sales_Data2[[#This Row],[Quantity]]</f>
        <v>2000000</v>
      </c>
      <c r="M1208">
        <f>Sales_Data2[[#This Row],[Cost Price]]*Sales_Data2[[#This Row],[Quantity]]</f>
        <v>1600000</v>
      </c>
      <c r="N1208" s="3">
        <f>Sales_Data2[[#This Row],[Revenue]]-Sales_Data2[[#This Row],[COGS]]</f>
        <v>400000</v>
      </c>
      <c r="O12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46882|West|Abuja|Retail|Store|Smartphone Z10|Electronics|250000|8|Musa|200000</v>
      </c>
      <c r="P1208" s="3" t="str">
        <f>IF(COUNTIF(Sales_Data2[RowKey],Sales_Data2[[#This Row],[RowKey]])&gt;1,"Duplicate","Unique")</f>
        <v>Unique</v>
      </c>
      <c r="Q1208" s="3" t="str">
        <f>IF(ISNUMBER(Sales_Data2[[#This Row],[Date]]),"OK","Check")</f>
        <v>OK</v>
      </c>
      <c r="R1208" s="3" t="str">
        <f>IF(ISNUMBER(Sales_Data2[[#This Row],[Quantity]]),"OK","Check")</f>
        <v>OK</v>
      </c>
    </row>
    <row r="1209" spans="1:18">
      <c r="A1209" s="1">
        <v>46883</v>
      </c>
      <c r="B1209" t="s">
        <v>29</v>
      </c>
      <c r="C1209" t="s">
        <v>19</v>
      </c>
      <c r="D1209" t="s">
        <v>23</v>
      </c>
      <c r="E1209" t="s">
        <v>14</v>
      </c>
      <c r="F1209" t="s">
        <v>15</v>
      </c>
      <c r="G1209" t="s">
        <v>16</v>
      </c>
      <c r="H1209">
        <v>85000</v>
      </c>
      <c r="I1209">
        <v>3</v>
      </c>
      <c r="J1209" t="s">
        <v>28</v>
      </c>
      <c r="K1209">
        <f t="shared" si="18"/>
        <v>68000</v>
      </c>
      <c r="L1209">
        <f>Sales_Data2[[#This Row],[Unit Price]]*Sales_Data2[[#This Row],[Quantity]]</f>
        <v>255000</v>
      </c>
      <c r="M1209">
        <f>Sales_Data2[[#This Row],[Cost Price]]*Sales_Data2[[#This Row],[Quantity]]</f>
        <v>204000</v>
      </c>
      <c r="N1209" s="3">
        <f>Sales_Data2[[#This Row],[Revenue]]-Sales_Data2[[#This Row],[COGS]]</f>
        <v>51000</v>
      </c>
      <c r="O12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46883|North|Lagos|Corporate|Online|Office Chair Pro|Furniture|85000|3|Musa|68000</v>
      </c>
      <c r="P1209" s="3" t="str">
        <f>IF(COUNTIF(Sales_Data2[RowKey],Sales_Data2[[#This Row],[RowKey]])&gt;1,"Duplicate","Unique")</f>
        <v>Unique</v>
      </c>
      <c r="Q1209" s="3" t="str">
        <f>IF(ISNUMBER(Sales_Data2[[#This Row],[Date]]),"OK","Check")</f>
        <v>OK</v>
      </c>
      <c r="R1209" s="3" t="str">
        <f>IF(ISNUMBER(Sales_Data2[[#This Row],[Quantity]]),"OK","Check")</f>
        <v>OK</v>
      </c>
    </row>
    <row r="1210" spans="1:18">
      <c r="A1210" s="1">
        <v>46884</v>
      </c>
      <c r="B1210" t="s">
        <v>29</v>
      </c>
      <c r="C1210" t="s">
        <v>32</v>
      </c>
      <c r="D1210" t="s">
        <v>23</v>
      </c>
      <c r="E1210" t="s">
        <v>14</v>
      </c>
      <c r="F1210" t="s">
        <v>21</v>
      </c>
      <c r="G1210" t="s">
        <v>22</v>
      </c>
      <c r="H1210">
        <v>30000</v>
      </c>
      <c r="I1210">
        <v>7</v>
      </c>
      <c r="J1210" t="s">
        <v>28</v>
      </c>
      <c r="K1210">
        <f t="shared" si="18"/>
        <v>24000</v>
      </c>
      <c r="L1210">
        <f>Sales_Data2[[#This Row],[Unit Price]]*Sales_Data2[[#This Row],[Quantity]]</f>
        <v>210000</v>
      </c>
      <c r="M1210">
        <f>Sales_Data2[[#This Row],[Cost Price]]*Sales_Data2[[#This Row],[Quantity]]</f>
        <v>168000</v>
      </c>
      <c r="N1210" s="3">
        <f>Sales_Data2[[#This Row],[Revenue]]-Sales_Data2[[#This Row],[COGS]]</f>
        <v>42000</v>
      </c>
      <c r="O12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46884|North|Abuja|Corporate|Online|Blender B10|Home Appliances|30000|7|Musa|24000</v>
      </c>
      <c r="P1210" s="3" t="str">
        <f>IF(COUNTIF(Sales_Data2[RowKey],Sales_Data2[[#This Row],[RowKey]])&gt;1,"Duplicate","Unique")</f>
        <v>Unique</v>
      </c>
      <c r="Q1210" s="3" t="str">
        <f>IF(ISNUMBER(Sales_Data2[[#This Row],[Date]]),"OK","Check")</f>
        <v>OK</v>
      </c>
      <c r="R1210" s="3" t="str">
        <f>IF(ISNUMBER(Sales_Data2[[#This Row],[Quantity]]),"OK","Check")</f>
        <v>OK</v>
      </c>
    </row>
    <row r="1211" spans="1:18">
      <c r="A1211" s="1">
        <v>46885</v>
      </c>
      <c r="B1211" t="s">
        <v>18</v>
      </c>
      <c r="C1211" t="s">
        <v>26</v>
      </c>
      <c r="D1211" t="s">
        <v>13</v>
      </c>
      <c r="E1211" t="s">
        <v>20</v>
      </c>
      <c r="F1211" t="s">
        <v>27</v>
      </c>
      <c r="G1211" t="s">
        <v>22</v>
      </c>
      <c r="H1211">
        <v>60000</v>
      </c>
      <c r="I1211">
        <v>7</v>
      </c>
      <c r="J1211" t="s">
        <v>35</v>
      </c>
      <c r="K1211">
        <f t="shared" si="18"/>
        <v>48000</v>
      </c>
      <c r="L1211">
        <f>Sales_Data2[[#This Row],[Unit Price]]*Sales_Data2[[#This Row],[Quantity]]</f>
        <v>420000</v>
      </c>
      <c r="M1211">
        <f>Sales_Data2[[#This Row],[Cost Price]]*Sales_Data2[[#This Row],[Quantity]]</f>
        <v>336000</v>
      </c>
      <c r="N1211" s="3">
        <f>Sales_Data2[[#This Row],[Revenue]]-Sales_Data2[[#This Row],[COGS]]</f>
        <v>84000</v>
      </c>
      <c r="O12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46885|East|Kano|Retail|Store|Microwave M20|Home Appliances|60000|7|Peter|48000</v>
      </c>
      <c r="P1211" s="3" t="str">
        <f>IF(COUNTIF(Sales_Data2[RowKey],Sales_Data2[[#This Row],[RowKey]])&gt;1,"Duplicate","Unique")</f>
        <v>Unique</v>
      </c>
      <c r="Q1211" s="3" t="str">
        <f>IF(ISNUMBER(Sales_Data2[[#This Row],[Date]]),"OK","Check")</f>
        <v>OK</v>
      </c>
      <c r="R1211" s="3" t="str">
        <f>IF(ISNUMBER(Sales_Data2[[#This Row],[Quantity]]),"OK","Check")</f>
        <v>OK</v>
      </c>
    </row>
    <row r="1212" spans="1:18">
      <c r="A1212" s="1">
        <v>46886</v>
      </c>
      <c r="B1212" t="s">
        <v>25</v>
      </c>
      <c r="C1212" t="s">
        <v>12</v>
      </c>
      <c r="D1212" t="s">
        <v>13</v>
      </c>
      <c r="E1212" t="s">
        <v>20</v>
      </c>
      <c r="F1212" t="s">
        <v>41</v>
      </c>
      <c r="G1212" t="s">
        <v>22</v>
      </c>
      <c r="H1212">
        <v>220000</v>
      </c>
      <c r="I1212">
        <v>10</v>
      </c>
      <c r="J1212" t="s">
        <v>24</v>
      </c>
      <c r="K1212">
        <f t="shared" si="18"/>
        <v>176000</v>
      </c>
      <c r="L1212">
        <f>Sales_Data2[[#This Row],[Unit Price]]*Sales_Data2[[#This Row],[Quantity]]</f>
        <v>2200000</v>
      </c>
      <c r="M1212">
        <f>Sales_Data2[[#This Row],[Cost Price]]*Sales_Data2[[#This Row],[Quantity]]</f>
        <v>1760000</v>
      </c>
      <c r="N1212" s="3">
        <f>Sales_Data2[[#This Row],[Revenue]]-Sales_Data2[[#This Row],[COGS]]</f>
        <v>440000</v>
      </c>
      <c r="O12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46886|South|Port Harcourt|Retail|Store|Refrigerator R55|Home Appliances|220000|10|David|176000</v>
      </c>
      <c r="P1212" s="3" t="str">
        <f>IF(COUNTIF(Sales_Data2[RowKey],Sales_Data2[[#This Row],[RowKey]])&gt;1,"Duplicate","Unique")</f>
        <v>Unique</v>
      </c>
      <c r="Q1212" s="3" t="str">
        <f>IF(ISNUMBER(Sales_Data2[[#This Row],[Date]]),"OK","Check")</f>
        <v>OK</v>
      </c>
      <c r="R1212" s="3" t="str">
        <f>IF(ISNUMBER(Sales_Data2[[#This Row],[Quantity]]),"OK","Check")</f>
        <v>OK</v>
      </c>
    </row>
    <row r="1213" spans="1:18">
      <c r="A1213" s="1">
        <v>46887</v>
      </c>
      <c r="B1213" t="s">
        <v>25</v>
      </c>
      <c r="C1213" t="s">
        <v>19</v>
      </c>
      <c r="D1213" t="s">
        <v>13</v>
      </c>
      <c r="E1213" t="s">
        <v>20</v>
      </c>
      <c r="F1213" t="s">
        <v>40</v>
      </c>
      <c r="G1213" t="s">
        <v>31</v>
      </c>
      <c r="H1213">
        <v>250000</v>
      </c>
      <c r="I1213">
        <v>5</v>
      </c>
      <c r="J1213" t="s">
        <v>39</v>
      </c>
      <c r="K1213">
        <f t="shared" si="18"/>
        <v>200000</v>
      </c>
      <c r="L1213">
        <f>Sales_Data2[[#This Row],[Unit Price]]*Sales_Data2[[#This Row],[Quantity]]</f>
        <v>1250000</v>
      </c>
      <c r="M1213">
        <f>Sales_Data2[[#This Row],[Cost Price]]*Sales_Data2[[#This Row],[Quantity]]</f>
        <v>1000000</v>
      </c>
      <c r="N1213" s="3">
        <f>Sales_Data2[[#This Row],[Revenue]]-Sales_Data2[[#This Row],[COGS]]</f>
        <v>250000</v>
      </c>
      <c r="O12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46887|South|Lagos|Retail|Store|Smartphone Z10|Electronics|250000|5|Grace|200000</v>
      </c>
      <c r="P1213" s="3" t="str">
        <f>IF(COUNTIF(Sales_Data2[RowKey],Sales_Data2[[#This Row],[RowKey]])&gt;1,"Duplicate","Unique")</f>
        <v>Unique</v>
      </c>
      <c r="Q1213" s="3" t="str">
        <f>IF(ISNUMBER(Sales_Data2[[#This Row],[Date]]),"OK","Check")</f>
        <v>OK</v>
      </c>
      <c r="R1213" s="3" t="str">
        <f>IF(ISNUMBER(Sales_Data2[[#This Row],[Quantity]]),"OK","Check")</f>
        <v>OK</v>
      </c>
    </row>
    <row r="1214" spans="1:18">
      <c r="A1214" s="1">
        <v>46888</v>
      </c>
      <c r="B1214" t="s">
        <v>25</v>
      </c>
      <c r="C1214" t="s">
        <v>32</v>
      </c>
      <c r="D1214" t="s">
        <v>13</v>
      </c>
      <c r="E1214" t="s">
        <v>14</v>
      </c>
      <c r="F1214" t="s">
        <v>15</v>
      </c>
      <c r="G1214" t="s">
        <v>16</v>
      </c>
      <c r="H1214">
        <v>85000</v>
      </c>
      <c r="I1214">
        <v>7</v>
      </c>
      <c r="J1214" t="s">
        <v>39</v>
      </c>
      <c r="K1214">
        <f t="shared" si="18"/>
        <v>68000</v>
      </c>
      <c r="L1214">
        <f>Sales_Data2[[#This Row],[Unit Price]]*Sales_Data2[[#This Row],[Quantity]]</f>
        <v>595000</v>
      </c>
      <c r="M1214">
        <f>Sales_Data2[[#This Row],[Cost Price]]*Sales_Data2[[#This Row],[Quantity]]</f>
        <v>476000</v>
      </c>
      <c r="N1214" s="3">
        <f>Sales_Data2[[#This Row],[Revenue]]-Sales_Data2[[#This Row],[COGS]]</f>
        <v>119000</v>
      </c>
      <c r="O12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46888|South|Abuja|Retail|Online|Office Chair Pro|Furniture|85000|7|Grace|68000</v>
      </c>
      <c r="P1214" s="3" t="str">
        <f>IF(COUNTIF(Sales_Data2[RowKey],Sales_Data2[[#This Row],[RowKey]])&gt;1,"Duplicate","Unique")</f>
        <v>Unique</v>
      </c>
      <c r="Q1214" s="3" t="str">
        <f>IF(ISNUMBER(Sales_Data2[[#This Row],[Date]]),"OK","Check")</f>
        <v>OK</v>
      </c>
      <c r="R1214" s="3" t="str">
        <f>IF(ISNUMBER(Sales_Data2[[#This Row],[Quantity]]),"OK","Check")</f>
        <v>OK</v>
      </c>
    </row>
    <row r="1215" spans="1:18">
      <c r="A1215" s="1">
        <v>46889</v>
      </c>
      <c r="B1215" t="s">
        <v>11</v>
      </c>
      <c r="C1215" t="s">
        <v>19</v>
      </c>
      <c r="D1215" t="s">
        <v>23</v>
      </c>
      <c r="E1215" t="s">
        <v>14</v>
      </c>
      <c r="F1215" t="s">
        <v>36</v>
      </c>
      <c r="G1215" t="s">
        <v>31</v>
      </c>
      <c r="H1215">
        <v>150000</v>
      </c>
      <c r="I1215">
        <v>4</v>
      </c>
      <c r="J1215" t="s">
        <v>28</v>
      </c>
      <c r="K1215">
        <f t="shared" si="18"/>
        <v>120000</v>
      </c>
      <c r="L1215">
        <f>Sales_Data2[[#This Row],[Unit Price]]*Sales_Data2[[#This Row],[Quantity]]</f>
        <v>600000</v>
      </c>
      <c r="M1215">
        <f>Sales_Data2[[#This Row],[Cost Price]]*Sales_Data2[[#This Row],[Quantity]]</f>
        <v>480000</v>
      </c>
      <c r="N1215" s="3">
        <f>Sales_Data2[[#This Row],[Revenue]]-Sales_Data2[[#This Row],[COGS]]</f>
        <v>120000</v>
      </c>
      <c r="O12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46889|West|Lagos|Corporate|Online|Printer P50|Electronics|150000|4|Musa|120000</v>
      </c>
      <c r="P1215" s="3" t="str">
        <f>IF(COUNTIF(Sales_Data2[RowKey],Sales_Data2[[#This Row],[RowKey]])&gt;1,"Duplicate","Unique")</f>
        <v>Unique</v>
      </c>
      <c r="Q1215" s="3" t="str">
        <f>IF(ISNUMBER(Sales_Data2[[#This Row],[Date]]),"OK","Check")</f>
        <v>OK</v>
      </c>
      <c r="R1215" s="3" t="str">
        <f>IF(ISNUMBER(Sales_Data2[[#This Row],[Quantity]]),"OK","Check")</f>
        <v>OK</v>
      </c>
    </row>
    <row r="1216" spans="1:18">
      <c r="A1216" s="1">
        <v>46890</v>
      </c>
      <c r="B1216" t="s">
        <v>25</v>
      </c>
      <c r="C1216" t="s">
        <v>32</v>
      </c>
      <c r="D1216" t="s">
        <v>13</v>
      </c>
      <c r="E1216" t="s">
        <v>14</v>
      </c>
      <c r="F1216" t="s">
        <v>38</v>
      </c>
      <c r="G1216" t="s">
        <v>31</v>
      </c>
      <c r="H1216">
        <v>420000</v>
      </c>
      <c r="I1216">
        <v>5</v>
      </c>
      <c r="J1216" t="s">
        <v>24</v>
      </c>
      <c r="K1216">
        <f t="shared" si="18"/>
        <v>336000</v>
      </c>
      <c r="L1216">
        <f>Sales_Data2[[#This Row],[Unit Price]]*Sales_Data2[[#This Row],[Quantity]]</f>
        <v>2100000</v>
      </c>
      <c r="M1216">
        <f>Sales_Data2[[#This Row],[Cost Price]]*Sales_Data2[[#This Row],[Quantity]]</f>
        <v>1680000</v>
      </c>
      <c r="N1216" s="3">
        <f>Sales_Data2[[#This Row],[Revenue]]-Sales_Data2[[#This Row],[COGS]]</f>
        <v>420000</v>
      </c>
      <c r="O12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46890|South|Abuja|Retail|Online|Laptop A13|Electronics|420000|5|David|336000</v>
      </c>
      <c r="P1216" s="3" t="str">
        <f>IF(COUNTIF(Sales_Data2[RowKey],Sales_Data2[[#This Row],[RowKey]])&gt;1,"Duplicate","Unique")</f>
        <v>Unique</v>
      </c>
      <c r="Q1216" s="3" t="str">
        <f>IF(ISNUMBER(Sales_Data2[[#This Row],[Date]]),"OK","Check")</f>
        <v>OK</v>
      </c>
      <c r="R1216" s="3" t="str">
        <f>IF(ISNUMBER(Sales_Data2[[#This Row],[Quantity]]),"OK","Check")</f>
        <v>OK</v>
      </c>
    </row>
    <row r="1217" spans="1:18">
      <c r="A1217" s="1">
        <v>46891</v>
      </c>
      <c r="B1217" t="s">
        <v>18</v>
      </c>
      <c r="C1217" t="s">
        <v>26</v>
      </c>
      <c r="D1217" t="s">
        <v>13</v>
      </c>
      <c r="E1217" t="s">
        <v>14</v>
      </c>
      <c r="F1217" t="s">
        <v>27</v>
      </c>
      <c r="G1217" t="s">
        <v>22</v>
      </c>
      <c r="H1217">
        <v>60000</v>
      </c>
      <c r="I1217">
        <v>5</v>
      </c>
      <c r="J1217" t="s">
        <v>17</v>
      </c>
      <c r="K1217">
        <f t="shared" si="18"/>
        <v>48000</v>
      </c>
      <c r="L1217">
        <f>Sales_Data2[[#This Row],[Unit Price]]*Sales_Data2[[#This Row],[Quantity]]</f>
        <v>300000</v>
      </c>
      <c r="M1217">
        <f>Sales_Data2[[#This Row],[Cost Price]]*Sales_Data2[[#This Row],[Quantity]]</f>
        <v>240000</v>
      </c>
      <c r="N1217" s="3">
        <f>Sales_Data2[[#This Row],[Revenue]]-Sales_Data2[[#This Row],[COGS]]</f>
        <v>60000</v>
      </c>
      <c r="O12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46891|East|Kano|Retail|Online|Microwave M20|Home Appliances|60000|5|Chidinma|48000</v>
      </c>
      <c r="P1217" s="3" t="str">
        <f>IF(COUNTIF(Sales_Data2[RowKey],Sales_Data2[[#This Row],[RowKey]])&gt;1,"Duplicate","Unique")</f>
        <v>Unique</v>
      </c>
      <c r="Q1217" s="3" t="str">
        <f>IF(ISNUMBER(Sales_Data2[[#This Row],[Date]]),"OK","Check")</f>
        <v>OK</v>
      </c>
      <c r="R1217" s="3" t="str">
        <f>IF(ISNUMBER(Sales_Data2[[#This Row],[Quantity]]),"OK","Check")</f>
        <v>OK</v>
      </c>
    </row>
    <row r="1218" spans="1:18">
      <c r="A1218" s="1">
        <v>46892</v>
      </c>
      <c r="B1218" t="s">
        <v>25</v>
      </c>
      <c r="C1218" t="s">
        <v>12</v>
      </c>
      <c r="D1218" t="s">
        <v>23</v>
      </c>
      <c r="E1218" t="s">
        <v>14</v>
      </c>
      <c r="F1218" t="s">
        <v>40</v>
      </c>
      <c r="G1218" t="s">
        <v>31</v>
      </c>
      <c r="H1218">
        <v>250000</v>
      </c>
      <c r="I1218">
        <v>10</v>
      </c>
      <c r="J1218" t="s">
        <v>24</v>
      </c>
      <c r="K1218">
        <f t="shared" ref="K1218:K1281" si="19">H1218-H1218*0.2</f>
        <v>200000</v>
      </c>
      <c r="L1218">
        <f>Sales_Data2[[#This Row],[Unit Price]]*Sales_Data2[[#This Row],[Quantity]]</f>
        <v>2500000</v>
      </c>
      <c r="M1218">
        <f>Sales_Data2[[#This Row],[Cost Price]]*Sales_Data2[[#This Row],[Quantity]]</f>
        <v>2000000</v>
      </c>
      <c r="N1218" s="3">
        <f>Sales_Data2[[#This Row],[Revenue]]-Sales_Data2[[#This Row],[COGS]]</f>
        <v>500000</v>
      </c>
      <c r="O12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46892|South|Port Harcourt|Corporate|Online|Smartphone Z10|Electronics|250000|10|David|200000</v>
      </c>
      <c r="P1218" s="3" t="str">
        <f>IF(COUNTIF(Sales_Data2[RowKey],Sales_Data2[[#This Row],[RowKey]])&gt;1,"Duplicate","Unique")</f>
        <v>Unique</v>
      </c>
      <c r="Q1218" s="3" t="str">
        <f>IF(ISNUMBER(Sales_Data2[[#This Row],[Date]]),"OK","Check")</f>
        <v>OK</v>
      </c>
      <c r="R1218" s="3" t="str">
        <f>IF(ISNUMBER(Sales_Data2[[#This Row],[Quantity]]),"OK","Check")</f>
        <v>OK</v>
      </c>
    </row>
    <row r="1219" spans="1:18">
      <c r="A1219" s="1">
        <v>46893</v>
      </c>
      <c r="B1219" t="s">
        <v>11</v>
      </c>
      <c r="C1219" t="s">
        <v>19</v>
      </c>
      <c r="D1219" t="s">
        <v>13</v>
      </c>
      <c r="E1219" t="s">
        <v>14</v>
      </c>
      <c r="F1219" t="s">
        <v>27</v>
      </c>
      <c r="G1219" t="s">
        <v>22</v>
      </c>
      <c r="H1219">
        <v>60000</v>
      </c>
      <c r="I1219">
        <v>3</v>
      </c>
      <c r="J1219" t="s">
        <v>24</v>
      </c>
      <c r="K1219">
        <f t="shared" si="19"/>
        <v>48000</v>
      </c>
      <c r="L1219">
        <f>Sales_Data2[[#This Row],[Unit Price]]*Sales_Data2[[#This Row],[Quantity]]</f>
        <v>180000</v>
      </c>
      <c r="M1219">
        <f>Sales_Data2[[#This Row],[Cost Price]]*Sales_Data2[[#This Row],[Quantity]]</f>
        <v>144000</v>
      </c>
      <c r="N1219" s="3">
        <f>Sales_Data2[[#This Row],[Revenue]]-Sales_Data2[[#This Row],[COGS]]</f>
        <v>36000</v>
      </c>
      <c r="O12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46893|West|Lagos|Retail|Online|Microwave M20|Home Appliances|60000|3|David|48000</v>
      </c>
      <c r="P1219" s="3" t="str">
        <f>IF(COUNTIF(Sales_Data2[RowKey],Sales_Data2[[#This Row],[RowKey]])&gt;1,"Duplicate","Unique")</f>
        <v>Unique</v>
      </c>
      <c r="Q1219" s="3" t="str">
        <f>IF(ISNUMBER(Sales_Data2[[#This Row],[Date]]),"OK","Check")</f>
        <v>OK</v>
      </c>
      <c r="R1219" s="3" t="str">
        <f>IF(ISNUMBER(Sales_Data2[[#This Row],[Quantity]]),"OK","Check")</f>
        <v>OK</v>
      </c>
    </row>
    <row r="1220" spans="1:18">
      <c r="A1220" s="1">
        <v>46894</v>
      </c>
      <c r="B1220" t="s">
        <v>11</v>
      </c>
      <c r="C1220" t="s">
        <v>32</v>
      </c>
      <c r="D1220" t="s">
        <v>23</v>
      </c>
      <c r="E1220" t="s">
        <v>14</v>
      </c>
      <c r="F1220" t="s">
        <v>41</v>
      </c>
      <c r="G1220" t="s">
        <v>22</v>
      </c>
      <c r="H1220">
        <v>220000</v>
      </c>
      <c r="I1220">
        <v>5</v>
      </c>
      <c r="J1220" t="s">
        <v>37</v>
      </c>
      <c r="K1220">
        <f t="shared" si="19"/>
        <v>176000</v>
      </c>
      <c r="L1220">
        <f>Sales_Data2[[#This Row],[Unit Price]]*Sales_Data2[[#This Row],[Quantity]]</f>
        <v>1100000</v>
      </c>
      <c r="M1220">
        <f>Sales_Data2[[#This Row],[Cost Price]]*Sales_Data2[[#This Row],[Quantity]]</f>
        <v>880000</v>
      </c>
      <c r="N1220" s="3">
        <f>Sales_Data2[[#This Row],[Revenue]]-Sales_Data2[[#This Row],[COGS]]</f>
        <v>220000</v>
      </c>
      <c r="O12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46894|West|Abuja|Corporate|Online|Refrigerator R55|Home Appliances|220000|5|Aisha|176000</v>
      </c>
      <c r="P1220" s="3" t="str">
        <f>IF(COUNTIF(Sales_Data2[RowKey],Sales_Data2[[#This Row],[RowKey]])&gt;1,"Duplicate","Unique")</f>
        <v>Unique</v>
      </c>
      <c r="Q1220" s="3" t="str">
        <f>IF(ISNUMBER(Sales_Data2[[#This Row],[Date]]),"OK","Check")</f>
        <v>OK</v>
      </c>
      <c r="R1220" s="3" t="str">
        <f>IF(ISNUMBER(Sales_Data2[[#This Row],[Quantity]]),"OK","Check")</f>
        <v>OK</v>
      </c>
    </row>
    <row r="1221" spans="1:18">
      <c r="A1221" s="1">
        <v>46895</v>
      </c>
      <c r="B1221" t="s">
        <v>25</v>
      </c>
      <c r="C1221" t="s">
        <v>12</v>
      </c>
      <c r="D1221" t="s">
        <v>23</v>
      </c>
      <c r="E1221" t="s">
        <v>20</v>
      </c>
      <c r="F1221" t="s">
        <v>38</v>
      </c>
      <c r="G1221" t="s">
        <v>31</v>
      </c>
      <c r="H1221">
        <v>420000</v>
      </c>
      <c r="I1221">
        <v>3</v>
      </c>
      <c r="J1221" t="s">
        <v>28</v>
      </c>
      <c r="K1221">
        <f t="shared" si="19"/>
        <v>336000</v>
      </c>
      <c r="L1221">
        <f>Sales_Data2[[#This Row],[Unit Price]]*Sales_Data2[[#This Row],[Quantity]]</f>
        <v>1260000</v>
      </c>
      <c r="M1221">
        <f>Sales_Data2[[#This Row],[Cost Price]]*Sales_Data2[[#This Row],[Quantity]]</f>
        <v>1008000</v>
      </c>
      <c r="N1221" s="3">
        <f>Sales_Data2[[#This Row],[Revenue]]-Sales_Data2[[#This Row],[COGS]]</f>
        <v>252000</v>
      </c>
      <c r="O12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46895|South|Port Harcourt|Corporate|Store|Laptop A13|Electronics|420000|3|Musa|336000</v>
      </c>
      <c r="P1221" s="3" t="str">
        <f>IF(COUNTIF(Sales_Data2[RowKey],Sales_Data2[[#This Row],[RowKey]])&gt;1,"Duplicate","Unique")</f>
        <v>Unique</v>
      </c>
      <c r="Q1221" s="3" t="str">
        <f>IF(ISNUMBER(Sales_Data2[[#This Row],[Date]]),"OK","Check")</f>
        <v>OK</v>
      </c>
      <c r="R1221" s="3" t="str">
        <f>IF(ISNUMBER(Sales_Data2[[#This Row],[Quantity]]),"OK","Check")</f>
        <v>OK</v>
      </c>
    </row>
    <row r="1222" spans="1:18">
      <c r="A1222" s="1">
        <v>46896</v>
      </c>
      <c r="B1222" t="s">
        <v>11</v>
      </c>
      <c r="C1222" t="s">
        <v>19</v>
      </c>
      <c r="D1222" t="s">
        <v>23</v>
      </c>
      <c r="E1222" t="s">
        <v>20</v>
      </c>
      <c r="F1222" t="s">
        <v>27</v>
      </c>
      <c r="G1222" t="s">
        <v>22</v>
      </c>
      <c r="H1222">
        <v>60000</v>
      </c>
      <c r="I1222">
        <v>7</v>
      </c>
      <c r="J1222" t="s">
        <v>35</v>
      </c>
      <c r="K1222">
        <f t="shared" si="19"/>
        <v>48000</v>
      </c>
      <c r="L1222">
        <f>Sales_Data2[[#This Row],[Unit Price]]*Sales_Data2[[#This Row],[Quantity]]</f>
        <v>420000</v>
      </c>
      <c r="M1222">
        <f>Sales_Data2[[#This Row],[Cost Price]]*Sales_Data2[[#This Row],[Quantity]]</f>
        <v>336000</v>
      </c>
      <c r="N1222" s="3">
        <f>Sales_Data2[[#This Row],[Revenue]]-Sales_Data2[[#This Row],[COGS]]</f>
        <v>84000</v>
      </c>
      <c r="O12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46896|West|Lagos|Corporate|Store|Microwave M20|Home Appliances|60000|7|Peter|48000</v>
      </c>
      <c r="P1222" s="3" t="str">
        <f>IF(COUNTIF(Sales_Data2[RowKey],Sales_Data2[[#This Row],[RowKey]])&gt;1,"Duplicate","Unique")</f>
        <v>Unique</v>
      </c>
      <c r="Q1222" s="3" t="str">
        <f>IF(ISNUMBER(Sales_Data2[[#This Row],[Date]]),"OK","Check")</f>
        <v>OK</v>
      </c>
      <c r="R1222" s="3" t="str">
        <f>IF(ISNUMBER(Sales_Data2[[#This Row],[Quantity]]),"OK","Check")</f>
        <v>OK</v>
      </c>
    </row>
    <row r="1223" spans="1:18">
      <c r="A1223" s="1">
        <v>46897</v>
      </c>
      <c r="B1223" t="s">
        <v>11</v>
      </c>
      <c r="C1223" t="s">
        <v>12</v>
      </c>
      <c r="D1223" t="s">
        <v>13</v>
      </c>
      <c r="E1223" t="s">
        <v>14</v>
      </c>
      <c r="F1223" t="s">
        <v>41</v>
      </c>
      <c r="G1223" t="s">
        <v>22</v>
      </c>
      <c r="H1223">
        <v>220000</v>
      </c>
      <c r="I1223">
        <v>8</v>
      </c>
      <c r="J1223" t="s">
        <v>28</v>
      </c>
      <c r="K1223">
        <f t="shared" si="19"/>
        <v>176000</v>
      </c>
      <c r="L1223">
        <f>Sales_Data2[[#This Row],[Unit Price]]*Sales_Data2[[#This Row],[Quantity]]</f>
        <v>1760000</v>
      </c>
      <c r="M1223">
        <f>Sales_Data2[[#This Row],[Cost Price]]*Sales_Data2[[#This Row],[Quantity]]</f>
        <v>1408000</v>
      </c>
      <c r="N1223" s="3">
        <f>Sales_Data2[[#This Row],[Revenue]]-Sales_Data2[[#This Row],[COGS]]</f>
        <v>352000</v>
      </c>
      <c r="O12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46897|West|Port Harcourt|Retail|Online|Refrigerator R55|Home Appliances|220000|8|Musa|176000</v>
      </c>
      <c r="P1223" s="3" t="str">
        <f>IF(COUNTIF(Sales_Data2[RowKey],Sales_Data2[[#This Row],[RowKey]])&gt;1,"Duplicate","Unique")</f>
        <v>Unique</v>
      </c>
      <c r="Q1223" s="3" t="str">
        <f>IF(ISNUMBER(Sales_Data2[[#This Row],[Date]]),"OK","Check")</f>
        <v>OK</v>
      </c>
      <c r="R1223" s="3" t="str">
        <f>IF(ISNUMBER(Sales_Data2[[#This Row],[Quantity]]),"OK","Check")</f>
        <v>OK</v>
      </c>
    </row>
    <row r="1224" spans="1:18">
      <c r="A1224" s="1">
        <v>46898</v>
      </c>
      <c r="B1224" t="s">
        <v>11</v>
      </c>
      <c r="C1224" t="s">
        <v>32</v>
      </c>
      <c r="D1224" t="s">
        <v>23</v>
      </c>
      <c r="E1224" t="s">
        <v>20</v>
      </c>
      <c r="F1224" t="s">
        <v>40</v>
      </c>
      <c r="G1224" t="s">
        <v>31</v>
      </c>
      <c r="H1224">
        <v>250000</v>
      </c>
      <c r="I1224">
        <v>6</v>
      </c>
      <c r="J1224" t="s">
        <v>37</v>
      </c>
      <c r="K1224">
        <f t="shared" si="19"/>
        <v>200000</v>
      </c>
      <c r="L1224">
        <f>Sales_Data2[[#This Row],[Unit Price]]*Sales_Data2[[#This Row],[Quantity]]</f>
        <v>1500000</v>
      </c>
      <c r="M1224">
        <f>Sales_Data2[[#This Row],[Cost Price]]*Sales_Data2[[#This Row],[Quantity]]</f>
        <v>1200000</v>
      </c>
      <c r="N1224" s="3">
        <f>Sales_Data2[[#This Row],[Revenue]]-Sales_Data2[[#This Row],[COGS]]</f>
        <v>300000</v>
      </c>
      <c r="O12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46898|West|Abuja|Corporate|Store|Smartphone Z10|Electronics|250000|6|Aisha|200000</v>
      </c>
      <c r="P1224" s="3" t="str">
        <f>IF(COUNTIF(Sales_Data2[RowKey],Sales_Data2[[#This Row],[RowKey]])&gt;1,"Duplicate","Unique")</f>
        <v>Unique</v>
      </c>
      <c r="Q1224" s="3" t="str">
        <f>IF(ISNUMBER(Sales_Data2[[#This Row],[Date]]),"OK","Check")</f>
        <v>OK</v>
      </c>
      <c r="R1224" s="3" t="str">
        <f>IF(ISNUMBER(Sales_Data2[[#This Row],[Quantity]]),"OK","Check")</f>
        <v>OK</v>
      </c>
    </row>
    <row r="1225" spans="1:18">
      <c r="A1225" s="1">
        <v>46899</v>
      </c>
      <c r="B1225" t="s">
        <v>11</v>
      </c>
      <c r="C1225" t="s">
        <v>19</v>
      </c>
      <c r="D1225" t="s">
        <v>23</v>
      </c>
      <c r="E1225" t="s">
        <v>14</v>
      </c>
      <c r="F1225" t="s">
        <v>36</v>
      </c>
      <c r="G1225" t="s">
        <v>31</v>
      </c>
      <c r="H1225">
        <v>150000</v>
      </c>
      <c r="I1225">
        <v>5</v>
      </c>
      <c r="J1225" t="s">
        <v>28</v>
      </c>
      <c r="K1225">
        <f t="shared" si="19"/>
        <v>120000</v>
      </c>
      <c r="L1225">
        <f>Sales_Data2[[#This Row],[Unit Price]]*Sales_Data2[[#This Row],[Quantity]]</f>
        <v>750000</v>
      </c>
      <c r="M1225">
        <f>Sales_Data2[[#This Row],[Cost Price]]*Sales_Data2[[#This Row],[Quantity]]</f>
        <v>600000</v>
      </c>
      <c r="N1225" s="3">
        <f>Sales_Data2[[#This Row],[Revenue]]-Sales_Data2[[#This Row],[COGS]]</f>
        <v>150000</v>
      </c>
      <c r="O12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46899|West|Lagos|Corporate|Online|Printer P50|Electronics|150000|5|Musa|120000</v>
      </c>
      <c r="P1225" s="3" t="str">
        <f>IF(COUNTIF(Sales_Data2[RowKey],Sales_Data2[[#This Row],[RowKey]])&gt;1,"Duplicate","Unique")</f>
        <v>Unique</v>
      </c>
      <c r="Q1225" s="3" t="str">
        <f>IF(ISNUMBER(Sales_Data2[[#This Row],[Date]]),"OK","Check")</f>
        <v>OK</v>
      </c>
      <c r="R1225" s="3" t="str">
        <f>IF(ISNUMBER(Sales_Data2[[#This Row],[Quantity]]),"OK","Check")</f>
        <v>OK</v>
      </c>
    </row>
    <row r="1226" spans="1:18">
      <c r="A1226" s="1">
        <v>46900</v>
      </c>
      <c r="B1226" t="s">
        <v>29</v>
      </c>
      <c r="C1226" t="s">
        <v>19</v>
      </c>
      <c r="D1226" t="s">
        <v>23</v>
      </c>
      <c r="E1226" t="s">
        <v>14</v>
      </c>
      <c r="F1226" t="s">
        <v>15</v>
      </c>
      <c r="G1226" t="s">
        <v>16</v>
      </c>
      <c r="H1226">
        <v>85000</v>
      </c>
      <c r="I1226">
        <v>2</v>
      </c>
      <c r="J1226" t="s">
        <v>35</v>
      </c>
      <c r="K1226">
        <f t="shared" si="19"/>
        <v>68000</v>
      </c>
      <c r="L1226">
        <f>Sales_Data2[[#This Row],[Unit Price]]*Sales_Data2[[#This Row],[Quantity]]</f>
        <v>170000</v>
      </c>
      <c r="M1226">
        <f>Sales_Data2[[#This Row],[Cost Price]]*Sales_Data2[[#This Row],[Quantity]]</f>
        <v>136000</v>
      </c>
      <c r="N1226" s="3">
        <f>Sales_Data2[[#This Row],[Revenue]]-Sales_Data2[[#This Row],[COGS]]</f>
        <v>34000</v>
      </c>
      <c r="O12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46900|North|Lagos|Corporate|Online|Office Chair Pro|Furniture|85000|2|Peter|68000</v>
      </c>
      <c r="P1226" s="3" t="str">
        <f>IF(COUNTIF(Sales_Data2[RowKey],Sales_Data2[[#This Row],[RowKey]])&gt;1,"Duplicate","Unique")</f>
        <v>Unique</v>
      </c>
      <c r="Q1226" s="3" t="str">
        <f>IF(ISNUMBER(Sales_Data2[[#This Row],[Date]]),"OK","Check")</f>
        <v>OK</v>
      </c>
      <c r="R1226" s="3" t="str">
        <f>IF(ISNUMBER(Sales_Data2[[#This Row],[Quantity]]),"OK","Check")</f>
        <v>OK</v>
      </c>
    </row>
    <row r="1227" spans="1:18">
      <c r="A1227" s="1">
        <v>46901</v>
      </c>
      <c r="B1227" t="s">
        <v>25</v>
      </c>
      <c r="C1227" t="s">
        <v>12</v>
      </c>
      <c r="D1227" t="s">
        <v>23</v>
      </c>
      <c r="E1227" t="s">
        <v>20</v>
      </c>
      <c r="F1227" t="s">
        <v>15</v>
      </c>
      <c r="G1227" t="s">
        <v>16</v>
      </c>
      <c r="H1227">
        <v>85000</v>
      </c>
      <c r="I1227">
        <v>6</v>
      </c>
      <c r="J1227" t="s">
        <v>24</v>
      </c>
      <c r="K1227">
        <f t="shared" si="19"/>
        <v>68000</v>
      </c>
      <c r="L1227">
        <f>Sales_Data2[[#This Row],[Unit Price]]*Sales_Data2[[#This Row],[Quantity]]</f>
        <v>510000</v>
      </c>
      <c r="M1227">
        <f>Sales_Data2[[#This Row],[Cost Price]]*Sales_Data2[[#This Row],[Quantity]]</f>
        <v>408000</v>
      </c>
      <c r="N1227" s="3">
        <f>Sales_Data2[[#This Row],[Revenue]]-Sales_Data2[[#This Row],[COGS]]</f>
        <v>102000</v>
      </c>
      <c r="O12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46901|South|Port Harcourt|Corporate|Store|Office Chair Pro|Furniture|85000|6|David|68000</v>
      </c>
      <c r="P1227" s="3" t="str">
        <f>IF(COUNTIF(Sales_Data2[RowKey],Sales_Data2[[#This Row],[RowKey]])&gt;1,"Duplicate","Unique")</f>
        <v>Unique</v>
      </c>
      <c r="Q1227" s="3" t="str">
        <f>IF(ISNUMBER(Sales_Data2[[#This Row],[Date]]),"OK","Check")</f>
        <v>OK</v>
      </c>
      <c r="R1227" s="3" t="str">
        <f>IF(ISNUMBER(Sales_Data2[[#This Row],[Quantity]]),"OK","Check")</f>
        <v>OK</v>
      </c>
    </row>
    <row r="1228" spans="1:18">
      <c r="A1228" s="1">
        <v>46902</v>
      </c>
      <c r="B1228" t="s">
        <v>11</v>
      </c>
      <c r="C1228" t="s">
        <v>32</v>
      </c>
      <c r="D1228" t="s">
        <v>23</v>
      </c>
      <c r="E1228" t="s">
        <v>14</v>
      </c>
      <c r="F1228" t="s">
        <v>36</v>
      </c>
      <c r="G1228" t="s">
        <v>31</v>
      </c>
      <c r="H1228">
        <v>150000</v>
      </c>
      <c r="I1228">
        <v>5</v>
      </c>
      <c r="J1228" t="s">
        <v>35</v>
      </c>
      <c r="K1228">
        <f t="shared" si="19"/>
        <v>120000</v>
      </c>
      <c r="L1228">
        <f>Sales_Data2[[#This Row],[Unit Price]]*Sales_Data2[[#This Row],[Quantity]]</f>
        <v>750000</v>
      </c>
      <c r="M1228">
        <f>Sales_Data2[[#This Row],[Cost Price]]*Sales_Data2[[#This Row],[Quantity]]</f>
        <v>600000</v>
      </c>
      <c r="N1228" s="3">
        <f>Sales_Data2[[#This Row],[Revenue]]-Sales_Data2[[#This Row],[COGS]]</f>
        <v>150000</v>
      </c>
      <c r="O12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46902|West|Abuja|Corporate|Online|Printer P50|Electronics|150000|5|Peter|120000</v>
      </c>
      <c r="P1228" s="3" t="str">
        <f>IF(COUNTIF(Sales_Data2[RowKey],Sales_Data2[[#This Row],[RowKey]])&gt;1,"Duplicate","Unique")</f>
        <v>Unique</v>
      </c>
      <c r="Q1228" s="3" t="str">
        <f>IF(ISNUMBER(Sales_Data2[[#This Row],[Date]]),"OK","Check")</f>
        <v>OK</v>
      </c>
      <c r="R1228" s="3" t="str">
        <f>IF(ISNUMBER(Sales_Data2[[#This Row],[Quantity]]),"OK","Check")</f>
        <v>OK</v>
      </c>
    </row>
    <row r="1229" spans="1:18">
      <c r="A1229" s="1">
        <v>46903</v>
      </c>
      <c r="B1229" t="s">
        <v>11</v>
      </c>
      <c r="C1229" t="s">
        <v>26</v>
      </c>
      <c r="D1229" t="s">
        <v>23</v>
      </c>
      <c r="E1229" t="s">
        <v>20</v>
      </c>
      <c r="F1229" t="s">
        <v>38</v>
      </c>
      <c r="G1229" t="s">
        <v>31</v>
      </c>
      <c r="H1229">
        <v>420000</v>
      </c>
      <c r="I1229">
        <v>4</v>
      </c>
      <c r="J1229" t="s">
        <v>37</v>
      </c>
      <c r="K1229">
        <f t="shared" si="19"/>
        <v>336000</v>
      </c>
      <c r="L1229">
        <f>Sales_Data2[[#This Row],[Unit Price]]*Sales_Data2[[#This Row],[Quantity]]</f>
        <v>1680000</v>
      </c>
      <c r="M1229">
        <f>Sales_Data2[[#This Row],[Cost Price]]*Sales_Data2[[#This Row],[Quantity]]</f>
        <v>1344000</v>
      </c>
      <c r="N1229" s="3">
        <f>Sales_Data2[[#This Row],[Revenue]]-Sales_Data2[[#This Row],[COGS]]</f>
        <v>336000</v>
      </c>
      <c r="O12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46903|West|Kano|Corporate|Store|Laptop A13|Electronics|420000|4|Aisha|336000</v>
      </c>
      <c r="P1229" s="3" t="str">
        <f>IF(COUNTIF(Sales_Data2[RowKey],Sales_Data2[[#This Row],[RowKey]])&gt;1,"Duplicate","Unique")</f>
        <v>Unique</v>
      </c>
      <c r="Q1229" s="3" t="str">
        <f>IF(ISNUMBER(Sales_Data2[[#This Row],[Date]]),"OK","Check")</f>
        <v>OK</v>
      </c>
      <c r="R1229" s="3" t="str">
        <f>IF(ISNUMBER(Sales_Data2[[#This Row],[Quantity]]),"OK","Check")</f>
        <v>OK</v>
      </c>
    </row>
    <row r="1230" spans="1:18">
      <c r="A1230" s="1">
        <v>46904</v>
      </c>
      <c r="B1230" t="s">
        <v>18</v>
      </c>
      <c r="C1230" t="s">
        <v>26</v>
      </c>
      <c r="D1230" t="s">
        <v>23</v>
      </c>
      <c r="E1230" t="s">
        <v>20</v>
      </c>
      <c r="F1230" t="s">
        <v>30</v>
      </c>
      <c r="G1230" t="s">
        <v>31</v>
      </c>
      <c r="H1230">
        <v>300000</v>
      </c>
      <c r="I1230">
        <v>6</v>
      </c>
      <c r="J1230" t="s">
        <v>39</v>
      </c>
      <c r="K1230">
        <f t="shared" si="19"/>
        <v>240000</v>
      </c>
      <c r="L1230">
        <f>Sales_Data2[[#This Row],[Unit Price]]*Sales_Data2[[#This Row],[Quantity]]</f>
        <v>1800000</v>
      </c>
      <c r="M1230">
        <f>Sales_Data2[[#This Row],[Cost Price]]*Sales_Data2[[#This Row],[Quantity]]</f>
        <v>1440000</v>
      </c>
      <c r="N1230" s="3">
        <f>Sales_Data2[[#This Row],[Revenue]]-Sales_Data2[[#This Row],[COGS]]</f>
        <v>360000</v>
      </c>
      <c r="O12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46904|East|Kano|Corporate|Store|Desktop PC D21|Electronics|300000|6|Grace|240000</v>
      </c>
      <c r="P1230" s="3" t="str">
        <f>IF(COUNTIF(Sales_Data2[RowKey],Sales_Data2[[#This Row],[RowKey]])&gt;1,"Duplicate","Unique")</f>
        <v>Unique</v>
      </c>
      <c r="Q1230" s="3" t="str">
        <f>IF(ISNUMBER(Sales_Data2[[#This Row],[Date]]),"OK","Check")</f>
        <v>OK</v>
      </c>
      <c r="R1230" s="3" t="str">
        <f>IF(ISNUMBER(Sales_Data2[[#This Row],[Quantity]]),"OK","Check")</f>
        <v>OK</v>
      </c>
    </row>
    <row r="1231" spans="1:18">
      <c r="A1231" s="1">
        <v>46905</v>
      </c>
      <c r="B1231" t="s">
        <v>29</v>
      </c>
      <c r="C1231" t="s">
        <v>12</v>
      </c>
      <c r="D1231" t="s">
        <v>23</v>
      </c>
      <c r="E1231" t="s">
        <v>14</v>
      </c>
      <c r="F1231" t="s">
        <v>27</v>
      </c>
      <c r="G1231" t="s">
        <v>22</v>
      </c>
      <c r="H1231">
        <v>60000</v>
      </c>
      <c r="I1231">
        <v>2</v>
      </c>
      <c r="J1231" t="s">
        <v>37</v>
      </c>
      <c r="K1231">
        <f t="shared" si="19"/>
        <v>48000</v>
      </c>
      <c r="L1231">
        <f>Sales_Data2[[#This Row],[Unit Price]]*Sales_Data2[[#This Row],[Quantity]]</f>
        <v>120000</v>
      </c>
      <c r="M1231">
        <f>Sales_Data2[[#This Row],[Cost Price]]*Sales_Data2[[#This Row],[Quantity]]</f>
        <v>96000</v>
      </c>
      <c r="N1231" s="3">
        <f>Sales_Data2[[#This Row],[Revenue]]-Sales_Data2[[#This Row],[COGS]]</f>
        <v>24000</v>
      </c>
      <c r="O12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46905|North|Port Harcourt|Corporate|Online|Microwave M20|Home Appliances|60000|2|Aisha|48000</v>
      </c>
      <c r="P1231" s="3" t="str">
        <f>IF(COUNTIF(Sales_Data2[RowKey],Sales_Data2[[#This Row],[RowKey]])&gt;1,"Duplicate","Unique")</f>
        <v>Unique</v>
      </c>
      <c r="Q1231" s="3" t="str">
        <f>IF(ISNUMBER(Sales_Data2[[#This Row],[Date]]),"OK","Check")</f>
        <v>OK</v>
      </c>
      <c r="R1231" s="3" t="str">
        <f>IF(ISNUMBER(Sales_Data2[[#This Row],[Quantity]]),"OK","Check")</f>
        <v>OK</v>
      </c>
    </row>
    <row r="1232" spans="1:18">
      <c r="A1232" s="1">
        <v>46906</v>
      </c>
      <c r="B1232" t="s">
        <v>29</v>
      </c>
      <c r="C1232" t="s">
        <v>32</v>
      </c>
      <c r="D1232" t="s">
        <v>23</v>
      </c>
      <c r="E1232" t="s">
        <v>14</v>
      </c>
      <c r="F1232" t="s">
        <v>15</v>
      </c>
      <c r="G1232" t="s">
        <v>16</v>
      </c>
      <c r="H1232">
        <v>85000</v>
      </c>
      <c r="I1232">
        <v>5</v>
      </c>
      <c r="J1232" t="s">
        <v>35</v>
      </c>
      <c r="K1232">
        <f t="shared" si="19"/>
        <v>68000</v>
      </c>
      <c r="L1232">
        <f>Sales_Data2[[#This Row],[Unit Price]]*Sales_Data2[[#This Row],[Quantity]]</f>
        <v>425000</v>
      </c>
      <c r="M1232">
        <f>Sales_Data2[[#This Row],[Cost Price]]*Sales_Data2[[#This Row],[Quantity]]</f>
        <v>340000</v>
      </c>
      <c r="N1232" s="3">
        <f>Sales_Data2[[#This Row],[Revenue]]-Sales_Data2[[#This Row],[COGS]]</f>
        <v>85000</v>
      </c>
      <c r="O12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46906|North|Abuja|Corporate|Online|Office Chair Pro|Furniture|85000|5|Peter|68000</v>
      </c>
      <c r="P1232" s="3" t="str">
        <f>IF(COUNTIF(Sales_Data2[RowKey],Sales_Data2[[#This Row],[RowKey]])&gt;1,"Duplicate","Unique")</f>
        <v>Unique</v>
      </c>
      <c r="Q1232" s="3" t="str">
        <f>IF(ISNUMBER(Sales_Data2[[#This Row],[Date]]),"OK","Check")</f>
        <v>OK</v>
      </c>
      <c r="R1232" s="3" t="str">
        <f>IF(ISNUMBER(Sales_Data2[[#This Row],[Quantity]]),"OK","Check")</f>
        <v>OK</v>
      </c>
    </row>
    <row r="1233" spans="1:18">
      <c r="A1233" s="1">
        <v>46907</v>
      </c>
      <c r="B1233" t="s">
        <v>11</v>
      </c>
      <c r="C1233" t="s">
        <v>32</v>
      </c>
      <c r="D1233" t="s">
        <v>13</v>
      </c>
      <c r="E1233" t="s">
        <v>20</v>
      </c>
      <c r="F1233" t="s">
        <v>27</v>
      </c>
      <c r="G1233" t="s">
        <v>22</v>
      </c>
      <c r="H1233">
        <v>60000</v>
      </c>
      <c r="I1233">
        <v>3</v>
      </c>
      <c r="J1233" t="s">
        <v>24</v>
      </c>
      <c r="K1233">
        <f t="shared" si="19"/>
        <v>48000</v>
      </c>
      <c r="L1233">
        <f>Sales_Data2[[#This Row],[Unit Price]]*Sales_Data2[[#This Row],[Quantity]]</f>
        <v>180000</v>
      </c>
      <c r="M1233">
        <f>Sales_Data2[[#This Row],[Cost Price]]*Sales_Data2[[#This Row],[Quantity]]</f>
        <v>144000</v>
      </c>
      <c r="N1233" s="3">
        <f>Sales_Data2[[#This Row],[Revenue]]-Sales_Data2[[#This Row],[COGS]]</f>
        <v>36000</v>
      </c>
      <c r="O12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46907|West|Abuja|Retail|Store|Microwave M20|Home Appliances|60000|3|David|48000</v>
      </c>
      <c r="P1233" s="3" t="str">
        <f>IF(COUNTIF(Sales_Data2[RowKey],Sales_Data2[[#This Row],[RowKey]])&gt;1,"Duplicate","Unique")</f>
        <v>Unique</v>
      </c>
      <c r="Q1233" s="3" t="str">
        <f>IF(ISNUMBER(Sales_Data2[[#This Row],[Date]]),"OK","Check")</f>
        <v>OK</v>
      </c>
      <c r="R1233" s="3" t="str">
        <f>IF(ISNUMBER(Sales_Data2[[#This Row],[Quantity]]),"OK","Check")</f>
        <v>OK</v>
      </c>
    </row>
    <row r="1234" spans="1:18">
      <c r="A1234" s="1">
        <v>46908</v>
      </c>
      <c r="B1234" t="s">
        <v>29</v>
      </c>
      <c r="C1234" t="s">
        <v>32</v>
      </c>
      <c r="D1234" t="s">
        <v>23</v>
      </c>
      <c r="E1234" t="s">
        <v>14</v>
      </c>
      <c r="F1234" t="s">
        <v>15</v>
      </c>
      <c r="G1234" t="s">
        <v>16</v>
      </c>
      <c r="H1234">
        <v>85000</v>
      </c>
      <c r="I1234">
        <v>7</v>
      </c>
      <c r="J1234" t="s">
        <v>35</v>
      </c>
      <c r="K1234">
        <f t="shared" si="19"/>
        <v>68000</v>
      </c>
      <c r="L1234">
        <f>Sales_Data2[[#This Row],[Unit Price]]*Sales_Data2[[#This Row],[Quantity]]</f>
        <v>595000</v>
      </c>
      <c r="M1234">
        <f>Sales_Data2[[#This Row],[Cost Price]]*Sales_Data2[[#This Row],[Quantity]]</f>
        <v>476000</v>
      </c>
      <c r="N1234" s="3">
        <f>Sales_Data2[[#This Row],[Revenue]]-Sales_Data2[[#This Row],[COGS]]</f>
        <v>119000</v>
      </c>
      <c r="O12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46908|North|Abuja|Corporate|Online|Office Chair Pro|Furniture|85000|7|Peter|68000</v>
      </c>
      <c r="P1234" s="3" t="str">
        <f>IF(COUNTIF(Sales_Data2[RowKey],Sales_Data2[[#This Row],[RowKey]])&gt;1,"Duplicate","Unique")</f>
        <v>Unique</v>
      </c>
      <c r="Q1234" s="3" t="str">
        <f>IF(ISNUMBER(Sales_Data2[[#This Row],[Date]]),"OK","Check")</f>
        <v>OK</v>
      </c>
      <c r="R1234" s="3" t="str">
        <f>IF(ISNUMBER(Sales_Data2[[#This Row],[Quantity]]),"OK","Check")</f>
        <v>OK</v>
      </c>
    </row>
    <row r="1235" spans="1:18">
      <c r="A1235" s="1">
        <v>46909</v>
      </c>
      <c r="B1235" t="s">
        <v>29</v>
      </c>
      <c r="C1235" t="s">
        <v>19</v>
      </c>
      <c r="D1235" t="s">
        <v>23</v>
      </c>
      <c r="E1235" t="s">
        <v>14</v>
      </c>
      <c r="F1235" t="s">
        <v>33</v>
      </c>
      <c r="G1235" t="s">
        <v>22</v>
      </c>
      <c r="H1235">
        <v>180000</v>
      </c>
      <c r="I1235">
        <v>5</v>
      </c>
      <c r="J1235" t="s">
        <v>39</v>
      </c>
      <c r="K1235">
        <f t="shared" si="19"/>
        <v>144000</v>
      </c>
      <c r="L1235">
        <f>Sales_Data2[[#This Row],[Unit Price]]*Sales_Data2[[#This Row],[Quantity]]</f>
        <v>900000</v>
      </c>
      <c r="M1235">
        <f>Sales_Data2[[#This Row],[Cost Price]]*Sales_Data2[[#This Row],[Quantity]]</f>
        <v>720000</v>
      </c>
      <c r="N1235" s="3">
        <f>Sales_Data2[[#This Row],[Revenue]]-Sales_Data2[[#This Row],[COGS]]</f>
        <v>180000</v>
      </c>
      <c r="O12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46909|North|Lagos|Corporate|Online|Air Conditioner X2|Home Appliances|180000|5|Grace|144000</v>
      </c>
      <c r="P1235" s="3" t="str">
        <f>IF(COUNTIF(Sales_Data2[RowKey],Sales_Data2[[#This Row],[RowKey]])&gt;1,"Duplicate","Unique")</f>
        <v>Unique</v>
      </c>
      <c r="Q1235" s="3" t="str">
        <f>IF(ISNUMBER(Sales_Data2[[#This Row],[Date]]),"OK","Check")</f>
        <v>OK</v>
      </c>
      <c r="R1235" s="3" t="str">
        <f>IF(ISNUMBER(Sales_Data2[[#This Row],[Quantity]]),"OK","Check")</f>
        <v>OK</v>
      </c>
    </row>
    <row r="1236" spans="1:18">
      <c r="A1236" s="1">
        <v>46910</v>
      </c>
      <c r="B1236" t="s">
        <v>18</v>
      </c>
      <c r="C1236" t="s">
        <v>19</v>
      </c>
      <c r="D1236" t="s">
        <v>13</v>
      </c>
      <c r="E1236" t="s">
        <v>14</v>
      </c>
      <c r="F1236" t="s">
        <v>38</v>
      </c>
      <c r="G1236" t="s">
        <v>31</v>
      </c>
      <c r="H1236">
        <v>420000</v>
      </c>
      <c r="I1236">
        <v>5</v>
      </c>
      <c r="J1236" t="s">
        <v>28</v>
      </c>
      <c r="K1236">
        <f t="shared" si="19"/>
        <v>336000</v>
      </c>
      <c r="L1236">
        <f>Sales_Data2[[#This Row],[Unit Price]]*Sales_Data2[[#This Row],[Quantity]]</f>
        <v>2100000</v>
      </c>
      <c r="M1236">
        <f>Sales_Data2[[#This Row],[Cost Price]]*Sales_Data2[[#This Row],[Quantity]]</f>
        <v>1680000</v>
      </c>
      <c r="N1236" s="3">
        <f>Sales_Data2[[#This Row],[Revenue]]-Sales_Data2[[#This Row],[COGS]]</f>
        <v>420000</v>
      </c>
      <c r="O12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46910|East|Lagos|Retail|Online|Laptop A13|Electronics|420000|5|Musa|336000</v>
      </c>
      <c r="P1236" s="3" t="str">
        <f>IF(COUNTIF(Sales_Data2[RowKey],Sales_Data2[[#This Row],[RowKey]])&gt;1,"Duplicate","Unique")</f>
        <v>Unique</v>
      </c>
      <c r="Q1236" s="3" t="str">
        <f>IF(ISNUMBER(Sales_Data2[[#This Row],[Date]]),"OK","Check")</f>
        <v>OK</v>
      </c>
      <c r="R1236" s="3" t="str">
        <f>IF(ISNUMBER(Sales_Data2[[#This Row],[Quantity]]),"OK","Check")</f>
        <v>OK</v>
      </c>
    </row>
    <row r="1237" spans="1:18">
      <c r="A1237" s="1">
        <v>46911</v>
      </c>
      <c r="B1237" t="s">
        <v>18</v>
      </c>
      <c r="C1237" t="s">
        <v>32</v>
      </c>
      <c r="D1237" t="s">
        <v>23</v>
      </c>
      <c r="E1237" t="s">
        <v>20</v>
      </c>
      <c r="F1237" t="s">
        <v>15</v>
      </c>
      <c r="G1237" t="s">
        <v>16</v>
      </c>
      <c r="H1237">
        <v>85000</v>
      </c>
      <c r="I1237">
        <v>6</v>
      </c>
      <c r="J1237" t="s">
        <v>28</v>
      </c>
      <c r="K1237">
        <f t="shared" si="19"/>
        <v>68000</v>
      </c>
      <c r="L1237">
        <f>Sales_Data2[[#This Row],[Unit Price]]*Sales_Data2[[#This Row],[Quantity]]</f>
        <v>510000</v>
      </c>
      <c r="M1237">
        <f>Sales_Data2[[#This Row],[Cost Price]]*Sales_Data2[[#This Row],[Quantity]]</f>
        <v>408000</v>
      </c>
      <c r="N1237" s="3">
        <f>Sales_Data2[[#This Row],[Revenue]]-Sales_Data2[[#This Row],[COGS]]</f>
        <v>102000</v>
      </c>
      <c r="O12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46911|East|Abuja|Corporate|Store|Office Chair Pro|Furniture|85000|6|Musa|68000</v>
      </c>
      <c r="P1237" s="3" t="str">
        <f>IF(COUNTIF(Sales_Data2[RowKey],Sales_Data2[[#This Row],[RowKey]])&gt;1,"Duplicate","Unique")</f>
        <v>Unique</v>
      </c>
      <c r="Q1237" s="3" t="str">
        <f>IF(ISNUMBER(Sales_Data2[[#This Row],[Date]]),"OK","Check")</f>
        <v>OK</v>
      </c>
      <c r="R1237" s="3" t="str">
        <f>IF(ISNUMBER(Sales_Data2[[#This Row],[Quantity]]),"OK","Check")</f>
        <v>OK</v>
      </c>
    </row>
    <row r="1238" spans="1:18">
      <c r="A1238" s="1">
        <v>46912</v>
      </c>
      <c r="B1238" t="s">
        <v>29</v>
      </c>
      <c r="C1238" t="s">
        <v>12</v>
      </c>
      <c r="D1238" t="s">
        <v>13</v>
      </c>
      <c r="E1238" t="s">
        <v>20</v>
      </c>
      <c r="F1238" t="s">
        <v>38</v>
      </c>
      <c r="G1238" t="s">
        <v>31</v>
      </c>
      <c r="H1238">
        <v>420000</v>
      </c>
      <c r="I1238">
        <v>7</v>
      </c>
      <c r="J1238" t="s">
        <v>17</v>
      </c>
      <c r="K1238">
        <f t="shared" si="19"/>
        <v>336000</v>
      </c>
      <c r="L1238">
        <f>Sales_Data2[[#This Row],[Unit Price]]*Sales_Data2[[#This Row],[Quantity]]</f>
        <v>2940000</v>
      </c>
      <c r="M1238">
        <f>Sales_Data2[[#This Row],[Cost Price]]*Sales_Data2[[#This Row],[Quantity]]</f>
        <v>2352000</v>
      </c>
      <c r="N1238" s="3">
        <f>Sales_Data2[[#This Row],[Revenue]]-Sales_Data2[[#This Row],[COGS]]</f>
        <v>588000</v>
      </c>
      <c r="O12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46912|North|Port Harcourt|Retail|Store|Laptop A13|Electronics|420000|7|Chidinma|336000</v>
      </c>
      <c r="P1238" s="3" t="str">
        <f>IF(COUNTIF(Sales_Data2[RowKey],Sales_Data2[[#This Row],[RowKey]])&gt;1,"Duplicate","Unique")</f>
        <v>Unique</v>
      </c>
      <c r="Q1238" s="3" t="str">
        <f>IF(ISNUMBER(Sales_Data2[[#This Row],[Date]]),"OK","Check")</f>
        <v>OK</v>
      </c>
      <c r="R1238" s="3" t="str">
        <f>IF(ISNUMBER(Sales_Data2[[#This Row],[Quantity]]),"OK","Check")</f>
        <v>OK</v>
      </c>
    </row>
    <row r="1239" spans="1:18">
      <c r="A1239" s="1">
        <v>46913</v>
      </c>
      <c r="B1239" t="s">
        <v>25</v>
      </c>
      <c r="C1239" t="s">
        <v>32</v>
      </c>
      <c r="D1239" t="s">
        <v>23</v>
      </c>
      <c r="E1239" t="s">
        <v>14</v>
      </c>
      <c r="F1239" t="s">
        <v>38</v>
      </c>
      <c r="G1239" t="s">
        <v>31</v>
      </c>
      <c r="H1239">
        <v>420000</v>
      </c>
      <c r="I1239">
        <v>9</v>
      </c>
      <c r="J1239" t="s">
        <v>39</v>
      </c>
      <c r="K1239">
        <f t="shared" si="19"/>
        <v>336000</v>
      </c>
      <c r="L1239">
        <f>Sales_Data2[[#This Row],[Unit Price]]*Sales_Data2[[#This Row],[Quantity]]</f>
        <v>3780000</v>
      </c>
      <c r="M1239">
        <f>Sales_Data2[[#This Row],[Cost Price]]*Sales_Data2[[#This Row],[Quantity]]</f>
        <v>3024000</v>
      </c>
      <c r="N1239" s="3">
        <f>Sales_Data2[[#This Row],[Revenue]]-Sales_Data2[[#This Row],[COGS]]</f>
        <v>756000</v>
      </c>
      <c r="O12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46913|South|Abuja|Corporate|Online|Laptop A13|Electronics|420000|9|Grace|336000</v>
      </c>
      <c r="P1239" s="3" t="str">
        <f>IF(COUNTIF(Sales_Data2[RowKey],Sales_Data2[[#This Row],[RowKey]])&gt;1,"Duplicate","Unique")</f>
        <v>Unique</v>
      </c>
      <c r="Q1239" s="3" t="str">
        <f>IF(ISNUMBER(Sales_Data2[[#This Row],[Date]]),"OK","Check")</f>
        <v>OK</v>
      </c>
      <c r="R1239" s="3" t="str">
        <f>IF(ISNUMBER(Sales_Data2[[#This Row],[Quantity]]),"OK","Check")</f>
        <v>OK</v>
      </c>
    </row>
    <row r="1240" spans="1:18">
      <c r="A1240" s="1">
        <v>46914</v>
      </c>
      <c r="B1240" t="s">
        <v>11</v>
      </c>
      <c r="C1240" t="s">
        <v>19</v>
      </c>
      <c r="D1240" t="s">
        <v>23</v>
      </c>
      <c r="E1240" t="s">
        <v>14</v>
      </c>
      <c r="F1240" t="s">
        <v>30</v>
      </c>
      <c r="G1240" t="s">
        <v>31</v>
      </c>
      <c r="H1240">
        <v>300000</v>
      </c>
      <c r="I1240">
        <v>3</v>
      </c>
      <c r="J1240" t="s">
        <v>37</v>
      </c>
      <c r="K1240">
        <f t="shared" si="19"/>
        <v>240000</v>
      </c>
      <c r="L1240">
        <f>Sales_Data2[[#This Row],[Unit Price]]*Sales_Data2[[#This Row],[Quantity]]</f>
        <v>900000</v>
      </c>
      <c r="M1240">
        <f>Sales_Data2[[#This Row],[Cost Price]]*Sales_Data2[[#This Row],[Quantity]]</f>
        <v>720000</v>
      </c>
      <c r="N1240" s="3">
        <f>Sales_Data2[[#This Row],[Revenue]]-Sales_Data2[[#This Row],[COGS]]</f>
        <v>180000</v>
      </c>
      <c r="O12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46914|West|Lagos|Corporate|Online|Desktop PC D21|Electronics|300000|3|Aisha|240000</v>
      </c>
      <c r="P1240" s="3" t="str">
        <f>IF(COUNTIF(Sales_Data2[RowKey],Sales_Data2[[#This Row],[RowKey]])&gt;1,"Duplicate","Unique")</f>
        <v>Unique</v>
      </c>
      <c r="Q1240" s="3" t="str">
        <f>IF(ISNUMBER(Sales_Data2[[#This Row],[Date]]),"OK","Check")</f>
        <v>OK</v>
      </c>
      <c r="R1240" s="3" t="str">
        <f>IF(ISNUMBER(Sales_Data2[[#This Row],[Quantity]]),"OK","Check")</f>
        <v>OK</v>
      </c>
    </row>
    <row r="1241" spans="1:18">
      <c r="A1241" s="1">
        <v>46915</v>
      </c>
      <c r="B1241" t="s">
        <v>18</v>
      </c>
      <c r="C1241" t="s">
        <v>26</v>
      </c>
      <c r="D1241" t="s">
        <v>13</v>
      </c>
      <c r="E1241" t="s">
        <v>14</v>
      </c>
      <c r="F1241" t="s">
        <v>15</v>
      </c>
      <c r="G1241" t="s">
        <v>16</v>
      </c>
      <c r="H1241">
        <v>85000</v>
      </c>
      <c r="I1241">
        <v>9</v>
      </c>
      <c r="J1241" t="s">
        <v>37</v>
      </c>
      <c r="K1241">
        <f t="shared" si="19"/>
        <v>68000</v>
      </c>
      <c r="L1241">
        <f>Sales_Data2[[#This Row],[Unit Price]]*Sales_Data2[[#This Row],[Quantity]]</f>
        <v>765000</v>
      </c>
      <c r="M1241">
        <f>Sales_Data2[[#This Row],[Cost Price]]*Sales_Data2[[#This Row],[Quantity]]</f>
        <v>612000</v>
      </c>
      <c r="N1241" s="3">
        <f>Sales_Data2[[#This Row],[Revenue]]-Sales_Data2[[#This Row],[COGS]]</f>
        <v>153000</v>
      </c>
      <c r="O12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46915|East|Kano|Retail|Online|Office Chair Pro|Furniture|85000|9|Aisha|68000</v>
      </c>
      <c r="P1241" s="3" t="str">
        <f>IF(COUNTIF(Sales_Data2[RowKey],Sales_Data2[[#This Row],[RowKey]])&gt;1,"Duplicate","Unique")</f>
        <v>Unique</v>
      </c>
      <c r="Q1241" s="3" t="str">
        <f>IF(ISNUMBER(Sales_Data2[[#This Row],[Date]]),"OK","Check")</f>
        <v>OK</v>
      </c>
      <c r="R1241" s="3" t="str">
        <f>IF(ISNUMBER(Sales_Data2[[#This Row],[Quantity]]),"OK","Check")</f>
        <v>OK</v>
      </c>
    </row>
    <row r="1242" spans="1:18">
      <c r="A1242" s="1">
        <v>46916</v>
      </c>
      <c r="B1242" t="s">
        <v>25</v>
      </c>
      <c r="C1242" t="s">
        <v>12</v>
      </c>
      <c r="D1242" t="s">
        <v>23</v>
      </c>
      <c r="E1242" t="s">
        <v>20</v>
      </c>
      <c r="F1242" t="s">
        <v>41</v>
      </c>
      <c r="G1242" t="s">
        <v>22</v>
      </c>
      <c r="H1242">
        <v>220000</v>
      </c>
      <c r="I1242">
        <v>7</v>
      </c>
      <c r="J1242" t="s">
        <v>35</v>
      </c>
      <c r="K1242">
        <f t="shared" si="19"/>
        <v>176000</v>
      </c>
      <c r="L1242">
        <f>Sales_Data2[[#This Row],[Unit Price]]*Sales_Data2[[#This Row],[Quantity]]</f>
        <v>1540000</v>
      </c>
      <c r="M1242">
        <f>Sales_Data2[[#This Row],[Cost Price]]*Sales_Data2[[#This Row],[Quantity]]</f>
        <v>1232000</v>
      </c>
      <c r="N1242" s="3">
        <f>Sales_Data2[[#This Row],[Revenue]]-Sales_Data2[[#This Row],[COGS]]</f>
        <v>308000</v>
      </c>
      <c r="O12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46916|South|Port Harcourt|Corporate|Store|Refrigerator R55|Home Appliances|220000|7|Peter|176000</v>
      </c>
      <c r="P1242" s="3" t="str">
        <f>IF(COUNTIF(Sales_Data2[RowKey],Sales_Data2[[#This Row],[RowKey]])&gt;1,"Duplicate","Unique")</f>
        <v>Unique</v>
      </c>
      <c r="Q1242" s="3" t="str">
        <f>IF(ISNUMBER(Sales_Data2[[#This Row],[Date]]),"OK","Check")</f>
        <v>OK</v>
      </c>
      <c r="R1242" s="3" t="str">
        <f>IF(ISNUMBER(Sales_Data2[[#This Row],[Quantity]]),"OK","Check")</f>
        <v>OK</v>
      </c>
    </row>
    <row r="1243" spans="1:18">
      <c r="A1243" s="1">
        <v>46917</v>
      </c>
      <c r="B1243" t="s">
        <v>11</v>
      </c>
      <c r="C1243" t="s">
        <v>19</v>
      </c>
      <c r="D1243" t="s">
        <v>23</v>
      </c>
      <c r="E1243" t="s">
        <v>20</v>
      </c>
      <c r="F1243" t="s">
        <v>30</v>
      </c>
      <c r="G1243" t="s">
        <v>31</v>
      </c>
      <c r="H1243">
        <v>300000</v>
      </c>
      <c r="I1243">
        <v>10</v>
      </c>
      <c r="J1243" t="s">
        <v>17</v>
      </c>
      <c r="K1243">
        <f t="shared" si="19"/>
        <v>240000</v>
      </c>
      <c r="L1243">
        <f>Sales_Data2[[#This Row],[Unit Price]]*Sales_Data2[[#This Row],[Quantity]]</f>
        <v>3000000</v>
      </c>
      <c r="M1243">
        <f>Sales_Data2[[#This Row],[Cost Price]]*Sales_Data2[[#This Row],[Quantity]]</f>
        <v>2400000</v>
      </c>
      <c r="N1243" s="3">
        <f>Sales_Data2[[#This Row],[Revenue]]-Sales_Data2[[#This Row],[COGS]]</f>
        <v>600000</v>
      </c>
      <c r="O12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46917|West|Lagos|Corporate|Store|Desktop PC D21|Electronics|300000|10|Chidinma|240000</v>
      </c>
      <c r="P1243" s="3" t="str">
        <f>IF(COUNTIF(Sales_Data2[RowKey],Sales_Data2[[#This Row],[RowKey]])&gt;1,"Duplicate","Unique")</f>
        <v>Unique</v>
      </c>
      <c r="Q1243" s="3" t="str">
        <f>IF(ISNUMBER(Sales_Data2[[#This Row],[Date]]),"OK","Check")</f>
        <v>OK</v>
      </c>
      <c r="R1243" s="3" t="str">
        <f>IF(ISNUMBER(Sales_Data2[[#This Row],[Quantity]]),"OK","Check")</f>
        <v>OK</v>
      </c>
    </row>
    <row r="1244" spans="1:18">
      <c r="A1244" s="1">
        <v>46918</v>
      </c>
      <c r="B1244" t="s">
        <v>11</v>
      </c>
      <c r="C1244" t="s">
        <v>12</v>
      </c>
      <c r="D1244" t="s">
        <v>13</v>
      </c>
      <c r="E1244" t="s">
        <v>20</v>
      </c>
      <c r="F1244" t="s">
        <v>15</v>
      </c>
      <c r="G1244" t="s">
        <v>16</v>
      </c>
      <c r="H1244">
        <v>85000</v>
      </c>
      <c r="I1244">
        <v>8</v>
      </c>
      <c r="J1244" t="s">
        <v>37</v>
      </c>
      <c r="K1244">
        <f t="shared" si="19"/>
        <v>68000</v>
      </c>
      <c r="L1244">
        <f>Sales_Data2[[#This Row],[Unit Price]]*Sales_Data2[[#This Row],[Quantity]]</f>
        <v>680000</v>
      </c>
      <c r="M1244">
        <f>Sales_Data2[[#This Row],[Cost Price]]*Sales_Data2[[#This Row],[Quantity]]</f>
        <v>544000</v>
      </c>
      <c r="N1244" s="3">
        <f>Sales_Data2[[#This Row],[Revenue]]-Sales_Data2[[#This Row],[COGS]]</f>
        <v>136000</v>
      </c>
      <c r="O12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46918|West|Port Harcourt|Retail|Store|Office Chair Pro|Furniture|85000|8|Aisha|68000</v>
      </c>
      <c r="P1244" s="3" t="str">
        <f>IF(COUNTIF(Sales_Data2[RowKey],Sales_Data2[[#This Row],[RowKey]])&gt;1,"Duplicate","Unique")</f>
        <v>Unique</v>
      </c>
      <c r="Q1244" s="3" t="str">
        <f>IF(ISNUMBER(Sales_Data2[[#This Row],[Date]]),"OK","Check")</f>
        <v>OK</v>
      </c>
      <c r="R1244" s="3" t="str">
        <f>IF(ISNUMBER(Sales_Data2[[#This Row],[Quantity]]),"OK","Check")</f>
        <v>OK</v>
      </c>
    </row>
    <row r="1245" spans="1:18">
      <c r="A1245" s="1">
        <v>46919</v>
      </c>
      <c r="B1245" t="s">
        <v>18</v>
      </c>
      <c r="C1245" t="s">
        <v>19</v>
      </c>
      <c r="D1245" t="s">
        <v>23</v>
      </c>
      <c r="E1245" t="s">
        <v>14</v>
      </c>
      <c r="F1245" t="s">
        <v>21</v>
      </c>
      <c r="G1245" t="s">
        <v>22</v>
      </c>
      <c r="H1245">
        <v>30000</v>
      </c>
      <c r="I1245">
        <v>3</v>
      </c>
      <c r="J1245" t="s">
        <v>37</v>
      </c>
      <c r="K1245">
        <f t="shared" si="19"/>
        <v>24000</v>
      </c>
      <c r="L1245">
        <f>Sales_Data2[[#This Row],[Unit Price]]*Sales_Data2[[#This Row],[Quantity]]</f>
        <v>90000</v>
      </c>
      <c r="M1245">
        <f>Sales_Data2[[#This Row],[Cost Price]]*Sales_Data2[[#This Row],[Quantity]]</f>
        <v>72000</v>
      </c>
      <c r="N1245" s="3">
        <f>Sales_Data2[[#This Row],[Revenue]]-Sales_Data2[[#This Row],[COGS]]</f>
        <v>18000</v>
      </c>
      <c r="O12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46919|East|Lagos|Corporate|Online|Blender B10|Home Appliances|30000|3|Aisha|24000</v>
      </c>
      <c r="P1245" s="3" t="str">
        <f>IF(COUNTIF(Sales_Data2[RowKey],Sales_Data2[[#This Row],[RowKey]])&gt;1,"Duplicate","Unique")</f>
        <v>Unique</v>
      </c>
      <c r="Q1245" s="3" t="str">
        <f>IF(ISNUMBER(Sales_Data2[[#This Row],[Date]]),"OK","Check")</f>
        <v>OK</v>
      </c>
      <c r="R1245" s="3" t="str">
        <f>IF(ISNUMBER(Sales_Data2[[#This Row],[Quantity]]),"OK","Check")</f>
        <v>OK</v>
      </c>
    </row>
    <row r="1246" spans="1:18">
      <c r="A1246" s="1">
        <v>46920</v>
      </c>
      <c r="B1246" t="s">
        <v>25</v>
      </c>
      <c r="C1246" t="s">
        <v>26</v>
      </c>
      <c r="D1246" t="s">
        <v>23</v>
      </c>
      <c r="E1246" t="s">
        <v>20</v>
      </c>
      <c r="F1246" t="s">
        <v>15</v>
      </c>
      <c r="G1246" t="s">
        <v>16</v>
      </c>
      <c r="H1246">
        <v>85000</v>
      </c>
      <c r="I1246">
        <v>8</v>
      </c>
      <c r="J1246" t="s">
        <v>35</v>
      </c>
      <c r="K1246">
        <f t="shared" si="19"/>
        <v>68000</v>
      </c>
      <c r="L1246">
        <f>Sales_Data2[[#This Row],[Unit Price]]*Sales_Data2[[#This Row],[Quantity]]</f>
        <v>680000</v>
      </c>
      <c r="M1246">
        <f>Sales_Data2[[#This Row],[Cost Price]]*Sales_Data2[[#This Row],[Quantity]]</f>
        <v>544000</v>
      </c>
      <c r="N1246" s="3">
        <f>Sales_Data2[[#This Row],[Revenue]]-Sales_Data2[[#This Row],[COGS]]</f>
        <v>136000</v>
      </c>
      <c r="O12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46920|South|Kano|Corporate|Store|Office Chair Pro|Furniture|85000|8|Peter|68000</v>
      </c>
      <c r="P1246" s="3" t="str">
        <f>IF(COUNTIF(Sales_Data2[RowKey],Sales_Data2[[#This Row],[RowKey]])&gt;1,"Duplicate","Unique")</f>
        <v>Unique</v>
      </c>
      <c r="Q1246" s="3" t="str">
        <f>IF(ISNUMBER(Sales_Data2[[#This Row],[Date]]),"OK","Check")</f>
        <v>OK</v>
      </c>
      <c r="R1246" s="3" t="str">
        <f>IF(ISNUMBER(Sales_Data2[[#This Row],[Quantity]]),"OK","Check")</f>
        <v>OK</v>
      </c>
    </row>
    <row r="1247" spans="1:18">
      <c r="A1247" s="1">
        <v>46921</v>
      </c>
      <c r="B1247" t="s">
        <v>11</v>
      </c>
      <c r="C1247" t="s">
        <v>26</v>
      </c>
      <c r="D1247" t="s">
        <v>13</v>
      </c>
      <c r="E1247" t="s">
        <v>20</v>
      </c>
      <c r="F1247" t="s">
        <v>33</v>
      </c>
      <c r="G1247" t="s">
        <v>22</v>
      </c>
      <c r="H1247">
        <v>180000</v>
      </c>
      <c r="I1247">
        <v>3</v>
      </c>
      <c r="J1247" t="s">
        <v>35</v>
      </c>
      <c r="K1247">
        <f t="shared" si="19"/>
        <v>144000</v>
      </c>
      <c r="L1247">
        <f>Sales_Data2[[#This Row],[Unit Price]]*Sales_Data2[[#This Row],[Quantity]]</f>
        <v>540000</v>
      </c>
      <c r="M1247">
        <f>Sales_Data2[[#This Row],[Cost Price]]*Sales_Data2[[#This Row],[Quantity]]</f>
        <v>432000</v>
      </c>
      <c r="N1247" s="3">
        <f>Sales_Data2[[#This Row],[Revenue]]-Sales_Data2[[#This Row],[COGS]]</f>
        <v>108000</v>
      </c>
      <c r="O12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46921|West|Kano|Retail|Store|Air Conditioner X2|Home Appliances|180000|3|Peter|144000</v>
      </c>
      <c r="P1247" s="3" t="str">
        <f>IF(COUNTIF(Sales_Data2[RowKey],Sales_Data2[[#This Row],[RowKey]])&gt;1,"Duplicate","Unique")</f>
        <v>Unique</v>
      </c>
      <c r="Q1247" s="3" t="str">
        <f>IF(ISNUMBER(Sales_Data2[[#This Row],[Date]]),"OK","Check")</f>
        <v>OK</v>
      </c>
      <c r="R1247" s="3" t="str">
        <f>IF(ISNUMBER(Sales_Data2[[#This Row],[Quantity]]),"OK","Check")</f>
        <v>OK</v>
      </c>
    </row>
    <row r="1248" spans="1:18">
      <c r="A1248" s="1">
        <v>46922</v>
      </c>
      <c r="B1248" t="s">
        <v>29</v>
      </c>
      <c r="C1248" t="s">
        <v>12</v>
      </c>
      <c r="D1248" t="s">
        <v>13</v>
      </c>
      <c r="E1248" t="s">
        <v>14</v>
      </c>
      <c r="F1248" t="s">
        <v>41</v>
      </c>
      <c r="G1248" t="s">
        <v>22</v>
      </c>
      <c r="H1248">
        <v>220000</v>
      </c>
      <c r="I1248">
        <v>7</v>
      </c>
      <c r="J1248" t="s">
        <v>37</v>
      </c>
      <c r="K1248">
        <f t="shared" si="19"/>
        <v>176000</v>
      </c>
      <c r="L1248">
        <f>Sales_Data2[[#This Row],[Unit Price]]*Sales_Data2[[#This Row],[Quantity]]</f>
        <v>1540000</v>
      </c>
      <c r="M1248">
        <f>Sales_Data2[[#This Row],[Cost Price]]*Sales_Data2[[#This Row],[Quantity]]</f>
        <v>1232000</v>
      </c>
      <c r="N1248" s="3">
        <f>Sales_Data2[[#This Row],[Revenue]]-Sales_Data2[[#This Row],[COGS]]</f>
        <v>308000</v>
      </c>
      <c r="O12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46922|North|Port Harcourt|Retail|Online|Refrigerator R55|Home Appliances|220000|7|Aisha|176000</v>
      </c>
      <c r="P1248" s="3" t="str">
        <f>IF(COUNTIF(Sales_Data2[RowKey],Sales_Data2[[#This Row],[RowKey]])&gt;1,"Duplicate","Unique")</f>
        <v>Unique</v>
      </c>
      <c r="Q1248" s="3" t="str">
        <f>IF(ISNUMBER(Sales_Data2[[#This Row],[Date]]),"OK","Check")</f>
        <v>OK</v>
      </c>
      <c r="R1248" s="3" t="str">
        <f>IF(ISNUMBER(Sales_Data2[[#This Row],[Quantity]]),"OK","Check")</f>
        <v>OK</v>
      </c>
    </row>
    <row r="1249" spans="1:18">
      <c r="A1249" s="1">
        <v>46923</v>
      </c>
      <c r="B1249" t="s">
        <v>29</v>
      </c>
      <c r="C1249" t="s">
        <v>26</v>
      </c>
      <c r="D1249" t="s">
        <v>13</v>
      </c>
      <c r="E1249" t="s">
        <v>14</v>
      </c>
      <c r="F1249" t="s">
        <v>33</v>
      </c>
      <c r="G1249" t="s">
        <v>22</v>
      </c>
      <c r="H1249">
        <v>180000</v>
      </c>
      <c r="I1249">
        <v>8</v>
      </c>
      <c r="J1249" t="s">
        <v>39</v>
      </c>
      <c r="K1249">
        <f t="shared" si="19"/>
        <v>144000</v>
      </c>
      <c r="L1249">
        <f>Sales_Data2[[#This Row],[Unit Price]]*Sales_Data2[[#This Row],[Quantity]]</f>
        <v>1440000</v>
      </c>
      <c r="M1249">
        <f>Sales_Data2[[#This Row],[Cost Price]]*Sales_Data2[[#This Row],[Quantity]]</f>
        <v>1152000</v>
      </c>
      <c r="N1249" s="3">
        <f>Sales_Data2[[#This Row],[Revenue]]-Sales_Data2[[#This Row],[COGS]]</f>
        <v>288000</v>
      </c>
      <c r="O12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46923|North|Kano|Retail|Online|Air Conditioner X2|Home Appliances|180000|8|Grace|144000</v>
      </c>
      <c r="P1249" s="3" t="str">
        <f>IF(COUNTIF(Sales_Data2[RowKey],Sales_Data2[[#This Row],[RowKey]])&gt;1,"Duplicate","Unique")</f>
        <v>Unique</v>
      </c>
      <c r="Q1249" s="3" t="str">
        <f>IF(ISNUMBER(Sales_Data2[[#This Row],[Date]]),"OK","Check")</f>
        <v>OK</v>
      </c>
      <c r="R1249" s="3" t="str">
        <f>IF(ISNUMBER(Sales_Data2[[#This Row],[Quantity]]),"OK","Check")</f>
        <v>OK</v>
      </c>
    </row>
    <row r="1250" spans="1:18">
      <c r="A1250" s="1">
        <v>46924</v>
      </c>
      <c r="B1250" t="s">
        <v>25</v>
      </c>
      <c r="C1250" t="s">
        <v>32</v>
      </c>
      <c r="D1250" t="s">
        <v>13</v>
      </c>
      <c r="E1250" t="s">
        <v>14</v>
      </c>
      <c r="F1250" t="s">
        <v>21</v>
      </c>
      <c r="G1250" t="s">
        <v>22</v>
      </c>
      <c r="H1250">
        <v>30000</v>
      </c>
      <c r="I1250">
        <v>1</v>
      </c>
      <c r="J1250" t="s">
        <v>28</v>
      </c>
      <c r="K1250">
        <f t="shared" si="19"/>
        <v>24000</v>
      </c>
      <c r="L1250">
        <f>Sales_Data2[[#This Row],[Unit Price]]*Sales_Data2[[#This Row],[Quantity]]</f>
        <v>30000</v>
      </c>
      <c r="M1250">
        <f>Sales_Data2[[#This Row],[Cost Price]]*Sales_Data2[[#This Row],[Quantity]]</f>
        <v>24000</v>
      </c>
      <c r="N1250" s="3">
        <f>Sales_Data2[[#This Row],[Revenue]]-Sales_Data2[[#This Row],[COGS]]</f>
        <v>6000</v>
      </c>
      <c r="O12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46924|South|Abuja|Retail|Online|Blender B10|Home Appliances|30000|1|Musa|24000</v>
      </c>
      <c r="P1250" s="3" t="str">
        <f>IF(COUNTIF(Sales_Data2[RowKey],Sales_Data2[[#This Row],[RowKey]])&gt;1,"Duplicate","Unique")</f>
        <v>Unique</v>
      </c>
      <c r="Q1250" s="3" t="str">
        <f>IF(ISNUMBER(Sales_Data2[[#This Row],[Date]]),"OK","Check")</f>
        <v>OK</v>
      </c>
      <c r="R1250" s="3" t="str">
        <f>IF(ISNUMBER(Sales_Data2[[#This Row],[Quantity]]),"OK","Check")</f>
        <v>OK</v>
      </c>
    </row>
    <row r="1251" spans="1:18">
      <c r="A1251" s="1">
        <v>46925</v>
      </c>
      <c r="B1251" t="s">
        <v>18</v>
      </c>
      <c r="C1251" t="s">
        <v>19</v>
      </c>
      <c r="D1251" t="s">
        <v>13</v>
      </c>
      <c r="E1251" t="s">
        <v>14</v>
      </c>
      <c r="F1251" t="s">
        <v>21</v>
      </c>
      <c r="G1251" t="s">
        <v>22</v>
      </c>
      <c r="H1251">
        <v>30000</v>
      </c>
      <c r="I1251">
        <v>8</v>
      </c>
      <c r="J1251" t="s">
        <v>35</v>
      </c>
      <c r="K1251">
        <f t="shared" si="19"/>
        <v>24000</v>
      </c>
      <c r="L1251">
        <f>Sales_Data2[[#This Row],[Unit Price]]*Sales_Data2[[#This Row],[Quantity]]</f>
        <v>240000</v>
      </c>
      <c r="M1251">
        <f>Sales_Data2[[#This Row],[Cost Price]]*Sales_Data2[[#This Row],[Quantity]]</f>
        <v>192000</v>
      </c>
      <c r="N1251" s="3">
        <f>Sales_Data2[[#This Row],[Revenue]]-Sales_Data2[[#This Row],[COGS]]</f>
        <v>48000</v>
      </c>
      <c r="O12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46925|East|Lagos|Retail|Online|Blender B10|Home Appliances|30000|8|Peter|24000</v>
      </c>
      <c r="P1251" s="3" t="str">
        <f>IF(COUNTIF(Sales_Data2[RowKey],Sales_Data2[[#This Row],[RowKey]])&gt;1,"Duplicate","Unique")</f>
        <v>Unique</v>
      </c>
      <c r="Q1251" s="3" t="str">
        <f>IF(ISNUMBER(Sales_Data2[[#This Row],[Date]]),"OK","Check")</f>
        <v>OK</v>
      </c>
      <c r="R1251" s="3" t="str">
        <f>IF(ISNUMBER(Sales_Data2[[#This Row],[Quantity]]),"OK","Check")</f>
        <v>OK</v>
      </c>
    </row>
    <row r="1252" spans="1:18">
      <c r="A1252" s="1">
        <v>46926</v>
      </c>
      <c r="B1252" t="s">
        <v>25</v>
      </c>
      <c r="C1252" t="s">
        <v>12</v>
      </c>
      <c r="D1252" t="s">
        <v>13</v>
      </c>
      <c r="E1252" t="s">
        <v>14</v>
      </c>
      <c r="F1252" t="s">
        <v>33</v>
      </c>
      <c r="G1252" t="s">
        <v>22</v>
      </c>
      <c r="H1252">
        <v>180000</v>
      </c>
      <c r="I1252">
        <v>3</v>
      </c>
      <c r="J1252" t="s">
        <v>39</v>
      </c>
      <c r="K1252">
        <f t="shared" si="19"/>
        <v>144000</v>
      </c>
      <c r="L1252">
        <f>Sales_Data2[[#This Row],[Unit Price]]*Sales_Data2[[#This Row],[Quantity]]</f>
        <v>540000</v>
      </c>
      <c r="M1252">
        <f>Sales_Data2[[#This Row],[Cost Price]]*Sales_Data2[[#This Row],[Quantity]]</f>
        <v>432000</v>
      </c>
      <c r="N1252" s="3">
        <f>Sales_Data2[[#This Row],[Revenue]]-Sales_Data2[[#This Row],[COGS]]</f>
        <v>108000</v>
      </c>
      <c r="O12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46926|South|Port Harcourt|Retail|Online|Air Conditioner X2|Home Appliances|180000|3|Grace|144000</v>
      </c>
      <c r="P1252" s="3" t="str">
        <f>IF(COUNTIF(Sales_Data2[RowKey],Sales_Data2[[#This Row],[RowKey]])&gt;1,"Duplicate","Unique")</f>
        <v>Unique</v>
      </c>
      <c r="Q1252" s="3" t="str">
        <f>IF(ISNUMBER(Sales_Data2[[#This Row],[Date]]),"OK","Check")</f>
        <v>OK</v>
      </c>
      <c r="R1252" s="3" t="str">
        <f>IF(ISNUMBER(Sales_Data2[[#This Row],[Quantity]]),"OK","Check")</f>
        <v>OK</v>
      </c>
    </row>
    <row r="1253" spans="1:18">
      <c r="A1253" s="1">
        <v>46927</v>
      </c>
      <c r="B1253" t="s">
        <v>25</v>
      </c>
      <c r="C1253" t="s">
        <v>19</v>
      </c>
      <c r="D1253" t="s">
        <v>13</v>
      </c>
      <c r="E1253" t="s">
        <v>20</v>
      </c>
      <c r="F1253" t="s">
        <v>15</v>
      </c>
      <c r="G1253" t="s">
        <v>16</v>
      </c>
      <c r="H1253">
        <v>85000</v>
      </c>
      <c r="I1253">
        <v>7</v>
      </c>
      <c r="J1253" t="s">
        <v>24</v>
      </c>
      <c r="K1253">
        <f t="shared" si="19"/>
        <v>68000</v>
      </c>
      <c r="L1253">
        <f>Sales_Data2[[#This Row],[Unit Price]]*Sales_Data2[[#This Row],[Quantity]]</f>
        <v>595000</v>
      </c>
      <c r="M1253">
        <f>Sales_Data2[[#This Row],[Cost Price]]*Sales_Data2[[#This Row],[Quantity]]</f>
        <v>476000</v>
      </c>
      <c r="N1253" s="3">
        <f>Sales_Data2[[#This Row],[Revenue]]-Sales_Data2[[#This Row],[COGS]]</f>
        <v>119000</v>
      </c>
      <c r="O12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46927|South|Lagos|Retail|Store|Office Chair Pro|Furniture|85000|7|David|68000</v>
      </c>
      <c r="P1253" s="3" t="str">
        <f>IF(COUNTIF(Sales_Data2[RowKey],Sales_Data2[[#This Row],[RowKey]])&gt;1,"Duplicate","Unique")</f>
        <v>Unique</v>
      </c>
      <c r="Q1253" s="3" t="str">
        <f>IF(ISNUMBER(Sales_Data2[[#This Row],[Date]]),"OK","Check")</f>
        <v>OK</v>
      </c>
      <c r="R1253" s="3" t="str">
        <f>IF(ISNUMBER(Sales_Data2[[#This Row],[Quantity]]),"OK","Check")</f>
        <v>OK</v>
      </c>
    </row>
    <row r="1254" spans="1:18">
      <c r="A1254" s="1">
        <v>46928</v>
      </c>
      <c r="B1254" t="s">
        <v>11</v>
      </c>
      <c r="C1254" t="s">
        <v>19</v>
      </c>
      <c r="D1254" t="s">
        <v>13</v>
      </c>
      <c r="E1254" t="s">
        <v>20</v>
      </c>
      <c r="F1254" t="s">
        <v>21</v>
      </c>
      <c r="G1254" t="s">
        <v>22</v>
      </c>
      <c r="H1254">
        <v>30000</v>
      </c>
      <c r="I1254">
        <v>7</v>
      </c>
      <c r="J1254" t="s">
        <v>28</v>
      </c>
      <c r="K1254">
        <f t="shared" si="19"/>
        <v>24000</v>
      </c>
      <c r="L1254">
        <f>Sales_Data2[[#This Row],[Unit Price]]*Sales_Data2[[#This Row],[Quantity]]</f>
        <v>210000</v>
      </c>
      <c r="M1254">
        <f>Sales_Data2[[#This Row],[Cost Price]]*Sales_Data2[[#This Row],[Quantity]]</f>
        <v>168000</v>
      </c>
      <c r="N1254" s="3">
        <f>Sales_Data2[[#This Row],[Revenue]]-Sales_Data2[[#This Row],[COGS]]</f>
        <v>42000</v>
      </c>
      <c r="O12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46928|West|Lagos|Retail|Store|Blender B10|Home Appliances|30000|7|Musa|24000</v>
      </c>
      <c r="P1254" s="3" t="str">
        <f>IF(COUNTIF(Sales_Data2[RowKey],Sales_Data2[[#This Row],[RowKey]])&gt;1,"Duplicate","Unique")</f>
        <v>Unique</v>
      </c>
      <c r="Q1254" s="3" t="str">
        <f>IF(ISNUMBER(Sales_Data2[[#This Row],[Date]]),"OK","Check")</f>
        <v>OK</v>
      </c>
      <c r="R1254" s="3" t="str">
        <f>IF(ISNUMBER(Sales_Data2[[#This Row],[Quantity]]),"OK","Check")</f>
        <v>OK</v>
      </c>
    </row>
    <row r="1255" spans="1:18">
      <c r="A1255" s="1">
        <v>46929</v>
      </c>
      <c r="B1255" t="s">
        <v>29</v>
      </c>
      <c r="C1255" t="s">
        <v>32</v>
      </c>
      <c r="D1255" t="s">
        <v>13</v>
      </c>
      <c r="E1255" t="s">
        <v>20</v>
      </c>
      <c r="F1255" t="s">
        <v>27</v>
      </c>
      <c r="G1255" t="s">
        <v>22</v>
      </c>
      <c r="H1255">
        <v>60000</v>
      </c>
      <c r="I1255">
        <v>3</v>
      </c>
      <c r="J1255" t="s">
        <v>28</v>
      </c>
      <c r="K1255">
        <f t="shared" si="19"/>
        <v>48000</v>
      </c>
      <c r="L1255">
        <f>Sales_Data2[[#This Row],[Unit Price]]*Sales_Data2[[#This Row],[Quantity]]</f>
        <v>180000</v>
      </c>
      <c r="M1255">
        <f>Sales_Data2[[#This Row],[Cost Price]]*Sales_Data2[[#This Row],[Quantity]]</f>
        <v>144000</v>
      </c>
      <c r="N1255" s="3">
        <f>Sales_Data2[[#This Row],[Revenue]]-Sales_Data2[[#This Row],[COGS]]</f>
        <v>36000</v>
      </c>
      <c r="O12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46929|North|Abuja|Retail|Store|Microwave M20|Home Appliances|60000|3|Musa|48000</v>
      </c>
      <c r="P1255" s="3" t="str">
        <f>IF(COUNTIF(Sales_Data2[RowKey],Sales_Data2[[#This Row],[RowKey]])&gt;1,"Duplicate","Unique")</f>
        <v>Unique</v>
      </c>
      <c r="Q1255" s="3" t="str">
        <f>IF(ISNUMBER(Sales_Data2[[#This Row],[Date]]),"OK","Check")</f>
        <v>OK</v>
      </c>
      <c r="R1255" s="3" t="str">
        <f>IF(ISNUMBER(Sales_Data2[[#This Row],[Quantity]]),"OK","Check")</f>
        <v>OK</v>
      </c>
    </row>
    <row r="1256" spans="1:18">
      <c r="A1256" s="1">
        <v>46930</v>
      </c>
      <c r="B1256" t="s">
        <v>29</v>
      </c>
      <c r="C1256" t="s">
        <v>32</v>
      </c>
      <c r="D1256" t="s">
        <v>13</v>
      </c>
      <c r="E1256" t="s">
        <v>20</v>
      </c>
      <c r="F1256" t="s">
        <v>15</v>
      </c>
      <c r="G1256" t="s">
        <v>16</v>
      </c>
      <c r="H1256">
        <v>85000</v>
      </c>
      <c r="I1256">
        <v>5</v>
      </c>
      <c r="J1256" t="s">
        <v>17</v>
      </c>
      <c r="K1256">
        <f t="shared" si="19"/>
        <v>68000</v>
      </c>
      <c r="L1256">
        <f>Sales_Data2[[#This Row],[Unit Price]]*Sales_Data2[[#This Row],[Quantity]]</f>
        <v>425000</v>
      </c>
      <c r="M1256">
        <f>Sales_Data2[[#This Row],[Cost Price]]*Sales_Data2[[#This Row],[Quantity]]</f>
        <v>340000</v>
      </c>
      <c r="N1256" s="3">
        <f>Sales_Data2[[#This Row],[Revenue]]-Sales_Data2[[#This Row],[COGS]]</f>
        <v>85000</v>
      </c>
      <c r="O12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46930|North|Abuja|Retail|Store|Office Chair Pro|Furniture|85000|5|Chidinma|68000</v>
      </c>
      <c r="P1256" s="3" t="str">
        <f>IF(COUNTIF(Sales_Data2[RowKey],Sales_Data2[[#This Row],[RowKey]])&gt;1,"Duplicate","Unique")</f>
        <v>Unique</v>
      </c>
      <c r="Q1256" s="3" t="str">
        <f>IF(ISNUMBER(Sales_Data2[[#This Row],[Date]]),"OK","Check")</f>
        <v>OK</v>
      </c>
      <c r="R1256" s="3" t="str">
        <f>IF(ISNUMBER(Sales_Data2[[#This Row],[Quantity]]),"OK","Check")</f>
        <v>OK</v>
      </c>
    </row>
    <row r="1257" spans="1:18">
      <c r="A1257" s="1">
        <v>46931</v>
      </c>
      <c r="B1257" t="s">
        <v>18</v>
      </c>
      <c r="C1257" t="s">
        <v>32</v>
      </c>
      <c r="D1257" t="s">
        <v>23</v>
      </c>
      <c r="E1257" t="s">
        <v>14</v>
      </c>
      <c r="F1257" t="s">
        <v>38</v>
      </c>
      <c r="G1257" t="s">
        <v>31</v>
      </c>
      <c r="H1257">
        <v>420000</v>
      </c>
      <c r="I1257">
        <v>1</v>
      </c>
      <c r="J1257" t="s">
        <v>17</v>
      </c>
      <c r="K1257">
        <f t="shared" si="19"/>
        <v>336000</v>
      </c>
      <c r="L1257">
        <f>Sales_Data2[[#This Row],[Unit Price]]*Sales_Data2[[#This Row],[Quantity]]</f>
        <v>420000</v>
      </c>
      <c r="M1257">
        <f>Sales_Data2[[#This Row],[Cost Price]]*Sales_Data2[[#This Row],[Quantity]]</f>
        <v>336000</v>
      </c>
      <c r="N1257" s="3">
        <f>Sales_Data2[[#This Row],[Revenue]]-Sales_Data2[[#This Row],[COGS]]</f>
        <v>84000</v>
      </c>
      <c r="O12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46931|East|Abuja|Corporate|Online|Laptop A13|Electronics|420000|1|Chidinma|336000</v>
      </c>
      <c r="P1257" s="3" t="str">
        <f>IF(COUNTIF(Sales_Data2[RowKey],Sales_Data2[[#This Row],[RowKey]])&gt;1,"Duplicate","Unique")</f>
        <v>Unique</v>
      </c>
      <c r="Q1257" s="3" t="str">
        <f>IF(ISNUMBER(Sales_Data2[[#This Row],[Date]]),"OK","Check")</f>
        <v>OK</v>
      </c>
      <c r="R1257" s="3" t="str">
        <f>IF(ISNUMBER(Sales_Data2[[#This Row],[Quantity]]),"OK","Check")</f>
        <v>OK</v>
      </c>
    </row>
    <row r="1258" spans="1:18">
      <c r="A1258" s="1">
        <v>46932</v>
      </c>
      <c r="B1258" t="s">
        <v>25</v>
      </c>
      <c r="C1258" t="s">
        <v>26</v>
      </c>
      <c r="D1258" t="s">
        <v>23</v>
      </c>
      <c r="E1258" t="s">
        <v>20</v>
      </c>
      <c r="F1258" t="s">
        <v>21</v>
      </c>
      <c r="G1258" t="s">
        <v>22</v>
      </c>
      <c r="H1258">
        <v>30000</v>
      </c>
      <c r="I1258">
        <v>5</v>
      </c>
      <c r="J1258" t="s">
        <v>17</v>
      </c>
      <c r="K1258">
        <f t="shared" si="19"/>
        <v>24000</v>
      </c>
      <c r="L1258">
        <f>Sales_Data2[[#This Row],[Unit Price]]*Sales_Data2[[#This Row],[Quantity]]</f>
        <v>150000</v>
      </c>
      <c r="M1258">
        <f>Sales_Data2[[#This Row],[Cost Price]]*Sales_Data2[[#This Row],[Quantity]]</f>
        <v>120000</v>
      </c>
      <c r="N1258" s="3">
        <f>Sales_Data2[[#This Row],[Revenue]]-Sales_Data2[[#This Row],[COGS]]</f>
        <v>30000</v>
      </c>
      <c r="O12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46932|South|Kano|Corporate|Store|Blender B10|Home Appliances|30000|5|Chidinma|24000</v>
      </c>
      <c r="P1258" s="3" t="str">
        <f>IF(COUNTIF(Sales_Data2[RowKey],Sales_Data2[[#This Row],[RowKey]])&gt;1,"Duplicate","Unique")</f>
        <v>Unique</v>
      </c>
      <c r="Q1258" s="3" t="str">
        <f>IF(ISNUMBER(Sales_Data2[[#This Row],[Date]]),"OK","Check")</f>
        <v>OK</v>
      </c>
      <c r="R1258" s="3" t="str">
        <f>IF(ISNUMBER(Sales_Data2[[#This Row],[Quantity]]),"OK","Check")</f>
        <v>OK</v>
      </c>
    </row>
    <row r="1259" spans="1:18">
      <c r="A1259" s="1">
        <v>46933</v>
      </c>
      <c r="B1259" t="s">
        <v>11</v>
      </c>
      <c r="C1259" t="s">
        <v>26</v>
      </c>
      <c r="D1259" t="s">
        <v>13</v>
      </c>
      <c r="E1259" t="s">
        <v>14</v>
      </c>
      <c r="F1259" t="s">
        <v>40</v>
      </c>
      <c r="G1259" t="s">
        <v>31</v>
      </c>
      <c r="H1259">
        <v>250000</v>
      </c>
      <c r="I1259">
        <v>9</v>
      </c>
      <c r="J1259" t="s">
        <v>35</v>
      </c>
      <c r="K1259">
        <f t="shared" si="19"/>
        <v>200000</v>
      </c>
      <c r="L1259">
        <f>Sales_Data2[[#This Row],[Unit Price]]*Sales_Data2[[#This Row],[Quantity]]</f>
        <v>2250000</v>
      </c>
      <c r="M1259">
        <f>Sales_Data2[[#This Row],[Cost Price]]*Sales_Data2[[#This Row],[Quantity]]</f>
        <v>1800000</v>
      </c>
      <c r="N1259" s="3">
        <f>Sales_Data2[[#This Row],[Revenue]]-Sales_Data2[[#This Row],[COGS]]</f>
        <v>450000</v>
      </c>
      <c r="O12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46933|West|Kano|Retail|Online|Smartphone Z10|Electronics|250000|9|Peter|200000</v>
      </c>
      <c r="P1259" s="3" t="str">
        <f>IF(COUNTIF(Sales_Data2[RowKey],Sales_Data2[[#This Row],[RowKey]])&gt;1,"Duplicate","Unique")</f>
        <v>Unique</v>
      </c>
      <c r="Q1259" s="3" t="str">
        <f>IF(ISNUMBER(Sales_Data2[[#This Row],[Date]]),"OK","Check")</f>
        <v>OK</v>
      </c>
      <c r="R1259" s="3" t="str">
        <f>IF(ISNUMBER(Sales_Data2[[#This Row],[Quantity]]),"OK","Check")</f>
        <v>OK</v>
      </c>
    </row>
    <row r="1260" spans="1:18">
      <c r="A1260" s="1">
        <v>46934</v>
      </c>
      <c r="B1260" t="s">
        <v>29</v>
      </c>
      <c r="C1260" t="s">
        <v>19</v>
      </c>
      <c r="D1260" t="s">
        <v>23</v>
      </c>
      <c r="E1260" t="s">
        <v>14</v>
      </c>
      <c r="F1260" t="s">
        <v>36</v>
      </c>
      <c r="G1260" t="s">
        <v>31</v>
      </c>
      <c r="H1260">
        <v>150000</v>
      </c>
      <c r="I1260">
        <v>3</v>
      </c>
      <c r="J1260" t="s">
        <v>39</v>
      </c>
      <c r="K1260">
        <f t="shared" si="19"/>
        <v>120000</v>
      </c>
      <c r="L1260">
        <f>Sales_Data2[[#This Row],[Unit Price]]*Sales_Data2[[#This Row],[Quantity]]</f>
        <v>450000</v>
      </c>
      <c r="M1260">
        <f>Sales_Data2[[#This Row],[Cost Price]]*Sales_Data2[[#This Row],[Quantity]]</f>
        <v>360000</v>
      </c>
      <c r="N1260" s="3">
        <f>Sales_Data2[[#This Row],[Revenue]]-Sales_Data2[[#This Row],[COGS]]</f>
        <v>90000</v>
      </c>
      <c r="O12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46934|North|Lagos|Corporate|Online|Printer P50|Electronics|150000|3|Grace|120000</v>
      </c>
      <c r="P1260" s="3" t="str">
        <f>IF(COUNTIF(Sales_Data2[RowKey],Sales_Data2[[#This Row],[RowKey]])&gt;1,"Duplicate","Unique")</f>
        <v>Unique</v>
      </c>
      <c r="Q1260" s="3" t="str">
        <f>IF(ISNUMBER(Sales_Data2[[#This Row],[Date]]),"OK","Check")</f>
        <v>OK</v>
      </c>
      <c r="R1260" s="3" t="str">
        <f>IF(ISNUMBER(Sales_Data2[[#This Row],[Quantity]]),"OK","Check")</f>
        <v>OK</v>
      </c>
    </row>
    <row r="1261" spans="1:18">
      <c r="A1261" s="1">
        <v>46935</v>
      </c>
      <c r="B1261" t="s">
        <v>18</v>
      </c>
      <c r="C1261" t="s">
        <v>19</v>
      </c>
      <c r="D1261" t="s">
        <v>23</v>
      </c>
      <c r="E1261" t="s">
        <v>14</v>
      </c>
      <c r="F1261" t="s">
        <v>30</v>
      </c>
      <c r="G1261" t="s">
        <v>31</v>
      </c>
      <c r="H1261">
        <v>300000</v>
      </c>
      <c r="I1261">
        <v>5</v>
      </c>
      <c r="J1261" t="s">
        <v>39</v>
      </c>
      <c r="K1261">
        <f t="shared" si="19"/>
        <v>240000</v>
      </c>
      <c r="L1261">
        <f>Sales_Data2[[#This Row],[Unit Price]]*Sales_Data2[[#This Row],[Quantity]]</f>
        <v>1500000</v>
      </c>
      <c r="M1261">
        <f>Sales_Data2[[#This Row],[Cost Price]]*Sales_Data2[[#This Row],[Quantity]]</f>
        <v>1200000</v>
      </c>
      <c r="N1261" s="3">
        <f>Sales_Data2[[#This Row],[Revenue]]-Sales_Data2[[#This Row],[COGS]]</f>
        <v>300000</v>
      </c>
      <c r="O12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46935|East|Lagos|Corporate|Online|Desktop PC D21|Electronics|300000|5|Grace|240000</v>
      </c>
      <c r="P1261" s="3" t="str">
        <f>IF(COUNTIF(Sales_Data2[RowKey],Sales_Data2[[#This Row],[RowKey]])&gt;1,"Duplicate","Unique")</f>
        <v>Unique</v>
      </c>
      <c r="Q1261" s="3" t="str">
        <f>IF(ISNUMBER(Sales_Data2[[#This Row],[Date]]),"OK","Check")</f>
        <v>OK</v>
      </c>
      <c r="R1261" s="3" t="str">
        <f>IF(ISNUMBER(Sales_Data2[[#This Row],[Quantity]]),"OK","Check")</f>
        <v>OK</v>
      </c>
    </row>
    <row r="1262" spans="1:18">
      <c r="A1262" s="1">
        <v>46936</v>
      </c>
      <c r="B1262" t="s">
        <v>11</v>
      </c>
      <c r="C1262" t="s">
        <v>12</v>
      </c>
      <c r="D1262" t="s">
        <v>13</v>
      </c>
      <c r="E1262" t="s">
        <v>20</v>
      </c>
      <c r="F1262" t="s">
        <v>34</v>
      </c>
      <c r="G1262" t="s">
        <v>16</v>
      </c>
      <c r="H1262">
        <v>320000</v>
      </c>
      <c r="I1262">
        <v>5</v>
      </c>
      <c r="J1262" t="s">
        <v>17</v>
      </c>
      <c r="K1262">
        <f t="shared" si="19"/>
        <v>256000</v>
      </c>
      <c r="L1262">
        <f>Sales_Data2[[#This Row],[Unit Price]]*Sales_Data2[[#This Row],[Quantity]]</f>
        <v>1600000</v>
      </c>
      <c r="M1262">
        <f>Sales_Data2[[#This Row],[Cost Price]]*Sales_Data2[[#This Row],[Quantity]]</f>
        <v>1280000</v>
      </c>
      <c r="N1262" s="3">
        <f>Sales_Data2[[#This Row],[Revenue]]-Sales_Data2[[#This Row],[COGS]]</f>
        <v>320000</v>
      </c>
      <c r="O12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46936|West|Port Harcourt|Retail|Store|Sofa Classic|Furniture|320000|5|Chidinma|256000</v>
      </c>
      <c r="P1262" s="3" t="str">
        <f>IF(COUNTIF(Sales_Data2[RowKey],Sales_Data2[[#This Row],[RowKey]])&gt;1,"Duplicate","Unique")</f>
        <v>Unique</v>
      </c>
      <c r="Q1262" s="3" t="str">
        <f>IF(ISNUMBER(Sales_Data2[[#This Row],[Date]]),"OK","Check")</f>
        <v>OK</v>
      </c>
      <c r="R1262" s="3" t="str">
        <f>IF(ISNUMBER(Sales_Data2[[#This Row],[Quantity]]),"OK","Check")</f>
        <v>OK</v>
      </c>
    </row>
    <row r="1263" spans="1:18">
      <c r="A1263" s="1">
        <v>46937</v>
      </c>
      <c r="B1263" t="s">
        <v>11</v>
      </c>
      <c r="C1263" t="s">
        <v>32</v>
      </c>
      <c r="D1263" t="s">
        <v>23</v>
      </c>
      <c r="E1263" t="s">
        <v>20</v>
      </c>
      <c r="F1263" t="s">
        <v>15</v>
      </c>
      <c r="G1263" t="s">
        <v>16</v>
      </c>
      <c r="H1263">
        <v>85000</v>
      </c>
      <c r="I1263">
        <v>10</v>
      </c>
      <c r="J1263" t="s">
        <v>37</v>
      </c>
      <c r="K1263">
        <f t="shared" si="19"/>
        <v>68000</v>
      </c>
      <c r="L1263">
        <f>Sales_Data2[[#This Row],[Unit Price]]*Sales_Data2[[#This Row],[Quantity]]</f>
        <v>850000</v>
      </c>
      <c r="M1263">
        <f>Sales_Data2[[#This Row],[Cost Price]]*Sales_Data2[[#This Row],[Quantity]]</f>
        <v>680000</v>
      </c>
      <c r="N1263" s="3">
        <f>Sales_Data2[[#This Row],[Revenue]]-Sales_Data2[[#This Row],[COGS]]</f>
        <v>170000</v>
      </c>
      <c r="O12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46937|West|Abuja|Corporate|Store|Office Chair Pro|Furniture|85000|10|Aisha|68000</v>
      </c>
      <c r="P1263" s="3" t="str">
        <f>IF(COUNTIF(Sales_Data2[RowKey],Sales_Data2[[#This Row],[RowKey]])&gt;1,"Duplicate","Unique")</f>
        <v>Unique</v>
      </c>
      <c r="Q1263" s="3" t="str">
        <f>IF(ISNUMBER(Sales_Data2[[#This Row],[Date]]),"OK","Check")</f>
        <v>OK</v>
      </c>
      <c r="R1263" s="3" t="str">
        <f>IF(ISNUMBER(Sales_Data2[[#This Row],[Quantity]]),"OK","Check")</f>
        <v>OK</v>
      </c>
    </row>
    <row r="1264" spans="1:18">
      <c r="A1264" s="1">
        <v>46938</v>
      </c>
      <c r="B1264" t="s">
        <v>11</v>
      </c>
      <c r="C1264" t="s">
        <v>19</v>
      </c>
      <c r="D1264" t="s">
        <v>13</v>
      </c>
      <c r="E1264" t="s">
        <v>20</v>
      </c>
      <c r="F1264" t="s">
        <v>33</v>
      </c>
      <c r="G1264" t="s">
        <v>22</v>
      </c>
      <c r="H1264">
        <v>180000</v>
      </c>
      <c r="I1264">
        <v>3</v>
      </c>
      <c r="J1264" t="s">
        <v>37</v>
      </c>
      <c r="K1264">
        <f t="shared" si="19"/>
        <v>144000</v>
      </c>
      <c r="L1264">
        <f>Sales_Data2[[#This Row],[Unit Price]]*Sales_Data2[[#This Row],[Quantity]]</f>
        <v>540000</v>
      </c>
      <c r="M1264">
        <f>Sales_Data2[[#This Row],[Cost Price]]*Sales_Data2[[#This Row],[Quantity]]</f>
        <v>432000</v>
      </c>
      <c r="N1264" s="3">
        <f>Sales_Data2[[#This Row],[Revenue]]-Sales_Data2[[#This Row],[COGS]]</f>
        <v>108000</v>
      </c>
      <c r="O12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46938|West|Lagos|Retail|Store|Air Conditioner X2|Home Appliances|180000|3|Aisha|144000</v>
      </c>
      <c r="P1264" s="3" t="str">
        <f>IF(COUNTIF(Sales_Data2[RowKey],Sales_Data2[[#This Row],[RowKey]])&gt;1,"Duplicate","Unique")</f>
        <v>Unique</v>
      </c>
      <c r="Q1264" s="3" t="str">
        <f>IF(ISNUMBER(Sales_Data2[[#This Row],[Date]]),"OK","Check")</f>
        <v>OK</v>
      </c>
      <c r="R1264" s="3" t="str">
        <f>IF(ISNUMBER(Sales_Data2[[#This Row],[Quantity]]),"OK","Check")</f>
        <v>OK</v>
      </c>
    </row>
    <row r="1265" spans="1:18">
      <c r="A1265" s="1">
        <v>46939</v>
      </c>
      <c r="B1265" t="s">
        <v>18</v>
      </c>
      <c r="C1265" t="s">
        <v>32</v>
      </c>
      <c r="D1265" t="s">
        <v>23</v>
      </c>
      <c r="E1265" t="s">
        <v>20</v>
      </c>
      <c r="F1265" t="s">
        <v>21</v>
      </c>
      <c r="G1265" t="s">
        <v>22</v>
      </c>
      <c r="H1265">
        <v>30000</v>
      </c>
      <c r="I1265">
        <v>3</v>
      </c>
      <c r="J1265" t="s">
        <v>39</v>
      </c>
      <c r="K1265">
        <f t="shared" si="19"/>
        <v>24000</v>
      </c>
      <c r="L1265">
        <f>Sales_Data2[[#This Row],[Unit Price]]*Sales_Data2[[#This Row],[Quantity]]</f>
        <v>90000</v>
      </c>
      <c r="M1265">
        <f>Sales_Data2[[#This Row],[Cost Price]]*Sales_Data2[[#This Row],[Quantity]]</f>
        <v>72000</v>
      </c>
      <c r="N1265" s="3">
        <f>Sales_Data2[[#This Row],[Revenue]]-Sales_Data2[[#This Row],[COGS]]</f>
        <v>18000</v>
      </c>
      <c r="O12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46939|East|Abuja|Corporate|Store|Blender B10|Home Appliances|30000|3|Grace|24000</v>
      </c>
      <c r="P1265" s="3" t="str">
        <f>IF(COUNTIF(Sales_Data2[RowKey],Sales_Data2[[#This Row],[RowKey]])&gt;1,"Duplicate","Unique")</f>
        <v>Unique</v>
      </c>
      <c r="Q1265" s="3" t="str">
        <f>IF(ISNUMBER(Sales_Data2[[#This Row],[Date]]),"OK","Check")</f>
        <v>OK</v>
      </c>
      <c r="R1265" s="3" t="str">
        <f>IF(ISNUMBER(Sales_Data2[[#This Row],[Quantity]]),"OK","Check")</f>
        <v>OK</v>
      </c>
    </row>
    <row r="1266" spans="1:18">
      <c r="A1266" s="1">
        <v>46940</v>
      </c>
      <c r="B1266" t="s">
        <v>29</v>
      </c>
      <c r="C1266" t="s">
        <v>19</v>
      </c>
      <c r="D1266" t="s">
        <v>13</v>
      </c>
      <c r="E1266" t="s">
        <v>20</v>
      </c>
      <c r="F1266" t="s">
        <v>36</v>
      </c>
      <c r="G1266" t="s">
        <v>31</v>
      </c>
      <c r="H1266">
        <v>150000</v>
      </c>
      <c r="I1266">
        <v>5</v>
      </c>
      <c r="J1266" t="s">
        <v>37</v>
      </c>
      <c r="K1266">
        <f t="shared" si="19"/>
        <v>120000</v>
      </c>
      <c r="L1266">
        <f>Sales_Data2[[#This Row],[Unit Price]]*Sales_Data2[[#This Row],[Quantity]]</f>
        <v>750000</v>
      </c>
      <c r="M1266">
        <f>Sales_Data2[[#This Row],[Cost Price]]*Sales_Data2[[#This Row],[Quantity]]</f>
        <v>600000</v>
      </c>
      <c r="N1266" s="3">
        <f>Sales_Data2[[#This Row],[Revenue]]-Sales_Data2[[#This Row],[COGS]]</f>
        <v>150000</v>
      </c>
      <c r="O12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46940|North|Lagos|Retail|Store|Printer P50|Electronics|150000|5|Aisha|120000</v>
      </c>
      <c r="P1266" s="3" t="str">
        <f>IF(COUNTIF(Sales_Data2[RowKey],Sales_Data2[[#This Row],[RowKey]])&gt;1,"Duplicate","Unique")</f>
        <v>Unique</v>
      </c>
      <c r="Q1266" s="3" t="str">
        <f>IF(ISNUMBER(Sales_Data2[[#This Row],[Date]]),"OK","Check")</f>
        <v>OK</v>
      </c>
      <c r="R1266" s="3" t="str">
        <f>IF(ISNUMBER(Sales_Data2[[#This Row],[Quantity]]),"OK","Check")</f>
        <v>OK</v>
      </c>
    </row>
    <row r="1267" spans="1:18">
      <c r="A1267" s="1">
        <v>46941</v>
      </c>
      <c r="B1267" t="s">
        <v>29</v>
      </c>
      <c r="C1267" t="s">
        <v>26</v>
      </c>
      <c r="D1267" t="s">
        <v>13</v>
      </c>
      <c r="E1267" t="s">
        <v>14</v>
      </c>
      <c r="F1267" t="s">
        <v>30</v>
      </c>
      <c r="G1267" t="s">
        <v>31</v>
      </c>
      <c r="H1267">
        <v>300000</v>
      </c>
      <c r="I1267">
        <v>4</v>
      </c>
      <c r="J1267" t="s">
        <v>35</v>
      </c>
      <c r="K1267">
        <f t="shared" si="19"/>
        <v>240000</v>
      </c>
      <c r="L1267">
        <f>Sales_Data2[[#This Row],[Unit Price]]*Sales_Data2[[#This Row],[Quantity]]</f>
        <v>1200000</v>
      </c>
      <c r="M1267">
        <f>Sales_Data2[[#This Row],[Cost Price]]*Sales_Data2[[#This Row],[Quantity]]</f>
        <v>960000</v>
      </c>
      <c r="N1267" s="3">
        <f>Sales_Data2[[#This Row],[Revenue]]-Sales_Data2[[#This Row],[COGS]]</f>
        <v>240000</v>
      </c>
      <c r="O12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46941|North|Kano|Retail|Online|Desktop PC D21|Electronics|300000|4|Peter|240000</v>
      </c>
      <c r="P1267" s="3" t="str">
        <f>IF(COUNTIF(Sales_Data2[RowKey],Sales_Data2[[#This Row],[RowKey]])&gt;1,"Duplicate","Unique")</f>
        <v>Unique</v>
      </c>
      <c r="Q1267" s="3" t="str">
        <f>IF(ISNUMBER(Sales_Data2[[#This Row],[Date]]),"OK","Check")</f>
        <v>OK</v>
      </c>
      <c r="R1267" s="3" t="str">
        <f>IF(ISNUMBER(Sales_Data2[[#This Row],[Quantity]]),"OK","Check")</f>
        <v>OK</v>
      </c>
    </row>
    <row r="1268" spans="1:18">
      <c r="A1268" s="1">
        <v>46942</v>
      </c>
      <c r="B1268" t="s">
        <v>18</v>
      </c>
      <c r="C1268" t="s">
        <v>26</v>
      </c>
      <c r="D1268" t="s">
        <v>23</v>
      </c>
      <c r="E1268" t="s">
        <v>20</v>
      </c>
      <c r="F1268" t="s">
        <v>21</v>
      </c>
      <c r="G1268" t="s">
        <v>22</v>
      </c>
      <c r="H1268">
        <v>30000</v>
      </c>
      <c r="I1268">
        <v>8</v>
      </c>
      <c r="J1268" t="s">
        <v>37</v>
      </c>
      <c r="K1268">
        <f t="shared" si="19"/>
        <v>24000</v>
      </c>
      <c r="L1268">
        <f>Sales_Data2[[#This Row],[Unit Price]]*Sales_Data2[[#This Row],[Quantity]]</f>
        <v>240000</v>
      </c>
      <c r="M1268">
        <f>Sales_Data2[[#This Row],[Cost Price]]*Sales_Data2[[#This Row],[Quantity]]</f>
        <v>192000</v>
      </c>
      <c r="N1268" s="3">
        <f>Sales_Data2[[#This Row],[Revenue]]-Sales_Data2[[#This Row],[COGS]]</f>
        <v>48000</v>
      </c>
      <c r="O12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46942|East|Kano|Corporate|Store|Blender B10|Home Appliances|30000|8|Aisha|24000</v>
      </c>
      <c r="P1268" s="3" t="str">
        <f>IF(COUNTIF(Sales_Data2[RowKey],Sales_Data2[[#This Row],[RowKey]])&gt;1,"Duplicate","Unique")</f>
        <v>Unique</v>
      </c>
      <c r="Q1268" s="3" t="str">
        <f>IF(ISNUMBER(Sales_Data2[[#This Row],[Date]]),"OK","Check")</f>
        <v>OK</v>
      </c>
      <c r="R1268" s="3" t="str">
        <f>IF(ISNUMBER(Sales_Data2[[#This Row],[Quantity]]),"OK","Check")</f>
        <v>OK</v>
      </c>
    </row>
    <row r="1269" spans="1:18">
      <c r="A1269" s="1">
        <v>46943</v>
      </c>
      <c r="B1269" t="s">
        <v>11</v>
      </c>
      <c r="C1269" t="s">
        <v>12</v>
      </c>
      <c r="D1269" t="s">
        <v>13</v>
      </c>
      <c r="E1269" t="s">
        <v>20</v>
      </c>
      <c r="F1269" t="s">
        <v>41</v>
      </c>
      <c r="G1269" t="s">
        <v>22</v>
      </c>
      <c r="H1269">
        <v>220000</v>
      </c>
      <c r="I1269">
        <v>10</v>
      </c>
      <c r="J1269" t="s">
        <v>24</v>
      </c>
      <c r="K1269">
        <f t="shared" si="19"/>
        <v>176000</v>
      </c>
      <c r="L1269">
        <f>Sales_Data2[[#This Row],[Unit Price]]*Sales_Data2[[#This Row],[Quantity]]</f>
        <v>2200000</v>
      </c>
      <c r="M1269">
        <f>Sales_Data2[[#This Row],[Cost Price]]*Sales_Data2[[#This Row],[Quantity]]</f>
        <v>1760000</v>
      </c>
      <c r="N1269" s="3">
        <f>Sales_Data2[[#This Row],[Revenue]]-Sales_Data2[[#This Row],[COGS]]</f>
        <v>440000</v>
      </c>
      <c r="O12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46943|West|Port Harcourt|Retail|Store|Refrigerator R55|Home Appliances|220000|10|David|176000</v>
      </c>
      <c r="P1269" s="3" t="str">
        <f>IF(COUNTIF(Sales_Data2[RowKey],Sales_Data2[[#This Row],[RowKey]])&gt;1,"Duplicate","Unique")</f>
        <v>Unique</v>
      </c>
      <c r="Q1269" s="3" t="str">
        <f>IF(ISNUMBER(Sales_Data2[[#This Row],[Date]]),"OK","Check")</f>
        <v>OK</v>
      </c>
      <c r="R1269" s="3" t="str">
        <f>IF(ISNUMBER(Sales_Data2[[#This Row],[Quantity]]),"OK","Check")</f>
        <v>OK</v>
      </c>
    </row>
    <row r="1270" spans="1:18">
      <c r="A1270" s="1">
        <v>46944</v>
      </c>
      <c r="B1270" t="s">
        <v>25</v>
      </c>
      <c r="C1270" t="s">
        <v>26</v>
      </c>
      <c r="D1270" t="s">
        <v>13</v>
      </c>
      <c r="E1270" t="s">
        <v>14</v>
      </c>
      <c r="F1270" t="s">
        <v>21</v>
      </c>
      <c r="G1270" t="s">
        <v>22</v>
      </c>
      <c r="H1270">
        <v>30000</v>
      </c>
      <c r="I1270">
        <v>10</v>
      </c>
      <c r="J1270" t="s">
        <v>28</v>
      </c>
      <c r="K1270">
        <f t="shared" si="19"/>
        <v>24000</v>
      </c>
      <c r="L1270">
        <f>Sales_Data2[[#This Row],[Unit Price]]*Sales_Data2[[#This Row],[Quantity]]</f>
        <v>300000</v>
      </c>
      <c r="M1270">
        <f>Sales_Data2[[#This Row],[Cost Price]]*Sales_Data2[[#This Row],[Quantity]]</f>
        <v>240000</v>
      </c>
      <c r="N1270" s="3">
        <f>Sales_Data2[[#This Row],[Revenue]]-Sales_Data2[[#This Row],[COGS]]</f>
        <v>60000</v>
      </c>
      <c r="O12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46944|South|Kano|Retail|Online|Blender B10|Home Appliances|30000|10|Musa|24000</v>
      </c>
      <c r="P1270" s="3" t="str">
        <f>IF(COUNTIF(Sales_Data2[RowKey],Sales_Data2[[#This Row],[RowKey]])&gt;1,"Duplicate","Unique")</f>
        <v>Unique</v>
      </c>
      <c r="Q1270" s="3" t="str">
        <f>IF(ISNUMBER(Sales_Data2[[#This Row],[Date]]),"OK","Check")</f>
        <v>OK</v>
      </c>
      <c r="R1270" s="3" t="str">
        <f>IF(ISNUMBER(Sales_Data2[[#This Row],[Quantity]]),"OK","Check")</f>
        <v>OK</v>
      </c>
    </row>
    <row r="1271" spans="1:18">
      <c r="A1271" s="1">
        <v>46945</v>
      </c>
      <c r="B1271" t="s">
        <v>18</v>
      </c>
      <c r="C1271" t="s">
        <v>19</v>
      </c>
      <c r="D1271" t="s">
        <v>23</v>
      </c>
      <c r="E1271" t="s">
        <v>20</v>
      </c>
      <c r="F1271" t="s">
        <v>40</v>
      </c>
      <c r="G1271" t="s">
        <v>31</v>
      </c>
      <c r="H1271">
        <v>250000</v>
      </c>
      <c r="I1271">
        <v>5</v>
      </c>
      <c r="J1271" t="s">
        <v>17</v>
      </c>
      <c r="K1271">
        <f t="shared" si="19"/>
        <v>200000</v>
      </c>
      <c r="L1271">
        <f>Sales_Data2[[#This Row],[Unit Price]]*Sales_Data2[[#This Row],[Quantity]]</f>
        <v>1250000</v>
      </c>
      <c r="M1271">
        <f>Sales_Data2[[#This Row],[Cost Price]]*Sales_Data2[[#This Row],[Quantity]]</f>
        <v>1000000</v>
      </c>
      <c r="N1271" s="3">
        <f>Sales_Data2[[#This Row],[Revenue]]-Sales_Data2[[#This Row],[COGS]]</f>
        <v>250000</v>
      </c>
      <c r="O12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46945|East|Lagos|Corporate|Store|Smartphone Z10|Electronics|250000|5|Chidinma|200000</v>
      </c>
      <c r="P1271" s="3" t="str">
        <f>IF(COUNTIF(Sales_Data2[RowKey],Sales_Data2[[#This Row],[RowKey]])&gt;1,"Duplicate","Unique")</f>
        <v>Unique</v>
      </c>
      <c r="Q1271" s="3" t="str">
        <f>IF(ISNUMBER(Sales_Data2[[#This Row],[Date]]),"OK","Check")</f>
        <v>OK</v>
      </c>
      <c r="R1271" s="3" t="str">
        <f>IF(ISNUMBER(Sales_Data2[[#This Row],[Quantity]]),"OK","Check")</f>
        <v>OK</v>
      </c>
    </row>
    <row r="1272" spans="1:18">
      <c r="A1272" s="1">
        <v>46946</v>
      </c>
      <c r="B1272" t="s">
        <v>25</v>
      </c>
      <c r="C1272" t="s">
        <v>19</v>
      </c>
      <c r="D1272" t="s">
        <v>23</v>
      </c>
      <c r="E1272" t="s">
        <v>20</v>
      </c>
      <c r="F1272" t="s">
        <v>36</v>
      </c>
      <c r="G1272" t="s">
        <v>31</v>
      </c>
      <c r="H1272">
        <v>150000</v>
      </c>
      <c r="I1272">
        <v>8</v>
      </c>
      <c r="J1272" t="s">
        <v>17</v>
      </c>
      <c r="K1272">
        <f t="shared" si="19"/>
        <v>120000</v>
      </c>
      <c r="L1272">
        <f>Sales_Data2[[#This Row],[Unit Price]]*Sales_Data2[[#This Row],[Quantity]]</f>
        <v>1200000</v>
      </c>
      <c r="M1272">
        <f>Sales_Data2[[#This Row],[Cost Price]]*Sales_Data2[[#This Row],[Quantity]]</f>
        <v>960000</v>
      </c>
      <c r="N1272" s="3">
        <f>Sales_Data2[[#This Row],[Revenue]]-Sales_Data2[[#This Row],[COGS]]</f>
        <v>240000</v>
      </c>
      <c r="O12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46946|South|Lagos|Corporate|Store|Printer P50|Electronics|150000|8|Chidinma|120000</v>
      </c>
      <c r="P1272" s="3" t="str">
        <f>IF(COUNTIF(Sales_Data2[RowKey],Sales_Data2[[#This Row],[RowKey]])&gt;1,"Duplicate","Unique")</f>
        <v>Unique</v>
      </c>
      <c r="Q1272" s="3" t="str">
        <f>IF(ISNUMBER(Sales_Data2[[#This Row],[Date]]),"OK","Check")</f>
        <v>OK</v>
      </c>
      <c r="R1272" s="3" t="str">
        <f>IF(ISNUMBER(Sales_Data2[[#This Row],[Quantity]]),"OK","Check")</f>
        <v>OK</v>
      </c>
    </row>
    <row r="1273" spans="1:18">
      <c r="A1273" s="1">
        <v>46947</v>
      </c>
      <c r="B1273" t="s">
        <v>25</v>
      </c>
      <c r="C1273" t="s">
        <v>12</v>
      </c>
      <c r="D1273" t="s">
        <v>13</v>
      </c>
      <c r="E1273" t="s">
        <v>20</v>
      </c>
      <c r="F1273" t="s">
        <v>15</v>
      </c>
      <c r="G1273" t="s">
        <v>16</v>
      </c>
      <c r="H1273">
        <v>85000</v>
      </c>
      <c r="I1273">
        <v>1</v>
      </c>
      <c r="J1273" t="s">
        <v>17</v>
      </c>
      <c r="K1273">
        <f t="shared" si="19"/>
        <v>68000</v>
      </c>
      <c r="L1273">
        <f>Sales_Data2[[#This Row],[Unit Price]]*Sales_Data2[[#This Row],[Quantity]]</f>
        <v>85000</v>
      </c>
      <c r="M1273">
        <f>Sales_Data2[[#This Row],[Cost Price]]*Sales_Data2[[#This Row],[Quantity]]</f>
        <v>68000</v>
      </c>
      <c r="N1273" s="3">
        <f>Sales_Data2[[#This Row],[Revenue]]-Sales_Data2[[#This Row],[COGS]]</f>
        <v>17000</v>
      </c>
      <c r="O12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46947|South|Port Harcourt|Retail|Store|Office Chair Pro|Furniture|85000|1|Chidinma|68000</v>
      </c>
      <c r="P1273" s="3" t="str">
        <f>IF(COUNTIF(Sales_Data2[RowKey],Sales_Data2[[#This Row],[RowKey]])&gt;1,"Duplicate","Unique")</f>
        <v>Unique</v>
      </c>
      <c r="Q1273" s="3" t="str">
        <f>IF(ISNUMBER(Sales_Data2[[#This Row],[Date]]),"OK","Check")</f>
        <v>OK</v>
      </c>
      <c r="R1273" s="3" t="str">
        <f>IF(ISNUMBER(Sales_Data2[[#This Row],[Quantity]]),"OK","Check")</f>
        <v>OK</v>
      </c>
    </row>
    <row r="1274" spans="1:18">
      <c r="A1274" s="1">
        <v>46948</v>
      </c>
      <c r="B1274" t="s">
        <v>18</v>
      </c>
      <c r="C1274" t="s">
        <v>26</v>
      </c>
      <c r="D1274" t="s">
        <v>13</v>
      </c>
      <c r="E1274" t="s">
        <v>14</v>
      </c>
      <c r="F1274" t="s">
        <v>41</v>
      </c>
      <c r="G1274" t="s">
        <v>22</v>
      </c>
      <c r="H1274">
        <v>220000</v>
      </c>
      <c r="I1274">
        <v>2</v>
      </c>
      <c r="J1274" t="s">
        <v>37</v>
      </c>
      <c r="K1274">
        <f t="shared" si="19"/>
        <v>176000</v>
      </c>
      <c r="L1274">
        <f>Sales_Data2[[#This Row],[Unit Price]]*Sales_Data2[[#This Row],[Quantity]]</f>
        <v>440000</v>
      </c>
      <c r="M1274">
        <f>Sales_Data2[[#This Row],[Cost Price]]*Sales_Data2[[#This Row],[Quantity]]</f>
        <v>352000</v>
      </c>
      <c r="N1274" s="3">
        <f>Sales_Data2[[#This Row],[Revenue]]-Sales_Data2[[#This Row],[COGS]]</f>
        <v>88000</v>
      </c>
      <c r="O12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46948|East|Kano|Retail|Online|Refrigerator R55|Home Appliances|220000|2|Aisha|176000</v>
      </c>
      <c r="P1274" s="3" t="str">
        <f>IF(COUNTIF(Sales_Data2[RowKey],Sales_Data2[[#This Row],[RowKey]])&gt;1,"Duplicate","Unique")</f>
        <v>Unique</v>
      </c>
      <c r="Q1274" s="3" t="str">
        <f>IF(ISNUMBER(Sales_Data2[[#This Row],[Date]]),"OK","Check")</f>
        <v>OK</v>
      </c>
      <c r="R1274" s="3" t="str">
        <f>IF(ISNUMBER(Sales_Data2[[#This Row],[Quantity]]),"OK","Check")</f>
        <v>OK</v>
      </c>
    </row>
    <row r="1275" spans="1:18">
      <c r="A1275" s="1">
        <v>46949</v>
      </c>
      <c r="B1275" t="s">
        <v>25</v>
      </c>
      <c r="C1275" t="s">
        <v>19</v>
      </c>
      <c r="D1275" t="s">
        <v>23</v>
      </c>
      <c r="E1275" t="s">
        <v>14</v>
      </c>
      <c r="F1275" t="s">
        <v>27</v>
      </c>
      <c r="G1275" t="s">
        <v>22</v>
      </c>
      <c r="H1275">
        <v>60000</v>
      </c>
      <c r="I1275">
        <v>9</v>
      </c>
      <c r="J1275" t="s">
        <v>28</v>
      </c>
      <c r="K1275">
        <f t="shared" si="19"/>
        <v>48000</v>
      </c>
      <c r="L1275">
        <f>Sales_Data2[[#This Row],[Unit Price]]*Sales_Data2[[#This Row],[Quantity]]</f>
        <v>540000</v>
      </c>
      <c r="M1275">
        <f>Sales_Data2[[#This Row],[Cost Price]]*Sales_Data2[[#This Row],[Quantity]]</f>
        <v>432000</v>
      </c>
      <c r="N1275" s="3">
        <f>Sales_Data2[[#This Row],[Revenue]]-Sales_Data2[[#This Row],[COGS]]</f>
        <v>108000</v>
      </c>
      <c r="O12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46949|South|Lagos|Corporate|Online|Microwave M20|Home Appliances|60000|9|Musa|48000</v>
      </c>
      <c r="P1275" s="3" t="str">
        <f>IF(COUNTIF(Sales_Data2[RowKey],Sales_Data2[[#This Row],[RowKey]])&gt;1,"Duplicate","Unique")</f>
        <v>Unique</v>
      </c>
      <c r="Q1275" s="3" t="str">
        <f>IF(ISNUMBER(Sales_Data2[[#This Row],[Date]]),"OK","Check")</f>
        <v>OK</v>
      </c>
      <c r="R1275" s="3" t="str">
        <f>IF(ISNUMBER(Sales_Data2[[#This Row],[Quantity]]),"OK","Check")</f>
        <v>OK</v>
      </c>
    </row>
    <row r="1276" spans="1:18">
      <c r="A1276" s="1">
        <v>46950</v>
      </c>
      <c r="B1276" t="s">
        <v>29</v>
      </c>
      <c r="C1276" t="s">
        <v>26</v>
      </c>
      <c r="D1276" t="s">
        <v>13</v>
      </c>
      <c r="E1276" t="s">
        <v>14</v>
      </c>
      <c r="F1276" t="s">
        <v>40</v>
      </c>
      <c r="G1276" t="s">
        <v>31</v>
      </c>
      <c r="H1276">
        <v>250000</v>
      </c>
      <c r="I1276">
        <v>9</v>
      </c>
      <c r="J1276" t="s">
        <v>35</v>
      </c>
      <c r="K1276">
        <f t="shared" si="19"/>
        <v>200000</v>
      </c>
      <c r="L1276">
        <f>Sales_Data2[[#This Row],[Unit Price]]*Sales_Data2[[#This Row],[Quantity]]</f>
        <v>2250000</v>
      </c>
      <c r="M1276">
        <f>Sales_Data2[[#This Row],[Cost Price]]*Sales_Data2[[#This Row],[Quantity]]</f>
        <v>1800000</v>
      </c>
      <c r="N1276" s="3">
        <f>Sales_Data2[[#This Row],[Revenue]]-Sales_Data2[[#This Row],[COGS]]</f>
        <v>450000</v>
      </c>
      <c r="O12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46950|North|Kano|Retail|Online|Smartphone Z10|Electronics|250000|9|Peter|200000</v>
      </c>
      <c r="P1276" s="3" t="str">
        <f>IF(COUNTIF(Sales_Data2[RowKey],Sales_Data2[[#This Row],[RowKey]])&gt;1,"Duplicate","Unique")</f>
        <v>Unique</v>
      </c>
      <c r="Q1276" s="3" t="str">
        <f>IF(ISNUMBER(Sales_Data2[[#This Row],[Date]]),"OK","Check")</f>
        <v>OK</v>
      </c>
      <c r="R1276" s="3" t="str">
        <f>IF(ISNUMBER(Sales_Data2[[#This Row],[Quantity]]),"OK","Check")</f>
        <v>OK</v>
      </c>
    </row>
    <row r="1277" spans="1:18">
      <c r="A1277" s="1">
        <v>46951</v>
      </c>
      <c r="B1277" t="s">
        <v>18</v>
      </c>
      <c r="C1277" t="s">
        <v>12</v>
      </c>
      <c r="D1277" t="s">
        <v>13</v>
      </c>
      <c r="E1277" t="s">
        <v>20</v>
      </c>
      <c r="F1277" t="s">
        <v>15</v>
      </c>
      <c r="G1277" t="s">
        <v>16</v>
      </c>
      <c r="H1277">
        <v>85000</v>
      </c>
      <c r="I1277">
        <v>7</v>
      </c>
      <c r="J1277" t="s">
        <v>37</v>
      </c>
      <c r="K1277">
        <f t="shared" si="19"/>
        <v>68000</v>
      </c>
      <c r="L1277">
        <f>Sales_Data2[[#This Row],[Unit Price]]*Sales_Data2[[#This Row],[Quantity]]</f>
        <v>595000</v>
      </c>
      <c r="M1277">
        <f>Sales_Data2[[#This Row],[Cost Price]]*Sales_Data2[[#This Row],[Quantity]]</f>
        <v>476000</v>
      </c>
      <c r="N1277" s="3">
        <f>Sales_Data2[[#This Row],[Revenue]]-Sales_Data2[[#This Row],[COGS]]</f>
        <v>119000</v>
      </c>
      <c r="O12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46951|East|Port Harcourt|Retail|Store|Office Chair Pro|Furniture|85000|7|Aisha|68000</v>
      </c>
      <c r="P1277" s="3" t="str">
        <f>IF(COUNTIF(Sales_Data2[RowKey],Sales_Data2[[#This Row],[RowKey]])&gt;1,"Duplicate","Unique")</f>
        <v>Unique</v>
      </c>
      <c r="Q1277" s="3" t="str">
        <f>IF(ISNUMBER(Sales_Data2[[#This Row],[Date]]),"OK","Check")</f>
        <v>OK</v>
      </c>
      <c r="R1277" s="3" t="str">
        <f>IF(ISNUMBER(Sales_Data2[[#This Row],[Quantity]]),"OK","Check")</f>
        <v>OK</v>
      </c>
    </row>
    <row r="1278" spans="1:18">
      <c r="A1278" s="1">
        <v>46952</v>
      </c>
      <c r="B1278" t="s">
        <v>25</v>
      </c>
      <c r="C1278" t="s">
        <v>26</v>
      </c>
      <c r="D1278" t="s">
        <v>13</v>
      </c>
      <c r="E1278" t="s">
        <v>20</v>
      </c>
      <c r="F1278" t="s">
        <v>36</v>
      </c>
      <c r="G1278" t="s">
        <v>31</v>
      </c>
      <c r="H1278">
        <v>150000</v>
      </c>
      <c r="I1278">
        <v>7</v>
      </c>
      <c r="J1278" t="s">
        <v>35</v>
      </c>
      <c r="K1278">
        <f t="shared" si="19"/>
        <v>120000</v>
      </c>
      <c r="L1278">
        <f>Sales_Data2[[#This Row],[Unit Price]]*Sales_Data2[[#This Row],[Quantity]]</f>
        <v>1050000</v>
      </c>
      <c r="M1278">
        <f>Sales_Data2[[#This Row],[Cost Price]]*Sales_Data2[[#This Row],[Quantity]]</f>
        <v>840000</v>
      </c>
      <c r="N1278" s="3">
        <f>Sales_Data2[[#This Row],[Revenue]]-Sales_Data2[[#This Row],[COGS]]</f>
        <v>210000</v>
      </c>
      <c r="O12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46952|South|Kano|Retail|Store|Printer P50|Electronics|150000|7|Peter|120000</v>
      </c>
      <c r="P1278" s="3" t="str">
        <f>IF(COUNTIF(Sales_Data2[RowKey],Sales_Data2[[#This Row],[RowKey]])&gt;1,"Duplicate","Unique")</f>
        <v>Unique</v>
      </c>
      <c r="Q1278" s="3" t="str">
        <f>IF(ISNUMBER(Sales_Data2[[#This Row],[Date]]),"OK","Check")</f>
        <v>OK</v>
      </c>
      <c r="R1278" s="3" t="str">
        <f>IF(ISNUMBER(Sales_Data2[[#This Row],[Quantity]]),"OK","Check")</f>
        <v>OK</v>
      </c>
    </row>
    <row r="1279" spans="1:18">
      <c r="A1279" s="1">
        <v>46953</v>
      </c>
      <c r="B1279" t="s">
        <v>18</v>
      </c>
      <c r="C1279" t="s">
        <v>26</v>
      </c>
      <c r="D1279" t="s">
        <v>23</v>
      </c>
      <c r="E1279" t="s">
        <v>14</v>
      </c>
      <c r="F1279" t="s">
        <v>21</v>
      </c>
      <c r="G1279" t="s">
        <v>22</v>
      </c>
      <c r="H1279">
        <v>30000</v>
      </c>
      <c r="I1279">
        <v>3</v>
      </c>
      <c r="J1279" t="s">
        <v>24</v>
      </c>
      <c r="K1279">
        <f t="shared" si="19"/>
        <v>24000</v>
      </c>
      <c r="L1279">
        <f>Sales_Data2[[#This Row],[Unit Price]]*Sales_Data2[[#This Row],[Quantity]]</f>
        <v>90000</v>
      </c>
      <c r="M1279">
        <f>Sales_Data2[[#This Row],[Cost Price]]*Sales_Data2[[#This Row],[Quantity]]</f>
        <v>72000</v>
      </c>
      <c r="N1279" s="3">
        <f>Sales_Data2[[#This Row],[Revenue]]-Sales_Data2[[#This Row],[COGS]]</f>
        <v>18000</v>
      </c>
      <c r="O12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46953|East|Kano|Corporate|Online|Blender B10|Home Appliances|30000|3|David|24000</v>
      </c>
      <c r="P1279" s="3" t="str">
        <f>IF(COUNTIF(Sales_Data2[RowKey],Sales_Data2[[#This Row],[RowKey]])&gt;1,"Duplicate","Unique")</f>
        <v>Unique</v>
      </c>
      <c r="Q1279" s="3" t="str">
        <f>IF(ISNUMBER(Sales_Data2[[#This Row],[Date]]),"OK","Check")</f>
        <v>OK</v>
      </c>
      <c r="R1279" s="3" t="str">
        <f>IF(ISNUMBER(Sales_Data2[[#This Row],[Quantity]]),"OK","Check")</f>
        <v>OK</v>
      </c>
    </row>
    <row r="1280" spans="1:18">
      <c r="A1280" s="1">
        <v>46954</v>
      </c>
      <c r="B1280" t="s">
        <v>18</v>
      </c>
      <c r="C1280" t="s">
        <v>26</v>
      </c>
      <c r="D1280" t="s">
        <v>23</v>
      </c>
      <c r="E1280" t="s">
        <v>20</v>
      </c>
      <c r="F1280" t="s">
        <v>21</v>
      </c>
      <c r="G1280" t="s">
        <v>22</v>
      </c>
      <c r="H1280">
        <v>30000</v>
      </c>
      <c r="I1280">
        <v>3</v>
      </c>
      <c r="J1280" t="s">
        <v>39</v>
      </c>
      <c r="K1280">
        <f t="shared" si="19"/>
        <v>24000</v>
      </c>
      <c r="L1280">
        <f>Sales_Data2[[#This Row],[Unit Price]]*Sales_Data2[[#This Row],[Quantity]]</f>
        <v>90000</v>
      </c>
      <c r="M1280">
        <f>Sales_Data2[[#This Row],[Cost Price]]*Sales_Data2[[#This Row],[Quantity]]</f>
        <v>72000</v>
      </c>
      <c r="N1280" s="3">
        <f>Sales_Data2[[#This Row],[Revenue]]-Sales_Data2[[#This Row],[COGS]]</f>
        <v>18000</v>
      </c>
      <c r="O12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46954|East|Kano|Corporate|Store|Blender B10|Home Appliances|30000|3|Grace|24000</v>
      </c>
      <c r="P1280" s="3" t="str">
        <f>IF(COUNTIF(Sales_Data2[RowKey],Sales_Data2[[#This Row],[RowKey]])&gt;1,"Duplicate","Unique")</f>
        <v>Unique</v>
      </c>
      <c r="Q1280" s="3" t="str">
        <f>IF(ISNUMBER(Sales_Data2[[#This Row],[Date]]),"OK","Check")</f>
        <v>OK</v>
      </c>
      <c r="R1280" s="3" t="str">
        <f>IF(ISNUMBER(Sales_Data2[[#This Row],[Quantity]]),"OK","Check")</f>
        <v>OK</v>
      </c>
    </row>
    <row r="1281" spans="1:18">
      <c r="A1281" s="1">
        <v>46955</v>
      </c>
      <c r="B1281" t="s">
        <v>29</v>
      </c>
      <c r="C1281" t="s">
        <v>32</v>
      </c>
      <c r="D1281" t="s">
        <v>13</v>
      </c>
      <c r="E1281" t="s">
        <v>14</v>
      </c>
      <c r="F1281" t="s">
        <v>21</v>
      </c>
      <c r="G1281" t="s">
        <v>22</v>
      </c>
      <c r="H1281">
        <v>30000</v>
      </c>
      <c r="I1281">
        <v>4</v>
      </c>
      <c r="J1281" t="s">
        <v>37</v>
      </c>
      <c r="K1281">
        <f t="shared" si="19"/>
        <v>24000</v>
      </c>
      <c r="L1281">
        <f>Sales_Data2[[#This Row],[Unit Price]]*Sales_Data2[[#This Row],[Quantity]]</f>
        <v>120000</v>
      </c>
      <c r="M1281">
        <f>Sales_Data2[[#This Row],[Cost Price]]*Sales_Data2[[#This Row],[Quantity]]</f>
        <v>96000</v>
      </c>
      <c r="N1281" s="3">
        <f>Sales_Data2[[#This Row],[Revenue]]-Sales_Data2[[#This Row],[COGS]]</f>
        <v>24000</v>
      </c>
      <c r="O12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46955|North|Abuja|Retail|Online|Blender B10|Home Appliances|30000|4|Aisha|24000</v>
      </c>
      <c r="P1281" s="3" t="str">
        <f>IF(COUNTIF(Sales_Data2[RowKey],Sales_Data2[[#This Row],[RowKey]])&gt;1,"Duplicate","Unique")</f>
        <v>Unique</v>
      </c>
      <c r="Q1281" s="3" t="str">
        <f>IF(ISNUMBER(Sales_Data2[[#This Row],[Date]]),"OK","Check")</f>
        <v>OK</v>
      </c>
      <c r="R1281" s="3" t="str">
        <f>IF(ISNUMBER(Sales_Data2[[#This Row],[Quantity]]),"OK","Check")</f>
        <v>OK</v>
      </c>
    </row>
    <row r="1282" spans="1:18">
      <c r="A1282" s="1">
        <v>46956</v>
      </c>
      <c r="B1282" t="s">
        <v>25</v>
      </c>
      <c r="C1282" t="s">
        <v>19</v>
      </c>
      <c r="D1282" t="s">
        <v>13</v>
      </c>
      <c r="E1282" t="s">
        <v>20</v>
      </c>
      <c r="F1282" t="s">
        <v>27</v>
      </c>
      <c r="G1282" t="s">
        <v>22</v>
      </c>
      <c r="H1282">
        <v>60000</v>
      </c>
      <c r="I1282">
        <v>9</v>
      </c>
      <c r="J1282" t="s">
        <v>24</v>
      </c>
      <c r="K1282">
        <f t="shared" ref="K1282:K1345" si="20">H1282-H1282*0.2</f>
        <v>48000</v>
      </c>
      <c r="L1282">
        <f>Sales_Data2[[#This Row],[Unit Price]]*Sales_Data2[[#This Row],[Quantity]]</f>
        <v>540000</v>
      </c>
      <c r="M1282">
        <f>Sales_Data2[[#This Row],[Cost Price]]*Sales_Data2[[#This Row],[Quantity]]</f>
        <v>432000</v>
      </c>
      <c r="N1282" s="3">
        <f>Sales_Data2[[#This Row],[Revenue]]-Sales_Data2[[#This Row],[COGS]]</f>
        <v>108000</v>
      </c>
      <c r="O12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46956|South|Lagos|Retail|Store|Microwave M20|Home Appliances|60000|9|David|48000</v>
      </c>
      <c r="P1282" s="3" t="str">
        <f>IF(COUNTIF(Sales_Data2[RowKey],Sales_Data2[[#This Row],[RowKey]])&gt;1,"Duplicate","Unique")</f>
        <v>Unique</v>
      </c>
      <c r="Q1282" s="3" t="str">
        <f>IF(ISNUMBER(Sales_Data2[[#This Row],[Date]]),"OK","Check")</f>
        <v>OK</v>
      </c>
      <c r="R1282" s="3" t="str">
        <f>IF(ISNUMBER(Sales_Data2[[#This Row],[Quantity]]),"OK","Check")</f>
        <v>OK</v>
      </c>
    </row>
    <row r="1283" spans="1:18">
      <c r="A1283" s="1">
        <v>46957</v>
      </c>
      <c r="B1283" t="s">
        <v>25</v>
      </c>
      <c r="C1283" t="s">
        <v>32</v>
      </c>
      <c r="D1283" t="s">
        <v>23</v>
      </c>
      <c r="E1283" t="s">
        <v>14</v>
      </c>
      <c r="F1283" t="s">
        <v>27</v>
      </c>
      <c r="G1283" t="s">
        <v>22</v>
      </c>
      <c r="H1283">
        <v>60000</v>
      </c>
      <c r="I1283">
        <v>9</v>
      </c>
      <c r="J1283" t="s">
        <v>35</v>
      </c>
      <c r="K1283">
        <f t="shared" si="20"/>
        <v>48000</v>
      </c>
      <c r="L1283">
        <f>Sales_Data2[[#This Row],[Unit Price]]*Sales_Data2[[#This Row],[Quantity]]</f>
        <v>540000</v>
      </c>
      <c r="M1283">
        <f>Sales_Data2[[#This Row],[Cost Price]]*Sales_Data2[[#This Row],[Quantity]]</f>
        <v>432000</v>
      </c>
      <c r="N1283" s="3">
        <f>Sales_Data2[[#This Row],[Revenue]]-Sales_Data2[[#This Row],[COGS]]</f>
        <v>108000</v>
      </c>
      <c r="O12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46957|South|Abuja|Corporate|Online|Microwave M20|Home Appliances|60000|9|Peter|48000</v>
      </c>
      <c r="P1283" s="3" t="str">
        <f>IF(COUNTIF(Sales_Data2[RowKey],Sales_Data2[[#This Row],[RowKey]])&gt;1,"Duplicate","Unique")</f>
        <v>Unique</v>
      </c>
      <c r="Q1283" s="3" t="str">
        <f>IF(ISNUMBER(Sales_Data2[[#This Row],[Date]]),"OK","Check")</f>
        <v>OK</v>
      </c>
      <c r="R1283" s="3" t="str">
        <f>IF(ISNUMBER(Sales_Data2[[#This Row],[Quantity]]),"OK","Check")</f>
        <v>OK</v>
      </c>
    </row>
    <row r="1284" spans="1:18">
      <c r="A1284" s="1">
        <v>46958</v>
      </c>
      <c r="B1284" t="s">
        <v>25</v>
      </c>
      <c r="C1284" t="s">
        <v>12</v>
      </c>
      <c r="D1284" t="s">
        <v>23</v>
      </c>
      <c r="E1284" t="s">
        <v>14</v>
      </c>
      <c r="F1284" t="s">
        <v>38</v>
      </c>
      <c r="G1284" t="s">
        <v>31</v>
      </c>
      <c r="H1284">
        <v>420000</v>
      </c>
      <c r="I1284">
        <v>2</v>
      </c>
      <c r="J1284" t="s">
        <v>28</v>
      </c>
      <c r="K1284">
        <f t="shared" si="20"/>
        <v>336000</v>
      </c>
      <c r="L1284">
        <f>Sales_Data2[[#This Row],[Unit Price]]*Sales_Data2[[#This Row],[Quantity]]</f>
        <v>840000</v>
      </c>
      <c r="M1284">
        <f>Sales_Data2[[#This Row],[Cost Price]]*Sales_Data2[[#This Row],[Quantity]]</f>
        <v>672000</v>
      </c>
      <c r="N1284" s="3">
        <f>Sales_Data2[[#This Row],[Revenue]]-Sales_Data2[[#This Row],[COGS]]</f>
        <v>168000</v>
      </c>
      <c r="O12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46958|South|Port Harcourt|Corporate|Online|Laptop A13|Electronics|420000|2|Musa|336000</v>
      </c>
      <c r="P1284" s="3" t="str">
        <f>IF(COUNTIF(Sales_Data2[RowKey],Sales_Data2[[#This Row],[RowKey]])&gt;1,"Duplicate","Unique")</f>
        <v>Unique</v>
      </c>
      <c r="Q1284" s="3" t="str">
        <f>IF(ISNUMBER(Sales_Data2[[#This Row],[Date]]),"OK","Check")</f>
        <v>OK</v>
      </c>
      <c r="R1284" s="3" t="str">
        <f>IF(ISNUMBER(Sales_Data2[[#This Row],[Quantity]]),"OK","Check")</f>
        <v>OK</v>
      </c>
    </row>
    <row r="1285" spans="1:18">
      <c r="A1285" s="1">
        <v>46959</v>
      </c>
      <c r="B1285" t="s">
        <v>29</v>
      </c>
      <c r="C1285" t="s">
        <v>26</v>
      </c>
      <c r="D1285" t="s">
        <v>13</v>
      </c>
      <c r="E1285" t="s">
        <v>20</v>
      </c>
      <c r="F1285" t="s">
        <v>34</v>
      </c>
      <c r="G1285" t="s">
        <v>16</v>
      </c>
      <c r="H1285">
        <v>320000</v>
      </c>
      <c r="I1285">
        <v>1</v>
      </c>
      <c r="J1285" t="s">
        <v>39</v>
      </c>
      <c r="K1285">
        <f t="shared" si="20"/>
        <v>256000</v>
      </c>
      <c r="L1285">
        <f>Sales_Data2[[#This Row],[Unit Price]]*Sales_Data2[[#This Row],[Quantity]]</f>
        <v>320000</v>
      </c>
      <c r="M1285">
        <f>Sales_Data2[[#This Row],[Cost Price]]*Sales_Data2[[#This Row],[Quantity]]</f>
        <v>256000</v>
      </c>
      <c r="N1285" s="3">
        <f>Sales_Data2[[#This Row],[Revenue]]-Sales_Data2[[#This Row],[COGS]]</f>
        <v>64000</v>
      </c>
      <c r="O12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46959|North|Kano|Retail|Store|Sofa Classic|Furniture|320000|1|Grace|256000</v>
      </c>
      <c r="P1285" s="3" t="str">
        <f>IF(COUNTIF(Sales_Data2[RowKey],Sales_Data2[[#This Row],[RowKey]])&gt;1,"Duplicate","Unique")</f>
        <v>Unique</v>
      </c>
      <c r="Q1285" s="3" t="str">
        <f>IF(ISNUMBER(Sales_Data2[[#This Row],[Date]]),"OK","Check")</f>
        <v>OK</v>
      </c>
      <c r="R1285" s="3" t="str">
        <f>IF(ISNUMBER(Sales_Data2[[#This Row],[Quantity]]),"OK","Check")</f>
        <v>OK</v>
      </c>
    </row>
    <row r="1286" spans="1:18">
      <c r="A1286" s="1">
        <v>46960</v>
      </c>
      <c r="B1286" t="s">
        <v>11</v>
      </c>
      <c r="C1286" t="s">
        <v>12</v>
      </c>
      <c r="D1286" t="s">
        <v>13</v>
      </c>
      <c r="E1286" t="s">
        <v>20</v>
      </c>
      <c r="F1286" t="s">
        <v>21</v>
      </c>
      <c r="G1286" t="s">
        <v>22</v>
      </c>
      <c r="H1286">
        <v>30000</v>
      </c>
      <c r="I1286">
        <v>5</v>
      </c>
      <c r="J1286" t="s">
        <v>24</v>
      </c>
      <c r="K1286">
        <f t="shared" si="20"/>
        <v>24000</v>
      </c>
      <c r="L1286">
        <f>Sales_Data2[[#This Row],[Unit Price]]*Sales_Data2[[#This Row],[Quantity]]</f>
        <v>150000</v>
      </c>
      <c r="M1286">
        <f>Sales_Data2[[#This Row],[Cost Price]]*Sales_Data2[[#This Row],[Quantity]]</f>
        <v>120000</v>
      </c>
      <c r="N1286" s="3">
        <f>Sales_Data2[[#This Row],[Revenue]]-Sales_Data2[[#This Row],[COGS]]</f>
        <v>30000</v>
      </c>
      <c r="O12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46960|West|Port Harcourt|Retail|Store|Blender B10|Home Appliances|30000|5|David|24000</v>
      </c>
      <c r="P1286" s="3" t="str">
        <f>IF(COUNTIF(Sales_Data2[RowKey],Sales_Data2[[#This Row],[RowKey]])&gt;1,"Duplicate","Unique")</f>
        <v>Unique</v>
      </c>
      <c r="Q1286" s="3" t="str">
        <f>IF(ISNUMBER(Sales_Data2[[#This Row],[Date]]),"OK","Check")</f>
        <v>OK</v>
      </c>
      <c r="R1286" s="3" t="str">
        <f>IF(ISNUMBER(Sales_Data2[[#This Row],[Quantity]]),"OK","Check")</f>
        <v>OK</v>
      </c>
    </row>
    <row r="1287" spans="1:18">
      <c r="A1287" s="1">
        <v>46961</v>
      </c>
      <c r="B1287" t="s">
        <v>11</v>
      </c>
      <c r="C1287" t="s">
        <v>26</v>
      </c>
      <c r="D1287" t="s">
        <v>23</v>
      </c>
      <c r="E1287" t="s">
        <v>20</v>
      </c>
      <c r="F1287" t="s">
        <v>15</v>
      </c>
      <c r="G1287" t="s">
        <v>16</v>
      </c>
      <c r="H1287">
        <v>85000</v>
      </c>
      <c r="I1287">
        <v>5</v>
      </c>
      <c r="J1287" t="s">
        <v>39</v>
      </c>
      <c r="K1287">
        <f t="shared" si="20"/>
        <v>68000</v>
      </c>
      <c r="L1287">
        <f>Sales_Data2[[#This Row],[Unit Price]]*Sales_Data2[[#This Row],[Quantity]]</f>
        <v>425000</v>
      </c>
      <c r="M1287">
        <f>Sales_Data2[[#This Row],[Cost Price]]*Sales_Data2[[#This Row],[Quantity]]</f>
        <v>340000</v>
      </c>
      <c r="N1287" s="3">
        <f>Sales_Data2[[#This Row],[Revenue]]-Sales_Data2[[#This Row],[COGS]]</f>
        <v>85000</v>
      </c>
      <c r="O12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46961|West|Kano|Corporate|Store|Office Chair Pro|Furniture|85000|5|Grace|68000</v>
      </c>
      <c r="P1287" s="3" t="str">
        <f>IF(COUNTIF(Sales_Data2[RowKey],Sales_Data2[[#This Row],[RowKey]])&gt;1,"Duplicate","Unique")</f>
        <v>Unique</v>
      </c>
      <c r="Q1287" s="3" t="str">
        <f>IF(ISNUMBER(Sales_Data2[[#This Row],[Date]]),"OK","Check")</f>
        <v>OK</v>
      </c>
      <c r="R1287" s="3" t="str">
        <f>IF(ISNUMBER(Sales_Data2[[#This Row],[Quantity]]),"OK","Check")</f>
        <v>OK</v>
      </c>
    </row>
    <row r="1288" spans="1:18">
      <c r="A1288" s="1">
        <v>46962</v>
      </c>
      <c r="B1288" t="s">
        <v>11</v>
      </c>
      <c r="C1288" t="s">
        <v>26</v>
      </c>
      <c r="D1288" t="s">
        <v>23</v>
      </c>
      <c r="E1288" t="s">
        <v>14</v>
      </c>
      <c r="F1288" t="s">
        <v>38</v>
      </c>
      <c r="G1288" t="s">
        <v>31</v>
      </c>
      <c r="H1288">
        <v>420000</v>
      </c>
      <c r="I1288">
        <v>10</v>
      </c>
      <c r="J1288" t="s">
        <v>35</v>
      </c>
      <c r="K1288">
        <f t="shared" si="20"/>
        <v>336000</v>
      </c>
      <c r="L1288">
        <f>Sales_Data2[[#This Row],[Unit Price]]*Sales_Data2[[#This Row],[Quantity]]</f>
        <v>4200000</v>
      </c>
      <c r="M1288">
        <f>Sales_Data2[[#This Row],[Cost Price]]*Sales_Data2[[#This Row],[Quantity]]</f>
        <v>3360000</v>
      </c>
      <c r="N1288" s="3">
        <f>Sales_Data2[[#This Row],[Revenue]]-Sales_Data2[[#This Row],[COGS]]</f>
        <v>840000</v>
      </c>
      <c r="O12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46962|West|Kano|Corporate|Online|Laptop A13|Electronics|420000|10|Peter|336000</v>
      </c>
      <c r="P1288" s="3" t="str">
        <f>IF(COUNTIF(Sales_Data2[RowKey],Sales_Data2[[#This Row],[RowKey]])&gt;1,"Duplicate","Unique")</f>
        <v>Unique</v>
      </c>
      <c r="Q1288" s="3" t="str">
        <f>IF(ISNUMBER(Sales_Data2[[#This Row],[Date]]),"OK","Check")</f>
        <v>OK</v>
      </c>
      <c r="R1288" s="3" t="str">
        <f>IF(ISNUMBER(Sales_Data2[[#This Row],[Quantity]]),"OK","Check")</f>
        <v>OK</v>
      </c>
    </row>
    <row r="1289" spans="1:18">
      <c r="A1289" s="1">
        <v>46963</v>
      </c>
      <c r="B1289" t="s">
        <v>18</v>
      </c>
      <c r="C1289" t="s">
        <v>12</v>
      </c>
      <c r="D1289" t="s">
        <v>23</v>
      </c>
      <c r="E1289" t="s">
        <v>14</v>
      </c>
      <c r="F1289" t="s">
        <v>40</v>
      </c>
      <c r="G1289" t="s">
        <v>31</v>
      </c>
      <c r="H1289">
        <v>250000</v>
      </c>
      <c r="I1289">
        <v>8</v>
      </c>
      <c r="J1289" t="s">
        <v>37</v>
      </c>
      <c r="K1289">
        <f t="shared" si="20"/>
        <v>200000</v>
      </c>
      <c r="L1289">
        <f>Sales_Data2[[#This Row],[Unit Price]]*Sales_Data2[[#This Row],[Quantity]]</f>
        <v>2000000</v>
      </c>
      <c r="M1289">
        <f>Sales_Data2[[#This Row],[Cost Price]]*Sales_Data2[[#This Row],[Quantity]]</f>
        <v>1600000</v>
      </c>
      <c r="N1289" s="3">
        <f>Sales_Data2[[#This Row],[Revenue]]-Sales_Data2[[#This Row],[COGS]]</f>
        <v>400000</v>
      </c>
      <c r="O12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46963|East|Port Harcourt|Corporate|Online|Smartphone Z10|Electronics|250000|8|Aisha|200000</v>
      </c>
      <c r="P1289" s="3" t="str">
        <f>IF(COUNTIF(Sales_Data2[RowKey],Sales_Data2[[#This Row],[RowKey]])&gt;1,"Duplicate","Unique")</f>
        <v>Unique</v>
      </c>
      <c r="Q1289" s="3" t="str">
        <f>IF(ISNUMBER(Sales_Data2[[#This Row],[Date]]),"OK","Check")</f>
        <v>OK</v>
      </c>
      <c r="R1289" s="3" t="str">
        <f>IF(ISNUMBER(Sales_Data2[[#This Row],[Quantity]]),"OK","Check")</f>
        <v>OK</v>
      </c>
    </row>
    <row r="1290" spans="1:18">
      <c r="A1290" s="1">
        <v>46964</v>
      </c>
      <c r="B1290" t="s">
        <v>11</v>
      </c>
      <c r="C1290" t="s">
        <v>19</v>
      </c>
      <c r="D1290" t="s">
        <v>23</v>
      </c>
      <c r="E1290" t="s">
        <v>20</v>
      </c>
      <c r="F1290" t="s">
        <v>40</v>
      </c>
      <c r="G1290" t="s">
        <v>31</v>
      </c>
      <c r="H1290">
        <v>250000</v>
      </c>
      <c r="I1290">
        <v>10</v>
      </c>
      <c r="J1290" t="s">
        <v>35</v>
      </c>
      <c r="K1290">
        <f t="shared" si="20"/>
        <v>200000</v>
      </c>
      <c r="L1290">
        <f>Sales_Data2[[#This Row],[Unit Price]]*Sales_Data2[[#This Row],[Quantity]]</f>
        <v>2500000</v>
      </c>
      <c r="M1290">
        <f>Sales_Data2[[#This Row],[Cost Price]]*Sales_Data2[[#This Row],[Quantity]]</f>
        <v>2000000</v>
      </c>
      <c r="N1290" s="3">
        <f>Sales_Data2[[#This Row],[Revenue]]-Sales_Data2[[#This Row],[COGS]]</f>
        <v>500000</v>
      </c>
      <c r="O12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46964|West|Lagos|Corporate|Store|Smartphone Z10|Electronics|250000|10|Peter|200000</v>
      </c>
      <c r="P1290" s="3" t="str">
        <f>IF(COUNTIF(Sales_Data2[RowKey],Sales_Data2[[#This Row],[RowKey]])&gt;1,"Duplicate","Unique")</f>
        <v>Unique</v>
      </c>
      <c r="Q1290" s="3" t="str">
        <f>IF(ISNUMBER(Sales_Data2[[#This Row],[Date]]),"OK","Check")</f>
        <v>OK</v>
      </c>
      <c r="R1290" s="3" t="str">
        <f>IF(ISNUMBER(Sales_Data2[[#This Row],[Quantity]]),"OK","Check")</f>
        <v>OK</v>
      </c>
    </row>
    <row r="1291" spans="1:18">
      <c r="A1291" s="1">
        <v>46965</v>
      </c>
      <c r="B1291" t="s">
        <v>18</v>
      </c>
      <c r="C1291" t="s">
        <v>19</v>
      </c>
      <c r="D1291" t="s">
        <v>23</v>
      </c>
      <c r="E1291" t="s">
        <v>20</v>
      </c>
      <c r="F1291" t="s">
        <v>36</v>
      </c>
      <c r="G1291" t="s">
        <v>31</v>
      </c>
      <c r="H1291">
        <v>150000</v>
      </c>
      <c r="I1291">
        <v>4</v>
      </c>
      <c r="J1291" t="s">
        <v>28</v>
      </c>
      <c r="K1291">
        <f t="shared" si="20"/>
        <v>120000</v>
      </c>
      <c r="L1291">
        <f>Sales_Data2[[#This Row],[Unit Price]]*Sales_Data2[[#This Row],[Quantity]]</f>
        <v>600000</v>
      </c>
      <c r="M1291">
        <f>Sales_Data2[[#This Row],[Cost Price]]*Sales_Data2[[#This Row],[Quantity]]</f>
        <v>480000</v>
      </c>
      <c r="N1291" s="3">
        <f>Sales_Data2[[#This Row],[Revenue]]-Sales_Data2[[#This Row],[COGS]]</f>
        <v>120000</v>
      </c>
      <c r="O12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46965|East|Lagos|Corporate|Store|Printer P50|Electronics|150000|4|Musa|120000</v>
      </c>
      <c r="P1291" s="3" t="str">
        <f>IF(COUNTIF(Sales_Data2[RowKey],Sales_Data2[[#This Row],[RowKey]])&gt;1,"Duplicate","Unique")</f>
        <v>Unique</v>
      </c>
      <c r="Q1291" s="3" t="str">
        <f>IF(ISNUMBER(Sales_Data2[[#This Row],[Date]]),"OK","Check")</f>
        <v>OK</v>
      </c>
      <c r="R1291" s="3" t="str">
        <f>IF(ISNUMBER(Sales_Data2[[#This Row],[Quantity]]),"OK","Check")</f>
        <v>OK</v>
      </c>
    </row>
    <row r="1292" spans="1:18">
      <c r="A1292" s="1">
        <v>46966</v>
      </c>
      <c r="B1292" t="s">
        <v>18</v>
      </c>
      <c r="C1292" t="s">
        <v>19</v>
      </c>
      <c r="D1292" t="s">
        <v>23</v>
      </c>
      <c r="E1292" t="s">
        <v>14</v>
      </c>
      <c r="F1292" t="s">
        <v>33</v>
      </c>
      <c r="G1292" t="s">
        <v>22</v>
      </c>
      <c r="H1292">
        <v>180000</v>
      </c>
      <c r="I1292">
        <v>6</v>
      </c>
      <c r="J1292" t="s">
        <v>28</v>
      </c>
      <c r="K1292">
        <f t="shared" si="20"/>
        <v>144000</v>
      </c>
      <c r="L1292">
        <f>Sales_Data2[[#This Row],[Unit Price]]*Sales_Data2[[#This Row],[Quantity]]</f>
        <v>1080000</v>
      </c>
      <c r="M1292">
        <f>Sales_Data2[[#This Row],[Cost Price]]*Sales_Data2[[#This Row],[Quantity]]</f>
        <v>864000</v>
      </c>
      <c r="N1292" s="3">
        <f>Sales_Data2[[#This Row],[Revenue]]-Sales_Data2[[#This Row],[COGS]]</f>
        <v>216000</v>
      </c>
      <c r="O12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46966|East|Lagos|Corporate|Online|Air Conditioner X2|Home Appliances|180000|6|Musa|144000</v>
      </c>
      <c r="P1292" s="3" t="str">
        <f>IF(COUNTIF(Sales_Data2[RowKey],Sales_Data2[[#This Row],[RowKey]])&gt;1,"Duplicate","Unique")</f>
        <v>Unique</v>
      </c>
      <c r="Q1292" s="3" t="str">
        <f>IF(ISNUMBER(Sales_Data2[[#This Row],[Date]]),"OK","Check")</f>
        <v>OK</v>
      </c>
      <c r="R1292" s="3" t="str">
        <f>IF(ISNUMBER(Sales_Data2[[#This Row],[Quantity]]),"OK","Check")</f>
        <v>OK</v>
      </c>
    </row>
    <row r="1293" spans="1:18">
      <c r="A1293" s="1">
        <v>46967</v>
      </c>
      <c r="B1293" t="s">
        <v>18</v>
      </c>
      <c r="C1293" t="s">
        <v>26</v>
      </c>
      <c r="D1293" t="s">
        <v>23</v>
      </c>
      <c r="E1293" t="s">
        <v>20</v>
      </c>
      <c r="F1293" t="s">
        <v>21</v>
      </c>
      <c r="G1293" t="s">
        <v>22</v>
      </c>
      <c r="H1293">
        <v>30000</v>
      </c>
      <c r="I1293">
        <v>6</v>
      </c>
      <c r="J1293" t="s">
        <v>28</v>
      </c>
      <c r="K1293">
        <f t="shared" si="20"/>
        <v>24000</v>
      </c>
      <c r="L1293">
        <f>Sales_Data2[[#This Row],[Unit Price]]*Sales_Data2[[#This Row],[Quantity]]</f>
        <v>180000</v>
      </c>
      <c r="M1293">
        <f>Sales_Data2[[#This Row],[Cost Price]]*Sales_Data2[[#This Row],[Quantity]]</f>
        <v>144000</v>
      </c>
      <c r="N1293" s="3">
        <f>Sales_Data2[[#This Row],[Revenue]]-Sales_Data2[[#This Row],[COGS]]</f>
        <v>36000</v>
      </c>
      <c r="O12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46967|East|Kano|Corporate|Store|Blender B10|Home Appliances|30000|6|Musa|24000</v>
      </c>
      <c r="P1293" s="3" t="str">
        <f>IF(COUNTIF(Sales_Data2[RowKey],Sales_Data2[[#This Row],[RowKey]])&gt;1,"Duplicate","Unique")</f>
        <v>Unique</v>
      </c>
      <c r="Q1293" s="3" t="str">
        <f>IF(ISNUMBER(Sales_Data2[[#This Row],[Date]]),"OK","Check")</f>
        <v>OK</v>
      </c>
      <c r="R1293" s="3" t="str">
        <f>IF(ISNUMBER(Sales_Data2[[#This Row],[Quantity]]),"OK","Check")</f>
        <v>OK</v>
      </c>
    </row>
    <row r="1294" spans="1:18">
      <c r="A1294" s="1">
        <v>46968</v>
      </c>
      <c r="B1294" t="s">
        <v>11</v>
      </c>
      <c r="C1294" t="s">
        <v>19</v>
      </c>
      <c r="D1294" t="s">
        <v>23</v>
      </c>
      <c r="E1294" t="s">
        <v>14</v>
      </c>
      <c r="F1294" t="s">
        <v>40</v>
      </c>
      <c r="G1294" t="s">
        <v>31</v>
      </c>
      <c r="H1294">
        <v>250000</v>
      </c>
      <c r="I1294">
        <v>5</v>
      </c>
      <c r="J1294" t="s">
        <v>35</v>
      </c>
      <c r="K1294">
        <f t="shared" si="20"/>
        <v>200000</v>
      </c>
      <c r="L1294">
        <f>Sales_Data2[[#This Row],[Unit Price]]*Sales_Data2[[#This Row],[Quantity]]</f>
        <v>1250000</v>
      </c>
      <c r="M1294">
        <f>Sales_Data2[[#This Row],[Cost Price]]*Sales_Data2[[#This Row],[Quantity]]</f>
        <v>1000000</v>
      </c>
      <c r="N1294" s="3">
        <f>Sales_Data2[[#This Row],[Revenue]]-Sales_Data2[[#This Row],[COGS]]</f>
        <v>250000</v>
      </c>
      <c r="O12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46968|West|Lagos|Corporate|Online|Smartphone Z10|Electronics|250000|5|Peter|200000</v>
      </c>
      <c r="P1294" s="3" t="str">
        <f>IF(COUNTIF(Sales_Data2[RowKey],Sales_Data2[[#This Row],[RowKey]])&gt;1,"Duplicate","Unique")</f>
        <v>Unique</v>
      </c>
      <c r="Q1294" s="3" t="str">
        <f>IF(ISNUMBER(Sales_Data2[[#This Row],[Date]]),"OK","Check")</f>
        <v>OK</v>
      </c>
      <c r="R1294" s="3" t="str">
        <f>IF(ISNUMBER(Sales_Data2[[#This Row],[Quantity]]),"OK","Check")</f>
        <v>OK</v>
      </c>
    </row>
    <row r="1295" spans="1:18">
      <c r="A1295" s="1">
        <v>46969</v>
      </c>
      <c r="B1295" t="s">
        <v>25</v>
      </c>
      <c r="C1295" t="s">
        <v>19</v>
      </c>
      <c r="D1295" t="s">
        <v>23</v>
      </c>
      <c r="E1295" t="s">
        <v>14</v>
      </c>
      <c r="F1295" t="s">
        <v>34</v>
      </c>
      <c r="G1295" t="s">
        <v>16</v>
      </c>
      <c r="H1295">
        <v>320000</v>
      </c>
      <c r="I1295">
        <v>2</v>
      </c>
      <c r="J1295" t="s">
        <v>39</v>
      </c>
      <c r="K1295">
        <f t="shared" si="20"/>
        <v>256000</v>
      </c>
      <c r="L1295">
        <f>Sales_Data2[[#This Row],[Unit Price]]*Sales_Data2[[#This Row],[Quantity]]</f>
        <v>640000</v>
      </c>
      <c r="M1295">
        <f>Sales_Data2[[#This Row],[Cost Price]]*Sales_Data2[[#This Row],[Quantity]]</f>
        <v>512000</v>
      </c>
      <c r="N1295" s="3">
        <f>Sales_Data2[[#This Row],[Revenue]]-Sales_Data2[[#This Row],[COGS]]</f>
        <v>128000</v>
      </c>
      <c r="O12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46969|South|Lagos|Corporate|Online|Sofa Classic|Furniture|320000|2|Grace|256000</v>
      </c>
      <c r="P1295" s="3" t="str">
        <f>IF(COUNTIF(Sales_Data2[RowKey],Sales_Data2[[#This Row],[RowKey]])&gt;1,"Duplicate","Unique")</f>
        <v>Unique</v>
      </c>
      <c r="Q1295" s="3" t="str">
        <f>IF(ISNUMBER(Sales_Data2[[#This Row],[Date]]),"OK","Check")</f>
        <v>OK</v>
      </c>
      <c r="R1295" s="3" t="str">
        <f>IF(ISNUMBER(Sales_Data2[[#This Row],[Quantity]]),"OK","Check")</f>
        <v>OK</v>
      </c>
    </row>
    <row r="1296" spans="1:18">
      <c r="A1296" s="1">
        <v>46970</v>
      </c>
      <c r="B1296" t="s">
        <v>18</v>
      </c>
      <c r="C1296" t="s">
        <v>19</v>
      </c>
      <c r="D1296" t="s">
        <v>23</v>
      </c>
      <c r="E1296" t="s">
        <v>20</v>
      </c>
      <c r="F1296" t="s">
        <v>30</v>
      </c>
      <c r="G1296" t="s">
        <v>31</v>
      </c>
      <c r="H1296">
        <v>300000</v>
      </c>
      <c r="I1296">
        <v>10</v>
      </c>
      <c r="J1296" t="s">
        <v>35</v>
      </c>
      <c r="K1296">
        <f t="shared" si="20"/>
        <v>240000</v>
      </c>
      <c r="L1296">
        <f>Sales_Data2[[#This Row],[Unit Price]]*Sales_Data2[[#This Row],[Quantity]]</f>
        <v>3000000</v>
      </c>
      <c r="M1296">
        <f>Sales_Data2[[#This Row],[Cost Price]]*Sales_Data2[[#This Row],[Quantity]]</f>
        <v>2400000</v>
      </c>
      <c r="N1296" s="3">
        <f>Sales_Data2[[#This Row],[Revenue]]-Sales_Data2[[#This Row],[COGS]]</f>
        <v>600000</v>
      </c>
      <c r="O12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46970|East|Lagos|Corporate|Store|Desktop PC D21|Electronics|300000|10|Peter|240000</v>
      </c>
      <c r="P1296" s="3" t="str">
        <f>IF(COUNTIF(Sales_Data2[RowKey],Sales_Data2[[#This Row],[RowKey]])&gt;1,"Duplicate","Unique")</f>
        <v>Unique</v>
      </c>
      <c r="Q1296" s="3" t="str">
        <f>IF(ISNUMBER(Sales_Data2[[#This Row],[Date]]),"OK","Check")</f>
        <v>OK</v>
      </c>
      <c r="R1296" s="3" t="str">
        <f>IF(ISNUMBER(Sales_Data2[[#This Row],[Quantity]]),"OK","Check")</f>
        <v>OK</v>
      </c>
    </row>
    <row r="1297" spans="1:18">
      <c r="A1297" s="1">
        <v>46971</v>
      </c>
      <c r="B1297" t="s">
        <v>11</v>
      </c>
      <c r="C1297" t="s">
        <v>19</v>
      </c>
      <c r="D1297" t="s">
        <v>23</v>
      </c>
      <c r="E1297" t="s">
        <v>20</v>
      </c>
      <c r="F1297" t="s">
        <v>30</v>
      </c>
      <c r="G1297" t="s">
        <v>31</v>
      </c>
      <c r="H1297">
        <v>300000</v>
      </c>
      <c r="I1297">
        <v>7</v>
      </c>
      <c r="J1297" t="s">
        <v>37</v>
      </c>
      <c r="K1297">
        <f t="shared" si="20"/>
        <v>240000</v>
      </c>
      <c r="L1297">
        <f>Sales_Data2[[#This Row],[Unit Price]]*Sales_Data2[[#This Row],[Quantity]]</f>
        <v>2100000</v>
      </c>
      <c r="M1297">
        <f>Sales_Data2[[#This Row],[Cost Price]]*Sales_Data2[[#This Row],[Quantity]]</f>
        <v>1680000</v>
      </c>
      <c r="N1297" s="3">
        <f>Sales_Data2[[#This Row],[Revenue]]-Sales_Data2[[#This Row],[COGS]]</f>
        <v>420000</v>
      </c>
      <c r="O12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46971|West|Lagos|Corporate|Store|Desktop PC D21|Electronics|300000|7|Aisha|240000</v>
      </c>
      <c r="P1297" s="3" t="str">
        <f>IF(COUNTIF(Sales_Data2[RowKey],Sales_Data2[[#This Row],[RowKey]])&gt;1,"Duplicate","Unique")</f>
        <v>Unique</v>
      </c>
      <c r="Q1297" s="3" t="str">
        <f>IF(ISNUMBER(Sales_Data2[[#This Row],[Date]]),"OK","Check")</f>
        <v>OK</v>
      </c>
      <c r="R1297" s="3" t="str">
        <f>IF(ISNUMBER(Sales_Data2[[#This Row],[Quantity]]),"OK","Check")</f>
        <v>OK</v>
      </c>
    </row>
    <row r="1298" spans="1:18">
      <c r="A1298" s="1">
        <v>46972</v>
      </c>
      <c r="B1298" t="s">
        <v>29</v>
      </c>
      <c r="C1298" t="s">
        <v>12</v>
      </c>
      <c r="D1298" t="s">
        <v>23</v>
      </c>
      <c r="E1298" t="s">
        <v>14</v>
      </c>
      <c r="F1298" t="s">
        <v>33</v>
      </c>
      <c r="G1298" t="s">
        <v>22</v>
      </c>
      <c r="H1298">
        <v>180000</v>
      </c>
      <c r="I1298">
        <v>1</v>
      </c>
      <c r="J1298" t="s">
        <v>39</v>
      </c>
      <c r="K1298">
        <f t="shared" si="20"/>
        <v>144000</v>
      </c>
      <c r="L1298">
        <f>Sales_Data2[[#This Row],[Unit Price]]*Sales_Data2[[#This Row],[Quantity]]</f>
        <v>180000</v>
      </c>
      <c r="M1298">
        <f>Sales_Data2[[#This Row],[Cost Price]]*Sales_Data2[[#This Row],[Quantity]]</f>
        <v>144000</v>
      </c>
      <c r="N1298" s="3">
        <f>Sales_Data2[[#This Row],[Revenue]]-Sales_Data2[[#This Row],[COGS]]</f>
        <v>36000</v>
      </c>
      <c r="O12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46972|North|Port Harcourt|Corporate|Online|Air Conditioner X2|Home Appliances|180000|1|Grace|144000</v>
      </c>
      <c r="P1298" s="3" t="str">
        <f>IF(COUNTIF(Sales_Data2[RowKey],Sales_Data2[[#This Row],[RowKey]])&gt;1,"Duplicate","Unique")</f>
        <v>Unique</v>
      </c>
      <c r="Q1298" s="3" t="str">
        <f>IF(ISNUMBER(Sales_Data2[[#This Row],[Date]]),"OK","Check")</f>
        <v>OK</v>
      </c>
      <c r="R1298" s="3" t="str">
        <f>IF(ISNUMBER(Sales_Data2[[#This Row],[Quantity]]),"OK","Check")</f>
        <v>OK</v>
      </c>
    </row>
    <row r="1299" spans="1:18">
      <c r="A1299" s="1">
        <v>46973</v>
      </c>
      <c r="B1299" t="s">
        <v>18</v>
      </c>
      <c r="C1299" t="s">
        <v>26</v>
      </c>
      <c r="D1299" t="s">
        <v>23</v>
      </c>
      <c r="E1299" t="s">
        <v>20</v>
      </c>
      <c r="F1299" t="s">
        <v>30</v>
      </c>
      <c r="G1299" t="s">
        <v>31</v>
      </c>
      <c r="H1299">
        <v>300000</v>
      </c>
      <c r="I1299">
        <v>10</v>
      </c>
      <c r="J1299" t="s">
        <v>17</v>
      </c>
      <c r="K1299">
        <f t="shared" si="20"/>
        <v>240000</v>
      </c>
      <c r="L1299">
        <f>Sales_Data2[[#This Row],[Unit Price]]*Sales_Data2[[#This Row],[Quantity]]</f>
        <v>3000000</v>
      </c>
      <c r="M1299">
        <f>Sales_Data2[[#This Row],[Cost Price]]*Sales_Data2[[#This Row],[Quantity]]</f>
        <v>2400000</v>
      </c>
      <c r="N1299" s="3">
        <f>Sales_Data2[[#This Row],[Revenue]]-Sales_Data2[[#This Row],[COGS]]</f>
        <v>600000</v>
      </c>
      <c r="O12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46973|East|Kano|Corporate|Store|Desktop PC D21|Electronics|300000|10|Chidinma|240000</v>
      </c>
      <c r="P1299" s="3" t="str">
        <f>IF(COUNTIF(Sales_Data2[RowKey],Sales_Data2[[#This Row],[RowKey]])&gt;1,"Duplicate","Unique")</f>
        <v>Unique</v>
      </c>
      <c r="Q1299" s="3" t="str">
        <f>IF(ISNUMBER(Sales_Data2[[#This Row],[Date]]),"OK","Check")</f>
        <v>OK</v>
      </c>
      <c r="R1299" s="3" t="str">
        <f>IF(ISNUMBER(Sales_Data2[[#This Row],[Quantity]]),"OK","Check")</f>
        <v>OK</v>
      </c>
    </row>
    <row r="1300" spans="1:18">
      <c r="A1300" s="1">
        <v>46974</v>
      </c>
      <c r="B1300" t="s">
        <v>11</v>
      </c>
      <c r="C1300" t="s">
        <v>32</v>
      </c>
      <c r="D1300" t="s">
        <v>23</v>
      </c>
      <c r="E1300" t="s">
        <v>14</v>
      </c>
      <c r="F1300" t="s">
        <v>33</v>
      </c>
      <c r="G1300" t="s">
        <v>22</v>
      </c>
      <c r="H1300">
        <v>180000</v>
      </c>
      <c r="I1300">
        <v>7</v>
      </c>
      <c r="J1300" t="s">
        <v>37</v>
      </c>
      <c r="K1300">
        <f t="shared" si="20"/>
        <v>144000</v>
      </c>
      <c r="L1300">
        <f>Sales_Data2[[#This Row],[Unit Price]]*Sales_Data2[[#This Row],[Quantity]]</f>
        <v>1260000</v>
      </c>
      <c r="M1300">
        <f>Sales_Data2[[#This Row],[Cost Price]]*Sales_Data2[[#This Row],[Quantity]]</f>
        <v>1008000</v>
      </c>
      <c r="N1300" s="3">
        <f>Sales_Data2[[#This Row],[Revenue]]-Sales_Data2[[#This Row],[COGS]]</f>
        <v>252000</v>
      </c>
      <c r="O13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46974|West|Abuja|Corporate|Online|Air Conditioner X2|Home Appliances|180000|7|Aisha|144000</v>
      </c>
      <c r="P1300" s="3" t="str">
        <f>IF(COUNTIF(Sales_Data2[RowKey],Sales_Data2[[#This Row],[RowKey]])&gt;1,"Duplicate","Unique")</f>
        <v>Unique</v>
      </c>
      <c r="Q1300" s="3" t="str">
        <f>IF(ISNUMBER(Sales_Data2[[#This Row],[Date]]),"OK","Check")</f>
        <v>OK</v>
      </c>
      <c r="R1300" s="3" t="str">
        <f>IF(ISNUMBER(Sales_Data2[[#This Row],[Quantity]]),"OK","Check")</f>
        <v>OK</v>
      </c>
    </row>
    <row r="1301" spans="1:18">
      <c r="A1301" s="1">
        <v>46975</v>
      </c>
      <c r="B1301" t="s">
        <v>11</v>
      </c>
      <c r="C1301" t="s">
        <v>19</v>
      </c>
      <c r="D1301" t="s">
        <v>23</v>
      </c>
      <c r="E1301" t="s">
        <v>14</v>
      </c>
      <c r="F1301" t="s">
        <v>21</v>
      </c>
      <c r="G1301" t="s">
        <v>22</v>
      </c>
      <c r="H1301">
        <v>30000</v>
      </c>
      <c r="I1301">
        <v>7</v>
      </c>
      <c r="J1301" t="s">
        <v>28</v>
      </c>
      <c r="K1301">
        <f t="shared" si="20"/>
        <v>24000</v>
      </c>
      <c r="L1301">
        <f>Sales_Data2[[#This Row],[Unit Price]]*Sales_Data2[[#This Row],[Quantity]]</f>
        <v>210000</v>
      </c>
      <c r="M1301">
        <f>Sales_Data2[[#This Row],[Cost Price]]*Sales_Data2[[#This Row],[Quantity]]</f>
        <v>168000</v>
      </c>
      <c r="N1301" s="3">
        <f>Sales_Data2[[#This Row],[Revenue]]-Sales_Data2[[#This Row],[COGS]]</f>
        <v>42000</v>
      </c>
      <c r="O13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46975|West|Lagos|Corporate|Online|Blender B10|Home Appliances|30000|7|Musa|24000</v>
      </c>
      <c r="P1301" s="3" t="str">
        <f>IF(COUNTIF(Sales_Data2[RowKey],Sales_Data2[[#This Row],[RowKey]])&gt;1,"Duplicate","Unique")</f>
        <v>Unique</v>
      </c>
      <c r="Q1301" s="3" t="str">
        <f>IF(ISNUMBER(Sales_Data2[[#This Row],[Date]]),"OK","Check")</f>
        <v>OK</v>
      </c>
      <c r="R1301" s="3" t="str">
        <f>IF(ISNUMBER(Sales_Data2[[#This Row],[Quantity]]),"OK","Check")</f>
        <v>OK</v>
      </c>
    </row>
    <row r="1302" spans="1:18">
      <c r="A1302" s="1">
        <v>46976</v>
      </c>
      <c r="B1302" t="s">
        <v>18</v>
      </c>
      <c r="C1302" t="s">
        <v>12</v>
      </c>
      <c r="D1302" t="s">
        <v>23</v>
      </c>
      <c r="E1302" t="s">
        <v>14</v>
      </c>
      <c r="F1302" t="s">
        <v>21</v>
      </c>
      <c r="G1302" t="s">
        <v>22</v>
      </c>
      <c r="H1302">
        <v>30000</v>
      </c>
      <c r="I1302">
        <v>6</v>
      </c>
      <c r="J1302" t="s">
        <v>24</v>
      </c>
      <c r="K1302">
        <f t="shared" si="20"/>
        <v>24000</v>
      </c>
      <c r="L1302">
        <f>Sales_Data2[[#This Row],[Unit Price]]*Sales_Data2[[#This Row],[Quantity]]</f>
        <v>180000</v>
      </c>
      <c r="M1302">
        <f>Sales_Data2[[#This Row],[Cost Price]]*Sales_Data2[[#This Row],[Quantity]]</f>
        <v>144000</v>
      </c>
      <c r="N1302" s="3">
        <f>Sales_Data2[[#This Row],[Revenue]]-Sales_Data2[[#This Row],[COGS]]</f>
        <v>36000</v>
      </c>
      <c r="O13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46976|East|Port Harcourt|Corporate|Online|Blender B10|Home Appliances|30000|6|David|24000</v>
      </c>
      <c r="P1302" s="3" t="str">
        <f>IF(COUNTIF(Sales_Data2[RowKey],Sales_Data2[[#This Row],[RowKey]])&gt;1,"Duplicate","Unique")</f>
        <v>Unique</v>
      </c>
      <c r="Q1302" s="3" t="str">
        <f>IF(ISNUMBER(Sales_Data2[[#This Row],[Date]]),"OK","Check")</f>
        <v>OK</v>
      </c>
      <c r="R1302" s="3" t="str">
        <f>IF(ISNUMBER(Sales_Data2[[#This Row],[Quantity]]),"OK","Check")</f>
        <v>OK</v>
      </c>
    </row>
    <row r="1303" spans="1:18">
      <c r="A1303" s="1">
        <v>46977</v>
      </c>
      <c r="B1303" t="s">
        <v>18</v>
      </c>
      <c r="C1303" t="s">
        <v>19</v>
      </c>
      <c r="D1303" t="s">
        <v>23</v>
      </c>
      <c r="E1303" t="s">
        <v>14</v>
      </c>
      <c r="F1303" t="s">
        <v>15</v>
      </c>
      <c r="G1303" t="s">
        <v>16</v>
      </c>
      <c r="H1303">
        <v>85000</v>
      </c>
      <c r="I1303">
        <v>7</v>
      </c>
      <c r="J1303" t="s">
        <v>35</v>
      </c>
      <c r="K1303">
        <f t="shared" si="20"/>
        <v>68000</v>
      </c>
      <c r="L1303">
        <f>Sales_Data2[[#This Row],[Unit Price]]*Sales_Data2[[#This Row],[Quantity]]</f>
        <v>595000</v>
      </c>
      <c r="M1303">
        <f>Sales_Data2[[#This Row],[Cost Price]]*Sales_Data2[[#This Row],[Quantity]]</f>
        <v>476000</v>
      </c>
      <c r="N1303" s="3">
        <f>Sales_Data2[[#This Row],[Revenue]]-Sales_Data2[[#This Row],[COGS]]</f>
        <v>119000</v>
      </c>
      <c r="O13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46977|East|Lagos|Corporate|Online|Office Chair Pro|Furniture|85000|7|Peter|68000</v>
      </c>
      <c r="P1303" s="3" t="str">
        <f>IF(COUNTIF(Sales_Data2[RowKey],Sales_Data2[[#This Row],[RowKey]])&gt;1,"Duplicate","Unique")</f>
        <v>Unique</v>
      </c>
      <c r="Q1303" s="3" t="str">
        <f>IF(ISNUMBER(Sales_Data2[[#This Row],[Date]]),"OK","Check")</f>
        <v>OK</v>
      </c>
      <c r="R1303" s="3" t="str">
        <f>IF(ISNUMBER(Sales_Data2[[#This Row],[Quantity]]),"OK","Check")</f>
        <v>OK</v>
      </c>
    </row>
    <row r="1304" spans="1:18">
      <c r="A1304" s="1">
        <v>46978</v>
      </c>
      <c r="B1304" t="s">
        <v>18</v>
      </c>
      <c r="C1304" t="s">
        <v>12</v>
      </c>
      <c r="D1304" t="s">
        <v>23</v>
      </c>
      <c r="E1304" t="s">
        <v>20</v>
      </c>
      <c r="F1304" t="s">
        <v>40</v>
      </c>
      <c r="G1304" t="s">
        <v>31</v>
      </c>
      <c r="H1304">
        <v>250000</v>
      </c>
      <c r="I1304">
        <v>3</v>
      </c>
      <c r="J1304" t="s">
        <v>35</v>
      </c>
      <c r="K1304">
        <f t="shared" si="20"/>
        <v>200000</v>
      </c>
      <c r="L1304">
        <f>Sales_Data2[[#This Row],[Unit Price]]*Sales_Data2[[#This Row],[Quantity]]</f>
        <v>750000</v>
      </c>
      <c r="M1304">
        <f>Sales_Data2[[#This Row],[Cost Price]]*Sales_Data2[[#This Row],[Quantity]]</f>
        <v>600000</v>
      </c>
      <c r="N1304" s="3">
        <f>Sales_Data2[[#This Row],[Revenue]]-Sales_Data2[[#This Row],[COGS]]</f>
        <v>150000</v>
      </c>
      <c r="O13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46978|East|Port Harcourt|Corporate|Store|Smartphone Z10|Electronics|250000|3|Peter|200000</v>
      </c>
      <c r="P1304" s="3" t="str">
        <f>IF(COUNTIF(Sales_Data2[RowKey],Sales_Data2[[#This Row],[RowKey]])&gt;1,"Duplicate","Unique")</f>
        <v>Unique</v>
      </c>
      <c r="Q1304" s="3" t="str">
        <f>IF(ISNUMBER(Sales_Data2[[#This Row],[Date]]),"OK","Check")</f>
        <v>OK</v>
      </c>
      <c r="R1304" s="3" t="str">
        <f>IF(ISNUMBER(Sales_Data2[[#This Row],[Quantity]]),"OK","Check")</f>
        <v>OK</v>
      </c>
    </row>
    <row r="1305" spans="1:18">
      <c r="A1305" s="1">
        <v>46979</v>
      </c>
      <c r="B1305" t="s">
        <v>11</v>
      </c>
      <c r="C1305" t="s">
        <v>19</v>
      </c>
      <c r="D1305" t="s">
        <v>23</v>
      </c>
      <c r="E1305" t="s">
        <v>14</v>
      </c>
      <c r="F1305" t="s">
        <v>34</v>
      </c>
      <c r="G1305" t="s">
        <v>16</v>
      </c>
      <c r="H1305">
        <v>320000</v>
      </c>
      <c r="I1305">
        <v>7</v>
      </c>
      <c r="J1305" t="s">
        <v>28</v>
      </c>
      <c r="K1305">
        <f t="shared" si="20"/>
        <v>256000</v>
      </c>
      <c r="L1305">
        <f>Sales_Data2[[#This Row],[Unit Price]]*Sales_Data2[[#This Row],[Quantity]]</f>
        <v>2240000</v>
      </c>
      <c r="M1305">
        <f>Sales_Data2[[#This Row],[Cost Price]]*Sales_Data2[[#This Row],[Quantity]]</f>
        <v>1792000</v>
      </c>
      <c r="N1305" s="3">
        <f>Sales_Data2[[#This Row],[Revenue]]-Sales_Data2[[#This Row],[COGS]]</f>
        <v>448000</v>
      </c>
      <c r="O13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46979|West|Lagos|Corporate|Online|Sofa Classic|Furniture|320000|7|Musa|256000</v>
      </c>
      <c r="P1305" s="3" t="str">
        <f>IF(COUNTIF(Sales_Data2[RowKey],Sales_Data2[[#This Row],[RowKey]])&gt;1,"Duplicate","Unique")</f>
        <v>Unique</v>
      </c>
      <c r="Q1305" s="3" t="str">
        <f>IF(ISNUMBER(Sales_Data2[[#This Row],[Date]]),"OK","Check")</f>
        <v>OK</v>
      </c>
      <c r="R1305" s="3" t="str">
        <f>IF(ISNUMBER(Sales_Data2[[#This Row],[Quantity]]),"OK","Check")</f>
        <v>OK</v>
      </c>
    </row>
    <row r="1306" spans="1:18">
      <c r="A1306" s="1">
        <v>46980</v>
      </c>
      <c r="B1306" t="s">
        <v>25</v>
      </c>
      <c r="C1306" t="s">
        <v>26</v>
      </c>
      <c r="D1306" t="s">
        <v>23</v>
      </c>
      <c r="E1306" t="s">
        <v>20</v>
      </c>
      <c r="F1306" t="s">
        <v>21</v>
      </c>
      <c r="G1306" t="s">
        <v>22</v>
      </c>
      <c r="H1306">
        <v>30000</v>
      </c>
      <c r="I1306">
        <v>7</v>
      </c>
      <c r="J1306" t="s">
        <v>35</v>
      </c>
      <c r="K1306">
        <f t="shared" si="20"/>
        <v>24000</v>
      </c>
      <c r="L1306">
        <f>Sales_Data2[[#This Row],[Unit Price]]*Sales_Data2[[#This Row],[Quantity]]</f>
        <v>210000</v>
      </c>
      <c r="M1306">
        <f>Sales_Data2[[#This Row],[Cost Price]]*Sales_Data2[[#This Row],[Quantity]]</f>
        <v>168000</v>
      </c>
      <c r="N1306" s="3">
        <f>Sales_Data2[[#This Row],[Revenue]]-Sales_Data2[[#This Row],[COGS]]</f>
        <v>42000</v>
      </c>
      <c r="O13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46980|South|Kano|Corporate|Store|Blender B10|Home Appliances|30000|7|Peter|24000</v>
      </c>
      <c r="P1306" s="3" t="str">
        <f>IF(COUNTIF(Sales_Data2[RowKey],Sales_Data2[[#This Row],[RowKey]])&gt;1,"Duplicate","Unique")</f>
        <v>Unique</v>
      </c>
      <c r="Q1306" s="3" t="str">
        <f>IF(ISNUMBER(Sales_Data2[[#This Row],[Date]]),"OK","Check")</f>
        <v>OK</v>
      </c>
      <c r="R1306" s="3" t="str">
        <f>IF(ISNUMBER(Sales_Data2[[#This Row],[Quantity]]),"OK","Check")</f>
        <v>OK</v>
      </c>
    </row>
    <row r="1307" spans="1:18">
      <c r="A1307" s="1">
        <v>46981</v>
      </c>
      <c r="B1307" t="s">
        <v>11</v>
      </c>
      <c r="C1307" t="s">
        <v>26</v>
      </c>
      <c r="D1307" t="s">
        <v>23</v>
      </c>
      <c r="E1307" t="s">
        <v>14</v>
      </c>
      <c r="F1307" t="s">
        <v>34</v>
      </c>
      <c r="G1307" t="s">
        <v>16</v>
      </c>
      <c r="H1307">
        <v>320000</v>
      </c>
      <c r="I1307">
        <v>8</v>
      </c>
      <c r="J1307" t="s">
        <v>17</v>
      </c>
      <c r="K1307">
        <f t="shared" si="20"/>
        <v>256000</v>
      </c>
      <c r="L1307">
        <f>Sales_Data2[[#This Row],[Unit Price]]*Sales_Data2[[#This Row],[Quantity]]</f>
        <v>2560000</v>
      </c>
      <c r="M1307">
        <f>Sales_Data2[[#This Row],[Cost Price]]*Sales_Data2[[#This Row],[Quantity]]</f>
        <v>2048000</v>
      </c>
      <c r="N1307" s="3">
        <f>Sales_Data2[[#This Row],[Revenue]]-Sales_Data2[[#This Row],[COGS]]</f>
        <v>512000</v>
      </c>
      <c r="O13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46981|West|Kano|Corporate|Online|Sofa Classic|Furniture|320000|8|Chidinma|256000</v>
      </c>
      <c r="P1307" s="3" t="str">
        <f>IF(COUNTIF(Sales_Data2[RowKey],Sales_Data2[[#This Row],[RowKey]])&gt;1,"Duplicate","Unique")</f>
        <v>Unique</v>
      </c>
      <c r="Q1307" s="3" t="str">
        <f>IF(ISNUMBER(Sales_Data2[[#This Row],[Date]]),"OK","Check")</f>
        <v>OK</v>
      </c>
      <c r="R1307" s="3" t="str">
        <f>IF(ISNUMBER(Sales_Data2[[#This Row],[Quantity]]),"OK","Check")</f>
        <v>OK</v>
      </c>
    </row>
    <row r="1308" spans="1:18">
      <c r="A1308" s="1">
        <v>46982</v>
      </c>
      <c r="B1308" t="s">
        <v>29</v>
      </c>
      <c r="C1308" t="s">
        <v>32</v>
      </c>
      <c r="D1308" t="s">
        <v>23</v>
      </c>
      <c r="E1308" t="s">
        <v>14</v>
      </c>
      <c r="F1308" t="s">
        <v>34</v>
      </c>
      <c r="G1308" t="s">
        <v>16</v>
      </c>
      <c r="H1308">
        <v>320000</v>
      </c>
      <c r="I1308">
        <v>7</v>
      </c>
      <c r="J1308" t="s">
        <v>37</v>
      </c>
      <c r="K1308">
        <f t="shared" si="20"/>
        <v>256000</v>
      </c>
      <c r="L1308">
        <f>Sales_Data2[[#This Row],[Unit Price]]*Sales_Data2[[#This Row],[Quantity]]</f>
        <v>2240000</v>
      </c>
      <c r="M1308">
        <f>Sales_Data2[[#This Row],[Cost Price]]*Sales_Data2[[#This Row],[Quantity]]</f>
        <v>1792000</v>
      </c>
      <c r="N1308" s="3">
        <f>Sales_Data2[[#This Row],[Revenue]]-Sales_Data2[[#This Row],[COGS]]</f>
        <v>448000</v>
      </c>
      <c r="O13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46982|North|Abuja|Corporate|Online|Sofa Classic|Furniture|320000|7|Aisha|256000</v>
      </c>
      <c r="P1308" s="3" t="str">
        <f>IF(COUNTIF(Sales_Data2[RowKey],Sales_Data2[[#This Row],[RowKey]])&gt;1,"Duplicate","Unique")</f>
        <v>Unique</v>
      </c>
      <c r="Q1308" s="3" t="str">
        <f>IF(ISNUMBER(Sales_Data2[[#This Row],[Date]]),"OK","Check")</f>
        <v>OK</v>
      </c>
      <c r="R1308" s="3" t="str">
        <f>IF(ISNUMBER(Sales_Data2[[#This Row],[Quantity]]),"OK","Check")</f>
        <v>OK</v>
      </c>
    </row>
    <row r="1309" spans="1:18">
      <c r="A1309" s="1">
        <v>46983</v>
      </c>
      <c r="B1309" t="s">
        <v>18</v>
      </c>
      <c r="C1309" t="s">
        <v>19</v>
      </c>
      <c r="D1309" t="s">
        <v>23</v>
      </c>
      <c r="E1309" t="s">
        <v>20</v>
      </c>
      <c r="F1309" t="s">
        <v>27</v>
      </c>
      <c r="G1309" t="s">
        <v>22</v>
      </c>
      <c r="H1309">
        <v>60000</v>
      </c>
      <c r="I1309">
        <v>2</v>
      </c>
      <c r="J1309" t="s">
        <v>28</v>
      </c>
      <c r="K1309">
        <f t="shared" si="20"/>
        <v>48000</v>
      </c>
      <c r="L1309">
        <f>Sales_Data2[[#This Row],[Unit Price]]*Sales_Data2[[#This Row],[Quantity]]</f>
        <v>120000</v>
      </c>
      <c r="M1309">
        <f>Sales_Data2[[#This Row],[Cost Price]]*Sales_Data2[[#This Row],[Quantity]]</f>
        <v>96000</v>
      </c>
      <c r="N1309" s="3">
        <f>Sales_Data2[[#This Row],[Revenue]]-Sales_Data2[[#This Row],[COGS]]</f>
        <v>24000</v>
      </c>
      <c r="O13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46983|East|Lagos|Corporate|Store|Microwave M20|Home Appliances|60000|2|Musa|48000</v>
      </c>
      <c r="P1309" s="3" t="str">
        <f>IF(COUNTIF(Sales_Data2[RowKey],Sales_Data2[[#This Row],[RowKey]])&gt;1,"Duplicate","Unique")</f>
        <v>Unique</v>
      </c>
      <c r="Q1309" s="3" t="str">
        <f>IF(ISNUMBER(Sales_Data2[[#This Row],[Date]]),"OK","Check")</f>
        <v>OK</v>
      </c>
      <c r="R1309" s="3" t="str">
        <f>IF(ISNUMBER(Sales_Data2[[#This Row],[Quantity]]),"OK","Check")</f>
        <v>OK</v>
      </c>
    </row>
    <row r="1310" spans="1:18">
      <c r="A1310" s="1">
        <v>46984</v>
      </c>
      <c r="B1310" t="s">
        <v>11</v>
      </c>
      <c r="C1310" t="s">
        <v>12</v>
      </c>
      <c r="D1310" t="s">
        <v>23</v>
      </c>
      <c r="E1310" t="s">
        <v>20</v>
      </c>
      <c r="F1310" t="s">
        <v>41</v>
      </c>
      <c r="G1310" t="s">
        <v>22</v>
      </c>
      <c r="H1310">
        <v>220000</v>
      </c>
      <c r="I1310">
        <v>8</v>
      </c>
      <c r="J1310" t="s">
        <v>37</v>
      </c>
      <c r="K1310">
        <f t="shared" si="20"/>
        <v>176000</v>
      </c>
      <c r="L1310">
        <f>Sales_Data2[[#This Row],[Unit Price]]*Sales_Data2[[#This Row],[Quantity]]</f>
        <v>1760000</v>
      </c>
      <c r="M1310">
        <f>Sales_Data2[[#This Row],[Cost Price]]*Sales_Data2[[#This Row],[Quantity]]</f>
        <v>1408000</v>
      </c>
      <c r="N1310" s="3">
        <f>Sales_Data2[[#This Row],[Revenue]]-Sales_Data2[[#This Row],[COGS]]</f>
        <v>352000</v>
      </c>
      <c r="O13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46984|West|Port Harcourt|Corporate|Store|Refrigerator R55|Home Appliances|220000|8|Aisha|176000</v>
      </c>
      <c r="P1310" s="3" t="str">
        <f>IF(COUNTIF(Sales_Data2[RowKey],Sales_Data2[[#This Row],[RowKey]])&gt;1,"Duplicate","Unique")</f>
        <v>Unique</v>
      </c>
      <c r="Q1310" s="3" t="str">
        <f>IF(ISNUMBER(Sales_Data2[[#This Row],[Date]]),"OK","Check")</f>
        <v>OK</v>
      </c>
      <c r="R1310" s="3" t="str">
        <f>IF(ISNUMBER(Sales_Data2[[#This Row],[Quantity]]),"OK","Check")</f>
        <v>OK</v>
      </c>
    </row>
    <row r="1311" spans="1:18">
      <c r="A1311" s="1">
        <v>46985</v>
      </c>
      <c r="B1311" t="s">
        <v>25</v>
      </c>
      <c r="C1311" t="s">
        <v>26</v>
      </c>
      <c r="D1311" t="s">
        <v>23</v>
      </c>
      <c r="E1311" t="s">
        <v>14</v>
      </c>
      <c r="F1311" t="s">
        <v>27</v>
      </c>
      <c r="G1311" t="s">
        <v>22</v>
      </c>
      <c r="H1311">
        <v>60000</v>
      </c>
      <c r="I1311">
        <v>2</v>
      </c>
      <c r="J1311" t="s">
        <v>28</v>
      </c>
      <c r="K1311">
        <f t="shared" si="20"/>
        <v>48000</v>
      </c>
      <c r="L1311">
        <f>Sales_Data2[[#This Row],[Unit Price]]*Sales_Data2[[#This Row],[Quantity]]</f>
        <v>120000</v>
      </c>
      <c r="M1311">
        <f>Sales_Data2[[#This Row],[Cost Price]]*Sales_Data2[[#This Row],[Quantity]]</f>
        <v>96000</v>
      </c>
      <c r="N1311" s="3">
        <f>Sales_Data2[[#This Row],[Revenue]]-Sales_Data2[[#This Row],[COGS]]</f>
        <v>24000</v>
      </c>
      <c r="O13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46985|South|Kano|Corporate|Online|Microwave M20|Home Appliances|60000|2|Musa|48000</v>
      </c>
      <c r="P1311" s="3" t="str">
        <f>IF(COUNTIF(Sales_Data2[RowKey],Sales_Data2[[#This Row],[RowKey]])&gt;1,"Duplicate","Unique")</f>
        <v>Unique</v>
      </c>
      <c r="Q1311" s="3" t="str">
        <f>IF(ISNUMBER(Sales_Data2[[#This Row],[Date]]),"OK","Check")</f>
        <v>OK</v>
      </c>
      <c r="R1311" s="3" t="str">
        <f>IF(ISNUMBER(Sales_Data2[[#This Row],[Quantity]]),"OK","Check")</f>
        <v>OK</v>
      </c>
    </row>
    <row r="1312" spans="1:18">
      <c r="A1312" s="1">
        <v>46986</v>
      </c>
      <c r="B1312" t="s">
        <v>11</v>
      </c>
      <c r="C1312" t="s">
        <v>26</v>
      </c>
      <c r="D1312" t="s">
        <v>23</v>
      </c>
      <c r="E1312" t="s">
        <v>14</v>
      </c>
      <c r="F1312" t="s">
        <v>34</v>
      </c>
      <c r="G1312" t="s">
        <v>16</v>
      </c>
      <c r="H1312">
        <v>320000</v>
      </c>
      <c r="I1312">
        <v>2</v>
      </c>
      <c r="J1312" t="s">
        <v>39</v>
      </c>
      <c r="K1312">
        <f t="shared" si="20"/>
        <v>256000</v>
      </c>
      <c r="L1312">
        <f>Sales_Data2[[#This Row],[Unit Price]]*Sales_Data2[[#This Row],[Quantity]]</f>
        <v>640000</v>
      </c>
      <c r="M1312">
        <f>Sales_Data2[[#This Row],[Cost Price]]*Sales_Data2[[#This Row],[Quantity]]</f>
        <v>512000</v>
      </c>
      <c r="N1312" s="3">
        <f>Sales_Data2[[#This Row],[Revenue]]-Sales_Data2[[#This Row],[COGS]]</f>
        <v>128000</v>
      </c>
      <c r="O13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46986|West|Kano|Corporate|Online|Sofa Classic|Furniture|320000|2|Grace|256000</v>
      </c>
      <c r="P1312" s="3" t="str">
        <f>IF(COUNTIF(Sales_Data2[RowKey],Sales_Data2[[#This Row],[RowKey]])&gt;1,"Duplicate","Unique")</f>
        <v>Unique</v>
      </c>
      <c r="Q1312" s="3" t="str">
        <f>IF(ISNUMBER(Sales_Data2[[#This Row],[Date]]),"OK","Check")</f>
        <v>OK</v>
      </c>
      <c r="R1312" s="3" t="str">
        <f>IF(ISNUMBER(Sales_Data2[[#This Row],[Quantity]]),"OK","Check")</f>
        <v>OK</v>
      </c>
    </row>
    <row r="1313" spans="1:18">
      <c r="A1313" s="1">
        <v>46987</v>
      </c>
      <c r="B1313" t="s">
        <v>18</v>
      </c>
      <c r="C1313" t="s">
        <v>12</v>
      </c>
      <c r="D1313" t="s">
        <v>23</v>
      </c>
      <c r="E1313" t="s">
        <v>20</v>
      </c>
      <c r="F1313" t="s">
        <v>21</v>
      </c>
      <c r="G1313" t="s">
        <v>22</v>
      </c>
      <c r="H1313">
        <v>30000</v>
      </c>
      <c r="I1313">
        <v>2</v>
      </c>
      <c r="J1313" t="s">
        <v>35</v>
      </c>
      <c r="K1313">
        <f t="shared" si="20"/>
        <v>24000</v>
      </c>
      <c r="L1313">
        <f>Sales_Data2[[#This Row],[Unit Price]]*Sales_Data2[[#This Row],[Quantity]]</f>
        <v>60000</v>
      </c>
      <c r="M1313">
        <f>Sales_Data2[[#This Row],[Cost Price]]*Sales_Data2[[#This Row],[Quantity]]</f>
        <v>48000</v>
      </c>
      <c r="N1313" s="3">
        <f>Sales_Data2[[#This Row],[Revenue]]-Sales_Data2[[#This Row],[COGS]]</f>
        <v>12000</v>
      </c>
      <c r="O13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46987|East|Port Harcourt|Corporate|Store|Blender B10|Home Appliances|30000|2|Peter|24000</v>
      </c>
      <c r="P1313" s="3" t="str">
        <f>IF(COUNTIF(Sales_Data2[RowKey],Sales_Data2[[#This Row],[RowKey]])&gt;1,"Duplicate","Unique")</f>
        <v>Unique</v>
      </c>
      <c r="Q1313" s="3" t="str">
        <f>IF(ISNUMBER(Sales_Data2[[#This Row],[Date]]),"OK","Check")</f>
        <v>OK</v>
      </c>
      <c r="R1313" s="3" t="str">
        <f>IF(ISNUMBER(Sales_Data2[[#This Row],[Quantity]]),"OK","Check")</f>
        <v>OK</v>
      </c>
    </row>
    <row r="1314" spans="1:18">
      <c r="A1314" s="1">
        <v>46988</v>
      </c>
      <c r="B1314" t="s">
        <v>29</v>
      </c>
      <c r="C1314" t="s">
        <v>19</v>
      </c>
      <c r="D1314" t="s">
        <v>23</v>
      </c>
      <c r="E1314" t="s">
        <v>20</v>
      </c>
      <c r="F1314" t="s">
        <v>21</v>
      </c>
      <c r="G1314" t="s">
        <v>22</v>
      </c>
      <c r="H1314">
        <v>30000</v>
      </c>
      <c r="I1314">
        <v>7</v>
      </c>
      <c r="J1314" t="s">
        <v>35</v>
      </c>
      <c r="K1314">
        <f t="shared" si="20"/>
        <v>24000</v>
      </c>
      <c r="L1314">
        <f>Sales_Data2[[#This Row],[Unit Price]]*Sales_Data2[[#This Row],[Quantity]]</f>
        <v>210000</v>
      </c>
      <c r="M1314">
        <f>Sales_Data2[[#This Row],[Cost Price]]*Sales_Data2[[#This Row],[Quantity]]</f>
        <v>168000</v>
      </c>
      <c r="N1314" s="3">
        <f>Sales_Data2[[#This Row],[Revenue]]-Sales_Data2[[#This Row],[COGS]]</f>
        <v>42000</v>
      </c>
      <c r="O13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46988|North|Lagos|Corporate|Store|Blender B10|Home Appliances|30000|7|Peter|24000</v>
      </c>
      <c r="P1314" s="3" t="str">
        <f>IF(COUNTIF(Sales_Data2[RowKey],Sales_Data2[[#This Row],[RowKey]])&gt;1,"Duplicate","Unique")</f>
        <v>Unique</v>
      </c>
      <c r="Q1314" s="3" t="str">
        <f>IF(ISNUMBER(Sales_Data2[[#This Row],[Date]]),"OK","Check")</f>
        <v>OK</v>
      </c>
      <c r="R1314" s="3" t="str">
        <f>IF(ISNUMBER(Sales_Data2[[#This Row],[Quantity]]),"OK","Check")</f>
        <v>OK</v>
      </c>
    </row>
    <row r="1315" spans="1:18">
      <c r="A1315" s="1">
        <v>46989</v>
      </c>
      <c r="B1315" t="s">
        <v>29</v>
      </c>
      <c r="C1315" t="s">
        <v>12</v>
      </c>
      <c r="D1315" t="s">
        <v>23</v>
      </c>
      <c r="E1315" t="s">
        <v>20</v>
      </c>
      <c r="F1315" t="s">
        <v>40</v>
      </c>
      <c r="G1315" t="s">
        <v>31</v>
      </c>
      <c r="H1315">
        <v>250000</v>
      </c>
      <c r="I1315">
        <v>10</v>
      </c>
      <c r="J1315" t="s">
        <v>35</v>
      </c>
      <c r="K1315">
        <f t="shared" si="20"/>
        <v>200000</v>
      </c>
      <c r="L1315">
        <f>Sales_Data2[[#This Row],[Unit Price]]*Sales_Data2[[#This Row],[Quantity]]</f>
        <v>2500000</v>
      </c>
      <c r="M1315">
        <f>Sales_Data2[[#This Row],[Cost Price]]*Sales_Data2[[#This Row],[Quantity]]</f>
        <v>2000000</v>
      </c>
      <c r="N1315" s="3">
        <f>Sales_Data2[[#This Row],[Revenue]]-Sales_Data2[[#This Row],[COGS]]</f>
        <v>500000</v>
      </c>
      <c r="O13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46989|North|Port Harcourt|Corporate|Store|Smartphone Z10|Electronics|250000|10|Peter|200000</v>
      </c>
      <c r="P1315" s="3" t="str">
        <f>IF(COUNTIF(Sales_Data2[RowKey],Sales_Data2[[#This Row],[RowKey]])&gt;1,"Duplicate","Unique")</f>
        <v>Unique</v>
      </c>
      <c r="Q1315" s="3" t="str">
        <f>IF(ISNUMBER(Sales_Data2[[#This Row],[Date]]),"OK","Check")</f>
        <v>OK</v>
      </c>
      <c r="R1315" s="3" t="str">
        <f>IF(ISNUMBER(Sales_Data2[[#This Row],[Quantity]]),"OK","Check")</f>
        <v>OK</v>
      </c>
    </row>
    <row r="1316" spans="1:18">
      <c r="A1316" s="1">
        <v>46990</v>
      </c>
      <c r="B1316" t="s">
        <v>18</v>
      </c>
      <c r="C1316" t="s">
        <v>32</v>
      </c>
      <c r="D1316" t="s">
        <v>23</v>
      </c>
      <c r="E1316" t="s">
        <v>20</v>
      </c>
      <c r="F1316" t="s">
        <v>30</v>
      </c>
      <c r="G1316" t="s">
        <v>31</v>
      </c>
      <c r="H1316">
        <v>300000</v>
      </c>
      <c r="I1316">
        <v>9</v>
      </c>
      <c r="J1316" t="s">
        <v>28</v>
      </c>
      <c r="K1316">
        <f t="shared" si="20"/>
        <v>240000</v>
      </c>
      <c r="L1316">
        <f>Sales_Data2[[#This Row],[Unit Price]]*Sales_Data2[[#This Row],[Quantity]]</f>
        <v>2700000</v>
      </c>
      <c r="M1316">
        <f>Sales_Data2[[#This Row],[Cost Price]]*Sales_Data2[[#This Row],[Quantity]]</f>
        <v>2160000</v>
      </c>
      <c r="N1316" s="3">
        <f>Sales_Data2[[#This Row],[Revenue]]-Sales_Data2[[#This Row],[COGS]]</f>
        <v>540000</v>
      </c>
      <c r="O13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46990|East|Abuja|Corporate|Store|Desktop PC D21|Electronics|300000|9|Musa|240000</v>
      </c>
      <c r="P1316" s="3" t="str">
        <f>IF(COUNTIF(Sales_Data2[RowKey],Sales_Data2[[#This Row],[RowKey]])&gt;1,"Duplicate","Unique")</f>
        <v>Unique</v>
      </c>
      <c r="Q1316" s="3" t="str">
        <f>IF(ISNUMBER(Sales_Data2[[#This Row],[Date]]),"OK","Check")</f>
        <v>OK</v>
      </c>
      <c r="R1316" s="3" t="str">
        <f>IF(ISNUMBER(Sales_Data2[[#This Row],[Quantity]]),"OK","Check")</f>
        <v>OK</v>
      </c>
    </row>
    <row r="1317" spans="1:18">
      <c r="A1317" s="1">
        <v>46991</v>
      </c>
      <c r="B1317" t="s">
        <v>25</v>
      </c>
      <c r="C1317" t="s">
        <v>26</v>
      </c>
      <c r="D1317" t="s">
        <v>23</v>
      </c>
      <c r="E1317" t="s">
        <v>20</v>
      </c>
      <c r="F1317" t="s">
        <v>15</v>
      </c>
      <c r="G1317" t="s">
        <v>16</v>
      </c>
      <c r="H1317">
        <v>85000</v>
      </c>
      <c r="I1317">
        <v>6</v>
      </c>
      <c r="J1317" t="s">
        <v>37</v>
      </c>
      <c r="K1317">
        <f t="shared" si="20"/>
        <v>68000</v>
      </c>
      <c r="L1317">
        <f>Sales_Data2[[#This Row],[Unit Price]]*Sales_Data2[[#This Row],[Quantity]]</f>
        <v>510000</v>
      </c>
      <c r="M1317">
        <f>Sales_Data2[[#This Row],[Cost Price]]*Sales_Data2[[#This Row],[Quantity]]</f>
        <v>408000</v>
      </c>
      <c r="N1317" s="3">
        <f>Sales_Data2[[#This Row],[Revenue]]-Sales_Data2[[#This Row],[COGS]]</f>
        <v>102000</v>
      </c>
      <c r="O13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46991|South|Kano|Corporate|Store|Office Chair Pro|Furniture|85000|6|Aisha|68000</v>
      </c>
      <c r="P1317" s="3" t="str">
        <f>IF(COUNTIF(Sales_Data2[RowKey],Sales_Data2[[#This Row],[RowKey]])&gt;1,"Duplicate","Unique")</f>
        <v>Unique</v>
      </c>
      <c r="Q1317" s="3" t="str">
        <f>IF(ISNUMBER(Sales_Data2[[#This Row],[Date]]),"OK","Check")</f>
        <v>OK</v>
      </c>
      <c r="R1317" s="3" t="str">
        <f>IF(ISNUMBER(Sales_Data2[[#This Row],[Quantity]]),"OK","Check")</f>
        <v>OK</v>
      </c>
    </row>
    <row r="1318" spans="1:18">
      <c r="A1318" s="1">
        <v>46992</v>
      </c>
      <c r="B1318" t="s">
        <v>11</v>
      </c>
      <c r="C1318" t="s">
        <v>12</v>
      </c>
      <c r="D1318" t="s">
        <v>23</v>
      </c>
      <c r="E1318" t="s">
        <v>20</v>
      </c>
      <c r="F1318" t="s">
        <v>21</v>
      </c>
      <c r="G1318" t="s">
        <v>22</v>
      </c>
      <c r="H1318">
        <v>30000</v>
      </c>
      <c r="I1318">
        <v>4</v>
      </c>
      <c r="J1318" t="s">
        <v>17</v>
      </c>
      <c r="K1318">
        <f t="shared" si="20"/>
        <v>24000</v>
      </c>
      <c r="L1318">
        <f>Sales_Data2[[#This Row],[Unit Price]]*Sales_Data2[[#This Row],[Quantity]]</f>
        <v>120000</v>
      </c>
      <c r="M1318">
        <f>Sales_Data2[[#This Row],[Cost Price]]*Sales_Data2[[#This Row],[Quantity]]</f>
        <v>96000</v>
      </c>
      <c r="N1318" s="3">
        <f>Sales_Data2[[#This Row],[Revenue]]-Sales_Data2[[#This Row],[COGS]]</f>
        <v>24000</v>
      </c>
      <c r="O13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46992|West|Port Harcourt|Corporate|Store|Blender B10|Home Appliances|30000|4|Chidinma|24000</v>
      </c>
      <c r="P1318" s="3" t="str">
        <f>IF(COUNTIF(Sales_Data2[RowKey],Sales_Data2[[#This Row],[RowKey]])&gt;1,"Duplicate","Unique")</f>
        <v>Unique</v>
      </c>
      <c r="Q1318" s="3" t="str">
        <f>IF(ISNUMBER(Sales_Data2[[#This Row],[Date]]),"OK","Check")</f>
        <v>OK</v>
      </c>
      <c r="R1318" s="3" t="str">
        <f>IF(ISNUMBER(Sales_Data2[[#This Row],[Quantity]]),"OK","Check")</f>
        <v>OK</v>
      </c>
    </row>
    <row r="1319" spans="1:18">
      <c r="A1319" s="1">
        <v>46993</v>
      </c>
      <c r="B1319" t="s">
        <v>25</v>
      </c>
      <c r="C1319" t="s">
        <v>32</v>
      </c>
      <c r="D1319" t="s">
        <v>23</v>
      </c>
      <c r="E1319" t="s">
        <v>14</v>
      </c>
      <c r="F1319" t="s">
        <v>30</v>
      </c>
      <c r="G1319" t="s">
        <v>31</v>
      </c>
      <c r="H1319">
        <v>300000</v>
      </c>
      <c r="I1319">
        <v>4</v>
      </c>
      <c r="J1319" t="s">
        <v>17</v>
      </c>
      <c r="K1319">
        <f t="shared" si="20"/>
        <v>240000</v>
      </c>
      <c r="L1319">
        <f>Sales_Data2[[#This Row],[Unit Price]]*Sales_Data2[[#This Row],[Quantity]]</f>
        <v>1200000</v>
      </c>
      <c r="M1319">
        <f>Sales_Data2[[#This Row],[Cost Price]]*Sales_Data2[[#This Row],[Quantity]]</f>
        <v>960000</v>
      </c>
      <c r="N1319" s="3">
        <f>Sales_Data2[[#This Row],[Revenue]]-Sales_Data2[[#This Row],[COGS]]</f>
        <v>240000</v>
      </c>
      <c r="O13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46993|South|Abuja|Corporate|Online|Desktop PC D21|Electronics|300000|4|Chidinma|240000</v>
      </c>
      <c r="P1319" s="3" t="str">
        <f>IF(COUNTIF(Sales_Data2[RowKey],Sales_Data2[[#This Row],[RowKey]])&gt;1,"Duplicate","Unique")</f>
        <v>Unique</v>
      </c>
      <c r="Q1319" s="3" t="str">
        <f>IF(ISNUMBER(Sales_Data2[[#This Row],[Date]]),"OK","Check")</f>
        <v>OK</v>
      </c>
      <c r="R1319" s="3" t="str">
        <f>IF(ISNUMBER(Sales_Data2[[#This Row],[Quantity]]),"OK","Check")</f>
        <v>OK</v>
      </c>
    </row>
    <row r="1320" spans="1:18">
      <c r="A1320" s="1">
        <v>46994</v>
      </c>
      <c r="B1320" t="s">
        <v>25</v>
      </c>
      <c r="C1320" t="s">
        <v>32</v>
      </c>
      <c r="D1320" t="s">
        <v>23</v>
      </c>
      <c r="E1320" t="s">
        <v>20</v>
      </c>
      <c r="F1320" t="s">
        <v>41</v>
      </c>
      <c r="G1320" t="s">
        <v>22</v>
      </c>
      <c r="H1320">
        <v>220000</v>
      </c>
      <c r="I1320">
        <v>5</v>
      </c>
      <c r="J1320" t="s">
        <v>35</v>
      </c>
      <c r="K1320">
        <f t="shared" si="20"/>
        <v>176000</v>
      </c>
      <c r="L1320">
        <f>Sales_Data2[[#This Row],[Unit Price]]*Sales_Data2[[#This Row],[Quantity]]</f>
        <v>1100000</v>
      </c>
      <c r="M1320">
        <f>Sales_Data2[[#This Row],[Cost Price]]*Sales_Data2[[#This Row],[Quantity]]</f>
        <v>880000</v>
      </c>
      <c r="N1320" s="3">
        <f>Sales_Data2[[#This Row],[Revenue]]-Sales_Data2[[#This Row],[COGS]]</f>
        <v>220000</v>
      </c>
      <c r="O13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46994|South|Abuja|Corporate|Store|Refrigerator R55|Home Appliances|220000|5|Peter|176000</v>
      </c>
      <c r="P1320" s="3" t="str">
        <f>IF(COUNTIF(Sales_Data2[RowKey],Sales_Data2[[#This Row],[RowKey]])&gt;1,"Duplicate","Unique")</f>
        <v>Unique</v>
      </c>
      <c r="Q1320" s="3" t="str">
        <f>IF(ISNUMBER(Sales_Data2[[#This Row],[Date]]),"OK","Check")</f>
        <v>OK</v>
      </c>
      <c r="R1320" s="3" t="str">
        <f>IF(ISNUMBER(Sales_Data2[[#This Row],[Quantity]]),"OK","Check")</f>
        <v>OK</v>
      </c>
    </row>
    <row r="1321" spans="1:18">
      <c r="A1321" s="1">
        <v>46995</v>
      </c>
      <c r="B1321" t="s">
        <v>18</v>
      </c>
      <c r="C1321" t="s">
        <v>32</v>
      </c>
      <c r="D1321" t="s">
        <v>23</v>
      </c>
      <c r="E1321" t="s">
        <v>20</v>
      </c>
      <c r="F1321" t="s">
        <v>41</v>
      </c>
      <c r="G1321" t="s">
        <v>22</v>
      </c>
      <c r="H1321">
        <v>220000</v>
      </c>
      <c r="I1321">
        <v>4</v>
      </c>
      <c r="J1321" t="s">
        <v>35</v>
      </c>
      <c r="K1321">
        <f t="shared" si="20"/>
        <v>176000</v>
      </c>
      <c r="L1321">
        <f>Sales_Data2[[#This Row],[Unit Price]]*Sales_Data2[[#This Row],[Quantity]]</f>
        <v>880000</v>
      </c>
      <c r="M1321">
        <f>Sales_Data2[[#This Row],[Cost Price]]*Sales_Data2[[#This Row],[Quantity]]</f>
        <v>704000</v>
      </c>
      <c r="N1321" s="3">
        <f>Sales_Data2[[#This Row],[Revenue]]-Sales_Data2[[#This Row],[COGS]]</f>
        <v>176000</v>
      </c>
      <c r="O13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46995|East|Abuja|Corporate|Store|Refrigerator R55|Home Appliances|220000|4|Peter|176000</v>
      </c>
      <c r="P1321" s="3" t="str">
        <f>IF(COUNTIF(Sales_Data2[RowKey],Sales_Data2[[#This Row],[RowKey]])&gt;1,"Duplicate","Unique")</f>
        <v>Unique</v>
      </c>
      <c r="Q1321" s="3" t="str">
        <f>IF(ISNUMBER(Sales_Data2[[#This Row],[Date]]),"OK","Check")</f>
        <v>OK</v>
      </c>
      <c r="R1321" s="3" t="str">
        <f>IF(ISNUMBER(Sales_Data2[[#This Row],[Quantity]]),"OK","Check")</f>
        <v>OK</v>
      </c>
    </row>
    <row r="1322" spans="1:18">
      <c r="A1322" s="1">
        <v>46996</v>
      </c>
      <c r="B1322" t="s">
        <v>18</v>
      </c>
      <c r="C1322" t="s">
        <v>32</v>
      </c>
      <c r="D1322" t="s">
        <v>23</v>
      </c>
      <c r="E1322" t="s">
        <v>14</v>
      </c>
      <c r="F1322" t="s">
        <v>21</v>
      </c>
      <c r="G1322" t="s">
        <v>22</v>
      </c>
      <c r="H1322">
        <v>30000</v>
      </c>
      <c r="I1322">
        <v>1</v>
      </c>
      <c r="J1322" t="s">
        <v>39</v>
      </c>
      <c r="K1322">
        <f t="shared" si="20"/>
        <v>24000</v>
      </c>
      <c r="L1322">
        <f>Sales_Data2[[#This Row],[Unit Price]]*Sales_Data2[[#This Row],[Quantity]]</f>
        <v>30000</v>
      </c>
      <c r="M1322">
        <f>Sales_Data2[[#This Row],[Cost Price]]*Sales_Data2[[#This Row],[Quantity]]</f>
        <v>24000</v>
      </c>
      <c r="N1322" s="3">
        <f>Sales_Data2[[#This Row],[Revenue]]-Sales_Data2[[#This Row],[COGS]]</f>
        <v>6000</v>
      </c>
      <c r="O13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46996|East|Abuja|Corporate|Online|Blender B10|Home Appliances|30000|1|Grace|24000</v>
      </c>
      <c r="P1322" s="3" t="str">
        <f>IF(COUNTIF(Sales_Data2[RowKey],Sales_Data2[[#This Row],[RowKey]])&gt;1,"Duplicate","Unique")</f>
        <v>Unique</v>
      </c>
      <c r="Q1322" s="3" t="str">
        <f>IF(ISNUMBER(Sales_Data2[[#This Row],[Date]]),"OK","Check")</f>
        <v>OK</v>
      </c>
      <c r="R1322" s="3" t="str">
        <f>IF(ISNUMBER(Sales_Data2[[#This Row],[Quantity]]),"OK","Check")</f>
        <v>OK</v>
      </c>
    </row>
    <row r="1323" spans="1:18">
      <c r="A1323" s="1">
        <v>46997</v>
      </c>
      <c r="B1323" t="s">
        <v>25</v>
      </c>
      <c r="C1323" t="s">
        <v>19</v>
      </c>
      <c r="D1323" t="s">
        <v>13</v>
      </c>
      <c r="E1323" t="s">
        <v>14</v>
      </c>
      <c r="F1323" t="s">
        <v>38</v>
      </c>
      <c r="G1323" t="s">
        <v>31</v>
      </c>
      <c r="H1323">
        <v>420000</v>
      </c>
      <c r="I1323">
        <v>9</v>
      </c>
      <c r="J1323" t="s">
        <v>24</v>
      </c>
      <c r="K1323">
        <f t="shared" si="20"/>
        <v>336000</v>
      </c>
      <c r="L1323">
        <f>Sales_Data2[[#This Row],[Unit Price]]*Sales_Data2[[#This Row],[Quantity]]</f>
        <v>3780000</v>
      </c>
      <c r="M1323">
        <f>Sales_Data2[[#This Row],[Cost Price]]*Sales_Data2[[#This Row],[Quantity]]</f>
        <v>3024000</v>
      </c>
      <c r="N1323" s="3">
        <f>Sales_Data2[[#This Row],[Revenue]]-Sales_Data2[[#This Row],[COGS]]</f>
        <v>756000</v>
      </c>
      <c r="O13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46997|South|Lagos|Retail|Online|Laptop A13|Electronics|420000|9|David|336000</v>
      </c>
      <c r="P1323" s="3" t="str">
        <f>IF(COUNTIF(Sales_Data2[RowKey],Sales_Data2[[#This Row],[RowKey]])&gt;1,"Duplicate","Unique")</f>
        <v>Unique</v>
      </c>
      <c r="Q1323" s="3" t="str">
        <f>IF(ISNUMBER(Sales_Data2[[#This Row],[Date]]),"OK","Check")</f>
        <v>OK</v>
      </c>
      <c r="R1323" s="3" t="str">
        <f>IF(ISNUMBER(Sales_Data2[[#This Row],[Quantity]]),"OK","Check")</f>
        <v>OK</v>
      </c>
    </row>
    <row r="1324" spans="1:18">
      <c r="A1324" s="1">
        <v>46998</v>
      </c>
      <c r="B1324" t="s">
        <v>11</v>
      </c>
      <c r="C1324" t="s">
        <v>19</v>
      </c>
      <c r="D1324" t="s">
        <v>23</v>
      </c>
      <c r="E1324" t="s">
        <v>14</v>
      </c>
      <c r="F1324" t="s">
        <v>27</v>
      </c>
      <c r="G1324" t="s">
        <v>22</v>
      </c>
      <c r="H1324">
        <v>60000</v>
      </c>
      <c r="I1324">
        <v>6</v>
      </c>
      <c r="J1324" t="s">
        <v>24</v>
      </c>
      <c r="K1324">
        <f t="shared" si="20"/>
        <v>48000</v>
      </c>
      <c r="L1324">
        <f>Sales_Data2[[#This Row],[Unit Price]]*Sales_Data2[[#This Row],[Quantity]]</f>
        <v>360000</v>
      </c>
      <c r="M1324">
        <f>Sales_Data2[[#This Row],[Cost Price]]*Sales_Data2[[#This Row],[Quantity]]</f>
        <v>288000</v>
      </c>
      <c r="N1324" s="3">
        <f>Sales_Data2[[#This Row],[Revenue]]-Sales_Data2[[#This Row],[COGS]]</f>
        <v>72000</v>
      </c>
      <c r="O13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46998|West|Lagos|Corporate|Online|Microwave M20|Home Appliances|60000|6|David|48000</v>
      </c>
      <c r="P1324" s="3" t="str">
        <f>IF(COUNTIF(Sales_Data2[RowKey],Sales_Data2[[#This Row],[RowKey]])&gt;1,"Duplicate","Unique")</f>
        <v>Unique</v>
      </c>
      <c r="Q1324" s="3" t="str">
        <f>IF(ISNUMBER(Sales_Data2[[#This Row],[Date]]),"OK","Check")</f>
        <v>OK</v>
      </c>
      <c r="R1324" s="3" t="str">
        <f>IF(ISNUMBER(Sales_Data2[[#This Row],[Quantity]]),"OK","Check")</f>
        <v>OK</v>
      </c>
    </row>
    <row r="1325" spans="1:18">
      <c r="A1325" s="1">
        <v>46999</v>
      </c>
      <c r="B1325" t="s">
        <v>11</v>
      </c>
      <c r="C1325" t="s">
        <v>32</v>
      </c>
      <c r="D1325" t="s">
        <v>13</v>
      </c>
      <c r="E1325" t="s">
        <v>14</v>
      </c>
      <c r="F1325" t="s">
        <v>33</v>
      </c>
      <c r="G1325" t="s">
        <v>22</v>
      </c>
      <c r="H1325">
        <v>180000</v>
      </c>
      <c r="I1325">
        <v>2</v>
      </c>
      <c r="J1325" t="s">
        <v>28</v>
      </c>
      <c r="K1325">
        <f t="shared" si="20"/>
        <v>144000</v>
      </c>
      <c r="L1325">
        <f>Sales_Data2[[#This Row],[Unit Price]]*Sales_Data2[[#This Row],[Quantity]]</f>
        <v>360000</v>
      </c>
      <c r="M1325">
        <f>Sales_Data2[[#This Row],[Cost Price]]*Sales_Data2[[#This Row],[Quantity]]</f>
        <v>288000</v>
      </c>
      <c r="N1325" s="3">
        <f>Sales_Data2[[#This Row],[Revenue]]-Sales_Data2[[#This Row],[COGS]]</f>
        <v>72000</v>
      </c>
      <c r="O13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46999|West|Abuja|Retail|Online|Air Conditioner X2|Home Appliances|180000|2|Musa|144000</v>
      </c>
      <c r="P1325" s="3" t="str">
        <f>IF(COUNTIF(Sales_Data2[RowKey],Sales_Data2[[#This Row],[RowKey]])&gt;1,"Duplicate","Unique")</f>
        <v>Unique</v>
      </c>
      <c r="Q1325" s="3" t="str">
        <f>IF(ISNUMBER(Sales_Data2[[#This Row],[Date]]),"OK","Check")</f>
        <v>OK</v>
      </c>
      <c r="R1325" s="3" t="str">
        <f>IF(ISNUMBER(Sales_Data2[[#This Row],[Quantity]]),"OK","Check")</f>
        <v>OK</v>
      </c>
    </row>
    <row r="1326" spans="1:18">
      <c r="A1326" s="1">
        <v>47000</v>
      </c>
      <c r="B1326" t="s">
        <v>18</v>
      </c>
      <c r="C1326" t="s">
        <v>19</v>
      </c>
      <c r="D1326" t="s">
        <v>13</v>
      </c>
      <c r="E1326" t="s">
        <v>14</v>
      </c>
      <c r="F1326" t="s">
        <v>15</v>
      </c>
      <c r="G1326" t="s">
        <v>16</v>
      </c>
      <c r="H1326">
        <v>85000</v>
      </c>
      <c r="I1326">
        <v>1</v>
      </c>
      <c r="J1326" t="s">
        <v>24</v>
      </c>
      <c r="K1326">
        <f t="shared" si="20"/>
        <v>68000</v>
      </c>
      <c r="L1326">
        <f>Sales_Data2[[#This Row],[Unit Price]]*Sales_Data2[[#This Row],[Quantity]]</f>
        <v>85000</v>
      </c>
      <c r="M1326">
        <f>Sales_Data2[[#This Row],[Cost Price]]*Sales_Data2[[#This Row],[Quantity]]</f>
        <v>68000</v>
      </c>
      <c r="N1326" s="3">
        <f>Sales_Data2[[#This Row],[Revenue]]-Sales_Data2[[#This Row],[COGS]]</f>
        <v>17000</v>
      </c>
      <c r="O13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47000|East|Lagos|Retail|Online|Office Chair Pro|Furniture|85000|1|David|68000</v>
      </c>
      <c r="P1326" s="3" t="str">
        <f>IF(COUNTIF(Sales_Data2[RowKey],Sales_Data2[[#This Row],[RowKey]])&gt;1,"Duplicate","Unique")</f>
        <v>Unique</v>
      </c>
      <c r="Q1326" s="3" t="str">
        <f>IF(ISNUMBER(Sales_Data2[[#This Row],[Date]]),"OK","Check")</f>
        <v>OK</v>
      </c>
      <c r="R1326" s="3" t="str">
        <f>IF(ISNUMBER(Sales_Data2[[#This Row],[Quantity]]),"OK","Check")</f>
        <v>OK</v>
      </c>
    </row>
    <row r="1327" spans="1:18">
      <c r="A1327" s="1">
        <v>47001</v>
      </c>
      <c r="B1327" t="s">
        <v>11</v>
      </c>
      <c r="C1327" t="s">
        <v>26</v>
      </c>
      <c r="D1327" t="s">
        <v>13</v>
      </c>
      <c r="E1327" t="s">
        <v>20</v>
      </c>
      <c r="F1327" t="s">
        <v>40</v>
      </c>
      <c r="G1327" t="s">
        <v>31</v>
      </c>
      <c r="H1327">
        <v>250000</v>
      </c>
      <c r="I1327">
        <v>2</v>
      </c>
      <c r="J1327" t="s">
        <v>17</v>
      </c>
      <c r="K1327">
        <f t="shared" si="20"/>
        <v>200000</v>
      </c>
      <c r="L1327">
        <f>Sales_Data2[[#This Row],[Unit Price]]*Sales_Data2[[#This Row],[Quantity]]</f>
        <v>500000</v>
      </c>
      <c r="M1327">
        <f>Sales_Data2[[#This Row],[Cost Price]]*Sales_Data2[[#This Row],[Quantity]]</f>
        <v>400000</v>
      </c>
      <c r="N1327" s="3">
        <f>Sales_Data2[[#This Row],[Revenue]]-Sales_Data2[[#This Row],[COGS]]</f>
        <v>100000</v>
      </c>
      <c r="O13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47001|West|Kano|Retail|Store|Smartphone Z10|Electronics|250000|2|Chidinma|200000</v>
      </c>
      <c r="P1327" s="3" t="str">
        <f>IF(COUNTIF(Sales_Data2[RowKey],Sales_Data2[[#This Row],[RowKey]])&gt;1,"Duplicate","Unique")</f>
        <v>Unique</v>
      </c>
      <c r="Q1327" s="3" t="str">
        <f>IF(ISNUMBER(Sales_Data2[[#This Row],[Date]]),"OK","Check")</f>
        <v>OK</v>
      </c>
      <c r="R1327" s="3" t="str">
        <f>IF(ISNUMBER(Sales_Data2[[#This Row],[Quantity]]),"OK","Check")</f>
        <v>OK</v>
      </c>
    </row>
    <row r="1328" spans="1:18">
      <c r="A1328" s="1">
        <v>47002</v>
      </c>
      <c r="B1328" t="s">
        <v>29</v>
      </c>
      <c r="C1328" t="s">
        <v>32</v>
      </c>
      <c r="D1328" t="s">
        <v>13</v>
      </c>
      <c r="E1328" t="s">
        <v>20</v>
      </c>
      <c r="F1328" t="s">
        <v>21</v>
      </c>
      <c r="G1328" t="s">
        <v>22</v>
      </c>
      <c r="H1328">
        <v>30000</v>
      </c>
      <c r="I1328">
        <v>7</v>
      </c>
      <c r="J1328" t="s">
        <v>35</v>
      </c>
      <c r="K1328">
        <f t="shared" si="20"/>
        <v>24000</v>
      </c>
      <c r="L1328">
        <f>Sales_Data2[[#This Row],[Unit Price]]*Sales_Data2[[#This Row],[Quantity]]</f>
        <v>210000</v>
      </c>
      <c r="M1328">
        <f>Sales_Data2[[#This Row],[Cost Price]]*Sales_Data2[[#This Row],[Quantity]]</f>
        <v>168000</v>
      </c>
      <c r="N1328" s="3">
        <f>Sales_Data2[[#This Row],[Revenue]]-Sales_Data2[[#This Row],[COGS]]</f>
        <v>42000</v>
      </c>
      <c r="O13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47002|North|Abuja|Retail|Store|Blender B10|Home Appliances|30000|7|Peter|24000</v>
      </c>
      <c r="P1328" s="3" t="str">
        <f>IF(COUNTIF(Sales_Data2[RowKey],Sales_Data2[[#This Row],[RowKey]])&gt;1,"Duplicate","Unique")</f>
        <v>Unique</v>
      </c>
      <c r="Q1328" s="3" t="str">
        <f>IF(ISNUMBER(Sales_Data2[[#This Row],[Date]]),"OK","Check")</f>
        <v>OK</v>
      </c>
      <c r="R1328" s="3" t="str">
        <f>IF(ISNUMBER(Sales_Data2[[#This Row],[Quantity]]),"OK","Check")</f>
        <v>OK</v>
      </c>
    </row>
    <row r="1329" spans="1:18">
      <c r="A1329" s="1">
        <v>47003</v>
      </c>
      <c r="B1329" t="s">
        <v>11</v>
      </c>
      <c r="C1329" t="s">
        <v>19</v>
      </c>
      <c r="D1329" t="s">
        <v>13</v>
      </c>
      <c r="E1329" t="s">
        <v>20</v>
      </c>
      <c r="F1329" t="s">
        <v>38</v>
      </c>
      <c r="G1329" t="s">
        <v>31</v>
      </c>
      <c r="H1329">
        <v>420000</v>
      </c>
      <c r="I1329">
        <v>9</v>
      </c>
      <c r="J1329" t="s">
        <v>35</v>
      </c>
      <c r="K1329">
        <f t="shared" si="20"/>
        <v>336000</v>
      </c>
      <c r="L1329">
        <f>Sales_Data2[[#This Row],[Unit Price]]*Sales_Data2[[#This Row],[Quantity]]</f>
        <v>3780000</v>
      </c>
      <c r="M1329">
        <f>Sales_Data2[[#This Row],[Cost Price]]*Sales_Data2[[#This Row],[Quantity]]</f>
        <v>3024000</v>
      </c>
      <c r="N1329" s="3">
        <f>Sales_Data2[[#This Row],[Revenue]]-Sales_Data2[[#This Row],[COGS]]</f>
        <v>756000</v>
      </c>
      <c r="O13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47003|West|Lagos|Retail|Store|Laptop A13|Electronics|420000|9|Peter|336000</v>
      </c>
      <c r="P1329" s="3" t="str">
        <f>IF(COUNTIF(Sales_Data2[RowKey],Sales_Data2[[#This Row],[RowKey]])&gt;1,"Duplicate","Unique")</f>
        <v>Unique</v>
      </c>
      <c r="Q1329" s="3" t="str">
        <f>IF(ISNUMBER(Sales_Data2[[#This Row],[Date]]),"OK","Check")</f>
        <v>OK</v>
      </c>
      <c r="R1329" s="3" t="str">
        <f>IF(ISNUMBER(Sales_Data2[[#This Row],[Quantity]]),"OK","Check")</f>
        <v>OK</v>
      </c>
    </row>
    <row r="1330" spans="1:18">
      <c r="A1330" s="1">
        <v>47004</v>
      </c>
      <c r="B1330" t="s">
        <v>25</v>
      </c>
      <c r="C1330" t="s">
        <v>32</v>
      </c>
      <c r="D1330" t="s">
        <v>13</v>
      </c>
      <c r="E1330" t="s">
        <v>14</v>
      </c>
      <c r="F1330" t="s">
        <v>27</v>
      </c>
      <c r="G1330" t="s">
        <v>22</v>
      </c>
      <c r="H1330">
        <v>60000</v>
      </c>
      <c r="I1330">
        <v>7</v>
      </c>
      <c r="J1330" t="s">
        <v>24</v>
      </c>
      <c r="K1330">
        <f t="shared" si="20"/>
        <v>48000</v>
      </c>
      <c r="L1330">
        <f>Sales_Data2[[#This Row],[Unit Price]]*Sales_Data2[[#This Row],[Quantity]]</f>
        <v>420000</v>
      </c>
      <c r="M1330">
        <f>Sales_Data2[[#This Row],[Cost Price]]*Sales_Data2[[#This Row],[Quantity]]</f>
        <v>336000</v>
      </c>
      <c r="N1330" s="3">
        <f>Sales_Data2[[#This Row],[Revenue]]-Sales_Data2[[#This Row],[COGS]]</f>
        <v>84000</v>
      </c>
      <c r="O13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47004|South|Abuja|Retail|Online|Microwave M20|Home Appliances|60000|7|David|48000</v>
      </c>
      <c r="P1330" s="3" t="str">
        <f>IF(COUNTIF(Sales_Data2[RowKey],Sales_Data2[[#This Row],[RowKey]])&gt;1,"Duplicate","Unique")</f>
        <v>Unique</v>
      </c>
      <c r="Q1330" s="3" t="str">
        <f>IF(ISNUMBER(Sales_Data2[[#This Row],[Date]]),"OK","Check")</f>
        <v>OK</v>
      </c>
      <c r="R1330" s="3" t="str">
        <f>IF(ISNUMBER(Sales_Data2[[#This Row],[Quantity]]),"OK","Check")</f>
        <v>OK</v>
      </c>
    </row>
    <row r="1331" spans="1:18">
      <c r="A1331" s="1">
        <v>47005</v>
      </c>
      <c r="B1331" t="s">
        <v>29</v>
      </c>
      <c r="C1331" t="s">
        <v>26</v>
      </c>
      <c r="D1331" t="s">
        <v>13</v>
      </c>
      <c r="E1331" t="s">
        <v>20</v>
      </c>
      <c r="F1331" t="s">
        <v>30</v>
      </c>
      <c r="G1331" t="s">
        <v>31</v>
      </c>
      <c r="H1331">
        <v>300000</v>
      </c>
      <c r="I1331">
        <v>7</v>
      </c>
      <c r="J1331" t="s">
        <v>35</v>
      </c>
      <c r="K1331">
        <f t="shared" si="20"/>
        <v>240000</v>
      </c>
      <c r="L1331">
        <f>Sales_Data2[[#This Row],[Unit Price]]*Sales_Data2[[#This Row],[Quantity]]</f>
        <v>2100000</v>
      </c>
      <c r="M1331">
        <f>Sales_Data2[[#This Row],[Cost Price]]*Sales_Data2[[#This Row],[Quantity]]</f>
        <v>1680000</v>
      </c>
      <c r="N1331" s="3">
        <f>Sales_Data2[[#This Row],[Revenue]]-Sales_Data2[[#This Row],[COGS]]</f>
        <v>420000</v>
      </c>
      <c r="O13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47005|North|Kano|Retail|Store|Desktop PC D21|Electronics|300000|7|Peter|240000</v>
      </c>
      <c r="P1331" s="3" t="str">
        <f>IF(COUNTIF(Sales_Data2[RowKey],Sales_Data2[[#This Row],[RowKey]])&gt;1,"Duplicate","Unique")</f>
        <v>Unique</v>
      </c>
      <c r="Q1331" s="3" t="str">
        <f>IF(ISNUMBER(Sales_Data2[[#This Row],[Date]]),"OK","Check")</f>
        <v>OK</v>
      </c>
      <c r="R1331" s="3" t="str">
        <f>IF(ISNUMBER(Sales_Data2[[#This Row],[Quantity]]),"OK","Check")</f>
        <v>OK</v>
      </c>
    </row>
    <row r="1332" spans="1:18">
      <c r="A1332" s="1">
        <v>47006</v>
      </c>
      <c r="B1332" t="s">
        <v>18</v>
      </c>
      <c r="C1332" t="s">
        <v>12</v>
      </c>
      <c r="D1332" t="s">
        <v>23</v>
      </c>
      <c r="E1332" t="s">
        <v>14</v>
      </c>
      <c r="F1332" t="s">
        <v>36</v>
      </c>
      <c r="G1332" t="s">
        <v>31</v>
      </c>
      <c r="H1332">
        <v>150000</v>
      </c>
      <c r="I1332">
        <v>9</v>
      </c>
      <c r="J1332" t="s">
        <v>39</v>
      </c>
      <c r="K1332">
        <f t="shared" si="20"/>
        <v>120000</v>
      </c>
      <c r="L1332">
        <f>Sales_Data2[[#This Row],[Unit Price]]*Sales_Data2[[#This Row],[Quantity]]</f>
        <v>1350000</v>
      </c>
      <c r="M1332">
        <f>Sales_Data2[[#This Row],[Cost Price]]*Sales_Data2[[#This Row],[Quantity]]</f>
        <v>1080000</v>
      </c>
      <c r="N1332" s="3">
        <f>Sales_Data2[[#This Row],[Revenue]]-Sales_Data2[[#This Row],[COGS]]</f>
        <v>270000</v>
      </c>
      <c r="O13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47006|East|Port Harcourt|Corporate|Online|Printer P50|Electronics|150000|9|Grace|120000</v>
      </c>
      <c r="P1332" s="3" t="str">
        <f>IF(COUNTIF(Sales_Data2[RowKey],Sales_Data2[[#This Row],[RowKey]])&gt;1,"Duplicate","Unique")</f>
        <v>Unique</v>
      </c>
      <c r="Q1332" s="3" t="str">
        <f>IF(ISNUMBER(Sales_Data2[[#This Row],[Date]]),"OK","Check")</f>
        <v>OK</v>
      </c>
      <c r="R1332" s="3" t="str">
        <f>IF(ISNUMBER(Sales_Data2[[#This Row],[Quantity]]),"OK","Check")</f>
        <v>OK</v>
      </c>
    </row>
    <row r="1333" spans="1:18">
      <c r="A1333" s="1">
        <v>47007</v>
      </c>
      <c r="B1333" t="s">
        <v>25</v>
      </c>
      <c r="C1333" t="s">
        <v>26</v>
      </c>
      <c r="D1333" t="s">
        <v>23</v>
      </c>
      <c r="E1333" t="s">
        <v>14</v>
      </c>
      <c r="F1333" t="s">
        <v>30</v>
      </c>
      <c r="G1333" t="s">
        <v>31</v>
      </c>
      <c r="H1333">
        <v>300000</v>
      </c>
      <c r="I1333">
        <v>7</v>
      </c>
      <c r="J1333" t="s">
        <v>28</v>
      </c>
      <c r="K1333">
        <f t="shared" si="20"/>
        <v>240000</v>
      </c>
      <c r="L1333">
        <f>Sales_Data2[[#This Row],[Unit Price]]*Sales_Data2[[#This Row],[Quantity]]</f>
        <v>2100000</v>
      </c>
      <c r="M1333">
        <f>Sales_Data2[[#This Row],[Cost Price]]*Sales_Data2[[#This Row],[Quantity]]</f>
        <v>1680000</v>
      </c>
      <c r="N1333" s="3">
        <f>Sales_Data2[[#This Row],[Revenue]]-Sales_Data2[[#This Row],[COGS]]</f>
        <v>420000</v>
      </c>
      <c r="O13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47007|South|Kano|Corporate|Online|Desktop PC D21|Electronics|300000|7|Musa|240000</v>
      </c>
      <c r="P1333" s="3" t="str">
        <f>IF(COUNTIF(Sales_Data2[RowKey],Sales_Data2[[#This Row],[RowKey]])&gt;1,"Duplicate","Unique")</f>
        <v>Unique</v>
      </c>
      <c r="Q1333" s="3" t="str">
        <f>IF(ISNUMBER(Sales_Data2[[#This Row],[Date]]),"OK","Check")</f>
        <v>OK</v>
      </c>
      <c r="R1333" s="3" t="str">
        <f>IF(ISNUMBER(Sales_Data2[[#This Row],[Quantity]]),"OK","Check")</f>
        <v>OK</v>
      </c>
    </row>
    <row r="1334" spans="1:18">
      <c r="A1334" s="1">
        <v>47008</v>
      </c>
      <c r="B1334" t="s">
        <v>11</v>
      </c>
      <c r="C1334" t="s">
        <v>19</v>
      </c>
      <c r="D1334" t="s">
        <v>13</v>
      </c>
      <c r="E1334" t="s">
        <v>14</v>
      </c>
      <c r="F1334" t="s">
        <v>40</v>
      </c>
      <c r="G1334" t="s">
        <v>31</v>
      </c>
      <c r="H1334">
        <v>250000</v>
      </c>
      <c r="I1334">
        <v>1</v>
      </c>
      <c r="J1334" t="s">
        <v>37</v>
      </c>
      <c r="K1334">
        <f t="shared" si="20"/>
        <v>200000</v>
      </c>
      <c r="L1334">
        <f>Sales_Data2[[#This Row],[Unit Price]]*Sales_Data2[[#This Row],[Quantity]]</f>
        <v>250000</v>
      </c>
      <c r="M1334">
        <f>Sales_Data2[[#This Row],[Cost Price]]*Sales_Data2[[#This Row],[Quantity]]</f>
        <v>200000</v>
      </c>
      <c r="N1334" s="3">
        <f>Sales_Data2[[#This Row],[Revenue]]-Sales_Data2[[#This Row],[COGS]]</f>
        <v>50000</v>
      </c>
      <c r="O13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47008|West|Lagos|Retail|Online|Smartphone Z10|Electronics|250000|1|Aisha|200000</v>
      </c>
      <c r="P1334" s="3" t="str">
        <f>IF(COUNTIF(Sales_Data2[RowKey],Sales_Data2[[#This Row],[RowKey]])&gt;1,"Duplicate","Unique")</f>
        <v>Unique</v>
      </c>
      <c r="Q1334" s="3" t="str">
        <f>IF(ISNUMBER(Sales_Data2[[#This Row],[Date]]),"OK","Check")</f>
        <v>OK</v>
      </c>
      <c r="R1334" s="3" t="str">
        <f>IF(ISNUMBER(Sales_Data2[[#This Row],[Quantity]]),"OK","Check")</f>
        <v>OK</v>
      </c>
    </row>
    <row r="1335" spans="1:18">
      <c r="A1335" s="1">
        <v>47009</v>
      </c>
      <c r="B1335" t="s">
        <v>11</v>
      </c>
      <c r="C1335" t="s">
        <v>19</v>
      </c>
      <c r="D1335" t="s">
        <v>23</v>
      </c>
      <c r="E1335" t="s">
        <v>14</v>
      </c>
      <c r="F1335" t="s">
        <v>40</v>
      </c>
      <c r="G1335" t="s">
        <v>31</v>
      </c>
      <c r="H1335">
        <v>250000</v>
      </c>
      <c r="I1335">
        <v>6</v>
      </c>
      <c r="J1335" t="s">
        <v>28</v>
      </c>
      <c r="K1335">
        <f t="shared" si="20"/>
        <v>200000</v>
      </c>
      <c r="L1335">
        <f>Sales_Data2[[#This Row],[Unit Price]]*Sales_Data2[[#This Row],[Quantity]]</f>
        <v>1500000</v>
      </c>
      <c r="M1335">
        <f>Sales_Data2[[#This Row],[Cost Price]]*Sales_Data2[[#This Row],[Quantity]]</f>
        <v>1200000</v>
      </c>
      <c r="N1335" s="3">
        <f>Sales_Data2[[#This Row],[Revenue]]-Sales_Data2[[#This Row],[COGS]]</f>
        <v>300000</v>
      </c>
      <c r="O13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47009|West|Lagos|Corporate|Online|Smartphone Z10|Electronics|250000|6|Musa|200000</v>
      </c>
      <c r="P1335" s="3" t="str">
        <f>IF(COUNTIF(Sales_Data2[RowKey],Sales_Data2[[#This Row],[RowKey]])&gt;1,"Duplicate","Unique")</f>
        <v>Unique</v>
      </c>
      <c r="Q1335" s="3" t="str">
        <f>IF(ISNUMBER(Sales_Data2[[#This Row],[Date]]),"OK","Check")</f>
        <v>OK</v>
      </c>
      <c r="R1335" s="3" t="str">
        <f>IF(ISNUMBER(Sales_Data2[[#This Row],[Quantity]]),"OK","Check")</f>
        <v>OK</v>
      </c>
    </row>
    <row r="1336" spans="1:18">
      <c r="A1336" s="1">
        <v>47010</v>
      </c>
      <c r="B1336" t="s">
        <v>18</v>
      </c>
      <c r="C1336" t="s">
        <v>26</v>
      </c>
      <c r="D1336" t="s">
        <v>23</v>
      </c>
      <c r="E1336" t="s">
        <v>20</v>
      </c>
      <c r="F1336" t="s">
        <v>38</v>
      </c>
      <c r="G1336" t="s">
        <v>31</v>
      </c>
      <c r="H1336">
        <v>420000</v>
      </c>
      <c r="I1336">
        <v>9</v>
      </c>
      <c r="J1336" t="s">
        <v>39</v>
      </c>
      <c r="K1336">
        <f t="shared" si="20"/>
        <v>336000</v>
      </c>
      <c r="L1336">
        <f>Sales_Data2[[#This Row],[Unit Price]]*Sales_Data2[[#This Row],[Quantity]]</f>
        <v>3780000</v>
      </c>
      <c r="M1336">
        <f>Sales_Data2[[#This Row],[Cost Price]]*Sales_Data2[[#This Row],[Quantity]]</f>
        <v>3024000</v>
      </c>
      <c r="N1336" s="3">
        <f>Sales_Data2[[#This Row],[Revenue]]-Sales_Data2[[#This Row],[COGS]]</f>
        <v>756000</v>
      </c>
      <c r="O13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47010|East|Kano|Corporate|Store|Laptop A13|Electronics|420000|9|Grace|336000</v>
      </c>
      <c r="P1336" s="3" t="str">
        <f>IF(COUNTIF(Sales_Data2[RowKey],Sales_Data2[[#This Row],[RowKey]])&gt;1,"Duplicate","Unique")</f>
        <v>Unique</v>
      </c>
      <c r="Q1336" s="3" t="str">
        <f>IF(ISNUMBER(Sales_Data2[[#This Row],[Date]]),"OK","Check")</f>
        <v>OK</v>
      </c>
      <c r="R1336" s="3" t="str">
        <f>IF(ISNUMBER(Sales_Data2[[#This Row],[Quantity]]),"OK","Check")</f>
        <v>OK</v>
      </c>
    </row>
    <row r="1337" spans="1:18">
      <c r="A1337" s="1">
        <v>47011</v>
      </c>
      <c r="B1337" t="s">
        <v>25</v>
      </c>
      <c r="C1337" t="s">
        <v>32</v>
      </c>
      <c r="D1337" t="s">
        <v>23</v>
      </c>
      <c r="E1337" t="s">
        <v>14</v>
      </c>
      <c r="F1337" t="s">
        <v>33</v>
      </c>
      <c r="G1337" t="s">
        <v>22</v>
      </c>
      <c r="H1337">
        <v>180000</v>
      </c>
      <c r="I1337">
        <v>6</v>
      </c>
      <c r="J1337" t="s">
        <v>24</v>
      </c>
      <c r="K1337">
        <f t="shared" si="20"/>
        <v>144000</v>
      </c>
      <c r="L1337">
        <f>Sales_Data2[[#This Row],[Unit Price]]*Sales_Data2[[#This Row],[Quantity]]</f>
        <v>1080000</v>
      </c>
      <c r="M1337">
        <f>Sales_Data2[[#This Row],[Cost Price]]*Sales_Data2[[#This Row],[Quantity]]</f>
        <v>864000</v>
      </c>
      <c r="N1337" s="3">
        <f>Sales_Data2[[#This Row],[Revenue]]-Sales_Data2[[#This Row],[COGS]]</f>
        <v>216000</v>
      </c>
      <c r="O13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47011|South|Abuja|Corporate|Online|Air Conditioner X2|Home Appliances|180000|6|David|144000</v>
      </c>
      <c r="P1337" s="3" t="str">
        <f>IF(COUNTIF(Sales_Data2[RowKey],Sales_Data2[[#This Row],[RowKey]])&gt;1,"Duplicate","Unique")</f>
        <v>Unique</v>
      </c>
      <c r="Q1337" s="3" t="str">
        <f>IF(ISNUMBER(Sales_Data2[[#This Row],[Date]]),"OK","Check")</f>
        <v>OK</v>
      </c>
      <c r="R1337" s="3" t="str">
        <f>IF(ISNUMBER(Sales_Data2[[#This Row],[Quantity]]),"OK","Check")</f>
        <v>OK</v>
      </c>
    </row>
    <row r="1338" spans="1:18">
      <c r="A1338" s="1">
        <v>47012</v>
      </c>
      <c r="B1338" t="s">
        <v>25</v>
      </c>
      <c r="C1338" t="s">
        <v>26</v>
      </c>
      <c r="D1338" t="s">
        <v>23</v>
      </c>
      <c r="E1338" t="s">
        <v>14</v>
      </c>
      <c r="F1338" t="s">
        <v>15</v>
      </c>
      <c r="G1338" t="s">
        <v>16</v>
      </c>
      <c r="H1338">
        <v>85000</v>
      </c>
      <c r="I1338">
        <v>5</v>
      </c>
      <c r="J1338" t="s">
        <v>39</v>
      </c>
      <c r="K1338">
        <f t="shared" si="20"/>
        <v>68000</v>
      </c>
      <c r="L1338">
        <f>Sales_Data2[[#This Row],[Unit Price]]*Sales_Data2[[#This Row],[Quantity]]</f>
        <v>425000</v>
      </c>
      <c r="M1338">
        <f>Sales_Data2[[#This Row],[Cost Price]]*Sales_Data2[[#This Row],[Quantity]]</f>
        <v>340000</v>
      </c>
      <c r="N1338" s="3">
        <f>Sales_Data2[[#This Row],[Revenue]]-Sales_Data2[[#This Row],[COGS]]</f>
        <v>85000</v>
      </c>
      <c r="O13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47012|South|Kano|Corporate|Online|Office Chair Pro|Furniture|85000|5|Grace|68000</v>
      </c>
      <c r="P1338" s="3" t="str">
        <f>IF(COUNTIF(Sales_Data2[RowKey],Sales_Data2[[#This Row],[RowKey]])&gt;1,"Duplicate","Unique")</f>
        <v>Unique</v>
      </c>
      <c r="Q1338" s="3" t="str">
        <f>IF(ISNUMBER(Sales_Data2[[#This Row],[Date]]),"OK","Check")</f>
        <v>OK</v>
      </c>
      <c r="R1338" s="3" t="str">
        <f>IF(ISNUMBER(Sales_Data2[[#This Row],[Quantity]]),"OK","Check")</f>
        <v>OK</v>
      </c>
    </row>
    <row r="1339" spans="1:18">
      <c r="A1339" s="1">
        <v>47013</v>
      </c>
      <c r="B1339" t="s">
        <v>11</v>
      </c>
      <c r="C1339" t="s">
        <v>26</v>
      </c>
      <c r="D1339" t="s">
        <v>23</v>
      </c>
      <c r="E1339" t="s">
        <v>14</v>
      </c>
      <c r="F1339" t="s">
        <v>41</v>
      </c>
      <c r="G1339" t="s">
        <v>22</v>
      </c>
      <c r="H1339">
        <v>220000</v>
      </c>
      <c r="I1339">
        <v>5</v>
      </c>
      <c r="J1339" t="s">
        <v>39</v>
      </c>
      <c r="K1339">
        <f t="shared" si="20"/>
        <v>176000</v>
      </c>
      <c r="L1339">
        <f>Sales_Data2[[#This Row],[Unit Price]]*Sales_Data2[[#This Row],[Quantity]]</f>
        <v>1100000</v>
      </c>
      <c r="M1339">
        <f>Sales_Data2[[#This Row],[Cost Price]]*Sales_Data2[[#This Row],[Quantity]]</f>
        <v>880000</v>
      </c>
      <c r="N1339" s="3">
        <f>Sales_Data2[[#This Row],[Revenue]]-Sales_Data2[[#This Row],[COGS]]</f>
        <v>220000</v>
      </c>
      <c r="O13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47013|West|Kano|Corporate|Online|Refrigerator R55|Home Appliances|220000|5|Grace|176000</v>
      </c>
      <c r="P1339" s="3" t="str">
        <f>IF(COUNTIF(Sales_Data2[RowKey],Sales_Data2[[#This Row],[RowKey]])&gt;1,"Duplicate","Unique")</f>
        <v>Unique</v>
      </c>
      <c r="Q1339" s="3" t="str">
        <f>IF(ISNUMBER(Sales_Data2[[#This Row],[Date]]),"OK","Check")</f>
        <v>OK</v>
      </c>
      <c r="R1339" s="3" t="str">
        <f>IF(ISNUMBER(Sales_Data2[[#This Row],[Quantity]]),"OK","Check")</f>
        <v>OK</v>
      </c>
    </row>
    <row r="1340" spans="1:18">
      <c r="A1340" s="1">
        <v>47014</v>
      </c>
      <c r="B1340" t="s">
        <v>18</v>
      </c>
      <c r="C1340" t="s">
        <v>32</v>
      </c>
      <c r="D1340" t="s">
        <v>13</v>
      </c>
      <c r="E1340" t="s">
        <v>14</v>
      </c>
      <c r="F1340" t="s">
        <v>27</v>
      </c>
      <c r="G1340" t="s">
        <v>22</v>
      </c>
      <c r="H1340">
        <v>60000</v>
      </c>
      <c r="I1340">
        <v>8</v>
      </c>
      <c r="J1340" t="s">
        <v>37</v>
      </c>
      <c r="K1340">
        <f t="shared" si="20"/>
        <v>48000</v>
      </c>
      <c r="L1340">
        <f>Sales_Data2[[#This Row],[Unit Price]]*Sales_Data2[[#This Row],[Quantity]]</f>
        <v>480000</v>
      </c>
      <c r="M1340">
        <f>Sales_Data2[[#This Row],[Cost Price]]*Sales_Data2[[#This Row],[Quantity]]</f>
        <v>384000</v>
      </c>
      <c r="N1340" s="3">
        <f>Sales_Data2[[#This Row],[Revenue]]-Sales_Data2[[#This Row],[COGS]]</f>
        <v>96000</v>
      </c>
      <c r="O13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47014|East|Abuja|Retail|Online|Microwave M20|Home Appliances|60000|8|Aisha|48000</v>
      </c>
      <c r="P1340" s="3" t="str">
        <f>IF(COUNTIF(Sales_Data2[RowKey],Sales_Data2[[#This Row],[RowKey]])&gt;1,"Duplicate","Unique")</f>
        <v>Unique</v>
      </c>
      <c r="Q1340" s="3" t="str">
        <f>IF(ISNUMBER(Sales_Data2[[#This Row],[Date]]),"OK","Check")</f>
        <v>OK</v>
      </c>
      <c r="R1340" s="3" t="str">
        <f>IF(ISNUMBER(Sales_Data2[[#This Row],[Quantity]]),"OK","Check")</f>
        <v>OK</v>
      </c>
    </row>
    <row r="1341" spans="1:18">
      <c r="A1341" s="1">
        <v>47015</v>
      </c>
      <c r="B1341" t="s">
        <v>18</v>
      </c>
      <c r="C1341" t="s">
        <v>32</v>
      </c>
      <c r="D1341" t="s">
        <v>23</v>
      </c>
      <c r="E1341" t="s">
        <v>20</v>
      </c>
      <c r="F1341" t="s">
        <v>15</v>
      </c>
      <c r="G1341" t="s">
        <v>16</v>
      </c>
      <c r="H1341">
        <v>85000</v>
      </c>
      <c r="I1341">
        <v>10</v>
      </c>
      <c r="J1341" t="s">
        <v>35</v>
      </c>
      <c r="K1341">
        <f t="shared" si="20"/>
        <v>68000</v>
      </c>
      <c r="L1341">
        <f>Sales_Data2[[#This Row],[Unit Price]]*Sales_Data2[[#This Row],[Quantity]]</f>
        <v>850000</v>
      </c>
      <c r="M1341">
        <f>Sales_Data2[[#This Row],[Cost Price]]*Sales_Data2[[#This Row],[Quantity]]</f>
        <v>680000</v>
      </c>
      <c r="N1341" s="3">
        <f>Sales_Data2[[#This Row],[Revenue]]-Sales_Data2[[#This Row],[COGS]]</f>
        <v>170000</v>
      </c>
      <c r="O13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47015|East|Abuja|Corporate|Store|Office Chair Pro|Furniture|85000|10|Peter|68000</v>
      </c>
      <c r="P1341" s="3" t="str">
        <f>IF(COUNTIF(Sales_Data2[RowKey],Sales_Data2[[#This Row],[RowKey]])&gt;1,"Duplicate","Unique")</f>
        <v>Unique</v>
      </c>
      <c r="Q1341" s="3" t="str">
        <f>IF(ISNUMBER(Sales_Data2[[#This Row],[Date]]),"OK","Check")</f>
        <v>OK</v>
      </c>
      <c r="R1341" s="3" t="str">
        <f>IF(ISNUMBER(Sales_Data2[[#This Row],[Quantity]]),"OK","Check")</f>
        <v>OK</v>
      </c>
    </row>
    <row r="1342" spans="1:18">
      <c r="A1342" s="1">
        <v>47016</v>
      </c>
      <c r="B1342" t="s">
        <v>29</v>
      </c>
      <c r="C1342" t="s">
        <v>19</v>
      </c>
      <c r="D1342" t="s">
        <v>13</v>
      </c>
      <c r="E1342" t="s">
        <v>20</v>
      </c>
      <c r="F1342" t="s">
        <v>21</v>
      </c>
      <c r="G1342" t="s">
        <v>22</v>
      </c>
      <c r="H1342">
        <v>30000</v>
      </c>
      <c r="I1342">
        <v>6</v>
      </c>
      <c r="J1342" t="s">
        <v>39</v>
      </c>
      <c r="K1342">
        <f t="shared" si="20"/>
        <v>24000</v>
      </c>
      <c r="L1342">
        <f>Sales_Data2[[#This Row],[Unit Price]]*Sales_Data2[[#This Row],[Quantity]]</f>
        <v>180000</v>
      </c>
      <c r="M1342">
        <f>Sales_Data2[[#This Row],[Cost Price]]*Sales_Data2[[#This Row],[Quantity]]</f>
        <v>144000</v>
      </c>
      <c r="N1342" s="3">
        <f>Sales_Data2[[#This Row],[Revenue]]-Sales_Data2[[#This Row],[COGS]]</f>
        <v>36000</v>
      </c>
      <c r="O13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47016|North|Lagos|Retail|Store|Blender B10|Home Appliances|30000|6|Grace|24000</v>
      </c>
      <c r="P1342" s="3" t="str">
        <f>IF(COUNTIF(Sales_Data2[RowKey],Sales_Data2[[#This Row],[RowKey]])&gt;1,"Duplicate","Unique")</f>
        <v>Unique</v>
      </c>
      <c r="Q1342" s="3" t="str">
        <f>IF(ISNUMBER(Sales_Data2[[#This Row],[Date]]),"OK","Check")</f>
        <v>OK</v>
      </c>
      <c r="R1342" s="3" t="str">
        <f>IF(ISNUMBER(Sales_Data2[[#This Row],[Quantity]]),"OK","Check")</f>
        <v>OK</v>
      </c>
    </row>
    <row r="1343" spans="1:18">
      <c r="A1343" s="1">
        <v>47017</v>
      </c>
      <c r="B1343" t="s">
        <v>11</v>
      </c>
      <c r="C1343" t="s">
        <v>19</v>
      </c>
      <c r="D1343" t="s">
        <v>23</v>
      </c>
      <c r="E1343" t="s">
        <v>20</v>
      </c>
      <c r="F1343" t="s">
        <v>34</v>
      </c>
      <c r="G1343" t="s">
        <v>16</v>
      </c>
      <c r="H1343">
        <v>320000</v>
      </c>
      <c r="I1343">
        <v>10</v>
      </c>
      <c r="J1343" t="s">
        <v>24</v>
      </c>
      <c r="K1343">
        <f t="shared" si="20"/>
        <v>256000</v>
      </c>
      <c r="L1343">
        <f>Sales_Data2[[#This Row],[Unit Price]]*Sales_Data2[[#This Row],[Quantity]]</f>
        <v>3200000</v>
      </c>
      <c r="M1343">
        <f>Sales_Data2[[#This Row],[Cost Price]]*Sales_Data2[[#This Row],[Quantity]]</f>
        <v>2560000</v>
      </c>
      <c r="N1343" s="3">
        <f>Sales_Data2[[#This Row],[Revenue]]-Sales_Data2[[#This Row],[COGS]]</f>
        <v>640000</v>
      </c>
      <c r="O13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47017|West|Lagos|Corporate|Store|Sofa Classic|Furniture|320000|10|David|256000</v>
      </c>
      <c r="P1343" s="3" t="str">
        <f>IF(COUNTIF(Sales_Data2[RowKey],Sales_Data2[[#This Row],[RowKey]])&gt;1,"Duplicate","Unique")</f>
        <v>Unique</v>
      </c>
      <c r="Q1343" s="3" t="str">
        <f>IF(ISNUMBER(Sales_Data2[[#This Row],[Date]]),"OK","Check")</f>
        <v>OK</v>
      </c>
      <c r="R1343" s="3" t="str">
        <f>IF(ISNUMBER(Sales_Data2[[#This Row],[Quantity]]),"OK","Check")</f>
        <v>OK</v>
      </c>
    </row>
    <row r="1344" spans="1:18">
      <c r="A1344" s="1">
        <v>47018</v>
      </c>
      <c r="B1344" t="s">
        <v>25</v>
      </c>
      <c r="C1344" t="s">
        <v>32</v>
      </c>
      <c r="D1344" t="s">
        <v>23</v>
      </c>
      <c r="E1344" t="s">
        <v>20</v>
      </c>
      <c r="F1344" t="s">
        <v>27</v>
      </c>
      <c r="G1344" t="s">
        <v>22</v>
      </c>
      <c r="H1344">
        <v>60000</v>
      </c>
      <c r="I1344">
        <v>2</v>
      </c>
      <c r="J1344" t="s">
        <v>24</v>
      </c>
      <c r="K1344">
        <f t="shared" si="20"/>
        <v>48000</v>
      </c>
      <c r="L1344">
        <f>Sales_Data2[[#This Row],[Unit Price]]*Sales_Data2[[#This Row],[Quantity]]</f>
        <v>120000</v>
      </c>
      <c r="M1344">
        <f>Sales_Data2[[#This Row],[Cost Price]]*Sales_Data2[[#This Row],[Quantity]]</f>
        <v>96000</v>
      </c>
      <c r="N1344" s="3">
        <f>Sales_Data2[[#This Row],[Revenue]]-Sales_Data2[[#This Row],[COGS]]</f>
        <v>24000</v>
      </c>
      <c r="O13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47018|South|Abuja|Corporate|Store|Microwave M20|Home Appliances|60000|2|David|48000</v>
      </c>
      <c r="P1344" s="3" t="str">
        <f>IF(COUNTIF(Sales_Data2[RowKey],Sales_Data2[[#This Row],[RowKey]])&gt;1,"Duplicate","Unique")</f>
        <v>Unique</v>
      </c>
      <c r="Q1344" s="3" t="str">
        <f>IF(ISNUMBER(Sales_Data2[[#This Row],[Date]]),"OK","Check")</f>
        <v>OK</v>
      </c>
      <c r="R1344" s="3" t="str">
        <f>IF(ISNUMBER(Sales_Data2[[#This Row],[Quantity]]),"OK","Check")</f>
        <v>OK</v>
      </c>
    </row>
    <row r="1345" spans="1:18">
      <c r="A1345" s="1">
        <v>47019</v>
      </c>
      <c r="B1345" t="s">
        <v>18</v>
      </c>
      <c r="C1345" t="s">
        <v>19</v>
      </c>
      <c r="D1345" t="s">
        <v>23</v>
      </c>
      <c r="E1345" t="s">
        <v>20</v>
      </c>
      <c r="F1345" t="s">
        <v>38</v>
      </c>
      <c r="G1345" t="s">
        <v>31</v>
      </c>
      <c r="H1345">
        <v>420000</v>
      </c>
      <c r="I1345">
        <v>3</v>
      </c>
      <c r="J1345" t="s">
        <v>17</v>
      </c>
      <c r="K1345">
        <f t="shared" si="20"/>
        <v>336000</v>
      </c>
      <c r="L1345">
        <f>Sales_Data2[[#This Row],[Unit Price]]*Sales_Data2[[#This Row],[Quantity]]</f>
        <v>1260000</v>
      </c>
      <c r="M1345">
        <f>Sales_Data2[[#This Row],[Cost Price]]*Sales_Data2[[#This Row],[Quantity]]</f>
        <v>1008000</v>
      </c>
      <c r="N1345" s="3">
        <f>Sales_Data2[[#This Row],[Revenue]]-Sales_Data2[[#This Row],[COGS]]</f>
        <v>252000</v>
      </c>
      <c r="O13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47019|East|Lagos|Corporate|Store|Laptop A13|Electronics|420000|3|Chidinma|336000</v>
      </c>
      <c r="P1345" s="3" t="str">
        <f>IF(COUNTIF(Sales_Data2[RowKey],Sales_Data2[[#This Row],[RowKey]])&gt;1,"Duplicate","Unique")</f>
        <v>Unique</v>
      </c>
      <c r="Q1345" s="3" t="str">
        <f>IF(ISNUMBER(Sales_Data2[[#This Row],[Date]]),"OK","Check")</f>
        <v>OK</v>
      </c>
      <c r="R1345" s="3" t="str">
        <f>IF(ISNUMBER(Sales_Data2[[#This Row],[Quantity]]),"OK","Check")</f>
        <v>OK</v>
      </c>
    </row>
    <row r="1346" spans="1:18">
      <c r="A1346" s="1">
        <v>47020</v>
      </c>
      <c r="B1346" t="s">
        <v>18</v>
      </c>
      <c r="C1346" t="s">
        <v>19</v>
      </c>
      <c r="D1346" t="s">
        <v>13</v>
      </c>
      <c r="E1346" t="s">
        <v>14</v>
      </c>
      <c r="F1346" t="s">
        <v>36</v>
      </c>
      <c r="G1346" t="s">
        <v>31</v>
      </c>
      <c r="H1346">
        <v>150000</v>
      </c>
      <c r="I1346">
        <v>5</v>
      </c>
      <c r="J1346" t="s">
        <v>28</v>
      </c>
      <c r="K1346">
        <f t="shared" ref="K1346:K1409" si="21">H1346-H1346*0.2</f>
        <v>120000</v>
      </c>
      <c r="L1346">
        <f>Sales_Data2[[#This Row],[Unit Price]]*Sales_Data2[[#This Row],[Quantity]]</f>
        <v>750000</v>
      </c>
      <c r="M1346">
        <f>Sales_Data2[[#This Row],[Cost Price]]*Sales_Data2[[#This Row],[Quantity]]</f>
        <v>600000</v>
      </c>
      <c r="N1346" s="3">
        <f>Sales_Data2[[#This Row],[Revenue]]-Sales_Data2[[#This Row],[COGS]]</f>
        <v>150000</v>
      </c>
      <c r="O13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47020|East|Lagos|Retail|Online|Printer P50|Electronics|150000|5|Musa|120000</v>
      </c>
      <c r="P1346" s="3" t="str">
        <f>IF(COUNTIF(Sales_Data2[RowKey],Sales_Data2[[#This Row],[RowKey]])&gt;1,"Duplicate","Unique")</f>
        <v>Unique</v>
      </c>
      <c r="Q1346" s="3" t="str">
        <f>IF(ISNUMBER(Sales_Data2[[#This Row],[Date]]),"OK","Check")</f>
        <v>OK</v>
      </c>
      <c r="R1346" s="3" t="str">
        <f>IF(ISNUMBER(Sales_Data2[[#This Row],[Quantity]]),"OK","Check")</f>
        <v>OK</v>
      </c>
    </row>
    <row r="1347" spans="1:18">
      <c r="A1347" s="1">
        <v>47021</v>
      </c>
      <c r="B1347" t="s">
        <v>25</v>
      </c>
      <c r="C1347" t="s">
        <v>19</v>
      </c>
      <c r="D1347" t="s">
        <v>13</v>
      </c>
      <c r="E1347" t="s">
        <v>20</v>
      </c>
      <c r="F1347" t="s">
        <v>36</v>
      </c>
      <c r="G1347" t="s">
        <v>31</v>
      </c>
      <c r="H1347">
        <v>150000</v>
      </c>
      <c r="I1347">
        <v>9</v>
      </c>
      <c r="J1347" t="s">
        <v>35</v>
      </c>
      <c r="K1347">
        <f t="shared" si="21"/>
        <v>120000</v>
      </c>
      <c r="L1347">
        <f>Sales_Data2[[#This Row],[Unit Price]]*Sales_Data2[[#This Row],[Quantity]]</f>
        <v>1350000</v>
      </c>
      <c r="M1347">
        <f>Sales_Data2[[#This Row],[Cost Price]]*Sales_Data2[[#This Row],[Quantity]]</f>
        <v>1080000</v>
      </c>
      <c r="N1347" s="3">
        <f>Sales_Data2[[#This Row],[Revenue]]-Sales_Data2[[#This Row],[COGS]]</f>
        <v>270000</v>
      </c>
      <c r="O13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47021|South|Lagos|Retail|Store|Printer P50|Electronics|150000|9|Peter|120000</v>
      </c>
      <c r="P1347" s="3" t="str">
        <f>IF(COUNTIF(Sales_Data2[RowKey],Sales_Data2[[#This Row],[RowKey]])&gt;1,"Duplicate","Unique")</f>
        <v>Unique</v>
      </c>
      <c r="Q1347" s="3" t="str">
        <f>IF(ISNUMBER(Sales_Data2[[#This Row],[Date]]),"OK","Check")</f>
        <v>OK</v>
      </c>
      <c r="R1347" s="3" t="str">
        <f>IF(ISNUMBER(Sales_Data2[[#This Row],[Quantity]]),"OK","Check")</f>
        <v>OK</v>
      </c>
    </row>
    <row r="1348" spans="1:18">
      <c r="A1348" s="1">
        <v>47022</v>
      </c>
      <c r="B1348" t="s">
        <v>25</v>
      </c>
      <c r="C1348" t="s">
        <v>12</v>
      </c>
      <c r="D1348" t="s">
        <v>23</v>
      </c>
      <c r="E1348" t="s">
        <v>20</v>
      </c>
      <c r="F1348" t="s">
        <v>15</v>
      </c>
      <c r="G1348" t="s">
        <v>16</v>
      </c>
      <c r="H1348">
        <v>85000</v>
      </c>
      <c r="I1348">
        <v>5</v>
      </c>
      <c r="J1348" t="s">
        <v>37</v>
      </c>
      <c r="K1348">
        <f t="shared" si="21"/>
        <v>68000</v>
      </c>
      <c r="L1348">
        <f>Sales_Data2[[#This Row],[Unit Price]]*Sales_Data2[[#This Row],[Quantity]]</f>
        <v>425000</v>
      </c>
      <c r="M1348">
        <f>Sales_Data2[[#This Row],[Cost Price]]*Sales_Data2[[#This Row],[Quantity]]</f>
        <v>340000</v>
      </c>
      <c r="N1348" s="3">
        <f>Sales_Data2[[#This Row],[Revenue]]-Sales_Data2[[#This Row],[COGS]]</f>
        <v>85000</v>
      </c>
      <c r="O13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47022|South|Port Harcourt|Corporate|Store|Office Chair Pro|Furniture|85000|5|Aisha|68000</v>
      </c>
      <c r="P1348" s="3" t="str">
        <f>IF(COUNTIF(Sales_Data2[RowKey],Sales_Data2[[#This Row],[RowKey]])&gt;1,"Duplicate","Unique")</f>
        <v>Unique</v>
      </c>
      <c r="Q1348" s="3" t="str">
        <f>IF(ISNUMBER(Sales_Data2[[#This Row],[Date]]),"OK","Check")</f>
        <v>OK</v>
      </c>
      <c r="R1348" s="3" t="str">
        <f>IF(ISNUMBER(Sales_Data2[[#This Row],[Quantity]]),"OK","Check")</f>
        <v>OK</v>
      </c>
    </row>
    <row r="1349" spans="1:18">
      <c r="A1349" s="1">
        <v>47023</v>
      </c>
      <c r="B1349" t="s">
        <v>29</v>
      </c>
      <c r="C1349" t="s">
        <v>19</v>
      </c>
      <c r="D1349" t="s">
        <v>23</v>
      </c>
      <c r="E1349" t="s">
        <v>14</v>
      </c>
      <c r="F1349" t="s">
        <v>34</v>
      </c>
      <c r="G1349" t="s">
        <v>16</v>
      </c>
      <c r="H1349">
        <v>320000</v>
      </c>
      <c r="I1349">
        <v>1</v>
      </c>
      <c r="J1349" t="s">
        <v>24</v>
      </c>
      <c r="K1349">
        <f t="shared" si="21"/>
        <v>256000</v>
      </c>
      <c r="L1349">
        <f>Sales_Data2[[#This Row],[Unit Price]]*Sales_Data2[[#This Row],[Quantity]]</f>
        <v>320000</v>
      </c>
      <c r="M1349">
        <f>Sales_Data2[[#This Row],[Cost Price]]*Sales_Data2[[#This Row],[Quantity]]</f>
        <v>256000</v>
      </c>
      <c r="N1349" s="3">
        <f>Sales_Data2[[#This Row],[Revenue]]-Sales_Data2[[#This Row],[COGS]]</f>
        <v>64000</v>
      </c>
      <c r="O13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47023|North|Lagos|Corporate|Online|Sofa Classic|Furniture|320000|1|David|256000</v>
      </c>
      <c r="P1349" s="3" t="str">
        <f>IF(COUNTIF(Sales_Data2[RowKey],Sales_Data2[[#This Row],[RowKey]])&gt;1,"Duplicate","Unique")</f>
        <v>Unique</v>
      </c>
      <c r="Q1349" s="3" t="str">
        <f>IF(ISNUMBER(Sales_Data2[[#This Row],[Date]]),"OK","Check")</f>
        <v>OK</v>
      </c>
      <c r="R1349" s="3" t="str">
        <f>IF(ISNUMBER(Sales_Data2[[#This Row],[Quantity]]),"OK","Check")</f>
        <v>OK</v>
      </c>
    </row>
    <row r="1350" spans="1:18">
      <c r="A1350" s="1">
        <v>47024</v>
      </c>
      <c r="B1350" t="s">
        <v>18</v>
      </c>
      <c r="C1350" t="s">
        <v>12</v>
      </c>
      <c r="D1350" t="s">
        <v>13</v>
      </c>
      <c r="E1350" t="s">
        <v>20</v>
      </c>
      <c r="F1350" t="s">
        <v>21</v>
      </c>
      <c r="G1350" t="s">
        <v>22</v>
      </c>
      <c r="H1350">
        <v>30000</v>
      </c>
      <c r="I1350">
        <v>4</v>
      </c>
      <c r="J1350" t="s">
        <v>28</v>
      </c>
      <c r="K1350">
        <f t="shared" si="21"/>
        <v>24000</v>
      </c>
      <c r="L1350">
        <f>Sales_Data2[[#This Row],[Unit Price]]*Sales_Data2[[#This Row],[Quantity]]</f>
        <v>120000</v>
      </c>
      <c r="M1350">
        <f>Sales_Data2[[#This Row],[Cost Price]]*Sales_Data2[[#This Row],[Quantity]]</f>
        <v>96000</v>
      </c>
      <c r="N1350" s="3">
        <f>Sales_Data2[[#This Row],[Revenue]]-Sales_Data2[[#This Row],[COGS]]</f>
        <v>24000</v>
      </c>
      <c r="O13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47024|East|Port Harcourt|Retail|Store|Blender B10|Home Appliances|30000|4|Musa|24000</v>
      </c>
      <c r="P1350" s="3" t="str">
        <f>IF(COUNTIF(Sales_Data2[RowKey],Sales_Data2[[#This Row],[RowKey]])&gt;1,"Duplicate","Unique")</f>
        <v>Unique</v>
      </c>
      <c r="Q1350" s="3" t="str">
        <f>IF(ISNUMBER(Sales_Data2[[#This Row],[Date]]),"OK","Check")</f>
        <v>OK</v>
      </c>
      <c r="R1350" s="3" t="str">
        <f>IF(ISNUMBER(Sales_Data2[[#This Row],[Quantity]]),"OK","Check")</f>
        <v>OK</v>
      </c>
    </row>
    <row r="1351" spans="1:18">
      <c r="A1351" s="1">
        <v>47025</v>
      </c>
      <c r="B1351" t="s">
        <v>25</v>
      </c>
      <c r="C1351" t="s">
        <v>26</v>
      </c>
      <c r="D1351" t="s">
        <v>23</v>
      </c>
      <c r="E1351" t="s">
        <v>20</v>
      </c>
      <c r="F1351" t="s">
        <v>41</v>
      </c>
      <c r="G1351" t="s">
        <v>22</v>
      </c>
      <c r="H1351">
        <v>220000</v>
      </c>
      <c r="I1351">
        <v>8</v>
      </c>
      <c r="J1351" t="s">
        <v>37</v>
      </c>
      <c r="K1351">
        <f t="shared" si="21"/>
        <v>176000</v>
      </c>
      <c r="L1351">
        <f>Sales_Data2[[#This Row],[Unit Price]]*Sales_Data2[[#This Row],[Quantity]]</f>
        <v>1760000</v>
      </c>
      <c r="M1351">
        <f>Sales_Data2[[#This Row],[Cost Price]]*Sales_Data2[[#This Row],[Quantity]]</f>
        <v>1408000</v>
      </c>
      <c r="N1351" s="3">
        <f>Sales_Data2[[#This Row],[Revenue]]-Sales_Data2[[#This Row],[COGS]]</f>
        <v>352000</v>
      </c>
      <c r="O13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47025|South|Kano|Corporate|Store|Refrigerator R55|Home Appliances|220000|8|Aisha|176000</v>
      </c>
      <c r="P1351" s="3" t="str">
        <f>IF(COUNTIF(Sales_Data2[RowKey],Sales_Data2[[#This Row],[RowKey]])&gt;1,"Duplicate","Unique")</f>
        <v>Unique</v>
      </c>
      <c r="Q1351" s="3" t="str">
        <f>IF(ISNUMBER(Sales_Data2[[#This Row],[Date]]),"OK","Check")</f>
        <v>OK</v>
      </c>
      <c r="R1351" s="3" t="str">
        <f>IF(ISNUMBER(Sales_Data2[[#This Row],[Quantity]]),"OK","Check")</f>
        <v>OK</v>
      </c>
    </row>
    <row r="1352" spans="1:18">
      <c r="A1352" s="1">
        <v>47026</v>
      </c>
      <c r="B1352" t="s">
        <v>11</v>
      </c>
      <c r="C1352" t="s">
        <v>32</v>
      </c>
      <c r="D1352" t="s">
        <v>23</v>
      </c>
      <c r="E1352" t="s">
        <v>20</v>
      </c>
      <c r="F1352" t="s">
        <v>34</v>
      </c>
      <c r="G1352" t="s">
        <v>16</v>
      </c>
      <c r="H1352">
        <v>320000</v>
      </c>
      <c r="I1352">
        <v>5</v>
      </c>
      <c r="J1352" t="s">
        <v>39</v>
      </c>
      <c r="K1352">
        <f t="shared" si="21"/>
        <v>256000</v>
      </c>
      <c r="L1352">
        <f>Sales_Data2[[#This Row],[Unit Price]]*Sales_Data2[[#This Row],[Quantity]]</f>
        <v>1600000</v>
      </c>
      <c r="M1352">
        <f>Sales_Data2[[#This Row],[Cost Price]]*Sales_Data2[[#This Row],[Quantity]]</f>
        <v>1280000</v>
      </c>
      <c r="N1352" s="3">
        <f>Sales_Data2[[#This Row],[Revenue]]-Sales_Data2[[#This Row],[COGS]]</f>
        <v>320000</v>
      </c>
      <c r="O13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47026|West|Abuja|Corporate|Store|Sofa Classic|Furniture|320000|5|Grace|256000</v>
      </c>
      <c r="P1352" s="3" t="str">
        <f>IF(COUNTIF(Sales_Data2[RowKey],Sales_Data2[[#This Row],[RowKey]])&gt;1,"Duplicate","Unique")</f>
        <v>Unique</v>
      </c>
      <c r="Q1352" s="3" t="str">
        <f>IF(ISNUMBER(Sales_Data2[[#This Row],[Date]]),"OK","Check")</f>
        <v>OK</v>
      </c>
      <c r="R1352" s="3" t="str">
        <f>IF(ISNUMBER(Sales_Data2[[#This Row],[Quantity]]),"OK","Check")</f>
        <v>OK</v>
      </c>
    </row>
    <row r="1353" spans="1:18">
      <c r="A1353" s="1">
        <v>47027</v>
      </c>
      <c r="B1353" t="s">
        <v>11</v>
      </c>
      <c r="C1353" t="s">
        <v>32</v>
      </c>
      <c r="D1353" t="s">
        <v>23</v>
      </c>
      <c r="E1353" t="s">
        <v>20</v>
      </c>
      <c r="F1353" t="s">
        <v>15</v>
      </c>
      <c r="G1353" t="s">
        <v>16</v>
      </c>
      <c r="H1353">
        <v>85000</v>
      </c>
      <c r="I1353">
        <v>3</v>
      </c>
      <c r="J1353" t="s">
        <v>37</v>
      </c>
      <c r="K1353">
        <f t="shared" si="21"/>
        <v>68000</v>
      </c>
      <c r="L1353">
        <f>Sales_Data2[[#This Row],[Unit Price]]*Sales_Data2[[#This Row],[Quantity]]</f>
        <v>255000</v>
      </c>
      <c r="M1353">
        <f>Sales_Data2[[#This Row],[Cost Price]]*Sales_Data2[[#This Row],[Quantity]]</f>
        <v>204000</v>
      </c>
      <c r="N1353" s="3">
        <f>Sales_Data2[[#This Row],[Revenue]]-Sales_Data2[[#This Row],[COGS]]</f>
        <v>51000</v>
      </c>
      <c r="O13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47027|West|Abuja|Corporate|Store|Office Chair Pro|Furniture|85000|3|Aisha|68000</v>
      </c>
      <c r="P1353" s="3" t="str">
        <f>IF(COUNTIF(Sales_Data2[RowKey],Sales_Data2[[#This Row],[RowKey]])&gt;1,"Duplicate","Unique")</f>
        <v>Unique</v>
      </c>
      <c r="Q1353" s="3" t="str">
        <f>IF(ISNUMBER(Sales_Data2[[#This Row],[Date]]),"OK","Check")</f>
        <v>OK</v>
      </c>
      <c r="R1353" s="3" t="str">
        <f>IF(ISNUMBER(Sales_Data2[[#This Row],[Quantity]]),"OK","Check")</f>
        <v>OK</v>
      </c>
    </row>
    <row r="1354" spans="1:18">
      <c r="A1354" s="1">
        <v>47028</v>
      </c>
      <c r="B1354" t="s">
        <v>18</v>
      </c>
      <c r="C1354" t="s">
        <v>26</v>
      </c>
      <c r="D1354" t="s">
        <v>13</v>
      </c>
      <c r="E1354" t="s">
        <v>20</v>
      </c>
      <c r="F1354" t="s">
        <v>34</v>
      </c>
      <c r="G1354" t="s">
        <v>16</v>
      </c>
      <c r="H1354">
        <v>320000</v>
      </c>
      <c r="I1354">
        <v>10</v>
      </c>
      <c r="J1354" t="s">
        <v>17</v>
      </c>
      <c r="K1354">
        <f t="shared" si="21"/>
        <v>256000</v>
      </c>
      <c r="L1354">
        <f>Sales_Data2[[#This Row],[Unit Price]]*Sales_Data2[[#This Row],[Quantity]]</f>
        <v>3200000</v>
      </c>
      <c r="M1354">
        <f>Sales_Data2[[#This Row],[Cost Price]]*Sales_Data2[[#This Row],[Quantity]]</f>
        <v>2560000</v>
      </c>
      <c r="N1354" s="3">
        <f>Sales_Data2[[#This Row],[Revenue]]-Sales_Data2[[#This Row],[COGS]]</f>
        <v>640000</v>
      </c>
      <c r="O13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47028|East|Kano|Retail|Store|Sofa Classic|Furniture|320000|10|Chidinma|256000</v>
      </c>
      <c r="P1354" s="3" t="str">
        <f>IF(COUNTIF(Sales_Data2[RowKey],Sales_Data2[[#This Row],[RowKey]])&gt;1,"Duplicate","Unique")</f>
        <v>Unique</v>
      </c>
      <c r="Q1354" s="3" t="str">
        <f>IF(ISNUMBER(Sales_Data2[[#This Row],[Date]]),"OK","Check")</f>
        <v>OK</v>
      </c>
      <c r="R1354" s="3" t="str">
        <f>IF(ISNUMBER(Sales_Data2[[#This Row],[Quantity]]),"OK","Check")</f>
        <v>OK</v>
      </c>
    </row>
    <row r="1355" spans="1:18">
      <c r="A1355" s="1">
        <v>47029</v>
      </c>
      <c r="B1355" t="s">
        <v>11</v>
      </c>
      <c r="C1355" t="s">
        <v>26</v>
      </c>
      <c r="D1355" t="s">
        <v>13</v>
      </c>
      <c r="E1355" t="s">
        <v>14</v>
      </c>
      <c r="F1355" t="s">
        <v>38</v>
      </c>
      <c r="G1355" t="s">
        <v>31</v>
      </c>
      <c r="H1355">
        <v>420000</v>
      </c>
      <c r="I1355">
        <v>2</v>
      </c>
      <c r="J1355" t="s">
        <v>39</v>
      </c>
      <c r="K1355">
        <f t="shared" si="21"/>
        <v>336000</v>
      </c>
      <c r="L1355">
        <f>Sales_Data2[[#This Row],[Unit Price]]*Sales_Data2[[#This Row],[Quantity]]</f>
        <v>840000</v>
      </c>
      <c r="M1355">
        <f>Sales_Data2[[#This Row],[Cost Price]]*Sales_Data2[[#This Row],[Quantity]]</f>
        <v>672000</v>
      </c>
      <c r="N1355" s="3">
        <f>Sales_Data2[[#This Row],[Revenue]]-Sales_Data2[[#This Row],[COGS]]</f>
        <v>168000</v>
      </c>
      <c r="O13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47029|West|Kano|Retail|Online|Laptop A13|Electronics|420000|2|Grace|336000</v>
      </c>
      <c r="P1355" s="3" t="str">
        <f>IF(COUNTIF(Sales_Data2[RowKey],Sales_Data2[[#This Row],[RowKey]])&gt;1,"Duplicate","Unique")</f>
        <v>Unique</v>
      </c>
      <c r="Q1355" s="3" t="str">
        <f>IF(ISNUMBER(Sales_Data2[[#This Row],[Date]]),"OK","Check")</f>
        <v>OK</v>
      </c>
      <c r="R1355" s="3" t="str">
        <f>IF(ISNUMBER(Sales_Data2[[#This Row],[Quantity]]),"OK","Check")</f>
        <v>OK</v>
      </c>
    </row>
    <row r="1356" spans="1:18">
      <c r="A1356" s="1">
        <v>47030</v>
      </c>
      <c r="B1356" t="s">
        <v>29</v>
      </c>
      <c r="C1356" t="s">
        <v>32</v>
      </c>
      <c r="D1356" t="s">
        <v>13</v>
      </c>
      <c r="E1356" t="s">
        <v>14</v>
      </c>
      <c r="F1356" t="s">
        <v>21</v>
      </c>
      <c r="G1356" t="s">
        <v>22</v>
      </c>
      <c r="H1356">
        <v>30000</v>
      </c>
      <c r="I1356">
        <v>3</v>
      </c>
      <c r="J1356" t="s">
        <v>17</v>
      </c>
      <c r="K1356">
        <f t="shared" si="21"/>
        <v>24000</v>
      </c>
      <c r="L1356">
        <f>Sales_Data2[[#This Row],[Unit Price]]*Sales_Data2[[#This Row],[Quantity]]</f>
        <v>90000</v>
      </c>
      <c r="M1356">
        <f>Sales_Data2[[#This Row],[Cost Price]]*Sales_Data2[[#This Row],[Quantity]]</f>
        <v>72000</v>
      </c>
      <c r="N1356" s="3">
        <f>Sales_Data2[[#This Row],[Revenue]]-Sales_Data2[[#This Row],[COGS]]</f>
        <v>18000</v>
      </c>
      <c r="O13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47030|North|Abuja|Retail|Online|Blender B10|Home Appliances|30000|3|Chidinma|24000</v>
      </c>
      <c r="P1356" s="3" t="str">
        <f>IF(COUNTIF(Sales_Data2[RowKey],Sales_Data2[[#This Row],[RowKey]])&gt;1,"Duplicate","Unique")</f>
        <v>Unique</v>
      </c>
      <c r="Q1356" s="3" t="str">
        <f>IF(ISNUMBER(Sales_Data2[[#This Row],[Date]]),"OK","Check")</f>
        <v>OK</v>
      </c>
      <c r="R1356" s="3" t="str">
        <f>IF(ISNUMBER(Sales_Data2[[#This Row],[Quantity]]),"OK","Check")</f>
        <v>OK</v>
      </c>
    </row>
    <row r="1357" spans="1:18">
      <c r="A1357" s="1">
        <v>47031</v>
      </c>
      <c r="B1357" t="s">
        <v>11</v>
      </c>
      <c r="C1357" t="s">
        <v>32</v>
      </c>
      <c r="D1357" t="s">
        <v>23</v>
      </c>
      <c r="E1357" t="s">
        <v>14</v>
      </c>
      <c r="F1357" t="s">
        <v>21</v>
      </c>
      <c r="G1357" t="s">
        <v>22</v>
      </c>
      <c r="H1357">
        <v>30000</v>
      </c>
      <c r="I1357">
        <v>1</v>
      </c>
      <c r="J1357" t="s">
        <v>39</v>
      </c>
      <c r="K1357">
        <f t="shared" si="21"/>
        <v>24000</v>
      </c>
      <c r="L1357">
        <f>Sales_Data2[[#This Row],[Unit Price]]*Sales_Data2[[#This Row],[Quantity]]</f>
        <v>30000</v>
      </c>
      <c r="M1357">
        <f>Sales_Data2[[#This Row],[Cost Price]]*Sales_Data2[[#This Row],[Quantity]]</f>
        <v>24000</v>
      </c>
      <c r="N1357" s="3">
        <f>Sales_Data2[[#This Row],[Revenue]]-Sales_Data2[[#This Row],[COGS]]</f>
        <v>6000</v>
      </c>
      <c r="O13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47031|West|Abuja|Corporate|Online|Blender B10|Home Appliances|30000|1|Grace|24000</v>
      </c>
      <c r="P1357" s="3" t="str">
        <f>IF(COUNTIF(Sales_Data2[RowKey],Sales_Data2[[#This Row],[RowKey]])&gt;1,"Duplicate","Unique")</f>
        <v>Unique</v>
      </c>
      <c r="Q1357" s="3" t="str">
        <f>IF(ISNUMBER(Sales_Data2[[#This Row],[Date]]),"OK","Check")</f>
        <v>OK</v>
      </c>
      <c r="R1357" s="3" t="str">
        <f>IF(ISNUMBER(Sales_Data2[[#This Row],[Quantity]]),"OK","Check")</f>
        <v>OK</v>
      </c>
    </row>
    <row r="1358" spans="1:18">
      <c r="A1358" s="1">
        <v>47032</v>
      </c>
      <c r="B1358" t="s">
        <v>18</v>
      </c>
      <c r="C1358" t="s">
        <v>26</v>
      </c>
      <c r="D1358" t="s">
        <v>13</v>
      </c>
      <c r="E1358" t="s">
        <v>20</v>
      </c>
      <c r="F1358" t="s">
        <v>38</v>
      </c>
      <c r="G1358" t="s">
        <v>31</v>
      </c>
      <c r="H1358">
        <v>420000</v>
      </c>
      <c r="I1358">
        <v>10</v>
      </c>
      <c r="J1358" t="s">
        <v>39</v>
      </c>
      <c r="K1358">
        <f t="shared" si="21"/>
        <v>336000</v>
      </c>
      <c r="L1358">
        <f>Sales_Data2[[#This Row],[Unit Price]]*Sales_Data2[[#This Row],[Quantity]]</f>
        <v>4200000</v>
      </c>
      <c r="M1358">
        <f>Sales_Data2[[#This Row],[Cost Price]]*Sales_Data2[[#This Row],[Quantity]]</f>
        <v>3360000</v>
      </c>
      <c r="N1358" s="3">
        <f>Sales_Data2[[#This Row],[Revenue]]-Sales_Data2[[#This Row],[COGS]]</f>
        <v>840000</v>
      </c>
      <c r="O13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47032|East|Kano|Retail|Store|Laptop A13|Electronics|420000|10|Grace|336000</v>
      </c>
      <c r="P1358" s="3" t="str">
        <f>IF(COUNTIF(Sales_Data2[RowKey],Sales_Data2[[#This Row],[RowKey]])&gt;1,"Duplicate","Unique")</f>
        <v>Unique</v>
      </c>
      <c r="Q1358" s="3" t="str">
        <f>IF(ISNUMBER(Sales_Data2[[#This Row],[Date]]),"OK","Check")</f>
        <v>OK</v>
      </c>
      <c r="R1358" s="3" t="str">
        <f>IF(ISNUMBER(Sales_Data2[[#This Row],[Quantity]]),"OK","Check")</f>
        <v>OK</v>
      </c>
    </row>
    <row r="1359" spans="1:18">
      <c r="A1359" s="1">
        <v>47033</v>
      </c>
      <c r="B1359" t="s">
        <v>25</v>
      </c>
      <c r="C1359" t="s">
        <v>26</v>
      </c>
      <c r="D1359" t="s">
        <v>13</v>
      </c>
      <c r="E1359" t="s">
        <v>20</v>
      </c>
      <c r="F1359" t="s">
        <v>36</v>
      </c>
      <c r="G1359" t="s">
        <v>31</v>
      </c>
      <c r="H1359">
        <v>150000</v>
      </c>
      <c r="I1359">
        <v>8</v>
      </c>
      <c r="J1359" t="s">
        <v>17</v>
      </c>
      <c r="K1359">
        <f t="shared" si="21"/>
        <v>120000</v>
      </c>
      <c r="L1359">
        <f>Sales_Data2[[#This Row],[Unit Price]]*Sales_Data2[[#This Row],[Quantity]]</f>
        <v>1200000</v>
      </c>
      <c r="M1359">
        <f>Sales_Data2[[#This Row],[Cost Price]]*Sales_Data2[[#This Row],[Quantity]]</f>
        <v>960000</v>
      </c>
      <c r="N1359" s="3">
        <f>Sales_Data2[[#This Row],[Revenue]]-Sales_Data2[[#This Row],[COGS]]</f>
        <v>240000</v>
      </c>
      <c r="O13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47033|South|Kano|Retail|Store|Printer P50|Electronics|150000|8|Chidinma|120000</v>
      </c>
      <c r="P1359" s="3" t="str">
        <f>IF(COUNTIF(Sales_Data2[RowKey],Sales_Data2[[#This Row],[RowKey]])&gt;1,"Duplicate","Unique")</f>
        <v>Unique</v>
      </c>
      <c r="Q1359" s="3" t="str">
        <f>IF(ISNUMBER(Sales_Data2[[#This Row],[Date]]),"OK","Check")</f>
        <v>OK</v>
      </c>
      <c r="R1359" s="3" t="str">
        <f>IF(ISNUMBER(Sales_Data2[[#This Row],[Quantity]]),"OK","Check")</f>
        <v>OK</v>
      </c>
    </row>
    <row r="1360" spans="1:18">
      <c r="A1360" s="1">
        <v>47034</v>
      </c>
      <c r="B1360" t="s">
        <v>29</v>
      </c>
      <c r="C1360" t="s">
        <v>19</v>
      </c>
      <c r="D1360" t="s">
        <v>23</v>
      </c>
      <c r="E1360" t="s">
        <v>20</v>
      </c>
      <c r="F1360" t="s">
        <v>41</v>
      </c>
      <c r="G1360" t="s">
        <v>22</v>
      </c>
      <c r="H1360">
        <v>220000</v>
      </c>
      <c r="I1360">
        <v>8</v>
      </c>
      <c r="J1360" t="s">
        <v>17</v>
      </c>
      <c r="K1360">
        <f t="shared" si="21"/>
        <v>176000</v>
      </c>
      <c r="L1360">
        <f>Sales_Data2[[#This Row],[Unit Price]]*Sales_Data2[[#This Row],[Quantity]]</f>
        <v>1760000</v>
      </c>
      <c r="M1360">
        <f>Sales_Data2[[#This Row],[Cost Price]]*Sales_Data2[[#This Row],[Quantity]]</f>
        <v>1408000</v>
      </c>
      <c r="N1360" s="3">
        <f>Sales_Data2[[#This Row],[Revenue]]-Sales_Data2[[#This Row],[COGS]]</f>
        <v>352000</v>
      </c>
      <c r="O13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47034|North|Lagos|Corporate|Store|Refrigerator R55|Home Appliances|220000|8|Chidinma|176000</v>
      </c>
      <c r="P1360" s="3" t="str">
        <f>IF(COUNTIF(Sales_Data2[RowKey],Sales_Data2[[#This Row],[RowKey]])&gt;1,"Duplicate","Unique")</f>
        <v>Unique</v>
      </c>
      <c r="Q1360" s="3" t="str">
        <f>IF(ISNUMBER(Sales_Data2[[#This Row],[Date]]),"OK","Check")</f>
        <v>OK</v>
      </c>
      <c r="R1360" s="3" t="str">
        <f>IF(ISNUMBER(Sales_Data2[[#This Row],[Quantity]]),"OK","Check")</f>
        <v>OK</v>
      </c>
    </row>
    <row r="1361" spans="1:18">
      <c r="A1361" s="1">
        <v>47035</v>
      </c>
      <c r="B1361" t="s">
        <v>18</v>
      </c>
      <c r="C1361" t="s">
        <v>32</v>
      </c>
      <c r="D1361" t="s">
        <v>13</v>
      </c>
      <c r="E1361" t="s">
        <v>20</v>
      </c>
      <c r="F1361" t="s">
        <v>34</v>
      </c>
      <c r="G1361" t="s">
        <v>16</v>
      </c>
      <c r="H1361">
        <v>320000</v>
      </c>
      <c r="I1361">
        <v>9</v>
      </c>
      <c r="J1361" t="s">
        <v>35</v>
      </c>
      <c r="K1361">
        <f t="shared" si="21"/>
        <v>256000</v>
      </c>
      <c r="L1361">
        <f>Sales_Data2[[#This Row],[Unit Price]]*Sales_Data2[[#This Row],[Quantity]]</f>
        <v>2880000</v>
      </c>
      <c r="M1361">
        <f>Sales_Data2[[#This Row],[Cost Price]]*Sales_Data2[[#This Row],[Quantity]]</f>
        <v>2304000</v>
      </c>
      <c r="N1361" s="3">
        <f>Sales_Data2[[#This Row],[Revenue]]-Sales_Data2[[#This Row],[COGS]]</f>
        <v>576000</v>
      </c>
      <c r="O13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47035|East|Abuja|Retail|Store|Sofa Classic|Furniture|320000|9|Peter|256000</v>
      </c>
      <c r="P1361" s="3" t="str">
        <f>IF(COUNTIF(Sales_Data2[RowKey],Sales_Data2[[#This Row],[RowKey]])&gt;1,"Duplicate","Unique")</f>
        <v>Unique</v>
      </c>
      <c r="Q1361" s="3" t="str">
        <f>IF(ISNUMBER(Sales_Data2[[#This Row],[Date]]),"OK","Check")</f>
        <v>OK</v>
      </c>
      <c r="R1361" s="3" t="str">
        <f>IF(ISNUMBER(Sales_Data2[[#This Row],[Quantity]]),"OK","Check")</f>
        <v>OK</v>
      </c>
    </row>
    <row r="1362" spans="1:18">
      <c r="A1362" s="1">
        <v>47036</v>
      </c>
      <c r="B1362" t="s">
        <v>29</v>
      </c>
      <c r="C1362" t="s">
        <v>12</v>
      </c>
      <c r="D1362" t="s">
        <v>13</v>
      </c>
      <c r="E1362" t="s">
        <v>20</v>
      </c>
      <c r="F1362" t="s">
        <v>41</v>
      </c>
      <c r="G1362" t="s">
        <v>22</v>
      </c>
      <c r="H1362">
        <v>220000</v>
      </c>
      <c r="I1362">
        <v>3</v>
      </c>
      <c r="J1362" t="s">
        <v>39</v>
      </c>
      <c r="K1362">
        <f t="shared" si="21"/>
        <v>176000</v>
      </c>
      <c r="L1362">
        <f>Sales_Data2[[#This Row],[Unit Price]]*Sales_Data2[[#This Row],[Quantity]]</f>
        <v>660000</v>
      </c>
      <c r="M1362">
        <f>Sales_Data2[[#This Row],[Cost Price]]*Sales_Data2[[#This Row],[Quantity]]</f>
        <v>528000</v>
      </c>
      <c r="N1362" s="3">
        <f>Sales_Data2[[#This Row],[Revenue]]-Sales_Data2[[#This Row],[COGS]]</f>
        <v>132000</v>
      </c>
      <c r="O13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47036|North|Port Harcourt|Retail|Store|Refrigerator R55|Home Appliances|220000|3|Grace|176000</v>
      </c>
      <c r="P1362" s="3" t="str">
        <f>IF(COUNTIF(Sales_Data2[RowKey],Sales_Data2[[#This Row],[RowKey]])&gt;1,"Duplicate","Unique")</f>
        <v>Unique</v>
      </c>
      <c r="Q1362" s="3" t="str">
        <f>IF(ISNUMBER(Sales_Data2[[#This Row],[Date]]),"OK","Check")</f>
        <v>OK</v>
      </c>
      <c r="R1362" s="3" t="str">
        <f>IF(ISNUMBER(Sales_Data2[[#This Row],[Quantity]]),"OK","Check")</f>
        <v>OK</v>
      </c>
    </row>
    <row r="1363" spans="1:18">
      <c r="A1363" s="1">
        <v>47037</v>
      </c>
      <c r="B1363" t="s">
        <v>11</v>
      </c>
      <c r="C1363" t="s">
        <v>26</v>
      </c>
      <c r="D1363" t="s">
        <v>23</v>
      </c>
      <c r="E1363" t="s">
        <v>14</v>
      </c>
      <c r="F1363" t="s">
        <v>33</v>
      </c>
      <c r="G1363" t="s">
        <v>22</v>
      </c>
      <c r="H1363">
        <v>180000</v>
      </c>
      <c r="I1363">
        <v>8</v>
      </c>
      <c r="J1363" t="s">
        <v>35</v>
      </c>
      <c r="K1363">
        <f t="shared" si="21"/>
        <v>144000</v>
      </c>
      <c r="L1363">
        <f>Sales_Data2[[#This Row],[Unit Price]]*Sales_Data2[[#This Row],[Quantity]]</f>
        <v>1440000</v>
      </c>
      <c r="M1363">
        <f>Sales_Data2[[#This Row],[Cost Price]]*Sales_Data2[[#This Row],[Quantity]]</f>
        <v>1152000</v>
      </c>
      <c r="N1363" s="3">
        <f>Sales_Data2[[#This Row],[Revenue]]-Sales_Data2[[#This Row],[COGS]]</f>
        <v>288000</v>
      </c>
      <c r="O13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47037|West|Kano|Corporate|Online|Air Conditioner X2|Home Appliances|180000|8|Peter|144000</v>
      </c>
      <c r="P1363" s="3" t="str">
        <f>IF(COUNTIF(Sales_Data2[RowKey],Sales_Data2[[#This Row],[RowKey]])&gt;1,"Duplicate","Unique")</f>
        <v>Unique</v>
      </c>
      <c r="Q1363" s="3" t="str">
        <f>IF(ISNUMBER(Sales_Data2[[#This Row],[Date]]),"OK","Check")</f>
        <v>OK</v>
      </c>
      <c r="R1363" s="3" t="str">
        <f>IF(ISNUMBER(Sales_Data2[[#This Row],[Quantity]]),"OK","Check")</f>
        <v>OK</v>
      </c>
    </row>
    <row r="1364" spans="1:18">
      <c r="A1364" s="1">
        <v>47038</v>
      </c>
      <c r="B1364" t="s">
        <v>29</v>
      </c>
      <c r="C1364" t="s">
        <v>26</v>
      </c>
      <c r="D1364" t="s">
        <v>13</v>
      </c>
      <c r="E1364" t="s">
        <v>20</v>
      </c>
      <c r="F1364" t="s">
        <v>40</v>
      </c>
      <c r="G1364" t="s">
        <v>31</v>
      </c>
      <c r="H1364">
        <v>250000</v>
      </c>
      <c r="I1364">
        <v>4</v>
      </c>
      <c r="J1364" t="s">
        <v>28</v>
      </c>
      <c r="K1364">
        <f t="shared" si="21"/>
        <v>200000</v>
      </c>
      <c r="L1364">
        <f>Sales_Data2[[#This Row],[Unit Price]]*Sales_Data2[[#This Row],[Quantity]]</f>
        <v>1000000</v>
      </c>
      <c r="M1364">
        <f>Sales_Data2[[#This Row],[Cost Price]]*Sales_Data2[[#This Row],[Quantity]]</f>
        <v>800000</v>
      </c>
      <c r="N1364" s="3">
        <f>Sales_Data2[[#This Row],[Revenue]]-Sales_Data2[[#This Row],[COGS]]</f>
        <v>200000</v>
      </c>
      <c r="O13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47038|North|Kano|Retail|Store|Smartphone Z10|Electronics|250000|4|Musa|200000</v>
      </c>
      <c r="P1364" s="3" t="str">
        <f>IF(COUNTIF(Sales_Data2[RowKey],Sales_Data2[[#This Row],[RowKey]])&gt;1,"Duplicate","Unique")</f>
        <v>Unique</v>
      </c>
      <c r="Q1364" s="3" t="str">
        <f>IF(ISNUMBER(Sales_Data2[[#This Row],[Date]]),"OK","Check")</f>
        <v>OK</v>
      </c>
      <c r="R1364" s="3" t="str">
        <f>IF(ISNUMBER(Sales_Data2[[#This Row],[Quantity]]),"OK","Check")</f>
        <v>OK</v>
      </c>
    </row>
    <row r="1365" spans="1:18">
      <c r="A1365" s="1">
        <v>47039</v>
      </c>
      <c r="B1365" t="s">
        <v>29</v>
      </c>
      <c r="C1365" t="s">
        <v>19</v>
      </c>
      <c r="D1365" t="s">
        <v>23</v>
      </c>
      <c r="E1365" t="s">
        <v>20</v>
      </c>
      <c r="F1365" t="s">
        <v>27</v>
      </c>
      <c r="G1365" t="s">
        <v>22</v>
      </c>
      <c r="H1365">
        <v>60000</v>
      </c>
      <c r="I1365">
        <v>7</v>
      </c>
      <c r="J1365" t="s">
        <v>35</v>
      </c>
      <c r="K1365">
        <f t="shared" si="21"/>
        <v>48000</v>
      </c>
      <c r="L1365">
        <f>Sales_Data2[[#This Row],[Unit Price]]*Sales_Data2[[#This Row],[Quantity]]</f>
        <v>420000</v>
      </c>
      <c r="M1365">
        <f>Sales_Data2[[#This Row],[Cost Price]]*Sales_Data2[[#This Row],[Quantity]]</f>
        <v>336000</v>
      </c>
      <c r="N1365" s="3">
        <f>Sales_Data2[[#This Row],[Revenue]]-Sales_Data2[[#This Row],[COGS]]</f>
        <v>84000</v>
      </c>
      <c r="O13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47039|North|Lagos|Corporate|Store|Microwave M20|Home Appliances|60000|7|Peter|48000</v>
      </c>
      <c r="P1365" s="3" t="str">
        <f>IF(COUNTIF(Sales_Data2[RowKey],Sales_Data2[[#This Row],[RowKey]])&gt;1,"Duplicate","Unique")</f>
        <v>Unique</v>
      </c>
      <c r="Q1365" s="3" t="str">
        <f>IF(ISNUMBER(Sales_Data2[[#This Row],[Date]]),"OK","Check")</f>
        <v>OK</v>
      </c>
      <c r="R1365" s="3" t="str">
        <f>IF(ISNUMBER(Sales_Data2[[#This Row],[Quantity]]),"OK","Check")</f>
        <v>OK</v>
      </c>
    </row>
    <row r="1366" spans="1:18">
      <c r="A1366" s="1">
        <v>47040</v>
      </c>
      <c r="B1366" t="s">
        <v>29</v>
      </c>
      <c r="C1366" t="s">
        <v>12</v>
      </c>
      <c r="D1366" t="s">
        <v>23</v>
      </c>
      <c r="E1366" t="s">
        <v>20</v>
      </c>
      <c r="F1366" t="s">
        <v>41</v>
      </c>
      <c r="G1366" t="s">
        <v>22</v>
      </c>
      <c r="H1366">
        <v>220000</v>
      </c>
      <c r="I1366">
        <v>10</v>
      </c>
      <c r="J1366" t="s">
        <v>39</v>
      </c>
      <c r="K1366">
        <f t="shared" si="21"/>
        <v>176000</v>
      </c>
      <c r="L1366">
        <f>Sales_Data2[[#This Row],[Unit Price]]*Sales_Data2[[#This Row],[Quantity]]</f>
        <v>2200000</v>
      </c>
      <c r="M1366">
        <f>Sales_Data2[[#This Row],[Cost Price]]*Sales_Data2[[#This Row],[Quantity]]</f>
        <v>1760000</v>
      </c>
      <c r="N1366" s="3">
        <f>Sales_Data2[[#This Row],[Revenue]]-Sales_Data2[[#This Row],[COGS]]</f>
        <v>440000</v>
      </c>
      <c r="O13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47040|North|Port Harcourt|Corporate|Store|Refrigerator R55|Home Appliances|220000|10|Grace|176000</v>
      </c>
      <c r="P1366" s="3" t="str">
        <f>IF(COUNTIF(Sales_Data2[RowKey],Sales_Data2[[#This Row],[RowKey]])&gt;1,"Duplicate","Unique")</f>
        <v>Unique</v>
      </c>
      <c r="Q1366" s="3" t="str">
        <f>IF(ISNUMBER(Sales_Data2[[#This Row],[Date]]),"OK","Check")</f>
        <v>OK</v>
      </c>
      <c r="R1366" s="3" t="str">
        <f>IF(ISNUMBER(Sales_Data2[[#This Row],[Quantity]]),"OK","Check")</f>
        <v>OK</v>
      </c>
    </row>
    <row r="1367" spans="1:18">
      <c r="A1367" s="1">
        <v>47041</v>
      </c>
      <c r="B1367" t="s">
        <v>25</v>
      </c>
      <c r="C1367" t="s">
        <v>26</v>
      </c>
      <c r="D1367" t="s">
        <v>13</v>
      </c>
      <c r="E1367" t="s">
        <v>14</v>
      </c>
      <c r="F1367" t="s">
        <v>27</v>
      </c>
      <c r="G1367" t="s">
        <v>22</v>
      </c>
      <c r="H1367">
        <v>60000</v>
      </c>
      <c r="I1367">
        <v>9</v>
      </c>
      <c r="J1367" t="s">
        <v>39</v>
      </c>
      <c r="K1367">
        <f t="shared" si="21"/>
        <v>48000</v>
      </c>
      <c r="L1367">
        <f>Sales_Data2[[#This Row],[Unit Price]]*Sales_Data2[[#This Row],[Quantity]]</f>
        <v>540000</v>
      </c>
      <c r="M1367">
        <f>Sales_Data2[[#This Row],[Cost Price]]*Sales_Data2[[#This Row],[Quantity]]</f>
        <v>432000</v>
      </c>
      <c r="N1367" s="3">
        <f>Sales_Data2[[#This Row],[Revenue]]-Sales_Data2[[#This Row],[COGS]]</f>
        <v>108000</v>
      </c>
      <c r="O13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47041|South|Kano|Retail|Online|Microwave M20|Home Appliances|60000|9|Grace|48000</v>
      </c>
      <c r="P1367" s="3" t="str">
        <f>IF(COUNTIF(Sales_Data2[RowKey],Sales_Data2[[#This Row],[RowKey]])&gt;1,"Duplicate","Unique")</f>
        <v>Unique</v>
      </c>
      <c r="Q1367" s="3" t="str">
        <f>IF(ISNUMBER(Sales_Data2[[#This Row],[Date]]),"OK","Check")</f>
        <v>OK</v>
      </c>
      <c r="R1367" s="3" t="str">
        <f>IF(ISNUMBER(Sales_Data2[[#This Row],[Quantity]]),"OK","Check")</f>
        <v>OK</v>
      </c>
    </row>
    <row r="1368" spans="1:18">
      <c r="A1368" s="1">
        <v>47042</v>
      </c>
      <c r="B1368" t="s">
        <v>11</v>
      </c>
      <c r="C1368" t="s">
        <v>26</v>
      </c>
      <c r="D1368" t="s">
        <v>23</v>
      </c>
      <c r="E1368" t="s">
        <v>14</v>
      </c>
      <c r="F1368" t="s">
        <v>27</v>
      </c>
      <c r="G1368" t="s">
        <v>22</v>
      </c>
      <c r="H1368">
        <v>60000</v>
      </c>
      <c r="I1368">
        <v>2</v>
      </c>
      <c r="J1368" t="s">
        <v>28</v>
      </c>
      <c r="K1368">
        <f t="shared" si="21"/>
        <v>48000</v>
      </c>
      <c r="L1368">
        <f>Sales_Data2[[#This Row],[Unit Price]]*Sales_Data2[[#This Row],[Quantity]]</f>
        <v>120000</v>
      </c>
      <c r="M1368">
        <f>Sales_Data2[[#This Row],[Cost Price]]*Sales_Data2[[#This Row],[Quantity]]</f>
        <v>96000</v>
      </c>
      <c r="N1368" s="3">
        <f>Sales_Data2[[#This Row],[Revenue]]-Sales_Data2[[#This Row],[COGS]]</f>
        <v>24000</v>
      </c>
      <c r="O13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47042|West|Kano|Corporate|Online|Microwave M20|Home Appliances|60000|2|Musa|48000</v>
      </c>
      <c r="P1368" s="3" t="str">
        <f>IF(COUNTIF(Sales_Data2[RowKey],Sales_Data2[[#This Row],[RowKey]])&gt;1,"Duplicate","Unique")</f>
        <v>Unique</v>
      </c>
      <c r="Q1368" s="3" t="str">
        <f>IF(ISNUMBER(Sales_Data2[[#This Row],[Date]]),"OK","Check")</f>
        <v>OK</v>
      </c>
      <c r="R1368" s="3" t="str">
        <f>IF(ISNUMBER(Sales_Data2[[#This Row],[Quantity]]),"OK","Check")</f>
        <v>OK</v>
      </c>
    </row>
    <row r="1369" spans="1:18">
      <c r="A1369" s="1">
        <v>47043</v>
      </c>
      <c r="B1369" t="s">
        <v>18</v>
      </c>
      <c r="C1369" t="s">
        <v>19</v>
      </c>
      <c r="D1369" t="s">
        <v>23</v>
      </c>
      <c r="E1369" t="s">
        <v>14</v>
      </c>
      <c r="F1369" t="s">
        <v>36</v>
      </c>
      <c r="G1369" t="s">
        <v>31</v>
      </c>
      <c r="H1369">
        <v>150000</v>
      </c>
      <c r="I1369">
        <v>3</v>
      </c>
      <c r="J1369" t="s">
        <v>17</v>
      </c>
      <c r="K1369">
        <f t="shared" si="21"/>
        <v>120000</v>
      </c>
      <c r="L1369">
        <f>Sales_Data2[[#This Row],[Unit Price]]*Sales_Data2[[#This Row],[Quantity]]</f>
        <v>450000</v>
      </c>
      <c r="M1369">
        <f>Sales_Data2[[#This Row],[Cost Price]]*Sales_Data2[[#This Row],[Quantity]]</f>
        <v>360000</v>
      </c>
      <c r="N1369" s="3">
        <f>Sales_Data2[[#This Row],[Revenue]]-Sales_Data2[[#This Row],[COGS]]</f>
        <v>90000</v>
      </c>
      <c r="O13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47043|East|Lagos|Corporate|Online|Printer P50|Electronics|150000|3|Chidinma|120000</v>
      </c>
      <c r="P1369" s="3" t="str">
        <f>IF(COUNTIF(Sales_Data2[RowKey],Sales_Data2[[#This Row],[RowKey]])&gt;1,"Duplicate","Unique")</f>
        <v>Unique</v>
      </c>
      <c r="Q1369" s="3" t="str">
        <f>IF(ISNUMBER(Sales_Data2[[#This Row],[Date]]),"OK","Check")</f>
        <v>OK</v>
      </c>
      <c r="R1369" s="3" t="str">
        <f>IF(ISNUMBER(Sales_Data2[[#This Row],[Quantity]]),"OK","Check")</f>
        <v>OK</v>
      </c>
    </row>
    <row r="1370" spans="1:18">
      <c r="A1370" s="1">
        <v>47044</v>
      </c>
      <c r="B1370" t="s">
        <v>11</v>
      </c>
      <c r="C1370" t="s">
        <v>19</v>
      </c>
      <c r="D1370" t="s">
        <v>23</v>
      </c>
      <c r="E1370" t="s">
        <v>14</v>
      </c>
      <c r="F1370" t="s">
        <v>36</v>
      </c>
      <c r="G1370" t="s">
        <v>31</v>
      </c>
      <c r="H1370">
        <v>150000</v>
      </c>
      <c r="I1370">
        <v>10</v>
      </c>
      <c r="J1370" t="s">
        <v>17</v>
      </c>
      <c r="K1370">
        <f t="shared" si="21"/>
        <v>120000</v>
      </c>
      <c r="L1370">
        <f>Sales_Data2[[#This Row],[Unit Price]]*Sales_Data2[[#This Row],[Quantity]]</f>
        <v>1500000</v>
      </c>
      <c r="M1370">
        <f>Sales_Data2[[#This Row],[Cost Price]]*Sales_Data2[[#This Row],[Quantity]]</f>
        <v>1200000</v>
      </c>
      <c r="N1370" s="3">
        <f>Sales_Data2[[#This Row],[Revenue]]-Sales_Data2[[#This Row],[COGS]]</f>
        <v>300000</v>
      </c>
      <c r="O13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47044|West|Lagos|Corporate|Online|Printer P50|Electronics|150000|10|Chidinma|120000</v>
      </c>
      <c r="P1370" s="3" t="str">
        <f>IF(COUNTIF(Sales_Data2[RowKey],Sales_Data2[[#This Row],[RowKey]])&gt;1,"Duplicate","Unique")</f>
        <v>Unique</v>
      </c>
      <c r="Q1370" s="3" t="str">
        <f>IF(ISNUMBER(Sales_Data2[[#This Row],[Date]]),"OK","Check")</f>
        <v>OK</v>
      </c>
      <c r="R1370" s="3" t="str">
        <f>IF(ISNUMBER(Sales_Data2[[#This Row],[Quantity]]),"OK","Check")</f>
        <v>OK</v>
      </c>
    </row>
    <row r="1371" spans="1:18">
      <c r="A1371" s="1">
        <v>47045</v>
      </c>
      <c r="B1371" t="s">
        <v>29</v>
      </c>
      <c r="C1371" t="s">
        <v>26</v>
      </c>
      <c r="D1371" t="s">
        <v>23</v>
      </c>
      <c r="E1371" t="s">
        <v>14</v>
      </c>
      <c r="F1371" t="s">
        <v>36</v>
      </c>
      <c r="G1371" t="s">
        <v>31</v>
      </c>
      <c r="H1371">
        <v>150000</v>
      </c>
      <c r="I1371">
        <v>9</v>
      </c>
      <c r="J1371" t="s">
        <v>35</v>
      </c>
      <c r="K1371">
        <f t="shared" si="21"/>
        <v>120000</v>
      </c>
      <c r="L1371">
        <f>Sales_Data2[[#This Row],[Unit Price]]*Sales_Data2[[#This Row],[Quantity]]</f>
        <v>1350000</v>
      </c>
      <c r="M1371">
        <f>Sales_Data2[[#This Row],[Cost Price]]*Sales_Data2[[#This Row],[Quantity]]</f>
        <v>1080000</v>
      </c>
      <c r="N1371" s="3">
        <f>Sales_Data2[[#This Row],[Revenue]]-Sales_Data2[[#This Row],[COGS]]</f>
        <v>270000</v>
      </c>
      <c r="O13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47045|North|Kano|Corporate|Online|Printer P50|Electronics|150000|9|Peter|120000</v>
      </c>
      <c r="P1371" s="3" t="str">
        <f>IF(COUNTIF(Sales_Data2[RowKey],Sales_Data2[[#This Row],[RowKey]])&gt;1,"Duplicate","Unique")</f>
        <v>Unique</v>
      </c>
      <c r="Q1371" s="3" t="str">
        <f>IF(ISNUMBER(Sales_Data2[[#This Row],[Date]]),"OK","Check")</f>
        <v>OK</v>
      </c>
      <c r="R1371" s="3" t="str">
        <f>IF(ISNUMBER(Sales_Data2[[#This Row],[Quantity]]),"OK","Check")</f>
        <v>OK</v>
      </c>
    </row>
    <row r="1372" spans="1:18">
      <c r="A1372" s="1">
        <v>47046</v>
      </c>
      <c r="B1372" t="s">
        <v>11</v>
      </c>
      <c r="C1372" t="s">
        <v>32</v>
      </c>
      <c r="D1372" t="s">
        <v>13</v>
      </c>
      <c r="E1372" t="s">
        <v>14</v>
      </c>
      <c r="F1372" t="s">
        <v>34</v>
      </c>
      <c r="G1372" t="s">
        <v>16</v>
      </c>
      <c r="H1372">
        <v>320000</v>
      </c>
      <c r="I1372">
        <v>5</v>
      </c>
      <c r="J1372" t="s">
        <v>39</v>
      </c>
      <c r="K1372">
        <f t="shared" si="21"/>
        <v>256000</v>
      </c>
      <c r="L1372">
        <f>Sales_Data2[[#This Row],[Unit Price]]*Sales_Data2[[#This Row],[Quantity]]</f>
        <v>1600000</v>
      </c>
      <c r="M1372">
        <f>Sales_Data2[[#This Row],[Cost Price]]*Sales_Data2[[#This Row],[Quantity]]</f>
        <v>1280000</v>
      </c>
      <c r="N1372" s="3">
        <f>Sales_Data2[[#This Row],[Revenue]]-Sales_Data2[[#This Row],[COGS]]</f>
        <v>320000</v>
      </c>
      <c r="O13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47046|West|Abuja|Retail|Online|Sofa Classic|Furniture|320000|5|Grace|256000</v>
      </c>
      <c r="P1372" s="3" t="str">
        <f>IF(COUNTIF(Sales_Data2[RowKey],Sales_Data2[[#This Row],[RowKey]])&gt;1,"Duplicate","Unique")</f>
        <v>Unique</v>
      </c>
      <c r="Q1372" s="3" t="str">
        <f>IF(ISNUMBER(Sales_Data2[[#This Row],[Date]]),"OK","Check")</f>
        <v>OK</v>
      </c>
      <c r="R1372" s="3" t="str">
        <f>IF(ISNUMBER(Sales_Data2[[#This Row],[Quantity]]),"OK","Check")</f>
        <v>OK</v>
      </c>
    </row>
    <row r="1373" spans="1:18">
      <c r="A1373" s="1">
        <v>47047</v>
      </c>
      <c r="B1373" t="s">
        <v>18</v>
      </c>
      <c r="C1373" t="s">
        <v>32</v>
      </c>
      <c r="D1373" t="s">
        <v>13</v>
      </c>
      <c r="E1373" t="s">
        <v>14</v>
      </c>
      <c r="F1373" t="s">
        <v>33</v>
      </c>
      <c r="G1373" t="s">
        <v>22</v>
      </c>
      <c r="H1373">
        <v>180000</v>
      </c>
      <c r="I1373">
        <v>3</v>
      </c>
      <c r="J1373" t="s">
        <v>17</v>
      </c>
      <c r="K1373">
        <f t="shared" si="21"/>
        <v>144000</v>
      </c>
      <c r="L1373">
        <f>Sales_Data2[[#This Row],[Unit Price]]*Sales_Data2[[#This Row],[Quantity]]</f>
        <v>540000</v>
      </c>
      <c r="M1373">
        <f>Sales_Data2[[#This Row],[Cost Price]]*Sales_Data2[[#This Row],[Quantity]]</f>
        <v>432000</v>
      </c>
      <c r="N1373" s="3">
        <f>Sales_Data2[[#This Row],[Revenue]]-Sales_Data2[[#This Row],[COGS]]</f>
        <v>108000</v>
      </c>
      <c r="O13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47047|East|Abuja|Retail|Online|Air Conditioner X2|Home Appliances|180000|3|Chidinma|144000</v>
      </c>
      <c r="P1373" s="3" t="str">
        <f>IF(COUNTIF(Sales_Data2[RowKey],Sales_Data2[[#This Row],[RowKey]])&gt;1,"Duplicate","Unique")</f>
        <v>Unique</v>
      </c>
      <c r="Q1373" s="3" t="str">
        <f>IF(ISNUMBER(Sales_Data2[[#This Row],[Date]]),"OK","Check")</f>
        <v>OK</v>
      </c>
      <c r="R1373" s="3" t="str">
        <f>IF(ISNUMBER(Sales_Data2[[#This Row],[Quantity]]),"OK","Check")</f>
        <v>OK</v>
      </c>
    </row>
    <row r="1374" spans="1:18">
      <c r="A1374" s="1">
        <v>47048</v>
      </c>
      <c r="B1374" t="s">
        <v>11</v>
      </c>
      <c r="C1374" t="s">
        <v>26</v>
      </c>
      <c r="D1374" t="s">
        <v>23</v>
      </c>
      <c r="E1374" t="s">
        <v>14</v>
      </c>
      <c r="F1374" t="s">
        <v>15</v>
      </c>
      <c r="G1374" t="s">
        <v>16</v>
      </c>
      <c r="H1374">
        <v>85000</v>
      </c>
      <c r="I1374">
        <v>4</v>
      </c>
      <c r="J1374" t="s">
        <v>35</v>
      </c>
      <c r="K1374">
        <f t="shared" si="21"/>
        <v>68000</v>
      </c>
      <c r="L1374">
        <f>Sales_Data2[[#This Row],[Unit Price]]*Sales_Data2[[#This Row],[Quantity]]</f>
        <v>340000</v>
      </c>
      <c r="M1374">
        <f>Sales_Data2[[#This Row],[Cost Price]]*Sales_Data2[[#This Row],[Quantity]]</f>
        <v>272000</v>
      </c>
      <c r="N1374" s="3">
        <f>Sales_Data2[[#This Row],[Revenue]]-Sales_Data2[[#This Row],[COGS]]</f>
        <v>68000</v>
      </c>
      <c r="O13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47048|West|Kano|Corporate|Online|Office Chair Pro|Furniture|85000|4|Peter|68000</v>
      </c>
      <c r="P1374" s="3" t="str">
        <f>IF(COUNTIF(Sales_Data2[RowKey],Sales_Data2[[#This Row],[RowKey]])&gt;1,"Duplicate","Unique")</f>
        <v>Unique</v>
      </c>
      <c r="Q1374" s="3" t="str">
        <f>IF(ISNUMBER(Sales_Data2[[#This Row],[Date]]),"OK","Check")</f>
        <v>OK</v>
      </c>
      <c r="R1374" s="3" t="str">
        <f>IF(ISNUMBER(Sales_Data2[[#This Row],[Quantity]]),"OK","Check")</f>
        <v>OK</v>
      </c>
    </row>
    <row r="1375" spans="1:18">
      <c r="A1375" s="1">
        <v>47049</v>
      </c>
      <c r="B1375" t="s">
        <v>11</v>
      </c>
      <c r="C1375" t="s">
        <v>32</v>
      </c>
      <c r="D1375" t="s">
        <v>23</v>
      </c>
      <c r="E1375" t="s">
        <v>20</v>
      </c>
      <c r="F1375" t="s">
        <v>34</v>
      </c>
      <c r="G1375" t="s">
        <v>16</v>
      </c>
      <c r="H1375">
        <v>320000</v>
      </c>
      <c r="I1375">
        <v>7</v>
      </c>
      <c r="J1375" t="s">
        <v>39</v>
      </c>
      <c r="K1375">
        <f t="shared" si="21"/>
        <v>256000</v>
      </c>
      <c r="L1375">
        <f>Sales_Data2[[#This Row],[Unit Price]]*Sales_Data2[[#This Row],[Quantity]]</f>
        <v>2240000</v>
      </c>
      <c r="M1375">
        <f>Sales_Data2[[#This Row],[Cost Price]]*Sales_Data2[[#This Row],[Quantity]]</f>
        <v>1792000</v>
      </c>
      <c r="N1375" s="3">
        <f>Sales_Data2[[#This Row],[Revenue]]-Sales_Data2[[#This Row],[COGS]]</f>
        <v>448000</v>
      </c>
      <c r="O13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47049|West|Abuja|Corporate|Store|Sofa Classic|Furniture|320000|7|Grace|256000</v>
      </c>
      <c r="P1375" s="3" t="str">
        <f>IF(COUNTIF(Sales_Data2[RowKey],Sales_Data2[[#This Row],[RowKey]])&gt;1,"Duplicate","Unique")</f>
        <v>Unique</v>
      </c>
      <c r="Q1375" s="3" t="str">
        <f>IF(ISNUMBER(Sales_Data2[[#This Row],[Date]]),"OK","Check")</f>
        <v>OK</v>
      </c>
      <c r="R1375" s="3" t="str">
        <f>IF(ISNUMBER(Sales_Data2[[#This Row],[Quantity]]),"OK","Check")</f>
        <v>OK</v>
      </c>
    </row>
    <row r="1376" spans="1:18">
      <c r="A1376" s="1">
        <v>47050</v>
      </c>
      <c r="B1376" t="s">
        <v>25</v>
      </c>
      <c r="C1376" t="s">
        <v>19</v>
      </c>
      <c r="D1376" t="s">
        <v>13</v>
      </c>
      <c r="E1376" t="s">
        <v>20</v>
      </c>
      <c r="F1376" t="s">
        <v>41</v>
      </c>
      <c r="G1376" t="s">
        <v>22</v>
      </c>
      <c r="H1376">
        <v>220000</v>
      </c>
      <c r="I1376">
        <v>5</v>
      </c>
      <c r="J1376" t="s">
        <v>35</v>
      </c>
      <c r="K1376">
        <f t="shared" si="21"/>
        <v>176000</v>
      </c>
      <c r="L1376">
        <f>Sales_Data2[[#This Row],[Unit Price]]*Sales_Data2[[#This Row],[Quantity]]</f>
        <v>1100000</v>
      </c>
      <c r="M1376">
        <f>Sales_Data2[[#This Row],[Cost Price]]*Sales_Data2[[#This Row],[Quantity]]</f>
        <v>880000</v>
      </c>
      <c r="N1376" s="3">
        <f>Sales_Data2[[#This Row],[Revenue]]-Sales_Data2[[#This Row],[COGS]]</f>
        <v>220000</v>
      </c>
      <c r="O13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47050|South|Lagos|Retail|Store|Refrigerator R55|Home Appliances|220000|5|Peter|176000</v>
      </c>
      <c r="P1376" s="3" t="str">
        <f>IF(COUNTIF(Sales_Data2[RowKey],Sales_Data2[[#This Row],[RowKey]])&gt;1,"Duplicate","Unique")</f>
        <v>Unique</v>
      </c>
      <c r="Q1376" s="3" t="str">
        <f>IF(ISNUMBER(Sales_Data2[[#This Row],[Date]]),"OK","Check")</f>
        <v>OK</v>
      </c>
      <c r="R1376" s="3" t="str">
        <f>IF(ISNUMBER(Sales_Data2[[#This Row],[Quantity]]),"OK","Check")</f>
        <v>OK</v>
      </c>
    </row>
    <row r="1377" spans="1:18">
      <c r="A1377" s="1">
        <v>47051</v>
      </c>
      <c r="B1377" t="s">
        <v>25</v>
      </c>
      <c r="C1377" t="s">
        <v>19</v>
      </c>
      <c r="D1377" t="s">
        <v>23</v>
      </c>
      <c r="E1377" t="s">
        <v>20</v>
      </c>
      <c r="F1377" t="s">
        <v>36</v>
      </c>
      <c r="G1377" t="s">
        <v>31</v>
      </c>
      <c r="H1377">
        <v>150000</v>
      </c>
      <c r="I1377">
        <v>3</v>
      </c>
      <c r="J1377" t="s">
        <v>17</v>
      </c>
      <c r="K1377">
        <f t="shared" si="21"/>
        <v>120000</v>
      </c>
      <c r="L1377">
        <f>Sales_Data2[[#This Row],[Unit Price]]*Sales_Data2[[#This Row],[Quantity]]</f>
        <v>450000</v>
      </c>
      <c r="M1377">
        <f>Sales_Data2[[#This Row],[Cost Price]]*Sales_Data2[[#This Row],[Quantity]]</f>
        <v>360000</v>
      </c>
      <c r="N1377" s="3">
        <f>Sales_Data2[[#This Row],[Revenue]]-Sales_Data2[[#This Row],[COGS]]</f>
        <v>90000</v>
      </c>
      <c r="O13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47051|South|Lagos|Corporate|Store|Printer P50|Electronics|150000|3|Chidinma|120000</v>
      </c>
      <c r="P1377" s="3" t="str">
        <f>IF(COUNTIF(Sales_Data2[RowKey],Sales_Data2[[#This Row],[RowKey]])&gt;1,"Duplicate","Unique")</f>
        <v>Unique</v>
      </c>
      <c r="Q1377" s="3" t="str">
        <f>IF(ISNUMBER(Sales_Data2[[#This Row],[Date]]),"OK","Check")</f>
        <v>OK</v>
      </c>
      <c r="R1377" s="3" t="str">
        <f>IF(ISNUMBER(Sales_Data2[[#This Row],[Quantity]]),"OK","Check")</f>
        <v>OK</v>
      </c>
    </row>
    <row r="1378" spans="1:18">
      <c r="A1378" s="1">
        <v>47052</v>
      </c>
      <c r="B1378" t="s">
        <v>11</v>
      </c>
      <c r="C1378" t="s">
        <v>19</v>
      </c>
      <c r="D1378" t="s">
        <v>23</v>
      </c>
      <c r="E1378" t="s">
        <v>14</v>
      </c>
      <c r="F1378" t="s">
        <v>38</v>
      </c>
      <c r="G1378" t="s">
        <v>31</v>
      </c>
      <c r="H1378">
        <v>420000</v>
      </c>
      <c r="I1378">
        <v>8</v>
      </c>
      <c r="J1378" t="s">
        <v>24</v>
      </c>
      <c r="K1378">
        <f t="shared" si="21"/>
        <v>336000</v>
      </c>
      <c r="L1378">
        <f>Sales_Data2[[#This Row],[Unit Price]]*Sales_Data2[[#This Row],[Quantity]]</f>
        <v>3360000</v>
      </c>
      <c r="M1378">
        <f>Sales_Data2[[#This Row],[Cost Price]]*Sales_Data2[[#This Row],[Quantity]]</f>
        <v>2688000</v>
      </c>
      <c r="N1378" s="3">
        <f>Sales_Data2[[#This Row],[Revenue]]-Sales_Data2[[#This Row],[COGS]]</f>
        <v>672000</v>
      </c>
      <c r="O13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47052|West|Lagos|Corporate|Online|Laptop A13|Electronics|420000|8|David|336000</v>
      </c>
      <c r="P1378" s="3" t="str">
        <f>IF(COUNTIF(Sales_Data2[RowKey],Sales_Data2[[#This Row],[RowKey]])&gt;1,"Duplicate","Unique")</f>
        <v>Unique</v>
      </c>
      <c r="Q1378" s="3" t="str">
        <f>IF(ISNUMBER(Sales_Data2[[#This Row],[Date]]),"OK","Check")</f>
        <v>OK</v>
      </c>
      <c r="R1378" s="3" t="str">
        <f>IF(ISNUMBER(Sales_Data2[[#This Row],[Quantity]]),"OK","Check")</f>
        <v>OK</v>
      </c>
    </row>
    <row r="1379" spans="1:18">
      <c r="A1379" s="1">
        <v>47053</v>
      </c>
      <c r="B1379" t="s">
        <v>18</v>
      </c>
      <c r="C1379" t="s">
        <v>32</v>
      </c>
      <c r="D1379" t="s">
        <v>13</v>
      </c>
      <c r="E1379" t="s">
        <v>14</v>
      </c>
      <c r="F1379" t="s">
        <v>41</v>
      </c>
      <c r="G1379" t="s">
        <v>22</v>
      </c>
      <c r="H1379">
        <v>220000</v>
      </c>
      <c r="I1379">
        <v>9</v>
      </c>
      <c r="J1379" t="s">
        <v>24</v>
      </c>
      <c r="K1379">
        <f t="shared" si="21"/>
        <v>176000</v>
      </c>
      <c r="L1379">
        <f>Sales_Data2[[#This Row],[Unit Price]]*Sales_Data2[[#This Row],[Quantity]]</f>
        <v>1980000</v>
      </c>
      <c r="M1379">
        <f>Sales_Data2[[#This Row],[Cost Price]]*Sales_Data2[[#This Row],[Quantity]]</f>
        <v>1584000</v>
      </c>
      <c r="N1379" s="3">
        <f>Sales_Data2[[#This Row],[Revenue]]-Sales_Data2[[#This Row],[COGS]]</f>
        <v>396000</v>
      </c>
      <c r="O13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47053|East|Abuja|Retail|Online|Refrigerator R55|Home Appliances|220000|9|David|176000</v>
      </c>
      <c r="P1379" s="3" t="str">
        <f>IF(COUNTIF(Sales_Data2[RowKey],Sales_Data2[[#This Row],[RowKey]])&gt;1,"Duplicate","Unique")</f>
        <v>Unique</v>
      </c>
      <c r="Q1379" s="3" t="str">
        <f>IF(ISNUMBER(Sales_Data2[[#This Row],[Date]]),"OK","Check")</f>
        <v>OK</v>
      </c>
      <c r="R1379" s="3" t="str">
        <f>IF(ISNUMBER(Sales_Data2[[#This Row],[Quantity]]),"OK","Check")</f>
        <v>OK</v>
      </c>
    </row>
    <row r="1380" spans="1:18">
      <c r="A1380" s="1">
        <v>47054</v>
      </c>
      <c r="B1380" t="s">
        <v>29</v>
      </c>
      <c r="C1380" t="s">
        <v>12</v>
      </c>
      <c r="D1380" t="s">
        <v>13</v>
      </c>
      <c r="E1380" t="s">
        <v>14</v>
      </c>
      <c r="F1380" t="s">
        <v>38</v>
      </c>
      <c r="G1380" t="s">
        <v>31</v>
      </c>
      <c r="H1380">
        <v>420000</v>
      </c>
      <c r="I1380">
        <v>3</v>
      </c>
      <c r="J1380" t="s">
        <v>39</v>
      </c>
      <c r="K1380">
        <f t="shared" si="21"/>
        <v>336000</v>
      </c>
      <c r="L1380">
        <f>Sales_Data2[[#This Row],[Unit Price]]*Sales_Data2[[#This Row],[Quantity]]</f>
        <v>1260000</v>
      </c>
      <c r="M1380">
        <f>Sales_Data2[[#This Row],[Cost Price]]*Sales_Data2[[#This Row],[Quantity]]</f>
        <v>1008000</v>
      </c>
      <c r="N1380" s="3">
        <f>Sales_Data2[[#This Row],[Revenue]]-Sales_Data2[[#This Row],[COGS]]</f>
        <v>252000</v>
      </c>
      <c r="O13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47054|North|Port Harcourt|Retail|Online|Laptop A13|Electronics|420000|3|Grace|336000</v>
      </c>
      <c r="P1380" s="3" t="str">
        <f>IF(COUNTIF(Sales_Data2[RowKey],Sales_Data2[[#This Row],[RowKey]])&gt;1,"Duplicate","Unique")</f>
        <v>Unique</v>
      </c>
      <c r="Q1380" s="3" t="str">
        <f>IF(ISNUMBER(Sales_Data2[[#This Row],[Date]]),"OK","Check")</f>
        <v>OK</v>
      </c>
      <c r="R1380" s="3" t="str">
        <f>IF(ISNUMBER(Sales_Data2[[#This Row],[Quantity]]),"OK","Check")</f>
        <v>OK</v>
      </c>
    </row>
    <row r="1381" spans="1:18">
      <c r="A1381" s="1">
        <v>47055</v>
      </c>
      <c r="B1381" t="s">
        <v>29</v>
      </c>
      <c r="C1381" t="s">
        <v>12</v>
      </c>
      <c r="D1381" t="s">
        <v>13</v>
      </c>
      <c r="E1381" t="s">
        <v>20</v>
      </c>
      <c r="F1381" t="s">
        <v>40</v>
      </c>
      <c r="G1381" t="s">
        <v>31</v>
      </c>
      <c r="H1381">
        <v>250000</v>
      </c>
      <c r="I1381">
        <v>1</v>
      </c>
      <c r="J1381" t="s">
        <v>28</v>
      </c>
      <c r="K1381">
        <f t="shared" si="21"/>
        <v>200000</v>
      </c>
      <c r="L1381">
        <f>Sales_Data2[[#This Row],[Unit Price]]*Sales_Data2[[#This Row],[Quantity]]</f>
        <v>250000</v>
      </c>
      <c r="M1381">
        <f>Sales_Data2[[#This Row],[Cost Price]]*Sales_Data2[[#This Row],[Quantity]]</f>
        <v>200000</v>
      </c>
      <c r="N1381" s="3">
        <f>Sales_Data2[[#This Row],[Revenue]]-Sales_Data2[[#This Row],[COGS]]</f>
        <v>50000</v>
      </c>
      <c r="O13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47055|North|Port Harcourt|Retail|Store|Smartphone Z10|Electronics|250000|1|Musa|200000</v>
      </c>
      <c r="P1381" s="3" t="str">
        <f>IF(COUNTIF(Sales_Data2[RowKey],Sales_Data2[[#This Row],[RowKey]])&gt;1,"Duplicate","Unique")</f>
        <v>Unique</v>
      </c>
      <c r="Q1381" s="3" t="str">
        <f>IF(ISNUMBER(Sales_Data2[[#This Row],[Date]]),"OK","Check")</f>
        <v>OK</v>
      </c>
      <c r="R1381" s="3" t="str">
        <f>IF(ISNUMBER(Sales_Data2[[#This Row],[Quantity]]),"OK","Check")</f>
        <v>OK</v>
      </c>
    </row>
    <row r="1382" spans="1:18">
      <c r="A1382" s="1">
        <v>47056</v>
      </c>
      <c r="B1382" t="s">
        <v>18</v>
      </c>
      <c r="C1382" t="s">
        <v>19</v>
      </c>
      <c r="D1382" t="s">
        <v>13</v>
      </c>
      <c r="E1382" t="s">
        <v>20</v>
      </c>
      <c r="F1382" t="s">
        <v>34</v>
      </c>
      <c r="G1382" t="s">
        <v>16</v>
      </c>
      <c r="H1382">
        <v>320000</v>
      </c>
      <c r="I1382">
        <v>7</v>
      </c>
      <c r="J1382" t="s">
        <v>37</v>
      </c>
      <c r="K1382">
        <f t="shared" si="21"/>
        <v>256000</v>
      </c>
      <c r="L1382">
        <f>Sales_Data2[[#This Row],[Unit Price]]*Sales_Data2[[#This Row],[Quantity]]</f>
        <v>2240000</v>
      </c>
      <c r="M1382">
        <f>Sales_Data2[[#This Row],[Cost Price]]*Sales_Data2[[#This Row],[Quantity]]</f>
        <v>1792000</v>
      </c>
      <c r="N1382" s="3">
        <f>Sales_Data2[[#This Row],[Revenue]]-Sales_Data2[[#This Row],[COGS]]</f>
        <v>448000</v>
      </c>
      <c r="O13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47056|East|Lagos|Retail|Store|Sofa Classic|Furniture|320000|7|Aisha|256000</v>
      </c>
      <c r="P1382" s="3" t="str">
        <f>IF(COUNTIF(Sales_Data2[RowKey],Sales_Data2[[#This Row],[RowKey]])&gt;1,"Duplicate","Unique")</f>
        <v>Unique</v>
      </c>
      <c r="Q1382" s="3" t="str">
        <f>IF(ISNUMBER(Sales_Data2[[#This Row],[Date]]),"OK","Check")</f>
        <v>OK</v>
      </c>
      <c r="R1382" s="3" t="str">
        <f>IF(ISNUMBER(Sales_Data2[[#This Row],[Quantity]]),"OK","Check")</f>
        <v>OK</v>
      </c>
    </row>
    <row r="1383" spans="1:18">
      <c r="A1383" s="1">
        <v>47057</v>
      </c>
      <c r="B1383" t="s">
        <v>29</v>
      </c>
      <c r="C1383" t="s">
        <v>19</v>
      </c>
      <c r="D1383" t="s">
        <v>13</v>
      </c>
      <c r="E1383" t="s">
        <v>14</v>
      </c>
      <c r="F1383" t="s">
        <v>38</v>
      </c>
      <c r="G1383" t="s">
        <v>31</v>
      </c>
      <c r="H1383">
        <v>420000</v>
      </c>
      <c r="I1383">
        <v>2</v>
      </c>
      <c r="J1383" t="s">
        <v>39</v>
      </c>
      <c r="K1383">
        <f t="shared" si="21"/>
        <v>336000</v>
      </c>
      <c r="L1383">
        <f>Sales_Data2[[#This Row],[Unit Price]]*Sales_Data2[[#This Row],[Quantity]]</f>
        <v>840000</v>
      </c>
      <c r="M1383">
        <f>Sales_Data2[[#This Row],[Cost Price]]*Sales_Data2[[#This Row],[Quantity]]</f>
        <v>672000</v>
      </c>
      <c r="N1383" s="3">
        <f>Sales_Data2[[#This Row],[Revenue]]-Sales_Data2[[#This Row],[COGS]]</f>
        <v>168000</v>
      </c>
      <c r="O13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47057|North|Lagos|Retail|Online|Laptop A13|Electronics|420000|2|Grace|336000</v>
      </c>
      <c r="P1383" s="3" t="str">
        <f>IF(COUNTIF(Sales_Data2[RowKey],Sales_Data2[[#This Row],[RowKey]])&gt;1,"Duplicate","Unique")</f>
        <v>Unique</v>
      </c>
      <c r="Q1383" s="3" t="str">
        <f>IF(ISNUMBER(Sales_Data2[[#This Row],[Date]]),"OK","Check")</f>
        <v>OK</v>
      </c>
      <c r="R1383" s="3" t="str">
        <f>IF(ISNUMBER(Sales_Data2[[#This Row],[Quantity]]),"OK","Check")</f>
        <v>OK</v>
      </c>
    </row>
    <row r="1384" spans="1:18">
      <c r="A1384" s="1">
        <v>47058</v>
      </c>
      <c r="B1384" t="s">
        <v>25</v>
      </c>
      <c r="C1384" t="s">
        <v>12</v>
      </c>
      <c r="D1384" t="s">
        <v>13</v>
      </c>
      <c r="E1384" t="s">
        <v>20</v>
      </c>
      <c r="F1384" t="s">
        <v>34</v>
      </c>
      <c r="G1384" t="s">
        <v>16</v>
      </c>
      <c r="H1384">
        <v>320000</v>
      </c>
      <c r="I1384">
        <v>3</v>
      </c>
      <c r="J1384" t="s">
        <v>28</v>
      </c>
      <c r="K1384">
        <f t="shared" si="21"/>
        <v>256000</v>
      </c>
      <c r="L1384">
        <f>Sales_Data2[[#This Row],[Unit Price]]*Sales_Data2[[#This Row],[Quantity]]</f>
        <v>960000</v>
      </c>
      <c r="M1384">
        <f>Sales_Data2[[#This Row],[Cost Price]]*Sales_Data2[[#This Row],[Quantity]]</f>
        <v>768000</v>
      </c>
      <c r="N1384" s="3">
        <f>Sales_Data2[[#This Row],[Revenue]]-Sales_Data2[[#This Row],[COGS]]</f>
        <v>192000</v>
      </c>
      <c r="O13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47058|South|Port Harcourt|Retail|Store|Sofa Classic|Furniture|320000|3|Musa|256000</v>
      </c>
      <c r="P1384" s="3" t="str">
        <f>IF(COUNTIF(Sales_Data2[RowKey],Sales_Data2[[#This Row],[RowKey]])&gt;1,"Duplicate","Unique")</f>
        <v>Unique</v>
      </c>
      <c r="Q1384" s="3" t="str">
        <f>IF(ISNUMBER(Sales_Data2[[#This Row],[Date]]),"OK","Check")</f>
        <v>OK</v>
      </c>
      <c r="R1384" s="3" t="str">
        <f>IF(ISNUMBER(Sales_Data2[[#This Row],[Quantity]]),"OK","Check")</f>
        <v>OK</v>
      </c>
    </row>
    <row r="1385" spans="1:18">
      <c r="A1385" s="1">
        <v>47059</v>
      </c>
      <c r="B1385" t="s">
        <v>25</v>
      </c>
      <c r="C1385" t="s">
        <v>12</v>
      </c>
      <c r="D1385" t="s">
        <v>23</v>
      </c>
      <c r="E1385" t="s">
        <v>14</v>
      </c>
      <c r="F1385" t="s">
        <v>36</v>
      </c>
      <c r="G1385" t="s">
        <v>31</v>
      </c>
      <c r="H1385">
        <v>150000</v>
      </c>
      <c r="I1385">
        <v>2</v>
      </c>
      <c r="J1385" t="s">
        <v>37</v>
      </c>
      <c r="K1385">
        <f t="shared" si="21"/>
        <v>120000</v>
      </c>
      <c r="L1385">
        <f>Sales_Data2[[#This Row],[Unit Price]]*Sales_Data2[[#This Row],[Quantity]]</f>
        <v>300000</v>
      </c>
      <c r="M1385">
        <f>Sales_Data2[[#This Row],[Cost Price]]*Sales_Data2[[#This Row],[Quantity]]</f>
        <v>240000</v>
      </c>
      <c r="N1385" s="3">
        <f>Sales_Data2[[#This Row],[Revenue]]-Sales_Data2[[#This Row],[COGS]]</f>
        <v>60000</v>
      </c>
      <c r="O13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47059|South|Port Harcourt|Corporate|Online|Printer P50|Electronics|150000|2|Aisha|120000</v>
      </c>
      <c r="P1385" s="3" t="str">
        <f>IF(COUNTIF(Sales_Data2[RowKey],Sales_Data2[[#This Row],[RowKey]])&gt;1,"Duplicate","Unique")</f>
        <v>Unique</v>
      </c>
      <c r="Q1385" s="3" t="str">
        <f>IF(ISNUMBER(Sales_Data2[[#This Row],[Date]]),"OK","Check")</f>
        <v>OK</v>
      </c>
      <c r="R1385" s="3" t="str">
        <f>IF(ISNUMBER(Sales_Data2[[#This Row],[Quantity]]),"OK","Check")</f>
        <v>OK</v>
      </c>
    </row>
    <row r="1386" spans="1:18">
      <c r="A1386" s="1">
        <v>47060</v>
      </c>
      <c r="B1386" t="s">
        <v>11</v>
      </c>
      <c r="C1386" t="s">
        <v>19</v>
      </c>
      <c r="D1386" t="s">
        <v>23</v>
      </c>
      <c r="E1386" t="s">
        <v>20</v>
      </c>
      <c r="F1386" t="s">
        <v>38</v>
      </c>
      <c r="G1386" t="s">
        <v>31</v>
      </c>
      <c r="H1386">
        <v>420000</v>
      </c>
      <c r="I1386">
        <v>8</v>
      </c>
      <c r="J1386" t="s">
        <v>28</v>
      </c>
      <c r="K1386">
        <f t="shared" si="21"/>
        <v>336000</v>
      </c>
      <c r="L1386">
        <f>Sales_Data2[[#This Row],[Unit Price]]*Sales_Data2[[#This Row],[Quantity]]</f>
        <v>3360000</v>
      </c>
      <c r="M1386">
        <f>Sales_Data2[[#This Row],[Cost Price]]*Sales_Data2[[#This Row],[Quantity]]</f>
        <v>2688000</v>
      </c>
      <c r="N1386" s="3">
        <f>Sales_Data2[[#This Row],[Revenue]]-Sales_Data2[[#This Row],[COGS]]</f>
        <v>672000</v>
      </c>
      <c r="O13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47060|West|Lagos|Corporate|Store|Laptop A13|Electronics|420000|8|Musa|336000</v>
      </c>
      <c r="P1386" s="3" t="str">
        <f>IF(COUNTIF(Sales_Data2[RowKey],Sales_Data2[[#This Row],[RowKey]])&gt;1,"Duplicate","Unique")</f>
        <v>Unique</v>
      </c>
      <c r="Q1386" s="3" t="str">
        <f>IF(ISNUMBER(Sales_Data2[[#This Row],[Date]]),"OK","Check")</f>
        <v>OK</v>
      </c>
      <c r="R1386" s="3" t="str">
        <f>IF(ISNUMBER(Sales_Data2[[#This Row],[Quantity]]),"OK","Check")</f>
        <v>OK</v>
      </c>
    </row>
    <row r="1387" spans="1:18">
      <c r="A1387" s="1">
        <v>47061</v>
      </c>
      <c r="B1387" t="s">
        <v>18</v>
      </c>
      <c r="C1387" t="s">
        <v>12</v>
      </c>
      <c r="D1387" t="s">
        <v>23</v>
      </c>
      <c r="E1387" t="s">
        <v>20</v>
      </c>
      <c r="F1387" t="s">
        <v>38</v>
      </c>
      <c r="G1387" t="s">
        <v>31</v>
      </c>
      <c r="H1387">
        <v>420000</v>
      </c>
      <c r="I1387">
        <v>1</v>
      </c>
      <c r="J1387" t="s">
        <v>39</v>
      </c>
      <c r="K1387">
        <f t="shared" si="21"/>
        <v>336000</v>
      </c>
      <c r="L1387">
        <f>Sales_Data2[[#This Row],[Unit Price]]*Sales_Data2[[#This Row],[Quantity]]</f>
        <v>420000</v>
      </c>
      <c r="M1387">
        <f>Sales_Data2[[#This Row],[Cost Price]]*Sales_Data2[[#This Row],[Quantity]]</f>
        <v>336000</v>
      </c>
      <c r="N1387" s="3">
        <f>Sales_Data2[[#This Row],[Revenue]]-Sales_Data2[[#This Row],[COGS]]</f>
        <v>84000</v>
      </c>
      <c r="O13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47061|East|Port Harcourt|Corporate|Store|Laptop A13|Electronics|420000|1|Grace|336000</v>
      </c>
      <c r="P1387" s="3" t="str">
        <f>IF(COUNTIF(Sales_Data2[RowKey],Sales_Data2[[#This Row],[RowKey]])&gt;1,"Duplicate","Unique")</f>
        <v>Unique</v>
      </c>
      <c r="Q1387" s="3" t="str">
        <f>IF(ISNUMBER(Sales_Data2[[#This Row],[Date]]),"OK","Check")</f>
        <v>OK</v>
      </c>
      <c r="R1387" s="3" t="str">
        <f>IF(ISNUMBER(Sales_Data2[[#This Row],[Quantity]]),"OK","Check")</f>
        <v>OK</v>
      </c>
    </row>
    <row r="1388" spans="1:18">
      <c r="A1388" s="1">
        <v>47062</v>
      </c>
      <c r="B1388" t="s">
        <v>11</v>
      </c>
      <c r="C1388" t="s">
        <v>32</v>
      </c>
      <c r="D1388" t="s">
        <v>13</v>
      </c>
      <c r="E1388" t="s">
        <v>14</v>
      </c>
      <c r="F1388" t="s">
        <v>30</v>
      </c>
      <c r="G1388" t="s">
        <v>31</v>
      </c>
      <c r="H1388">
        <v>300000</v>
      </c>
      <c r="I1388">
        <v>5</v>
      </c>
      <c r="J1388" t="s">
        <v>35</v>
      </c>
      <c r="K1388">
        <f t="shared" si="21"/>
        <v>240000</v>
      </c>
      <c r="L1388">
        <f>Sales_Data2[[#This Row],[Unit Price]]*Sales_Data2[[#This Row],[Quantity]]</f>
        <v>1500000</v>
      </c>
      <c r="M1388">
        <f>Sales_Data2[[#This Row],[Cost Price]]*Sales_Data2[[#This Row],[Quantity]]</f>
        <v>1200000</v>
      </c>
      <c r="N1388" s="3">
        <f>Sales_Data2[[#This Row],[Revenue]]-Sales_Data2[[#This Row],[COGS]]</f>
        <v>300000</v>
      </c>
      <c r="O13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47062|West|Abuja|Retail|Online|Desktop PC D21|Electronics|300000|5|Peter|240000</v>
      </c>
      <c r="P1388" s="3" t="str">
        <f>IF(COUNTIF(Sales_Data2[RowKey],Sales_Data2[[#This Row],[RowKey]])&gt;1,"Duplicate","Unique")</f>
        <v>Unique</v>
      </c>
      <c r="Q1388" s="3" t="str">
        <f>IF(ISNUMBER(Sales_Data2[[#This Row],[Date]]),"OK","Check")</f>
        <v>OK</v>
      </c>
      <c r="R1388" s="3" t="str">
        <f>IF(ISNUMBER(Sales_Data2[[#This Row],[Quantity]]),"OK","Check")</f>
        <v>OK</v>
      </c>
    </row>
    <row r="1389" spans="1:18">
      <c r="A1389" s="1">
        <v>47063</v>
      </c>
      <c r="B1389" t="s">
        <v>18</v>
      </c>
      <c r="C1389" t="s">
        <v>12</v>
      </c>
      <c r="D1389" t="s">
        <v>13</v>
      </c>
      <c r="E1389" t="s">
        <v>20</v>
      </c>
      <c r="F1389" t="s">
        <v>33</v>
      </c>
      <c r="G1389" t="s">
        <v>22</v>
      </c>
      <c r="H1389">
        <v>180000</v>
      </c>
      <c r="I1389">
        <v>7</v>
      </c>
      <c r="J1389" t="s">
        <v>37</v>
      </c>
      <c r="K1389">
        <f t="shared" si="21"/>
        <v>144000</v>
      </c>
      <c r="L1389">
        <f>Sales_Data2[[#This Row],[Unit Price]]*Sales_Data2[[#This Row],[Quantity]]</f>
        <v>1260000</v>
      </c>
      <c r="M1389">
        <f>Sales_Data2[[#This Row],[Cost Price]]*Sales_Data2[[#This Row],[Quantity]]</f>
        <v>1008000</v>
      </c>
      <c r="N1389" s="3">
        <f>Sales_Data2[[#This Row],[Revenue]]-Sales_Data2[[#This Row],[COGS]]</f>
        <v>252000</v>
      </c>
      <c r="O13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47063|East|Port Harcourt|Retail|Store|Air Conditioner X2|Home Appliances|180000|7|Aisha|144000</v>
      </c>
      <c r="P1389" s="3" t="str">
        <f>IF(COUNTIF(Sales_Data2[RowKey],Sales_Data2[[#This Row],[RowKey]])&gt;1,"Duplicate","Unique")</f>
        <v>Unique</v>
      </c>
      <c r="Q1389" s="3" t="str">
        <f>IF(ISNUMBER(Sales_Data2[[#This Row],[Date]]),"OK","Check")</f>
        <v>OK</v>
      </c>
      <c r="R1389" s="3" t="str">
        <f>IF(ISNUMBER(Sales_Data2[[#This Row],[Quantity]]),"OK","Check")</f>
        <v>OK</v>
      </c>
    </row>
    <row r="1390" spans="1:18">
      <c r="A1390" s="1">
        <v>47064</v>
      </c>
      <c r="B1390" t="s">
        <v>11</v>
      </c>
      <c r="C1390" t="s">
        <v>32</v>
      </c>
      <c r="D1390" t="s">
        <v>13</v>
      </c>
      <c r="E1390" t="s">
        <v>20</v>
      </c>
      <c r="F1390" t="s">
        <v>36</v>
      </c>
      <c r="G1390" t="s">
        <v>31</v>
      </c>
      <c r="H1390">
        <v>150000</v>
      </c>
      <c r="I1390">
        <v>10</v>
      </c>
      <c r="J1390" t="s">
        <v>24</v>
      </c>
      <c r="K1390">
        <f t="shared" si="21"/>
        <v>120000</v>
      </c>
      <c r="L1390">
        <f>Sales_Data2[[#This Row],[Unit Price]]*Sales_Data2[[#This Row],[Quantity]]</f>
        <v>1500000</v>
      </c>
      <c r="M1390">
        <f>Sales_Data2[[#This Row],[Cost Price]]*Sales_Data2[[#This Row],[Quantity]]</f>
        <v>1200000</v>
      </c>
      <c r="N1390" s="3">
        <f>Sales_Data2[[#This Row],[Revenue]]-Sales_Data2[[#This Row],[COGS]]</f>
        <v>300000</v>
      </c>
      <c r="O13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47064|West|Abuja|Retail|Store|Printer P50|Electronics|150000|10|David|120000</v>
      </c>
      <c r="P1390" s="3" t="str">
        <f>IF(COUNTIF(Sales_Data2[RowKey],Sales_Data2[[#This Row],[RowKey]])&gt;1,"Duplicate","Unique")</f>
        <v>Unique</v>
      </c>
      <c r="Q1390" s="3" t="str">
        <f>IF(ISNUMBER(Sales_Data2[[#This Row],[Date]]),"OK","Check")</f>
        <v>OK</v>
      </c>
      <c r="R1390" s="3" t="str">
        <f>IF(ISNUMBER(Sales_Data2[[#This Row],[Quantity]]),"OK","Check")</f>
        <v>OK</v>
      </c>
    </row>
    <row r="1391" spans="1:18">
      <c r="A1391" s="1">
        <v>47065</v>
      </c>
      <c r="B1391" t="s">
        <v>11</v>
      </c>
      <c r="C1391" t="s">
        <v>32</v>
      </c>
      <c r="D1391" t="s">
        <v>23</v>
      </c>
      <c r="E1391" t="s">
        <v>14</v>
      </c>
      <c r="F1391" t="s">
        <v>30</v>
      </c>
      <c r="G1391" t="s">
        <v>31</v>
      </c>
      <c r="H1391">
        <v>300000</v>
      </c>
      <c r="I1391">
        <v>7</v>
      </c>
      <c r="J1391" t="s">
        <v>35</v>
      </c>
      <c r="K1391">
        <f t="shared" si="21"/>
        <v>240000</v>
      </c>
      <c r="L1391">
        <f>Sales_Data2[[#This Row],[Unit Price]]*Sales_Data2[[#This Row],[Quantity]]</f>
        <v>2100000</v>
      </c>
      <c r="M1391">
        <f>Sales_Data2[[#This Row],[Cost Price]]*Sales_Data2[[#This Row],[Quantity]]</f>
        <v>1680000</v>
      </c>
      <c r="N1391" s="3">
        <f>Sales_Data2[[#This Row],[Revenue]]-Sales_Data2[[#This Row],[COGS]]</f>
        <v>420000</v>
      </c>
      <c r="O13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47065|West|Abuja|Corporate|Online|Desktop PC D21|Electronics|300000|7|Peter|240000</v>
      </c>
      <c r="P1391" s="3" t="str">
        <f>IF(COUNTIF(Sales_Data2[RowKey],Sales_Data2[[#This Row],[RowKey]])&gt;1,"Duplicate","Unique")</f>
        <v>Unique</v>
      </c>
      <c r="Q1391" s="3" t="str">
        <f>IF(ISNUMBER(Sales_Data2[[#This Row],[Date]]),"OK","Check")</f>
        <v>OK</v>
      </c>
      <c r="R1391" s="3" t="str">
        <f>IF(ISNUMBER(Sales_Data2[[#This Row],[Quantity]]),"OK","Check")</f>
        <v>OK</v>
      </c>
    </row>
    <row r="1392" spans="1:18">
      <c r="A1392" s="1">
        <v>47066</v>
      </c>
      <c r="B1392" t="s">
        <v>29</v>
      </c>
      <c r="C1392" t="s">
        <v>19</v>
      </c>
      <c r="D1392" t="s">
        <v>13</v>
      </c>
      <c r="E1392" t="s">
        <v>20</v>
      </c>
      <c r="F1392" t="s">
        <v>41</v>
      </c>
      <c r="G1392" t="s">
        <v>22</v>
      </c>
      <c r="H1392">
        <v>220000</v>
      </c>
      <c r="I1392">
        <v>2</v>
      </c>
      <c r="J1392" t="s">
        <v>17</v>
      </c>
      <c r="K1392">
        <f t="shared" si="21"/>
        <v>176000</v>
      </c>
      <c r="L1392">
        <f>Sales_Data2[[#This Row],[Unit Price]]*Sales_Data2[[#This Row],[Quantity]]</f>
        <v>440000</v>
      </c>
      <c r="M1392">
        <f>Sales_Data2[[#This Row],[Cost Price]]*Sales_Data2[[#This Row],[Quantity]]</f>
        <v>352000</v>
      </c>
      <c r="N1392" s="3">
        <f>Sales_Data2[[#This Row],[Revenue]]-Sales_Data2[[#This Row],[COGS]]</f>
        <v>88000</v>
      </c>
      <c r="O13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47066|North|Lagos|Retail|Store|Refrigerator R55|Home Appliances|220000|2|Chidinma|176000</v>
      </c>
      <c r="P1392" s="3" t="str">
        <f>IF(COUNTIF(Sales_Data2[RowKey],Sales_Data2[[#This Row],[RowKey]])&gt;1,"Duplicate","Unique")</f>
        <v>Unique</v>
      </c>
      <c r="Q1392" s="3" t="str">
        <f>IF(ISNUMBER(Sales_Data2[[#This Row],[Date]]),"OK","Check")</f>
        <v>OK</v>
      </c>
      <c r="R1392" s="3" t="str">
        <f>IF(ISNUMBER(Sales_Data2[[#This Row],[Quantity]]),"OK","Check")</f>
        <v>OK</v>
      </c>
    </row>
    <row r="1393" spans="1:18">
      <c r="A1393" s="1">
        <v>47067</v>
      </c>
      <c r="B1393" t="s">
        <v>18</v>
      </c>
      <c r="C1393" t="s">
        <v>12</v>
      </c>
      <c r="D1393" t="s">
        <v>13</v>
      </c>
      <c r="E1393" t="s">
        <v>20</v>
      </c>
      <c r="F1393" t="s">
        <v>15</v>
      </c>
      <c r="G1393" t="s">
        <v>16</v>
      </c>
      <c r="H1393">
        <v>85000</v>
      </c>
      <c r="I1393">
        <v>8</v>
      </c>
      <c r="J1393" t="s">
        <v>28</v>
      </c>
      <c r="K1393">
        <f t="shared" si="21"/>
        <v>68000</v>
      </c>
      <c r="L1393">
        <f>Sales_Data2[[#This Row],[Unit Price]]*Sales_Data2[[#This Row],[Quantity]]</f>
        <v>680000</v>
      </c>
      <c r="M1393">
        <f>Sales_Data2[[#This Row],[Cost Price]]*Sales_Data2[[#This Row],[Quantity]]</f>
        <v>544000</v>
      </c>
      <c r="N1393" s="3">
        <f>Sales_Data2[[#This Row],[Revenue]]-Sales_Data2[[#This Row],[COGS]]</f>
        <v>136000</v>
      </c>
      <c r="O13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47067|East|Port Harcourt|Retail|Store|Office Chair Pro|Furniture|85000|8|Musa|68000</v>
      </c>
      <c r="P1393" s="3" t="str">
        <f>IF(COUNTIF(Sales_Data2[RowKey],Sales_Data2[[#This Row],[RowKey]])&gt;1,"Duplicate","Unique")</f>
        <v>Unique</v>
      </c>
      <c r="Q1393" s="3" t="str">
        <f>IF(ISNUMBER(Sales_Data2[[#This Row],[Date]]),"OK","Check")</f>
        <v>OK</v>
      </c>
      <c r="R1393" s="3" t="str">
        <f>IF(ISNUMBER(Sales_Data2[[#This Row],[Quantity]]),"OK","Check")</f>
        <v>OK</v>
      </c>
    </row>
    <row r="1394" spans="1:18">
      <c r="A1394" s="1">
        <v>47068</v>
      </c>
      <c r="B1394" t="s">
        <v>11</v>
      </c>
      <c r="C1394" t="s">
        <v>19</v>
      </c>
      <c r="D1394" t="s">
        <v>13</v>
      </c>
      <c r="E1394" t="s">
        <v>14</v>
      </c>
      <c r="F1394" t="s">
        <v>41</v>
      </c>
      <c r="G1394" t="s">
        <v>22</v>
      </c>
      <c r="H1394">
        <v>220000</v>
      </c>
      <c r="I1394">
        <v>7</v>
      </c>
      <c r="J1394" t="s">
        <v>39</v>
      </c>
      <c r="K1394">
        <f t="shared" si="21"/>
        <v>176000</v>
      </c>
      <c r="L1394">
        <f>Sales_Data2[[#This Row],[Unit Price]]*Sales_Data2[[#This Row],[Quantity]]</f>
        <v>1540000</v>
      </c>
      <c r="M1394">
        <f>Sales_Data2[[#This Row],[Cost Price]]*Sales_Data2[[#This Row],[Quantity]]</f>
        <v>1232000</v>
      </c>
      <c r="N1394" s="3">
        <f>Sales_Data2[[#This Row],[Revenue]]-Sales_Data2[[#This Row],[COGS]]</f>
        <v>308000</v>
      </c>
      <c r="O13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47068|West|Lagos|Retail|Online|Refrigerator R55|Home Appliances|220000|7|Grace|176000</v>
      </c>
      <c r="P1394" s="3" t="str">
        <f>IF(COUNTIF(Sales_Data2[RowKey],Sales_Data2[[#This Row],[RowKey]])&gt;1,"Duplicate","Unique")</f>
        <v>Unique</v>
      </c>
      <c r="Q1394" s="3" t="str">
        <f>IF(ISNUMBER(Sales_Data2[[#This Row],[Date]]),"OK","Check")</f>
        <v>OK</v>
      </c>
      <c r="R1394" s="3" t="str">
        <f>IF(ISNUMBER(Sales_Data2[[#This Row],[Quantity]]),"OK","Check")</f>
        <v>OK</v>
      </c>
    </row>
    <row r="1395" spans="1:18">
      <c r="A1395" s="1">
        <v>47069</v>
      </c>
      <c r="B1395" t="s">
        <v>29</v>
      </c>
      <c r="C1395" t="s">
        <v>32</v>
      </c>
      <c r="D1395" t="s">
        <v>13</v>
      </c>
      <c r="E1395" t="s">
        <v>20</v>
      </c>
      <c r="F1395" t="s">
        <v>41</v>
      </c>
      <c r="G1395" t="s">
        <v>22</v>
      </c>
      <c r="H1395">
        <v>220000</v>
      </c>
      <c r="I1395">
        <v>6</v>
      </c>
      <c r="J1395" t="s">
        <v>35</v>
      </c>
      <c r="K1395">
        <f t="shared" si="21"/>
        <v>176000</v>
      </c>
      <c r="L1395">
        <f>Sales_Data2[[#This Row],[Unit Price]]*Sales_Data2[[#This Row],[Quantity]]</f>
        <v>1320000</v>
      </c>
      <c r="M1395">
        <f>Sales_Data2[[#This Row],[Cost Price]]*Sales_Data2[[#This Row],[Quantity]]</f>
        <v>1056000</v>
      </c>
      <c r="N1395" s="3">
        <f>Sales_Data2[[#This Row],[Revenue]]-Sales_Data2[[#This Row],[COGS]]</f>
        <v>264000</v>
      </c>
      <c r="O13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47069|North|Abuja|Retail|Store|Refrigerator R55|Home Appliances|220000|6|Peter|176000</v>
      </c>
      <c r="P1395" s="3" t="str">
        <f>IF(COUNTIF(Sales_Data2[RowKey],Sales_Data2[[#This Row],[RowKey]])&gt;1,"Duplicate","Unique")</f>
        <v>Unique</v>
      </c>
      <c r="Q1395" s="3" t="str">
        <f>IF(ISNUMBER(Sales_Data2[[#This Row],[Date]]),"OK","Check")</f>
        <v>OK</v>
      </c>
      <c r="R1395" s="3" t="str">
        <f>IF(ISNUMBER(Sales_Data2[[#This Row],[Quantity]]),"OK","Check")</f>
        <v>OK</v>
      </c>
    </row>
    <row r="1396" spans="1:18">
      <c r="A1396" s="1">
        <v>47070</v>
      </c>
      <c r="B1396" t="s">
        <v>29</v>
      </c>
      <c r="C1396" t="s">
        <v>12</v>
      </c>
      <c r="D1396" t="s">
        <v>13</v>
      </c>
      <c r="E1396" t="s">
        <v>20</v>
      </c>
      <c r="F1396" t="s">
        <v>33</v>
      </c>
      <c r="G1396" t="s">
        <v>22</v>
      </c>
      <c r="H1396">
        <v>180000</v>
      </c>
      <c r="I1396">
        <v>3</v>
      </c>
      <c r="J1396" t="s">
        <v>28</v>
      </c>
      <c r="K1396">
        <f t="shared" si="21"/>
        <v>144000</v>
      </c>
      <c r="L1396">
        <f>Sales_Data2[[#This Row],[Unit Price]]*Sales_Data2[[#This Row],[Quantity]]</f>
        <v>540000</v>
      </c>
      <c r="M1396">
        <f>Sales_Data2[[#This Row],[Cost Price]]*Sales_Data2[[#This Row],[Quantity]]</f>
        <v>432000</v>
      </c>
      <c r="N1396" s="3">
        <f>Sales_Data2[[#This Row],[Revenue]]-Sales_Data2[[#This Row],[COGS]]</f>
        <v>108000</v>
      </c>
      <c r="O13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47070|North|Port Harcourt|Retail|Store|Air Conditioner X2|Home Appliances|180000|3|Musa|144000</v>
      </c>
      <c r="P1396" s="3" t="str">
        <f>IF(COUNTIF(Sales_Data2[RowKey],Sales_Data2[[#This Row],[RowKey]])&gt;1,"Duplicate","Unique")</f>
        <v>Unique</v>
      </c>
      <c r="Q1396" s="3" t="str">
        <f>IF(ISNUMBER(Sales_Data2[[#This Row],[Date]]),"OK","Check")</f>
        <v>OK</v>
      </c>
      <c r="R1396" s="3" t="str">
        <f>IF(ISNUMBER(Sales_Data2[[#This Row],[Quantity]]),"OK","Check")</f>
        <v>OK</v>
      </c>
    </row>
    <row r="1397" spans="1:18">
      <c r="A1397" s="1">
        <v>47071</v>
      </c>
      <c r="B1397" t="s">
        <v>25</v>
      </c>
      <c r="C1397" t="s">
        <v>19</v>
      </c>
      <c r="D1397" t="s">
        <v>13</v>
      </c>
      <c r="E1397" t="s">
        <v>14</v>
      </c>
      <c r="F1397" t="s">
        <v>40</v>
      </c>
      <c r="G1397" t="s">
        <v>31</v>
      </c>
      <c r="H1397">
        <v>250000</v>
      </c>
      <c r="I1397">
        <v>6</v>
      </c>
      <c r="J1397" t="s">
        <v>35</v>
      </c>
      <c r="K1397">
        <f t="shared" si="21"/>
        <v>200000</v>
      </c>
      <c r="L1397">
        <f>Sales_Data2[[#This Row],[Unit Price]]*Sales_Data2[[#This Row],[Quantity]]</f>
        <v>1500000</v>
      </c>
      <c r="M1397">
        <f>Sales_Data2[[#This Row],[Cost Price]]*Sales_Data2[[#This Row],[Quantity]]</f>
        <v>1200000</v>
      </c>
      <c r="N1397" s="3">
        <f>Sales_Data2[[#This Row],[Revenue]]-Sales_Data2[[#This Row],[COGS]]</f>
        <v>300000</v>
      </c>
      <c r="O13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47071|South|Lagos|Retail|Online|Smartphone Z10|Electronics|250000|6|Peter|200000</v>
      </c>
      <c r="P1397" s="3" t="str">
        <f>IF(COUNTIF(Sales_Data2[RowKey],Sales_Data2[[#This Row],[RowKey]])&gt;1,"Duplicate","Unique")</f>
        <v>Unique</v>
      </c>
      <c r="Q1397" s="3" t="str">
        <f>IF(ISNUMBER(Sales_Data2[[#This Row],[Date]]),"OK","Check")</f>
        <v>OK</v>
      </c>
      <c r="R1397" s="3" t="str">
        <f>IF(ISNUMBER(Sales_Data2[[#This Row],[Quantity]]),"OK","Check")</f>
        <v>OK</v>
      </c>
    </row>
    <row r="1398" spans="1:18">
      <c r="A1398" s="1">
        <v>47072</v>
      </c>
      <c r="B1398" t="s">
        <v>11</v>
      </c>
      <c r="C1398" t="s">
        <v>26</v>
      </c>
      <c r="D1398" t="s">
        <v>23</v>
      </c>
      <c r="E1398" t="s">
        <v>20</v>
      </c>
      <c r="F1398" t="s">
        <v>36</v>
      </c>
      <c r="G1398" t="s">
        <v>31</v>
      </c>
      <c r="H1398">
        <v>150000</v>
      </c>
      <c r="I1398">
        <v>7</v>
      </c>
      <c r="J1398" t="s">
        <v>37</v>
      </c>
      <c r="K1398">
        <f t="shared" si="21"/>
        <v>120000</v>
      </c>
      <c r="L1398">
        <f>Sales_Data2[[#This Row],[Unit Price]]*Sales_Data2[[#This Row],[Quantity]]</f>
        <v>1050000</v>
      </c>
      <c r="M1398">
        <f>Sales_Data2[[#This Row],[Cost Price]]*Sales_Data2[[#This Row],[Quantity]]</f>
        <v>840000</v>
      </c>
      <c r="N1398" s="3">
        <f>Sales_Data2[[#This Row],[Revenue]]-Sales_Data2[[#This Row],[COGS]]</f>
        <v>210000</v>
      </c>
      <c r="O13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47072|West|Kano|Corporate|Store|Printer P50|Electronics|150000|7|Aisha|120000</v>
      </c>
      <c r="P1398" s="3" t="str">
        <f>IF(COUNTIF(Sales_Data2[RowKey],Sales_Data2[[#This Row],[RowKey]])&gt;1,"Duplicate","Unique")</f>
        <v>Unique</v>
      </c>
      <c r="Q1398" s="3" t="str">
        <f>IF(ISNUMBER(Sales_Data2[[#This Row],[Date]]),"OK","Check")</f>
        <v>OK</v>
      </c>
      <c r="R1398" s="3" t="str">
        <f>IF(ISNUMBER(Sales_Data2[[#This Row],[Quantity]]),"OK","Check")</f>
        <v>OK</v>
      </c>
    </row>
    <row r="1399" spans="1:18">
      <c r="A1399" s="1">
        <v>47073</v>
      </c>
      <c r="B1399" t="s">
        <v>25</v>
      </c>
      <c r="C1399" t="s">
        <v>12</v>
      </c>
      <c r="D1399" t="s">
        <v>13</v>
      </c>
      <c r="E1399" t="s">
        <v>14</v>
      </c>
      <c r="F1399" t="s">
        <v>30</v>
      </c>
      <c r="G1399" t="s">
        <v>31</v>
      </c>
      <c r="H1399">
        <v>300000</v>
      </c>
      <c r="I1399">
        <v>9</v>
      </c>
      <c r="J1399" t="s">
        <v>17</v>
      </c>
      <c r="K1399">
        <f t="shared" si="21"/>
        <v>240000</v>
      </c>
      <c r="L1399">
        <f>Sales_Data2[[#This Row],[Unit Price]]*Sales_Data2[[#This Row],[Quantity]]</f>
        <v>2700000</v>
      </c>
      <c r="M1399">
        <f>Sales_Data2[[#This Row],[Cost Price]]*Sales_Data2[[#This Row],[Quantity]]</f>
        <v>2160000</v>
      </c>
      <c r="N1399" s="3">
        <f>Sales_Data2[[#This Row],[Revenue]]-Sales_Data2[[#This Row],[COGS]]</f>
        <v>540000</v>
      </c>
      <c r="O13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47073|South|Port Harcourt|Retail|Online|Desktop PC D21|Electronics|300000|9|Chidinma|240000</v>
      </c>
      <c r="P1399" s="3" t="str">
        <f>IF(COUNTIF(Sales_Data2[RowKey],Sales_Data2[[#This Row],[RowKey]])&gt;1,"Duplicate","Unique")</f>
        <v>Unique</v>
      </c>
      <c r="Q1399" s="3" t="str">
        <f>IF(ISNUMBER(Sales_Data2[[#This Row],[Date]]),"OK","Check")</f>
        <v>OK</v>
      </c>
      <c r="R1399" s="3" t="str">
        <f>IF(ISNUMBER(Sales_Data2[[#This Row],[Quantity]]),"OK","Check")</f>
        <v>OK</v>
      </c>
    </row>
    <row r="1400" spans="1:18">
      <c r="A1400" s="1">
        <v>47074</v>
      </c>
      <c r="B1400" t="s">
        <v>11</v>
      </c>
      <c r="C1400" t="s">
        <v>26</v>
      </c>
      <c r="D1400" t="s">
        <v>13</v>
      </c>
      <c r="E1400" t="s">
        <v>14</v>
      </c>
      <c r="F1400" t="s">
        <v>38</v>
      </c>
      <c r="G1400" t="s">
        <v>31</v>
      </c>
      <c r="H1400">
        <v>420000</v>
      </c>
      <c r="I1400">
        <v>5</v>
      </c>
      <c r="J1400" t="s">
        <v>28</v>
      </c>
      <c r="K1400">
        <f t="shared" si="21"/>
        <v>336000</v>
      </c>
      <c r="L1400">
        <f>Sales_Data2[[#This Row],[Unit Price]]*Sales_Data2[[#This Row],[Quantity]]</f>
        <v>2100000</v>
      </c>
      <c r="M1400">
        <f>Sales_Data2[[#This Row],[Cost Price]]*Sales_Data2[[#This Row],[Quantity]]</f>
        <v>1680000</v>
      </c>
      <c r="N1400" s="3">
        <f>Sales_Data2[[#This Row],[Revenue]]-Sales_Data2[[#This Row],[COGS]]</f>
        <v>420000</v>
      </c>
      <c r="O14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47074|West|Kano|Retail|Online|Laptop A13|Electronics|420000|5|Musa|336000</v>
      </c>
      <c r="P1400" s="3" t="str">
        <f>IF(COUNTIF(Sales_Data2[RowKey],Sales_Data2[[#This Row],[RowKey]])&gt;1,"Duplicate","Unique")</f>
        <v>Unique</v>
      </c>
      <c r="Q1400" s="3" t="str">
        <f>IF(ISNUMBER(Sales_Data2[[#This Row],[Date]]),"OK","Check")</f>
        <v>OK</v>
      </c>
      <c r="R1400" s="3" t="str">
        <f>IF(ISNUMBER(Sales_Data2[[#This Row],[Quantity]]),"OK","Check")</f>
        <v>OK</v>
      </c>
    </row>
    <row r="1401" spans="1:18">
      <c r="A1401" s="1">
        <v>47075</v>
      </c>
      <c r="B1401" t="s">
        <v>25</v>
      </c>
      <c r="C1401" t="s">
        <v>12</v>
      </c>
      <c r="D1401" t="s">
        <v>13</v>
      </c>
      <c r="E1401" t="s">
        <v>20</v>
      </c>
      <c r="F1401" t="s">
        <v>30</v>
      </c>
      <c r="G1401" t="s">
        <v>31</v>
      </c>
      <c r="H1401">
        <v>300000</v>
      </c>
      <c r="I1401">
        <v>3</v>
      </c>
      <c r="J1401" t="s">
        <v>28</v>
      </c>
      <c r="K1401">
        <f t="shared" si="21"/>
        <v>240000</v>
      </c>
      <c r="L1401">
        <f>Sales_Data2[[#This Row],[Unit Price]]*Sales_Data2[[#This Row],[Quantity]]</f>
        <v>900000</v>
      </c>
      <c r="M1401">
        <f>Sales_Data2[[#This Row],[Cost Price]]*Sales_Data2[[#This Row],[Quantity]]</f>
        <v>720000</v>
      </c>
      <c r="N1401" s="3">
        <f>Sales_Data2[[#This Row],[Revenue]]-Sales_Data2[[#This Row],[COGS]]</f>
        <v>180000</v>
      </c>
      <c r="O14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47075|South|Port Harcourt|Retail|Store|Desktop PC D21|Electronics|300000|3|Musa|240000</v>
      </c>
      <c r="P1401" s="3" t="str">
        <f>IF(COUNTIF(Sales_Data2[RowKey],Sales_Data2[[#This Row],[RowKey]])&gt;1,"Duplicate","Unique")</f>
        <v>Unique</v>
      </c>
      <c r="Q1401" s="3" t="str">
        <f>IF(ISNUMBER(Sales_Data2[[#This Row],[Date]]),"OK","Check")</f>
        <v>OK</v>
      </c>
      <c r="R1401" s="3" t="str">
        <f>IF(ISNUMBER(Sales_Data2[[#This Row],[Quantity]]),"OK","Check")</f>
        <v>OK</v>
      </c>
    </row>
    <row r="1402" spans="1:18">
      <c r="A1402" s="1">
        <v>47076</v>
      </c>
      <c r="B1402" t="s">
        <v>18</v>
      </c>
      <c r="C1402" t="s">
        <v>12</v>
      </c>
      <c r="D1402" t="s">
        <v>23</v>
      </c>
      <c r="E1402" t="s">
        <v>20</v>
      </c>
      <c r="F1402" t="s">
        <v>40</v>
      </c>
      <c r="G1402" t="s">
        <v>31</v>
      </c>
      <c r="H1402">
        <v>250000</v>
      </c>
      <c r="I1402">
        <v>5</v>
      </c>
      <c r="J1402" t="s">
        <v>17</v>
      </c>
      <c r="K1402">
        <f t="shared" si="21"/>
        <v>200000</v>
      </c>
      <c r="L1402">
        <f>Sales_Data2[[#This Row],[Unit Price]]*Sales_Data2[[#This Row],[Quantity]]</f>
        <v>1250000</v>
      </c>
      <c r="M1402">
        <f>Sales_Data2[[#This Row],[Cost Price]]*Sales_Data2[[#This Row],[Quantity]]</f>
        <v>1000000</v>
      </c>
      <c r="N1402" s="3">
        <f>Sales_Data2[[#This Row],[Revenue]]-Sales_Data2[[#This Row],[COGS]]</f>
        <v>250000</v>
      </c>
      <c r="O14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47076|East|Port Harcourt|Corporate|Store|Smartphone Z10|Electronics|250000|5|Chidinma|200000</v>
      </c>
      <c r="P1402" s="3" t="str">
        <f>IF(COUNTIF(Sales_Data2[RowKey],Sales_Data2[[#This Row],[RowKey]])&gt;1,"Duplicate","Unique")</f>
        <v>Unique</v>
      </c>
      <c r="Q1402" s="3" t="str">
        <f>IF(ISNUMBER(Sales_Data2[[#This Row],[Date]]),"OK","Check")</f>
        <v>OK</v>
      </c>
      <c r="R1402" s="3" t="str">
        <f>IF(ISNUMBER(Sales_Data2[[#This Row],[Quantity]]),"OK","Check")</f>
        <v>OK</v>
      </c>
    </row>
    <row r="1403" spans="1:18">
      <c r="A1403" s="1">
        <v>47077</v>
      </c>
      <c r="B1403" t="s">
        <v>11</v>
      </c>
      <c r="C1403" t="s">
        <v>32</v>
      </c>
      <c r="D1403" t="s">
        <v>23</v>
      </c>
      <c r="E1403" t="s">
        <v>20</v>
      </c>
      <c r="F1403" t="s">
        <v>36</v>
      </c>
      <c r="G1403" t="s">
        <v>31</v>
      </c>
      <c r="H1403">
        <v>150000</v>
      </c>
      <c r="I1403">
        <v>2</v>
      </c>
      <c r="J1403" t="s">
        <v>35</v>
      </c>
      <c r="K1403">
        <f t="shared" si="21"/>
        <v>120000</v>
      </c>
      <c r="L1403">
        <f>Sales_Data2[[#This Row],[Unit Price]]*Sales_Data2[[#This Row],[Quantity]]</f>
        <v>300000</v>
      </c>
      <c r="M1403">
        <f>Sales_Data2[[#This Row],[Cost Price]]*Sales_Data2[[#This Row],[Quantity]]</f>
        <v>240000</v>
      </c>
      <c r="N1403" s="3">
        <f>Sales_Data2[[#This Row],[Revenue]]-Sales_Data2[[#This Row],[COGS]]</f>
        <v>60000</v>
      </c>
      <c r="O14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47077|West|Abuja|Corporate|Store|Printer P50|Electronics|150000|2|Peter|120000</v>
      </c>
      <c r="P1403" s="3" t="str">
        <f>IF(COUNTIF(Sales_Data2[RowKey],Sales_Data2[[#This Row],[RowKey]])&gt;1,"Duplicate","Unique")</f>
        <v>Unique</v>
      </c>
      <c r="Q1403" s="3" t="str">
        <f>IF(ISNUMBER(Sales_Data2[[#This Row],[Date]]),"OK","Check")</f>
        <v>OK</v>
      </c>
      <c r="R1403" s="3" t="str">
        <f>IF(ISNUMBER(Sales_Data2[[#This Row],[Quantity]]),"OK","Check")</f>
        <v>OK</v>
      </c>
    </row>
    <row r="1404" spans="1:18">
      <c r="A1404" s="1">
        <v>47078</v>
      </c>
      <c r="B1404" t="s">
        <v>18</v>
      </c>
      <c r="C1404" t="s">
        <v>19</v>
      </c>
      <c r="D1404" t="s">
        <v>23</v>
      </c>
      <c r="E1404" t="s">
        <v>14</v>
      </c>
      <c r="F1404" t="s">
        <v>41</v>
      </c>
      <c r="G1404" t="s">
        <v>22</v>
      </c>
      <c r="H1404">
        <v>220000</v>
      </c>
      <c r="I1404">
        <v>3</v>
      </c>
      <c r="J1404" t="s">
        <v>39</v>
      </c>
      <c r="K1404">
        <f t="shared" si="21"/>
        <v>176000</v>
      </c>
      <c r="L1404">
        <f>Sales_Data2[[#This Row],[Unit Price]]*Sales_Data2[[#This Row],[Quantity]]</f>
        <v>660000</v>
      </c>
      <c r="M1404">
        <f>Sales_Data2[[#This Row],[Cost Price]]*Sales_Data2[[#This Row],[Quantity]]</f>
        <v>528000</v>
      </c>
      <c r="N1404" s="3">
        <f>Sales_Data2[[#This Row],[Revenue]]-Sales_Data2[[#This Row],[COGS]]</f>
        <v>132000</v>
      </c>
      <c r="O14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47078|East|Lagos|Corporate|Online|Refrigerator R55|Home Appliances|220000|3|Grace|176000</v>
      </c>
      <c r="P1404" s="3" t="str">
        <f>IF(COUNTIF(Sales_Data2[RowKey],Sales_Data2[[#This Row],[RowKey]])&gt;1,"Duplicate","Unique")</f>
        <v>Unique</v>
      </c>
      <c r="Q1404" s="3" t="str">
        <f>IF(ISNUMBER(Sales_Data2[[#This Row],[Date]]),"OK","Check")</f>
        <v>OK</v>
      </c>
      <c r="R1404" s="3" t="str">
        <f>IF(ISNUMBER(Sales_Data2[[#This Row],[Quantity]]),"OK","Check")</f>
        <v>OK</v>
      </c>
    </row>
    <row r="1405" spans="1:18">
      <c r="A1405" s="1">
        <v>47079</v>
      </c>
      <c r="B1405" t="s">
        <v>18</v>
      </c>
      <c r="C1405" t="s">
        <v>19</v>
      </c>
      <c r="D1405" t="s">
        <v>23</v>
      </c>
      <c r="E1405" t="s">
        <v>20</v>
      </c>
      <c r="F1405" t="s">
        <v>30</v>
      </c>
      <c r="G1405" t="s">
        <v>31</v>
      </c>
      <c r="H1405">
        <v>300000</v>
      </c>
      <c r="I1405">
        <v>6</v>
      </c>
      <c r="J1405" t="s">
        <v>24</v>
      </c>
      <c r="K1405">
        <f t="shared" si="21"/>
        <v>240000</v>
      </c>
      <c r="L1405">
        <f>Sales_Data2[[#This Row],[Unit Price]]*Sales_Data2[[#This Row],[Quantity]]</f>
        <v>1800000</v>
      </c>
      <c r="M1405">
        <f>Sales_Data2[[#This Row],[Cost Price]]*Sales_Data2[[#This Row],[Quantity]]</f>
        <v>1440000</v>
      </c>
      <c r="N1405" s="3">
        <f>Sales_Data2[[#This Row],[Revenue]]-Sales_Data2[[#This Row],[COGS]]</f>
        <v>360000</v>
      </c>
      <c r="O14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47079|East|Lagos|Corporate|Store|Desktop PC D21|Electronics|300000|6|David|240000</v>
      </c>
      <c r="P1405" s="3" t="str">
        <f>IF(COUNTIF(Sales_Data2[RowKey],Sales_Data2[[#This Row],[RowKey]])&gt;1,"Duplicate","Unique")</f>
        <v>Unique</v>
      </c>
      <c r="Q1405" s="3" t="str">
        <f>IF(ISNUMBER(Sales_Data2[[#This Row],[Date]]),"OK","Check")</f>
        <v>OK</v>
      </c>
      <c r="R1405" s="3" t="str">
        <f>IF(ISNUMBER(Sales_Data2[[#This Row],[Quantity]]),"OK","Check")</f>
        <v>OK</v>
      </c>
    </row>
    <row r="1406" spans="1:18">
      <c r="A1406" s="1">
        <v>47080</v>
      </c>
      <c r="B1406" t="s">
        <v>25</v>
      </c>
      <c r="C1406" t="s">
        <v>19</v>
      </c>
      <c r="D1406" t="s">
        <v>13</v>
      </c>
      <c r="E1406" t="s">
        <v>20</v>
      </c>
      <c r="F1406" t="s">
        <v>33</v>
      </c>
      <c r="G1406" t="s">
        <v>22</v>
      </c>
      <c r="H1406">
        <v>180000</v>
      </c>
      <c r="I1406">
        <v>2</v>
      </c>
      <c r="J1406" t="s">
        <v>39</v>
      </c>
      <c r="K1406">
        <f t="shared" si="21"/>
        <v>144000</v>
      </c>
      <c r="L1406">
        <f>Sales_Data2[[#This Row],[Unit Price]]*Sales_Data2[[#This Row],[Quantity]]</f>
        <v>360000</v>
      </c>
      <c r="M1406">
        <f>Sales_Data2[[#This Row],[Cost Price]]*Sales_Data2[[#This Row],[Quantity]]</f>
        <v>288000</v>
      </c>
      <c r="N1406" s="3">
        <f>Sales_Data2[[#This Row],[Revenue]]-Sales_Data2[[#This Row],[COGS]]</f>
        <v>72000</v>
      </c>
      <c r="O14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47080|South|Lagos|Retail|Store|Air Conditioner X2|Home Appliances|180000|2|Grace|144000</v>
      </c>
      <c r="P1406" s="3" t="str">
        <f>IF(COUNTIF(Sales_Data2[RowKey],Sales_Data2[[#This Row],[RowKey]])&gt;1,"Duplicate","Unique")</f>
        <v>Unique</v>
      </c>
      <c r="Q1406" s="3" t="str">
        <f>IF(ISNUMBER(Sales_Data2[[#This Row],[Date]]),"OK","Check")</f>
        <v>OK</v>
      </c>
      <c r="R1406" s="3" t="str">
        <f>IF(ISNUMBER(Sales_Data2[[#This Row],[Quantity]]),"OK","Check")</f>
        <v>OK</v>
      </c>
    </row>
    <row r="1407" spans="1:18">
      <c r="A1407" s="1">
        <v>47081</v>
      </c>
      <c r="B1407" t="s">
        <v>18</v>
      </c>
      <c r="C1407" t="s">
        <v>32</v>
      </c>
      <c r="D1407" t="s">
        <v>13</v>
      </c>
      <c r="E1407" t="s">
        <v>14</v>
      </c>
      <c r="F1407" t="s">
        <v>36</v>
      </c>
      <c r="G1407" t="s">
        <v>31</v>
      </c>
      <c r="H1407">
        <v>150000</v>
      </c>
      <c r="I1407">
        <v>5</v>
      </c>
      <c r="J1407" t="s">
        <v>37</v>
      </c>
      <c r="K1407">
        <f t="shared" si="21"/>
        <v>120000</v>
      </c>
      <c r="L1407">
        <f>Sales_Data2[[#This Row],[Unit Price]]*Sales_Data2[[#This Row],[Quantity]]</f>
        <v>750000</v>
      </c>
      <c r="M1407">
        <f>Sales_Data2[[#This Row],[Cost Price]]*Sales_Data2[[#This Row],[Quantity]]</f>
        <v>600000</v>
      </c>
      <c r="N1407" s="3">
        <f>Sales_Data2[[#This Row],[Revenue]]-Sales_Data2[[#This Row],[COGS]]</f>
        <v>150000</v>
      </c>
      <c r="O14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47081|East|Abuja|Retail|Online|Printer P50|Electronics|150000|5|Aisha|120000</v>
      </c>
      <c r="P1407" s="3" t="str">
        <f>IF(COUNTIF(Sales_Data2[RowKey],Sales_Data2[[#This Row],[RowKey]])&gt;1,"Duplicate","Unique")</f>
        <v>Unique</v>
      </c>
      <c r="Q1407" s="3" t="str">
        <f>IF(ISNUMBER(Sales_Data2[[#This Row],[Date]]),"OK","Check")</f>
        <v>OK</v>
      </c>
      <c r="R1407" s="3" t="str">
        <f>IF(ISNUMBER(Sales_Data2[[#This Row],[Quantity]]),"OK","Check")</f>
        <v>OK</v>
      </c>
    </row>
    <row r="1408" spans="1:18">
      <c r="A1408" s="1">
        <v>47082</v>
      </c>
      <c r="B1408" t="s">
        <v>18</v>
      </c>
      <c r="C1408" t="s">
        <v>26</v>
      </c>
      <c r="D1408" t="s">
        <v>23</v>
      </c>
      <c r="E1408" t="s">
        <v>20</v>
      </c>
      <c r="F1408" t="s">
        <v>15</v>
      </c>
      <c r="G1408" t="s">
        <v>16</v>
      </c>
      <c r="H1408">
        <v>85000</v>
      </c>
      <c r="I1408">
        <v>1</v>
      </c>
      <c r="J1408" t="s">
        <v>37</v>
      </c>
      <c r="K1408">
        <f t="shared" si="21"/>
        <v>68000</v>
      </c>
      <c r="L1408">
        <f>Sales_Data2[[#This Row],[Unit Price]]*Sales_Data2[[#This Row],[Quantity]]</f>
        <v>85000</v>
      </c>
      <c r="M1408">
        <f>Sales_Data2[[#This Row],[Cost Price]]*Sales_Data2[[#This Row],[Quantity]]</f>
        <v>68000</v>
      </c>
      <c r="N1408" s="3">
        <f>Sales_Data2[[#This Row],[Revenue]]-Sales_Data2[[#This Row],[COGS]]</f>
        <v>17000</v>
      </c>
      <c r="O14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47082|East|Kano|Corporate|Store|Office Chair Pro|Furniture|85000|1|Aisha|68000</v>
      </c>
      <c r="P1408" s="3" t="str">
        <f>IF(COUNTIF(Sales_Data2[RowKey],Sales_Data2[[#This Row],[RowKey]])&gt;1,"Duplicate","Unique")</f>
        <v>Unique</v>
      </c>
      <c r="Q1408" s="3" t="str">
        <f>IF(ISNUMBER(Sales_Data2[[#This Row],[Date]]),"OK","Check")</f>
        <v>OK</v>
      </c>
      <c r="R1408" s="3" t="str">
        <f>IF(ISNUMBER(Sales_Data2[[#This Row],[Quantity]]),"OK","Check")</f>
        <v>OK</v>
      </c>
    </row>
    <row r="1409" spans="1:18">
      <c r="A1409" s="1">
        <v>47083</v>
      </c>
      <c r="B1409" t="s">
        <v>11</v>
      </c>
      <c r="C1409" t="s">
        <v>12</v>
      </c>
      <c r="D1409" t="s">
        <v>13</v>
      </c>
      <c r="E1409" t="s">
        <v>14</v>
      </c>
      <c r="F1409" t="s">
        <v>21</v>
      </c>
      <c r="G1409" t="s">
        <v>22</v>
      </c>
      <c r="H1409">
        <v>30000</v>
      </c>
      <c r="I1409">
        <v>1</v>
      </c>
      <c r="J1409" t="s">
        <v>35</v>
      </c>
      <c r="K1409">
        <f t="shared" si="21"/>
        <v>24000</v>
      </c>
      <c r="L1409">
        <f>Sales_Data2[[#This Row],[Unit Price]]*Sales_Data2[[#This Row],[Quantity]]</f>
        <v>30000</v>
      </c>
      <c r="M1409">
        <f>Sales_Data2[[#This Row],[Cost Price]]*Sales_Data2[[#This Row],[Quantity]]</f>
        <v>24000</v>
      </c>
      <c r="N1409" s="3">
        <f>Sales_Data2[[#This Row],[Revenue]]-Sales_Data2[[#This Row],[COGS]]</f>
        <v>6000</v>
      </c>
      <c r="O14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47083|West|Port Harcourt|Retail|Online|Blender B10|Home Appliances|30000|1|Peter|24000</v>
      </c>
      <c r="P1409" s="3" t="str">
        <f>IF(COUNTIF(Sales_Data2[RowKey],Sales_Data2[[#This Row],[RowKey]])&gt;1,"Duplicate","Unique")</f>
        <v>Unique</v>
      </c>
      <c r="Q1409" s="3" t="str">
        <f>IF(ISNUMBER(Sales_Data2[[#This Row],[Date]]),"OK","Check")</f>
        <v>OK</v>
      </c>
      <c r="R1409" s="3" t="str">
        <f>IF(ISNUMBER(Sales_Data2[[#This Row],[Quantity]]),"OK","Check")</f>
        <v>OK</v>
      </c>
    </row>
    <row r="1410" spans="1:18">
      <c r="A1410" s="1">
        <v>47084</v>
      </c>
      <c r="B1410" t="s">
        <v>18</v>
      </c>
      <c r="C1410" t="s">
        <v>19</v>
      </c>
      <c r="D1410" t="s">
        <v>13</v>
      </c>
      <c r="E1410" t="s">
        <v>20</v>
      </c>
      <c r="F1410" t="s">
        <v>15</v>
      </c>
      <c r="G1410" t="s">
        <v>16</v>
      </c>
      <c r="H1410">
        <v>85000</v>
      </c>
      <c r="I1410">
        <v>1</v>
      </c>
      <c r="J1410" t="s">
        <v>37</v>
      </c>
      <c r="K1410">
        <f t="shared" ref="K1410:K1473" si="22">H1410-H1410*0.2</f>
        <v>68000</v>
      </c>
      <c r="L1410">
        <f>Sales_Data2[[#This Row],[Unit Price]]*Sales_Data2[[#This Row],[Quantity]]</f>
        <v>85000</v>
      </c>
      <c r="M1410">
        <f>Sales_Data2[[#This Row],[Cost Price]]*Sales_Data2[[#This Row],[Quantity]]</f>
        <v>68000</v>
      </c>
      <c r="N1410" s="3">
        <f>Sales_Data2[[#This Row],[Revenue]]-Sales_Data2[[#This Row],[COGS]]</f>
        <v>17000</v>
      </c>
      <c r="O14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47084|East|Lagos|Retail|Store|Office Chair Pro|Furniture|85000|1|Aisha|68000</v>
      </c>
      <c r="P1410" s="3" t="str">
        <f>IF(COUNTIF(Sales_Data2[RowKey],Sales_Data2[[#This Row],[RowKey]])&gt;1,"Duplicate","Unique")</f>
        <v>Unique</v>
      </c>
      <c r="Q1410" s="3" t="str">
        <f>IF(ISNUMBER(Sales_Data2[[#This Row],[Date]]),"OK","Check")</f>
        <v>OK</v>
      </c>
      <c r="R1410" s="3" t="str">
        <f>IF(ISNUMBER(Sales_Data2[[#This Row],[Quantity]]),"OK","Check")</f>
        <v>OK</v>
      </c>
    </row>
    <row r="1411" spans="1:18">
      <c r="A1411" s="1">
        <v>47085</v>
      </c>
      <c r="B1411" t="s">
        <v>25</v>
      </c>
      <c r="C1411" t="s">
        <v>19</v>
      </c>
      <c r="D1411" t="s">
        <v>13</v>
      </c>
      <c r="E1411" t="s">
        <v>20</v>
      </c>
      <c r="F1411" t="s">
        <v>21</v>
      </c>
      <c r="G1411" t="s">
        <v>22</v>
      </c>
      <c r="H1411">
        <v>30000</v>
      </c>
      <c r="I1411">
        <v>2</v>
      </c>
      <c r="J1411" t="s">
        <v>37</v>
      </c>
      <c r="K1411">
        <f t="shared" si="22"/>
        <v>24000</v>
      </c>
      <c r="L1411">
        <f>Sales_Data2[[#This Row],[Unit Price]]*Sales_Data2[[#This Row],[Quantity]]</f>
        <v>60000</v>
      </c>
      <c r="M1411">
        <f>Sales_Data2[[#This Row],[Cost Price]]*Sales_Data2[[#This Row],[Quantity]]</f>
        <v>48000</v>
      </c>
      <c r="N1411" s="3">
        <f>Sales_Data2[[#This Row],[Revenue]]-Sales_Data2[[#This Row],[COGS]]</f>
        <v>12000</v>
      </c>
      <c r="O14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47085|South|Lagos|Retail|Store|Blender B10|Home Appliances|30000|2|Aisha|24000</v>
      </c>
      <c r="P1411" s="3" t="str">
        <f>IF(COUNTIF(Sales_Data2[RowKey],Sales_Data2[[#This Row],[RowKey]])&gt;1,"Duplicate","Unique")</f>
        <v>Unique</v>
      </c>
      <c r="Q1411" s="3" t="str">
        <f>IF(ISNUMBER(Sales_Data2[[#This Row],[Date]]),"OK","Check")</f>
        <v>OK</v>
      </c>
      <c r="R1411" s="3" t="str">
        <f>IF(ISNUMBER(Sales_Data2[[#This Row],[Quantity]]),"OK","Check")</f>
        <v>OK</v>
      </c>
    </row>
    <row r="1412" spans="1:18">
      <c r="A1412" s="1">
        <v>47086</v>
      </c>
      <c r="B1412" t="s">
        <v>18</v>
      </c>
      <c r="C1412" t="s">
        <v>12</v>
      </c>
      <c r="D1412" t="s">
        <v>13</v>
      </c>
      <c r="E1412" t="s">
        <v>20</v>
      </c>
      <c r="F1412" t="s">
        <v>38</v>
      </c>
      <c r="G1412" t="s">
        <v>31</v>
      </c>
      <c r="H1412">
        <v>420000</v>
      </c>
      <c r="I1412">
        <v>3</v>
      </c>
      <c r="J1412" t="s">
        <v>17</v>
      </c>
      <c r="K1412">
        <f t="shared" si="22"/>
        <v>336000</v>
      </c>
      <c r="L1412">
        <f>Sales_Data2[[#This Row],[Unit Price]]*Sales_Data2[[#This Row],[Quantity]]</f>
        <v>1260000</v>
      </c>
      <c r="M1412">
        <f>Sales_Data2[[#This Row],[Cost Price]]*Sales_Data2[[#This Row],[Quantity]]</f>
        <v>1008000</v>
      </c>
      <c r="N1412" s="3">
        <f>Sales_Data2[[#This Row],[Revenue]]-Sales_Data2[[#This Row],[COGS]]</f>
        <v>252000</v>
      </c>
      <c r="O14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47086|East|Port Harcourt|Retail|Store|Laptop A13|Electronics|420000|3|Chidinma|336000</v>
      </c>
      <c r="P1412" s="3" t="str">
        <f>IF(COUNTIF(Sales_Data2[RowKey],Sales_Data2[[#This Row],[RowKey]])&gt;1,"Duplicate","Unique")</f>
        <v>Unique</v>
      </c>
      <c r="Q1412" s="3" t="str">
        <f>IF(ISNUMBER(Sales_Data2[[#This Row],[Date]]),"OK","Check")</f>
        <v>OK</v>
      </c>
      <c r="R1412" s="3" t="str">
        <f>IF(ISNUMBER(Sales_Data2[[#This Row],[Quantity]]),"OK","Check")</f>
        <v>OK</v>
      </c>
    </row>
    <row r="1413" spans="1:18">
      <c r="A1413" s="1">
        <v>47087</v>
      </c>
      <c r="B1413" t="s">
        <v>11</v>
      </c>
      <c r="C1413" t="s">
        <v>19</v>
      </c>
      <c r="D1413" t="s">
        <v>13</v>
      </c>
      <c r="E1413" t="s">
        <v>20</v>
      </c>
      <c r="F1413" t="s">
        <v>21</v>
      </c>
      <c r="G1413" t="s">
        <v>22</v>
      </c>
      <c r="H1413">
        <v>30000</v>
      </c>
      <c r="I1413">
        <v>2</v>
      </c>
      <c r="J1413" t="s">
        <v>35</v>
      </c>
      <c r="K1413">
        <f t="shared" si="22"/>
        <v>24000</v>
      </c>
      <c r="L1413">
        <f>Sales_Data2[[#This Row],[Unit Price]]*Sales_Data2[[#This Row],[Quantity]]</f>
        <v>60000</v>
      </c>
      <c r="M1413">
        <f>Sales_Data2[[#This Row],[Cost Price]]*Sales_Data2[[#This Row],[Quantity]]</f>
        <v>48000</v>
      </c>
      <c r="N1413" s="3">
        <f>Sales_Data2[[#This Row],[Revenue]]-Sales_Data2[[#This Row],[COGS]]</f>
        <v>12000</v>
      </c>
      <c r="O14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47087|West|Lagos|Retail|Store|Blender B10|Home Appliances|30000|2|Peter|24000</v>
      </c>
      <c r="P1413" s="3" t="str">
        <f>IF(COUNTIF(Sales_Data2[RowKey],Sales_Data2[[#This Row],[RowKey]])&gt;1,"Duplicate","Unique")</f>
        <v>Unique</v>
      </c>
      <c r="Q1413" s="3" t="str">
        <f>IF(ISNUMBER(Sales_Data2[[#This Row],[Date]]),"OK","Check")</f>
        <v>OK</v>
      </c>
      <c r="R1413" s="3" t="str">
        <f>IF(ISNUMBER(Sales_Data2[[#This Row],[Quantity]]),"OK","Check")</f>
        <v>OK</v>
      </c>
    </row>
    <row r="1414" spans="1:18">
      <c r="A1414" s="1">
        <v>47088</v>
      </c>
      <c r="B1414" t="s">
        <v>25</v>
      </c>
      <c r="C1414" t="s">
        <v>32</v>
      </c>
      <c r="D1414" t="s">
        <v>13</v>
      </c>
      <c r="E1414" t="s">
        <v>20</v>
      </c>
      <c r="F1414" t="s">
        <v>30</v>
      </c>
      <c r="G1414" t="s">
        <v>31</v>
      </c>
      <c r="H1414">
        <v>300000</v>
      </c>
      <c r="I1414">
        <v>9</v>
      </c>
      <c r="J1414" t="s">
        <v>28</v>
      </c>
      <c r="K1414">
        <f t="shared" si="22"/>
        <v>240000</v>
      </c>
      <c r="L1414">
        <f>Sales_Data2[[#This Row],[Unit Price]]*Sales_Data2[[#This Row],[Quantity]]</f>
        <v>2700000</v>
      </c>
      <c r="M1414">
        <f>Sales_Data2[[#This Row],[Cost Price]]*Sales_Data2[[#This Row],[Quantity]]</f>
        <v>2160000</v>
      </c>
      <c r="N1414" s="3">
        <f>Sales_Data2[[#This Row],[Revenue]]-Sales_Data2[[#This Row],[COGS]]</f>
        <v>540000</v>
      </c>
      <c r="O14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47088|South|Abuja|Retail|Store|Desktop PC D21|Electronics|300000|9|Musa|240000</v>
      </c>
      <c r="P1414" s="3" t="str">
        <f>IF(COUNTIF(Sales_Data2[RowKey],Sales_Data2[[#This Row],[RowKey]])&gt;1,"Duplicate","Unique")</f>
        <v>Unique</v>
      </c>
      <c r="Q1414" s="3" t="str">
        <f>IF(ISNUMBER(Sales_Data2[[#This Row],[Date]]),"OK","Check")</f>
        <v>OK</v>
      </c>
      <c r="R1414" s="3" t="str">
        <f>IF(ISNUMBER(Sales_Data2[[#This Row],[Quantity]]),"OK","Check")</f>
        <v>OK</v>
      </c>
    </row>
    <row r="1415" spans="1:18">
      <c r="A1415" s="1">
        <v>47089</v>
      </c>
      <c r="B1415" t="s">
        <v>18</v>
      </c>
      <c r="C1415" t="s">
        <v>26</v>
      </c>
      <c r="D1415" t="s">
        <v>23</v>
      </c>
      <c r="E1415" t="s">
        <v>20</v>
      </c>
      <c r="F1415" t="s">
        <v>36</v>
      </c>
      <c r="G1415" t="s">
        <v>31</v>
      </c>
      <c r="H1415">
        <v>150000</v>
      </c>
      <c r="I1415">
        <v>4</v>
      </c>
      <c r="J1415" t="s">
        <v>35</v>
      </c>
      <c r="K1415">
        <f t="shared" si="22"/>
        <v>120000</v>
      </c>
      <c r="L1415">
        <f>Sales_Data2[[#This Row],[Unit Price]]*Sales_Data2[[#This Row],[Quantity]]</f>
        <v>600000</v>
      </c>
      <c r="M1415">
        <f>Sales_Data2[[#This Row],[Cost Price]]*Sales_Data2[[#This Row],[Quantity]]</f>
        <v>480000</v>
      </c>
      <c r="N1415" s="3">
        <f>Sales_Data2[[#This Row],[Revenue]]-Sales_Data2[[#This Row],[COGS]]</f>
        <v>120000</v>
      </c>
      <c r="O14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47089|East|Kano|Corporate|Store|Printer P50|Electronics|150000|4|Peter|120000</v>
      </c>
      <c r="P1415" s="3" t="str">
        <f>IF(COUNTIF(Sales_Data2[RowKey],Sales_Data2[[#This Row],[RowKey]])&gt;1,"Duplicate","Unique")</f>
        <v>Unique</v>
      </c>
      <c r="Q1415" s="3" t="str">
        <f>IF(ISNUMBER(Sales_Data2[[#This Row],[Date]]),"OK","Check")</f>
        <v>OK</v>
      </c>
      <c r="R1415" s="3" t="str">
        <f>IF(ISNUMBER(Sales_Data2[[#This Row],[Quantity]]),"OK","Check")</f>
        <v>OK</v>
      </c>
    </row>
    <row r="1416" spans="1:18">
      <c r="A1416" s="1">
        <v>47090</v>
      </c>
      <c r="B1416" t="s">
        <v>18</v>
      </c>
      <c r="C1416" t="s">
        <v>12</v>
      </c>
      <c r="D1416" t="s">
        <v>13</v>
      </c>
      <c r="E1416" t="s">
        <v>20</v>
      </c>
      <c r="F1416" t="s">
        <v>41</v>
      </c>
      <c r="G1416" t="s">
        <v>22</v>
      </c>
      <c r="H1416">
        <v>220000</v>
      </c>
      <c r="I1416">
        <v>2</v>
      </c>
      <c r="J1416" t="s">
        <v>39</v>
      </c>
      <c r="K1416">
        <f t="shared" si="22"/>
        <v>176000</v>
      </c>
      <c r="L1416">
        <f>Sales_Data2[[#This Row],[Unit Price]]*Sales_Data2[[#This Row],[Quantity]]</f>
        <v>440000</v>
      </c>
      <c r="M1416">
        <f>Sales_Data2[[#This Row],[Cost Price]]*Sales_Data2[[#This Row],[Quantity]]</f>
        <v>352000</v>
      </c>
      <c r="N1416" s="3">
        <f>Sales_Data2[[#This Row],[Revenue]]-Sales_Data2[[#This Row],[COGS]]</f>
        <v>88000</v>
      </c>
      <c r="O14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47090|East|Port Harcourt|Retail|Store|Refrigerator R55|Home Appliances|220000|2|Grace|176000</v>
      </c>
      <c r="P1416" s="3" t="str">
        <f>IF(COUNTIF(Sales_Data2[RowKey],Sales_Data2[[#This Row],[RowKey]])&gt;1,"Duplicate","Unique")</f>
        <v>Unique</v>
      </c>
      <c r="Q1416" s="3" t="str">
        <f>IF(ISNUMBER(Sales_Data2[[#This Row],[Date]]),"OK","Check")</f>
        <v>OK</v>
      </c>
      <c r="R1416" s="3" t="str">
        <f>IF(ISNUMBER(Sales_Data2[[#This Row],[Quantity]]),"OK","Check")</f>
        <v>OK</v>
      </c>
    </row>
    <row r="1417" spans="1:18">
      <c r="A1417" s="1">
        <v>47091</v>
      </c>
      <c r="B1417" t="s">
        <v>25</v>
      </c>
      <c r="C1417" t="s">
        <v>19</v>
      </c>
      <c r="D1417" t="s">
        <v>13</v>
      </c>
      <c r="E1417" t="s">
        <v>20</v>
      </c>
      <c r="F1417" t="s">
        <v>15</v>
      </c>
      <c r="G1417" t="s">
        <v>16</v>
      </c>
      <c r="H1417">
        <v>85000</v>
      </c>
      <c r="I1417">
        <v>6</v>
      </c>
      <c r="J1417" t="s">
        <v>17</v>
      </c>
      <c r="K1417">
        <f t="shared" si="22"/>
        <v>68000</v>
      </c>
      <c r="L1417">
        <f>Sales_Data2[[#This Row],[Unit Price]]*Sales_Data2[[#This Row],[Quantity]]</f>
        <v>510000</v>
      </c>
      <c r="M1417">
        <f>Sales_Data2[[#This Row],[Cost Price]]*Sales_Data2[[#This Row],[Quantity]]</f>
        <v>408000</v>
      </c>
      <c r="N1417" s="3">
        <f>Sales_Data2[[#This Row],[Revenue]]-Sales_Data2[[#This Row],[COGS]]</f>
        <v>102000</v>
      </c>
      <c r="O14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47091|South|Lagos|Retail|Store|Office Chair Pro|Furniture|85000|6|Chidinma|68000</v>
      </c>
      <c r="P1417" s="3" t="str">
        <f>IF(COUNTIF(Sales_Data2[RowKey],Sales_Data2[[#This Row],[RowKey]])&gt;1,"Duplicate","Unique")</f>
        <v>Unique</v>
      </c>
      <c r="Q1417" s="3" t="str">
        <f>IF(ISNUMBER(Sales_Data2[[#This Row],[Date]]),"OK","Check")</f>
        <v>OK</v>
      </c>
      <c r="R1417" s="3" t="str">
        <f>IF(ISNUMBER(Sales_Data2[[#This Row],[Quantity]]),"OK","Check")</f>
        <v>OK</v>
      </c>
    </row>
    <row r="1418" spans="1:18">
      <c r="A1418" s="1">
        <v>47092</v>
      </c>
      <c r="B1418" t="s">
        <v>11</v>
      </c>
      <c r="C1418" t="s">
        <v>19</v>
      </c>
      <c r="D1418" t="s">
        <v>13</v>
      </c>
      <c r="E1418" t="s">
        <v>20</v>
      </c>
      <c r="F1418" t="s">
        <v>30</v>
      </c>
      <c r="G1418" t="s">
        <v>31</v>
      </c>
      <c r="H1418">
        <v>300000</v>
      </c>
      <c r="I1418">
        <v>8</v>
      </c>
      <c r="J1418" t="s">
        <v>17</v>
      </c>
      <c r="K1418">
        <f t="shared" si="22"/>
        <v>240000</v>
      </c>
      <c r="L1418">
        <f>Sales_Data2[[#This Row],[Unit Price]]*Sales_Data2[[#This Row],[Quantity]]</f>
        <v>2400000</v>
      </c>
      <c r="M1418">
        <f>Sales_Data2[[#This Row],[Cost Price]]*Sales_Data2[[#This Row],[Quantity]]</f>
        <v>1920000</v>
      </c>
      <c r="N1418" s="3">
        <f>Sales_Data2[[#This Row],[Revenue]]-Sales_Data2[[#This Row],[COGS]]</f>
        <v>480000</v>
      </c>
      <c r="O14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47092|West|Lagos|Retail|Store|Desktop PC D21|Electronics|300000|8|Chidinma|240000</v>
      </c>
      <c r="P1418" s="3" t="str">
        <f>IF(COUNTIF(Sales_Data2[RowKey],Sales_Data2[[#This Row],[RowKey]])&gt;1,"Duplicate","Unique")</f>
        <v>Unique</v>
      </c>
      <c r="Q1418" s="3" t="str">
        <f>IF(ISNUMBER(Sales_Data2[[#This Row],[Date]]),"OK","Check")</f>
        <v>OK</v>
      </c>
      <c r="R1418" s="3" t="str">
        <f>IF(ISNUMBER(Sales_Data2[[#This Row],[Quantity]]),"OK","Check")</f>
        <v>OK</v>
      </c>
    </row>
    <row r="1419" spans="1:18">
      <c r="A1419" s="1">
        <v>47093</v>
      </c>
      <c r="B1419" t="s">
        <v>25</v>
      </c>
      <c r="C1419" t="s">
        <v>26</v>
      </c>
      <c r="D1419" t="s">
        <v>23</v>
      </c>
      <c r="E1419" t="s">
        <v>20</v>
      </c>
      <c r="F1419" t="s">
        <v>38</v>
      </c>
      <c r="G1419" t="s">
        <v>31</v>
      </c>
      <c r="H1419">
        <v>420000</v>
      </c>
      <c r="I1419">
        <v>2</v>
      </c>
      <c r="J1419" t="s">
        <v>35</v>
      </c>
      <c r="K1419">
        <f t="shared" si="22"/>
        <v>336000</v>
      </c>
      <c r="L1419">
        <f>Sales_Data2[[#This Row],[Unit Price]]*Sales_Data2[[#This Row],[Quantity]]</f>
        <v>840000</v>
      </c>
      <c r="M1419">
        <f>Sales_Data2[[#This Row],[Cost Price]]*Sales_Data2[[#This Row],[Quantity]]</f>
        <v>672000</v>
      </c>
      <c r="N1419" s="3">
        <f>Sales_Data2[[#This Row],[Revenue]]-Sales_Data2[[#This Row],[COGS]]</f>
        <v>168000</v>
      </c>
      <c r="O14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47093|South|Kano|Corporate|Store|Laptop A13|Electronics|420000|2|Peter|336000</v>
      </c>
      <c r="P1419" s="3" t="str">
        <f>IF(COUNTIF(Sales_Data2[RowKey],Sales_Data2[[#This Row],[RowKey]])&gt;1,"Duplicate","Unique")</f>
        <v>Unique</v>
      </c>
      <c r="Q1419" s="3" t="str">
        <f>IF(ISNUMBER(Sales_Data2[[#This Row],[Date]]),"OK","Check")</f>
        <v>OK</v>
      </c>
      <c r="R1419" s="3" t="str">
        <f>IF(ISNUMBER(Sales_Data2[[#This Row],[Quantity]]),"OK","Check")</f>
        <v>OK</v>
      </c>
    </row>
    <row r="1420" spans="1:18">
      <c r="A1420" s="1">
        <v>47094</v>
      </c>
      <c r="B1420" t="s">
        <v>18</v>
      </c>
      <c r="C1420" t="s">
        <v>26</v>
      </c>
      <c r="D1420" t="s">
        <v>13</v>
      </c>
      <c r="E1420" t="s">
        <v>20</v>
      </c>
      <c r="F1420" t="s">
        <v>41</v>
      </c>
      <c r="G1420" t="s">
        <v>22</v>
      </c>
      <c r="H1420">
        <v>220000</v>
      </c>
      <c r="I1420">
        <v>3</v>
      </c>
      <c r="J1420" t="s">
        <v>24</v>
      </c>
      <c r="K1420">
        <f t="shared" si="22"/>
        <v>176000</v>
      </c>
      <c r="L1420">
        <f>Sales_Data2[[#This Row],[Unit Price]]*Sales_Data2[[#This Row],[Quantity]]</f>
        <v>660000</v>
      </c>
      <c r="M1420">
        <f>Sales_Data2[[#This Row],[Cost Price]]*Sales_Data2[[#This Row],[Quantity]]</f>
        <v>528000</v>
      </c>
      <c r="N1420" s="3">
        <f>Sales_Data2[[#This Row],[Revenue]]-Sales_Data2[[#This Row],[COGS]]</f>
        <v>132000</v>
      </c>
      <c r="O14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47094|East|Kano|Retail|Store|Refrigerator R55|Home Appliances|220000|3|David|176000</v>
      </c>
      <c r="P1420" s="3" t="str">
        <f>IF(COUNTIF(Sales_Data2[RowKey],Sales_Data2[[#This Row],[RowKey]])&gt;1,"Duplicate","Unique")</f>
        <v>Unique</v>
      </c>
      <c r="Q1420" s="3" t="str">
        <f>IF(ISNUMBER(Sales_Data2[[#This Row],[Date]]),"OK","Check")</f>
        <v>OK</v>
      </c>
      <c r="R1420" s="3" t="str">
        <f>IF(ISNUMBER(Sales_Data2[[#This Row],[Quantity]]),"OK","Check")</f>
        <v>OK</v>
      </c>
    </row>
    <row r="1421" spans="1:18">
      <c r="A1421" s="1">
        <v>47095</v>
      </c>
      <c r="B1421" t="s">
        <v>18</v>
      </c>
      <c r="C1421" t="s">
        <v>19</v>
      </c>
      <c r="D1421" t="s">
        <v>13</v>
      </c>
      <c r="E1421" t="s">
        <v>20</v>
      </c>
      <c r="F1421" t="s">
        <v>38</v>
      </c>
      <c r="G1421" t="s">
        <v>31</v>
      </c>
      <c r="H1421">
        <v>420000</v>
      </c>
      <c r="I1421">
        <v>10</v>
      </c>
      <c r="J1421" t="s">
        <v>17</v>
      </c>
      <c r="K1421">
        <f t="shared" si="22"/>
        <v>336000</v>
      </c>
      <c r="L1421">
        <f>Sales_Data2[[#This Row],[Unit Price]]*Sales_Data2[[#This Row],[Quantity]]</f>
        <v>4200000</v>
      </c>
      <c r="M1421">
        <f>Sales_Data2[[#This Row],[Cost Price]]*Sales_Data2[[#This Row],[Quantity]]</f>
        <v>3360000</v>
      </c>
      <c r="N1421" s="3">
        <f>Sales_Data2[[#This Row],[Revenue]]-Sales_Data2[[#This Row],[COGS]]</f>
        <v>840000</v>
      </c>
      <c r="O14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47095|East|Lagos|Retail|Store|Laptop A13|Electronics|420000|10|Chidinma|336000</v>
      </c>
      <c r="P1421" s="3" t="str">
        <f>IF(COUNTIF(Sales_Data2[RowKey],Sales_Data2[[#This Row],[RowKey]])&gt;1,"Duplicate","Unique")</f>
        <v>Unique</v>
      </c>
      <c r="Q1421" s="3" t="str">
        <f>IF(ISNUMBER(Sales_Data2[[#This Row],[Date]]),"OK","Check")</f>
        <v>OK</v>
      </c>
      <c r="R1421" s="3" t="str">
        <f>IF(ISNUMBER(Sales_Data2[[#This Row],[Quantity]]),"OK","Check")</f>
        <v>OK</v>
      </c>
    </row>
    <row r="1422" spans="1:18">
      <c r="A1422" s="1">
        <v>47096</v>
      </c>
      <c r="B1422" t="s">
        <v>29</v>
      </c>
      <c r="C1422" t="s">
        <v>19</v>
      </c>
      <c r="D1422" t="s">
        <v>13</v>
      </c>
      <c r="E1422" t="s">
        <v>20</v>
      </c>
      <c r="F1422" t="s">
        <v>30</v>
      </c>
      <c r="G1422" t="s">
        <v>31</v>
      </c>
      <c r="H1422">
        <v>300000</v>
      </c>
      <c r="I1422">
        <v>7</v>
      </c>
      <c r="J1422" t="s">
        <v>24</v>
      </c>
      <c r="K1422">
        <f t="shared" si="22"/>
        <v>240000</v>
      </c>
      <c r="L1422">
        <f>Sales_Data2[[#This Row],[Unit Price]]*Sales_Data2[[#This Row],[Quantity]]</f>
        <v>2100000</v>
      </c>
      <c r="M1422">
        <f>Sales_Data2[[#This Row],[Cost Price]]*Sales_Data2[[#This Row],[Quantity]]</f>
        <v>1680000</v>
      </c>
      <c r="N1422" s="3">
        <f>Sales_Data2[[#This Row],[Revenue]]-Sales_Data2[[#This Row],[COGS]]</f>
        <v>420000</v>
      </c>
      <c r="O14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47096|North|Lagos|Retail|Store|Desktop PC D21|Electronics|300000|7|David|240000</v>
      </c>
      <c r="P1422" s="3" t="str">
        <f>IF(COUNTIF(Sales_Data2[RowKey],Sales_Data2[[#This Row],[RowKey]])&gt;1,"Duplicate","Unique")</f>
        <v>Unique</v>
      </c>
      <c r="Q1422" s="3" t="str">
        <f>IF(ISNUMBER(Sales_Data2[[#This Row],[Date]]),"OK","Check")</f>
        <v>OK</v>
      </c>
      <c r="R1422" s="3" t="str">
        <f>IF(ISNUMBER(Sales_Data2[[#This Row],[Quantity]]),"OK","Check")</f>
        <v>OK</v>
      </c>
    </row>
    <row r="1423" spans="1:18">
      <c r="A1423" s="1">
        <v>47097</v>
      </c>
      <c r="B1423" t="s">
        <v>18</v>
      </c>
      <c r="C1423" t="s">
        <v>26</v>
      </c>
      <c r="D1423" t="s">
        <v>13</v>
      </c>
      <c r="E1423" t="s">
        <v>20</v>
      </c>
      <c r="F1423" t="s">
        <v>21</v>
      </c>
      <c r="G1423" t="s">
        <v>22</v>
      </c>
      <c r="H1423">
        <v>30000</v>
      </c>
      <c r="I1423">
        <v>1</v>
      </c>
      <c r="J1423" t="s">
        <v>28</v>
      </c>
      <c r="K1423">
        <f t="shared" si="22"/>
        <v>24000</v>
      </c>
      <c r="L1423">
        <f>Sales_Data2[[#This Row],[Unit Price]]*Sales_Data2[[#This Row],[Quantity]]</f>
        <v>30000</v>
      </c>
      <c r="M1423">
        <f>Sales_Data2[[#This Row],[Cost Price]]*Sales_Data2[[#This Row],[Quantity]]</f>
        <v>24000</v>
      </c>
      <c r="N1423" s="3">
        <f>Sales_Data2[[#This Row],[Revenue]]-Sales_Data2[[#This Row],[COGS]]</f>
        <v>6000</v>
      </c>
      <c r="O14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47097|East|Kano|Retail|Store|Blender B10|Home Appliances|30000|1|Musa|24000</v>
      </c>
      <c r="P1423" s="3" t="str">
        <f>IF(COUNTIF(Sales_Data2[RowKey],Sales_Data2[[#This Row],[RowKey]])&gt;1,"Duplicate","Unique")</f>
        <v>Unique</v>
      </c>
      <c r="Q1423" s="3" t="str">
        <f>IF(ISNUMBER(Sales_Data2[[#This Row],[Date]]),"OK","Check")</f>
        <v>OK</v>
      </c>
      <c r="R1423" s="3" t="str">
        <f>IF(ISNUMBER(Sales_Data2[[#This Row],[Quantity]]),"OK","Check")</f>
        <v>OK</v>
      </c>
    </row>
    <row r="1424" spans="1:18">
      <c r="A1424" s="1">
        <v>47098</v>
      </c>
      <c r="B1424" t="s">
        <v>18</v>
      </c>
      <c r="C1424" t="s">
        <v>19</v>
      </c>
      <c r="D1424" t="s">
        <v>23</v>
      </c>
      <c r="E1424" t="s">
        <v>20</v>
      </c>
      <c r="F1424" t="s">
        <v>21</v>
      </c>
      <c r="G1424" t="s">
        <v>22</v>
      </c>
      <c r="H1424">
        <v>30000</v>
      </c>
      <c r="I1424">
        <v>7</v>
      </c>
      <c r="J1424" t="s">
        <v>17</v>
      </c>
      <c r="K1424">
        <f t="shared" si="22"/>
        <v>24000</v>
      </c>
      <c r="L1424">
        <f>Sales_Data2[[#This Row],[Unit Price]]*Sales_Data2[[#This Row],[Quantity]]</f>
        <v>210000</v>
      </c>
      <c r="M1424">
        <f>Sales_Data2[[#This Row],[Cost Price]]*Sales_Data2[[#This Row],[Quantity]]</f>
        <v>168000</v>
      </c>
      <c r="N1424" s="3">
        <f>Sales_Data2[[#This Row],[Revenue]]-Sales_Data2[[#This Row],[COGS]]</f>
        <v>42000</v>
      </c>
      <c r="O14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47098|East|Lagos|Corporate|Store|Blender B10|Home Appliances|30000|7|Chidinma|24000</v>
      </c>
      <c r="P1424" s="3" t="str">
        <f>IF(COUNTIF(Sales_Data2[RowKey],Sales_Data2[[#This Row],[RowKey]])&gt;1,"Duplicate","Unique")</f>
        <v>Unique</v>
      </c>
      <c r="Q1424" s="3" t="str">
        <f>IF(ISNUMBER(Sales_Data2[[#This Row],[Date]]),"OK","Check")</f>
        <v>OK</v>
      </c>
      <c r="R1424" s="3" t="str">
        <f>IF(ISNUMBER(Sales_Data2[[#This Row],[Quantity]]),"OK","Check")</f>
        <v>OK</v>
      </c>
    </row>
    <row r="1425" spans="1:18">
      <c r="A1425" s="1">
        <v>47099</v>
      </c>
      <c r="B1425" t="s">
        <v>29</v>
      </c>
      <c r="C1425" t="s">
        <v>32</v>
      </c>
      <c r="D1425" t="s">
        <v>23</v>
      </c>
      <c r="E1425" t="s">
        <v>20</v>
      </c>
      <c r="F1425" t="s">
        <v>15</v>
      </c>
      <c r="G1425" t="s">
        <v>16</v>
      </c>
      <c r="H1425">
        <v>85000</v>
      </c>
      <c r="I1425">
        <v>8</v>
      </c>
      <c r="J1425" t="s">
        <v>35</v>
      </c>
      <c r="K1425">
        <f t="shared" si="22"/>
        <v>68000</v>
      </c>
      <c r="L1425">
        <f>Sales_Data2[[#This Row],[Unit Price]]*Sales_Data2[[#This Row],[Quantity]]</f>
        <v>680000</v>
      </c>
      <c r="M1425">
        <f>Sales_Data2[[#This Row],[Cost Price]]*Sales_Data2[[#This Row],[Quantity]]</f>
        <v>544000</v>
      </c>
      <c r="N1425" s="3">
        <f>Sales_Data2[[#This Row],[Revenue]]-Sales_Data2[[#This Row],[COGS]]</f>
        <v>136000</v>
      </c>
      <c r="O14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47099|North|Abuja|Corporate|Store|Office Chair Pro|Furniture|85000|8|Peter|68000</v>
      </c>
      <c r="P1425" s="3" t="str">
        <f>IF(COUNTIF(Sales_Data2[RowKey],Sales_Data2[[#This Row],[RowKey]])&gt;1,"Duplicate","Unique")</f>
        <v>Unique</v>
      </c>
      <c r="Q1425" s="3" t="str">
        <f>IF(ISNUMBER(Sales_Data2[[#This Row],[Date]]),"OK","Check")</f>
        <v>OK</v>
      </c>
      <c r="R1425" s="3" t="str">
        <f>IF(ISNUMBER(Sales_Data2[[#This Row],[Quantity]]),"OK","Check")</f>
        <v>OK</v>
      </c>
    </row>
    <row r="1426" spans="1:18">
      <c r="A1426" s="1">
        <v>47100</v>
      </c>
      <c r="B1426" t="s">
        <v>18</v>
      </c>
      <c r="C1426" t="s">
        <v>19</v>
      </c>
      <c r="D1426" t="s">
        <v>13</v>
      </c>
      <c r="E1426" t="s">
        <v>20</v>
      </c>
      <c r="F1426" t="s">
        <v>40</v>
      </c>
      <c r="G1426" t="s">
        <v>31</v>
      </c>
      <c r="H1426">
        <v>250000</v>
      </c>
      <c r="I1426">
        <v>10</v>
      </c>
      <c r="J1426" t="s">
        <v>24</v>
      </c>
      <c r="K1426">
        <f t="shared" si="22"/>
        <v>200000</v>
      </c>
      <c r="L1426">
        <f>Sales_Data2[[#This Row],[Unit Price]]*Sales_Data2[[#This Row],[Quantity]]</f>
        <v>2500000</v>
      </c>
      <c r="M1426">
        <f>Sales_Data2[[#This Row],[Cost Price]]*Sales_Data2[[#This Row],[Quantity]]</f>
        <v>2000000</v>
      </c>
      <c r="N1426" s="3">
        <f>Sales_Data2[[#This Row],[Revenue]]-Sales_Data2[[#This Row],[COGS]]</f>
        <v>500000</v>
      </c>
      <c r="O14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47100|East|Lagos|Retail|Store|Smartphone Z10|Electronics|250000|10|David|200000</v>
      </c>
      <c r="P1426" s="3" t="str">
        <f>IF(COUNTIF(Sales_Data2[RowKey],Sales_Data2[[#This Row],[RowKey]])&gt;1,"Duplicate","Unique")</f>
        <v>Unique</v>
      </c>
      <c r="Q1426" s="3" t="str">
        <f>IF(ISNUMBER(Sales_Data2[[#This Row],[Date]]),"OK","Check")</f>
        <v>OK</v>
      </c>
      <c r="R1426" s="3" t="str">
        <f>IF(ISNUMBER(Sales_Data2[[#This Row],[Quantity]]),"OK","Check")</f>
        <v>OK</v>
      </c>
    </row>
    <row r="1427" spans="1:18">
      <c r="A1427" s="1">
        <v>47101</v>
      </c>
      <c r="B1427" t="s">
        <v>11</v>
      </c>
      <c r="C1427" t="s">
        <v>19</v>
      </c>
      <c r="D1427" t="s">
        <v>13</v>
      </c>
      <c r="E1427" t="s">
        <v>20</v>
      </c>
      <c r="F1427" t="s">
        <v>15</v>
      </c>
      <c r="G1427" t="s">
        <v>16</v>
      </c>
      <c r="H1427">
        <v>85000</v>
      </c>
      <c r="I1427">
        <v>4</v>
      </c>
      <c r="J1427" t="s">
        <v>39</v>
      </c>
      <c r="K1427">
        <f t="shared" si="22"/>
        <v>68000</v>
      </c>
      <c r="L1427">
        <f>Sales_Data2[[#This Row],[Unit Price]]*Sales_Data2[[#This Row],[Quantity]]</f>
        <v>340000</v>
      </c>
      <c r="M1427">
        <f>Sales_Data2[[#This Row],[Cost Price]]*Sales_Data2[[#This Row],[Quantity]]</f>
        <v>272000</v>
      </c>
      <c r="N1427" s="3">
        <f>Sales_Data2[[#This Row],[Revenue]]-Sales_Data2[[#This Row],[COGS]]</f>
        <v>68000</v>
      </c>
      <c r="O14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47101|West|Lagos|Retail|Store|Office Chair Pro|Furniture|85000|4|Grace|68000</v>
      </c>
      <c r="P1427" s="3" t="str">
        <f>IF(COUNTIF(Sales_Data2[RowKey],Sales_Data2[[#This Row],[RowKey]])&gt;1,"Duplicate","Unique")</f>
        <v>Unique</v>
      </c>
      <c r="Q1427" s="3" t="str">
        <f>IF(ISNUMBER(Sales_Data2[[#This Row],[Date]]),"OK","Check")</f>
        <v>OK</v>
      </c>
      <c r="R1427" s="3" t="str">
        <f>IF(ISNUMBER(Sales_Data2[[#This Row],[Quantity]]),"OK","Check")</f>
        <v>OK</v>
      </c>
    </row>
    <row r="1428" spans="1:18">
      <c r="A1428" s="1">
        <v>47102</v>
      </c>
      <c r="B1428" t="s">
        <v>11</v>
      </c>
      <c r="C1428" t="s">
        <v>32</v>
      </c>
      <c r="D1428" t="s">
        <v>13</v>
      </c>
      <c r="E1428" t="s">
        <v>20</v>
      </c>
      <c r="F1428" t="s">
        <v>40</v>
      </c>
      <c r="G1428" t="s">
        <v>31</v>
      </c>
      <c r="H1428">
        <v>250000</v>
      </c>
      <c r="I1428">
        <v>6</v>
      </c>
      <c r="J1428" t="s">
        <v>39</v>
      </c>
      <c r="K1428">
        <f t="shared" si="22"/>
        <v>200000</v>
      </c>
      <c r="L1428">
        <f>Sales_Data2[[#This Row],[Unit Price]]*Sales_Data2[[#This Row],[Quantity]]</f>
        <v>1500000</v>
      </c>
      <c r="M1428">
        <f>Sales_Data2[[#This Row],[Cost Price]]*Sales_Data2[[#This Row],[Quantity]]</f>
        <v>1200000</v>
      </c>
      <c r="N1428" s="3">
        <f>Sales_Data2[[#This Row],[Revenue]]-Sales_Data2[[#This Row],[COGS]]</f>
        <v>300000</v>
      </c>
      <c r="O14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47102|West|Abuja|Retail|Store|Smartphone Z10|Electronics|250000|6|Grace|200000</v>
      </c>
      <c r="P1428" s="3" t="str">
        <f>IF(COUNTIF(Sales_Data2[RowKey],Sales_Data2[[#This Row],[RowKey]])&gt;1,"Duplicate","Unique")</f>
        <v>Unique</v>
      </c>
      <c r="Q1428" s="3" t="str">
        <f>IF(ISNUMBER(Sales_Data2[[#This Row],[Date]]),"OK","Check")</f>
        <v>OK</v>
      </c>
      <c r="R1428" s="3" t="str">
        <f>IF(ISNUMBER(Sales_Data2[[#This Row],[Quantity]]),"OK","Check")</f>
        <v>OK</v>
      </c>
    </row>
    <row r="1429" spans="1:18">
      <c r="A1429" s="1">
        <v>47103</v>
      </c>
      <c r="B1429" t="s">
        <v>18</v>
      </c>
      <c r="C1429" t="s">
        <v>32</v>
      </c>
      <c r="D1429" t="s">
        <v>23</v>
      </c>
      <c r="E1429" t="s">
        <v>20</v>
      </c>
      <c r="F1429" t="s">
        <v>34</v>
      </c>
      <c r="G1429" t="s">
        <v>16</v>
      </c>
      <c r="H1429">
        <v>320000</v>
      </c>
      <c r="I1429">
        <v>7</v>
      </c>
      <c r="J1429" t="s">
        <v>37</v>
      </c>
      <c r="K1429">
        <f t="shared" si="22"/>
        <v>256000</v>
      </c>
      <c r="L1429">
        <f>Sales_Data2[[#This Row],[Unit Price]]*Sales_Data2[[#This Row],[Quantity]]</f>
        <v>2240000</v>
      </c>
      <c r="M1429">
        <f>Sales_Data2[[#This Row],[Cost Price]]*Sales_Data2[[#This Row],[Quantity]]</f>
        <v>1792000</v>
      </c>
      <c r="N1429" s="3">
        <f>Sales_Data2[[#This Row],[Revenue]]-Sales_Data2[[#This Row],[COGS]]</f>
        <v>448000</v>
      </c>
      <c r="O14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47103|East|Abuja|Corporate|Store|Sofa Classic|Furniture|320000|7|Aisha|256000</v>
      </c>
      <c r="P1429" s="3" t="str">
        <f>IF(COUNTIF(Sales_Data2[RowKey],Sales_Data2[[#This Row],[RowKey]])&gt;1,"Duplicate","Unique")</f>
        <v>Unique</v>
      </c>
      <c r="Q1429" s="3" t="str">
        <f>IF(ISNUMBER(Sales_Data2[[#This Row],[Date]]),"OK","Check")</f>
        <v>OK</v>
      </c>
      <c r="R1429" s="3" t="str">
        <f>IF(ISNUMBER(Sales_Data2[[#This Row],[Quantity]]),"OK","Check")</f>
        <v>OK</v>
      </c>
    </row>
    <row r="1430" spans="1:18">
      <c r="A1430" s="1">
        <v>47104</v>
      </c>
      <c r="B1430" t="s">
        <v>18</v>
      </c>
      <c r="C1430" t="s">
        <v>32</v>
      </c>
      <c r="D1430" t="s">
        <v>23</v>
      </c>
      <c r="E1430" t="s">
        <v>20</v>
      </c>
      <c r="F1430" t="s">
        <v>33</v>
      </c>
      <c r="G1430" t="s">
        <v>22</v>
      </c>
      <c r="H1430">
        <v>180000</v>
      </c>
      <c r="I1430">
        <v>2</v>
      </c>
      <c r="J1430" t="s">
        <v>17</v>
      </c>
      <c r="K1430">
        <f t="shared" si="22"/>
        <v>144000</v>
      </c>
      <c r="L1430">
        <f>Sales_Data2[[#This Row],[Unit Price]]*Sales_Data2[[#This Row],[Quantity]]</f>
        <v>360000</v>
      </c>
      <c r="M1430">
        <f>Sales_Data2[[#This Row],[Cost Price]]*Sales_Data2[[#This Row],[Quantity]]</f>
        <v>288000</v>
      </c>
      <c r="N1430" s="3">
        <f>Sales_Data2[[#This Row],[Revenue]]-Sales_Data2[[#This Row],[COGS]]</f>
        <v>72000</v>
      </c>
      <c r="O14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47104|East|Abuja|Corporate|Store|Air Conditioner X2|Home Appliances|180000|2|Chidinma|144000</v>
      </c>
      <c r="P1430" s="3" t="str">
        <f>IF(COUNTIF(Sales_Data2[RowKey],Sales_Data2[[#This Row],[RowKey]])&gt;1,"Duplicate","Unique")</f>
        <v>Unique</v>
      </c>
      <c r="Q1430" s="3" t="str">
        <f>IF(ISNUMBER(Sales_Data2[[#This Row],[Date]]),"OK","Check")</f>
        <v>OK</v>
      </c>
      <c r="R1430" s="3" t="str">
        <f>IF(ISNUMBER(Sales_Data2[[#This Row],[Quantity]]),"OK","Check")</f>
        <v>OK</v>
      </c>
    </row>
    <row r="1431" spans="1:18">
      <c r="A1431" s="1">
        <v>47105</v>
      </c>
      <c r="B1431" t="s">
        <v>29</v>
      </c>
      <c r="C1431" t="s">
        <v>32</v>
      </c>
      <c r="D1431" t="s">
        <v>23</v>
      </c>
      <c r="E1431" t="s">
        <v>20</v>
      </c>
      <c r="F1431" t="s">
        <v>41</v>
      </c>
      <c r="G1431" t="s">
        <v>22</v>
      </c>
      <c r="H1431">
        <v>220000</v>
      </c>
      <c r="I1431">
        <v>2</v>
      </c>
      <c r="J1431" t="s">
        <v>39</v>
      </c>
      <c r="K1431">
        <f t="shared" si="22"/>
        <v>176000</v>
      </c>
      <c r="L1431">
        <f>Sales_Data2[[#This Row],[Unit Price]]*Sales_Data2[[#This Row],[Quantity]]</f>
        <v>440000</v>
      </c>
      <c r="M1431">
        <f>Sales_Data2[[#This Row],[Cost Price]]*Sales_Data2[[#This Row],[Quantity]]</f>
        <v>352000</v>
      </c>
      <c r="N1431" s="3">
        <f>Sales_Data2[[#This Row],[Revenue]]-Sales_Data2[[#This Row],[COGS]]</f>
        <v>88000</v>
      </c>
      <c r="O14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47105|North|Abuja|Corporate|Store|Refrigerator R55|Home Appliances|220000|2|Grace|176000</v>
      </c>
      <c r="P1431" s="3" t="str">
        <f>IF(COUNTIF(Sales_Data2[RowKey],Sales_Data2[[#This Row],[RowKey]])&gt;1,"Duplicate","Unique")</f>
        <v>Unique</v>
      </c>
      <c r="Q1431" s="3" t="str">
        <f>IF(ISNUMBER(Sales_Data2[[#This Row],[Date]]),"OK","Check")</f>
        <v>OK</v>
      </c>
      <c r="R1431" s="3" t="str">
        <f>IF(ISNUMBER(Sales_Data2[[#This Row],[Quantity]]),"OK","Check")</f>
        <v>OK</v>
      </c>
    </row>
    <row r="1432" spans="1:18">
      <c r="A1432" s="1">
        <v>47106</v>
      </c>
      <c r="B1432" t="s">
        <v>29</v>
      </c>
      <c r="C1432" t="s">
        <v>26</v>
      </c>
      <c r="D1432" t="s">
        <v>23</v>
      </c>
      <c r="E1432" t="s">
        <v>20</v>
      </c>
      <c r="F1432" t="s">
        <v>33</v>
      </c>
      <c r="G1432" t="s">
        <v>22</v>
      </c>
      <c r="H1432">
        <v>180000</v>
      </c>
      <c r="I1432">
        <v>6</v>
      </c>
      <c r="J1432" t="s">
        <v>24</v>
      </c>
      <c r="K1432">
        <f t="shared" si="22"/>
        <v>144000</v>
      </c>
      <c r="L1432">
        <f>Sales_Data2[[#This Row],[Unit Price]]*Sales_Data2[[#This Row],[Quantity]]</f>
        <v>1080000</v>
      </c>
      <c r="M1432">
        <f>Sales_Data2[[#This Row],[Cost Price]]*Sales_Data2[[#This Row],[Quantity]]</f>
        <v>864000</v>
      </c>
      <c r="N1432" s="3">
        <f>Sales_Data2[[#This Row],[Revenue]]-Sales_Data2[[#This Row],[COGS]]</f>
        <v>216000</v>
      </c>
      <c r="O14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47106|North|Kano|Corporate|Store|Air Conditioner X2|Home Appliances|180000|6|David|144000</v>
      </c>
      <c r="P1432" s="3" t="str">
        <f>IF(COUNTIF(Sales_Data2[RowKey],Sales_Data2[[#This Row],[RowKey]])&gt;1,"Duplicate","Unique")</f>
        <v>Unique</v>
      </c>
      <c r="Q1432" s="3" t="str">
        <f>IF(ISNUMBER(Sales_Data2[[#This Row],[Date]]),"OK","Check")</f>
        <v>OK</v>
      </c>
      <c r="R1432" s="3" t="str">
        <f>IF(ISNUMBER(Sales_Data2[[#This Row],[Quantity]]),"OK","Check")</f>
        <v>OK</v>
      </c>
    </row>
    <row r="1433" spans="1:18">
      <c r="A1433" s="1">
        <v>47107</v>
      </c>
      <c r="B1433" t="s">
        <v>11</v>
      </c>
      <c r="C1433" t="s">
        <v>32</v>
      </c>
      <c r="D1433" t="s">
        <v>13</v>
      </c>
      <c r="E1433" t="s">
        <v>20</v>
      </c>
      <c r="F1433" t="s">
        <v>33</v>
      </c>
      <c r="G1433" t="s">
        <v>22</v>
      </c>
      <c r="H1433">
        <v>180000</v>
      </c>
      <c r="I1433">
        <v>3</v>
      </c>
      <c r="J1433" t="s">
        <v>24</v>
      </c>
      <c r="K1433">
        <f t="shared" si="22"/>
        <v>144000</v>
      </c>
      <c r="L1433">
        <f>Sales_Data2[[#This Row],[Unit Price]]*Sales_Data2[[#This Row],[Quantity]]</f>
        <v>540000</v>
      </c>
      <c r="M1433">
        <f>Sales_Data2[[#This Row],[Cost Price]]*Sales_Data2[[#This Row],[Quantity]]</f>
        <v>432000</v>
      </c>
      <c r="N1433" s="3">
        <f>Sales_Data2[[#This Row],[Revenue]]-Sales_Data2[[#This Row],[COGS]]</f>
        <v>108000</v>
      </c>
      <c r="O14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47107|West|Abuja|Retail|Store|Air Conditioner X2|Home Appliances|180000|3|David|144000</v>
      </c>
      <c r="P1433" s="3" t="str">
        <f>IF(COUNTIF(Sales_Data2[RowKey],Sales_Data2[[#This Row],[RowKey]])&gt;1,"Duplicate","Unique")</f>
        <v>Unique</v>
      </c>
      <c r="Q1433" s="3" t="str">
        <f>IF(ISNUMBER(Sales_Data2[[#This Row],[Date]]),"OK","Check")</f>
        <v>OK</v>
      </c>
      <c r="R1433" s="3" t="str">
        <f>IF(ISNUMBER(Sales_Data2[[#This Row],[Quantity]]),"OK","Check")</f>
        <v>OK</v>
      </c>
    </row>
    <row r="1434" spans="1:18">
      <c r="A1434" s="1">
        <v>47108</v>
      </c>
      <c r="B1434" t="s">
        <v>11</v>
      </c>
      <c r="C1434" t="s">
        <v>26</v>
      </c>
      <c r="D1434" t="s">
        <v>13</v>
      </c>
      <c r="E1434" t="s">
        <v>20</v>
      </c>
      <c r="F1434" t="s">
        <v>27</v>
      </c>
      <c r="G1434" t="s">
        <v>22</v>
      </c>
      <c r="H1434">
        <v>60000</v>
      </c>
      <c r="I1434">
        <v>2</v>
      </c>
      <c r="J1434" t="s">
        <v>24</v>
      </c>
      <c r="K1434">
        <f t="shared" si="22"/>
        <v>48000</v>
      </c>
      <c r="L1434">
        <f>Sales_Data2[[#This Row],[Unit Price]]*Sales_Data2[[#This Row],[Quantity]]</f>
        <v>120000</v>
      </c>
      <c r="M1434">
        <f>Sales_Data2[[#This Row],[Cost Price]]*Sales_Data2[[#This Row],[Quantity]]</f>
        <v>96000</v>
      </c>
      <c r="N1434" s="3">
        <f>Sales_Data2[[#This Row],[Revenue]]-Sales_Data2[[#This Row],[COGS]]</f>
        <v>24000</v>
      </c>
      <c r="O14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47108|West|Kano|Retail|Store|Microwave M20|Home Appliances|60000|2|David|48000</v>
      </c>
      <c r="P1434" s="3" t="str">
        <f>IF(COUNTIF(Sales_Data2[RowKey],Sales_Data2[[#This Row],[RowKey]])&gt;1,"Duplicate","Unique")</f>
        <v>Unique</v>
      </c>
      <c r="Q1434" s="3" t="str">
        <f>IF(ISNUMBER(Sales_Data2[[#This Row],[Date]]),"OK","Check")</f>
        <v>OK</v>
      </c>
      <c r="R1434" s="3" t="str">
        <f>IF(ISNUMBER(Sales_Data2[[#This Row],[Quantity]]),"OK","Check")</f>
        <v>OK</v>
      </c>
    </row>
    <row r="1435" spans="1:18">
      <c r="A1435" s="1">
        <v>47109</v>
      </c>
      <c r="B1435" t="s">
        <v>29</v>
      </c>
      <c r="C1435" t="s">
        <v>32</v>
      </c>
      <c r="D1435" t="s">
        <v>23</v>
      </c>
      <c r="E1435" t="s">
        <v>20</v>
      </c>
      <c r="F1435" t="s">
        <v>30</v>
      </c>
      <c r="G1435" t="s">
        <v>31</v>
      </c>
      <c r="H1435">
        <v>300000</v>
      </c>
      <c r="I1435">
        <v>1</v>
      </c>
      <c r="J1435" t="s">
        <v>37</v>
      </c>
      <c r="K1435">
        <f t="shared" si="22"/>
        <v>240000</v>
      </c>
      <c r="L1435">
        <f>Sales_Data2[[#This Row],[Unit Price]]*Sales_Data2[[#This Row],[Quantity]]</f>
        <v>300000</v>
      </c>
      <c r="M1435">
        <f>Sales_Data2[[#This Row],[Cost Price]]*Sales_Data2[[#This Row],[Quantity]]</f>
        <v>240000</v>
      </c>
      <c r="N1435" s="3">
        <f>Sales_Data2[[#This Row],[Revenue]]-Sales_Data2[[#This Row],[COGS]]</f>
        <v>60000</v>
      </c>
      <c r="O14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47109|North|Abuja|Corporate|Store|Desktop PC D21|Electronics|300000|1|Aisha|240000</v>
      </c>
      <c r="P1435" s="3" t="str">
        <f>IF(COUNTIF(Sales_Data2[RowKey],Sales_Data2[[#This Row],[RowKey]])&gt;1,"Duplicate","Unique")</f>
        <v>Unique</v>
      </c>
      <c r="Q1435" s="3" t="str">
        <f>IF(ISNUMBER(Sales_Data2[[#This Row],[Date]]),"OK","Check")</f>
        <v>OK</v>
      </c>
      <c r="R1435" s="3" t="str">
        <f>IF(ISNUMBER(Sales_Data2[[#This Row],[Quantity]]),"OK","Check")</f>
        <v>OK</v>
      </c>
    </row>
    <row r="1436" spans="1:18">
      <c r="A1436" s="1">
        <v>47110</v>
      </c>
      <c r="B1436" t="s">
        <v>25</v>
      </c>
      <c r="C1436" t="s">
        <v>26</v>
      </c>
      <c r="D1436" t="s">
        <v>23</v>
      </c>
      <c r="E1436" t="s">
        <v>20</v>
      </c>
      <c r="F1436" t="s">
        <v>38</v>
      </c>
      <c r="G1436" t="s">
        <v>31</v>
      </c>
      <c r="H1436">
        <v>420000</v>
      </c>
      <c r="I1436">
        <v>2</v>
      </c>
      <c r="J1436" t="s">
        <v>24</v>
      </c>
      <c r="K1436">
        <f t="shared" si="22"/>
        <v>336000</v>
      </c>
      <c r="L1436">
        <f>Sales_Data2[[#This Row],[Unit Price]]*Sales_Data2[[#This Row],[Quantity]]</f>
        <v>840000</v>
      </c>
      <c r="M1436">
        <f>Sales_Data2[[#This Row],[Cost Price]]*Sales_Data2[[#This Row],[Quantity]]</f>
        <v>672000</v>
      </c>
      <c r="N1436" s="3">
        <f>Sales_Data2[[#This Row],[Revenue]]-Sales_Data2[[#This Row],[COGS]]</f>
        <v>168000</v>
      </c>
      <c r="O14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47110|South|Kano|Corporate|Store|Laptop A13|Electronics|420000|2|David|336000</v>
      </c>
      <c r="P1436" s="3" t="str">
        <f>IF(COUNTIF(Sales_Data2[RowKey],Sales_Data2[[#This Row],[RowKey]])&gt;1,"Duplicate","Unique")</f>
        <v>Unique</v>
      </c>
      <c r="Q1436" s="3" t="str">
        <f>IF(ISNUMBER(Sales_Data2[[#This Row],[Date]]),"OK","Check")</f>
        <v>OK</v>
      </c>
      <c r="R1436" s="3" t="str">
        <f>IF(ISNUMBER(Sales_Data2[[#This Row],[Quantity]]),"OK","Check")</f>
        <v>OK</v>
      </c>
    </row>
    <row r="1437" spans="1:18">
      <c r="A1437" s="1">
        <v>47111</v>
      </c>
      <c r="B1437" t="s">
        <v>11</v>
      </c>
      <c r="C1437" t="s">
        <v>19</v>
      </c>
      <c r="D1437" t="s">
        <v>13</v>
      </c>
      <c r="E1437" t="s">
        <v>20</v>
      </c>
      <c r="F1437" t="s">
        <v>40</v>
      </c>
      <c r="G1437" t="s">
        <v>31</v>
      </c>
      <c r="H1437">
        <v>250000</v>
      </c>
      <c r="I1437">
        <v>9</v>
      </c>
      <c r="J1437" t="s">
        <v>24</v>
      </c>
      <c r="K1437">
        <f t="shared" si="22"/>
        <v>200000</v>
      </c>
      <c r="L1437">
        <f>Sales_Data2[[#This Row],[Unit Price]]*Sales_Data2[[#This Row],[Quantity]]</f>
        <v>2250000</v>
      </c>
      <c r="M1437">
        <f>Sales_Data2[[#This Row],[Cost Price]]*Sales_Data2[[#This Row],[Quantity]]</f>
        <v>1800000</v>
      </c>
      <c r="N1437" s="3">
        <f>Sales_Data2[[#This Row],[Revenue]]-Sales_Data2[[#This Row],[COGS]]</f>
        <v>450000</v>
      </c>
      <c r="O14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47111|West|Lagos|Retail|Store|Smartphone Z10|Electronics|250000|9|David|200000</v>
      </c>
      <c r="P1437" s="3" t="str">
        <f>IF(COUNTIF(Sales_Data2[RowKey],Sales_Data2[[#This Row],[RowKey]])&gt;1,"Duplicate","Unique")</f>
        <v>Unique</v>
      </c>
      <c r="Q1437" s="3" t="str">
        <f>IF(ISNUMBER(Sales_Data2[[#This Row],[Date]]),"OK","Check")</f>
        <v>OK</v>
      </c>
      <c r="R1437" s="3" t="str">
        <f>IF(ISNUMBER(Sales_Data2[[#This Row],[Quantity]]),"OK","Check")</f>
        <v>OK</v>
      </c>
    </row>
    <row r="1438" spans="1:18">
      <c r="A1438" s="1">
        <v>47112</v>
      </c>
      <c r="B1438" t="s">
        <v>25</v>
      </c>
      <c r="C1438" t="s">
        <v>12</v>
      </c>
      <c r="D1438" t="s">
        <v>23</v>
      </c>
      <c r="E1438" t="s">
        <v>20</v>
      </c>
      <c r="F1438" t="s">
        <v>33</v>
      </c>
      <c r="G1438" t="s">
        <v>22</v>
      </c>
      <c r="H1438">
        <v>180000</v>
      </c>
      <c r="I1438">
        <v>5</v>
      </c>
      <c r="J1438" t="s">
        <v>37</v>
      </c>
      <c r="K1438">
        <f t="shared" si="22"/>
        <v>144000</v>
      </c>
      <c r="L1438">
        <f>Sales_Data2[[#This Row],[Unit Price]]*Sales_Data2[[#This Row],[Quantity]]</f>
        <v>900000</v>
      </c>
      <c r="M1438">
        <f>Sales_Data2[[#This Row],[Cost Price]]*Sales_Data2[[#This Row],[Quantity]]</f>
        <v>720000</v>
      </c>
      <c r="N1438" s="3">
        <f>Sales_Data2[[#This Row],[Revenue]]-Sales_Data2[[#This Row],[COGS]]</f>
        <v>180000</v>
      </c>
      <c r="O14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47112|South|Port Harcourt|Corporate|Store|Air Conditioner X2|Home Appliances|180000|5|Aisha|144000</v>
      </c>
      <c r="P1438" s="3" t="str">
        <f>IF(COUNTIF(Sales_Data2[RowKey],Sales_Data2[[#This Row],[RowKey]])&gt;1,"Duplicate","Unique")</f>
        <v>Unique</v>
      </c>
      <c r="Q1438" s="3" t="str">
        <f>IF(ISNUMBER(Sales_Data2[[#This Row],[Date]]),"OK","Check")</f>
        <v>OK</v>
      </c>
      <c r="R1438" s="3" t="str">
        <f>IF(ISNUMBER(Sales_Data2[[#This Row],[Quantity]]),"OK","Check")</f>
        <v>OK</v>
      </c>
    </row>
    <row r="1439" spans="1:18">
      <c r="A1439" s="1">
        <v>47113</v>
      </c>
      <c r="B1439" t="s">
        <v>25</v>
      </c>
      <c r="C1439" t="s">
        <v>19</v>
      </c>
      <c r="D1439" t="s">
        <v>23</v>
      </c>
      <c r="E1439" t="s">
        <v>20</v>
      </c>
      <c r="F1439" t="s">
        <v>36</v>
      </c>
      <c r="G1439" t="s">
        <v>31</v>
      </c>
      <c r="H1439">
        <v>150000</v>
      </c>
      <c r="I1439">
        <v>5</v>
      </c>
      <c r="J1439" t="s">
        <v>35</v>
      </c>
      <c r="K1439">
        <f t="shared" si="22"/>
        <v>120000</v>
      </c>
      <c r="L1439">
        <f>Sales_Data2[[#This Row],[Unit Price]]*Sales_Data2[[#This Row],[Quantity]]</f>
        <v>750000</v>
      </c>
      <c r="M1439">
        <f>Sales_Data2[[#This Row],[Cost Price]]*Sales_Data2[[#This Row],[Quantity]]</f>
        <v>600000</v>
      </c>
      <c r="N1439" s="3">
        <f>Sales_Data2[[#This Row],[Revenue]]-Sales_Data2[[#This Row],[COGS]]</f>
        <v>150000</v>
      </c>
      <c r="O14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47113|South|Lagos|Corporate|Store|Printer P50|Electronics|150000|5|Peter|120000</v>
      </c>
      <c r="P1439" s="3" t="str">
        <f>IF(COUNTIF(Sales_Data2[RowKey],Sales_Data2[[#This Row],[RowKey]])&gt;1,"Duplicate","Unique")</f>
        <v>Unique</v>
      </c>
      <c r="Q1439" s="3" t="str">
        <f>IF(ISNUMBER(Sales_Data2[[#This Row],[Date]]),"OK","Check")</f>
        <v>OK</v>
      </c>
      <c r="R1439" s="3" t="str">
        <f>IF(ISNUMBER(Sales_Data2[[#This Row],[Quantity]]),"OK","Check")</f>
        <v>OK</v>
      </c>
    </row>
    <row r="1440" spans="1:18">
      <c r="A1440" s="1">
        <v>47114</v>
      </c>
      <c r="B1440" t="s">
        <v>11</v>
      </c>
      <c r="C1440" t="s">
        <v>32</v>
      </c>
      <c r="D1440" t="s">
        <v>13</v>
      </c>
      <c r="E1440" t="s">
        <v>20</v>
      </c>
      <c r="F1440" t="s">
        <v>34</v>
      </c>
      <c r="G1440" t="s">
        <v>16</v>
      </c>
      <c r="H1440">
        <v>320000</v>
      </c>
      <c r="I1440">
        <v>4</v>
      </c>
      <c r="J1440" t="s">
        <v>39</v>
      </c>
      <c r="K1440">
        <f t="shared" si="22"/>
        <v>256000</v>
      </c>
      <c r="L1440">
        <f>Sales_Data2[[#This Row],[Unit Price]]*Sales_Data2[[#This Row],[Quantity]]</f>
        <v>1280000</v>
      </c>
      <c r="M1440">
        <f>Sales_Data2[[#This Row],[Cost Price]]*Sales_Data2[[#This Row],[Quantity]]</f>
        <v>1024000</v>
      </c>
      <c r="N1440" s="3">
        <f>Sales_Data2[[#This Row],[Revenue]]-Sales_Data2[[#This Row],[COGS]]</f>
        <v>256000</v>
      </c>
      <c r="O14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47114|West|Abuja|Retail|Store|Sofa Classic|Furniture|320000|4|Grace|256000</v>
      </c>
      <c r="P1440" s="3" t="str">
        <f>IF(COUNTIF(Sales_Data2[RowKey],Sales_Data2[[#This Row],[RowKey]])&gt;1,"Duplicate","Unique")</f>
        <v>Unique</v>
      </c>
      <c r="Q1440" s="3" t="str">
        <f>IF(ISNUMBER(Sales_Data2[[#This Row],[Date]]),"OK","Check")</f>
        <v>OK</v>
      </c>
      <c r="R1440" s="3" t="str">
        <f>IF(ISNUMBER(Sales_Data2[[#This Row],[Quantity]]),"OK","Check")</f>
        <v>OK</v>
      </c>
    </row>
    <row r="1441" spans="1:18">
      <c r="A1441" s="1">
        <v>47115</v>
      </c>
      <c r="B1441" t="s">
        <v>25</v>
      </c>
      <c r="C1441" t="s">
        <v>26</v>
      </c>
      <c r="D1441" t="s">
        <v>13</v>
      </c>
      <c r="E1441" t="s">
        <v>20</v>
      </c>
      <c r="F1441" t="s">
        <v>33</v>
      </c>
      <c r="G1441" t="s">
        <v>22</v>
      </c>
      <c r="H1441">
        <v>180000</v>
      </c>
      <c r="I1441">
        <v>10</v>
      </c>
      <c r="J1441" t="s">
        <v>35</v>
      </c>
      <c r="K1441">
        <f t="shared" si="22"/>
        <v>144000</v>
      </c>
      <c r="L1441">
        <f>Sales_Data2[[#This Row],[Unit Price]]*Sales_Data2[[#This Row],[Quantity]]</f>
        <v>1800000</v>
      </c>
      <c r="M1441">
        <f>Sales_Data2[[#This Row],[Cost Price]]*Sales_Data2[[#This Row],[Quantity]]</f>
        <v>1440000</v>
      </c>
      <c r="N1441" s="3">
        <f>Sales_Data2[[#This Row],[Revenue]]-Sales_Data2[[#This Row],[COGS]]</f>
        <v>360000</v>
      </c>
      <c r="O14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47115|South|Kano|Retail|Store|Air Conditioner X2|Home Appliances|180000|10|Peter|144000</v>
      </c>
      <c r="P1441" s="3" t="str">
        <f>IF(COUNTIF(Sales_Data2[RowKey],Sales_Data2[[#This Row],[RowKey]])&gt;1,"Duplicate","Unique")</f>
        <v>Unique</v>
      </c>
      <c r="Q1441" s="3" t="str">
        <f>IF(ISNUMBER(Sales_Data2[[#This Row],[Date]]),"OK","Check")</f>
        <v>OK</v>
      </c>
      <c r="R1441" s="3" t="str">
        <f>IF(ISNUMBER(Sales_Data2[[#This Row],[Quantity]]),"OK","Check")</f>
        <v>OK</v>
      </c>
    </row>
    <row r="1442" spans="1:18">
      <c r="A1442" s="1">
        <v>47116</v>
      </c>
      <c r="B1442" t="s">
        <v>29</v>
      </c>
      <c r="C1442" t="s">
        <v>12</v>
      </c>
      <c r="D1442" t="s">
        <v>23</v>
      </c>
      <c r="E1442" t="s">
        <v>20</v>
      </c>
      <c r="F1442" t="s">
        <v>38</v>
      </c>
      <c r="G1442" t="s">
        <v>31</v>
      </c>
      <c r="H1442">
        <v>420000</v>
      </c>
      <c r="I1442">
        <v>2</v>
      </c>
      <c r="J1442" t="s">
        <v>37</v>
      </c>
      <c r="K1442">
        <f t="shared" si="22"/>
        <v>336000</v>
      </c>
      <c r="L1442">
        <f>Sales_Data2[[#This Row],[Unit Price]]*Sales_Data2[[#This Row],[Quantity]]</f>
        <v>840000</v>
      </c>
      <c r="M1442">
        <f>Sales_Data2[[#This Row],[Cost Price]]*Sales_Data2[[#This Row],[Quantity]]</f>
        <v>672000</v>
      </c>
      <c r="N1442" s="3">
        <f>Sales_Data2[[#This Row],[Revenue]]-Sales_Data2[[#This Row],[COGS]]</f>
        <v>168000</v>
      </c>
      <c r="O14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47116|North|Port Harcourt|Corporate|Store|Laptop A13|Electronics|420000|2|Aisha|336000</v>
      </c>
      <c r="P1442" s="3" t="str">
        <f>IF(COUNTIF(Sales_Data2[RowKey],Sales_Data2[[#This Row],[RowKey]])&gt;1,"Duplicate","Unique")</f>
        <v>Unique</v>
      </c>
      <c r="Q1442" s="3" t="str">
        <f>IF(ISNUMBER(Sales_Data2[[#This Row],[Date]]),"OK","Check")</f>
        <v>OK</v>
      </c>
      <c r="R1442" s="3" t="str">
        <f>IF(ISNUMBER(Sales_Data2[[#This Row],[Quantity]]),"OK","Check")</f>
        <v>OK</v>
      </c>
    </row>
    <row r="1443" spans="1:18">
      <c r="A1443" s="1">
        <v>47117</v>
      </c>
      <c r="B1443" t="s">
        <v>25</v>
      </c>
      <c r="C1443" t="s">
        <v>12</v>
      </c>
      <c r="D1443" t="s">
        <v>23</v>
      </c>
      <c r="E1443" t="s">
        <v>20</v>
      </c>
      <c r="F1443" t="s">
        <v>36</v>
      </c>
      <c r="G1443" t="s">
        <v>31</v>
      </c>
      <c r="H1443">
        <v>150000</v>
      </c>
      <c r="I1443">
        <v>6</v>
      </c>
      <c r="J1443" t="s">
        <v>37</v>
      </c>
      <c r="K1443">
        <f t="shared" si="22"/>
        <v>120000</v>
      </c>
      <c r="L1443">
        <f>Sales_Data2[[#This Row],[Unit Price]]*Sales_Data2[[#This Row],[Quantity]]</f>
        <v>900000</v>
      </c>
      <c r="M1443">
        <f>Sales_Data2[[#This Row],[Cost Price]]*Sales_Data2[[#This Row],[Quantity]]</f>
        <v>720000</v>
      </c>
      <c r="N1443" s="3">
        <f>Sales_Data2[[#This Row],[Revenue]]-Sales_Data2[[#This Row],[COGS]]</f>
        <v>180000</v>
      </c>
      <c r="O14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47117|South|Port Harcourt|Corporate|Store|Printer P50|Electronics|150000|6|Aisha|120000</v>
      </c>
      <c r="P1443" s="3" t="str">
        <f>IF(COUNTIF(Sales_Data2[RowKey],Sales_Data2[[#This Row],[RowKey]])&gt;1,"Duplicate","Unique")</f>
        <v>Unique</v>
      </c>
      <c r="Q1443" s="3" t="str">
        <f>IF(ISNUMBER(Sales_Data2[[#This Row],[Date]]),"OK","Check")</f>
        <v>OK</v>
      </c>
      <c r="R1443" s="3" t="str">
        <f>IF(ISNUMBER(Sales_Data2[[#This Row],[Quantity]]),"OK","Check")</f>
        <v>OK</v>
      </c>
    </row>
    <row r="1444" spans="1:18">
      <c r="A1444" s="1">
        <v>47118</v>
      </c>
      <c r="B1444" t="s">
        <v>11</v>
      </c>
      <c r="C1444" t="s">
        <v>19</v>
      </c>
      <c r="D1444" t="s">
        <v>23</v>
      </c>
      <c r="E1444" t="s">
        <v>20</v>
      </c>
      <c r="F1444" t="s">
        <v>36</v>
      </c>
      <c r="G1444" t="s">
        <v>31</v>
      </c>
      <c r="H1444">
        <v>150000</v>
      </c>
      <c r="I1444">
        <v>4</v>
      </c>
      <c r="J1444" t="s">
        <v>24</v>
      </c>
      <c r="K1444">
        <f t="shared" si="22"/>
        <v>120000</v>
      </c>
      <c r="L1444">
        <f>Sales_Data2[[#This Row],[Unit Price]]*Sales_Data2[[#This Row],[Quantity]]</f>
        <v>600000</v>
      </c>
      <c r="M1444">
        <f>Sales_Data2[[#This Row],[Cost Price]]*Sales_Data2[[#This Row],[Quantity]]</f>
        <v>480000</v>
      </c>
      <c r="N1444" s="3">
        <f>Sales_Data2[[#This Row],[Revenue]]-Sales_Data2[[#This Row],[COGS]]</f>
        <v>120000</v>
      </c>
      <c r="O14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47118|West|Lagos|Corporate|Store|Printer P50|Electronics|150000|4|David|120000</v>
      </c>
      <c r="P1444" s="3" t="str">
        <f>IF(COUNTIF(Sales_Data2[RowKey],Sales_Data2[[#This Row],[RowKey]])&gt;1,"Duplicate","Unique")</f>
        <v>Unique</v>
      </c>
      <c r="Q1444" s="3" t="str">
        <f>IF(ISNUMBER(Sales_Data2[[#This Row],[Date]]),"OK","Check")</f>
        <v>OK</v>
      </c>
      <c r="R1444" s="3" t="str">
        <f>IF(ISNUMBER(Sales_Data2[[#This Row],[Quantity]]),"OK","Check")</f>
        <v>OK</v>
      </c>
    </row>
    <row r="1445" spans="1:18">
      <c r="A1445" s="1">
        <v>47119</v>
      </c>
      <c r="B1445" t="s">
        <v>18</v>
      </c>
      <c r="C1445" t="s">
        <v>12</v>
      </c>
      <c r="D1445" t="s">
        <v>23</v>
      </c>
      <c r="E1445" t="s">
        <v>20</v>
      </c>
      <c r="F1445" t="s">
        <v>40</v>
      </c>
      <c r="G1445" t="s">
        <v>31</v>
      </c>
      <c r="H1445">
        <v>250000</v>
      </c>
      <c r="I1445">
        <v>9</v>
      </c>
      <c r="J1445" t="s">
        <v>37</v>
      </c>
      <c r="K1445">
        <f t="shared" si="22"/>
        <v>200000</v>
      </c>
      <c r="L1445">
        <f>Sales_Data2[[#This Row],[Unit Price]]*Sales_Data2[[#This Row],[Quantity]]</f>
        <v>2250000</v>
      </c>
      <c r="M1445">
        <f>Sales_Data2[[#This Row],[Cost Price]]*Sales_Data2[[#This Row],[Quantity]]</f>
        <v>1800000</v>
      </c>
      <c r="N1445" s="3">
        <f>Sales_Data2[[#This Row],[Revenue]]-Sales_Data2[[#This Row],[COGS]]</f>
        <v>450000</v>
      </c>
      <c r="O14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47119|East|Port Harcourt|Corporate|Store|Smartphone Z10|Electronics|250000|9|Aisha|200000</v>
      </c>
      <c r="P1445" s="3" t="str">
        <f>IF(COUNTIF(Sales_Data2[RowKey],Sales_Data2[[#This Row],[RowKey]])&gt;1,"Duplicate","Unique")</f>
        <v>Unique</v>
      </c>
      <c r="Q1445" s="3" t="str">
        <f>IF(ISNUMBER(Sales_Data2[[#This Row],[Date]]),"OK","Check")</f>
        <v>OK</v>
      </c>
      <c r="R1445" s="3" t="str">
        <f>IF(ISNUMBER(Sales_Data2[[#This Row],[Quantity]]),"OK","Check")</f>
        <v>OK</v>
      </c>
    </row>
    <row r="1446" spans="1:18">
      <c r="A1446" s="1">
        <v>47120</v>
      </c>
      <c r="B1446" t="s">
        <v>25</v>
      </c>
      <c r="C1446" t="s">
        <v>19</v>
      </c>
      <c r="D1446" t="s">
        <v>23</v>
      </c>
      <c r="E1446" t="s">
        <v>20</v>
      </c>
      <c r="F1446" t="s">
        <v>41</v>
      </c>
      <c r="G1446" t="s">
        <v>22</v>
      </c>
      <c r="H1446">
        <v>220000</v>
      </c>
      <c r="I1446">
        <v>8</v>
      </c>
      <c r="J1446" t="s">
        <v>39</v>
      </c>
      <c r="K1446">
        <f t="shared" si="22"/>
        <v>176000</v>
      </c>
      <c r="L1446">
        <f>Sales_Data2[[#This Row],[Unit Price]]*Sales_Data2[[#This Row],[Quantity]]</f>
        <v>1760000</v>
      </c>
      <c r="M1446">
        <f>Sales_Data2[[#This Row],[Cost Price]]*Sales_Data2[[#This Row],[Quantity]]</f>
        <v>1408000</v>
      </c>
      <c r="N1446" s="3">
        <f>Sales_Data2[[#This Row],[Revenue]]-Sales_Data2[[#This Row],[COGS]]</f>
        <v>352000</v>
      </c>
      <c r="O14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47120|South|Lagos|Corporate|Store|Refrigerator R55|Home Appliances|220000|8|Grace|176000</v>
      </c>
      <c r="P1446" s="3" t="str">
        <f>IF(COUNTIF(Sales_Data2[RowKey],Sales_Data2[[#This Row],[RowKey]])&gt;1,"Duplicate","Unique")</f>
        <v>Unique</v>
      </c>
      <c r="Q1446" s="3" t="str">
        <f>IF(ISNUMBER(Sales_Data2[[#This Row],[Date]]),"OK","Check")</f>
        <v>OK</v>
      </c>
      <c r="R1446" s="3" t="str">
        <f>IF(ISNUMBER(Sales_Data2[[#This Row],[Quantity]]),"OK","Check")</f>
        <v>OK</v>
      </c>
    </row>
    <row r="1447" spans="1:18">
      <c r="A1447" s="1">
        <v>47121</v>
      </c>
      <c r="B1447" t="s">
        <v>29</v>
      </c>
      <c r="C1447" t="s">
        <v>26</v>
      </c>
      <c r="D1447" t="s">
        <v>13</v>
      </c>
      <c r="E1447" t="s">
        <v>20</v>
      </c>
      <c r="F1447" t="s">
        <v>36</v>
      </c>
      <c r="G1447" t="s">
        <v>31</v>
      </c>
      <c r="H1447">
        <v>150000</v>
      </c>
      <c r="I1447">
        <v>2</v>
      </c>
      <c r="J1447" t="s">
        <v>28</v>
      </c>
      <c r="K1447">
        <f t="shared" si="22"/>
        <v>120000</v>
      </c>
      <c r="L1447">
        <f>Sales_Data2[[#This Row],[Unit Price]]*Sales_Data2[[#This Row],[Quantity]]</f>
        <v>300000</v>
      </c>
      <c r="M1447">
        <f>Sales_Data2[[#This Row],[Cost Price]]*Sales_Data2[[#This Row],[Quantity]]</f>
        <v>240000</v>
      </c>
      <c r="N1447" s="3">
        <f>Sales_Data2[[#This Row],[Revenue]]-Sales_Data2[[#This Row],[COGS]]</f>
        <v>60000</v>
      </c>
      <c r="O14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47121|North|Kano|Retail|Store|Printer P50|Electronics|150000|2|Musa|120000</v>
      </c>
      <c r="P1447" s="3" t="str">
        <f>IF(COUNTIF(Sales_Data2[RowKey],Sales_Data2[[#This Row],[RowKey]])&gt;1,"Duplicate","Unique")</f>
        <v>Unique</v>
      </c>
      <c r="Q1447" s="3" t="str">
        <f>IF(ISNUMBER(Sales_Data2[[#This Row],[Date]]),"OK","Check")</f>
        <v>OK</v>
      </c>
      <c r="R1447" s="3" t="str">
        <f>IF(ISNUMBER(Sales_Data2[[#This Row],[Quantity]]),"OK","Check")</f>
        <v>OK</v>
      </c>
    </row>
    <row r="1448" spans="1:18">
      <c r="A1448" s="1">
        <v>47122</v>
      </c>
      <c r="B1448" t="s">
        <v>11</v>
      </c>
      <c r="C1448" t="s">
        <v>19</v>
      </c>
      <c r="D1448" t="s">
        <v>23</v>
      </c>
      <c r="E1448" t="s">
        <v>20</v>
      </c>
      <c r="F1448" t="s">
        <v>41</v>
      </c>
      <c r="G1448" t="s">
        <v>22</v>
      </c>
      <c r="H1448">
        <v>220000</v>
      </c>
      <c r="I1448">
        <v>4</v>
      </c>
      <c r="J1448" t="s">
        <v>28</v>
      </c>
      <c r="K1448">
        <f t="shared" si="22"/>
        <v>176000</v>
      </c>
      <c r="L1448">
        <f>Sales_Data2[[#This Row],[Unit Price]]*Sales_Data2[[#This Row],[Quantity]]</f>
        <v>880000</v>
      </c>
      <c r="M1448">
        <f>Sales_Data2[[#This Row],[Cost Price]]*Sales_Data2[[#This Row],[Quantity]]</f>
        <v>704000</v>
      </c>
      <c r="N1448" s="3">
        <f>Sales_Data2[[#This Row],[Revenue]]-Sales_Data2[[#This Row],[COGS]]</f>
        <v>176000</v>
      </c>
      <c r="O14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47122|West|Lagos|Corporate|Store|Refrigerator R55|Home Appliances|220000|4|Musa|176000</v>
      </c>
      <c r="P1448" s="3" t="str">
        <f>IF(COUNTIF(Sales_Data2[RowKey],Sales_Data2[[#This Row],[RowKey]])&gt;1,"Duplicate","Unique")</f>
        <v>Unique</v>
      </c>
      <c r="Q1448" s="3" t="str">
        <f>IF(ISNUMBER(Sales_Data2[[#This Row],[Date]]),"OK","Check")</f>
        <v>OK</v>
      </c>
      <c r="R1448" s="3" t="str">
        <f>IF(ISNUMBER(Sales_Data2[[#This Row],[Quantity]]),"OK","Check")</f>
        <v>OK</v>
      </c>
    </row>
    <row r="1449" spans="1:18">
      <c r="A1449" s="1">
        <v>47123</v>
      </c>
      <c r="B1449" t="s">
        <v>25</v>
      </c>
      <c r="C1449" t="s">
        <v>12</v>
      </c>
      <c r="D1449" t="s">
        <v>23</v>
      </c>
      <c r="E1449" t="s">
        <v>20</v>
      </c>
      <c r="F1449" t="s">
        <v>21</v>
      </c>
      <c r="G1449" t="s">
        <v>22</v>
      </c>
      <c r="H1449">
        <v>30000</v>
      </c>
      <c r="I1449">
        <v>6</v>
      </c>
      <c r="J1449" t="s">
        <v>37</v>
      </c>
      <c r="K1449">
        <f t="shared" si="22"/>
        <v>24000</v>
      </c>
      <c r="L1449">
        <f>Sales_Data2[[#This Row],[Unit Price]]*Sales_Data2[[#This Row],[Quantity]]</f>
        <v>180000</v>
      </c>
      <c r="M1449">
        <f>Sales_Data2[[#This Row],[Cost Price]]*Sales_Data2[[#This Row],[Quantity]]</f>
        <v>144000</v>
      </c>
      <c r="N1449" s="3">
        <f>Sales_Data2[[#This Row],[Revenue]]-Sales_Data2[[#This Row],[COGS]]</f>
        <v>36000</v>
      </c>
      <c r="O14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47123|South|Port Harcourt|Corporate|Store|Blender B10|Home Appliances|30000|6|Aisha|24000</v>
      </c>
      <c r="P1449" s="3" t="str">
        <f>IF(COUNTIF(Sales_Data2[RowKey],Sales_Data2[[#This Row],[RowKey]])&gt;1,"Duplicate","Unique")</f>
        <v>Unique</v>
      </c>
      <c r="Q1449" s="3" t="str">
        <f>IF(ISNUMBER(Sales_Data2[[#This Row],[Date]]),"OK","Check")</f>
        <v>OK</v>
      </c>
      <c r="R1449" s="3" t="str">
        <f>IF(ISNUMBER(Sales_Data2[[#This Row],[Quantity]]),"OK","Check")</f>
        <v>OK</v>
      </c>
    </row>
    <row r="1450" spans="1:18">
      <c r="A1450" s="1">
        <v>47124</v>
      </c>
      <c r="B1450" t="s">
        <v>18</v>
      </c>
      <c r="C1450" t="s">
        <v>32</v>
      </c>
      <c r="D1450" t="s">
        <v>13</v>
      </c>
      <c r="E1450" t="s">
        <v>20</v>
      </c>
      <c r="F1450" t="s">
        <v>15</v>
      </c>
      <c r="G1450" t="s">
        <v>16</v>
      </c>
      <c r="H1450">
        <v>85000</v>
      </c>
      <c r="I1450">
        <v>3</v>
      </c>
      <c r="J1450" t="s">
        <v>28</v>
      </c>
      <c r="K1450">
        <f t="shared" si="22"/>
        <v>68000</v>
      </c>
      <c r="L1450">
        <f>Sales_Data2[[#This Row],[Unit Price]]*Sales_Data2[[#This Row],[Quantity]]</f>
        <v>255000</v>
      </c>
      <c r="M1450">
        <f>Sales_Data2[[#This Row],[Cost Price]]*Sales_Data2[[#This Row],[Quantity]]</f>
        <v>204000</v>
      </c>
      <c r="N1450" s="3">
        <f>Sales_Data2[[#This Row],[Revenue]]-Sales_Data2[[#This Row],[COGS]]</f>
        <v>51000</v>
      </c>
      <c r="O14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47124|East|Abuja|Retail|Store|Office Chair Pro|Furniture|85000|3|Musa|68000</v>
      </c>
      <c r="P1450" s="3" t="str">
        <f>IF(COUNTIF(Sales_Data2[RowKey],Sales_Data2[[#This Row],[RowKey]])&gt;1,"Duplicate","Unique")</f>
        <v>Unique</v>
      </c>
      <c r="Q1450" s="3" t="str">
        <f>IF(ISNUMBER(Sales_Data2[[#This Row],[Date]]),"OK","Check")</f>
        <v>OK</v>
      </c>
      <c r="R1450" s="3" t="str">
        <f>IF(ISNUMBER(Sales_Data2[[#This Row],[Quantity]]),"OK","Check")</f>
        <v>OK</v>
      </c>
    </row>
    <row r="1451" spans="1:18">
      <c r="A1451" s="1">
        <v>47125</v>
      </c>
      <c r="B1451" t="s">
        <v>18</v>
      </c>
      <c r="C1451" t="s">
        <v>19</v>
      </c>
      <c r="D1451" t="s">
        <v>13</v>
      </c>
      <c r="E1451" t="s">
        <v>20</v>
      </c>
      <c r="F1451" t="s">
        <v>15</v>
      </c>
      <c r="G1451" t="s">
        <v>16</v>
      </c>
      <c r="H1451">
        <v>85000</v>
      </c>
      <c r="I1451">
        <v>2</v>
      </c>
      <c r="J1451" t="s">
        <v>17</v>
      </c>
      <c r="K1451">
        <f t="shared" si="22"/>
        <v>68000</v>
      </c>
      <c r="L1451">
        <f>Sales_Data2[[#This Row],[Unit Price]]*Sales_Data2[[#This Row],[Quantity]]</f>
        <v>170000</v>
      </c>
      <c r="M1451">
        <f>Sales_Data2[[#This Row],[Cost Price]]*Sales_Data2[[#This Row],[Quantity]]</f>
        <v>136000</v>
      </c>
      <c r="N1451" s="3">
        <f>Sales_Data2[[#This Row],[Revenue]]-Sales_Data2[[#This Row],[COGS]]</f>
        <v>34000</v>
      </c>
      <c r="O14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47125|East|Lagos|Retail|Store|Office Chair Pro|Furniture|85000|2|Chidinma|68000</v>
      </c>
      <c r="P1451" s="3" t="str">
        <f>IF(COUNTIF(Sales_Data2[RowKey],Sales_Data2[[#This Row],[RowKey]])&gt;1,"Duplicate","Unique")</f>
        <v>Unique</v>
      </c>
      <c r="Q1451" s="3" t="str">
        <f>IF(ISNUMBER(Sales_Data2[[#This Row],[Date]]),"OK","Check")</f>
        <v>OK</v>
      </c>
      <c r="R1451" s="3" t="str">
        <f>IF(ISNUMBER(Sales_Data2[[#This Row],[Quantity]]),"OK","Check")</f>
        <v>OK</v>
      </c>
    </row>
    <row r="1452" spans="1:18">
      <c r="A1452" s="1">
        <v>47126</v>
      </c>
      <c r="B1452" t="s">
        <v>29</v>
      </c>
      <c r="C1452" t="s">
        <v>19</v>
      </c>
      <c r="D1452" t="s">
        <v>13</v>
      </c>
      <c r="E1452" t="s">
        <v>20</v>
      </c>
      <c r="F1452" t="s">
        <v>40</v>
      </c>
      <c r="G1452" t="s">
        <v>31</v>
      </c>
      <c r="H1452">
        <v>250000</v>
      </c>
      <c r="I1452">
        <v>10</v>
      </c>
      <c r="J1452" t="s">
        <v>28</v>
      </c>
      <c r="K1452">
        <f t="shared" si="22"/>
        <v>200000</v>
      </c>
      <c r="L1452">
        <f>Sales_Data2[[#This Row],[Unit Price]]*Sales_Data2[[#This Row],[Quantity]]</f>
        <v>2500000</v>
      </c>
      <c r="M1452">
        <f>Sales_Data2[[#This Row],[Cost Price]]*Sales_Data2[[#This Row],[Quantity]]</f>
        <v>2000000</v>
      </c>
      <c r="N1452" s="3">
        <f>Sales_Data2[[#This Row],[Revenue]]-Sales_Data2[[#This Row],[COGS]]</f>
        <v>500000</v>
      </c>
      <c r="O14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47126|North|Lagos|Retail|Store|Smartphone Z10|Electronics|250000|10|Musa|200000</v>
      </c>
      <c r="P1452" s="3" t="str">
        <f>IF(COUNTIF(Sales_Data2[RowKey],Sales_Data2[[#This Row],[RowKey]])&gt;1,"Duplicate","Unique")</f>
        <v>Unique</v>
      </c>
      <c r="Q1452" s="3" t="str">
        <f>IF(ISNUMBER(Sales_Data2[[#This Row],[Date]]),"OK","Check")</f>
        <v>OK</v>
      </c>
      <c r="R1452" s="3" t="str">
        <f>IF(ISNUMBER(Sales_Data2[[#This Row],[Quantity]]),"OK","Check")</f>
        <v>OK</v>
      </c>
    </row>
    <row r="1453" spans="1:18">
      <c r="A1453" s="1">
        <v>47127</v>
      </c>
      <c r="B1453" t="s">
        <v>11</v>
      </c>
      <c r="C1453" t="s">
        <v>19</v>
      </c>
      <c r="D1453" t="s">
        <v>23</v>
      </c>
      <c r="E1453" t="s">
        <v>20</v>
      </c>
      <c r="F1453" t="s">
        <v>41</v>
      </c>
      <c r="G1453" t="s">
        <v>22</v>
      </c>
      <c r="H1453">
        <v>220000</v>
      </c>
      <c r="I1453">
        <v>2</v>
      </c>
      <c r="J1453" t="s">
        <v>37</v>
      </c>
      <c r="K1453">
        <f t="shared" si="22"/>
        <v>176000</v>
      </c>
      <c r="L1453">
        <f>Sales_Data2[[#This Row],[Unit Price]]*Sales_Data2[[#This Row],[Quantity]]</f>
        <v>440000</v>
      </c>
      <c r="M1453">
        <f>Sales_Data2[[#This Row],[Cost Price]]*Sales_Data2[[#This Row],[Quantity]]</f>
        <v>352000</v>
      </c>
      <c r="N1453" s="3">
        <f>Sales_Data2[[#This Row],[Revenue]]-Sales_Data2[[#This Row],[COGS]]</f>
        <v>88000</v>
      </c>
      <c r="O14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47127|West|Lagos|Corporate|Store|Refrigerator R55|Home Appliances|220000|2|Aisha|176000</v>
      </c>
      <c r="P1453" s="3" t="str">
        <f>IF(COUNTIF(Sales_Data2[RowKey],Sales_Data2[[#This Row],[RowKey]])&gt;1,"Duplicate","Unique")</f>
        <v>Unique</v>
      </c>
      <c r="Q1453" s="3" t="str">
        <f>IF(ISNUMBER(Sales_Data2[[#This Row],[Date]]),"OK","Check")</f>
        <v>OK</v>
      </c>
      <c r="R1453" s="3" t="str">
        <f>IF(ISNUMBER(Sales_Data2[[#This Row],[Quantity]]),"OK","Check")</f>
        <v>OK</v>
      </c>
    </row>
    <row r="1454" spans="1:18">
      <c r="A1454" s="1">
        <v>47128</v>
      </c>
      <c r="B1454" t="s">
        <v>11</v>
      </c>
      <c r="C1454" t="s">
        <v>12</v>
      </c>
      <c r="D1454" t="s">
        <v>23</v>
      </c>
      <c r="E1454" t="s">
        <v>20</v>
      </c>
      <c r="F1454" t="s">
        <v>30</v>
      </c>
      <c r="G1454" t="s">
        <v>31</v>
      </c>
      <c r="H1454">
        <v>300000</v>
      </c>
      <c r="I1454">
        <v>9</v>
      </c>
      <c r="J1454" t="s">
        <v>37</v>
      </c>
      <c r="K1454">
        <f t="shared" si="22"/>
        <v>240000</v>
      </c>
      <c r="L1454">
        <f>Sales_Data2[[#This Row],[Unit Price]]*Sales_Data2[[#This Row],[Quantity]]</f>
        <v>2700000</v>
      </c>
      <c r="M1454">
        <f>Sales_Data2[[#This Row],[Cost Price]]*Sales_Data2[[#This Row],[Quantity]]</f>
        <v>2160000</v>
      </c>
      <c r="N1454" s="3">
        <f>Sales_Data2[[#This Row],[Revenue]]-Sales_Data2[[#This Row],[COGS]]</f>
        <v>540000</v>
      </c>
      <c r="O14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47128|West|Port Harcourt|Corporate|Store|Desktop PC D21|Electronics|300000|9|Aisha|240000</v>
      </c>
      <c r="P1454" s="3" t="str">
        <f>IF(COUNTIF(Sales_Data2[RowKey],Sales_Data2[[#This Row],[RowKey]])&gt;1,"Duplicate","Unique")</f>
        <v>Unique</v>
      </c>
      <c r="Q1454" s="3" t="str">
        <f>IF(ISNUMBER(Sales_Data2[[#This Row],[Date]]),"OK","Check")</f>
        <v>OK</v>
      </c>
      <c r="R1454" s="3" t="str">
        <f>IF(ISNUMBER(Sales_Data2[[#This Row],[Quantity]]),"OK","Check")</f>
        <v>OK</v>
      </c>
    </row>
    <row r="1455" spans="1:18">
      <c r="A1455" s="1">
        <v>47129</v>
      </c>
      <c r="B1455" t="s">
        <v>18</v>
      </c>
      <c r="C1455" t="s">
        <v>32</v>
      </c>
      <c r="D1455" t="s">
        <v>13</v>
      </c>
      <c r="E1455" t="s">
        <v>20</v>
      </c>
      <c r="F1455" t="s">
        <v>41</v>
      </c>
      <c r="G1455" t="s">
        <v>22</v>
      </c>
      <c r="H1455">
        <v>220000</v>
      </c>
      <c r="I1455">
        <v>3</v>
      </c>
      <c r="J1455" t="s">
        <v>24</v>
      </c>
      <c r="K1455">
        <f t="shared" si="22"/>
        <v>176000</v>
      </c>
      <c r="L1455">
        <f>Sales_Data2[[#This Row],[Unit Price]]*Sales_Data2[[#This Row],[Quantity]]</f>
        <v>660000</v>
      </c>
      <c r="M1455">
        <f>Sales_Data2[[#This Row],[Cost Price]]*Sales_Data2[[#This Row],[Quantity]]</f>
        <v>528000</v>
      </c>
      <c r="N1455" s="3">
        <f>Sales_Data2[[#This Row],[Revenue]]-Sales_Data2[[#This Row],[COGS]]</f>
        <v>132000</v>
      </c>
      <c r="O14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47129|East|Abuja|Retail|Store|Refrigerator R55|Home Appliances|220000|3|David|176000</v>
      </c>
      <c r="P1455" s="3" t="str">
        <f>IF(COUNTIF(Sales_Data2[RowKey],Sales_Data2[[#This Row],[RowKey]])&gt;1,"Duplicate","Unique")</f>
        <v>Unique</v>
      </c>
      <c r="Q1455" s="3" t="str">
        <f>IF(ISNUMBER(Sales_Data2[[#This Row],[Date]]),"OK","Check")</f>
        <v>OK</v>
      </c>
      <c r="R1455" s="3" t="str">
        <f>IF(ISNUMBER(Sales_Data2[[#This Row],[Quantity]]),"OK","Check")</f>
        <v>OK</v>
      </c>
    </row>
    <row r="1456" spans="1:18">
      <c r="A1456" s="1">
        <v>47130</v>
      </c>
      <c r="B1456" t="s">
        <v>18</v>
      </c>
      <c r="C1456" t="s">
        <v>32</v>
      </c>
      <c r="D1456" t="s">
        <v>23</v>
      </c>
      <c r="E1456" t="s">
        <v>20</v>
      </c>
      <c r="F1456" t="s">
        <v>40</v>
      </c>
      <c r="G1456" t="s">
        <v>31</v>
      </c>
      <c r="H1456">
        <v>250000</v>
      </c>
      <c r="I1456">
        <v>8</v>
      </c>
      <c r="J1456" t="s">
        <v>28</v>
      </c>
      <c r="K1456">
        <f t="shared" si="22"/>
        <v>200000</v>
      </c>
      <c r="L1456">
        <f>Sales_Data2[[#This Row],[Unit Price]]*Sales_Data2[[#This Row],[Quantity]]</f>
        <v>2000000</v>
      </c>
      <c r="M1456">
        <f>Sales_Data2[[#This Row],[Cost Price]]*Sales_Data2[[#This Row],[Quantity]]</f>
        <v>1600000</v>
      </c>
      <c r="N1456" s="3">
        <f>Sales_Data2[[#This Row],[Revenue]]-Sales_Data2[[#This Row],[COGS]]</f>
        <v>400000</v>
      </c>
      <c r="O14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47130|East|Abuja|Corporate|Store|Smartphone Z10|Electronics|250000|8|Musa|200000</v>
      </c>
      <c r="P1456" s="3" t="str">
        <f>IF(COUNTIF(Sales_Data2[RowKey],Sales_Data2[[#This Row],[RowKey]])&gt;1,"Duplicate","Unique")</f>
        <v>Unique</v>
      </c>
      <c r="Q1456" s="3" t="str">
        <f>IF(ISNUMBER(Sales_Data2[[#This Row],[Date]]),"OK","Check")</f>
        <v>OK</v>
      </c>
      <c r="R1456" s="3" t="str">
        <f>IF(ISNUMBER(Sales_Data2[[#This Row],[Quantity]]),"OK","Check")</f>
        <v>OK</v>
      </c>
    </row>
    <row r="1457" spans="1:18">
      <c r="A1457" s="1">
        <v>47131</v>
      </c>
      <c r="B1457" t="s">
        <v>25</v>
      </c>
      <c r="C1457" t="s">
        <v>19</v>
      </c>
      <c r="D1457" t="s">
        <v>23</v>
      </c>
      <c r="E1457" t="s">
        <v>20</v>
      </c>
      <c r="F1457" t="s">
        <v>40</v>
      </c>
      <c r="G1457" t="s">
        <v>31</v>
      </c>
      <c r="H1457">
        <v>250000</v>
      </c>
      <c r="I1457">
        <v>5</v>
      </c>
      <c r="J1457" t="s">
        <v>39</v>
      </c>
      <c r="K1457">
        <f t="shared" si="22"/>
        <v>200000</v>
      </c>
      <c r="L1457">
        <f>Sales_Data2[[#This Row],[Unit Price]]*Sales_Data2[[#This Row],[Quantity]]</f>
        <v>1250000</v>
      </c>
      <c r="M1457">
        <f>Sales_Data2[[#This Row],[Cost Price]]*Sales_Data2[[#This Row],[Quantity]]</f>
        <v>1000000</v>
      </c>
      <c r="N1457" s="3">
        <f>Sales_Data2[[#This Row],[Revenue]]-Sales_Data2[[#This Row],[COGS]]</f>
        <v>250000</v>
      </c>
      <c r="O14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47131|South|Lagos|Corporate|Store|Smartphone Z10|Electronics|250000|5|Grace|200000</v>
      </c>
      <c r="P1457" s="3" t="str">
        <f>IF(COUNTIF(Sales_Data2[RowKey],Sales_Data2[[#This Row],[RowKey]])&gt;1,"Duplicate","Unique")</f>
        <v>Unique</v>
      </c>
      <c r="Q1457" s="3" t="str">
        <f>IF(ISNUMBER(Sales_Data2[[#This Row],[Date]]),"OK","Check")</f>
        <v>OK</v>
      </c>
      <c r="R1457" s="3" t="str">
        <f>IF(ISNUMBER(Sales_Data2[[#This Row],[Quantity]]),"OK","Check")</f>
        <v>OK</v>
      </c>
    </row>
    <row r="1458" spans="1:18">
      <c r="A1458" s="1">
        <v>47132</v>
      </c>
      <c r="B1458" t="s">
        <v>29</v>
      </c>
      <c r="C1458" t="s">
        <v>32</v>
      </c>
      <c r="D1458" t="s">
        <v>13</v>
      </c>
      <c r="E1458" t="s">
        <v>20</v>
      </c>
      <c r="F1458" t="s">
        <v>38</v>
      </c>
      <c r="G1458" t="s">
        <v>31</v>
      </c>
      <c r="H1458">
        <v>420000</v>
      </c>
      <c r="I1458">
        <v>5</v>
      </c>
      <c r="J1458" t="s">
        <v>24</v>
      </c>
      <c r="K1458">
        <f t="shared" si="22"/>
        <v>336000</v>
      </c>
      <c r="L1458">
        <f>Sales_Data2[[#This Row],[Unit Price]]*Sales_Data2[[#This Row],[Quantity]]</f>
        <v>2100000</v>
      </c>
      <c r="M1458">
        <f>Sales_Data2[[#This Row],[Cost Price]]*Sales_Data2[[#This Row],[Quantity]]</f>
        <v>1680000</v>
      </c>
      <c r="N1458" s="3">
        <f>Sales_Data2[[#This Row],[Revenue]]-Sales_Data2[[#This Row],[COGS]]</f>
        <v>420000</v>
      </c>
      <c r="O14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47132|North|Abuja|Retail|Store|Laptop A13|Electronics|420000|5|David|336000</v>
      </c>
      <c r="P1458" s="3" t="str">
        <f>IF(COUNTIF(Sales_Data2[RowKey],Sales_Data2[[#This Row],[RowKey]])&gt;1,"Duplicate","Unique")</f>
        <v>Unique</v>
      </c>
      <c r="Q1458" s="3" t="str">
        <f>IF(ISNUMBER(Sales_Data2[[#This Row],[Date]]),"OK","Check")</f>
        <v>OK</v>
      </c>
      <c r="R1458" s="3" t="str">
        <f>IF(ISNUMBER(Sales_Data2[[#This Row],[Quantity]]),"OK","Check")</f>
        <v>OK</v>
      </c>
    </row>
    <row r="1459" spans="1:18">
      <c r="A1459" s="1">
        <v>47133</v>
      </c>
      <c r="B1459" t="s">
        <v>25</v>
      </c>
      <c r="C1459" t="s">
        <v>19</v>
      </c>
      <c r="D1459" t="s">
        <v>13</v>
      </c>
      <c r="E1459" t="s">
        <v>20</v>
      </c>
      <c r="F1459" t="s">
        <v>27</v>
      </c>
      <c r="G1459" t="s">
        <v>22</v>
      </c>
      <c r="H1459">
        <v>60000</v>
      </c>
      <c r="I1459">
        <v>7</v>
      </c>
      <c r="J1459" t="s">
        <v>39</v>
      </c>
      <c r="K1459">
        <f t="shared" si="22"/>
        <v>48000</v>
      </c>
      <c r="L1459">
        <f>Sales_Data2[[#This Row],[Unit Price]]*Sales_Data2[[#This Row],[Quantity]]</f>
        <v>420000</v>
      </c>
      <c r="M1459">
        <f>Sales_Data2[[#This Row],[Cost Price]]*Sales_Data2[[#This Row],[Quantity]]</f>
        <v>336000</v>
      </c>
      <c r="N1459" s="3">
        <f>Sales_Data2[[#This Row],[Revenue]]-Sales_Data2[[#This Row],[COGS]]</f>
        <v>84000</v>
      </c>
      <c r="O14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47133|South|Lagos|Retail|Store|Microwave M20|Home Appliances|60000|7|Grace|48000</v>
      </c>
      <c r="P1459" s="3" t="str">
        <f>IF(COUNTIF(Sales_Data2[RowKey],Sales_Data2[[#This Row],[RowKey]])&gt;1,"Duplicate","Unique")</f>
        <v>Unique</v>
      </c>
      <c r="Q1459" s="3" t="str">
        <f>IF(ISNUMBER(Sales_Data2[[#This Row],[Date]]),"OK","Check")</f>
        <v>OK</v>
      </c>
      <c r="R1459" s="3" t="str">
        <f>IF(ISNUMBER(Sales_Data2[[#This Row],[Quantity]]),"OK","Check")</f>
        <v>OK</v>
      </c>
    </row>
    <row r="1460" spans="1:18">
      <c r="A1460" s="1">
        <v>47134</v>
      </c>
      <c r="B1460" t="s">
        <v>18</v>
      </c>
      <c r="C1460" t="s">
        <v>26</v>
      </c>
      <c r="D1460" t="s">
        <v>13</v>
      </c>
      <c r="E1460" t="s">
        <v>20</v>
      </c>
      <c r="F1460" t="s">
        <v>21</v>
      </c>
      <c r="G1460" t="s">
        <v>22</v>
      </c>
      <c r="H1460">
        <v>30000</v>
      </c>
      <c r="I1460">
        <v>8</v>
      </c>
      <c r="J1460" t="s">
        <v>17</v>
      </c>
      <c r="K1460">
        <f t="shared" si="22"/>
        <v>24000</v>
      </c>
      <c r="L1460">
        <f>Sales_Data2[[#This Row],[Unit Price]]*Sales_Data2[[#This Row],[Quantity]]</f>
        <v>240000</v>
      </c>
      <c r="M1460">
        <f>Sales_Data2[[#This Row],[Cost Price]]*Sales_Data2[[#This Row],[Quantity]]</f>
        <v>192000</v>
      </c>
      <c r="N1460" s="3">
        <f>Sales_Data2[[#This Row],[Revenue]]-Sales_Data2[[#This Row],[COGS]]</f>
        <v>48000</v>
      </c>
      <c r="O14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47134|East|Kano|Retail|Store|Blender B10|Home Appliances|30000|8|Chidinma|24000</v>
      </c>
      <c r="P1460" s="3" t="str">
        <f>IF(COUNTIF(Sales_Data2[RowKey],Sales_Data2[[#This Row],[RowKey]])&gt;1,"Duplicate","Unique")</f>
        <v>Unique</v>
      </c>
      <c r="Q1460" s="3" t="str">
        <f>IF(ISNUMBER(Sales_Data2[[#This Row],[Date]]),"OK","Check")</f>
        <v>OK</v>
      </c>
      <c r="R1460" s="3" t="str">
        <f>IF(ISNUMBER(Sales_Data2[[#This Row],[Quantity]]),"OK","Check")</f>
        <v>OK</v>
      </c>
    </row>
    <row r="1461" spans="1:18">
      <c r="A1461" s="1">
        <v>47135</v>
      </c>
      <c r="B1461" t="s">
        <v>29</v>
      </c>
      <c r="C1461" t="s">
        <v>12</v>
      </c>
      <c r="D1461" t="s">
        <v>23</v>
      </c>
      <c r="E1461" t="s">
        <v>20</v>
      </c>
      <c r="F1461" t="s">
        <v>40</v>
      </c>
      <c r="G1461" t="s">
        <v>31</v>
      </c>
      <c r="H1461">
        <v>250000</v>
      </c>
      <c r="I1461">
        <v>2</v>
      </c>
      <c r="J1461" t="s">
        <v>28</v>
      </c>
      <c r="K1461">
        <f t="shared" si="22"/>
        <v>200000</v>
      </c>
      <c r="L1461">
        <f>Sales_Data2[[#This Row],[Unit Price]]*Sales_Data2[[#This Row],[Quantity]]</f>
        <v>500000</v>
      </c>
      <c r="M1461">
        <f>Sales_Data2[[#This Row],[Cost Price]]*Sales_Data2[[#This Row],[Quantity]]</f>
        <v>400000</v>
      </c>
      <c r="N1461" s="3">
        <f>Sales_Data2[[#This Row],[Revenue]]-Sales_Data2[[#This Row],[COGS]]</f>
        <v>100000</v>
      </c>
      <c r="O14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47135|North|Port Harcourt|Corporate|Store|Smartphone Z10|Electronics|250000|2|Musa|200000</v>
      </c>
      <c r="P1461" s="3" t="str">
        <f>IF(COUNTIF(Sales_Data2[RowKey],Sales_Data2[[#This Row],[RowKey]])&gt;1,"Duplicate","Unique")</f>
        <v>Unique</v>
      </c>
      <c r="Q1461" s="3" t="str">
        <f>IF(ISNUMBER(Sales_Data2[[#This Row],[Date]]),"OK","Check")</f>
        <v>OK</v>
      </c>
      <c r="R1461" s="3" t="str">
        <f>IF(ISNUMBER(Sales_Data2[[#This Row],[Quantity]]),"OK","Check")</f>
        <v>OK</v>
      </c>
    </row>
    <row r="1462" spans="1:18">
      <c r="A1462" s="1">
        <v>47136</v>
      </c>
      <c r="B1462" t="s">
        <v>18</v>
      </c>
      <c r="C1462" t="s">
        <v>12</v>
      </c>
      <c r="D1462" t="s">
        <v>13</v>
      </c>
      <c r="E1462" t="s">
        <v>20</v>
      </c>
      <c r="F1462" t="s">
        <v>27</v>
      </c>
      <c r="G1462" t="s">
        <v>22</v>
      </c>
      <c r="H1462">
        <v>60000</v>
      </c>
      <c r="I1462">
        <v>8</v>
      </c>
      <c r="J1462" t="s">
        <v>39</v>
      </c>
      <c r="K1462">
        <f t="shared" si="22"/>
        <v>48000</v>
      </c>
      <c r="L1462">
        <f>Sales_Data2[[#This Row],[Unit Price]]*Sales_Data2[[#This Row],[Quantity]]</f>
        <v>480000</v>
      </c>
      <c r="M1462">
        <f>Sales_Data2[[#This Row],[Cost Price]]*Sales_Data2[[#This Row],[Quantity]]</f>
        <v>384000</v>
      </c>
      <c r="N1462" s="3">
        <f>Sales_Data2[[#This Row],[Revenue]]-Sales_Data2[[#This Row],[COGS]]</f>
        <v>96000</v>
      </c>
      <c r="O14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47136|East|Port Harcourt|Retail|Store|Microwave M20|Home Appliances|60000|8|Grace|48000</v>
      </c>
      <c r="P1462" s="3" t="str">
        <f>IF(COUNTIF(Sales_Data2[RowKey],Sales_Data2[[#This Row],[RowKey]])&gt;1,"Duplicate","Unique")</f>
        <v>Unique</v>
      </c>
      <c r="Q1462" s="3" t="str">
        <f>IF(ISNUMBER(Sales_Data2[[#This Row],[Date]]),"OK","Check")</f>
        <v>OK</v>
      </c>
      <c r="R1462" s="3" t="str">
        <f>IF(ISNUMBER(Sales_Data2[[#This Row],[Quantity]]),"OK","Check")</f>
        <v>OK</v>
      </c>
    </row>
    <row r="1463" spans="1:18">
      <c r="A1463" s="1">
        <v>47137</v>
      </c>
      <c r="B1463" t="s">
        <v>11</v>
      </c>
      <c r="C1463" t="s">
        <v>12</v>
      </c>
      <c r="D1463" t="s">
        <v>13</v>
      </c>
      <c r="E1463" t="s">
        <v>20</v>
      </c>
      <c r="F1463" t="s">
        <v>21</v>
      </c>
      <c r="G1463" t="s">
        <v>22</v>
      </c>
      <c r="H1463">
        <v>30000</v>
      </c>
      <c r="I1463">
        <v>7</v>
      </c>
      <c r="J1463" t="s">
        <v>37</v>
      </c>
      <c r="K1463">
        <f t="shared" si="22"/>
        <v>24000</v>
      </c>
      <c r="L1463">
        <f>Sales_Data2[[#This Row],[Unit Price]]*Sales_Data2[[#This Row],[Quantity]]</f>
        <v>210000</v>
      </c>
      <c r="M1463">
        <f>Sales_Data2[[#This Row],[Cost Price]]*Sales_Data2[[#This Row],[Quantity]]</f>
        <v>168000</v>
      </c>
      <c r="N1463" s="3">
        <f>Sales_Data2[[#This Row],[Revenue]]-Sales_Data2[[#This Row],[COGS]]</f>
        <v>42000</v>
      </c>
      <c r="O14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47137|West|Port Harcourt|Retail|Store|Blender B10|Home Appliances|30000|7|Aisha|24000</v>
      </c>
      <c r="P1463" s="3" t="str">
        <f>IF(COUNTIF(Sales_Data2[RowKey],Sales_Data2[[#This Row],[RowKey]])&gt;1,"Duplicate","Unique")</f>
        <v>Unique</v>
      </c>
      <c r="Q1463" s="3" t="str">
        <f>IF(ISNUMBER(Sales_Data2[[#This Row],[Date]]),"OK","Check")</f>
        <v>OK</v>
      </c>
      <c r="R1463" s="3" t="str">
        <f>IF(ISNUMBER(Sales_Data2[[#This Row],[Quantity]]),"OK","Check")</f>
        <v>OK</v>
      </c>
    </row>
    <row r="1464" spans="1:18">
      <c r="A1464" s="1">
        <v>47138</v>
      </c>
      <c r="B1464" t="s">
        <v>25</v>
      </c>
      <c r="C1464" t="s">
        <v>19</v>
      </c>
      <c r="D1464" t="s">
        <v>23</v>
      </c>
      <c r="E1464" t="s">
        <v>20</v>
      </c>
      <c r="F1464" t="s">
        <v>21</v>
      </c>
      <c r="G1464" t="s">
        <v>22</v>
      </c>
      <c r="H1464">
        <v>30000</v>
      </c>
      <c r="I1464">
        <v>3</v>
      </c>
      <c r="J1464" t="s">
        <v>17</v>
      </c>
      <c r="K1464">
        <f t="shared" si="22"/>
        <v>24000</v>
      </c>
      <c r="L1464">
        <f>Sales_Data2[[#This Row],[Unit Price]]*Sales_Data2[[#This Row],[Quantity]]</f>
        <v>90000</v>
      </c>
      <c r="M1464">
        <f>Sales_Data2[[#This Row],[Cost Price]]*Sales_Data2[[#This Row],[Quantity]]</f>
        <v>72000</v>
      </c>
      <c r="N1464" s="3">
        <f>Sales_Data2[[#This Row],[Revenue]]-Sales_Data2[[#This Row],[COGS]]</f>
        <v>18000</v>
      </c>
      <c r="O14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47138|South|Lagos|Corporate|Store|Blender B10|Home Appliances|30000|3|Chidinma|24000</v>
      </c>
      <c r="P1464" s="3" t="str">
        <f>IF(COUNTIF(Sales_Data2[RowKey],Sales_Data2[[#This Row],[RowKey]])&gt;1,"Duplicate","Unique")</f>
        <v>Unique</v>
      </c>
      <c r="Q1464" s="3" t="str">
        <f>IF(ISNUMBER(Sales_Data2[[#This Row],[Date]]),"OK","Check")</f>
        <v>OK</v>
      </c>
      <c r="R1464" s="3" t="str">
        <f>IF(ISNUMBER(Sales_Data2[[#This Row],[Quantity]]),"OK","Check")</f>
        <v>OK</v>
      </c>
    </row>
    <row r="1465" spans="1:18">
      <c r="A1465" s="1">
        <v>47139</v>
      </c>
      <c r="B1465" t="s">
        <v>25</v>
      </c>
      <c r="C1465" t="s">
        <v>26</v>
      </c>
      <c r="D1465" t="s">
        <v>23</v>
      </c>
      <c r="E1465" t="s">
        <v>20</v>
      </c>
      <c r="F1465" t="s">
        <v>33</v>
      </c>
      <c r="G1465" t="s">
        <v>22</v>
      </c>
      <c r="H1465">
        <v>180000</v>
      </c>
      <c r="I1465">
        <v>5</v>
      </c>
      <c r="J1465" t="s">
        <v>37</v>
      </c>
      <c r="K1465">
        <f t="shared" si="22"/>
        <v>144000</v>
      </c>
      <c r="L1465">
        <f>Sales_Data2[[#This Row],[Unit Price]]*Sales_Data2[[#This Row],[Quantity]]</f>
        <v>900000</v>
      </c>
      <c r="M1465">
        <f>Sales_Data2[[#This Row],[Cost Price]]*Sales_Data2[[#This Row],[Quantity]]</f>
        <v>720000</v>
      </c>
      <c r="N1465" s="3">
        <f>Sales_Data2[[#This Row],[Revenue]]-Sales_Data2[[#This Row],[COGS]]</f>
        <v>180000</v>
      </c>
      <c r="O14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47139|South|Kano|Corporate|Store|Air Conditioner X2|Home Appliances|180000|5|Aisha|144000</v>
      </c>
      <c r="P1465" s="3" t="str">
        <f>IF(COUNTIF(Sales_Data2[RowKey],Sales_Data2[[#This Row],[RowKey]])&gt;1,"Duplicate","Unique")</f>
        <v>Unique</v>
      </c>
      <c r="Q1465" s="3" t="str">
        <f>IF(ISNUMBER(Sales_Data2[[#This Row],[Date]]),"OK","Check")</f>
        <v>OK</v>
      </c>
      <c r="R1465" s="3" t="str">
        <f>IF(ISNUMBER(Sales_Data2[[#This Row],[Quantity]]),"OK","Check")</f>
        <v>OK</v>
      </c>
    </row>
    <row r="1466" spans="1:18">
      <c r="A1466" s="1">
        <v>47140</v>
      </c>
      <c r="B1466" t="s">
        <v>18</v>
      </c>
      <c r="C1466" t="s">
        <v>32</v>
      </c>
      <c r="D1466" t="s">
        <v>13</v>
      </c>
      <c r="E1466" t="s">
        <v>20</v>
      </c>
      <c r="F1466" t="s">
        <v>40</v>
      </c>
      <c r="G1466" t="s">
        <v>31</v>
      </c>
      <c r="H1466">
        <v>250000</v>
      </c>
      <c r="I1466">
        <v>5</v>
      </c>
      <c r="J1466" t="s">
        <v>35</v>
      </c>
      <c r="K1466">
        <f t="shared" si="22"/>
        <v>200000</v>
      </c>
      <c r="L1466">
        <f>Sales_Data2[[#This Row],[Unit Price]]*Sales_Data2[[#This Row],[Quantity]]</f>
        <v>1250000</v>
      </c>
      <c r="M1466">
        <f>Sales_Data2[[#This Row],[Cost Price]]*Sales_Data2[[#This Row],[Quantity]]</f>
        <v>1000000</v>
      </c>
      <c r="N1466" s="3">
        <f>Sales_Data2[[#This Row],[Revenue]]-Sales_Data2[[#This Row],[COGS]]</f>
        <v>250000</v>
      </c>
      <c r="O14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47140|East|Abuja|Retail|Store|Smartphone Z10|Electronics|250000|5|Peter|200000</v>
      </c>
      <c r="P1466" s="3" t="str">
        <f>IF(COUNTIF(Sales_Data2[RowKey],Sales_Data2[[#This Row],[RowKey]])&gt;1,"Duplicate","Unique")</f>
        <v>Unique</v>
      </c>
      <c r="Q1466" s="3" t="str">
        <f>IF(ISNUMBER(Sales_Data2[[#This Row],[Date]]),"OK","Check")</f>
        <v>OK</v>
      </c>
      <c r="R1466" s="3" t="str">
        <f>IF(ISNUMBER(Sales_Data2[[#This Row],[Quantity]]),"OK","Check")</f>
        <v>OK</v>
      </c>
    </row>
    <row r="1467" spans="1:18">
      <c r="A1467" s="1">
        <v>47141</v>
      </c>
      <c r="B1467" t="s">
        <v>18</v>
      </c>
      <c r="C1467" t="s">
        <v>12</v>
      </c>
      <c r="D1467" t="s">
        <v>13</v>
      </c>
      <c r="E1467" t="s">
        <v>20</v>
      </c>
      <c r="F1467" t="s">
        <v>15</v>
      </c>
      <c r="G1467" t="s">
        <v>16</v>
      </c>
      <c r="H1467">
        <v>85000</v>
      </c>
      <c r="I1467">
        <v>3</v>
      </c>
      <c r="J1467" t="s">
        <v>37</v>
      </c>
      <c r="K1467">
        <f t="shared" si="22"/>
        <v>68000</v>
      </c>
      <c r="L1467">
        <f>Sales_Data2[[#This Row],[Unit Price]]*Sales_Data2[[#This Row],[Quantity]]</f>
        <v>255000</v>
      </c>
      <c r="M1467">
        <f>Sales_Data2[[#This Row],[Cost Price]]*Sales_Data2[[#This Row],[Quantity]]</f>
        <v>204000</v>
      </c>
      <c r="N1467" s="3">
        <f>Sales_Data2[[#This Row],[Revenue]]-Sales_Data2[[#This Row],[COGS]]</f>
        <v>51000</v>
      </c>
      <c r="O14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47141|East|Port Harcourt|Retail|Store|Office Chair Pro|Furniture|85000|3|Aisha|68000</v>
      </c>
      <c r="P1467" s="3" t="str">
        <f>IF(COUNTIF(Sales_Data2[RowKey],Sales_Data2[[#This Row],[RowKey]])&gt;1,"Duplicate","Unique")</f>
        <v>Unique</v>
      </c>
      <c r="Q1467" s="3" t="str">
        <f>IF(ISNUMBER(Sales_Data2[[#This Row],[Date]]),"OK","Check")</f>
        <v>OK</v>
      </c>
      <c r="R1467" s="3" t="str">
        <f>IF(ISNUMBER(Sales_Data2[[#This Row],[Quantity]]),"OK","Check")</f>
        <v>OK</v>
      </c>
    </row>
    <row r="1468" spans="1:18">
      <c r="A1468" s="1">
        <v>47142</v>
      </c>
      <c r="B1468" t="s">
        <v>29</v>
      </c>
      <c r="C1468" t="s">
        <v>12</v>
      </c>
      <c r="D1468" t="s">
        <v>23</v>
      </c>
      <c r="E1468" t="s">
        <v>20</v>
      </c>
      <c r="F1468" t="s">
        <v>21</v>
      </c>
      <c r="G1468" t="s">
        <v>22</v>
      </c>
      <c r="H1468">
        <v>30000</v>
      </c>
      <c r="I1468">
        <v>1</v>
      </c>
      <c r="J1468" t="s">
        <v>24</v>
      </c>
      <c r="K1468">
        <f t="shared" si="22"/>
        <v>24000</v>
      </c>
      <c r="L1468">
        <f>Sales_Data2[[#This Row],[Unit Price]]*Sales_Data2[[#This Row],[Quantity]]</f>
        <v>30000</v>
      </c>
      <c r="M1468">
        <f>Sales_Data2[[#This Row],[Cost Price]]*Sales_Data2[[#This Row],[Quantity]]</f>
        <v>24000</v>
      </c>
      <c r="N1468" s="3">
        <f>Sales_Data2[[#This Row],[Revenue]]-Sales_Data2[[#This Row],[COGS]]</f>
        <v>6000</v>
      </c>
      <c r="O14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47142|North|Port Harcourt|Corporate|Store|Blender B10|Home Appliances|30000|1|David|24000</v>
      </c>
      <c r="P1468" s="3" t="str">
        <f>IF(COUNTIF(Sales_Data2[RowKey],Sales_Data2[[#This Row],[RowKey]])&gt;1,"Duplicate","Unique")</f>
        <v>Unique</v>
      </c>
      <c r="Q1468" s="3" t="str">
        <f>IF(ISNUMBER(Sales_Data2[[#This Row],[Date]]),"OK","Check")</f>
        <v>OK</v>
      </c>
      <c r="R1468" s="3" t="str">
        <f>IF(ISNUMBER(Sales_Data2[[#This Row],[Quantity]]),"OK","Check")</f>
        <v>OK</v>
      </c>
    </row>
    <row r="1469" spans="1:18">
      <c r="A1469" s="1">
        <v>47143</v>
      </c>
      <c r="B1469" t="s">
        <v>25</v>
      </c>
      <c r="C1469" t="s">
        <v>26</v>
      </c>
      <c r="D1469" t="s">
        <v>23</v>
      </c>
      <c r="E1469" t="s">
        <v>20</v>
      </c>
      <c r="F1469" t="s">
        <v>30</v>
      </c>
      <c r="G1469" t="s">
        <v>31</v>
      </c>
      <c r="H1469">
        <v>300000</v>
      </c>
      <c r="I1469">
        <v>10</v>
      </c>
      <c r="J1469" t="s">
        <v>35</v>
      </c>
      <c r="K1469">
        <f t="shared" si="22"/>
        <v>240000</v>
      </c>
      <c r="L1469">
        <f>Sales_Data2[[#This Row],[Unit Price]]*Sales_Data2[[#This Row],[Quantity]]</f>
        <v>3000000</v>
      </c>
      <c r="M1469">
        <f>Sales_Data2[[#This Row],[Cost Price]]*Sales_Data2[[#This Row],[Quantity]]</f>
        <v>2400000</v>
      </c>
      <c r="N1469" s="3">
        <f>Sales_Data2[[#This Row],[Revenue]]-Sales_Data2[[#This Row],[COGS]]</f>
        <v>600000</v>
      </c>
      <c r="O14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47143|South|Kano|Corporate|Store|Desktop PC D21|Electronics|300000|10|Peter|240000</v>
      </c>
      <c r="P1469" s="3" t="str">
        <f>IF(COUNTIF(Sales_Data2[RowKey],Sales_Data2[[#This Row],[RowKey]])&gt;1,"Duplicate","Unique")</f>
        <v>Unique</v>
      </c>
      <c r="Q1469" s="3" t="str">
        <f>IF(ISNUMBER(Sales_Data2[[#This Row],[Date]]),"OK","Check")</f>
        <v>OK</v>
      </c>
      <c r="R1469" s="3" t="str">
        <f>IF(ISNUMBER(Sales_Data2[[#This Row],[Quantity]]),"OK","Check")</f>
        <v>OK</v>
      </c>
    </row>
    <row r="1470" spans="1:18">
      <c r="A1470" s="1">
        <v>47144</v>
      </c>
      <c r="B1470" t="s">
        <v>25</v>
      </c>
      <c r="C1470" t="s">
        <v>19</v>
      </c>
      <c r="D1470" t="s">
        <v>23</v>
      </c>
      <c r="E1470" t="s">
        <v>20</v>
      </c>
      <c r="F1470" t="s">
        <v>38</v>
      </c>
      <c r="G1470" t="s">
        <v>31</v>
      </c>
      <c r="H1470">
        <v>420000</v>
      </c>
      <c r="I1470">
        <v>5</v>
      </c>
      <c r="J1470" t="s">
        <v>37</v>
      </c>
      <c r="K1470">
        <f t="shared" si="22"/>
        <v>336000</v>
      </c>
      <c r="L1470">
        <f>Sales_Data2[[#This Row],[Unit Price]]*Sales_Data2[[#This Row],[Quantity]]</f>
        <v>2100000</v>
      </c>
      <c r="M1470">
        <f>Sales_Data2[[#This Row],[Cost Price]]*Sales_Data2[[#This Row],[Quantity]]</f>
        <v>1680000</v>
      </c>
      <c r="N1470" s="3">
        <f>Sales_Data2[[#This Row],[Revenue]]-Sales_Data2[[#This Row],[COGS]]</f>
        <v>420000</v>
      </c>
      <c r="O14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47144|South|Lagos|Corporate|Store|Laptop A13|Electronics|420000|5|Aisha|336000</v>
      </c>
      <c r="P1470" s="3" t="str">
        <f>IF(COUNTIF(Sales_Data2[RowKey],Sales_Data2[[#This Row],[RowKey]])&gt;1,"Duplicate","Unique")</f>
        <v>Unique</v>
      </c>
      <c r="Q1470" s="3" t="str">
        <f>IF(ISNUMBER(Sales_Data2[[#This Row],[Date]]),"OK","Check")</f>
        <v>OK</v>
      </c>
      <c r="R1470" s="3" t="str">
        <f>IF(ISNUMBER(Sales_Data2[[#This Row],[Quantity]]),"OK","Check")</f>
        <v>OK</v>
      </c>
    </row>
    <row r="1471" spans="1:18">
      <c r="A1471" s="1">
        <v>47145</v>
      </c>
      <c r="B1471" t="s">
        <v>18</v>
      </c>
      <c r="C1471" t="s">
        <v>12</v>
      </c>
      <c r="D1471" t="s">
        <v>23</v>
      </c>
      <c r="E1471" t="s">
        <v>20</v>
      </c>
      <c r="F1471" t="s">
        <v>40</v>
      </c>
      <c r="G1471" t="s">
        <v>31</v>
      </c>
      <c r="H1471">
        <v>250000</v>
      </c>
      <c r="I1471">
        <v>4</v>
      </c>
      <c r="J1471" t="s">
        <v>37</v>
      </c>
      <c r="K1471">
        <f t="shared" si="22"/>
        <v>200000</v>
      </c>
      <c r="L1471">
        <f>Sales_Data2[[#This Row],[Unit Price]]*Sales_Data2[[#This Row],[Quantity]]</f>
        <v>1000000</v>
      </c>
      <c r="M1471">
        <f>Sales_Data2[[#This Row],[Cost Price]]*Sales_Data2[[#This Row],[Quantity]]</f>
        <v>800000</v>
      </c>
      <c r="N1471" s="3">
        <f>Sales_Data2[[#This Row],[Revenue]]-Sales_Data2[[#This Row],[COGS]]</f>
        <v>200000</v>
      </c>
      <c r="O14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47145|East|Port Harcourt|Corporate|Store|Smartphone Z10|Electronics|250000|4|Aisha|200000</v>
      </c>
      <c r="P1471" s="3" t="str">
        <f>IF(COUNTIF(Sales_Data2[RowKey],Sales_Data2[[#This Row],[RowKey]])&gt;1,"Duplicate","Unique")</f>
        <v>Unique</v>
      </c>
      <c r="Q1471" s="3" t="str">
        <f>IF(ISNUMBER(Sales_Data2[[#This Row],[Date]]),"OK","Check")</f>
        <v>OK</v>
      </c>
      <c r="R1471" s="3" t="str">
        <f>IF(ISNUMBER(Sales_Data2[[#This Row],[Quantity]]),"OK","Check")</f>
        <v>OK</v>
      </c>
    </row>
    <row r="1472" spans="1:18">
      <c r="A1472" s="1">
        <v>47146</v>
      </c>
      <c r="B1472" t="s">
        <v>25</v>
      </c>
      <c r="C1472" t="s">
        <v>26</v>
      </c>
      <c r="D1472" t="s">
        <v>13</v>
      </c>
      <c r="E1472" t="s">
        <v>20</v>
      </c>
      <c r="F1472" t="s">
        <v>41</v>
      </c>
      <c r="G1472" t="s">
        <v>22</v>
      </c>
      <c r="H1472">
        <v>220000</v>
      </c>
      <c r="I1472">
        <v>3</v>
      </c>
      <c r="J1472" t="s">
        <v>17</v>
      </c>
      <c r="K1472">
        <f t="shared" si="22"/>
        <v>176000</v>
      </c>
      <c r="L1472">
        <f>Sales_Data2[[#This Row],[Unit Price]]*Sales_Data2[[#This Row],[Quantity]]</f>
        <v>660000</v>
      </c>
      <c r="M1472">
        <f>Sales_Data2[[#This Row],[Cost Price]]*Sales_Data2[[#This Row],[Quantity]]</f>
        <v>528000</v>
      </c>
      <c r="N1472" s="3">
        <f>Sales_Data2[[#This Row],[Revenue]]-Sales_Data2[[#This Row],[COGS]]</f>
        <v>132000</v>
      </c>
      <c r="O14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47146|South|Kano|Retail|Store|Refrigerator R55|Home Appliances|220000|3|Chidinma|176000</v>
      </c>
      <c r="P1472" s="3" t="str">
        <f>IF(COUNTIF(Sales_Data2[RowKey],Sales_Data2[[#This Row],[RowKey]])&gt;1,"Duplicate","Unique")</f>
        <v>Unique</v>
      </c>
      <c r="Q1472" s="3" t="str">
        <f>IF(ISNUMBER(Sales_Data2[[#This Row],[Date]]),"OK","Check")</f>
        <v>OK</v>
      </c>
      <c r="R1472" s="3" t="str">
        <f>IF(ISNUMBER(Sales_Data2[[#This Row],[Quantity]]),"OK","Check")</f>
        <v>OK</v>
      </c>
    </row>
    <row r="1473" spans="1:18">
      <c r="A1473" s="1">
        <v>47147</v>
      </c>
      <c r="B1473" t="s">
        <v>29</v>
      </c>
      <c r="C1473" t="s">
        <v>32</v>
      </c>
      <c r="D1473" t="s">
        <v>13</v>
      </c>
      <c r="E1473" t="s">
        <v>20</v>
      </c>
      <c r="F1473" t="s">
        <v>34</v>
      </c>
      <c r="G1473" t="s">
        <v>16</v>
      </c>
      <c r="H1473">
        <v>320000</v>
      </c>
      <c r="I1473">
        <v>2</v>
      </c>
      <c r="J1473" t="s">
        <v>28</v>
      </c>
      <c r="K1473">
        <f t="shared" si="22"/>
        <v>256000</v>
      </c>
      <c r="L1473">
        <f>Sales_Data2[[#This Row],[Unit Price]]*Sales_Data2[[#This Row],[Quantity]]</f>
        <v>640000</v>
      </c>
      <c r="M1473">
        <f>Sales_Data2[[#This Row],[Cost Price]]*Sales_Data2[[#This Row],[Quantity]]</f>
        <v>512000</v>
      </c>
      <c r="N1473" s="3">
        <f>Sales_Data2[[#This Row],[Revenue]]-Sales_Data2[[#This Row],[COGS]]</f>
        <v>128000</v>
      </c>
      <c r="O14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47147|North|Abuja|Retail|Store|Sofa Classic|Furniture|320000|2|Musa|256000</v>
      </c>
      <c r="P1473" s="3" t="str">
        <f>IF(COUNTIF(Sales_Data2[RowKey],Sales_Data2[[#This Row],[RowKey]])&gt;1,"Duplicate","Unique")</f>
        <v>Unique</v>
      </c>
      <c r="Q1473" s="3" t="str">
        <f>IF(ISNUMBER(Sales_Data2[[#This Row],[Date]]),"OK","Check")</f>
        <v>OK</v>
      </c>
      <c r="R1473" s="3" t="str">
        <f>IF(ISNUMBER(Sales_Data2[[#This Row],[Quantity]]),"OK","Check")</f>
        <v>OK</v>
      </c>
    </row>
    <row r="1474" spans="1:18">
      <c r="A1474" s="1">
        <v>47148</v>
      </c>
      <c r="B1474" t="s">
        <v>11</v>
      </c>
      <c r="C1474" t="s">
        <v>32</v>
      </c>
      <c r="D1474" t="s">
        <v>23</v>
      </c>
      <c r="E1474" t="s">
        <v>20</v>
      </c>
      <c r="F1474" t="s">
        <v>34</v>
      </c>
      <c r="G1474" t="s">
        <v>16</v>
      </c>
      <c r="H1474">
        <v>320000</v>
      </c>
      <c r="I1474">
        <v>9</v>
      </c>
      <c r="J1474" t="s">
        <v>39</v>
      </c>
      <c r="K1474">
        <f t="shared" ref="K1474:K1537" si="23">H1474-H1474*0.2</f>
        <v>256000</v>
      </c>
      <c r="L1474">
        <f>Sales_Data2[[#This Row],[Unit Price]]*Sales_Data2[[#This Row],[Quantity]]</f>
        <v>2880000</v>
      </c>
      <c r="M1474">
        <f>Sales_Data2[[#This Row],[Cost Price]]*Sales_Data2[[#This Row],[Quantity]]</f>
        <v>2304000</v>
      </c>
      <c r="N1474" s="3">
        <f>Sales_Data2[[#This Row],[Revenue]]-Sales_Data2[[#This Row],[COGS]]</f>
        <v>576000</v>
      </c>
      <c r="O14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47148|West|Abuja|Corporate|Store|Sofa Classic|Furniture|320000|9|Grace|256000</v>
      </c>
      <c r="P1474" s="3" t="str">
        <f>IF(COUNTIF(Sales_Data2[RowKey],Sales_Data2[[#This Row],[RowKey]])&gt;1,"Duplicate","Unique")</f>
        <v>Unique</v>
      </c>
      <c r="Q1474" s="3" t="str">
        <f>IF(ISNUMBER(Sales_Data2[[#This Row],[Date]]),"OK","Check")</f>
        <v>OK</v>
      </c>
      <c r="R1474" s="3" t="str">
        <f>IF(ISNUMBER(Sales_Data2[[#This Row],[Quantity]]),"OK","Check")</f>
        <v>OK</v>
      </c>
    </row>
    <row r="1475" spans="1:18">
      <c r="A1475" s="1">
        <v>47149</v>
      </c>
      <c r="B1475" t="s">
        <v>29</v>
      </c>
      <c r="C1475" t="s">
        <v>19</v>
      </c>
      <c r="D1475" t="s">
        <v>13</v>
      </c>
      <c r="E1475" t="s">
        <v>20</v>
      </c>
      <c r="F1475" t="s">
        <v>41</v>
      </c>
      <c r="G1475" t="s">
        <v>22</v>
      </c>
      <c r="H1475">
        <v>220000</v>
      </c>
      <c r="I1475">
        <v>10</v>
      </c>
      <c r="J1475" t="s">
        <v>24</v>
      </c>
      <c r="K1475">
        <f t="shared" si="23"/>
        <v>176000</v>
      </c>
      <c r="L1475">
        <f>Sales_Data2[[#This Row],[Unit Price]]*Sales_Data2[[#This Row],[Quantity]]</f>
        <v>2200000</v>
      </c>
      <c r="M1475">
        <f>Sales_Data2[[#This Row],[Cost Price]]*Sales_Data2[[#This Row],[Quantity]]</f>
        <v>1760000</v>
      </c>
      <c r="N1475" s="3">
        <f>Sales_Data2[[#This Row],[Revenue]]-Sales_Data2[[#This Row],[COGS]]</f>
        <v>440000</v>
      </c>
      <c r="O14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47149|North|Lagos|Retail|Store|Refrigerator R55|Home Appliances|220000|10|David|176000</v>
      </c>
      <c r="P1475" s="3" t="str">
        <f>IF(COUNTIF(Sales_Data2[RowKey],Sales_Data2[[#This Row],[RowKey]])&gt;1,"Duplicate","Unique")</f>
        <v>Unique</v>
      </c>
      <c r="Q1475" s="3" t="str">
        <f>IF(ISNUMBER(Sales_Data2[[#This Row],[Date]]),"OK","Check")</f>
        <v>OK</v>
      </c>
      <c r="R1475" s="3" t="str">
        <f>IF(ISNUMBER(Sales_Data2[[#This Row],[Quantity]]),"OK","Check")</f>
        <v>OK</v>
      </c>
    </row>
    <row r="1476" spans="1:18">
      <c r="A1476" s="1">
        <v>47150</v>
      </c>
      <c r="B1476" t="s">
        <v>25</v>
      </c>
      <c r="C1476" t="s">
        <v>12</v>
      </c>
      <c r="D1476" t="s">
        <v>13</v>
      </c>
      <c r="E1476" t="s">
        <v>20</v>
      </c>
      <c r="F1476" t="s">
        <v>15</v>
      </c>
      <c r="G1476" t="s">
        <v>16</v>
      </c>
      <c r="H1476">
        <v>85000</v>
      </c>
      <c r="I1476">
        <v>1</v>
      </c>
      <c r="J1476" t="s">
        <v>28</v>
      </c>
      <c r="K1476">
        <f t="shared" si="23"/>
        <v>68000</v>
      </c>
      <c r="L1476">
        <f>Sales_Data2[[#This Row],[Unit Price]]*Sales_Data2[[#This Row],[Quantity]]</f>
        <v>85000</v>
      </c>
      <c r="M1476">
        <f>Sales_Data2[[#This Row],[Cost Price]]*Sales_Data2[[#This Row],[Quantity]]</f>
        <v>68000</v>
      </c>
      <c r="N1476" s="3">
        <f>Sales_Data2[[#This Row],[Revenue]]-Sales_Data2[[#This Row],[COGS]]</f>
        <v>17000</v>
      </c>
      <c r="O14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47150|South|Port Harcourt|Retail|Store|Office Chair Pro|Furniture|85000|1|Musa|68000</v>
      </c>
      <c r="P1476" s="3" t="str">
        <f>IF(COUNTIF(Sales_Data2[RowKey],Sales_Data2[[#This Row],[RowKey]])&gt;1,"Duplicate","Unique")</f>
        <v>Unique</v>
      </c>
      <c r="Q1476" s="3" t="str">
        <f>IF(ISNUMBER(Sales_Data2[[#This Row],[Date]]),"OK","Check")</f>
        <v>OK</v>
      </c>
      <c r="R1476" s="3" t="str">
        <f>IF(ISNUMBER(Sales_Data2[[#This Row],[Quantity]]),"OK","Check")</f>
        <v>OK</v>
      </c>
    </row>
    <row r="1477" spans="1:18">
      <c r="A1477" s="1">
        <v>47151</v>
      </c>
      <c r="B1477" t="s">
        <v>25</v>
      </c>
      <c r="C1477" t="s">
        <v>32</v>
      </c>
      <c r="D1477" t="s">
        <v>13</v>
      </c>
      <c r="E1477" t="s">
        <v>14</v>
      </c>
      <c r="F1477" t="s">
        <v>30</v>
      </c>
      <c r="G1477" t="s">
        <v>31</v>
      </c>
      <c r="H1477">
        <v>300000</v>
      </c>
      <c r="I1477">
        <v>4</v>
      </c>
      <c r="J1477" t="s">
        <v>28</v>
      </c>
      <c r="K1477">
        <f t="shared" si="23"/>
        <v>240000</v>
      </c>
      <c r="L1477">
        <f>Sales_Data2[[#This Row],[Unit Price]]*Sales_Data2[[#This Row],[Quantity]]</f>
        <v>1200000</v>
      </c>
      <c r="M1477">
        <f>Sales_Data2[[#This Row],[Cost Price]]*Sales_Data2[[#This Row],[Quantity]]</f>
        <v>960000</v>
      </c>
      <c r="N1477" s="3">
        <f>Sales_Data2[[#This Row],[Revenue]]-Sales_Data2[[#This Row],[COGS]]</f>
        <v>240000</v>
      </c>
      <c r="O14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47151|South|Abuja|Retail|Online|Desktop PC D21|Electronics|300000|4|Musa|240000</v>
      </c>
      <c r="P1477" s="3" t="str">
        <f>IF(COUNTIF(Sales_Data2[RowKey],Sales_Data2[[#This Row],[RowKey]])&gt;1,"Duplicate","Unique")</f>
        <v>Unique</v>
      </c>
      <c r="Q1477" s="3" t="str">
        <f>IF(ISNUMBER(Sales_Data2[[#This Row],[Date]]),"OK","Check")</f>
        <v>OK</v>
      </c>
      <c r="R1477" s="3" t="str">
        <f>IF(ISNUMBER(Sales_Data2[[#This Row],[Quantity]]),"OK","Check")</f>
        <v>OK</v>
      </c>
    </row>
    <row r="1478" spans="1:18">
      <c r="A1478" s="1">
        <v>47152</v>
      </c>
      <c r="B1478" t="s">
        <v>25</v>
      </c>
      <c r="C1478" t="s">
        <v>32</v>
      </c>
      <c r="D1478" t="s">
        <v>23</v>
      </c>
      <c r="E1478" t="s">
        <v>20</v>
      </c>
      <c r="F1478" t="s">
        <v>15</v>
      </c>
      <c r="G1478" t="s">
        <v>16</v>
      </c>
      <c r="H1478">
        <v>85000</v>
      </c>
      <c r="I1478">
        <v>5</v>
      </c>
      <c r="J1478" t="s">
        <v>24</v>
      </c>
      <c r="K1478">
        <f t="shared" si="23"/>
        <v>68000</v>
      </c>
      <c r="L1478">
        <f>Sales_Data2[[#This Row],[Unit Price]]*Sales_Data2[[#This Row],[Quantity]]</f>
        <v>425000</v>
      </c>
      <c r="M1478">
        <f>Sales_Data2[[#This Row],[Cost Price]]*Sales_Data2[[#This Row],[Quantity]]</f>
        <v>340000</v>
      </c>
      <c r="N1478" s="3">
        <f>Sales_Data2[[#This Row],[Revenue]]-Sales_Data2[[#This Row],[COGS]]</f>
        <v>85000</v>
      </c>
      <c r="O14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47152|South|Abuja|Corporate|Store|Office Chair Pro|Furniture|85000|5|David|68000</v>
      </c>
      <c r="P1478" s="3" t="str">
        <f>IF(COUNTIF(Sales_Data2[RowKey],Sales_Data2[[#This Row],[RowKey]])&gt;1,"Duplicate","Unique")</f>
        <v>Unique</v>
      </c>
      <c r="Q1478" s="3" t="str">
        <f>IF(ISNUMBER(Sales_Data2[[#This Row],[Date]]),"OK","Check")</f>
        <v>OK</v>
      </c>
      <c r="R1478" s="3" t="str">
        <f>IF(ISNUMBER(Sales_Data2[[#This Row],[Quantity]]),"OK","Check")</f>
        <v>OK</v>
      </c>
    </row>
    <row r="1479" spans="1:18">
      <c r="A1479" s="1">
        <v>47153</v>
      </c>
      <c r="B1479" t="s">
        <v>25</v>
      </c>
      <c r="C1479" t="s">
        <v>32</v>
      </c>
      <c r="D1479" t="s">
        <v>23</v>
      </c>
      <c r="E1479" t="s">
        <v>14</v>
      </c>
      <c r="F1479" t="s">
        <v>30</v>
      </c>
      <c r="G1479" t="s">
        <v>31</v>
      </c>
      <c r="H1479">
        <v>300000</v>
      </c>
      <c r="I1479">
        <v>5</v>
      </c>
      <c r="J1479" t="s">
        <v>39</v>
      </c>
      <c r="K1479">
        <f t="shared" si="23"/>
        <v>240000</v>
      </c>
      <c r="L1479">
        <f>Sales_Data2[[#This Row],[Unit Price]]*Sales_Data2[[#This Row],[Quantity]]</f>
        <v>1500000</v>
      </c>
      <c r="M1479">
        <f>Sales_Data2[[#This Row],[Cost Price]]*Sales_Data2[[#This Row],[Quantity]]</f>
        <v>1200000</v>
      </c>
      <c r="N1479" s="3">
        <f>Sales_Data2[[#This Row],[Revenue]]-Sales_Data2[[#This Row],[COGS]]</f>
        <v>300000</v>
      </c>
      <c r="O14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47153|South|Abuja|Corporate|Online|Desktop PC D21|Electronics|300000|5|Grace|240000</v>
      </c>
      <c r="P1479" s="3" t="str">
        <f>IF(COUNTIF(Sales_Data2[RowKey],Sales_Data2[[#This Row],[RowKey]])&gt;1,"Duplicate","Unique")</f>
        <v>Unique</v>
      </c>
      <c r="Q1479" s="3" t="str">
        <f>IF(ISNUMBER(Sales_Data2[[#This Row],[Date]]),"OK","Check")</f>
        <v>OK</v>
      </c>
      <c r="R1479" s="3" t="str">
        <f>IF(ISNUMBER(Sales_Data2[[#This Row],[Quantity]]),"OK","Check")</f>
        <v>OK</v>
      </c>
    </row>
    <row r="1480" spans="1:18">
      <c r="A1480" s="1">
        <v>47154</v>
      </c>
      <c r="B1480" t="s">
        <v>25</v>
      </c>
      <c r="C1480" t="s">
        <v>32</v>
      </c>
      <c r="D1480" t="s">
        <v>13</v>
      </c>
      <c r="E1480" t="s">
        <v>20</v>
      </c>
      <c r="F1480" t="s">
        <v>30</v>
      </c>
      <c r="G1480" t="s">
        <v>31</v>
      </c>
      <c r="H1480">
        <v>300000</v>
      </c>
      <c r="I1480">
        <v>5</v>
      </c>
      <c r="J1480" t="s">
        <v>17</v>
      </c>
      <c r="K1480">
        <f t="shared" si="23"/>
        <v>240000</v>
      </c>
      <c r="L1480">
        <f>Sales_Data2[[#This Row],[Unit Price]]*Sales_Data2[[#This Row],[Quantity]]</f>
        <v>1500000</v>
      </c>
      <c r="M1480">
        <f>Sales_Data2[[#This Row],[Cost Price]]*Sales_Data2[[#This Row],[Quantity]]</f>
        <v>1200000</v>
      </c>
      <c r="N1480" s="3">
        <f>Sales_Data2[[#This Row],[Revenue]]-Sales_Data2[[#This Row],[COGS]]</f>
        <v>300000</v>
      </c>
      <c r="O14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47154|South|Abuja|Retail|Store|Desktop PC D21|Electronics|300000|5|Chidinma|240000</v>
      </c>
      <c r="P1480" s="3" t="str">
        <f>IF(COUNTIF(Sales_Data2[RowKey],Sales_Data2[[#This Row],[RowKey]])&gt;1,"Duplicate","Unique")</f>
        <v>Unique</v>
      </c>
      <c r="Q1480" s="3" t="str">
        <f>IF(ISNUMBER(Sales_Data2[[#This Row],[Date]]),"OK","Check")</f>
        <v>OK</v>
      </c>
      <c r="R1480" s="3" t="str">
        <f>IF(ISNUMBER(Sales_Data2[[#This Row],[Quantity]]),"OK","Check")</f>
        <v>OK</v>
      </c>
    </row>
    <row r="1481" spans="1:18">
      <c r="A1481" s="1">
        <v>47155</v>
      </c>
      <c r="B1481" t="s">
        <v>11</v>
      </c>
      <c r="C1481" t="s">
        <v>19</v>
      </c>
      <c r="D1481" t="s">
        <v>23</v>
      </c>
      <c r="E1481" t="s">
        <v>20</v>
      </c>
      <c r="F1481" t="s">
        <v>21</v>
      </c>
      <c r="G1481" t="s">
        <v>22</v>
      </c>
      <c r="H1481">
        <v>30000</v>
      </c>
      <c r="I1481">
        <v>10</v>
      </c>
      <c r="J1481" t="s">
        <v>17</v>
      </c>
      <c r="K1481">
        <f t="shared" si="23"/>
        <v>24000</v>
      </c>
      <c r="L1481">
        <f>Sales_Data2[[#This Row],[Unit Price]]*Sales_Data2[[#This Row],[Quantity]]</f>
        <v>300000</v>
      </c>
      <c r="M1481">
        <f>Sales_Data2[[#This Row],[Cost Price]]*Sales_Data2[[#This Row],[Quantity]]</f>
        <v>240000</v>
      </c>
      <c r="N1481" s="3">
        <f>Sales_Data2[[#This Row],[Revenue]]-Sales_Data2[[#This Row],[COGS]]</f>
        <v>60000</v>
      </c>
      <c r="O14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47155|West|Lagos|Corporate|Store|Blender B10|Home Appliances|30000|10|Chidinma|24000</v>
      </c>
      <c r="P1481" s="3" t="str">
        <f>IF(COUNTIF(Sales_Data2[RowKey],Sales_Data2[[#This Row],[RowKey]])&gt;1,"Duplicate","Unique")</f>
        <v>Unique</v>
      </c>
      <c r="Q1481" s="3" t="str">
        <f>IF(ISNUMBER(Sales_Data2[[#This Row],[Date]]),"OK","Check")</f>
        <v>OK</v>
      </c>
      <c r="R1481" s="3" t="str">
        <f>IF(ISNUMBER(Sales_Data2[[#This Row],[Quantity]]),"OK","Check")</f>
        <v>OK</v>
      </c>
    </row>
    <row r="1482" spans="1:18">
      <c r="A1482" s="1">
        <v>47156</v>
      </c>
      <c r="B1482" t="s">
        <v>25</v>
      </c>
      <c r="C1482" t="s">
        <v>26</v>
      </c>
      <c r="D1482" t="s">
        <v>13</v>
      </c>
      <c r="E1482" t="s">
        <v>14</v>
      </c>
      <c r="F1482" t="s">
        <v>41</v>
      </c>
      <c r="G1482" t="s">
        <v>22</v>
      </c>
      <c r="H1482">
        <v>220000</v>
      </c>
      <c r="I1482">
        <v>6</v>
      </c>
      <c r="J1482" t="s">
        <v>35</v>
      </c>
      <c r="K1482">
        <f t="shared" si="23"/>
        <v>176000</v>
      </c>
      <c r="L1482">
        <f>Sales_Data2[[#This Row],[Unit Price]]*Sales_Data2[[#This Row],[Quantity]]</f>
        <v>1320000</v>
      </c>
      <c r="M1482">
        <f>Sales_Data2[[#This Row],[Cost Price]]*Sales_Data2[[#This Row],[Quantity]]</f>
        <v>1056000</v>
      </c>
      <c r="N1482" s="3">
        <f>Sales_Data2[[#This Row],[Revenue]]-Sales_Data2[[#This Row],[COGS]]</f>
        <v>264000</v>
      </c>
      <c r="O14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47156|South|Kano|Retail|Online|Refrigerator R55|Home Appliances|220000|6|Peter|176000</v>
      </c>
      <c r="P1482" s="3" t="str">
        <f>IF(COUNTIF(Sales_Data2[RowKey],Sales_Data2[[#This Row],[RowKey]])&gt;1,"Duplicate","Unique")</f>
        <v>Unique</v>
      </c>
      <c r="Q1482" s="3" t="str">
        <f>IF(ISNUMBER(Sales_Data2[[#This Row],[Date]]),"OK","Check")</f>
        <v>OK</v>
      </c>
      <c r="R1482" s="3" t="str">
        <f>IF(ISNUMBER(Sales_Data2[[#This Row],[Quantity]]),"OK","Check")</f>
        <v>OK</v>
      </c>
    </row>
    <row r="1483" spans="1:18">
      <c r="A1483" s="1">
        <v>47157</v>
      </c>
      <c r="B1483" t="s">
        <v>11</v>
      </c>
      <c r="C1483" t="s">
        <v>32</v>
      </c>
      <c r="D1483" t="s">
        <v>23</v>
      </c>
      <c r="E1483" t="s">
        <v>14</v>
      </c>
      <c r="F1483" t="s">
        <v>15</v>
      </c>
      <c r="G1483" t="s">
        <v>16</v>
      </c>
      <c r="H1483">
        <v>85000</v>
      </c>
      <c r="I1483">
        <v>9</v>
      </c>
      <c r="J1483" t="s">
        <v>24</v>
      </c>
      <c r="K1483">
        <f t="shared" si="23"/>
        <v>68000</v>
      </c>
      <c r="L1483">
        <f>Sales_Data2[[#This Row],[Unit Price]]*Sales_Data2[[#This Row],[Quantity]]</f>
        <v>765000</v>
      </c>
      <c r="M1483">
        <f>Sales_Data2[[#This Row],[Cost Price]]*Sales_Data2[[#This Row],[Quantity]]</f>
        <v>612000</v>
      </c>
      <c r="N1483" s="3">
        <f>Sales_Data2[[#This Row],[Revenue]]-Sales_Data2[[#This Row],[COGS]]</f>
        <v>153000</v>
      </c>
      <c r="O14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47157|West|Abuja|Corporate|Online|Office Chair Pro|Furniture|85000|9|David|68000</v>
      </c>
      <c r="P1483" s="3" t="str">
        <f>IF(COUNTIF(Sales_Data2[RowKey],Sales_Data2[[#This Row],[RowKey]])&gt;1,"Duplicate","Unique")</f>
        <v>Unique</v>
      </c>
      <c r="Q1483" s="3" t="str">
        <f>IF(ISNUMBER(Sales_Data2[[#This Row],[Date]]),"OK","Check")</f>
        <v>OK</v>
      </c>
      <c r="R1483" s="3" t="str">
        <f>IF(ISNUMBER(Sales_Data2[[#This Row],[Quantity]]),"OK","Check")</f>
        <v>OK</v>
      </c>
    </row>
    <row r="1484" spans="1:18">
      <c r="A1484" s="1">
        <v>47158</v>
      </c>
      <c r="B1484" t="s">
        <v>18</v>
      </c>
      <c r="C1484" t="s">
        <v>32</v>
      </c>
      <c r="D1484" t="s">
        <v>13</v>
      </c>
      <c r="E1484" t="s">
        <v>14</v>
      </c>
      <c r="F1484" t="s">
        <v>38</v>
      </c>
      <c r="G1484" t="s">
        <v>31</v>
      </c>
      <c r="H1484">
        <v>420000</v>
      </c>
      <c r="I1484">
        <v>10</v>
      </c>
      <c r="J1484" t="s">
        <v>28</v>
      </c>
      <c r="K1484">
        <f t="shared" si="23"/>
        <v>336000</v>
      </c>
      <c r="L1484">
        <f>Sales_Data2[[#This Row],[Unit Price]]*Sales_Data2[[#This Row],[Quantity]]</f>
        <v>4200000</v>
      </c>
      <c r="M1484">
        <f>Sales_Data2[[#This Row],[Cost Price]]*Sales_Data2[[#This Row],[Quantity]]</f>
        <v>3360000</v>
      </c>
      <c r="N1484" s="3">
        <f>Sales_Data2[[#This Row],[Revenue]]-Sales_Data2[[#This Row],[COGS]]</f>
        <v>840000</v>
      </c>
      <c r="O14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47158|East|Abuja|Retail|Online|Laptop A13|Electronics|420000|10|Musa|336000</v>
      </c>
      <c r="P1484" s="3" t="str">
        <f>IF(COUNTIF(Sales_Data2[RowKey],Sales_Data2[[#This Row],[RowKey]])&gt;1,"Duplicate","Unique")</f>
        <v>Unique</v>
      </c>
      <c r="Q1484" s="3" t="str">
        <f>IF(ISNUMBER(Sales_Data2[[#This Row],[Date]]),"OK","Check")</f>
        <v>OK</v>
      </c>
      <c r="R1484" s="3" t="str">
        <f>IF(ISNUMBER(Sales_Data2[[#This Row],[Quantity]]),"OK","Check")</f>
        <v>OK</v>
      </c>
    </row>
    <row r="1485" spans="1:18">
      <c r="A1485" s="1">
        <v>47159</v>
      </c>
      <c r="B1485" t="s">
        <v>29</v>
      </c>
      <c r="C1485" t="s">
        <v>12</v>
      </c>
      <c r="D1485" t="s">
        <v>23</v>
      </c>
      <c r="E1485" t="s">
        <v>20</v>
      </c>
      <c r="F1485" t="s">
        <v>38</v>
      </c>
      <c r="G1485" t="s">
        <v>31</v>
      </c>
      <c r="H1485">
        <v>420000</v>
      </c>
      <c r="I1485">
        <v>1</v>
      </c>
      <c r="J1485" t="s">
        <v>35</v>
      </c>
      <c r="K1485">
        <f t="shared" si="23"/>
        <v>336000</v>
      </c>
      <c r="L1485">
        <f>Sales_Data2[[#This Row],[Unit Price]]*Sales_Data2[[#This Row],[Quantity]]</f>
        <v>420000</v>
      </c>
      <c r="M1485">
        <f>Sales_Data2[[#This Row],[Cost Price]]*Sales_Data2[[#This Row],[Quantity]]</f>
        <v>336000</v>
      </c>
      <c r="N1485" s="3">
        <f>Sales_Data2[[#This Row],[Revenue]]-Sales_Data2[[#This Row],[COGS]]</f>
        <v>84000</v>
      </c>
      <c r="O14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47159|North|Port Harcourt|Corporate|Store|Laptop A13|Electronics|420000|1|Peter|336000</v>
      </c>
      <c r="P1485" s="3" t="str">
        <f>IF(COUNTIF(Sales_Data2[RowKey],Sales_Data2[[#This Row],[RowKey]])&gt;1,"Duplicate","Unique")</f>
        <v>Unique</v>
      </c>
      <c r="Q1485" s="3" t="str">
        <f>IF(ISNUMBER(Sales_Data2[[#This Row],[Date]]),"OK","Check")</f>
        <v>OK</v>
      </c>
      <c r="R1485" s="3" t="str">
        <f>IF(ISNUMBER(Sales_Data2[[#This Row],[Quantity]]),"OK","Check")</f>
        <v>OK</v>
      </c>
    </row>
    <row r="1486" spans="1:18">
      <c r="A1486" s="1">
        <v>47160</v>
      </c>
      <c r="B1486" t="s">
        <v>11</v>
      </c>
      <c r="C1486" t="s">
        <v>19</v>
      </c>
      <c r="D1486" t="s">
        <v>13</v>
      </c>
      <c r="E1486" t="s">
        <v>20</v>
      </c>
      <c r="F1486" t="s">
        <v>27</v>
      </c>
      <c r="G1486" t="s">
        <v>22</v>
      </c>
      <c r="H1486">
        <v>60000</v>
      </c>
      <c r="I1486">
        <v>6</v>
      </c>
      <c r="J1486" t="s">
        <v>28</v>
      </c>
      <c r="K1486">
        <f t="shared" si="23"/>
        <v>48000</v>
      </c>
      <c r="L1486">
        <f>Sales_Data2[[#This Row],[Unit Price]]*Sales_Data2[[#This Row],[Quantity]]</f>
        <v>360000</v>
      </c>
      <c r="M1486">
        <f>Sales_Data2[[#This Row],[Cost Price]]*Sales_Data2[[#This Row],[Quantity]]</f>
        <v>288000</v>
      </c>
      <c r="N1486" s="3">
        <f>Sales_Data2[[#This Row],[Revenue]]-Sales_Data2[[#This Row],[COGS]]</f>
        <v>72000</v>
      </c>
      <c r="O14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47160|West|Lagos|Retail|Store|Microwave M20|Home Appliances|60000|6|Musa|48000</v>
      </c>
      <c r="P1486" s="3" t="str">
        <f>IF(COUNTIF(Sales_Data2[RowKey],Sales_Data2[[#This Row],[RowKey]])&gt;1,"Duplicate","Unique")</f>
        <v>Unique</v>
      </c>
      <c r="Q1486" s="3" t="str">
        <f>IF(ISNUMBER(Sales_Data2[[#This Row],[Date]]),"OK","Check")</f>
        <v>OK</v>
      </c>
      <c r="R1486" s="3" t="str">
        <f>IF(ISNUMBER(Sales_Data2[[#This Row],[Quantity]]),"OK","Check")</f>
        <v>OK</v>
      </c>
    </row>
    <row r="1487" spans="1:18">
      <c r="A1487" s="1">
        <v>47161</v>
      </c>
      <c r="B1487" t="s">
        <v>25</v>
      </c>
      <c r="C1487" t="s">
        <v>32</v>
      </c>
      <c r="D1487" t="s">
        <v>13</v>
      </c>
      <c r="E1487" t="s">
        <v>20</v>
      </c>
      <c r="F1487" t="s">
        <v>36</v>
      </c>
      <c r="G1487" t="s">
        <v>31</v>
      </c>
      <c r="H1487">
        <v>150000</v>
      </c>
      <c r="I1487">
        <v>1</v>
      </c>
      <c r="J1487" t="s">
        <v>28</v>
      </c>
      <c r="K1487">
        <f t="shared" si="23"/>
        <v>120000</v>
      </c>
      <c r="L1487">
        <f>Sales_Data2[[#This Row],[Unit Price]]*Sales_Data2[[#This Row],[Quantity]]</f>
        <v>150000</v>
      </c>
      <c r="M1487">
        <f>Sales_Data2[[#This Row],[Cost Price]]*Sales_Data2[[#This Row],[Quantity]]</f>
        <v>120000</v>
      </c>
      <c r="N1487" s="3">
        <f>Sales_Data2[[#This Row],[Revenue]]-Sales_Data2[[#This Row],[COGS]]</f>
        <v>30000</v>
      </c>
      <c r="O14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47161|South|Abuja|Retail|Store|Printer P50|Electronics|150000|1|Musa|120000</v>
      </c>
      <c r="P1487" s="3" t="str">
        <f>IF(COUNTIF(Sales_Data2[RowKey],Sales_Data2[[#This Row],[RowKey]])&gt;1,"Duplicate","Unique")</f>
        <v>Unique</v>
      </c>
      <c r="Q1487" s="3" t="str">
        <f>IF(ISNUMBER(Sales_Data2[[#This Row],[Date]]),"OK","Check")</f>
        <v>OK</v>
      </c>
      <c r="R1487" s="3" t="str">
        <f>IF(ISNUMBER(Sales_Data2[[#This Row],[Quantity]]),"OK","Check")</f>
        <v>OK</v>
      </c>
    </row>
    <row r="1488" spans="1:18">
      <c r="A1488" s="1">
        <v>47162</v>
      </c>
      <c r="B1488" t="s">
        <v>29</v>
      </c>
      <c r="C1488" t="s">
        <v>26</v>
      </c>
      <c r="D1488" t="s">
        <v>13</v>
      </c>
      <c r="E1488" t="s">
        <v>14</v>
      </c>
      <c r="F1488" t="s">
        <v>40</v>
      </c>
      <c r="G1488" t="s">
        <v>31</v>
      </c>
      <c r="H1488">
        <v>250000</v>
      </c>
      <c r="I1488">
        <v>5</v>
      </c>
      <c r="J1488" t="s">
        <v>28</v>
      </c>
      <c r="K1488">
        <f t="shared" si="23"/>
        <v>200000</v>
      </c>
      <c r="L1488">
        <f>Sales_Data2[[#This Row],[Unit Price]]*Sales_Data2[[#This Row],[Quantity]]</f>
        <v>1250000</v>
      </c>
      <c r="M1488">
        <f>Sales_Data2[[#This Row],[Cost Price]]*Sales_Data2[[#This Row],[Quantity]]</f>
        <v>1000000</v>
      </c>
      <c r="N1488" s="3">
        <f>Sales_Data2[[#This Row],[Revenue]]-Sales_Data2[[#This Row],[COGS]]</f>
        <v>250000</v>
      </c>
      <c r="O14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47162|North|Kano|Retail|Online|Smartphone Z10|Electronics|250000|5|Musa|200000</v>
      </c>
      <c r="P1488" s="3" t="str">
        <f>IF(COUNTIF(Sales_Data2[RowKey],Sales_Data2[[#This Row],[RowKey]])&gt;1,"Duplicate","Unique")</f>
        <v>Unique</v>
      </c>
      <c r="Q1488" s="3" t="str">
        <f>IF(ISNUMBER(Sales_Data2[[#This Row],[Date]]),"OK","Check")</f>
        <v>OK</v>
      </c>
      <c r="R1488" s="3" t="str">
        <f>IF(ISNUMBER(Sales_Data2[[#This Row],[Quantity]]),"OK","Check")</f>
        <v>OK</v>
      </c>
    </row>
    <row r="1489" spans="1:18">
      <c r="A1489" s="1">
        <v>47163</v>
      </c>
      <c r="B1489" t="s">
        <v>18</v>
      </c>
      <c r="C1489" t="s">
        <v>32</v>
      </c>
      <c r="D1489" t="s">
        <v>13</v>
      </c>
      <c r="E1489" t="s">
        <v>20</v>
      </c>
      <c r="F1489" t="s">
        <v>41</v>
      </c>
      <c r="G1489" t="s">
        <v>22</v>
      </c>
      <c r="H1489">
        <v>220000</v>
      </c>
      <c r="I1489">
        <v>5</v>
      </c>
      <c r="J1489" t="s">
        <v>28</v>
      </c>
      <c r="K1489">
        <f t="shared" si="23"/>
        <v>176000</v>
      </c>
      <c r="L1489">
        <f>Sales_Data2[[#This Row],[Unit Price]]*Sales_Data2[[#This Row],[Quantity]]</f>
        <v>1100000</v>
      </c>
      <c r="M1489">
        <f>Sales_Data2[[#This Row],[Cost Price]]*Sales_Data2[[#This Row],[Quantity]]</f>
        <v>880000</v>
      </c>
      <c r="N1489" s="3">
        <f>Sales_Data2[[#This Row],[Revenue]]-Sales_Data2[[#This Row],[COGS]]</f>
        <v>220000</v>
      </c>
      <c r="O14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47163|East|Abuja|Retail|Store|Refrigerator R55|Home Appliances|220000|5|Musa|176000</v>
      </c>
      <c r="P1489" s="3" t="str">
        <f>IF(COUNTIF(Sales_Data2[RowKey],Sales_Data2[[#This Row],[RowKey]])&gt;1,"Duplicate","Unique")</f>
        <v>Unique</v>
      </c>
      <c r="Q1489" s="3" t="str">
        <f>IF(ISNUMBER(Sales_Data2[[#This Row],[Date]]),"OK","Check")</f>
        <v>OK</v>
      </c>
      <c r="R1489" s="3" t="str">
        <f>IF(ISNUMBER(Sales_Data2[[#This Row],[Quantity]]),"OK","Check")</f>
        <v>OK</v>
      </c>
    </row>
    <row r="1490" spans="1:18">
      <c r="A1490" s="1">
        <v>47164</v>
      </c>
      <c r="B1490" t="s">
        <v>11</v>
      </c>
      <c r="C1490" t="s">
        <v>19</v>
      </c>
      <c r="D1490" t="s">
        <v>23</v>
      </c>
      <c r="E1490" t="s">
        <v>20</v>
      </c>
      <c r="F1490" t="s">
        <v>27</v>
      </c>
      <c r="G1490" t="s">
        <v>22</v>
      </c>
      <c r="H1490">
        <v>60000</v>
      </c>
      <c r="I1490">
        <v>2</v>
      </c>
      <c r="J1490" t="s">
        <v>28</v>
      </c>
      <c r="K1490">
        <f t="shared" si="23"/>
        <v>48000</v>
      </c>
      <c r="L1490">
        <f>Sales_Data2[[#This Row],[Unit Price]]*Sales_Data2[[#This Row],[Quantity]]</f>
        <v>120000</v>
      </c>
      <c r="M1490">
        <f>Sales_Data2[[#This Row],[Cost Price]]*Sales_Data2[[#This Row],[Quantity]]</f>
        <v>96000</v>
      </c>
      <c r="N1490" s="3">
        <f>Sales_Data2[[#This Row],[Revenue]]-Sales_Data2[[#This Row],[COGS]]</f>
        <v>24000</v>
      </c>
      <c r="O14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47164|West|Lagos|Corporate|Store|Microwave M20|Home Appliances|60000|2|Musa|48000</v>
      </c>
      <c r="P1490" s="3" t="str">
        <f>IF(COUNTIF(Sales_Data2[RowKey],Sales_Data2[[#This Row],[RowKey]])&gt;1,"Duplicate","Unique")</f>
        <v>Unique</v>
      </c>
      <c r="Q1490" s="3" t="str">
        <f>IF(ISNUMBER(Sales_Data2[[#This Row],[Date]]),"OK","Check")</f>
        <v>OK</v>
      </c>
      <c r="R1490" s="3" t="str">
        <f>IF(ISNUMBER(Sales_Data2[[#This Row],[Quantity]]),"OK","Check")</f>
        <v>OK</v>
      </c>
    </row>
    <row r="1491" spans="1:18">
      <c r="A1491" s="1">
        <v>47165</v>
      </c>
      <c r="B1491" t="s">
        <v>18</v>
      </c>
      <c r="C1491" t="s">
        <v>32</v>
      </c>
      <c r="D1491" t="s">
        <v>23</v>
      </c>
      <c r="E1491" t="s">
        <v>20</v>
      </c>
      <c r="F1491" t="s">
        <v>36</v>
      </c>
      <c r="G1491" t="s">
        <v>31</v>
      </c>
      <c r="H1491">
        <v>150000</v>
      </c>
      <c r="I1491">
        <v>3</v>
      </c>
      <c r="J1491" t="s">
        <v>39</v>
      </c>
      <c r="K1491">
        <f t="shared" si="23"/>
        <v>120000</v>
      </c>
      <c r="L1491">
        <f>Sales_Data2[[#This Row],[Unit Price]]*Sales_Data2[[#This Row],[Quantity]]</f>
        <v>450000</v>
      </c>
      <c r="M1491">
        <f>Sales_Data2[[#This Row],[Cost Price]]*Sales_Data2[[#This Row],[Quantity]]</f>
        <v>360000</v>
      </c>
      <c r="N1491" s="3">
        <f>Sales_Data2[[#This Row],[Revenue]]-Sales_Data2[[#This Row],[COGS]]</f>
        <v>90000</v>
      </c>
      <c r="O14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47165|East|Abuja|Corporate|Store|Printer P50|Electronics|150000|3|Grace|120000</v>
      </c>
      <c r="P1491" s="3" t="str">
        <f>IF(COUNTIF(Sales_Data2[RowKey],Sales_Data2[[#This Row],[RowKey]])&gt;1,"Duplicate","Unique")</f>
        <v>Unique</v>
      </c>
      <c r="Q1491" s="3" t="str">
        <f>IF(ISNUMBER(Sales_Data2[[#This Row],[Date]]),"OK","Check")</f>
        <v>OK</v>
      </c>
      <c r="R1491" s="3" t="str">
        <f>IF(ISNUMBER(Sales_Data2[[#This Row],[Quantity]]),"OK","Check")</f>
        <v>OK</v>
      </c>
    </row>
    <row r="1492" spans="1:18">
      <c r="A1492" s="1">
        <v>47166</v>
      </c>
      <c r="B1492" t="s">
        <v>25</v>
      </c>
      <c r="C1492" t="s">
        <v>19</v>
      </c>
      <c r="D1492" t="s">
        <v>23</v>
      </c>
      <c r="E1492" t="s">
        <v>20</v>
      </c>
      <c r="F1492" t="s">
        <v>15</v>
      </c>
      <c r="G1492" t="s">
        <v>16</v>
      </c>
      <c r="H1492">
        <v>85000</v>
      </c>
      <c r="I1492">
        <v>3</v>
      </c>
      <c r="J1492" t="s">
        <v>37</v>
      </c>
      <c r="K1492">
        <f t="shared" si="23"/>
        <v>68000</v>
      </c>
      <c r="L1492">
        <f>Sales_Data2[[#This Row],[Unit Price]]*Sales_Data2[[#This Row],[Quantity]]</f>
        <v>255000</v>
      </c>
      <c r="M1492">
        <f>Sales_Data2[[#This Row],[Cost Price]]*Sales_Data2[[#This Row],[Quantity]]</f>
        <v>204000</v>
      </c>
      <c r="N1492" s="3">
        <f>Sales_Data2[[#This Row],[Revenue]]-Sales_Data2[[#This Row],[COGS]]</f>
        <v>51000</v>
      </c>
      <c r="O14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47166|South|Lagos|Corporate|Store|Office Chair Pro|Furniture|85000|3|Aisha|68000</v>
      </c>
      <c r="P1492" s="3" t="str">
        <f>IF(COUNTIF(Sales_Data2[RowKey],Sales_Data2[[#This Row],[RowKey]])&gt;1,"Duplicate","Unique")</f>
        <v>Unique</v>
      </c>
      <c r="Q1492" s="3" t="str">
        <f>IF(ISNUMBER(Sales_Data2[[#This Row],[Date]]),"OK","Check")</f>
        <v>OK</v>
      </c>
      <c r="R1492" s="3" t="str">
        <f>IF(ISNUMBER(Sales_Data2[[#This Row],[Quantity]]),"OK","Check")</f>
        <v>OK</v>
      </c>
    </row>
    <row r="1493" spans="1:18">
      <c r="A1493" s="1">
        <v>47167</v>
      </c>
      <c r="B1493" t="s">
        <v>29</v>
      </c>
      <c r="C1493" t="s">
        <v>32</v>
      </c>
      <c r="D1493" t="s">
        <v>13</v>
      </c>
      <c r="E1493" t="s">
        <v>20</v>
      </c>
      <c r="F1493" t="s">
        <v>33</v>
      </c>
      <c r="G1493" t="s">
        <v>22</v>
      </c>
      <c r="H1493">
        <v>180000</v>
      </c>
      <c r="I1493">
        <v>7</v>
      </c>
      <c r="J1493" t="s">
        <v>39</v>
      </c>
      <c r="K1493">
        <f t="shared" si="23"/>
        <v>144000</v>
      </c>
      <c r="L1493">
        <f>Sales_Data2[[#This Row],[Unit Price]]*Sales_Data2[[#This Row],[Quantity]]</f>
        <v>1260000</v>
      </c>
      <c r="M1493">
        <f>Sales_Data2[[#This Row],[Cost Price]]*Sales_Data2[[#This Row],[Quantity]]</f>
        <v>1008000</v>
      </c>
      <c r="N1493" s="3">
        <f>Sales_Data2[[#This Row],[Revenue]]-Sales_Data2[[#This Row],[COGS]]</f>
        <v>252000</v>
      </c>
      <c r="O14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47167|North|Abuja|Retail|Store|Air Conditioner X2|Home Appliances|180000|7|Grace|144000</v>
      </c>
      <c r="P1493" s="3" t="str">
        <f>IF(COUNTIF(Sales_Data2[RowKey],Sales_Data2[[#This Row],[RowKey]])&gt;1,"Duplicate","Unique")</f>
        <v>Unique</v>
      </c>
      <c r="Q1493" s="3" t="str">
        <f>IF(ISNUMBER(Sales_Data2[[#This Row],[Date]]),"OK","Check")</f>
        <v>OK</v>
      </c>
      <c r="R1493" s="3" t="str">
        <f>IF(ISNUMBER(Sales_Data2[[#This Row],[Quantity]]),"OK","Check")</f>
        <v>OK</v>
      </c>
    </row>
    <row r="1494" spans="1:18">
      <c r="A1494" s="1">
        <v>47168</v>
      </c>
      <c r="B1494" t="s">
        <v>29</v>
      </c>
      <c r="C1494" t="s">
        <v>19</v>
      </c>
      <c r="D1494" t="s">
        <v>23</v>
      </c>
      <c r="E1494" t="s">
        <v>14</v>
      </c>
      <c r="F1494" t="s">
        <v>33</v>
      </c>
      <c r="G1494" t="s">
        <v>22</v>
      </c>
      <c r="H1494">
        <v>180000</v>
      </c>
      <c r="I1494">
        <v>10</v>
      </c>
      <c r="J1494" t="s">
        <v>37</v>
      </c>
      <c r="K1494">
        <f t="shared" si="23"/>
        <v>144000</v>
      </c>
      <c r="L1494">
        <f>Sales_Data2[[#This Row],[Unit Price]]*Sales_Data2[[#This Row],[Quantity]]</f>
        <v>1800000</v>
      </c>
      <c r="M1494">
        <f>Sales_Data2[[#This Row],[Cost Price]]*Sales_Data2[[#This Row],[Quantity]]</f>
        <v>1440000</v>
      </c>
      <c r="N1494" s="3">
        <f>Sales_Data2[[#This Row],[Revenue]]-Sales_Data2[[#This Row],[COGS]]</f>
        <v>360000</v>
      </c>
      <c r="O14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47168|North|Lagos|Corporate|Online|Air Conditioner X2|Home Appliances|180000|10|Aisha|144000</v>
      </c>
      <c r="P1494" s="3" t="str">
        <f>IF(COUNTIF(Sales_Data2[RowKey],Sales_Data2[[#This Row],[RowKey]])&gt;1,"Duplicate","Unique")</f>
        <v>Unique</v>
      </c>
      <c r="Q1494" s="3" t="str">
        <f>IF(ISNUMBER(Sales_Data2[[#This Row],[Date]]),"OK","Check")</f>
        <v>OK</v>
      </c>
      <c r="R1494" s="3" t="str">
        <f>IF(ISNUMBER(Sales_Data2[[#This Row],[Quantity]]),"OK","Check")</f>
        <v>OK</v>
      </c>
    </row>
    <row r="1495" spans="1:18">
      <c r="A1495" s="1">
        <v>47169</v>
      </c>
      <c r="B1495" t="s">
        <v>29</v>
      </c>
      <c r="C1495" t="s">
        <v>12</v>
      </c>
      <c r="D1495" t="s">
        <v>23</v>
      </c>
      <c r="E1495" t="s">
        <v>20</v>
      </c>
      <c r="F1495" t="s">
        <v>33</v>
      </c>
      <c r="G1495" t="s">
        <v>22</v>
      </c>
      <c r="H1495">
        <v>180000</v>
      </c>
      <c r="I1495">
        <v>1</v>
      </c>
      <c r="J1495" t="s">
        <v>28</v>
      </c>
      <c r="K1495">
        <f t="shared" si="23"/>
        <v>144000</v>
      </c>
      <c r="L1495">
        <f>Sales_Data2[[#This Row],[Unit Price]]*Sales_Data2[[#This Row],[Quantity]]</f>
        <v>180000</v>
      </c>
      <c r="M1495">
        <f>Sales_Data2[[#This Row],[Cost Price]]*Sales_Data2[[#This Row],[Quantity]]</f>
        <v>144000</v>
      </c>
      <c r="N1495" s="3">
        <f>Sales_Data2[[#This Row],[Revenue]]-Sales_Data2[[#This Row],[COGS]]</f>
        <v>36000</v>
      </c>
      <c r="O14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47169|North|Port Harcourt|Corporate|Store|Air Conditioner X2|Home Appliances|180000|1|Musa|144000</v>
      </c>
      <c r="P1495" s="3" t="str">
        <f>IF(COUNTIF(Sales_Data2[RowKey],Sales_Data2[[#This Row],[RowKey]])&gt;1,"Duplicate","Unique")</f>
        <v>Unique</v>
      </c>
      <c r="Q1495" s="3" t="str">
        <f>IF(ISNUMBER(Sales_Data2[[#This Row],[Date]]),"OK","Check")</f>
        <v>OK</v>
      </c>
      <c r="R1495" s="3" t="str">
        <f>IF(ISNUMBER(Sales_Data2[[#This Row],[Quantity]]),"OK","Check")</f>
        <v>OK</v>
      </c>
    </row>
    <row r="1496" spans="1:18">
      <c r="A1496" s="1">
        <v>47170</v>
      </c>
      <c r="B1496" t="s">
        <v>11</v>
      </c>
      <c r="C1496" t="s">
        <v>32</v>
      </c>
      <c r="D1496" t="s">
        <v>13</v>
      </c>
      <c r="E1496" t="s">
        <v>14</v>
      </c>
      <c r="F1496" t="s">
        <v>34</v>
      </c>
      <c r="G1496" t="s">
        <v>16</v>
      </c>
      <c r="H1496">
        <v>320000</v>
      </c>
      <c r="I1496">
        <v>5</v>
      </c>
      <c r="J1496" t="s">
        <v>28</v>
      </c>
      <c r="K1496">
        <f t="shared" si="23"/>
        <v>256000</v>
      </c>
      <c r="L1496">
        <f>Sales_Data2[[#This Row],[Unit Price]]*Sales_Data2[[#This Row],[Quantity]]</f>
        <v>1600000</v>
      </c>
      <c r="M1496">
        <f>Sales_Data2[[#This Row],[Cost Price]]*Sales_Data2[[#This Row],[Quantity]]</f>
        <v>1280000</v>
      </c>
      <c r="N1496" s="3">
        <f>Sales_Data2[[#This Row],[Revenue]]-Sales_Data2[[#This Row],[COGS]]</f>
        <v>320000</v>
      </c>
      <c r="O14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47170|West|Abuja|Retail|Online|Sofa Classic|Furniture|320000|5|Musa|256000</v>
      </c>
      <c r="P1496" s="3" t="str">
        <f>IF(COUNTIF(Sales_Data2[RowKey],Sales_Data2[[#This Row],[RowKey]])&gt;1,"Duplicate","Unique")</f>
        <v>Unique</v>
      </c>
      <c r="Q1496" s="3" t="str">
        <f>IF(ISNUMBER(Sales_Data2[[#This Row],[Date]]),"OK","Check")</f>
        <v>OK</v>
      </c>
      <c r="R1496" s="3" t="str">
        <f>IF(ISNUMBER(Sales_Data2[[#This Row],[Quantity]]),"OK","Check")</f>
        <v>OK</v>
      </c>
    </row>
    <row r="1497" spans="1:18">
      <c r="A1497" s="1">
        <v>47171</v>
      </c>
      <c r="B1497" t="s">
        <v>18</v>
      </c>
      <c r="C1497" t="s">
        <v>19</v>
      </c>
      <c r="D1497" t="s">
        <v>13</v>
      </c>
      <c r="E1497" t="s">
        <v>20</v>
      </c>
      <c r="F1497" t="s">
        <v>38</v>
      </c>
      <c r="G1497" t="s">
        <v>31</v>
      </c>
      <c r="H1497">
        <v>420000</v>
      </c>
      <c r="I1497">
        <v>5</v>
      </c>
      <c r="J1497" t="s">
        <v>35</v>
      </c>
      <c r="K1497">
        <f t="shared" si="23"/>
        <v>336000</v>
      </c>
      <c r="L1497">
        <f>Sales_Data2[[#This Row],[Unit Price]]*Sales_Data2[[#This Row],[Quantity]]</f>
        <v>2100000</v>
      </c>
      <c r="M1497">
        <f>Sales_Data2[[#This Row],[Cost Price]]*Sales_Data2[[#This Row],[Quantity]]</f>
        <v>1680000</v>
      </c>
      <c r="N1497" s="3">
        <f>Sales_Data2[[#This Row],[Revenue]]-Sales_Data2[[#This Row],[COGS]]</f>
        <v>420000</v>
      </c>
      <c r="O14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47171|East|Lagos|Retail|Store|Laptop A13|Electronics|420000|5|Peter|336000</v>
      </c>
      <c r="P1497" s="3" t="str">
        <f>IF(COUNTIF(Sales_Data2[RowKey],Sales_Data2[[#This Row],[RowKey]])&gt;1,"Duplicate","Unique")</f>
        <v>Unique</v>
      </c>
      <c r="Q1497" s="3" t="str">
        <f>IF(ISNUMBER(Sales_Data2[[#This Row],[Date]]),"OK","Check")</f>
        <v>OK</v>
      </c>
      <c r="R1497" s="3" t="str">
        <f>IF(ISNUMBER(Sales_Data2[[#This Row],[Quantity]]),"OK","Check")</f>
        <v>OK</v>
      </c>
    </row>
    <row r="1498" spans="1:18">
      <c r="A1498" s="1">
        <v>47172</v>
      </c>
      <c r="B1498" t="s">
        <v>11</v>
      </c>
      <c r="C1498" t="s">
        <v>26</v>
      </c>
      <c r="D1498" t="s">
        <v>23</v>
      </c>
      <c r="E1498" t="s">
        <v>14</v>
      </c>
      <c r="F1498" t="s">
        <v>33</v>
      </c>
      <c r="G1498" t="s">
        <v>22</v>
      </c>
      <c r="H1498">
        <v>180000</v>
      </c>
      <c r="I1498">
        <v>2</v>
      </c>
      <c r="J1498" t="s">
        <v>17</v>
      </c>
      <c r="K1498">
        <f t="shared" si="23"/>
        <v>144000</v>
      </c>
      <c r="L1498">
        <f>Sales_Data2[[#This Row],[Unit Price]]*Sales_Data2[[#This Row],[Quantity]]</f>
        <v>360000</v>
      </c>
      <c r="M1498">
        <f>Sales_Data2[[#This Row],[Cost Price]]*Sales_Data2[[#This Row],[Quantity]]</f>
        <v>288000</v>
      </c>
      <c r="N1498" s="3">
        <f>Sales_Data2[[#This Row],[Revenue]]-Sales_Data2[[#This Row],[COGS]]</f>
        <v>72000</v>
      </c>
      <c r="O14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47172|West|Kano|Corporate|Online|Air Conditioner X2|Home Appliances|180000|2|Chidinma|144000</v>
      </c>
      <c r="P1498" s="3" t="str">
        <f>IF(COUNTIF(Sales_Data2[RowKey],Sales_Data2[[#This Row],[RowKey]])&gt;1,"Duplicate","Unique")</f>
        <v>Unique</v>
      </c>
      <c r="Q1498" s="3" t="str">
        <f>IF(ISNUMBER(Sales_Data2[[#This Row],[Date]]),"OK","Check")</f>
        <v>OK</v>
      </c>
      <c r="R1498" s="3" t="str">
        <f>IF(ISNUMBER(Sales_Data2[[#This Row],[Quantity]]),"OK","Check")</f>
        <v>OK</v>
      </c>
    </row>
    <row r="1499" spans="1:18">
      <c r="A1499" s="1">
        <v>47173</v>
      </c>
      <c r="B1499" t="s">
        <v>25</v>
      </c>
      <c r="C1499" t="s">
        <v>26</v>
      </c>
      <c r="D1499" t="s">
        <v>13</v>
      </c>
      <c r="E1499" t="s">
        <v>20</v>
      </c>
      <c r="F1499" t="s">
        <v>41</v>
      </c>
      <c r="G1499" t="s">
        <v>22</v>
      </c>
      <c r="H1499">
        <v>220000</v>
      </c>
      <c r="I1499">
        <v>1</v>
      </c>
      <c r="J1499" t="s">
        <v>24</v>
      </c>
      <c r="K1499">
        <f t="shared" si="23"/>
        <v>176000</v>
      </c>
      <c r="L1499">
        <f>Sales_Data2[[#This Row],[Unit Price]]*Sales_Data2[[#This Row],[Quantity]]</f>
        <v>220000</v>
      </c>
      <c r="M1499">
        <f>Sales_Data2[[#This Row],[Cost Price]]*Sales_Data2[[#This Row],[Quantity]]</f>
        <v>176000</v>
      </c>
      <c r="N1499" s="3">
        <f>Sales_Data2[[#This Row],[Revenue]]-Sales_Data2[[#This Row],[COGS]]</f>
        <v>44000</v>
      </c>
      <c r="O14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47173|South|Kano|Retail|Store|Refrigerator R55|Home Appliances|220000|1|David|176000</v>
      </c>
      <c r="P1499" s="3" t="str">
        <f>IF(COUNTIF(Sales_Data2[RowKey],Sales_Data2[[#This Row],[RowKey]])&gt;1,"Duplicate","Unique")</f>
        <v>Unique</v>
      </c>
      <c r="Q1499" s="3" t="str">
        <f>IF(ISNUMBER(Sales_Data2[[#This Row],[Date]]),"OK","Check")</f>
        <v>OK</v>
      </c>
      <c r="R1499" s="3" t="str">
        <f>IF(ISNUMBER(Sales_Data2[[#This Row],[Quantity]]),"OK","Check")</f>
        <v>OK</v>
      </c>
    </row>
    <row r="1500" spans="1:18">
      <c r="A1500" s="1">
        <v>47174</v>
      </c>
      <c r="B1500" t="s">
        <v>11</v>
      </c>
      <c r="C1500" t="s">
        <v>26</v>
      </c>
      <c r="D1500" t="s">
        <v>23</v>
      </c>
      <c r="E1500" t="s">
        <v>14</v>
      </c>
      <c r="F1500" t="s">
        <v>34</v>
      </c>
      <c r="G1500" t="s">
        <v>16</v>
      </c>
      <c r="H1500">
        <v>320000</v>
      </c>
      <c r="I1500">
        <v>4</v>
      </c>
      <c r="J1500" t="s">
        <v>37</v>
      </c>
      <c r="K1500">
        <f t="shared" si="23"/>
        <v>256000</v>
      </c>
      <c r="L1500">
        <f>Sales_Data2[[#This Row],[Unit Price]]*Sales_Data2[[#This Row],[Quantity]]</f>
        <v>1280000</v>
      </c>
      <c r="M1500">
        <f>Sales_Data2[[#This Row],[Cost Price]]*Sales_Data2[[#This Row],[Quantity]]</f>
        <v>1024000</v>
      </c>
      <c r="N1500" s="3">
        <f>Sales_Data2[[#This Row],[Revenue]]-Sales_Data2[[#This Row],[COGS]]</f>
        <v>256000</v>
      </c>
      <c r="O15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47174|West|Kano|Corporate|Online|Sofa Classic|Furniture|320000|4|Aisha|256000</v>
      </c>
      <c r="P1500" s="3" t="str">
        <f>IF(COUNTIF(Sales_Data2[RowKey],Sales_Data2[[#This Row],[RowKey]])&gt;1,"Duplicate","Unique")</f>
        <v>Unique</v>
      </c>
      <c r="Q1500" s="3" t="str">
        <f>IF(ISNUMBER(Sales_Data2[[#This Row],[Date]]),"OK","Check")</f>
        <v>OK</v>
      </c>
      <c r="R1500" s="3" t="str">
        <f>IF(ISNUMBER(Sales_Data2[[#This Row],[Quantity]]),"OK","Check")</f>
        <v>OK</v>
      </c>
    </row>
    <row r="1501" spans="1:18">
      <c r="A1501" s="1">
        <v>47175</v>
      </c>
      <c r="B1501" t="s">
        <v>25</v>
      </c>
      <c r="C1501" t="s">
        <v>26</v>
      </c>
      <c r="D1501" t="s">
        <v>13</v>
      </c>
      <c r="E1501" t="s">
        <v>14</v>
      </c>
      <c r="F1501" t="s">
        <v>40</v>
      </c>
      <c r="G1501" t="s">
        <v>31</v>
      </c>
      <c r="H1501">
        <v>250000</v>
      </c>
      <c r="I1501">
        <v>4</v>
      </c>
      <c r="J1501" t="s">
        <v>24</v>
      </c>
      <c r="K1501">
        <f t="shared" si="23"/>
        <v>200000</v>
      </c>
      <c r="L1501">
        <f>Sales_Data2[[#This Row],[Unit Price]]*Sales_Data2[[#This Row],[Quantity]]</f>
        <v>1000000</v>
      </c>
      <c r="M1501">
        <f>Sales_Data2[[#This Row],[Cost Price]]*Sales_Data2[[#This Row],[Quantity]]</f>
        <v>800000</v>
      </c>
      <c r="N1501" s="3">
        <f>Sales_Data2[[#This Row],[Revenue]]-Sales_Data2[[#This Row],[COGS]]</f>
        <v>200000</v>
      </c>
      <c r="O15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47175|South|Kano|Retail|Online|Smartphone Z10|Electronics|250000|4|David|200000</v>
      </c>
      <c r="P1501" s="3" t="str">
        <f>IF(COUNTIF(Sales_Data2[RowKey],Sales_Data2[[#This Row],[RowKey]])&gt;1,"Duplicate","Unique")</f>
        <v>Unique</v>
      </c>
      <c r="Q1501" s="3" t="str">
        <f>IF(ISNUMBER(Sales_Data2[[#This Row],[Date]]),"OK","Check")</f>
        <v>OK</v>
      </c>
      <c r="R1501" s="3" t="str">
        <f>IF(ISNUMBER(Sales_Data2[[#This Row],[Quantity]]),"OK","Check")</f>
        <v>OK</v>
      </c>
    </row>
    <row r="1502" spans="1:18">
      <c r="A1502" s="1">
        <v>47176</v>
      </c>
      <c r="B1502" t="s">
        <v>25</v>
      </c>
      <c r="C1502" t="s">
        <v>12</v>
      </c>
      <c r="D1502" t="s">
        <v>13</v>
      </c>
      <c r="E1502" t="s">
        <v>20</v>
      </c>
      <c r="F1502" t="s">
        <v>27</v>
      </c>
      <c r="G1502" t="s">
        <v>22</v>
      </c>
      <c r="H1502">
        <v>60000</v>
      </c>
      <c r="I1502">
        <v>10</v>
      </c>
      <c r="J1502" t="s">
        <v>39</v>
      </c>
      <c r="K1502">
        <f t="shared" si="23"/>
        <v>48000</v>
      </c>
      <c r="L1502">
        <f>Sales_Data2[[#This Row],[Unit Price]]*Sales_Data2[[#This Row],[Quantity]]</f>
        <v>600000</v>
      </c>
      <c r="M1502">
        <f>Sales_Data2[[#This Row],[Cost Price]]*Sales_Data2[[#This Row],[Quantity]]</f>
        <v>480000</v>
      </c>
      <c r="N1502" s="3">
        <f>Sales_Data2[[#This Row],[Revenue]]-Sales_Data2[[#This Row],[COGS]]</f>
        <v>120000</v>
      </c>
      <c r="O15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47176|South|Port Harcourt|Retail|Store|Microwave M20|Home Appliances|60000|10|Grace|48000</v>
      </c>
      <c r="P1502" s="3" t="str">
        <f>IF(COUNTIF(Sales_Data2[RowKey],Sales_Data2[[#This Row],[RowKey]])&gt;1,"Duplicate","Unique")</f>
        <v>Unique</v>
      </c>
      <c r="Q1502" s="3" t="str">
        <f>IF(ISNUMBER(Sales_Data2[[#This Row],[Date]]),"OK","Check")</f>
        <v>OK</v>
      </c>
      <c r="R1502" s="3" t="str">
        <f>IF(ISNUMBER(Sales_Data2[[#This Row],[Quantity]]),"OK","Check")</f>
        <v>OK</v>
      </c>
    </row>
    <row r="1503" spans="1:18">
      <c r="A1503" s="1">
        <v>47177</v>
      </c>
      <c r="B1503" t="s">
        <v>18</v>
      </c>
      <c r="C1503" t="s">
        <v>32</v>
      </c>
      <c r="D1503" t="s">
        <v>23</v>
      </c>
      <c r="E1503" t="s">
        <v>14</v>
      </c>
      <c r="F1503" t="s">
        <v>33</v>
      </c>
      <c r="G1503" t="s">
        <v>22</v>
      </c>
      <c r="H1503">
        <v>180000</v>
      </c>
      <c r="I1503">
        <v>10</v>
      </c>
      <c r="J1503" t="s">
        <v>37</v>
      </c>
      <c r="K1503">
        <f t="shared" si="23"/>
        <v>144000</v>
      </c>
      <c r="L1503">
        <f>Sales_Data2[[#This Row],[Unit Price]]*Sales_Data2[[#This Row],[Quantity]]</f>
        <v>1800000</v>
      </c>
      <c r="M1503">
        <f>Sales_Data2[[#This Row],[Cost Price]]*Sales_Data2[[#This Row],[Quantity]]</f>
        <v>1440000</v>
      </c>
      <c r="N1503" s="3">
        <f>Sales_Data2[[#This Row],[Revenue]]-Sales_Data2[[#This Row],[COGS]]</f>
        <v>360000</v>
      </c>
      <c r="O15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47177|East|Abuja|Corporate|Online|Air Conditioner X2|Home Appliances|180000|10|Aisha|144000</v>
      </c>
      <c r="P1503" s="3" t="str">
        <f>IF(COUNTIF(Sales_Data2[RowKey],Sales_Data2[[#This Row],[RowKey]])&gt;1,"Duplicate","Unique")</f>
        <v>Unique</v>
      </c>
      <c r="Q1503" s="3" t="str">
        <f>IF(ISNUMBER(Sales_Data2[[#This Row],[Date]]),"OK","Check")</f>
        <v>OK</v>
      </c>
      <c r="R1503" s="3" t="str">
        <f>IF(ISNUMBER(Sales_Data2[[#This Row],[Quantity]]),"OK","Check")</f>
        <v>OK</v>
      </c>
    </row>
    <row r="1504" spans="1:18">
      <c r="A1504" s="1">
        <v>47178</v>
      </c>
      <c r="B1504" t="s">
        <v>18</v>
      </c>
      <c r="C1504" t="s">
        <v>26</v>
      </c>
      <c r="D1504" t="s">
        <v>23</v>
      </c>
      <c r="E1504" t="s">
        <v>20</v>
      </c>
      <c r="F1504" t="s">
        <v>30</v>
      </c>
      <c r="G1504" t="s">
        <v>31</v>
      </c>
      <c r="H1504">
        <v>300000</v>
      </c>
      <c r="I1504">
        <v>5</v>
      </c>
      <c r="J1504" t="s">
        <v>35</v>
      </c>
      <c r="K1504">
        <f t="shared" si="23"/>
        <v>240000</v>
      </c>
      <c r="L1504">
        <f>Sales_Data2[[#This Row],[Unit Price]]*Sales_Data2[[#This Row],[Quantity]]</f>
        <v>1500000</v>
      </c>
      <c r="M1504">
        <f>Sales_Data2[[#This Row],[Cost Price]]*Sales_Data2[[#This Row],[Quantity]]</f>
        <v>1200000</v>
      </c>
      <c r="N1504" s="3">
        <f>Sales_Data2[[#This Row],[Revenue]]-Sales_Data2[[#This Row],[COGS]]</f>
        <v>300000</v>
      </c>
      <c r="O15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47178|East|Kano|Corporate|Store|Desktop PC D21|Electronics|300000|5|Peter|240000</v>
      </c>
      <c r="P1504" s="3" t="str">
        <f>IF(COUNTIF(Sales_Data2[RowKey],Sales_Data2[[#This Row],[RowKey]])&gt;1,"Duplicate","Unique")</f>
        <v>Unique</v>
      </c>
      <c r="Q1504" s="3" t="str">
        <f>IF(ISNUMBER(Sales_Data2[[#This Row],[Date]]),"OK","Check")</f>
        <v>OK</v>
      </c>
      <c r="R1504" s="3" t="str">
        <f>IF(ISNUMBER(Sales_Data2[[#This Row],[Quantity]]),"OK","Check")</f>
        <v>OK</v>
      </c>
    </row>
    <row r="1505" spans="1:18">
      <c r="A1505" s="1">
        <v>47179</v>
      </c>
      <c r="B1505" t="s">
        <v>18</v>
      </c>
      <c r="C1505" t="s">
        <v>32</v>
      </c>
      <c r="D1505" t="s">
        <v>13</v>
      </c>
      <c r="E1505" t="s">
        <v>20</v>
      </c>
      <c r="F1505" t="s">
        <v>15</v>
      </c>
      <c r="G1505" t="s">
        <v>16</v>
      </c>
      <c r="H1505">
        <v>85000</v>
      </c>
      <c r="I1505">
        <v>7</v>
      </c>
      <c r="J1505" t="s">
        <v>37</v>
      </c>
      <c r="K1505">
        <f t="shared" si="23"/>
        <v>68000</v>
      </c>
      <c r="L1505">
        <f>Sales_Data2[[#This Row],[Unit Price]]*Sales_Data2[[#This Row],[Quantity]]</f>
        <v>595000</v>
      </c>
      <c r="M1505">
        <f>Sales_Data2[[#This Row],[Cost Price]]*Sales_Data2[[#This Row],[Quantity]]</f>
        <v>476000</v>
      </c>
      <c r="N1505" s="3">
        <f>Sales_Data2[[#This Row],[Revenue]]-Sales_Data2[[#This Row],[COGS]]</f>
        <v>119000</v>
      </c>
      <c r="O15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47179|East|Abuja|Retail|Store|Office Chair Pro|Furniture|85000|7|Aisha|68000</v>
      </c>
      <c r="P1505" s="3" t="str">
        <f>IF(COUNTIF(Sales_Data2[RowKey],Sales_Data2[[#This Row],[RowKey]])&gt;1,"Duplicate","Unique")</f>
        <v>Unique</v>
      </c>
      <c r="Q1505" s="3" t="str">
        <f>IF(ISNUMBER(Sales_Data2[[#This Row],[Date]]),"OK","Check")</f>
        <v>OK</v>
      </c>
      <c r="R1505" s="3" t="str">
        <f>IF(ISNUMBER(Sales_Data2[[#This Row],[Quantity]]),"OK","Check")</f>
        <v>OK</v>
      </c>
    </row>
    <row r="1506" spans="1:18">
      <c r="A1506" s="1">
        <v>47180</v>
      </c>
      <c r="B1506" t="s">
        <v>18</v>
      </c>
      <c r="C1506" t="s">
        <v>12</v>
      </c>
      <c r="D1506" t="s">
        <v>13</v>
      </c>
      <c r="E1506" t="s">
        <v>14</v>
      </c>
      <c r="F1506" t="s">
        <v>33</v>
      </c>
      <c r="G1506" t="s">
        <v>22</v>
      </c>
      <c r="H1506">
        <v>180000</v>
      </c>
      <c r="I1506">
        <v>5</v>
      </c>
      <c r="J1506" t="s">
        <v>28</v>
      </c>
      <c r="K1506">
        <f t="shared" si="23"/>
        <v>144000</v>
      </c>
      <c r="L1506">
        <f>Sales_Data2[[#This Row],[Unit Price]]*Sales_Data2[[#This Row],[Quantity]]</f>
        <v>900000</v>
      </c>
      <c r="M1506">
        <f>Sales_Data2[[#This Row],[Cost Price]]*Sales_Data2[[#This Row],[Quantity]]</f>
        <v>720000</v>
      </c>
      <c r="N1506" s="3">
        <f>Sales_Data2[[#This Row],[Revenue]]-Sales_Data2[[#This Row],[COGS]]</f>
        <v>180000</v>
      </c>
      <c r="O15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47180|East|Port Harcourt|Retail|Online|Air Conditioner X2|Home Appliances|180000|5|Musa|144000</v>
      </c>
      <c r="P1506" s="3" t="str">
        <f>IF(COUNTIF(Sales_Data2[RowKey],Sales_Data2[[#This Row],[RowKey]])&gt;1,"Duplicate","Unique")</f>
        <v>Unique</v>
      </c>
      <c r="Q1506" s="3" t="str">
        <f>IF(ISNUMBER(Sales_Data2[[#This Row],[Date]]),"OK","Check")</f>
        <v>OK</v>
      </c>
      <c r="R1506" s="3" t="str">
        <f>IF(ISNUMBER(Sales_Data2[[#This Row],[Quantity]]),"OK","Check")</f>
        <v>OK</v>
      </c>
    </row>
    <row r="1507" spans="1:18">
      <c r="A1507" s="1">
        <v>47181</v>
      </c>
      <c r="B1507" t="s">
        <v>18</v>
      </c>
      <c r="C1507" t="s">
        <v>26</v>
      </c>
      <c r="D1507" t="s">
        <v>23</v>
      </c>
      <c r="E1507" t="s">
        <v>20</v>
      </c>
      <c r="F1507" t="s">
        <v>34</v>
      </c>
      <c r="G1507" t="s">
        <v>16</v>
      </c>
      <c r="H1507">
        <v>320000</v>
      </c>
      <c r="I1507">
        <v>4</v>
      </c>
      <c r="J1507" t="s">
        <v>24</v>
      </c>
      <c r="K1507">
        <f t="shared" si="23"/>
        <v>256000</v>
      </c>
      <c r="L1507">
        <f>Sales_Data2[[#This Row],[Unit Price]]*Sales_Data2[[#This Row],[Quantity]]</f>
        <v>1280000</v>
      </c>
      <c r="M1507">
        <f>Sales_Data2[[#This Row],[Cost Price]]*Sales_Data2[[#This Row],[Quantity]]</f>
        <v>1024000</v>
      </c>
      <c r="N1507" s="3">
        <f>Sales_Data2[[#This Row],[Revenue]]-Sales_Data2[[#This Row],[COGS]]</f>
        <v>256000</v>
      </c>
      <c r="O15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47181|East|Kano|Corporate|Store|Sofa Classic|Furniture|320000|4|David|256000</v>
      </c>
      <c r="P1507" s="3" t="str">
        <f>IF(COUNTIF(Sales_Data2[RowKey],Sales_Data2[[#This Row],[RowKey]])&gt;1,"Duplicate","Unique")</f>
        <v>Unique</v>
      </c>
      <c r="Q1507" s="3" t="str">
        <f>IF(ISNUMBER(Sales_Data2[[#This Row],[Date]]),"OK","Check")</f>
        <v>OK</v>
      </c>
      <c r="R1507" s="3" t="str">
        <f>IF(ISNUMBER(Sales_Data2[[#This Row],[Quantity]]),"OK","Check")</f>
        <v>OK</v>
      </c>
    </row>
    <row r="1508" spans="1:18">
      <c r="A1508" s="1">
        <v>47182</v>
      </c>
      <c r="B1508" t="s">
        <v>11</v>
      </c>
      <c r="C1508" t="s">
        <v>12</v>
      </c>
      <c r="D1508" t="s">
        <v>23</v>
      </c>
      <c r="E1508" t="s">
        <v>14</v>
      </c>
      <c r="F1508" t="s">
        <v>33</v>
      </c>
      <c r="G1508" t="s">
        <v>22</v>
      </c>
      <c r="H1508">
        <v>180000</v>
      </c>
      <c r="I1508">
        <v>8</v>
      </c>
      <c r="J1508" t="s">
        <v>28</v>
      </c>
      <c r="K1508">
        <f t="shared" si="23"/>
        <v>144000</v>
      </c>
      <c r="L1508">
        <f>Sales_Data2[[#This Row],[Unit Price]]*Sales_Data2[[#This Row],[Quantity]]</f>
        <v>1440000</v>
      </c>
      <c r="M1508">
        <f>Sales_Data2[[#This Row],[Cost Price]]*Sales_Data2[[#This Row],[Quantity]]</f>
        <v>1152000</v>
      </c>
      <c r="N1508" s="3">
        <f>Sales_Data2[[#This Row],[Revenue]]-Sales_Data2[[#This Row],[COGS]]</f>
        <v>288000</v>
      </c>
      <c r="O15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47182|West|Port Harcourt|Corporate|Online|Air Conditioner X2|Home Appliances|180000|8|Musa|144000</v>
      </c>
      <c r="P1508" s="3" t="str">
        <f>IF(COUNTIF(Sales_Data2[RowKey],Sales_Data2[[#This Row],[RowKey]])&gt;1,"Duplicate","Unique")</f>
        <v>Unique</v>
      </c>
      <c r="Q1508" s="3" t="str">
        <f>IF(ISNUMBER(Sales_Data2[[#This Row],[Date]]),"OK","Check")</f>
        <v>OK</v>
      </c>
      <c r="R1508" s="3" t="str">
        <f>IF(ISNUMBER(Sales_Data2[[#This Row],[Quantity]]),"OK","Check")</f>
        <v>OK</v>
      </c>
    </row>
    <row r="1509" spans="1:18">
      <c r="A1509" s="1">
        <v>47183</v>
      </c>
      <c r="B1509" t="s">
        <v>29</v>
      </c>
      <c r="C1509" t="s">
        <v>26</v>
      </c>
      <c r="D1509" t="s">
        <v>13</v>
      </c>
      <c r="E1509" t="s">
        <v>14</v>
      </c>
      <c r="F1509" t="s">
        <v>21</v>
      </c>
      <c r="G1509" t="s">
        <v>22</v>
      </c>
      <c r="H1509">
        <v>30000</v>
      </c>
      <c r="I1509">
        <v>3</v>
      </c>
      <c r="J1509" t="s">
        <v>37</v>
      </c>
      <c r="K1509">
        <f t="shared" si="23"/>
        <v>24000</v>
      </c>
      <c r="L1509">
        <f>Sales_Data2[[#This Row],[Unit Price]]*Sales_Data2[[#This Row],[Quantity]]</f>
        <v>90000</v>
      </c>
      <c r="M1509">
        <f>Sales_Data2[[#This Row],[Cost Price]]*Sales_Data2[[#This Row],[Quantity]]</f>
        <v>72000</v>
      </c>
      <c r="N1509" s="3">
        <f>Sales_Data2[[#This Row],[Revenue]]-Sales_Data2[[#This Row],[COGS]]</f>
        <v>18000</v>
      </c>
      <c r="O15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47183|North|Kano|Retail|Online|Blender B10|Home Appliances|30000|3|Aisha|24000</v>
      </c>
      <c r="P1509" s="3" t="str">
        <f>IF(COUNTIF(Sales_Data2[RowKey],Sales_Data2[[#This Row],[RowKey]])&gt;1,"Duplicate","Unique")</f>
        <v>Unique</v>
      </c>
      <c r="Q1509" s="3" t="str">
        <f>IF(ISNUMBER(Sales_Data2[[#This Row],[Date]]),"OK","Check")</f>
        <v>OK</v>
      </c>
      <c r="R1509" s="3" t="str">
        <f>IF(ISNUMBER(Sales_Data2[[#This Row],[Quantity]]),"OK","Check")</f>
        <v>OK</v>
      </c>
    </row>
    <row r="1510" spans="1:18">
      <c r="A1510" s="1">
        <v>47184</v>
      </c>
      <c r="B1510" t="s">
        <v>29</v>
      </c>
      <c r="C1510" t="s">
        <v>32</v>
      </c>
      <c r="D1510" t="s">
        <v>23</v>
      </c>
      <c r="E1510" t="s">
        <v>20</v>
      </c>
      <c r="F1510" t="s">
        <v>41</v>
      </c>
      <c r="G1510" t="s">
        <v>22</v>
      </c>
      <c r="H1510">
        <v>220000</v>
      </c>
      <c r="I1510">
        <v>3</v>
      </c>
      <c r="J1510" t="s">
        <v>24</v>
      </c>
      <c r="K1510">
        <f t="shared" si="23"/>
        <v>176000</v>
      </c>
      <c r="L1510">
        <f>Sales_Data2[[#This Row],[Unit Price]]*Sales_Data2[[#This Row],[Quantity]]</f>
        <v>660000</v>
      </c>
      <c r="M1510">
        <f>Sales_Data2[[#This Row],[Cost Price]]*Sales_Data2[[#This Row],[Quantity]]</f>
        <v>528000</v>
      </c>
      <c r="N1510" s="3">
        <f>Sales_Data2[[#This Row],[Revenue]]-Sales_Data2[[#This Row],[COGS]]</f>
        <v>132000</v>
      </c>
      <c r="O15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47184|North|Abuja|Corporate|Store|Refrigerator R55|Home Appliances|220000|3|David|176000</v>
      </c>
      <c r="P1510" s="3" t="str">
        <f>IF(COUNTIF(Sales_Data2[RowKey],Sales_Data2[[#This Row],[RowKey]])&gt;1,"Duplicate","Unique")</f>
        <v>Unique</v>
      </c>
      <c r="Q1510" s="3" t="str">
        <f>IF(ISNUMBER(Sales_Data2[[#This Row],[Date]]),"OK","Check")</f>
        <v>OK</v>
      </c>
      <c r="R1510" s="3" t="str">
        <f>IF(ISNUMBER(Sales_Data2[[#This Row],[Quantity]]),"OK","Check")</f>
        <v>OK</v>
      </c>
    </row>
    <row r="1511" spans="1:18">
      <c r="A1511" s="1">
        <v>47185</v>
      </c>
      <c r="B1511" t="s">
        <v>18</v>
      </c>
      <c r="C1511" t="s">
        <v>26</v>
      </c>
      <c r="D1511" t="s">
        <v>13</v>
      </c>
      <c r="E1511" t="s">
        <v>14</v>
      </c>
      <c r="F1511" t="s">
        <v>15</v>
      </c>
      <c r="G1511" t="s">
        <v>16</v>
      </c>
      <c r="H1511">
        <v>85000</v>
      </c>
      <c r="I1511">
        <v>4</v>
      </c>
      <c r="J1511" t="s">
        <v>24</v>
      </c>
      <c r="K1511">
        <f t="shared" si="23"/>
        <v>68000</v>
      </c>
      <c r="L1511">
        <f>Sales_Data2[[#This Row],[Unit Price]]*Sales_Data2[[#This Row],[Quantity]]</f>
        <v>340000</v>
      </c>
      <c r="M1511">
        <f>Sales_Data2[[#This Row],[Cost Price]]*Sales_Data2[[#This Row],[Quantity]]</f>
        <v>272000</v>
      </c>
      <c r="N1511" s="3">
        <f>Sales_Data2[[#This Row],[Revenue]]-Sales_Data2[[#This Row],[COGS]]</f>
        <v>68000</v>
      </c>
      <c r="O15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47185|East|Kano|Retail|Online|Office Chair Pro|Furniture|85000|4|David|68000</v>
      </c>
      <c r="P1511" s="3" t="str">
        <f>IF(COUNTIF(Sales_Data2[RowKey],Sales_Data2[[#This Row],[RowKey]])&gt;1,"Duplicate","Unique")</f>
        <v>Unique</v>
      </c>
      <c r="Q1511" s="3" t="str">
        <f>IF(ISNUMBER(Sales_Data2[[#This Row],[Date]]),"OK","Check")</f>
        <v>OK</v>
      </c>
      <c r="R1511" s="3" t="str">
        <f>IF(ISNUMBER(Sales_Data2[[#This Row],[Quantity]]),"OK","Check")</f>
        <v>OK</v>
      </c>
    </row>
    <row r="1512" spans="1:18">
      <c r="A1512" s="1">
        <v>47186</v>
      </c>
      <c r="B1512" t="s">
        <v>29</v>
      </c>
      <c r="C1512" t="s">
        <v>19</v>
      </c>
      <c r="D1512" t="s">
        <v>13</v>
      </c>
      <c r="E1512" t="s">
        <v>14</v>
      </c>
      <c r="F1512" t="s">
        <v>33</v>
      </c>
      <c r="G1512" t="s">
        <v>22</v>
      </c>
      <c r="H1512">
        <v>180000</v>
      </c>
      <c r="I1512">
        <v>6</v>
      </c>
      <c r="J1512" t="s">
        <v>24</v>
      </c>
      <c r="K1512">
        <f t="shared" si="23"/>
        <v>144000</v>
      </c>
      <c r="L1512">
        <f>Sales_Data2[[#This Row],[Unit Price]]*Sales_Data2[[#This Row],[Quantity]]</f>
        <v>1080000</v>
      </c>
      <c r="M1512">
        <f>Sales_Data2[[#This Row],[Cost Price]]*Sales_Data2[[#This Row],[Quantity]]</f>
        <v>864000</v>
      </c>
      <c r="N1512" s="3">
        <f>Sales_Data2[[#This Row],[Revenue]]-Sales_Data2[[#This Row],[COGS]]</f>
        <v>216000</v>
      </c>
      <c r="O15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47186|North|Lagos|Retail|Online|Air Conditioner X2|Home Appliances|180000|6|David|144000</v>
      </c>
      <c r="P1512" s="3" t="str">
        <f>IF(COUNTIF(Sales_Data2[RowKey],Sales_Data2[[#This Row],[RowKey]])&gt;1,"Duplicate","Unique")</f>
        <v>Unique</v>
      </c>
      <c r="Q1512" s="3" t="str">
        <f>IF(ISNUMBER(Sales_Data2[[#This Row],[Date]]),"OK","Check")</f>
        <v>OK</v>
      </c>
      <c r="R1512" s="3" t="str">
        <f>IF(ISNUMBER(Sales_Data2[[#This Row],[Quantity]]),"OK","Check")</f>
        <v>OK</v>
      </c>
    </row>
    <row r="1513" spans="1:18">
      <c r="A1513" s="1">
        <v>47187</v>
      </c>
      <c r="B1513" t="s">
        <v>29</v>
      </c>
      <c r="C1513" t="s">
        <v>26</v>
      </c>
      <c r="D1513" t="s">
        <v>23</v>
      </c>
      <c r="E1513" t="s">
        <v>20</v>
      </c>
      <c r="F1513" t="s">
        <v>41</v>
      </c>
      <c r="G1513" t="s">
        <v>22</v>
      </c>
      <c r="H1513">
        <v>220000</v>
      </c>
      <c r="I1513">
        <v>8</v>
      </c>
      <c r="J1513" t="s">
        <v>17</v>
      </c>
      <c r="K1513">
        <f t="shared" si="23"/>
        <v>176000</v>
      </c>
      <c r="L1513">
        <f>Sales_Data2[[#This Row],[Unit Price]]*Sales_Data2[[#This Row],[Quantity]]</f>
        <v>1760000</v>
      </c>
      <c r="M1513">
        <f>Sales_Data2[[#This Row],[Cost Price]]*Sales_Data2[[#This Row],[Quantity]]</f>
        <v>1408000</v>
      </c>
      <c r="N1513" s="3">
        <f>Sales_Data2[[#This Row],[Revenue]]-Sales_Data2[[#This Row],[COGS]]</f>
        <v>352000</v>
      </c>
      <c r="O15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47187|North|Kano|Corporate|Store|Refrigerator R55|Home Appliances|220000|8|Chidinma|176000</v>
      </c>
      <c r="P1513" s="3" t="str">
        <f>IF(COUNTIF(Sales_Data2[RowKey],Sales_Data2[[#This Row],[RowKey]])&gt;1,"Duplicate","Unique")</f>
        <v>Unique</v>
      </c>
      <c r="Q1513" s="3" t="str">
        <f>IF(ISNUMBER(Sales_Data2[[#This Row],[Date]]),"OK","Check")</f>
        <v>OK</v>
      </c>
      <c r="R1513" s="3" t="str">
        <f>IF(ISNUMBER(Sales_Data2[[#This Row],[Quantity]]),"OK","Check")</f>
        <v>OK</v>
      </c>
    </row>
    <row r="1514" spans="1:18">
      <c r="A1514" s="1">
        <v>47188</v>
      </c>
      <c r="B1514" t="s">
        <v>25</v>
      </c>
      <c r="C1514" t="s">
        <v>19</v>
      </c>
      <c r="D1514" t="s">
        <v>13</v>
      </c>
      <c r="E1514" t="s">
        <v>20</v>
      </c>
      <c r="F1514" t="s">
        <v>36</v>
      </c>
      <c r="G1514" t="s">
        <v>31</v>
      </c>
      <c r="H1514">
        <v>150000</v>
      </c>
      <c r="I1514">
        <v>1</v>
      </c>
      <c r="J1514" t="s">
        <v>39</v>
      </c>
      <c r="K1514">
        <f t="shared" si="23"/>
        <v>120000</v>
      </c>
      <c r="L1514">
        <f>Sales_Data2[[#This Row],[Unit Price]]*Sales_Data2[[#This Row],[Quantity]]</f>
        <v>150000</v>
      </c>
      <c r="M1514">
        <f>Sales_Data2[[#This Row],[Cost Price]]*Sales_Data2[[#This Row],[Quantity]]</f>
        <v>120000</v>
      </c>
      <c r="N1514" s="3">
        <f>Sales_Data2[[#This Row],[Revenue]]-Sales_Data2[[#This Row],[COGS]]</f>
        <v>30000</v>
      </c>
      <c r="O15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47188|South|Lagos|Retail|Store|Printer P50|Electronics|150000|1|Grace|120000</v>
      </c>
      <c r="P1514" s="3" t="str">
        <f>IF(COUNTIF(Sales_Data2[RowKey],Sales_Data2[[#This Row],[RowKey]])&gt;1,"Duplicate","Unique")</f>
        <v>Unique</v>
      </c>
      <c r="Q1514" s="3" t="str">
        <f>IF(ISNUMBER(Sales_Data2[[#This Row],[Date]]),"OK","Check")</f>
        <v>OK</v>
      </c>
      <c r="R1514" s="3" t="str">
        <f>IF(ISNUMBER(Sales_Data2[[#This Row],[Quantity]]),"OK","Check")</f>
        <v>OK</v>
      </c>
    </row>
    <row r="1515" spans="1:18">
      <c r="A1515" s="1">
        <v>47189</v>
      </c>
      <c r="B1515" t="s">
        <v>29</v>
      </c>
      <c r="C1515" t="s">
        <v>26</v>
      </c>
      <c r="D1515" t="s">
        <v>23</v>
      </c>
      <c r="E1515" t="s">
        <v>14</v>
      </c>
      <c r="F1515" t="s">
        <v>33</v>
      </c>
      <c r="G1515" t="s">
        <v>22</v>
      </c>
      <c r="H1515">
        <v>180000</v>
      </c>
      <c r="I1515">
        <v>9</v>
      </c>
      <c r="J1515" t="s">
        <v>35</v>
      </c>
      <c r="K1515">
        <f t="shared" si="23"/>
        <v>144000</v>
      </c>
      <c r="L1515">
        <f>Sales_Data2[[#This Row],[Unit Price]]*Sales_Data2[[#This Row],[Quantity]]</f>
        <v>1620000</v>
      </c>
      <c r="M1515">
        <f>Sales_Data2[[#This Row],[Cost Price]]*Sales_Data2[[#This Row],[Quantity]]</f>
        <v>1296000</v>
      </c>
      <c r="N1515" s="3">
        <f>Sales_Data2[[#This Row],[Revenue]]-Sales_Data2[[#This Row],[COGS]]</f>
        <v>324000</v>
      </c>
      <c r="O15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47189|North|Kano|Corporate|Online|Air Conditioner X2|Home Appliances|180000|9|Peter|144000</v>
      </c>
      <c r="P1515" s="3" t="str">
        <f>IF(COUNTIF(Sales_Data2[RowKey],Sales_Data2[[#This Row],[RowKey]])&gt;1,"Duplicate","Unique")</f>
        <v>Unique</v>
      </c>
      <c r="Q1515" s="3" t="str">
        <f>IF(ISNUMBER(Sales_Data2[[#This Row],[Date]]),"OK","Check")</f>
        <v>OK</v>
      </c>
      <c r="R1515" s="3" t="str">
        <f>IF(ISNUMBER(Sales_Data2[[#This Row],[Quantity]]),"OK","Check")</f>
        <v>OK</v>
      </c>
    </row>
    <row r="1516" spans="1:18">
      <c r="A1516" s="1">
        <v>47190</v>
      </c>
      <c r="B1516" t="s">
        <v>29</v>
      </c>
      <c r="C1516" t="s">
        <v>26</v>
      </c>
      <c r="D1516" t="s">
        <v>23</v>
      </c>
      <c r="E1516" t="s">
        <v>20</v>
      </c>
      <c r="F1516" t="s">
        <v>38</v>
      </c>
      <c r="G1516" t="s">
        <v>31</v>
      </c>
      <c r="H1516">
        <v>420000</v>
      </c>
      <c r="I1516">
        <v>10</v>
      </c>
      <c r="J1516" t="s">
        <v>17</v>
      </c>
      <c r="K1516">
        <f t="shared" si="23"/>
        <v>336000</v>
      </c>
      <c r="L1516">
        <f>Sales_Data2[[#This Row],[Unit Price]]*Sales_Data2[[#This Row],[Quantity]]</f>
        <v>4200000</v>
      </c>
      <c r="M1516">
        <f>Sales_Data2[[#This Row],[Cost Price]]*Sales_Data2[[#This Row],[Quantity]]</f>
        <v>3360000</v>
      </c>
      <c r="N1516" s="3">
        <f>Sales_Data2[[#This Row],[Revenue]]-Sales_Data2[[#This Row],[COGS]]</f>
        <v>840000</v>
      </c>
      <c r="O15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47190|North|Kano|Corporate|Store|Laptop A13|Electronics|420000|10|Chidinma|336000</v>
      </c>
      <c r="P1516" s="3" t="str">
        <f>IF(COUNTIF(Sales_Data2[RowKey],Sales_Data2[[#This Row],[RowKey]])&gt;1,"Duplicate","Unique")</f>
        <v>Unique</v>
      </c>
      <c r="Q1516" s="3" t="str">
        <f>IF(ISNUMBER(Sales_Data2[[#This Row],[Date]]),"OK","Check")</f>
        <v>OK</v>
      </c>
      <c r="R1516" s="3" t="str">
        <f>IF(ISNUMBER(Sales_Data2[[#This Row],[Quantity]]),"OK","Check")</f>
        <v>OK</v>
      </c>
    </row>
    <row r="1517" spans="1:18">
      <c r="A1517" s="1">
        <v>47191</v>
      </c>
      <c r="B1517" t="s">
        <v>11</v>
      </c>
      <c r="C1517" t="s">
        <v>32</v>
      </c>
      <c r="D1517" t="s">
        <v>13</v>
      </c>
      <c r="E1517" t="s">
        <v>14</v>
      </c>
      <c r="F1517" t="s">
        <v>40</v>
      </c>
      <c r="G1517" t="s">
        <v>31</v>
      </c>
      <c r="H1517">
        <v>250000</v>
      </c>
      <c r="I1517">
        <v>10</v>
      </c>
      <c r="J1517" t="s">
        <v>17</v>
      </c>
      <c r="K1517">
        <f t="shared" si="23"/>
        <v>200000</v>
      </c>
      <c r="L1517">
        <f>Sales_Data2[[#This Row],[Unit Price]]*Sales_Data2[[#This Row],[Quantity]]</f>
        <v>2500000</v>
      </c>
      <c r="M1517">
        <f>Sales_Data2[[#This Row],[Cost Price]]*Sales_Data2[[#This Row],[Quantity]]</f>
        <v>2000000</v>
      </c>
      <c r="N1517" s="3">
        <f>Sales_Data2[[#This Row],[Revenue]]-Sales_Data2[[#This Row],[COGS]]</f>
        <v>500000</v>
      </c>
      <c r="O15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47191|West|Abuja|Retail|Online|Smartphone Z10|Electronics|250000|10|Chidinma|200000</v>
      </c>
      <c r="P1517" s="3" t="str">
        <f>IF(COUNTIF(Sales_Data2[RowKey],Sales_Data2[[#This Row],[RowKey]])&gt;1,"Duplicate","Unique")</f>
        <v>Unique</v>
      </c>
      <c r="Q1517" s="3" t="str">
        <f>IF(ISNUMBER(Sales_Data2[[#This Row],[Date]]),"OK","Check")</f>
        <v>OK</v>
      </c>
      <c r="R1517" s="3" t="str">
        <f>IF(ISNUMBER(Sales_Data2[[#This Row],[Quantity]]),"OK","Check")</f>
        <v>OK</v>
      </c>
    </row>
    <row r="1518" spans="1:18">
      <c r="A1518" s="1">
        <v>47192</v>
      </c>
      <c r="B1518" t="s">
        <v>18</v>
      </c>
      <c r="C1518" t="s">
        <v>26</v>
      </c>
      <c r="D1518" t="s">
        <v>13</v>
      </c>
      <c r="E1518" t="s">
        <v>20</v>
      </c>
      <c r="F1518" t="s">
        <v>41</v>
      </c>
      <c r="G1518" t="s">
        <v>22</v>
      </c>
      <c r="H1518">
        <v>220000</v>
      </c>
      <c r="I1518">
        <v>3</v>
      </c>
      <c r="J1518" t="s">
        <v>24</v>
      </c>
      <c r="K1518">
        <f t="shared" si="23"/>
        <v>176000</v>
      </c>
      <c r="L1518">
        <f>Sales_Data2[[#This Row],[Unit Price]]*Sales_Data2[[#This Row],[Quantity]]</f>
        <v>660000</v>
      </c>
      <c r="M1518">
        <f>Sales_Data2[[#This Row],[Cost Price]]*Sales_Data2[[#This Row],[Quantity]]</f>
        <v>528000</v>
      </c>
      <c r="N1518" s="3">
        <f>Sales_Data2[[#This Row],[Revenue]]-Sales_Data2[[#This Row],[COGS]]</f>
        <v>132000</v>
      </c>
      <c r="O15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47192|East|Kano|Retail|Store|Refrigerator R55|Home Appliances|220000|3|David|176000</v>
      </c>
      <c r="P1518" s="3" t="str">
        <f>IF(COUNTIF(Sales_Data2[RowKey],Sales_Data2[[#This Row],[RowKey]])&gt;1,"Duplicate","Unique")</f>
        <v>Unique</v>
      </c>
      <c r="Q1518" s="3" t="str">
        <f>IF(ISNUMBER(Sales_Data2[[#This Row],[Date]]),"OK","Check")</f>
        <v>OK</v>
      </c>
      <c r="R1518" s="3" t="str">
        <f>IF(ISNUMBER(Sales_Data2[[#This Row],[Quantity]]),"OK","Check")</f>
        <v>OK</v>
      </c>
    </row>
    <row r="1519" spans="1:18">
      <c r="A1519" s="1">
        <v>47193</v>
      </c>
      <c r="B1519" t="s">
        <v>29</v>
      </c>
      <c r="C1519" t="s">
        <v>32</v>
      </c>
      <c r="D1519" t="s">
        <v>13</v>
      </c>
      <c r="E1519" t="s">
        <v>14</v>
      </c>
      <c r="F1519" t="s">
        <v>21</v>
      </c>
      <c r="G1519" t="s">
        <v>22</v>
      </c>
      <c r="H1519">
        <v>30000</v>
      </c>
      <c r="I1519">
        <v>4</v>
      </c>
      <c r="J1519" t="s">
        <v>35</v>
      </c>
      <c r="K1519">
        <f t="shared" si="23"/>
        <v>24000</v>
      </c>
      <c r="L1519">
        <f>Sales_Data2[[#This Row],[Unit Price]]*Sales_Data2[[#This Row],[Quantity]]</f>
        <v>120000</v>
      </c>
      <c r="M1519">
        <f>Sales_Data2[[#This Row],[Cost Price]]*Sales_Data2[[#This Row],[Quantity]]</f>
        <v>96000</v>
      </c>
      <c r="N1519" s="3">
        <f>Sales_Data2[[#This Row],[Revenue]]-Sales_Data2[[#This Row],[COGS]]</f>
        <v>24000</v>
      </c>
      <c r="O15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47193|North|Abuja|Retail|Online|Blender B10|Home Appliances|30000|4|Peter|24000</v>
      </c>
      <c r="P1519" s="3" t="str">
        <f>IF(COUNTIF(Sales_Data2[RowKey],Sales_Data2[[#This Row],[RowKey]])&gt;1,"Duplicate","Unique")</f>
        <v>Unique</v>
      </c>
      <c r="Q1519" s="3" t="str">
        <f>IF(ISNUMBER(Sales_Data2[[#This Row],[Date]]),"OK","Check")</f>
        <v>OK</v>
      </c>
      <c r="R1519" s="3" t="str">
        <f>IF(ISNUMBER(Sales_Data2[[#This Row],[Quantity]]),"OK","Check")</f>
        <v>OK</v>
      </c>
    </row>
    <row r="1520" spans="1:18">
      <c r="A1520" s="1">
        <v>47194</v>
      </c>
      <c r="B1520" t="s">
        <v>18</v>
      </c>
      <c r="C1520" t="s">
        <v>32</v>
      </c>
      <c r="D1520" t="s">
        <v>13</v>
      </c>
      <c r="E1520" t="s">
        <v>20</v>
      </c>
      <c r="F1520" t="s">
        <v>33</v>
      </c>
      <c r="G1520" t="s">
        <v>22</v>
      </c>
      <c r="H1520">
        <v>180000</v>
      </c>
      <c r="I1520">
        <v>9</v>
      </c>
      <c r="J1520" t="s">
        <v>35</v>
      </c>
      <c r="K1520">
        <f t="shared" si="23"/>
        <v>144000</v>
      </c>
      <c r="L1520">
        <f>Sales_Data2[[#This Row],[Unit Price]]*Sales_Data2[[#This Row],[Quantity]]</f>
        <v>1620000</v>
      </c>
      <c r="M1520">
        <f>Sales_Data2[[#This Row],[Cost Price]]*Sales_Data2[[#This Row],[Quantity]]</f>
        <v>1296000</v>
      </c>
      <c r="N1520" s="3">
        <f>Sales_Data2[[#This Row],[Revenue]]-Sales_Data2[[#This Row],[COGS]]</f>
        <v>324000</v>
      </c>
      <c r="O15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47194|East|Abuja|Retail|Store|Air Conditioner X2|Home Appliances|180000|9|Peter|144000</v>
      </c>
      <c r="P1520" s="3" t="str">
        <f>IF(COUNTIF(Sales_Data2[RowKey],Sales_Data2[[#This Row],[RowKey]])&gt;1,"Duplicate","Unique")</f>
        <v>Unique</v>
      </c>
      <c r="Q1520" s="3" t="str">
        <f>IF(ISNUMBER(Sales_Data2[[#This Row],[Date]]),"OK","Check")</f>
        <v>OK</v>
      </c>
      <c r="R1520" s="3" t="str">
        <f>IF(ISNUMBER(Sales_Data2[[#This Row],[Quantity]]),"OK","Check")</f>
        <v>OK</v>
      </c>
    </row>
    <row r="1521" spans="1:18">
      <c r="A1521" s="1">
        <v>47195</v>
      </c>
      <c r="B1521" t="s">
        <v>11</v>
      </c>
      <c r="C1521" t="s">
        <v>26</v>
      </c>
      <c r="D1521" t="s">
        <v>13</v>
      </c>
      <c r="E1521" t="s">
        <v>20</v>
      </c>
      <c r="F1521" t="s">
        <v>33</v>
      </c>
      <c r="G1521" t="s">
        <v>22</v>
      </c>
      <c r="H1521">
        <v>180000</v>
      </c>
      <c r="I1521">
        <v>7</v>
      </c>
      <c r="J1521" t="s">
        <v>35</v>
      </c>
      <c r="K1521">
        <f t="shared" si="23"/>
        <v>144000</v>
      </c>
      <c r="L1521">
        <f>Sales_Data2[[#This Row],[Unit Price]]*Sales_Data2[[#This Row],[Quantity]]</f>
        <v>1260000</v>
      </c>
      <c r="M1521">
        <f>Sales_Data2[[#This Row],[Cost Price]]*Sales_Data2[[#This Row],[Quantity]]</f>
        <v>1008000</v>
      </c>
      <c r="N1521" s="3">
        <f>Sales_Data2[[#This Row],[Revenue]]-Sales_Data2[[#This Row],[COGS]]</f>
        <v>252000</v>
      </c>
      <c r="O15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47195|West|Kano|Retail|Store|Air Conditioner X2|Home Appliances|180000|7|Peter|144000</v>
      </c>
      <c r="P1521" s="3" t="str">
        <f>IF(COUNTIF(Sales_Data2[RowKey],Sales_Data2[[#This Row],[RowKey]])&gt;1,"Duplicate","Unique")</f>
        <v>Unique</v>
      </c>
      <c r="Q1521" s="3" t="str">
        <f>IF(ISNUMBER(Sales_Data2[[#This Row],[Date]]),"OK","Check")</f>
        <v>OK</v>
      </c>
      <c r="R1521" s="3" t="str">
        <f>IF(ISNUMBER(Sales_Data2[[#This Row],[Quantity]]),"OK","Check")</f>
        <v>OK</v>
      </c>
    </row>
    <row r="1522" spans="1:18">
      <c r="A1522" s="1">
        <v>47196</v>
      </c>
      <c r="B1522" t="s">
        <v>18</v>
      </c>
      <c r="C1522" t="s">
        <v>12</v>
      </c>
      <c r="D1522" t="s">
        <v>23</v>
      </c>
      <c r="E1522" t="s">
        <v>20</v>
      </c>
      <c r="F1522" t="s">
        <v>36</v>
      </c>
      <c r="G1522" t="s">
        <v>31</v>
      </c>
      <c r="H1522">
        <v>150000</v>
      </c>
      <c r="I1522">
        <v>7</v>
      </c>
      <c r="J1522" t="s">
        <v>17</v>
      </c>
      <c r="K1522">
        <f t="shared" si="23"/>
        <v>120000</v>
      </c>
      <c r="L1522">
        <f>Sales_Data2[[#This Row],[Unit Price]]*Sales_Data2[[#This Row],[Quantity]]</f>
        <v>1050000</v>
      </c>
      <c r="M1522">
        <f>Sales_Data2[[#This Row],[Cost Price]]*Sales_Data2[[#This Row],[Quantity]]</f>
        <v>840000</v>
      </c>
      <c r="N1522" s="3">
        <f>Sales_Data2[[#This Row],[Revenue]]-Sales_Data2[[#This Row],[COGS]]</f>
        <v>210000</v>
      </c>
      <c r="O15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47196|East|Port Harcourt|Corporate|Store|Printer P50|Electronics|150000|7|Chidinma|120000</v>
      </c>
      <c r="P1522" s="3" t="str">
        <f>IF(COUNTIF(Sales_Data2[RowKey],Sales_Data2[[#This Row],[RowKey]])&gt;1,"Duplicate","Unique")</f>
        <v>Unique</v>
      </c>
      <c r="Q1522" s="3" t="str">
        <f>IF(ISNUMBER(Sales_Data2[[#This Row],[Date]]),"OK","Check")</f>
        <v>OK</v>
      </c>
      <c r="R1522" s="3" t="str">
        <f>IF(ISNUMBER(Sales_Data2[[#This Row],[Quantity]]),"OK","Check")</f>
        <v>OK</v>
      </c>
    </row>
    <row r="1523" spans="1:18">
      <c r="A1523" s="1">
        <v>47197</v>
      </c>
      <c r="B1523" t="s">
        <v>18</v>
      </c>
      <c r="C1523" t="s">
        <v>32</v>
      </c>
      <c r="D1523" t="s">
        <v>13</v>
      </c>
      <c r="E1523" t="s">
        <v>14</v>
      </c>
      <c r="F1523" t="s">
        <v>21</v>
      </c>
      <c r="G1523" t="s">
        <v>22</v>
      </c>
      <c r="H1523">
        <v>30000</v>
      </c>
      <c r="I1523">
        <v>4</v>
      </c>
      <c r="J1523" t="s">
        <v>28</v>
      </c>
      <c r="K1523">
        <f t="shared" si="23"/>
        <v>24000</v>
      </c>
      <c r="L1523">
        <f>Sales_Data2[[#This Row],[Unit Price]]*Sales_Data2[[#This Row],[Quantity]]</f>
        <v>120000</v>
      </c>
      <c r="M1523">
        <f>Sales_Data2[[#This Row],[Cost Price]]*Sales_Data2[[#This Row],[Quantity]]</f>
        <v>96000</v>
      </c>
      <c r="N1523" s="3">
        <f>Sales_Data2[[#This Row],[Revenue]]-Sales_Data2[[#This Row],[COGS]]</f>
        <v>24000</v>
      </c>
      <c r="O15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47197|East|Abuja|Retail|Online|Blender B10|Home Appliances|30000|4|Musa|24000</v>
      </c>
      <c r="P1523" s="3" t="str">
        <f>IF(COUNTIF(Sales_Data2[RowKey],Sales_Data2[[#This Row],[RowKey]])&gt;1,"Duplicate","Unique")</f>
        <v>Unique</v>
      </c>
      <c r="Q1523" s="3" t="str">
        <f>IF(ISNUMBER(Sales_Data2[[#This Row],[Date]]),"OK","Check")</f>
        <v>OK</v>
      </c>
      <c r="R1523" s="3" t="str">
        <f>IF(ISNUMBER(Sales_Data2[[#This Row],[Quantity]]),"OK","Check")</f>
        <v>OK</v>
      </c>
    </row>
    <row r="1524" spans="1:18">
      <c r="A1524" s="1">
        <v>47198</v>
      </c>
      <c r="B1524" t="s">
        <v>18</v>
      </c>
      <c r="C1524" t="s">
        <v>19</v>
      </c>
      <c r="D1524" t="s">
        <v>13</v>
      </c>
      <c r="E1524" t="s">
        <v>14</v>
      </c>
      <c r="F1524" t="s">
        <v>34</v>
      </c>
      <c r="G1524" t="s">
        <v>16</v>
      </c>
      <c r="H1524">
        <v>320000</v>
      </c>
      <c r="I1524">
        <v>2</v>
      </c>
      <c r="J1524" t="s">
        <v>35</v>
      </c>
      <c r="K1524">
        <f t="shared" si="23"/>
        <v>256000</v>
      </c>
      <c r="L1524">
        <f>Sales_Data2[[#This Row],[Unit Price]]*Sales_Data2[[#This Row],[Quantity]]</f>
        <v>640000</v>
      </c>
      <c r="M1524">
        <f>Sales_Data2[[#This Row],[Cost Price]]*Sales_Data2[[#This Row],[Quantity]]</f>
        <v>512000</v>
      </c>
      <c r="N1524" s="3">
        <f>Sales_Data2[[#This Row],[Revenue]]-Sales_Data2[[#This Row],[COGS]]</f>
        <v>128000</v>
      </c>
      <c r="O15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47198|East|Lagos|Retail|Online|Sofa Classic|Furniture|320000|2|Peter|256000</v>
      </c>
      <c r="P1524" s="3" t="str">
        <f>IF(COUNTIF(Sales_Data2[RowKey],Sales_Data2[[#This Row],[RowKey]])&gt;1,"Duplicate","Unique")</f>
        <v>Unique</v>
      </c>
      <c r="Q1524" s="3" t="str">
        <f>IF(ISNUMBER(Sales_Data2[[#This Row],[Date]]),"OK","Check")</f>
        <v>OK</v>
      </c>
      <c r="R1524" s="3" t="str">
        <f>IF(ISNUMBER(Sales_Data2[[#This Row],[Quantity]]),"OK","Check")</f>
        <v>OK</v>
      </c>
    </row>
    <row r="1525" spans="1:18">
      <c r="A1525" s="1">
        <v>47199</v>
      </c>
      <c r="B1525" t="s">
        <v>18</v>
      </c>
      <c r="C1525" t="s">
        <v>19</v>
      </c>
      <c r="D1525" t="s">
        <v>23</v>
      </c>
      <c r="E1525" t="s">
        <v>20</v>
      </c>
      <c r="F1525" t="s">
        <v>34</v>
      </c>
      <c r="G1525" t="s">
        <v>16</v>
      </c>
      <c r="H1525">
        <v>320000</v>
      </c>
      <c r="I1525">
        <v>6</v>
      </c>
      <c r="J1525" t="s">
        <v>37</v>
      </c>
      <c r="K1525">
        <f t="shared" si="23"/>
        <v>256000</v>
      </c>
      <c r="L1525">
        <f>Sales_Data2[[#This Row],[Unit Price]]*Sales_Data2[[#This Row],[Quantity]]</f>
        <v>1920000</v>
      </c>
      <c r="M1525">
        <f>Sales_Data2[[#This Row],[Cost Price]]*Sales_Data2[[#This Row],[Quantity]]</f>
        <v>1536000</v>
      </c>
      <c r="N1525" s="3">
        <f>Sales_Data2[[#This Row],[Revenue]]-Sales_Data2[[#This Row],[COGS]]</f>
        <v>384000</v>
      </c>
      <c r="O15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47199|East|Lagos|Corporate|Store|Sofa Classic|Furniture|320000|6|Aisha|256000</v>
      </c>
      <c r="P1525" s="3" t="str">
        <f>IF(COUNTIF(Sales_Data2[RowKey],Sales_Data2[[#This Row],[RowKey]])&gt;1,"Duplicate","Unique")</f>
        <v>Unique</v>
      </c>
      <c r="Q1525" s="3" t="str">
        <f>IF(ISNUMBER(Sales_Data2[[#This Row],[Date]]),"OK","Check")</f>
        <v>OK</v>
      </c>
      <c r="R1525" s="3" t="str">
        <f>IF(ISNUMBER(Sales_Data2[[#This Row],[Quantity]]),"OK","Check")</f>
        <v>OK</v>
      </c>
    </row>
    <row r="1526" spans="1:18">
      <c r="A1526" s="1">
        <v>47200</v>
      </c>
      <c r="B1526" t="s">
        <v>18</v>
      </c>
      <c r="C1526" t="s">
        <v>26</v>
      </c>
      <c r="D1526" t="s">
        <v>23</v>
      </c>
      <c r="E1526" t="s">
        <v>20</v>
      </c>
      <c r="F1526" t="s">
        <v>38</v>
      </c>
      <c r="G1526" t="s">
        <v>31</v>
      </c>
      <c r="H1526">
        <v>420000</v>
      </c>
      <c r="I1526">
        <v>10</v>
      </c>
      <c r="J1526" t="s">
        <v>24</v>
      </c>
      <c r="K1526">
        <f t="shared" si="23"/>
        <v>336000</v>
      </c>
      <c r="L1526">
        <f>Sales_Data2[[#This Row],[Unit Price]]*Sales_Data2[[#This Row],[Quantity]]</f>
        <v>4200000</v>
      </c>
      <c r="M1526">
        <f>Sales_Data2[[#This Row],[Cost Price]]*Sales_Data2[[#This Row],[Quantity]]</f>
        <v>3360000</v>
      </c>
      <c r="N1526" s="3">
        <f>Sales_Data2[[#This Row],[Revenue]]-Sales_Data2[[#This Row],[COGS]]</f>
        <v>840000</v>
      </c>
      <c r="O15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47200|East|Kano|Corporate|Store|Laptop A13|Electronics|420000|10|David|336000</v>
      </c>
      <c r="P1526" s="3" t="str">
        <f>IF(COUNTIF(Sales_Data2[RowKey],Sales_Data2[[#This Row],[RowKey]])&gt;1,"Duplicate","Unique")</f>
        <v>Unique</v>
      </c>
      <c r="Q1526" s="3" t="str">
        <f>IF(ISNUMBER(Sales_Data2[[#This Row],[Date]]),"OK","Check")</f>
        <v>OK</v>
      </c>
      <c r="R1526" s="3" t="str">
        <f>IF(ISNUMBER(Sales_Data2[[#This Row],[Quantity]]),"OK","Check")</f>
        <v>OK</v>
      </c>
    </row>
    <row r="1527" spans="1:18">
      <c r="A1527" s="1">
        <v>47201</v>
      </c>
      <c r="B1527" t="s">
        <v>25</v>
      </c>
      <c r="C1527" t="s">
        <v>32</v>
      </c>
      <c r="D1527" t="s">
        <v>13</v>
      </c>
      <c r="E1527" t="s">
        <v>14</v>
      </c>
      <c r="F1527" t="s">
        <v>41</v>
      </c>
      <c r="G1527" t="s">
        <v>22</v>
      </c>
      <c r="H1527">
        <v>220000</v>
      </c>
      <c r="I1527">
        <v>8</v>
      </c>
      <c r="J1527" t="s">
        <v>17</v>
      </c>
      <c r="K1527">
        <f t="shared" si="23"/>
        <v>176000</v>
      </c>
      <c r="L1527">
        <f>Sales_Data2[[#This Row],[Unit Price]]*Sales_Data2[[#This Row],[Quantity]]</f>
        <v>1760000</v>
      </c>
      <c r="M1527">
        <f>Sales_Data2[[#This Row],[Cost Price]]*Sales_Data2[[#This Row],[Quantity]]</f>
        <v>1408000</v>
      </c>
      <c r="N1527" s="3">
        <f>Sales_Data2[[#This Row],[Revenue]]-Sales_Data2[[#This Row],[COGS]]</f>
        <v>352000</v>
      </c>
      <c r="O15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47201|South|Abuja|Retail|Online|Refrigerator R55|Home Appliances|220000|8|Chidinma|176000</v>
      </c>
      <c r="P1527" s="3" t="str">
        <f>IF(COUNTIF(Sales_Data2[RowKey],Sales_Data2[[#This Row],[RowKey]])&gt;1,"Duplicate","Unique")</f>
        <v>Unique</v>
      </c>
      <c r="Q1527" s="3" t="str">
        <f>IF(ISNUMBER(Sales_Data2[[#This Row],[Date]]),"OK","Check")</f>
        <v>OK</v>
      </c>
      <c r="R1527" s="3" t="str">
        <f>IF(ISNUMBER(Sales_Data2[[#This Row],[Quantity]]),"OK","Check")</f>
        <v>OK</v>
      </c>
    </row>
    <row r="1528" spans="1:18">
      <c r="A1528" s="1">
        <v>47202</v>
      </c>
      <c r="B1528" t="s">
        <v>18</v>
      </c>
      <c r="C1528" t="s">
        <v>12</v>
      </c>
      <c r="D1528" t="s">
        <v>13</v>
      </c>
      <c r="E1528" t="s">
        <v>14</v>
      </c>
      <c r="F1528" t="s">
        <v>30</v>
      </c>
      <c r="G1528" t="s">
        <v>31</v>
      </c>
      <c r="H1528">
        <v>300000</v>
      </c>
      <c r="I1528">
        <v>10</v>
      </c>
      <c r="J1528" t="s">
        <v>17</v>
      </c>
      <c r="K1528">
        <f t="shared" si="23"/>
        <v>240000</v>
      </c>
      <c r="L1528">
        <f>Sales_Data2[[#This Row],[Unit Price]]*Sales_Data2[[#This Row],[Quantity]]</f>
        <v>3000000</v>
      </c>
      <c r="M1528">
        <f>Sales_Data2[[#This Row],[Cost Price]]*Sales_Data2[[#This Row],[Quantity]]</f>
        <v>2400000</v>
      </c>
      <c r="N1528" s="3">
        <f>Sales_Data2[[#This Row],[Revenue]]-Sales_Data2[[#This Row],[COGS]]</f>
        <v>600000</v>
      </c>
      <c r="O15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47202|East|Port Harcourt|Retail|Online|Desktop PC D21|Electronics|300000|10|Chidinma|240000</v>
      </c>
      <c r="P1528" s="3" t="str">
        <f>IF(COUNTIF(Sales_Data2[RowKey],Sales_Data2[[#This Row],[RowKey]])&gt;1,"Duplicate","Unique")</f>
        <v>Unique</v>
      </c>
      <c r="Q1528" s="3" t="str">
        <f>IF(ISNUMBER(Sales_Data2[[#This Row],[Date]]),"OK","Check")</f>
        <v>OK</v>
      </c>
      <c r="R1528" s="3" t="str">
        <f>IF(ISNUMBER(Sales_Data2[[#This Row],[Quantity]]),"OK","Check")</f>
        <v>OK</v>
      </c>
    </row>
    <row r="1529" spans="1:18">
      <c r="A1529" s="1">
        <v>47203</v>
      </c>
      <c r="B1529" t="s">
        <v>25</v>
      </c>
      <c r="C1529" t="s">
        <v>32</v>
      </c>
      <c r="D1529" t="s">
        <v>23</v>
      </c>
      <c r="E1529" t="s">
        <v>20</v>
      </c>
      <c r="F1529" t="s">
        <v>30</v>
      </c>
      <c r="G1529" t="s">
        <v>31</v>
      </c>
      <c r="H1529">
        <v>300000</v>
      </c>
      <c r="I1529">
        <v>3</v>
      </c>
      <c r="J1529" t="s">
        <v>28</v>
      </c>
      <c r="K1529">
        <f t="shared" si="23"/>
        <v>240000</v>
      </c>
      <c r="L1529">
        <f>Sales_Data2[[#This Row],[Unit Price]]*Sales_Data2[[#This Row],[Quantity]]</f>
        <v>900000</v>
      </c>
      <c r="M1529">
        <f>Sales_Data2[[#This Row],[Cost Price]]*Sales_Data2[[#This Row],[Quantity]]</f>
        <v>720000</v>
      </c>
      <c r="N1529" s="3">
        <f>Sales_Data2[[#This Row],[Revenue]]-Sales_Data2[[#This Row],[COGS]]</f>
        <v>180000</v>
      </c>
      <c r="O15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47203|South|Abuja|Corporate|Store|Desktop PC D21|Electronics|300000|3|Musa|240000</v>
      </c>
      <c r="P1529" s="3" t="str">
        <f>IF(COUNTIF(Sales_Data2[RowKey],Sales_Data2[[#This Row],[RowKey]])&gt;1,"Duplicate","Unique")</f>
        <v>Unique</v>
      </c>
      <c r="Q1529" s="3" t="str">
        <f>IF(ISNUMBER(Sales_Data2[[#This Row],[Date]]),"OK","Check")</f>
        <v>OK</v>
      </c>
      <c r="R1529" s="3" t="str">
        <f>IF(ISNUMBER(Sales_Data2[[#This Row],[Quantity]]),"OK","Check")</f>
        <v>OK</v>
      </c>
    </row>
    <row r="1530" spans="1:18">
      <c r="A1530" s="1">
        <v>47204</v>
      </c>
      <c r="B1530" t="s">
        <v>29</v>
      </c>
      <c r="C1530" t="s">
        <v>12</v>
      </c>
      <c r="D1530" t="s">
        <v>13</v>
      </c>
      <c r="E1530" t="s">
        <v>14</v>
      </c>
      <c r="F1530" t="s">
        <v>34</v>
      </c>
      <c r="G1530" t="s">
        <v>16</v>
      </c>
      <c r="H1530">
        <v>320000</v>
      </c>
      <c r="I1530">
        <v>5</v>
      </c>
      <c r="J1530" t="s">
        <v>37</v>
      </c>
      <c r="K1530">
        <f t="shared" si="23"/>
        <v>256000</v>
      </c>
      <c r="L1530">
        <f>Sales_Data2[[#This Row],[Unit Price]]*Sales_Data2[[#This Row],[Quantity]]</f>
        <v>1600000</v>
      </c>
      <c r="M1530">
        <f>Sales_Data2[[#This Row],[Cost Price]]*Sales_Data2[[#This Row],[Quantity]]</f>
        <v>1280000</v>
      </c>
      <c r="N1530" s="3">
        <f>Sales_Data2[[#This Row],[Revenue]]-Sales_Data2[[#This Row],[COGS]]</f>
        <v>320000</v>
      </c>
      <c r="O15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47204|North|Port Harcourt|Retail|Online|Sofa Classic|Furniture|320000|5|Aisha|256000</v>
      </c>
      <c r="P1530" s="3" t="str">
        <f>IF(COUNTIF(Sales_Data2[RowKey],Sales_Data2[[#This Row],[RowKey]])&gt;1,"Duplicate","Unique")</f>
        <v>Unique</v>
      </c>
      <c r="Q1530" s="3" t="str">
        <f>IF(ISNUMBER(Sales_Data2[[#This Row],[Date]]),"OK","Check")</f>
        <v>OK</v>
      </c>
      <c r="R1530" s="3" t="str">
        <f>IF(ISNUMBER(Sales_Data2[[#This Row],[Quantity]]),"OK","Check")</f>
        <v>OK</v>
      </c>
    </row>
    <row r="1531" spans="1:18">
      <c r="A1531" s="1">
        <v>47205</v>
      </c>
      <c r="B1531" t="s">
        <v>18</v>
      </c>
      <c r="C1531" t="s">
        <v>32</v>
      </c>
      <c r="D1531" t="s">
        <v>13</v>
      </c>
      <c r="E1531" t="s">
        <v>14</v>
      </c>
      <c r="F1531" t="s">
        <v>15</v>
      </c>
      <c r="G1531" t="s">
        <v>16</v>
      </c>
      <c r="H1531">
        <v>85000</v>
      </c>
      <c r="I1531">
        <v>7</v>
      </c>
      <c r="J1531" t="s">
        <v>17</v>
      </c>
      <c r="K1531">
        <f t="shared" si="23"/>
        <v>68000</v>
      </c>
      <c r="L1531">
        <f>Sales_Data2[[#This Row],[Unit Price]]*Sales_Data2[[#This Row],[Quantity]]</f>
        <v>595000</v>
      </c>
      <c r="M1531">
        <f>Sales_Data2[[#This Row],[Cost Price]]*Sales_Data2[[#This Row],[Quantity]]</f>
        <v>476000</v>
      </c>
      <c r="N1531" s="3">
        <f>Sales_Data2[[#This Row],[Revenue]]-Sales_Data2[[#This Row],[COGS]]</f>
        <v>119000</v>
      </c>
      <c r="O15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47205|East|Abuja|Retail|Online|Office Chair Pro|Furniture|85000|7|Chidinma|68000</v>
      </c>
      <c r="P1531" s="3" t="str">
        <f>IF(COUNTIF(Sales_Data2[RowKey],Sales_Data2[[#This Row],[RowKey]])&gt;1,"Duplicate","Unique")</f>
        <v>Unique</v>
      </c>
      <c r="Q1531" s="3" t="str">
        <f>IF(ISNUMBER(Sales_Data2[[#This Row],[Date]]),"OK","Check")</f>
        <v>OK</v>
      </c>
      <c r="R1531" s="3" t="str">
        <f>IF(ISNUMBER(Sales_Data2[[#This Row],[Quantity]]),"OK","Check")</f>
        <v>OK</v>
      </c>
    </row>
    <row r="1532" spans="1:18">
      <c r="A1532" s="1">
        <v>47206</v>
      </c>
      <c r="B1532" t="s">
        <v>11</v>
      </c>
      <c r="C1532" t="s">
        <v>26</v>
      </c>
      <c r="D1532" t="s">
        <v>13</v>
      </c>
      <c r="E1532" t="s">
        <v>20</v>
      </c>
      <c r="F1532" t="s">
        <v>41</v>
      </c>
      <c r="G1532" t="s">
        <v>22</v>
      </c>
      <c r="H1532">
        <v>220000</v>
      </c>
      <c r="I1532">
        <v>2</v>
      </c>
      <c r="J1532" t="s">
        <v>37</v>
      </c>
      <c r="K1532">
        <f t="shared" si="23"/>
        <v>176000</v>
      </c>
      <c r="L1532">
        <f>Sales_Data2[[#This Row],[Unit Price]]*Sales_Data2[[#This Row],[Quantity]]</f>
        <v>440000</v>
      </c>
      <c r="M1532">
        <f>Sales_Data2[[#This Row],[Cost Price]]*Sales_Data2[[#This Row],[Quantity]]</f>
        <v>352000</v>
      </c>
      <c r="N1532" s="3">
        <f>Sales_Data2[[#This Row],[Revenue]]-Sales_Data2[[#This Row],[COGS]]</f>
        <v>88000</v>
      </c>
      <c r="O15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47206|West|Kano|Retail|Store|Refrigerator R55|Home Appliances|220000|2|Aisha|176000</v>
      </c>
      <c r="P1532" s="3" t="str">
        <f>IF(COUNTIF(Sales_Data2[RowKey],Sales_Data2[[#This Row],[RowKey]])&gt;1,"Duplicate","Unique")</f>
        <v>Unique</v>
      </c>
      <c r="Q1532" s="3" t="str">
        <f>IF(ISNUMBER(Sales_Data2[[#This Row],[Date]]),"OK","Check")</f>
        <v>OK</v>
      </c>
      <c r="R1532" s="3" t="str">
        <f>IF(ISNUMBER(Sales_Data2[[#This Row],[Quantity]]),"OK","Check")</f>
        <v>OK</v>
      </c>
    </row>
    <row r="1533" spans="1:18">
      <c r="A1533" s="1">
        <v>47207</v>
      </c>
      <c r="B1533" t="s">
        <v>29</v>
      </c>
      <c r="C1533" t="s">
        <v>32</v>
      </c>
      <c r="D1533" t="s">
        <v>13</v>
      </c>
      <c r="E1533" t="s">
        <v>20</v>
      </c>
      <c r="F1533" t="s">
        <v>30</v>
      </c>
      <c r="G1533" t="s">
        <v>31</v>
      </c>
      <c r="H1533">
        <v>300000</v>
      </c>
      <c r="I1533">
        <v>2</v>
      </c>
      <c r="J1533" t="s">
        <v>28</v>
      </c>
      <c r="K1533">
        <f t="shared" si="23"/>
        <v>240000</v>
      </c>
      <c r="L1533">
        <f>Sales_Data2[[#This Row],[Unit Price]]*Sales_Data2[[#This Row],[Quantity]]</f>
        <v>600000</v>
      </c>
      <c r="M1533">
        <f>Sales_Data2[[#This Row],[Cost Price]]*Sales_Data2[[#This Row],[Quantity]]</f>
        <v>480000</v>
      </c>
      <c r="N1533" s="3">
        <f>Sales_Data2[[#This Row],[Revenue]]-Sales_Data2[[#This Row],[COGS]]</f>
        <v>120000</v>
      </c>
      <c r="O15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47207|North|Abuja|Retail|Store|Desktop PC D21|Electronics|300000|2|Musa|240000</v>
      </c>
      <c r="P1533" s="3" t="str">
        <f>IF(COUNTIF(Sales_Data2[RowKey],Sales_Data2[[#This Row],[RowKey]])&gt;1,"Duplicate","Unique")</f>
        <v>Unique</v>
      </c>
      <c r="Q1533" s="3" t="str">
        <f>IF(ISNUMBER(Sales_Data2[[#This Row],[Date]]),"OK","Check")</f>
        <v>OK</v>
      </c>
      <c r="R1533" s="3" t="str">
        <f>IF(ISNUMBER(Sales_Data2[[#This Row],[Quantity]]),"OK","Check")</f>
        <v>OK</v>
      </c>
    </row>
    <row r="1534" spans="1:18">
      <c r="A1534" s="1">
        <v>47208</v>
      </c>
      <c r="B1534" t="s">
        <v>25</v>
      </c>
      <c r="C1534" t="s">
        <v>19</v>
      </c>
      <c r="D1534" t="s">
        <v>23</v>
      </c>
      <c r="E1534" t="s">
        <v>14</v>
      </c>
      <c r="F1534" t="s">
        <v>15</v>
      </c>
      <c r="G1534" t="s">
        <v>16</v>
      </c>
      <c r="H1534">
        <v>85000</v>
      </c>
      <c r="I1534">
        <v>3</v>
      </c>
      <c r="J1534" t="s">
        <v>24</v>
      </c>
      <c r="K1534">
        <f t="shared" si="23"/>
        <v>68000</v>
      </c>
      <c r="L1534">
        <f>Sales_Data2[[#This Row],[Unit Price]]*Sales_Data2[[#This Row],[Quantity]]</f>
        <v>255000</v>
      </c>
      <c r="M1534">
        <f>Sales_Data2[[#This Row],[Cost Price]]*Sales_Data2[[#This Row],[Quantity]]</f>
        <v>204000</v>
      </c>
      <c r="N1534" s="3">
        <f>Sales_Data2[[#This Row],[Revenue]]-Sales_Data2[[#This Row],[COGS]]</f>
        <v>51000</v>
      </c>
      <c r="O15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47208|South|Lagos|Corporate|Online|Office Chair Pro|Furniture|85000|3|David|68000</v>
      </c>
      <c r="P1534" s="3" t="str">
        <f>IF(COUNTIF(Sales_Data2[RowKey],Sales_Data2[[#This Row],[RowKey]])&gt;1,"Duplicate","Unique")</f>
        <v>Unique</v>
      </c>
      <c r="Q1534" s="3" t="str">
        <f>IF(ISNUMBER(Sales_Data2[[#This Row],[Date]]),"OK","Check")</f>
        <v>OK</v>
      </c>
      <c r="R1534" s="3" t="str">
        <f>IF(ISNUMBER(Sales_Data2[[#This Row],[Quantity]]),"OK","Check")</f>
        <v>OK</v>
      </c>
    </row>
    <row r="1535" spans="1:18">
      <c r="A1535" s="1">
        <v>47209</v>
      </c>
      <c r="B1535" t="s">
        <v>29</v>
      </c>
      <c r="C1535" t="s">
        <v>32</v>
      </c>
      <c r="D1535" t="s">
        <v>13</v>
      </c>
      <c r="E1535" t="s">
        <v>20</v>
      </c>
      <c r="F1535" t="s">
        <v>41</v>
      </c>
      <c r="G1535" t="s">
        <v>22</v>
      </c>
      <c r="H1535">
        <v>220000</v>
      </c>
      <c r="I1535">
        <v>7</v>
      </c>
      <c r="J1535" t="s">
        <v>37</v>
      </c>
      <c r="K1535">
        <f t="shared" si="23"/>
        <v>176000</v>
      </c>
      <c r="L1535">
        <f>Sales_Data2[[#This Row],[Unit Price]]*Sales_Data2[[#This Row],[Quantity]]</f>
        <v>1540000</v>
      </c>
      <c r="M1535">
        <f>Sales_Data2[[#This Row],[Cost Price]]*Sales_Data2[[#This Row],[Quantity]]</f>
        <v>1232000</v>
      </c>
      <c r="N1535" s="3">
        <f>Sales_Data2[[#This Row],[Revenue]]-Sales_Data2[[#This Row],[COGS]]</f>
        <v>308000</v>
      </c>
      <c r="O15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47209|North|Abuja|Retail|Store|Refrigerator R55|Home Appliances|220000|7|Aisha|176000</v>
      </c>
      <c r="P1535" s="3" t="str">
        <f>IF(COUNTIF(Sales_Data2[RowKey],Sales_Data2[[#This Row],[RowKey]])&gt;1,"Duplicate","Unique")</f>
        <v>Unique</v>
      </c>
      <c r="Q1535" s="3" t="str">
        <f>IF(ISNUMBER(Sales_Data2[[#This Row],[Date]]),"OK","Check")</f>
        <v>OK</v>
      </c>
      <c r="R1535" s="3" t="str">
        <f>IF(ISNUMBER(Sales_Data2[[#This Row],[Quantity]]),"OK","Check")</f>
        <v>OK</v>
      </c>
    </row>
    <row r="1536" spans="1:18">
      <c r="A1536" s="1">
        <v>47210</v>
      </c>
      <c r="B1536" t="s">
        <v>18</v>
      </c>
      <c r="C1536" t="s">
        <v>26</v>
      </c>
      <c r="D1536" t="s">
        <v>23</v>
      </c>
      <c r="E1536" t="s">
        <v>14</v>
      </c>
      <c r="F1536" t="s">
        <v>36</v>
      </c>
      <c r="G1536" t="s">
        <v>31</v>
      </c>
      <c r="H1536">
        <v>150000</v>
      </c>
      <c r="I1536">
        <v>3</v>
      </c>
      <c r="J1536" t="s">
        <v>28</v>
      </c>
      <c r="K1536">
        <f t="shared" si="23"/>
        <v>120000</v>
      </c>
      <c r="L1536">
        <f>Sales_Data2[[#This Row],[Unit Price]]*Sales_Data2[[#This Row],[Quantity]]</f>
        <v>450000</v>
      </c>
      <c r="M1536">
        <f>Sales_Data2[[#This Row],[Cost Price]]*Sales_Data2[[#This Row],[Quantity]]</f>
        <v>360000</v>
      </c>
      <c r="N1536" s="3">
        <f>Sales_Data2[[#This Row],[Revenue]]-Sales_Data2[[#This Row],[COGS]]</f>
        <v>90000</v>
      </c>
      <c r="O15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47210|East|Kano|Corporate|Online|Printer P50|Electronics|150000|3|Musa|120000</v>
      </c>
      <c r="P1536" s="3" t="str">
        <f>IF(COUNTIF(Sales_Data2[RowKey],Sales_Data2[[#This Row],[RowKey]])&gt;1,"Duplicate","Unique")</f>
        <v>Unique</v>
      </c>
      <c r="Q1536" s="3" t="str">
        <f>IF(ISNUMBER(Sales_Data2[[#This Row],[Date]]),"OK","Check")</f>
        <v>OK</v>
      </c>
      <c r="R1536" s="3" t="str">
        <f>IF(ISNUMBER(Sales_Data2[[#This Row],[Quantity]]),"OK","Check")</f>
        <v>OK</v>
      </c>
    </row>
    <row r="1537" spans="1:18">
      <c r="A1537" s="1">
        <v>47211</v>
      </c>
      <c r="B1537" t="s">
        <v>18</v>
      </c>
      <c r="C1537" t="s">
        <v>19</v>
      </c>
      <c r="D1537" t="s">
        <v>13</v>
      </c>
      <c r="E1537" t="s">
        <v>20</v>
      </c>
      <c r="F1537" t="s">
        <v>38</v>
      </c>
      <c r="G1537" t="s">
        <v>31</v>
      </c>
      <c r="H1537">
        <v>420000</v>
      </c>
      <c r="I1537">
        <v>10</v>
      </c>
      <c r="J1537" t="s">
        <v>37</v>
      </c>
      <c r="K1537">
        <f t="shared" si="23"/>
        <v>336000</v>
      </c>
      <c r="L1537">
        <f>Sales_Data2[[#This Row],[Unit Price]]*Sales_Data2[[#This Row],[Quantity]]</f>
        <v>4200000</v>
      </c>
      <c r="M1537">
        <f>Sales_Data2[[#This Row],[Cost Price]]*Sales_Data2[[#This Row],[Quantity]]</f>
        <v>3360000</v>
      </c>
      <c r="N1537" s="3">
        <f>Sales_Data2[[#This Row],[Revenue]]-Sales_Data2[[#This Row],[COGS]]</f>
        <v>840000</v>
      </c>
      <c r="O15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47211|East|Lagos|Retail|Store|Laptop A13|Electronics|420000|10|Aisha|336000</v>
      </c>
      <c r="P1537" s="3" t="str">
        <f>IF(COUNTIF(Sales_Data2[RowKey],Sales_Data2[[#This Row],[RowKey]])&gt;1,"Duplicate","Unique")</f>
        <v>Unique</v>
      </c>
      <c r="Q1537" s="3" t="str">
        <f>IF(ISNUMBER(Sales_Data2[[#This Row],[Date]]),"OK","Check")</f>
        <v>OK</v>
      </c>
      <c r="R1537" s="3" t="str">
        <f>IF(ISNUMBER(Sales_Data2[[#This Row],[Quantity]]),"OK","Check")</f>
        <v>OK</v>
      </c>
    </row>
    <row r="1538" spans="1:18">
      <c r="A1538" s="1">
        <v>47212</v>
      </c>
      <c r="B1538" t="s">
        <v>29</v>
      </c>
      <c r="C1538" t="s">
        <v>19</v>
      </c>
      <c r="D1538" t="s">
        <v>13</v>
      </c>
      <c r="E1538" t="s">
        <v>20</v>
      </c>
      <c r="F1538" t="s">
        <v>27</v>
      </c>
      <c r="G1538" t="s">
        <v>22</v>
      </c>
      <c r="H1538">
        <v>60000</v>
      </c>
      <c r="I1538">
        <v>3</v>
      </c>
      <c r="J1538" t="s">
        <v>35</v>
      </c>
      <c r="K1538">
        <f t="shared" ref="K1538:K1601" si="24">H1538-H1538*0.2</f>
        <v>48000</v>
      </c>
      <c r="L1538">
        <f>Sales_Data2[[#This Row],[Unit Price]]*Sales_Data2[[#This Row],[Quantity]]</f>
        <v>180000</v>
      </c>
      <c r="M1538">
        <f>Sales_Data2[[#This Row],[Cost Price]]*Sales_Data2[[#This Row],[Quantity]]</f>
        <v>144000</v>
      </c>
      <c r="N1538" s="3">
        <f>Sales_Data2[[#This Row],[Revenue]]-Sales_Data2[[#This Row],[COGS]]</f>
        <v>36000</v>
      </c>
      <c r="O15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47212|North|Lagos|Retail|Store|Microwave M20|Home Appliances|60000|3|Peter|48000</v>
      </c>
      <c r="P1538" s="3" t="str">
        <f>IF(COUNTIF(Sales_Data2[RowKey],Sales_Data2[[#This Row],[RowKey]])&gt;1,"Duplicate","Unique")</f>
        <v>Unique</v>
      </c>
      <c r="Q1538" s="3" t="str">
        <f>IF(ISNUMBER(Sales_Data2[[#This Row],[Date]]),"OK","Check")</f>
        <v>OK</v>
      </c>
      <c r="R1538" s="3" t="str">
        <f>IF(ISNUMBER(Sales_Data2[[#This Row],[Quantity]]),"OK","Check")</f>
        <v>OK</v>
      </c>
    </row>
    <row r="1539" spans="1:18">
      <c r="A1539" s="1">
        <v>47213</v>
      </c>
      <c r="B1539" t="s">
        <v>18</v>
      </c>
      <c r="C1539" t="s">
        <v>19</v>
      </c>
      <c r="D1539" t="s">
        <v>23</v>
      </c>
      <c r="E1539" t="s">
        <v>14</v>
      </c>
      <c r="F1539" t="s">
        <v>30</v>
      </c>
      <c r="G1539" t="s">
        <v>31</v>
      </c>
      <c r="H1539">
        <v>300000</v>
      </c>
      <c r="I1539">
        <v>9</v>
      </c>
      <c r="J1539" t="s">
        <v>24</v>
      </c>
      <c r="K1539">
        <f t="shared" si="24"/>
        <v>240000</v>
      </c>
      <c r="L1539">
        <f>Sales_Data2[[#This Row],[Unit Price]]*Sales_Data2[[#This Row],[Quantity]]</f>
        <v>2700000</v>
      </c>
      <c r="M1539">
        <f>Sales_Data2[[#This Row],[Cost Price]]*Sales_Data2[[#This Row],[Quantity]]</f>
        <v>2160000</v>
      </c>
      <c r="N1539" s="3">
        <f>Sales_Data2[[#This Row],[Revenue]]-Sales_Data2[[#This Row],[COGS]]</f>
        <v>540000</v>
      </c>
      <c r="O15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47213|East|Lagos|Corporate|Online|Desktop PC D21|Electronics|300000|9|David|240000</v>
      </c>
      <c r="P1539" s="3" t="str">
        <f>IF(COUNTIF(Sales_Data2[RowKey],Sales_Data2[[#This Row],[RowKey]])&gt;1,"Duplicate","Unique")</f>
        <v>Unique</v>
      </c>
      <c r="Q1539" s="3" t="str">
        <f>IF(ISNUMBER(Sales_Data2[[#This Row],[Date]]),"OK","Check")</f>
        <v>OK</v>
      </c>
      <c r="R1539" s="3" t="str">
        <f>IF(ISNUMBER(Sales_Data2[[#This Row],[Quantity]]),"OK","Check")</f>
        <v>OK</v>
      </c>
    </row>
    <row r="1540" spans="1:18">
      <c r="A1540" s="1">
        <v>47214</v>
      </c>
      <c r="B1540" t="s">
        <v>25</v>
      </c>
      <c r="C1540" t="s">
        <v>19</v>
      </c>
      <c r="D1540" t="s">
        <v>23</v>
      </c>
      <c r="E1540" t="s">
        <v>14</v>
      </c>
      <c r="F1540" t="s">
        <v>27</v>
      </c>
      <c r="G1540" t="s">
        <v>22</v>
      </c>
      <c r="H1540">
        <v>60000</v>
      </c>
      <c r="I1540">
        <v>7</v>
      </c>
      <c r="J1540" t="s">
        <v>17</v>
      </c>
      <c r="K1540">
        <f t="shared" si="24"/>
        <v>48000</v>
      </c>
      <c r="L1540">
        <f>Sales_Data2[[#This Row],[Unit Price]]*Sales_Data2[[#This Row],[Quantity]]</f>
        <v>420000</v>
      </c>
      <c r="M1540">
        <f>Sales_Data2[[#This Row],[Cost Price]]*Sales_Data2[[#This Row],[Quantity]]</f>
        <v>336000</v>
      </c>
      <c r="N1540" s="3">
        <f>Sales_Data2[[#This Row],[Revenue]]-Sales_Data2[[#This Row],[COGS]]</f>
        <v>84000</v>
      </c>
      <c r="O15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47214|South|Lagos|Corporate|Online|Microwave M20|Home Appliances|60000|7|Chidinma|48000</v>
      </c>
      <c r="P1540" s="3" t="str">
        <f>IF(COUNTIF(Sales_Data2[RowKey],Sales_Data2[[#This Row],[RowKey]])&gt;1,"Duplicate","Unique")</f>
        <v>Unique</v>
      </c>
      <c r="Q1540" s="3" t="str">
        <f>IF(ISNUMBER(Sales_Data2[[#This Row],[Date]]),"OK","Check")</f>
        <v>OK</v>
      </c>
      <c r="R1540" s="3" t="str">
        <f>IF(ISNUMBER(Sales_Data2[[#This Row],[Quantity]]),"OK","Check")</f>
        <v>OK</v>
      </c>
    </row>
    <row r="1541" spans="1:18">
      <c r="A1541" s="1">
        <v>47215</v>
      </c>
      <c r="B1541" t="s">
        <v>11</v>
      </c>
      <c r="C1541" t="s">
        <v>12</v>
      </c>
      <c r="D1541" t="s">
        <v>13</v>
      </c>
      <c r="E1541" t="s">
        <v>14</v>
      </c>
      <c r="F1541" t="s">
        <v>34</v>
      </c>
      <c r="G1541" t="s">
        <v>16</v>
      </c>
      <c r="H1541">
        <v>320000</v>
      </c>
      <c r="I1541">
        <v>3</v>
      </c>
      <c r="J1541" t="s">
        <v>28</v>
      </c>
      <c r="K1541">
        <f t="shared" si="24"/>
        <v>256000</v>
      </c>
      <c r="L1541">
        <f>Sales_Data2[[#This Row],[Unit Price]]*Sales_Data2[[#This Row],[Quantity]]</f>
        <v>960000</v>
      </c>
      <c r="M1541">
        <f>Sales_Data2[[#This Row],[Cost Price]]*Sales_Data2[[#This Row],[Quantity]]</f>
        <v>768000</v>
      </c>
      <c r="N1541" s="3">
        <f>Sales_Data2[[#This Row],[Revenue]]-Sales_Data2[[#This Row],[COGS]]</f>
        <v>192000</v>
      </c>
      <c r="O15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47215|West|Port Harcourt|Retail|Online|Sofa Classic|Furniture|320000|3|Musa|256000</v>
      </c>
      <c r="P1541" s="3" t="str">
        <f>IF(COUNTIF(Sales_Data2[RowKey],Sales_Data2[[#This Row],[RowKey]])&gt;1,"Duplicate","Unique")</f>
        <v>Unique</v>
      </c>
      <c r="Q1541" s="3" t="str">
        <f>IF(ISNUMBER(Sales_Data2[[#This Row],[Date]]),"OK","Check")</f>
        <v>OK</v>
      </c>
      <c r="R1541" s="3" t="str">
        <f>IF(ISNUMBER(Sales_Data2[[#This Row],[Quantity]]),"OK","Check")</f>
        <v>OK</v>
      </c>
    </row>
    <row r="1542" spans="1:18">
      <c r="A1542" s="1">
        <v>47216</v>
      </c>
      <c r="B1542" t="s">
        <v>29</v>
      </c>
      <c r="C1542" t="s">
        <v>19</v>
      </c>
      <c r="D1542" t="s">
        <v>23</v>
      </c>
      <c r="E1542" t="s">
        <v>14</v>
      </c>
      <c r="F1542" t="s">
        <v>41</v>
      </c>
      <c r="G1542" t="s">
        <v>22</v>
      </c>
      <c r="H1542">
        <v>220000</v>
      </c>
      <c r="I1542">
        <v>5</v>
      </c>
      <c r="J1542" t="s">
        <v>17</v>
      </c>
      <c r="K1542">
        <f t="shared" si="24"/>
        <v>176000</v>
      </c>
      <c r="L1542">
        <f>Sales_Data2[[#This Row],[Unit Price]]*Sales_Data2[[#This Row],[Quantity]]</f>
        <v>1100000</v>
      </c>
      <c r="M1542">
        <f>Sales_Data2[[#This Row],[Cost Price]]*Sales_Data2[[#This Row],[Quantity]]</f>
        <v>880000</v>
      </c>
      <c r="N1542" s="3">
        <f>Sales_Data2[[#This Row],[Revenue]]-Sales_Data2[[#This Row],[COGS]]</f>
        <v>220000</v>
      </c>
      <c r="O15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47216|North|Lagos|Corporate|Online|Refrigerator R55|Home Appliances|220000|5|Chidinma|176000</v>
      </c>
      <c r="P1542" s="3" t="str">
        <f>IF(COUNTIF(Sales_Data2[RowKey],Sales_Data2[[#This Row],[RowKey]])&gt;1,"Duplicate","Unique")</f>
        <v>Unique</v>
      </c>
      <c r="Q1542" s="3" t="str">
        <f>IF(ISNUMBER(Sales_Data2[[#This Row],[Date]]),"OK","Check")</f>
        <v>OK</v>
      </c>
      <c r="R1542" s="3" t="str">
        <f>IF(ISNUMBER(Sales_Data2[[#This Row],[Quantity]]),"OK","Check")</f>
        <v>OK</v>
      </c>
    </row>
    <row r="1543" spans="1:18">
      <c r="A1543" s="1">
        <v>47217</v>
      </c>
      <c r="B1543" t="s">
        <v>18</v>
      </c>
      <c r="C1543" t="s">
        <v>19</v>
      </c>
      <c r="D1543" t="s">
        <v>23</v>
      </c>
      <c r="E1543" t="s">
        <v>14</v>
      </c>
      <c r="F1543" t="s">
        <v>41</v>
      </c>
      <c r="G1543" t="s">
        <v>22</v>
      </c>
      <c r="H1543">
        <v>220000</v>
      </c>
      <c r="I1543">
        <v>2</v>
      </c>
      <c r="J1543" t="s">
        <v>17</v>
      </c>
      <c r="K1543">
        <f t="shared" si="24"/>
        <v>176000</v>
      </c>
      <c r="L1543">
        <f>Sales_Data2[[#This Row],[Unit Price]]*Sales_Data2[[#This Row],[Quantity]]</f>
        <v>440000</v>
      </c>
      <c r="M1543">
        <f>Sales_Data2[[#This Row],[Cost Price]]*Sales_Data2[[#This Row],[Quantity]]</f>
        <v>352000</v>
      </c>
      <c r="N1543" s="3">
        <f>Sales_Data2[[#This Row],[Revenue]]-Sales_Data2[[#This Row],[COGS]]</f>
        <v>88000</v>
      </c>
      <c r="O15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47217|East|Lagos|Corporate|Online|Refrigerator R55|Home Appliances|220000|2|Chidinma|176000</v>
      </c>
      <c r="P1543" s="3" t="str">
        <f>IF(COUNTIF(Sales_Data2[RowKey],Sales_Data2[[#This Row],[RowKey]])&gt;1,"Duplicate","Unique")</f>
        <v>Unique</v>
      </c>
      <c r="Q1543" s="3" t="str">
        <f>IF(ISNUMBER(Sales_Data2[[#This Row],[Date]]),"OK","Check")</f>
        <v>OK</v>
      </c>
      <c r="R1543" s="3" t="str">
        <f>IF(ISNUMBER(Sales_Data2[[#This Row],[Quantity]]),"OK","Check")</f>
        <v>OK</v>
      </c>
    </row>
    <row r="1544" spans="1:18">
      <c r="A1544" s="1">
        <v>47218</v>
      </c>
      <c r="B1544" t="s">
        <v>11</v>
      </c>
      <c r="C1544" t="s">
        <v>12</v>
      </c>
      <c r="D1544" t="s">
        <v>13</v>
      </c>
      <c r="E1544" t="s">
        <v>20</v>
      </c>
      <c r="F1544" t="s">
        <v>36</v>
      </c>
      <c r="G1544" t="s">
        <v>31</v>
      </c>
      <c r="H1544">
        <v>150000</v>
      </c>
      <c r="I1544">
        <v>10</v>
      </c>
      <c r="J1544" t="s">
        <v>24</v>
      </c>
      <c r="K1544">
        <f t="shared" si="24"/>
        <v>120000</v>
      </c>
      <c r="L1544">
        <f>Sales_Data2[[#This Row],[Unit Price]]*Sales_Data2[[#This Row],[Quantity]]</f>
        <v>1500000</v>
      </c>
      <c r="M1544">
        <f>Sales_Data2[[#This Row],[Cost Price]]*Sales_Data2[[#This Row],[Quantity]]</f>
        <v>1200000</v>
      </c>
      <c r="N1544" s="3">
        <f>Sales_Data2[[#This Row],[Revenue]]-Sales_Data2[[#This Row],[COGS]]</f>
        <v>300000</v>
      </c>
      <c r="O15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47218|West|Port Harcourt|Retail|Store|Printer P50|Electronics|150000|10|David|120000</v>
      </c>
      <c r="P1544" s="3" t="str">
        <f>IF(COUNTIF(Sales_Data2[RowKey],Sales_Data2[[#This Row],[RowKey]])&gt;1,"Duplicate","Unique")</f>
        <v>Unique</v>
      </c>
      <c r="Q1544" s="3" t="str">
        <f>IF(ISNUMBER(Sales_Data2[[#This Row],[Date]]),"OK","Check")</f>
        <v>OK</v>
      </c>
      <c r="R1544" s="3" t="str">
        <f>IF(ISNUMBER(Sales_Data2[[#This Row],[Quantity]]),"OK","Check")</f>
        <v>OK</v>
      </c>
    </row>
    <row r="1545" spans="1:18">
      <c r="A1545" s="1">
        <v>47219</v>
      </c>
      <c r="B1545" t="s">
        <v>29</v>
      </c>
      <c r="C1545" t="s">
        <v>26</v>
      </c>
      <c r="D1545" t="s">
        <v>13</v>
      </c>
      <c r="E1545" t="s">
        <v>20</v>
      </c>
      <c r="F1545" t="s">
        <v>21</v>
      </c>
      <c r="G1545" t="s">
        <v>22</v>
      </c>
      <c r="H1545">
        <v>30000</v>
      </c>
      <c r="I1545">
        <v>8</v>
      </c>
      <c r="J1545" t="s">
        <v>39</v>
      </c>
      <c r="K1545">
        <f t="shared" si="24"/>
        <v>24000</v>
      </c>
      <c r="L1545">
        <f>Sales_Data2[[#This Row],[Unit Price]]*Sales_Data2[[#This Row],[Quantity]]</f>
        <v>240000</v>
      </c>
      <c r="M1545">
        <f>Sales_Data2[[#This Row],[Cost Price]]*Sales_Data2[[#This Row],[Quantity]]</f>
        <v>192000</v>
      </c>
      <c r="N1545" s="3">
        <f>Sales_Data2[[#This Row],[Revenue]]-Sales_Data2[[#This Row],[COGS]]</f>
        <v>48000</v>
      </c>
      <c r="O15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47219|North|Kano|Retail|Store|Blender B10|Home Appliances|30000|8|Grace|24000</v>
      </c>
      <c r="P1545" s="3" t="str">
        <f>IF(COUNTIF(Sales_Data2[RowKey],Sales_Data2[[#This Row],[RowKey]])&gt;1,"Duplicate","Unique")</f>
        <v>Unique</v>
      </c>
      <c r="Q1545" s="3" t="str">
        <f>IF(ISNUMBER(Sales_Data2[[#This Row],[Date]]),"OK","Check")</f>
        <v>OK</v>
      </c>
      <c r="R1545" s="3" t="str">
        <f>IF(ISNUMBER(Sales_Data2[[#This Row],[Quantity]]),"OK","Check")</f>
        <v>OK</v>
      </c>
    </row>
    <row r="1546" spans="1:18">
      <c r="A1546" s="1">
        <v>47220</v>
      </c>
      <c r="B1546" t="s">
        <v>18</v>
      </c>
      <c r="C1546" t="s">
        <v>19</v>
      </c>
      <c r="D1546" t="s">
        <v>13</v>
      </c>
      <c r="E1546" t="s">
        <v>20</v>
      </c>
      <c r="F1546" t="s">
        <v>21</v>
      </c>
      <c r="G1546" t="s">
        <v>22</v>
      </c>
      <c r="H1546">
        <v>30000</v>
      </c>
      <c r="I1546">
        <v>9</v>
      </c>
      <c r="J1546" t="s">
        <v>35</v>
      </c>
      <c r="K1546">
        <f t="shared" si="24"/>
        <v>24000</v>
      </c>
      <c r="L1546">
        <f>Sales_Data2[[#This Row],[Unit Price]]*Sales_Data2[[#This Row],[Quantity]]</f>
        <v>270000</v>
      </c>
      <c r="M1546">
        <f>Sales_Data2[[#This Row],[Cost Price]]*Sales_Data2[[#This Row],[Quantity]]</f>
        <v>216000</v>
      </c>
      <c r="N1546" s="3">
        <f>Sales_Data2[[#This Row],[Revenue]]-Sales_Data2[[#This Row],[COGS]]</f>
        <v>54000</v>
      </c>
      <c r="O15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47220|East|Lagos|Retail|Store|Blender B10|Home Appliances|30000|9|Peter|24000</v>
      </c>
      <c r="P1546" s="3" t="str">
        <f>IF(COUNTIF(Sales_Data2[RowKey],Sales_Data2[[#This Row],[RowKey]])&gt;1,"Duplicate","Unique")</f>
        <v>Unique</v>
      </c>
      <c r="Q1546" s="3" t="str">
        <f>IF(ISNUMBER(Sales_Data2[[#This Row],[Date]]),"OK","Check")</f>
        <v>OK</v>
      </c>
      <c r="R1546" s="3" t="str">
        <f>IF(ISNUMBER(Sales_Data2[[#This Row],[Quantity]]),"OK","Check")</f>
        <v>OK</v>
      </c>
    </row>
    <row r="1547" spans="1:18">
      <c r="A1547" s="1">
        <v>47221</v>
      </c>
      <c r="B1547" t="s">
        <v>18</v>
      </c>
      <c r="C1547" t="s">
        <v>12</v>
      </c>
      <c r="D1547" t="s">
        <v>13</v>
      </c>
      <c r="E1547" t="s">
        <v>20</v>
      </c>
      <c r="F1547" t="s">
        <v>36</v>
      </c>
      <c r="G1547" t="s">
        <v>31</v>
      </c>
      <c r="H1547">
        <v>150000</v>
      </c>
      <c r="I1547">
        <v>3</v>
      </c>
      <c r="J1547" t="s">
        <v>24</v>
      </c>
      <c r="K1547">
        <f t="shared" si="24"/>
        <v>120000</v>
      </c>
      <c r="L1547">
        <f>Sales_Data2[[#This Row],[Unit Price]]*Sales_Data2[[#This Row],[Quantity]]</f>
        <v>450000</v>
      </c>
      <c r="M1547">
        <f>Sales_Data2[[#This Row],[Cost Price]]*Sales_Data2[[#This Row],[Quantity]]</f>
        <v>360000</v>
      </c>
      <c r="N1547" s="3">
        <f>Sales_Data2[[#This Row],[Revenue]]-Sales_Data2[[#This Row],[COGS]]</f>
        <v>90000</v>
      </c>
      <c r="O15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47221|East|Port Harcourt|Retail|Store|Printer P50|Electronics|150000|3|David|120000</v>
      </c>
      <c r="P1547" s="3" t="str">
        <f>IF(COUNTIF(Sales_Data2[RowKey],Sales_Data2[[#This Row],[RowKey]])&gt;1,"Duplicate","Unique")</f>
        <v>Unique</v>
      </c>
      <c r="Q1547" s="3" t="str">
        <f>IF(ISNUMBER(Sales_Data2[[#This Row],[Date]]),"OK","Check")</f>
        <v>OK</v>
      </c>
      <c r="R1547" s="3" t="str">
        <f>IF(ISNUMBER(Sales_Data2[[#This Row],[Quantity]]),"OK","Check")</f>
        <v>OK</v>
      </c>
    </row>
    <row r="1548" spans="1:18">
      <c r="A1548" s="1">
        <v>47222</v>
      </c>
      <c r="B1548" t="s">
        <v>18</v>
      </c>
      <c r="C1548" t="s">
        <v>12</v>
      </c>
      <c r="D1548" t="s">
        <v>23</v>
      </c>
      <c r="E1548" t="s">
        <v>14</v>
      </c>
      <c r="F1548" t="s">
        <v>27</v>
      </c>
      <c r="G1548" t="s">
        <v>22</v>
      </c>
      <c r="H1548">
        <v>60000</v>
      </c>
      <c r="I1548">
        <v>6</v>
      </c>
      <c r="J1548" t="s">
        <v>28</v>
      </c>
      <c r="K1548">
        <f t="shared" si="24"/>
        <v>48000</v>
      </c>
      <c r="L1548">
        <f>Sales_Data2[[#This Row],[Unit Price]]*Sales_Data2[[#This Row],[Quantity]]</f>
        <v>360000</v>
      </c>
      <c r="M1548">
        <f>Sales_Data2[[#This Row],[Cost Price]]*Sales_Data2[[#This Row],[Quantity]]</f>
        <v>288000</v>
      </c>
      <c r="N1548" s="3">
        <f>Sales_Data2[[#This Row],[Revenue]]-Sales_Data2[[#This Row],[COGS]]</f>
        <v>72000</v>
      </c>
      <c r="O15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47222|East|Port Harcourt|Corporate|Online|Microwave M20|Home Appliances|60000|6|Musa|48000</v>
      </c>
      <c r="P1548" s="3" t="str">
        <f>IF(COUNTIF(Sales_Data2[RowKey],Sales_Data2[[#This Row],[RowKey]])&gt;1,"Duplicate","Unique")</f>
        <v>Unique</v>
      </c>
      <c r="Q1548" s="3" t="str">
        <f>IF(ISNUMBER(Sales_Data2[[#This Row],[Date]]),"OK","Check")</f>
        <v>OK</v>
      </c>
      <c r="R1548" s="3" t="str">
        <f>IF(ISNUMBER(Sales_Data2[[#This Row],[Quantity]]),"OK","Check")</f>
        <v>OK</v>
      </c>
    </row>
    <row r="1549" spans="1:18">
      <c r="A1549" s="1">
        <v>47223</v>
      </c>
      <c r="B1549" t="s">
        <v>18</v>
      </c>
      <c r="C1549" t="s">
        <v>12</v>
      </c>
      <c r="D1549" t="s">
        <v>23</v>
      </c>
      <c r="E1549" t="s">
        <v>20</v>
      </c>
      <c r="F1549" t="s">
        <v>40</v>
      </c>
      <c r="G1549" t="s">
        <v>31</v>
      </c>
      <c r="H1549">
        <v>250000</v>
      </c>
      <c r="I1549">
        <v>1</v>
      </c>
      <c r="J1549" t="s">
        <v>28</v>
      </c>
      <c r="K1549">
        <f t="shared" si="24"/>
        <v>200000</v>
      </c>
      <c r="L1549">
        <f>Sales_Data2[[#This Row],[Unit Price]]*Sales_Data2[[#This Row],[Quantity]]</f>
        <v>250000</v>
      </c>
      <c r="M1549">
        <f>Sales_Data2[[#This Row],[Cost Price]]*Sales_Data2[[#This Row],[Quantity]]</f>
        <v>200000</v>
      </c>
      <c r="N1549" s="3">
        <f>Sales_Data2[[#This Row],[Revenue]]-Sales_Data2[[#This Row],[COGS]]</f>
        <v>50000</v>
      </c>
      <c r="O15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47223|East|Port Harcourt|Corporate|Store|Smartphone Z10|Electronics|250000|1|Musa|200000</v>
      </c>
      <c r="P1549" s="3" t="str">
        <f>IF(COUNTIF(Sales_Data2[RowKey],Sales_Data2[[#This Row],[RowKey]])&gt;1,"Duplicate","Unique")</f>
        <v>Unique</v>
      </c>
      <c r="Q1549" s="3" t="str">
        <f>IF(ISNUMBER(Sales_Data2[[#This Row],[Date]]),"OK","Check")</f>
        <v>OK</v>
      </c>
      <c r="R1549" s="3" t="str">
        <f>IF(ISNUMBER(Sales_Data2[[#This Row],[Quantity]]),"OK","Check")</f>
        <v>OK</v>
      </c>
    </row>
    <row r="1550" spans="1:18">
      <c r="A1550" s="1">
        <v>47224</v>
      </c>
      <c r="B1550" t="s">
        <v>11</v>
      </c>
      <c r="C1550" t="s">
        <v>26</v>
      </c>
      <c r="D1550" t="s">
        <v>13</v>
      </c>
      <c r="E1550" t="s">
        <v>20</v>
      </c>
      <c r="F1550" t="s">
        <v>15</v>
      </c>
      <c r="G1550" t="s">
        <v>16</v>
      </c>
      <c r="H1550">
        <v>85000</v>
      </c>
      <c r="I1550">
        <v>8</v>
      </c>
      <c r="J1550" t="s">
        <v>28</v>
      </c>
      <c r="K1550">
        <f t="shared" si="24"/>
        <v>68000</v>
      </c>
      <c r="L1550">
        <f>Sales_Data2[[#This Row],[Unit Price]]*Sales_Data2[[#This Row],[Quantity]]</f>
        <v>680000</v>
      </c>
      <c r="M1550">
        <f>Sales_Data2[[#This Row],[Cost Price]]*Sales_Data2[[#This Row],[Quantity]]</f>
        <v>544000</v>
      </c>
      <c r="N1550" s="3">
        <f>Sales_Data2[[#This Row],[Revenue]]-Sales_Data2[[#This Row],[COGS]]</f>
        <v>136000</v>
      </c>
      <c r="O15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47224|West|Kano|Retail|Store|Office Chair Pro|Furniture|85000|8|Musa|68000</v>
      </c>
      <c r="P1550" s="3" t="str">
        <f>IF(COUNTIF(Sales_Data2[RowKey],Sales_Data2[[#This Row],[RowKey]])&gt;1,"Duplicate","Unique")</f>
        <v>Unique</v>
      </c>
      <c r="Q1550" s="3" t="str">
        <f>IF(ISNUMBER(Sales_Data2[[#This Row],[Date]]),"OK","Check")</f>
        <v>OK</v>
      </c>
      <c r="R1550" s="3" t="str">
        <f>IF(ISNUMBER(Sales_Data2[[#This Row],[Quantity]]),"OK","Check")</f>
        <v>OK</v>
      </c>
    </row>
    <row r="1551" spans="1:18">
      <c r="A1551" s="1">
        <v>47225</v>
      </c>
      <c r="B1551" t="s">
        <v>29</v>
      </c>
      <c r="C1551" t="s">
        <v>12</v>
      </c>
      <c r="D1551" t="s">
        <v>13</v>
      </c>
      <c r="E1551" t="s">
        <v>20</v>
      </c>
      <c r="F1551" t="s">
        <v>33</v>
      </c>
      <c r="G1551" t="s">
        <v>22</v>
      </c>
      <c r="H1551">
        <v>180000</v>
      </c>
      <c r="I1551">
        <v>8</v>
      </c>
      <c r="J1551" t="s">
        <v>28</v>
      </c>
      <c r="K1551">
        <f t="shared" si="24"/>
        <v>144000</v>
      </c>
      <c r="L1551">
        <f>Sales_Data2[[#This Row],[Unit Price]]*Sales_Data2[[#This Row],[Quantity]]</f>
        <v>1440000</v>
      </c>
      <c r="M1551">
        <f>Sales_Data2[[#This Row],[Cost Price]]*Sales_Data2[[#This Row],[Quantity]]</f>
        <v>1152000</v>
      </c>
      <c r="N1551" s="3">
        <f>Sales_Data2[[#This Row],[Revenue]]-Sales_Data2[[#This Row],[COGS]]</f>
        <v>288000</v>
      </c>
      <c r="O15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47225|North|Port Harcourt|Retail|Store|Air Conditioner X2|Home Appliances|180000|8|Musa|144000</v>
      </c>
      <c r="P1551" s="3" t="str">
        <f>IF(COUNTIF(Sales_Data2[RowKey],Sales_Data2[[#This Row],[RowKey]])&gt;1,"Duplicate","Unique")</f>
        <v>Unique</v>
      </c>
      <c r="Q1551" s="3" t="str">
        <f>IF(ISNUMBER(Sales_Data2[[#This Row],[Date]]),"OK","Check")</f>
        <v>OK</v>
      </c>
      <c r="R1551" s="3" t="str">
        <f>IF(ISNUMBER(Sales_Data2[[#This Row],[Quantity]]),"OK","Check")</f>
        <v>OK</v>
      </c>
    </row>
    <row r="1552" spans="1:18">
      <c r="A1552" s="1">
        <v>47226</v>
      </c>
      <c r="B1552" t="s">
        <v>18</v>
      </c>
      <c r="C1552" t="s">
        <v>32</v>
      </c>
      <c r="D1552" t="s">
        <v>23</v>
      </c>
      <c r="E1552" t="s">
        <v>20</v>
      </c>
      <c r="F1552" t="s">
        <v>41</v>
      </c>
      <c r="G1552" t="s">
        <v>22</v>
      </c>
      <c r="H1552">
        <v>220000</v>
      </c>
      <c r="I1552">
        <v>9</v>
      </c>
      <c r="J1552" t="s">
        <v>37</v>
      </c>
      <c r="K1552">
        <f t="shared" si="24"/>
        <v>176000</v>
      </c>
      <c r="L1552">
        <f>Sales_Data2[[#This Row],[Unit Price]]*Sales_Data2[[#This Row],[Quantity]]</f>
        <v>1980000</v>
      </c>
      <c r="M1552">
        <f>Sales_Data2[[#This Row],[Cost Price]]*Sales_Data2[[#This Row],[Quantity]]</f>
        <v>1584000</v>
      </c>
      <c r="N1552" s="3">
        <f>Sales_Data2[[#This Row],[Revenue]]-Sales_Data2[[#This Row],[COGS]]</f>
        <v>396000</v>
      </c>
      <c r="O15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47226|East|Abuja|Corporate|Store|Refrigerator R55|Home Appliances|220000|9|Aisha|176000</v>
      </c>
      <c r="P1552" s="3" t="str">
        <f>IF(COUNTIF(Sales_Data2[RowKey],Sales_Data2[[#This Row],[RowKey]])&gt;1,"Duplicate","Unique")</f>
        <v>Unique</v>
      </c>
      <c r="Q1552" s="3" t="str">
        <f>IF(ISNUMBER(Sales_Data2[[#This Row],[Date]]),"OK","Check")</f>
        <v>OK</v>
      </c>
      <c r="R1552" s="3" t="str">
        <f>IF(ISNUMBER(Sales_Data2[[#This Row],[Quantity]]),"OK","Check")</f>
        <v>OK</v>
      </c>
    </row>
    <row r="1553" spans="1:18">
      <c r="A1553" s="1">
        <v>47227</v>
      </c>
      <c r="B1553" t="s">
        <v>11</v>
      </c>
      <c r="C1553" t="s">
        <v>12</v>
      </c>
      <c r="D1553" t="s">
        <v>13</v>
      </c>
      <c r="E1553" t="s">
        <v>20</v>
      </c>
      <c r="F1553" t="s">
        <v>40</v>
      </c>
      <c r="G1553" t="s">
        <v>31</v>
      </c>
      <c r="H1553">
        <v>250000</v>
      </c>
      <c r="I1553">
        <v>3</v>
      </c>
      <c r="J1553" t="s">
        <v>28</v>
      </c>
      <c r="K1553">
        <f t="shared" si="24"/>
        <v>200000</v>
      </c>
      <c r="L1553">
        <f>Sales_Data2[[#This Row],[Unit Price]]*Sales_Data2[[#This Row],[Quantity]]</f>
        <v>750000</v>
      </c>
      <c r="M1553">
        <f>Sales_Data2[[#This Row],[Cost Price]]*Sales_Data2[[#This Row],[Quantity]]</f>
        <v>600000</v>
      </c>
      <c r="N1553" s="3">
        <f>Sales_Data2[[#This Row],[Revenue]]-Sales_Data2[[#This Row],[COGS]]</f>
        <v>150000</v>
      </c>
      <c r="O15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47227|West|Port Harcourt|Retail|Store|Smartphone Z10|Electronics|250000|3|Musa|200000</v>
      </c>
      <c r="P1553" s="3" t="str">
        <f>IF(COUNTIF(Sales_Data2[RowKey],Sales_Data2[[#This Row],[RowKey]])&gt;1,"Duplicate","Unique")</f>
        <v>Unique</v>
      </c>
      <c r="Q1553" s="3" t="str">
        <f>IF(ISNUMBER(Sales_Data2[[#This Row],[Date]]),"OK","Check")</f>
        <v>OK</v>
      </c>
      <c r="R1553" s="3" t="str">
        <f>IF(ISNUMBER(Sales_Data2[[#This Row],[Quantity]]),"OK","Check")</f>
        <v>OK</v>
      </c>
    </row>
    <row r="1554" spans="1:18">
      <c r="A1554" s="1">
        <v>47228</v>
      </c>
      <c r="B1554" t="s">
        <v>29</v>
      </c>
      <c r="C1554" t="s">
        <v>32</v>
      </c>
      <c r="D1554" t="s">
        <v>13</v>
      </c>
      <c r="E1554" t="s">
        <v>14</v>
      </c>
      <c r="F1554" t="s">
        <v>38</v>
      </c>
      <c r="G1554" t="s">
        <v>31</v>
      </c>
      <c r="H1554">
        <v>420000</v>
      </c>
      <c r="I1554">
        <v>6</v>
      </c>
      <c r="J1554" t="s">
        <v>39</v>
      </c>
      <c r="K1554">
        <f t="shared" si="24"/>
        <v>336000</v>
      </c>
      <c r="L1554">
        <f>Sales_Data2[[#This Row],[Unit Price]]*Sales_Data2[[#This Row],[Quantity]]</f>
        <v>2520000</v>
      </c>
      <c r="M1554">
        <f>Sales_Data2[[#This Row],[Cost Price]]*Sales_Data2[[#This Row],[Quantity]]</f>
        <v>2016000</v>
      </c>
      <c r="N1554" s="3">
        <f>Sales_Data2[[#This Row],[Revenue]]-Sales_Data2[[#This Row],[COGS]]</f>
        <v>504000</v>
      </c>
      <c r="O15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47228|North|Abuja|Retail|Online|Laptop A13|Electronics|420000|6|Grace|336000</v>
      </c>
      <c r="P1554" s="3" t="str">
        <f>IF(COUNTIF(Sales_Data2[RowKey],Sales_Data2[[#This Row],[RowKey]])&gt;1,"Duplicate","Unique")</f>
        <v>Unique</v>
      </c>
      <c r="Q1554" s="3" t="str">
        <f>IF(ISNUMBER(Sales_Data2[[#This Row],[Date]]),"OK","Check")</f>
        <v>OK</v>
      </c>
      <c r="R1554" s="3" t="str">
        <f>IF(ISNUMBER(Sales_Data2[[#This Row],[Quantity]]),"OK","Check")</f>
        <v>OK</v>
      </c>
    </row>
    <row r="1555" spans="1:18">
      <c r="A1555" s="1">
        <v>47229</v>
      </c>
      <c r="B1555" t="s">
        <v>18</v>
      </c>
      <c r="C1555" t="s">
        <v>19</v>
      </c>
      <c r="D1555" t="s">
        <v>23</v>
      </c>
      <c r="E1555" t="s">
        <v>20</v>
      </c>
      <c r="F1555" t="s">
        <v>33</v>
      </c>
      <c r="G1555" t="s">
        <v>22</v>
      </c>
      <c r="H1555">
        <v>180000</v>
      </c>
      <c r="I1555">
        <v>3</v>
      </c>
      <c r="J1555" t="s">
        <v>17</v>
      </c>
      <c r="K1555">
        <f t="shared" si="24"/>
        <v>144000</v>
      </c>
      <c r="L1555">
        <f>Sales_Data2[[#This Row],[Unit Price]]*Sales_Data2[[#This Row],[Quantity]]</f>
        <v>540000</v>
      </c>
      <c r="M1555">
        <f>Sales_Data2[[#This Row],[Cost Price]]*Sales_Data2[[#This Row],[Quantity]]</f>
        <v>432000</v>
      </c>
      <c r="N1555" s="3">
        <f>Sales_Data2[[#This Row],[Revenue]]-Sales_Data2[[#This Row],[COGS]]</f>
        <v>108000</v>
      </c>
      <c r="O15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47229|East|Lagos|Corporate|Store|Air Conditioner X2|Home Appliances|180000|3|Chidinma|144000</v>
      </c>
      <c r="P1555" s="3" t="str">
        <f>IF(COUNTIF(Sales_Data2[RowKey],Sales_Data2[[#This Row],[RowKey]])&gt;1,"Duplicate","Unique")</f>
        <v>Unique</v>
      </c>
      <c r="Q1555" s="3" t="str">
        <f>IF(ISNUMBER(Sales_Data2[[#This Row],[Date]]),"OK","Check")</f>
        <v>OK</v>
      </c>
      <c r="R1555" s="3" t="str">
        <f>IF(ISNUMBER(Sales_Data2[[#This Row],[Quantity]]),"OK","Check")</f>
        <v>OK</v>
      </c>
    </row>
    <row r="1556" spans="1:18">
      <c r="A1556" s="1">
        <v>47230</v>
      </c>
      <c r="B1556" t="s">
        <v>25</v>
      </c>
      <c r="C1556" t="s">
        <v>26</v>
      </c>
      <c r="D1556" t="s">
        <v>23</v>
      </c>
      <c r="E1556" t="s">
        <v>20</v>
      </c>
      <c r="F1556" t="s">
        <v>33</v>
      </c>
      <c r="G1556" t="s">
        <v>22</v>
      </c>
      <c r="H1556">
        <v>180000</v>
      </c>
      <c r="I1556">
        <v>9</v>
      </c>
      <c r="J1556" t="s">
        <v>17</v>
      </c>
      <c r="K1556">
        <f t="shared" si="24"/>
        <v>144000</v>
      </c>
      <c r="L1556">
        <f>Sales_Data2[[#This Row],[Unit Price]]*Sales_Data2[[#This Row],[Quantity]]</f>
        <v>1620000</v>
      </c>
      <c r="M1556">
        <f>Sales_Data2[[#This Row],[Cost Price]]*Sales_Data2[[#This Row],[Quantity]]</f>
        <v>1296000</v>
      </c>
      <c r="N1556" s="3">
        <f>Sales_Data2[[#This Row],[Revenue]]-Sales_Data2[[#This Row],[COGS]]</f>
        <v>324000</v>
      </c>
      <c r="O15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47230|South|Kano|Corporate|Store|Air Conditioner X2|Home Appliances|180000|9|Chidinma|144000</v>
      </c>
      <c r="P1556" s="3" t="str">
        <f>IF(COUNTIF(Sales_Data2[RowKey],Sales_Data2[[#This Row],[RowKey]])&gt;1,"Duplicate","Unique")</f>
        <v>Unique</v>
      </c>
      <c r="Q1556" s="3" t="str">
        <f>IF(ISNUMBER(Sales_Data2[[#This Row],[Date]]),"OK","Check")</f>
        <v>OK</v>
      </c>
      <c r="R1556" s="3" t="str">
        <f>IF(ISNUMBER(Sales_Data2[[#This Row],[Quantity]]),"OK","Check")</f>
        <v>OK</v>
      </c>
    </row>
    <row r="1557" spans="1:18">
      <c r="A1557" s="1">
        <v>47231</v>
      </c>
      <c r="B1557" t="s">
        <v>18</v>
      </c>
      <c r="C1557" t="s">
        <v>26</v>
      </c>
      <c r="D1557" t="s">
        <v>13</v>
      </c>
      <c r="E1557" t="s">
        <v>14</v>
      </c>
      <c r="F1557" t="s">
        <v>38</v>
      </c>
      <c r="G1557" t="s">
        <v>31</v>
      </c>
      <c r="H1557">
        <v>420000</v>
      </c>
      <c r="I1557">
        <v>5</v>
      </c>
      <c r="J1557" t="s">
        <v>17</v>
      </c>
      <c r="K1557">
        <f t="shared" si="24"/>
        <v>336000</v>
      </c>
      <c r="L1557">
        <f>Sales_Data2[[#This Row],[Unit Price]]*Sales_Data2[[#This Row],[Quantity]]</f>
        <v>2100000</v>
      </c>
      <c r="M1557">
        <f>Sales_Data2[[#This Row],[Cost Price]]*Sales_Data2[[#This Row],[Quantity]]</f>
        <v>1680000</v>
      </c>
      <c r="N1557" s="3">
        <f>Sales_Data2[[#This Row],[Revenue]]-Sales_Data2[[#This Row],[COGS]]</f>
        <v>420000</v>
      </c>
      <c r="O15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47231|East|Kano|Retail|Online|Laptop A13|Electronics|420000|5|Chidinma|336000</v>
      </c>
      <c r="P1557" s="3" t="str">
        <f>IF(COUNTIF(Sales_Data2[RowKey],Sales_Data2[[#This Row],[RowKey]])&gt;1,"Duplicate","Unique")</f>
        <v>Unique</v>
      </c>
      <c r="Q1557" s="3" t="str">
        <f>IF(ISNUMBER(Sales_Data2[[#This Row],[Date]]),"OK","Check")</f>
        <v>OK</v>
      </c>
      <c r="R1557" s="3" t="str">
        <f>IF(ISNUMBER(Sales_Data2[[#This Row],[Quantity]]),"OK","Check")</f>
        <v>OK</v>
      </c>
    </row>
    <row r="1558" spans="1:18">
      <c r="A1558" s="1">
        <v>47232</v>
      </c>
      <c r="B1558" t="s">
        <v>29</v>
      </c>
      <c r="C1558" t="s">
        <v>26</v>
      </c>
      <c r="D1558" t="s">
        <v>13</v>
      </c>
      <c r="E1558" t="s">
        <v>20</v>
      </c>
      <c r="F1558" t="s">
        <v>33</v>
      </c>
      <c r="G1558" t="s">
        <v>22</v>
      </c>
      <c r="H1558">
        <v>180000</v>
      </c>
      <c r="I1558">
        <v>6</v>
      </c>
      <c r="J1558" t="s">
        <v>39</v>
      </c>
      <c r="K1558">
        <f t="shared" si="24"/>
        <v>144000</v>
      </c>
      <c r="L1558">
        <f>Sales_Data2[[#This Row],[Unit Price]]*Sales_Data2[[#This Row],[Quantity]]</f>
        <v>1080000</v>
      </c>
      <c r="M1558">
        <f>Sales_Data2[[#This Row],[Cost Price]]*Sales_Data2[[#This Row],[Quantity]]</f>
        <v>864000</v>
      </c>
      <c r="N1558" s="3">
        <f>Sales_Data2[[#This Row],[Revenue]]-Sales_Data2[[#This Row],[COGS]]</f>
        <v>216000</v>
      </c>
      <c r="O15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47232|North|Kano|Retail|Store|Air Conditioner X2|Home Appliances|180000|6|Grace|144000</v>
      </c>
      <c r="P1558" s="3" t="str">
        <f>IF(COUNTIF(Sales_Data2[RowKey],Sales_Data2[[#This Row],[RowKey]])&gt;1,"Duplicate","Unique")</f>
        <v>Unique</v>
      </c>
      <c r="Q1558" s="3" t="str">
        <f>IF(ISNUMBER(Sales_Data2[[#This Row],[Date]]),"OK","Check")</f>
        <v>OK</v>
      </c>
      <c r="R1558" s="3" t="str">
        <f>IF(ISNUMBER(Sales_Data2[[#This Row],[Quantity]]),"OK","Check")</f>
        <v>OK</v>
      </c>
    </row>
    <row r="1559" spans="1:18">
      <c r="A1559" s="1">
        <v>47233</v>
      </c>
      <c r="B1559" t="s">
        <v>18</v>
      </c>
      <c r="C1559" t="s">
        <v>26</v>
      </c>
      <c r="D1559" t="s">
        <v>23</v>
      </c>
      <c r="E1559" t="s">
        <v>14</v>
      </c>
      <c r="F1559" t="s">
        <v>30</v>
      </c>
      <c r="G1559" t="s">
        <v>31</v>
      </c>
      <c r="H1559">
        <v>300000</v>
      </c>
      <c r="I1559">
        <v>3</v>
      </c>
      <c r="J1559" t="s">
        <v>28</v>
      </c>
      <c r="K1559">
        <f t="shared" si="24"/>
        <v>240000</v>
      </c>
      <c r="L1559">
        <f>Sales_Data2[[#This Row],[Unit Price]]*Sales_Data2[[#This Row],[Quantity]]</f>
        <v>900000</v>
      </c>
      <c r="M1559">
        <f>Sales_Data2[[#This Row],[Cost Price]]*Sales_Data2[[#This Row],[Quantity]]</f>
        <v>720000</v>
      </c>
      <c r="N1559" s="3">
        <f>Sales_Data2[[#This Row],[Revenue]]-Sales_Data2[[#This Row],[COGS]]</f>
        <v>180000</v>
      </c>
      <c r="O15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47233|East|Kano|Corporate|Online|Desktop PC D21|Electronics|300000|3|Musa|240000</v>
      </c>
      <c r="P1559" s="3" t="str">
        <f>IF(COUNTIF(Sales_Data2[RowKey],Sales_Data2[[#This Row],[RowKey]])&gt;1,"Duplicate","Unique")</f>
        <v>Unique</v>
      </c>
      <c r="Q1559" s="3" t="str">
        <f>IF(ISNUMBER(Sales_Data2[[#This Row],[Date]]),"OK","Check")</f>
        <v>OK</v>
      </c>
      <c r="R1559" s="3" t="str">
        <f>IF(ISNUMBER(Sales_Data2[[#This Row],[Quantity]]),"OK","Check")</f>
        <v>OK</v>
      </c>
    </row>
    <row r="1560" spans="1:18">
      <c r="A1560" s="1">
        <v>47234</v>
      </c>
      <c r="B1560" t="s">
        <v>11</v>
      </c>
      <c r="C1560" t="s">
        <v>26</v>
      </c>
      <c r="D1560" t="s">
        <v>13</v>
      </c>
      <c r="E1560" t="s">
        <v>14</v>
      </c>
      <c r="F1560" t="s">
        <v>41</v>
      </c>
      <c r="G1560" t="s">
        <v>22</v>
      </c>
      <c r="H1560">
        <v>220000</v>
      </c>
      <c r="I1560">
        <v>7</v>
      </c>
      <c r="J1560" t="s">
        <v>17</v>
      </c>
      <c r="K1560">
        <f t="shared" si="24"/>
        <v>176000</v>
      </c>
      <c r="L1560">
        <f>Sales_Data2[[#This Row],[Unit Price]]*Sales_Data2[[#This Row],[Quantity]]</f>
        <v>1540000</v>
      </c>
      <c r="M1560">
        <f>Sales_Data2[[#This Row],[Cost Price]]*Sales_Data2[[#This Row],[Quantity]]</f>
        <v>1232000</v>
      </c>
      <c r="N1560" s="3">
        <f>Sales_Data2[[#This Row],[Revenue]]-Sales_Data2[[#This Row],[COGS]]</f>
        <v>308000</v>
      </c>
      <c r="O15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47234|West|Kano|Retail|Online|Refrigerator R55|Home Appliances|220000|7|Chidinma|176000</v>
      </c>
      <c r="P1560" s="3" t="str">
        <f>IF(COUNTIF(Sales_Data2[RowKey],Sales_Data2[[#This Row],[RowKey]])&gt;1,"Duplicate","Unique")</f>
        <v>Unique</v>
      </c>
      <c r="Q1560" s="3" t="str">
        <f>IF(ISNUMBER(Sales_Data2[[#This Row],[Date]]),"OK","Check")</f>
        <v>OK</v>
      </c>
      <c r="R1560" s="3" t="str">
        <f>IF(ISNUMBER(Sales_Data2[[#This Row],[Quantity]]),"OK","Check")</f>
        <v>OK</v>
      </c>
    </row>
    <row r="1561" spans="1:18">
      <c r="A1561" s="1">
        <v>47235</v>
      </c>
      <c r="B1561" t="s">
        <v>25</v>
      </c>
      <c r="C1561" t="s">
        <v>19</v>
      </c>
      <c r="D1561" t="s">
        <v>13</v>
      </c>
      <c r="E1561" t="s">
        <v>14</v>
      </c>
      <c r="F1561" t="s">
        <v>27</v>
      </c>
      <c r="G1561" t="s">
        <v>22</v>
      </c>
      <c r="H1561">
        <v>60000</v>
      </c>
      <c r="I1561">
        <v>2</v>
      </c>
      <c r="J1561" t="s">
        <v>17</v>
      </c>
      <c r="K1561">
        <f t="shared" si="24"/>
        <v>48000</v>
      </c>
      <c r="L1561">
        <f>Sales_Data2[[#This Row],[Unit Price]]*Sales_Data2[[#This Row],[Quantity]]</f>
        <v>120000</v>
      </c>
      <c r="M1561">
        <f>Sales_Data2[[#This Row],[Cost Price]]*Sales_Data2[[#This Row],[Quantity]]</f>
        <v>96000</v>
      </c>
      <c r="N1561" s="3">
        <f>Sales_Data2[[#This Row],[Revenue]]-Sales_Data2[[#This Row],[COGS]]</f>
        <v>24000</v>
      </c>
      <c r="O15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47235|South|Lagos|Retail|Online|Microwave M20|Home Appliances|60000|2|Chidinma|48000</v>
      </c>
      <c r="P1561" s="3" t="str">
        <f>IF(COUNTIF(Sales_Data2[RowKey],Sales_Data2[[#This Row],[RowKey]])&gt;1,"Duplicate","Unique")</f>
        <v>Unique</v>
      </c>
      <c r="Q1561" s="3" t="str">
        <f>IF(ISNUMBER(Sales_Data2[[#This Row],[Date]]),"OK","Check")</f>
        <v>OK</v>
      </c>
      <c r="R1561" s="3" t="str">
        <f>IF(ISNUMBER(Sales_Data2[[#This Row],[Quantity]]),"OK","Check")</f>
        <v>OK</v>
      </c>
    </row>
    <row r="1562" spans="1:18">
      <c r="A1562" s="1">
        <v>47236</v>
      </c>
      <c r="B1562" t="s">
        <v>25</v>
      </c>
      <c r="C1562" t="s">
        <v>19</v>
      </c>
      <c r="D1562" t="s">
        <v>23</v>
      </c>
      <c r="E1562" t="s">
        <v>14</v>
      </c>
      <c r="F1562" t="s">
        <v>21</v>
      </c>
      <c r="G1562" t="s">
        <v>22</v>
      </c>
      <c r="H1562">
        <v>30000</v>
      </c>
      <c r="I1562">
        <v>4</v>
      </c>
      <c r="J1562" t="s">
        <v>35</v>
      </c>
      <c r="K1562">
        <f t="shared" si="24"/>
        <v>24000</v>
      </c>
      <c r="L1562">
        <f>Sales_Data2[[#This Row],[Unit Price]]*Sales_Data2[[#This Row],[Quantity]]</f>
        <v>120000</v>
      </c>
      <c r="M1562">
        <f>Sales_Data2[[#This Row],[Cost Price]]*Sales_Data2[[#This Row],[Quantity]]</f>
        <v>96000</v>
      </c>
      <c r="N1562" s="3">
        <f>Sales_Data2[[#This Row],[Revenue]]-Sales_Data2[[#This Row],[COGS]]</f>
        <v>24000</v>
      </c>
      <c r="O15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47236|South|Lagos|Corporate|Online|Blender B10|Home Appliances|30000|4|Peter|24000</v>
      </c>
      <c r="P1562" s="3" t="str">
        <f>IF(COUNTIF(Sales_Data2[RowKey],Sales_Data2[[#This Row],[RowKey]])&gt;1,"Duplicate","Unique")</f>
        <v>Unique</v>
      </c>
      <c r="Q1562" s="3" t="str">
        <f>IF(ISNUMBER(Sales_Data2[[#This Row],[Date]]),"OK","Check")</f>
        <v>OK</v>
      </c>
      <c r="R1562" s="3" t="str">
        <f>IF(ISNUMBER(Sales_Data2[[#This Row],[Quantity]]),"OK","Check")</f>
        <v>OK</v>
      </c>
    </row>
    <row r="1563" spans="1:18">
      <c r="A1563" s="1">
        <v>47237</v>
      </c>
      <c r="B1563" t="s">
        <v>11</v>
      </c>
      <c r="C1563" t="s">
        <v>19</v>
      </c>
      <c r="D1563" t="s">
        <v>23</v>
      </c>
      <c r="E1563" t="s">
        <v>20</v>
      </c>
      <c r="F1563" t="s">
        <v>34</v>
      </c>
      <c r="G1563" t="s">
        <v>16</v>
      </c>
      <c r="H1563">
        <v>320000</v>
      </c>
      <c r="I1563">
        <v>8</v>
      </c>
      <c r="J1563" t="s">
        <v>35</v>
      </c>
      <c r="K1563">
        <f t="shared" si="24"/>
        <v>256000</v>
      </c>
      <c r="L1563">
        <f>Sales_Data2[[#This Row],[Unit Price]]*Sales_Data2[[#This Row],[Quantity]]</f>
        <v>2560000</v>
      </c>
      <c r="M1563">
        <f>Sales_Data2[[#This Row],[Cost Price]]*Sales_Data2[[#This Row],[Quantity]]</f>
        <v>2048000</v>
      </c>
      <c r="N1563" s="3">
        <f>Sales_Data2[[#This Row],[Revenue]]-Sales_Data2[[#This Row],[COGS]]</f>
        <v>512000</v>
      </c>
      <c r="O15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47237|West|Lagos|Corporate|Store|Sofa Classic|Furniture|320000|8|Peter|256000</v>
      </c>
      <c r="P1563" s="3" t="str">
        <f>IF(COUNTIF(Sales_Data2[RowKey],Sales_Data2[[#This Row],[RowKey]])&gt;1,"Duplicate","Unique")</f>
        <v>Unique</v>
      </c>
      <c r="Q1563" s="3" t="str">
        <f>IF(ISNUMBER(Sales_Data2[[#This Row],[Date]]),"OK","Check")</f>
        <v>OK</v>
      </c>
      <c r="R1563" s="3" t="str">
        <f>IF(ISNUMBER(Sales_Data2[[#This Row],[Quantity]]),"OK","Check")</f>
        <v>OK</v>
      </c>
    </row>
    <row r="1564" spans="1:18">
      <c r="A1564" s="1">
        <v>47238</v>
      </c>
      <c r="B1564" t="s">
        <v>11</v>
      </c>
      <c r="C1564" t="s">
        <v>32</v>
      </c>
      <c r="D1564" t="s">
        <v>23</v>
      </c>
      <c r="E1564" t="s">
        <v>20</v>
      </c>
      <c r="F1564" t="s">
        <v>33</v>
      </c>
      <c r="G1564" t="s">
        <v>22</v>
      </c>
      <c r="H1564">
        <v>180000</v>
      </c>
      <c r="I1564">
        <v>5</v>
      </c>
      <c r="J1564" t="s">
        <v>28</v>
      </c>
      <c r="K1564">
        <f t="shared" si="24"/>
        <v>144000</v>
      </c>
      <c r="L1564">
        <f>Sales_Data2[[#This Row],[Unit Price]]*Sales_Data2[[#This Row],[Quantity]]</f>
        <v>900000</v>
      </c>
      <c r="M1564">
        <f>Sales_Data2[[#This Row],[Cost Price]]*Sales_Data2[[#This Row],[Quantity]]</f>
        <v>720000</v>
      </c>
      <c r="N1564" s="3">
        <f>Sales_Data2[[#This Row],[Revenue]]-Sales_Data2[[#This Row],[COGS]]</f>
        <v>180000</v>
      </c>
      <c r="O15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47238|West|Abuja|Corporate|Store|Air Conditioner X2|Home Appliances|180000|5|Musa|144000</v>
      </c>
      <c r="P1564" s="3" t="str">
        <f>IF(COUNTIF(Sales_Data2[RowKey],Sales_Data2[[#This Row],[RowKey]])&gt;1,"Duplicate","Unique")</f>
        <v>Unique</v>
      </c>
      <c r="Q1564" s="3" t="str">
        <f>IF(ISNUMBER(Sales_Data2[[#This Row],[Date]]),"OK","Check")</f>
        <v>OK</v>
      </c>
      <c r="R1564" s="3" t="str">
        <f>IF(ISNUMBER(Sales_Data2[[#This Row],[Quantity]]),"OK","Check")</f>
        <v>OK</v>
      </c>
    </row>
    <row r="1565" spans="1:18">
      <c r="A1565" s="1">
        <v>47239</v>
      </c>
      <c r="B1565" t="s">
        <v>18</v>
      </c>
      <c r="C1565" t="s">
        <v>12</v>
      </c>
      <c r="D1565" t="s">
        <v>13</v>
      </c>
      <c r="E1565" t="s">
        <v>20</v>
      </c>
      <c r="F1565" t="s">
        <v>34</v>
      </c>
      <c r="G1565" t="s">
        <v>16</v>
      </c>
      <c r="H1565">
        <v>320000</v>
      </c>
      <c r="I1565">
        <v>6</v>
      </c>
      <c r="J1565" t="s">
        <v>28</v>
      </c>
      <c r="K1565">
        <f t="shared" si="24"/>
        <v>256000</v>
      </c>
      <c r="L1565">
        <f>Sales_Data2[[#This Row],[Unit Price]]*Sales_Data2[[#This Row],[Quantity]]</f>
        <v>1920000</v>
      </c>
      <c r="M1565">
        <f>Sales_Data2[[#This Row],[Cost Price]]*Sales_Data2[[#This Row],[Quantity]]</f>
        <v>1536000</v>
      </c>
      <c r="N1565" s="3">
        <f>Sales_Data2[[#This Row],[Revenue]]-Sales_Data2[[#This Row],[COGS]]</f>
        <v>384000</v>
      </c>
      <c r="O15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47239|East|Port Harcourt|Retail|Store|Sofa Classic|Furniture|320000|6|Musa|256000</v>
      </c>
      <c r="P1565" s="3" t="str">
        <f>IF(COUNTIF(Sales_Data2[RowKey],Sales_Data2[[#This Row],[RowKey]])&gt;1,"Duplicate","Unique")</f>
        <v>Unique</v>
      </c>
      <c r="Q1565" s="3" t="str">
        <f>IF(ISNUMBER(Sales_Data2[[#This Row],[Date]]),"OK","Check")</f>
        <v>OK</v>
      </c>
      <c r="R1565" s="3" t="str">
        <f>IF(ISNUMBER(Sales_Data2[[#This Row],[Quantity]]),"OK","Check")</f>
        <v>OK</v>
      </c>
    </row>
    <row r="1566" spans="1:18">
      <c r="A1566" s="1">
        <v>47240</v>
      </c>
      <c r="B1566" t="s">
        <v>25</v>
      </c>
      <c r="C1566" t="s">
        <v>19</v>
      </c>
      <c r="D1566" t="s">
        <v>13</v>
      </c>
      <c r="E1566" t="s">
        <v>14</v>
      </c>
      <c r="F1566" t="s">
        <v>38</v>
      </c>
      <c r="G1566" t="s">
        <v>31</v>
      </c>
      <c r="H1566">
        <v>420000</v>
      </c>
      <c r="I1566">
        <v>3</v>
      </c>
      <c r="J1566" t="s">
        <v>28</v>
      </c>
      <c r="K1566">
        <f t="shared" si="24"/>
        <v>336000</v>
      </c>
      <c r="L1566">
        <f>Sales_Data2[[#This Row],[Unit Price]]*Sales_Data2[[#This Row],[Quantity]]</f>
        <v>1260000</v>
      </c>
      <c r="M1566">
        <f>Sales_Data2[[#This Row],[Cost Price]]*Sales_Data2[[#This Row],[Quantity]]</f>
        <v>1008000</v>
      </c>
      <c r="N1566" s="3">
        <f>Sales_Data2[[#This Row],[Revenue]]-Sales_Data2[[#This Row],[COGS]]</f>
        <v>252000</v>
      </c>
      <c r="O15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47240|South|Lagos|Retail|Online|Laptop A13|Electronics|420000|3|Musa|336000</v>
      </c>
      <c r="P1566" s="3" t="str">
        <f>IF(COUNTIF(Sales_Data2[RowKey],Sales_Data2[[#This Row],[RowKey]])&gt;1,"Duplicate","Unique")</f>
        <v>Unique</v>
      </c>
      <c r="Q1566" s="3" t="str">
        <f>IF(ISNUMBER(Sales_Data2[[#This Row],[Date]]),"OK","Check")</f>
        <v>OK</v>
      </c>
      <c r="R1566" s="3" t="str">
        <f>IF(ISNUMBER(Sales_Data2[[#This Row],[Quantity]]),"OK","Check")</f>
        <v>OK</v>
      </c>
    </row>
    <row r="1567" spans="1:18">
      <c r="A1567" s="1">
        <v>47241</v>
      </c>
      <c r="B1567" t="s">
        <v>29</v>
      </c>
      <c r="C1567" t="s">
        <v>32</v>
      </c>
      <c r="D1567" t="s">
        <v>23</v>
      </c>
      <c r="E1567" t="s">
        <v>14</v>
      </c>
      <c r="F1567" t="s">
        <v>36</v>
      </c>
      <c r="G1567" t="s">
        <v>31</v>
      </c>
      <c r="H1567">
        <v>150000</v>
      </c>
      <c r="I1567">
        <v>2</v>
      </c>
      <c r="J1567" t="s">
        <v>39</v>
      </c>
      <c r="K1567">
        <f t="shared" si="24"/>
        <v>120000</v>
      </c>
      <c r="L1567">
        <f>Sales_Data2[[#This Row],[Unit Price]]*Sales_Data2[[#This Row],[Quantity]]</f>
        <v>300000</v>
      </c>
      <c r="M1567">
        <f>Sales_Data2[[#This Row],[Cost Price]]*Sales_Data2[[#This Row],[Quantity]]</f>
        <v>240000</v>
      </c>
      <c r="N1567" s="3">
        <f>Sales_Data2[[#This Row],[Revenue]]-Sales_Data2[[#This Row],[COGS]]</f>
        <v>60000</v>
      </c>
      <c r="O15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47241|North|Abuja|Corporate|Online|Printer P50|Electronics|150000|2|Grace|120000</v>
      </c>
      <c r="P1567" s="3" t="str">
        <f>IF(COUNTIF(Sales_Data2[RowKey],Sales_Data2[[#This Row],[RowKey]])&gt;1,"Duplicate","Unique")</f>
        <v>Unique</v>
      </c>
      <c r="Q1567" s="3" t="str">
        <f>IF(ISNUMBER(Sales_Data2[[#This Row],[Date]]),"OK","Check")</f>
        <v>OK</v>
      </c>
      <c r="R1567" s="3" t="str">
        <f>IF(ISNUMBER(Sales_Data2[[#This Row],[Quantity]]),"OK","Check")</f>
        <v>OK</v>
      </c>
    </row>
    <row r="1568" spans="1:18">
      <c r="A1568" s="1">
        <v>47242</v>
      </c>
      <c r="B1568" t="s">
        <v>11</v>
      </c>
      <c r="C1568" t="s">
        <v>32</v>
      </c>
      <c r="D1568" t="s">
        <v>13</v>
      </c>
      <c r="E1568" t="s">
        <v>14</v>
      </c>
      <c r="F1568" t="s">
        <v>33</v>
      </c>
      <c r="G1568" t="s">
        <v>22</v>
      </c>
      <c r="H1568">
        <v>180000</v>
      </c>
      <c r="I1568">
        <v>8</v>
      </c>
      <c r="J1568" t="s">
        <v>35</v>
      </c>
      <c r="K1568">
        <f t="shared" si="24"/>
        <v>144000</v>
      </c>
      <c r="L1568">
        <f>Sales_Data2[[#This Row],[Unit Price]]*Sales_Data2[[#This Row],[Quantity]]</f>
        <v>1440000</v>
      </c>
      <c r="M1568">
        <f>Sales_Data2[[#This Row],[Cost Price]]*Sales_Data2[[#This Row],[Quantity]]</f>
        <v>1152000</v>
      </c>
      <c r="N1568" s="3">
        <f>Sales_Data2[[#This Row],[Revenue]]-Sales_Data2[[#This Row],[COGS]]</f>
        <v>288000</v>
      </c>
      <c r="O15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47242|West|Abuja|Retail|Online|Air Conditioner X2|Home Appliances|180000|8|Peter|144000</v>
      </c>
      <c r="P1568" s="3" t="str">
        <f>IF(COUNTIF(Sales_Data2[RowKey],Sales_Data2[[#This Row],[RowKey]])&gt;1,"Duplicate","Unique")</f>
        <v>Unique</v>
      </c>
      <c r="Q1568" s="3" t="str">
        <f>IF(ISNUMBER(Sales_Data2[[#This Row],[Date]]),"OK","Check")</f>
        <v>OK</v>
      </c>
      <c r="R1568" s="3" t="str">
        <f>IF(ISNUMBER(Sales_Data2[[#This Row],[Quantity]]),"OK","Check")</f>
        <v>OK</v>
      </c>
    </row>
    <row r="1569" spans="1:18">
      <c r="A1569" s="1">
        <v>47243</v>
      </c>
      <c r="B1569" t="s">
        <v>29</v>
      </c>
      <c r="C1569" t="s">
        <v>19</v>
      </c>
      <c r="D1569" t="s">
        <v>13</v>
      </c>
      <c r="E1569" t="s">
        <v>14</v>
      </c>
      <c r="F1569" t="s">
        <v>36</v>
      </c>
      <c r="G1569" t="s">
        <v>31</v>
      </c>
      <c r="H1569">
        <v>150000</v>
      </c>
      <c r="I1569">
        <v>4</v>
      </c>
      <c r="J1569" t="s">
        <v>35</v>
      </c>
      <c r="K1569">
        <f t="shared" si="24"/>
        <v>120000</v>
      </c>
      <c r="L1569">
        <f>Sales_Data2[[#This Row],[Unit Price]]*Sales_Data2[[#This Row],[Quantity]]</f>
        <v>600000</v>
      </c>
      <c r="M1569">
        <f>Sales_Data2[[#This Row],[Cost Price]]*Sales_Data2[[#This Row],[Quantity]]</f>
        <v>480000</v>
      </c>
      <c r="N1569" s="3">
        <f>Sales_Data2[[#This Row],[Revenue]]-Sales_Data2[[#This Row],[COGS]]</f>
        <v>120000</v>
      </c>
      <c r="O15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47243|North|Lagos|Retail|Online|Printer P50|Electronics|150000|4|Peter|120000</v>
      </c>
      <c r="P1569" s="3" t="str">
        <f>IF(COUNTIF(Sales_Data2[RowKey],Sales_Data2[[#This Row],[RowKey]])&gt;1,"Duplicate","Unique")</f>
        <v>Unique</v>
      </c>
      <c r="Q1569" s="3" t="str">
        <f>IF(ISNUMBER(Sales_Data2[[#This Row],[Date]]),"OK","Check")</f>
        <v>OK</v>
      </c>
      <c r="R1569" s="3" t="str">
        <f>IF(ISNUMBER(Sales_Data2[[#This Row],[Quantity]]),"OK","Check")</f>
        <v>OK</v>
      </c>
    </row>
    <row r="1570" spans="1:18">
      <c r="A1570" s="1">
        <v>47244</v>
      </c>
      <c r="B1570" t="s">
        <v>29</v>
      </c>
      <c r="C1570" t="s">
        <v>26</v>
      </c>
      <c r="D1570" t="s">
        <v>23</v>
      </c>
      <c r="E1570" t="s">
        <v>20</v>
      </c>
      <c r="F1570" t="s">
        <v>27</v>
      </c>
      <c r="G1570" t="s">
        <v>22</v>
      </c>
      <c r="H1570">
        <v>60000</v>
      </c>
      <c r="I1570">
        <v>8</v>
      </c>
      <c r="J1570" t="s">
        <v>28</v>
      </c>
      <c r="K1570">
        <f t="shared" si="24"/>
        <v>48000</v>
      </c>
      <c r="L1570">
        <f>Sales_Data2[[#This Row],[Unit Price]]*Sales_Data2[[#This Row],[Quantity]]</f>
        <v>480000</v>
      </c>
      <c r="M1570">
        <f>Sales_Data2[[#This Row],[Cost Price]]*Sales_Data2[[#This Row],[Quantity]]</f>
        <v>384000</v>
      </c>
      <c r="N1570" s="3">
        <f>Sales_Data2[[#This Row],[Revenue]]-Sales_Data2[[#This Row],[COGS]]</f>
        <v>96000</v>
      </c>
      <c r="O15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47244|North|Kano|Corporate|Store|Microwave M20|Home Appliances|60000|8|Musa|48000</v>
      </c>
      <c r="P1570" s="3" t="str">
        <f>IF(COUNTIF(Sales_Data2[RowKey],Sales_Data2[[#This Row],[RowKey]])&gt;1,"Duplicate","Unique")</f>
        <v>Unique</v>
      </c>
      <c r="Q1570" s="3" t="str">
        <f>IF(ISNUMBER(Sales_Data2[[#This Row],[Date]]),"OK","Check")</f>
        <v>OK</v>
      </c>
      <c r="R1570" s="3" t="str">
        <f>IF(ISNUMBER(Sales_Data2[[#This Row],[Quantity]]),"OK","Check")</f>
        <v>OK</v>
      </c>
    </row>
    <row r="1571" spans="1:18">
      <c r="A1571" s="1">
        <v>47245</v>
      </c>
      <c r="B1571" t="s">
        <v>29</v>
      </c>
      <c r="C1571" t="s">
        <v>12</v>
      </c>
      <c r="D1571" t="s">
        <v>23</v>
      </c>
      <c r="E1571" t="s">
        <v>20</v>
      </c>
      <c r="F1571" t="s">
        <v>38</v>
      </c>
      <c r="G1571" t="s">
        <v>31</v>
      </c>
      <c r="H1571">
        <v>420000</v>
      </c>
      <c r="I1571">
        <v>5</v>
      </c>
      <c r="J1571" t="s">
        <v>37</v>
      </c>
      <c r="K1571">
        <f t="shared" si="24"/>
        <v>336000</v>
      </c>
      <c r="L1571">
        <f>Sales_Data2[[#This Row],[Unit Price]]*Sales_Data2[[#This Row],[Quantity]]</f>
        <v>2100000</v>
      </c>
      <c r="M1571">
        <f>Sales_Data2[[#This Row],[Cost Price]]*Sales_Data2[[#This Row],[Quantity]]</f>
        <v>1680000</v>
      </c>
      <c r="N1571" s="3">
        <f>Sales_Data2[[#This Row],[Revenue]]-Sales_Data2[[#This Row],[COGS]]</f>
        <v>420000</v>
      </c>
      <c r="O15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47245|North|Port Harcourt|Corporate|Store|Laptop A13|Electronics|420000|5|Aisha|336000</v>
      </c>
      <c r="P1571" s="3" t="str">
        <f>IF(COUNTIF(Sales_Data2[RowKey],Sales_Data2[[#This Row],[RowKey]])&gt;1,"Duplicate","Unique")</f>
        <v>Unique</v>
      </c>
      <c r="Q1571" s="3" t="str">
        <f>IF(ISNUMBER(Sales_Data2[[#This Row],[Date]]),"OK","Check")</f>
        <v>OK</v>
      </c>
      <c r="R1571" s="3" t="str">
        <f>IF(ISNUMBER(Sales_Data2[[#This Row],[Quantity]]),"OK","Check")</f>
        <v>OK</v>
      </c>
    </row>
    <row r="1572" spans="1:18">
      <c r="A1572" s="1">
        <v>47246</v>
      </c>
      <c r="B1572" t="s">
        <v>29</v>
      </c>
      <c r="C1572" t="s">
        <v>12</v>
      </c>
      <c r="D1572" t="s">
        <v>13</v>
      </c>
      <c r="E1572" t="s">
        <v>20</v>
      </c>
      <c r="F1572" t="s">
        <v>38</v>
      </c>
      <c r="G1572" t="s">
        <v>31</v>
      </c>
      <c r="H1572">
        <v>420000</v>
      </c>
      <c r="I1572">
        <v>6</v>
      </c>
      <c r="J1572" t="s">
        <v>39</v>
      </c>
      <c r="K1572">
        <f t="shared" si="24"/>
        <v>336000</v>
      </c>
      <c r="L1572">
        <f>Sales_Data2[[#This Row],[Unit Price]]*Sales_Data2[[#This Row],[Quantity]]</f>
        <v>2520000</v>
      </c>
      <c r="M1572">
        <f>Sales_Data2[[#This Row],[Cost Price]]*Sales_Data2[[#This Row],[Quantity]]</f>
        <v>2016000</v>
      </c>
      <c r="N1572" s="3">
        <f>Sales_Data2[[#This Row],[Revenue]]-Sales_Data2[[#This Row],[COGS]]</f>
        <v>504000</v>
      </c>
      <c r="O15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47246|North|Port Harcourt|Retail|Store|Laptop A13|Electronics|420000|6|Grace|336000</v>
      </c>
      <c r="P1572" s="3" t="str">
        <f>IF(COUNTIF(Sales_Data2[RowKey],Sales_Data2[[#This Row],[RowKey]])&gt;1,"Duplicate","Unique")</f>
        <v>Unique</v>
      </c>
      <c r="Q1572" s="3" t="str">
        <f>IF(ISNUMBER(Sales_Data2[[#This Row],[Date]]),"OK","Check")</f>
        <v>OK</v>
      </c>
      <c r="R1572" s="3" t="str">
        <f>IF(ISNUMBER(Sales_Data2[[#This Row],[Quantity]]),"OK","Check")</f>
        <v>OK</v>
      </c>
    </row>
    <row r="1573" spans="1:18">
      <c r="A1573" s="1">
        <v>47247</v>
      </c>
      <c r="B1573" t="s">
        <v>25</v>
      </c>
      <c r="C1573" t="s">
        <v>12</v>
      </c>
      <c r="D1573" t="s">
        <v>13</v>
      </c>
      <c r="E1573" t="s">
        <v>20</v>
      </c>
      <c r="F1573" t="s">
        <v>30</v>
      </c>
      <c r="G1573" t="s">
        <v>31</v>
      </c>
      <c r="H1573">
        <v>300000</v>
      </c>
      <c r="I1573">
        <v>4</v>
      </c>
      <c r="J1573" t="s">
        <v>24</v>
      </c>
      <c r="K1573">
        <f t="shared" si="24"/>
        <v>240000</v>
      </c>
      <c r="L1573">
        <f>Sales_Data2[[#This Row],[Unit Price]]*Sales_Data2[[#This Row],[Quantity]]</f>
        <v>1200000</v>
      </c>
      <c r="M1573">
        <f>Sales_Data2[[#This Row],[Cost Price]]*Sales_Data2[[#This Row],[Quantity]]</f>
        <v>960000</v>
      </c>
      <c r="N1573" s="3">
        <f>Sales_Data2[[#This Row],[Revenue]]-Sales_Data2[[#This Row],[COGS]]</f>
        <v>240000</v>
      </c>
      <c r="O15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47247|South|Port Harcourt|Retail|Store|Desktop PC D21|Electronics|300000|4|David|240000</v>
      </c>
      <c r="P1573" s="3" t="str">
        <f>IF(COUNTIF(Sales_Data2[RowKey],Sales_Data2[[#This Row],[RowKey]])&gt;1,"Duplicate","Unique")</f>
        <v>Unique</v>
      </c>
      <c r="Q1573" s="3" t="str">
        <f>IF(ISNUMBER(Sales_Data2[[#This Row],[Date]]),"OK","Check")</f>
        <v>OK</v>
      </c>
      <c r="R1573" s="3" t="str">
        <f>IF(ISNUMBER(Sales_Data2[[#This Row],[Quantity]]),"OK","Check")</f>
        <v>OK</v>
      </c>
    </row>
    <row r="1574" spans="1:18">
      <c r="A1574" s="1">
        <v>47248</v>
      </c>
      <c r="B1574" t="s">
        <v>18</v>
      </c>
      <c r="C1574" t="s">
        <v>32</v>
      </c>
      <c r="D1574" t="s">
        <v>13</v>
      </c>
      <c r="E1574" t="s">
        <v>14</v>
      </c>
      <c r="F1574" t="s">
        <v>33</v>
      </c>
      <c r="G1574" t="s">
        <v>22</v>
      </c>
      <c r="H1574">
        <v>180000</v>
      </c>
      <c r="I1574">
        <v>1</v>
      </c>
      <c r="J1574" t="s">
        <v>39</v>
      </c>
      <c r="K1574">
        <f t="shared" si="24"/>
        <v>144000</v>
      </c>
      <c r="L1574">
        <f>Sales_Data2[[#This Row],[Unit Price]]*Sales_Data2[[#This Row],[Quantity]]</f>
        <v>180000</v>
      </c>
      <c r="M1574">
        <f>Sales_Data2[[#This Row],[Cost Price]]*Sales_Data2[[#This Row],[Quantity]]</f>
        <v>144000</v>
      </c>
      <c r="N1574" s="3">
        <f>Sales_Data2[[#This Row],[Revenue]]-Sales_Data2[[#This Row],[COGS]]</f>
        <v>36000</v>
      </c>
      <c r="O15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47248|East|Abuja|Retail|Online|Air Conditioner X2|Home Appliances|180000|1|Grace|144000</v>
      </c>
      <c r="P1574" s="3" t="str">
        <f>IF(COUNTIF(Sales_Data2[RowKey],Sales_Data2[[#This Row],[RowKey]])&gt;1,"Duplicate","Unique")</f>
        <v>Unique</v>
      </c>
      <c r="Q1574" s="3" t="str">
        <f>IF(ISNUMBER(Sales_Data2[[#This Row],[Date]]),"OK","Check")</f>
        <v>OK</v>
      </c>
      <c r="R1574" s="3" t="str">
        <f>IF(ISNUMBER(Sales_Data2[[#This Row],[Quantity]]),"OK","Check")</f>
        <v>OK</v>
      </c>
    </row>
    <row r="1575" spans="1:18">
      <c r="A1575" s="1">
        <v>47249</v>
      </c>
      <c r="B1575" t="s">
        <v>29</v>
      </c>
      <c r="C1575" t="s">
        <v>32</v>
      </c>
      <c r="D1575" t="s">
        <v>23</v>
      </c>
      <c r="E1575" t="s">
        <v>14</v>
      </c>
      <c r="F1575" t="s">
        <v>38</v>
      </c>
      <c r="G1575" t="s">
        <v>31</v>
      </c>
      <c r="H1575">
        <v>420000</v>
      </c>
      <c r="I1575">
        <v>5</v>
      </c>
      <c r="J1575" t="s">
        <v>37</v>
      </c>
      <c r="K1575">
        <f t="shared" si="24"/>
        <v>336000</v>
      </c>
      <c r="L1575">
        <f>Sales_Data2[[#This Row],[Unit Price]]*Sales_Data2[[#This Row],[Quantity]]</f>
        <v>2100000</v>
      </c>
      <c r="M1575">
        <f>Sales_Data2[[#This Row],[Cost Price]]*Sales_Data2[[#This Row],[Quantity]]</f>
        <v>1680000</v>
      </c>
      <c r="N1575" s="3">
        <f>Sales_Data2[[#This Row],[Revenue]]-Sales_Data2[[#This Row],[COGS]]</f>
        <v>420000</v>
      </c>
      <c r="O15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47249|North|Abuja|Corporate|Online|Laptop A13|Electronics|420000|5|Aisha|336000</v>
      </c>
      <c r="P1575" s="3" t="str">
        <f>IF(COUNTIF(Sales_Data2[RowKey],Sales_Data2[[#This Row],[RowKey]])&gt;1,"Duplicate","Unique")</f>
        <v>Unique</v>
      </c>
      <c r="Q1575" s="3" t="str">
        <f>IF(ISNUMBER(Sales_Data2[[#This Row],[Date]]),"OK","Check")</f>
        <v>OK</v>
      </c>
      <c r="R1575" s="3" t="str">
        <f>IF(ISNUMBER(Sales_Data2[[#This Row],[Quantity]]),"OK","Check")</f>
        <v>OK</v>
      </c>
    </row>
    <row r="1576" spans="1:18">
      <c r="A1576" s="1">
        <v>47250</v>
      </c>
      <c r="B1576" t="s">
        <v>11</v>
      </c>
      <c r="C1576" t="s">
        <v>19</v>
      </c>
      <c r="D1576" t="s">
        <v>23</v>
      </c>
      <c r="E1576" t="s">
        <v>20</v>
      </c>
      <c r="F1576" t="s">
        <v>40</v>
      </c>
      <c r="G1576" t="s">
        <v>31</v>
      </c>
      <c r="H1576">
        <v>250000</v>
      </c>
      <c r="I1576">
        <v>7</v>
      </c>
      <c r="J1576" t="s">
        <v>39</v>
      </c>
      <c r="K1576">
        <f t="shared" si="24"/>
        <v>200000</v>
      </c>
      <c r="L1576">
        <f>Sales_Data2[[#This Row],[Unit Price]]*Sales_Data2[[#This Row],[Quantity]]</f>
        <v>1750000</v>
      </c>
      <c r="M1576">
        <f>Sales_Data2[[#This Row],[Cost Price]]*Sales_Data2[[#This Row],[Quantity]]</f>
        <v>1400000</v>
      </c>
      <c r="N1576" s="3">
        <f>Sales_Data2[[#This Row],[Revenue]]-Sales_Data2[[#This Row],[COGS]]</f>
        <v>350000</v>
      </c>
      <c r="O15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47250|West|Lagos|Corporate|Store|Smartphone Z10|Electronics|250000|7|Grace|200000</v>
      </c>
      <c r="P1576" s="3" t="str">
        <f>IF(COUNTIF(Sales_Data2[RowKey],Sales_Data2[[#This Row],[RowKey]])&gt;1,"Duplicate","Unique")</f>
        <v>Unique</v>
      </c>
      <c r="Q1576" s="3" t="str">
        <f>IF(ISNUMBER(Sales_Data2[[#This Row],[Date]]),"OK","Check")</f>
        <v>OK</v>
      </c>
      <c r="R1576" s="3" t="str">
        <f>IF(ISNUMBER(Sales_Data2[[#This Row],[Quantity]]),"OK","Check")</f>
        <v>OK</v>
      </c>
    </row>
    <row r="1577" spans="1:18">
      <c r="A1577" s="1">
        <v>47251</v>
      </c>
      <c r="B1577" t="s">
        <v>25</v>
      </c>
      <c r="C1577" t="s">
        <v>32</v>
      </c>
      <c r="D1577" t="s">
        <v>23</v>
      </c>
      <c r="E1577" t="s">
        <v>14</v>
      </c>
      <c r="F1577" t="s">
        <v>21</v>
      </c>
      <c r="G1577" t="s">
        <v>22</v>
      </c>
      <c r="H1577">
        <v>30000</v>
      </c>
      <c r="I1577">
        <v>1</v>
      </c>
      <c r="J1577" t="s">
        <v>39</v>
      </c>
      <c r="K1577">
        <f t="shared" si="24"/>
        <v>24000</v>
      </c>
      <c r="L1577">
        <f>Sales_Data2[[#This Row],[Unit Price]]*Sales_Data2[[#This Row],[Quantity]]</f>
        <v>30000</v>
      </c>
      <c r="M1577">
        <f>Sales_Data2[[#This Row],[Cost Price]]*Sales_Data2[[#This Row],[Quantity]]</f>
        <v>24000</v>
      </c>
      <c r="N1577" s="3">
        <f>Sales_Data2[[#This Row],[Revenue]]-Sales_Data2[[#This Row],[COGS]]</f>
        <v>6000</v>
      </c>
      <c r="O15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47251|South|Abuja|Corporate|Online|Blender B10|Home Appliances|30000|1|Grace|24000</v>
      </c>
      <c r="P1577" s="3" t="str">
        <f>IF(COUNTIF(Sales_Data2[RowKey],Sales_Data2[[#This Row],[RowKey]])&gt;1,"Duplicate","Unique")</f>
        <v>Unique</v>
      </c>
      <c r="Q1577" s="3" t="str">
        <f>IF(ISNUMBER(Sales_Data2[[#This Row],[Date]]),"OK","Check")</f>
        <v>OK</v>
      </c>
      <c r="R1577" s="3" t="str">
        <f>IF(ISNUMBER(Sales_Data2[[#This Row],[Quantity]]),"OK","Check")</f>
        <v>OK</v>
      </c>
    </row>
    <row r="1578" spans="1:18">
      <c r="A1578" s="1">
        <v>47252</v>
      </c>
      <c r="B1578" t="s">
        <v>25</v>
      </c>
      <c r="C1578" t="s">
        <v>19</v>
      </c>
      <c r="D1578" t="s">
        <v>23</v>
      </c>
      <c r="E1578" t="s">
        <v>14</v>
      </c>
      <c r="F1578" t="s">
        <v>33</v>
      </c>
      <c r="G1578" t="s">
        <v>22</v>
      </c>
      <c r="H1578">
        <v>180000</v>
      </c>
      <c r="I1578">
        <v>9</v>
      </c>
      <c r="J1578" t="s">
        <v>35</v>
      </c>
      <c r="K1578">
        <f t="shared" si="24"/>
        <v>144000</v>
      </c>
      <c r="L1578">
        <f>Sales_Data2[[#This Row],[Unit Price]]*Sales_Data2[[#This Row],[Quantity]]</f>
        <v>1620000</v>
      </c>
      <c r="M1578">
        <f>Sales_Data2[[#This Row],[Cost Price]]*Sales_Data2[[#This Row],[Quantity]]</f>
        <v>1296000</v>
      </c>
      <c r="N1578" s="3">
        <f>Sales_Data2[[#This Row],[Revenue]]-Sales_Data2[[#This Row],[COGS]]</f>
        <v>324000</v>
      </c>
      <c r="O15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47252|South|Lagos|Corporate|Online|Air Conditioner X2|Home Appliances|180000|9|Peter|144000</v>
      </c>
      <c r="P1578" s="3" t="str">
        <f>IF(COUNTIF(Sales_Data2[RowKey],Sales_Data2[[#This Row],[RowKey]])&gt;1,"Duplicate","Unique")</f>
        <v>Unique</v>
      </c>
      <c r="Q1578" s="3" t="str">
        <f>IF(ISNUMBER(Sales_Data2[[#This Row],[Date]]),"OK","Check")</f>
        <v>OK</v>
      </c>
      <c r="R1578" s="3" t="str">
        <f>IF(ISNUMBER(Sales_Data2[[#This Row],[Quantity]]),"OK","Check")</f>
        <v>OK</v>
      </c>
    </row>
    <row r="1579" spans="1:18">
      <c r="A1579" s="1">
        <v>47253</v>
      </c>
      <c r="B1579" t="s">
        <v>29</v>
      </c>
      <c r="C1579" t="s">
        <v>19</v>
      </c>
      <c r="D1579" t="s">
        <v>23</v>
      </c>
      <c r="E1579" t="s">
        <v>14</v>
      </c>
      <c r="F1579" t="s">
        <v>30</v>
      </c>
      <c r="G1579" t="s">
        <v>31</v>
      </c>
      <c r="H1579">
        <v>300000</v>
      </c>
      <c r="I1579">
        <v>7</v>
      </c>
      <c r="J1579" t="s">
        <v>39</v>
      </c>
      <c r="K1579">
        <f t="shared" si="24"/>
        <v>240000</v>
      </c>
      <c r="L1579">
        <f>Sales_Data2[[#This Row],[Unit Price]]*Sales_Data2[[#This Row],[Quantity]]</f>
        <v>2100000</v>
      </c>
      <c r="M1579">
        <f>Sales_Data2[[#This Row],[Cost Price]]*Sales_Data2[[#This Row],[Quantity]]</f>
        <v>1680000</v>
      </c>
      <c r="N1579" s="3">
        <f>Sales_Data2[[#This Row],[Revenue]]-Sales_Data2[[#This Row],[COGS]]</f>
        <v>420000</v>
      </c>
      <c r="O15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47253|North|Lagos|Corporate|Online|Desktop PC D21|Electronics|300000|7|Grace|240000</v>
      </c>
      <c r="P1579" s="3" t="str">
        <f>IF(COUNTIF(Sales_Data2[RowKey],Sales_Data2[[#This Row],[RowKey]])&gt;1,"Duplicate","Unique")</f>
        <v>Unique</v>
      </c>
      <c r="Q1579" s="3" t="str">
        <f>IF(ISNUMBER(Sales_Data2[[#This Row],[Date]]),"OK","Check")</f>
        <v>OK</v>
      </c>
      <c r="R1579" s="3" t="str">
        <f>IF(ISNUMBER(Sales_Data2[[#This Row],[Quantity]]),"OK","Check")</f>
        <v>OK</v>
      </c>
    </row>
    <row r="1580" spans="1:18">
      <c r="A1580" s="1">
        <v>47254</v>
      </c>
      <c r="B1580" t="s">
        <v>18</v>
      </c>
      <c r="C1580" t="s">
        <v>19</v>
      </c>
      <c r="D1580" t="s">
        <v>13</v>
      </c>
      <c r="E1580" t="s">
        <v>14</v>
      </c>
      <c r="F1580" t="s">
        <v>27</v>
      </c>
      <c r="G1580" t="s">
        <v>22</v>
      </c>
      <c r="H1580">
        <v>60000</v>
      </c>
      <c r="I1580">
        <v>2</v>
      </c>
      <c r="J1580" t="s">
        <v>39</v>
      </c>
      <c r="K1580">
        <f t="shared" si="24"/>
        <v>48000</v>
      </c>
      <c r="L1580">
        <f>Sales_Data2[[#This Row],[Unit Price]]*Sales_Data2[[#This Row],[Quantity]]</f>
        <v>120000</v>
      </c>
      <c r="M1580">
        <f>Sales_Data2[[#This Row],[Cost Price]]*Sales_Data2[[#This Row],[Quantity]]</f>
        <v>96000</v>
      </c>
      <c r="N1580" s="3">
        <f>Sales_Data2[[#This Row],[Revenue]]-Sales_Data2[[#This Row],[COGS]]</f>
        <v>24000</v>
      </c>
      <c r="O15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47254|East|Lagos|Retail|Online|Microwave M20|Home Appliances|60000|2|Grace|48000</v>
      </c>
      <c r="P1580" s="3" t="str">
        <f>IF(COUNTIF(Sales_Data2[RowKey],Sales_Data2[[#This Row],[RowKey]])&gt;1,"Duplicate","Unique")</f>
        <v>Unique</v>
      </c>
      <c r="Q1580" s="3" t="str">
        <f>IF(ISNUMBER(Sales_Data2[[#This Row],[Date]]),"OK","Check")</f>
        <v>OK</v>
      </c>
      <c r="R1580" s="3" t="str">
        <f>IF(ISNUMBER(Sales_Data2[[#This Row],[Quantity]]),"OK","Check")</f>
        <v>OK</v>
      </c>
    </row>
    <row r="1581" spans="1:18">
      <c r="A1581" s="1">
        <v>47255</v>
      </c>
      <c r="B1581" t="s">
        <v>11</v>
      </c>
      <c r="C1581" t="s">
        <v>32</v>
      </c>
      <c r="D1581" t="s">
        <v>23</v>
      </c>
      <c r="E1581" t="s">
        <v>14</v>
      </c>
      <c r="F1581" t="s">
        <v>40</v>
      </c>
      <c r="G1581" t="s">
        <v>31</v>
      </c>
      <c r="H1581">
        <v>250000</v>
      </c>
      <c r="I1581">
        <v>5</v>
      </c>
      <c r="J1581" t="s">
        <v>28</v>
      </c>
      <c r="K1581">
        <f t="shared" si="24"/>
        <v>200000</v>
      </c>
      <c r="L1581">
        <f>Sales_Data2[[#This Row],[Unit Price]]*Sales_Data2[[#This Row],[Quantity]]</f>
        <v>1250000</v>
      </c>
      <c r="M1581">
        <f>Sales_Data2[[#This Row],[Cost Price]]*Sales_Data2[[#This Row],[Quantity]]</f>
        <v>1000000</v>
      </c>
      <c r="N1581" s="3">
        <f>Sales_Data2[[#This Row],[Revenue]]-Sales_Data2[[#This Row],[COGS]]</f>
        <v>250000</v>
      </c>
      <c r="O15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47255|West|Abuja|Corporate|Online|Smartphone Z10|Electronics|250000|5|Musa|200000</v>
      </c>
      <c r="P1581" s="3" t="str">
        <f>IF(COUNTIF(Sales_Data2[RowKey],Sales_Data2[[#This Row],[RowKey]])&gt;1,"Duplicate","Unique")</f>
        <v>Unique</v>
      </c>
      <c r="Q1581" s="3" t="str">
        <f>IF(ISNUMBER(Sales_Data2[[#This Row],[Date]]),"OK","Check")</f>
        <v>OK</v>
      </c>
      <c r="R1581" s="3" t="str">
        <f>IF(ISNUMBER(Sales_Data2[[#This Row],[Quantity]]),"OK","Check")</f>
        <v>OK</v>
      </c>
    </row>
    <row r="1582" spans="1:18">
      <c r="A1582" s="1">
        <v>47256</v>
      </c>
      <c r="B1582" t="s">
        <v>29</v>
      </c>
      <c r="C1582" t="s">
        <v>32</v>
      </c>
      <c r="D1582" t="s">
        <v>23</v>
      </c>
      <c r="E1582" t="s">
        <v>20</v>
      </c>
      <c r="F1582" t="s">
        <v>15</v>
      </c>
      <c r="G1582" t="s">
        <v>16</v>
      </c>
      <c r="H1582">
        <v>85000</v>
      </c>
      <c r="I1582">
        <v>9</v>
      </c>
      <c r="J1582" t="s">
        <v>35</v>
      </c>
      <c r="K1582">
        <f t="shared" si="24"/>
        <v>68000</v>
      </c>
      <c r="L1582">
        <f>Sales_Data2[[#This Row],[Unit Price]]*Sales_Data2[[#This Row],[Quantity]]</f>
        <v>765000</v>
      </c>
      <c r="M1582">
        <f>Sales_Data2[[#This Row],[Cost Price]]*Sales_Data2[[#This Row],[Quantity]]</f>
        <v>612000</v>
      </c>
      <c r="N1582" s="3">
        <f>Sales_Data2[[#This Row],[Revenue]]-Sales_Data2[[#This Row],[COGS]]</f>
        <v>153000</v>
      </c>
      <c r="O15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47256|North|Abuja|Corporate|Store|Office Chair Pro|Furniture|85000|9|Peter|68000</v>
      </c>
      <c r="P1582" s="3" t="str">
        <f>IF(COUNTIF(Sales_Data2[RowKey],Sales_Data2[[#This Row],[RowKey]])&gt;1,"Duplicate","Unique")</f>
        <v>Unique</v>
      </c>
      <c r="Q1582" s="3" t="str">
        <f>IF(ISNUMBER(Sales_Data2[[#This Row],[Date]]),"OK","Check")</f>
        <v>OK</v>
      </c>
      <c r="R1582" s="3" t="str">
        <f>IF(ISNUMBER(Sales_Data2[[#This Row],[Quantity]]),"OK","Check")</f>
        <v>OK</v>
      </c>
    </row>
    <row r="1583" spans="1:18">
      <c r="A1583" s="1">
        <v>47257</v>
      </c>
      <c r="B1583" t="s">
        <v>29</v>
      </c>
      <c r="C1583" t="s">
        <v>26</v>
      </c>
      <c r="D1583" t="s">
        <v>13</v>
      </c>
      <c r="E1583" t="s">
        <v>14</v>
      </c>
      <c r="F1583" t="s">
        <v>38</v>
      </c>
      <c r="G1583" t="s">
        <v>31</v>
      </c>
      <c r="H1583">
        <v>420000</v>
      </c>
      <c r="I1583">
        <v>5</v>
      </c>
      <c r="J1583" t="s">
        <v>28</v>
      </c>
      <c r="K1583">
        <f t="shared" si="24"/>
        <v>336000</v>
      </c>
      <c r="L1583">
        <f>Sales_Data2[[#This Row],[Unit Price]]*Sales_Data2[[#This Row],[Quantity]]</f>
        <v>2100000</v>
      </c>
      <c r="M1583">
        <f>Sales_Data2[[#This Row],[Cost Price]]*Sales_Data2[[#This Row],[Quantity]]</f>
        <v>1680000</v>
      </c>
      <c r="N1583" s="3">
        <f>Sales_Data2[[#This Row],[Revenue]]-Sales_Data2[[#This Row],[COGS]]</f>
        <v>420000</v>
      </c>
      <c r="O15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47257|North|Kano|Retail|Online|Laptop A13|Electronics|420000|5|Musa|336000</v>
      </c>
      <c r="P1583" s="3" t="str">
        <f>IF(COUNTIF(Sales_Data2[RowKey],Sales_Data2[[#This Row],[RowKey]])&gt;1,"Duplicate","Unique")</f>
        <v>Unique</v>
      </c>
      <c r="Q1583" s="3" t="str">
        <f>IF(ISNUMBER(Sales_Data2[[#This Row],[Date]]),"OK","Check")</f>
        <v>OK</v>
      </c>
      <c r="R1583" s="3" t="str">
        <f>IF(ISNUMBER(Sales_Data2[[#This Row],[Quantity]]),"OK","Check")</f>
        <v>OK</v>
      </c>
    </row>
    <row r="1584" spans="1:18">
      <c r="A1584" s="1">
        <v>47258</v>
      </c>
      <c r="B1584" t="s">
        <v>18</v>
      </c>
      <c r="C1584" t="s">
        <v>32</v>
      </c>
      <c r="D1584" t="s">
        <v>13</v>
      </c>
      <c r="E1584" t="s">
        <v>14</v>
      </c>
      <c r="F1584" t="s">
        <v>38</v>
      </c>
      <c r="G1584" t="s">
        <v>31</v>
      </c>
      <c r="H1584">
        <v>420000</v>
      </c>
      <c r="I1584">
        <v>7</v>
      </c>
      <c r="J1584" t="s">
        <v>28</v>
      </c>
      <c r="K1584">
        <f t="shared" si="24"/>
        <v>336000</v>
      </c>
      <c r="L1584">
        <f>Sales_Data2[[#This Row],[Unit Price]]*Sales_Data2[[#This Row],[Quantity]]</f>
        <v>2940000</v>
      </c>
      <c r="M1584">
        <f>Sales_Data2[[#This Row],[Cost Price]]*Sales_Data2[[#This Row],[Quantity]]</f>
        <v>2352000</v>
      </c>
      <c r="N1584" s="3">
        <f>Sales_Data2[[#This Row],[Revenue]]-Sales_Data2[[#This Row],[COGS]]</f>
        <v>588000</v>
      </c>
      <c r="O15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47258|East|Abuja|Retail|Online|Laptop A13|Electronics|420000|7|Musa|336000</v>
      </c>
      <c r="P1584" s="3" t="str">
        <f>IF(COUNTIF(Sales_Data2[RowKey],Sales_Data2[[#This Row],[RowKey]])&gt;1,"Duplicate","Unique")</f>
        <v>Unique</v>
      </c>
      <c r="Q1584" s="3" t="str">
        <f>IF(ISNUMBER(Sales_Data2[[#This Row],[Date]]),"OK","Check")</f>
        <v>OK</v>
      </c>
      <c r="R1584" s="3" t="str">
        <f>IF(ISNUMBER(Sales_Data2[[#This Row],[Quantity]]),"OK","Check")</f>
        <v>OK</v>
      </c>
    </row>
    <row r="1585" spans="1:18">
      <c r="A1585" s="1">
        <v>47259</v>
      </c>
      <c r="B1585" t="s">
        <v>29</v>
      </c>
      <c r="C1585" t="s">
        <v>12</v>
      </c>
      <c r="D1585" t="s">
        <v>13</v>
      </c>
      <c r="E1585" t="s">
        <v>20</v>
      </c>
      <c r="F1585" t="s">
        <v>34</v>
      </c>
      <c r="G1585" t="s">
        <v>16</v>
      </c>
      <c r="H1585">
        <v>320000</v>
      </c>
      <c r="I1585">
        <v>3</v>
      </c>
      <c r="J1585" t="s">
        <v>28</v>
      </c>
      <c r="K1585">
        <f t="shared" si="24"/>
        <v>256000</v>
      </c>
      <c r="L1585">
        <f>Sales_Data2[[#This Row],[Unit Price]]*Sales_Data2[[#This Row],[Quantity]]</f>
        <v>960000</v>
      </c>
      <c r="M1585">
        <f>Sales_Data2[[#This Row],[Cost Price]]*Sales_Data2[[#This Row],[Quantity]]</f>
        <v>768000</v>
      </c>
      <c r="N1585" s="3">
        <f>Sales_Data2[[#This Row],[Revenue]]-Sales_Data2[[#This Row],[COGS]]</f>
        <v>192000</v>
      </c>
      <c r="O15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47259|North|Port Harcourt|Retail|Store|Sofa Classic|Furniture|320000|3|Musa|256000</v>
      </c>
      <c r="P1585" s="3" t="str">
        <f>IF(COUNTIF(Sales_Data2[RowKey],Sales_Data2[[#This Row],[RowKey]])&gt;1,"Duplicate","Unique")</f>
        <v>Unique</v>
      </c>
      <c r="Q1585" s="3" t="str">
        <f>IF(ISNUMBER(Sales_Data2[[#This Row],[Date]]),"OK","Check")</f>
        <v>OK</v>
      </c>
      <c r="R1585" s="3" t="str">
        <f>IF(ISNUMBER(Sales_Data2[[#This Row],[Quantity]]),"OK","Check")</f>
        <v>OK</v>
      </c>
    </row>
    <row r="1586" spans="1:18">
      <c r="A1586" s="1">
        <v>47260</v>
      </c>
      <c r="B1586" t="s">
        <v>25</v>
      </c>
      <c r="C1586" t="s">
        <v>12</v>
      </c>
      <c r="D1586" t="s">
        <v>23</v>
      </c>
      <c r="E1586" t="s">
        <v>20</v>
      </c>
      <c r="F1586" t="s">
        <v>40</v>
      </c>
      <c r="G1586" t="s">
        <v>31</v>
      </c>
      <c r="H1586">
        <v>250000</v>
      </c>
      <c r="I1586">
        <v>10</v>
      </c>
      <c r="J1586" t="s">
        <v>28</v>
      </c>
      <c r="K1586">
        <f t="shared" si="24"/>
        <v>200000</v>
      </c>
      <c r="L1586">
        <f>Sales_Data2[[#This Row],[Unit Price]]*Sales_Data2[[#This Row],[Quantity]]</f>
        <v>2500000</v>
      </c>
      <c r="M1586">
        <f>Sales_Data2[[#This Row],[Cost Price]]*Sales_Data2[[#This Row],[Quantity]]</f>
        <v>2000000</v>
      </c>
      <c r="N1586" s="3">
        <f>Sales_Data2[[#This Row],[Revenue]]-Sales_Data2[[#This Row],[COGS]]</f>
        <v>500000</v>
      </c>
      <c r="O15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47260|South|Port Harcourt|Corporate|Store|Smartphone Z10|Electronics|250000|10|Musa|200000</v>
      </c>
      <c r="P1586" s="3" t="str">
        <f>IF(COUNTIF(Sales_Data2[RowKey],Sales_Data2[[#This Row],[RowKey]])&gt;1,"Duplicate","Unique")</f>
        <v>Unique</v>
      </c>
      <c r="Q1586" s="3" t="str">
        <f>IF(ISNUMBER(Sales_Data2[[#This Row],[Date]]),"OK","Check")</f>
        <v>OK</v>
      </c>
      <c r="R1586" s="3" t="str">
        <f>IF(ISNUMBER(Sales_Data2[[#This Row],[Quantity]]),"OK","Check")</f>
        <v>OK</v>
      </c>
    </row>
    <row r="1587" spans="1:18">
      <c r="A1587" s="1">
        <v>47261</v>
      </c>
      <c r="B1587" t="s">
        <v>18</v>
      </c>
      <c r="C1587" t="s">
        <v>26</v>
      </c>
      <c r="D1587" t="s">
        <v>13</v>
      </c>
      <c r="E1587" t="s">
        <v>14</v>
      </c>
      <c r="F1587" t="s">
        <v>36</v>
      </c>
      <c r="G1587" t="s">
        <v>31</v>
      </c>
      <c r="H1587">
        <v>150000</v>
      </c>
      <c r="I1587">
        <v>9</v>
      </c>
      <c r="J1587" t="s">
        <v>39</v>
      </c>
      <c r="K1587">
        <f t="shared" si="24"/>
        <v>120000</v>
      </c>
      <c r="L1587">
        <f>Sales_Data2[[#This Row],[Unit Price]]*Sales_Data2[[#This Row],[Quantity]]</f>
        <v>1350000</v>
      </c>
      <c r="M1587">
        <f>Sales_Data2[[#This Row],[Cost Price]]*Sales_Data2[[#This Row],[Quantity]]</f>
        <v>1080000</v>
      </c>
      <c r="N1587" s="3">
        <f>Sales_Data2[[#This Row],[Revenue]]-Sales_Data2[[#This Row],[COGS]]</f>
        <v>270000</v>
      </c>
      <c r="O15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47261|East|Kano|Retail|Online|Printer P50|Electronics|150000|9|Grace|120000</v>
      </c>
      <c r="P1587" s="3" t="str">
        <f>IF(COUNTIF(Sales_Data2[RowKey],Sales_Data2[[#This Row],[RowKey]])&gt;1,"Duplicate","Unique")</f>
        <v>Unique</v>
      </c>
      <c r="Q1587" s="3" t="str">
        <f>IF(ISNUMBER(Sales_Data2[[#This Row],[Date]]),"OK","Check")</f>
        <v>OK</v>
      </c>
      <c r="R1587" s="3" t="str">
        <f>IF(ISNUMBER(Sales_Data2[[#This Row],[Quantity]]),"OK","Check")</f>
        <v>OK</v>
      </c>
    </row>
    <row r="1588" spans="1:18">
      <c r="A1588" s="1">
        <v>47262</v>
      </c>
      <c r="B1588" t="s">
        <v>11</v>
      </c>
      <c r="C1588" t="s">
        <v>12</v>
      </c>
      <c r="D1588" t="s">
        <v>23</v>
      </c>
      <c r="E1588" t="s">
        <v>14</v>
      </c>
      <c r="F1588" t="s">
        <v>30</v>
      </c>
      <c r="G1588" t="s">
        <v>31</v>
      </c>
      <c r="H1588">
        <v>300000</v>
      </c>
      <c r="I1588">
        <v>10</v>
      </c>
      <c r="J1588" t="s">
        <v>17</v>
      </c>
      <c r="K1588">
        <f t="shared" si="24"/>
        <v>240000</v>
      </c>
      <c r="L1588">
        <f>Sales_Data2[[#This Row],[Unit Price]]*Sales_Data2[[#This Row],[Quantity]]</f>
        <v>3000000</v>
      </c>
      <c r="M1588">
        <f>Sales_Data2[[#This Row],[Cost Price]]*Sales_Data2[[#This Row],[Quantity]]</f>
        <v>2400000</v>
      </c>
      <c r="N1588" s="3">
        <f>Sales_Data2[[#This Row],[Revenue]]-Sales_Data2[[#This Row],[COGS]]</f>
        <v>600000</v>
      </c>
      <c r="O15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47262|West|Port Harcourt|Corporate|Online|Desktop PC D21|Electronics|300000|10|Chidinma|240000</v>
      </c>
      <c r="P1588" s="3" t="str">
        <f>IF(COUNTIF(Sales_Data2[RowKey],Sales_Data2[[#This Row],[RowKey]])&gt;1,"Duplicate","Unique")</f>
        <v>Unique</v>
      </c>
      <c r="Q1588" s="3" t="str">
        <f>IF(ISNUMBER(Sales_Data2[[#This Row],[Date]]),"OK","Check")</f>
        <v>OK</v>
      </c>
      <c r="R1588" s="3" t="str">
        <f>IF(ISNUMBER(Sales_Data2[[#This Row],[Quantity]]),"OK","Check")</f>
        <v>OK</v>
      </c>
    </row>
    <row r="1589" spans="1:18">
      <c r="A1589" s="1">
        <v>47263</v>
      </c>
      <c r="B1589" t="s">
        <v>18</v>
      </c>
      <c r="C1589" t="s">
        <v>12</v>
      </c>
      <c r="D1589" t="s">
        <v>23</v>
      </c>
      <c r="E1589" t="s">
        <v>20</v>
      </c>
      <c r="F1589" t="s">
        <v>30</v>
      </c>
      <c r="G1589" t="s">
        <v>31</v>
      </c>
      <c r="H1589">
        <v>300000</v>
      </c>
      <c r="I1589">
        <v>2</v>
      </c>
      <c r="J1589" t="s">
        <v>35</v>
      </c>
      <c r="K1589">
        <f t="shared" si="24"/>
        <v>240000</v>
      </c>
      <c r="L1589">
        <f>Sales_Data2[[#This Row],[Unit Price]]*Sales_Data2[[#This Row],[Quantity]]</f>
        <v>600000</v>
      </c>
      <c r="M1589">
        <f>Sales_Data2[[#This Row],[Cost Price]]*Sales_Data2[[#This Row],[Quantity]]</f>
        <v>480000</v>
      </c>
      <c r="N1589" s="3">
        <f>Sales_Data2[[#This Row],[Revenue]]-Sales_Data2[[#This Row],[COGS]]</f>
        <v>120000</v>
      </c>
      <c r="O15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47263|East|Port Harcourt|Corporate|Store|Desktop PC D21|Electronics|300000|2|Peter|240000</v>
      </c>
      <c r="P1589" s="3" t="str">
        <f>IF(COUNTIF(Sales_Data2[RowKey],Sales_Data2[[#This Row],[RowKey]])&gt;1,"Duplicate","Unique")</f>
        <v>Unique</v>
      </c>
      <c r="Q1589" s="3" t="str">
        <f>IF(ISNUMBER(Sales_Data2[[#This Row],[Date]]),"OK","Check")</f>
        <v>OK</v>
      </c>
      <c r="R1589" s="3" t="str">
        <f>IF(ISNUMBER(Sales_Data2[[#This Row],[Quantity]]),"OK","Check")</f>
        <v>OK</v>
      </c>
    </row>
    <row r="1590" spans="1:18">
      <c r="A1590" s="1">
        <v>47264</v>
      </c>
      <c r="B1590" t="s">
        <v>18</v>
      </c>
      <c r="C1590" t="s">
        <v>32</v>
      </c>
      <c r="D1590" t="s">
        <v>13</v>
      </c>
      <c r="E1590" t="s">
        <v>20</v>
      </c>
      <c r="F1590" t="s">
        <v>33</v>
      </c>
      <c r="G1590" t="s">
        <v>22</v>
      </c>
      <c r="H1590">
        <v>180000</v>
      </c>
      <c r="I1590">
        <v>2</v>
      </c>
      <c r="J1590" t="s">
        <v>35</v>
      </c>
      <c r="K1590">
        <f t="shared" si="24"/>
        <v>144000</v>
      </c>
      <c r="L1590">
        <f>Sales_Data2[[#This Row],[Unit Price]]*Sales_Data2[[#This Row],[Quantity]]</f>
        <v>360000</v>
      </c>
      <c r="M1590">
        <f>Sales_Data2[[#This Row],[Cost Price]]*Sales_Data2[[#This Row],[Quantity]]</f>
        <v>288000</v>
      </c>
      <c r="N1590" s="3">
        <f>Sales_Data2[[#This Row],[Revenue]]-Sales_Data2[[#This Row],[COGS]]</f>
        <v>72000</v>
      </c>
      <c r="O15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47264|East|Abuja|Retail|Store|Air Conditioner X2|Home Appliances|180000|2|Peter|144000</v>
      </c>
      <c r="P1590" s="3" t="str">
        <f>IF(COUNTIF(Sales_Data2[RowKey],Sales_Data2[[#This Row],[RowKey]])&gt;1,"Duplicate","Unique")</f>
        <v>Unique</v>
      </c>
      <c r="Q1590" s="3" t="str">
        <f>IF(ISNUMBER(Sales_Data2[[#This Row],[Date]]),"OK","Check")</f>
        <v>OK</v>
      </c>
      <c r="R1590" s="3" t="str">
        <f>IF(ISNUMBER(Sales_Data2[[#This Row],[Quantity]]),"OK","Check")</f>
        <v>OK</v>
      </c>
    </row>
    <row r="1591" spans="1:18">
      <c r="A1591" s="1">
        <v>47265</v>
      </c>
      <c r="B1591" t="s">
        <v>11</v>
      </c>
      <c r="C1591" t="s">
        <v>32</v>
      </c>
      <c r="D1591" t="s">
        <v>23</v>
      </c>
      <c r="E1591" t="s">
        <v>20</v>
      </c>
      <c r="F1591" t="s">
        <v>34</v>
      </c>
      <c r="G1591" t="s">
        <v>16</v>
      </c>
      <c r="H1591">
        <v>320000</v>
      </c>
      <c r="I1591">
        <v>10</v>
      </c>
      <c r="J1591" t="s">
        <v>39</v>
      </c>
      <c r="K1591">
        <f t="shared" si="24"/>
        <v>256000</v>
      </c>
      <c r="L1591">
        <f>Sales_Data2[[#This Row],[Unit Price]]*Sales_Data2[[#This Row],[Quantity]]</f>
        <v>3200000</v>
      </c>
      <c r="M1591">
        <f>Sales_Data2[[#This Row],[Cost Price]]*Sales_Data2[[#This Row],[Quantity]]</f>
        <v>2560000</v>
      </c>
      <c r="N1591" s="3">
        <f>Sales_Data2[[#This Row],[Revenue]]-Sales_Data2[[#This Row],[COGS]]</f>
        <v>640000</v>
      </c>
      <c r="O15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47265|West|Abuja|Corporate|Store|Sofa Classic|Furniture|320000|10|Grace|256000</v>
      </c>
      <c r="P1591" s="3" t="str">
        <f>IF(COUNTIF(Sales_Data2[RowKey],Sales_Data2[[#This Row],[RowKey]])&gt;1,"Duplicate","Unique")</f>
        <v>Unique</v>
      </c>
      <c r="Q1591" s="3" t="str">
        <f>IF(ISNUMBER(Sales_Data2[[#This Row],[Date]]),"OK","Check")</f>
        <v>OK</v>
      </c>
      <c r="R1591" s="3" t="str">
        <f>IF(ISNUMBER(Sales_Data2[[#This Row],[Quantity]]),"OK","Check")</f>
        <v>OK</v>
      </c>
    </row>
    <row r="1592" spans="1:18">
      <c r="A1592" s="1">
        <v>47266</v>
      </c>
      <c r="B1592" t="s">
        <v>29</v>
      </c>
      <c r="C1592" t="s">
        <v>12</v>
      </c>
      <c r="D1592" t="s">
        <v>23</v>
      </c>
      <c r="E1592" t="s">
        <v>20</v>
      </c>
      <c r="F1592" t="s">
        <v>34</v>
      </c>
      <c r="G1592" t="s">
        <v>16</v>
      </c>
      <c r="H1592">
        <v>320000</v>
      </c>
      <c r="I1592">
        <v>1</v>
      </c>
      <c r="J1592" t="s">
        <v>37</v>
      </c>
      <c r="K1592">
        <f t="shared" si="24"/>
        <v>256000</v>
      </c>
      <c r="L1592">
        <f>Sales_Data2[[#This Row],[Unit Price]]*Sales_Data2[[#This Row],[Quantity]]</f>
        <v>320000</v>
      </c>
      <c r="M1592">
        <f>Sales_Data2[[#This Row],[Cost Price]]*Sales_Data2[[#This Row],[Quantity]]</f>
        <v>256000</v>
      </c>
      <c r="N1592" s="3">
        <f>Sales_Data2[[#This Row],[Revenue]]-Sales_Data2[[#This Row],[COGS]]</f>
        <v>64000</v>
      </c>
      <c r="O15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47266|North|Port Harcourt|Corporate|Store|Sofa Classic|Furniture|320000|1|Aisha|256000</v>
      </c>
      <c r="P1592" s="3" t="str">
        <f>IF(COUNTIF(Sales_Data2[RowKey],Sales_Data2[[#This Row],[RowKey]])&gt;1,"Duplicate","Unique")</f>
        <v>Unique</v>
      </c>
      <c r="Q1592" s="3" t="str">
        <f>IF(ISNUMBER(Sales_Data2[[#This Row],[Date]]),"OK","Check")</f>
        <v>OK</v>
      </c>
      <c r="R1592" s="3" t="str">
        <f>IF(ISNUMBER(Sales_Data2[[#This Row],[Quantity]]),"OK","Check")</f>
        <v>OK</v>
      </c>
    </row>
    <row r="1593" spans="1:18">
      <c r="A1593" s="1">
        <v>47267</v>
      </c>
      <c r="B1593" t="s">
        <v>29</v>
      </c>
      <c r="C1593" t="s">
        <v>32</v>
      </c>
      <c r="D1593" t="s">
        <v>13</v>
      </c>
      <c r="E1593" t="s">
        <v>20</v>
      </c>
      <c r="F1593" t="s">
        <v>36</v>
      </c>
      <c r="G1593" t="s">
        <v>31</v>
      </c>
      <c r="H1593">
        <v>150000</v>
      </c>
      <c r="I1593">
        <v>6</v>
      </c>
      <c r="J1593" t="s">
        <v>35</v>
      </c>
      <c r="K1593">
        <f t="shared" si="24"/>
        <v>120000</v>
      </c>
      <c r="L1593">
        <f>Sales_Data2[[#This Row],[Unit Price]]*Sales_Data2[[#This Row],[Quantity]]</f>
        <v>900000</v>
      </c>
      <c r="M1593">
        <f>Sales_Data2[[#This Row],[Cost Price]]*Sales_Data2[[#This Row],[Quantity]]</f>
        <v>720000</v>
      </c>
      <c r="N1593" s="3">
        <f>Sales_Data2[[#This Row],[Revenue]]-Sales_Data2[[#This Row],[COGS]]</f>
        <v>180000</v>
      </c>
      <c r="O15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47267|North|Abuja|Retail|Store|Printer P50|Electronics|150000|6|Peter|120000</v>
      </c>
      <c r="P1593" s="3" t="str">
        <f>IF(COUNTIF(Sales_Data2[RowKey],Sales_Data2[[#This Row],[RowKey]])&gt;1,"Duplicate","Unique")</f>
        <v>Unique</v>
      </c>
      <c r="Q1593" s="3" t="str">
        <f>IF(ISNUMBER(Sales_Data2[[#This Row],[Date]]),"OK","Check")</f>
        <v>OK</v>
      </c>
      <c r="R1593" s="3" t="str">
        <f>IF(ISNUMBER(Sales_Data2[[#This Row],[Quantity]]),"OK","Check")</f>
        <v>OK</v>
      </c>
    </row>
    <row r="1594" spans="1:18">
      <c r="A1594" s="1">
        <v>47268</v>
      </c>
      <c r="B1594" t="s">
        <v>29</v>
      </c>
      <c r="C1594" t="s">
        <v>19</v>
      </c>
      <c r="D1594" t="s">
        <v>23</v>
      </c>
      <c r="E1594" t="s">
        <v>20</v>
      </c>
      <c r="F1594" t="s">
        <v>15</v>
      </c>
      <c r="G1594" t="s">
        <v>16</v>
      </c>
      <c r="H1594">
        <v>85000</v>
      </c>
      <c r="I1594">
        <v>9</v>
      </c>
      <c r="J1594" t="s">
        <v>35</v>
      </c>
      <c r="K1594">
        <f t="shared" si="24"/>
        <v>68000</v>
      </c>
      <c r="L1594">
        <f>Sales_Data2[[#This Row],[Unit Price]]*Sales_Data2[[#This Row],[Quantity]]</f>
        <v>765000</v>
      </c>
      <c r="M1594">
        <f>Sales_Data2[[#This Row],[Cost Price]]*Sales_Data2[[#This Row],[Quantity]]</f>
        <v>612000</v>
      </c>
      <c r="N1594" s="3">
        <f>Sales_Data2[[#This Row],[Revenue]]-Sales_Data2[[#This Row],[COGS]]</f>
        <v>153000</v>
      </c>
      <c r="O15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47268|North|Lagos|Corporate|Store|Office Chair Pro|Furniture|85000|9|Peter|68000</v>
      </c>
      <c r="P1594" s="3" t="str">
        <f>IF(COUNTIF(Sales_Data2[RowKey],Sales_Data2[[#This Row],[RowKey]])&gt;1,"Duplicate","Unique")</f>
        <v>Unique</v>
      </c>
      <c r="Q1594" s="3" t="str">
        <f>IF(ISNUMBER(Sales_Data2[[#This Row],[Date]]),"OK","Check")</f>
        <v>OK</v>
      </c>
      <c r="R1594" s="3" t="str">
        <f>IF(ISNUMBER(Sales_Data2[[#This Row],[Quantity]]),"OK","Check")</f>
        <v>OK</v>
      </c>
    </row>
    <row r="1595" spans="1:18">
      <c r="A1595" s="1">
        <v>47269</v>
      </c>
      <c r="B1595" t="s">
        <v>11</v>
      </c>
      <c r="C1595" t="s">
        <v>12</v>
      </c>
      <c r="D1595" t="s">
        <v>13</v>
      </c>
      <c r="E1595" t="s">
        <v>14</v>
      </c>
      <c r="F1595" t="s">
        <v>38</v>
      </c>
      <c r="G1595" t="s">
        <v>31</v>
      </c>
      <c r="H1595">
        <v>420000</v>
      </c>
      <c r="I1595">
        <v>7</v>
      </c>
      <c r="J1595" t="s">
        <v>17</v>
      </c>
      <c r="K1595">
        <f t="shared" si="24"/>
        <v>336000</v>
      </c>
      <c r="L1595">
        <f>Sales_Data2[[#This Row],[Unit Price]]*Sales_Data2[[#This Row],[Quantity]]</f>
        <v>2940000</v>
      </c>
      <c r="M1595">
        <f>Sales_Data2[[#This Row],[Cost Price]]*Sales_Data2[[#This Row],[Quantity]]</f>
        <v>2352000</v>
      </c>
      <c r="N1595" s="3">
        <f>Sales_Data2[[#This Row],[Revenue]]-Sales_Data2[[#This Row],[COGS]]</f>
        <v>588000</v>
      </c>
      <c r="O15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47269|West|Port Harcourt|Retail|Online|Laptop A13|Electronics|420000|7|Chidinma|336000</v>
      </c>
      <c r="P1595" s="3" t="str">
        <f>IF(COUNTIF(Sales_Data2[RowKey],Sales_Data2[[#This Row],[RowKey]])&gt;1,"Duplicate","Unique")</f>
        <v>Unique</v>
      </c>
      <c r="Q1595" s="3" t="str">
        <f>IF(ISNUMBER(Sales_Data2[[#This Row],[Date]]),"OK","Check")</f>
        <v>OK</v>
      </c>
      <c r="R1595" s="3" t="str">
        <f>IF(ISNUMBER(Sales_Data2[[#This Row],[Quantity]]),"OK","Check")</f>
        <v>OK</v>
      </c>
    </row>
    <row r="1596" spans="1:18">
      <c r="A1596" s="1">
        <v>47270</v>
      </c>
      <c r="B1596" t="s">
        <v>18</v>
      </c>
      <c r="C1596" t="s">
        <v>12</v>
      </c>
      <c r="D1596" t="s">
        <v>13</v>
      </c>
      <c r="E1596" t="s">
        <v>14</v>
      </c>
      <c r="F1596" t="s">
        <v>21</v>
      </c>
      <c r="G1596" t="s">
        <v>22</v>
      </c>
      <c r="H1596">
        <v>30000</v>
      </c>
      <c r="I1596">
        <v>3</v>
      </c>
      <c r="J1596" t="s">
        <v>35</v>
      </c>
      <c r="K1596">
        <f t="shared" si="24"/>
        <v>24000</v>
      </c>
      <c r="L1596">
        <f>Sales_Data2[[#This Row],[Unit Price]]*Sales_Data2[[#This Row],[Quantity]]</f>
        <v>90000</v>
      </c>
      <c r="M1596">
        <f>Sales_Data2[[#This Row],[Cost Price]]*Sales_Data2[[#This Row],[Quantity]]</f>
        <v>72000</v>
      </c>
      <c r="N1596" s="3">
        <f>Sales_Data2[[#This Row],[Revenue]]-Sales_Data2[[#This Row],[COGS]]</f>
        <v>18000</v>
      </c>
      <c r="O15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47270|East|Port Harcourt|Retail|Online|Blender B10|Home Appliances|30000|3|Peter|24000</v>
      </c>
      <c r="P1596" s="3" t="str">
        <f>IF(COUNTIF(Sales_Data2[RowKey],Sales_Data2[[#This Row],[RowKey]])&gt;1,"Duplicate","Unique")</f>
        <v>Unique</v>
      </c>
      <c r="Q1596" s="3" t="str">
        <f>IF(ISNUMBER(Sales_Data2[[#This Row],[Date]]),"OK","Check")</f>
        <v>OK</v>
      </c>
      <c r="R1596" s="3" t="str">
        <f>IF(ISNUMBER(Sales_Data2[[#This Row],[Quantity]]),"OK","Check")</f>
        <v>OK</v>
      </c>
    </row>
    <row r="1597" spans="1:18">
      <c r="A1597" s="1">
        <v>47271</v>
      </c>
      <c r="B1597" t="s">
        <v>18</v>
      </c>
      <c r="C1597" t="s">
        <v>19</v>
      </c>
      <c r="D1597" t="s">
        <v>23</v>
      </c>
      <c r="E1597" t="s">
        <v>20</v>
      </c>
      <c r="F1597" t="s">
        <v>21</v>
      </c>
      <c r="G1597" t="s">
        <v>22</v>
      </c>
      <c r="H1597">
        <v>30000</v>
      </c>
      <c r="I1597">
        <v>9</v>
      </c>
      <c r="J1597" t="s">
        <v>17</v>
      </c>
      <c r="K1597">
        <f t="shared" si="24"/>
        <v>24000</v>
      </c>
      <c r="L1597">
        <f>Sales_Data2[[#This Row],[Unit Price]]*Sales_Data2[[#This Row],[Quantity]]</f>
        <v>270000</v>
      </c>
      <c r="M1597">
        <f>Sales_Data2[[#This Row],[Cost Price]]*Sales_Data2[[#This Row],[Quantity]]</f>
        <v>216000</v>
      </c>
      <c r="N1597" s="3">
        <f>Sales_Data2[[#This Row],[Revenue]]-Sales_Data2[[#This Row],[COGS]]</f>
        <v>54000</v>
      </c>
      <c r="O15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47271|East|Lagos|Corporate|Store|Blender B10|Home Appliances|30000|9|Chidinma|24000</v>
      </c>
      <c r="P1597" s="3" t="str">
        <f>IF(COUNTIF(Sales_Data2[RowKey],Sales_Data2[[#This Row],[RowKey]])&gt;1,"Duplicate","Unique")</f>
        <v>Unique</v>
      </c>
      <c r="Q1597" s="3" t="str">
        <f>IF(ISNUMBER(Sales_Data2[[#This Row],[Date]]),"OK","Check")</f>
        <v>OK</v>
      </c>
      <c r="R1597" s="3" t="str">
        <f>IF(ISNUMBER(Sales_Data2[[#This Row],[Quantity]]),"OK","Check")</f>
        <v>OK</v>
      </c>
    </row>
    <row r="1598" spans="1:18">
      <c r="A1598" s="1">
        <v>47272</v>
      </c>
      <c r="B1598" t="s">
        <v>25</v>
      </c>
      <c r="C1598" t="s">
        <v>12</v>
      </c>
      <c r="D1598" t="s">
        <v>23</v>
      </c>
      <c r="E1598" t="s">
        <v>20</v>
      </c>
      <c r="F1598" t="s">
        <v>27</v>
      </c>
      <c r="G1598" t="s">
        <v>22</v>
      </c>
      <c r="H1598">
        <v>60000</v>
      </c>
      <c r="I1598">
        <v>1</v>
      </c>
      <c r="J1598" t="s">
        <v>37</v>
      </c>
      <c r="K1598">
        <f t="shared" si="24"/>
        <v>48000</v>
      </c>
      <c r="L1598">
        <f>Sales_Data2[[#This Row],[Unit Price]]*Sales_Data2[[#This Row],[Quantity]]</f>
        <v>60000</v>
      </c>
      <c r="M1598">
        <f>Sales_Data2[[#This Row],[Cost Price]]*Sales_Data2[[#This Row],[Quantity]]</f>
        <v>48000</v>
      </c>
      <c r="N1598" s="3">
        <f>Sales_Data2[[#This Row],[Revenue]]-Sales_Data2[[#This Row],[COGS]]</f>
        <v>12000</v>
      </c>
      <c r="O15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47272|South|Port Harcourt|Corporate|Store|Microwave M20|Home Appliances|60000|1|Aisha|48000</v>
      </c>
      <c r="P1598" s="3" t="str">
        <f>IF(COUNTIF(Sales_Data2[RowKey],Sales_Data2[[#This Row],[RowKey]])&gt;1,"Duplicate","Unique")</f>
        <v>Unique</v>
      </c>
      <c r="Q1598" s="3" t="str">
        <f>IF(ISNUMBER(Sales_Data2[[#This Row],[Date]]),"OK","Check")</f>
        <v>OK</v>
      </c>
      <c r="R1598" s="3" t="str">
        <f>IF(ISNUMBER(Sales_Data2[[#This Row],[Quantity]]),"OK","Check")</f>
        <v>OK</v>
      </c>
    </row>
    <row r="1599" spans="1:18">
      <c r="A1599" s="1">
        <v>47273</v>
      </c>
      <c r="B1599" t="s">
        <v>29</v>
      </c>
      <c r="C1599" t="s">
        <v>12</v>
      </c>
      <c r="D1599" t="s">
        <v>23</v>
      </c>
      <c r="E1599" t="s">
        <v>14</v>
      </c>
      <c r="F1599" t="s">
        <v>40</v>
      </c>
      <c r="G1599" t="s">
        <v>31</v>
      </c>
      <c r="H1599">
        <v>250000</v>
      </c>
      <c r="I1599">
        <v>1</v>
      </c>
      <c r="J1599" t="s">
        <v>39</v>
      </c>
      <c r="K1599">
        <f t="shared" si="24"/>
        <v>200000</v>
      </c>
      <c r="L1599">
        <f>Sales_Data2[[#This Row],[Unit Price]]*Sales_Data2[[#This Row],[Quantity]]</f>
        <v>250000</v>
      </c>
      <c r="M1599">
        <f>Sales_Data2[[#This Row],[Cost Price]]*Sales_Data2[[#This Row],[Quantity]]</f>
        <v>200000</v>
      </c>
      <c r="N1599" s="3">
        <f>Sales_Data2[[#This Row],[Revenue]]-Sales_Data2[[#This Row],[COGS]]</f>
        <v>50000</v>
      </c>
      <c r="O15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47273|North|Port Harcourt|Corporate|Online|Smartphone Z10|Electronics|250000|1|Grace|200000</v>
      </c>
      <c r="P1599" s="3" t="str">
        <f>IF(COUNTIF(Sales_Data2[RowKey],Sales_Data2[[#This Row],[RowKey]])&gt;1,"Duplicate","Unique")</f>
        <v>Unique</v>
      </c>
      <c r="Q1599" s="3" t="str">
        <f>IF(ISNUMBER(Sales_Data2[[#This Row],[Date]]),"OK","Check")</f>
        <v>OK</v>
      </c>
      <c r="R1599" s="3" t="str">
        <f>IF(ISNUMBER(Sales_Data2[[#This Row],[Quantity]]),"OK","Check")</f>
        <v>OK</v>
      </c>
    </row>
    <row r="1600" spans="1:18">
      <c r="A1600" s="1">
        <v>47274</v>
      </c>
      <c r="B1600" t="s">
        <v>29</v>
      </c>
      <c r="C1600" t="s">
        <v>19</v>
      </c>
      <c r="D1600" t="s">
        <v>23</v>
      </c>
      <c r="E1600" t="s">
        <v>14</v>
      </c>
      <c r="F1600" t="s">
        <v>36</v>
      </c>
      <c r="G1600" t="s">
        <v>31</v>
      </c>
      <c r="H1600">
        <v>150000</v>
      </c>
      <c r="I1600">
        <v>9</v>
      </c>
      <c r="J1600" t="s">
        <v>17</v>
      </c>
      <c r="K1600">
        <f t="shared" si="24"/>
        <v>120000</v>
      </c>
      <c r="L1600">
        <f>Sales_Data2[[#This Row],[Unit Price]]*Sales_Data2[[#This Row],[Quantity]]</f>
        <v>1350000</v>
      </c>
      <c r="M1600">
        <f>Sales_Data2[[#This Row],[Cost Price]]*Sales_Data2[[#This Row],[Quantity]]</f>
        <v>1080000</v>
      </c>
      <c r="N1600" s="3">
        <f>Sales_Data2[[#This Row],[Revenue]]-Sales_Data2[[#This Row],[COGS]]</f>
        <v>270000</v>
      </c>
      <c r="O16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47274|North|Lagos|Corporate|Online|Printer P50|Electronics|150000|9|Chidinma|120000</v>
      </c>
      <c r="P1600" s="3" t="str">
        <f>IF(COUNTIF(Sales_Data2[RowKey],Sales_Data2[[#This Row],[RowKey]])&gt;1,"Duplicate","Unique")</f>
        <v>Unique</v>
      </c>
      <c r="Q1600" s="3" t="str">
        <f>IF(ISNUMBER(Sales_Data2[[#This Row],[Date]]),"OK","Check")</f>
        <v>OK</v>
      </c>
      <c r="R1600" s="3" t="str">
        <f>IF(ISNUMBER(Sales_Data2[[#This Row],[Quantity]]),"OK","Check")</f>
        <v>OK</v>
      </c>
    </row>
    <row r="1601" spans="1:18">
      <c r="A1601" s="1">
        <v>47275</v>
      </c>
      <c r="B1601" t="s">
        <v>11</v>
      </c>
      <c r="C1601" t="s">
        <v>26</v>
      </c>
      <c r="D1601" t="s">
        <v>23</v>
      </c>
      <c r="E1601" t="s">
        <v>14</v>
      </c>
      <c r="F1601" t="s">
        <v>36</v>
      </c>
      <c r="G1601" t="s">
        <v>31</v>
      </c>
      <c r="H1601">
        <v>150000</v>
      </c>
      <c r="I1601">
        <v>8</v>
      </c>
      <c r="J1601" t="s">
        <v>24</v>
      </c>
      <c r="K1601">
        <f t="shared" si="24"/>
        <v>120000</v>
      </c>
      <c r="L1601">
        <f>Sales_Data2[[#This Row],[Unit Price]]*Sales_Data2[[#This Row],[Quantity]]</f>
        <v>1200000</v>
      </c>
      <c r="M1601">
        <f>Sales_Data2[[#This Row],[Cost Price]]*Sales_Data2[[#This Row],[Quantity]]</f>
        <v>960000</v>
      </c>
      <c r="N1601" s="3">
        <f>Sales_Data2[[#This Row],[Revenue]]-Sales_Data2[[#This Row],[COGS]]</f>
        <v>240000</v>
      </c>
      <c r="O16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47275|West|Kano|Corporate|Online|Printer P50|Electronics|150000|8|David|120000</v>
      </c>
      <c r="P1601" s="3" t="str">
        <f>IF(COUNTIF(Sales_Data2[RowKey],Sales_Data2[[#This Row],[RowKey]])&gt;1,"Duplicate","Unique")</f>
        <v>Unique</v>
      </c>
      <c r="Q1601" s="3" t="str">
        <f>IF(ISNUMBER(Sales_Data2[[#This Row],[Date]]),"OK","Check")</f>
        <v>OK</v>
      </c>
      <c r="R1601" s="3" t="str">
        <f>IF(ISNUMBER(Sales_Data2[[#This Row],[Quantity]]),"OK","Check")</f>
        <v>OK</v>
      </c>
    </row>
    <row r="1602" spans="1:18">
      <c r="A1602" s="1">
        <v>47276</v>
      </c>
      <c r="B1602" t="s">
        <v>25</v>
      </c>
      <c r="C1602" t="s">
        <v>12</v>
      </c>
      <c r="D1602" t="s">
        <v>13</v>
      </c>
      <c r="E1602" t="s">
        <v>20</v>
      </c>
      <c r="F1602" t="s">
        <v>27</v>
      </c>
      <c r="G1602" t="s">
        <v>22</v>
      </c>
      <c r="H1602">
        <v>60000</v>
      </c>
      <c r="I1602">
        <v>4</v>
      </c>
      <c r="J1602" t="s">
        <v>24</v>
      </c>
      <c r="K1602">
        <f t="shared" ref="K1602:K1665" si="25">H1602-H1602*0.2</f>
        <v>48000</v>
      </c>
      <c r="L1602">
        <f>Sales_Data2[[#This Row],[Unit Price]]*Sales_Data2[[#This Row],[Quantity]]</f>
        <v>240000</v>
      </c>
      <c r="M1602">
        <f>Sales_Data2[[#This Row],[Cost Price]]*Sales_Data2[[#This Row],[Quantity]]</f>
        <v>192000</v>
      </c>
      <c r="N1602" s="3">
        <f>Sales_Data2[[#This Row],[Revenue]]-Sales_Data2[[#This Row],[COGS]]</f>
        <v>48000</v>
      </c>
      <c r="O16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47276|South|Port Harcourt|Retail|Store|Microwave M20|Home Appliances|60000|4|David|48000</v>
      </c>
      <c r="P1602" s="3" t="str">
        <f>IF(COUNTIF(Sales_Data2[RowKey],Sales_Data2[[#This Row],[RowKey]])&gt;1,"Duplicate","Unique")</f>
        <v>Unique</v>
      </c>
      <c r="Q1602" s="3" t="str">
        <f>IF(ISNUMBER(Sales_Data2[[#This Row],[Date]]),"OK","Check")</f>
        <v>OK</v>
      </c>
      <c r="R1602" s="3" t="str">
        <f>IF(ISNUMBER(Sales_Data2[[#This Row],[Quantity]]),"OK","Check")</f>
        <v>OK</v>
      </c>
    </row>
    <row r="1603" spans="1:18">
      <c r="A1603" s="1">
        <v>47277</v>
      </c>
      <c r="B1603" t="s">
        <v>11</v>
      </c>
      <c r="C1603" t="s">
        <v>32</v>
      </c>
      <c r="D1603" t="s">
        <v>13</v>
      </c>
      <c r="E1603" t="s">
        <v>20</v>
      </c>
      <c r="F1603" t="s">
        <v>21</v>
      </c>
      <c r="G1603" t="s">
        <v>22</v>
      </c>
      <c r="H1603">
        <v>30000</v>
      </c>
      <c r="I1603">
        <v>3</v>
      </c>
      <c r="J1603" t="s">
        <v>35</v>
      </c>
      <c r="K1603">
        <f t="shared" si="25"/>
        <v>24000</v>
      </c>
      <c r="L1603">
        <f>Sales_Data2[[#This Row],[Unit Price]]*Sales_Data2[[#This Row],[Quantity]]</f>
        <v>90000</v>
      </c>
      <c r="M1603">
        <f>Sales_Data2[[#This Row],[Cost Price]]*Sales_Data2[[#This Row],[Quantity]]</f>
        <v>72000</v>
      </c>
      <c r="N1603" s="3">
        <f>Sales_Data2[[#This Row],[Revenue]]-Sales_Data2[[#This Row],[COGS]]</f>
        <v>18000</v>
      </c>
      <c r="O16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47277|West|Abuja|Retail|Store|Blender B10|Home Appliances|30000|3|Peter|24000</v>
      </c>
      <c r="P1603" s="3" t="str">
        <f>IF(COUNTIF(Sales_Data2[RowKey],Sales_Data2[[#This Row],[RowKey]])&gt;1,"Duplicate","Unique")</f>
        <v>Unique</v>
      </c>
      <c r="Q1603" s="3" t="str">
        <f>IF(ISNUMBER(Sales_Data2[[#This Row],[Date]]),"OK","Check")</f>
        <v>OK</v>
      </c>
      <c r="R1603" s="3" t="str">
        <f>IF(ISNUMBER(Sales_Data2[[#This Row],[Quantity]]),"OK","Check")</f>
        <v>OK</v>
      </c>
    </row>
    <row r="1604" spans="1:18">
      <c r="A1604" s="1">
        <v>47278</v>
      </c>
      <c r="B1604" t="s">
        <v>11</v>
      </c>
      <c r="C1604" t="s">
        <v>12</v>
      </c>
      <c r="D1604" t="s">
        <v>13</v>
      </c>
      <c r="E1604" t="s">
        <v>20</v>
      </c>
      <c r="F1604" t="s">
        <v>34</v>
      </c>
      <c r="G1604" t="s">
        <v>16</v>
      </c>
      <c r="H1604">
        <v>320000</v>
      </c>
      <c r="I1604">
        <v>4</v>
      </c>
      <c r="J1604" t="s">
        <v>35</v>
      </c>
      <c r="K1604">
        <f t="shared" si="25"/>
        <v>256000</v>
      </c>
      <c r="L1604">
        <f>Sales_Data2[[#This Row],[Unit Price]]*Sales_Data2[[#This Row],[Quantity]]</f>
        <v>1280000</v>
      </c>
      <c r="M1604">
        <f>Sales_Data2[[#This Row],[Cost Price]]*Sales_Data2[[#This Row],[Quantity]]</f>
        <v>1024000</v>
      </c>
      <c r="N1604" s="3">
        <f>Sales_Data2[[#This Row],[Revenue]]-Sales_Data2[[#This Row],[COGS]]</f>
        <v>256000</v>
      </c>
      <c r="O16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47278|West|Port Harcourt|Retail|Store|Sofa Classic|Furniture|320000|4|Peter|256000</v>
      </c>
      <c r="P1604" s="3" t="str">
        <f>IF(COUNTIF(Sales_Data2[RowKey],Sales_Data2[[#This Row],[RowKey]])&gt;1,"Duplicate","Unique")</f>
        <v>Unique</v>
      </c>
      <c r="Q1604" s="3" t="str">
        <f>IF(ISNUMBER(Sales_Data2[[#This Row],[Date]]),"OK","Check")</f>
        <v>OK</v>
      </c>
      <c r="R1604" s="3" t="str">
        <f>IF(ISNUMBER(Sales_Data2[[#This Row],[Quantity]]),"OK","Check")</f>
        <v>OK</v>
      </c>
    </row>
    <row r="1605" spans="1:18">
      <c r="A1605" s="1">
        <v>47279</v>
      </c>
      <c r="B1605" t="s">
        <v>29</v>
      </c>
      <c r="C1605" t="s">
        <v>26</v>
      </c>
      <c r="D1605" t="s">
        <v>23</v>
      </c>
      <c r="E1605" t="s">
        <v>14</v>
      </c>
      <c r="F1605" t="s">
        <v>33</v>
      </c>
      <c r="G1605" t="s">
        <v>22</v>
      </c>
      <c r="H1605">
        <v>180000</v>
      </c>
      <c r="I1605">
        <v>8</v>
      </c>
      <c r="J1605" t="s">
        <v>28</v>
      </c>
      <c r="K1605">
        <f t="shared" si="25"/>
        <v>144000</v>
      </c>
      <c r="L1605">
        <f>Sales_Data2[[#This Row],[Unit Price]]*Sales_Data2[[#This Row],[Quantity]]</f>
        <v>1440000</v>
      </c>
      <c r="M1605">
        <f>Sales_Data2[[#This Row],[Cost Price]]*Sales_Data2[[#This Row],[Quantity]]</f>
        <v>1152000</v>
      </c>
      <c r="N1605" s="3">
        <f>Sales_Data2[[#This Row],[Revenue]]-Sales_Data2[[#This Row],[COGS]]</f>
        <v>288000</v>
      </c>
      <c r="O16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47279|North|Kano|Corporate|Online|Air Conditioner X2|Home Appliances|180000|8|Musa|144000</v>
      </c>
      <c r="P1605" s="3" t="str">
        <f>IF(COUNTIF(Sales_Data2[RowKey],Sales_Data2[[#This Row],[RowKey]])&gt;1,"Duplicate","Unique")</f>
        <v>Unique</v>
      </c>
      <c r="Q1605" s="3" t="str">
        <f>IF(ISNUMBER(Sales_Data2[[#This Row],[Date]]),"OK","Check")</f>
        <v>OK</v>
      </c>
      <c r="R1605" s="3" t="str">
        <f>IF(ISNUMBER(Sales_Data2[[#This Row],[Quantity]]),"OK","Check")</f>
        <v>OK</v>
      </c>
    </row>
    <row r="1606" spans="1:18">
      <c r="A1606" s="1">
        <v>47280</v>
      </c>
      <c r="B1606" t="s">
        <v>18</v>
      </c>
      <c r="C1606" t="s">
        <v>32</v>
      </c>
      <c r="D1606" t="s">
        <v>13</v>
      </c>
      <c r="E1606" t="s">
        <v>20</v>
      </c>
      <c r="F1606" t="s">
        <v>15</v>
      </c>
      <c r="G1606" t="s">
        <v>16</v>
      </c>
      <c r="H1606">
        <v>85000</v>
      </c>
      <c r="I1606">
        <v>4</v>
      </c>
      <c r="J1606" t="s">
        <v>24</v>
      </c>
      <c r="K1606">
        <f t="shared" si="25"/>
        <v>68000</v>
      </c>
      <c r="L1606">
        <f>Sales_Data2[[#This Row],[Unit Price]]*Sales_Data2[[#This Row],[Quantity]]</f>
        <v>340000</v>
      </c>
      <c r="M1606">
        <f>Sales_Data2[[#This Row],[Cost Price]]*Sales_Data2[[#This Row],[Quantity]]</f>
        <v>272000</v>
      </c>
      <c r="N1606" s="3">
        <f>Sales_Data2[[#This Row],[Revenue]]-Sales_Data2[[#This Row],[COGS]]</f>
        <v>68000</v>
      </c>
      <c r="O16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47280|East|Abuja|Retail|Store|Office Chair Pro|Furniture|85000|4|David|68000</v>
      </c>
      <c r="P1606" s="3" t="str">
        <f>IF(COUNTIF(Sales_Data2[RowKey],Sales_Data2[[#This Row],[RowKey]])&gt;1,"Duplicate","Unique")</f>
        <v>Unique</v>
      </c>
      <c r="Q1606" s="3" t="str">
        <f>IF(ISNUMBER(Sales_Data2[[#This Row],[Date]]),"OK","Check")</f>
        <v>OK</v>
      </c>
      <c r="R1606" s="3" t="str">
        <f>IF(ISNUMBER(Sales_Data2[[#This Row],[Quantity]]),"OK","Check")</f>
        <v>OK</v>
      </c>
    </row>
    <row r="1607" spans="1:18">
      <c r="A1607" s="1">
        <v>47281</v>
      </c>
      <c r="B1607" t="s">
        <v>29</v>
      </c>
      <c r="C1607" t="s">
        <v>19</v>
      </c>
      <c r="D1607" t="s">
        <v>23</v>
      </c>
      <c r="E1607" t="s">
        <v>20</v>
      </c>
      <c r="F1607" t="s">
        <v>41</v>
      </c>
      <c r="G1607" t="s">
        <v>22</v>
      </c>
      <c r="H1607">
        <v>220000</v>
      </c>
      <c r="I1607">
        <v>10</v>
      </c>
      <c r="J1607" t="s">
        <v>17</v>
      </c>
      <c r="K1607">
        <f t="shared" si="25"/>
        <v>176000</v>
      </c>
      <c r="L1607">
        <f>Sales_Data2[[#This Row],[Unit Price]]*Sales_Data2[[#This Row],[Quantity]]</f>
        <v>2200000</v>
      </c>
      <c r="M1607">
        <f>Sales_Data2[[#This Row],[Cost Price]]*Sales_Data2[[#This Row],[Quantity]]</f>
        <v>1760000</v>
      </c>
      <c r="N1607" s="3">
        <f>Sales_Data2[[#This Row],[Revenue]]-Sales_Data2[[#This Row],[COGS]]</f>
        <v>440000</v>
      </c>
      <c r="O16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47281|North|Lagos|Corporate|Store|Refrigerator R55|Home Appliances|220000|10|Chidinma|176000</v>
      </c>
      <c r="P1607" s="3" t="str">
        <f>IF(COUNTIF(Sales_Data2[RowKey],Sales_Data2[[#This Row],[RowKey]])&gt;1,"Duplicate","Unique")</f>
        <v>Unique</v>
      </c>
      <c r="Q1607" s="3" t="str">
        <f>IF(ISNUMBER(Sales_Data2[[#This Row],[Date]]),"OK","Check")</f>
        <v>OK</v>
      </c>
      <c r="R1607" s="3" t="str">
        <f>IF(ISNUMBER(Sales_Data2[[#This Row],[Quantity]]),"OK","Check")</f>
        <v>OK</v>
      </c>
    </row>
    <row r="1608" spans="1:18">
      <c r="A1608" s="1">
        <v>47282</v>
      </c>
      <c r="B1608" t="s">
        <v>25</v>
      </c>
      <c r="C1608" t="s">
        <v>12</v>
      </c>
      <c r="D1608" t="s">
        <v>23</v>
      </c>
      <c r="E1608" t="s">
        <v>20</v>
      </c>
      <c r="F1608" t="s">
        <v>15</v>
      </c>
      <c r="G1608" t="s">
        <v>16</v>
      </c>
      <c r="H1608">
        <v>85000</v>
      </c>
      <c r="I1608">
        <v>5</v>
      </c>
      <c r="J1608" t="s">
        <v>35</v>
      </c>
      <c r="K1608">
        <f t="shared" si="25"/>
        <v>68000</v>
      </c>
      <c r="L1608">
        <f>Sales_Data2[[#This Row],[Unit Price]]*Sales_Data2[[#This Row],[Quantity]]</f>
        <v>425000</v>
      </c>
      <c r="M1608">
        <f>Sales_Data2[[#This Row],[Cost Price]]*Sales_Data2[[#This Row],[Quantity]]</f>
        <v>340000</v>
      </c>
      <c r="N1608" s="3">
        <f>Sales_Data2[[#This Row],[Revenue]]-Sales_Data2[[#This Row],[COGS]]</f>
        <v>85000</v>
      </c>
      <c r="O16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47282|South|Port Harcourt|Corporate|Store|Office Chair Pro|Furniture|85000|5|Peter|68000</v>
      </c>
      <c r="P1608" s="3" t="str">
        <f>IF(COUNTIF(Sales_Data2[RowKey],Sales_Data2[[#This Row],[RowKey]])&gt;1,"Duplicate","Unique")</f>
        <v>Unique</v>
      </c>
      <c r="Q1608" s="3" t="str">
        <f>IF(ISNUMBER(Sales_Data2[[#This Row],[Date]]),"OK","Check")</f>
        <v>OK</v>
      </c>
      <c r="R1608" s="3" t="str">
        <f>IF(ISNUMBER(Sales_Data2[[#This Row],[Quantity]]),"OK","Check")</f>
        <v>OK</v>
      </c>
    </row>
    <row r="1609" spans="1:18">
      <c r="A1609" s="1">
        <v>47283</v>
      </c>
      <c r="B1609" t="s">
        <v>11</v>
      </c>
      <c r="C1609" t="s">
        <v>19</v>
      </c>
      <c r="D1609" t="s">
        <v>13</v>
      </c>
      <c r="E1609" t="s">
        <v>20</v>
      </c>
      <c r="F1609" t="s">
        <v>30</v>
      </c>
      <c r="G1609" t="s">
        <v>31</v>
      </c>
      <c r="H1609">
        <v>300000</v>
      </c>
      <c r="I1609">
        <v>2</v>
      </c>
      <c r="J1609" t="s">
        <v>37</v>
      </c>
      <c r="K1609">
        <f t="shared" si="25"/>
        <v>240000</v>
      </c>
      <c r="L1609">
        <f>Sales_Data2[[#This Row],[Unit Price]]*Sales_Data2[[#This Row],[Quantity]]</f>
        <v>600000</v>
      </c>
      <c r="M1609">
        <f>Sales_Data2[[#This Row],[Cost Price]]*Sales_Data2[[#This Row],[Quantity]]</f>
        <v>480000</v>
      </c>
      <c r="N1609" s="3">
        <f>Sales_Data2[[#This Row],[Revenue]]-Sales_Data2[[#This Row],[COGS]]</f>
        <v>120000</v>
      </c>
      <c r="O16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47283|West|Lagos|Retail|Store|Desktop PC D21|Electronics|300000|2|Aisha|240000</v>
      </c>
      <c r="P1609" s="3" t="str">
        <f>IF(COUNTIF(Sales_Data2[RowKey],Sales_Data2[[#This Row],[RowKey]])&gt;1,"Duplicate","Unique")</f>
        <v>Unique</v>
      </c>
      <c r="Q1609" s="3" t="str">
        <f>IF(ISNUMBER(Sales_Data2[[#This Row],[Date]]),"OK","Check")</f>
        <v>OK</v>
      </c>
      <c r="R1609" s="3" t="str">
        <f>IF(ISNUMBER(Sales_Data2[[#This Row],[Quantity]]),"OK","Check")</f>
        <v>OK</v>
      </c>
    </row>
    <row r="1610" spans="1:18">
      <c r="A1610" s="1">
        <v>47284</v>
      </c>
      <c r="B1610" t="s">
        <v>18</v>
      </c>
      <c r="C1610" t="s">
        <v>32</v>
      </c>
      <c r="D1610" t="s">
        <v>23</v>
      </c>
      <c r="E1610" t="s">
        <v>14</v>
      </c>
      <c r="F1610" t="s">
        <v>33</v>
      </c>
      <c r="G1610" t="s">
        <v>22</v>
      </c>
      <c r="H1610">
        <v>180000</v>
      </c>
      <c r="I1610">
        <v>1</v>
      </c>
      <c r="J1610" t="s">
        <v>35</v>
      </c>
      <c r="K1610">
        <f t="shared" si="25"/>
        <v>144000</v>
      </c>
      <c r="L1610">
        <f>Sales_Data2[[#This Row],[Unit Price]]*Sales_Data2[[#This Row],[Quantity]]</f>
        <v>180000</v>
      </c>
      <c r="M1610">
        <f>Sales_Data2[[#This Row],[Cost Price]]*Sales_Data2[[#This Row],[Quantity]]</f>
        <v>144000</v>
      </c>
      <c r="N1610" s="3">
        <f>Sales_Data2[[#This Row],[Revenue]]-Sales_Data2[[#This Row],[COGS]]</f>
        <v>36000</v>
      </c>
      <c r="O16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47284|East|Abuja|Corporate|Online|Air Conditioner X2|Home Appliances|180000|1|Peter|144000</v>
      </c>
      <c r="P1610" s="3" t="str">
        <f>IF(COUNTIF(Sales_Data2[RowKey],Sales_Data2[[#This Row],[RowKey]])&gt;1,"Duplicate","Unique")</f>
        <v>Unique</v>
      </c>
      <c r="Q1610" s="3" t="str">
        <f>IF(ISNUMBER(Sales_Data2[[#This Row],[Date]]),"OK","Check")</f>
        <v>OK</v>
      </c>
      <c r="R1610" s="3" t="str">
        <f>IF(ISNUMBER(Sales_Data2[[#This Row],[Quantity]]),"OK","Check")</f>
        <v>OK</v>
      </c>
    </row>
    <row r="1611" spans="1:18">
      <c r="A1611" s="1">
        <v>47285</v>
      </c>
      <c r="B1611" t="s">
        <v>25</v>
      </c>
      <c r="C1611" t="s">
        <v>32</v>
      </c>
      <c r="D1611" t="s">
        <v>13</v>
      </c>
      <c r="E1611" t="s">
        <v>14</v>
      </c>
      <c r="F1611" t="s">
        <v>36</v>
      </c>
      <c r="G1611" t="s">
        <v>31</v>
      </c>
      <c r="H1611">
        <v>150000</v>
      </c>
      <c r="I1611">
        <v>3</v>
      </c>
      <c r="J1611" t="s">
        <v>35</v>
      </c>
      <c r="K1611">
        <f t="shared" si="25"/>
        <v>120000</v>
      </c>
      <c r="L1611">
        <f>Sales_Data2[[#This Row],[Unit Price]]*Sales_Data2[[#This Row],[Quantity]]</f>
        <v>450000</v>
      </c>
      <c r="M1611">
        <f>Sales_Data2[[#This Row],[Cost Price]]*Sales_Data2[[#This Row],[Quantity]]</f>
        <v>360000</v>
      </c>
      <c r="N1611" s="3">
        <f>Sales_Data2[[#This Row],[Revenue]]-Sales_Data2[[#This Row],[COGS]]</f>
        <v>90000</v>
      </c>
      <c r="O16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47285|South|Abuja|Retail|Online|Printer P50|Electronics|150000|3|Peter|120000</v>
      </c>
      <c r="P1611" s="3" t="str">
        <f>IF(COUNTIF(Sales_Data2[RowKey],Sales_Data2[[#This Row],[RowKey]])&gt;1,"Duplicate","Unique")</f>
        <v>Unique</v>
      </c>
      <c r="Q1611" s="3" t="str">
        <f>IF(ISNUMBER(Sales_Data2[[#This Row],[Date]]),"OK","Check")</f>
        <v>OK</v>
      </c>
      <c r="R1611" s="3" t="str">
        <f>IF(ISNUMBER(Sales_Data2[[#This Row],[Quantity]]),"OK","Check")</f>
        <v>OK</v>
      </c>
    </row>
    <row r="1612" spans="1:18">
      <c r="A1612" s="1">
        <v>47286</v>
      </c>
      <c r="B1612" t="s">
        <v>25</v>
      </c>
      <c r="C1612" t="s">
        <v>26</v>
      </c>
      <c r="D1612" t="s">
        <v>23</v>
      </c>
      <c r="E1612" t="s">
        <v>20</v>
      </c>
      <c r="F1612" t="s">
        <v>33</v>
      </c>
      <c r="G1612" t="s">
        <v>22</v>
      </c>
      <c r="H1612">
        <v>180000</v>
      </c>
      <c r="I1612">
        <v>3</v>
      </c>
      <c r="J1612" t="s">
        <v>28</v>
      </c>
      <c r="K1612">
        <f t="shared" si="25"/>
        <v>144000</v>
      </c>
      <c r="L1612">
        <f>Sales_Data2[[#This Row],[Unit Price]]*Sales_Data2[[#This Row],[Quantity]]</f>
        <v>540000</v>
      </c>
      <c r="M1612">
        <f>Sales_Data2[[#This Row],[Cost Price]]*Sales_Data2[[#This Row],[Quantity]]</f>
        <v>432000</v>
      </c>
      <c r="N1612" s="3">
        <f>Sales_Data2[[#This Row],[Revenue]]-Sales_Data2[[#This Row],[COGS]]</f>
        <v>108000</v>
      </c>
      <c r="O16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47286|South|Kano|Corporate|Store|Air Conditioner X2|Home Appliances|180000|3|Musa|144000</v>
      </c>
      <c r="P1612" s="3" t="str">
        <f>IF(COUNTIF(Sales_Data2[RowKey],Sales_Data2[[#This Row],[RowKey]])&gt;1,"Duplicate","Unique")</f>
        <v>Unique</v>
      </c>
      <c r="Q1612" s="3" t="str">
        <f>IF(ISNUMBER(Sales_Data2[[#This Row],[Date]]),"OK","Check")</f>
        <v>OK</v>
      </c>
      <c r="R1612" s="3" t="str">
        <f>IF(ISNUMBER(Sales_Data2[[#This Row],[Quantity]]),"OK","Check")</f>
        <v>OK</v>
      </c>
    </row>
    <row r="1613" spans="1:18">
      <c r="A1613" s="1">
        <v>47287</v>
      </c>
      <c r="B1613" t="s">
        <v>29</v>
      </c>
      <c r="C1613" t="s">
        <v>26</v>
      </c>
      <c r="D1613" t="s">
        <v>13</v>
      </c>
      <c r="E1613" t="s">
        <v>14</v>
      </c>
      <c r="F1613" t="s">
        <v>36</v>
      </c>
      <c r="G1613" t="s">
        <v>31</v>
      </c>
      <c r="H1613">
        <v>150000</v>
      </c>
      <c r="I1613">
        <v>5</v>
      </c>
      <c r="J1613" t="s">
        <v>24</v>
      </c>
      <c r="K1613">
        <f t="shared" si="25"/>
        <v>120000</v>
      </c>
      <c r="L1613">
        <f>Sales_Data2[[#This Row],[Unit Price]]*Sales_Data2[[#This Row],[Quantity]]</f>
        <v>750000</v>
      </c>
      <c r="M1613">
        <f>Sales_Data2[[#This Row],[Cost Price]]*Sales_Data2[[#This Row],[Quantity]]</f>
        <v>600000</v>
      </c>
      <c r="N1613" s="3">
        <f>Sales_Data2[[#This Row],[Revenue]]-Sales_Data2[[#This Row],[COGS]]</f>
        <v>150000</v>
      </c>
      <c r="O16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47287|North|Kano|Retail|Online|Printer P50|Electronics|150000|5|David|120000</v>
      </c>
      <c r="P1613" s="3" t="str">
        <f>IF(COUNTIF(Sales_Data2[RowKey],Sales_Data2[[#This Row],[RowKey]])&gt;1,"Duplicate","Unique")</f>
        <v>Unique</v>
      </c>
      <c r="Q1613" s="3" t="str">
        <f>IF(ISNUMBER(Sales_Data2[[#This Row],[Date]]),"OK","Check")</f>
        <v>OK</v>
      </c>
      <c r="R1613" s="3" t="str">
        <f>IF(ISNUMBER(Sales_Data2[[#This Row],[Quantity]]),"OK","Check")</f>
        <v>OK</v>
      </c>
    </row>
    <row r="1614" spans="1:18">
      <c r="A1614" s="1">
        <v>47288</v>
      </c>
      <c r="B1614" t="s">
        <v>18</v>
      </c>
      <c r="C1614" t="s">
        <v>32</v>
      </c>
      <c r="D1614" t="s">
        <v>23</v>
      </c>
      <c r="E1614" t="s">
        <v>14</v>
      </c>
      <c r="F1614" t="s">
        <v>27</v>
      </c>
      <c r="G1614" t="s">
        <v>22</v>
      </c>
      <c r="H1614">
        <v>60000</v>
      </c>
      <c r="I1614">
        <v>8</v>
      </c>
      <c r="J1614" t="s">
        <v>24</v>
      </c>
      <c r="K1614">
        <f t="shared" si="25"/>
        <v>48000</v>
      </c>
      <c r="L1614">
        <f>Sales_Data2[[#This Row],[Unit Price]]*Sales_Data2[[#This Row],[Quantity]]</f>
        <v>480000</v>
      </c>
      <c r="M1614">
        <f>Sales_Data2[[#This Row],[Cost Price]]*Sales_Data2[[#This Row],[Quantity]]</f>
        <v>384000</v>
      </c>
      <c r="N1614" s="3">
        <f>Sales_Data2[[#This Row],[Revenue]]-Sales_Data2[[#This Row],[COGS]]</f>
        <v>96000</v>
      </c>
      <c r="O16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47288|East|Abuja|Corporate|Online|Microwave M20|Home Appliances|60000|8|David|48000</v>
      </c>
      <c r="P1614" s="3" t="str">
        <f>IF(COUNTIF(Sales_Data2[RowKey],Sales_Data2[[#This Row],[RowKey]])&gt;1,"Duplicate","Unique")</f>
        <v>Unique</v>
      </c>
      <c r="Q1614" s="3" t="str">
        <f>IF(ISNUMBER(Sales_Data2[[#This Row],[Date]]),"OK","Check")</f>
        <v>OK</v>
      </c>
      <c r="R1614" s="3" t="str">
        <f>IF(ISNUMBER(Sales_Data2[[#This Row],[Quantity]]),"OK","Check")</f>
        <v>OK</v>
      </c>
    </row>
    <row r="1615" spans="1:18">
      <c r="A1615" s="1">
        <v>47289</v>
      </c>
      <c r="B1615" t="s">
        <v>18</v>
      </c>
      <c r="C1615" t="s">
        <v>12</v>
      </c>
      <c r="D1615" t="s">
        <v>13</v>
      </c>
      <c r="E1615" t="s">
        <v>20</v>
      </c>
      <c r="F1615" t="s">
        <v>40</v>
      </c>
      <c r="G1615" t="s">
        <v>31</v>
      </c>
      <c r="H1615">
        <v>250000</v>
      </c>
      <c r="I1615">
        <v>5</v>
      </c>
      <c r="J1615" t="s">
        <v>24</v>
      </c>
      <c r="K1615">
        <f t="shared" si="25"/>
        <v>200000</v>
      </c>
      <c r="L1615">
        <f>Sales_Data2[[#This Row],[Unit Price]]*Sales_Data2[[#This Row],[Quantity]]</f>
        <v>1250000</v>
      </c>
      <c r="M1615">
        <f>Sales_Data2[[#This Row],[Cost Price]]*Sales_Data2[[#This Row],[Quantity]]</f>
        <v>1000000</v>
      </c>
      <c r="N1615" s="3">
        <f>Sales_Data2[[#This Row],[Revenue]]-Sales_Data2[[#This Row],[COGS]]</f>
        <v>250000</v>
      </c>
      <c r="O16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47289|East|Port Harcourt|Retail|Store|Smartphone Z10|Electronics|250000|5|David|200000</v>
      </c>
      <c r="P1615" s="3" t="str">
        <f>IF(COUNTIF(Sales_Data2[RowKey],Sales_Data2[[#This Row],[RowKey]])&gt;1,"Duplicate","Unique")</f>
        <v>Unique</v>
      </c>
      <c r="Q1615" s="3" t="str">
        <f>IF(ISNUMBER(Sales_Data2[[#This Row],[Date]]),"OK","Check")</f>
        <v>OK</v>
      </c>
      <c r="R1615" s="3" t="str">
        <f>IF(ISNUMBER(Sales_Data2[[#This Row],[Quantity]]),"OK","Check")</f>
        <v>OK</v>
      </c>
    </row>
    <row r="1616" spans="1:18">
      <c r="A1616" s="1">
        <v>47290</v>
      </c>
      <c r="B1616" t="s">
        <v>18</v>
      </c>
      <c r="C1616" t="s">
        <v>26</v>
      </c>
      <c r="D1616" t="s">
        <v>13</v>
      </c>
      <c r="E1616" t="s">
        <v>14</v>
      </c>
      <c r="F1616" t="s">
        <v>33</v>
      </c>
      <c r="G1616" t="s">
        <v>22</v>
      </c>
      <c r="H1616">
        <v>180000</v>
      </c>
      <c r="I1616">
        <v>3</v>
      </c>
      <c r="J1616" t="s">
        <v>17</v>
      </c>
      <c r="K1616">
        <f t="shared" si="25"/>
        <v>144000</v>
      </c>
      <c r="L1616">
        <f>Sales_Data2[[#This Row],[Unit Price]]*Sales_Data2[[#This Row],[Quantity]]</f>
        <v>540000</v>
      </c>
      <c r="M1616">
        <f>Sales_Data2[[#This Row],[Cost Price]]*Sales_Data2[[#This Row],[Quantity]]</f>
        <v>432000</v>
      </c>
      <c r="N1616" s="3">
        <f>Sales_Data2[[#This Row],[Revenue]]-Sales_Data2[[#This Row],[COGS]]</f>
        <v>108000</v>
      </c>
      <c r="O16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47290|East|Kano|Retail|Online|Air Conditioner X2|Home Appliances|180000|3|Chidinma|144000</v>
      </c>
      <c r="P1616" s="3" t="str">
        <f>IF(COUNTIF(Sales_Data2[RowKey],Sales_Data2[[#This Row],[RowKey]])&gt;1,"Duplicate","Unique")</f>
        <v>Unique</v>
      </c>
      <c r="Q1616" s="3" t="str">
        <f>IF(ISNUMBER(Sales_Data2[[#This Row],[Date]]),"OK","Check")</f>
        <v>OK</v>
      </c>
      <c r="R1616" s="3" t="str">
        <f>IF(ISNUMBER(Sales_Data2[[#This Row],[Quantity]]),"OK","Check")</f>
        <v>OK</v>
      </c>
    </row>
    <row r="1617" spans="1:18">
      <c r="A1617" s="1">
        <v>47291</v>
      </c>
      <c r="B1617" t="s">
        <v>29</v>
      </c>
      <c r="C1617" t="s">
        <v>12</v>
      </c>
      <c r="D1617" t="s">
        <v>23</v>
      </c>
      <c r="E1617" t="s">
        <v>14</v>
      </c>
      <c r="F1617" t="s">
        <v>34</v>
      </c>
      <c r="G1617" t="s">
        <v>16</v>
      </c>
      <c r="H1617">
        <v>320000</v>
      </c>
      <c r="I1617">
        <v>9</v>
      </c>
      <c r="J1617" t="s">
        <v>17</v>
      </c>
      <c r="K1617">
        <f t="shared" si="25"/>
        <v>256000</v>
      </c>
      <c r="L1617">
        <f>Sales_Data2[[#This Row],[Unit Price]]*Sales_Data2[[#This Row],[Quantity]]</f>
        <v>2880000</v>
      </c>
      <c r="M1617">
        <f>Sales_Data2[[#This Row],[Cost Price]]*Sales_Data2[[#This Row],[Quantity]]</f>
        <v>2304000</v>
      </c>
      <c r="N1617" s="3">
        <f>Sales_Data2[[#This Row],[Revenue]]-Sales_Data2[[#This Row],[COGS]]</f>
        <v>576000</v>
      </c>
      <c r="O16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47291|North|Port Harcourt|Corporate|Online|Sofa Classic|Furniture|320000|9|Chidinma|256000</v>
      </c>
      <c r="P1617" s="3" t="str">
        <f>IF(COUNTIF(Sales_Data2[RowKey],Sales_Data2[[#This Row],[RowKey]])&gt;1,"Duplicate","Unique")</f>
        <v>Unique</v>
      </c>
      <c r="Q1617" s="3" t="str">
        <f>IF(ISNUMBER(Sales_Data2[[#This Row],[Date]]),"OK","Check")</f>
        <v>OK</v>
      </c>
      <c r="R1617" s="3" t="str">
        <f>IF(ISNUMBER(Sales_Data2[[#This Row],[Quantity]]),"OK","Check")</f>
        <v>OK</v>
      </c>
    </row>
    <row r="1618" spans="1:18">
      <c r="A1618" s="1">
        <v>47292</v>
      </c>
      <c r="B1618" t="s">
        <v>11</v>
      </c>
      <c r="C1618" t="s">
        <v>12</v>
      </c>
      <c r="D1618" t="s">
        <v>23</v>
      </c>
      <c r="E1618" t="s">
        <v>20</v>
      </c>
      <c r="F1618" t="s">
        <v>15</v>
      </c>
      <c r="G1618" t="s">
        <v>16</v>
      </c>
      <c r="H1618">
        <v>85000</v>
      </c>
      <c r="I1618">
        <v>5</v>
      </c>
      <c r="J1618" t="s">
        <v>28</v>
      </c>
      <c r="K1618">
        <f t="shared" si="25"/>
        <v>68000</v>
      </c>
      <c r="L1618">
        <f>Sales_Data2[[#This Row],[Unit Price]]*Sales_Data2[[#This Row],[Quantity]]</f>
        <v>425000</v>
      </c>
      <c r="M1618">
        <f>Sales_Data2[[#This Row],[Cost Price]]*Sales_Data2[[#This Row],[Quantity]]</f>
        <v>340000</v>
      </c>
      <c r="N1618" s="3">
        <f>Sales_Data2[[#This Row],[Revenue]]-Sales_Data2[[#This Row],[COGS]]</f>
        <v>85000</v>
      </c>
      <c r="O16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47292|West|Port Harcourt|Corporate|Store|Office Chair Pro|Furniture|85000|5|Musa|68000</v>
      </c>
      <c r="P1618" s="3" t="str">
        <f>IF(COUNTIF(Sales_Data2[RowKey],Sales_Data2[[#This Row],[RowKey]])&gt;1,"Duplicate","Unique")</f>
        <v>Unique</v>
      </c>
      <c r="Q1618" s="3" t="str">
        <f>IF(ISNUMBER(Sales_Data2[[#This Row],[Date]]),"OK","Check")</f>
        <v>OK</v>
      </c>
      <c r="R1618" s="3" t="str">
        <f>IF(ISNUMBER(Sales_Data2[[#This Row],[Quantity]]),"OK","Check")</f>
        <v>OK</v>
      </c>
    </row>
    <row r="1619" spans="1:18">
      <c r="A1619" s="1">
        <v>47293</v>
      </c>
      <c r="B1619" t="s">
        <v>25</v>
      </c>
      <c r="C1619" t="s">
        <v>19</v>
      </c>
      <c r="D1619" t="s">
        <v>13</v>
      </c>
      <c r="E1619" t="s">
        <v>14</v>
      </c>
      <c r="F1619" t="s">
        <v>41</v>
      </c>
      <c r="G1619" t="s">
        <v>22</v>
      </c>
      <c r="H1619">
        <v>220000</v>
      </c>
      <c r="I1619">
        <v>1</v>
      </c>
      <c r="J1619" t="s">
        <v>37</v>
      </c>
      <c r="K1619">
        <f t="shared" si="25"/>
        <v>176000</v>
      </c>
      <c r="L1619">
        <f>Sales_Data2[[#This Row],[Unit Price]]*Sales_Data2[[#This Row],[Quantity]]</f>
        <v>220000</v>
      </c>
      <c r="M1619">
        <f>Sales_Data2[[#This Row],[Cost Price]]*Sales_Data2[[#This Row],[Quantity]]</f>
        <v>176000</v>
      </c>
      <c r="N1619" s="3">
        <f>Sales_Data2[[#This Row],[Revenue]]-Sales_Data2[[#This Row],[COGS]]</f>
        <v>44000</v>
      </c>
      <c r="O16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47293|South|Lagos|Retail|Online|Refrigerator R55|Home Appliances|220000|1|Aisha|176000</v>
      </c>
      <c r="P1619" s="3" t="str">
        <f>IF(COUNTIF(Sales_Data2[RowKey],Sales_Data2[[#This Row],[RowKey]])&gt;1,"Duplicate","Unique")</f>
        <v>Unique</v>
      </c>
      <c r="Q1619" s="3" t="str">
        <f>IF(ISNUMBER(Sales_Data2[[#This Row],[Date]]),"OK","Check")</f>
        <v>OK</v>
      </c>
      <c r="R1619" s="3" t="str">
        <f>IF(ISNUMBER(Sales_Data2[[#This Row],[Quantity]]),"OK","Check")</f>
        <v>OK</v>
      </c>
    </row>
    <row r="1620" spans="1:18">
      <c r="A1620" s="1">
        <v>47294</v>
      </c>
      <c r="B1620" t="s">
        <v>18</v>
      </c>
      <c r="C1620" t="s">
        <v>19</v>
      </c>
      <c r="D1620" t="s">
        <v>13</v>
      </c>
      <c r="E1620" t="s">
        <v>20</v>
      </c>
      <c r="F1620" t="s">
        <v>33</v>
      </c>
      <c r="G1620" t="s">
        <v>22</v>
      </c>
      <c r="H1620">
        <v>180000</v>
      </c>
      <c r="I1620">
        <v>2</v>
      </c>
      <c r="J1620" t="s">
        <v>28</v>
      </c>
      <c r="K1620">
        <f t="shared" si="25"/>
        <v>144000</v>
      </c>
      <c r="L1620">
        <f>Sales_Data2[[#This Row],[Unit Price]]*Sales_Data2[[#This Row],[Quantity]]</f>
        <v>360000</v>
      </c>
      <c r="M1620">
        <f>Sales_Data2[[#This Row],[Cost Price]]*Sales_Data2[[#This Row],[Quantity]]</f>
        <v>288000</v>
      </c>
      <c r="N1620" s="3">
        <f>Sales_Data2[[#This Row],[Revenue]]-Sales_Data2[[#This Row],[COGS]]</f>
        <v>72000</v>
      </c>
      <c r="O16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47294|East|Lagos|Retail|Store|Air Conditioner X2|Home Appliances|180000|2|Musa|144000</v>
      </c>
      <c r="P1620" s="3" t="str">
        <f>IF(COUNTIF(Sales_Data2[RowKey],Sales_Data2[[#This Row],[RowKey]])&gt;1,"Duplicate","Unique")</f>
        <v>Unique</v>
      </c>
      <c r="Q1620" s="3" t="str">
        <f>IF(ISNUMBER(Sales_Data2[[#This Row],[Date]]),"OK","Check")</f>
        <v>OK</v>
      </c>
      <c r="R1620" s="3" t="str">
        <f>IF(ISNUMBER(Sales_Data2[[#This Row],[Quantity]]),"OK","Check")</f>
        <v>OK</v>
      </c>
    </row>
    <row r="1621" spans="1:18">
      <c r="A1621" s="1">
        <v>47295</v>
      </c>
      <c r="B1621" t="s">
        <v>18</v>
      </c>
      <c r="C1621" t="s">
        <v>19</v>
      </c>
      <c r="D1621" t="s">
        <v>23</v>
      </c>
      <c r="E1621" t="s">
        <v>20</v>
      </c>
      <c r="F1621" t="s">
        <v>36</v>
      </c>
      <c r="G1621" t="s">
        <v>31</v>
      </c>
      <c r="H1621">
        <v>150000</v>
      </c>
      <c r="I1621">
        <v>1</v>
      </c>
      <c r="J1621" t="s">
        <v>35</v>
      </c>
      <c r="K1621">
        <f t="shared" si="25"/>
        <v>120000</v>
      </c>
      <c r="L1621">
        <f>Sales_Data2[[#This Row],[Unit Price]]*Sales_Data2[[#This Row],[Quantity]]</f>
        <v>150000</v>
      </c>
      <c r="M1621">
        <f>Sales_Data2[[#This Row],[Cost Price]]*Sales_Data2[[#This Row],[Quantity]]</f>
        <v>120000</v>
      </c>
      <c r="N1621" s="3">
        <f>Sales_Data2[[#This Row],[Revenue]]-Sales_Data2[[#This Row],[COGS]]</f>
        <v>30000</v>
      </c>
      <c r="O16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47295|East|Lagos|Corporate|Store|Printer P50|Electronics|150000|1|Peter|120000</v>
      </c>
      <c r="P1621" s="3" t="str">
        <f>IF(COUNTIF(Sales_Data2[RowKey],Sales_Data2[[#This Row],[RowKey]])&gt;1,"Duplicate","Unique")</f>
        <v>Unique</v>
      </c>
      <c r="Q1621" s="3" t="str">
        <f>IF(ISNUMBER(Sales_Data2[[#This Row],[Date]]),"OK","Check")</f>
        <v>OK</v>
      </c>
      <c r="R1621" s="3" t="str">
        <f>IF(ISNUMBER(Sales_Data2[[#This Row],[Quantity]]),"OK","Check")</f>
        <v>OK</v>
      </c>
    </row>
    <row r="1622" spans="1:18">
      <c r="A1622" s="1">
        <v>47296</v>
      </c>
      <c r="B1622" t="s">
        <v>11</v>
      </c>
      <c r="C1622" t="s">
        <v>26</v>
      </c>
      <c r="D1622" t="s">
        <v>13</v>
      </c>
      <c r="E1622" t="s">
        <v>20</v>
      </c>
      <c r="F1622" t="s">
        <v>33</v>
      </c>
      <c r="G1622" t="s">
        <v>22</v>
      </c>
      <c r="H1622">
        <v>180000</v>
      </c>
      <c r="I1622">
        <v>2</v>
      </c>
      <c r="J1622" t="s">
        <v>24</v>
      </c>
      <c r="K1622">
        <f t="shared" si="25"/>
        <v>144000</v>
      </c>
      <c r="L1622">
        <f>Sales_Data2[[#This Row],[Unit Price]]*Sales_Data2[[#This Row],[Quantity]]</f>
        <v>360000</v>
      </c>
      <c r="M1622">
        <f>Sales_Data2[[#This Row],[Cost Price]]*Sales_Data2[[#This Row],[Quantity]]</f>
        <v>288000</v>
      </c>
      <c r="N1622" s="3">
        <f>Sales_Data2[[#This Row],[Revenue]]-Sales_Data2[[#This Row],[COGS]]</f>
        <v>72000</v>
      </c>
      <c r="O16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47296|West|Kano|Retail|Store|Air Conditioner X2|Home Appliances|180000|2|David|144000</v>
      </c>
      <c r="P1622" s="3" t="str">
        <f>IF(COUNTIF(Sales_Data2[RowKey],Sales_Data2[[#This Row],[RowKey]])&gt;1,"Duplicate","Unique")</f>
        <v>Unique</v>
      </c>
      <c r="Q1622" s="3" t="str">
        <f>IF(ISNUMBER(Sales_Data2[[#This Row],[Date]]),"OK","Check")</f>
        <v>OK</v>
      </c>
      <c r="R1622" s="3" t="str">
        <f>IF(ISNUMBER(Sales_Data2[[#This Row],[Quantity]]),"OK","Check")</f>
        <v>OK</v>
      </c>
    </row>
    <row r="1623" spans="1:18">
      <c r="A1623" s="1">
        <v>47297</v>
      </c>
      <c r="B1623" t="s">
        <v>29</v>
      </c>
      <c r="C1623" t="s">
        <v>32</v>
      </c>
      <c r="D1623" t="s">
        <v>23</v>
      </c>
      <c r="E1623" t="s">
        <v>14</v>
      </c>
      <c r="F1623" t="s">
        <v>34</v>
      </c>
      <c r="G1623" t="s">
        <v>16</v>
      </c>
      <c r="H1623">
        <v>320000</v>
      </c>
      <c r="I1623">
        <v>4</v>
      </c>
      <c r="J1623" t="s">
        <v>39</v>
      </c>
      <c r="K1623">
        <f t="shared" si="25"/>
        <v>256000</v>
      </c>
      <c r="L1623">
        <f>Sales_Data2[[#This Row],[Unit Price]]*Sales_Data2[[#This Row],[Quantity]]</f>
        <v>1280000</v>
      </c>
      <c r="M1623">
        <f>Sales_Data2[[#This Row],[Cost Price]]*Sales_Data2[[#This Row],[Quantity]]</f>
        <v>1024000</v>
      </c>
      <c r="N1623" s="3">
        <f>Sales_Data2[[#This Row],[Revenue]]-Sales_Data2[[#This Row],[COGS]]</f>
        <v>256000</v>
      </c>
      <c r="O16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47297|North|Abuja|Corporate|Online|Sofa Classic|Furniture|320000|4|Grace|256000</v>
      </c>
      <c r="P1623" s="3" t="str">
        <f>IF(COUNTIF(Sales_Data2[RowKey],Sales_Data2[[#This Row],[RowKey]])&gt;1,"Duplicate","Unique")</f>
        <v>Unique</v>
      </c>
      <c r="Q1623" s="3" t="str">
        <f>IF(ISNUMBER(Sales_Data2[[#This Row],[Date]]),"OK","Check")</f>
        <v>OK</v>
      </c>
      <c r="R1623" s="3" t="str">
        <f>IF(ISNUMBER(Sales_Data2[[#This Row],[Quantity]]),"OK","Check")</f>
        <v>OK</v>
      </c>
    </row>
    <row r="1624" spans="1:18">
      <c r="A1624" s="1">
        <v>47298</v>
      </c>
      <c r="B1624" t="s">
        <v>29</v>
      </c>
      <c r="C1624" t="s">
        <v>32</v>
      </c>
      <c r="D1624" t="s">
        <v>13</v>
      </c>
      <c r="E1624" t="s">
        <v>20</v>
      </c>
      <c r="F1624" t="s">
        <v>36</v>
      </c>
      <c r="G1624" t="s">
        <v>31</v>
      </c>
      <c r="H1624">
        <v>150000</v>
      </c>
      <c r="I1624">
        <v>10</v>
      </c>
      <c r="J1624" t="s">
        <v>17</v>
      </c>
      <c r="K1624">
        <f t="shared" si="25"/>
        <v>120000</v>
      </c>
      <c r="L1624">
        <f>Sales_Data2[[#This Row],[Unit Price]]*Sales_Data2[[#This Row],[Quantity]]</f>
        <v>1500000</v>
      </c>
      <c r="M1624">
        <f>Sales_Data2[[#This Row],[Cost Price]]*Sales_Data2[[#This Row],[Quantity]]</f>
        <v>1200000</v>
      </c>
      <c r="N1624" s="3">
        <f>Sales_Data2[[#This Row],[Revenue]]-Sales_Data2[[#This Row],[COGS]]</f>
        <v>300000</v>
      </c>
      <c r="O16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47298|North|Abuja|Retail|Store|Printer P50|Electronics|150000|10|Chidinma|120000</v>
      </c>
      <c r="P1624" s="3" t="str">
        <f>IF(COUNTIF(Sales_Data2[RowKey],Sales_Data2[[#This Row],[RowKey]])&gt;1,"Duplicate","Unique")</f>
        <v>Unique</v>
      </c>
      <c r="Q1624" s="3" t="str">
        <f>IF(ISNUMBER(Sales_Data2[[#This Row],[Date]]),"OK","Check")</f>
        <v>OK</v>
      </c>
      <c r="R1624" s="3" t="str">
        <f>IF(ISNUMBER(Sales_Data2[[#This Row],[Quantity]]),"OK","Check")</f>
        <v>OK</v>
      </c>
    </row>
    <row r="1625" spans="1:18">
      <c r="A1625" s="1">
        <v>47299</v>
      </c>
      <c r="B1625" t="s">
        <v>25</v>
      </c>
      <c r="C1625" t="s">
        <v>26</v>
      </c>
      <c r="D1625" t="s">
        <v>23</v>
      </c>
      <c r="E1625" t="s">
        <v>20</v>
      </c>
      <c r="F1625" t="s">
        <v>21</v>
      </c>
      <c r="G1625" t="s">
        <v>22</v>
      </c>
      <c r="H1625">
        <v>30000</v>
      </c>
      <c r="I1625">
        <v>3</v>
      </c>
      <c r="J1625" t="s">
        <v>35</v>
      </c>
      <c r="K1625">
        <f t="shared" si="25"/>
        <v>24000</v>
      </c>
      <c r="L1625">
        <f>Sales_Data2[[#This Row],[Unit Price]]*Sales_Data2[[#This Row],[Quantity]]</f>
        <v>90000</v>
      </c>
      <c r="M1625">
        <f>Sales_Data2[[#This Row],[Cost Price]]*Sales_Data2[[#This Row],[Quantity]]</f>
        <v>72000</v>
      </c>
      <c r="N1625" s="3">
        <f>Sales_Data2[[#This Row],[Revenue]]-Sales_Data2[[#This Row],[COGS]]</f>
        <v>18000</v>
      </c>
      <c r="O16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47299|South|Kano|Corporate|Store|Blender B10|Home Appliances|30000|3|Peter|24000</v>
      </c>
      <c r="P1625" s="3" t="str">
        <f>IF(COUNTIF(Sales_Data2[RowKey],Sales_Data2[[#This Row],[RowKey]])&gt;1,"Duplicate","Unique")</f>
        <v>Unique</v>
      </c>
      <c r="Q1625" s="3" t="str">
        <f>IF(ISNUMBER(Sales_Data2[[#This Row],[Date]]),"OK","Check")</f>
        <v>OK</v>
      </c>
      <c r="R1625" s="3" t="str">
        <f>IF(ISNUMBER(Sales_Data2[[#This Row],[Quantity]]),"OK","Check")</f>
        <v>OK</v>
      </c>
    </row>
    <row r="1626" spans="1:18">
      <c r="A1626" s="1">
        <v>47300</v>
      </c>
      <c r="B1626" t="s">
        <v>25</v>
      </c>
      <c r="C1626" t="s">
        <v>26</v>
      </c>
      <c r="D1626" t="s">
        <v>13</v>
      </c>
      <c r="E1626" t="s">
        <v>20</v>
      </c>
      <c r="F1626" t="s">
        <v>15</v>
      </c>
      <c r="G1626" t="s">
        <v>16</v>
      </c>
      <c r="H1626">
        <v>85000</v>
      </c>
      <c r="I1626">
        <v>4</v>
      </c>
      <c r="J1626" t="s">
        <v>35</v>
      </c>
      <c r="K1626">
        <f t="shared" si="25"/>
        <v>68000</v>
      </c>
      <c r="L1626">
        <f>Sales_Data2[[#This Row],[Unit Price]]*Sales_Data2[[#This Row],[Quantity]]</f>
        <v>340000</v>
      </c>
      <c r="M1626">
        <f>Sales_Data2[[#This Row],[Cost Price]]*Sales_Data2[[#This Row],[Quantity]]</f>
        <v>272000</v>
      </c>
      <c r="N1626" s="3">
        <f>Sales_Data2[[#This Row],[Revenue]]-Sales_Data2[[#This Row],[COGS]]</f>
        <v>68000</v>
      </c>
      <c r="O16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47300|South|Kano|Retail|Store|Office Chair Pro|Furniture|85000|4|Peter|68000</v>
      </c>
      <c r="P1626" s="3" t="str">
        <f>IF(COUNTIF(Sales_Data2[RowKey],Sales_Data2[[#This Row],[RowKey]])&gt;1,"Duplicate","Unique")</f>
        <v>Unique</v>
      </c>
      <c r="Q1626" s="3" t="str">
        <f>IF(ISNUMBER(Sales_Data2[[#This Row],[Date]]),"OK","Check")</f>
        <v>OK</v>
      </c>
      <c r="R1626" s="3" t="str">
        <f>IF(ISNUMBER(Sales_Data2[[#This Row],[Quantity]]),"OK","Check")</f>
        <v>OK</v>
      </c>
    </row>
    <row r="1627" spans="1:18">
      <c r="A1627" s="1">
        <v>47301</v>
      </c>
      <c r="B1627" t="s">
        <v>11</v>
      </c>
      <c r="C1627" t="s">
        <v>32</v>
      </c>
      <c r="D1627" t="s">
        <v>13</v>
      </c>
      <c r="E1627" t="s">
        <v>20</v>
      </c>
      <c r="F1627" t="s">
        <v>33</v>
      </c>
      <c r="G1627" t="s">
        <v>22</v>
      </c>
      <c r="H1627">
        <v>180000</v>
      </c>
      <c r="I1627">
        <v>10</v>
      </c>
      <c r="J1627" t="s">
        <v>35</v>
      </c>
      <c r="K1627">
        <f t="shared" si="25"/>
        <v>144000</v>
      </c>
      <c r="L1627">
        <f>Sales_Data2[[#This Row],[Unit Price]]*Sales_Data2[[#This Row],[Quantity]]</f>
        <v>1800000</v>
      </c>
      <c r="M1627">
        <f>Sales_Data2[[#This Row],[Cost Price]]*Sales_Data2[[#This Row],[Quantity]]</f>
        <v>1440000</v>
      </c>
      <c r="N1627" s="3">
        <f>Sales_Data2[[#This Row],[Revenue]]-Sales_Data2[[#This Row],[COGS]]</f>
        <v>360000</v>
      </c>
      <c r="O16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47301|West|Abuja|Retail|Store|Air Conditioner X2|Home Appliances|180000|10|Peter|144000</v>
      </c>
      <c r="P1627" s="3" t="str">
        <f>IF(COUNTIF(Sales_Data2[RowKey],Sales_Data2[[#This Row],[RowKey]])&gt;1,"Duplicate","Unique")</f>
        <v>Unique</v>
      </c>
      <c r="Q1627" s="3" t="str">
        <f>IF(ISNUMBER(Sales_Data2[[#This Row],[Date]]),"OK","Check")</f>
        <v>OK</v>
      </c>
      <c r="R1627" s="3" t="str">
        <f>IF(ISNUMBER(Sales_Data2[[#This Row],[Quantity]]),"OK","Check")</f>
        <v>OK</v>
      </c>
    </row>
    <row r="1628" spans="1:18">
      <c r="A1628" s="1">
        <v>47302</v>
      </c>
      <c r="B1628" t="s">
        <v>11</v>
      </c>
      <c r="C1628" t="s">
        <v>19</v>
      </c>
      <c r="D1628" t="s">
        <v>23</v>
      </c>
      <c r="E1628" t="s">
        <v>20</v>
      </c>
      <c r="F1628" t="s">
        <v>34</v>
      </c>
      <c r="G1628" t="s">
        <v>16</v>
      </c>
      <c r="H1628">
        <v>320000</v>
      </c>
      <c r="I1628">
        <v>9</v>
      </c>
      <c r="J1628" t="s">
        <v>37</v>
      </c>
      <c r="K1628">
        <f t="shared" si="25"/>
        <v>256000</v>
      </c>
      <c r="L1628">
        <f>Sales_Data2[[#This Row],[Unit Price]]*Sales_Data2[[#This Row],[Quantity]]</f>
        <v>2880000</v>
      </c>
      <c r="M1628">
        <f>Sales_Data2[[#This Row],[Cost Price]]*Sales_Data2[[#This Row],[Quantity]]</f>
        <v>2304000</v>
      </c>
      <c r="N1628" s="3">
        <f>Sales_Data2[[#This Row],[Revenue]]-Sales_Data2[[#This Row],[COGS]]</f>
        <v>576000</v>
      </c>
      <c r="O16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47302|West|Lagos|Corporate|Store|Sofa Classic|Furniture|320000|9|Aisha|256000</v>
      </c>
      <c r="P1628" s="3" t="str">
        <f>IF(COUNTIF(Sales_Data2[RowKey],Sales_Data2[[#This Row],[RowKey]])&gt;1,"Duplicate","Unique")</f>
        <v>Unique</v>
      </c>
      <c r="Q1628" s="3" t="str">
        <f>IF(ISNUMBER(Sales_Data2[[#This Row],[Date]]),"OK","Check")</f>
        <v>OK</v>
      </c>
      <c r="R1628" s="3" t="str">
        <f>IF(ISNUMBER(Sales_Data2[[#This Row],[Quantity]]),"OK","Check")</f>
        <v>OK</v>
      </c>
    </row>
    <row r="1629" spans="1:18">
      <c r="A1629" s="1">
        <v>47303</v>
      </c>
      <c r="B1629" t="s">
        <v>25</v>
      </c>
      <c r="C1629" t="s">
        <v>19</v>
      </c>
      <c r="D1629" t="s">
        <v>23</v>
      </c>
      <c r="E1629" t="s">
        <v>14</v>
      </c>
      <c r="F1629" t="s">
        <v>36</v>
      </c>
      <c r="G1629" t="s">
        <v>31</v>
      </c>
      <c r="H1629">
        <v>150000</v>
      </c>
      <c r="I1629">
        <v>3</v>
      </c>
      <c r="J1629" t="s">
        <v>39</v>
      </c>
      <c r="K1629">
        <f t="shared" si="25"/>
        <v>120000</v>
      </c>
      <c r="L1629">
        <f>Sales_Data2[[#This Row],[Unit Price]]*Sales_Data2[[#This Row],[Quantity]]</f>
        <v>450000</v>
      </c>
      <c r="M1629">
        <f>Sales_Data2[[#This Row],[Cost Price]]*Sales_Data2[[#This Row],[Quantity]]</f>
        <v>360000</v>
      </c>
      <c r="N1629" s="3">
        <f>Sales_Data2[[#This Row],[Revenue]]-Sales_Data2[[#This Row],[COGS]]</f>
        <v>90000</v>
      </c>
      <c r="O16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47303|South|Lagos|Corporate|Online|Printer P50|Electronics|150000|3|Grace|120000</v>
      </c>
      <c r="P1629" s="3" t="str">
        <f>IF(COUNTIF(Sales_Data2[RowKey],Sales_Data2[[#This Row],[RowKey]])&gt;1,"Duplicate","Unique")</f>
        <v>Unique</v>
      </c>
      <c r="Q1629" s="3" t="str">
        <f>IF(ISNUMBER(Sales_Data2[[#This Row],[Date]]),"OK","Check")</f>
        <v>OK</v>
      </c>
      <c r="R1629" s="3" t="str">
        <f>IF(ISNUMBER(Sales_Data2[[#This Row],[Quantity]]),"OK","Check")</f>
        <v>OK</v>
      </c>
    </row>
    <row r="1630" spans="1:18">
      <c r="A1630" s="1">
        <v>47304</v>
      </c>
      <c r="B1630" t="s">
        <v>29</v>
      </c>
      <c r="C1630" t="s">
        <v>19</v>
      </c>
      <c r="D1630" t="s">
        <v>13</v>
      </c>
      <c r="E1630" t="s">
        <v>14</v>
      </c>
      <c r="F1630" t="s">
        <v>41</v>
      </c>
      <c r="G1630" t="s">
        <v>22</v>
      </c>
      <c r="H1630">
        <v>220000</v>
      </c>
      <c r="I1630">
        <v>5</v>
      </c>
      <c r="J1630" t="s">
        <v>39</v>
      </c>
      <c r="K1630">
        <f t="shared" si="25"/>
        <v>176000</v>
      </c>
      <c r="L1630">
        <f>Sales_Data2[[#This Row],[Unit Price]]*Sales_Data2[[#This Row],[Quantity]]</f>
        <v>1100000</v>
      </c>
      <c r="M1630">
        <f>Sales_Data2[[#This Row],[Cost Price]]*Sales_Data2[[#This Row],[Quantity]]</f>
        <v>880000</v>
      </c>
      <c r="N1630" s="3">
        <f>Sales_Data2[[#This Row],[Revenue]]-Sales_Data2[[#This Row],[COGS]]</f>
        <v>220000</v>
      </c>
      <c r="O16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47304|North|Lagos|Retail|Online|Refrigerator R55|Home Appliances|220000|5|Grace|176000</v>
      </c>
      <c r="P1630" s="3" t="str">
        <f>IF(COUNTIF(Sales_Data2[RowKey],Sales_Data2[[#This Row],[RowKey]])&gt;1,"Duplicate","Unique")</f>
        <v>Unique</v>
      </c>
      <c r="Q1630" s="3" t="str">
        <f>IF(ISNUMBER(Sales_Data2[[#This Row],[Date]]),"OK","Check")</f>
        <v>OK</v>
      </c>
      <c r="R1630" s="3" t="str">
        <f>IF(ISNUMBER(Sales_Data2[[#This Row],[Quantity]]),"OK","Check")</f>
        <v>OK</v>
      </c>
    </row>
    <row r="1631" spans="1:18">
      <c r="A1631" s="1">
        <v>47305</v>
      </c>
      <c r="B1631" t="s">
        <v>29</v>
      </c>
      <c r="C1631" t="s">
        <v>32</v>
      </c>
      <c r="D1631" t="s">
        <v>23</v>
      </c>
      <c r="E1631" t="s">
        <v>20</v>
      </c>
      <c r="F1631" t="s">
        <v>30</v>
      </c>
      <c r="G1631" t="s">
        <v>31</v>
      </c>
      <c r="H1631">
        <v>300000</v>
      </c>
      <c r="I1631">
        <v>2</v>
      </c>
      <c r="J1631" t="s">
        <v>17</v>
      </c>
      <c r="K1631">
        <f t="shared" si="25"/>
        <v>240000</v>
      </c>
      <c r="L1631">
        <f>Sales_Data2[[#This Row],[Unit Price]]*Sales_Data2[[#This Row],[Quantity]]</f>
        <v>600000</v>
      </c>
      <c r="M1631">
        <f>Sales_Data2[[#This Row],[Cost Price]]*Sales_Data2[[#This Row],[Quantity]]</f>
        <v>480000</v>
      </c>
      <c r="N1631" s="3">
        <f>Sales_Data2[[#This Row],[Revenue]]-Sales_Data2[[#This Row],[COGS]]</f>
        <v>120000</v>
      </c>
      <c r="O16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47305|North|Abuja|Corporate|Store|Desktop PC D21|Electronics|300000|2|Chidinma|240000</v>
      </c>
      <c r="P1631" s="3" t="str">
        <f>IF(COUNTIF(Sales_Data2[RowKey],Sales_Data2[[#This Row],[RowKey]])&gt;1,"Duplicate","Unique")</f>
        <v>Unique</v>
      </c>
      <c r="Q1631" s="3" t="str">
        <f>IF(ISNUMBER(Sales_Data2[[#This Row],[Date]]),"OK","Check")</f>
        <v>OK</v>
      </c>
      <c r="R1631" s="3" t="str">
        <f>IF(ISNUMBER(Sales_Data2[[#This Row],[Quantity]]),"OK","Check")</f>
        <v>OK</v>
      </c>
    </row>
    <row r="1632" spans="1:18">
      <c r="A1632" s="1">
        <v>47306</v>
      </c>
      <c r="B1632" t="s">
        <v>18</v>
      </c>
      <c r="C1632" t="s">
        <v>12</v>
      </c>
      <c r="D1632" t="s">
        <v>23</v>
      </c>
      <c r="E1632" t="s">
        <v>14</v>
      </c>
      <c r="F1632" t="s">
        <v>30</v>
      </c>
      <c r="G1632" t="s">
        <v>31</v>
      </c>
      <c r="H1632">
        <v>300000</v>
      </c>
      <c r="I1632">
        <v>6</v>
      </c>
      <c r="J1632" t="s">
        <v>39</v>
      </c>
      <c r="K1632">
        <f t="shared" si="25"/>
        <v>240000</v>
      </c>
      <c r="L1632">
        <f>Sales_Data2[[#This Row],[Unit Price]]*Sales_Data2[[#This Row],[Quantity]]</f>
        <v>1800000</v>
      </c>
      <c r="M1632">
        <f>Sales_Data2[[#This Row],[Cost Price]]*Sales_Data2[[#This Row],[Quantity]]</f>
        <v>1440000</v>
      </c>
      <c r="N1632" s="3">
        <f>Sales_Data2[[#This Row],[Revenue]]-Sales_Data2[[#This Row],[COGS]]</f>
        <v>360000</v>
      </c>
      <c r="O16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47306|East|Port Harcourt|Corporate|Online|Desktop PC D21|Electronics|300000|6|Grace|240000</v>
      </c>
      <c r="P1632" s="3" t="str">
        <f>IF(COUNTIF(Sales_Data2[RowKey],Sales_Data2[[#This Row],[RowKey]])&gt;1,"Duplicate","Unique")</f>
        <v>Unique</v>
      </c>
      <c r="Q1632" s="3" t="str">
        <f>IF(ISNUMBER(Sales_Data2[[#This Row],[Date]]),"OK","Check")</f>
        <v>OK</v>
      </c>
      <c r="R1632" s="3" t="str">
        <f>IF(ISNUMBER(Sales_Data2[[#This Row],[Quantity]]),"OK","Check")</f>
        <v>OK</v>
      </c>
    </row>
    <row r="1633" spans="1:18">
      <c r="A1633" s="1">
        <v>47307</v>
      </c>
      <c r="B1633" t="s">
        <v>29</v>
      </c>
      <c r="C1633" t="s">
        <v>32</v>
      </c>
      <c r="D1633" t="s">
        <v>23</v>
      </c>
      <c r="E1633" t="s">
        <v>14</v>
      </c>
      <c r="F1633" t="s">
        <v>33</v>
      </c>
      <c r="G1633" t="s">
        <v>22</v>
      </c>
      <c r="H1633">
        <v>180000</v>
      </c>
      <c r="I1633">
        <v>7</v>
      </c>
      <c r="J1633" t="s">
        <v>39</v>
      </c>
      <c r="K1633">
        <f t="shared" si="25"/>
        <v>144000</v>
      </c>
      <c r="L1633">
        <f>Sales_Data2[[#This Row],[Unit Price]]*Sales_Data2[[#This Row],[Quantity]]</f>
        <v>1260000</v>
      </c>
      <c r="M1633">
        <f>Sales_Data2[[#This Row],[Cost Price]]*Sales_Data2[[#This Row],[Quantity]]</f>
        <v>1008000</v>
      </c>
      <c r="N1633" s="3">
        <f>Sales_Data2[[#This Row],[Revenue]]-Sales_Data2[[#This Row],[COGS]]</f>
        <v>252000</v>
      </c>
      <c r="O16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47307|North|Abuja|Corporate|Online|Air Conditioner X2|Home Appliances|180000|7|Grace|144000</v>
      </c>
      <c r="P1633" s="3" t="str">
        <f>IF(COUNTIF(Sales_Data2[RowKey],Sales_Data2[[#This Row],[RowKey]])&gt;1,"Duplicate","Unique")</f>
        <v>Unique</v>
      </c>
      <c r="Q1633" s="3" t="str">
        <f>IF(ISNUMBER(Sales_Data2[[#This Row],[Date]]),"OK","Check")</f>
        <v>OK</v>
      </c>
      <c r="R1633" s="3" t="str">
        <f>IF(ISNUMBER(Sales_Data2[[#This Row],[Quantity]]),"OK","Check")</f>
        <v>OK</v>
      </c>
    </row>
    <row r="1634" spans="1:18">
      <c r="A1634" s="1">
        <v>47308</v>
      </c>
      <c r="B1634" t="s">
        <v>11</v>
      </c>
      <c r="C1634" t="s">
        <v>26</v>
      </c>
      <c r="D1634" t="s">
        <v>23</v>
      </c>
      <c r="E1634" t="s">
        <v>20</v>
      </c>
      <c r="F1634" t="s">
        <v>34</v>
      </c>
      <c r="G1634" t="s">
        <v>16</v>
      </c>
      <c r="H1634">
        <v>320000</v>
      </c>
      <c r="I1634">
        <v>6</v>
      </c>
      <c r="J1634" t="s">
        <v>17</v>
      </c>
      <c r="K1634">
        <f t="shared" si="25"/>
        <v>256000</v>
      </c>
      <c r="L1634">
        <f>Sales_Data2[[#This Row],[Unit Price]]*Sales_Data2[[#This Row],[Quantity]]</f>
        <v>1920000</v>
      </c>
      <c r="M1634">
        <f>Sales_Data2[[#This Row],[Cost Price]]*Sales_Data2[[#This Row],[Quantity]]</f>
        <v>1536000</v>
      </c>
      <c r="N1634" s="3">
        <f>Sales_Data2[[#This Row],[Revenue]]-Sales_Data2[[#This Row],[COGS]]</f>
        <v>384000</v>
      </c>
      <c r="O16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47308|West|Kano|Corporate|Store|Sofa Classic|Furniture|320000|6|Chidinma|256000</v>
      </c>
      <c r="P1634" s="3" t="str">
        <f>IF(COUNTIF(Sales_Data2[RowKey],Sales_Data2[[#This Row],[RowKey]])&gt;1,"Duplicate","Unique")</f>
        <v>Unique</v>
      </c>
      <c r="Q1634" s="3" t="str">
        <f>IF(ISNUMBER(Sales_Data2[[#This Row],[Date]]),"OK","Check")</f>
        <v>OK</v>
      </c>
      <c r="R1634" s="3" t="str">
        <f>IF(ISNUMBER(Sales_Data2[[#This Row],[Quantity]]),"OK","Check")</f>
        <v>OK</v>
      </c>
    </row>
    <row r="1635" spans="1:18">
      <c r="A1635" s="1">
        <v>47309</v>
      </c>
      <c r="B1635" t="s">
        <v>29</v>
      </c>
      <c r="C1635" t="s">
        <v>19</v>
      </c>
      <c r="D1635" t="s">
        <v>13</v>
      </c>
      <c r="E1635" t="s">
        <v>20</v>
      </c>
      <c r="F1635" t="s">
        <v>40</v>
      </c>
      <c r="G1635" t="s">
        <v>31</v>
      </c>
      <c r="H1635">
        <v>250000</v>
      </c>
      <c r="I1635">
        <v>5</v>
      </c>
      <c r="J1635" t="s">
        <v>35</v>
      </c>
      <c r="K1635">
        <f t="shared" si="25"/>
        <v>200000</v>
      </c>
      <c r="L1635">
        <f>Sales_Data2[[#This Row],[Unit Price]]*Sales_Data2[[#This Row],[Quantity]]</f>
        <v>1250000</v>
      </c>
      <c r="M1635">
        <f>Sales_Data2[[#This Row],[Cost Price]]*Sales_Data2[[#This Row],[Quantity]]</f>
        <v>1000000</v>
      </c>
      <c r="N1635" s="3">
        <f>Sales_Data2[[#This Row],[Revenue]]-Sales_Data2[[#This Row],[COGS]]</f>
        <v>250000</v>
      </c>
      <c r="O16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47309|North|Lagos|Retail|Store|Smartphone Z10|Electronics|250000|5|Peter|200000</v>
      </c>
      <c r="P1635" s="3" t="str">
        <f>IF(COUNTIF(Sales_Data2[RowKey],Sales_Data2[[#This Row],[RowKey]])&gt;1,"Duplicate","Unique")</f>
        <v>Unique</v>
      </c>
      <c r="Q1635" s="3" t="str">
        <f>IF(ISNUMBER(Sales_Data2[[#This Row],[Date]]),"OK","Check")</f>
        <v>OK</v>
      </c>
      <c r="R1635" s="3" t="str">
        <f>IF(ISNUMBER(Sales_Data2[[#This Row],[Quantity]]),"OK","Check")</f>
        <v>OK</v>
      </c>
    </row>
    <row r="1636" spans="1:18">
      <c r="A1636" s="1">
        <v>47310</v>
      </c>
      <c r="B1636" t="s">
        <v>11</v>
      </c>
      <c r="C1636" t="s">
        <v>19</v>
      </c>
      <c r="D1636" t="s">
        <v>13</v>
      </c>
      <c r="E1636" t="s">
        <v>14</v>
      </c>
      <c r="F1636" t="s">
        <v>30</v>
      </c>
      <c r="G1636" t="s">
        <v>31</v>
      </c>
      <c r="H1636">
        <v>300000</v>
      </c>
      <c r="I1636">
        <v>3</v>
      </c>
      <c r="J1636" t="s">
        <v>39</v>
      </c>
      <c r="K1636">
        <f t="shared" si="25"/>
        <v>240000</v>
      </c>
      <c r="L1636">
        <f>Sales_Data2[[#This Row],[Unit Price]]*Sales_Data2[[#This Row],[Quantity]]</f>
        <v>900000</v>
      </c>
      <c r="M1636">
        <f>Sales_Data2[[#This Row],[Cost Price]]*Sales_Data2[[#This Row],[Quantity]]</f>
        <v>720000</v>
      </c>
      <c r="N1636" s="3">
        <f>Sales_Data2[[#This Row],[Revenue]]-Sales_Data2[[#This Row],[COGS]]</f>
        <v>180000</v>
      </c>
      <c r="O16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47310|West|Lagos|Retail|Online|Desktop PC D21|Electronics|300000|3|Grace|240000</v>
      </c>
      <c r="P1636" s="3" t="str">
        <f>IF(COUNTIF(Sales_Data2[RowKey],Sales_Data2[[#This Row],[RowKey]])&gt;1,"Duplicate","Unique")</f>
        <v>Unique</v>
      </c>
      <c r="Q1636" s="3" t="str">
        <f>IF(ISNUMBER(Sales_Data2[[#This Row],[Date]]),"OK","Check")</f>
        <v>OK</v>
      </c>
      <c r="R1636" s="3" t="str">
        <f>IF(ISNUMBER(Sales_Data2[[#This Row],[Quantity]]),"OK","Check")</f>
        <v>OK</v>
      </c>
    </row>
    <row r="1637" spans="1:18">
      <c r="A1637" s="1">
        <v>47311</v>
      </c>
      <c r="B1637" t="s">
        <v>11</v>
      </c>
      <c r="C1637" t="s">
        <v>32</v>
      </c>
      <c r="D1637" t="s">
        <v>13</v>
      </c>
      <c r="E1637" t="s">
        <v>20</v>
      </c>
      <c r="F1637" t="s">
        <v>33</v>
      </c>
      <c r="G1637" t="s">
        <v>22</v>
      </c>
      <c r="H1637">
        <v>180000</v>
      </c>
      <c r="I1637">
        <v>8</v>
      </c>
      <c r="J1637" t="s">
        <v>39</v>
      </c>
      <c r="K1637">
        <f t="shared" si="25"/>
        <v>144000</v>
      </c>
      <c r="L1637">
        <f>Sales_Data2[[#This Row],[Unit Price]]*Sales_Data2[[#This Row],[Quantity]]</f>
        <v>1440000</v>
      </c>
      <c r="M1637">
        <f>Sales_Data2[[#This Row],[Cost Price]]*Sales_Data2[[#This Row],[Quantity]]</f>
        <v>1152000</v>
      </c>
      <c r="N1637" s="3">
        <f>Sales_Data2[[#This Row],[Revenue]]-Sales_Data2[[#This Row],[COGS]]</f>
        <v>288000</v>
      </c>
      <c r="O16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47311|West|Abuja|Retail|Store|Air Conditioner X2|Home Appliances|180000|8|Grace|144000</v>
      </c>
      <c r="P1637" s="3" t="str">
        <f>IF(COUNTIF(Sales_Data2[RowKey],Sales_Data2[[#This Row],[RowKey]])&gt;1,"Duplicate","Unique")</f>
        <v>Unique</v>
      </c>
      <c r="Q1637" s="3" t="str">
        <f>IF(ISNUMBER(Sales_Data2[[#This Row],[Date]]),"OK","Check")</f>
        <v>OK</v>
      </c>
      <c r="R1637" s="3" t="str">
        <f>IF(ISNUMBER(Sales_Data2[[#This Row],[Quantity]]),"OK","Check")</f>
        <v>OK</v>
      </c>
    </row>
    <row r="1638" spans="1:18">
      <c r="A1638" s="1">
        <v>47312</v>
      </c>
      <c r="B1638" t="s">
        <v>18</v>
      </c>
      <c r="C1638" t="s">
        <v>32</v>
      </c>
      <c r="D1638" t="s">
        <v>13</v>
      </c>
      <c r="E1638" t="s">
        <v>20</v>
      </c>
      <c r="F1638" t="s">
        <v>34</v>
      </c>
      <c r="G1638" t="s">
        <v>16</v>
      </c>
      <c r="H1638">
        <v>320000</v>
      </c>
      <c r="I1638">
        <v>5</v>
      </c>
      <c r="J1638" t="s">
        <v>24</v>
      </c>
      <c r="K1638">
        <f t="shared" si="25"/>
        <v>256000</v>
      </c>
      <c r="L1638">
        <f>Sales_Data2[[#This Row],[Unit Price]]*Sales_Data2[[#This Row],[Quantity]]</f>
        <v>1600000</v>
      </c>
      <c r="M1638">
        <f>Sales_Data2[[#This Row],[Cost Price]]*Sales_Data2[[#This Row],[Quantity]]</f>
        <v>1280000</v>
      </c>
      <c r="N1638" s="3">
        <f>Sales_Data2[[#This Row],[Revenue]]-Sales_Data2[[#This Row],[COGS]]</f>
        <v>320000</v>
      </c>
      <c r="O16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47312|East|Abuja|Retail|Store|Sofa Classic|Furniture|320000|5|David|256000</v>
      </c>
      <c r="P1638" s="3" t="str">
        <f>IF(COUNTIF(Sales_Data2[RowKey],Sales_Data2[[#This Row],[RowKey]])&gt;1,"Duplicate","Unique")</f>
        <v>Unique</v>
      </c>
      <c r="Q1638" s="3" t="str">
        <f>IF(ISNUMBER(Sales_Data2[[#This Row],[Date]]),"OK","Check")</f>
        <v>OK</v>
      </c>
      <c r="R1638" s="3" t="str">
        <f>IF(ISNUMBER(Sales_Data2[[#This Row],[Quantity]]),"OK","Check")</f>
        <v>OK</v>
      </c>
    </row>
    <row r="1639" spans="1:18">
      <c r="A1639" s="1">
        <v>47313</v>
      </c>
      <c r="B1639" t="s">
        <v>11</v>
      </c>
      <c r="C1639" t="s">
        <v>32</v>
      </c>
      <c r="D1639" t="s">
        <v>13</v>
      </c>
      <c r="E1639" t="s">
        <v>14</v>
      </c>
      <c r="F1639" t="s">
        <v>40</v>
      </c>
      <c r="G1639" t="s">
        <v>31</v>
      </c>
      <c r="H1639">
        <v>250000</v>
      </c>
      <c r="I1639">
        <v>7</v>
      </c>
      <c r="J1639" t="s">
        <v>24</v>
      </c>
      <c r="K1639">
        <f t="shared" si="25"/>
        <v>200000</v>
      </c>
      <c r="L1639">
        <f>Sales_Data2[[#This Row],[Unit Price]]*Sales_Data2[[#This Row],[Quantity]]</f>
        <v>1750000</v>
      </c>
      <c r="M1639">
        <f>Sales_Data2[[#This Row],[Cost Price]]*Sales_Data2[[#This Row],[Quantity]]</f>
        <v>1400000</v>
      </c>
      <c r="N1639" s="3">
        <f>Sales_Data2[[#This Row],[Revenue]]-Sales_Data2[[#This Row],[COGS]]</f>
        <v>350000</v>
      </c>
      <c r="O16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47313|West|Abuja|Retail|Online|Smartphone Z10|Electronics|250000|7|David|200000</v>
      </c>
      <c r="P1639" s="3" t="str">
        <f>IF(COUNTIF(Sales_Data2[RowKey],Sales_Data2[[#This Row],[RowKey]])&gt;1,"Duplicate","Unique")</f>
        <v>Unique</v>
      </c>
      <c r="Q1639" s="3" t="str">
        <f>IF(ISNUMBER(Sales_Data2[[#This Row],[Date]]),"OK","Check")</f>
        <v>OK</v>
      </c>
      <c r="R1639" s="3" t="str">
        <f>IF(ISNUMBER(Sales_Data2[[#This Row],[Quantity]]),"OK","Check")</f>
        <v>OK</v>
      </c>
    </row>
    <row r="1640" spans="1:18">
      <c r="A1640" s="1">
        <v>47314</v>
      </c>
      <c r="B1640" t="s">
        <v>11</v>
      </c>
      <c r="C1640" t="s">
        <v>19</v>
      </c>
      <c r="D1640" t="s">
        <v>13</v>
      </c>
      <c r="E1640" t="s">
        <v>20</v>
      </c>
      <c r="F1640" t="s">
        <v>30</v>
      </c>
      <c r="G1640" t="s">
        <v>31</v>
      </c>
      <c r="H1640">
        <v>300000</v>
      </c>
      <c r="I1640">
        <v>8</v>
      </c>
      <c r="J1640" t="s">
        <v>17</v>
      </c>
      <c r="K1640">
        <f t="shared" si="25"/>
        <v>240000</v>
      </c>
      <c r="L1640">
        <f>Sales_Data2[[#This Row],[Unit Price]]*Sales_Data2[[#This Row],[Quantity]]</f>
        <v>2400000</v>
      </c>
      <c r="M1640">
        <f>Sales_Data2[[#This Row],[Cost Price]]*Sales_Data2[[#This Row],[Quantity]]</f>
        <v>1920000</v>
      </c>
      <c r="N1640" s="3">
        <f>Sales_Data2[[#This Row],[Revenue]]-Sales_Data2[[#This Row],[COGS]]</f>
        <v>480000</v>
      </c>
      <c r="O16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47314|West|Lagos|Retail|Store|Desktop PC D21|Electronics|300000|8|Chidinma|240000</v>
      </c>
      <c r="P1640" s="3" t="str">
        <f>IF(COUNTIF(Sales_Data2[RowKey],Sales_Data2[[#This Row],[RowKey]])&gt;1,"Duplicate","Unique")</f>
        <v>Unique</v>
      </c>
      <c r="Q1640" s="3" t="str">
        <f>IF(ISNUMBER(Sales_Data2[[#This Row],[Date]]),"OK","Check")</f>
        <v>OK</v>
      </c>
      <c r="R1640" s="3" t="str">
        <f>IF(ISNUMBER(Sales_Data2[[#This Row],[Quantity]]),"OK","Check")</f>
        <v>OK</v>
      </c>
    </row>
    <row r="1641" spans="1:18">
      <c r="A1641" s="1">
        <v>47315</v>
      </c>
      <c r="B1641" t="s">
        <v>11</v>
      </c>
      <c r="C1641" t="s">
        <v>19</v>
      </c>
      <c r="D1641" t="s">
        <v>23</v>
      </c>
      <c r="E1641" t="s">
        <v>14</v>
      </c>
      <c r="F1641" t="s">
        <v>38</v>
      </c>
      <c r="G1641" t="s">
        <v>31</v>
      </c>
      <c r="H1641">
        <v>420000</v>
      </c>
      <c r="I1641">
        <v>4</v>
      </c>
      <c r="J1641" t="s">
        <v>39</v>
      </c>
      <c r="K1641">
        <f t="shared" si="25"/>
        <v>336000</v>
      </c>
      <c r="L1641">
        <f>Sales_Data2[[#This Row],[Unit Price]]*Sales_Data2[[#This Row],[Quantity]]</f>
        <v>1680000</v>
      </c>
      <c r="M1641">
        <f>Sales_Data2[[#This Row],[Cost Price]]*Sales_Data2[[#This Row],[Quantity]]</f>
        <v>1344000</v>
      </c>
      <c r="N1641" s="3">
        <f>Sales_Data2[[#This Row],[Revenue]]-Sales_Data2[[#This Row],[COGS]]</f>
        <v>336000</v>
      </c>
      <c r="O16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47315|West|Lagos|Corporate|Online|Laptop A13|Electronics|420000|4|Grace|336000</v>
      </c>
      <c r="P1641" s="3" t="str">
        <f>IF(COUNTIF(Sales_Data2[RowKey],Sales_Data2[[#This Row],[RowKey]])&gt;1,"Duplicate","Unique")</f>
        <v>Unique</v>
      </c>
      <c r="Q1641" s="3" t="str">
        <f>IF(ISNUMBER(Sales_Data2[[#This Row],[Date]]),"OK","Check")</f>
        <v>OK</v>
      </c>
      <c r="R1641" s="3" t="str">
        <f>IF(ISNUMBER(Sales_Data2[[#This Row],[Quantity]]),"OK","Check")</f>
        <v>OK</v>
      </c>
    </row>
    <row r="1642" spans="1:18">
      <c r="A1642" s="1">
        <v>47316</v>
      </c>
      <c r="B1642" t="s">
        <v>11</v>
      </c>
      <c r="C1642" t="s">
        <v>12</v>
      </c>
      <c r="D1642" t="s">
        <v>23</v>
      </c>
      <c r="E1642" t="s">
        <v>20</v>
      </c>
      <c r="F1642" t="s">
        <v>40</v>
      </c>
      <c r="G1642" t="s">
        <v>31</v>
      </c>
      <c r="H1642">
        <v>250000</v>
      </c>
      <c r="I1642">
        <v>6</v>
      </c>
      <c r="J1642" t="s">
        <v>28</v>
      </c>
      <c r="K1642">
        <f t="shared" si="25"/>
        <v>200000</v>
      </c>
      <c r="L1642">
        <f>Sales_Data2[[#This Row],[Unit Price]]*Sales_Data2[[#This Row],[Quantity]]</f>
        <v>1500000</v>
      </c>
      <c r="M1642">
        <f>Sales_Data2[[#This Row],[Cost Price]]*Sales_Data2[[#This Row],[Quantity]]</f>
        <v>1200000</v>
      </c>
      <c r="N1642" s="3">
        <f>Sales_Data2[[#This Row],[Revenue]]-Sales_Data2[[#This Row],[COGS]]</f>
        <v>300000</v>
      </c>
      <c r="O16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47316|West|Port Harcourt|Corporate|Store|Smartphone Z10|Electronics|250000|6|Musa|200000</v>
      </c>
      <c r="P1642" s="3" t="str">
        <f>IF(COUNTIF(Sales_Data2[RowKey],Sales_Data2[[#This Row],[RowKey]])&gt;1,"Duplicate","Unique")</f>
        <v>Unique</v>
      </c>
      <c r="Q1642" s="3" t="str">
        <f>IF(ISNUMBER(Sales_Data2[[#This Row],[Date]]),"OK","Check")</f>
        <v>OK</v>
      </c>
      <c r="R1642" s="3" t="str">
        <f>IF(ISNUMBER(Sales_Data2[[#This Row],[Quantity]]),"OK","Check")</f>
        <v>OK</v>
      </c>
    </row>
    <row r="1643" spans="1:18">
      <c r="A1643" s="1">
        <v>47317</v>
      </c>
      <c r="B1643" t="s">
        <v>18</v>
      </c>
      <c r="C1643" t="s">
        <v>32</v>
      </c>
      <c r="D1643" t="s">
        <v>13</v>
      </c>
      <c r="E1643" t="s">
        <v>14</v>
      </c>
      <c r="F1643" t="s">
        <v>36</v>
      </c>
      <c r="G1643" t="s">
        <v>31</v>
      </c>
      <c r="H1643">
        <v>150000</v>
      </c>
      <c r="I1643">
        <v>3</v>
      </c>
      <c r="J1643" t="s">
        <v>28</v>
      </c>
      <c r="K1643">
        <f t="shared" si="25"/>
        <v>120000</v>
      </c>
      <c r="L1643">
        <f>Sales_Data2[[#This Row],[Unit Price]]*Sales_Data2[[#This Row],[Quantity]]</f>
        <v>450000</v>
      </c>
      <c r="M1643">
        <f>Sales_Data2[[#This Row],[Cost Price]]*Sales_Data2[[#This Row],[Quantity]]</f>
        <v>360000</v>
      </c>
      <c r="N1643" s="3">
        <f>Sales_Data2[[#This Row],[Revenue]]-Sales_Data2[[#This Row],[COGS]]</f>
        <v>90000</v>
      </c>
      <c r="O16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47317|East|Abuja|Retail|Online|Printer P50|Electronics|150000|3|Musa|120000</v>
      </c>
      <c r="P1643" s="3" t="str">
        <f>IF(COUNTIF(Sales_Data2[RowKey],Sales_Data2[[#This Row],[RowKey]])&gt;1,"Duplicate","Unique")</f>
        <v>Unique</v>
      </c>
      <c r="Q1643" s="3" t="str">
        <f>IF(ISNUMBER(Sales_Data2[[#This Row],[Date]]),"OK","Check")</f>
        <v>OK</v>
      </c>
      <c r="R1643" s="3" t="str">
        <f>IF(ISNUMBER(Sales_Data2[[#This Row],[Quantity]]),"OK","Check")</f>
        <v>OK</v>
      </c>
    </row>
    <row r="1644" spans="1:18">
      <c r="A1644" s="1">
        <v>47318</v>
      </c>
      <c r="B1644" t="s">
        <v>29</v>
      </c>
      <c r="C1644" t="s">
        <v>12</v>
      </c>
      <c r="D1644" t="s">
        <v>23</v>
      </c>
      <c r="E1644" t="s">
        <v>20</v>
      </c>
      <c r="F1644" t="s">
        <v>30</v>
      </c>
      <c r="G1644" t="s">
        <v>31</v>
      </c>
      <c r="H1644">
        <v>300000</v>
      </c>
      <c r="I1644">
        <v>6</v>
      </c>
      <c r="J1644" t="s">
        <v>37</v>
      </c>
      <c r="K1644">
        <f t="shared" si="25"/>
        <v>240000</v>
      </c>
      <c r="L1644">
        <f>Sales_Data2[[#This Row],[Unit Price]]*Sales_Data2[[#This Row],[Quantity]]</f>
        <v>1800000</v>
      </c>
      <c r="M1644">
        <f>Sales_Data2[[#This Row],[Cost Price]]*Sales_Data2[[#This Row],[Quantity]]</f>
        <v>1440000</v>
      </c>
      <c r="N1644" s="3">
        <f>Sales_Data2[[#This Row],[Revenue]]-Sales_Data2[[#This Row],[COGS]]</f>
        <v>360000</v>
      </c>
      <c r="O16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47318|North|Port Harcourt|Corporate|Store|Desktop PC D21|Electronics|300000|6|Aisha|240000</v>
      </c>
      <c r="P1644" s="3" t="str">
        <f>IF(COUNTIF(Sales_Data2[RowKey],Sales_Data2[[#This Row],[RowKey]])&gt;1,"Duplicate","Unique")</f>
        <v>Unique</v>
      </c>
      <c r="Q1644" s="3" t="str">
        <f>IF(ISNUMBER(Sales_Data2[[#This Row],[Date]]),"OK","Check")</f>
        <v>OK</v>
      </c>
      <c r="R1644" s="3" t="str">
        <f>IF(ISNUMBER(Sales_Data2[[#This Row],[Quantity]]),"OK","Check")</f>
        <v>OK</v>
      </c>
    </row>
    <row r="1645" spans="1:18">
      <c r="A1645" s="1">
        <v>47319</v>
      </c>
      <c r="B1645" t="s">
        <v>25</v>
      </c>
      <c r="C1645" t="s">
        <v>12</v>
      </c>
      <c r="D1645" t="s">
        <v>13</v>
      </c>
      <c r="E1645" t="s">
        <v>20</v>
      </c>
      <c r="F1645" t="s">
        <v>33</v>
      </c>
      <c r="G1645" t="s">
        <v>22</v>
      </c>
      <c r="H1645">
        <v>180000</v>
      </c>
      <c r="I1645">
        <v>2</v>
      </c>
      <c r="J1645" t="s">
        <v>28</v>
      </c>
      <c r="K1645">
        <f t="shared" si="25"/>
        <v>144000</v>
      </c>
      <c r="L1645">
        <f>Sales_Data2[[#This Row],[Unit Price]]*Sales_Data2[[#This Row],[Quantity]]</f>
        <v>360000</v>
      </c>
      <c r="M1645">
        <f>Sales_Data2[[#This Row],[Cost Price]]*Sales_Data2[[#This Row],[Quantity]]</f>
        <v>288000</v>
      </c>
      <c r="N1645" s="3">
        <f>Sales_Data2[[#This Row],[Revenue]]-Sales_Data2[[#This Row],[COGS]]</f>
        <v>72000</v>
      </c>
      <c r="O16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47319|South|Port Harcourt|Retail|Store|Air Conditioner X2|Home Appliances|180000|2|Musa|144000</v>
      </c>
      <c r="P1645" s="3" t="str">
        <f>IF(COUNTIF(Sales_Data2[RowKey],Sales_Data2[[#This Row],[RowKey]])&gt;1,"Duplicate","Unique")</f>
        <v>Unique</v>
      </c>
      <c r="Q1645" s="3" t="str">
        <f>IF(ISNUMBER(Sales_Data2[[#This Row],[Date]]),"OK","Check")</f>
        <v>OK</v>
      </c>
      <c r="R1645" s="3" t="str">
        <f>IF(ISNUMBER(Sales_Data2[[#This Row],[Quantity]]),"OK","Check")</f>
        <v>OK</v>
      </c>
    </row>
    <row r="1646" spans="1:18">
      <c r="A1646" s="1">
        <v>47320</v>
      </c>
      <c r="B1646" t="s">
        <v>18</v>
      </c>
      <c r="C1646" t="s">
        <v>19</v>
      </c>
      <c r="D1646" t="s">
        <v>23</v>
      </c>
      <c r="E1646" t="s">
        <v>20</v>
      </c>
      <c r="F1646" t="s">
        <v>36</v>
      </c>
      <c r="G1646" t="s">
        <v>31</v>
      </c>
      <c r="H1646">
        <v>150000</v>
      </c>
      <c r="I1646">
        <v>6</v>
      </c>
      <c r="J1646" t="s">
        <v>24</v>
      </c>
      <c r="K1646">
        <f t="shared" si="25"/>
        <v>120000</v>
      </c>
      <c r="L1646">
        <f>Sales_Data2[[#This Row],[Unit Price]]*Sales_Data2[[#This Row],[Quantity]]</f>
        <v>900000</v>
      </c>
      <c r="M1646">
        <f>Sales_Data2[[#This Row],[Cost Price]]*Sales_Data2[[#This Row],[Quantity]]</f>
        <v>720000</v>
      </c>
      <c r="N1646" s="3">
        <f>Sales_Data2[[#This Row],[Revenue]]-Sales_Data2[[#This Row],[COGS]]</f>
        <v>180000</v>
      </c>
      <c r="O16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47320|East|Lagos|Corporate|Store|Printer P50|Electronics|150000|6|David|120000</v>
      </c>
      <c r="P1646" s="3" t="str">
        <f>IF(COUNTIF(Sales_Data2[RowKey],Sales_Data2[[#This Row],[RowKey]])&gt;1,"Duplicate","Unique")</f>
        <v>Unique</v>
      </c>
      <c r="Q1646" s="3" t="str">
        <f>IF(ISNUMBER(Sales_Data2[[#This Row],[Date]]),"OK","Check")</f>
        <v>OK</v>
      </c>
      <c r="R1646" s="3" t="str">
        <f>IF(ISNUMBER(Sales_Data2[[#This Row],[Quantity]]),"OK","Check")</f>
        <v>OK</v>
      </c>
    </row>
    <row r="1647" spans="1:18">
      <c r="A1647" s="1">
        <v>47321</v>
      </c>
      <c r="B1647" t="s">
        <v>25</v>
      </c>
      <c r="C1647" t="s">
        <v>26</v>
      </c>
      <c r="D1647" t="s">
        <v>13</v>
      </c>
      <c r="E1647" t="s">
        <v>20</v>
      </c>
      <c r="F1647" t="s">
        <v>27</v>
      </c>
      <c r="G1647" t="s">
        <v>22</v>
      </c>
      <c r="H1647">
        <v>60000</v>
      </c>
      <c r="I1647">
        <v>8</v>
      </c>
      <c r="J1647" t="s">
        <v>37</v>
      </c>
      <c r="K1647">
        <f t="shared" si="25"/>
        <v>48000</v>
      </c>
      <c r="L1647">
        <f>Sales_Data2[[#This Row],[Unit Price]]*Sales_Data2[[#This Row],[Quantity]]</f>
        <v>480000</v>
      </c>
      <c r="M1647">
        <f>Sales_Data2[[#This Row],[Cost Price]]*Sales_Data2[[#This Row],[Quantity]]</f>
        <v>384000</v>
      </c>
      <c r="N1647" s="3">
        <f>Sales_Data2[[#This Row],[Revenue]]-Sales_Data2[[#This Row],[COGS]]</f>
        <v>96000</v>
      </c>
      <c r="O16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47321|South|Kano|Retail|Store|Microwave M20|Home Appliances|60000|8|Aisha|48000</v>
      </c>
      <c r="P1647" s="3" t="str">
        <f>IF(COUNTIF(Sales_Data2[RowKey],Sales_Data2[[#This Row],[RowKey]])&gt;1,"Duplicate","Unique")</f>
        <v>Unique</v>
      </c>
      <c r="Q1647" s="3" t="str">
        <f>IF(ISNUMBER(Sales_Data2[[#This Row],[Date]]),"OK","Check")</f>
        <v>OK</v>
      </c>
      <c r="R1647" s="3" t="str">
        <f>IF(ISNUMBER(Sales_Data2[[#This Row],[Quantity]]),"OK","Check")</f>
        <v>OK</v>
      </c>
    </row>
    <row r="1648" spans="1:18">
      <c r="A1648" s="1">
        <v>47322</v>
      </c>
      <c r="B1648" t="s">
        <v>11</v>
      </c>
      <c r="C1648" t="s">
        <v>19</v>
      </c>
      <c r="D1648" t="s">
        <v>13</v>
      </c>
      <c r="E1648" t="s">
        <v>20</v>
      </c>
      <c r="F1648" t="s">
        <v>41</v>
      </c>
      <c r="G1648" t="s">
        <v>22</v>
      </c>
      <c r="H1648">
        <v>220000</v>
      </c>
      <c r="I1648">
        <v>9</v>
      </c>
      <c r="J1648" t="s">
        <v>28</v>
      </c>
      <c r="K1648">
        <f t="shared" si="25"/>
        <v>176000</v>
      </c>
      <c r="L1648">
        <f>Sales_Data2[[#This Row],[Unit Price]]*Sales_Data2[[#This Row],[Quantity]]</f>
        <v>1980000</v>
      </c>
      <c r="M1648">
        <f>Sales_Data2[[#This Row],[Cost Price]]*Sales_Data2[[#This Row],[Quantity]]</f>
        <v>1584000</v>
      </c>
      <c r="N1648" s="3">
        <f>Sales_Data2[[#This Row],[Revenue]]-Sales_Data2[[#This Row],[COGS]]</f>
        <v>396000</v>
      </c>
      <c r="O16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47322|West|Lagos|Retail|Store|Refrigerator R55|Home Appliances|220000|9|Musa|176000</v>
      </c>
      <c r="P1648" s="3" t="str">
        <f>IF(COUNTIF(Sales_Data2[RowKey],Sales_Data2[[#This Row],[RowKey]])&gt;1,"Duplicate","Unique")</f>
        <v>Unique</v>
      </c>
      <c r="Q1648" s="3" t="str">
        <f>IF(ISNUMBER(Sales_Data2[[#This Row],[Date]]),"OK","Check")</f>
        <v>OK</v>
      </c>
      <c r="R1648" s="3" t="str">
        <f>IF(ISNUMBER(Sales_Data2[[#This Row],[Quantity]]),"OK","Check")</f>
        <v>OK</v>
      </c>
    </row>
    <row r="1649" spans="1:18">
      <c r="A1649" s="1">
        <v>47323</v>
      </c>
      <c r="B1649" t="s">
        <v>29</v>
      </c>
      <c r="C1649" t="s">
        <v>32</v>
      </c>
      <c r="D1649" t="s">
        <v>23</v>
      </c>
      <c r="E1649" t="s">
        <v>14</v>
      </c>
      <c r="F1649" t="s">
        <v>30</v>
      </c>
      <c r="G1649" t="s">
        <v>31</v>
      </c>
      <c r="H1649">
        <v>300000</v>
      </c>
      <c r="I1649">
        <v>9</v>
      </c>
      <c r="J1649" t="s">
        <v>35</v>
      </c>
      <c r="K1649">
        <f t="shared" si="25"/>
        <v>240000</v>
      </c>
      <c r="L1649">
        <f>Sales_Data2[[#This Row],[Unit Price]]*Sales_Data2[[#This Row],[Quantity]]</f>
        <v>2700000</v>
      </c>
      <c r="M1649">
        <f>Sales_Data2[[#This Row],[Cost Price]]*Sales_Data2[[#This Row],[Quantity]]</f>
        <v>2160000</v>
      </c>
      <c r="N1649" s="3">
        <f>Sales_Data2[[#This Row],[Revenue]]-Sales_Data2[[#This Row],[COGS]]</f>
        <v>540000</v>
      </c>
      <c r="O16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47323|North|Abuja|Corporate|Online|Desktop PC D21|Electronics|300000|9|Peter|240000</v>
      </c>
      <c r="P1649" s="3" t="str">
        <f>IF(COUNTIF(Sales_Data2[RowKey],Sales_Data2[[#This Row],[RowKey]])&gt;1,"Duplicate","Unique")</f>
        <v>Unique</v>
      </c>
      <c r="Q1649" s="3" t="str">
        <f>IF(ISNUMBER(Sales_Data2[[#This Row],[Date]]),"OK","Check")</f>
        <v>OK</v>
      </c>
      <c r="R1649" s="3" t="str">
        <f>IF(ISNUMBER(Sales_Data2[[#This Row],[Quantity]]),"OK","Check")</f>
        <v>OK</v>
      </c>
    </row>
    <row r="1650" spans="1:18">
      <c r="A1650" s="1">
        <v>47324</v>
      </c>
      <c r="B1650" t="s">
        <v>11</v>
      </c>
      <c r="C1650" t="s">
        <v>32</v>
      </c>
      <c r="D1650" t="s">
        <v>13</v>
      </c>
      <c r="E1650" t="s">
        <v>14</v>
      </c>
      <c r="F1650" t="s">
        <v>38</v>
      </c>
      <c r="G1650" t="s">
        <v>31</v>
      </c>
      <c r="H1650">
        <v>420000</v>
      </c>
      <c r="I1650">
        <v>1</v>
      </c>
      <c r="J1650" t="s">
        <v>37</v>
      </c>
      <c r="K1650">
        <f t="shared" si="25"/>
        <v>336000</v>
      </c>
      <c r="L1650">
        <f>Sales_Data2[[#This Row],[Unit Price]]*Sales_Data2[[#This Row],[Quantity]]</f>
        <v>420000</v>
      </c>
      <c r="M1650">
        <f>Sales_Data2[[#This Row],[Cost Price]]*Sales_Data2[[#This Row],[Quantity]]</f>
        <v>336000</v>
      </c>
      <c r="N1650" s="3">
        <f>Sales_Data2[[#This Row],[Revenue]]-Sales_Data2[[#This Row],[COGS]]</f>
        <v>84000</v>
      </c>
      <c r="O16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47324|West|Abuja|Retail|Online|Laptop A13|Electronics|420000|1|Aisha|336000</v>
      </c>
      <c r="P1650" s="3" t="str">
        <f>IF(COUNTIF(Sales_Data2[RowKey],Sales_Data2[[#This Row],[RowKey]])&gt;1,"Duplicate","Unique")</f>
        <v>Unique</v>
      </c>
      <c r="Q1650" s="3" t="str">
        <f>IF(ISNUMBER(Sales_Data2[[#This Row],[Date]]),"OK","Check")</f>
        <v>OK</v>
      </c>
      <c r="R1650" s="3" t="str">
        <f>IF(ISNUMBER(Sales_Data2[[#This Row],[Quantity]]),"OK","Check")</f>
        <v>OK</v>
      </c>
    </row>
    <row r="1651" spans="1:18">
      <c r="A1651" s="1">
        <v>47325</v>
      </c>
      <c r="B1651" t="s">
        <v>25</v>
      </c>
      <c r="C1651" t="s">
        <v>32</v>
      </c>
      <c r="D1651" t="s">
        <v>13</v>
      </c>
      <c r="E1651" t="s">
        <v>20</v>
      </c>
      <c r="F1651" t="s">
        <v>41</v>
      </c>
      <c r="G1651" t="s">
        <v>22</v>
      </c>
      <c r="H1651">
        <v>220000</v>
      </c>
      <c r="I1651">
        <v>6</v>
      </c>
      <c r="J1651" t="s">
        <v>35</v>
      </c>
      <c r="K1651">
        <f t="shared" si="25"/>
        <v>176000</v>
      </c>
      <c r="L1651">
        <f>Sales_Data2[[#This Row],[Unit Price]]*Sales_Data2[[#This Row],[Quantity]]</f>
        <v>1320000</v>
      </c>
      <c r="M1651">
        <f>Sales_Data2[[#This Row],[Cost Price]]*Sales_Data2[[#This Row],[Quantity]]</f>
        <v>1056000</v>
      </c>
      <c r="N1651" s="3">
        <f>Sales_Data2[[#This Row],[Revenue]]-Sales_Data2[[#This Row],[COGS]]</f>
        <v>264000</v>
      </c>
      <c r="O16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47325|South|Abuja|Retail|Store|Refrigerator R55|Home Appliances|220000|6|Peter|176000</v>
      </c>
      <c r="P1651" s="3" t="str">
        <f>IF(COUNTIF(Sales_Data2[RowKey],Sales_Data2[[#This Row],[RowKey]])&gt;1,"Duplicate","Unique")</f>
        <v>Unique</v>
      </c>
      <c r="Q1651" s="3" t="str">
        <f>IF(ISNUMBER(Sales_Data2[[#This Row],[Date]]),"OK","Check")</f>
        <v>OK</v>
      </c>
      <c r="R1651" s="3" t="str">
        <f>IF(ISNUMBER(Sales_Data2[[#This Row],[Quantity]]),"OK","Check")</f>
        <v>OK</v>
      </c>
    </row>
    <row r="1652" spans="1:18">
      <c r="A1652" s="1">
        <v>47326</v>
      </c>
      <c r="B1652" t="s">
        <v>11</v>
      </c>
      <c r="C1652" t="s">
        <v>19</v>
      </c>
      <c r="D1652" t="s">
        <v>13</v>
      </c>
      <c r="E1652" t="s">
        <v>20</v>
      </c>
      <c r="F1652" t="s">
        <v>21</v>
      </c>
      <c r="G1652" t="s">
        <v>22</v>
      </c>
      <c r="H1652">
        <v>30000</v>
      </c>
      <c r="I1652">
        <v>5</v>
      </c>
      <c r="J1652" t="s">
        <v>28</v>
      </c>
      <c r="K1652">
        <f t="shared" si="25"/>
        <v>24000</v>
      </c>
      <c r="L1652">
        <f>Sales_Data2[[#This Row],[Unit Price]]*Sales_Data2[[#This Row],[Quantity]]</f>
        <v>150000</v>
      </c>
      <c r="M1652">
        <f>Sales_Data2[[#This Row],[Cost Price]]*Sales_Data2[[#This Row],[Quantity]]</f>
        <v>120000</v>
      </c>
      <c r="N1652" s="3">
        <f>Sales_Data2[[#This Row],[Revenue]]-Sales_Data2[[#This Row],[COGS]]</f>
        <v>30000</v>
      </c>
      <c r="O16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47326|West|Lagos|Retail|Store|Blender B10|Home Appliances|30000|5|Musa|24000</v>
      </c>
      <c r="P1652" s="3" t="str">
        <f>IF(COUNTIF(Sales_Data2[RowKey],Sales_Data2[[#This Row],[RowKey]])&gt;1,"Duplicate","Unique")</f>
        <v>Unique</v>
      </c>
      <c r="Q1652" s="3" t="str">
        <f>IF(ISNUMBER(Sales_Data2[[#This Row],[Date]]),"OK","Check")</f>
        <v>OK</v>
      </c>
      <c r="R1652" s="3" t="str">
        <f>IF(ISNUMBER(Sales_Data2[[#This Row],[Quantity]]),"OK","Check")</f>
        <v>OK</v>
      </c>
    </row>
    <row r="1653" spans="1:18">
      <c r="A1653" s="1">
        <v>47327</v>
      </c>
      <c r="B1653" t="s">
        <v>29</v>
      </c>
      <c r="C1653" t="s">
        <v>26</v>
      </c>
      <c r="D1653" t="s">
        <v>23</v>
      </c>
      <c r="E1653" t="s">
        <v>14</v>
      </c>
      <c r="F1653" t="s">
        <v>21</v>
      </c>
      <c r="G1653" t="s">
        <v>22</v>
      </c>
      <c r="H1653">
        <v>30000</v>
      </c>
      <c r="I1653">
        <v>9</v>
      </c>
      <c r="J1653" t="s">
        <v>28</v>
      </c>
      <c r="K1653">
        <f t="shared" si="25"/>
        <v>24000</v>
      </c>
      <c r="L1653">
        <f>Sales_Data2[[#This Row],[Unit Price]]*Sales_Data2[[#This Row],[Quantity]]</f>
        <v>270000</v>
      </c>
      <c r="M1653">
        <f>Sales_Data2[[#This Row],[Cost Price]]*Sales_Data2[[#This Row],[Quantity]]</f>
        <v>216000</v>
      </c>
      <c r="N1653" s="3">
        <f>Sales_Data2[[#This Row],[Revenue]]-Sales_Data2[[#This Row],[COGS]]</f>
        <v>54000</v>
      </c>
      <c r="O16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47327|North|Kano|Corporate|Online|Blender B10|Home Appliances|30000|9|Musa|24000</v>
      </c>
      <c r="P1653" s="3" t="str">
        <f>IF(COUNTIF(Sales_Data2[RowKey],Sales_Data2[[#This Row],[RowKey]])&gt;1,"Duplicate","Unique")</f>
        <v>Unique</v>
      </c>
      <c r="Q1653" s="3" t="str">
        <f>IF(ISNUMBER(Sales_Data2[[#This Row],[Date]]),"OK","Check")</f>
        <v>OK</v>
      </c>
      <c r="R1653" s="3" t="str">
        <f>IF(ISNUMBER(Sales_Data2[[#This Row],[Quantity]]),"OK","Check")</f>
        <v>OK</v>
      </c>
    </row>
    <row r="1654" spans="1:18">
      <c r="A1654" s="1">
        <v>47328</v>
      </c>
      <c r="B1654" t="s">
        <v>25</v>
      </c>
      <c r="C1654" t="s">
        <v>12</v>
      </c>
      <c r="D1654" t="s">
        <v>13</v>
      </c>
      <c r="E1654" t="s">
        <v>14</v>
      </c>
      <c r="F1654" t="s">
        <v>40</v>
      </c>
      <c r="G1654" t="s">
        <v>31</v>
      </c>
      <c r="H1654">
        <v>250000</v>
      </c>
      <c r="I1654">
        <v>1</v>
      </c>
      <c r="J1654" t="s">
        <v>35</v>
      </c>
      <c r="K1654">
        <f t="shared" si="25"/>
        <v>200000</v>
      </c>
      <c r="L1654">
        <f>Sales_Data2[[#This Row],[Unit Price]]*Sales_Data2[[#This Row],[Quantity]]</f>
        <v>250000</v>
      </c>
      <c r="M1654">
        <f>Sales_Data2[[#This Row],[Cost Price]]*Sales_Data2[[#This Row],[Quantity]]</f>
        <v>200000</v>
      </c>
      <c r="N1654" s="3">
        <f>Sales_Data2[[#This Row],[Revenue]]-Sales_Data2[[#This Row],[COGS]]</f>
        <v>50000</v>
      </c>
      <c r="O16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47328|South|Port Harcourt|Retail|Online|Smartphone Z10|Electronics|250000|1|Peter|200000</v>
      </c>
      <c r="P1654" s="3" t="str">
        <f>IF(COUNTIF(Sales_Data2[RowKey],Sales_Data2[[#This Row],[RowKey]])&gt;1,"Duplicate","Unique")</f>
        <v>Unique</v>
      </c>
      <c r="Q1654" s="3" t="str">
        <f>IF(ISNUMBER(Sales_Data2[[#This Row],[Date]]),"OK","Check")</f>
        <v>OK</v>
      </c>
      <c r="R1654" s="3" t="str">
        <f>IF(ISNUMBER(Sales_Data2[[#This Row],[Quantity]]),"OK","Check")</f>
        <v>OK</v>
      </c>
    </row>
    <row r="1655" spans="1:18">
      <c r="A1655" s="1">
        <v>47329</v>
      </c>
      <c r="B1655" t="s">
        <v>25</v>
      </c>
      <c r="C1655" t="s">
        <v>32</v>
      </c>
      <c r="D1655" t="s">
        <v>13</v>
      </c>
      <c r="E1655" t="s">
        <v>14</v>
      </c>
      <c r="F1655" t="s">
        <v>41</v>
      </c>
      <c r="G1655" t="s">
        <v>22</v>
      </c>
      <c r="H1655">
        <v>220000</v>
      </c>
      <c r="I1655">
        <v>8</v>
      </c>
      <c r="J1655" t="s">
        <v>24</v>
      </c>
      <c r="K1655">
        <f t="shared" si="25"/>
        <v>176000</v>
      </c>
      <c r="L1655">
        <f>Sales_Data2[[#This Row],[Unit Price]]*Sales_Data2[[#This Row],[Quantity]]</f>
        <v>1760000</v>
      </c>
      <c r="M1655">
        <f>Sales_Data2[[#This Row],[Cost Price]]*Sales_Data2[[#This Row],[Quantity]]</f>
        <v>1408000</v>
      </c>
      <c r="N1655" s="3">
        <f>Sales_Data2[[#This Row],[Revenue]]-Sales_Data2[[#This Row],[COGS]]</f>
        <v>352000</v>
      </c>
      <c r="O16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47329|South|Abuja|Retail|Online|Refrigerator R55|Home Appliances|220000|8|David|176000</v>
      </c>
      <c r="P1655" s="3" t="str">
        <f>IF(COUNTIF(Sales_Data2[RowKey],Sales_Data2[[#This Row],[RowKey]])&gt;1,"Duplicate","Unique")</f>
        <v>Unique</v>
      </c>
      <c r="Q1655" s="3" t="str">
        <f>IF(ISNUMBER(Sales_Data2[[#This Row],[Date]]),"OK","Check")</f>
        <v>OK</v>
      </c>
      <c r="R1655" s="3" t="str">
        <f>IF(ISNUMBER(Sales_Data2[[#This Row],[Quantity]]),"OK","Check")</f>
        <v>OK</v>
      </c>
    </row>
    <row r="1656" spans="1:18">
      <c r="A1656" s="1">
        <v>47330</v>
      </c>
      <c r="B1656" t="s">
        <v>18</v>
      </c>
      <c r="C1656" t="s">
        <v>19</v>
      </c>
      <c r="D1656" t="s">
        <v>13</v>
      </c>
      <c r="E1656" t="s">
        <v>14</v>
      </c>
      <c r="F1656" t="s">
        <v>38</v>
      </c>
      <c r="G1656" t="s">
        <v>31</v>
      </c>
      <c r="H1656">
        <v>420000</v>
      </c>
      <c r="I1656">
        <v>8</v>
      </c>
      <c r="J1656" t="s">
        <v>39</v>
      </c>
      <c r="K1656">
        <f t="shared" si="25"/>
        <v>336000</v>
      </c>
      <c r="L1656">
        <f>Sales_Data2[[#This Row],[Unit Price]]*Sales_Data2[[#This Row],[Quantity]]</f>
        <v>3360000</v>
      </c>
      <c r="M1656">
        <f>Sales_Data2[[#This Row],[Cost Price]]*Sales_Data2[[#This Row],[Quantity]]</f>
        <v>2688000</v>
      </c>
      <c r="N1656" s="3">
        <f>Sales_Data2[[#This Row],[Revenue]]-Sales_Data2[[#This Row],[COGS]]</f>
        <v>672000</v>
      </c>
      <c r="O16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47330|East|Lagos|Retail|Online|Laptop A13|Electronics|420000|8|Grace|336000</v>
      </c>
      <c r="P1656" s="3" t="str">
        <f>IF(COUNTIF(Sales_Data2[RowKey],Sales_Data2[[#This Row],[RowKey]])&gt;1,"Duplicate","Unique")</f>
        <v>Unique</v>
      </c>
      <c r="Q1656" s="3" t="str">
        <f>IF(ISNUMBER(Sales_Data2[[#This Row],[Date]]),"OK","Check")</f>
        <v>OK</v>
      </c>
      <c r="R1656" s="3" t="str">
        <f>IF(ISNUMBER(Sales_Data2[[#This Row],[Quantity]]),"OK","Check")</f>
        <v>OK</v>
      </c>
    </row>
    <row r="1657" spans="1:18">
      <c r="A1657" s="1">
        <v>47331</v>
      </c>
      <c r="B1657" t="s">
        <v>29</v>
      </c>
      <c r="C1657" t="s">
        <v>26</v>
      </c>
      <c r="D1657" t="s">
        <v>13</v>
      </c>
      <c r="E1657" t="s">
        <v>14</v>
      </c>
      <c r="F1657" t="s">
        <v>30</v>
      </c>
      <c r="G1657" t="s">
        <v>31</v>
      </c>
      <c r="H1657">
        <v>300000</v>
      </c>
      <c r="I1657">
        <v>10</v>
      </c>
      <c r="J1657" t="s">
        <v>35</v>
      </c>
      <c r="K1657">
        <f t="shared" si="25"/>
        <v>240000</v>
      </c>
      <c r="L1657">
        <f>Sales_Data2[[#This Row],[Unit Price]]*Sales_Data2[[#This Row],[Quantity]]</f>
        <v>3000000</v>
      </c>
      <c r="M1657">
        <f>Sales_Data2[[#This Row],[Cost Price]]*Sales_Data2[[#This Row],[Quantity]]</f>
        <v>2400000</v>
      </c>
      <c r="N1657" s="3">
        <f>Sales_Data2[[#This Row],[Revenue]]-Sales_Data2[[#This Row],[COGS]]</f>
        <v>600000</v>
      </c>
      <c r="O16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47331|North|Kano|Retail|Online|Desktop PC D21|Electronics|300000|10|Peter|240000</v>
      </c>
      <c r="P1657" s="3" t="str">
        <f>IF(COUNTIF(Sales_Data2[RowKey],Sales_Data2[[#This Row],[RowKey]])&gt;1,"Duplicate","Unique")</f>
        <v>Unique</v>
      </c>
      <c r="Q1657" s="3" t="str">
        <f>IF(ISNUMBER(Sales_Data2[[#This Row],[Date]]),"OK","Check")</f>
        <v>OK</v>
      </c>
      <c r="R1657" s="3" t="str">
        <f>IF(ISNUMBER(Sales_Data2[[#This Row],[Quantity]]),"OK","Check")</f>
        <v>OK</v>
      </c>
    </row>
    <row r="1658" spans="1:18">
      <c r="A1658" s="1">
        <v>47332</v>
      </c>
      <c r="B1658" t="s">
        <v>29</v>
      </c>
      <c r="C1658" t="s">
        <v>32</v>
      </c>
      <c r="D1658" t="s">
        <v>13</v>
      </c>
      <c r="E1658" t="s">
        <v>14</v>
      </c>
      <c r="F1658" t="s">
        <v>36</v>
      </c>
      <c r="G1658" t="s">
        <v>31</v>
      </c>
      <c r="H1658">
        <v>150000</v>
      </c>
      <c r="I1658">
        <v>1</v>
      </c>
      <c r="J1658" t="s">
        <v>35</v>
      </c>
      <c r="K1658">
        <f t="shared" si="25"/>
        <v>120000</v>
      </c>
      <c r="L1658">
        <f>Sales_Data2[[#This Row],[Unit Price]]*Sales_Data2[[#This Row],[Quantity]]</f>
        <v>150000</v>
      </c>
      <c r="M1658">
        <f>Sales_Data2[[#This Row],[Cost Price]]*Sales_Data2[[#This Row],[Quantity]]</f>
        <v>120000</v>
      </c>
      <c r="N1658" s="3">
        <f>Sales_Data2[[#This Row],[Revenue]]-Sales_Data2[[#This Row],[COGS]]</f>
        <v>30000</v>
      </c>
      <c r="O16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47332|North|Abuja|Retail|Online|Printer P50|Electronics|150000|1|Peter|120000</v>
      </c>
      <c r="P1658" s="3" t="str">
        <f>IF(COUNTIF(Sales_Data2[RowKey],Sales_Data2[[#This Row],[RowKey]])&gt;1,"Duplicate","Unique")</f>
        <v>Unique</v>
      </c>
      <c r="Q1658" s="3" t="str">
        <f>IF(ISNUMBER(Sales_Data2[[#This Row],[Date]]),"OK","Check")</f>
        <v>OK</v>
      </c>
      <c r="R1658" s="3" t="str">
        <f>IF(ISNUMBER(Sales_Data2[[#This Row],[Quantity]]),"OK","Check")</f>
        <v>OK</v>
      </c>
    </row>
    <row r="1659" spans="1:18">
      <c r="A1659" s="1">
        <v>47333</v>
      </c>
      <c r="B1659" t="s">
        <v>29</v>
      </c>
      <c r="C1659" t="s">
        <v>32</v>
      </c>
      <c r="D1659" t="s">
        <v>13</v>
      </c>
      <c r="E1659" t="s">
        <v>20</v>
      </c>
      <c r="F1659" t="s">
        <v>41</v>
      </c>
      <c r="G1659" t="s">
        <v>22</v>
      </c>
      <c r="H1659">
        <v>220000</v>
      </c>
      <c r="I1659">
        <v>6</v>
      </c>
      <c r="J1659" t="s">
        <v>28</v>
      </c>
      <c r="K1659">
        <f t="shared" si="25"/>
        <v>176000</v>
      </c>
      <c r="L1659">
        <f>Sales_Data2[[#This Row],[Unit Price]]*Sales_Data2[[#This Row],[Quantity]]</f>
        <v>1320000</v>
      </c>
      <c r="M1659">
        <f>Sales_Data2[[#This Row],[Cost Price]]*Sales_Data2[[#This Row],[Quantity]]</f>
        <v>1056000</v>
      </c>
      <c r="N1659" s="3">
        <f>Sales_Data2[[#This Row],[Revenue]]-Sales_Data2[[#This Row],[COGS]]</f>
        <v>264000</v>
      </c>
      <c r="O16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47333|North|Abuja|Retail|Store|Refrigerator R55|Home Appliances|220000|6|Musa|176000</v>
      </c>
      <c r="P1659" s="3" t="str">
        <f>IF(COUNTIF(Sales_Data2[RowKey],Sales_Data2[[#This Row],[RowKey]])&gt;1,"Duplicate","Unique")</f>
        <v>Unique</v>
      </c>
      <c r="Q1659" s="3" t="str">
        <f>IF(ISNUMBER(Sales_Data2[[#This Row],[Date]]),"OK","Check")</f>
        <v>OK</v>
      </c>
      <c r="R1659" s="3" t="str">
        <f>IF(ISNUMBER(Sales_Data2[[#This Row],[Quantity]]),"OK","Check")</f>
        <v>OK</v>
      </c>
    </row>
    <row r="1660" spans="1:18">
      <c r="A1660" s="1">
        <v>47334</v>
      </c>
      <c r="B1660" t="s">
        <v>29</v>
      </c>
      <c r="C1660" t="s">
        <v>19</v>
      </c>
      <c r="D1660" t="s">
        <v>23</v>
      </c>
      <c r="E1660" t="s">
        <v>14</v>
      </c>
      <c r="F1660" t="s">
        <v>33</v>
      </c>
      <c r="G1660" t="s">
        <v>22</v>
      </c>
      <c r="H1660">
        <v>180000</v>
      </c>
      <c r="I1660">
        <v>3</v>
      </c>
      <c r="J1660" t="s">
        <v>39</v>
      </c>
      <c r="K1660">
        <f t="shared" si="25"/>
        <v>144000</v>
      </c>
      <c r="L1660">
        <f>Sales_Data2[[#This Row],[Unit Price]]*Sales_Data2[[#This Row],[Quantity]]</f>
        <v>540000</v>
      </c>
      <c r="M1660">
        <f>Sales_Data2[[#This Row],[Cost Price]]*Sales_Data2[[#This Row],[Quantity]]</f>
        <v>432000</v>
      </c>
      <c r="N1660" s="3">
        <f>Sales_Data2[[#This Row],[Revenue]]-Sales_Data2[[#This Row],[COGS]]</f>
        <v>108000</v>
      </c>
      <c r="O16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47334|North|Lagos|Corporate|Online|Air Conditioner X2|Home Appliances|180000|3|Grace|144000</v>
      </c>
      <c r="P1660" s="3" t="str">
        <f>IF(COUNTIF(Sales_Data2[RowKey],Sales_Data2[[#This Row],[RowKey]])&gt;1,"Duplicate","Unique")</f>
        <v>Unique</v>
      </c>
      <c r="Q1660" s="3" t="str">
        <f>IF(ISNUMBER(Sales_Data2[[#This Row],[Date]]),"OK","Check")</f>
        <v>OK</v>
      </c>
      <c r="R1660" s="3" t="str">
        <f>IF(ISNUMBER(Sales_Data2[[#This Row],[Quantity]]),"OK","Check")</f>
        <v>OK</v>
      </c>
    </row>
    <row r="1661" spans="1:18">
      <c r="A1661" s="1">
        <v>47335</v>
      </c>
      <c r="B1661" t="s">
        <v>29</v>
      </c>
      <c r="C1661" t="s">
        <v>12</v>
      </c>
      <c r="D1661" t="s">
        <v>13</v>
      </c>
      <c r="E1661" t="s">
        <v>20</v>
      </c>
      <c r="F1661" t="s">
        <v>27</v>
      </c>
      <c r="G1661" t="s">
        <v>22</v>
      </c>
      <c r="H1661">
        <v>60000</v>
      </c>
      <c r="I1661">
        <v>10</v>
      </c>
      <c r="J1661" t="s">
        <v>35</v>
      </c>
      <c r="K1661">
        <f t="shared" si="25"/>
        <v>48000</v>
      </c>
      <c r="L1661">
        <f>Sales_Data2[[#This Row],[Unit Price]]*Sales_Data2[[#This Row],[Quantity]]</f>
        <v>600000</v>
      </c>
      <c r="M1661">
        <f>Sales_Data2[[#This Row],[Cost Price]]*Sales_Data2[[#This Row],[Quantity]]</f>
        <v>480000</v>
      </c>
      <c r="N1661" s="3">
        <f>Sales_Data2[[#This Row],[Revenue]]-Sales_Data2[[#This Row],[COGS]]</f>
        <v>120000</v>
      </c>
      <c r="O16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47335|North|Port Harcourt|Retail|Store|Microwave M20|Home Appliances|60000|10|Peter|48000</v>
      </c>
      <c r="P1661" s="3" t="str">
        <f>IF(COUNTIF(Sales_Data2[RowKey],Sales_Data2[[#This Row],[RowKey]])&gt;1,"Duplicate","Unique")</f>
        <v>Unique</v>
      </c>
      <c r="Q1661" s="3" t="str">
        <f>IF(ISNUMBER(Sales_Data2[[#This Row],[Date]]),"OK","Check")</f>
        <v>OK</v>
      </c>
      <c r="R1661" s="3" t="str">
        <f>IF(ISNUMBER(Sales_Data2[[#This Row],[Quantity]]),"OK","Check")</f>
        <v>OK</v>
      </c>
    </row>
    <row r="1662" spans="1:18">
      <c r="A1662" s="1">
        <v>47336</v>
      </c>
      <c r="B1662" t="s">
        <v>25</v>
      </c>
      <c r="C1662" t="s">
        <v>12</v>
      </c>
      <c r="D1662" t="s">
        <v>23</v>
      </c>
      <c r="E1662" t="s">
        <v>14</v>
      </c>
      <c r="F1662" t="s">
        <v>41</v>
      </c>
      <c r="G1662" t="s">
        <v>22</v>
      </c>
      <c r="H1662">
        <v>220000</v>
      </c>
      <c r="I1662">
        <v>1</v>
      </c>
      <c r="J1662" t="s">
        <v>37</v>
      </c>
      <c r="K1662">
        <f t="shared" si="25"/>
        <v>176000</v>
      </c>
      <c r="L1662">
        <f>Sales_Data2[[#This Row],[Unit Price]]*Sales_Data2[[#This Row],[Quantity]]</f>
        <v>220000</v>
      </c>
      <c r="M1662">
        <f>Sales_Data2[[#This Row],[Cost Price]]*Sales_Data2[[#This Row],[Quantity]]</f>
        <v>176000</v>
      </c>
      <c r="N1662" s="3">
        <f>Sales_Data2[[#This Row],[Revenue]]-Sales_Data2[[#This Row],[COGS]]</f>
        <v>44000</v>
      </c>
      <c r="O16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47336|South|Port Harcourt|Corporate|Online|Refrigerator R55|Home Appliances|220000|1|Aisha|176000</v>
      </c>
      <c r="P1662" s="3" t="str">
        <f>IF(COUNTIF(Sales_Data2[RowKey],Sales_Data2[[#This Row],[RowKey]])&gt;1,"Duplicate","Unique")</f>
        <v>Unique</v>
      </c>
      <c r="Q1662" s="3" t="str">
        <f>IF(ISNUMBER(Sales_Data2[[#This Row],[Date]]),"OK","Check")</f>
        <v>OK</v>
      </c>
      <c r="R1662" s="3" t="str">
        <f>IF(ISNUMBER(Sales_Data2[[#This Row],[Quantity]]),"OK","Check")</f>
        <v>OK</v>
      </c>
    </row>
    <row r="1663" spans="1:18">
      <c r="A1663" s="1">
        <v>47337</v>
      </c>
      <c r="B1663" t="s">
        <v>29</v>
      </c>
      <c r="C1663" t="s">
        <v>26</v>
      </c>
      <c r="D1663" t="s">
        <v>13</v>
      </c>
      <c r="E1663" t="s">
        <v>20</v>
      </c>
      <c r="F1663" t="s">
        <v>40</v>
      </c>
      <c r="G1663" t="s">
        <v>31</v>
      </c>
      <c r="H1663">
        <v>250000</v>
      </c>
      <c r="I1663">
        <v>5</v>
      </c>
      <c r="J1663" t="s">
        <v>28</v>
      </c>
      <c r="K1663">
        <f t="shared" si="25"/>
        <v>200000</v>
      </c>
      <c r="L1663">
        <f>Sales_Data2[[#This Row],[Unit Price]]*Sales_Data2[[#This Row],[Quantity]]</f>
        <v>1250000</v>
      </c>
      <c r="M1663">
        <f>Sales_Data2[[#This Row],[Cost Price]]*Sales_Data2[[#This Row],[Quantity]]</f>
        <v>1000000</v>
      </c>
      <c r="N1663" s="3">
        <f>Sales_Data2[[#This Row],[Revenue]]-Sales_Data2[[#This Row],[COGS]]</f>
        <v>250000</v>
      </c>
      <c r="O16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47337|North|Kano|Retail|Store|Smartphone Z10|Electronics|250000|5|Musa|200000</v>
      </c>
      <c r="P1663" s="3" t="str">
        <f>IF(COUNTIF(Sales_Data2[RowKey],Sales_Data2[[#This Row],[RowKey]])&gt;1,"Duplicate","Unique")</f>
        <v>Unique</v>
      </c>
      <c r="Q1663" s="3" t="str">
        <f>IF(ISNUMBER(Sales_Data2[[#This Row],[Date]]),"OK","Check")</f>
        <v>OK</v>
      </c>
      <c r="R1663" s="3" t="str">
        <f>IF(ISNUMBER(Sales_Data2[[#This Row],[Quantity]]),"OK","Check")</f>
        <v>OK</v>
      </c>
    </row>
    <row r="1664" spans="1:18">
      <c r="A1664" s="1">
        <v>47338</v>
      </c>
      <c r="B1664" t="s">
        <v>25</v>
      </c>
      <c r="C1664" t="s">
        <v>19</v>
      </c>
      <c r="D1664" t="s">
        <v>23</v>
      </c>
      <c r="E1664" t="s">
        <v>20</v>
      </c>
      <c r="F1664" t="s">
        <v>40</v>
      </c>
      <c r="G1664" t="s">
        <v>31</v>
      </c>
      <c r="H1664">
        <v>250000</v>
      </c>
      <c r="I1664">
        <v>8</v>
      </c>
      <c r="J1664" t="s">
        <v>35</v>
      </c>
      <c r="K1664">
        <f t="shared" si="25"/>
        <v>200000</v>
      </c>
      <c r="L1664">
        <f>Sales_Data2[[#This Row],[Unit Price]]*Sales_Data2[[#This Row],[Quantity]]</f>
        <v>2000000</v>
      </c>
      <c r="M1664">
        <f>Sales_Data2[[#This Row],[Cost Price]]*Sales_Data2[[#This Row],[Quantity]]</f>
        <v>1600000</v>
      </c>
      <c r="N1664" s="3">
        <f>Sales_Data2[[#This Row],[Revenue]]-Sales_Data2[[#This Row],[COGS]]</f>
        <v>400000</v>
      </c>
      <c r="O16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47338|South|Lagos|Corporate|Store|Smartphone Z10|Electronics|250000|8|Peter|200000</v>
      </c>
      <c r="P1664" s="3" t="str">
        <f>IF(COUNTIF(Sales_Data2[RowKey],Sales_Data2[[#This Row],[RowKey]])&gt;1,"Duplicate","Unique")</f>
        <v>Unique</v>
      </c>
      <c r="Q1664" s="3" t="str">
        <f>IF(ISNUMBER(Sales_Data2[[#This Row],[Date]]),"OK","Check")</f>
        <v>OK</v>
      </c>
      <c r="R1664" s="3" t="str">
        <f>IF(ISNUMBER(Sales_Data2[[#This Row],[Quantity]]),"OK","Check")</f>
        <v>OK</v>
      </c>
    </row>
    <row r="1665" spans="1:18">
      <c r="A1665" s="1">
        <v>47339</v>
      </c>
      <c r="B1665" t="s">
        <v>11</v>
      </c>
      <c r="C1665" t="s">
        <v>32</v>
      </c>
      <c r="D1665" t="s">
        <v>23</v>
      </c>
      <c r="E1665" t="s">
        <v>14</v>
      </c>
      <c r="F1665" t="s">
        <v>36</v>
      </c>
      <c r="G1665" t="s">
        <v>31</v>
      </c>
      <c r="H1665">
        <v>150000</v>
      </c>
      <c r="I1665">
        <v>4</v>
      </c>
      <c r="J1665" t="s">
        <v>24</v>
      </c>
      <c r="K1665">
        <f t="shared" si="25"/>
        <v>120000</v>
      </c>
      <c r="L1665">
        <f>Sales_Data2[[#This Row],[Unit Price]]*Sales_Data2[[#This Row],[Quantity]]</f>
        <v>600000</v>
      </c>
      <c r="M1665">
        <f>Sales_Data2[[#This Row],[Cost Price]]*Sales_Data2[[#This Row],[Quantity]]</f>
        <v>480000</v>
      </c>
      <c r="N1665" s="3">
        <f>Sales_Data2[[#This Row],[Revenue]]-Sales_Data2[[#This Row],[COGS]]</f>
        <v>120000</v>
      </c>
      <c r="O16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47339|West|Abuja|Corporate|Online|Printer P50|Electronics|150000|4|David|120000</v>
      </c>
      <c r="P1665" s="3" t="str">
        <f>IF(COUNTIF(Sales_Data2[RowKey],Sales_Data2[[#This Row],[RowKey]])&gt;1,"Duplicate","Unique")</f>
        <v>Unique</v>
      </c>
      <c r="Q1665" s="3" t="str">
        <f>IF(ISNUMBER(Sales_Data2[[#This Row],[Date]]),"OK","Check")</f>
        <v>OK</v>
      </c>
      <c r="R1665" s="3" t="str">
        <f>IF(ISNUMBER(Sales_Data2[[#This Row],[Quantity]]),"OK","Check")</f>
        <v>OK</v>
      </c>
    </row>
    <row r="1666" spans="1:18">
      <c r="A1666" s="1">
        <v>47340</v>
      </c>
      <c r="B1666" t="s">
        <v>25</v>
      </c>
      <c r="C1666" t="s">
        <v>19</v>
      </c>
      <c r="D1666" t="s">
        <v>13</v>
      </c>
      <c r="E1666" t="s">
        <v>14</v>
      </c>
      <c r="F1666" t="s">
        <v>41</v>
      </c>
      <c r="G1666" t="s">
        <v>22</v>
      </c>
      <c r="H1666">
        <v>220000</v>
      </c>
      <c r="I1666">
        <v>3</v>
      </c>
      <c r="J1666" t="s">
        <v>37</v>
      </c>
      <c r="K1666">
        <f t="shared" ref="K1666:K1729" si="26">H1666-H1666*0.2</f>
        <v>176000</v>
      </c>
      <c r="L1666">
        <f>Sales_Data2[[#This Row],[Unit Price]]*Sales_Data2[[#This Row],[Quantity]]</f>
        <v>660000</v>
      </c>
      <c r="M1666">
        <f>Sales_Data2[[#This Row],[Cost Price]]*Sales_Data2[[#This Row],[Quantity]]</f>
        <v>528000</v>
      </c>
      <c r="N1666" s="3">
        <f>Sales_Data2[[#This Row],[Revenue]]-Sales_Data2[[#This Row],[COGS]]</f>
        <v>132000</v>
      </c>
      <c r="O16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47340|South|Lagos|Retail|Online|Refrigerator R55|Home Appliances|220000|3|Aisha|176000</v>
      </c>
      <c r="P1666" s="3" t="str">
        <f>IF(COUNTIF(Sales_Data2[RowKey],Sales_Data2[[#This Row],[RowKey]])&gt;1,"Duplicate","Unique")</f>
        <v>Unique</v>
      </c>
      <c r="Q1666" s="3" t="str">
        <f>IF(ISNUMBER(Sales_Data2[[#This Row],[Date]]),"OK","Check")</f>
        <v>OK</v>
      </c>
      <c r="R1666" s="3" t="str">
        <f>IF(ISNUMBER(Sales_Data2[[#This Row],[Quantity]]),"OK","Check")</f>
        <v>OK</v>
      </c>
    </row>
    <row r="1667" spans="1:18">
      <c r="A1667" s="1">
        <v>47341</v>
      </c>
      <c r="B1667" t="s">
        <v>25</v>
      </c>
      <c r="C1667" t="s">
        <v>26</v>
      </c>
      <c r="D1667" t="s">
        <v>13</v>
      </c>
      <c r="E1667" t="s">
        <v>14</v>
      </c>
      <c r="F1667" t="s">
        <v>33</v>
      </c>
      <c r="G1667" t="s">
        <v>22</v>
      </c>
      <c r="H1667">
        <v>180000</v>
      </c>
      <c r="I1667">
        <v>7</v>
      </c>
      <c r="J1667" t="s">
        <v>37</v>
      </c>
      <c r="K1667">
        <f t="shared" si="26"/>
        <v>144000</v>
      </c>
      <c r="L1667">
        <f>Sales_Data2[[#This Row],[Unit Price]]*Sales_Data2[[#This Row],[Quantity]]</f>
        <v>1260000</v>
      </c>
      <c r="M1667">
        <f>Sales_Data2[[#This Row],[Cost Price]]*Sales_Data2[[#This Row],[Quantity]]</f>
        <v>1008000</v>
      </c>
      <c r="N1667" s="3">
        <f>Sales_Data2[[#This Row],[Revenue]]-Sales_Data2[[#This Row],[COGS]]</f>
        <v>252000</v>
      </c>
      <c r="O16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47341|South|Kano|Retail|Online|Air Conditioner X2|Home Appliances|180000|7|Aisha|144000</v>
      </c>
      <c r="P1667" s="3" t="str">
        <f>IF(COUNTIF(Sales_Data2[RowKey],Sales_Data2[[#This Row],[RowKey]])&gt;1,"Duplicate","Unique")</f>
        <v>Unique</v>
      </c>
      <c r="Q1667" s="3" t="str">
        <f>IF(ISNUMBER(Sales_Data2[[#This Row],[Date]]),"OK","Check")</f>
        <v>OK</v>
      </c>
      <c r="R1667" s="3" t="str">
        <f>IF(ISNUMBER(Sales_Data2[[#This Row],[Quantity]]),"OK","Check")</f>
        <v>OK</v>
      </c>
    </row>
    <row r="1668" spans="1:18">
      <c r="A1668" s="1">
        <v>47342</v>
      </c>
      <c r="B1668" t="s">
        <v>25</v>
      </c>
      <c r="C1668" t="s">
        <v>19</v>
      </c>
      <c r="D1668" t="s">
        <v>23</v>
      </c>
      <c r="E1668" t="s">
        <v>20</v>
      </c>
      <c r="F1668" t="s">
        <v>36</v>
      </c>
      <c r="G1668" t="s">
        <v>31</v>
      </c>
      <c r="H1668">
        <v>150000</v>
      </c>
      <c r="I1668">
        <v>4</v>
      </c>
      <c r="J1668" t="s">
        <v>35</v>
      </c>
      <c r="K1668">
        <f t="shared" si="26"/>
        <v>120000</v>
      </c>
      <c r="L1668">
        <f>Sales_Data2[[#This Row],[Unit Price]]*Sales_Data2[[#This Row],[Quantity]]</f>
        <v>600000</v>
      </c>
      <c r="M1668">
        <f>Sales_Data2[[#This Row],[Cost Price]]*Sales_Data2[[#This Row],[Quantity]]</f>
        <v>480000</v>
      </c>
      <c r="N1668" s="3">
        <f>Sales_Data2[[#This Row],[Revenue]]-Sales_Data2[[#This Row],[COGS]]</f>
        <v>120000</v>
      </c>
      <c r="O16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47342|South|Lagos|Corporate|Store|Printer P50|Electronics|150000|4|Peter|120000</v>
      </c>
      <c r="P1668" s="3" t="str">
        <f>IF(COUNTIF(Sales_Data2[RowKey],Sales_Data2[[#This Row],[RowKey]])&gt;1,"Duplicate","Unique")</f>
        <v>Unique</v>
      </c>
      <c r="Q1668" s="3" t="str">
        <f>IF(ISNUMBER(Sales_Data2[[#This Row],[Date]]),"OK","Check")</f>
        <v>OK</v>
      </c>
      <c r="R1668" s="3" t="str">
        <f>IF(ISNUMBER(Sales_Data2[[#This Row],[Quantity]]),"OK","Check")</f>
        <v>OK</v>
      </c>
    </row>
    <row r="1669" spans="1:18">
      <c r="A1669" s="1">
        <v>47343</v>
      </c>
      <c r="B1669" t="s">
        <v>18</v>
      </c>
      <c r="C1669" t="s">
        <v>26</v>
      </c>
      <c r="D1669" t="s">
        <v>23</v>
      </c>
      <c r="E1669" t="s">
        <v>14</v>
      </c>
      <c r="F1669" t="s">
        <v>36</v>
      </c>
      <c r="G1669" t="s">
        <v>31</v>
      </c>
      <c r="H1669">
        <v>150000</v>
      </c>
      <c r="I1669">
        <v>10</v>
      </c>
      <c r="J1669" t="s">
        <v>24</v>
      </c>
      <c r="K1669">
        <f t="shared" si="26"/>
        <v>120000</v>
      </c>
      <c r="L1669">
        <f>Sales_Data2[[#This Row],[Unit Price]]*Sales_Data2[[#This Row],[Quantity]]</f>
        <v>1500000</v>
      </c>
      <c r="M1669">
        <f>Sales_Data2[[#This Row],[Cost Price]]*Sales_Data2[[#This Row],[Quantity]]</f>
        <v>1200000</v>
      </c>
      <c r="N1669" s="3">
        <f>Sales_Data2[[#This Row],[Revenue]]-Sales_Data2[[#This Row],[COGS]]</f>
        <v>300000</v>
      </c>
      <c r="O16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47343|East|Kano|Corporate|Online|Printer P50|Electronics|150000|10|David|120000</v>
      </c>
      <c r="P1669" s="3" t="str">
        <f>IF(COUNTIF(Sales_Data2[RowKey],Sales_Data2[[#This Row],[RowKey]])&gt;1,"Duplicate","Unique")</f>
        <v>Unique</v>
      </c>
      <c r="Q1669" s="3" t="str">
        <f>IF(ISNUMBER(Sales_Data2[[#This Row],[Date]]),"OK","Check")</f>
        <v>OK</v>
      </c>
      <c r="R1669" s="3" t="str">
        <f>IF(ISNUMBER(Sales_Data2[[#This Row],[Quantity]]),"OK","Check")</f>
        <v>OK</v>
      </c>
    </row>
    <row r="1670" spans="1:18">
      <c r="A1670" s="1">
        <v>47344</v>
      </c>
      <c r="B1670" t="s">
        <v>11</v>
      </c>
      <c r="C1670" t="s">
        <v>19</v>
      </c>
      <c r="D1670" t="s">
        <v>13</v>
      </c>
      <c r="E1670" t="s">
        <v>14</v>
      </c>
      <c r="F1670" t="s">
        <v>36</v>
      </c>
      <c r="G1670" t="s">
        <v>31</v>
      </c>
      <c r="H1670">
        <v>150000</v>
      </c>
      <c r="I1670">
        <v>1</v>
      </c>
      <c r="J1670" t="s">
        <v>39</v>
      </c>
      <c r="K1670">
        <f t="shared" si="26"/>
        <v>120000</v>
      </c>
      <c r="L1670">
        <f>Sales_Data2[[#This Row],[Unit Price]]*Sales_Data2[[#This Row],[Quantity]]</f>
        <v>150000</v>
      </c>
      <c r="M1670">
        <f>Sales_Data2[[#This Row],[Cost Price]]*Sales_Data2[[#This Row],[Quantity]]</f>
        <v>120000</v>
      </c>
      <c r="N1670" s="3">
        <f>Sales_Data2[[#This Row],[Revenue]]-Sales_Data2[[#This Row],[COGS]]</f>
        <v>30000</v>
      </c>
      <c r="O16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47344|West|Lagos|Retail|Online|Printer P50|Electronics|150000|1|Grace|120000</v>
      </c>
      <c r="P1670" s="3" t="str">
        <f>IF(COUNTIF(Sales_Data2[RowKey],Sales_Data2[[#This Row],[RowKey]])&gt;1,"Duplicate","Unique")</f>
        <v>Unique</v>
      </c>
      <c r="Q1670" s="3" t="str">
        <f>IF(ISNUMBER(Sales_Data2[[#This Row],[Date]]),"OK","Check")</f>
        <v>OK</v>
      </c>
      <c r="R1670" s="3" t="str">
        <f>IF(ISNUMBER(Sales_Data2[[#This Row],[Quantity]]),"OK","Check")</f>
        <v>OK</v>
      </c>
    </row>
    <row r="1671" spans="1:18">
      <c r="A1671" s="1">
        <v>47345</v>
      </c>
      <c r="B1671" t="s">
        <v>29</v>
      </c>
      <c r="C1671" t="s">
        <v>26</v>
      </c>
      <c r="D1671" t="s">
        <v>23</v>
      </c>
      <c r="E1671" t="s">
        <v>20</v>
      </c>
      <c r="F1671" t="s">
        <v>36</v>
      </c>
      <c r="G1671" t="s">
        <v>31</v>
      </c>
      <c r="H1671">
        <v>150000</v>
      </c>
      <c r="I1671">
        <v>4</v>
      </c>
      <c r="J1671" t="s">
        <v>24</v>
      </c>
      <c r="K1671">
        <f t="shared" si="26"/>
        <v>120000</v>
      </c>
      <c r="L1671">
        <f>Sales_Data2[[#This Row],[Unit Price]]*Sales_Data2[[#This Row],[Quantity]]</f>
        <v>600000</v>
      </c>
      <c r="M1671">
        <f>Sales_Data2[[#This Row],[Cost Price]]*Sales_Data2[[#This Row],[Quantity]]</f>
        <v>480000</v>
      </c>
      <c r="N1671" s="3">
        <f>Sales_Data2[[#This Row],[Revenue]]-Sales_Data2[[#This Row],[COGS]]</f>
        <v>120000</v>
      </c>
      <c r="O16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47345|North|Kano|Corporate|Store|Printer P50|Electronics|150000|4|David|120000</v>
      </c>
      <c r="P1671" s="3" t="str">
        <f>IF(COUNTIF(Sales_Data2[RowKey],Sales_Data2[[#This Row],[RowKey]])&gt;1,"Duplicate","Unique")</f>
        <v>Unique</v>
      </c>
      <c r="Q1671" s="3" t="str">
        <f>IF(ISNUMBER(Sales_Data2[[#This Row],[Date]]),"OK","Check")</f>
        <v>OK</v>
      </c>
      <c r="R1671" s="3" t="str">
        <f>IF(ISNUMBER(Sales_Data2[[#This Row],[Quantity]]),"OK","Check")</f>
        <v>OK</v>
      </c>
    </row>
    <row r="1672" spans="1:18">
      <c r="A1672" s="1">
        <v>47346</v>
      </c>
      <c r="B1672" t="s">
        <v>11</v>
      </c>
      <c r="C1672" t="s">
        <v>26</v>
      </c>
      <c r="D1672" t="s">
        <v>23</v>
      </c>
      <c r="E1672" t="s">
        <v>14</v>
      </c>
      <c r="F1672" t="s">
        <v>27</v>
      </c>
      <c r="G1672" t="s">
        <v>22</v>
      </c>
      <c r="H1672">
        <v>60000</v>
      </c>
      <c r="I1672">
        <v>5</v>
      </c>
      <c r="J1672" t="s">
        <v>37</v>
      </c>
      <c r="K1672">
        <f t="shared" si="26"/>
        <v>48000</v>
      </c>
      <c r="L1672">
        <f>Sales_Data2[[#This Row],[Unit Price]]*Sales_Data2[[#This Row],[Quantity]]</f>
        <v>300000</v>
      </c>
      <c r="M1672">
        <f>Sales_Data2[[#This Row],[Cost Price]]*Sales_Data2[[#This Row],[Quantity]]</f>
        <v>240000</v>
      </c>
      <c r="N1672" s="3">
        <f>Sales_Data2[[#This Row],[Revenue]]-Sales_Data2[[#This Row],[COGS]]</f>
        <v>60000</v>
      </c>
      <c r="O16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47346|West|Kano|Corporate|Online|Microwave M20|Home Appliances|60000|5|Aisha|48000</v>
      </c>
      <c r="P1672" s="3" t="str">
        <f>IF(COUNTIF(Sales_Data2[RowKey],Sales_Data2[[#This Row],[RowKey]])&gt;1,"Duplicate","Unique")</f>
        <v>Unique</v>
      </c>
      <c r="Q1672" s="3" t="str">
        <f>IF(ISNUMBER(Sales_Data2[[#This Row],[Date]]),"OK","Check")</f>
        <v>OK</v>
      </c>
      <c r="R1672" s="3" t="str">
        <f>IF(ISNUMBER(Sales_Data2[[#This Row],[Quantity]]),"OK","Check")</f>
        <v>OK</v>
      </c>
    </row>
    <row r="1673" spans="1:18">
      <c r="A1673" s="1">
        <v>47347</v>
      </c>
      <c r="B1673" t="s">
        <v>25</v>
      </c>
      <c r="C1673" t="s">
        <v>32</v>
      </c>
      <c r="D1673" t="s">
        <v>13</v>
      </c>
      <c r="E1673" t="s">
        <v>20</v>
      </c>
      <c r="F1673" t="s">
        <v>41</v>
      </c>
      <c r="G1673" t="s">
        <v>22</v>
      </c>
      <c r="H1673">
        <v>220000</v>
      </c>
      <c r="I1673">
        <v>7</v>
      </c>
      <c r="J1673" t="s">
        <v>17</v>
      </c>
      <c r="K1673">
        <f t="shared" si="26"/>
        <v>176000</v>
      </c>
      <c r="L1673">
        <f>Sales_Data2[[#This Row],[Unit Price]]*Sales_Data2[[#This Row],[Quantity]]</f>
        <v>1540000</v>
      </c>
      <c r="M1673">
        <f>Sales_Data2[[#This Row],[Cost Price]]*Sales_Data2[[#This Row],[Quantity]]</f>
        <v>1232000</v>
      </c>
      <c r="N1673" s="3">
        <f>Sales_Data2[[#This Row],[Revenue]]-Sales_Data2[[#This Row],[COGS]]</f>
        <v>308000</v>
      </c>
      <c r="O16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47347|South|Abuja|Retail|Store|Refrigerator R55|Home Appliances|220000|7|Chidinma|176000</v>
      </c>
      <c r="P1673" s="3" t="str">
        <f>IF(COUNTIF(Sales_Data2[RowKey],Sales_Data2[[#This Row],[RowKey]])&gt;1,"Duplicate","Unique")</f>
        <v>Unique</v>
      </c>
      <c r="Q1673" s="3" t="str">
        <f>IF(ISNUMBER(Sales_Data2[[#This Row],[Date]]),"OK","Check")</f>
        <v>OK</v>
      </c>
      <c r="R1673" s="3" t="str">
        <f>IF(ISNUMBER(Sales_Data2[[#This Row],[Quantity]]),"OK","Check")</f>
        <v>OK</v>
      </c>
    </row>
    <row r="1674" spans="1:18">
      <c r="A1674" s="1">
        <v>47348</v>
      </c>
      <c r="B1674" t="s">
        <v>29</v>
      </c>
      <c r="C1674" t="s">
        <v>19</v>
      </c>
      <c r="D1674" t="s">
        <v>13</v>
      </c>
      <c r="E1674" t="s">
        <v>20</v>
      </c>
      <c r="F1674" t="s">
        <v>36</v>
      </c>
      <c r="G1674" t="s">
        <v>31</v>
      </c>
      <c r="H1674">
        <v>150000</v>
      </c>
      <c r="I1674">
        <v>4</v>
      </c>
      <c r="J1674" t="s">
        <v>39</v>
      </c>
      <c r="K1674">
        <f t="shared" si="26"/>
        <v>120000</v>
      </c>
      <c r="L1674">
        <f>Sales_Data2[[#This Row],[Unit Price]]*Sales_Data2[[#This Row],[Quantity]]</f>
        <v>600000</v>
      </c>
      <c r="M1674">
        <f>Sales_Data2[[#This Row],[Cost Price]]*Sales_Data2[[#This Row],[Quantity]]</f>
        <v>480000</v>
      </c>
      <c r="N1674" s="3">
        <f>Sales_Data2[[#This Row],[Revenue]]-Sales_Data2[[#This Row],[COGS]]</f>
        <v>120000</v>
      </c>
      <c r="O16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47348|North|Lagos|Retail|Store|Printer P50|Electronics|150000|4|Grace|120000</v>
      </c>
      <c r="P1674" s="3" t="str">
        <f>IF(COUNTIF(Sales_Data2[RowKey],Sales_Data2[[#This Row],[RowKey]])&gt;1,"Duplicate","Unique")</f>
        <v>Unique</v>
      </c>
      <c r="Q1674" s="3" t="str">
        <f>IF(ISNUMBER(Sales_Data2[[#This Row],[Date]]),"OK","Check")</f>
        <v>OK</v>
      </c>
      <c r="R1674" s="3" t="str">
        <f>IF(ISNUMBER(Sales_Data2[[#This Row],[Quantity]]),"OK","Check")</f>
        <v>OK</v>
      </c>
    </row>
    <row r="1675" spans="1:18">
      <c r="A1675" s="1">
        <v>47349</v>
      </c>
      <c r="B1675" t="s">
        <v>18</v>
      </c>
      <c r="C1675" t="s">
        <v>26</v>
      </c>
      <c r="D1675" t="s">
        <v>23</v>
      </c>
      <c r="E1675" t="s">
        <v>14</v>
      </c>
      <c r="F1675" t="s">
        <v>34</v>
      </c>
      <c r="G1675" t="s">
        <v>16</v>
      </c>
      <c r="H1675">
        <v>320000</v>
      </c>
      <c r="I1675">
        <v>6</v>
      </c>
      <c r="J1675" t="s">
        <v>17</v>
      </c>
      <c r="K1675">
        <f t="shared" si="26"/>
        <v>256000</v>
      </c>
      <c r="L1675">
        <f>Sales_Data2[[#This Row],[Unit Price]]*Sales_Data2[[#This Row],[Quantity]]</f>
        <v>1920000</v>
      </c>
      <c r="M1675">
        <f>Sales_Data2[[#This Row],[Cost Price]]*Sales_Data2[[#This Row],[Quantity]]</f>
        <v>1536000</v>
      </c>
      <c r="N1675" s="3">
        <f>Sales_Data2[[#This Row],[Revenue]]-Sales_Data2[[#This Row],[COGS]]</f>
        <v>384000</v>
      </c>
      <c r="O16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47349|East|Kano|Corporate|Online|Sofa Classic|Furniture|320000|6|Chidinma|256000</v>
      </c>
      <c r="P1675" s="3" t="str">
        <f>IF(COUNTIF(Sales_Data2[RowKey],Sales_Data2[[#This Row],[RowKey]])&gt;1,"Duplicate","Unique")</f>
        <v>Unique</v>
      </c>
      <c r="Q1675" s="3" t="str">
        <f>IF(ISNUMBER(Sales_Data2[[#This Row],[Date]]),"OK","Check")</f>
        <v>OK</v>
      </c>
      <c r="R1675" s="3" t="str">
        <f>IF(ISNUMBER(Sales_Data2[[#This Row],[Quantity]]),"OK","Check")</f>
        <v>OK</v>
      </c>
    </row>
    <row r="1676" spans="1:18">
      <c r="A1676" s="1">
        <v>47350</v>
      </c>
      <c r="B1676" t="s">
        <v>25</v>
      </c>
      <c r="C1676" t="s">
        <v>12</v>
      </c>
      <c r="D1676" t="s">
        <v>13</v>
      </c>
      <c r="E1676" t="s">
        <v>20</v>
      </c>
      <c r="F1676" t="s">
        <v>34</v>
      </c>
      <c r="G1676" t="s">
        <v>16</v>
      </c>
      <c r="H1676">
        <v>320000</v>
      </c>
      <c r="I1676">
        <v>6</v>
      </c>
      <c r="J1676" t="s">
        <v>37</v>
      </c>
      <c r="K1676">
        <f t="shared" si="26"/>
        <v>256000</v>
      </c>
      <c r="L1676">
        <f>Sales_Data2[[#This Row],[Unit Price]]*Sales_Data2[[#This Row],[Quantity]]</f>
        <v>1920000</v>
      </c>
      <c r="M1676">
        <f>Sales_Data2[[#This Row],[Cost Price]]*Sales_Data2[[#This Row],[Quantity]]</f>
        <v>1536000</v>
      </c>
      <c r="N1676" s="3">
        <f>Sales_Data2[[#This Row],[Revenue]]-Sales_Data2[[#This Row],[COGS]]</f>
        <v>384000</v>
      </c>
      <c r="O16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47350|South|Port Harcourt|Retail|Store|Sofa Classic|Furniture|320000|6|Aisha|256000</v>
      </c>
      <c r="P1676" s="3" t="str">
        <f>IF(COUNTIF(Sales_Data2[RowKey],Sales_Data2[[#This Row],[RowKey]])&gt;1,"Duplicate","Unique")</f>
        <v>Unique</v>
      </c>
      <c r="Q1676" s="3" t="str">
        <f>IF(ISNUMBER(Sales_Data2[[#This Row],[Date]]),"OK","Check")</f>
        <v>OK</v>
      </c>
      <c r="R1676" s="3" t="str">
        <f>IF(ISNUMBER(Sales_Data2[[#This Row],[Quantity]]),"OK","Check")</f>
        <v>OK</v>
      </c>
    </row>
    <row r="1677" spans="1:18">
      <c r="A1677" s="1">
        <v>47351</v>
      </c>
      <c r="B1677" t="s">
        <v>11</v>
      </c>
      <c r="C1677" t="s">
        <v>12</v>
      </c>
      <c r="D1677" t="s">
        <v>23</v>
      </c>
      <c r="E1677" t="s">
        <v>20</v>
      </c>
      <c r="F1677" t="s">
        <v>27</v>
      </c>
      <c r="G1677" t="s">
        <v>22</v>
      </c>
      <c r="H1677">
        <v>60000</v>
      </c>
      <c r="I1677">
        <v>4</v>
      </c>
      <c r="J1677" t="s">
        <v>37</v>
      </c>
      <c r="K1677">
        <f t="shared" si="26"/>
        <v>48000</v>
      </c>
      <c r="L1677">
        <f>Sales_Data2[[#This Row],[Unit Price]]*Sales_Data2[[#This Row],[Quantity]]</f>
        <v>240000</v>
      </c>
      <c r="M1677">
        <f>Sales_Data2[[#This Row],[Cost Price]]*Sales_Data2[[#This Row],[Quantity]]</f>
        <v>192000</v>
      </c>
      <c r="N1677" s="3">
        <f>Sales_Data2[[#This Row],[Revenue]]-Sales_Data2[[#This Row],[COGS]]</f>
        <v>48000</v>
      </c>
      <c r="O16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47351|West|Port Harcourt|Corporate|Store|Microwave M20|Home Appliances|60000|4|Aisha|48000</v>
      </c>
      <c r="P1677" s="3" t="str">
        <f>IF(COUNTIF(Sales_Data2[RowKey],Sales_Data2[[#This Row],[RowKey]])&gt;1,"Duplicate","Unique")</f>
        <v>Unique</v>
      </c>
      <c r="Q1677" s="3" t="str">
        <f>IF(ISNUMBER(Sales_Data2[[#This Row],[Date]]),"OK","Check")</f>
        <v>OK</v>
      </c>
      <c r="R1677" s="3" t="str">
        <f>IF(ISNUMBER(Sales_Data2[[#This Row],[Quantity]]),"OK","Check")</f>
        <v>OK</v>
      </c>
    </row>
    <row r="1678" spans="1:18">
      <c r="A1678" s="1">
        <v>47352</v>
      </c>
      <c r="B1678" t="s">
        <v>29</v>
      </c>
      <c r="C1678" t="s">
        <v>19</v>
      </c>
      <c r="D1678" t="s">
        <v>13</v>
      </c>
      <c r="E1678" t="s">
        <v>14</v>
      </c>
      <c r="F1678" t="s">
        <v>15</v>
      </c>
      <c r="G1678" t="s">
        <v>16</v>
      </c>
      <c r="H1678">
        <v>85000</v>
      </c>
      <c r="I1678">
        <v>8</v>
      </c>
      <c r="J1678" t="s">
        <v>24</v>
      </c>
      <c r="K1678">
        <f t="shared" si="26"/>
        <v>68000</v>
      </c>
      <c r="L1678">
        <f>Sales_Data2[[#This Row],[Unit Price]]*Sales_Data2[[#This Row],[Quantity]]</f>
        <v>680000</v>
      </c>
      <c r="M1678">
        <f>Sales_Data2[[#This Row],[Cost Price]]*Sales_Data2[[#This Row],[Quantity]]</f>
        <v>544000</v>
      </c>
      <c r="N1678" s="3">
        <f>Sales_Data2[[#This Row],[Revenue]]-Sales_Data2[[#This Row],[COGS]]</f>
        <v>136000</v>
      </c>
      <c r="O16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47352|North|Lagos|Retail|Online|Office Chair Pro|Furniture|85000|8|David|68000</v>
      </c>
      <c r="P1678" s="3" t="str">
        <f>IF(COUNTIF(Sales_Data2[RowKey],Sales_Data2[[#This Row],[RowKey]])&gt;1,"Duplicate","Unique")</f>
        <v>Unique</v>
      </c>
      <c r="Q1678" s="3" t="str">
        <f>IF(ISNUMBER(Sales_Data2[[#This Row],[Date]]),"OK","Check")</f>
        <v>OK</v>
      </c>
      <c r="R1678" s="3" t="str">
        <f>IF(ISNUMBER(Sales_Data2[[#This Row],[Quantity]]),"OK","Check")</f>
        <v>OK</v>
      </c>
    </row>
    <row r="1679" spans="1:18">
      <c r="A1679" s="1">
        <v>47353</v>
      </c>
      <c r="B1679" t="s">
        <v>25</v>
      </c>
      <c r="C1679" t="s">
        <v>26</v>
      </c>
      <c r="D1679" t="s">
        <v>23</v>
      </c>
      <c r="E1679" t="s">
        <v>14</v>
      </c>
      <c r="F1679" t="s">
        <v>15</v>
      </c>
      <c r="G1679" t="s">
        <v>16</v>
      </c>
      <c r="H1679">
        <v>85000</v>
      </c>
      <c r="I1679">
        <v>2</v>
      </c>
      <c r="J1679" t="s">
        <v>39</v>
      </c>
      <c r="K1679">
        <f t="shared" si="26"/>
        <v>68000</v>
      </c>
      <c r="L1679">
        <f>Sales_Data2[[#This Row],[Unit Price]]*Sales_Data2[[#This Row],[Quantity]]</f>
        <v>170000</v>
      </c>
      <c r="M1679">
        <f>Sales_Data2[[#This Row],[Cost Price]]*Sales_Data2[[#This Row],[Quantity]]</f>
        <v>136000</v>
      </c>
      <c r="N1679" s="3">
        <f>Sales_Data2[[#This Row],[Revenue]]-Sales_Data2[[#This Row],[COGS]]</f>
        <v>34000</v>
      </c>
      <c r="O16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47353|South|Kano|Corporate|Online|Office Chair Pro|Furniture|85000|2|Grace|68000</v>
      </c>
      <c r="P1679" s="3" t="str">
        <f>IF(COUNTIF(Sales_Data2[RowKey],Sales_Data2[[#This Row],[RowKey]])&gt;1,"Duplicate","Unique")</f>
        <v>Unique</v>
      </c>
      <c r="Q1679" s="3" t="str">
        <f>IF(ISNUMBER(Sales_Data2[[#This Row],[Date]]),"OK","Check")</f>
        <v>OK</v>
      </c>
      <c r="R1679" s="3" t="str">
        <f>IF(ISNUMBER(Sales_Data2[[#This Row],[Quantity]]),"OK","Check")</f>
        <v>OK</v>
      </c>
    </row>
    <row r="1680" spans="1:18">
      <c r="A1680" s="1">
        <v>47354</v>
      </c>
      <c r="B1680" t="s">
        <v>29</v>
      </c>
      <c r="C1680" t="s">
        <v>26</v>
      </c>
      <c r="D1680" t="s">
        <v>23</v>
      </c>
      <c r="E1680" t="s">
        <v>20</v>
      </c>
      <c r="F1680" t="s">
        <v>15</v>
      </c>
      <c r="G1680" t="s">
        <v>16</v>
      </c>
      <c r="H1680">
        <v>85000</v>
      </c>
      <c r="I1680">
        <v>9</v>
      </c>
      <c r="J1680" t="s">
        <v>17</v>
      </c>
      <c r="K1680">
        <f t="shared" si="26"/>
        <v>68000</v>
      </c>
      <c r="L1680">
        <f>Sales_Data2[[#This Row],[Unit Price]]*Sales_Data2[[#This Row],[Quantity]]</f>
        <v>765000</v>
      </c>
      <c r="M1680">
        <f>Sales_Data2[[#This Row],[Cost Price]]*Sales_Data2[[#This Row],[Quantity]]</f>
        <v>612000</v>
      </c>
      <c r="N1680" s="3">
        <f>Sales_Data2[[#This Row],[Revenue]]-Sales_Data2[[#This Row],[COGS]]</f>
        <v>153000</v>
      </c>
      <c r="O16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47354|North|Kano|Corporate|Store|Office Chair Pro|Furniture|85000|9|Chidinma|68000</v>
      </c>
      <c r="P1680" s="3" t="str">
        <f>IF(COUNTIF(Sales_Data2[RowKey],Sales_Data2[[#This Row],[RowKey]])&gt;1,"Duplicate","Unique")</f>
        <v>Unique</v>
      </c>
      <c r="Q1680" s="3" t="str">
        <f>IF(ISNUMBER(Sales_Data2[[#This Row],[Date]]),"OK","Check")</f>
        <v>OK</v>
      </c>
      <c r="R1680" s="3" t="str">
        <f>IF(ISNUMBER(Sales_Data2[[#This Row],[Quantity]]),"OK","Check")</f>
        <v>OK</v>
      </c>
    </row>
    <row r="1681" spans="1:18">
      <c r="A1681" s="1">
        <v>47355</v>
      </c>
      <c r="B1681" t="s">
        <v>25</v>
      </c>
      <c r="C1681" t="s">
        <v>26</v>
      </c>
      <c r="D1681" t="s">
        <v>13</v>
      </c>
      <c r="E1681" t="s">
        <v>20</v>
      </c>
      <c r="F1681" t="s">
        <v>38</v>
      </c>
      <c r="G1681" t="s">
        <v>31</v>
      </c>
      <c r="H1681">
        <v>420000</v>
      </c>
      <c r="I1681">
        <v>3</v>
      </c>
      <c r="J1681" t="s">
        <v>35</v>
      </c>
      <c r="K1681">
        <f t="shared" si="26"/>
        <v>336000</v>
      </c>
      <c r="L1681">
        <f>Sales_Data2[[#This Row],[Unit Price]]*Sales_Data2[[#This Row],[Quantity]]</f>
        <v>1260000</v>
      </c>
      <c r="M1681">
        <f>Sales_Data2[[#This Row],[Cost Price]]*Sales_Data2[[#This Row],[Quantity]]</f>
        <v>1008000</v>
      </c>
      <c r="N1681" s="3">
        <f>Sales_Data2[[#This Row],[Revenue]]-Sales_Data2[[#This Row],[COGS]]</f>
        <v>252000</v>
      </c>
      <c r="O16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47355|South|Kano|Retail|Store|Laptop A13|Electronics|420000|3|Peter|336000</v>
      </c>
      <c r="P1681" s="3" t="str">
        <f>IF(COUNTIF(Sales_Data2[RowKey],Sales_Data2[[#This Row],[RowKey]])&gt;1,"Duplicate","Unique")</f>
        <v>Unique</v>
      </c>
      <c r="Q1681" s="3" t="str">
        <f>IF(ISNUMBER(Sales_Data2[[#This Row],[Date]]),"OK","Check")</f>
        <v>OK</v>
      </c>
      <c r="R1681" s="3" t="str">
        <f>IF(ISNUMBER(Sales_Data2[[#This Row],[Quantity]]),"OK","Check")</f>
        <v>OK</v>
      </c>
    </row>
    <row r="1682" spans="1:18">
      <c r="A1682" s="1">
        <v>47356</v>
      </c>
      <c r="B1682" t="s">
        <v>29</v>
      </c>
      <c r="C1682" t="s">
        <v>19</v>
      </c>
      <c r="D1682" t="s">
        <v>13</v>
      </c>
      <c r="E1682" t="s">
        <v>14</v>
      </c>
      <c r="F1682" t="s">
        <v>30</v>
      </c>
      <c r="G1682" t="s">
        <v>31</v>
      </c>
      <c r="H1682">
        <v>300000</v>
      </c>
      <c r="I1682">
        <v>5</v>
      </c>
      <c r="J1682" t="s">
        <v>35</v>
      </c>
      <c r="K1682">
        <f t="shared" si="26"/>
        <v>240000</v>
      </c>
      <c r="L1682">
        <f>Sales_Data2[[#This Row],[Unit Price]]*Sales_Data2[[#This Row],[Quantity]]</f>
        <v>1500000</v>
      </c>
      <c r="M1682">
        <f>Sales_Data2[[#This Row],[Cost Price]]*Sales_Data2[[#This Row],[Quantity]]</f>
        <v>1200000</v>
      </c>
      <c r="N1682" s="3">
        <f>Sales_Data2[[#This Row],[Revenue]]-Sales_Data2[[#This Row],[COGS]]</f>
        <v>300000</v>
      </c>
      <c r="O16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47356|North|Lagos|Retail|Online|Desktop PC D21|Electronics|300000|5|Peter|240000</v>
      </c>
      <c r="P1682" s="3" t="str">
        <f>IF(COUNTIF(Sales_Data2[RowKey],Sales_Data2[[#This Row],[RowKey]])&gt;1,"Duplicate","Unique")</f>
        <v>Unique</v>
      </c>
      <c r="Q1682" s="3" t="str">
        <f>IF(ISNUMBER(Sales_Data2[[#This Row],[Date]]),"OK","Check")</f>
        <v>OK</v>
      </c>
      <c r="R1682" s="3" t="str">
        <f>IF(ISNUMBER(Sales_Data2[[#This Row],[Quantity]]),"OK","Check")</f>
        <v>OK</v>
      </c>
    </row>
    <row r="1683" spans="1:18">
      <c r="A1683" s="1">
        <v>47357</v>
      </c>
      <c r="B1683" t="s">
        <v>18</v>
      </c>
      <c r="C1683" t="s">
        <v>26</v>
      </c>
      <c r="D1683" t="s">
        <v>23</v>
      </c>
      <c r="E1683" t="s">
        <v>20</v>
      </c>
      <c r="F1683" t="s">
        <v>21</v>
      </c>
      <c r="G1683" t="s">
        <v>22</v>
      </c>
      <c r="H1683">
        <v>30000</v>
      </c>
      <c r="I1683">
        <v>1</v>
      </c>
      <c r="J1683" t="s">
        <v>17</v>
      </c>
      <c r="K1683">
        <f t="shared" si="26"/>
        <v>24000</v>
      </c>
      <c r="L1683">
        <f>Sales_Data2[[#This Row],[Unit Price]]*Sales_Data2[[#This Row],[Quantity]]</f>
        <v>30000</v>
      </c>
      <c r="M1683">
        <f>Sales_Data2[[#This Row],[Cost Price]]*Sales_Data2[[#This Row],[Quantity]]</f>
        <v>24000</v>
      </c>
      <c r="N1683" s="3">
        <f>Sales_Data2[[#This Row],[Revenue]]-Sales_Data2[[#This Row],[COGS]]</f>
        <v>6000</v>
      </c>
      <c r="O16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47357|East|Kano|Corporate|Store|Blender B10|Home Appliances|30000|1|Chidinma|24000</v>
      </c>
      <c r="P1683" s="3" t="str">
        <f>IF(COUNTIF(Sales_Data2[RowKey],Sales_Data2[[#This Row],[RowKey]])&gt;1,"Duplicate","Unique")</f>
        <v>Unique</v>
      </c>
      <c r="Q1683" s="3" t="str">
        <f>IF(ISNUMBER(Sales_Data2[[#This Row],[Date]]),"OK","Check")</f>
        <v>OK</v>
      </c>
      <c r="R1683" s="3" t="str">
        <f>IF(ISNUMBER(Sales_Data2[[#This Row],[Quantity]]),"OK","Check")</f>
        <v>OK</v>
      </c>
    </row>
    <row r="1684" spans="1:18">
      <c r="A1684" s="1">
        <v>47358</v>
      </c>
      <c r="B1684" t="s">
        <v>11</v>
      </c>
      <c r="C1684" t="s">
        <v>32</v>
      </c>
      <c r="D1684" t="s">
        <v>23</v>
      </c>
      <c r="E1684" t="s">
        <v>20</v>
      </c>
      <c r="F1684" t="s">
        <v>41</v>
      </c>
      <c r="G1684" t="s">
        <v>22</v>
      </c>
      <c r="H1684">
        <v>220000</v>
      </c>
      <c r="I1684">
        <v>8</v>
      </c>
      <c r="J1684" t="s">
        <v>37</v>
      </c>
      <c r="K1684">
        <f t="shared" si="26"/>
        <v>176000</v>
      </c>
      <c r="L1684">
        <f>Sales_Data2[[#This Row],[Unit Price]]*Sales_Data2[[#This Row],[Quantity]]</f>
        <v>1760000</v>
      </c>
      <c r="M1684">
        <f>Sales_Data2[[#This Row],[Cost Price]]*Sales_Data2[[#This Row],[Quantity]]</f>
        <v>1408000</v>
      </c>
      <c r="N1684" s="3">
        <f>Sales_Data2[[#This Row],[Revenue]]-Sales_Data2[[#This Row],[COGS]]</f>
        <v>352000</v>
      </c>
      <c r="O16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47358|West|Abuja|Corporate|Store|Refrigerator R55|Home Appliances|220000|8|Aisha|176000</v>
      </c>
      <c r="P1684" s="3" t="str">
        <f>IF(COUNTIF(Sales_Data2[RowKey],Sales_Data2[[#This Row],[RowKey]])&gt;1,"Duplicate","Unique")</f>
        <v>Unique</v>
      </c>
      <c r="Q1684" s="3" t="str">
        <f>IF(ISNUMBER(Sales_Data2[[#This Row],[Date]]),"OK","Check")</f>
        <v>OK</v>
      </c>
      <c r="R1684" s="3" t="str">
        <f>IF(ISNUMBER(Sales_Data2[[#This Row],[Quantity]]),"OK","Check")</f>
        <v>OK</v>
      </c>
    </row>
    <row r="1685" spans="1:18">
      <c r="A1685" s="1">
        <v>47359</v>
      </c>
      <c r="B1685" t="s">
        <v>29</v>
      </c>
      <c r="C1685" t="s">
        <v>12</v>
      </c>
      <c r="D1685" t="s">
        <v>23</v>
      </c>
      <c r="E1685" t="s">
        <v>14</v>
      </c>
      <c r="F1685" t="s">
        <v>34</v>
      </c>
      <c r="G1685" t="s">
        <v>16</v>
      </c>
      <c r="H1685">
        <v>320000</v>
      </c>
      <c r="I1685">
        <v>5</v>
      </c>
      <c r="J1685" t="s">
        <v>17</v>
      </c>
      <c r="K1685">
        <f t="shared" si="26"/>
        <v>256000</v>
      </c>
      <c r="L1685">
        <f>Sales_Data2[[#This Row],[Unit Price]]*Sales_Data2[[#This Row],[Quantity]]</f>
        <v>1600000</v>
      </c>
      <c r="M1685">
        <f>Sales_Data2[[#This Row],[Cost Price]]*Sales_Data2[[#This Row],[Quantity]]</f>
        <v>1280000</v>
      </c>
      <c r="N1685" s="3">
        <f>Sales_Data2[[#This Row],[Revenue]]-Sales_Data2[[#This Row],[COGS]]</f>
        <v>320000</v>
      </c>
      <c r="O16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47359|North|Port Harcourt|Corporate|Online|Sofa Classic|Furniture|320000|5|Chidinma|256000</v>
      </c>
      <c r="P1685" s="3" t="str">
        <f>IF(COUNTIF(Sales_Data2[RowKey],Sales_Data2[[#This Row],[RowKey]])&gt;1,"Duplicate","Unique")</f>
        <v>Unique</v>
      </c>
      <c r="Q1685" s="3" t="str">
        <f>IF(ISNUMBER(Sales_Data2[[#This Row],[Date]]),"OK","Check")</f>
        <v>OK</v>
      </c>
      <c r="R1685" s="3" t="str">
        <f>IF(ISNUMBER(Sales_Data2[[#This Row],[Quantity]]),"OK","Check")</f>
        <v>OK</v>
      </c>
    </row>
    <row r="1686" spans="1:18">
      <c r="A1686" s="1">
        <v>47360</v>
      </c>
      <c r="B1686" t="s">
        <v>18</v>
      </c>
      <c r="C1686" t="s">
        <v>19</v>
      </c>
      <c r="D1686" t="s">
        <v>23</v>
      </c>
      <c r="E1686" t="s">
        <v>14</v>
      </c>
      <c r="F1686" t="s">
        <v>30</v>
      </c>
      <c r="G1686" t="s">
        <v>31</v>
      </c>
      <c r="H1686">
        <v>300000</v>
      </c>
      <c r="I1686">
        <v>10</v>
      </c>
      <c r="J1686" t="s">
        <v>35</v>
      </c>
      <c r="K1686">
        <f t="shared" si="26"/>
        <v>240000</v>
      </c>
      <c r="L1686">
        <f>Sales_Data2[[#This Row],[Unit Price]]*Sales_Data2[[#This Row],[Quantity]]</f>
        <v>3000000</v>
      </c>
      <c r="M1686">
        <f>Sales_Data2[[#This Row],[Cost Price]]*Sales_Data2[[#This Row],[Quantity]]</f>
        <v>2400000</v>
      </c>
      <c r="N1686" s="3">
        <f>Sales_Data2[[#This Row],[Revenue]]-Sales_Data2[[#This Row],[COGS]]</f>
        <v>600000</v>
      </c>
      <c r="O16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47360|East|Lagos|Corporate|Online|Desktop PC D21|Electronics|300000|10|Peter|240000</v>
      </c>
      <c r="P1686" s="3" t="str">
        <f>IF(COUNTIF(Sales_Data2[RowKey],Sales_Data2[[#This Row],[RowKey]])&gt;1,"Duplicate","Unique")</f>
        <v>Unique</v>
      </c>
      <c r="Q1686" s="3" t="str">
        <f>IF(ISNUMBER(Sales_Data2[[#This Row],[Date]]),"OK","Check")</f>
        <v>OK</v>
      </c>
      <c r="R1686" s="3" t="str">
        <f>IF(ISNUMBER(Sales_Data2[[#This Row],[Quantity]]),"OK","Check")</f>
        <v>OK</v>
      </c>
    </row>
    <row r="1687" spans="1:18">
      <c r="A1687" s="1">
        <v>47361</v>
      </c>
      <c r="B1687" t="s">
        <v>29</v>
      </c>
      <c r="C1687" t="s">
        <v>12</v>
      </c>
      <c r="D1687" t="s">
        <v>13</v>
      </c>
      <c r="E1687" t="s">
        <v>20</v>
      </c>
      <c r="F1687" t="s">
        <v>41</v>
      </c>
      <c r="G1687" t="s">
        <v>22</v>
      </c>
      <c r="H1687">
        <v>220000</v>
      </c>
      <c r="I1687">
        <v>1</v>
      </c>
      <c r="J1687" t="s">
        <v>17</v>
      </c>
      <c r="K1687">
        <f t="shared" si="26"/>
        <v>176000</v>
      </c>
      <c r="L1687">
        <f>Sales_Data2[[#This Row],[Unit Price]]*Sales_Data2[[#This Row],[Quantity]]</f>
        <v>220000</v>
      </c>
      <c r="M1687">
        <f>Sales_Data2[[#This Row],[Cost Price]]*Sales_Data2[[#This Row],[Quantity]]</f>
        <v>176000</v>
      </c>
      <c r="N1687" s="3">
        <f>Sales_Data2[[#This Row],[Revenue]]-Sales_Data2[[#This Row],[COGS]]</f>
        <v>44000</v>
      </c>
      <c r="O16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47361|North|Port Harcourt|Retail|Store|Refrigerator R55|Home Appliances|220000|1|Chidinma|176000</v>
      </c>
      <c r="P1687" s="3" t="str">
        <f>IF(COUNTIF(Sales_Data2[RowKey],Sales_Data2[[#This Row],[RowKey]])&gt;1,"Duplicate","Unique")</f>
        <v>Unique</v>
      </c>
      <c r="Q1687" s="3" t="str">
        <f>IF(ISNUMBER(Sales_Data2[[#This Row],[Date]]),"OK","Check")</f>
        <v>OK</v>
      </c>
      <c r="R1687" s="3" t="str">
        <f>IF(ISNUMBER(Sales_Data2[[#This Row],[Quantity]]),"OK","Check")</f>
        <v>OK</v>
      </c>
    </row>
    <row r="1688" spans="1:18">
      <c r="A1688" s="1">
        <v>47362</v>
      </c>
      <c r="B1688" t="s">
        <v>25</v>
      </c>
      <c r="C1688" t="s">
        <v>26</v>
      </c>
      <c r="D1688" t="s">
        <v>23</v>
      </c>
      <c r="E1688" t="s">
        <v>14</v>
      </c>
      <c r="F1688" t="s">
        <v>21</v>
      </c>
      <c r="G1688" t="s">
        <v>22</v>
      </c>
      <c r="H1688">
        <v>30000</v>
      </c>
      <c r="I1688">
        <v>6</v>
      </c>
      <c r="J1688" t="s">
        <v>24</v>
      </c>
      <c r="K1688">
        <f t="shared" si="26"/>
        <v>24000</v>
      </c>
      <c r="L1688">
        <f>Sales_Data2[[#This Row],[Unit Price]]*Sales_Data2[[#This Row],[Quantity]]</f>
        <v>180000</v>
      </c>
      <c r="M1688">
        <f>Sales_Data2[[#This Row],[Cost Price]]*Sales_Data2[[#This Row],[Quantity]]</f>
        <v>144000</v>
      </c>
      <c r="N1688" s="3">
        <f>Sales_Data2[[#This Row],[Revenue]]-Sales_Data2[[#This Row],[COGS]]</f>
        <v>36000</v>
      </c>
      <c r="O16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47362|South|Kano|Corporate|Online|Blender B10|Home Appliances|30000|6|David|24000</v>
      </c>
      <c r="P1688" s="3" t="str">
        <f>IF(COUNTIF(Sales_Data2[RowKey],Sales_Data2[[#This Row],[RowKey]])&gt;1,"Duplicate","Unique")</f>
        <v>Unique</v>
      </c>
      <c r="Q1688" s="3" t="str">
        <f>IF(ISNUMBER(Sales_Data2[[#This Row],[Date]]),"OK","Check")</f>
        <v>OK</v>
      </c>
      <c r="R1688" s="3" t="str">
        <f>IF(ISNUMBER(Sales_Data2[[#This Row],[Quantity]]),"OK","Check")</f>
        <v>OK</v>
      </c>
    </row>
    <row r="1689" spans="1:18">
      <c r="A1689" s="1">
        <v>47363</v>
      </c>
      <c r="B1689" t="s">
        <v>29</v>
      </c>
      <c r="C1689" t="s">
        <v>19</v>
      </c>
      <c r="D1689" t="s">
        <v>13</v>
      </c>
      <c r="E1689" t="s">
        <v>14</v>
      </c>
      <c r="F1689" t="s">
        <v>38</v>
      </c>
      <c r="G1689" t="s">
        <v>31</v>
      </c>
      <c r="H1689">
        <v>420000</v>
      </c>
      <c r="I1689">
        <v>1</v>
      </c>
      <c r="J1689" t="s">
        <v>39</v>
      </c>
      <c r="K1689">
        <f t="shared" si="26"/>
        <v>336000</v>
      </c>
      <c r="L1689">
        <f>Sales_Data2[[#This Row],[Unit Price]]*Sales_Data2[[#This Row],[Quantity]]</f>
        <v>420000</v>
      </c>
      <c r="M1689">
        <f>Sales_Data2[[#This Row],[Cost Price]]*Sales_Data2[[#This Row],[Quantity]]</f>
        <v>336000</v>
      </c>
      <c r="N1689" s="3">
        <f>Sales_Data2[[#This Row],[Revenue]]-Sales_Data2[[#This Row],[COGS]]</f>
        <v>84000</v>
      </c>
      <c r="O16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47363|North|Lagos|Retail|Online|Laptop A13|Electronics|420000|1|Grace|336000</v>
      </c>
      <c r="P1689" s="3" t="str">
        <f>IF(COUNTIF(Sales_Data2[RowKey],Sales_Data2[[#This Row],[RowKey]])&gt;1,"Duplicate","Unique")</f>
        <v>Unique</v>
      </c>
      <c r="Q1689" s="3" t="str">
        <f>IF(ISNUMBER(Sales_Data2[[#This Row],[Date]]),"OK","Check")</f>
        <v>OK</v>
      </c>
      <c r="R1689" s="3" t="str">
        <f>IF(ISNUMBER(Sales_Data2[[#This Row],[Quantity]]),"OK","Check")</f>
        <v>OK</v>
      </c>
    </row>
    <row r="1690" spans="1:18">
      <c r="A1690" s="1">
        <v>47364</v>
      </c>
      <c r="B1690" t="s">
        <v>25</v>
      </c>
      <c r="C1690" t="s">
        <v>32</v>
      </c>
      <c r="D1690" t="s">
        <v>23</v>
      </c>
      <c r="E1690" t="s">
        <v>20</v>
      </c>
      <c r="F1690" t="s">
        <v>38</v>
      </c>
      <c r="G1690" t="s">
        <v>31</v>
      </c>
      <c r="H1690">
        <v>420000</v>
      </c>
      <c r="I1690">
        <v>6</v>
      </c>
      <c r="J1690" t="s">
        <v>37</v>
      </c>
      <c r="K1690">
        <f t="shared" si="26"/>
        <v>336000</v>
      </c>
      <c r="L1690">
        <f>Sales_Data2[[#This Row],[Unit Price]]*Sales_Data2[[#This Row],[Quantity]]</f>
        <v>2520000</v>
      </c>
      <c r="M1690">
        <f>Sales_Data2[[#This Row],[Cost Price]]*Sales_Data2[[#This Row],[Quantity]]</f>
        <v>2016000</v>
      </c>
      <c r="N1690" s="3">
        <f>Sales_Data2[[#This Row],[Revenue]]-Sales_Data2[[#This Row],[COGS]]</f>
        <v>504000</v>
      </c>
      <c r="O16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47364|South|Abuja|Corporate|Store|Laptop A13|Electronics|420000|6|Aisha|336000</v>
      </c>
      <c r="P1690" s="3" t="str">
        <f>IF(COUNTIF(Sales_Data2[RowKey],Sales_Data2[[#This Row],[RowKey]])&gt;1,"Duplicate","Unique")</f>
        <v>Unique</v>
      </c>
      <c r="Q1690" s="3" t="str">
        <f>IF(ISNUMBER(Sales_Data2[[#This Row],[Date]]),"OK","Check")</f>
        <v>OK</v>
      </c>
      <c r="R1690" s="3" t="str">
        <f>IF(ISNUMBER(Sales_Data2[[#This Row],[Quantity]]),"OK","Check")</f>
        <v>OK</v>
      </c>
    </row>
    <row r="1691" spans="1:18">
      <c r="A1691" s="1">
        <v>47365</v>
      </c>
      <c r="B1691" t="s">
        <v>25</v>
      </c>
      <c r="C1691" t="s">
        <v>32</v>
      </c>
      <c r="D1691" t="s">
        <v>13</v>
      </c>
      <c r="E1691" t="s">
        <v>20</v>
      </c>
      <c r="F1691" t="s">
        <v>15</v>
      </c>
      <c r="G1691" t="s">
        <v>16</v>
      </c>
      <c r="H1691">
        <v>85000</v>
      </c>
      <c r="I1691">
        <v>7</v>
      </c>
      <c r="J1691" t="s">
        <v>35</v>
      </c>
      <c r="K1691">
        <f t="shared" si="26"/>
        <v>68000</v>
      </c>
      <c r="L1691">
        <f>Sales_Data2[[#This Row],[Unit Price]]*Sales_Data2[[#This Row],[Quantity]]</f>
        <v>595000</v>
      </c>
      <c r="M1691">
        <f>Sales_Data2[[#This Row],[Cost Price]]*Sales_Data2[[#This Row],[Quantity]]</f>
        <v>476000</v>
      </c>
      <c r="N1691" s="3">
        <f>Sales_Data2[[#This Row],[Revenue]]-Sales_Data2[[#This Row],[COGS]]</f>
        <v>119000</v>
      </c>
      <c r="O16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47365|South|Abuja|Retail|Store|Office Chair Pro|Furniture|85000|7|Peter|68000</v>
      </c>
      <c r="P1691" s="3" t="str">
        <f>IF(COUNTIF(Sales_Data2[RowKey],Sales_Data2[[#This Row],[RowKey]])&gt;1,"Duplicate","Unique")</f>
        <v>Unique</v>
      </c>
      <c r="Q1691" s="3" t="str">
        <f>IF(ISNUMBER(Sales_Data2[[#This Row],[Date]]),"OK","Check")</f>
        <v>OK</v>
      </c>
      <c r="R1691" s="3" t="str">
        <f>IF(ISNUMBER(Sales_Data2[[#This Row],[Quantity]]),"OK","Check")</f>
        <v>OK</v>
      </c>
    </row>
    <row r="1692" spans="1:18">
      <c r="A1692" s="1">
        <v>47366</v>
      </c>
      <c r="B1692" t="s">
        <v>25</v>
      </c>
      <c r="C1692" t="s">
        <v>19</v>
      </c>
      <c r="D1692" t="s">
        <v>23</v>
      </c>
      <c r="E1692" t="s">
        <v>20</v>
      </c>
      <c r="F1692" t="s">
        <v>36</v>
      </c>
      <c r="G1692" t="s">
        <v>31</v>
      </c>
      <c r="H1692">
        <v>150000</v>
      </c>
      <c r="I1692">
        <v>7</v>
      </c>
      <c r="J1692" t="s">
        <v>39</v>
      </c>
      <c r="K1692">
        <f t="shared" si="26"/>
        <v>120000</v>
      </c>
      <c r="L1692">
        <f>Sales_Data2[[#This Row],[Unit Price]]*Sales_Data2[[#This Row],[Quantity]]</f>
        <v>1050000</v>
      </c>
      <c r="M1692">
        <f>Sales_Data2[[#This Row],[Cost Price]]*Sales_Data2[[#This Row],[Quantity]]</f>
        <v>840000</v>
      </c>
      <c r="N1692" s="3">
        <f>Sales_Data2[[#This Row],[Revenue]]-Sales_Data2[[#This Row],[COGS]]</f>
        <v>210000</v>
      </c>
      <c r="O16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47366|South|Lagos|Corporate|Store|Printer P50|Electronics|150000|7|Grace|120000</v>
      </c>
      <c r="P1692" s="3" t="str">
        <f>IF(COUNTIF(Sales_Data2[RowKey],Sales_Data2[[#This Row],[RowKey]])&gt;1,"Duplicate","Unique")</f>
        <v>Unique</v>
      </c>
      <c r="Q1692" s="3" t="str">
        <f>IF(ISNUMBER(Sales_Data2[[#This Row],[Date]]),"OK","Check")</f>
        <v>OK</v>
      </c>
      <c r="R1692" s="3" t="str">
        <f>IF(ISNUMBER(Sales_Data2[[#This Row],[Quantity]]),"OK","Check")</f>
        <v>OK</v>
      </c>
    </row>
    <row r="1693" spans="1:18">
      <c r="A1693" s="1">
        <v>47367</v>
      </c>
      <c r="B1693" t="s">
        <v>11</v>
      </c>
      <c r="C1693" t="s">
        <v>19</v>
      </c>
      <c r="D1693" t="s">
        <v>13</v>
      </c>
      <c r="E1693" t="s">
        <v>20</v>
      </c>
      <c r="F1693" t="s">
        <v>36</v>
      </c>
      <c r="G1693" t="s">
        <v>31</v>
      </c>
      <c r="H1693">
        <v>150000</v>
      </c>
      <c r="I1693">
        <v>10</v>
      </c>
      <c r="J1693" t="s">
        <v>17</v>
      </c>
      <c r="K1693">
        <f t="shared" si="26"/>
        <v>120000</v>
      </c>
      <c r="L1693">
        <f>Sales_Data2[[#This Row],[Unit Price]]*Sales_Data2[[#This Row],[Quantity]]</f>
        <v>1500000</v>
      </c>
      <c r="M1693">
        <f>Sales_Data2[[#This Row],[Cost Price]]*Sales_Data2[[#This Row],[Quantity]]</f>
        <v>1200000</v>
      </c>
      <c r="N1693" s="3">
        <f>Sales_Data2[[#This Row],[Revenue]]-Sales_Data2[[#This Row],[COGS]]</f>
        <v>300000</v>
      </c>
      <c r="O16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47367|West|Lagos|Retail|Store|Printer P50|Electronics|150000|10|Chidinma|120000</v>
      </c>
      <c r="P1693" s="3" t="str">
        <f>IF(COUNTIF(Sales_Data2[RowKey],Sales_Data2[[#This Row],[RowKey]])&gt;1,"Duplicate","Unique")</f>
        <v>Unique</v>
      </c>
      <c r="Q1693" s="3" t="str">
        <f>IF(ISNUMBER(Sales_Data2[[#This Row],[Date]]),"OK","Check")</f>
        <v>OK</v>
      </c>
      <c r="R1693" s="3" t="str">
        <f>IF(ISNUMBER(Sales_Data2[[#This Row],[Quantity]]),"OK","Check")</f>
        <v>OK</v>
      </c>
    </row>
    <row r="1694" spans="1:18">
      <c r="A1694" s="1">
        <v>47368</v>
      </c>
      <c r="B1694" t="s">
        <v>18</v>
      </c>
      <c r="C1694" t="s">
        <v>12</v>
      </c>
      <c r="D1694" t="s">
        <v>13</v>
      </c>
      <c r="E1694" t="s">
        <v>20</v>
      </c>
      <c r="F1694" t="s">
        <v>21</v>
      </c>
      <c r="G1694" t="s">
        <v>22</v>
      </c>
      <c r="H1694">
        <v>30000</v>
      </c>
      <c r="I1694">
        <v>9</v>
      </c>
      <c r="J1694" t="s">
        <v>17</v>
      </c>
      <c r="K1694">
        <f t="shared" si="26"/>
        <v>24000</v>
      </c>
      <c r="L1694">
        <f>Sales_Data2[[#This Row],[Unit Price]]*Sales_Data2[[#This Row],[Quantity]]</f>
        <v>270000</v>
      </c>
      <c r="M1694">
        <f>Sales_Data2[[#This Row],[Cost Price]]*Sales_Data2[[#This Row],[Quantity]]</f>
        <v>216000</v>
      </c>
      <c r="N1694" s="3">
        <f>Sales_Data2[[#This Row],[Revenue]]-Sales_Data2[[#This Row],[COGS]]</f>
        <v>54000</v>
      </c>
      <c r="O16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47368|East|Port Harcourt|Retail|Store|Blender B10|Home Appliances|30000|9|Chidinma|24000</v>
      </c>
      <c r="P1694" s="3" t="str">
        <f>IF(COUNTIF(Sales_Data2[RowKey],Sales_Data2[[#This Row],[RowKey]])&gt;1,"Duplicate","Unique")</f>
        <v>Unique</v>
      </c>
      <c r="Q1694" s="3" t="str">
        <f>IF(ISNUMBER(Sales_Data2[[#This Row],[Date]]),"OK","Check")</f>
        <v>OK</v>
      </c>
      <c r="R1694" s="3" t="str">
        <f>IF(ISNUMBER(Sales_Data2[[#This Row],[Quantity]]),"OK","Check")</f>
        <v>OK</v>
      </c>
    </row>
    <row r="1695" spans="1:18">
      <c r="A1695" s="1">
        <v>47369</v>
      </c>
      <c r="B1695" t="s">
        <v>25</v>
      </c>
      <c r="C1695" t="s">
        <v>26</v>
      </c>
      <c r="D1695" t="s">
        <v>23</v>
      </c>
      <c r="E1695" t="s">
        <v>14</v>
      </c>
      <c r="F1695" t="s">
        <v>34</v>
      </c>
      <c r="G1695" t="s">
        <v>16</v>
      </c>
      <c r="H1695">
        <v>320000</v>
      </c>
      <c r="I1695">
        <v>8</v>
      </c>
      <c r="J1695" t="s">
        <v>37</v>
      </c>
      <c r="K1695">
        <f t="shared" si="26"/>
        <v>256000</v>
      </c>
      <c r="L1695">
        <f>Sales_Data2[[#This Row],[Unit Price]]*Sales_Data2[[#This Row],[Quantity]]</f>
        <v>2560000</v>
      </c>
      <c r="M1695">
        <f>Sales_Data2[[#This Row],[Cost Price]]*Sales_Data2[[#This Row],[Quantity]]</f>
        <v>2048000</v>
      </c>
      <c r="N1695" s="3">
        <f>Sales_Data2[[#This Row],[Revenue]]-Sales_Data2[[#This Row],[COGS]]</f>
        <v>512000</v>
      </c>
      <c r="O16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47369|South|Kano|Corporate|Online|Sofa Classic|Furniture|320000|8|Aisha|256000</v>
      </c>
      <c r="P1695" s="3" t="str">
        <f>IF(COUNTIF(Sales_Data2[RowKey],Sales_Data2[[#This Row],[RowKey]])&gt;1,"Duplicate","Unique")</f>
        <v>Unique</v>
      </c>
      <c r="Q1695" s="3" t="str">
        <f>IF(ISNUMBER(Sales_Data2[[#This Row],[Date]]),"OK","Check")</f>
        <v>OK</v>
      </c>
      <c r="R1695" s="3" t="str">
        <f>IF(ISNUMBER(Sales_Data2[[#This Row],[Quantity]]),"OK","Check")</f>
        <v>OK</v>
      </c>
    </row>
    <row r="1696" spans="1:18">
      <c r="A1696" s="1">
        <v>47370</v>
      </c>
      <c r="B1696" t="s">
        <v>18</v>
      </c>
      <c r="C1696" t="s">
        <v>32</v>
      </c>
      <c r="D1696" t="s">
        <v>13</v>
      </c>
      <c r="E1696" t="s">
        <v>20</v>
      </c>
      <c r="F1696" t="s">
        <v>21</v>
      </c>
      <c r="G1696" t="s">
        <v>22</v>
      </c>
      <c r="H1696">
        <v>30000</v>
      </c>
      <c r="I1696">
        <v>9</v>
      </c>
      <c r="J1696" t="s">
        <v>28</v>
      </c>
      <c r="K1696">
        <f t="shared" si="26"/>
        <v>24000</v>
      </c>
      <c r="L1696">
        <f>Sales_Data2[[#This Row],[Unit Price]]*Sales_Data2[[#This Row],[Quantity]]</f>
        <v>270000</v>
      </c>
      <c r="M1696">
        <f>Sales_Data2[[#This Row],[Cost Price]]*Sales_Data2[[#This Row],[Quantity]]</f>
        <v>216000</v>
      </c>
      <c r="N1696" s="3">
        <f>Sales_Data2[[#This Row],[Revenue]]-Sales_Data2[[#This Row],[COGS]]</f>
        <v>54000</v>
      </c>
      <c r="O16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47370|East|Abuja|Retail|Store|Blender B10|Home Appliances|30000|9|Musa|24000</v>
      </c>
      <c r="P1696" s="3" t="str">
        <f>IF(COUNTIF(Sales_Data2[RowKey],Sales_Data2[[#This Row],[RowKey]])&gt;1,"Duplicate","Unique")</f>
        <v>Unique</v>
      </c>
      <c r="Q1696" s="3" t="str">
        <f>IF(ISNUMBER(Sales_Data2[[#This Row],[Date]]),"OK","Check")</f>
        <v>OK</v>
      </c>
      <c r="R1696" s="3" t="str">
        <f>IF(ISNUMBER(Sales_Data2[[#This Row],[Quantity]]),"OK","Check")</f>
        <v>OK</v>
      </c>
    </row>
    <row r="1697" spans="1:18">
      <c r="A1697" s="1">
        <v>47371</v>
      </c>
      <c r="B1697" t="s">
        <v>18</v>
      </c>
      <c r="C1697" t="s">
        <v>26</v>
      </c>
      <c r="D1697" t="s">
        <v>23</v>
      </c>
      <c r="E1697" t="s">
        <v>14</v>
      </c>
      <c r="F1697" t="s">
        <v>40</v>
      </c>
      <c r="G1697" t="s">
        <v>31</v>
      </c>
      <c r="H1697">
        <v>250000</v>
      </c>
      <c r="I1697">
        <v>3</v>
      </c>
      <c r="J1697" t="s">
        <v>24</v>
      </c>
      <c r="K1697">
        <f t="shared" si="26"/>
        <v>200000</v>
      </c>
      <c r="L1697">
        <f>Sales_Data2[[#This Row],[Unit Price]]*Sales_Data2[[#This Row],[Quantity]]</f>
        <v>750000</v>
      </c>
      <c r="M1697">
        <f>Sales_Data2[[#This Row],[Cost Price]]*Sales_Data2[[#This Row],[Quantity]]</f>
        <v>600000</v>
      </c>
      <c r="N1697" s="3">
        <f>Sales_Data2[[#This Row],[Revenue]]-Sales_Data2[[#This Row],[COGS]]</f>
        <v>150000</v>
      </c>
      <c r="O16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47371|East|Kano|Corporate|Online|Smartphone Z10|Electronics|250000|3|David|200000</v>
      </c>
      <c r="P1697" s="3" t="str">
        <f>IF(COUNTIF(Sales_Data2[RowKey],Sales_Data2[[#This Row],[RowKey]])&gt;1,"Duplicate","Unique")</f>
        <v>Unique</v>
      </c>
      <c r="Q1697" s="3" t="str">
        <f>IF(ISNUMBER(Sales_Data2[[#This Row],[Date]]),"OK","Check")</f>
        <v>OK</v>
      </c>
      <c r="R1697" s="3" t="str">
        <f>IF(ISNUMBER(Sales_Data2[[#This Row],[Quantity]]),"OK","Check")</f>
        <v>OK</v>
      </c>
    </row>
    <row r="1698" spans="1:18">
      <c r="A1698" s="1">
        <v>47372</v>
      </c>
      <c r="B1698" t="s">
        <v>18</v>
      </c>
      <c r="C1698" t="s">
        <v>19</v>
      </c>
      <c r="D1698" t="s">
        <v>23</v>
      </c>
      <c r="E1698" t="s">
        <v>14</v>
      </c>
      <c r="F1698" t="s">
        <v>27</v>
      </c>
      <c r="G1698" t="s">
        <v>22</v>
      </c>
      <c r="H1698">
        <v>60000</v>
      </c>
      <c r="I1698">
        <v>2</v>
      </c>
      <c r="J1698" t="s">
        <v>24</v>
      </c>
      <c r="K1698">
        <f t="shared" si="26"/>
        <v>48000</v>
      </c>
      <c r="L1698">
        <f>Sales_Data2[[#This Row],[Unit Price]]*Sales_Data2[[#This Row],[Quantity]]</f>
        <v>120000</v>
      </c>
      <c r="M1698">
        <f>Sales_Data2[[#This Row],[Cost Price]]*Sales_Data2[[#This Row],[Quantity]]</f>
        <v>96000</v>
      </c>
      <c r="N1698" s="3">
        <f>Sales_Data2[[#This Row],[Revenue]]-Sales_Data2[[#This Row],[COGS]]</f>
        <v>24000</v>
      </c>
      <c r="O16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47372|East|Lagos|Corporate|Online|Microwave M20|Home Appliances|60000|2|David|48000</v>
      </c>
      <c r="P1698" s="3" t="str">
        <f>IF(COUNTIF(Sales_Data2[RowKey],Sales_Data2[[#This Row],[RowKey]])&gt;1,"Duplicate","Unique")</f>
        <v>Unique</v>
      </c>
      <c r="Q1698" s="3" t="str">
        <f>IF(ISNUMBER(Sales_Data2[[#This Row],[Date]]),"OK","Check")</f>
        <v>OK</v>
      </c>
      <c r="R1698" s="3" t="str">
        <f>IF(ISNUMBER(Sales_Data2[[#This Row],[Quantity]]),"OK","Check")</f>
        <v>OK</v>
      </c>
    </row>
    <row r="1699" spans="1:18">
      <c r="A1699" s="1">
        <v>47373</v>
      </c>
      <c r="B1699" t="s">
        <v>11</v>
      </c>
      <c r="C1699" t="s">
        <v>32</v>
      </c>
      <c r="D1699" t="s">
        <v>13</v>
      </c>
      <c r="E1699" t="s">
        <v>20</v>
      </c>
      <c r="F1699" t="s">
        <v>34</v>
      </c>
      <c r="G1699" t="s">
        <v>16</v>
      </c>
      <c r="H1699">
        <v>320000</v>
      </c>
      <c r="I1699">
        <v>3</v>
      </c>
      <c r="J1699" t="s">
        <v>28</v>
      </c>
      <c r="K1699">
        <f t="shared" si="26"/>
        <v>256000</v>
      </c>
      <c r="L1699">
        <f>Sales_Data2[[#This Row],[Unit Price]]*Sales_Data2[[#This Row],[Quantity]]</f>
        <v>960000</v>
      </c>
      <c r="M1699">
        <f>Sales_Data2[[#This Row],[Cost Price]]*Sales_Data2[[#This Row],[Quantity]]</f>
        <v>768000</v>
      </c>
      <c r="N1699" s="3">
        <f>Sales_Data2[[#This Row],[Revenue]]-Sales_Data2[[#This Row],[COGS]]</f>
        <v>192000</v>
      </c>
      <c r="O16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47373|West|Abuja|Retail|Store|Sofa Classic|Furniture|320000|3|Musa|256000</v>
      </c>
      <c r="P1699" s="3" t="str">
        <f>IF(COUNTIF(Sales_Data2[RowKey],Sales_Data2[[#This Row],[RowKey]])&gt;1,"Duplicate","Unique")</f>
        <v>Unique</v>
      </c>
      <c r="Q1699" s="3" t="str">
        <f>IF(ISNUMBER(Sales_Data2[[#This Row],[Date]]),"OK","Check")</f>
        <v>OK</v>
      </c>
      <c r="R1699" s="3" t="str">
        <f>IF(ISNUMBER(Sales_Data2[[#This Row],[Quantity]]),"OK","Check")</f>
        <v>OK</v>
      </c>
    </row>
    <row r="1700" spans="1:18">
      <c r="A1700" s="1">
        <v>47374</v>
      </c>
      <c r="B1700" t="s">
        <v>18</v>
      </c>
      <c r="C1700" t="s">
        <v>26</v>
      </c>
      <c r="D1700" t="s">
        <v>13</v>
      </c>
      <c r="E1700" t="s">
        <v>14</v>
      </c>
      <c r="F1700" t="s">
        <v>30</v>
      </c>
      <c r="G1700" t="s">
        <v>31</v>
      </c>
      <c r="H1700">
        <v>300000</v>
      </c>
      <c r="I1700">
        <v>9</v>
      </c>
      <c r="J1700" t="s">
        <v>24</v>
      </c>
      <c r="K1700">
        <f t="shared" si="26"/>
        <v>240000</v>
      </c>
      <c r="L1700">
        <f>Sales_Data2[[#This Row],[Unit Price]]*Sales_Data2[[#This Row],[Quantity]]</f>
        <v>2700000</v>
      </c>
      <c r="M1700">
        <f>Sales_Data2[[#This Row],[Cost Price]]*Sales_Data2[[#This Row],[Quantity]]</f>
        <v>2160000</v>
      </c>
      <c r="N1700" s="3">
        <f>Sales_Data2[[#This Row],[Revenue]]-Sales_Data2[[#This Row],[COGS]]</f>
        <v>540000</v>
      </c>
      <c r="O17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47374|East|Kano|Retail|Online|Desktop PC D21|Electronics|300000|9|David|240000</v>
      </c>
      <c r="P1700" s="3" t="str">
        <f>IF(COUNTIF(Sales_Data2[RowKey],Sales_Data2[[#This Row],[RowKey]])&gt;1,"Duplicate","Unique")</f>
        <v>Unique</v>
      </c>
      <c r="Q1700" s="3" t="str">
        <f>IF(ISNUMBER(Sales_Data2[[#This Row],[Date]]),"OK","Check")</f>
        <v>OK</v>
      </c>
      <c r="R1700" s="3" t="str">
        <f>IF(ISNUMBER(Sales_Data2[[#This Row],[Quantity]]),"OK","Check")</f>
        <v>OK</v>
      </c>
    </row>
    <row r="1701" spans="1:18">
      <c r="A1701" s="1">
        <v>47375</v>
      </c>
      <c r="B1701" t="s">
        <v>18</v>
      </c>
      <c r="C1701" t="s">
        <v>32</v>
      </c>
      <c r="D1701" t="s">
        <v>13</v>
      </c>
      <c r="E1701" t="s">
        <v>14</v>
      </c>
      <c r="F1701" t="s">
        <v>38</v>
      </c>
      <c r="G1701" t="s">
        <v>31</v>
      </c>
      <c r="H1701">
        <v>420000</v>
      </c>
      <c r="I1701">
        <v>4</v>
      </c>
      <c r="J1701" t="s">
        <v>39</v>
      </c>
      <c r="K1701">
        <f t="shared" si="26"/>
        <v>336000</v>
      </c>
      <c r="L1701">
        <f>Sales_Data2[[#This Row],[Unit Price]]*Sales_Data2[[#This Row],[Quantity]]</f>
        <v>1680000</v>
      </c>
      <c r="M1701">
        <f>Sales_Data2[[#This Row],[Cost Price]]*Sales_Data2[[#This Row],[Quantity]]</f>
        <v>1344000</v>
      </c>
      <c r="N1701" s="3">
        <f>Sales_Data2[[#This Row],[Revenue]]-Sales_Data2[[#This Row],[COGS]]</f>
        <v>336000</v>
      </c>
      <c r="O17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47375|East|Abuja|Retail|Online|Laptop A13|Electronics|420000|4|Grace|336000</v>
      </c>
      <c r="P1701" s="3" t="str">
        <f>IF(COUNTIF(Sales_Data2[RowKey],Sales_Data2[[#This Row],[RowKey]])&gt;1,"Duplicate","Unique")</f>
        <v>Unique</v>
      </c>
      <c r="Q1701" s="3" t="str">
        <f>IF(ISNUMBER(Sales_Data2[[#This Row],[Date]]),"OK","Check")</f>
        <v>OK</v>
      </c>
      <c r="R1701" s="3" t="str">
        <f>IF(ISNUMBER(Sales_Data2[[#This Row],[Quantity]]),"OK","Check")</f>
        <v>OK</v>
      </c>
    </row>
    <row r="1702" spans="1:18">
      <c r="A1702" s="1">
        <v>47376</v>
      </c>
      <c r="B1702" t="s">
        <v>11</v>
      </c>
      <c r="C1702" t="s">
        <v>12</v>
      </c>
      <c r="D1702" t="s">
        <v>13</v>
      </c>
      <c r="E1702" t="s">
        <v>20</v>
      </c>
      <c r="F1702" t="s">
        <v>34</v>
      </c>
      <c r="G1702" t="s">
        <v>16</v>
      </c>
      <c r="H1702">
        <v>320000</v>
      </c>
      <c r="I1702">
        <v>6</v>
      </c>
      <c r="J1702" t="s">
        <v>35</v>
      </c>
      <c r="K1702">
        <f t="shared" si="26"/>
        <v>256000</v>
      </c>
      <c r="L1702">
        <f>Sales_Data2[[#This Row],[Unit Price]]*Sales_Data2[[#This Row],[Quantity]]</f>
        <v>1920000</v>
      </c>
      <c r="M1702">
        <f>Sales_Data2[[#This Row],[Cost Price]]*Sales_Data2[[#This Row],[Quantity]]</f>
        <v>1536000</v>
      </c>
      <c r="N1702" s="3">
        <f>Sales_Data2[[#This Row],[Revenue]]-Sales_Data2[[#This Row],[COGS]]</f>
        <v>384000</v>
      </c>
      <c r="O17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47376|West|Port Harcourt|Retail|Store|Sofa Classic|Furniture|320000|6|Peter|256000</v>
      </c>
      <c r="P1702" s="3" t="str">
        <f>IF(COUNTIF(Sales_Data2[RowKey],Sales_Data2[[#This Row],[RowKey]])&gt;1,"Duplicate","Unique")</f>
        <v>Unique</v>
      </c>
      <c r="Q1702" s="3" t="str">
        <f>IF(ISNUMBER(Sales_Data2[[#This Row],[Date]]),"OK","Check")</f>
        <v>OK</v>
      </c>
      <c r="R1702" s="3" t="str">
        <f>IF(ISNUMBER(Sales_Data2[[#This Row],[Quantity]]),"OK","Check")</f>
        <v>OK</v>
      </c>
    </row>
    <row r="1703" spans="1:18">
      <c r="A1703" s="1">
        <v>47377</v>
      </c>
      <c r="B1703" t="s">
        <v>11</v>
      </c>
      <c r="C1703" t="s">
        <v>32</v>
      </c>
      <c r="D1703" t="s">
        <v>13</v>
      </c>
      <c r="E1703" t="s">
        <v>20</v>
      </c>
      <c r="F1703" t="s">
        <v>41</v>
      </c>
      <c r="G1703" t="s">
        <v>22</v>
      </c>
      <c r="H1703">
        <v>220000</v>
      </c>
      <c r="I1703">
        <v>4</v>
      </c>
      <c r="J1703" t="s">
        <v>39</v>
      </c>
      <c r="K1703">
        <f t="shared" si="26"/>
        <v>176000</v>
      </c>
      <c r="L1703">
        <f>Sales_Data2[[#This Row],[Unit Price]]*Sales_Data2[[#This Row],[Quantity]]</f>
        <v>880000</v>
      </c>
      <c r="M1703">
        <f>Sales_Data2[[#This Row],[Cost Price]]*Sales_Data2[[#This Row],[Quantity]]</f>
        <v>704000</v>
      </c>
      <c r="N1703" s="3">
        <f>Sales_Data2[[#This Row],[Revenue]]-Sales_Data2[[#This Row],[COGS]]</f>
        <v>176000</v>
      </c>
      <c r="O17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47377|West|Abuja|Retail|Store|Refrigerator R55|Home Appliances|220000|4|Grace|176000</v>
      </c>
      <c r="P1703" s="3" t="str">
        <f>IF(COUNTIF(Sales_Data2[RowKey],Sales_Data2[[#This Row],[RowKey]])&gt;1,"Duplicate","Unique")</f>
        <v>Unique</v>
      </c>
      <c r="Q1703" s="3" t="str">
        <f>IF(ISNUMBER(Sales_Data2[[#This Row],[Date]]),"OK","Check")</f>
        <v>OK</v>
      </c>
      <c r="R1703" s="3" t="str">
        <f>IF(ISNUMBER(Sales_Data2[[#This Row],[Quantity]]),"OK","Check")</f>
        <v>OK</v>
      </c>
    </row>
    <row r="1704" spans="1:18">
      <c r="A1704" s="1">
        <v>47378</v>
      </c>
      <c r="B1704" t="s">
        <v>25</v>
      </c>
      <c r="C1704" t="s">
        <v>32</v>
      </c>
      <c r="D1704" t="s">
        <v>13</v>
      </c>
      <c r="E1704" t="s">
        <v>20</v>
      </c>
      <c r="F1704" t="s">
        <v>15</v>
      </c>
      <c r="G1704" t="s">
        <v>16</v>
      </c>
      <c r="H1704">
        <v>85000</v>
      </c>
      <c r="I1704">
        <v>8</v>
      </c>
      <c r="J1704" t="s">
        <v>24</v>
      </c>
      <c r="K1704">
        <f t="shared" si="26"/>
        <v>68000</v>
      </c>
      <c r="L1704">
        <f>Sales_Data2[[#This Row],[Unit Price]]*Sales_Data2[[#This Row],[Quantity]]</f>
        <v>680000</v>
      </c>
      <c r="M1704">
        <f>Sales_Data2[[#This Row],[Cost Price]]*Sales_Data2[[#This Row],[Quantity]]</f>
        <v>544000</v>
      </c>
      <c r="N1704" s="3">
        <f>Sales_Data2[[#This Row],[Revenue]]-Sales_Data2[[#This Row],[COGS]]</f>
        <v>136000</v>
      </c>
      <c r="O17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47378|South|Abuja|Retail|Store|Office Chair Pro|Furniture|85000|8|David|68000</v>
      </c>
      <c r="P1704" s="3" t="str">
        <f>IF(COUNTIF(Sales_Data2[RowKey],Sales_Data2[[#This Row],[RowKey]])&gt;1,"Duplicate","Unique")</f>
        <v>Unique</v>
      </c>
      <c r="Q1704" s="3" t="str">
        <f>IF(ISNUMBER(Sales_Data2[[#This Row],[Date]]),"OK","Check")</f>
        <v>OK</v>
      </c>
      <c r="R1704" s="3" t="str">
        <f>IF(ISNUMBER(Sales_Data2[[#This Row],[Quantity]]),"OK","Check")</f>
        <v>OK</v>
      </c>
    </row>
    <row r="1705" spans="1:18">
      <c r="A1705" s="1">
        <v>47379</v>
      </c>
      <c r="B1705" t="s">
        <v>11</v>
      </c>
      <c r="C1705" t="s">
        <v>12</v>
      </c>
      <c r="D1705" t="s">
        <v>13</v>
      </c>
      <c r="E1705" t="s">
        <v>20</v>
      </c>
      <c r="F1705" t="s">
        <v>38</v>
      </c>
      <c r="G1705" t="s">
        <v>31</v>
      </c>
      <c r="H1705">
        <v>420000</v>
      </c>
      <c r="I1705">
        <v>7</v>
      </c>
      <c r="J1705" t="s">
        <v>28</v>
      </c>
      <c r="K1705">
        <f t="shared" si="26"/>
        <v>336000</v>
      </c>
      <c r="L1705">
        <f>Sales_Data2[[#This Row],[Unit Price]]*Sales_Data2[[#This Row],[Quantity]]</f>
        <v>2940000</v>
      </c>
      <c r="M1705">
        <f>Sales_Data2[[#This Row],[Cost Price]]*Sales_Data2[[#This Row],[Quantity]]</f>
        <v>2352000</v>
      </c>
      <c r="N1705" s="3">
        <f>Sales_Data2[[#This Row],[Revenue]]-Sales_Data2[[#This Row],[COGS]]</f>
        <v>588000</v>
      </c>
      <c r="O17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47379|West|Port Harcourt|Retail|Store|Laptop A13|Electronics|420000|7|Musa|336000</v>
      </c>
      <c r="P1705" s="3" t="str">
        <f>IF(COUNTIF(Sales_Data2[RowKey],Sales_Data2[[#This Row],[RowKey]])&gt;1,"Duplicate","Unique")</f>
        <v>Unique</v>
      </c>
      <c r="Q1705" s="3" t="str">
        <f>IF(ISNUMBER(Sales_Data2[[#This Row],[Date]]),"OK","Check")</f>
        <v>OK</v>
      </c>
      <c r="R1705" s="3" t="str">
        <f>IF(ISNUMBER(Sales_Data2[[#This Row],[Quantity]]),"OK","Check")</f>
        <v>OK</v>
      </c>
    </row>
    <row r="1706" spans="1:18">
      <c r="A1706" s="1">
        <v>47380</v>
      </c>
      <c r="B1706" t="s">
        <v>18</v>
      </c>
      <c r="C1706" t="s">
        <v>32</v>
      </c>
      <c r="D1706" t="s">
        <v>23</v>
      </c>
      <c r="E1706" t="s">
        <v>20</v>
      </c>
      <c r="F1706" t="s">
        <v>41</v>
      </c>
      <c r="G1706" t="s">
        <v>22</v>
      </c>
      <c r="H1706">
        <v>220000</v>
      </c>
      <c r="I1706">
        <v>2</v>
      </c>
      <c r="J1706" t="s">
        <v>17</v>
      </c>
      <c r="K1706">
        <f t="shared" si="26"/>
        <v>176000</v>
      </c>
      <c r="L1706">
        <f>Sales_Data2[[#This Row],[Unit Price]]*Sales_Data2[[#This Row],[Quantity]]</f>
        <v>440000</v>
      </c>
      <c r="M1706">
        <f>Sales_Data2[[#This Row],[Cost Price]]*Sales_Data2[[#This Row],[Quantity]]</f>
        <v>352000</v>
      </c>
      <c r="N1706" s="3">
        <f>Sales_Data2[[#This Row],[Revenue]]-Sales_Data2[[#This Row],[COGS]]</f>
        <v>88000</v>
      </c>
      <c r="O17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47380|East|Abuja|Corporate|Store|Refrigerator R55|Home Appliances|220000|2|Chidinma|176000</v>
      </c>
      <c r="P1706" s="3" t="str">
        <f>IF(COUNTIF(Sales_Data2[RowKey],Sales_Data2[[#This Row],[RowKey]])&gt;1,"Duplicate","Unique")</f>
        <v>Unique</v>
      </c>
      <c r="Q1706" s="3" t="str">
        <f>IF(ISNUMBER(Sales_Data2[[#This Row],[Date]]),"OK","Check")</f>
        <v>OK</v>
      </c>
      <c r="R1706" s="3" t="str">
        <f>IF(ISNUMBER(Sales_Data2[[#This Row],[Quantity]]),"OK","Check")</f>
        <v>OK</v>
      </c>
    </row>
    <row r="1707" spans="1:18">
      <c r="A1707" s="1">
        <v>47381</v>
      </c>
      <c r="B1707" t="s">
        <v>29</v>
      </c>
      <c r="C1707" t="s">
        <v>26</v>
      </c>
      <c r="D1707" t="s">
        <v>13</v>
      </c>
      <c r="E1707" t="s">
        <v>14</v>
      </c>
      <c r="F1707" t="s">
        <v>36</v>
      </c>
      <c r="G1707" t="s">
        <v>31</v>
      </c>
      <c r="H1707">
        <v>150000</v>
      </c>
      <c r="I1707">
        <v>1</v>
      </c>
      <c r="J1707" t="s">
        <v>35</v>
      </c>
      <c r="K1707">
        <f t="shared" si="26"/>
        <v>120000</v>
      </c>
      <c r="L1707">
        <f>Sales_Data2[[#This Row],[Unit Price]]*Sales_Data2[[#This Row],[Quantity]]</f>
        <v>150000</v>
      </c>
      <c r="M1707">
        <f>Sales_Data2[[#This Row],[Cost Price]]*Sales_Data2[[#This Row],[Quantity]]</f>
        <v>120000</v>
      </c>
      <c r="N1707" s="3">
        <f>Sales_Data2[[#This Row],[Revenue]]-Sales_Data2[[#This Row],[COGS]]</f>
        <v>30000</v>
      </c>
      <c r="O17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47381|North|Kano|Retail|Online|Printer P50|Electronics|150000|1|Peter|120000</v>
      </c>
      <c r="P1707" s="3" t="str">
        <f>IF(COUNTIF(Sales_Data2[RowKey],Sales_Data2[[#This Row],[RowKey]])&gt;1,"Duplicate","Unique")</f>
        <v>Unique</v>
      </c>
      <c r="Q1707" s="3" t="str">
        <f>IF(ISNUMBER(Sales_Data2[[#This Row],[Date]]),"OK","Check")</f>
        <v>OK</v>
      </c>
      <c r="R1707" s="3" t="str">
        <f>IF(ISNUMBER(Sales_Data2[[#This Row],[Quantity]]),"OK","Check")</f>
        <v>OK</v>
      </c>
    </row>
    <row r="1708" spans="1:18">
      <c r="A1708" s="1">
        <v>47382</v>
      </c>
      <c r="B1708" t="s">
        <v>29</v>
      </c>
      <c r="C1708" t="s">
        <v>12</v>
      </c>
      <c r="D1708" t="s">
        <v>23</v>
      </c>
      <c r="E1708" t="s">
        <v>20</v>
      </c>
      <c r="F1708" t="s">
        <v>38</v>
      </c>
      <c r="G1708" t="s">
        <v>31</v>
      </c>
      <c r="H1708">
        <v>420000</v>
      </c>
      <c r="I1708">
        <v>4</v>
      </c>
      <c r="J1708" t="s">
        <v>37</v>
      </c>
      <c r="K1708">
        <f t="shared" si="26"/>
        <v>336000</v>
      </c>
      <c r="L1708">
        <f>Sales_Data2[[#This Row],[Unit Price]]*Sales_Data2[[#This Row],[Quantity]]</f>
        <v>1680000</v>
      </c>
      <c r="M1708">
        <f>Sales_Data2[[#This Row],[Cost Price]]*Sales_Data2[[#This Row],[Quantity]]</f>
        <v>1344000</v>
      </c>
      <c r="N1708" s="3">
        <f>Sales_Data2[[#This Row],[Revenue]]-Sales_Data2[[#This Row],[COGS]]</f>
        <v>336000</v>
      </c>
      <c r="O17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47382|North|Port Harcourt|Corporate|Store|Laptop A13|Electronics|420000|4|Aisha|336000</v>
      </c>
      <c r="P1708" s="3" t="str">
        <f>IF(COUNTIF(Sales_Data2[RowKey],Sales_Data2[[#This Row],[RowKey]])&gt;1,"Duplicate","Unique")</f>
        <v>Unique</v>
      </c>
      <c r="Q1708" s="3" t="str">
        <f>IF(ISNUMBER(Sales_Data2[[#This Row],[Date]]),"OK","Check")</f>
        <v>OK</v>
      </c>
      <c r="R1708" s="3" t="str">
        <f>IF(ISNUMBER(Sales_Data2[[#This Row],[Quantity]]),"OK","Check")</f>
        <v>OK</v>
      </c>
    </row>
    <row r="1709" spans="1:18">
      <c r="A1709" s="1">
        <v>47383</v>
      </c>
      <c r="B1709" t="s">
        <v>25</v>
      </c>
      <c r="C1709" t="s">
        <v>19</v>
      </c>
      <c r="D1709" t="s">
        <v>23</v>
      </c>
      <c r="E1709" t="s">
        <v>14</v>
      </c>
      <c r="F1709" t="s">
        <v>30</v>
      </c>
      <c r="G1709" t="s">
        <v>31</v>
      </c>
      <c r="H1709">
        <v>300000</v>
      </c>
      <c r="I1709">
        <v>1</v>
      </c>
      <c r="J1709" t="s">
        <v>28</v>
      </c>
      <c r="K1709">
        <f t="shared" si="26"/>
        <v>240000</v>
      </c>
      <c r="L1709">
        <f>Sales_Data2[[#This Row],[Unit Price]]*Sales_Data2[[#This Row],[Quantity]]</f>
        <v>300000</v>
      </c>
      <c r="M1709">
        <f>Sales_Data2[[#This Row],[Cost Price]]*Sales_Data2[[#This Row],[Quantity]]</f>
        <v>240000</v>
      </c>
      <c r="N1709" s="3">
        <f>Sales_Data2[[#This Row],[Revenue]]-Sales_Data2[[#This Row],[COGS]]</f>
        <v>60000</v>
      </c>
      <c r="O17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47383|South|Lagos|Corporate|Online|Desktop PC D21|Electronics|300000|1|Musa|240000</v>
      </c>
      <c r="P1709" s="3" t="str">
        <f>IF(COUNTIF(Sales_Data2[RowKey],Sales_Data2[[#This Row],[RowKey]])&gt;1,"Duplicate","Unique")</f>
        <v>Unique</v>
      </c>
      <c r="Q1709" s="3" t="str">
        <f>IF(ISNUMBER(Sales_Data2[[#This Row],[Date]]),"OK","Check")</f>
        <v>OK</v>
      </c>
      <c r="R1709" s="3" t="str">
        <f>IF(ISNUMBER(Sales_Data2[[#This Row],[Quantity]]),"OK","Check")</f>
        <v>OK</v>
      </c>
    </row>
    <row r="1710" spans="1:18">
      <c r="A1710" s="1">
        <v>47384</v>
      </c>
      <c r="B1710" t="s">
        <v>11</v>
      </c>
      <c r="C1710" t="s">
        <v>19</v>
      </c>
      <c r="D1710" t="s">
        <v>13</v>
      </c>
      <c r="E1710" t="s">
        <v>20</v>
      </c>
      <c r="F1710" t="s">
        <v>30</v>
      </c>
      <c r="G1710" t="s">
        <v>31</v>
      </c>
      <c r="H1710">
        <v>300000</v>
      </c>
      <c r="I1710">
        <v>9</v>
      </c>
      <c r="J1710" t="s">
        <v>24</v>
      </c>
      <c r="K1710">
        <f t="shared" si="26"/>
        <v>240000</v>
      </c>
      <c r="L1710">
        <f>Sales_Data2[[#This Row],[Unit Price]]*Sales_Data2[[#This Row],[Quantity]]</f>
        <v>2700000</v>
      </c>
      <c r="M1710">
        <f>Sales_Data2[[#This Row],[Cost Price]]*Sales_Data2[[#This Row],[Quantity]]</f>
        <v>2160000</v>
      </c>
      <c r="N1710" s="3">
        <f>Sales_Data2[[#This Row],[Revenue]]-Sales_Data2[[#This Row],[COGS]]</f>
        <v>540000</v>
      </c>
      <c r="O17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47384|West|Lagos|Retail|Store|Desktop PC D21|Electronics|300000|9|David|240000</v>
      </c>
      <c r="P1710" s="3" t="str">
        <f>IF(COUNTIF(Sales_Data2[RowKey],Sales_Data2[[#This Row],[RowKey]])&gt;1,"Duplicate","Unique")</f>
        <v>Unique</v>
      </c>
      <c r="Q1710" s="3" t="str">
        <f>IF(ISNUMBER(Sales_Data2[[#This Row],[Date]]),"OK","Check")</f>
        <v>OK</v>
      </c>
      <c r="R1710" s="3" t="str">
        <f>IF(ISNUMBER(Sales_Data2[[#This Row],[Quantity]]),"OK","Check")</f>
        <v>OK</v>
      </c>
    </row>
    <row r="1711" spans="1:18">
      <c r="A1711" s="1">
        <v>47385</v>
      </c>
      <c r="B1711" t="s">
        <v>25</v>
      </c>
      <c r="C1711" t="s">
        <v>32</v>
      </c>
      <c r="D1711" t="s">
        <v>13</v>
      </c>
      <c r="E1711" t="s">
        <v>14</v>
      </c>
      <c r="F1711" t="s">
        <v>40</v>
      </c>
      <c r="G1711" t="s">
        <v>31</v>
      </c>
      <c r="H1711">
        <v>250000</v>
      </c>
      <c r="I1711">
        <v>6</v>
      </c>
      <c r="J1711" t="s">
        <v>24</v>
      </c>
      <c r="K1711">
        <f t="shared" si="26"/>
        <v>200000</v>
      </c>
      <c r="L1711">
        <f>Sales_Data2[[#This Row],[Unit Price]]*Sales_Data2[[#This Row],[Quantity]]</f>
        <v>1500000</v>
      </c>
      <c r="M1711">
        <f>Sales_Data2[[#This Row],[Cost Price]]*Sales_Data2[[#This Row],[Quantity]]</f>
        <v>1200000</v>
      </c>
      <c r="N1711" s="3">
        <f>Sales_Data2[[#This Row],[Revenue]]-Sales_Data2[[#This Row],[COGS]]</f>
        <v>300000</v>
      </c>
      <c r="O17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47385|South|Abuja|Retail|Online|Smartphone Z10|Electronics|250000|6|David|200000</v>
      </c>
      <c r="P1711" s="3" t="str">
        <f>IF(COUNTIF(Sales_Data2[RowKey],Sales_Data2[[#This Row],[RowKey]])&gt;1,"Duplicate","Unique")</f>
        <v>Unique</v>
      </c>
      <c r="Q1711" s="3" t="str">
        <f>IF(ISNUMBER(Sales_Data2[[#This Row],[Date]]),"OK","Check")</f>
        <v>OK</v>
      </c>
      <c r="R1711" s="3" t="str">
        <f>IF(ISNUMBER(Sales_Data2[[#This Row],[Quantity]]),"OK","Check")</f>
        <v>OK</v>
      </c>
    </row>
    <row r="1712" spans="1:18">
      <c r="A1712" s="1">
        <v>47386</v>
      </c>
      <c r="B1712" t="s">
        <v>29</v>
      </c>
      <c r="C1712" t="s">
        <v>26</v>
      </c>
      <c r="D1712" t="s">
        <v>13</v>
      </c>
      <c r="E1712" t="s">
        <v>20</v>
      </c>
      <c r="F1712" t="s">
        <v>21</v>
      </c>
      <c r="G1712" t="s">
        <v>22</v>
      </c>
      <c r="H1712">
        <v>30000</v>
      </c>
      <c r="I1712">
        <v>7</v>
      </c>
      <c r="J1712" t="s">
        <v>28</v>
      </c>
      <c r="K1712">
        <f t="shared" si="26"/>
        <v>24000</v>
      </c>
      <c r="L1712">
        <f>Sales_Data2[[#This Row],[Unit Price]]*Sales_Data2[[#This Row],[Quantity]]</f>
        <v>210000</v>
      </c>
      <c r="M1712">
        <f>Sales_Data2[[#This Row],[Cost Price]]*Sales_Data2[[#This Row],[Quantity]]</f>
        <v>168000</v>
      </c>
      <c r="N1712" s="3">
        <f>Sales_Data2[[#This Row],[Revenue]]-Sales_Data2[[#This Row],[COGS]]</f>
        <v>42000</v>
      </c>
      <c r="O17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47386|North|Kano|Retail|Store|Blender B10|Home Appliances|30000|7|Musa|24000</v>
      </c>
      <c r="P1712" s="3" t="str">
        <f>IF(COUNTIF(Sales_Data2[RowKey],Sales_Data2[[#This Row],[RowKey]])&gt;1,"Duplicate","Unique")</f>
        <v>Unique</v>
      </c>
      <c r="Q1712" s="3" t="str">
        <f>IF(ISNUMBER(Sales_Data2[[#This Row],[Date]]),"OK","Check")</f>
        <v>OK</v>
      </c>
      <c r="R1712" s="3" t="str">
        <f>IF(ISNUMBER(Sales_Data2[[#This Row],[Quantity]]),"OK","Check")</f>
        <v>OK</v>
      </c>
    </row>
    <row r="1713" spans="1:18">
      <c r="A1713" s="1">
        <v>47387</v>
      </c>
      <c r="B1713" t="s">
        <v>25</v>
      </c>
      <c r="C1713" t="s">
        <v>12</v>
      </c>
      <c r="D1713" t="s">
        <v>23</v>
      </c>
      <c r="E1713" t="s">
        <v>14</v>
      </c>
      <c r="F1713" t="s">
        <v>15</v>
      </c>
      <c r="G1713" t="s">
        <v>16</v>
      </c>
      <c r="H1713">
        <v>85000</v>
      </c>
      <c r="I1713">
        <v>7</v>
      </c>
      <c r="J1713" t="s">
        <v>39</v>
      </c>
      <c r="K1713">
        <f t="shared" si="26"/>
        <v>68000</v>
      </c>
      <c r="L1713">
        <f>Sales_Data2[[#This Row],[Unit Price]]*Sales_Data2[[#This Row],[Quantity]]</f>
        <v>595000</v>
      </c>
      <c r="M1713">
        <f>Sales_Data2[[#This Row],[Cost Price]]*Sales_Data2[[#This Row],[Quantity]]</f>
        <v>476000</v>
      </c>
      <c r="N1713" s="3">
        <f>Sales_Data2[[#This Row],[Revenue]]-Sales_Data2[[#This Row],[COGS]]</f>
        <v>119000</v>
      </c>
      <c r="O17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47387|South|Port Harcourt|Corporate|Online|Office Chair Pro|Furniture|85000|7|Grace|68000</v>
      </c>
      <c r="P1713" s="3" t="str">
        <f>IF(COUNTIF(Sales_Data2[RowKey],Sales_Data2[[#This Row],[RowKey]])&gt;1,"Duplicate","Unique")</f>
        <v>Unique</v>
      </c>
      <c r="Q1713" s="3" t="str">
        <f>IF(ISNUMBER(Sales_Data2[[#This Row],[Date]]),"OK","Check")</f>
        <v>OK</v>
      </c>
      <c r="R1713" s="3" t="str">
        <f>IF(ISNUMBER(Sales_Data2[[#This Row],[Quantity]]),"OK","Check")</f>
        <v>OK</v>
      </c>
    </row>
    <row r="1714" spans="1:18">
      <c r="A1714" s="1">
        <v>47388</v>
      </c>
      <c r="B1714" t="s">
        <v>11</v>
      </c>
      <c r="C1714" t="s">
        <v>32</v>
      </c>
      <c r="D1714" t="s">
        <v>23</v>
      </c>
      <c r="E1714" t="s">
        <v>14</v>
      </c>
      <c r="F1714" t="s">
        <v>15</v>
      </c>
      <c r="G1714" t="s">
        <v>16</v>
      </c>
      <c r="H1714">
        <v>85000</v>
      </c>
      <c r="I1714">
        <v>7</v>
      </c>
      <c r="J1714" t="s">
        <v>39</v>
      </c>
      <c r="K1714">
        <f t="shared" si="26"/>
        <v>68000</v>
      </c>
      <c r="L1714">
        <f>Sales_Data2[[#This Row],[Unit Price]]*Sales_Data2[[#This Row],[Quantity]]</f>
        <v>595000</v>
      </c>
      <c r="M1714">
        <f>Sales_Data2[[#This Row],[Cost Price]]*Sales_Data2[[#This Row],[Quantity]]</f>
        <v>476000</v>
      </c>
      <c r="N1714" s="3">
        <f>Sales_Data2[[#This Row],[Revenue]]-Sales_Data2[[#This Row],[COGS]]</f>
        <v>119000</v>
      </c>
      <c r="O17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47388|West|Abuja|Corporate|Online|Office Chair Pro|Furniture|85000|7|Grace|68000</v>
      </c>
      <c r="P1714" s="3" t="str">
        <f>IF(COUNTIF(Sales_Data2[RowKey],Sales_Data2[[#This Row],[RowKey]])&gt;1,"Duplicate","Unique")</f>
        <v>Unique</v>
      </c>
      <c r="Q1714" s="3" t="str">
        <f>IF(ISNUMBER(Sales_Data2[[#This Row],[Date]]),"OK","Check")</f>
        <v>OK</v>
      </c>
      <c r="R1714" s="3" t="str">
        <f>IF(ISNUMBER(Sales_Data2[[#This Row],[Quantity]]),"OK","Check")</f>
        <v>OK</v>
      </c>
    </row>
    <row r="1715" spans="1:18">
      <c r="A1715" s="1">
        <v>47389</v>
      </c>
      <c r="B1715" t="s">
        <v>25</v>
      </c>
      <c r="C1715" t="s">
        <v>26</v>
      </c>
      <c r="D1715" t="s">
        <v>13</v>
      </c>
      <c r="E1715" t="s">
        <v>14</v>
      </c>
      <c r="F1715" t="s">
        <v>21</v>
      </c>
      <c r="G1715" t="s">
        <v>22</v>
      </c>
      <c r="H1715">
        <v>30000</v>
      </c>
      <c r="I1715">
        <v>4</v>
      </c>
      <c r="J1715" t="s">
        <v>17</v>
      </c>
      <c r="K1715">
        <f t="shared" si="26"/>
        <v>24000</v>
      </c>
      <c r="L1715">
        <f>Sales_Data2[[#This Row],[Unit Price]]*Sales_Data2[[#This Row],[Quantity]]</f>
        <v>120000</v>
      </c>
      <c r="M1715">
        <f>Sales_Data2[[#This Row],[Cost Price]]*Sales_Data2[[#This Row],[Quantity]]</f>
        <v>96000</v>
      </c>
      <c r="N1715" s="3">
        <f>Sales_Data2[[#This Row],[Revenue]]-Sales_Data2[[#This Row],[COGS]]</f>
        <v>24000</v>
      </c>
      <c r="O17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47389|South|Kano|Retail|Online|Blender B10|Home Appliances|30000|4|Chidinma|24000</v>
      </c>
      <c r="P1715" s="3" t="str">
        <f>IF(COUNTIF(Sales_Data2[RowKey],Sales_Data2[[#This Row],[RowKey]])&gt;1,"Duplicate","Unique")</f>
        <v>Unique</v>
      </c>
      <c r="Q1715" s="3" t="str">
        <f>IF(ISNUMBER(Sales_Data2[[#This Row],[Date]]),"OK","Check")</f>
        <v>OK</v>
      </c>
      <c r="R1715" s="3" t="str">
        <f>IF(ISNUMBER(Sales_Data2[[#This Row],[Quantity]]),"OK","Check")</f>
        <v>OK</v>
      </c>
    </row>
    <row r="1716" spans="1:18">
      <c r="A1716" s="1">
        <v>47390</v>
      </c>
      <c r="B1716" t="s">
        <v>11</v>
      </c>
      <c r="C1716" t="s">
        <v>26</v>
      </c>
      <c r="D1716" t="s">
        <v>13</v>
      </c>
      <c r="E1716" t="s">
        <v>14</v>
      </c>
      <c r="F1716" t="s">
        <v>36</v>
      </c>
      <c r="G1716" t="s">
        <v>31</v>
      </c>
      <c r="H1716">
        <v>150000</v>
      </c>
      <c r="I1716">
        <v>9</v>
      </c>
      <c r="J1716" t="s">
        <v>24</v>
      </c>
      <c r="K1716">
        <f t="shared" si="26"/>
        <v>120000</v>
      </c>
      <c r="L1716">
        <f>Sales_Data2[[#This Row],[Unit Price]]*Sales_Data2[[#This Row],[Quantity]]</f>
        <v>1350000</v>
      </c>
      <c r="M1716">
        <f>Sales_Data2[[#This Row],[Cost Price]]*Sales_Data2[[#This Row],[Quantity]]</f>
        <v>1080000</v>
      </c>
      <c r="N1716" s="3">
        <f>Sales_Data2[[#This Row],[Revenue]]-Sales_Data2[[#This Row],[COGS]]</f>
        <v>270000</v>
      </c>
      <c r="O17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47390|West|Kano|Retail|Online|Printer P50|Electronics|150000|9|David|120000</v>
      </c>
      <c r="P1716" s="3" t="str">
        <f>IF(COUNTIF(Sales_Data2[RowKey],Sales_Data2[[#This Row],[RowKey]])&gt;1,"Duplicate","Unique")</f>
        <v>Unique</v>
      </c>
      <c r="Q1716" s="3" t="str">
        <f>IF(ISNUMBER(Sales_Data2[[#This Row],[Date]]),"OK","Check")</f>
        <v>OK</v>
      </c>
      <c r="R1716" s="3" t="str">
        <f>IF(ISNUMBER(Sales_Data2[[#This Row],[Quantity]]),"OK","Check")</f>
        <v>OK</v>
      </c>
    </row>
    <row r="1717" spans="1:18">
      <c r="A1717" s="1">
        <v>47391</v>
      </c>
      <c r="B1717" t="s">
        <v>29</v>
      </c>
      <c r="C1717" t="s">
        <v>12</v>
      </c>
      <c r="D1717" t="s">
        <v>23</v>
      </c>
      <c r="E1717" t="s">
        <v>20</v>
      </c>
      <c r="F1717" t="s">
        <v>41</v>
      </c>
      <c r="G1717" t="s">
        <v>22</v>
      </c>
      <c r="H1717">
        <v>220000</v>
      </c>
      <c r="I1717">
        <v>9</v>
      </c>
      <c r="J1717" t="s">
        <v>39</v>
      </c>
      <c r="K1717">
        <f t="shared" si="26"/>
        <v>176000</v>
      </c>
      <c r="L1717">
        <f>Sales_Data2[[#This Row],[Unit Price]]*Sales_Data2[[#This Row],[Quantity]]</f>
        <v>1980000</v>
      </c>
      <c r="M1717">
        <f>Sales_Data2[[#This Row],[Cost Price]]*Sales_Data2[[#This Row],[Quantity]]</f>
        <v>1584000</v>
      </c>
      <c r="N1717" s="3">
        <f>Sales_Data2[[#This Row],[Revenue]]-Sales_Data2[[#This Row],[COGS]]</f>
        <v>396000</v>
      </c>
      <c r="O17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47391|North|Port Harcourt|Corporate|Store|Refrigerator R55|Home Appliances|220000|9|Grace|176000</v>
      </c>
      <c r="P1717" s="3" t="str">
        <f>IF(COUNTIF(Sales_Data2[RowKey],Sales_Data2[[#This Row],[RowKey]])&gt;1,"Duplicate","Unique")</f>
        <v>Unique</v>
      </c>
      <c r="Q1717" s="3" t="str">
        <f>IF(ISNUMBER(Sales_Data2[[#This Row],[Date]]),"OK","Check")</f>
        <v>OK</v>
      </c>
      <c r="R1717" s="3" t="str">
        <f>IF(ISNUMBER(Sales_Data2[[#This Row],[Quantity]]),"OK","Check")</f>
        <v>OK</v>
      </c>
    </row>
    <row r="1718" spans="1:18">
      <c r="A1718" s="1">
        <v>47392</v>
      </c>
      <c r="B1718" t="s">
        <v>18</v>
      </c>
      <c r="C1718" t="s">
        <v>26</v>
      </c>
      <c r="D1718" t="s">
        <v>23</v>
      </c>
      <c r="E1718" t="s">
        <v>14</v>
      </c>
      <c r="F1718" t="s">
        <v>21</v>
      </c>
      <c r="G1718" t="s">
        <v>22</v>
      </c>
      <c r="H1718">
        <v>30000</v>
      </c>
      <c r="I1718">
        <v>8</v>
      </c>
      <c r="J1718" t="s">
        <v>37</v>
      </c>
      <c r="K1718">
        <f t="shared" si="26"/>
        <v>24000</v>
      </c>
      <c r="L1718">
        <f>Sales_Data2[[#This Row],[Unit Price]]*Sales_Data2[[#This Row],[Quantity]]</f>
        <v>240000</v>
      </c>
      <c r="M1718">
        <f>Sales_Data2[[#This Row],[Cost Price]]*Sales_Data2[[#This Row],[Quantity]]</f>
        <v>192000</v>
      </c>
      <c r="N1718" s="3">
        <f>Sales_Data2[[#This Row],[Revenue]]-Sales_Data2[[#This Row],[COGS]]</f>
        <v>48000</v>
      </c>
      <c r="O17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47392|East|Kano|Corporate|Online|Blender B10|Home Appliances|30000|8|Aisha|24000</v>
      </c>
      <c r="P1718" s="3" t="str">
        <f>IF(COUNTIF(Sales_Data2[RowKey],Sales_Data2[[#This Row],[RowKey]])&gt;1,"Duplicate","Unique")</f>
        <v>Unique</v>
      </c>
      <c r="Q1718" s="3" t="str">
        <f>IF(ISNUMBER(Sales_Data2[[#This Row],[Date]]),"OK","Check")</f>
        <v>OK</v>
      </c>
      <c r="R1718" s="3" t="str">
        <f>IF(ISNUMBER(Sales_Data2[[#This Row],[Quantity]]),"OK","Check")</f>
        <v>OK</v>
      </c>
    </row>
    <row r="1719" spans="1:18">
      <c r="A1719" s="1">
        <v>47393</v>
      </c>
      <c r="B1719" t="s">
        <v>18</v>
      </c>
      <c r="C1719" t="s">
        <v>26</v>
      </c>
      <c r="D1719" t="s">
        <v>13</v>
      </c>
      <c r="E1719" t="s">
        <v>14</v>
      </c>
      <c r="F1719" t="s">
        <v>15</v>
      </c>
      <c r="G1719" t="s">
        <v>16</v>
      </c>
      <c r="H1719">
        <v>85000</v>
      </c>
      <c r="I1719">
        <v>2</v>
      </c>
      <c r="J1719" t="s">
        <v>24</v>
      </c>
      <c r="K1719">
        <f t="shared" si="26"/>
        <v>68000</v>
      </c>
      <c r="L1719">
        <f>Sales_Data2[[#This Row],[Unit Price]]*Sales_Data2[[#This Row],[Quantity]]</f>
        <v>170000</v>
      </c>
      <c r="M1719">
        <f>Sales_Data2[[#This Row],[Cost Price]]*Sales_Data2[[#This Row],[Quantity]]</f>
        <v>136000</v>
      </c>
      <c r="N1719" s="3">
        <f>Sales_Data2[[#This Row],[Revenue]]-Sales_Data2[[#This Row],[COGS]]</f>
        <v>34000</v>
      </c>
      <c r="O17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47393|East|Kano|Retail|Online|Office Chair Pro|Furniture|85000|2|David|68000</v>
      </c>
      <c r="P1719" s="3" t="str">
        <f>IF(COUNTIF(Sales_Data2[RowKey],Sales_Data2[[#This Row],[RowKey]])&gt;1,"Duplicate","Unique")</f>
        <v>Unique</v>
      </c>
      <c r="Q1719" s="3" t="str">
        <f>IF(ISNUMBER(Sales_Data2[[#This Row],[Date]]),"OK","Check")</f>
        <v>OK</v>
      </c>
      <c r="R1719" s="3" t="str">
        <f>IF(ISNUMBER(Sales_Data2[[#This Row],[Quantity]]),"OK","Check")</f>
        <v>OK</v>
      </c>
    </row>
    <row r="1720" spans="1:18">
      <c r="A1720" s="1">
        <v>47394</v>
      </c>
      <c r="B1720" t="s">
        <v>25</v>
      </c>
      <c r="C1720" t="s">
        <v>19</v>
      </c>
      <c r="D1720" t="s">
        <v>23</v>
      </c>
      <c r="E1720" t="s">
        <v>14</v>
      </c>
      <c r="F1720" t="s">
        <v>33</v>
      </c>
      <c r="G1720" t="s">
        <v>22</v>
      </c>
      <c r="H1720">
        <v>180000</v>
      </c>
      <c r="I1720">
        <v>9</v>
      </c>
      <c r="J1720" t="s">
        <v>24</v>
      </c>
      <c r="K1720">
        <f t="shared" si="26"/>
        <v>144000</v>
      </c>
      <c r="L1720">
        <f>Sales_Data2[[#This Row],[Unit Price]]*Sales_Data2[[#This Row],[Quantity]]</f>
        <v>1620000</v>
      </c>
      <c r="M1720">
        <f>Sales_Data2[[#This Row],[Cost Price]]*Sales_Data2[[#This Row],[Quantity]]</f>
        <v>1296000</v>
      </c>
      <c r="N1720" s="3">
        <f>Sales_Data2[[#This Row],[Revenue]]-Sales_Data2[[#This Row],[COGS]]</f>
        <v>324000</v>
      </c>
      <c r="O17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47394|South|Lagos|Corporate|Online|Air Conditioner X2|Home Appliances|180000|9|David|144000</v>
      </c>
      <c r="P1720" s="3" t="str">
        <f>IF(COUNTIF(Sales_Data2[RowKey],Sales_Data2[[#This Row],[RowKey]])&gt;1,"Duplicate","Unique")</f>
        <v>Unique</v>
      </c>
      <c r="Q1720" s="3" t="str">
        <f>IF(ISNUMBER(Sales_Data2[[#This Row],[Date]]),"OK","Check")</f>
        <v>OK</v>
      </c>
      <c r="R1720" s="3" t="str">
        <f>IF(ISNUMBER(Sales_Data2[[#This Row],[Quantity]]),"OK","Check")</f>
        <v>OK</v>
      </c>
    </row>
    <row r="1721" spans="1:18">
      <c r="A1721" s="1">
        <v>47395</v>
      </c>
      <c r="B1721" t="s">
        <v>18</v>
      </c>
      <c r="C1721" t="s">
        <v>26</v>
      </c>
      <c r="D1721" t="s">
        <v>13</v>
      </c>
      <c r="E1721" t="s">
        <v>14</v>
      </c>
      <c r="F1721" t="s">
        <v>36</v>
      </c>
      <c r="G1721" t="s">
        <v>31</v>
      </c>
      <c r="H1721">
        <v>150000</v>
      </c>
      <c r="I1721">
        <v>8</v>
      </c>
      <c r="J1721" t="s">
        <v>39</v>
      </c>
      <c r="K1721">
        <f t="shared" si="26"/>
        <v>120000</v>
      </c>
      <c r="L1721">
        <f>Sales_Data2[[#This Row],[Unit Price]]*Sales_Data2[[#This Row],[Quantity]]</f>
        <v>1200000</v>
      </c>
      <c r="M1721">
        <f>Sales_Data2[[#This Row],[Cost Price]]*Sales_Data2[[#This Row],[Quantity]]</f>
        <v>960000</v>
      </c>
      <c r="N1721" s="3">
        <f>Sales_Data2[[#This Row],[Revenue]]-Sales_Data2[[#This Row],[COGS]]</f>
        <v>240000</v>
      </c>
      <c r="O17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47395|East|Kano|Retail|Online|Printer P50|Electronics|150000|8|Grace|120000</v>
      </c>
      <c r="P1721" s="3" t="str">
        <f>IF(COUNTIF(Sales_Data2[RowKey],Sales_Data2[[#This Row],[RowKey]])&gt;1,"Duplicate","Unique")</f>
        <v>Unique</v>
      </c>
      <c r="Q1721" s="3" t="str">
        <f>IF(ISNUMBER(Sales_Data2[[#This Row],[Date]]),"OK","Check")</f>
        <v>OK</v>
      </c>
      <c r="R1721" s="3" t="str">
        <f>IF(ISNUMBER(Sales_Data2[[#This Row],[Quantity]]),"OK","Check")</f>
        <v>OK</v>
      </c>
    </row>
    <row r="1722" spans="1:18">
      <c r="A1722" s="1">
        <v>47396</v>
      </c>
      <c r="B1722" t="s">
        <v>29</v>
      </c>
      <c r="C1722" t="s">
        <v>12</v>
      </c>
      <c r="D1722" t="s">
        <v>13</v>
      </c>
      <c r="E1722" t="s">
        <v>14</v>
      </c>
      <c r="F1722" t="s">
        <v>27</v>
      </c>
      <c r="G1722" t="s">
        <v>22</v>
      </c>
      <c r="H1722">
        <v>60000</v>
      </c>
      <c r="I1722">
        <v>8</v>
      </c>
      <c r="J1722" t="s">
        <v>37</v>
      </c>
      <c r="K1722">
        <f t="shared" si="26"/>
        <v>48000</v>
      </c>
      <c r="L1722">
        <f>Sales_Data2[[#This Row],[Unit Price]]*Sales_Data2[[#This Row],[Quantity]]</f>
        <v>480000</v>
      </c>
      <c r="M1722">
        <f>Sales_Data2[[#This Row],[Cost Price]]*Sales_Data2[[#This Row],[Quantity]]</f>
        <v>384000</v>
      </c>
      <c r="N1722" s="3">
        <f>Sales_Data2[[#This Row],[Revenue]]-Sales_Data2[[#This Row],[COGS]]</f>
        <v>96000</v>
      </c>
      <c r="O17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47396|North|Port Harcourt|Retail|Online|Microwave M20|Home Appliances|60000|8|Aisha|48000</v>
      </c>
      <c r="P1722" s="3" t="str">
        <f>IF(COUNTIF(Sales_Data2[RowKey],Sales_Data2[[#This Row],[RowKey]])&gt;1,"Duplicate","Unique")</f>
        <v>Unique</v>
      </c>
      <c r="Q1722" s="3" t="str">
        <f>IF(ISNUMBER(Sales_Data2[[#This Row],[Date]]),"OK","Check")</f>
        <v>OK</v>
      </c>
      <c r="R1722" s="3" t="str">
        <f>IF(ISNUMBER(Sales_Data2[[#This Row],[Quantity]]),"OK","Check")</f>
        <v>OK</v>
      </c>
    </row>
    <row r="1723" spans="1:18">
      <c r="A1723" s="1">
        <v>47397</v>
      </c>
      <c r="B1723" t="s">
        <v>11</v>
      </c>
      <c r="C1723" t="s">
        <v>12</v>
      </c>
      <c r="D1723" t="s">
        <v>13</v>
      </c>
      <c r="E1723" t="s">
        <v>20</v>
      </c>
      <c r="F1723" t="s">
        <v>30</v>
      </c>
      <c r="G1723" t="s">
        <v>31</v>
      </c>
      <c r="H1723">
        <v>300000</v>
      </c>
      <c r="I1723">
        <v>5</v>
      </c>
      <c r="J1723" t="s">
        <v>28</v>
      </c>
      <c r="K1723">
        <f t="shared" si="26"/>
        <v>240000</v>
      </c>
      <c r="L1723">
        <f>Sales_Data2[[#This Row],[Unit Price]]*Sales_Data2[[#This Row],[Quantity]]</f>
        <v>1500000</v>
      </c>
      <c r="M1723">
        <f>Sales_Data2[[#This Row],[Cost Price]]*Sales_Data2[[#This Row],[Quantity]]</f>
        <v>1200000</v>
      </c>
      <c r="N1723" s="3">
        <f>Sales_Data2[[#This Row],[Revenue]]-Sales_Data2[[#This Row],[COGS]]</f>
        <v>300000</v>
      </c>
      <c r="O17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47397|West|Port Harcourt|Retail|Store|Desktop PC D21|Electronics|300000|5|Musa|240000</v>
      </c>
      <c r="P1723" s="3" t="str">
        <f>IF(COUNTIF(Sales_Data2[RowKey],Sales_Data2[[#This Row],[RowKey]])&gt;1,"Duplicate","Unique")</f>
        <v>Unique</v>
      </c>
      <c r="Q1723" s="3" t="str">
        <f>IF(ISNUMBER(Sales_Data2[[#This Row],[Date]]),"OK","Check")</f>
        <v>OK</v>
      </c>
      <c r="R1723" s="3" t="str">
        <f>IF(ISNUMBER(Sales_Data2[[#This Row],[Quantity]]),"OK","Check")</f>
        <v>OK</v>
      </c>
    </row>
    <row r="1724" spans="1:18">
      <c r="A1724" s="1">
        <v>47398</v>
      </c>
      <c r="B1724" t="s">
        <v>29</v>
      </c>
      <c r="C1724" t="s">
        <v>19</v>
      </c>
      <c r="D1724" t="s">
        <v>13</v>
      </c>
      <c r="E1724" t="s">
        <v>14</v>
      </c>
      <c r="F1724" t="s">
        <v>21</v>
      </c>
      <c r="G1724" t="s">
        <v>22</v>
      </c>
      <c r="H1724">
        <v>30000</v>
      </c>
      <c r="I1724">
        <v>8</v>
      </c>
      <c r="J1724" t="s">
        <v>35</v>
      </c>
      <c r="K1724">
        <f t="shared" si="26"/>
        <v>24000</v>
      </c>
      <c r="L1724">
        <f>Sales_Data2[[#This Row],[Unit Price]]*Sales_Data2[[#This Row],[Quantity]]</f>
        <v>240000</v>
      </c>
      <c r="M1724">
        <f>Sales_Data2[[#This Row],[Cost Price]]*Sales_Data2[[#This Row],[Quantity]]</f>
        <v>192000</v>
      </c>
      <c r="N1724" s="3">
        <f>Sales_Data2[[#This Row],[Revenue]]-Sales_Data2[[#This Row],[COGS]]</f>
        <v>48000</v>
      </c>
      <c r="O17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47398|North|Lagos|Retail|Online|Blender B10|Home Appliances|30000|8|Peter|24000</v>
      </c>
      <c r="P1724" s="3" t="str">
        <f>IF(COUNTIF(Sales_Data2[RowKey],Sales_Data2[[#This Row],[RowKey]])&gt;1,"Duplicate","Unique")</f>
        <v>Unique</v>
      </c>
      <c r="Q1724" s="3" t="str">
        <f>IF(ISNUMBER(Sales_Data2[[#This Row],[Date]]),"OK","Check")</f>
        <v>OK</v>
      </c>
      <c r="R1724" s="3" t="str">
        <f>IF(ISNUMBER(Sales_Data2[[#This Row],[Quantity]]),"OK","Check")</f>
        <v>OK</v>
      </c>
    </row>
    <row r="1725" spans="1:18">
      <c r="A1725" s="1">
        <v>47399</v>
      </c>
      <c r="B1725" t="s">
        <v>29</v>
      </c>
      <c r="C1725" t="s">
        <v>12</v>
      </c>
      <c r="D1725" t="s">
        <v>23</v>
      </c>
      <c r="E1725" t="s">
        <v>20</v>
      </c>
      <c r="F1725" t="s">
        <v>38</v>
      </c>
      <c r="G1725" t="s">
        <v>31</v>
      </c>
      <c r="H1725">
        <v>420000</v>
      </c>
      <c r="I1725">
        <v>3</v>
      </c>
      <c r="J1725" t="s">
        <v>24</v>
      </c>
      <c r="K1725">
        <f t="shared" si="26"/>
        <v>336000</v>
      </c>
      <c r="L1725">
        <f>Sales_Data2[[#This Row],[Unit Price]]*Sales_Data2[[#This Row],[Quantity]]</f>
        <v>1260000</v>
      </c>
      <c r="M1725">
        <f>Sales_Data2[[#This Row],[Cost Price]]*Sales_Data2[[#This Row],[Quantity]]</f>
        <v>1008000</v>
      </c>
      <c r="N1725" s="3">
        <f>Sales_Data2[[#This Row],[Revenue]]-Sales_Data2[[#This Row],[COGS]]</f>
        <v>252000</v>
      </c>
      <c r="O17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47399|North|Port Harcourt|Corporate|Store|Laptop A13|Electronics|420000|3|David|336000</v>
      </c>
      <c r="P1725" s="3" t="str">
        <f>IF(COUNTIF(Sales_Data2[RowKey],Sales_Data2[[#This Row],[RowKey]])&gt;1,"Duplicate","Unique")</f>
        <v>Unique</v>
      </c>
      <c r="Q1725" s="3" t="str">
        <f>IF(ISNUMBER(Sales_Data2[[#This Row],[Date]]),"OK","Check")</f>
        <v>OK</v>
      </c>
      <c r="R1725" s="3" t="str">
        <f>IF(ISNUMBER(Sales_Data2[[#This Row],[Quantity]]),"OK","Check")</f>
        <v>OK</v>
      </c>
    </row>
    <row r="1726" spans="1:18">
      <c r="A1726" s="1">
        <v>47400</v>
      </c>
      <c r="B1726" t="s">
        <v>11</v>
      </c>
      <c r="C1726" t="s">
        <v>12</v>
      </c>
      <c r="D1726" t="s">
        <v>23</v>
      </c>
      <c r="E1726" t="s">
        <v>14</v>
      </c>
      <c r="F1726" t="s">
        <v>38</v>
      </c>
      <c r="G1726" t="s">
        <v>31</v>
      </c>
      <c r="H1726">
        <v>420000</v>
      </c>
      <c r="I1726">
        <v>7</v>
      </c>
      <c r="J1726" t="s">
        <v>39</v>
      </c>
      <c r="K1726">
        <f t="shared" si="26"/>
        <v>336000</v>
      </c>
      <c r="L1726">
        <f>Sales_Data2[[#This Row],[Unit Price]]*Sales_Data2[[#This Row],[Quantity]]</f>
        <v>2940000</v>
      </c>
      <c r="M1726">
        <f>Sales_Data2[[#This Row],[Cost Price]]*Sales_Data2[[#This Row],[Quantity]]</f>
        <v>2352000</v>
      </c>
      <c r="N1726" s="3">
        <f>Sales_Data2[[#This Row],[Revenue]]-Sales_Data2[[#This Row],[COGS]]</f>
        <v>588000</v>
      </c>
      <c r="O17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47400|West|Port Harcourt|Corporate|Online|Laptop A13|Electronics|420000|7|Grace|336000</v>
      </c>
      <c r="P1726" s="3" t="str">
        <f>IF(COUNTIF(Sales_Data2[RowKey],Sales_Data2[[#This Row],[RowKey]])&gt;1,"Duplicate","Unique")</f>
        <v>Unique</v>
      </c>
      <c r="Q1726" s="3" t="str">
        <f>IF(ISNUMBER(Sales_Data2[[#This Row],[Date]]),"OK","Check")</f>
        <v>OK</v>
      </c>
      <c r="R1726" s="3" t="str">
        <f>IF(ISNUMBER(Sales_Data2[[#This Row],[Quantity]]),"OK","Check")</f>
        <v>OK</v>
      </c>
    </row>
    <row r="1727" spans="1:18">
      <c r="A1727" s="1">
        <v>47401</v>
      </c>
      <c r="B1727" t="s">
        <v>18</v>
      </c>
      <c r="C1727" t="s">
        <v>19</v>
      </c>
      <c r="D1727" t="s">
        <v>23</v>
      </c>
      <c r="E1727" t="s">
        <v>14</v>
      </c>
      <c r="F1727" t="s">
        <v>15</v>
      </c>
      <c r="G1727" t="s">
        <v>16</v>
      </c>
      <c r="H1727">
        <v>85000</v>
      </c>
      <c r="I1727">
        <v>9</v>
      </c>
      <c r="J1727" t="s">
        <v>39</v>
      </c>
      <c r="K1727">
        <f t="shared" si="26"/>
        <v>68000</v>
      </c>
      <c r="L1727">
        <f>Sales_Data2[[#This Row],[Unit Price]]*Sales_Data2[[#This Row],[Quantity]]</f>
        <v>765000</v>
      </c>
      <c r="M1727">
        <f>Sales_Data2[[#This Row],[Cost Price]]*Sales_Data2[[#This Row],[Quantity]]</f>
        <v>612000</v>
      </c>
      <c r="N1727" s="3">
        <f>Sales_Data2[[#This Row],[Revenue]]-Sales_Data2[[#This Row],[COGS]]</f>
        <v>153000</v>
      </c>
      <c r="O17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47401|East|Lagos|Corporate|Online|Office Chair Pro|Furniture|85000|9|Grace|68000</v>
      </c>
      <c r="P1727" s="3" t="str">
        <f>IF(COUNTIF(Sales_Data2[RowKey],Sales_Data2[[#This Row],[RowKey]])&gt;1,"Duplicate","Unique")</f>
        <v>Unique</v>
      </c>
      <c r="Q1727" s="3" t="str">
        <f>IF(ISNUMBER(Sales_Data2[[#This Row],[Date]]),"OK","Check")</f>
        <v>OK</v>
      </c>
      <c r="R1727" s="3" t="str">
        <f>IF(ISNUMBER(Sales_Data2[[#This Row],[Quantity]]),"OK","Check")</f>
        <v>OK</v>
      </c>
    </row>
    <row r="1728" spans="1:18">
      <c r="A1728" s="1">
        <v>47402</v>
      </c>
      <c r="B1728" t="s">
        <v>18</v>
      </c>
      <c r="C1728" t="s">
        <v>19</v>
      </c>
      <c r="D1728" t="s">
        <v>23</v>
      </c>
      <c r="E1728" t="s">
        <v>14</v>
      </c>
      <c r="F1728" t="s">
        <v>30</v>
      </c>
      <c r="G1728" t="s">
        <v>31</v>
      </c>
      <c r="H1728">
        <v>300000</v>
      </c>
      <c r="I1728">
        <v>8</v>
      </c>
      <c r="J1728" t="s">
        <v>28</v>
      </c>
      <c r="K1728">
        <f t="shared" si="26"/>
        <v>240000</v>
      </c>
      <c r="L1728">
        <f>Sales_Data2[[#This Row],[Unit Price]]*Sales_Data2[[#This Row],[Quantity]]</f>
        <v>2400000</v>
      </c>
      <c r="M1728">
        <f>Sales_Data2[[#This Row],[Cost Price]]*Sales_Data2[[#This Row],[Quantity]]</f>
        <v>1920000</v>
      </c>
      <c r="N1728" s="3">
        <f>Sales_Data2[[#This Row],[Revenue]]-Sales_Data2[[#This Row],[COGS]]</f>
        <v>480000</v>
      </c>
      <c r="O17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47402|East|Lagos|Corporate|Online|Desktop PC D21|Electronics|300000|8|Musa|240000</v>
      </c>
      <c r="P1728" s="3" t="str">
        <f>IF(COUNTIF(Sales_Data2[RowKey],Sales_Data2[[#This Row],[RowKey]])&gt;1,"Duplicate","Unique")</f>
        <v>Unique</v>
      </c>
      <c r="Q1728" s="3" t="str">
        <f>IF(ISNUMBER(Sales_Data2[[#This Row],[Date]]),"OK","Check")</f>
        <v>OK</v>
      </c>
      <c r="R1728" s="3" t="str">
        <f>IF(ISNUMBER(Sales_Data2[[#This Row],[Quantity]]),"OK","Check")</f>
        <v>OK</v>
      </c>
    </row>
    <row r="1729" spans="1:18">
      <c r="A1729" s="1">
        <v>47403</v>
      </c>
      <c r="B1729" t="s">
        <v>29</v>
      </c>
      <c r="C1729" t="s">
        <v>32</v>
      </c>
      <c r="D1729" t="s">
        <v>13</v>
      </c>
      <c r="E1729" t="s">
        <v>20</v>
      </c>
      <c r="F1729" t="s">
        <v>38</v>
      </c>
      <c r="G1729" t="s">
        <v>31</v>
      </c>
      <c r="H1729">
        <v>420000</v>
      </c>
      <c r="I1729">
        <v>6</v>
      </c>
      <c r="J1729" t="s">
        <v>17</v>
      </c>
      <c r="K1729">
        <f t="shared" si="26"/>
        <v>336000</v>
      </c>
      <c r="L1729">
        <f>Sales_Data2[[#This Row],[Unit Price]]*Sales_Data2[[#This Row],[Quantity]]</f>
        <v>2520000</v>
      </c>
      <c r="M1729">
        <f>Sales_Data2[[#This Row],[Cost Price]]*Sales_Data2[[#This Row],[Quantity]]</f>
        <v>2016000</v>
      </c>
      <c r="N1729" s="3">
        <f>Sales_Data2[[#This Row],[Revenue]]-Sales_Data2[[#This Row],[COGS]]</f>
        <v>504000</v>
      </c>
      <c r="O17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47403|North|Abuja|Retail|Store|Laptop A13|Electronics|420000|6|Chidinma|336000</v>
      </c>
      <c r="P1729" s="3" t="str">
        <f>IF(COUNTIF(Sales_Data2[RowKey],Sales_Data2[[#This Row],[RowKey]])&gt;1,"Duplicate","Unique")</f>
        <v>Unique</v>
      </c>
      <c r="Q1729" s="3" t="str">
        <f>IF(ISNUMBER(Sales_Data2[[#This Row],[Date]]),"OK","Check")</f>
        <v>OK</v>
      </c>
      <c r="R1729" s="3" t="str">
        <f>IF(ISNUMBER(Sales_Data2[[#This Row],[Quantity]]),"OK","Check")</f>
        <v>OK</v>
      </c>
    </row>
    <row r="1730" spans="1:18">
      <c r="A1730" s="1">
        <v>47404</v>
      </c>
      <c r="B1730" t="s">
        <v>25</v>
      </c>
      <c r="C1730" t="s">
        <v>32</v>
      </c>
      <c r="D1730" t="s">
        <v>23</v>
      </c>
      <c r="E1730" t="s">
        <v>14</v>
      </c>
      <c r="F1730" t="s">
        <v>36</v>
      </c>
      <c r="G1730" t="s">
        <v>31</v>
      </c>
      <c r="H1730">
        <v>150000</v>
      </c>
      <c r="I1730">
        <v>9</v>
      </c>
      <c r="J1730" t="s">
        <v>35</v>
      </c>
      <c r="K1730">
        <f t="shared" ref="K1730:K1793" si="27">H1730-H1730*0.2</f>
        <v>120000</v>
      </c>
      <c r="L1730">
        <f>Sales_Data2[[#This Row],[Unit Price]]*Sales_Data2[[#This Row],[Quantity]]</f>
        <v>1350000</v>
      </c>
      <c r="M1730">
        <f>Sales_Data2[[#This Row],[Cost Price]]*Sales_Data2[[#This Row],[Quantity]]</f>
        <v>1080000</v>
      </c>
      <c r="N1730" s="3">
        <f>Sales_Data2[[#This Row],[Revenue]]-Sales_Data2[[#This Row],[COGS]]</f>
        <v>270000</v>
      </c>
      <c r="O17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47404|South|Abuja|Corporate|Online|Printer P50|Electronics|150000|9|Peter|120000</v>
      </c>
      <c r="P1730" s="3" t="str">
        <f>IF(COUNTIF(Sales_Data2[RowKey],Sales_Data2[[#This Row],[RowKey]])&gt;1,"Duplicate","Unique")</f>
        <v>Unique</v>
      </c>
      <c r="Q1730" s="3" t="str">
        <f>IF(ISNUMBER(Sales_Data2[[#This Row],[Date]]),"OK","Check")</f>
        <v>OK</v>
      </c>
      <c r="R1730" s="3" t="str">
        <f>IF(ISNUMBER(Sales_Data2[[#This Row],[Quantity]]),"OK","Check")</f>
        <v>OK</v>
      </c>
    </row>
    <row r="1731" spans="1:18">
      <c r="A1731" s="1">
        <v>47405</v>
      </c>
      <c r="B1731" t="s">
        <v>18</v>
      </c>
      <c r="C1731" t="s">
        <v>26</v>
      </c>
      <c r="D1731" t="s">
        <v>13</v>
      </c>
      <c r="E1731" t="s">
        <v>20</v>
      </c>
      <c r="F1731" t="s">
        <v>21</v>
      </c>
      <c r="G1731" t="s">
        <v>22</v>
      </c>
      <c r="H1731">
        <v>30000</v>
      </c>
      <c r="I1731">
        <v>3</v>
      </c>
      <c r="J1731" t="s">
        <v>28</v>
      </c>
      <c r="K1731">
        <f t="shared" si="27"/>
        <v>24000</v>
      </c>
      <c r="L1731">
        <f>Sales_Data2[[#This Row],[Unit Price]]*Sales_Data2[[#This Row],[Quantity]]</f>
        <v>90000</v>
      </c>
      <c r="M1731">
        <f>Sales_Data2[[#This Row],[Cost Price]]*Sales_Data2[[#This Row],[Quantity]]</f>
        <v>72000</v>
      </c>
      <c r="N1731" s="3">
        <f>Sales_Data2[[#This Row],[Revenue]]-Sales_Data2[[#This Row],[COGS]]</f>
        <v>18000</v>
      </c>
      <c r="O17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47405|East|Kano|Retail|Store|Blender B10|Home Appliances|30000|3|Musa|24000</v>
      </c>
      <c r="P1731" s="3" t="str">
        <f>IF(COUNTIF(Sales_Data2[RowKey],Sales_Data2[[#This Row],[RowKey]])&gt;1,"Duplicate","Unique")</f>
        <v>Unique</v>
      </c>
      <c r="Q1731" s="3" t="str">
        <f>IF(ISNUMBER(Sales_Data2[[#This Row],[Date]]),"OK","Check")</f>
        <v>OK</v>
      </c>
      <c r="R1731" s="3" t="str">
        <f>IF(ISNUMBER(Sales_Data2[[#This Row],[Quantity]]),"OK","Check")</f>
        <v>OK</v>
      </c>
    </row>
    <row r="1732" spans="1:18">
      <c r="A1732" s="1">
        <v>47406</v>
      </c>
      <c r="B1732" t="s">
        <v>18</v>
      </c>
      <c r="C1732" t="s">
        <v>26</v>
      </c>
      <c r="D1732" t="s">
        <v>13</v>
      </c>
      <c r="E1732" t="s">
        <v>20</v>
      </c>
      <c r="F1732" t="s">
        <v>21</v>
      </c>
      <c r="G1732" t="s">
        <v>22</v>
      </c>
      <c r="H1732">
        <v>30000</v>
      </c>
      <c r="I1732">
        <v>4</v>
      </c>
      <c r="J1732" t="s">
        <v>37</v>
      </c>
      <c r="K1732">
        <f t="shared" si="27"/>
        <v>24000</v>
      </c>
      <c r="L1732">
        <f>Sales_Data2[[#This Row],[Unit Price]]*Sales_Data2[[#This Row],[Quantity]]</f>
        <v>120000</v>
      </c>
      <c r="M1732">
        <f>Sales_Data2[[#This Row],[Cost Price]]*Sales_Data2[[#This Row],[Quantity]]</f>
        <v>96000</v>
      </c>
      <c r="N1732" s="3">
        <f>Sales_Data2[[#This Row],[Revenue]]-Sales_Data2[[#This Row],[COGS]]</f>
        <v>24000</v>
      </c>
      <c r="O17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47406|East|Kano|Retail|Store|Blender B10|Home Appliances|30000|4|Aisha|24000</v>
      </c>
      <c r="P1732" s="3" t="str">
        <f>IF(COUNTIF(Sales_Data2[RowKey],Sales_Data2[[#This Row],[RowKey]])&gt;1,"Duplicate","Unique")</f>
        <v>Unique</v>
      </c>
      <c r="Q1732" s="3" t="str">
        <f>IF(ISNUMBER(Sales_Data2[[#This Row],[Date]]),"OK","Check")</f>
        <v>OK</v>
      </c>
      <c r="R1732" s="3" t="str">
        <f>IF(ISNUMBER(Sales_Data2[[#This Row],[Quantity]]),"OK","Check")</f>
        <v>OK</v>
      </c>
    </row>
    <row r="1733" spans="1:18">
      <c r="A1733" s="1">
        <v>47407</v>
      </c>
      <c r="B1733" t="s">
        <v>29</v>
      </c>
      <c r="C1733" t="s">
        <v>19</v>
      </c>
      <c r="D1733" t="s">
        <v>23</v>
      </c>
      <c r="E1733" t="s">
        <v>14</v>
      </c>
      <c r="F1733" t="s">
        <v>27</v>
      </c>
      <c r="G1733" t="s">
        <v>22</v>
      </c>
      <c r="H1733">
        <v>60000</v>
      </c>
      <c r="I1733">
        <v>4</v>
      </c>
      <c r="J1733" t="s">
        <v>37</v>
      </c>
      <c r="K1733">
        <f t="shared" si="27"/>
        <v>48000</v>
      </c>
      <c r="L1733">
        <f>Sales_Data2[[#This Row],[Unit Price]]*Sales_Data2[[#This Row],[Quantity]]</f>
        <v>240000</v>
      </c>
      <c r="M1733">
        <f>Sales_Data2[[#This Row],[Cost Price]]*Sales_Data2[[#This Row],[Quantity]]</f>
        <v>192000</v>
      </c>
      <c r="N1733" s="3">
        <f>Sales_Data2[[#This Row],[Revenue]]-Sales_Data2[[#This Row],[COGS]]</f>
        <v>48000</v>
      </c>
      <c r="O17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47407|North|Lagos|Corporate|Online|Microwave M20|Home Appliances|60000|4|Aisha|48000</v>
      </c>
      <c r="P1733" s="3" t="str">
        <f>IF(COUNTIF(Sales_Data2[RowKey],Sales_Data2[[#This Row],[RowKey]])&gt;1,"Duplicate","Unique")</f>
        <v>Unique</v>
      </c>
      <c r="Q1733" s="3" t="str">
        <f>IF(ISNUMBER(Sales_Data2[[#This Row],[Date]]),"OK","Check")</f>
        <v>OK</v>
      </c>
      <c r="R1733" s="3" t="str">
        <f>IF(ISNUMBER(Sales_Data2[[#This Row],[Quantity]]),"OK","Check")</f>
        <v>OK</v>
      </c>
    </row>
    <row r="1734" spans="1:18">
      <c r="A1734" s="1">
        <v>47408</v>
      </c>
      <c r="B1734" t="s">
        <v>29</v>
      </c>
      <c r="C1734" t="s">
        <v>26</v>
      </c>
      <c r="D1734" t="s">
        <v>13</v>
      </c>
      <c r="E1734" t="s">
        <v>20</v>
      </c>
      <c r="F1734" t="s">
        <v>40</v>
      </c>
      <c r="G1734" t="s">
        <v>31</v>
      </c>
      <c r="H1734">
        <v>250000</v>
      </c>
      <c r="I1734">
        <v>8</v>
      </c>
      <c r="J1734" t="s">
        <v>17</v>
      </c>
      <c r="K1734">
        <f t="shared" si="27"/>
        <v>200000</v>
      </c>
      <c r="L1734">
        <f>Sales_Data2[[#This Row],[Unit Price]]*Sales_Data2[[#This Row],[Quantity]]</f>
        <v>2000000</v>
      </c>
      <c r="M1734">
        <f>Sales_Data2[[#This Row],[Cost Price]]*Sales_Data2[[#This Row],[Quantity]]</f>
        <v>1600000</v>
      </c>
      <c r="N1734" s="3">
        <f>Sales_Data2[[#This Row],[Revenue]]-Sales_Data2[[#This Row],[COGS]]</f>
        <v>400000</v>
      </c>
      <c r="O17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47408|North|Kano|Retail|Store|Smartphone Z10|Electronics|250000|8|Chidinma|200000</v>
      </c>
      <c r="P1734" s="3" t="str">
        <f>IF(COUNTIF(Sales_Data2[RowKey],Sales_Data2[[#This Row],[RowKey]])&gt;1,"Duplicate","Unique")</f>
        <v>Unique</v>
      </c>
      <c r="Q1734" s="3" t="str">
        <f>IF(ISNUMBER(Sales_Data2[[#This Row],[Date]]),"OK","Check")</f>
        <v>OK</v>
      </c>
      <c r="R1734" s="3" t="str">
        <f>IF(ISNUMBER(Sales_Data2[[#This Row],[Quantity]]),"OK","Check")</f>
        <v>OK</v>
      </c>
    </row>
    <row r="1735" spans="1:18">
      <c r="A1735" s="1">
        <v>47409</v>
      </c>
      <c r="B1735" t="s">
        <v>29</v>
      </c>
      <c r="C1735" t="s">
        <v>32</v>
      </c>
      <c r="D1735" t="s">
        <v>23</v>
      </c>
      <c r="E1735" t="s">
        <v>14</v>
      </c>
      <c r="F1735" t="s">
        <v>21</v>
      </c>
      <c r="G1735" t="s">
        <v>22</v>
      </c>
      <c r="H1735">
        <v>30000</v>
      </c>
      <c r="I1735">
        <v>6</v>
      </c>
      <c r="J1735" t="s">
        <v>28</v>
      </c>
      <c r="K1735">
        <f t="shared" si="27"/>
        <v>24000</v>
      </c>
      <c r="L1735">
        <f>Sales_Data2[[#This Row],[Unit Price]]*Sales_Data2[[#This Row],[Quantity]]</f>
        <v>180000</v>
      </c>
      <c r="M1735">
        <f>Sales_Data2[[#This Row],[Cost Price]]*Sales_Data2[[#This Row],[Quantity]]</f>
        <v>144000</v>
      </c>
      <c r="N1735" s="3">
        <f>Sales_Data2[[#This Row],[Revenue]]-Sales_Data2[[#This Row],[COGS]]</f>
        <v>36000</v>
      </c>
      <c r="O17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47409|North|Abuja|Corporate|Online|Blender B10|Home Appliances|30000|6|Musa|24000</v>
      </c>
      <c r="P1735" s="3" t="str">
        <f>IF(COUNTIF(Sales_Data2[RowKey],Sales_Data2[[#This Row],[RowKey]])&gt;1,"Duplicate","Unique")</f>
        <v>Unique</v>
      </c>
      <c r="Q1735" s="3" t="str">
        <f>IF(ISNUMBER(Sales_Data2[[#This Row],[Date]]),"OK","Check")</f>
        <v>OK</v>
      </c>
      <c r="R1735" s="3" t="str">
        <f>IF(ISNUMBER(Sales_Data2[[#This Row],[Quantity]]),"OK","Check")</f>
        <v>OK</v>
      </c>
    </row>
    <row r="1736" spans="1:18">
      <c r="A1736" s="1">
        <v>47410</v>
      </c>
      <c r="B1736" t="s">
        <v>25</v>
      </c>
      <c r="C1736" t="s">
        <v>19</v>
      </c>
      <c r="D1736" t="s">
        <v>23</v>
      </c>
      <c r="E1736" t="s">
        <v>20</v>
      </c>
      <c r="F1736" t="s">
        <v>40</v>
      </c>
      <c r="G1736" t="s">
        <v>31</v>
      </c>
      <c r="H1736">
        <v>250000</v>
      </c>
      <c r="I1736">
        <v>1</v>
      </c>
      <c r="J1736" t="s">
        <v>24</v>
      </c>
      <c r="K1736">
        <f t="shared" si="27"/>
        <v>200000</v>
      </c>
      <c r="L1736">
        <f>Sales_Data2[[#This Row],[Unit Price]]*Sales_Data2[[#This Row],[Quantity]]</f>
        <v>250000</v>
      </c>
      <c r="M1736">
        <f>Sales_Data2[[#This Row],[Cost Price]]*Sales_Data2[[#This Row],[Quantity]]</f>
        <v>200000</v>
      </c>
      <c r="N1736" s="3">
        <f>Sales_Data2[[#This Row],[Revenue]]-Sales_Data2[[#This Row],[COGS]]</f>
        <v>50000</v>
      </c>
      <c r="O17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47410|South|Lagos|Corporate|Store|Smartphone Z10|Electronics|250000|1|David|200000</v>
      </c>
      <c r="P1736" s="3" t="str">
        <f>IF(COUNTIF(Sales_Data2[RowKey],Sales_Data2[[#This Row],[RowKey]])&gt;1,"Duplicate","Unique")</f>
        <v>Unique</v>
      </c>
      <c r="Q1736" s="3" t="str">
        <f>IF(ISNUMBER(Sales_Data2[[#This Row],[Date]]),"OK","Check")</f>
        <v>OK</v>
      </c>
      <c r="R1736" s="3" t="str">
        <f>IF(ISNUMBER(Sales_Data2[[#This Row],[Quantity]]),"OK","Check")</f>
        <v>OK</v>
      </c>
    </row>
    <row r="1737" spans="1:18">
      <c r="A1737" s="1">
        <v>47411</v>
      </c>
      <c r="B1737" t="s">
        <v>11</v>
      </c>
      <c r="C1737" t="s">
        <v>12</v>
      </c>
      <c r="D1737" t="s">
        <v>13</v>
      </c>
      <c r="E1737" t="s">
        <v>14</v>
      </c>
      <c r="F1737" t="s">
        <v>15</v>
      </c>
      <c r="G1737" t="s">
        <v>16</v>
      </c>
      <c r="H1737">
        <v>85000</v>
      </c>
      <c r="I1737">
        <v>1</v>
      </c>
      <c r="J1737" t="s">
        <v>35</v>
      </c>
      <c r="K1737">
        <f t="shared" si="27"/>
        <v>68000</v>
      </c>
      <c r="L1737">
        <f>Sales_Data2[[#This Row],[Unit Price]]*Sales_Data2[[#This Row],[Quantity]]</f>
        <v>85000</v>
      </c>
      <c r="M1737">
        <f>Sales_Data2[[#This Row],[Cost Price]]*Sales_Data2[[#This Row],[Quantity]]</f>
        <v>68000</v>
      </c>
      <c r="N1737" s="3">
        <f>Sales_Data2[[#This Row],[Revenue]]-Sales_Data2[[#This Row],[COGS]]</f>
        <v>17000</v>
      </c>
      <c r="O17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47411|West|Port Harcourt|Retail|Online|Office Chair Pro|Furniture|85000|1|Peter|68000</v>
      </c>
      <c r="P1737" s="3" t="str">
        <f>IF(COUNTIF(Sales_Data2[RowKey],Sales_Data2[[#This Row],[RowKey]])&gt;1,"Duplicate","Unique")</f>
        <v>Unique</v>
      </c>
      <c r="Q1737" s="3" t="str">
        <f>IF(ISNUMBER(Sales_Data2[[#This Row],[Date]]),"OK","Check")</f>
        <v>OK</v>
      </c>
      <c r="R1737" s="3" t="str">
        <f>IF(ISNUMBER(Sales_Data2[[#This Row],[Quantity]]),"OK","Check")</f>
        <v>OK</v>
      </c>
    </row>
    <row r="1738" spans="1:18">
      <c r="A1738" s="1">
        <v>47412</v>
      </c>
      <c r="B1738" t="s">
        <v>29</v>
      </c>
      <c r="C1738" t="s">
        <v>12</v>
      </c>
      <c r="D1738" t="s">
        <v>23</v>
      </c>
      <c r="E1738" t="s">
        <v>20</v>
      </c>
      <c r="F1738" t="s">
        <v>21</v>
      </c>
      <c r="G1738" t="s">
        <v>22</v>
      </c>
      <c r="H1738">
        <v>30000</v>
      </c>
      <c r="I1738">
        <v>9</v>
      </c>
      <c r="J1738" t="s">
        <v>17</v>
      </c>
      <c r="K1738">
        <f t="shared" si="27"/>
        <v>24000</v>
      </c>
      <c r="L1738">
        <f>Sales_Data2[[#This Row],[Unit Price]]*Sales_Data2[[#This Row],[Quantity]]</f>
        <v>270000</v>
      </c>
      <c r="M1738">
        <f>Sales_Data2[[#This Row],[Cost Price]]*Sales_Data2[[#This Row],[Quantity]]</f>
        <v>216000</v>
      </c>
      <c r="N1738" s="3">
        <f>Sales_Data2[[#This Row],[Revenue]]-Sales_Data2[[#This Row],[COGS]]</f>
        <v>54000</v>
      </c>
      <c r="O17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47412|North|Port Harcourt|Corporate|Store|Blender B10|Home Appliances|30000|9|Chidinma|24000</v>
      </c>
      <c r="P1738" s="3" t="str">
        <f>IF(COUNTIF(Sales_Data2[RowKey],Sales_Data2[[#This Row],[RowKey]])&gt;1,"Duplicate","Unique")</f>
        <v>Unique</v>
      </c>
      <c r="Q1738" s="3" t="str">
        <f>IF(ISNUMBER(Sales_Data2[[#This Row],[Date]]),"OK","Check")</f>
        <v>OK</v>
      </c>
      <c r="R1738" s="3" t="str">
        <f>IF(ISNUMBER(Sales_Data2[[#This Row],[Quantity]]),"OK","Check")</f>
        <v>OK</v>
      </c>
    </row>
    <row r="1739" spans="1:18">
      <c r="A1739" s="1">
        <v>47413</v>
      </c>
      <c r="B1739" t="s">
        <v>25</v>
      </c>
      <c r="C1739" t="s">
        <v>32</v>
      </c>
      <c r="D1739" t="s">
        <v>23</v>
      </c>
      <c r="E1739" t="s">
        <v>20</v>
      </c>
      <c r="F1739" t="s">
        <v>21</v>
      </c>
      <c r="G1739" t="s">
        <v>22</v>
      </c>
      <c r="H1739">
        <v>30000</v>
      </c>
      <c r="I1739">
        <v>3</v>
      </c>
      <c r="J1739" t="s">
        <v>17</v>
      </c>
      <c r="K1739">
        <f t="shared" si="27"/>
        <v>24000</v>
      </c>
      <c r="L1739">
        <f>Sales_Data2[[#This Row],[Unit Price]]*Sales_Data2[[#This Row],[Quantity]]</f>
        <v>90000</v>
      </c>
      <c r="M1739">
        <f>Sales_Data2[[#This Row],[Cost Price]]*Sales_Data2[[#This Row],[Quantity]]</f>
        <v>72000</v>
      </c>
      <c r="N1739" s="3">
        <f>Sales_Data2[[#This Row],[Revenue]]-Sales_Data2[[#This Row],[COGS]]</f>
        <v>18000</v>
      </c>
      <c r="O17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47413|South|Abuja|Corporate|Store|Blender B10|Home Appliances|30000|3|Chidinma|24000</v>
      </c>
      <c r="P1739" s="3" t="str">
        <f>IF(COUNTIF(Sales_Data2[RowKey],Sales_Data2[[#This Row],[RowKey]])&gt;1,"Duplicate","Unique")</f>
        <v>Unique</v>
      </c>
      <c r="Q1739" s="3" t="str">
        <f>IF(ISNUMBER(Sales_Data2[[#This Row],[Date]]),"OK","Check")</f>
        <v>OK</v>
      </c>
      <c r="R1739" s="3" t="str">
        <f>IF(ISNUMBER(Sales_Data2[[#This Row],[Quantity]]),"OK","Check")</f>
        <v>OK</v>
      </c>
    </row>
    <row r="1740" spans="1:18">
      <c r="A1740" s="1">
        <v>47414</v>
      </c>
      <c r="B1740" t="s">
        <v>25</v>
      </c>
      <c r="C1740" t="s">
        <v>12</v>
      </c>
      <c r="D1740" t="s">
        <v>23</v>
      </c>
      <c r="E1740" t="s">
        <v>20</v>
      </c>
      <c r="F1740" t="s">
        <v>36</v>
      </c>
      <c r="G1740" t="s">
        <v>31</v>
      </c>
      <c r="H1740">
        <v>150000</v>
      </c>
      <c r="I1740">
        <v>8</v>
      </c>
      <c r="J1740" t="s">
        <v>28</v>
      </c>
      <c r="K1740">
        <f t="shared" si="27"/>
        <v>120000</v>
      </c>
      <c r="L1740">
        <f>Sales_Data2[[#This Row],[Unit Price]]*Sales_Data2[[#This Row],[Quantity]]</f>
        <v>1200000</v>
      </c>
      <c r="M1740">
        <f>Sales_Data2[[#This Row],[Cost Price]]*Sales_Data2[[#This Row],[Quantity]]</f>
        <v>960000</v>
      </c>
      <c r="N1740" s="3">
        <f>Sales_Data2[[#This Row],[Revenue]]-Sales_Data2[[#This Row],[COGS]]</f>
        <v>240000</v>
      </c>
      <c r="O17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47414|South|Port Harcourt|Corporate|Store|Printer P50|Electronics|150000|8|Musa|120000</v>
      </c>
      <c r="P1740" s="3" t="str">
        <f>IF(COUNTIF(Sales_Data2[RowKey],Sales_Data2[[#This Row],[RowKey]])&gt;1,"Duplicate","Unique")</f>
        <v>Unique</v>
      </c>
      <c r="Q1740" s="3" t="str">
        <f>IF(ISNUMBER(Sales_Data2[[#This Row],[Date]]),"OK","Check")</f>
        <v>OK</v>
      </c>
      <c r="R1740" s="3" t="str">
        <f>IF(ISNUMBER(Sales_Data2[[#This Row],[Quantity]]),"OK","Check")</f>
        <v>OK</v>
      </c>
    </row>
    <row r="1741" spans="1:18">
      <c r="A1741" s="1">
        <v>47415</v>
      </c>
      <c r="B1741" t="s">
        <v>29</v>
      </c>
      <c r="C1741" t="s">
        <v>26</v>
      </c>
      <c r="D1741" t="s">
        <v>13</v>
      </c>
      <c r="E1741" t="s">
        <v>20</v>
      </c>
      <c r="F1741" t="s">
        <v>15</v>
      </c>
      <c r="G1741" t="s">
        <v>16</v>
      </c>
      <c r="H1741">
        <v>85000</v>
      </c>
      <c r="I1741">
        <v>4</v>
      </c>
      <c r="J1741" t="s">
        <v>24</v>
      </c>
      <c r="K1741">
        <f t="shared" si="27"/>
        <v>68000</v>
      </c>
      <c r="L1741">
        <f>Sales_Data2[[#This Row],[Unit Price]]*Sales_Data2[[#This Row],[Quantity]]</f>
        <v>340000</v>
      </c>
      <c r="M1741">
        <f>Sales_Data2[[#This Row],[Cost Price]]*Sales_Data2[[#This Row],[Quantity]]</f>
        <v>272000</v>
      </c>
      <c r="N1741" s="3">
        <f>Sales_Data2[[#This Row],[Revenue]]-Sales_Data2[[#This Row],[COGS]]</f>
        <v>68000</v>
      </c>
      <c r="O17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47415|North|Kano|Retail|Store|Office Chair Pro|Furniture|85000|4|David|68000</v>
      </c>
      <c r="P1741" s="3" t="str">
        <f>IF(COUNTIF(Sales_Data2[RowKey],Sales_Data2[[#This Row],[RowKey]])&gt;1,"Duplicate","Unique")</f>
        <v>Unique</v>
      </c>
      <c r="Q1741" s="3" t="str">
        <f>IF(ISNUMBER(Sales_Data2[[#This Row],[Date]]),"OK","Check")</f>
        <v>OK</v>
      </c>
      <c r="R1741" s="3" t="str">
        <f>IF(ISNUMBER(Sales_Data2[[#This Row],[Quantity]]),"OK","Check")</f>
        <v>OK</v>
      </c>
    </row>
    <row r="1742" spans="1:18">
      <c r="A1742" s="1">
        <v>47416</v>
      </c>
      <c r="B1742" t="s">
        <v>11</v>
      </c>
      <c r="C1742" t="s">
        <v>26</v>
      </c>
      <c r="D1742" t="s">
        <v>23</v>
      </c>
      <c r="E1742" t="s">
        <v>20</v>
      </c>
      <c r="F1742" t="s">
        <v>34</v>
      </c>
      <c r="G1742" t="s">
        <v>16</v>
      </c>
      <c r="H1742">
        <v>320000</v>
      </c>
      <c r="I1742">
        <v>3</v>
      </c>
      <c r="J1742" t="s">
        <v>28</v>
      </c>
      <c r="K1742">
        <f t="shared" si="27"/>
        <v>256000</v>
      </c>
      <c r="L1742">
        <f>Sales_Data2[[#This Row],[Unit Price]]*Sales_Data2[[#This Row],[Quantity]]</f>
        <v>960000</v>
      </c>
      <c r="M1742">
        <f>Sales_Data2[[#This Row],[Cost Price]]*Sales_Data2[[#This Row],[Quantity]]</f>
        <v>768000</v>
      </c>
      <c r="N1742" s="3">
        <f>Sales_Data2[[#This Row],[Revenue]]-Sales_Data2[[#This Row],[COGS]]</f>
        <v>192000</v>
      </c>
      <c r="O17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47416|West|Kano|Corporate|Store|Sofa Classic|Furniture|320000|3|Musa|256000</v>
      </c>
      <c r="P1742" s="3" t="str">
        <f>IF(COUNTIF(Sales_Data2[RowKey],Sales_Data2[[#This Row],[RowKey]])&gt;1,"Duplicate","Unique")</f>
        <v>Unique</v>
      </c>
      <c r="Q1742" s="3" t="str">
        <f>IF(ISNUMBER(Sales_Data2[[#This Row],[Date]]),"OK","Check")</f>
        <v>OK</v>
      </c>
      <c r="R1742" s="3" t="str">
        <f>IF(ISNUMBER(Sales_Data2[[#This Row],[Quantity]]),"OK","Check")</f>
        <v>OK</v>
      </c>
    </row>
    <row r="1743" spans="1:18">
      <c r="A1743" s="1">
        <v>47417</v>
      </c>
      <c r="B1743" t="s">
        <v>18</v>
      </c>
      <c r="C1743" t="s">
        <v>32</v>
      </c>
      <c r="D1743" t="s">
        <v>13</v>
      </c>
      <c r="E1743" t="s">
        <v>14</v>
      </c>
      <c r="F1743" t="s">
        <v>27</v>
      </c>
      <c r="G1743" t="s">
        <v>22</v>
      </c>
      <c r="H1743">
        <v>60000</v>
      </c>
      <c r="I1743">
        <v>7</v>
      </c>
      <c r="J1743" t="s">
        <v>24</v>
      </c>
      <c r="K1743">
        <f t="shared" si="27"/>
        <v>48000</v>
      </c>
      <c r="L1743">
        <f>Sales_Data2[[#This Row],[Unit Price]]*Sales_Data2[[#This Row],[Quantity]]</f>
        <v>420000</v>
      </c>
      <c r="M1743">
        <f>Sales_Data2[[#This Row],[Cost Price]]*Sales_Data2[[#This Row],[Quantity]]</f>
        <v>336000</v>
      </c>
      <c r="N1743" s="3">
        <f>Sales_Data2[[#This Row],[Revenue]]-Sales_Data2[[#This Row],[COGS]]</f>
        <v>84000</v>
      </c>
      <c r="O17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47417|East|Abuja|Retail|Online|Microwave M20|Home Appliances|60000|7|David|48000</v>
      </c>
      <c r="P1743" s="3" t="str">
        <f>IF(COUNTIF(Sales_Data2[RowKey],Sales_Data2[[#This Row],[RowKey]])&gt;1,"Duplicate","Unique")</f>
        <v>Unique</v>
      </c>
      <c r="Q1743" s="3" t="str">
        <f>IF(ISNUMBER(Sales_Data2[[#This Row],[Date]]),"OK","Check")</f>
        <v>OK</v>
      </c>
      <c r="R1743" s="3" t="str">
        <f>IF(ISNUMBER(Sales_Data2[[#This Row],[Quantity]]),"OK","Check")</f>
        <v>OK</v>
      </c>
    </row>
    <row r="1744" spans="1:18">
      <c r="A1744" s="1">
        <v>47418</v>
      </c>
      <c r="B1744" t="s">
        <v>18</v>
      </c>
      <c r="C1744" t="s">
        <v>32</v>
      </c>
      <c r="D1744" t="s">
        <v>23</v>
      </c>
      <c r="E1744" t="s">
        <v>20</v>
      </c>
      <c r="F1744" t="s">
        <v>30</v>
      </c>
      <c r="G1744" t="s">
        <v>31</v>
      </c>
      <c r="H1744">
        <v>300000</v>
      </c>
      <c r="I1744">
        <v>6</v>
      </c>
      <c r="J1744" t="s">
        <v>24</v>
      </c>
      <c r="K1744">
        <f t="shared" si="27"/>
        <v>240000</v>
      </c>
      <c r="L1744">
        <f>Sales_Data2[[#This Row],[Unit Price]]*Sales_Data2[[#This Row],[Quantity]]</f>
        <v>1800000</v>
      </c>
      <c r="M1744">
        <f>Sales_Data2[[#This Row],[Cost Price]]*Sales_Data2[[#This Row],[Quantity]]</f>
        <v>1440000</v>
      </c>
      <c r="N1744" s="3">
        <f>Sales_Data2[[#This Row],[Revenue]]-Sales_Data2[[#This Row],[COGS]]</f>
        <v>360000</v>
      </c>
      <c r="O17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47418|East|Abuja|Corporate|Store|Desktop PC D21|Electronics|300000|6|David|240000</v>
      </c>
      <c r="P1744" s="3" t="str">
        <f>IF(COUNTIF(Sales_Data2[RowKey],Sales_Data2[[#This Row],[RowKey]])&gt;1,"Duplicate","Unique")</f>
        <v>Unique</v>
      </c>
      <c r="Q1744" s="3" t="str">
        <f>IF(ISNUMBER(Sales_Data2[[#This Row],[Date]]),"OK","Check")</f>
        <v>OK</v>
      </c>
      <c r="R1744" s="3" t="str">
        <f>IF(ISNUMBER(Sales_Data2[[#This Row],[Quantity]]),"OK","Check")</f>
        <v>OK</v>
      </c>
    </row>
    <row r="1745" spans="1:18">
      <c r="A1745" s="1">
        <v>47419</v>
      </c>
      <c r="B1745" t="s">
        <v>25</v>
      </c>
      <c r="C1745" t="s">
        <v>32</v>
      </c>
      <c r="D1745" t="s">
        <v>13</v>
      </c>
      <c r="E1745" t="s">
        <v>14</v>
      </c>
      <c r="F1745" t="s">
        <v>36</v>
      </c>
      <c r="G1745" t="s">
        <v>31</v>
      </c>
      <c r="H1745">
        <v>150000</v>
      </c>
      <c r="I1745">
        <v>6</v>
      </c>
      <c r="J1745" t="s">
        <v>35</v>
      </c>
      <c r="K1745">
        <f t="shared" si="27"/>
        <v>120000</v>
      </c>
      <c r="L1745">
        <f>Sales_Data2[[#This Row],[Unit Price]]*Sales_Data2[[#This Row],[Quantity]]</f>
        <v>900000</v>
      </c>
      <c r="M1745">
        <f>Sales_Data2[[#This Row],[Cost Price]]*Sales_Data2[[#This Row],[Quantity]]</f>
        <v>720000</v>
      </c>
      <c r="N1745" s="3">
        <f>Sales_Data2[[#This Row],[Revenue]]-Sales_Data2[[#This Row],[COGS]]</f>
        <v>180000</v>
      </c>
      <c r="O17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47419|South|Abuja|Retail|Online|Printer P50|Electronics|150000|6|Peter|120000</v>
      </c>
      <c r="P1745" s="3" t="str">
        <f>IF(COUNTIF(Sales_Data2[RowKey],Sales_Data2[[#This Row],[RowKey]])&gt;1,"Duplicate","Unique")</f>
        <v>Unique</v>
      </c>
      <c r="Q1745" s="3" t="str">
        <f>IF(ISNUMBER(Sales_Data2[[#This Row],[Date]]),"OK","Check")</f>
        <v>OK</v>
      </c>
      <c r="R1745" s="3" t="str">
        <f>IF(ISNUMBER(Sales_Data2[[#This Row],[Quantity]]),"OK","Check")</f>
        <v>OK</v>
      </c>
    </row>
    <row r="1746" spans="1:18">
      <c r="A1746" s="1">
        <v>47420</v>
      </c>
      <c r="B1746" t="s">
        <v>25</v>
      </c>
      <c r="C1746" t="s">
        <v>12</v>
      </c>
      <c r="D1746" t="s">
        <v>23</v>
      </c>
      <c r="E1746" t="s">
        <v>14</v>
      </c>
      <c r="F1746" t="s">
        <v>30</v>
      </c>
      <c r="G1746" t="s">
        <v>31</v>
      </c>
      <c r="H1746">
        <v>300000</v>
      </c>
      <c r="I1746">
        <v>10</v>
      </c>
      <c r="J1746" t="s">
        <v>28</v>
      </c>
      <c r="K1746">
        <f t="shared" si="27"/>
        <v>240000</v>
      </c>
      <c r="L1746">
        <f>Sales_Data2[[#This Row],[Unit Price]]*Sales_Data2[[#This Row],[Quantity]]</f>
        <v>3000000</v>
      </c>
      <c r="M1746">
        <f>Sales_Data2[[#This Row],[Cost Price]]*Sales_Data2[[#This Row],[Quantity]]</f>
        <v>2400000</v>
      </c>
      <c r="N1746" s="3">
        <f>Sales_Data2[[#This Row],[Revenue]]-Sales_Data2[[#This Row],[COGS]]</f>
        <v>600000</v>
      </c>
      <c r="O17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47420|South|Port Harcourt|Corporate|Online|Desktop PC D21|Electronics|300000|10|Musa|240000</v>
      </c>
      <c r="P1746" s="3" t="str">
        <f>IF(COUNTIF(Sales_Data2[RowKey],Sales_Data2[[#This Row],[RowKey]])&gt;1,"Duplicate","Unique")</f>
        <v>Unique</v>
      </c>
      <c r="Q1746" s="3" t="str">
        <f>IF(ISNUMBER(Sales_Data2[[#This Row],[Date]]),"OK","Check")</f>
        <v>OK</v>
      </c>
      <c r="R1746" s="3" t="str">
        <f>IF(ISNUMBER(Sales_Data2[[#This Row],[Quantity]]),"OK","Check")</f>
        <v>OK</v>
      </c>
    </row>
    <row r="1747" spans="1:18">
      <c r="A1747" s="1">
        <v>47421</v>
      </c>
      <c r="B1747" t="s">
        <v>18</v>
      </c>
      <c r="C1747" t="s">
        <v>19</v>
      </c>
      <c r="D1747" t="s">
        <v>13</v>
      </c>
      <c r="E1747" t="s">
        <v>14</v>
      </c>
      <c r="F1747" t="s">
        <v>38</v>
      </c>
      <c r="G1747" t="s">
        <v>31</v>
      </c>
      <c r="H1747">
        <v>420000</v>
      </c>
      <c r="I1747">
        <v>1</v>
      </c>
      <c r="J1747" t="s">
        <v>17</v>
      </c>
      <c r="K1747">
        <f t="shared" si="27"/>
        <v>336000</v>
      </c>
      <c r="L1747">
        <f>Sales_Data2[[#This Row],[Unit Price]]*Sales_Data2[[#This Row],[Quantity]]</f>
        <v>420000</v>
      </c>
      <c r="M1747">
        <f>Sales_Data2[[#This Row],[Cost Price]]*Sales_Data2[[#This Row],[Quantity]]</f>
        <v>336000</v>
      </c>
      <c r="N1747" s="3">
        <f>Sales_Data2[[#This Row],[Revenue]]-Sales_Data2[[#This Row],[COGS]]</f>
        <v>84000</v>
      </c>
      <c r="O17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47421|East|Lagos|Retail|Online|Laptop A13|Electronics|420000|1|Chidinma|336000</v>
      </c>
      <c r="P1747" s="3" t="str">
        <f>IF(COUNTIF(Sales_Data2[RowKey],Sales_Data2[[#This Row],[RowKey]])&gt;1,"Duplicate","Unique")</f>
        <v>Unique</v>
      </c>
      <c r="Q1747" s="3" t="str">
        <f>IF(ISNUMBER(Sales_Data2[[#This Row],[Date]]),"OK","Check")</f>
        <v>OK</v>
      </c>
      <c r="R1747" s="3" t="str">
        <f>IF(ISNUMBER(Sales_Data2[[#This Row],[Quantity]]),"OK","Check")</f>
        <v>OK</v>
      </c>
    </row>
    <row r="1748" spans="1:18">
      <c r="A1748" s="1">
        <v>47422</v>
      </c>
      <c r="B1748" t="s">
        <v>11</v>
      </c>
      <c r="C1748" t="s">
        <v>12</v>
      </c>
      <c r="D1748" t="s">
        <v>13</v>
      </c>
      <c r="E1748" t="s">
        <v>20</v>
      </c>
      <c r="F1748" t="s">
        <v>27</v>
      </c>
      <c r="G1748" t="s">
        <v>22</v>
      </c>
      <c r="H1748">
        <v>60000</v>
      </c>
      <c r="I1748">
        <v>1</v>
      </c>
      <c r="J1748" t="s">
        <v>24</v>
      </c>
      <c r="K1748">
        <f t="shared" si="27"/>
        <v>48000</v>
      </c>
      <c r="L1748">
        <f>Sales_Data2[[#This Row],[Unit Price]]*Sales_Data2[[#This Row],[Quantity]]</f>
        <v>60000</v>
      </c>
      <c r="M1748">
        <f>Sales_Data2[[#This Row],[Cost Price]]*Sales_Data2[[#This Row],[Quantity]]</f>
        <v>48000</v>
      </c>
      <c r="N1748" s="3">
        <f>Sales_Data2[[#This Row],[Revenue]]-Sales_Data2[[#This Row],[COGS]]</f>
        <v>12000</v>
      </c>
      <c r="O17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47422|West|Port Harcourt|Retail|Store|Microwave M20|Home Appliances|60000|1|David|48000</v>
      </c>
      <c r="P1748" s="3" t="str">
        <f>IF(COUNTIF(Sales_Data2[RowKey],Sales_Data2[[#This Row],[RowKey]])&gt;1,"Duplicate","Unique")</f>
        <v>Unique</v>
      </c>
      <c r="Q1748" s="3" t="str">
        <f>IF(ISNUMBER(Sales_Data2[[#This Row],[Date]]),"OK","Check")</f>
        <v>OK</v>
      </c>
      <c r="R1748" s="3" t="str">
        <f>IF(ISNUMBER(Sales_Data2[[#This Row],[Quantity]]),"OK","Check")</f>
        <v>OK</v>
      </c>
    </row>
    <row r="1749" spans="1:18">
      <c r="A1749" s="1">
        <v>47423</v>
      </c>
      <c r="B1749" t="s">
        <v>29</v>
      </c>
      <c r="C1749" t="s">
        <v>19</v>
      </c>
      <c r="D1749" t="s">
        <v>13</v>
      </c>
      <c r="E1749" t="s">
        <v>14</v>
      </c>
      <c r="F1749" t="s">
        <v>36</v>
      </c>
      <c r="G1749" t="s">
        <v>31</v>
      </c>
      <c r="H1749">
        <v>150000</v>
      </c>
      <c r="I1749">
        <v>10</v>
      </c>
      <c r="J1749" t="s">
        <v>39</v>
      </c>
      <c r="K1749">
        <f t="shared" si="27"/>
        <v>120000</v>
      </c>
      <c r="L1749">
        <f>Sales_Data2[[#This Row],[Unit Price]]*Sales_Data2[[#This Row],[Quantity]]</f>
        <v>1500000</v>
      </c>
      <c r="M1749">
        <f>Sales_Data2[[#This Row],[Cost Price]]*Sales_Data2[[#This Row],[Quantity]]</f>
        <v>1200000</v>
      </c>
      <c r="N1749" s="3">
        <f>Sales_Data2[[#This Row],[Revenue]]-Sales_Data2[[#This Row],[COGS]]</f>
        <v>300000</v>
      </c>
      <c r="O17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47423|North|Lagos|Retail|Online|Printer P50|Electronics|150000|10|Grace|120000</v>
      </c>
      <c r="P1749" s="3" t="str">
        <f>IF(COUNTIF(Sales_Data2[RowKey],Sales_Data2[[#This Row],[RowKey]])&gt;1,"Duplicate","Unique")</f>
        <v>Unique</v>
      </c>
      <c r="Q1749" s="3" t="str">
        <f>IF(ISNUMBER(Sales_Data2[[#This Row],[Date]]),"OK","Check")</f>
        <v>OK</v>
      </c>
      <c r="R1749" s="3" t="str">
        <f>IF(ISNUMBER(Sales_Data2[[#This Row],[Quantity]]),"OK","Check")</f>
        <v>OK</v>
      </c>
    </row>
    <row r="1750" spans="1:18">
      <c r="A1750" s="1">
        <v>47424</v>
      </c>
      <c r="B1750" t="s">
        <v>11</v>
      </c>
      <c r="C1750" t="s">
        <v>32</v>
      </c>
      <c r="D1750" t="s">
        <v>13</v>
      </c>
      <c r="E1750" t="s">
        <v>14</v>
      </c>
      <c r="F1750" t="s">
        <v>33</v>
      </c>
      <c r="G1750" t="s">
        <v>22</v>
      </c>
      <c r="H1750">
        <v>180000</v>
      </c>
      <c r="I1750">
        <v>10</v>
      </c>
      <c r="J1750" t="s">
        <v>28</v>
      </c>
      <c r="K1750">
        <f t="shared" si="27"/>
        <v>144000</v>
      </c>
      <c r="L1750">
        <f>Sales_Data2[[#This Row],[Unit Price]]*Sales_Data2[[#This Row],[Quantity]]</f>
        <v>1800000</v>
      </c>
      <c r="M1750">
        <f>Sales_Data2[[#This Row],[Cost Price]]*Sales_Data2[[#This Row],[Quantity]]</f>
        <v>1440000</v>
      </c>
      <c r="N1750" s="3">
        <f>Sales_Data2[[#This Row],[Revenue]]-Sales_Data2[[#This Row],[COGS]]</f>
        <v>360000</v>
      </c>
      <c r="O17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47424|West|Abuja|Retail|Online|Air Conditioner X2|Home Appliances|180000|10|Musa|144000</v>
      </c>
      <c r="P1750" s="3" t="str">
        <f>IF(COUNTIF(Sales_Data2[RowKey],Sales_Data2[[#This Row],[RowKey]])&gt;1,"Duplicate","Unique")</f>
        <v>Unique</v>
      </c>
      <c r="Q1750" s="3" t="str">
        <f>IF(ISNUMBER(Sales_Data2[[#This Row],[Date]]),"OK","Check")</f>
        <v>OK</v>
      </c>
      <c r="R1750" s="3" t="str">
        <f>IF(ISNUMBER(Sales_Data2[[#This Row],[Quantity]]),"OK","Check")</f>
        <v>OK</v>
      </c>
    </row>
    <row r="1751" spans="1:18">
      <c r="A1751" s="1">
        <v>47425</v>
      </c>
      <c r="B1751" t="s">
        <v>25</v>
      </c>
      <c r="C1751" t="s">
        <v>12</v>
      </c>
      <c r="D1751" t="s">
        <v>23</v>
      </c>
      <c r="E1751" t="s">
        <v>14</v>
      </c>
      <c r="F1751" t="s">
        <v>36</v>
      </c>
      <c r="G1751" t="s">
        <v>31</v>
      </c>
      <c r="H1751">
        <v>150000</v>
      </c>
      <c r="I1751">
        <v>10</v>
      </c>
      <c r="J1751" t="s">
        <v>24</v>
      </c>
      <c r="K1751">
        <f t="shared" si="27"/>
        <v>120000</v>
      </c>
      <c r="L1751">
        <f>Sales_Data2[[#This Row],[Unit Price]]*Sales_Data2[[#This Row],[Quantity]]</f>
        <v>1500000</v>
      </c>
      <c r="M1751">
        <f>Sales_Data2[[#This Row],[Cost Price]]*Sales_Data2[[#This Row],[Quantity]]</f>
        <v>1200000</v>
      </c>
      <c r="N1751" s="3">
        <f>Sales_Data2[[#This Row],[Revenue]]-Sales_Data2[[#This Row],[COGS]]</f>
        <v>300000</v>
      </c>
      <c r="O17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47425|South|Port Harcourt|Corporate|Online|Printer P50|Electronics|150000|10|David|120000</v>
      </c>
      <c r="P1751" s="3" t="str">
        <f>IF(COUNTIF(Sales_Data2[RowKey],Sales_Data2[[#This Row],[RowKey]])&gt;1,"Duplicate","Unique")</f>
        <v>Unique</v>
      </c>
      <c r="Q1751" s="3" t="str">
        <f>IF(ISNUMBER(Sales_Data2[[#This Row],[Date]]),"OK","Check")</f>
        <v>OK</v>
      </c>
      <c r="R1751" s="3" t="str">
        <f>IF(ISNUMBER(Sales_Data2[[#This Row],[Quantity]]),"OK","Check")</f>
        <v>OK</v>
      </c>
    </row>
    <row r="1752" spans="1:18">
      <c r="A1752" s="1">
        <v>47426</v>
      </c>
      <c r="B1752" t="s">
        <v>18</v>
      </c>
      <c r="C1752" t="s">
        <v>12</v>
      </c>
      <c r="D1752" t="s">
        <v>23</v>
      </c>
      <c r="E1752" t="s">
        <v>20</v>
      </c>
      <c r="F1752" t="s">
        <v>27</v>
      </c>
      <c r="G1752" t="s">
        <v>22</v>
      </c>
      <c r="H1752">
        <v>60000</v>
      </c>
      <c r="I1752">
        <v>8</v>
      </c>
      <c r="J1752" t="s">
        <v>39</v>
      </c>
      <c r="K1752">
        <f t="shared" si="27"/>
        <v>48000</v>
      </c>
      <c r="L1752">
        <f>Sales_Data2[[#This Row],[Unit Price]]*Sales_Data2[[#This Row],[Quantity]]</f>
        <v>480000</v>
      </c>
      <c r="M1752">
        <f>Sales_Data2[[#This Row],[Cost Price]]*Sales_Data2[[#This Row],[Quantity]]</f>
        <v>384000</v>
      </c>
      <c r="N1752" s="3">
        <f>Sales_Data2[[#This Row],[Revenue]]-Sales_Data2[[#This Row],[COGS]]</f>
        <v>96000</v>
      </c>
      <c r="O17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47426|East|Port Harcourt|Corporate|Store|Microwave M20|Home Appliances|60000|8|Grace|48000</v>
      </c>
      <c r="P1752" s="3" t="str">
        <f>IF(COUNTIF(Sales_Data2[RowKey],Sales_Data2[[#This Row],[RowKey]])&gt;1,"Duplicate","Unique")</f>
        <v>Unique</v>
      </c>
      <c r="Q1752" s="3" t="str">
        <f>IF(ISNUMBER(Sales_Data2[[#This Row],[Date]]),"OK","Check")</f>
        <v>OK</v>
      </c>
      <c r="R1752" s="3" t="str">
        <f>IF(ISNUMBER(Sales_Data2[[#This Row],[Quantity]]),"OK","Check")</f>
        <v>OK</v>
      </c>
    </row>
    <row r="1753" spans="1:18">
      <c r="A1753" s="1">
        <v>47427</v>
      </c>
      <c r="B1753" t="s">
        <v>29</v>
      </c>
      <c r="C1753" t="s">
        <v>12</v>
      </c>
      <c r="D1753" t="s">
        <v>13</v>
      </c>
      <c r="E1753" t="s">
        <v>14</v>
      </c>
      <c r="F1753" t="s">
        <v>41</v>
      </c>
      <c r="G1753" t="s">
        <v>22</v>
      </c>
      <c r="H1753">
        <v>220000</v>
      </c>
      <c r="I1753">
        <v>7</v>
      </c>
      <c r="J1753" t="s">
        <v>37</v>
      </c>
      <c r="K1753">
        <f t="shared" si="27"/>
        <v>176000</v>
      </c>
      <c r="L1753">
        <f>Sales_Data2[[#This Row],[Unit Price]]*Sales_Data2[[#This Row],[Quantity]]</f>
        <v>1540000</v>
      </c>
      <c r="M1753">
        <f>Sales_Data2[[#This Row],[Cost Price]]*Sales_Data2[[#This Row],[Quantity]]</f>
        <v>1232000</v>
      </c>
      <c r="N1753" s="3">
        <f>Sales_Data2[[#This Row],[Revenue]]-Sales_Data2[[#This Row],[COGS]]</f>
        <v>308000</v>
      </c>
      <c r="O17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47427|North|Port Harcourt|Retail|Online|Refrigerator R55|Home Appliances|220000|7|Aisha|176000</v>
      </c>
      <c r="P1753" s="3" t="str">
        <f>IF(COUNTIF(Sales_Data2[RowKey],Sales_Data2[[#This Row],[RowKey]])&gt;1,"Duplicate","Unique")</f>
        <v>Unique</v>
      </c>
      <c r="Q1753" s="3" t="str">
        <f>IF(ISNUMBER(Sales_Data2[[#This Row],[Date]]),"OK","Check")</f>
        <v>OK</v>
      </c>
      <c r="R1753" s="3" t="str">
        <f>IF(ISNUMBER(Sales_Data2[[#This Row],[Quantity]]),"OK","Check")</f>
        <v>OK</v>
      </c>
    </row>
    <row r="1754" spans="1:18">
      <c r="A1754" s="1">
        <v>47428</v>
      </c>
      <c r="B1754" t="s">
        <v>18</v>
      </c>
      <c r="C1754" t="s">
        <v>32</v>
      </c>
      <c r="D1754" t="s">
        <v>13</v>
      </c>
      <c r="E1754" t="s">
        <v>14</v>
      </c>
      <c r="F1754" t="s">
        <v>21</v>
      </c>
      <c r="G1754" t="s">
        <v>22</v>
      </c>
      <c r="H1754">
        <v>30000</v>
      </c>
      <c r="I1754">
        <v>1</v>
      </c>
      <c r="J1754" t="s">
        <v>35</v>
      </c>
      <c r="K1754">
        <f t="shared" si="27"/>
        <v>24000</v>
      </c>
      <c r="L1754">
        <f>Sales_Data2[[#This Row],[Unit Price]]*Sales_Data2[[#This Row],[Quantity]]</f>
        <v>30000</v>
      </c>
      <c r="M1754">
        <f>Sales_Data2[[#This Row],[Cost Price]]*Sales_Data2[[#This Row],[Quantity]]</f>
        <v>24000</v>
      </c>
      <c r="N1754" s="3">
        <f>Sales_Data2[[#This Row],[Revenue]]-Sales_Data2[[#This Row],[COGS]]</f>
        <v>6000</v>
      </c>
      <c r="O17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47428|East|Abuja|Retail|Online|Blender B10|Home Appliances|30000|1|Peter|24000</v>
      </c>
      <c r="P1754" s="3" t="str">
        <f>IF(COUNTIF(Sales_Data2[RowKey],Sales_Data2[[#This Row],[RowKey]])&gt;1,"Duplicate","Unique")</f>
        <v>Unique</v>
      </c>
      <c r="Q1754" s="3" t="str">
        <f>IF(ISNUMBER(Sales_Data2[[#This Row],[Date]]),"OK","Check")</f>
        <v>OK</v>
      </c>
      <c r="R1754" s="3" t="str">
        <f>IF(ISNUMBER(Sales_Data2[[#This Row],[Quantity]]),"OK","Check")</f>
        <v>OK</v>
      </c>
    </row>
    <row r="1755" spans="1:18">
      <c r="A1755" s="1">
        <v>47429</v>
      </c>
      <c r="B1755" t="s">
        <v>18</v>
      </c>
      <c r="C1755" t="s">
        <v>19</v>
      </c>
      <c r="D1755" t="s">
        <v>23</v>
      </c>
      <c r="E1755" t="s">
        <v>20</v>
      </c>
      <c r="F1755" t="s">
        <v>36</v>
      </c>
      <c r="G1755" t="s">
        <v>31</v>
      </c>
      <c r="H1755">
        <v>150000</v>
      </c>
      <c r="I1755">
        <v>6</v>
      </c>
      <c r="J1755" t="s">
        <v>17</v>
      </c>
      <c r="K1755">
        <f t="shared" si="27"/>
        <v>120000</v>
      </c>
      <c r="L1755">
        <f>Sales_Data2[[#This Row],[Unit Price]]*Sales_Data2[[#This Row],[Quantity]]</f>
        <v>900000</v>
      </c>
      <c r="M1755">
        <f>Sales_Data2[[#This Row],[Cost Price]]*Sales_Data2[[#This Row],[Quantity]]</f>
        <v>720000</v>
      </c>
      <c r="N1755" s="3">
        <f>Sales_Data2[[#This Row],[Revenue]]-Sales_Data2[[#This Row],[COGS]]</f>
        <v>180000</v>
      </c>
      <c r="O17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47429|East|Lagos|Corporate|Store|Printer P50|Electronics|150000|6|Chidinma|120000</v>
      </c>
      <c r="P1755" s="3" t="str">
        <f>IF(COUNTIF(Sales_Data2[RowKey],Sales_Data2[[#This Row],[RowKey]])&gt;1,"Duplicate","Unique")</f>
        <v>Unique</v>
      </c>
      <c r="Q1755" s="3" t="str">
        <f>IF(ISNUMBER(Sales_Data2[[#This Row],[Date]]),"OK","Check")</f>
        <v>OK</v>
      </c>
      <c r="R1755" s="3" t="str">
        <f>IF(ISNUMBER(Sales_Data2[[#This Row],[Quantity]]),"OK","Check")</f>
        <v>OK</v>
      </c>
    </row>
    <row r="1756" spans="1:18">
      <c r="A1756" s="1">
        <v>47430</v>
      </c>
      <c r="B1756" t="s">
        <v>25</v>
      </c>
      <c r="C1756" t="s">
        <v>32</v>
      </c>
      <c r="D1756" t="s">
        <v>13</v>
      </c>
      <c r="E1756" t="s">
        <v>20</v>
      </c>
      <c r="F1756" t="s">
        <v>21</v>
      </c>
      <c r="G1756" t="s">
        <v>22</v>
      </c>
      <c r="H1756">
        <v>30000</v>
      </c>
      <c r="I1756">
        <v>4</v>
      </c>
      <c r="J1756" t="s">
        <v>17</v>
      </c>
      <c r="K1756">
        <f t="shared" si="27"/>
        <v>24000</v>
      </c>
      <c r="L1756">
        <f>Sales_Data2[[#This Row],[Unit Price]]*Sales_Data2[[#This Row],[Quantity]]</f>
        <v>120000</v>
      </c>
      <c r="M1756">
        <f>Sales_Data2[[#This Row],[Cost Price]]*Sales_Data2[[#This Row],[Quantity]]</f>
        <v>96000</v>
      </c>
      <c r="N1756" s="3">
        <f>Sales_Data2[[#This Row],[Revenue]]-Sales_Data2[[#This Row],[COGS]]</f>
        <v>24000</v>
      </c>
      <c r="O17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47430|South|Abuja|Retail|Store|Blender B10|Home Appliances|30000|4|Chidinma|24000</v>
      </c>
      <c r="P1756" s="3" t="str">
        <f>IF(COUNTIF(Sales_Data2[RowKey],Sales_Data2[[#This Row],[RowKey]])&gt;1,"Duplicate","Unique")</f>
        <v>Unique</v>
      </c>
      <c r="Q1756" s="3" t="str">
        <f>IF(ISNUMBER(Sales_Data2[[#This Row],[Date]]),"OK","Check")</f>
        <v>OK</v>
      </c>
      <c r="R1756" s="3" t="str">
        <f>IF(ISNUMBER(Sales_Data2[[#This Row],[Quantity]]),"OK","Check")</f>
        <v>OK</v>
      </c>
    </row>
    <row r="1757" spans="1:18">
      <c r="A1757" s="1">
        <v>47431</v>
      </c>
      <c r="B1757" t="s">
        <v>25</v>
      </c>
      <c r="C1757" t="s">
        <v>26</v>
      </c>
      <c r="D1757" t="s">
        <v>23</v>
      </c>
      <c r="E1757" t="s">
        <v>14</v>
      </c>
      <c r="F1757" t="s">
        <v>41</v>
      </c>
      <c r="G1757" t="s">
        <v>22</v>
      </c>
      <c r="H1757">
        <v>220000</v>
      </c>
      <c r="I1757">
        <v>1</v>
      </c>
      <c r="J1757" t="s">
        <v>28</v>
      </c>
      <c r="K1757">
        <f t="shared" si="27"/>
        <v>176000</v>
      </c>
      <c r="L1757">
        <f>Sales_Data2[[#This Row],[Unit Price]]*Sales_Data2[[#This Row],[Quantity]]</f>
        <v>220000</v>
      </c>
      <c r="M1757">
        <f>Sales_Data2[[#This Row],[Cost Price]]*Sales_Data2[[#This Row],[Quantity]]</f>
        <v>176000</v>
      </c>
      <c r="N1757" s="3">
        <f>Sales_Data2[[#This Row],[Revenue]]-Sales_Data2[[#This Row],[COGS]]</f>
        <v>44000</v>
      </c>
      <c r="O17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47431|South|Kano|Corporate|Online|Refrigerator R55|Home Appliances|220000|1|Musa|176000</v>
      </c>
      <c r="P1757" s="3" t="str">
        <f>IF(COUNTIF(Sales_Data2[RowKey],Sales_Data2[[#This Row],[RowKey]])&gt;1,"Duplicate","Unique")</f>
        <v>Unique</v>
      </c>
      <c r="Q1757" s="3" t="str">
        <f>IF(ISNUMBER(Sales_Data2[[#This Row],[Date]]),"OK","Check")</f>
        <v>OK</v>
      </c>
      <c r="R1757" s="3" t="str">
        <f>IF(ISNUMBER(Sales_Data2[[#This Row],[Quantity]]),"OK","Check")</f>
        <v>OK</v>
      </c>
    </row>
    <row r="1758" spans="1:18">
      <c r="A1758" s="1">
        <v>47432</v>
      </c>
      <c r="B1758" t="s">
        <v>25</v>
      </c>
      <c r="C1758" t="s">
        <v>19</v>
      </c>
      <c r="D1758" t="s">
        <v>13</v>
      </c>
      <c r="E1758" t="s">
        <v>14</v>
      </c>
      <c r="F1758" t="s">
        <v>27</v>
      </c>
      <c r="G1758" t="s">
        <v>22</v>
      </c>
      <c r="H1758">
        <v>60000</v>
      </c>
      <c r="I1758">
        <v>6</v>
      </c>
      <c r="J1758" t="s">
        <v>24</v>
      </c>
      <c r="K1758">
        <f t="shared" si="27"/>
        <v>48000</v>
      </c>
      <c r="L1758">
        <f>Sales_Data2[[#This Row],[Unit Price]]*Sales_Data2[[#This Row],[Quantity]]</f>
        <v>360000</v>
      </c>
      <c r="M1758">
        <f>Sales_Data2[[#This Row],[Cost Price]]*Sales_Data2[[#This Row],[Quantity]]</f>
        <v>288000</v>
      </c>
      <c r="N1758" s="3">
        <f>Sales_Data2[[#This Row],[Revenue]]-Sales_Data2[[#This Row],[COGS]]</f>
        <v>72000</v>
      </c>
      <c r="O17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47432|South|Lagos|Retail|Online|Microwave M20|Home Appliances|60000|6|David|48000</v>
      </c>
      <c r="P1758" s="3" t="str">
        <f>IF(COUNTIF(Sales_Data2[RowKey],Sales_Data2[[#This Row],[RowKey]])&gt;1,"Duplicate","Unique")</f>
        <v>Unique</v>
      </c>
      <c r="Q1758" s="3" t="str">
        <f>IF(ISNUMBER(Sales_Data2[[#This Row],[Date]]),"OK","Check")</f>
        <v>OK</v>
      </c>
      <c r="R1758" s="3" t="str">
        <f>IF(ISNUMBER(Sales_Data2[[#This Row],[Quantity]]),"OK","Check")</f>
        <v>OK</v>
      </c>
    </row>
    <row r="1759" spans="1:18">
      <c r="A1759" s="1">
        <v>47433</v>
      </c>
      <c r="B1759" t="s">
        <v>25</v>
      </c>
      <c r="C1759" t="s">
        <v>12</v>
      </c>
      <c r="D1759" t="s">
        <v>23</v>
      </c>
      <c r="E1759" t="s">
        <v>20</v>
      </c>
      <c r="F1759" t="s">
        <v>40</v>
      </c>
      <c r="G1759" t="s">
        <v>31</v>
      </c>
      <c r="H1759">
        <v>250000</v>
      </c>
      <c r="I1759">
        <v>7</v>
      </c>
      <c r="J1759" t="s">
        <v>39</v>
      </c>
      <c r="K1759">
        <f t="shared" si="27"/>
        <v>200000</v>
      </c>
      <c r="L1759">
        <f>Sales_Data2[[#This Row],[Unit Price]]*Sales_Data2[[#This Row],[Quantity]]</f>
        <v>1750000</v>
      </c>
      <c r="M1759">
        <f>Sales_Data2[[#This Row],[Cost Price]]*Sales_Data2[[#This Row],[Quantity]]</f>
        <v>1400000</v>
      </c>
      <c r="N1759" s="3">
        <f>Sales_Data2[[#This Row],[Revenue]]-Sales_Data2[[#This Row],[COGS]]</f>
        <v>350000</v>
      </c>
      <c r="O17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47433|South|Port Harcourt|Corporate|Store|Smartphone Z10|Electronics|250000|7|Grace|200000</v>
      </c>
      <c r="P1759" s="3" t="str">
        <f>IF(COUNTIF(Sales_Data2[RowKey],Sales_Data2[[#This Row],[RowKey]])&gt;1,"Duplicate","Unique")</f>
        <v>Unique</v>
      </c>
      <c r="Q1759" s="3" t="str">
        <f>IF(ISNUMBER(Sales_Data2[[#This Row],[Date]]),"OK","Check")</f>
        <v>OK</v>
      </c>
      <c r="R1759" s="3" t="str">
        <f>IF(ISNUMBER(Sales_Data2[[#This Row],[Quantity]]),"OK","Check")</f>
        <v>OK</v>
      </c>
    </row>
    <row r="1760" spans="1:18">
      <c r="A1760" s="1">
        <v>47434</v>
      </c>
      <c r="B1760" t="s">
        <v>18</v>
      </c>
      <c r="C1760" t="s">
        <v>26</v>
      </c>
      <c r="D1760" t="s">
        <v>23</v>
      </c>
      <c r="E1760" t="s">
        <v>14</v>
      </c>
      <c r="F1760" t="s">
        <v>41</v>
      </c>
      <c r="G1760" t="s">
        <v>22</v>
      </c>
      <c r="H1760">
        <v>220000</v>
      </c>
      <c r="I1760">
        <v>9</v>
      </c>
      <c r="J1760" t="s">
        <v>35</v>
      </c>
      <c r="K1760">
        <f t="shared" si="27"/>
        <v>176000</v>
      </c>
      <c r="L1760">
        <f>Sales_Data2[[#This Row],[Unit Price]]*Sales_Data2[[#This Row],[Quantity]]</f>
        <v>1980000</v>
      </c>
      <c r="M1760">
        <f>Sales_Data2[[#This Row],[Cost Price]]*Sales_Data2[[#This Row],[Quantity]]</f>
        <v>1584000</v>
      </c>
      <c r="N1760" s="3">
        <f>Sales_Data2[[#This Row],[Revenue]]-Sales_Data2[[#This Row],[COGS]]</f>
        <v>396000</v>
      </c>
      <c r="O17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47434|East|Kano|Corporate|Online|Refrigerator R55|Home Appliances|220000|9|Peter|176000</v>
      </c>
      <c r="P1760" s="3" t="str">
        <f>IF(COUNTIF(Sales_Data2[RowKey],Sales_Data2[[#This Row],[RowKey]])&gt;1,"Duplicate","Unique")</f>
        <v>Unique</v>
      </c>
      <c r="Q1760" s="3" t="str">
        <f>IF(ISNUMBER(Sales_Data2[[#This Row],[Date]]),"OK","Check")</f>
        <v>OK</v>
      </c>
      <c r="R1760" s="3" t="str">
        <f>IF(ISNUMBER(Sales_Data2[[#This Row],[Quantity]]),"OK","Check")</f>
        <v>OK</v>
      </c>
    </row>
    <row r="1761" spans="1:18">
      <c r="A1761" s="1">
        <v>47435</v>
      </c>
      <c r="B1761" t="s">
        <v>25</v>
      </c>
      <c r="C1761" t="s">
        <v>26</v>
      </c>
      <c r="D1761" t="s">
        <v>23</v>
      </c>
      <c r="E1761" t="s">
        <v>14</v>
      </c>
      <c r="F1761" t="s">
        <v>21</v>
      </c>
      <c r="G1761" t="s">
        <v>22</v>
      </c>
      <c r="H1761">
        <v>30000</v>
      </c>
      <c r="I1761">
        <v>10</v>
      </c>
      <c r="J1761" t="s">
        <v>28</v>
      </c>
      <c r="K1761">
        <f t="shared" si="27"/>
        <v>24000</v>
      </c>
      <c r="L1761">
        <f>Sales_Data2[[#This Row],[Unit Price]]*Sales_Data2[[#This Row],[Quantity]]</f>
        <v>300000</v>
      </c>
      <c r="M1761">
        <f>Sales_Data2[[#This Row],[Cost Price]]*Sales_Data2[[#This Row],[Quantity]]</f>
        <v>240000</v>
      </c>
      <c r="N1761" s="3">
        <f>Sales_Data2[[#This Row],[Revenue]]-Sales_Data2[[#This Row],[COGS]]</f>
        <v>60000</v>
      </c>
      <c r="O17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47435|South|Kano|Corporate|Online|Blender B10|Home Appliances|30000|10|Musa|24000</v>
      </c>
      <c r="P1761" s="3" t="str">
        <f>IF(COUNTIF(Sales_Data2[RowKey],Sales_Data2[[#This Row],[RowKey]])&gt;1,"Duplicate","Unique")</f>
        <v>Unique</v>
      </c>
      <c r="Q1761" s="3" t="str">
        <f>IF(ISNUMBER(Sales_Data2[[#This Row],[Date]]),"OK","Check")</f>
        <v>OK</v>
      </c>
      <c r="R1761" s="3" t="str">
        <f>IF(ISNUMBER(Sales_Data2[[#This Row],[Quantity]]),"OK","Check")</f>
        <v>OK</v>
      </c>
    </row>
    <row r="1762" spans="1:18">
      <c r="A1762" s="1">
        <v>47436</v>
      </c>
      <c r="B1762" t="s">
        <v>18</v>
      </c>
      <c r="C1762" t="s">
        <v>26</v>
      </c>
      <c r="D1762" t="s">
        <v>13</v>
      </c>
      <c r="E1762" t="s">
        <v>14</v>
      </c>
      <c r="F1762" t="s">
        <v>36</v>
      </c>
      <c r="G1762" t="s">
        <v>31</v>
      </c>
      <c r="H1762">
        <v>150000</v>
      </c>
      <c r="I1762">
        <v>1</v>
      </c>
      <c r="J1762" t="s">
        <v>24</v>
      </c>
      <c r="K1762">
        <f t="shared" si="27"/>
        <v>120000</v>
      </c>
      <c r="L1762">
        <f>Sales_Data2[[#This Row],[Unit Price]]*Sales_Data2[[#This Row],[Quantity]]</f>
        <v>150000</v>
      </c>
      <c r="M1762">
        <f>Sales_Data2[[#This Row],[Cost Price]]*Sales_Data2[[#This Row],[Quantity]]</f>
        <v>120000</v>
      </c>
      <c r="N1762" s="3">
        <f>Sales_Data2[[#This Row],[Revenue]]-Sales_Data2[[#This Row],[COGS]]</f>
        <v>30000</v>
      </c>
      <c r="O17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47436|East|Kano|Retail|Online|Printer P50|Electronics|150000|1|David|120000</v>
      </c>
      <c r="P1762" s="3" t="str">
        <f>IF(COUNTIF(Sales_Data2[RowKey],Sales_Data2[[#This Row],[RowKey]])&gt;1,"Duplicate","Unique")</f>
        <v>Unique</v>
      </c>
      <c r="Q1762" s="3" t="str">
        <f>IF(ISNUMBER(Sales_Data2[[#This Row],[Date]]),"OK","Check")</f>
        <v>OK</v>
      </c>
      <c r="R1762" s="3" t="str">
        <f>IF(ISNUMBER(Sales_Data2[[#This Row],[Quantity]]),"OK","Check")</f>
        <v>OK</v>
      </c>
    </row>
    <row r="1763" spans="1:18">
      <c r="A1763" s="1">
        <v>47437</v>
      </c>
      <c r="B1763" t="s">
        <v>29</v>
      </c>
      <c r="C1763" t="s">
        <v>12</v>
      </c>
      <c r="D1763" t="s">
        <v>13</v>
      </c>
      <c r="E1763" t="s">
        <v>14</v>
      </c>
      <c r="F1763" t="s">
        <v>33</v>
      </c>
      <c r="G1763" t="s">
        <v>22</v>
      </c>
      <c r="H1763">
        <v>180000</v>
      </c>
      <c r="I1763">
        <v>3</v>
      </c>
      <c r="J1763" t="s">
        <v>35</v>
      </c>
      <c r="K1763">
        <f t="shared" si="27"/>
        <v>144000</v>
      </c>
      <c r="L1763">
        <f>Sales_Data2[[#This Row],[Unit Price]]*Sales_Data2[[#This Row],[Quantity]]</f>
        <v>540000</v>
      </c>
      <c r="M1763">
        <f>Sales_Data2[[#This Row],[Cost Price]]*Sales_Data2[[#This Row],[Quantity]]</f>
        <v>432000</v>
      </c>
      <c r="N1763" s="3">
        <f>Sales_Data2[[#This Row],[Revenue]]-Sales_Data2[[#This Row],[COGS]]</f>
        <v>108000</v>
      </c>
      <c r="O17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47437|North|Port Harcourt|Retail|Online|Air Conditioner X2|Home Appliances|180000|3|Peter|144000</v>
      </c>
      <c r="P1763" s="3" t="str">
        <f>IF(COUNTIF(Sales_Data2[RowKey],Sales_Data2[[#This Row],[RowKey]])&gt;1,"Duplicate","Unique")</f>
        <v>Unique</v>
      </c>
      <c r="Q1763" s="3" t="str">
        <f>IF(ISNUMBER(Sales_Data2[[#This Row],[Date]]),"OK","Check")</f>
        <v>OK</v>
      </c>
      <c r="R1763" s="3" t="str">
        <f>IF(ISNUMBER(Sales_Data2[[#This Row],[Quantity]]),"OK","Check")</f>
        <v>OK</v>
      </c>
    </row>
    <row r="1764" spans="1:18">
      <c r="A1764" s="1">
        <v>47438</v>
      </c>
      <c r="B1764" t="s">
        <v>25</v>
      </c>
      <c r="C1764" t="s">
        <v>12</v>
      </c>
      <c r="D1764" t="s">
        <v>23</v>
      </c>
      <c r="E1764" t="s">
        <v>14</v>
      </c>
      <c r="F1764" t="s">
        <v>38</v>
      </c>
      <c r="G1764" t="s">
        <v>31</v>
      </c>
      <c r="H1764">
        <v>420000</v>
      </c>
      <c r="I1764">
        <v>10</v>
      </c>
      <c r="J1764" t="s">
        <v>35</v>
      </c>
      <c r="K1764">
        <f t="shared" si="27"/>
        <v>336000</v>
      </c>
      <c r="L1764">
        <f>Sales_Data2[[#This Row],[Unit Price]]*Sales_Data2[[#This Row],[Quantity]]</f>
        <v>4200000</v>
      </c>
      <c r="M1764">
        <f>Sales_Data2[[#This Row],[Cost Price]]*Sales_Data2[[#This Row],[Quantity]]</f>
        <v>3360000</v>
      </c>
      <c r="N1764" s="3">
        <f>Sales_Data2[[#This Row],[Revenue]]-Sales_Data2[[#This Row],[COGS]]</f>
        <v>840000</v>
      </c>
      <c r="O17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47438|South|Port Harcourt|Corporate|Online|Laptop A13|Electronics|420000|10|Peter|336000</v>
      </c>
      <c r="P1764" s="3" t="str">
        <f>IF(COUNTIF(Sales_Data2[RowKey],Sales_Data2[[#This Row],[RowKey]])&gt;1,"Duplicate","Unique")</f>
        <v>Unique</v>
      </c>
      <c r="Q1764" s="3" t="str">
        <f>IF(ISNUMBER(Sales_Data2[[#This Row],[Date]]),"OK","Check")</f>
        <v>OK</v>
      </c>
      <c r="R1764" s="3" t="str">
        <f>IF(ISNUMBER(Sales_Data2[[#This Row],[Quantity]]),"OK","Check")</f>
        <v>OK</v>
      </c>
    </row>
    <row r="1765" spans="1:18">
      <c r="A1765" s="1">
        <v>47439</v>
      </c>
      <c r="B1765" t="s">
        <v>29</v>
      </c>
      <c r="C1765" t="s">
        <v>12</v>
      </c>
      <c r="D1765" t="s">
        <v>23</v>
      </c>
      <c r="E1765" t="s">
        <v>14</v>
      </c>
      <c r="F1765" t="s">
        <v>15</v>
      </c>
      <c r="G1765" t="s">
        <v>16</v>
      </c>
      <c r="H1765">
        <v>85000</v>
      </c>
      <c r="I1765">
        <v>2</v>
      </c>
      <c r="J1765" t="s">
        <v>37</v>
      </c>
      <c r="K1765">
        <f t="shared" si="27"/>
        <v>68000</v>
      </c>
      <c r="L1765">
        <f>Sales_Data2[[#This Row],[Unit Price]]*Sales_Data2[[#This Row],[Quantity]]</f>
        <v>170000</v>
      </c>
      <c r="M1765">
        <f>Sales_Data2[[#This Row],[Cost Price]]*Sales_Data2[[#This Row],[Quantity]]</f>
        <v>136000</v>
      </c>
      <c r="N1765" s="3">
        <f>Sales_Data2[[#This Row],[Revenue]]-Sales_Data2[[#This Row],[COGS]]</f>
        <v>34000</v>
      </c>
      <c r="O17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47439|North|Port Harcourt|Corporate|Online|Office Chair Pro|Furniture|85000|2|Aisha|68000</v>
      </c>
      <c r="P1765" s="3" t="str">
        <f>IF(COUNTIF(Sales_Data2[RowKey],Sales_Data2[[#This Row],[RowKey]])&gt;1,"Duplicate","Unique")</f>
        <v>Unique</v>
      </c>
      <c r="Q1765" s="3" t="str">
        <f>IF(ISNUMBER(Sales_Data2[[#This Row],[Date]]),"OK","Check")</f>
        <v>OK</v>
      </c>
      <c r="R1765" s="3" t="str">
        <f>IF(ISNUMBER(Sales_Data2[[#This Row],[Quantity]]),"OK","Check")</f>
        <v>OK</v>
      </c>
    </row>
    <row r="1766" spans="1:18">
      <c r="A1766" s="1">
        <v>47440</v>
      </c>
      <c r="B1766" t="s">
        <v>11</v>
      </c>
      <c r="C1766" t="s">
        <v>26</v>
      </c>
      <c r="D1766" t="s">
        <v>23</v>
      </c>
      <c r="E1766" t="s">
        <v>14</v>
      </c>
      <c r="F1766" t="s">
        <v>27</v>
      </c>
      <c r="G1766" t="s">
        <v>22</v>
      </c>
      <c r="H1766">
        <v>60000</v>
      </c>
      <c r="I1766">
        <v>4</v>
      </c>
      <c r="J1766" t="s">
        <v>37</v>
      </c>
      <c r="K1766">
        <f t="shared" si="27"/>
        <v>48000</v>
      </c>
      <c r="L1766">
        <f>Sales_Data2[[#This Row],[Unit Price]]*Sales_Data2[[#This Row],[Quantity]]</f>
        <v>240000</v>
      </c>
      <c r="M1766">
        <f>Sales_Data2[[#This Row],[Cost Price]]*Sales_Data2[[#This Row],[Quantity]]</f>
        <v>192000</v>
      </c>
      <c r="N1766" s="3">
        <f>Sales_Data2[[#This Row],[Revenue]]-Sales_Data2[[#This Row],[COGS]]</f>
        <v>48000</v>
      </c>
      <c r="O17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47440|West|Kano|Corporate|Online|Microwave M20|Home Appliances|60000|4|Aisha|48000</v>
      </c>
      <c r="P1766" s="3" t="str">
        <f>IF(COUNTIF(Sales_Data2[RowKey],Sales_Data2[[#This Row],[RowKey]])&gt;1,"Duplicate","Unique")</f>
        <v>Unique</v>
      </c>
      <c r="Q1766" s="3" t="str">
        <f>IF(ISNUMBER(Sales_Data2[[#This Row],[Date]]),"OK","Check")</f>
        <v>OK</v>
      </c>
      <c r="R1766" s="3" t="str">
        <f>IF(ISNUMBER(Sales_Data2[[#This Row],[Quantity]]),"OK","Check")</f>
        <v>OK</v>
      </c>
    </row>
    <row r="1767" spans="1:18">
      <c r="A1767" s="1">
        <v>47441</v>
      </c>
      <c r="B1767" t="s">
        <v>29</v>
      </c>
      <c r="C1767" t="s">
        <v>19</v>
      </c>
      <c r="D1767" t="s">
        <v>23</v>
      </c>
      <c r="E1767" t="s">
        <v>14</v>
      </c>
      <c r="F1767" t="s">
        <v>36</v>
      </c>
      <c r="G1767" t="s">
        <v>31</v>
      </c>
      <c r="H1767">
        <v>150000</v>
      </c>
      <c r="I1767">
        <v>9</v>
      </c>
      <c r="J1767" t="s">
        <v>37</v>
      </c>
      <c r="K1767">
        <f t="shared" si="27"/>
        <v>120000</v>
      </c>
      <c r="L1767">
        <f>Sales_Data2[[#This Row],[Unit Price]]*Sales_Data2[[#This Row],[Quantity]]</f>
        <v>1350000</v>
      </c>
      <c r="M1767">
        <f>Sales_Data2[[#This Row],[Cost Price]]*Sales_Data2[[#This Row],[Quantity]]</f>
        <v>1080000</v>
      </c>
      <c r="N1767" s="3">
        <f>Sales_Data2[[#This Row],[Revenue]]-Sales_Data2[[#This Row],[COGS]]</f>
        <v>270000</v>
      </c>
      <c r="O17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47441|North|Lagos|Corporate|Online|Printer P50|Electronics|150000|9|Aisha|120000</v>
      </c>
      <c r="P1767" s="3" t="str">
        <f>IF(COUNTIF(Sales_Data2[RowKey],Sales_Data2[[#This Row],[RowKey]])&gt;1,"Duplicate","Unique")</f>
        <v>Unique</v>
      </c>
      <c r="Q1767" s="3" t="str">
        <f>IF(ISNUMBER(Sales_Data2[[#This Row],[Date]]),"OK","Check")</f>
        <v>OK</v>
      </c>
      <c r="R1767" s="3" t="str">
        <f>IF(ISNUMBER(Sales_Data2[[#This Row],[Quantity]]),"OK","Check")</f>
        <v>OK</v>
      </c>
    </row>
    <row r="1768" spans="1:18">
      <c r="A1768" s="1">
        <v>47442</v>
      </c>
      <c r="B1768" t="s">
        <v>25</v>
      </c>
      <c r="C1768" t="s">
        <v>32</v>
      </c>
      <c r="D1768" t="s">
        <v>13</v>
      </c>
      <c r="E1768" t="s">
        <v>20</v>
      </c>
      <c r="F1768" t="s">
        <v>38</v>
      </c>
      <c r="G1768" t="s">
        <v>31</v>
      </c>
      <c r="H1768">
        <v>420000</v>
      </c>
      <c r="I1768">
        <v>1</v>
      </c>
      <c r="J1768" t="s">
        <v>35</v>
      </c>
      <c r="K1768">
        <f t="shared" si="27"/>
        <v>336000</v>
      </c>
      <c r="L1768">
        <f>Sales_Data2[[#This Row],[Unit Price]]*Sales_Data2[[#This Row],[Quantity]]</f>
        <v>420000</v>
      </c>
      <c r="M1768">
        <f>Sales_Data2[[#This Row],[Cost Price]]*Sales_Data2[[#This Row],[Quantity]]</f>
        <v>336000</v>
      </c>
      <c r="N1768" s="3">
        <f>Sales_Data2[[#This Row],[Revenue]]-Sales_Data2[[#This Row],[COGS]]</f>
        <v>84000</v>
      </c>
      <c r="O17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47442|South|Abuja|Retail|Store|Laptop A13|Electronics|420000|1|Peter|336000</v>
      </c>
      <c r="P1768" s="3" t="str">
        <f>IF(COUNTIF(Sales_Data2[RowKey],Sales_Data2[[#This Row],[RowKey]])&gt;1,"Duplicate","Unique")</f>
        <v>Unique</v>
      </c>
      <c r="Q1768" s="3" t="str">
        <f>IF(ISNUMBER(Sales_Data2[[#This Row],[Date]]),"OK","Check")</f>
        <v>OK</v>
      </c>
      <c r="R1768" s="3" t="str">
        <f>IF(ISNUMBER(Sales_Data2[[#This Row],[Quantity]]),"OK","Check")</f>
        <v>OK</v>
      </c>
    </row>
    <row r="1769" spans="1:18">
      <c r="A1769" s="1">
        <v>47443</v>
      </c>
      <c r="B1769" t="s">
        <v>18</v>
      </c>
      <c r="C1769" t="s">
        <v>19</v>
      </c>
      <c r="D1769" t="s">
        <v>13</v>
      </c>
      <c r="E1769" t="s">
        <v>14</v>
      </c>
      <c r="F1769" t="s">
        <v>38</v>
      </c>
      <c r="G1769" t="s">
        <v>31</v>
      </c>
      <c r="H1769">
        <v>420000</v>
      </c>
      <c r="I1769">
        <v>9</v>
      </c>
      <c r="J1769" t="s">
        <v>37</v>
      </c>
      <c r="K1769">
        <f t="shared" si="27"/>
        <v>336000</v>
      </c>
      <c r="L1769">
        <f>Sales_Data2[[#This Row],[Unit Price]]*Sales_Data2[[#This Row],[Quantity]]</f>
        <v>3780000</v>
      </c>
      <c r="M1769">
        <f>Sales_Data2[[#This Row],[Cost Price]]*Sales_Data2[[#This Row],[Quantity]]</f>
        <v>3024000</v>
      </c>
      <c r="N1769" s="3">
        <f>Sales_Data2[[#This Row],[Revenue]]-Sales_Data2[[#This Row],[COGS]]</f>
        <v>756000</v>
      </c>
      <c r="O17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47443|East|Lagos|Retail|Online|Laptop A13|Electronics|420000|9|Aisha|336000</v>
      </c>
      <c r="P1769" s="3" t="str">
        <f>IF(COUNTIF(Sales_Data2[RowKey],Sales_Data2[[#This Row],[RowKey]])&gt;1,"Duplicate","Unique")</f>
        <v>Unique</v>
      </c>
      <c r="Q1769" s="3" t="str">
        <f>IF(ISNUMBER(Sales_Data2[[#This Row],[Date]]),"OK","Check")</f>
        <v>OK</v>
      </c>
      <c r="R1769" s="3" t="str">
        <f>IF(ISNUMBER(Sales_Data2[[#This Row],[Quantity]]),"OK","Check")</f>
        <v>OK</v>
      </c>
    </row>
    <row r="1770" spans="1:18">
      <c r="A1770" s="1">
        <v>47444</v>
      </c>
      <c r="B1770" t="s">
        <v>11</v>
      </c>
      <c r="C1770" t="s">
        <v>32</v>
      </c>
      <c r="D1770" t="s">
        <v>23</v>
      </c>
      <c r="E1770" t="s">
        <v>20</v>
      </c>
      <c r="F1770" t="s">
        <v>38</v>
      </c>
      <c r="G1770" t="s">
        <v>31</v>
      </c>
      <c r="H1770">
        <v>420000</v>
      </c>
      <c r="I1770">
        <v>9</v>
      </c>
      <c r="J1770" t="s">
        <v>39</v>
      </c>
      <c r="K1770">
        <f t="shared" si="27"/>
        <v>336000</v>
      </c>
      <c r="L1770">
        <f>Sales_Data2[[#This Row],[Unit Price]]*Sales_Data2[[#This Row],[Quantity]]</f>
        <v>3780000</v>
      </c>
      <c r="M1770">
        <f>Sales_Data2[[#This Row],[Cost Price]]*Sales_Data2[[#This Row],[Quantity]]</f>
        <v>3024000</v>
      </c>
      <c r="N1770" s="3">
        <f>Sales_Data2[[#This Row],[Revenue]]-Sales_Data2[[#This Row],[COGS]]</f>
        <v>756000</v>
      </c>
      <c r="O17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47444|West|Abuja|Corporate|Store|Laptop A13|Electronics|420000|9|Grace|336000</v>
      </c>
      <c r="P1770" s="3" t="str">
        <f>IF(COUNTIF(Sales_Data2[RowKey],Sales_Data2[[#This Row],[RowKey]])&gt;1,"Duplicate","Unique")</f>
        <v>Unique</v>
      </c>
      <c r="Q1770" s="3" t="str">
        <f>IF(ISNUMBER(Sales_Data2[[#This Row],[Date]]),"OK","Check")</f>
        <v>OK</v>
      </c>
      <c r="R1770" s="3" t="str">
        <f>IF(ISNUMBER(Sales_Data2[[#This Row],[Quantity]]),"OK","Check")</f>
        <v>OK</v>
      </c>
    </row>
    <row r="1771" spans="1:18">
      <c r="A1771" s="1">
        <v>47445</v>
      </c>
      <c r="B1771" t="s">
        <v>11</v>
      </c>
      <c r="C1771" t="s">
        <v>32</v>
      </c>
      <c r="D1771" t="s">
        <v>13</v>
      </c>
      <c r="E1771" t="s">
        <v>20</v>
      </c>
      <c r="F1771" t="s">
        <v>15</v>
      </c>
      <c r="G1771" t="s">
        <v>16</v>
      </c>
      <c r="H1771">
        <v>85000</v>
      </c>
      <c r="I1771">
        <v>6</v>
      </c>
      <c r="J1771" t="s">
        <v>24</v>
      </c>
      <c r="K1771">
        <f t="shared" si="27"/>
        <v>68000</v>
      </c>
      <c r="L1771">
        <f>Sales_Data2[[#This Row],[Unit Price]]*Sales_Data2[[#This Row],[Quantity]]</f>
        <v>510000</v>
      </c>
      <c r="M1771">
        <f>Sales_Data2[[#This Row],[Cost Price]]*Sales_Data2[[#This Row],[Quantity]]</f>
        <v>408000</v>
      </c>
      <c r="N1771" s="3">
        <f>Sales_Data2[[#This Row],[Revenue]]-Sales_Data2[[#This Row],[COGS]]</f>
        <v>102000</v>
      </c>
      <c r="O17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47445|West|Abuja|Retail|Store|Office Chair Pro|Furniture|85000|6|David|68000</v>
      </c>
      <c r="P1771" s="3" t="str">
        <f>IF(COUNTIF(Sales_Data2[RowKey],Sales_Data2[[#This Row],[RowKey]])&gt;1,"Duplicate","Unique")</f>
        <v>Unique</v>
      </c>
      <c r="Q1771" s="3" t="str">
        <f>IF(ISNUMBER(Sales_Data2[[#This Row],[Date]]),"OK","Check")</f>
        <v>OK</v>
      </c>
      <c r="R1771" s="3" t="str">
        <f>IF(ISNUMBER(Sales_Data2[[#This Row],[Quantity]]),"OK","Check")</f>
        <v>OK</v>
      </c>
    </row>
    <row r="1772" spans="1:18">
      <c r="A1772" s="1">
        <v>47446</v>
      </c>
      <c r="B1772" t="s">
        <v>29</v>
      </c>
      <c r="C1772" t="s">
        <v>32</v>
      </c>
      <c r="D1772" t="s">
        <v>23</v>
      </c>
      <c r="E1772" t="s">
        <v>14</v>
      </c>
      <c r="F1772" t="s">
        <v>34</v>
      </c>
      <c r="G1772" t="s">
        <v>16</v>
      </c>
      <c r="H1772">
        <v>320000</v>
      </c>
      <c r="I1772">
        <v>3</v>
      </c>
      <c r="J1772" t="s">
        <v>35</v>
      </c>
      <c r="K1772">
        <f t="shared" si="27"/>
        <v>256000</v>
      </c>
      <c r="L1772">
        <f>Sales_Data2[[#This Row],[Unit Price]]*Sales_Data2[[#This Row],[Quantity]]</f>
        <v>960000</v>
      </c>
      <c r="M1772">
        <f>Sales_Data2[[#This Row],[Cost Price]]*Sales_Data2[[#This Row],[Quantity]]</f>
        <v>768000</v>
      </c>
      <c r="N1772" s="3">
        <f>Sales_Data2[[#This Row],[Revenue]]-Sales_Data2[[#This Row],[COGS]]</f>
        <v>192000</v>
      </c>
      <c r="O17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47446|North|Abuja|Corporate|Online|Sofa Classic|Furniture|320000|3|Peter|256000</v>
      </c>
      <c r="P1772" s="3" t="str">
        <f>IF(COUNTIF(Sales_Data2[RowKey],Sales_Data2[[#This Row],[RowKey]])&gt;1,"Duplicate","Unique")</f>
        <v>Unique</v>
      </c>
      <c r="Q1772" s="3" t="str">
        <f>IF(ISNUMBER(Sales_Data2[[#This Row],[Date]]),"OK","Check")</f>
        <v>OK</v>
      </c>
      <c r="R1772" s="3" t="str">
        <f>IF(ISNUMBER(Sales_Data2[[#This Row],[Quantity]]),"OK","Check")</f>
        <v>OK</v>
      </c>
    </row>
    <row r="1773" spans="1:18">
      <c r="A1773" s="1">
        <v>47447</v>
      </c>
      <c r="B1773" t="s">
        <v>29</v>
      </c>
      <c r="C1773" t="s">
        <v>19</v>
      </c>
      <c r="D1773" t="s">
        <v>23</v>
      </c>
      <c r="E1773" t="s">
        <v>14</v>
      </c>
      <c r="F1773" t="s">
        <v>33</v>
      </c>
      <c r="G1773" t="s">
        <v>22</v>
      </c>
      <c r="H1773">
        <v>180000</v>
      </c>
      <c r="I1773">
        <v>8</v>
      </c>
      <c r="J1773" t="s">
        <v>28</v>
      </c>
      <c r="K1773">
        <f t="shared" si="27"/>
        <v>144000</v>
      </c>
      <c r="L1773">
        <f>Sales_Data2[[#This Row],[Unit Price]]*Sales_Data2[[#This Row],[Quantity]]</f>
        <v>1440000</v>
      </c>
      <c r="M1773">
        <f>Sales_Data2[[#This Row],[Cost Price]]*Sales_Data2[[#This Row],[Quantity]]</f>
        <v>1152000</v>
      </c>
      <c r="N1773" s="3">
        <f>Sales_Data2[[#This Row],[Revenue]]-Sales_Data2[[#This Row],[COGS]]</f>
        <v>288000</v>
      </c>
      <c r="O17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47447|North|Lagos|Corporate|Online|Air Conditioner X2|Home Appliances|180000|8|Musa|144000</v>
      </c>
      <c r="P1773" s="3" t="str">
        <f>IF(COUNTIF(Sales_Data2[RowKey],Sales_Data2[[#This Row],[RowKey]])&gt;1,"Duplicate","Unique")</f>
        <v>Unique</v>
      </c>
      <c r="Q1773" s="3" t="str">
        <f>IF(ISNUMBER(Sales_Data2[[#This Row],[Date]]),"OK","Check")</f>
        <v>OK</v>
      </c>
      <c r="R1773" s="3" t="str">
        <f>IF(ISNUMBER(Sales_Data2[[#This Row],[Quantity]]),"OK","Check")</f>
        <v>OK</v>
      </c>
    </row>
    <row r="1774" spans="1:18">
      <c r="A1774" s="1">
        <v>47448</v>
      </c>
      <c r="B1774" t="s">
        <v>11</v>
      </c>
      <c r="C1774" t="s">
        <v>12</v>
      </c>
      <c r="D1774" t="s">
        <v>13</v>
      </c>
      <c r="E1774" t="s">
        <v>14</v>
      </c>
      <c r="F1774" t="s">
        <v>15</v>
      </c>
      <c r="G1774" t="s">
        <v>16</v>
      </c>
      <c r="H1774">
        <v>85000</v>
      </c>
      <c r="I1774">
        <v>6</v>
      </c>
      <c r="J1774" t="s">
        <v>35</v>
      </c>
      <c r="K1774">
        <f t="shared" si="27"/>
        <v>68000</v>
      </c>
      <c r="L1774">
        <f>Sales_Data2[[#This Row],[Unit Price]]*Sales_Data2[[#This Row],[Quantity]]</f>
        <v>510000</v>
      </c>
      <c r="M1774">
        <f>Sales_Data2[[#This Row],[Cost Price]]*Sales_Data2[[#This Row],[Quantity]]</f>
        <v>408000</v>
      </c>
      <c r="N1774" s="3">
        <f>Sales_Data2[[#This Row],[Revenue]]-Sales_Data2[[#This Row],[COGS]]</f>
        <v>102000</v>
      </c>
      <c r="O17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47448|West|Port Harcourt|Retail|Online|Office Chair Pro|Furniture|85000|6|Peter|68000</v>
      </c>
      <c r="P1774" s="3" t="str">
        <f>IF(COUNTIF(Sales_Data2[RowKey],Sales_Data2[[#This Row],[RowKey]])&gt;1,"Duplicate","Unique")</f>
        <v>Unique</v>
      </c>
      <c r="Q1774" s="3" t="str">
        <f>IF(ISNUMBER(Sales_Data2[[#This Row],[Date]]),"OK","Check")</f>
        <v>OK</v>
      </c>
      <c r="R1774" s="3" t="str">
        <f>IF(ISNUMBER(Sales_Data2[[#This Row],[Quantity]]),"OK","Check")</f>
        <v>OK</v>
      </c>
    </row>
    <row r="1775" spans="1:18">
      <c r="A1775" s="1">
        <v>47449</v>
      </c>
      <c r="B1775" t="s">
        <v>11</v>
      </c>
      <c r="C1775" t="s">
        <v>32</v>
      </c>
      <c r="D1775" t="s">
        <v>13</v>
      </c>
      <c r="E1775" t="s">
        <v>14</v>
      </c>
      <c r="F1775" t="s">
        <v>30</v>
      </c>
      <c r="G1775" t="s">
        <v>31</v>
      </c>
      <c r="H1775">
        <v>300000</v>
      </c>
      <c r="I1775">
        <v>3</v>
      </c>
      <c r="J1775" t="s">
        <v>17</v>
      </c>
      <c r="K1775">
        <f t="shared" si="27"/>
        <v>240000</v>
      </c>
      <c r="L1775">
        <f>Sales_Data2[[#This Row],[Unit Price]]*Sales_Data2[[#This Row],[Quantity]]</f>
        <v>900000</v>
      </c>
      <c r="M1775">
        <f>Sales_Data2[[#This Row],[Cost Price]]*Sales_Data2[[#This Row],[Quantity]]</f>
        <v>720000</v>
      </c>
      <c r="N1775" s="3">
        <f>Sales_Data2[[#This Row],[Revenue]]-Sales_Data2[[#This Row],[COGS]]</f>
        <v>180000</v>
      </c>
      <c r="O17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47449|West|Abuja|Retail|Online|Desktop PC D21|Electronics|300000|3|Chidinma|240000</v>
      </c>
      <c r="P1775" s="3" t="str">
        <f>IF(COUNTIF(Sales_Data2[RowKey],Sales_Data2[[#This Row],[RowKey]])&gt;1,"Duplicate","Unique")</f>
        <v>Unique</v>
      </c>
      <c r="Q1775" s="3" t="str">
        <f>IF(ISNUMBER(Sales_Data2[[#This Row],[Date]]),"OK","Check")</f>
        <v>OK</v>
      </c>
      <c r="R1775" s="3" t="str">
        <f>IF(ISNUMBER(Sales_Data2[[#This Row],[Quantity]]),"OK","Check")</f>
        <v>OK</v>
      </c>
    </row>
    <row r="1776" spans="1:18">
      <c r="A1776" s="1">
        <v>47450</v>
      </c>
      <c r="B1776" t="s">
        <v>29</v>
      </c>
      <c r="C1776" t="s">
        <v>12</v>
      </c>
      <c r="D1776" t="s">
        <v>23</v>
      </c>
      <c r="E1776" t="s">
        <v>20</v>
      </c>
      <c r="F1776" t="s">
        <v>33</v>
      </c>
      <c r="G1776" t="s">
        <v>22</v>
      </c>
      <c r="H1776">
        <v>180000</v>
      </c>
      <c r="I1776">
        <v>1</v>
      </c>
      <c r="J1776" t="s">
        <v>28</v>
      </c>
      <c r="K1776">
        <f t="shared" si="27"/>
        <v>144000</v>
      </c>
      <c r="L1776">
        <f>Sales_Data2[[#This Row],[Unit Price]]*Sales_Data2[[#This Row],[Quantity]]</f>
        <v>180000</v>
      </c>
      <c r="M1776">
        <f>Sales_Data2[[#This Row],[Cost Price]]*Sales_Data2[[#This Row],[Quantity]]</f>
        <v>144000</v>
      </c>
      <c r="N1776" s="3">
        <f>Sales_Data2[[#This Row],[Revenue]]-Sales_Data2[[#This Row],[COGS]]</f>
        <v>36000</v>
      </c>
      <c r="O17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47450|North|Port Harcourt|Corporate|Store|Air Conditioner X2|Home Appliances|180000|1|Musa|144000</v>
      </c>
      <c r="P1776" s="3" t="str">
        <f>IF(COUNTIF(Sales_Data2[RowKey],Sales_Data2[[#This Row],[RowKey]])&gt;1,"Duplicate","Unique")</f>
        <v>Unique</v>
      </c>
      <c r="Q1776" s="3" t="str">
        <f>IF(ISNUMBER(Sales_Data2[[#This Row],[Date]]),"OK","Check")</f>
        <v>OK</v>
      </c>
      <c r="R1776" s="3" t="str">
        <f>IF(ISNUMBER(Sales_Data2[[#This Row],[Quantity]]),"OK","Check")</f>
        <v>OK</v>
      </c>
    </row>
    <row r="1777" spans="1:18">
      <c r="A1777" s="1">
        <v>47451</v>
      </c>
      <c r="B1777" t="s">
        <v>18</v>
      </c>
      <c r="C1777" t="s">
        <v>26</v>
      </c>
      <c r="D1777" t="s">
        <v>13</v>
      </c>
      <c r="E1777" t="s">
        <v>14</v>
      </c>
      <c r="F1777" t="s">
        <v>41</v>
      </c>
      <c r="G1777" t="s">
        <v>22</v>
      </c>
      <c r="H1777">
        <v>220000</v>
      </c>
      <c r="I1777">
        <v>1</v>
      </c>
      <c r="J1777" t="s">
        <v>37</v>
      </c>
      <c r="K1777">
        <f t="shared" si="27"/>
        <v>176000</v>
      </c>
      <c r="L1777">
        <f>Sales_Data2[[#This Row],[Unit Price]]*Sales_Data2[[#This Row],[Quantity]]</f>
        <v>220000</v>
      </c>
      <c r="M1777">
        <f>Sales_Data2[[#This Row],[Cost Price]]*Sales_Data2[[#This Row],[Quantity]]</f>
        <v>176000</v>
      </c>
      <c r="N1777" s="3">
        <f>Sales_Data2[[#This Row],[Revenue]]-Sales_Data2[[#This Row],[COGS]]</f>
        <v>44000</v>
      </c>
      <c r="O17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47451|East|Kano|Retail|Online|Refrigerator R55|Home Appliances|220000|1|Aisha|176000</v>
      </c>
      <c r="P1777" s="3" t="str">
        <f>IF(COUNTIF(Sales_Data2[RowKey],Sales_Data2[[#This Row],[RowKey]])&gt;1,"Duplicate","Unique")</f>
        <v>Unique</v>
      </c>
      <c r="Q1777" s="3" t="str">
        <f>IF(ISNUMBER(Sales_Data2[[#This Row],[Date]]),"OK","Check")</f>
        <v>OK</v>
      </c>
      <c r="R1777" s="3" t="str">
        <f>IF(ISNUMBER(Sales_Data2[[#This Row],[Quantity]]),"OK","Check")</f>
        <v>OK</v>
      </c>
    </row>
    <row r="1778" spans="1:18">
      <c r="A1778" s="1">
        <v>47452</v>
      </c>
      <c r="B1778" t="s">
        <v>25</v>
      </c>
      <c r="C1778" t="s">
        <v>32</v>
      </c>
      <c r="D1778" t="s">
        <v>13</v>
      </c>
      <c r="E1778" t="s">
        <v>20</v>
      </c>
      <c r="F1778" t="s">
        <v>21</v>
      </c>
      <c r="G1778" t="s">
        <v>22</v>
      </c>
      <c r="H1778">
        <v>30000</v>
      </c>
      <c r="I1778">
        <v>1</v>
      </c>
      <c r="J1778" t="s">
        <v>37</v>
      </c>
      <c r="K1778">
        <f t="shared" si="27"/>
        <v>24000</v>
      </c>
      <c r="L1778">
        <f>Sales_Data2[[#This Row],[Unit Price]]*Sales_Data2[[#This Row],[Quantity]]</f>
        <v>30000</v>
      </c>
      <c r="M1778">
        <f>Sales_Data2[[#This Row],[Cost Price]]*Sales_Data2[[#This Row],[Quantity]]</f>
        <v>24000</v>
      </c>
      <c r="N1778" s="3">
        <f>Sales_Data2[[#This Row],[Revenue]]-Sales_Data2[[#This Row],[COGS]]</f>
        <v>6000</v>
      </c>
      <c r="O17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47452|South|Abuja|Retail|Store|Blender B10|Home Appliances|30000|1|Aisha|24000</v>
      </c>
      <c r="P1778" s="3" t="str">
        <f>IF(COUNTIF(Sales_Data2[RowKey],Sales_Data2[[#This Row],[RowKey]])&gt;1,"Duplicate","Unique")</f>
        <v>Unique</v>
      </c>
      <c r="Q1778" s="3" t="str">
        <f>IF(ISNUMBER(Sales_Data2[[#This Row],[Date]]),"OK","Check")</f>
        <v>OK</v>
      </c>
      <c r="R1778" s="3" t="str">
        <f>IF(ISNUMBER(Sales_Data2[[#This Row],[Quantity]]),"OK","Check")</f>
        <v>OK</v>
      </c>
    </row>
    <row r="1779" spans="1:18">
      <c r="A1779" s="1">
        <v>47453</v>
      </c>
      <c r="B1779" t="s">
        <v>18</v>
      </c>
      <c r="C1779" t="s">
        <v>12</v>
      </c>
      <c r="D1779" t="s">
        <v>23</v>
      </c>
      <c r="E1779" t="s">
        <v>20</v>
      </c>
      <c r="F1779" t="s">
        <v>27</v>
      </c>
      <c r="G1779" t="s">
        <v>22</v>
      </c>
      <c r="H1779">
        <v>60000</v>
      </c>
      <c r="I1779">
        <v>2</v>
      </c>
      <c r="J1779" t="s">
        <v>39</v>
      </c>
      <c r="K1779">
        <f t="shared" si="27"/>
        <v>48000</v>
      </c>
      <c r="L1779">
        <f>Sales_Data2[[#This Row],[Unit Price]]*Sales_Data2[[#This Row],[Quantity]]</f>
        <v>120000</v>
      </c>
      <c r="M1779">
        <f>Sales_Data2[[#This Row],[Cost Price]]*Sales_Data2[[#This Row],[Quantity]]</f>
        <v>96000</v>
      </c>
      <c r="N1779" s="3">
        <f>Sales_Data2[[#This Row],[Revenue]]-Sales_Data2[[#This Row],[COGS]]</f>
        <v>24000</v>
      </c>
      <c r="O17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47453|East|Port Harcourt|Corporate|Store|Microwave M20|Home Appliances|60000|2|Grace|48000</v>
      </c>
      <c r="P1779" s="3" t="str">
        <f>IF(COUNTIF(Sales_Data2[RowKey],Sales_Data2[[#This Row],[RowKey]])&gt;1,"Duplicate","Unique")</f>
        <v>Unique</v>
      </c>
      <c r="Q1779" s="3" t="str">
        <f>IF(ISNUMBER(Sales_Data2[[#This Row],[Date]]),"OK","Check")</f>
        <v>OK</v>
      </c>
      <c r="R1779" s="3" t="str">
        <f>IF(ISNUMBER(Sales_Data2[[#This Row],[Quantity]]),"OK","Check")</f>
        <v>OK</v>
      </c>
    </row>
    <row r="1780" spans="1:18">
      <c r="A1780" s="1">
        <v>47454</v>
      </c>
      <c r="B1780" t="s">
        <v>11</v>
      </c>
      <c r="C1780" t="s">
        <v>19</v>
      </c>
      <c r="D1780" t="s">
        <v>13</v>
      </c>
      <c r="E1780" t="s">
        <v>20</v>
      </c>
      <c r="F1780" t="s">
        <v>40</v>
      </c>
      <c r="G1780" t="s">
        <v>31</v>
      </c>
      <c r="H1780">
        <v>250000</v>
      </c>
      <c r="I1780">
        <v>7</v>
      </c>
      <c r="J1780" t="s">
        <v>37</v>
      </c>
      <c r="K1780">
        <f t="shared" si="27"/>
        <v>200000</v>
      </c>
      <c r="L1780">
        <f>Sales_Data2[[#This Row],[Unit Price]]*Sales_Data2[[#This Row],[Quantity]]</f>
        <v>1750000</v>
      </c>
      <c r="M1780">
        <f>Sales_Data2[[#This Row],[Cost Price]]*Sales_Data2[[#This Row],[Quantity]]</f>
        <v>1400000</v>
      </c>
      <c r="N1780" s="3">
        <f>Sales_Data2[[#This Row],[Revenue]]-Sales_Data2[[#This Row],[COGS]]</f>
        <v>350000</v>
      </c>
      <c r="O17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47454|West|Lagos|Retail|Store|Smartphone Z10|Electronics|250000|7|Aisha|200000</v>
      </c>
      <c r="P1780" s="3" t="str">
        <f>IF(COUNTIF(Sales_Data2[RowKey],Sales_Data2[[#This Row],[RowKey]])&gt;1,"Duplicate","Unique")</f>
        <v>Unique</v>
      </c>
      <c r="Q1780" s="3" t="str">
        <f>IF(ISNUMBER(Sales_Data2[[#This Row],[Date]]),"OK","Check")</f>
        <v>OK</v>
      </c>
      <c r="R1780" s="3" t="str">
        <f>IF(ISNUMBER(Sales_Data2[[#This Row],[Quantity]]),"OK","Check")</f>
        <v>OK</v>
      </c>
    </row>
    <row r="1781" spans="1:18">
      <c r="A1781" s="1">
        <v>47455</v>
      </c>
      <c r="B1781" t="s">
        <v>11</v>
      </c>
      <c r="C1781" t="s">
        <v>26</v>
      </c>
      <c r="D1781" t="s">
        <v>23</v>
      </c>
      <c r="E1781" t="s">
        <v>14</v>
      </c>
      <c r="F1781" t="s">
        <v>38</v>
      </c>
      <c r="G1781" t="s">
        <v>31</v>
      </c>
      <c r="H1781">
        <v>420000</v>
      </c>
      <c r="I1781">
        <v>10</v>
      </c>
      <c r="J1781" t="s">
        <v>28</v>
      </c>
      <c r="K1781">
        <f t="shared" si="27"/>
        <v>336000</v>
      </c>
      <c r="L1781">
        <f>Sales_Data2[[#This Row],[Unit Price]]*Sales_Data2[[#This Row],[Quantity]]</f>
        <v>4200000</v>
      </c>
      <c r="M1781">
        <f>Sales_Data2[[#This Row],[Cost Price]]*Sales_Data2[[#This Row],[Quantity]]</f>
        <v>3360000</v>
      </c>
      <c r="N1781" s="3">
        <f>Sales_Data2[[#This Row],[Revenue]]-Sales_Data2[[#This Row],[COGS]]</f>
        <v>840000</v>
      </c>
      <c r="O17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47455|West|Kano|Corporate|Online|Laptop A13|Electronics|420000|10|Musa|336000</v>
      </c>
      <c r="P1781" s="3" t="str">
        <f>IF(COUNTIF(Sales_Data2[RowKey],Sales_Data2[[#This Row],[RowKey]])&gt;1,"Duplicate","Unique")</f>
        <v>Unique</v>
      </c>
      <c r="Q1781" s="3" t="str">
        <f>IF(ISNUMBER(Sales_Data2[[#This Row],[Date]]),"OK","Check")</f>
        <v>OK</v>
      </c>
      <c r="R1781" s="3" t="str">
        <f>IF(ISNUMBER(Sales_Data2[[#This Row],[Quantity]]),"OK","Check")</f>
        <v>OK</v>
      </c>
    </row>
    <row r="1782" spans="1:18">
      <c r="A1782" s="1">
        <v>47456</v>
      </c>
      <c r="B1782" t="s">
        <v>11</v>
      </c>
      <c r="C1782" t="s">
        <v>12</v>
      </c>
      <c r="D1782" t="s">
        <v>23</v>
      </c>
      <c r="E1782" t="s">
        <v>14</v>
      </c>
      <c r="F1782" t="s">
        <v>34</v>
      </c>
      <c r="G1782" t="s">
        <v>16</v>
      </c>
      <c r="H1782">
        <v>320000</v>
      </c>
      <c r="I1782">
        <v>10</v>
      </c>
      <c r="J1782" t="s">
        <v>35</v>
      </c>
      <c r="K1782">
        <f t="shared" si="27"/>
        <v>256000</v>
      </c>
      <c r="L1782">
        <f>Sales_Data2[[#This Row],[Unit Price]]*Sales_Data2[[#This Row],[Quantity]]</f>
        <v>3200000</v>
      </c>
      <c r="M1782">
        <f>Sales_Data2[[#This Row],[Cost Price]]*Sales_Data2[[#This Row],[Quantity]]</f>
        <v>2560000</v>
      </c>
      <c r="N1782" s="3">
        <f>Sales_Data2[[#This Row],[Revenue]]-Sales_Data2[[#This Row],[COGS]]</f>
        <v>640000</v>
      </c>
      <c r="O17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47456|West|Port Harcourt|Corporate|Online|Sofa Classic|Furniture|320000|10|Peter|256000</v>
      </c>
      <c r="P1782" s="3" t="str">
        <f>IF(COUNTIF(Sales_Data2[RowKey],Sales_Data2[[#This Row],[RowKey]])&gt;1,"Duplicate","Unique")</f>
        <v>Unique</v>
      </c>
      <c r="Q1782" s="3" t="str">
        <f>IF(ISNUMBER(Sales_Data2[[#This Row],[Date]]),"OK","Check")</f>
        <v>OK</v>
      </c>
      <c r="R1782" s="3" t="str">
        <f>IF(ISNUMBER(Sales_Data2[[#This Row],[Quantity]]),"OK","Check")</f>
        <v>OK</v>
      </c>
    </row>
    <row r="1783" spans="1:18">
      <c r="A1783" s="1">
        <v>47457</v>
      </c>
      <c r="B1783" t="s">
        <v>25</v>
      </c>
      <c r="C1783" t="s">
        <v>32</v>
      </c>
      <c r="D1783" t="s">
        <v>13</v>
      </c>
      <c r="E1783" t="s">
        <v>14</v>
      </c>
      <c r="F1783" t="s">
        <v>30</v>
      </c>
      <c r="G1783" t="s">
        <v>31</v>
      </c>
      <c r="H1783">
        <v>300000</v>
      </c>
      <c r="I1783">
        <v>1</v>
      </c>
      <c r="J1783" t="s">
        <v>28</v>
      </c>
      <c r="K1783">
        <f t="shared" si="27"/>
        <v>240000</v>
      </c>
      <c r="L1783">
        <f>Sales_Data2[[#This Row],[Unit Price]]*Sales_Data2[[#This Row],[Quantity]]</f>
        <v>300000</v>
      </c>
      <c r="M1783">
        <f>Sales_Data2[[#This Row],[Cost Price]]*Sales_Data2[[#This Row],[Quantity]]</f>
        <v>240000</v>
      </c>
      <c r="N1783" s="3">
        <f>Sales_Data2[[#This Row],[Revenue]]-Sales_Data2[[#This Row],[COGS]]</f>
        <v>60000</v>
      </c>
      <c r="O17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47457|South|Abuja|Retail|Online|Desktop PC D21|Electronics|300000|1|Musa|240000</v>
      </c>
      <c r="P1783" s="3" t="str">
        <f>IF(COUNTIF(Sales_Data2[RowKey],Sales_Data2[[#This Row],[RowKey]])&gt;1,"Duplicate","Unique")</f>
        <v>Unique</v>
      </c>
      <c r="Q1783" s="3" t="str">
        <f>IF(ISNUMBER(Sales_Data2[[#This Row],[Date]]),"OK","Check")</f>
        <v>OK</v>
      </c>
      <c r="R1783" s="3" t="str">
        <f>IF(ISNUMBER(Sales_Data2[[#This Row],[Quantity]]),"OK","Check")</f>
        <v>OK</v>
      </c>
    </row>
    <row r="1784" spans="1:18">
      <c r="A1784" s="1">
        <v>47458</v>
      </c>
      <c r="B1784" t="s">
        <v>25</v>
      </c>
      <c r="C1784" t="s">
        <v>26</v>
      </c>
      <c r="D1784" t="s">
        <v>23</v>
      </c>
      <c r="E1784" t="s">
        <v>20</v>
      </c>
      <c r="F1784" t="s">
        <v>36</v>
      </c>
      <c r="G1784" t="s">
        <v>31</v>
      </c>
      <c r="H1784">
        <v>150000</v>
      </c>
      <c r="I1784">
        <v>3</v>
      </c>
      <c r="J1784" t="s">
        <v>24</v>
      </c>
      <c r="K1784">
        <f t="shared" si="27"/>
        <v>120000</v>
      </c>
      <c r="L1784">
        <f>Sales_Data2[[#This Row],[Unit Price]]*Sales_Data2[[#This Row],[Quantity]]</f>
        <v>450000</v>
      </c>
      <c r="M1784">
        <f>Sales_Data2[[#This Row],[Cost Price]]*Sales_Data2[[#This Row],[Quantity]]</f>
        <v>360000</v>
      </c>
      <c r="N1784" s="3">
        <f>Sales_Data2[[#This Row],[Revenue]]-Sales_Data2[[#This Row],[COGS]]</f>
        <v>90000</v>
      </c>
      <c r="O17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47458|South|Kano|Corporate|Store|Printer P50|Electronics|150000|3|David|120000</v>
      </c>
      <c r="P1784" s="3" t="str">
        <f>IF(COUNTIF(Sales_Data2[RowKey],Sales_Data2[[#This Row],[RowKey]])&gt;1,"Duplicate","Unique")</f>
        <v>Unique</v>
      </c>
      <c r="Q1784" s="3" t="str">
        <f>IF(ISNUMBER(Sales_Data2[[#This Row],[Date]]),"OK","Check")</f>
        <v>OK</v>
      </c>
      <c r="R1784" s="3" t="str">
        <f>IF(ISNUMBER(Sales_Data2[[#This Row],[Quantity]]),"OK","Check")</f>
        <v>OK</v>
      </c>
    </row>
    <row r="1785" spans="1:18">
      <c r="A1785" s="1">
        <v>47459</v>
      </c>
      <c r="B1785" t="s">
        <v>11</v>
      </c>
      <c r="C1785" t="s">
        <v>26</v>
      </c>
      <c r="D1785" t="s">
        <v>23</v>
      </c>
      <c r="E1785" t="s">
        <v>14</v>
      </c>
      <c r="F1785" t="s">
        <v>40</v>
      </c>
      <c r="G1785" t="s">
        <v>31</v>
      </c>
      <c r="H1785">
        <v>250000</v>
      </c>
      <c r="I1785">
        <v>3</v>
      </c>
      <c r="J1785" t="s">
        <v>37</v>
      </c>
      <c r="K1785">
        <f t="shared" si="27"/>
        <v>200000</v>
      </c>
      <c r="L1785">
        <f>Sales_Data2[[#This Row],[Unit Price]]*Sales_Data2[[#This Row],[Quantity]]</f>
        <v>750000</v>
      </c>
      <c r="M1785">
        <f>Sales_Data2[[#This Row],[Cost Price]]*Sales_Data2[[#This Row],[Quantity]]</f>
        <v>600000</v>
      </c>
      <c r="N1785" s="3">
        <f>Sales_Data2[[#This Row],[Revenue]]-Sales_Data2[[#This Row],[COGS]]</f>
        <v>150000</v>
      </c>
      <c r="O17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47459|West|Kano|Corporate|Online|Smartphone Z10|Electronics|250000|3|Aisha|200000</v>
      </c>
      <c r="P1785" s="3" t="str">
        <f>IF(COUNTIF(Sales_Data2[RowKey],Sales_Data2[[#This Row],[RowKey]])&gt;1,"Duplicate","Unique")</f>
        <v>Unique</v>
      </c>
      <c r="Q1785" s="3" t="str">
        <f>IF(ISNUMBER(Sales_Data2[[#This Row],[Date]]),"OK","Check")</f>
        <v>OK</v>
      </c>
      <c r="R1785" s="3" t="str">
        <f>IF(ISNUMBER(Sales_Data2[[#This Row],[Quantity]]),"OK","Check")</f>
        <v>OK</v>
      </c>
    </row>
    <row r="1786" spans="1:18">
      <c r="A1786" s="1">
        <v>47460</v>
      </c>
      <c r="B1786" t="s">
        <v>29</v>
      </c>
      <c r="C1786" t="s">
        <v>19</v>
      </c>
      <c r="D1786" t="s">
        <v>13</v>
      </c>
      <c r="E1786" t="s">
        <v>20</v>
      </c>
      <c r="F1786" t="s">
        <v>38</v>
      </c>
      <c r="G1786" t="s">
        <v>31</v>
      </c>
      <c r="H1786">
        <v>420000</v>
      </c>
      <c r="I1786">
        <v>4</v>
      </c>
      <c r="J1786" t="s">
        <v>24</v>
      </c>
      <c r="K1786">
        <f t="shared" si="27"/>
        <v>336000</v>
      </c>
      <c r="L1786">
        <f>Sales_Data2[[#This Row],[Unit Price]]*Sales_Data2[[#This Row],[Quantity]]</f>
        <v>1680000</v>
      </c>
      <c r="M1786">
        <f>Sales_Data2[[#This Row],[Cost Price]]*Sales_Data2[[#This Row],[Quantity]]</f>
        <v>1344000</v>
      </c>
      <c r="N1786" s="3">
        <f>Sales_Data2[[#This Row],[Revenue]]-Sales_Data2[[#This Row],[COGS]]</f>
        <v>336000</v>
      </c>
      <c r="O17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47460|North|Lagos|Retail|Store|Laptop A13|Electronics|420000|4|David|336000</v>
      </c>
      <c r="P1786" s="3" t="str">
        <f>IF(COUNTIF(Sales_Data2[RowKey],Sales_Data2[[#This Row],[RowKey]])&gt;1,"Duplicate","Unique")</f>
        <v>Unique</v>
      </c>
      <c r="Q1786" s="3" t="str">
        <f>IF(ISNUMBER(Sales_Data2[[#This Row],[Date]]),"OK","Check")</f>
        <v>OK</v>
      </c>
      <c r="R1786" s="3" t="str">
        <f>IF(ISNUMBER(Sales_Data2[[#This Row],[Quantity]]),"OK","Check")</f>
        <v>OK</v>
      </c>
    </row>
    <row r="1787" spans="1:18">
      <c r="A1787" s="1">
        <v>47461</v>
      </c>
      <c r="B1787" t="s">
        <v>29</v>
      </c>
      <c r="C1787" t="s">
        <v>19</v>
      </c>
      <c r="D1787" t="s">
        <v>23</v>
      </c>
      <c r="E1787" t="s">
        <v>14</v>
      </c>
      <c r="F1787" t="s">
        <v>33</v>
      </c>
      <c r="G1787" t="s">
        <v>22</v>
      </c>
      <c r="H1787">
        <v>180000</v>
      </c>
      <c r="I1787">
        <v>1</v>
      </c>
      <c r="J1787" t="s">
        <v>17</v>
      </c>
      <c r="K1787">
        <f t="shared" si="27"/>
        <v>144000</v>
      </c>
      <c r="L1787">
        <f>Sales_Data2[[#This Row],[Unit Price]]*Sales_Data2[[#This Row],[Quantity]]</f>
        <v>180000</v>
      </c>
      <c r="M1787">
        <f>Sales_Data2[[#This Row],[Cost Price]]*Sales_Data2[[#This Row],[Quantity]]</f>
        <v>144000</v>
      </c>
      <c r="N1787" s="3">
        <f>Sales_Data2[[#This Row],[Revenue]]-Sales_Data2[[#This Row],[COGS]]</f>
        <v>36000</v>
      </c>
      <c r="O17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47461|North|Lagos|Corporate|Online|Air Conditioner X2|Home Appliances|180000|1|Chidinma|144000</v>
      </c>
      <c r="P1787" s="3" t="str">
        <f>IF(COUNTIF(Sales_Data2[RowKey],Sales_Data2[[#This Row],[RowKey]])&gt;1,"Duplicate","Unique")</f>
        <v>Unique</v>
      </c>
      <c r="Q1787" s="3" t="str">
        <f>IF(ISNUMBER(Sales_Data2[[#This Row],[Date]]),"OK","Check")</f>
        <v>OK</v>
      </c>
      <c r="R1787" s="3" t="str">
        <f>IF(ISNUMBER(Sales_Data2[[#This Row],[Quantity]]),"OK","Check")</f>
        <v>OK</v>
      </c>
    </row>
    <row r="1788" spans="1:18">
      <c r="A1788" s="1">
        <v>47462</v>
      </c>
      <c r="B1788" t="s">
        <v>29</v>
      </c>
      <c r="C1788" t="s">
        <v>12</v>
      </c>
      <c r="D1788" t="s">
        <v>23</v>
      </c>
      <c r="E1788" t="s">
        <v>20</v>
      </c>
      <c r="F1788" t="s">
        <v>36</v>
      </c>
      <c r="G1788" t="s">
        <v>31</v>
      </c>
      <c r="H1788">
        <v>150000</v>
      </c>
      <c r="I1788">
        <v>3</v>
      </c>
      <c r="J1788" t="s">
        <v>35</v>
      </c>
      <c r="K1788">
        <f t="shared" si="27"/>
        <v>120000</v>
      </c>
      <c r="L1788">
        <f>Sales_Data2[[#This Row],[Unit Price]]*Sales_Data2[[#This Row],[Quantity]]</f>
        <v>450000</v>
      </c>
      <c r="M1788">
        <f>Sales_Data2[[#This Row],[Cost Price]]*Sales_Data2[[#This Row],[Quantity]]</f>
        <v>360000</v>
      </c>
      <c r="N1788" s="3">
        <f>Sales_Data2[[#This Row],[Revenue]]-Sales_Data2[[#This Row],[COGS]]</f>
        <v>90000</v>
      </c>
      <c r="O17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47462|North|Port Harcourt|Corporate|Store|Printer P50|Electronics|150000|3|Peter|120000</v>
      </c>
      <c r="P1788" s="3" t="str">
        <f>IF(COUNTIF(Sales_Data2[RowKey],Sales_Data2[[#This Row],[RowKey]])&gt;1,"Duplicate","Unique")</f>
        <v>Unique</v>
      </c>
      <c r="Q1788" s="3" t="str">
        <f>IF(ISNUMBER(Sales_Data2[[#This Row],[Date]]),"OK","Check")</f>
        <v>OK</v>
      </c>
      <c r="R1788" s="3" t="str">
        <f>IF(ISNUMBER(Sales_Data2[[#This Row],[Quantity]]),"OK","Check")</f>
        <v>OK</v>
      </c>
    </row>
    <row r="1789" spans="1:18">
      <c r="A1789" s="1">
        <v>47463</v>
      </c>
      <c r="B1789" t="s">
        <v>25</v>
      </c>
      <c r="C1789" t="s">
        <v>32</v>
      </c>
      <c r="D1789" t="s">
        <v>23</v>
      </c>
      <c r="E1789" t="s">
        <v>14</v>
      </c>
      <c r="F1789" t="s">
        <v>41</v>
      </c>
      <c r="G1789" t="s">
        <v>22</v>
      </c>
      <c r="H1789">
        <v>220000</v>
      </c>
      <c r="I1789">
        <v>9</v>
      </c>
      <c r="J1789" t="s">
        <v>28</v>
      </c>
      <c r="K1789">
        <f t="shared" si="27"/>
        <v>176000</v>
      </c>
      <c r="L1789">
        <f>Sales_Data2[[#This Row],[Unit Price]]*Sales_Data2[[#This Row],[Quantity]]</f>
        <v>1980000</v>
      </c>
      <c r="M1789">
        <f>Sales_Data2[[#This Row],[Cost Price]]*Sales_Data2[[#This Row],[Quantity]]</f>
        <v>1584000</v>
      </c>
      <c r="N1789" s="3">
        <f>Sales_Data2[[#This Row],[Revenue]]-Sales_Data2[[#This Row],[COGS]]</f>
        <v>396000</v>
      </c>
      <c r="O17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47463|South|Abuja|Corporate|Online|Refrigerator R55|Home Appliances|220000|9|Musa|176000</v>
      </c>
      <c r="P1789" s="3" t="str">
        <f>IF(COUNTIF(Sales_Data2[RowKey],Sales_Data2[[#This Row],[RowKey]])&gt;1,"Duplicate","Unique")</f>
        <v>Unique</v>
      </c>
      <c r="Q1789" s="3" t="str">
        <f>IF(ISNUMBER(Sales_Data2[[#This Row],[Date]]),"OK","Check")</f>
        <v>OK</v>
      </c>
      <c r="R1789" s="3" t="str">
        <f>IF(ISNUMBER(Sales_Data2[[#This Row],[Quantity]]),"OK","Check")</f>
        <v>OK</v>
      </c>
    </row>
    <row r="1790" spans="1:18">
      <c r="A1790" s="1">
        <v>47464</v>
      </c>
      <c r="B1790" t="s">
        <v>29</v>
      </c>
      <c r="C1790" t="s">
        <v>26</v>
      </c>
      <c r="D1790" t="s">
        <v>23</v>
      </c>
      <c r="E1790" t="s">
        <v>14</v>
      </c>
      <c r="F1790" t="s">
        <v>38</v>
      </c>
      <c r="G1790" t="s">
        <v>31</v>
      </c>
      <c r="H1790">
        <v>420000</v>
      </c>
      <c r="I1790">
        <v>4</v>
      </c>
      <c r="J1790" t="s">
        <v>28</v>
      </c>
      <c r="K1790">
        <f t="shared" si="27"/>
        <v>336000</v>
      </c>
      <c r="L1790">
        <f>Sales_Data2[[#This Row],[Unit Price]]*Sales_Data2[[#This Row],[Quantity]]</f>
        <v>1680000</v>
      </c>
      <c r="M1790">
        <f>Sales_Data2[[#This Row],[Cost Price]]*Sales_Data2[[#This Row],[Quantity]]</f>
        <v>1344000</v>
      </c>
      <c r="N1790" s="3">
        <f>Sales_Data2[[#This Row],[Revenue]]-Sales_Data2[[#This Row],[COGS]]</f>
        <v>336000</v>
      </c>
      <c r="O17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47464|North|Kano|Corporate|Online|Laptop A13|Electronics|420000|4|Musa|336000</v>
      </c>
      <c r="P1790" s="3" t="str">
        <f>IF(COUNTIF(Sales_Data2[RowKey],Sales_Data2[[#This Row],[RowKey]])&gt;1,"Duplicate","Unique")</f>
        <v>Unique</v>
      </c>
      <c r="Q1790" s="3" t="str">
        <f>IF(ISNUMBER(Sales_Data2[[#This Row],[Date]]),"OK","Check")</f>
        <v>OK</v>
      </c>
      <c r="R1790" s="3" t="str">
        <f>IF(ISNUMBER(Sales_Data2[[#This Row],[Quantity]]),"OK","Check")</f>
        <v>OK</v>
      </c>
    </row>
    <row r="1791" spans="1:18">
      <c r="A1791" s="1">
        <v>47465</v>
      </c>
      <c r="B1791" t="s">
        <v>29</v>
      </c>
      <c r="C1791" t="s">
        <v>26</v>
      </c>
      <c r="D1791" t="s">
        <v>23</v>
      </c>
      <c r="E1791" t="s">
        <v>20</v>
      </c>
      <c r="F1791" t="s">
        <v>30</v>
      </c>
      <c r="G1791" t="s">
        <v>31</v>
      </c>
      <c r="H1791">
        <v>300000</v>
      </c>
      <c r="I1791">
        <v>2</v>
      </c>
      <c r="J1791" t="s">
        <v>39</v>
      </c>
      <c r="K1791">
        <f t="shared" si="27"/>
        <v>240000</v>
      </c>
      <c r="L1791">
        <f>Sales_Data2[[#This Row],[Unit Price]]*Sales_Data2[[#This Row],[Quantity]]</f>
        <v>600000</v>
      </c>
      <c r="M1791">
        <f>Sales_Data2[[#This Row],[Cost Price]]*Sales_Data2[[#This Row],[Quantity]]</f>
        <v>480000</v>
      </c>
      <c r="N1791" s="3">
        <f>Sales_Data2[[#This Row],[Revenue]]-Sales_Data2[[#This Row],[COGS]]</f>
        <v>120000</v>
      </c>
      <c r="O17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47465|North|Kano|Corporate|Store|Desktop PC D21|Electronics|300000|2|Grace|240000</v>
      </c>
      <c r="P1791" s="3" t="str">
        <f>IF(COUNTIF(Sales_Data2[RowKey],Sales_Data2[[#This Row],[RowKey]])&gt;1,"Duplicate","Unique")</f>
        <v>Unique</v>
      </c>
      <c r="Q1791" s="3" t="str">
        <f>IF(ISNUMBER(Sales_Data2[[#This Row],[Date]]),"OK","Check")</f>
        <v>OK</v>
      </c>
      <c r="R1791" s="3" t="str">
        <f>IF(ISNUMBER(Sales_Data2[[#This Row],[Quantity]]),"OK","Check")</f>
        <v>OK</v>
      </c>
    </row>
    <row r="1792" spans="1:18">
      <c r="A1792" s="1">
        <v>47466</v>
      </c>
      <c r="B1792" t="s">
        <v>18</v>
      </c>
      <c r="C1792" t="s">
        <v>19</v>
      </c>
      <c r="D1792" t="s">
        <v>23</v>
      </c>
      <c r="E1792" t="s">
        <v>20</v>
      </c>
      <c r="F1792" t="s">
        <v>15</v>
      </c>
      <c r="G1792" t="s">
        <v>16</v>
      </c>
      <c r="H1792">
        <v>85000</v>
      </c>
      <c r="I1792">
        <v>8</v>
      </c>
      <c r="J1792" t="s">
        <v>24</v>
      </c>
      <c r="K1792">
        <f t="shared" si="27"/>
        <v>68000</v>
      </c>
      <c r="L1792">
        <f>Sales_Data2[[#This Row],[Unit Price]]*Sales_Data2[[#This Row],[Quantity]]</f>
        <v>680000</v>
      </c>
      <c r="M1792">
        <f>Sales_Data2[[#This Row],[Cost Price]]*Sales_Data2[[#This Row],[Quantity]]</f>
        <v>544000</v>
      </c>
      <c r="N1792" s="3">
        <f>Sales_Data2[[#This Row],[Revenue]]-Sales_Data2[[#This Row],[COGS]]</f>
        <v>136000</v>
      </c>
      <c r="O17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47466|East|Lagos|Corporate|Store|Office Chair Pro|Furniture|85000|8|David|68000</v>
      </c>
      <c r="P1792" s="3" t="str">
        <f>IF(COUNTIF(Sales_Data2[RowKey],Sales_Data2[[#This Row],[RowKey]])&gt;1,"Duplicate","Unique")</f>
        <v>Unique</v>
      </c>
      <c r="Q1792" s="3" t="str">
        <f>IF(ISNUMBER(Sales_Data2[[#This Row],[Date]]),"OK","Check")</f>
        <v>OK</v>
      </c>
      <c r="R1792" s="3" t="str">
        <f>IF(ISNUMBER(Sales_Data2[[#This Row],[Quantity]]),"OK","Check")</f>
        <v>OK</v>
      </c>
    </row>
    <row r="1793" spans="1:18">
      <c r="A1793" s="1">
        <v>47467</v>
      </c>
      <c r="B1793" t="s">
        <v>25</v>
      </c>
      <c r="C1793" t="s">
        <v>32</v>
      </c>
      <c r="D1793" t="s">
        <v>13</v>
      </c>
      <c r="E1793" t="s">
        <v>20</v>
      </c>
      <c r="F1793" t="s">
        <v>41</v>
      </c>
      <c r="G1793" t="s">
        <v>22</v>
      </c>
      <c r="H1793">
        <v>220000</v>
      </c>
      <c r="I1793">
        <v>10</v>
      </c>
      <c r="J1793" t="s">
        <v>28</v>
      </c>
      <c r="K1793">
        <f t="shared" si="27"/>
        <v>176000</v>
      </c>
      <c r="L1793">
        <f>Sales_Data2[[#This Row],[Unit Price]]*Sales_Data2[[#This Row],[Quantity]]</f>
        <v>2200000</v>
      </c>
      <c r="M1793">
        <f>Sales_Data2[[#This Row],[Cost Price]]*Sales_Data2[[#This Row],[Quantity]]</f>
        <v>1760000</v>
      </c>
      <c r="N1793" s="3">
        <f>Sales_Data2[[#This Row],[Revenue]]-Sales_Data2[[#This Row],[COGS]]</f>
        <v>440000</v>
      </c>
      <c r="O17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47467|South|Abuja|Retail|Store|Refrigerator R55|Home Appliances|220000|10|Musa|176000</v>
      </c>
      <c r="P1793" s="3" t="str">
        <f>IF(COUNTIF(Sales_Data2[RowKey],Sales_Data2[[#This Row],[RowKey]])&gt;1,"Duplicate","Unique")</f>
        <v>Unique</v>
      </c>
      <c r="Q1793" s="3" t="str">
        <f>IF(ISNUMBER(Sales_Data2[[#This Row],[Date]]),"OK","Check")</f>
        <v>OK</v>
      </c>
      <c r="R1793" s="3" t="str">
        <f>IF(ISNUMBER(Sales_Data2[[#This Row],[Quantity]]),"OK","Check")</f>
        <v>OK</v>
      </c>
    </row>
    <row r="1794" spans="1:18">
      <c r="A1794" s="1">
        <v>47468</v>
      </c>
      <c r="B1794" t="s">
        <v>11</v>
      </c>
      <c r="C1794" t="s">
        <v>12</v>
      </c>
      <c r="D1794" t="s">
        <v>13</v>
      </c>
      <c r="E1794" t="s">
        <v>20</v>
      </c>
      <c r="F1794" t="s">
        <v>41</v>
      </c>
      <c r="G1794" t="s">
        <v>22</v>
      </c>
      <c r="H1794">
        <v>220000</v>
      </c>
      <c r="I1794">
        <v>7</v>
      </c>
      <c r="J1794" t="s">
        <v>28</v>
      </c>
      <c r="K1794">
        <f t="shared" ref="K1794:K1857" si="28">H1794-H1794*0.2</f>
        <v>176000</v>
      </c>
      <c r="L1794">
        <f>Sales_Data2[[#This Row],[Unit Price]]*Sales_Data2[[#This Row],[Quantity]]</f>
        <v>1540000</v>
      </c>
      <c r="M1794">
        <f>Sales_Data2[[#This Row],[Cost Price]]*Sales_Data2[[#This Row],[Quantity]]</f>
        <v>1232000</v>
      </c>
      <c r="N1794" s="3">
        <f>Sales_Data2[[#This Row],[Revenue]]-Sales_Data2[[#This Row],[COGS]]</f>
        <v>308000</v>
      </c>
      <c r="O17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47468|West|Port Harcourt|Retail|Store|Refrigerator R55|Home Appliances|220000|7|Musa|176000</v>
      </c>
      <c r="P1794" s="3" t="str">
        <f>IF(COUNTIF(Sales_Data2[RowKey],Sales_Data2[[#This Row],[RowKey]])&gt;1,"Duplicate","Unique")</f>
        <v>Unique</v>
      </c>
      <c r="Q1794" s="3" t="str">
        <f>IF(ISNUMBER(Sales_Data2[[#This Row],[Date]]),"OK","Check")</f>
        <v>OK</v>
      </c>
      <c r="R1794" s="3" t="str">
        <f>IF(ISNUMBER(Sales_Data2[[#This Row],[Quantity]]),"OK","Check")</f>
        <v>OK</v>
      </c>
    </row>
    <row r="1795" spans="1:18">
      <c r="A1795" s="1">
        <v>47469</v>
      </c>
      <c r="B1795" t="s">
        <v>18</v>
      </c>
      <c r="C1795" t="s">
        <v>26</v>
      </c>
      <c r="D1795" t="s">
        <v>13</v>
      </c>
      <c r="E1795" t="s">
        <v>20</v>
      </c>
      <c r="F1795" t="s">
        <v>34</v>
      </c>
      <c r="G1795" t="s">
        <v>16</v>
      </c>
      <c r="H1795">
        <v>320000</v>
      </c>
      <c r="I1795">
        <v>10</v>
      </c>
      <c r="J1795" t="s">
        <v>28</v>
      </c>
      <c r="K1795">
        <f t="shared" si="28"/>
        <v>256000</v>
      </c>
      <c r="L1795">
        <f>Sales_Data2[[#This Row],[Unit Price]]*Sales_Data2[[#This Row],[Quantity]]</f>
        <v>3200000</v>
      </c>
      <c r="M1795">
        <f>Sales_Data2[[#This Row],[Cost Price]]*Sales_Data2[[#This Row],[Quantity]]</f>
        <v>2560000</v>
      </c>
      <c r="N1795" s="3">
        <f>Sales_Data2[[#This Row],[Revenue]]-Sales_Data2[[#This Row],[COGS]]</f>
        <v>640000</v>
      </c>
      <c r="O17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47469|East|Kano|Retail|Store|Sofa Classic|Furniture|320000|10|Musa|256000</v>
      </c>
      <c r="P1795" s="3" t="str">
        <f>IF(COUNTIF(Sales_Data2[RowKey],Sales_Data2[[#This Row],[RowKey]])&gt;1,"Duplicate","Unique")</f>
        <v>Unique</v>
      </c>
      <c r="Q1795" s="3" t="str">
        <f>IF(ISNUMBER(Sales_Data2[[#This Row],[Date]]),"OK","Check")</f>
        <v>OK</v>
      </c>
      <c r="R1795" s="3" t="str">
        <f>IF(ISNUMBER(Sales_Data2[[#This Row],[Quantity]]),"OK","Check")</f>
        <v>OK</v>
      </c>
    </row>
    <row r="1796" spans="1:18">
      <c r="A1796" s="1">
        <v>47470</v>
      </c>
      <c r="B1796" t="s">
        <v>11</v>
      </c>
      <c r="C1796" t="s">
        <v>19</v>
      </c>
      <c r="D1796" t="s">
        <v>23</v>
      </c>
      <c r="E1796" t="s">
        <v>14</v>
      </c>
      <c r="F1796" t="s">
        <v>33</v>
      </c>
      <c r="G1796" t="s">
        <v>22</v>
      </c>
      <c r="H1796">
        <v>180000</v>
      </c>
      <c r="I1796">
        <v>9</v>
      </c>
      <c r="J1796" t="s">
        <v>37</v>
      </c>
      <c r="K1796">
        <f t="shared" si="28"/>
        <v>144000</v>
      </c>
      <c r="L1796">
        <f>Sales_Data2[[#This Row],[Unit Price]]*Sales_Data2[[#This Row],[Quantity]]</f>
        <v>1620000</v>
      </c>
      <c r="M1796">
        <f>Sales_Data2[[#This Row],[Cost Price]]*Sales_Data2[[#This Row],[Quantity]]</f>
        <v>1296000</v>
      </c>
      <c r="N1796" s="3">
        <f>Sales_Data2[[#This Row],[Revenue]]-Sales_Data2[[#This Row],[COGS]]</f>
        <v>324000</v>
      </c>
      <c r="O17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47470|West|Lagos|Corporate|Online|Air Conditioner X2|Home Appliances|180000|9|Aisha|144000</v>
      </c>
      <c r="P1796" s="3" t="str">
        <f>IF(COUNTIF(Sales_Data2[RowKey],Sales_Data2[[#This Row],[RowKey]])&gt;1,"Duplicate","Unique")</f>
        <v>Unique</v>
      </c>
      <c r="Q1796" s="3" t="str">
        <f>IF(ISNUMBER(Sales_Data2[[#This Row],[Date]]),"OK","Check")</f>
        <v>OK</v>
      </c>
      <c r="R1796" s="3" t="str">
        <f>IF(ISNUMBER(Sales_Data2[[#This Row],[Quantity]]),"OK","Check")</f>
        <v>OK</v>
      </c>
    </row>
    <row r="1797" spans="1:18">
      <c r="A1797" s="1">
        <v>47471</v>
      </c>
      <c r="B1797" t="s">
        <v>29</v>
      </c>
      <c r="C1797" t="s">
        <v>26</v>
      </c>
      <c r="D1797" t="s">
        <v>23</v>
      </c>
      <c r="E1797" t="s">
        <v>14</v>
      </c>
      <c r="F1797" t="s">
        <v>27</v>
      </c>
      <c r="G1797" t="s">
        <v>22</v>
      </c>
      <c r="H1797">
        <v>60000</v>
      </c>
      <c r="I1797">
        <v>4</v>
      </c>
      <c r="J1797" t="s">
        <v>39</v>
      </c>
      <c r="K1797">
        <f t="shared" si="28"/>
        <v>48000</v>
      </c>
      <c r="L1797">
        <f>Sales_Data2[[#This Row],[Unit Price]]*Sales_Data2[[#This Row],[Quantity]]</f>
        <v>240000</v>
      </c>
      <c r="M1797">
        <f>Sales_Data2[[#This Row],[Cost Price]]*Sales_Data2[[#This Row],[Quantity]]</f>
        <v>192000</v>
      </c>
      <c r="N1797" s="3">
        <f>Sales_Data2[[#This Row],[Revenue]]-Sales_Data2[[#This Row],[COGS]]</f>
        <v>48000</v>
      </c>
      <c r="O17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47471|North|Kano|Corporate|Online|Microwave M20|Home Appliances|60000|4|Grace|48000</v>
      </c>
      <c r="P1797" s="3" t="str">
        <f>IF(COUNTIF(Sales_Data2[RowKey],Sales_Data2[[#This Row],[RowKey]])&gt;1,"Duplicate","Unique")</f>
        <v>Unique</v>
      </c>
      <c r="Q1797" s="3" t="str">
        <f>IF(ISNUMBER(Sales_Data2[[#This Row],[Date]]),"OK","Check")</f>
        <v>OK</v>
      </c>
      <c r="R1797" s="3" t="str">
        <f>IF(ISNUMBER(Sales_Data2[[#This Row],[Quantity]]),"OK","Check")</f>
        <v>OK</v>
      </c>
    </row>
    <row r="1798" spans="1:18">
      <c r="A1798" s="1">
        <v>47472</v>
      </c>
      <c r="B1798" t="s">
        <v>25</v>
      </c>
      <c r="C1798" t="s">
        <v>26</v>
      </c>
      <c r="D1798" t="s">
        <v>23</v>
      </c>
      <c r="E1798" t="s">
        <v>20</v>
      </c>
      <c r="F1798" t="s">
        <v>40</v>
      </c>
      <c r="G1798" t="s">
        <v>31</v>
      </c>
      <c r="H1798">
        <v>250000</v>
      </c>
      <c r="I1798">
        <v>10</v>
      </c>
      <c r="J1798" t="s">
        <v>39</v>
      </c>
      <c r="K1798">
        <f t="shared" si="28"/>
        <v>200000</v>
      </c>
      <c r="L1798">
        <f>Sales_Data2[[#This Row],[Unit Price]]*Sales_Data2[[#This Row],[Quantity]]</f>
        <v>2500000</v>
      </c>
      <c r="M1798">
        <f>Sales_Data2[[#This Row],[Cost Price]]*Sales_Data2[[#This Row],[Quantity]]</f>
        <v>2000000</v>
      </c>
      <c r="N1798" s="3">
        <f>Sales_Data2[[#This Row],[Revenue]]-Sales_Data2[[#This Row],[COGS]]</f>
        <v>500000</v>
      </c>
      <c r="O17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47472|South|Kano|Corporate|Store|Smartphone Z10|Electronics|250000|10|Grace|200000</v>
      </c>
      <c r="P1798" s="3" t="str">
        <f>IF(COUNTIF(Sales_Data2[RowKey],Sales_Data2[[#This Row],[RowKey]])&gt;1,"Duplicate","Unique")</f>
        <v>Unique</v>
      </c>
      <c r="Q1798" s="3" t="str">
        <f>IF(ISNUMBER(Sales_Data2[[#This Row],[Date]]),"OK","Check")</f>
        <v>OK</v>
      </c>
      <c r="R1798" s="3" t="str">
        <f>IF(ISNUMBER(Sales_Data2[[#This Row],[Quantity]]),"OK","Check")</f>
        <v>OK</v>
      </c>
    </row>
    <row r="1799" spans="1:18">
      <c r="A1799" s="1">
        <v>47473</v>
      </c>
      <c r="B1799" t="s">
        <v>29</v>
      </c>
      <c r="C1799" t="s">
        <v>26</v>
      </c>
      <c r="D1799" t="s">
        <v>23</v>
      </c>
      <c r="E1799" t="s">
        <v>14</v>
      </c>
      <c r="F1799" t="s">
        <v>34</v>
      </c>
      <c r="G1799" t="s">
        <v>16</v>
      </c>
      <c r="H1799">
        <v>320000</v>
      </c>
      <c r="I1799">
        <v>2</v>
      </c>
      <c r="J1799" t="s">
        <v>28</v>
      </c>
      <c r="K1799">
        <f t="shared" si="28"/>
        <v>256000</v>
      </c>
      <c r="L1799">
        <f>Sales_Data2[[#This Row],[Unit Price]]*Sales_Data2[[#This Row],[Quantity]]</f>
        <v>640000</v>
      </c>
      <c r="M1799">
        <f>Sales_Data2[[#This Row],[Cost Price]]*Sales_Data2[[#This Row],[Quantity]]</f>
        <v>512000</v>
      </c>
      <c r="N1799" s="3">
        <f>Sales_Data2[[#This Row],[Revenue]]-Sales_Data2[[#This Row],[COGS]]</f>
        <v>128000</v>
      </c>
      <c r="O17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47473|North|Kano|Corporate|Online|Sofa Classic|Furniture|320000|2|Musa|256000</v>
      </c>
      <c r="P1799" s="3" t="str">
        <f>IF(COUNTIF(Sales_Data2[RowKey],Sales_Data2[[#This Row],[RowKey]])&gt;1,"Duplicate","Unique")</f>
        <v>Unique</v>
      </c>
      <c r="Q1799" s="3" t="str">
        <f>IF(ISNUMBER(Sales_Data2[[#This Row],[Date]]),"OK","Check")</f>
        <v>OK</v>
      </c>
      <c r="R1799" s="3" t="str">
        <f>IF(ISNUMBER(Sales_Data2[[#This Row],[Quantity]]),"OK","Check")</f>
        <v>OK</v>
      </c>
    </row>
    <row r="1800" spans="1:18">
      <c r="A1800" s="1">
        <v>47474</v>
      </c>
      <c r="B1800" t="s">
        <v>25</v>
      </c>
      <c r="C1800" t="s">
        <v>32</v>
      </c>
      <c r="D1800" t="s">
        <v>23</v>
      </c>
      <c r="E1800" t="s">
        <v>20</v>
      </c>
      <c r="F1800" t="s">
        <v>38</v>
      </c>
      <c r="G1800" t="s">
        <v>31</v>
      </c>
      <c r="H1800">
        <v>420000</v>
      </c>
      <c r="I1800">
        <v>7</v>
      </c>
      <c r="J1800" t="s">
        <v>35</v>
      </c>
      <c r="K1800">
        <f t="shared" si="28"/>
        <v>336000</v>
      </c>
      <c r="L1800">
        <f>Sales_Data2[[#This Row],[Unit Price]]*Sales_Data2[[#This Row],[Quantity]]</f>
        <v>2940000</v>
      </c>
      <c r="M1800">
        <f>Sales_Data2[[#This Row],[Cost Price]]*Sales_Data2[[#This Row],[Quantity]]</f>
        <v>2352000</v>
      </c>
      <c r="N1800" s="3">
        <f>Sales_Data2[[#This Row],[Revenue]]-Sales_Data2[[#This Row],[COGS]]</f>
        <v>588000</v>
      </c>
      <c r="O18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47474|South|Abuja|Corporate|Store|Laptop A13|Electronics|420000|7|Peter|336000</v>
      </c>
      <c r="P1800" s="3" t="str">
        <f>IF(COUNTIF(Sales_Data2[RowKey],Sales_Data2[[#This Row],[RowKey]])&gt;1,"Duplicate","Unique")</f>
        <v>Unique</v>
      </c>
      <c r="Q1800" s="3" t="str">
        <f>IF(ISNUMBER(Sales_Data2[[#This Row],[Date]]),"OK","Check")</f>
        <v>OK</v>
      </c>
      <c r="R1800" s="3" t="str">
        <f>IF(ISNUMBER(Sales_Data2[[#This Row],[Quantity]]),"OK","Check")</f>
        <v>OK</v>
      </c>
    </row>
    <row r="1801" spans="1:18">
      <c r="A1801" s="1">
        <v>47475</v>
      </c>
      <c r="B1801" t="s">
        <v>29</v>
      </c>
      <c r="C1801" t="s">
        <v>26</v>
      </c>
      <c r="D1801" t="s">
        <v>23</v>
      </c>
      <c r="E1801" t="s">
        <v>20</v>
      </c>
      <c r="F1801" t="s">
        <v>30</v>
      </c>
      <c r="G1801" t="s">
        <v>31</v>
      </c>
      <c r="H1801">
        <v>300000</v>
      </c>
      <c r="I1801">
        <v>5</v>
      </c>
      <c r="J1801" t="s">
        <v>35</v>
      </c>
      <c r="K1801">
        <f t="shared" si="28"/>
        <v>240000</v>
      </c>
      <c r="L1801">
        <f>Sales_Data2[[#This Row],[Unit Price]]*Sales_Data2[[#This Row],[Quantity]]</f>
        <v>1500000</v>
      </c>
      <c r="M1801">
        <f>Sales_Data2[[#This Row],[Cost Price]]*Sales_Data2[[#This Row],[Quantity]]</f>
        <v>1200000</v>
      </c>
      <c r="N1801" s="3">
        <f>Sales_Data2[[#This Row],[Revenue]]-Sales_Data2[[#This Row],[COGS]]</f>
        <v>300000</v>
      </c>
      <c r="O18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47475|North|Kano|Corporate|Store|Desktop PC D21|Electronics|300000|5|Peter|240000</v>
      </c>
      <c r="P1801" s="3" t="str">
        <f>IF(COUNTIF(Sales_Data2[RowKey],Sales_Data2[[#This Row],[RowKey]])&gt;1,"Duplicate","Unique")</f>
        <v>Unique</v>
      </c>
      <c r="Q1801" s="3" t="str">
        <f>IF(ISNUMBER(Sales_Data2[[#This Row],[Date]]),"OK","Check")</f>
        <v>OK</v>
      </c>
      <c r="R1801" s="3" t="str">
        <f>IF(ISNUMBER(Sales_Data2[[#This Row],[Quantity]]),"OK","Check")</f>
        <v>OK</v>
      </c>
    </row>
    <row r="1802" spans="1:18">
      <c r="A1802" s="1">
        <v>47476</v>
      </c>
      <c r="B1802" t="s">
        <v>25</v>
      </c>
      <c r="C1802" t="s">
        <v>12</v>
      </c>
      <c r="D1802" t="s">
        <v>23</v>
      </c>
      <c r="E1802" t="s">
        <v>20</v>
      </c>
      <c r="F1802" t="s">
        <v>27</v>
      </c>
      <c r="G1802" t="s">
        <v>22</v>
      </c>
      <c r="H1802">
        <v>60000</v>
      </c>
      <c r="I1802">
        <v>5</v>
      </c>
      <c r="J1802" t="s">
        <v>37</v>
      </c>
      <c r="K1802">
        <f t="shared" si="28"/>
        <v>48000</v>
      </c>
      <c r="L1802">
        <f>Sales_Data2[[#This Row],[Unit Price]]*Sales_Data2[[#This Row],[Quantity]]</f>
        <v>300000</v>
      </c>
      <c r="M1802">
        <f>Sales_Data2[[#This Row],[Cost Price]]*Sales_Data2[[#This Row],[Quantity]]</f>
        <v>240000</v>
      </c>
      <c r="N1802" s="3">
        <f>Sales_Data2[[#This Row],[Revenue]]-Sales_Data2[[#This Row],[COGS]]</f>
        <v>60000</v>
      </c>
      <c r="O18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47476|South|Port Harcourt|Corporate|Store|Microwave M20|Home Appliances|60000|5|Aisha|48000</v>
      </c>
      <c r="P1802" s="3" t="str">
        <f>IF(COUNTIF(Sales_Data2[RowKey],Sales_Data2[[#This Row],[RowKey]])&gt;1,"Duplicate","Unique")</f>
        <v>Unique</v>
      </c>
      <c r="Q1802" s="3" t="str">
        <f>IF(ISNUMBER(Sales_Data2[[#This Row],[Date]]),"OK","Check")</f>
        <v>OK</v>
      </c>
      <c r="R1802" s="3" t="str">
        <f>IF(ISNUMBER(Sales_Data2[[#This Row],[Quantity]]),"OK","Check")</f>
        <v>OK</v>
      </c>
    </row>
    <row r="1803" spans="1:18">
      <c r="A1803" s="1">
        <v>47477</v>
      </c>
      <c r="B1803" t="s">
        <v>18</v>
      </c>
      <c r="C1803" t="s">
        <v>12</v>
      </c>
      <c r="D1803" t="s">
        <v>13</v>
      </c>
      <c r="E1803" t="s">
        <v>20</v>
      </c>
      <c r="F1803" t="s">
        <v>38</v>
      </c>
      <c r="G1803" t="s">
        <v>31</v>
      </c>
      <c r="H1803">
        <v>420000</v>
      </c>
      <c r="I1803">
        <v>9</v>
      </c>
      <c r="J1803" t="s">
        <v>28</v>
      </c>
      <c r="K1803">
        <f t="shared" si="28"/>
        <v>336000</v>
      </c>
      <c r="L1803">
        <f>Sales_Data2[[#This Row],[Unit Price]]*Sales_Data2[[#This Row],[Quantity]]</f>
        <v>3780000</v>
      </c>
      <c r="M1803">
        <f>Sales_Data2[[#This Row],[Cost Price]]*Sales_Data2[[#This Row],[Quantity]]</f>
        <v>3024000</v>
      </c>
      <c r="N1803" s="3">
        <f>Sales_Data2[[#This Row],[Revenue]]-Sales_Data2[[#This Row],[COGS]]</f>
        <v>756000</v>
      </c>
      <c r="O18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47477|East|Port Harcourt|Retail|Store|Laptop A13|Electronics|420000|9|Musa|336000</v>
      </c>
      <c r="P1803" s="3" t="str">
        <f>IF(COUNTIF(Sales_Data2[RowKey],Sales_Data2[[#This Row],[RowKey]])&gt;1,"Duplicate","Unique")</f>
        <v>Unique</v>
      </c>
      <c r="Q1803" s="3" t="str">
        <f>IF(ISNUMBER(Sales_Data2[[#This Row],[Date]]),"OK","Check")</f>
        <v>OK</v>
      </c>
      <c r="R1803" s="3" t="str">
        <f>IF(ISNUMBER(Sales_Data2[[#This Row],[Quantity]]),"OK","Check")</f>
        <v>OK</v>
      </c>
    </row>
    <row r="1804" spans="1:18">
      <c r="A1804" s="1">
        <v>47478</v>
      </c>
      <c r="B1804" t="s">
        <v>25</v>
      </c>
      <c r="C1804" t="s">
        <v>12</v>
      </c>
      <c r="D1804" t="s">
        <v>13</v>
      </c>
      <c r="E1804" t="s">
        <v>20</v>
      </c>
      <c r="F1804" t="s">
        <v>40</v>
      </c>
      <c r="G1804" t="s">
        <v>31</v>
      </c>
      <c r="H1804">
        <v>250000</v>
      </c>
      <c r="I1804">
        <v>9</v>
      </c>
      <c r="J1804" t="s">
        <v>39</v>
      </c>
      <c r="K1804">
        <f t="shared" si="28"/>
        <v>200000</v>
      </c>
      <c r="L1804">
        <f>Sales_Data2[[#This Row],[Unit Price]]*Sales_Data2[[#This Row],[Quantity]]</f>
        <v>2250000</v>
      </c>
      <c r="M1804">
        <f>Sales_Data2[[#This Row],[Cost Price]]*Sales_Data2[[#This Row],[Quantity]]</f>
        <v>1800000</v>
      </c>
      <c r="N1804" s="3">
        <f>Sales_Data2[[#This Row],[Revenue]]-Sales_Data2[[#This Row],[COGS]]</f>
        <v>450000</v>
      </c>
      <c r="O18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47478|South|Port Harcourt|Retail|Store|Smartphone Z10|Electronics|250000|9|Grace|200000</v>
      </c>
      <c r="P1804" s="3" t="str">
        <f>IF(COUNTIF(Sales_Data2[RowKey],Sales_Data2[[#This Row],[RowKey]])&gt;1,"Duplicate","Unique")</f>
        <v>Unique</v>
      </c>
      <c r="Q1804" s="3" t="str">
        <f>IF(ISNUMBER(Sales_Data2[[#This Row],[Date]]),"OK","Check")</f>
        <v>OK</v>
      </c>
      <c r="R1804" s="3" t="str">
        <f>IF(ISNUMBER(Sales_Data2[[#This Row],[Quantity]]),"OK","Check")</f>
        <v>OK</v>
      </c>
    </row>
    <row r="1805" spans="1:18">
      <c r="A1805" s="1">
        <v>47479</v>
      </c>
      <c r="B1805" t="s">
        <v>11</v>
      </c>
      <c r="C1805" t="s">
        <v>32</v>
      </c>
      <c r="D1805" t="s">
        <v>13</v>
      </c>
      <c r="E1805" t="s">
        <v>20</v>
      </c>
      <c r="F1805" t="s">
        <v>41</v>
      </c>
      <c r="G1805" t="s">
        <v>22</v>
      </c>
      <c r="H1805">
        <v>220000</v>
      </c>
      <c r="I1805">
        <v>1</v>
      </c>
      <c r="J1805" t="s">
        <v>39</v>
      </c>
      <c r="K1805">
        <f t="shared" si="28"/>
        <v>176000</v>
      </c>
      <c r="L1805">
        <f>Sales_Data2[[#This Row],[Unit Price]]*Sales_Data2[[#This Row],[Quantity]]</f>
        <v>220000</v>
      </c>
      <c r="M1805">
        <f>Sales_Data2[[#This Row],[Cost Price]]*Sales_Data2[[#This Row],[Quantity]]</f>
        <v>176000</v>
      </c>
      <c r="N1805" s="3">
        <f>Sales_Data2[[#This Row],[Revenue]]-Sales_Data2[[#This Row],[COGS]]</f>
        <v>44000</v>
      </c>
      <c r="O18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47479|West|Abuja|Retail|Store|Refrigerator R55|Home Appliances|220000|1|Grace|176000</v>
      </c>
      <c r="P1805" s="3" t="str">
        <f>IF(COUNTIF(Sales_Data2[RowKey],Sales_Data2[[#This Row],[RowKey]])&gt;1,"Duplicate","Unique")</f>
        <v>Unique</v>
      </c>
      <c r="Q1805" s="3" t="str">
        <f>IF(ISNUMBER(Sales_Data2[[#This Row],[Date]]),"OK","Check")</f>
        <v>OK</v>
      </c>
      <c r="R1805" s="3" t="str">
        <f>IF(ISNUMBER(Sales_Data2[[#This Row],[Quantity]]),"OK","Check")</f>
        <v>OK</v>
      </c>
    </row>
    <row r="1806" spans="1:18">
      <c r="A1806" s="1">
        <v>47480</v>
      </c>
      <c r="B1806" t="s">
        <v>11</v>
      </c>
      <c r="C1806" t="s">
        <v>19</v>
      </c>
      <c r="D1806" t="s">
        <v>13</v>
      </c>
      <c r="E1806" t="s">
        <v>20</v>
      </c>
      <c r="F1806" t="s">
        <v>41</v>
      </c>
      <c r="G1806" t="s">
        <v>22</v>
      </c>
      <c r="H1806">
        <v>220000</v>
      </c>
      <c r="I1806">
        <v>3</v>
      </c>
      <c r="J1806" t="s">
        <v>39</v>
      </c>
      <c r="K1806">
        <f t="shared" si="28"/>
        <v>176000</v>
      </c>
      <c r="L1806">
        <f>Sales_Data2[[#This Row],[Unit Price]]*Sales_Data2[[#This Row],[Quantity]]</f>
        <v>660000</v>
      </c>
      <c r="M1806">
        <f>Sales_Data2[[#This Row],[Cost Price]]*Sales_Data2[[#This Row],[Quantity]]</f>
        <v>528000</v>
      </c>
      <c r="N1806" s="3">
        <f>Sales_Data2[[#This Row],[Revenue]]-Sales_Data2[[#This Row],[COGS]]</f>
        <v>132000</v>
      </c>
      <c r="O18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47480|West|Lagos|Retail|Store|Refrigerator R55|Home Appliances|220000|3|Grace|176000</v>
      </c>
      <c r="P1806" s="3" t="str">
        <f>IF(COUNTIF(Sales_Data2[RowKey],Sales_Data2[[#This Row],[RowKey]])&gt;1,"Duplicate","Unique")</f>
        <v>Unique</v>
      </c>
      <c r="Q1806" s="3" t="str">
        <f>IF(ISNUMBER(Sales_Data2[[#This Row],[Date]]),"OK","Check")</f>
        <v>OK</v>
      </c>
      <c r="R1806" s="3" t="str">
        <f>IF(ISNUMBER(Sales_Data2[[#This Row],[Quantity]]),"OK","Check")</f>
        <v>OK</v>
      </c>
    </row>
    <row r="1807" spans="1:18">
      <c r="A1807" s="1">
        <v>47481</v>
      </c>
      <c r="B1807" t="s">
        <v>11</v>
      </c>
      <c r="C1807" t="s">
        <v>19</v>
      </c>
      <c r="D1807" t="s">
        <v>23</v>
      </c>
      <c r="E1807" t="s">
        <v>20</v>
      </c>
      <c r="F1807" t="s">
        <v>40</v>
      </c>
      <c r="G1807" t="s">
        <v>31</v>
      </c>
      <c r="H1807">
        <v>250000</v>
      </c>
      <c r="I1807">
        <v>8</v>
      </c>
      <c r="J1807" t="s">
        <v>28</v>
      </c>
      <c r="K1807">
        <f t="shared" si="28"/>
        <v>200000</v>
      </c>
      <c r="L1807">
        <f>Sales_Data2[[#This Row],[Unit Price]]*Sales_Data2[[#This Row],[Quantity]]</f>
        <v>2000000</v>
      </c>
      <c r="M1807">
        <f>Sales_Data2[[#This Row],[Cost Price]]*Sales_Data2[[#This Row],[Quantity]]</f>
        <v>1600000</v>
      </c>
      <c r="N1807" s="3">
        <f>Sales_Data2[[#This Row],[Revenue]]-Sales_Data2[[#This Row],[COGS]]</f>
        <v>400000</v>
      </c>
      <c r="O18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47481|West|Lagos|Corporate|Store|Smartphone Z10|Electronics|250000|8|Musa|200000</v>
      </c>
      <c r="P1807" s="3" t="str">
        <f>IF(COUNTIF(Sales_Data2[RowKey],Sales_Data2[[#This Row],[RowKey]])&gt;1,"Duplicate","Unique")</f>
        <v>Unique</v>
      </c>
      <c r="Q1807" s="3" t="str">
        <f>IF(ISNUMBER(Sales_Data2[[#This Row],[Date]]),"OK","Check")</f>
        <v>OK</v>
      </c>
      <c r="R1807" s="3" t="str">
        <f>IF(ISNUMBER(Sales_Data2[[#This Row],[Quantity]]),"OK","Check")</f>
        <v>OK</v>
      </c>
    </row>
    <row r="1808" spans="1:18">
      <c r="A1808" s="1">
        <v>47482</v>
      </c>
      <c r="B1808" t="s">
        <v>11</v>
      </c>
      <c r="C1808" t="s">
        <v>26</v>
      </c>
      <c r="D1808" t="s">
        <v>13</v>
      </c>
      <c r="E1808" t="s">
        <v>20</v>
      </c>
      <c r="F1808" t="s">
        <v>21</v>
      </c>
      <c r="G1808" t="s">
        <v>22</v>
      </c>
      <c r="H1808">
        <v>30000</v>
      </c>
      <c r="I1808">
        <v>1</v>
      </c>
      <c r="J1808" t="s">
        <v>35</v>
      </c>
      <c r="K1808">
        <f t="shared" si="28"/>
        <v>24000</v>
      </c>
      <c r="L1808">
        <f>Sales_Data2[[#This Row],[Unit Price]]*Sales_Data2[[#This Row],[Quantity]]</f>
        <v>30000</v>
      </c>
      <c r="M1808">
        <f>Sales_Data2[[#This Row],[Cost Price]]*Sales_Data2[[#This Row],[Quantity]]</f>
        <v>24000</v>
      </c>
      <c r="N1808" s="3">
        <f>Sales_Data2[[#This Row],[Revenue]]-Sales_Data2[[#This Row],[COGS]]</f>
        <v>6000</v>
      </c>
      <c r="O18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47482|West|Kano|Retail|Store|Blender B10|Home Appliances|30000|1|Peter|24000</v>
      </c>
      <c r="P1808" s="3" t="str">
        <f>IF(COUNTIF(Sales_Data2[RowKey],Sales_Data2[[#This Row],[RowKey]])&gt;1,"Duplicate","Unique")</f>
        <v>Unique</v>
      </c>
      <c r="Q1808" s="3" t="str">
        <f>IF(ISNUMBER(Sales_Data2[[#This Row],[Date]]),"OK","Check")</f>
        <v>OK</v>
      </c>
      <c r="R1808" s="3" t="str">
        <f>IF(ISNUMBER(Sales_Data2[[#This Row],[Quantity]]),"OK","Check")</f>
        <v>OK</v>
      </c>
    </row>
    <row r="1809" spans="1:18">
      <c r="A1809" s="1">
        <v>47483</v>
      </c>
      <c r="B1809" t="s">
        <v>11</v>
      </c>
      <c r="C1809" t="s">
        <v>32</v>
      </c>
      <c r="D1809" t="s">
        <v>23</v>
      </c>
      <c r="E1809" t="s">
        <v>20</v>
      </c>
      <c r="F1809" t="s">
        <v>21</v>
      </c>
      <c r="G1809" t="s">
        <v>22</v>
      </c>
      <c r="H1809">
        <v>30000</v>
      </c>
      <c r="I1809">
        <v>1</v>
      </c>
      <c r="J1809" t="s">
        <v>37</v>
      </c>
      <c r="K1809">
        <f t="shared" si="28"/>
        <v>24000</v>
      </c>
      <c r="L1809">
        <f>Sales_Data2[[#This Row],[Unit Price]]*Sales_Data2[[#This Row],[Quantity]]</f>
        <v>30000</v>
      </c>
      <c r="M1809">
        <f>Sales_Data2[[#This Row],[Cost Price]]*Sales_Data2[[#This Row],[Quantity]]</f>
        <v>24000</v>
      </c>
      <c r="N1809" s="3">
        <f>Sales_Data2[[#This Row],[Revenue]]-Sales_Data2[[#This Row],[COGS]]</f>
        <v>6000</v>
      </c>
      <c r="O18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47483|West|Abuja|Corporate|Store|Blender B10|Home Appliances|30000|1|Aisha|24000</v>
      </c>
      <c r="P1809" s="3" t="str">
        <f>IF(COUNTIF(Sales_Data2[RowKey],Sales_Data2[[#This Row],[RowKey]])&gt;1,"Duplicate","Unique")</f>
        <v>Unique</v>
      </c>
      <c r="Q1809" s="3" t="str">
        <f>IF(ISNUMBER(Sales_Data2[[#This Row],[Date]]),"OK","Check")</f>
        <v>OK</v>
      </c>
      <c r="R1809" s="3" t="str">
        <f>IF(ISNUMBER(Sales_Data2[[#This Row],[Quantity]]),"OK","Check")</f>
        <v>OK</v>
      </c>
    </row>
    <row r="1810" spans="1:18">
      <c r="A1810" s="1">
        <v>47484</v>
      </c>
      <c r="B1810" t="s">
        <v>29</v>
      </c>
      <c r="C1810" t="s">
        <v>26</v>
      </c>
      <c r="D1810" t="s">
        <v>13</v>
      </c>
      <c r="E1810" t="s">
        <v>20</v>
      </c>
      <c r="F1810" t="s">
        <v>21</v>
      </c>
      <c r="G1810" t="s">
        <v>22</v>
      </c>
      <c r="H1810">
        <v>30000</v>
      </c>
      <c r="I1810">
        <v>8</v>
      </c>
      <c r="J1810" t="s">
        <v>17</v>
      </c>
      <c r="K1810">
        <f t="shared" si="28"/>
        <v>24000</v>
      </c>
      <c r="L1810">
        <f>Sales_Data2[[#This Row],[Unit Price]]*Sales_Data2[[#This Row],[Quantity]]</f>
        <v>240000</v>
      </c>
      <c r="M1810">
        <f>Sales_Data2[[#This Row],[Cost Price]]*Sales_Data2[[#This Row],[Quantity]]</f>
        <v>192000</v>
      </c>
      <c r="N1810" s="3">
        <f>Sales_Data2[[#This Row],[Revenue]]-Sales_Data2[[#This Row],[COGS]]</f>
        <v>48000</v>
      </c>
      <c r="O18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47484|North|Kano|Retail|Store|Blender B10|Home Appliances|30000|8|Chidinma|24000</v>
      </c>
      <c r="P1810" s="3" t="str">
        <f>IF(COUNTIF(Sales_Data2[RowKey],Sales_Data2[[#This Row],[RowKey]])&gt;1,"Duplicate","Unique")</f>
        <v>Unique</v>
      </c>
      <c r="Q1810" s="3" t="str">
        <f>IF(ISNUMBER(Sales_Data2[[#This Row],[Date]]),"OK","Check")</f>
        <v>OK</v>
      </c>
      <c r="R1810" s="3" t="str">
        <f>IF(ISNUMBER(Sales_Data2[[#This Row],[Quantity]]),"OK","Check")</f>
        <v>OK</v>
      </c>
    </row>
    <row r="1811" spans="1:18">
      <c r="A1811" s="1">
        <v>47485</v>
      </c>
      <c r="B1811" t="s">
        <v>11</v>
      </c>
      <c r="C1811" t="s">
        <v>12</v>
      </c>
      <c r="D1811" t="s">
        <v>13</v>
      </c>
      <c r="E1811" t="s">
        <v>20</v>
      </c>
      <c r="F1811" t="s">
        <v>27</v>
      </c>
      <c r="G1811" t="s">
        <v>22</v>
      </c>
      <c r="H1811">
        <v>60000</v>
      </c>
      <c r="I1811">
        <v>6</v>
      </c>
      <c r="J1811" t="s">
        <v>35</v>
      </c>
      <c r="K1811">
        <f t="shared" si="28"/>
        <v>48000</v>
      </c>
      <c r="L1811">
        <f>Sales_Data2[[#This Row],[Unit Price]]*Sales_Data2[[#This Row],[Quantity]]</f>
        <v>360000</v>
      </c>
      <c r="M1811">
        <f>Sales_Data2[[#This Row],[Cost Price]]*Sales_Data2[[#This Row],[Quantity]]</f>
        <v>288000</v>
      </c>
      <c r="N1811" s="3">
        <f>Sales_Data2[[#This Row],[Revenue]]-Sales_Data2[[#This Row],[COGS]]</f>
        <v>72000</v>
      </c>
      <c r="O18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47485|West|Port Harcourt|Retail|Store|Microwave M20|Home Appliances|60000|6|Peter|48000</v>
      </c>
      <c r="P1811" s="3" t="str">
        <f>IF(COUNTIF(Sales_Data2[RowKey],Sales_Data2[[#This Row],[RowKey]])&gt;1,"Duplicate","Unique")</f>
        <v>Unique</v>
      </c>
      <c r="Q1811" s="3" t="str">
        <f>IF(ISNUMBER(Sales_Data2[[#This Row],[Date]]),"OK","Check")</f>
        <v>OK</v>
      </c>
      <c r="R1811" s="3" t="str">
        <f>IF(ISNUMBER(Sales_Data2[[#This Row],[Quantity]]),"OK","Check")</f>
        <v>OK</v>
      </c>
    </row>
    <row r="1812" spans="1:18">
      <c r="A1812" s="1">
        <v>47486</v>
      </c>
      <c r="B1812" t="s">
        <v>11</v>
      </c>
      <c r="C1812" t="s">
        <v>12</v>
      </c>
      <c r="D1812" t="s">
        <v>23</v>
      </c>
      <c r="E1812" t="s">
        <v>20</v>
      </c>
      <c r="F1812" t="s">
        <v>40</v>
      </c>
      <c r="G1812" t="s">
        <v>31</v>
      </c>
      <c r="H1812">
        <v>250000</v>
      </c>
      <c r="I1812">
        <v>5</v>
      </c>
      <c r="J1812" t="s">
        <v>24</v>
      </c>
      <c r="K1812">
        <f t="shared" si="28"/>
        <v>200000</v>
      </c>
      <c r="L1812">
        <f>Sales_Data2[[#This Row],[Unit Price]]*Sales_Data2[[#This Row],[Quantity]]</f>
        <v>1250000</v>
      </c>
      <c r="M1812">
        <f>Sales_Data2[[#This Row],[Cost Price]]*Sales_Data2[[#This Row],[Quantity]]</f>
        <v>1000000</v>
      </c>
      <c r="N1812" s="3">
        <f>Sales_Data2[[#This Row],[Revenue]]-Sales_Data2[[#This Row],[COGS]]</f>
        <v>250000</v>
      </c>
      <c r="O18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47486|West|Port Harcourt|Corporate|Store|Smartphone Z10|Electronics|250000|5|David|200000</v>
      </c>
      <c r="P1812" s="3" t="str">
        <f>IF(COUNTIF(Sales_Data2[RowKey],Sales_Data2[[#This Row],[RowKey]])&gt;1,"Duplicate","Unique")</f>
        <v>Unique</v>
      </c>
      <c r="Q1812" s="3" t="str">
        <f>IF(ISNUMBER(Sales_Data2[[#This Row],[Date]]),"OK","Check")</f>
        <v>OK</v>
      </c>
      <c r="R1812" s="3" t="str">
        <f>IF(ISNUMBER(Sales_Data2[[#This Row],[Quantity]]),"OK","Check")</f>
        <v>OK</v>
      </c>
    </row>
    <row r="1813" spans="1:18">
      <c r="A1813" s="1">
        <v>47487</v>
      </c>
      <c r="B1813" t="s">
        <v>25</v>
      </c>
      <c r="C1813" t="s">
        <v>32</v>
      </c>
      <c r="D1813" t="s">
        <v>13</v>
      </c>
      <c r="E1813" t="s">
        <v>20</v>
      </c>
      <c r="F1813" t="s">
        <v>21</v>
      </c>
      <c r="G1813" t="s">
        <v>22</v>
      </c>
      <c r="H1813">
        <v>30000</v>
      </c>
      <c r="I1813">
        <v>1</v>
      </c>
      <c r="J1813" t="s">
        <v>37</v>
      </c>
      <c r="K1813">
        <f t="shared" si="28"/>
        <v>24000</v>
      </c>
      <c r="L1813">
        <f>Sales_Data2[[#This Row],[Unit Price]]*Sales_Data2[[#This Row],[Quantity]]</f>
        <v>30000</v>
      </c>
      <c r="M1813">
        <f>Sales_Data2[[#This Row],[Cost Price]]*Sales_Data2[[#This Row],[Quantity]]</f>
        <v>24000</v>
      </c>
      <c r="N1813" s="3">
        <f>Sales_Data2[[#This Row],[Revenue]]-Sales_Data2[[#This Row],[COGS]]</f>
        <v>6000</v>
      </c>
      <c r="O18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47487|South|Abuja|Retail|Store|Blender B10|Home Appliances|30000|1|Aisha|24000</v>
      </c>
      <c r="P1813" s="3" t="str">
        <f>IF(COUNTIF(Sales_Data2[RowKey],Sales_Data2[[#This Row],[RowKey]])&gt;1,"Duplicate","Unique")</f>
        <v>Unique</v>
      </c>
      <c r="Q1813" s="3" t="str">
        <f>IF(ISNUMBER(Sales_Data2[[#This Row],[Date]]),"OK","Check")</f>
        <v>OK</v>
      </c>
      <c r="R1813" s="3" t="str">
        <f>IF(ISNUMBER(Sales_Data2[[#This Row],[Quantity]]),"OK","Check")</f>
        <v>OK</v>
      </c>
    </row>
    <row r="1814" spans="1:18">
      <c r="A1814" s="1">
        <v>47488</v>
      </c>
      <c r="B1814" t="s">
        <v>25</v>
      </c>
      <c r="C1814" t="s">
        <v>26</v>
      </c>
      <c r="D1814" t="s">
        <v>23</v>
      </c>
      <c r="E1814" t="s">
        <v>20</v>
      </c>
      <c r="F1814" t="s">
        <v>36</v>
      </c>
      <c r="G1814" t="s">
        <v>31</v>
      </c>
      <c r="H1814">
        <v>150000</v>
      </c>
      <c r="I1814">
        <v>9</v>
      </c>
      <c r="J1814" t="s">
        <v>37</v>
      </c>
      <c r="K1814">
        <f t="shared" si="28"/>
        <v>120000</v>
      </c>
      <c r="L1814">
        <f>Sales_Data2[[#This Row],[Unit Price]]*Sales_Data2[[#This Row],[Quantity]]</f>
        <v>1350000</v>
      </c>
      <c r="M1814">
        <f>Sales_Data2[[#This Row],[Cost Price]]*Sales_Data2[[#This Row],[Quantity]]</f>
        <v>1080000</v>
      </c>
      <c r="N1814" s="3">
        <f>Sales_Data2[[#This Row],[Revenue]]-Sales_Data2[[#This Row],[COGS]]</f>
        <v>270000</v>
      </c>
      <c r="O18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47488|South|Kano|Corporate|Store|Printer P50|Electronics|150000|9|Aisha|120000</v>
      </c>
      <c r="P1814" s="3" t="str">
        <f>IF(COUNTIF(Sales_Data2[RowKey],Sales_Data2[[#This Row],[RowKey]])&gt;1,"Duplicate","Unique")</f>
        <v>Unique</v>
      </c>
      <c r="Q1814" s="3" t="str">
        <f>IF(ISNUMBER(Sales_Data2[[#This Row],[Date]]),"OK","Check")</f>
        <v>OK</v>
      </c>
      <c r="R1814" s="3" t="str">
        <f>IF(ISNUMBER(Sales_Data2[[#This Row],[Quantity]]),"OK","Check")</f>
        <v>OK</v>
      </c>
    </row>
    <row r="1815" spans="1:18">
      <c r="A1815" s="1">
        <v>47489</v>
      </c>
      <c r="B1815" t="s">
        <v>18</v>
      </c>
      <c r="C1815" t="s">
        <v>32</v>
      </c>
      <c r="D1815" t="s">
        <v>13</v>
      </c>
      <c r="E1815" t="s">
        <v>20</v>
      </c>
      <c r="F1815" t="s">
        <v>33</v>
      </c>
      <c r="G1815" t="s">
        <v>22</v>
      </c>
      <c r="H1815">
        <v>180000</v>
      </c>
      <c r="I1815">
        <v>2</v>
      </c>
      <c r="J1815" t="s">
        <v>37</v>
      </c>
      <c r="K1815">
        <f t="shared" si="28"/>
        <v>144000</v>
      </c>
      <c r="L1815">
        <f>Sales_Data2[[#This Row],[Unit Price]]*Sales_Data2[[#This Row],[Quantity]]</f>
        <v>360000</v>
      </c>
      <c r="M1815">
        <f>Sales_Data2[[#This Row],[Cost Price]]*Sales_Data2[[#This Row],[Quantity]]</f>
        <v>288000</v>
      </c>
      <c r="N1815" s="3">
        <f>Sales_Data2[[#This Row],[Revenue]]-Sales_Data2[[#This Row],[COGS]]</f>
        <v>72000</v>
      </c>
      <c r="O18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47489|East|Abuja|Retail|Store|Air Conditioner X2|Home Appliances|180000|2|Aisha|144000</v>
      </c>
      <c r="P1815" s="3" t="str">
        <f>IF(COUNTIF(Sales_Data2[RowKey],Sales_Data2[[#This Row],[RowKey]])&gt;1,"Duplicate","Unique")</f>
        <v>Unique</v>
      </c>
      <c r="Q1815" s="3" t="str">
        <f>IF(ISNUMBER(Sales_Data2[[#This Row],[Date]]),"OK","Check")</f>
        <v>OK</v>
      </c>
      <c r="R1815" s="3" t="str">
        <f>IF(ISNUMBER(Sales_Data2[[#This Row],[Quantity]]),"OK","Check")</f>
        <v>OK</v>
      </c>
    </row>
    <row r="1816" spans="1:18">
      <c r="A1816" s="1">
        <v>47490</v>
      </c>
      <c r="B1816" t="s">
        <v>18</v>
      </c>
      <c r="C1816" t="s">
        <v>32</v>
      </c>
      <c r="D1816" t="s">
        <v>13</v>
      </c>
      <c r="E1816" t="s">
        <v>20</v>
      </c>
      <c r="F1816" t="s">
        <v>38</v>
      </c>
      <c r="G1816" t="s">
        <v>31</v>
      </c>
      <c r="H1816">
        <v>420000</v>
      </c>
      <c r="I1816">
        <v>10</v>
      </c>
      <c r="J1816" t="s">
        <v>28</v>
      </c>
      <c r="K1816">
        <f t="shared" si="28"/>
        <v>336000</v>
      </c>
      <c r="L1816">
        <f>Sales_Data2[[#This Row],[Unit Price]]*Sales_Data2[[#This Row],[Quantity]]</f>
        <v>4200000</v>
      </c>
      <c r="M1816">
        <f>Sales_Data2[[#This Row],[Cost Price]]*Sales_Data2[[#This Row],[Quantity]]</f>
        <v>3360000</v>
      </c>
      <c r="N1816" s="3">
        <f>Sales_Data2[[#This Row],[Revenue]]-Sales_Data2[[#This Row],[COGS]]</f>
        <v>840000</v>
      </c>
      <c r="O18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47490|East|Abuja|Retail|Store|Laptop A13|Electronics|420000|10|Musa|336000</v>
      </c>
      <c r="P1816" s="3" t="str">
        <f>IF(COUNTIF(Sales_Data2[RowKey],Sales_Data2[[#This Row],[RowKey]])&gt;1,"Duplicate","Unique")</f>
        <v>Unique</v>
      </c>
      <c r="Q1816" s="3" t="str">
        <f>IF(ISNUMBER(Sales_Data2[[#This Row],[Date]]),"OK","Check")</f>
        <v>OK</v>
      </c>
      <c r="R1816" s="3" t="str">
        <f>IF(ISNUMBER(Sales_Data2[[#This Row],[Quantity]]),"OK","Check")</f>
        <v>OK</v>
      </c>
    </row>
    <row r="1817" spans="1:18">
      <c r="A1817" s="1">
        <v>47491</v>
      </c>
      <c r="B1817" t="s">
        <v>11</v>
      </c>
      <c r="C1817" t="s">
        <v>26</v>
      </c>
      <c r="D1817" t="s">
        <v>23</v>
      </c>
      <c r="E1817" t="s">
        <v>20</v>
      </c>
      <c r="F1817" t="s">
        <v>30</v>
      </c>
      <c r="G1817" t="s">
        <v>31</v>
      </c>
      <c r="H1817">
        <v>300000</v>
      </c>
      <c r="I1817">
        <v>4</v>
      </c>
      <c r="J1817" t="s">
        <v>39</v>
      </c>
      <c r="K1817">
        <f t="shared" si="28"/>
        <v>240000</v>
      </c>
      <c r="L1817">
        <f>Sales_Data2[[#This Row],[Unit Price]]*Sales_Data2[[#This Row],[Quantity]]</f>
        <v>1200000</v>
      </c>
      <c r="M1817">
        <f>Sales_Data2[[#This Row],[Cost Price]]*Sales_Data2[[#This Row],[Quantity]]</f>
        <v>960000</v>
      </c>
      <c r="N1817" s="3">
        <f>Sales_Data2[[#This Row],[Revenue]]-Sales_Data2[[#This Row],[COGS]]</f>
        <v>240000</v>
      </c>
      <c r="O18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47491|West|Kano|Corporate|Store|Desktop PC D21|Electronics|300000|4|Grace|240000</v>
      </c>
      <c r="P1817" s="3" t="str">
        <f>IF(COUNTIF(Sales_Data2[RowKey],Sales_Data2[[#This Row],[RowKey]])&gt;1,"Duplicate","Unique")</f>
        <v>Unique</v>
      </c>
      <c r="Q1817" s="3" t="str">
        <f>IF(ISNUMBER(Sales_Data2[[#This Row],[Date]]),"OK","Check")</f>
        <v>OK</v>
      </c>
      <c r="R1817" s="3" t="str">
        <f>IF(ISNUMBER(Sales_Data2[[#This Row],[Quantity]]),"OK","Check")</f>
        <v>OK</v>
      </c>
    </row>
    <row r="1818" spans="1:18">
      <c r="A1818" s="1">
        <v>47492</v>
      </c>
      <c r="B1818" t="s">
        <v>11</v>
      </c>
      <c r="C1818" t="s">
        <v>12</v>
      </c>
      <c r="D1818" t="s">
        <v>13</v>
      </c>
      <c r="E1818" t="s">
        <v>20</v>
      </c>
      <c r="F1818" t="s">
        <v>33</v>
      </c>
      <c r="G1818" t="s">
        <v>22</v>
      </c>
      <c r="H1818">
        <v>180000</v>
      </c>
      <c r="I1818">
        <v>8</v>
      </c>
      <c r="J1818" t="s">
        <v>37</v>
      </c>
      <c r="K1818">
        <f t="shared" si="28"/>
        <v>144000</v>
      </c>
      <c r="L1818">
        <f>Sales_Data2[[#This Row],[Unit Price]]*Sales_Data2[[#This Row],[Quantity]]</f>
        <v>1440000</v>
      </c>
      <c r="M1818">
        <f>Sales_Data2[[#This Row],[Cost Price]]*Sales_Data2[[#This Row],[Quantity]]</f>
        <v>1152000</v>
      </c>
      <c r="N1818" s="3">
        <f>Sales_Data2[[#This Row],[Revenue]]-Sales_Data2[[#This Row],[COGS]]</f>
        <v>288000</v>
      </c>
      <c r="O18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47492|West|Port Harcourt|Retail|Store|Air Conditioner X2|Home Appliances|180000|8|Aisha|144000</v>
      </c>
      <c r="P1818" s="3" t="str">
        <f>IF(COUNTIF(Sales_Data2[RowKey],Sales_Data2[[#This Row],[RowKey]])&gt;1,"Duplicate","Unique")</f>
        <v>Unique</v>
      </c>
      <c r="Q1818" s="3" t="str">
        <f>IF(ISNUMBER(Sales_Data2[[#This Row],[Date]]),"OK","Check")</f>
        <v>OK</v>
      </c>
      <c r="R1818" s="3" t="str">
        <f>IF(ISNUMBER(Sales_Data2[[#This Row],[Quantity]]),"OK","Check")</f>
        <v>OK</v>
      </c>
    </row>
    <row r="1819" spans="1:18">
      <c r="A1819" s="1">
        <v>47493</v>
      </c>
      <c r="B1819" t="s">
        <v>18</v>
      </c>
      <c r="C1819" t="s">
        <v>32</v>
      </c>
      <c r="D1819" t="s">
        <v>13</v>
      </c>
      <c r="E1819" t="s">
        <v>20</v>
      </c>
      <c r="F1819" t="s">
        <v>38</v>
      </c>
      <c r="G1819" t="s">
        <v>31</v>
      </c>
      <c r="H1819">
        <v>420000</v>
      </c>
      <c r="I1819">
        <v>5</v>
      </c>
      <c r="J1819" t="s">
        <v>37</v>
      </c>
      <c r="K1819">
        <f t="shared" si="28"/>
        <v>336000</v>
      </c>
      <c r="L1819">
        <f>Sales_Data2[[#This Row],[Unit Price]]*Sales_Data2[[#This Row],[Quantity]]</f>
        <v>2100000</v>
      </c>
      <c r="M1819">
        <f>Sales_Data2[[#This Row],[Cost Price]]*Sales_Data2[[#This Row],[Quantity]]</f>
        <v>1680000</v>
      </c>
      <c r="N1819" s="3">
        <f>Sales_Data2[[#This Row],[Revenue]]-Sales_Data2[[#This Row],[COGS]]</f>
        <v>420000</v>
      </c>
      <c r="O18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47493|East|Abuja|Retail|Store|Laptop A13|Electronics|420000|5|Aisha|336000</v>
      </c>
      <c r="P1819" s="3" t="str">
        <f>IF(COUNTIF(Sales_Data2[RowKey],Sales_Data2[[#This Row],[RowKey]])&gt;1,"Duplicate","Unique")</f>
        <v>Unique</v>
      </c>
      <c r="Q1819" s="3" t="str">
        <f>IF(ISNUMBER(Sales_Data2[[#This Row],[Date]]),"OK","Check")</f>
        <v>OK</v>
      </c>
      <c r="R1819" s="3" t="str">
        <f>IF(ISNUMBER(Sales_Data2[[#This Row],[Quantity]]),"OK","Check")</f>
        <v>OK</v>
      </c>
    </row>
    <row r="1820" spans="1:18">
      <c r="A1820" s="1">
        <v>47494</v>
      </c>
      <c r="B1820" t="s">
        <v>25</v>
      </c>
      <c r="C1820" t="s">
        <v>19</v>
      </c>
      <c r="D1820" t="s">
        <v>23</v>
      </c>
      <c r="E1820" t="s">
        <v>20</v>
      </c>
      <c r="F1820" t="s">
        <v>33</v>
      </c>
      <c r="G1820" t="s">
        <v>22</v>
      </c>
      <c r="H1820">
        <v>180000</v>
      </c>
      <c r="I1820">
        <v>5</v>
      </c>
      <c r="J1820" t="s">
        <v>17</v>
      </c>
      <c r="K1820">
        <f t="shared" si="28"/>
        <v>144000</v>
      </c>
      <c r="L1820">
        <f>Sales_Data2[[#This Row],[Unit Price]]*Sales_Data2[[#This Row],[Quantity]]</f>
        <v>900000</v>
      </c>
      <c r="M1820">
        <f>Sales_Data2[[#This Row],[Cost Price]]*Sales_Data2[[#This Row],[Quantity]]</f>
        <v>720000</v>
      </c>
      <c r="N1820" s="3">
        <f>Sales_Data2[[#This Row],[Revenue]]-Sales_Data2[[#This Row],[COGS]]</f>
        <v>180000</v>
      </c>
      <c r="O18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47494|South|Lagos|Corporate|Store|Air Conditioner X2|Home Appliances|180000|5|Chidinma|144000</v>
      </c>
      <c r="P1820" s="3" t="str">
        <f>IF(COUNTIF(Sales_Data2[RowKey],Sales_Data2[[#This Row],[RowKey]])&gt;1,"Duplicate","Unique")</f>
        <v>Unique</v>
      </c>
      <c r="Q1820" s="3" t="str">
        <f>IF(ISNUMBER(Sales_Data2[[#This Row],[Date]]),"OK","Check")</f>
        <v>OK</v>
      </c>
      <c r="R1820" s="3" t="str">
        <f>IF(ISNUMBER(Sales_Data2[[#This Row],[Quantity]]),"OK","Check")</f>
        <v>OK</v>
      </c>
    </row>
    <row r="1821" spans="1:18">
      <c r="A1821" s="1">
        <v>47495</v>
      </c>
      <c r="B1821" t="s">
        <v>11</v>
      </c>
      <c r="C1821" t="s">
        <v>12</v>
      </c>
      <c r="D1821" t="s">
        <v>23</v>
      </c>
      <c r="E1821" t="s">
        <v>20</v>
      </c>
      <c r="F1821" t="s">
        <v>30</v>
      </c>
      <c r="G1821" t="s">
        <v>31</v>
      </c>
      <c r="H1821">
        <v>300000</v>
      </c>
      <c r="I1821">
        <v>1</v>
      </c>
      <c r="J1821" t="s">
        <v>37</v>
      </c>
      <c r="K1821">
        <f t="shared" si="28"/>
        <v>240000</v>
      </c>
      <c r="L1821">
        <f>Sales_Data2[[#This Row],[Unit Price]]*Sales_Data2[[#This Row],[Quantity]]</f>
        <v>300000</v>
      </c>
      <c r="M1821">
        <f>Sales_Data2[[#This Row],[Cost Price]]*Sales_Data2[[#This Row],[Quantity]]</f>
        <v>240000</v>
      </c>
      <c r="N1821" s="3">
        <f>Sales_Data2[[#This Row],[Revenue]]-Sales_Data2[[#This Row],[COGS]]</f>
        <v>60000</v>
      </c>
      <c r="O18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47495|West|Port Harcourt|Corporate|Store|Desktop PC D21|Electronics|300000|1|Aisha|240000</v>
      </c>
      <c r="P1821" s="3" t="str">
        <f>IF(COUNTIF(Sales_Data2[RowKey],Sales_Data2[[#This Row],[RowKey]])&gt;1,"Duplicate","Unique")</f>
        <v>Unique</v>
      </c>
      <c r="Q1821" s="3" t="str">
        <f>IF(ISNUMBER(Sales_Data2[[#This Row],[Date]]),"OK","Check")</f>
        <v>OK</v>
      </c>
      <c r="R1821" s="3" t="str">
        <f>IF(ISNUMBER(Sales_Data2[[#This Row],[Quantity]]),"OK","Check")</f>
        <v>OK</v>
      </c>
    </row>
    <row r="1822" spans="1:18">
      <c r="A1822" s="1">
        <v>47496</v>
      </c>
      <c r="B1822" t="s">
        <v>25</v>
      </c>
      <c r="C1822" t="s">
        <v>12</v>
      </c>
      <c r="D1822" t="s">
        <v>13</v>
      </c>
      <c r="E1822" t="s">
        <v>20</v>
      </c>
      <c r="F1822" t="s">
        <v>33</v>
      </c>
      <c r="G1822" t="s">
        <v>22</v>
      </c>
      <c r="H1822">
        <v>180000</v>
      </c>
      <c r="I1822">
        <v>7</v>
      </c>
      <c r="J1822" t="s">
        <v>37</v>
      </c>
      <c r="K1822">
        <f t="shared" si="28"/>
        <v>144000</v>
      </c>
      <c r="L1822">
        <f>Sales_Data2[[#This Row],[Unit Price]]*Sales_Data2[[#This Row],[Quantity]]</f>
        <v>1260000</v>
      </c>
      <c r="M1822">
        <f>Sales_Data2[[#This Row],[Cost Price]]*Sales_Data2[[#This Row],[Quantity]]</f>
        <v>1008000</v>
      </c>
      <c r="N1822" s="3">
        <f>Sales_Data2[[#This Row],[Revenue]]-Sales_Data2[[#This Row],[COGS]]</f>
        <v>252000</v>
      </c>
      <c r="O18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47496|South|Port Harcourt|Retail|Store|Air Conditioner X2|Home Appliances|180000|7|Aisha|144000</v>
      </c>
      <c r="P1822" s="3" t="str">
        <f>IF(COUNTIF(Sales_Data2[RowKey],Sales_Data2[[#This Row],[RowKey]])&gt;1,"Duplicate","Unique")</f>
        <v>Unique</v>
      </c>
      <c r="Q1822" s="3" t="str">
        <f>IF(ISNUMBER(Sales_Data2[[#This Row],[Date]]),"OK","Check")</f>
        <v>OK</v>
      </c>
      <c r="R1822" s="3" t="str">
        <f>IF(ISNUMBER(Sales_Data2[[#This Row],[Quantity]]),"OK","Check")</f>
        <v>OK</v>
      </c>
    </row>
    <row r="1823" spans="1:18">
      <c r="A1823" s="1">
        <v>47497</v>
      </c>
      <c r="B1823" t="s">
        <v>18</v>
      </c>
      <c r="C1823" t="s">
        <v>26</v>
      </c>
      <c r="D1823" t="s">
        <v>23</v>
      </c>
      <c r="E1823" t="s">
        <v>20</v>
      </c>
      <c r="F1823" t="s">
        <v>21</v>
      </c>
      <c r="G1823" t="s">
        <v>22</v>
      </c>
      <c r="H1823">
        <v>30000</v>
      </c>
      <c r="I1823">
        <v>8</v>
      </c>
      <c r="J1823" t="s">
        <v>37</v>
      </c>
      <c r="K1823">
        <f t="shared" si="28"/>
        <v>24000</v>
      </c>
      <c r="L1823">
        <f>Sales_Data2[[#This Row],[Unit Price]]*Sales_Data2[[#This Row],[Quantity]]</f>
        <v>240000</v>
      </c>
      <c r="M1823">
        <f>Sales_Data2[[#This Row],[Cost Price]]*Sales_Data2[[#This Row],[Quantity]]</f>
        <v>192000</v>
      </c>
      <c r="N1823" s="3">
        <f>Sales_Data2[[#This Row],[Revenue]]-Sales_Data2[[#This Row],[COGS]]</f>
        <v>48000</v>
      </c>
      <c r="O18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47497|East|Kano|Corporate|Store|Blender B10|Home Appliances|30000|8|Aisha|24000</v>
      </c>
      <c r="P1823" s="3" t="str">
        <f>IF(COUNTIF(Sales_Data2[RowKey],Sales_Data2[[#This Row],[RowKey]])&gt;1,"Duplicate","Unique")</f>
        <v>Unique</v>
      </c>
      <c r="Q1823" s="3" t="str">
        <f>IF(ISNUMBER(Sales_Data2[[#This Row],[Date]]),"OK","Check")</f>
        <v>OK</v>
      </c>
      <c r="R1823" s="3" t="str">
        <f>IF(ISNUMBER(Sales_Data2[[#This Row],[Quantity]]),"OK","Check")</f>
        <v>OK</v>
      </c>
    </row>
    <row r="1824" spans="1:18">
      <c r="A1824" s="1">
        <v>47498</v>
      </c>
      <c r="B1824" t="s">
        <v>29</v>
      </c>
      <c r="C1824" t="s">
        <v>12</v>
      </c>
      <c r="D1824" t="s">
        <v>13</v>
      </c>
      <c r="E1824" t="s">
        <v>20</v>
      </c>
      <c r="F1824" t="s">
        <v>15</v>
      </c>
      <c r="G1824" t="s">
        <v>16</v>
      </c>
      <c r="H1824">
        <v>85000</v>
      </c>
      <c r="I1824">
        <v>10</v>
      </c>
      <c r="J1824" t="s">
        <v>28</v>
      </c>
      <c r="K1824">
        <f t="shared" si="28"/>
        <v>68000</v>
      </c>
      <c r="L1824">
        <f>Sales_Data2[[#This Row],[Unit Price]]*Sales_Data2[[#This Row],[Quantity]]</f>
        <v>850000</v>
      </c>
      <c r="M1824">
        <f>Sales_Data2[[#This Row],[Cost Price]]*Sales_Data2[[#This Row],[Quantity]]</f>
        <v>680000</v>
      </c>
      <c r="N1824" s="3">
        <f>Sales_Data2[[#This Row],[Revenue]]-Sales_Data2[[#This Row],[COGS]]</f>
        <v>170000</v>
      </c>
      <c r="O18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47498|North|Port Harcourt|Retail|Store|Office Chair Pro|Furniture|85000|10|Musa|68000</v>
      </c>
      <c r="P1824" s="3" t="str">
        <f>IF(COUNTIF(Sales_Data2[RowKey],Sales_Data2[[#This Row],[RowKey]])&gt;1,"Duplicate","Unique")</f>
        <v>Unique</v>
      </c>
      <c r="Q1824" s="3" t="str">
        <f>IF(ISNUMBER(Sales_Data2[[#This Row],[Date]]),"OK","Check")</f>
        <v>OK</v>
      </c>
      <c r="R1824" s="3" t="str">
        <f>IF(ISNUMBER(Sales_Data2[[#This Row],[Quantity]]),"OK","Check")</f>
        <v>OK</v>
      </c>
    </row>
    <row r="1825" spans="1:18">
      <c r="A1825" s="1">
        <v>47499</v>
      </c>
      <c r="B1825" t="s">
        <v>18</v>
      </c>
      <c r="C1825" t="s">
        <v>26</v>
      </c>
      <c r="D1825" t="s">
        <v>13</v>
      </c>
      <c r="E1825" t="s">
        <v>20</v>
      </c>
      <c r="F1825" t="s">
        <v>15</v>
      </c>
      <c r="G1825" t="s">
        <v>16</v>
      </c>
      <c r="H1825">
        <v>85000</v>
      </c>
      <c r="I1825">
        <v>1</v>
      </c>
      <c r="J1825" t="s">
        <v>17</v>
      </c>
      <c r="K1825">
        <f t="shared" si="28"/>
        <v>68000</v>
      </c>
      <c r="L1825">
        <f>Sales_Data2[[#This Row],[Unit Price]]*Sales_Data2[[#This Row],[Quantity]]</f>
        <v>85000</v>
      </c>
      <c r="M1825">
        <f>Sales_Data2[[#This Row],[Cost Price]]*Sales_Data2[[#This Row],[Quantity]]</f>
        <v>68000</v>
      </c>
      <c r="N1825" s="3">
        <f>Sales_Data2[[#This Row],[Revenue]]-Sales_Data2[[#This Row],[COGS]]</f>
        <v>17000</v>
      </c>
      <c r="O18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47499|East|Kano|Retail|Store|Office Chair Pro|Furniture|85000|1|Chidinma|68000</v>
      </c>
      <c r="P1825" s="3" t="str">
        <f>IF(COUNTIF(Sales_Data2[RowKey],Sales_Data2[[#This Row],[RowKey]])&gt;1,"Duplicate","Unique")</f>
        <v>Unique</v>
      </c>
      <c r="Q1825" s="3" t="str">
        <f>IF(ISNUMBER(Sales_Data2[[#This Row],[Date]]),"OK","Check")</f>
        <v>OK</v>
      </c>
      <c r="R1825" s="3" t="str">
        <f>IF(ISNUMBER(Sales_Data2[[#This Row],[Quantity]]),"OK","Check")</f>
        <v>OK</v>
      </c>
    </row>
    <row r="1826" spans="1:18">
      <c r="A1826" s="1">
        <v>47500</v>
      </c>
      <c r="B1826" t="s">
        <v>29</v>
      </c>
      <c r="C1826" t="s">
        <v>19</v>
      </c>
      <c r="D1826" t="s">
        <v>23</v>
      </c>
      <c r="E1826" t="s">
        <v>20</v>
      </c>
      <c r="F1826" t="s">
        <v>36</v>
      </c>
      <c r="G1826" t="s">
        <v>31</v>
      </c>
      <c r="H1826">
        <v>150000</v>
      </c>
      <c r="I1826">
        <v>8</v>
      </c>
      <c r="J1826" t="s">
        <v>37</v>
      </c>
      <c r="K1826">
        <f t="shared" si="28"/>
        <v>120000</v>
      </c>
      <c r="L1826">
        <f>Sales_Data2[[#This Row],[Unit Price]]*Sales_Data2[[#This Row],[Quantity]]</f>
        <v>1200000</v>
      </c>
      <c r="M1826">
        <f>Sales_Data2[[#This Row],[Cost Price]]*Sales_Data2[[#This Row],[Quantity]]</f>
        <v>960000</v>
      </c>
      <c r="N1826" s="3">
        <f>Sales_Data2[[#This Row],[Revenue]]-Sales_Data2[[#This Row],[COGS]]</f>
        <v>240000</v>
      </c>
      <c r="O18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47500|North|Lagos|Corporate|Store|Printer P50|Electronics|150000|8|Aisha|120000</v>
      </c>
      <c r="P1826" s="3" t="str">
        <f>IF(COUNTIF(Sales_Data2[RowKey],Sales_Data2[[#This Row],[RowKey]])&gt;1,"Duplicate","Unique")</f>
        <v>Unique</v>
      </c>
      <c r="Q1826" s="3" t="str">
        <f>IF(ISNUMBER(Sales_Data2[[#This Row],[Date]]),"OK","Check")</f>
        <v>OK</v>
      </c>
      <c r="R1826" s="3" t="str">
        <f>IF(ISNUMBER(Sales_Data2[[#This Row],[Quantity]]),"OK","Check")</f>
        <v>OK</v>
      </c>
    </row>
    <row r="1827" spans="1:18">
      <c r="A1827" s="1">
        <v>47501</v>
      </c>
      <c r="B1827" t="s">
        <v>11</v>
      </c>
      <c r="C1827" t="s">
        <v>19</v>
      </c>
      <c r="D1827" t="s">
        <v>23</v>
      </c>
      <c r="E1827" t="s">
        <v>20</v>
      </c>
      <c r="F1827" t="s">
        <v>38</v>
      </c>
      <c r="G1827" t="s">
        <v>31</v>
      </c>
      <c r="H1827">
        <v>420000</v>
      </c>
      <c r="I1827">
        <v>6</v>
      </c>
      <c r="J1827" t="s">
        <v>35</v>
      </c>
      <c r="K1827">
        <f t="shared" si="28"/>
        <v>336000</v>
      </c>
      <c r="L1827">
        <f>Sales_Data2[[#This Row],[Unit Price]]*Sales_Data2[[#This Row],[Quantity]]</f>
        <v>2520000</v>
      </c>
      <c r="M1827">
        <f>Sales_Data2[[#This Row],[Cost Price]]*Sales_Data2[[#This Row],[Quantity]]</f>
        <v>2016000</v>
      </c>
      <c r="N1827" s="3">
        <f>Sales_Data2[[#This Row],[Revenue]]-Sales_Data2[[#This Row],[COGS]]</f>
        <v>504000</v>
      </c>
      <c r="O18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47501|West|Lagos|Corporate|Store|Laptop A13|Electronics|420000|6|Peter|336000</v>
      </c>
      <c r="P1827" s="3" t="str">
        <f>IF(COUNTIF(Sales_Data2[RowKey],Sales_Data2[[#This Row],[RowKey]])&gt;1,"Duplicate","Unique")</f>
        <v>Unique</v>
      </c>
      <c r="Q1827" s="3" t="str">
        <f>IF(ISNUMBER(Sales_Data2[[#This Row],[Date]]),"OK","Check")</f>
        <v>OK</v>
      </c>
      <c r="R1827" s="3" t="str">
        <f>IF(ISNUMBER(Sales_Data2[[#This Row],[Quantity]]),"OK","Check")</f>
        <v>OK</v>
      </c>
    </row>
    <row r="1828" spans="1:18">
      <c r="A1828" s="1">
        <v>47502</v>
      </c>
      <c r="B1828" t="s">
        <v>25</v>
      </c>
      <c r="C1828" t="s">
        <v>32</v>
      </c>
      <c r="D1828" t="s">
        <v>13</v>
      </c>
      <c r="E1828" t="s">
        <v>20</v>
      </c>
      <c r="F1828" t="s">
        <v>27</v>
      </c>
      <c r="G1828" t="s">
        <v>22</v>
      </c>
      <c r="H1828">
        <v>60000</v>
      </c>
      <c r="I1828">
        <v>8</v>
      </c>
      <c r="J1828" t="s">
        <v>35</v>
      </c>
      <c r="K1828">
        <f t="shared" si="28"/>
        <v>48000</v>
      </c>
      <c r="L1828">
        <f>Sales_Data2[[#This Row],[Unit Price]]*Sales_Data2[[#This Row],[Quantity]]</f>
        <v>480000</v>
      </c>
      <c r="M1828">
        <f>Sales_Data2[[#This Row],[Cost Price]]*Sales_Data2[[#This Row],[Quantity]]</f>
        <v>384000</v>
      </c>
      <c r="N1828" s="3">
        <f>Sales_Data2[[#This Row],[Revenue]]-Sales_Data2[[#This Row],[COGS]]</f>
        <v>96000</v>
      </c>
      <c r="O18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47502|South|Abuja|Retail|Store|Microwave M20|Home Appliances|60000|8|Peter|48000</v>
      </c>
      <c r="P1828" s="3" t="str">
        <f>IF(COUNTIF(Sales_Data2[RowKey],Sales_Data2[[#This Row],[RowKey]])&gt;1,"Duplicate","Unique")</f>
        <v>Unique</v>
      </c>
      <c r="Q1828" s="3" t="str">
        <f>IF(ISNUMBER(Sales_Data2[[#This Row],[Date]]),"OK","Check")</f>
        <v>OK</v>
      </c>
      <c r="R1828" s="3" t="str">
        <f>IF(ISNUMBER(Sales_Data2[[#This Row],[Quantity]]),"OK","Check")</f>
        <v>OK</v>
      </c>
    </row>
    <row r="1829" spans="1:18">
      <c r="A1829" s="1">
        <v>47503</v>
      </c>
      <c r="B1829" t="s">
        <v>25</v>
      </c>
      <c r="C1829" t="s">
        <v>12</v>
      </c>
      <c r="D1829" t="s">
        <v>13</v>
      </c>
      <c r="E1829" t="s">
        <v>20</v>
      </c>
      <c r="F1829" t="s">
        <v>30</v>
      </c>
      <c r="G1829" t="s">
        <v>31</v>
      </c>
      <c r="H1829">
        <v>300000</v>
      </c>
      <c r="I1829">
        <v>7</v>
      </c>
      <c r="J1829" t="s">
        <v>28</v>
      </c>
      <c r="K1829">
        <f t="shared" si="28"/>
        <v>240000</v>
      </c>
      <c r="L1829">
        <f>Sales_Data2[[#This Row],[Unit Price]]*Sales_Data2[[#This Row],[Quantity]]</f>
        <v>2100000</v>
      </c>
      <c r="M1829">
        <f>Sales_Data2[[#This Row],[Cost Price]]*Sales_Data2[[#This Row],[Quantity]]</f>
        <v>1680000</v>
      </c>
      <c r="N1829" s="3">
        <f>Sales_Data2[[#This Row],[Revenue]]-Sales_Data2[[#This Row],[COGS]]</f>
        <v>420000</v>
      </c>
      <c r="O18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47503|South|Port Harcourt|Retail|Store|Desktop PC D21|Electronics|300000|7|Musa|240000</v>
      </c>
      <c r="P1829" s="3" t="str">
        <f>IF(COUNTIF(Sales_Data2[RowKey],Sales_Data2[[#This Row],[RowKey]])&gt;1,"Duplicate","Unique")</f>
        <v>Unique</v>
      </c>
      <c r="Q1829" s="3" t="str">
        <f>IF(ISNUMBER(Sales_Data2[[#This Row],[Date]]),"OK","Check")</f>
        <v>OK</v>
      </c>
      <c r="R1829" s="3" t="str">
        <f>IF(ISNUMBER(Sales_Data2[[#This Row],[Quantity]]),"OK","Check")</f>
        <v>OK</v>
      </c>
    </row>
    <row r="1830" spans="1:18">
      <c r="A1830" s="1">
        <v>47504</v>
      </c>
      <c r="B1830" t="s">
        <v>18</v>
      </c>
      <c r="C1830" t="s">
        <v>19</v>
      </c>
      <c r="D1830" t="s">
        <v>23</v>
      </c>
      <c r="E1830" t="s">
        <v>20</v>
      </c>
      <c r="F1830" t="s">
        <v>36</v>
      </c>
      <c r="G1830" t="s">
        <v>31</v>
      </c>
      <c r="H1830">
        <v>150000</v>
      </c>
      <c r="I1830">
        <v>8</v>
      </c>
      <c r="J1830" t="s">
        <v>37</v>
      </c>
      <c r="K1830">
        <f t="shared" si="28"/>
        <v>120000</v>
      </c>
      <c r="L1830">
        <f>Sales_Data2[[#This Row],[Unit Price]]*Sales_Data2[[#This Row],[Quantity]]</f>
        <v>1200000</v>
      </c>
      <c r="M1830">
        <f>Sales_Data2[[#This Row],[Cost Price]]*Sales_Data2[[#This Row],[Quantity]]</f>
        <v>960000</v>
      </c>
      <c r="N1830" s="3">
        <f>Sales_Data2[[#This Row],[Revenue]]-Sales_Data2[[#This Row],[COGS]]</f>
        <v>240000</v>
      </c>
      <c r="O18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47504|East|Lagos|Corporate|Store|Printer P50|Electronics|150000|8|Aisha|120000</v>
      </c>
      <c r="P1830" s="3" t="str">
        <f>IF(COUNTIF(Sales_Data2[RowKey],Sales_Data2[[#This Row],[RowKey]])&gt;1,"Duplicate","Unique")</f>
        <v>Unique</v>
      </c>
      <c r="Q1830" s="3" t="str">
        <f>IF(ISNUMBER(Sales_Data2[[#This Row],[Date]]),"OK","Check")</f>
        <v>OK</v>
      </c>
      <c r="R1830" s="3" t="str">
        <f>IF(ISNUMBER(Sales_Data2[[#This Row],[Quantity]]),"OK","Check")</f>
        <v>OK</v>
      </c>
    </row>
    <row r="1831" spans="1:18">
      <c r="A1831" s="1">
        <v>47505</v>
      </c>
      <c r="B1831" t="s">
        <v>18</v>
      </c>
      <c r="C1831" t="s">
        <v>12</v>
      </c>
      <c r="D1831" t="s">
        <v>23</v>
      </c>
      <c r="E1831" t="s">
        <v>20</v>
      </c>
      <c r="F1831" t="s">
        <v>27</v>
      </c>
      <c r="G1831" t="s">
        <v>22</v>
      </c>
      <c r="H1831">
        <v>60000</v>
      </c>
      <c r="I1831">
        <v>10</v>
      </c>
      <c r="J1831" t="s">
        <v>17</v>
      </c>
      <c r="K1831">
        <f t="shared" si="28"/>
        <v>48000</v>
      </c>
      <c r="L1831">
        <f>Sales_Data2[[#This Row],[Unit Price]]*Sales_Data2[[#This Row],[Quantity]]</f>
        <v>600000</v>
      </c>
      <c r="M1831">
        <f>Sales_Data2[[#This Row],[Cost Price]]*Sales_Data2[[#This Row],[Quantity]]</f>
        <v>480000</v>
      </c>
      <c r="N1831" s="3">
        <f>Sales_Data2[[#This Row],[Revenue]]-Sales_Data2[[#This Row],[COGS]]</f>
        <v>120000</v>
      </c>
      <c r="O18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47505|East|Port Harcourt|Corporate|Store|Microwave M20|Home Appliances|60000|10|Chidinma|48000</v>
      </c>
      <c r="P1831" s="3" t="str">
        <f>IF(COUNTIF(Sales_Data2[RowKey],Sales_Data2[[#This Row],[RowKey]])&gt;1,"Duplicate","Unique")</f>
        <v>Unique</v>
      </c>
      <c r="Q1831" s="3" t="str">
        <f>IF(ISNUMBER(Sales_Data2[[#This Row],[Date]]),"OK","Check")</f>
        <v>OK</v>
      </c>
      <c r="R1831" s="3" t="str">
        <f>IF(ISNUMBER(Sales_Data2[[#This Row],[Quantity]]),"OK","Check")</f>
        <v>OK</v>
      </c>
    </row>
    <row r="1832" spans="1:18">
      <c r="A1832" s="1">
        <v>47506</v>
      </c>
      <c r="B1832" t="s">
        <v>29</v>
      </c>
      <c r="C1832" t="s">
        <v>26</v>
      </c>
      <c r="D1832" t="s">
        <v>13</v>
      </c>
      <c r="E1832" t="s">
        <v>20</v>
      </c>
      <c r="F1832" t="s">
        <v>34</v>
      </c>
      <c r="G1832" t="s">
        <v>16</v>
      </c>
      <c r="H1832">
        <v>320000</v>
      </c>
      <c r="I1832">
        <v>9</v>
      </c>
      <c r="J1832" t="s">
        <v>35</v>
      </c>
      <c r="K1832">
        <f t="shared" si="28"/>
        <v>256000</v>
      </c>
      <c r="L1832">
        <f>Sales_Data2[[#This Row],[Unit Price]]*Sales_Data2[[#This Row],[Quantity]]</f>
        <v>2880000</v>
      </c>
      <c r="M1832">
        <f>Sales_Data2[[#This Row],[Cost Price]]*Sales_Data2[[#This Row],[Quantity]]</f>
        <v>2304000</v>
      </c>
      <c r="N1832" s="3">
        <f>Sales_Data2[[#This Row],[Revenue]]-Sales_Data2[[#This Row],[COGS]]</f>
        <v>576000</v>
      </c>
      <c r="O18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47506|North|Kano|Retail|Store|Sofa Classic|Furniture|320000|9|Peter|256000</v>
      </c>
      <c r="P1832" s="3" t="str">
        <f>IF(COUNTIF(Sales_Data2[RowKey],Sales_Data2[[#This Row],[RowKey]])&gt;1,"Duplicate","Unique")</f>
        <v>Unique</v>
      </c>
      <c r="Q1832" s="3" t="str">
        <f>IF(ISNUMBER(Sales_Data2[[#This Row],[Date]]),"OK","Check")</f>
        <v>OK</v>
      </c>
      <c r="R1832" s="3" t="str">
        <f>IF(ISNUMBER(Sales_Data2[[#This Row],[Quantity]]),"OK","Check")</f>
        <v>OK</v>
      </c>
    </row>
    <row r="1833" spans="1:18">
      <c r="A1833" s="1">
        <v>47507</v>
      </c>
      <c r="B1833" t="s">
        <v>11</v>
      </c>
      <c r="C1833" t="s">
        <v>12</v>
      </c>
      <c r="D1833" t="s">
        <v>13</v>
      </c>
      <c r="E1833" t="s">
        <v>20</v>
      </c>
      <c r="F1833" t="s">
        <v>40</v>
      </c>
      <c r="G1833" t="s">
        <v>31</v>
      </c>
      <c r="H1833">
        <v>250000</v>
      </c>
      <c r="I1833">
        <v>9</v>
      </c>
      <c r="J1833" t="s">
        <v>28</v>
      </c>
      <c r="K1833">
        <f t="shared" si="28"/>
        <v>200000</v>
      </c>
      <c r="L1833">
        <f>Sales_Data2[[#This Row],[Unit Price]]*Sales_Data2[[#This Row],[Quantity]]</f>
        <v>2250000</v>
      </c>
      <c r="M1833">
        <f>Sales_Data2[[#This Row],[Cost Price]]*Sales_Data2[[#This Row],[Quantity]]</f>
        <v>1800000</v>
      </c>
      <c r="N1833" s="3">
        <f>Sales_Data2[[#This Row],[Revenue]]-Sales_Data2[[#This Row],[COGS]]</f>
        <v>450000</v>
      </c>
      <c r="O18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47507|West|Port Harcourt|Retail|Store|Smartphone Z10|Electronics|250000|9|Musa|200000</v>
      </c>
      <c r="P1833" s="3" t="str">
        <f>IF(COUNTIF(Sales_Data2[RowKey],Sales_Data2[[#This Row],[RowKey]])&gt;1,"Duplicate","Unique")</f>
        <v>Unique</v>
      </c>
      <c r="Q1833" s="3" t="str">
        <f>IF(ISNUMBER(Sales_Data2[[#This Row],[Date]]),"OK","Check")</f>
        <v>OK</v>
      </c>
      <c r="R1833" s="3" t="str">
        <f>IF(ISNUMBER(Sales_Data2[[#This Row],[Quantity]]),"OK","Check")</f>
        <v>OK</v>
      </c>
    </row>
    <row r="1834" spans="1:18">
      <c r="A1834" s="1">
        <v>47508</v>
      </c>
      <c r="B1834" t="s">
        <v>25</v>
      </c>
      <c r="C1834" t="s">
        <v>26</v>
      </c>
      <c r="D1834" t="s">
        <v>13</v>
      </c>
      <c r="E1834" t="s">
        <v>20</v>
      </c>
      <c r="F1834" t="s">
        <v>41</v>
      </c>
      <c r="G1834" t="s">
        <v>22</v>
      </c>
      <c r="H1834">
        <v>220000</v>
      </c>
      <c r="I1834">
        <v>7</v>
      </c>
      <c r="J1834" t="s">
        <v>35</v>
      </c>
      <c r="K1834">
        <f t="shared" si="28"/>
        <v>176000</v>
      </c>
      <c r="L1834">
        <f>Sales_Data2[[#This Row],[Unit Price]]*Sales_Data2[[#This Row],[Quantity]]</f>
        <v>1540000</v>
      </c>
      <c r="M1834">
        <f>Sales_Data2[[#This Row],[Cost Price]]*Sales_Data2[[#This Row],[Quantity]]</f>
        <v>1232000</v>
      </c>
      <c r="N1834" s="3">
        <f>Sales_Data2[[#This Row],[Revenue]]-Sales_Data2[[#This Row],[COGS]]</f>
        <v>308000</v>
      </c>
      <c r="O18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47508|South|Kano|Retail|Store|Refrigerator R55|Home Appliances|220000|7|Peter|176000</v>
      </c>
      <c r="P1834" s="3" t="str">
        <f>IF(COUNTIF(Sales_Data2[RowKey],Sales_Data2[[#This Row],[RowKey]])&gt;1,"Duplicate","Unique")</f>
        <v>Unique</v>
      </c>
      <c r="Q1834" s="3" t="str">
        <f>IF(ISNUMBER(Sales_Data2[[#This Row],[Date]]),"OK","Check")</f>
        <v>OK</v>
      </c>
      <c r="R1834" s="3" t="str">
        <f>IF(ISNUMBER(Sales_Data2[[#This Row],[Quantity]]),"OK","Check")</f>
        <v>OK</v>
      </c>
    </row>
    <row r="1835" spans="1:18">
      <c r="A1835" s="1">
        <v>47509</v>
      </c>
      <c r="B1835" t="s">
        <v>25</v>
      </c>
      <c r="C1835" t="s">
        <v>19</v>
      </c>
      <c r="D1835" t="s">
        <v>13</v>
      </c>
      <c r="E1835" t="s">
        <v>20</v>
      </c>
      <c r="F1835" t="s">
        <v>34</v>
      </c>
      <c r="G1835" t="s">
        <v>16</v>
      </c>
      <c r="H1835">
        <v>320000</v>
      </c>
      <c r="I1835">
        <v>4</v>
      </c>
      <c r="J1835" t="s">
        <v>24</v>
      </c>
      <c r="K1835">
        <f t="shared" si="28"/>
        <v>256000</v>
      </c>
      <c r="L1835">
        <f>Sales_Data2[[#This Row],[Unit Price]]*Sales_Data2[[#This Row],[Quantity]]</f>
        <v>1280000</v>
      </c>
      <c r="M1835">
        <f>Sales_Data2[[#This Row],[Cost Price]]*Sales_Data2[[#This Row],[Quantity]]</f>
        <v>1024000</v>
      </c>
      <c r="N1835" s="3">
        <f>Sales_Data2[[#This Row],[Revenue]]-Sales_Data2[[#This Row],[COGS]]</f>
        <v>256000</v>
      </c>
      <c r="O18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47509|South|Lagos|Retail|Store|Sofa Classic|Furniture|320000|4|David|256000</v>
      </c>
      <c r="P1835" s="3" t="str">
        <f>IF(COUNTIF(Sales_Data2[RowKey],Sales_Data2[[#This Row],[RowKey]])&gt;1,"Duplicate","Unique")</f>
        <v>Unique</v>
      </c>
      <c r="Q1835" s="3" t="str">
        <f>IF(ISNUMBER(Sales_Data2[[#This Row],[Date]]),"OK","Check")</f>
        <v>OK</v>
      </c>
      <c r="R1835" s="3" t="str">
        <f>IF(ISNUMBER(Sales_Data2[[#This Row],[Quantity]]),"OK","Check")</f>
        <v>OK</v>
      </c>
    </row>
    <row r="1836" spans="1:18">
      <c r="A1836" s="1">
        <v>47510</v>
      </c>
      <c r="B1836" t="s">
        <v>25</v>
      </c>
      <c r="C1836" t="s">
        <v>19</v>
      </c>
      <c r="D1836" t="s">
        <v>23</v>
      </c>
      <c r="E1836" t="s">
        <v>20</v>
      </c>
      <c r="F1836" t="s">
        <v>41</v>
      </c>
      <c r="G1836" t="s">
        <v>22</v>
      </c>
      <c r="H1836">
        <v>220000</v>
      </c>
      <c r="I1836">
        <v>1</v>
      </c>
      <c r="J1836" t="s">
        <v>37</v>
      </c>
      <c r="K1836">
        <f t="shared" si="28"/>
        <v>176000</v>
      </c>
      <c r="L1836">
        <f>Sales_Data2[[#This Row],[Unit Price]]*Sales_Data2[[#This Row],[Quantity]]</f>
        <v>220000</v>
      </c>
      <c r="M1836">
        <f>Sales_Data2[[#This Row],[Cost Price]]*Sales_Data2[[#This Row],[Quantity]]</f>
        <v>176000</v>
      </c>
      <c r="N1836" s="3">
        <f>Sales_Data2[[#This Row],[Revenue]]-Sales_Data2[[#This Row],[COGS]]</f>
        <v>44000</v>
      </c>
      <c r="O18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47510|South|Lagos|Corporate|Store|Refrigerator R55|Home Appliances|220000|1|Aisha|176000</v>
      </c>
      <c r="P1836" s="3" t="str">
        <f>IF(COUNTIF(Sales_Data2[RowKey],Sales_Data2[[#This Row],[RowKey]])&gt;1,"Duplicate","Unique")</f>
        <v>Unique</v>
      </c>
      <c r="Q1836" s="3" t="str">
        <f>IF(ISNUMBER(Sales_Data2[[#This Row],[Date]]),"OK","Check")</f>
        <v>OK</v>
      </c>
      <c r="R1836" s="3" t="str">
        <f>IF(ISNUMBER(Sales_Data2[[#This Row],[Quantity]]),"OK","Check")</f>
        <v>OK</v>
      </c>
    </row>
    <row r="1837" spans="1:18">
      <c r="A1837" s="1">
        <v>47511</v>
      </c>
      <c r="B1837" t="s">
        <v>11</v>
      </c>
      <c r="C1837" t="s">
        <v>19</v>
      </c>
      <c r="D1837" t="s">
        <v>13</v>
      </c>
      <c r="E1837" t="s">
        <v>20</v>
      </c>
      <c r="F1837" t="s">
        <v>21</v>
      </c>
      <c r="G1837" t="s">
        <v>22</v>
      </c>
      <c r="H1837">
        <v>30000</v>
      </c>
      <c r="I1837">
        <v>9</v>
      </c>
      <c r="J1837" t="s">
        <v>37</v>
      </c>
      <c r="K1837">
        <f t="shared" si="28"/>
        <v>24000</v>
      </c>
      <c r="L1837">
        <f>Sales_Data2[[#This Row],[Unit Price]]*Sales_Data2[[#This Row],[Quantity]]</f>
        <v>270000</v>
      </c>
      <c r="M1837">
        <f>Sales_Data2[[#This Row],[Cost Price]]*Sales_Data2[[#This Row],[Quantity]]</f>
        <v>216000</v>
      </c>
      <c r="N1837" s="3">
        <f>Sales_Data2[[#This Row],[Revenue]]-Sales_Data2[[#This Row],[COGS]]</f>
        <v>54000</v>
      </c>
      <c r="O18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47511|West|Lagos|Retail|Store|Blender B10|Home Appliances|30000|9|Aisha|24000</v>
      </c>
      <c r="P1837" s="3" t="str">
        <f>IF(COUNTIF(Sales_Data2[RowKey],Sales_Data2[[#This Row],[RowKey]])&gt;1,"Duplicate","Unique")</f>
        <v>Unique</v>
      </c>
      <c r="Q1837" s="3" t="str">
        <f>IF(ISNUMBER(Sales_Data2[[#This Row],[Date]]),"OK","Check")</f>
        <v>OK</v>
      </c>
      <c r="R1837" s="3" t="str">
        <f>IF(ISNUMBER(Sales_Data2[[#This Row],[Quantity]]),"OK","Check")</f>
        <v>OK</v>
      </c>
    </row>
    <row r="1838" spans="1:18">
      <c r="A1838" s="1">
        <v>47512</v>
      </c>
      <c r="B1838" t="s">
        <v>29</v>
      </c>
      <c r="C1838" t="s">
        <v>19</v>
      </c>
      <c r="D1838" t="s">
        <v>23</v>
      </c>
      <c r="E1838" t="s">
        <v>20</v>
      </c>
      <c r="F1838" t="s">
        <v>21</v>
      </c>
      <c r="G1838" t="s">
        <v>22</v>
      </c>
      <c r="H1838">
        <v>30000</v>
      </c>
      <c r="I1838">
        <v>8</v>
      </c>
      <c r="J1838" t="s">
        <v>37</v>
      </c>
      <c r="K1838">
        <f t="shared" si="28"/>
        <v>24000</v>
      </c>
      <c r="L1838">
        <f>Sales_Data2[[#This Row],[Unit Price]]*Sales_Data2[[#This Row],[Quantity]]</f>
        <v>240000</v>
      </c>
      <c r="M1838">
        <f>Sales_Data2[[#This Row],[Cost Price]]*Sales_Data2[[#This Row],[Quantity]]</f>
        <v>192000</v>
      </c>
      <c r="N1838" s="3">
        <f>Sales_Data2[[#This Row],[Revenue]]-Sales_Data2[[#This Row],[COGS]]</f>
        <v>48000</v>
      </c>
      <c r="O18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47512|North|Lagos|Corporate|Store|Blender B10|Home Appliances|30000|8|Aisha|24000</v>
      </c>
      <c r="P1838" s="3" t="str">
        <f>IF(COUNTIF(Sales_Data2[RowKey],Sales_Data2[[#This Row],[RowKey]])&gt;1,"Duplicate","Unique")</f>
        <v>Unique</v>
      </c>
      <c r="Q1838" s="3" t="str">
        <f>IF(ISNUMBER(Sales_Data2[[#This Row],[Date]]),"OK","Check")</f>
        <v>OK</v>
      </c>
      <c r="R1838" s="3" t="str">
        <f>IF(ISNUMBER(Sales_Data2[[#This Row],[Quantity]]),"OK","Check")</f>
        <v>OK</v>
      </c>
    </row>
    <row r="1839" spans="1:18">
      <c r="A1839" s="1">
        <v>47513</v>
      </c>
      <c r="B1839" t="s">
        <v>25</v>
      </c>
      <c r="C1839" t="s">
        <v>19</v>
      </c>
      <c r="D1839" t="s">
        <v>23</v>
      </c>
      <c r="E1839" t="s">
        <v>20</v>
      </c>
      <c r="F1839" t="s">
        <v>27</v>
      </c>
      <c r="G1839" t="s">
        <v>22</v>
      </c>
      <c r="H1839">
        <v>60000</v>
      </c>
      <c r="I1839">
        <v>7</v>
      </c>
      <c r="J1839" t="s">
        <v>24</v>
      </c>
      <c r="K1839">
        <f t="shared" si="28"/>
        <v>48000</v>
      </c>
      <c r="L1839">
        <f>Sales_Data2[[#This Row],[Unit Price]]*Sales_Data2[[#This Row],[Quantity]]</f>
        <v>420000</v>
      </c>
      <c r="M1839">
        <f>Sales_Data2[[#This Row],[Cost Price]]*Sales_Data2[[#This Row],[Quantity]]</f>
        <v>336000</v>
      </c>
      <c r="N1839" s="3">
        <f>Sales_Data2[[#This Row],[Revenue]]-Sales_Data2[[#This Row],[COGS]]</f>
        <v>84000</v>
      </c>
      <c r="O18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47513|South|Lagos|Corporate|Store|Microwave M20|Home Appliances|60000|7|David|48000</v>
      </c>
      <c r="P1839" s="3" t="str">
        <f>IF(COUNTIF(Sales_Data2[RowKey],Sales_Data2[[#This Row],[RowKey]])&gt;1,"Duplicate","Unique")</f>
        <v>Unique</v>
      </c>
      <c r="Q1839" s="3" t="str">
        <f>IF(ISNUMBER(Sales_Data2[[#This Row],[Date]]),"OK","Check")</f>
        <v>OK</v>
      </c>
      <c r="R1839" s="3" t="str">
        <f>IF(ISNUMBER(Sales_Data2[[#This Row],[Quantity]]),"OK","Check")</f>
        <v>OK</v>
      </c>
    </row>
    <row r="1840" spans="1:18">
      <c r="A1840" s="1">
        <v>47514</v>
      </c>
      <c r="B1840" t="s">
        <v>11</v>
      </c>
      <c r="C1840" t="s">
        <v>26</v>
      </c>
      <c r="D1840" t="s">
        <v>13</v>
      </c>
      <c r="E1840" t="s">
        <v>20</v>
      </c>
      <c r="F1840" t="s">
        <v>21</v>
      </c>
      <c r="G1840" t="s">
        <v>22</v>
      </c>
      <c r="H1840">
        <v>30000</v>
      </c>
      <c r="I1840">
        <v>7</v>
      </c>
      <c r="J1840" t="s">
        <v>39</v>
      </c>
      <c r="K1840">
        <f t="shared" si="28"/>
        <v>24000</v>
      </c>
      <c r="L1840">
        <f>Sales_Data2[[#This Row],[Unit Price]]*Sales_Data2[[#This Row],[Quantity]]</f>
        <v>210000</v>
      </c>
      <c r="M1840">
        <f>Sales_Data2[[#This Row],[Cost Price]]*Sales_Data2[[#This Row],[Quantity]]</f>
        <v>168000</v>
      </c>
      <c r="N1840" s="3">
        <f>Sales_Data2[[#This Row],[Revenue]]-Sales_Data2[[#This Row],[COGS]]</f>
        <v>42000</v>
      </c>
      <c r="O18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47514|West|Kano|Retail|Store|Blender B10|Home Appliances|30000|7|Grace|24000</v>
      </c>
      <c r="P1840" s="3" t="str">
        <f>IF(COUNTIF(Sales_Data2[RowKey],Sales_Data2[[#This Row],[RowKey]])&gt;1,"Duplicate","Unique")</f>
        <v>Unique</v>
      </c>
      <c r="Q1840" s="3" t="str">
        <f>IF(ISNUMBER(Sales_Data2[[#This Row],[Date]]),"OK","Check")</f>
        <v>OK</v>
      </c>
      <c r="R1840" s="3" t="str">
        <f>IF(ISNUMBER(Sales_Data2[[#This Row],[Quantity]]),"OK","Check")</f>
        <v>OK</v>
      </c>
    </row>
    <row r="1841" spans="1:18">
      <c r="A1841" s="1">
        <v>47515</v>
      </c>
      <c r="B1841" t="s">
        <v>11</v>
      </c>
      <c r="C1841" t="s">
        <v>12</v>
      </c>
      <c r="D1841" t="s">
        <v>13</v>
      </c>
      <c r="E1841" t="s">
        <v>20</v>
      </c>
      <c r="F1841" t="s">
        <v>30</v>
      </c>
      <c r="G1841" t="s">
        <v>31</v>
      </c>
      <c r="H1841">
        <v>300000</v>
      </c>
      <c r="I1841">
        <v>6</v>
      </c>
      <c r="J1841" t="s">
        <v>37</v>
      </c>
      <c r="K1841">
        <f t="shared" si="28"/>
        <v>240000</v>
      </c>
      <c r="L1841">
        <f>Sales_Data2[[#This Row],[Unit Price]]*Sales_Data2[[#This Row],[Quantity]]</f>
        <v>1800000</v>
      </c>
      <c r="M1841">
        <f>Sales_Data2[[#This Row],[Cost Price]]*Sales_Data2[[#This Row],[Quantity]]</f>
        <v>1440000</v>
      </c>
      <c r="N1841" s="3">
        <f>Sales_Data2[[#This Row],[Revenue]]-Sales_Data2[[#This Row],[COGS]]</f>
        <v>360000</v>
      </c>
      <c r="O18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47515|West|Port Harcourt|Retail|Store|Desktop PC D21|Electronics|300000|6|Aisha|240000</v>
      </c>
      <c r="P1841" s="3" t="str">
        <f>IF(COUNTIF(Sales_Data2[RowKey],Sales_Data2[[#This Row],[RowKey]])&gt;1,"Duplicate","Unique")</f>
        <v>Unique</v>
      </c>
      <c r="Q1841" s="3" t="str">
        <f>IF(ISNUMBER(Sales_Data2[[#This Row],[Date]]),"OK","Check")</f>
        <v>OK</v>
      </c>
      <c r="R1841" s="3" t="str">
        <f>IF(ISNUMBER(Sales_Data2[[#This Row],[Quantity]]),"OK","Check")</f>
        <v>OK</v>
      </c>
    </row>
    <row r="1842" spans="1:18">
      <c r="A1842" s="1">
        <v>47516</v>
      </c>
      <c r="B1842" t="s">
        <v>29</v>
      </c>
      <c r="C1842" t="s">
        <v>32</v>
      </c>
      <c r="D1842" t="s">
        <v>23</v>
      </c>
      <c r="E1842" t="s">
        <v>20</v>
      </c>
      <c r="F1842" t="s">
        <v>30</v>
      </c>
      <c r="G1842" t="s">
        <v>31</v>
      </c>
      <c r="H1842">
        <v>300000</v>
      </c>
      <c r="I1842">
        <v>4</v>
      </c>
      <c r="J1842" t="s">
        <v>39</v>
      </c>
      <c r="K1842">
        <f t="shared" si="28"/>
        <v>240000</v>
      </c>
      <c r="L1842">
        <f>Sales_Data2[[#This Row],[Unit Price]]*Sales_Data2[[#This Row],[Quantity]]</f>
        <v>1200000</v>
      </c>
      <c r="M1842">
        <f>Sales_Data2[[#This Row],[Cost Price]]*Sales_Data2[[#This Row],[Quantity]]</f>
        <v>960000</v>
      </c>
      <c r="N1842" s="3">
        <f>Sales_Data2[[#This Row],[Revenue]]-Sales_Data2[[#This Row],[COGS]]</f>
        <v>240000</v>
      </c>
      <c r="O18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47516|North|Abuja|Corporate|Store|Desktop PC D21|Electronics|300000|4|Grace|240000</v>
      </c>
      <c r="P1842" s="3" t="str">
        <f>IF(COUNTIF(Sales_Data2[RowKey],Sales_Data2[[#This Row],[RowKey]])&gt;1,"Duplicate","Unique")</f>
        <v>Unique</v>
      </c>
      <c r="Q1842" s="3" t="str">
        <f>IF(ISNUMBER(Sales_Data2[[#This Row],[Date]]),"OK","Check")</f>
        <v>OK</v>
      </c>
      <c r="R1842" s="3" t="str">
        <f>IF(ISNUMBER(Sales_Data2[[#This Row],[Quantity]]),"OK","Check")</f>
        <v>OK</v>
      </c>
    </row>
    <row r="1843" spans="1:18">
      <c r="A1843" s="1">
        <v>47517</v>
      </c>
      <c r="B1843" t="s">
        <v>25</v>
      </c>
      <c r="C1843" t="s">
        <v>26</v>
      </c>
      <c r="D1843" t="s">
        <v>13</v>
      </c>
      <c r="E1843" t="s">
        <v>20</v>
      </c>
      <c r="F1843" t="s">
        <v>15</v>
      </c>
      <c r="G1843" t="s">
        <v>16</v>
      </c>
      <c r="H1843">
        <v>85000</v>
      </c>
      <c r="I1843">
        <v>2</v>
      </c>
      <c r="J1843" t="s">
        <v>17</v>
      </c>
      <c r="K1843">
        <f t="shared" si="28"/>
        <v>68000</v>
      </c>
      <c r="L1843">
        <f>Sales_Data2[[#This Row],[Unit Price]]*Sales_Data2[[#This Row],[Quantity]]</f>
        <v>170000</v>
      </c>
      <c r="M1843">
        <f>Sales_Data2[[#This Row],[Cost Price]]*Sales_Data2[[#This Row],[Quantity]]</f>
        <v>136000</v>
      </c>
      <c r="N1843" s="3">
        <f>Sales_Data2[[#This Row],[Revenue]]-Sales_Data2[[#This Row],[COGS]]</f>
        <v>34000</v>
      </c>
      <c r="O18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47517|South|Kano|Retail|Store|Office Chair Pro|Furniture|85000|2|Chidinma|68000</v>
      </c>
      <c r="P1843" s="3" t="str">
        <f>IF(COUNTIF(Sales_Data2[RowKey],Sales_Data2[[#This Row],[RowKey]])&gt;1,"Duplicate","Unique")</f>
        <v>Unique</v>
      </c>
      <c r="Q1843" s="3" t="str">
        <f>IF(ISNUMBER(Sales_Data2[[#This Row],[Date]]),"OK","Check")</f>
        <v>OK</v>
      </c>
      <c r="R1843" s="3" t="str">
        <f>IF(ISNUMBER(Sales_Data2[[#This Row],[Quantity]]),"OK","Check")</f>
        <v>OK</v>
      </c>
    </row>
    <row r="1844" spans="1:18">
      <c r="A1844" s="1">
        <v>47518</v>
      </c>
      <c r="B1844" t="s">
        <v>29</v>
      </c>
      <c r="C1844" t="s">
        <v>26</v>
      </c>
      <c r="D1844" t="s">
        <v>23</v>
      </c>
      <c r="E1844" t="s">
        <v>20</v>
      </c>
      <c r="F1844" t="s">
        <v>36</v>
      </c>
      <c r="G1844" t="s">
        <v>31</v>
      </c>
      <c r="H1844">
        <v>150000</v>
      </c>
      <c r="I1844">
        <v>3</v>
      </c>
      <c r="J1844" t="s">
        <v>24</v>
      </c>
      <c r="K1844">
        <f t="shared" si="28"/>
        <v>120000</v>
      </c>
      <c r="L1844">
        <f>Sales_Data2[[#This Row],[Unit Price]]*Sales_Data2[[#This Row],[Quantity]]</f>
        <v>450000</v>
      </c>
      <c r="M1844">
        <f>Sales_Data2[[#This Row],[Cost Price]]*Sales_Data2[[#This Row],[Quantity]]</f>
        <v>360000</v>
      </c>
      <c r="N1844" s="3">
        <f>Sales_Data2[[#This Row],[Revenue]]-Sales_Data2[[#This Row],[COGS]]</f>
        <v>90000</v>
      </c>
      <c r="O18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47518|North|Kano|Corporate|Store|Printer P50|Electronics|150000|3|David|120000</v>
      </c>
      <c r="P1844" s="3" t="str">
        <f>IF(COUNTIF(Sales_Data2[RowKey],Sales_Data2[[#This Row],[RowKey]])&gt;1,"Duplicate","Unique")</f>
        <v>Unique</v>
      </c>
      <c r="Q1844" s="3" t="str">
        <f>IF(ISNUMBER(Sales_Data2[[#This Row],[Date]]),"OK","Check")</f>
        <v>OK</v>
      </c>
      <c r="R1844" s="3" t="str">
        <f>IF(ISNUMBER(Sales_Data2[[#This Row],[Quantity]]),"OK","Check")</f>
        <v>OK</v>
      </c>
    </row>
    <row r="1845" spans="1:18">
      <c r="A1845" s="1">
        <v>47519</v>
      </c>
      <c r="B1845" t="s">
        <v>11</v>
      </c>
      <c r="C1845" t="s">
        <v>32</v>
      </c>
      <c r="D1845" t="s">
        <v>23</v>
      </c>
      <c r="E1845" t="s">
        <v>20</v>
      </c>
      <c r="F1845" t="s">
        <v>40</v>
      </c>
      <c r="G1845" t="s">
        <v>31</v>
      </c>
      <c r="H1845">
        <v>250000</v>
      </c>
      <c r="I1845">
        <v>4</v>
      </c>
      <c r="J1845" t="s">
        <v>28</v>
      </c>
      <c r="K1845">
        <f t="shared" si="28"/>
        <v>200000</v>
      </c>
      <c r="L1845">
        <f>Sales_Data2[[#This Row],[Unit Price]]*Sales_Data2[[#This Row],[Quantity]]</f>
        <v>1000000</v>
      </c>
      <c r="M1845">
        <f>Sales_Data2[[#This Row],[Cost Price]]*Sales_Data2[[#This Row],[Quantity]]</f>
        <v>800000</v>
      </c>
      <c r="N1845" s="3">
        <f>Sales_Data2[[#This Row],[Revenue]]-Sales_Data2[[#This Row],[COGS]]</f>
        <v>200000</v>
      </c>
      <c r="O18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47519|West|Abuja|Corporate|Store|Smartphone Z10|Electronics|250000|4|Musa|200000</v>
      </c>
      <c r="P1845" s="3" t="str">
        <f>IF(COUNTIF(Sales_Data2[RowKey],Sales_Data2[[#This Row],[RowKey]])&gt;1,"Duplicate","Unique")</f>
        <v>Unique</v>
      </c>
      <c r="Q1845" s="3" t="str">
        <f>IF(ISNUMBER(Sales_Data2[[#This Row],[Date]]),"OK","Check")</f>
        <v>OK</v>
      </c>
      <c r="R1845" s="3" t="str">
        <f>IF(ISNUMBER(Sales_Data2[[#This Row],[Quantity]]),"OK","Check")</f>
        <v>OK</v>
      </c>
    </row>
    <row r="1846" spans="1:18">
      <c r="A1846" s="1">
        <v>47520</v>
      </c>
      <c r="B1846" t="s">
        <v>29</v>
      </c>
      <c r="C1846" t="s">
        <v>12</v>
      </c>
      <c r="D1846" t="s">
        <v>13</v>
      </c>
      <c r="E1846" t="s">
        <v>20</v>
      </c>
      <c r="F1846" t="s">
        <v>40</v>
      </c>
      <c r="G1846" t="s">
        <v>31</v>
      </c>
      <c r="H1846">
        <v>250000</v>
      </c>
      <c r="I1846">
        <v>7</v>
      </c>
      <c r="J1846" t="s">
        <v>17</v>
      </c>
      <c r="K1846">
        <f t="shared" si="28"/>
        <v>200000</v>
      </c>
      <c r="L1846">
        <f>Sales_Data2[[#This Row],[Unit Price]]*Sales_Data2[[#This Row],[Quantity]]</f>
        <v>1750000</v>
      </c>
      <c r="M1846">
        <f>Sales_Data2[[#This Row],[Cost Price]]*Sales_Data2[[#This Row],[Quantity]]</f>
        <v>1400000</v>
      </c>
      <c r="N1846" s="3">
        <f>Sales_Data2[[#This Row],[Revenue]]-Sales_Data2[[#This Row],[COGS]]</f>
        <v>350000</v>
      </c>
      <c r="O18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47520|North|Port Harcourt|Retail|Store|Smartphone Z10|Electronics|250000|7|Chidinma|200000</v>
      </c>
      <c r="P1846" s="3" t="str">
        <f>IF(COUNTIF(Sales_Data2[RowKey],Sales_Data2[[#This Row],[RowKey]])&gt;1,"Duplicate","Unique")</f>
        <v>Unique</v>
      </c>
      <c r="Q1846" s="3" t="str">
        <f>IF(ISNUMBER(Sales_Data2[[#This Row],[Date]]),"OK","Check")</f>
        <v>OK</v>
      </c>
      <c r="R1846" s="3" t="str">
        <f>IF(ISNUMBER(Sales_Data2[[#This Row],[Quantity]]),"OK","Check")</f>
        <v>OK</v>
      </c>
    </row>
    <row r="1847" spans="1:18">
      <c r="A1847" s="1">
        <v>47521</v>
      </c>
      <c r="B1847" t="s">
        <v>11</v>
      </c>
      <c r="C1847" t="s">
        <v>19</v>
      </c>
      <c r="D1847" t="s">
        <v>13</v>
      </c>
      <c r="E1847" t="s">
        <v>20</v>
      </c>
      <c r="F1847" t="s">
        <v>40</v>
      </c>
      <c r="G1847" t="s">
        <v>31</v>
      </c>
      <c r="H1847">
        <v>250000</v>
      </c>
      <c r="I1847">
        <v>3</v>
      </c>
      <c r="J1847" t="s">
        <v>24</v>
      </c>
      <c r="K1847">
        <f t="shared" si="28"/>
        <v>200000</v>
      </c>
      <c r="L1847">
        <f>Sales_Data2[[#This Row],[Unit Price]]*Sales_Data2[[#This Row],[Quantity]]</f>
        <v>750000</v>
      </c>
      <c r="M1847">
        <f>Sales_Data2[[#This Row],[Cost Price]]*Sales_Data2[[#This Row],[Quantity]]</f>
        <v>600000</v>
      </c>
      <c r="N1847" s="3">
        <f>Sales_Data2[[#This Row],[Revenue]]-Sales_Data2[[#This Row],[COGS]]</f>
        <v>150000</v>
      </c>
      <c r="O18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47521|West|Lagos|Retail|Store|Smartphone Z10|Electronics|250000|3|David|200000</v>
      </c>
      <c r="P1847" s="3" t="str">
        <f>IF(COUNTIF(Sales_Data2[RowKey],Sales_Data2[[#This Row],[RowKey]])&gt;1,"Duplicate","Unique")</f>
        <v>Unique</v>
      </c>
      <c r="Q1847" s="3" t="str">
        <f>IF(ISNUMBER(Sales_Data2[[#This Row],[Date]]),"OK","Check")</f>
        <v>OK</v>
      </c>
      <c r="R1847" s="3" t="str">
        <f>IF(ISNUMBER(Sales_Data2[[#This Row],[Quantity]]),"OK","Check")</f>
        <v>OK</v>
      </c>
    </row>
    <row r="1848" spans="1:18">
      <c r="A1848" s="1">
        <v>47522</v>
      </c>
      <c r="B1848" t="s">
        <v>18</v>
      </c>
      <c r="C1848" t="s">
        <v>26</v>
      </c>
      <c r="D1848" t="s">
        <v>13</v>
      </c>
      <c r="E1848" t="s">
        <v>20</v>
      </c>
      <c r="F1848" t="s">
        <v>36</v>
      </c>
      <c r="G1848" t="s">
        <v>31</v>
      </c>
      <c r="H1848">
        <v>150000</v>
      </c>
      <c r="I1848">
        <v>8</v>
      </c>
      <c r="J1848" t="s">
        <v>17</v>
      </c>
      <c r="K1848">
        <f t="shared" si="28"/>
        <v>120000</v>
      </c>
      <c r="L1848">
        <f>Sales_Data2[[#This Row],[Unit Price]]*Sales_Data2[[#This Row],[Quantity]]</f>
        <v>1200000</v>
      </c>
      <c r="M1848">
        <f>Sales_Data2[[#This Row],[Cost Price]]*Sales_Data2[[#This Row],[Quantity]]</f>
        <v>960000</v>
      </c>
      <c r="N1848" s="3">
        <f>Sales_Data2[[#This Row],[Revenue]]-Sales_Data2[[#This Row],[COGS]]</f>
        <v>240000</v>
      </c>
      <c r="O18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47522|East|Kano|Retail|Store|Printer P50|Electronics|150000|8|Chidinma|120000</v>
      </c>
      <c r="P1848" s="3" t="str">
        <f>IF(COUNTIF(Sales_Data2[RowKey],Sales_Data2[[#This Row],[RowKey]])&gt;1,"Duplicate","Unique")</f>
        <v>Unique</v>
      </c>
      <c r="Q1848" s="3" t="str">
        <f>IF(ISNUMBER(Sales_Data2[[#This Row],[Date]]),"OK","Check")</f>
        <v>OK</v>
      </c>
      <c r="R1848" s="3" t="str">
        <f>IF(ISNUMBER(Sales_Data2[[#This Row],[Quantity]]),"OK","Check")</f>
        <v>OK</v>
      </c>
    </row>
    <row r="1849" spans="1:18">
      <c r="A1849" s="1">
        <v>47523</v>
      </c>
      <c r="B1849" t="s">
        <v>18</v>
      </c>
      <c r="C1849" t="s">
        <v>26</v>
      </c>
      <c r="D1849" t="s">
        <v>23</v>
      </c>
      <c r="E1849" t="s">
        <v>20</v>
      </c>
      <c r="F1849" t="s">
        <v>15</v>
      </c>
      <c r="G1849" t="s">
        <v>16</v>
      </c>
      <c r="H1849">
        <v>85000</v>
      </c>
      <c r="I1849">
        <v>1</v>
      </c>
      <c r="J1849" t="s">
        <v>37</v>
      </c>
      <c r="K1849">
        <f t="shared" si="28"/>
        <v>68000</v>
      </c>
      <c r="L1849">
        <f>Sales_Data2[[#This Row],[Unit Price]]*Sales_Data2[[#This Row],[Quantity]]</f>
        <v>85000</v>
      </c>
      <c r="M1849">
        <f>Sales_Data2[[#This Row],[Cost Price]]*Sales_Data2[[#This Row],[Quantity]]</f>
        <v>68000</v>
      </c>
      <c r="N1849" s="3">
        <f>Sales_Data2[[#This Row],[Revenue]]-Sales_Data2[[#This Row],[COGS]]</f>
        <v>17000</v>
      </c>
      <c r="O18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47523|East|Kano|Corporate|Store|Office Chair Pro|Furniture|85000|1|Aisha|68000</v>
      </c>
      <c r="P1849" s="3" t="str">
        <f>IF(COUNTIF(Sales_Data2[RowKey],Sales_Data2[[#This Row],[RowKey]])&gt;1,"Duplicate","Unique")</f>
        <v>Unique</v>
      </c>
      <c r="Q1849" s="3" t="str">
        <f>IF(ISNUMBER(Sales_Data2[[#This Row],[Date]]),"OK","Check")</f>
        <v>OK</v>
      </c>
      <c r="R1849" s="3" t="str">
        <f>IF(ISNUMBER(Sales_Data2[[#This Row],[Quantity]]),"OK","Check")</f>
        <v>OK</v>
      </c>
    </row>
    <row r="1850" spans="1:18">
      <c r="A1850" s="1">
        <v>47524</v>
      </c>
      <c r="B1850" t="s">
        <v>18</v>
      </c>
      <c r="C1850" t="s">
        <v>32</v>
      </c>
      <c r="D1850" t="s">
        <v>13</v>
      </c>
      <c r="E1850" t="s">
        <v>20</v>
      </c>
      <c r="F1850" t="s">
        <v>41</v>
      </c>
      <c r="G1850" t="s">
        <v>22</v>
      </c>
      <c r="H1850">
        <v>220000</v>
      </c>
      <c r="I1850">
        <v>6</v>
      </c>
      <c r="J1850" t="s">
        <v>17</v>
      </c>
      <c r="K1850">
        <f t="shared" si="28"/>
        <v>176000</v>
      </c>
      <c r="L1850">
        <f>Sales_Data2[[#This Row],[Unit Price]]*Sales_Data2[[#This Row],[Quantity]]</f>
        <v>1320000</v>
      </c>
      <c r="M1850">
        <f>Sales_Data2[[#This Row],[Cost Price]]*Sales_Data2[[#This Row],[Quantity]]</f>
        <v>1056000</v>
      </c>
      <c r="N1850" s="3">
        <f>Sales_Data2[[#This Row],[Revenue]]-Sales_Data2[[#This Row],[COGS]]</f>
        <v>264000</v>
      </c>
      <c r="O18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47524|East|Abuja|Retail|Store|Refrigerator R55|Home Appliances|220000|6|Chidinma|176000</v>
      </c>
      <c r="P1850" s="3" t="str">
        <f>IF(COUNTIF(Sales_Data2[RowKey],Sales_Data2[[#This Row],[RowKey]])&gt;1,"Duplicate","Unique")</f>
        <v>Unique</v>
      </c>
      <c r="Q1850" s="3" t="str">
        <f>IF(ISNUMBER(Sales_Data2[[#This Row],[Date]]),"OK","Check")</f>
        <v>OK</v>
      </c>
      <c r="R1850" s="3" t="str">
        <f>IF(ISNUMBER(Sales_Data2[[#This Row],[Quantity]]),"OK","Check")</f>
        <v>OK</v>
      </c>
    </row>
    <row r="1851" spans="1:18">
      <c r="A1851" s="1">
        <v>47525</v>
      </c>
      <c r="B1851" t="s">
        <v>18</v>
      </c>
      <c r="C1851" t="s">
        <v>12</v>
      </c>
      <c r="D1851" t="s">
        <v>23</v>
      </c>
      <c r="E1851" t="s">
        <v>20</v>
      </c>
      <c r="F1851" t="s">
        <v>21</v>
      </c>
      <c r="G1851" t="s">
        <v>22</v>
      </c>
      <c r="H1851">
        <v>30000</v>
      </c>
      <c r="I1851">
        <v>3</v>
      </c>
      <c r="J1851" t="s">
        <v>17</v>
      </c>
      <c r="K1851">
        <f t="shared" si="28"/>
        <v>24000</v>
      </c>
      <c r="L1851">
        <f>Sales_Data2[[#This Row],[Unit Price]]*Sales_Data2[[#This Row],[Quantity]]</f>
        <v>90000</v>
      </c>
      <c r="M1851">
        <f>Sales_Data2[[#This Row],[Cost Price]]*Sales_Data2[[#This Row],[Quantity]]</f>
        <v>72000</v>
      </c>
      <c r="N1851" s="3">
        <f>Sales_Data2[[#This Row],[Revenue]]-Sales_Data2[[#This Row],[COGS]]</f>
        <v>18000</v>
      </c>
      <c r="O18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47525|East|Port Harcourt|Corporate|Store|Blender B10|Home Appliances|30000|3|Chidinma|24000</v>
      </c>
      <c r="P1851" s="3" t="str">
        <f>IF(COUNTIF(Sales_Data2[RowKey],Sales_Data2[[#This Row],[RowKey]])&gt;1,"Duplicate","Unique")</f>
        <v>Unique</v>
      </c>
      <c r="Q1851" s="3" t="str">
        <f>IF(ISNUMBER(Sales_Data2[[#This Row],[Date]]),"OK","Check")</f>
        <v>OK</v>
      </c>
      <c r="R1851" s="3" t="str">
        <f>IF(ISNUMBER(Sales_Data2[[#This Row],[Quantity]]),"OK","Check")</f>
        <v>OK</v>
      </c>
    </row>
    <row r="1852" spans="1:18">
      <c r="A1852" s="1">
        <v>47526</v>
      </c>
      <c r="B1852" t="s">
        <v>29</v>
      </c>
      <c r="C1852" t="s">
        <v>32</v>
      </c>
      <c r="D1852" t="s">
        <v>23</v>
      </c>
      <c r="E1852" t="s">
        <v>20</v>
      </c>
      <c r="F1852" t="s">
        <v>30</v>
      </c>
      <c r="G1852" t="s">
        <v>31</v>
      </c>
      <c r="H1852">
        <v>300000</v>
      </c>
      <c r="I1852">
        <v>3</v>
      </c>
      <c r="J1852" t="s">
        <v>24</v>
      </c>
      <c r="K1852">
        <f t="shared" si="28"/>
        <v>240000</v>
      </c>
      <c r="L1852">
        <f>Sales_Data2[[#This Row],[Unit Price]]*Sales_Data2[[#This Row],[Quantity]]</f>
        <v>900000</v>
      </c>
      <c r="M1852">
        <f>Sales_Data2[[#This Row],[Cost Price]]*Sales_Data2[[#This Row],[Quantity]]</f>
        <v>720000</v>
      </c>
      <c r="N1852" s="3">
        <f>Sales_Data2[[#This Row],[Revenue]]-Sales_Data2[[#This Row],[COGS]]</f>
        <v>180000</v>
      </c>
      <c r="O18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47526|North|Abuja|Corporate|Store|Desktop PC D21|Electronics|300000|3|David|240000</v>
      </c>
      <c r="P1852" s="3" t="str">
        <f>IF(COUNTIF(Sales_Data2[RowKey],Sales_Data2[[#This Row],[RowKey]])&gt;1,"Duplicate","Unique")</f>
        <v>Unique</v>
      </c>
      <c r="Q1852" s="3" t="str">
        <f>IF(ISNUMBER(Sales_Data2[[#This Row],[Date]]),"OK","Check")</f>
        <v>OK</v>
      </c>
      <c r="R1852" s="3" t="str">
        <f>IF(ISNUMBER(Sales_Data2[[#This Row],[Quantity]]),"OK","Check")</f>
        <v>OK</v>
      </c>
    </row>
    <row r="1853" spans="1:18">
      <c r="A1853" s="1">
        <v>47527</v>
      </c>
      <c r="B1853" t="s">
        <v>18</v>
      </c>
      <c r="C1853" t="s">
        <v>26</v>
      </c>
      <c r="D1853" t="s">
        <v>13</v>
      </c>
      <c r="E1853" t="s">
        <v>20</v>
      </c>
      <c r="F1853" t="s">
        <v>40</v>
      </c>
      <c r="G1853" t="s">
        <v>31</v>
      </c>
      <c r="H1853">
        <v>250000</v>
      </c>
      <c r="I1853">
        <v>10</v>
      </c>
      <c r="J1853" t="s">
        <v>37</v>
      </c>
      <c r="K1853">
        <f t="shared" si="28"/>
        <v>200000</v>
      </c>
      <c r="L1853">
        <f>Sales_Data2[[#This Row],[Unit Price]]*Sales_Data2[[#This Row],[Quantity]]</f>
        <v>2500000</v>
      </c>
      <c r="M1853">
        <f>Sales_Data2[[#This Row],[Cost Price]]*Sales_Data2[[#This Row],[Quantity]]</f>
        <v>2000000</v>
      </c>
      <c r="N1853" s="3">
        <f>Sales_Data2[[#This Row],[Revenue]]-Sales_Data2[[#This Row],[COGS]]</f>
        <v>500000</v>
      </c>
      <c r="O18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47527|East|Kano|Retail|Store|Smartphone Z10|Electronics|250000|10|Aisha|200000</v>
      </c>
      <c r="P1853" s="3" t="str">
        <f>IF(COUNTIF(Sales_Data2[RowKey],Sales_Data2[[#This Row],[RowKey]])&gt;1,"Duplicate","Unique")</f>
        <v>Unique</v>
      </c>
      <c r="Q1853" s="3" t="str">
        <f>IF(ISNUMBER(Sales_Data2[[#This Row],[Date]]),"OK","Check")</f>
        <v>OK</v>
      </c>
      <c r="R1853" s="3" t="str">
        <f>IF(ISNUMBER(Sales_Data2[[#This Row],[Quantity]]),"OK","Check")</f>
        <v>OK</v>
      </c>
    </row>
    <row r="1854" spans="1:18">
      <c r="A1854" s="1">
        <v>47528</v>
      </c>
      <c r="B1854" t="s">
        <v>18</v>
      </c>
      <c r="C1854" t="s">
        <v>19</v>
      </c>
      <c r="D1854" t="s">
        <v>13</v>
      </c>
      <c r="E1854" t="s">
        <v>20</v>
      </c>
      <c r="F1854" t="s">
        <v>30</v>
      </c>
      <c r="G1854" t="s">
        <v>31</v>
      </c>
      <c r="H1854">
        <v>300000</v>
      </c>
      <c r="I1854">
        <v>4</v>
      </c>
      <c r="J1854" t="s">
        <v>35</v>
      </c>
      <c r="K1854">
        <f t="shared" si="28"/>
        <v>240000</v>
      </c>
      <c r="L1854">
        <f>Sales_Data2[[#This Row],[Unit Price]]*Sales_Data2[[#This Row],[Quantity]]</f>
        <v>1200000</v>
      </c>
      <c r="M1854">
        <f>Sales_Data2[[#This Row],[Cost Price]]*Sales_Data2[[#This Row],[Quantity]]</f>
        <v>960000</v>
      </c>
      <c r="N1854" s="3">
        <f>Sales_Data2[[#This Row],[Revenue]]-Sales_Data2[[#This Row],[COGS]]</f>
        <v>240000</v>
      </c>
      <c r="O18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47528|East|Lagos|Retail|Store|Desktop PC D21|Electronics|300000|4|Peter|240000</v>
      </c>
      <c r="P1854" s="3" t="str">
        <f>IF(COUNTIF(Sales_Data2[RowKey],Sales_Data2[[#This Row],[RowKey]])&gt;1,"Duplicate","Unique")</f>
        <v>Unique</v>
      </c>
      <c r="Q1854" s="3" t="str">
        <f>IF(ISNUMBER(Sales_Data2[[#This Row],[Date]]),"OK","Check")</f>
        <v>OK</v>
      </c>
      <c r="R1854" s="3" t="str">
        <f>IF(ISNUMBER(Sales_Data2[[#This Row],[Quantity]]),"OK","Check")</f>
        <v>OK</v>
      </c>
    </row>
    <row r="1855" spans="1:18">
      <c r="A1855" s="1">
        <v>47529</v>
      </c>
      <c r="B1855" t="s">
        <v>25</v>
      </c>
      <c r="C1855" t="s">
        <v>26</v>
      </c>
      <c r="D1855" t="s">
        <v>13</v>
      </c>
      <c r="E1855" t="s">
        <v>20</v>
      </c>
      <c r="F1855" t="s">
        <v>34</v>
      </c>
      <c r="G1855" t="s">
        <v>16</v>
      </c>
      <c r="H1855">
        <v>320000</v>
      </c>
      <c r="I1855">
        <v>5</v>
      </c>
      <c r="J1855" t="s">
        <v>39</v>
      </c>
      <c r="K1855">
        <f t="shared" si="28"/>
        <v>256000</v>
      </c>
      <c r="L1855">
        <f>Sales_Data2[[#This Row],[Unit Price]]*Sales_Data2[[#This Row],[Quantity]]</f>
        <v>1600000</v>
      </c>
      <c r="M1855">
        <f>Sales_Data2[[#This Row],[Cost Price]]*Sales_Data2[[#This Row],[Quantity]]</f>
        <v>1280000</v>
      </c>
      <c r="N1855" s="3">
        <f>Sales_Data2[[#This Row],[Revenue]]-Sales_Data2[[#This Row],[COGS]]</f>
        <v>320000</v>
      </c>
      <c r="O18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47529|South|Kano|Retail|Store|Sofa Classic|Furniture|320000|5|Grace|256000</v>
      </c>
      <c r="P1855" s="3" t="str">
        <f>IF(COUNTIF(Sales_Data2[RowKey],Sales_Data2[[#This Row],[RowKey]])&gt;1,"Duplicate","Unique")</f>
        <v>Unique</v>
      </c>
      <c r="Q1855" s="3" t="str">
        <f>IF(ISNUMBER(Sales_Data2[[#This Row],[Date]]),"OK","Check")</f>
        <v>OK</v>
      </c>
      <c r="R1855" s="3" t="str">
        <f>IF(ISNUMBER(Sales_Data2[[#This Row],[Quantity]]),"OK","Check")</f>
        <v>OK</v>
      </c>
    </row>
    <row r="1856" spans="1:18">
      <c r="A1856" s="1">
        <v>47530</v>
      </c>
      <c r="B1856" t="s">
        <v>25</v>
      </c>
      <c r="C1856" t="s">
        <v>19</v>
      </c>
      <c r="D1856" t="s">
        <v>13</v>
      </c>
      <c r="E1856" t="s">
        <v>20</v>
      </c>
      <c r="F1856" t="s">
        <v>34</v>
      </c>
      <c r="G1856" t="s">
        <v>16</v>
      </c>
      <c r="H1856">
        <v>320000</v>
      </c>
      <c r="I1856">
        <v>1</v>
      </c>
      <c r="J1856" t="s">
        <v>24</v>
      </c>
      <c r="K1856">
        <f t="shared" si="28"/>
        <v>256000</v>
      </c>
      <c r="L1856">
        <f>Sales_Data2[[#This Row],[Unit Price]]*Sales_Data2[[#This Row],[Quantity]]</f>
        <v>320000</v>
      </c>
      <c r="M1856">
        <f>Sales_Data2[[#This Row],[Cost Price]]*Sales_Data2[[#This Row],[Quantity]]</f>
        <v>256000</v>
      </c>
      <c r="N1856" s="3">
        <f>Sales_Data2[[#This Row],[Revenue]]-Sales_Data2[[#This Row],[COGS]]</f>
        <v>64000</v>
      </c>
      <c r="O18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47530|South|Lagos|Retail|Store|Sofa Classic|Furniture|320000|1|David|256000</v>
      </c>
      <c r="P1856" s="3" t="str">
        <f>IF(COUNTIF(Sales_Data2[RowKey],Sales_Data2[[#This Row],[RowKey]])&gt;1,"Duplicate","Unique")</f>
        <v>Unique</v>
      </c>
      <c r="Q1856" s="3" t="str">
        <f>IF(ISNUMBER(Sales_Data2[[#This Row],[Date]]),"OK","Check")</f>
        <v>OK</v>
      </c>
      <c r="R1856" s="3" t="str">
        <f>IF(ISNUMBER(Sales_Data2[[#This Row],[Quantity]]),"OK","Check")</f>
        <v>OK</v>
      </c>
    </row>
    <row r="1857" spans="1:18">
      <c r="A1857" s="1">
        <v>47531</v>
      </c>
      <c r="B1857" t="s">
        <v>29</v>
      </c>
      <c r="C1857" t="s">
        <v>12</v>
      </c>
      <c r="D1857" t="s">
        <v>13</v>
      </c>
      <c r="E1857" t="s">
        <v>20</v>
      </c>
      <c r="F1857" t="s">
        <v>38</v>
      </c>
      <c r="G1857" t="s">
        <v>31</v>
      </c>
      <c r="H1857">
        <v>420000</v>
      </c>
      <c r="I1857">
        <v>4</v>
      </c>
      <c r="J1857" t="s">
        <v>37</v>
      </c>
      <c r="K1857">
        <f t="shared" si="28"/>
        <v>336000</v>
      </c>
      <c r="L1857">
        <f>Sales_Data2[[#This Row],[Unit Price]]*Sales_Data2[[#This Row],[Quantity]]</f>
        <v>1680000</v>
      </c>
      <c r="M1857">
        <f>Sales_Data2[[#This Row],[Cost Price]]*Sales_Data2[[#This Row],[Quantity]]</f>
        <v>1344000</v>
      </c>
      <c r="N1857" s="3">
        <f>Sales_Data2[[#This Row],[Revenue]]-Sales_Data2[[#This Row],[COGS]]</f>
        <v>336000</v>
      </c>
      <c r="O18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47531|North|Port Harcourt|Retail|Store|Laptop A13|Electronics|420000|4|Aisha|336000</v>
      </c>
      <c r="P1857" s="3" t="str">
        <f>IF(COUNTIF(Sales_Data2[RowKey],Sales_Data2[[#This Row],[RowKey]])&gt;1,"Duplicate","Unique")</f>
        <v>Unique</v>
      </c>
      <c r="Q1857" s="3" t="str">
        <f>IF(ISNUMBER(Sales_Data2[[#This Row],[Date]]),"OK","Check")</f>
        <v>OK</v>
      </c>
      <c r="R1857" s="3" t="str">
        <f>IF(ISNUMBER(Sales_Data2[[#This Row],[Quantity]]),"OK","Check")</f>
        <v>OK</v>
      </c>
    </row>
    <row r="1858" spans="1:18">
      <c r="A1858" s="1">
        <v>47532</v>
      </c>
      <c r="B1858" t="s">
        <v>25</v>
      </c>
      <c r="C1858" t="s">
        <v>26</v>
      </c>
      <c r="D1858" t="s">
        <v>23</v>
      </c>
      <c r="E1858" t="s">
        <v>20</v>
      </c>
      <c r="F1858" t="s">
        <v>15</v>
      </c>
      <c r="G1858" t="s">
        <v>16</v>
      </c>
      <c r="H1858">
        <v>85000</v>
      </c>
      <c r="I1858">
        <v>5</v>
      </c>
      <c r="J1858" t="s">
        <v>28</v>
      </c>
      <c r="K1858">
        <f t="shared" ref="K1858:K1921" si="29">H1858-H1858*0.2</f>
        <v>68000</v>
      </c>
      <c r="L1858">
        <f>Sales_Data2[[#This Row],[Unit Price]]*Sales_Data2[[#This Row],[Quantity]]</f>
        <v>425000</v>
      </c>
      <c r="M1858">
        <f>Sales_Data2[[#This Row],[Cost Price]]*Sales_Data2[[#This Row],[Quantity]]</f>
        <v>340000</v>
      </c>
      <c r="N1858" s="3">
        <f>Sales_Data2[[#This Row],[Revenue]]-Sales_Data2[[#This Row],[COGS]]</f>
        <v>85000</v>
      </c>
      <c r="O18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47532|South|Kano|Corporate|Store|Office Chair Pro|Furniture|85000|5|Musa|68000</v>
      </c>
      <c r="P1858" s="3" t="str">
        <f>IF(COUNTIF(Sales_Data2[RowKey],Sales_Data2[[#This Row],[RowKey]])&gt;1,"Duplicate","Unique")</f>
        <v>Unique</v>
      </c>
      <c r="Q1858" s="3" t="str">
        <f>IF(ISNUMBER(Sales_Data2[[#This Row],[Date]]),"OK","Check")</f>
        <v>OK</v>
      </c>
      <c r="R1858" s="3" t="str">
        <f>IF(ISNUMBER(Sales_Data2[[#This Row],[Quantity]]),"OK","Check")</f>
        <v>OK</v>
      </c>
    </row>
    <row r="1859" spans="1:18">
      <c r="A1859" s="1">
        <v>47533</v>
      </c>
      <c r="B1859" t="s">
        <v>18</v>
      </c>
      <c r="C1859" t="s">
        <v>19</v>
      </c>
      <c r="D1859" t="s">
        <v>23</v>
      </c>
      <c r="E1859" t="s">
        <v>20</v>
      </c>
      <c r="F1859" t="s">
        <v>27</v>
      </c>
      <c r="G1859" t="s">
        <v>22</v>
      </c>
      <c r="H1859">
        <v>60000</v>
      </c>
      <c r="I1859">
        <v>3</v>
      </c>
      <c r="J1859" t="s">
        <v>17</v>
      </c>
      <c r="K1859">
        <f t="shared" si="29"/>
        <v>48000</v>
      </c>
      <c r="L1859">
        <f>Sales_Data2[[#This Row],[Unit Price]]*Sales_Data2[[#This Row],[Quantity]]</f>
        <v>180000</v>
      </c>
      <c r="M1859">
        <f>Sales_Data2[[#This Row],[Cost Price]]*Sales_Data2[[#This Row],[Quantity]]</f>
        <v>144000</v>
      </c>
      <c r="N1859" s="3">
        <f>Sales_Data2[[#This Row],[Revenue]]-Sales_Data2[[#This Row],[COGS]]</f>
        <v>36000</v>
      </c>
      <c r="O18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47533|East|Lagos|Corporate|Store|Microwave M20|Home Appliances|60000|3|Chidinma|48000</v>
      </c>
      <c r="P1859" s="3" t="str">
        <f>IF(COUNTIF(Sales_Data2[RowKey],Sales_Data2[[#This Row],[RowKey]])&gt;1,"Duplicate","Unique")</f>
        <v>Unique</v>
      </c>
      <c r="Q1859" s="3" t="str">
        <f>IF(ISNUMBER(Sales_Data2[[#This Row],[Date]]),"OK","Check")</f>
        <v>OK</v>
      </c>
      <c r="R1859" s="3" t="str">
        <f>IF(ISNUMBER(Sales_Data2[[#This Row],[Quantity]]),"OK","Check")</f>
        <v>OK</v>
      </c>
    </row>
    <row r="1860" spans="1:18">
      <c r="A1860" s="1">
        <v>47534</v>
      </c>
      <c r="B1860" t="s">
        <v>11</v>
      </c>
      <c r="C1860" t="s">
        <v>32</v>
      </c>
      <c r="D1860" t="s">
        <v>13</v>
      </c>
      <c r="E1860" t="s">
        <v>20</v>
      </c>
      <c r="F1860" t="s">
        <v>40</v>
      </c>
      <c r="G1860" t="s">
        <v>31</v>
      </c>
      <c r="H1860">
        <v>250000</v>
      </c>
      <c r="I1860">
        <v>4</v>
      </c>
      <c r="J1860" t="s">
        <v>37</v>
      </c>
      <c r="K1860">
        <f t="shared" si="29"/>
        <v>200000</v>
      </c>
      <c r="L1860">
        <f>Sales_Data2[[#This Row],[Unit Price]]*Sales_Data2[[#This Row],[Quantity]]</f>
        <v>1000000</v>
      </c>
      <c r="M1860">
        <f>Sales_Data2[[#This Row],[Cost Price]]*Sales_Data2[[#This Row],[Quantity]]</f>
        <v>800000</v>
      </c>
      <c r="N1860" s="3">
        <f>Sales_Data2[[#This Row],[Revenue]]-Sales_Data2[[#This Row],[COGS]]</f>
        <v>200000</v>
      </c>
      <c r="O18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47534|West|Abuja|Retail|Store|Smartphone Z10|Electronics|250000|4|Aisha|200000</v>
      </c>
      <c r="P1860" s="3" t="str">
        <f>IF(COUNTIF(Sales_Data2[RowKey],Sales_Data2[[#This Row],[RowKey]])&gt;1,"Duplicate","Unique")</f>
        <v>Unique</v>
      </c>
      <c r="Q1860" s="3" t="str">
        <f>IF(ISNUMBER(Sales_Data2[[#This Row],[Date]]),"OK","Check")</f>
        <v>OK</v>
      </c>
      <c r="R1860" s="3" t="str">
        <f>IF(ISNUMBER(Sales_Data2[[#This Row],[Quantity]]),"OK","Check")</f>
        <v>OK</v>
      </c>
    </row>
    <row r="1861" spans="1:18">
      <c r="A1861" s="1">
        <v>47535</v>
      </c>
      <c r="B1861" t="s">
        <v>18</v>
      </c>
      <c r="C1861" t="s">
        <v>12</v>
      </c>
      <c r="D1861" t="s">
        <v>13</v>
      </c>
      <c r="E1861" t="s">
        <v>20</v>
      </c>
      <c r="F1861" t="s">
        <v>38</v>
      </c>
      <c r="G1861" t="s">
        <v>31</v>
      </c>
      <c r="H1861">
        <v>420000</v>
      </c>
      <c r="I1861">
        <v>5</v>
      </c>
      <c r="J1861" t="s">
        <v>17</v>
      </c>
      <c r="K1861">
        <f t="shared" si="29"/>
        <v>336000</v>
      </c>
      <c r="L1861">
        <f>Sales_Data2[[#This Row],[Unit Price]]*Sales_Data2[[#This Row],[Quantity]]</f>
        <v>2100000</v>
      </c>
      <c r="M1861">
        <f>Sales_Data2[[#This Row],[Cost Price]]*Sales_Data2[[#This Row],[Quantity]]</f>
        <v>1680000</v>
      </c>
      <c r="N1861" s="3">
        <f>Sales_Data2[[#This Row],[Revenue]]-Sales_Data2[[#This Row],[COGS]]</f>
        <v>420000</v>
      </c>
      <c r="O18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47535|East|Port Harcourt|Retail|Store|Laptop A13|Electronics|420000|5|Chidinma|336000</v>
      </c>
      <c r="P1861" s="3" t="str">
        <f>IF(COUNTIF(Sales_Data2[RowKey],Sales_Data2[[#This Row],[RowKey]])&gt;1,"Duplicate","Unique")</f>
        <v>Unique</v>
      </c>
      <c r="Q1861" s="3" t="str">
        <f>IF(ISNUMBER(Sales_Data2[[#This Row],[Date]]),"OK","Check")</f>
        <v>OK</v>
      </c>
      <c r="R1861" s="3" t="str">
        <f>IF(ISNUMBER(Sales_Data2[[#This Row],[Quantity]]),"OK","Check")</f>
        <v>OK</v>
      </c>
    </row>
    <row r="1862" spans="1:18">
      <c r="A1862" s="1">
        <v>47536</v>
      </c>
      <c r="B1862" t="s">
        <v>11</v>
      </c>
      <c r="C1862" t="s">
        <v>26</v>
      </c>
      <c r="D1862" t="s">
        <v>13</v>
      </c>
      <c r="E1862" t="s">
        <v>20</v>
      </c>
      <c r="F1862" t="s">
        <v>36</v>
      </c>
      <c r="G1862" t="s">
        <v>31</v>
      </c>
      <c r="H1862">
        <v>150000</v>
      </c>
      <c r="I1862">
        <v>5</v>
      </c>
      <c r="J1862" t="s">
        <v>28</v>
      </c>
      <c r="K1862">
        <f t="shared" si="29"/>
        <v>120000</v>
      </c>
      <c r="L1862">
        <f>Sales_Data2[[#This Row],[Unit Price]]*Sales_Data2[[#This Row],[Quantity]]</f>
        <v>750000</v>
      </c>
      <c r="M1862">
        <f>Sales_Data2[[#This Row],[Cost Price]]*Sales_Data2[[#This Row],[Quantity]]</f>
        <v>600000</v>
      </c>
      <c r="N1862" s="3">
        <f>Sales_Data2[[#This Row],[Revenue]]-Sales_Data2[[#This Row],[COGS]]</f>
        <v>150000</v>
      </c>
      <c r="O18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47536|West|Kano|Retail|Store|Printer P50|Electronics|150000|5|Musa|120000</v>
      </c>
      <c r="P1862" s="3" t="str">
        <f>IF(COUNTIF(Sales_Data2[RowKey],Sales_Data2[[#This Row],[RowKey]])&gt;1,"Duplicate","Unique")</f>
        <v>Unique</v>
      </c>
      <c r="Q1862" s="3" t="str">
        <f>IF(ISNUMBER(Sales_Data2[[#This Row],[Date]]),"OK","Check")</f>
        <v>OK</v>
      </c>
      <c r="R1862" s="3" t="str">
        <f>IF(ISNUMBER(Sales_Data2[[#This Row],[Quantity]]),"OK","Check")</f>
        <v>OK</v>
      </c>
    </row>
    <row r="1863" spans="1:18">
      <c r="A1863" s="1">
        <v>47537</v>
      </c>
      <c r="B1863" t="s">
        <v>29</v>
      </c>
      <c r="C1863" t="s">
        <v>19</v>
      </c>
      <c r="D1863" t="s">
        <v>23</v>
      </c>
      <c r="E1863" t="s">
        <v>20</v>
      </c>
      <c r="F1863" t="s">
        <v>33</v>
      </c>
      <c r="G1863" t="s">
        <v>22</v>
      </c>
      <c r="H1863">
        <v>180000</v>
      </c>
      <c r="I1863">
        <v>1</v>
      </c>
      <c r="J1863" t="s">
        <v>35</v>
      </c>
      <c r="K1863">
        <f t="shared" si="29"/>
        <v>144000</v>
      </c>
      <c r="L1863">
        <f>Sales_Data2[[#This Row],[Unit Price]]*Sales_Data2[[#This Row],[Quantity]]</f>
        <v>180000</v>
      </c>
      <c r="M1863">
        <f>Sales_Data2[[#This Row],[Cost Price]]*Sales_Data2[[#This Row],[Quantity]]</f>
        <v>144000</v>
      </c>
      <c r="N1863" s="3">
        <f>Sales_Data2[[#This Row],[Revenue]]-Sales_Data2[[#This Row],[COGS]]</f>
        <v>36000</v>
      </c>
      <c r="O18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47537|North|Lagos|Corporate|Store|Air Conditioner X2|Home Appliances|180000|1|Peter|144000</v>
      </c>
      <c r="P1863" s="3" t="str">
        <f>IF(COUNTIF(Sales_Data2[RowKey],Sales_Data2[[#This Row],[RowKey]])&gt;1,"Duplicate","Unique")</f>
        <v>Unique</v>
      </c>
      <c r="Q1863" s="3" t="str">
        <f>IF(ISNUMBER(Sales_Data2[[#This Row],[Date]]),"OK","Check")</f>
        <v>OK</v>
      </c>
      <c r="R1863" s="3" t="str">
        <f>IF(ISNUMBER(Sales_Data2[[#This Row],[Quantity]]),"OK","Check")</f>
        <v>OK</v>
      </c>
    </row>
    <row r="1864" spans="1:18">
      <c r="A1864" s="1">
        <v>47538</v>
      </c>
      <c r="B1864" t="s">
        <v>25</v>
      </c>
      <c r="C1864" t="s">
        <v>32</v>
      </c>
      <c r="D1864" t="s">
        <v>23</v>
      </c>
      <c r="E1864" t="s">
        <v>20</v>
      </c>
      <c r="F1864" t="s">
        <v>33</v>
      </c>
      <c r="G1864" t="s">
        <v>22</v>
      </c>
      <c r="H1864">
        <v>180000</v>
      </c>
      <c r="I1864">
        <v>1</v>
      </c>
      <c r="J1864" t="s">
        <v>28</v>
      </c>
      <c r="K1864">
        <f t="shared" si="29"/>
        <v>144000</v>
      </c>
      <c r="L1864">
        <f>Sales_Data2[[#This Row],[Unit Price]]*Sales_Data2[[#This Row],[Quantity]]</f>
        <v>180000</v>
      </c>
      <c r="M1864">
        <f>Sales_Data2[[#This Row],[Cost Price]]*Sales_Data2[[#This Row],[Quantity]]</f>
        <v>144000</v>
      </c>
      <c r="N1864" s="3">
        <f>Sales_Data2[[#This Row],[Revenue]]-Sales_Data2[[#This Row],[COGS]]</f>
        <v>36000</v>
      </c>
      <c r="O18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47538|South|Abuja|Corporate|Store|Air Conditioner X2|Home Appliances|180000|1|Musa|144000</v>
      </c>
      <c r="P1864" s="3" t="str">
        <f>IF(COUNTIF(Sales_Data2[RowKey],Sales_Data2[[#This Row],[RowKey]])&gt;1,"Duplicate","Unique")</f>
        <v>Unique</v>
      </c>
      <c r="Q1864" s="3" t="str">
        <f>IF(ISNUMBER(Sales_Data2[[#This Row],[Date]]),"OK","Check")</f>
        <v>OK</v>
      </c>
      <c r="R1864" s="3" t="str">
        <f>IF(ISNUMBER(Sales_Data2[[#This Row],[Quantity]]),"OK","Check")</f>
        <v>OK</v>
      </c>
    </row>
    <row r="1865" spans="1:18">
      <c r="A1865" s="1">
        <v>47539</v>
      </c>
      <c r="B1865" t="s">
        <v>11</v>
      </c>
      <c r="C1865" t="s">
        <v>19</v>
      </c>
      <c r="D1865" t="s">
        <v>13</v>
      </c>
      <c r="E1865" t="s">
        <v>20</v>
      </c>
      <c r="F1865" t="s">
        <v>40</v>
      </c>
      <c r="G1865" t="s">
        <v>31</v>
      </c>
      <c r="H1865">
        <v>250000</v>
      </c>
      <c r="I1865">
        <v>9</v>
      </c>
      <c r="J1865" t="s">
        <v>17</v>
      </c>
      <c r="K1865">
        <f t="shared" si="29"/>
        <v>200000</v>
      </c>
      <c r="L1865">
        <f>Sales_Data2[[#This Row],[Unit Price]]*Sales_Data2[[#This Row],[Quantity]]</f>
        <v>2250000</v>
      </c>
      <c r="M1865">
        <f>Sales_Data2[[#This Row],[Cost Price]]*Sales_Data2[[#This Row],[Quantity]]</f>
        <v>1800000</v>
      </c>
      <c r="N1865" s="3">
        <f>Sales_Data2[[#This Row],[Revenue]]-Sales_Data2[[#This Row],[COGS]]</f>
        <v>450000</v>
      </c>
      <c r="O18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47539|West|Lagos|Retail|Store|Smartphone Z10|Electronics|250000|9|Chidinma|200000</v>
      </c>
      <c r="P1865" s="3" t="str">
        <f>IF(COUNTIF(Sales_Data2[RowKey],Sales_Data2[[#This Row],[RowKey]])&gt;1,"Duplicate","Unique")</f>
        <v>Unique</v>
      </c>
      <c r="Q1865" s="3" t="str">
        <f>IF(ISNUMBER(Sales_Data2[[#This Row],[Date]]),"OK","Check")</f>
        <v>OK</v>
      </c>
      <c r="R1865" s="3" t="str">
        <f>IF(ISNUMBER(Sales_Data2[[#This Row],[Quantity]]),"OK","Check")</f>
        <v>OK</v>
      </c>
    </row>
    <row r="1866" spans="1:18">
      <c r="A1866" s="1">
        <v>47540</v>
      </c>
      <c r="B1866" t="s">
        <v>29</v>
      </c>
      <c r="C1866" t="s">
        <v>12</v>
      </c>
      <c r="D1866" t="s">
        <v>13</v>
      </c>
      <c r="E1866" t="s">
        <v>20</v>
      </c>
      <c r="F1866" t="s">
        <v>15</v>
      </c>
      <c r="G1866" t="s">
        <v>16</v>
      </c>
      <c r="H1866">
        <v>85000</v>
      </c>
      <c r="I1866">
        <v>4</v>
      </c>
      <c r="J1866" t="s">
        <v>35</v>
      </c>
      <c r="K1866">
        <f t="shared" si="29"/>
        <v>68000</v>
      </c>
      <c r="L1866">
        <f>Sales_Data2[[#This Row],[Unit Price]]*Sales_Data2[[#This Row],[Quantity]]</f>
        <v>340000</v>
      </c>
      <c r="M1866">
        <f>Sales_Data2[[#This Row],[Cost Price]]*Sales_Data2[[#This Row],[Quantity]]</f>
        <v>272000</v>
      </c>
      <c r="N1866" s="3">
        <f>Sales_Data2[[#This Row],[Revenue]]-Sales_Data2[[#This Row],[COGS]]</f>
        <v>68000</v>
      </c>
      <c r="O18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47540|North|Port Harcourt|Retail|Store|Office Chair Pro|Furniture|85000|4|Peter|68000</v>
      </c>
      <c r="P1866" s="3" t="str">
        <f>IF(COUNTIF(Sales_Data2[RowKey],Sales_Data2[[#This Row],[RowKey]])&gt;1,"Duplicate","Unique")</f>
        <v>Unique</v>
      </c>
      <c r="Q1866" s="3" t="str">
        <f>IF(ISNUMBER(Sales_Data2[[#This Row],[Date]]),"OK","Check")</f>
        <v>OK</v>
      </c>
      <c r="R1866" s="3" t="str">
        <f>IF(ISNUMBER(Sales_Data2[[#This Row],[Quantity]]),"OK","Check")</f>
        <v>OK</v>
      </c>
    </row>
    <row r="1867" spans="1:18">
      <c r="A1867" s="1">
        <v>47541</v>
      </c>
      <c r="B1867" t="s">
        <v>11</v>
      </c>
      <c r="C1867" t="s">
        <v>32</v>
      </c>
      <c r="D1867" t="s">
        <v>23</v>
      </c>
      <c r="E1867" t="s">
        <v>20</v>
      </c>
      <c r="F1867" t="s">
        <v>38</v>
      </c>
      <c r="G1867" t="s">
        <v>31</v>
      </c>
      <c r="H1867">
        <v>420000</v>
      </c>
      <c r="I1867">
        <v>8</v>
      </c>
      <c r="J1867" t="s">
        <v>24</v>
      </c>
      <c r="K1867">
        <f t="shared" si="29"/>
        <v>336000</v>
      </c>
      <c r="L1867">
        <f>Sales_Data2[[#This Row],[Unit Price]]*Sales_Data2[[#This Row],[Quantity]]</f>
        <v>3360000</v>
      </c>
      <c r="M1867">
        <f>Sales_Data2[[#This Row],[Cost Price]]*Sales_Data2[[#This Row],[Quantity]]</f>
        <v>2688000</v>
      </c>
      <c r="N1867" s="3">
        <f>Sales_Data2[[#This Row],[Revenue]]-Sales_Data2[[#This Row],[COGS]]</f>
        <v>672000</v>
      </c>
      <c r="O18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47541|West|Abuja|Corporate|Store|Laptop A13|Electronics|420000|8|David|336000</v>
      </c>
      <c r="P1867" s="3" t="str">
        <f>IF(COUNTIF(Sales_Data2[RowKey],Sales_Data2[[#This Row],[RowKey]])&gt;1,"Duplicate","Unique")</f>
        <v>Unique</v>
      </c>
      <c r="Q1867" s="3" t="str">
        <f>IF(ISNUMBER(Sales_Data2[[#This Row],[Date]]),"OK","Check")</f>
        <v>OK</v>
      </c>
      <c r="R1867" s="3" t="str">
        <f>IF(ISNUMBER(Sales_Data2[[#This Row],[Quantity]]),"OK","Check")</f>
        <v>OK</v>
      </c>
    </row>
    <row r="1868" spans="1:18">
      <c r="A1868" s="1">
        <v>47542</v>
      </c>
      <c r="B1868" t="s">
        <v>25</v>
      </c>
      <c r="C1868" t="s">
        <v>32</v>
      </c>
      <c r="D1868" t="s">
        <v>23</v>
      </c>
      <c r="E1868" t="s">
        <v>20</v>
      </c>
      <c r="F1868" t="s">
        <v>34</v>
      </c>
      <c r="G1868" t="s">
        <v>16</v>
      </c>
      <c r="H1868">
        <v>320000</v>
      </c>
      <c r="I1868">
        <v>6</v>
      </c>
      <c r="J1868" t="s">
        <v>24</v>
      </c>
      <c r="K1868">
        <f t="shared" si="29"/>
        <v>256000</v>
      </c>
      <c r="L1868">
        <f>Sales_Data2[[#This Row],[Unit Price]]*Sales_Data2[[#This Row],[Quantity]]</f>
        <v>1920000</v>
      </c>
      <c r="M1868">
        <f>Sales_Data2[[#This Row],[Cost Price]]*Sales_Data2[[#This Row],[Quantity]]</f>
        <v>1536000</v>
      </c>
      <c r="N1868" s="3">
        <f>Sales_Data2[[#This Row],[Revenue]]-Sales_Data2[[#This Row],[COGS]]</f>
        <v>384000</v>
      </c>
      <c r="O18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47542|South|Abuja|Corporate|Store|Sofa Classic|Furniture|320000|6|David|256000</v>
      </c>
      <c r="P1868" s="3" t="str">
        <f>IF(COUNTIF(Sales_Data2[RowKey],Sales_Data2[[#This Row],[RowKey]])&gt;1,"Duplicate","Unique")</f>
        <v>Unique</v>
      </c>
      <c r="Q1868" s="3" t="str">
        <f>IF(ISNUMBER(Sales_Data2[[#This Row],[Date]]),"OK","Check")</f>
        <v>OK</v>
      </c>
      <c r="R1868" s="3" t="str">
        <f>IF(ISNUMBER(Sales_Data2[[#This Row],[Quantity]]),"OK","Check")</f>
        <v>OK</v>
      </c>
    </row>
    <row r="1869" spans="1:18">
      <c r="A1869" s="1">
        <v>47543</v>
      </c>
      <c r="B1869" t="s">
        <v>29</v>
      </c>
      <c r="C1869" t="s">
        <v>19</v>
      </c>
      <c r="D1869" t="s">
        <v>13</v>
      </c>
      <c r="E1869" t="s">
        <v>20</v>
      </c>
      <c r="F1869" t="s">
        <v>36</v>
      </c>
      <c r="G1869" t="s">
        <v>31</v>
      </c>
      <c r="H1869">
        <v>150000</v>
      </c>
      <c r="I1869">
        <v>3</v>
      </c>
      <c r="J1869" t="s">
        <v>37</v>
      </c>
      <c r="K1869">
        <f t="shared" si="29"/>
        <v>120000</v>
      </c>
      <c r="L1869">
        <f>Sales_Data2[[#This Row],[Unit Price]]*Sales_Data2[[#This Row],[Quantity]]</f>
        <v>450000</v>
      </c>
      <c r="M1869">
        <f>Sales_Data2[[#This Row],[Cost Price]]*Sales_Data2[[#This Row],[Quantity]]</f>
        <v>360000</v>
      </c>
      <c r="N1869" s="3">
        <f>Sales_Data2[[#This Row],[Revenue]]-Sales_Data2[[#This Row],[COGS]]</f>
        <v>90000</v>
      </c>
      <c r="O18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47543|North|Lagos|Retail|Store|Printer P50|Electronics|150000|3|Aisha|120000</v>
      </c>
      <c r="P1869" s="3" t="str">
        <f>IF(COUNTIF(Sales_Data2[RowKey],Sales_Data2[[#This Row],[RowKey]])&gt;1,"Duplicate","Unique")</f>
        <v>Unique</v>
      </c>
      <c r="Q1869" s="3" t="str">
        <f>IF(ISNUMBER(Sales_Data2[[#This Row],[Date]]),"OK","Check")</f>
        <v>OK</v>
      </c>
      <c r="R1869" s="3" t="str">
        <f>IF(ISNUMBER(Sales_Data2[[#This Row],[Quantity]]),"OK","Check")</f>
        <v>OK</v>
      </c>
    </row>
    <row r="1870" spans="1:18">
      <c r="A1870" s="1">
        <v>47544</v>
      </c>
      <c r="B1870" t="s">
        <v>11</v>
      </c>
      <c r="C1870" t="s">
        <v>32</v>
      </c>
      <c r="D1870" t="s">
        <v>13</v>
      </c>
      <c r="E1870" t="s">
        <v>20</v>
      </c>
      <c r="F1870" t="s">
        <v>15</v>
      </c>
      <c r="G1870" t="s">
        <v>16</v>
      </c>
      <c r="H1870">
        <v>85000</v>
      </c>
      <c r="I1870">
        <v>3</v>
      </c>
      <c r="J1870" t="s">
        <v>28</v>
      </c>
      <c r="K1870">
        <f t="shared" si="29"/>
        <v>68000</v>
      </c>
      <c r="L1870">
        <f>Sales_Data2[[#This Row],[Unit Price]]*Sales_Data2[[#This Row],[Quantity]]</f>
        <v>255000</v>
      </c>
      <c r="M1870">
        <f>Sales_Data2[[#This Row],[Cost Price]]*Sales_Data2[[#This Row],[Quantity]]</f>
        <v>204000</v>
      </c>
      <c r="N1870" s="3">
        <f>Sales_Data2[[#This Row],[Revenue]]-Sales_Data2[[#This Row],[COGS]]</f>
        <v>51000</v>
      </c>
      <c r="O18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47544|West|Abuja|Retail|Store|Office Chair Pro|Furniture|85000|3|Musa|68000</v>
      </c>
      <c r="P1870" s="3" t="str">
        <f>IF(COUNTIF(Sales_Data2[RowKey],Sales_Data2[[#This Row],[RowKey]])&gt;1,"Duplicate","Unique")</f>
        <v>Unique</v>
      </c>
      <c r="Q1870" s="3" t="str">
        <f>IF(ISNUMBER(Sales_Data2[[#This Row],[Date]]),"OK","Check")</f>
        <v>OK</v>
      </c>
      <c r="R1870" s="3" t="str">
        <f>IF(ISNUMBER(Sales_Data2[[#This Row],[Quantity]]),"OK","Check")</f>
        <v>OK</v>
      </c>
    </row>
    <row r="1871" spans="1:18">
      <c r="A1871" s="1">
        <v>47545</v>
      </c>
      <c r="B1871" t="s">
        <v>29</v>
      </c>
      <c r="C1871" t="s">
        <v>19</v>
      </c>
      <c r="D1871" t="s">
        <v>13</v>
      </c>
      <c r="E1871" t="s">
        <v>20</v>
      </c>
      <c r="F1871" t="s">
        <v>30</v>
      </c>
      <c r="G1871" t="s">
        <v>31</v>
      </c>
      <c r="H1871">
        <v>300000</v>
      </c>
      <c r="I1871">
        <v>1</v>
      </c>
      <c r="J1871" t="s">
        <v>28</v>
      </c>
      <c r="K1871">
        <f t="shared" si="29"/>
        <v>240000</v>
      </c>
      <c r="L1871">
        <f>Sales_Data2[[#This Row],[Unit Price]]*Sales_Data2[[#This Row],[Quantity]]</f>
        <v>300000</v>
      </c>
      <c r="M1871">
        <f>Sales_Data2[[#This Row],[Cost Price]]*Sales_Data2[[#This Row],[Quantity]]</f>
        <v>240000</v>
      </c>
      <c r="N1871" s="3">
        <f>Sales_Data2[[#This Row],[Revenue]]-Sales_Data2[[#This Row],[COGS]]</f>
        <v>60000</v>
      </c>
      <c r="O18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47545|North|Lagos|Retail|Store|Desktop PC D21|Electronics|300000|1|Musa|240000</v>
      </c>
      <c r="P1871" s="3" t="str">
        <f>IF(COUNTIF(Sales_Data2[RowKey],Sales_Data2[[#This Row],[RowKey]])&gt;1,"Duplicate","Unique")</f>
        <v>Unique</v>
      </c>
      <c r="Q1871" s="3" t="str">
        <f>IF(ISNUMBER(Sales_Data2[[#This Row],[Date]]),"OK","Check")</f>
        <v>OK</v>
      </c>
      <c r="R1871" s="3" t="str">
        <f>IF(ISNUMBER(Sales_Data2[[#This Row],[Quantity]]),"OK","Check")</f>
        <v>OK</v>
      </c>
    </row>
    <row r="1872" spans="1:18">
      <c r="A1872" s="1">
        <v>47546</v>
      </c>
      <c r="B1872" t="s">
        <v>25</v>
      </c>
      <c r="C1872" t="s">
        <v>19</v>
      </c>
      <c r="D1872" t="s">
        <v>23</v>
      </c>
      <c r="E1872" t="s">
        <v>14</v>
      </c>
      <c r="F1872" t="s">
        <v>33</v>
      </c>
      <c r="G1872" t="s">
        <v>22</v>
      </c>
      <c r="H1872">
        <v>180000</v>
      </c>
      <c r="I1872">
        <v>4</v>
      </c>
      <c r="J1872" t="s">
        <v>37</v>
      </c>
      <c r="K1872">
        <f t="shared" si="29"/>
        <v>144000</v>
      </c>
      <c r="L1872">
        <f>Sales_Data2[[#This Row],[Unit Price]]*Sales_Data2[[#This Row],[Quantity]]</f>
        <v>720000</v>
      </c>
      <c r="M1872">
        <f>Sales_Data2[[#This Row],[Cost Price]]*Sales_Data2[[#This Row],[Quantity]]</f>
        <v>576000</v>
      </c>
      <c r="N1872" s="3">
        <f>Sales_Data2[[#This Row],[Revenue]]-Sales_Data2[[#This Row],[COGS]]</f>
        <v>144000</v>
      </c>
      <c r="O18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47546|South|Lagos|Corporate|Online|Air Conditioner X2|Home Appliances|180000|4|Aisha|144000</v>
      </c>
      <c r="P1872" s="3" t="str">
        <f>IF(COUNTIF(Sales_Data2[RowKey],Sales_Data2[[#This Row],[RowKey]])&gt;1,"Duplicate","Unique")</f>
        <v>Unique</v>
      </c>
      <c r="Q1872" s="3" t="str">
        <f>IF(ISNUMBER(Sales_Data2[[#This Row],[Date]]),"OK","Check")</f>
        <v>OK</v>
      </c>
      <c r="R1872" s="3" t="str">
        <f>IF(ISNUMBER(Sales_Data2[[#This Row],[Quantity]]),"OK","Check")</f>
        <v>OK</v>
      </c>
    </row>
    <row r="1873" spans="1:18">
      <c r="A1873" s="1">
        <v>47547</v>
      </c>
      <c r="B1873" t="s">
        <v>11</v>
      </c>
      <c r="C1873" t="s">
        <v>19</v>
      </c>
      <c r="D1873" t="s">
        <v>13</v>
      </c>
      <c r="E1873" t="s">
        <v>14</v>
      </c>
      <c r="F1873" t="s">
        <v>38</v>
      </c>
      <c r="G1873" t="s">
        <v>31</v>
      </c>
      <c r="H1873">
        <v>420000</v>
      </c>
      <c r="I1873">
        <v>10</v>
      </c>
      <c r="J1873" t="s">
        <v>35</v>
      </c>
      <c r="K1873">
        <f t="shared" si="29"/>
        <v>336000</v>
      </c>
      <c r="L1873">
        <f>Sales_Data2[[#This Row],[Unit Price]]*Sales_Data2[[#This Row],[Quantity]]</f>
        <v>4200000</v>
      </c>
      <c r="M1873">
        <f>Sales_Data2[[#This Row],[Cost Price]]*Sales_Data2[[#This Row],[Quantity]]</f>
        <v>3360000</v>
      </c>
      <c r="N1873" s="3">
        <f>Sales_Data2[[#This Row],[Revenue]]-Sales_Data2[[#This Row],[COGS]]</f>
        <v>840000</v>
      </c>
      <c r="O18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47547|West|Lagos|Retail|Online|Laptop A13|Electronics|420000|10|Peter|336000</v>
      </c>
      <c r="P1873" s="3" t="str">
        <f>IF(COUNTIF(Sales_Data2[RowKey],Sales_Data2[[#This Row],[RowKey]])&gt;1,"Duplicate","Unique")</f>
        <v>Unique</v>
      </c>
      <c r="Q1873" s="3" t="str">
        <f>IF(ISNUMBER(Sales_Data2[[#This Row],[Date]]),"OK","Check")</f>
        <v>OK</v>
      </c>
      <c r="R1873" s="3" t="str">
        <f>IF(ISNUMBER(Sales_Data2[[#This Row],[Quantity]]),"OK","Check")</f>
        <v>OK</v>
      </c>
    </row>
    <row r="1874" spans="1:18">
      <c r="A1874" s="1">
        <v>47548</v>
      </c>
      <c r="B1874" t="s">
        <v>29</v>
      </c>
      <c r="C1874" t="s">
        <v>32</v>
      </c>
      <c r="D1874" t="s">
        <v>23</v>
      </c>
      <c r="E1874" t="s">
        <v>14</v>
      </c>
      <c r="F1874" t="s">
        <v>36</v>
      </c>
      <c r="G1874" t="s">
        <v>31</v>
      </c>
      <c r="H1874">
        <v>150000</v>
      </c>
      <c r="I1874">
        <v>4</v>
      </c>
      <c r="J1874" t="s">
        <v>39</v>
      </c>
      <c r="K1874">
        <f t="shared" si="29"/>
        <v>120000</v>
      </c>
      <c r="L1874">
        <f>Sales_Data2[[#This Row],[Unit Price]]*Sales_Data2[[#This Row],[Quantity]]</f>
        <v>600000</v>
      </c>
      <c r="M1874">
        <f>Sales_Data2[[#This Row],[Cost Price]]*Sales_Data2[[#This Row],[Quantity]]</f>
        <v>480000</v>
      </c>
      <c r="N1874" s="3">
        <f>Sales_Data2[[#This Row],[Revenue]]-Sales_Data2[[#This Row],[COGS]]</f>
        <v>120000</v>
      </c>
      <c r="O18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47548|North|Abuja|Corporate|Online|Printer P50|Electronics|150000|4|Grace|120000</v>
      </c>
      <c r="P1874" s="3" t="str">
        <f>IF(COUNTIF(Sales_Data2[RowKey],Sales_Data2[[#This Row],[RowKey]])&gt;1,"Duplicate","Unique")</f>
        <v>Unique</v>
      </c>
      <c r="Q1874" s="3" t="str">
        <f>IF(ISNUMBER(Sales_Data2[[#This Row],[Date]]),"OK","Check")</f>
        <v>OK</v>
      </c>
      <c r="R1874" s="3" t="str">
        <f>IF(ISNUMBER(Sales_Data2[[#This Row],[Quantity]]),"OK","Check")</f>
        <v>OK</v>
      </c>
    </row>
    <row r="1875" spans="1:18">
      <c r="A1875" s="1">
        <v>47549</v>
      </c>
      <c r="B1875" t="s">
        <v>18</v>
      </c>
      <c r="C1875" t="s">
        <v>26</v>
      </c>
      <c r="D1875" t="s">
        <v>13</v>
      </c>
      <c r="E1875" t="s">
        <v>14</v>
      </c>
      <c r="F1875" t="s">
        <v>15</v>
      </c>
      <c r="G1875" t="s">
        <v>16</v>
      </c>
      <c r="H1875">
        <v>85000</v>
      </c>
      <c r="I1875">
        <v>6</v>
      </c>
      <c r="J1875" t="s">
        <v>39</v>
      </c>
      <c r="K1875">
        <f t="shared" si="29"/>
        <v>68000</v>
      </c>
      <c r="L1875">
        <f>Sales_Data2[[#This Row],[Unit Price]]*Sales_Data2[[#This Row],[Quantity]]</f>
        <v>510000</v>
      </c>
      <c r="M1875">
        <f>Sales_Data2[[#This Row],[Cost Price]]*Sales_Data2[[#This Row],[Quantity]]</f>
        <v>408000</v>
      </c>
      <c r="N1875" s="3">
        <f>Sales_Data2[[#This Row],[Revenue]]-Sales_Data2[[#This Row],[COGS]]</f>
        <v>102000</v>
      </c>
      <c r="O18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47549|East|Kano|Retail|Online|Office Chair Pro|Furniture|85000|6|Grace|68000</v>
      </c>
      <c r="P1875" s="3" t="str">
        <f>IF(COUNTIF(Sales_Data2[RowKey],Sales_Data2[[#This Row],[RowKey]])&gt;1,"Duplicate","Unique")</f>
        <v>Unique</v>
      </c>
      <c r="Q1875" s="3" t="str">
        <f>IF(ISNUMBER(Sales_Data2[[#This Row],[Date]]),"OK","Check")</f>
        <v>OK</v>
      </c>
      <c r="R1875" s="3" t="str">
        <f>IF(ISNUMBER(Sales_Data2[[#This Row],[Quantity]]),"OK","Check")</f>
        <v>OK</v>
      </c>
    </row>
    <row r="1876" spans="1:18">
      <c r="A1876" s="1">
        <v>47550</v>
      </c>
      <c r="B1876" t="s">
        <v>25</v>
      </c>
      <c r="C1876" t="s">
        <v>12</v>
      </c>
      <c r="D1876" t="s">
        <v>23</v>
      </c>
      <c r="E1876" t="s">
        <v>20</v>
      </c>
      <c r="F1876" t="s">
        <v>30</v>
      </c>
      <c r="G1876" t="s">
        <v>31</v>
      </c>
      <c r="H1876">
        <v>300000</v>
      </c>
      <c r="I1876">
        <v>10</v>
      </c>
      <c r="J1876" t="s">
        <v>17</v>
      </c>
      <c r="K1876">
        <f t="shared" si="29"/>
        <v>240000</v>
      </c>
      <c r="L1876">
        <f>Sales_Data2[[#This Row],[Unit Price]]*Sales_Data2[[#This Row],[Quantity]]</f>
        <v>3000000</v>
      </c>
      <c r="M1876">
        <f>Sales_Data2[[#This Row],[Cost Price]]*Sales_Data2[[#This Row],[Quantity]]</f>
        <v>2400000</v>
      </c>
      <c r="N1876" s="3">
        <f>Sales_Data2[[#This Row],[Revenue]]-Sales_Data2[[#This Row],[COGS]]</f>
        <v>600000</v>
      </c>
      <c r="O18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47550|South|Port Harcourt|Corporate|Store|Desktop PC D21|Electronics|300000|10|Chidinma|240000</v>
      </c>
      <c r="P1876" s="3" t="str">
        <f>IF(COUNTIF(Sales_Data2[RowKey],Sales_Data2[[#This Row],[RowKey]])&gt;1,"Duplicate","Unique")</f>
        <v>Unique</v>
      </c>
      <c r="Q1876" s="3" t="str">
        <f>IF(ISNUMBER(Sales_Data2[[#This Row],[Date]]),"OK","Check")</f>
        <v>OK</v>
      </c>
      <c r="R1876" s="3" t="str">
        <f>IF(ISNUMBER(Sales_Data2[[#This Row],[Quantity]]),"OK","Check")</f>
        <v>OK</v>
      </c>
    </row>
    <row r="1877" spans="1:18">
      <c r="A1877" s="1">
        <v>47551</v>
      </c>
      <c r="B1877" t="s">
        <v>18</v>
      </c>
      <c r="C1877" t="s">
        <v>19</v>
      </c>
      <c r="D1877" t="s">
        <v>23</v>
      </c>
      <c r="E1877" t="s">
        <v>20</v>
      </c>
      <c r="F1877" t="s">
        <v>36</v>
      </c>
      <c r="G1877" t="s">
        <v>31</v>
      </c>
      <c r="H1877">
        <v>150000</v>
      </c>
      <c r="I1877">
        <v>6</v>
      </c>
      <c r="J1877" t="s">
        <v>39</v>
      </c>
      <c r="K1877">
        <f t="shared" si="29"/>
        <v>120000</v>
      </c>
      <c r="L1877">
        <f>Sales_Data2[[#This Row],[Unit Price]]*Sales_Data2[[#This Row],[Quantity]]</f>
        <v>900000</v>
      </c>
      <c r="M1877">
        <f>Sales_Data2[[#This Row],[Cost Price]]*Sales_Data2[[#This Row],[Quantity]]</f>
        <v>720000</v>
      </c>
      <c r="N1877" s="3">
        <f>Sales_Data2[[#This Row],[Revenue]]-Sales_Data2[[#This Row],[COGS]]</f>
        <v>180000</v>
      </c>
      <c r="O18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47551|East|Lagos|Corporate|Store|Printer P50|Electronics|150000|6|Grace|120000</v>
      </c>
      <c r="P1877" s="3" t="str">
        <f>IF(COUNTIF(Sales_Data2[RowKey],Sales_Data2[[#This Row],[RowKey]])&gt;1,"Duplicate","Unique")</f>
        <v>Unique</v>
      </c>
      <c r="Q1877" s="3" t="str">
        <f>IF(ISNUMBER(Sales_Data2[[#This Row],[Date]]),"OK","Check")</f>
        <v>OK</v>
      </c>
      <c r="R1877" s="3" t="str">
        <f>IF(ISNUMBER(Sales_Data2[[#This Row],[Quantity]]),"OK","Check")</f>
        <v>OK</v>
      </c>
    </row>
    <row r="1878" spans="1:18">
      <c r="A1878" s="1">
        <v>47552</v>
      </c>
      <c r="B1878" t="s">
        <v>25</v>
      </c>
      <c r="C1878" t="s">
        <v>12</v>
      </c>
      <c r="D1878" t="s">
        <v>23</v>
      </c>
      <c r="E1878" t="s">
        <v>20</v>
      </c>
      <c r="F1878" t="s">
        <v>36</v>
      </c>
      <c r="G1878" t="s">
        <v>31</v>
      </c>
      <c r="H1878">
        <v>150000</v>
      </c>
      <c r="I1878">
        <v>1</v>
      </c>
      <c r="J1878" t="s">
        <v>39</v>
      </c>
      <c r="K1878">
        <f t="shared" si="29"/>
        <v>120000</v>
      </c>
      <c r="L1878">
        <f>Sales_Data2[[#This Row],[Unit Price]]*Sales_Data2[[#This Row],[Quantity]]</f>
        <v>150000</v>
      </c>
      <c r="M1878">
        <f>Sales_Data2[[#This Row],[Cost Price]]*Sales_Data2[[#This Row],[Quantity]]</f>
        <v>120000</v>
      </c>
      <c r="N1878" s="3">
        <f>Sales_Data2[[#This Row],[Revenue]]-Sales_Data2[[#This Row],[COGS]]</f>
        <v>30000</v>
      </c>
      <c r="O18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47552|South|Port Harcourt|Corporate|Store|Printer P50|Electronics|150000|1|Grace|120000</v>
      </c>
      <c r="P1878" s="3" t="str">
        <f>IF(COUNTIF(Sales_Data2[RowKey],Sales_Data2[[#This Row],[RowKey]])&gt;1,"Duplicate","Unique")</f>
        <v>Unique</v>
      </c>
      <c r="Q1878" s="3" t="str">
        <f>IF(ISNUMBER(Sales_Data2[[#This Row],[Date]]),"OK","Check")</f>
        <v>OK</v>
      </c>
      <c r="R1878" s="3" t="str">
        <f>IF(ISNUMBER(Sales_Data2[[#This Row],[Quantity]]),"OK","Check")</f>
        <v>OK</v>
      </c>
    </row>
    <row r="1879" spans="1:18">
      <c r="A1879" s="1">
        <v>47553</v>
      </c>
      <c r="B1879" t="s">
        <v>29</v>
      </c>
      <c r="C1879" t="s">
        <v>12</v>
      </c>
      <c r="D1879" t="s">
        <v>13</v>
      </c>
      <c r="E1879" t="s">
        <v>20</v>
      </c>
      <c r="F1879" t="s">
        <v>30</v>
      </c>
      <c r="G1879" t="s">
        <v>31</v>
      </c>
      <c r="H1879">
        <v>300000</v>
      </c>
      <c r="I1879">
        <v>3</v>
      </c>
      <c r="J1879" t="s">
        <v>28</v>
      </c>
      <c r="K1879">
        <f t="shared" si="29"/>
        <v>240000</v>
      </c>
      <c r="L1879">
        <f>Sales_Data2[[#This Row],[Unit Price]]*Sales_Data2[[#This Row],[Quantity]]</f>
        <v>900000</v>
      </c>
      <c r="M1879">
        <f>Sales_Data2[[#This Row],[Cost Price]]*Sales_Data2[[#This Row],[Quantity]]</f>
        <v>720000</v>
      </c>
      <c r="N1879" s="3">
        <f>Sales_Data2[[#This Row],[Revenue]]-Sales_Data2[[#This Row],[COGS]]</f>
        <v>180000</v>
      </c>
      <c r="O18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47553|North|Port Harcourt|Retail|Store|Desktop PC D21|Electronics|300000|3|Musa|240000</v>
      </c>
      <c r="P1879" s="3" t="str">
        <f>IF(COUNTIF(Sales_Data2[RowKey],Sales_Data2[[#This Row],[RowKey]])&gt;1,"Duplicate","Unique")</f>
        <v>Unique</v>
      </c>
      <c r="Q1879" s="3" t="str">
        <f>IF(ISNUMBER(Sales_Data2[[#This Row],[Date]]),"OK","Check")</f>
        <v>OK</v>
      </c>
      <c r="R1879" s="3" t="str">
        <f>IF(ISNUMBER(Sales_Data2[[#This Row],[Quantity]]),"OK","Check")</f>
        <v>OK</v>
      </c>
    </row>
    <row r="1880" spans="1:18">
      <c r="A1880" s="1">
        <v>47554</v>
      </c>
      <c r="B1880" t="s">
        <v>29</v>
      </c>
      <c r="C1880" t="s">
        <v>12</v>
      </c>
      <c r="D1880" t="s">
        <v>13</v>
      </c>
      <c r="E1880" t="s">
        <v>14</v>
      </c>
      <c r="F1880" t="s">
        <v>30</v>
      </c>
      <c r="G1880" t="s">
        <v>31</v>
      </c>
      <c r="H1880">
        <v>300000</v>
      </c>
      <c r="I1880">
        <v>8</v>
      </c>
      <c r="J1880" t="s">
        <v>37</v>
      </c>
      <c r="K1880">
        <f t="shared" si="29"/>
        <v>240000</v>
      </c>
      <c r="L1880">
        <f>Sales_Data2[[#This Row],[Unit Price]]*Sales_Data2[[#This Row],[Quantity]]</f>
        <v>2400000</v>
      </c>
      <c r="M1880">
        <f>Sales_Data2[[#This Row],[Cost Price]]*Sales_Data2[[#This Row],[Quantity]]</f>
        <v>1920000</v>
      </c>
      <c r="N1880" s="3">
        <f>Sales_Data2[[#This Row],[Revenue]]-Sales_Data2[[#This Row],[COGS]]</f>
        <v>480000</v>
      </c>
      <c r="O18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47554|North|Port Harcourt|Retail|Online|Desktop PC D21|Electronics|300000|8|Aisha|240000</v>
      </c>
      <c r="P1880" s="3" t="str">
        <f>IF(COUNTIF(Sales_Data2[RowKey],Sales_Data2[[#This Row],[RowKey]])&gt;1,"Duplicate","Unique")</f>
        <v>Unique</v>
      </c>
      <c r="Q1880" s="3" t="str">
        <f>IF(ISNUMBER(Sales_Data2[[#This Row],[Date]]),"OK","Check")</f>
        <v>OK</v>
      </c>
      <c r="R1880" s="3" t="str">
        <f>IF(ISNUMBER(Sales_Data2[[#This Row],[Quantity]]),"OK","Check")</f>
        <v>OK</v>
      </c>
    </row>
    <row r="1881" spans="1:18">
      <c r="A1881" s="1">
        <v>47555</v>
      </c>
      <c r="B1881" t="s">
        <v>18</v>
      </c>
      <c r="C1881" t="s">
        <v>12</v>
      </c>
      <c r="D1881" t="s">
        <v>23</v>
      </c>
      <c r="E1881" t="s">
        <v>14</v>
      </c>
      <c r="F1881" t="s">
        <v>30</v>
      </c>
      <c r="G1881" t="s">
        <v>31</v>
      </c>
      <c r="H1881">
        <v>300000</v>
      </c>
      <c r="I1881">
        <v>9</v>
      </c>
      <c r="J1881" t="s">
        <v>17</v>
      </c>
      <c r="K1881">
        <f t="shared" si="29"/>
        <v>240000</v>
      </c>
      <c r="L1881">
        <f>Sales_Data2[[#This Row],[Unit Price]]*Sales_Data2[[#This Row],[Quantity]]</f>
        <v>2700000</v>
      </c>
      <c r="M1881">
        <f>Sales_Data2[[#This Row],[Cost Price]]*Sales_Data2[[#This Row],[Quantity]]</f>
        <v>2160000</v>
      </c>
      <c r="N1881" s="3">
        <f>Sales_Data2[[#This Row],[Revenue]]-Sales_Data2[[#This Row],[COGS]]</f>
        <v>540000</v>
      </c>
      <c r="O18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47555|East|Port Harcourt|Corporate|Online|Desktop PC D21|Electronics|300000|9|Chidinma|240000</v>
      </c>
      <c r="P1881" s="3" t="str">
        <f>IF(COUNTIF(Sales_Data2[RowKey],Sales_Data2[[#This Row],[RowKey]])&gt;1,"Duplicate","Unique")</f>
        <v>Unique</v>
      </c>
      <c r="Q1881" s="3" t="str">
        <f>IF(ISNUMBER(Sales_Data2[[#This Row],[Date]]),"OK","Check")</f>
        <v>OK</v>
      </c>
      <c r="R1881" s="3" t="str">
        <f>IF(ISNUMBER(Sales_Data2[[#This Row],[Quantity]]),"OK","Check")</f>
        <v>OK</v>
      </c>
    </row>
    <row r="1882" spans="1:18">
      <c r="A1882" s="1">
        <v>47556</v>
      </c>
      <c r="B1882" t="s">
        <v>29</v>
      </c>
      <c r="C1882" t="s">
        <v>19</v>
      </c>
      <c r="D1882" t="s">
        <v>13</v>
      </c>
      <c r="E1882" t="s">
        <v>14</v>
      </c>
      <c r="F1882" t="s">
        <v>30</v>
      </c>
      <c r="G1882" t="s">
        <v>31</v>
      </c>
      <c r="H1882">
        <v>300000</v>
      </c>
      <c r="I1882">
        <v>2</v>
      </c>
      <c r="J1882" t="s">
        <v>35</v>
      </c>
      <c r="K1882">
        <f t="shared" si="29"/>
        <v>240000</v>
      </c>
      <c r="L1882">
        <f>Sales_Data2[[#This Row],[Unit Price]]*Sales_Data2[[#This Row],[Quantity]]</f>
        <v>600000</v>
      </c>
      <c r="M1882">
        <f>Sales_Data2[[#This Row],[Cost Price]]*Sales_Data2[[#This Row],[Quantity]]</f>
        <v>480000</v>
      </c>
      <c r="N1882" s="3">
        <f>Sales_Data2[[#This Row],[Revenue]]-Sales_Data2[[#This Row],[COGS]]</f>
        <v>120000</v>
      </c>
      <c r="O18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47556|North|Lagos|Retail|Online|Desktop PC D21|Electronics|300000|2|Peter|240000</v>
      </c>
      <c r="P1882" s="3" t="str">
        <f>IF(COUNTIF(Sales_Data2[RowKey],Sales_Data2[[#This Row],[RowKey]])&gt;1,"Duplicate","Unique")</f>
        <v>Unique</v>
      </c>
      <c r="Q1882" s="3" t="str">
        <f>IF(ISNUMBER(Sales_Data2[[#This Row],[Date]]),"OK","Check")</f>
        <v>OK</v>
      </c>
      <c r="R1882" s="3" t="str">
        <f>IF(ISNUMBER(Sales_Data2[[#This Row],[Quantity]]),"OK","Check")</f>
        <v>OK</v>
      </c>
    </row>
    <row r="1883" spans="1:18">
      <c r="A1883" s="1">
        <v>47557</v>
      </c>
      <c r="B1883" t="s">
        <v>29</v>
      </c>
      <c r="C1883" t="s">
        <v>12</v>
      </c>
      <c r="D1883" t="s">
        <v>23</v>
      </c>
      <c r="E1883" t="s">
        <v>20</v>
      </c>
      <c r="F1883" t="s">
        <v>30</v>
      </c>
      <c r="G1883" t="s">
        <v>31</v>
      </c>
      <c r="H1883">
        <v>300000</v>
      </c>
      <c r="I1883">
        <v>10</v>
      </c>
      <c r="J1883" t="s">
        <v>28</v>
      </c>
      <c r="K1883">
        <f t="shared" si="29"/>
        <v>240000</v>
      </c>
      <c r="L1883">
        <f>Sales_Data2[[#This Row],[Unit Price]]*Sales_Data2[[#This Row],[Quantity]]</f>
        <v>3000000</v>
      </c>
      <c r="M1883">
        <f>Sales_Data2[[#This Row],[Cost Price]]*Sales_Data2[[#This Row],[Quantity]]</f>
        <v>2400000</v>
      </c>
      <c r="N1883" s="3">
        <f>Sales_Data2[[#This Row],[Revenue]]-Sales_Data2[[#This Row],[COGS]]</f>
        <v>600000</v>
      </c>
      <c r="O18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47557|North|Port Harcourt|Corporate|Store|Desktop PC D21|Electronics|300000|10|Musa|240000</v>
      </c>
      <c r="P1883" s="3" t="str">
        <f>IF(COUNTIF(Sales_Data2[RowKey],Sales_Data2[[#This Row],[RowKey]])&gt;1,"Duplicate","Unique")</f>
        <v>Unique</v>
      </c>
      <c r="Q1883" s="3" t="str">
        <f>IF(ISNUMBER(Sales_Data2[[#This Row],[Date]]),"OK","Check")</f>
        <v>OK</v>
      </c>
      <c r="R1883" s="3" t="str">
        <f>IF(ISNUMBER(Sales_Data2[[#This Row],[Quantity]]),"OK","Check")</f>
        <v>OK</v>
      </c>
    </row>
    <row r="1884" spans="1:18">
      <c r="A1884" s="1">
        <v>47558</v>
      </c>
      <c r="B1884" t="s">
        <v>11</v>
      </c>
      <c r="C1884" t="s">
        <v>26</v>
      </c>
      <c r="D1884" t="s">
        <v>23</v>
      </c>
      <c r="E1884" t="s">
        <v>20</v>
      </c>
      <c r="F1884" t="s">
        <v>41</v>
      </c>
      <c r="G1884" t="s">
        <v>22</v>
      </c>
      <c r="H1884">
        <v>220000</v>
      </c>
      <c r="I1884">
        <v>4</v>
      </c>
      <c r="J1884" t="s">
        <v>37</v>
      </c>
      <c r="K1884">
        <f t="shared" si="29"/>
        <v>176000</v>
      </c>
      <c r="L1884">
        <f>Sales_Data2[[#This Row],[Unit Price]]*Sales_Data2[[#This Row],[Quantity]]</f>
        <v>880000</v>
      </c>
      <c r="M1884">
        <f>Sales_Data2[[#This Row],[Cost Price]]*Sales_Data2[[#This Row],[Quantity]]</f>
        <v>704000</v>
      </c>
      <c r="N1884" s="3">
        <f>Sales_Data2[[#This Row],[Revenue]]-Sales_Data2[[#This Row],[COGS]]</f>
        <v>176000</v>
      </c>
      <c r="O18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47558|West|Kano|Corporate|Store|Refrigerator R55|Home Appliances|220000|4|Aisha|176000</v>
      </c>
      <c r="P1884" s="3" t="str">
        <f>IF(COUNTIF(Sales_Data2[RowKey],Sales_Data2[[#This Row],[RowKey]])&gt;1,"Duplicate","Unique")</f>
        <v>Unique</v>
      </c>
      <c r="Q1884" s="3" t="str">
        <f>IF(ISNUMBER(Sales_Data2[[#This Row],[Date]]),"OK","Check")</f>
        <v>OK</v>
      </c>
      <c r="R1884" s="3" t="str">
        <f>IF(ISNUMBER(Sales_Data2[[#This Row],[Quantity]]),"OK","Check")</f>
        <v>OK</v>
      </c>
    </row>
    <row r="1885" spans="1:18">
      <c r="A1885" s="1">
        <v>47559</v>
      </c>
      <c r="B1885" t="s">
        <v>29</v>
      </c>
      <c r="C1885" t="s">
        <v>19</v>
      </c>
      <c r="D1885" t="s">
        <v>23</v>
      </c>
      <c r="E1885" t="s">
        <v>14</v>
      </c>
      <c r="F1885" t="s">
        <v>15</v>
      </c>
      <c r="G1885" t="s">
        <v>16</v>
      </c>
      <c r="H1885">
        <v>85000</v>
      </c>
      <c r="I1885">
        <v>6</v>
      </c>
      <c r="J1885" t="s">
        <v>37</v>
      </c>
      <c r="K1885">
        <f t="shared" si="29"/>
        <v>68000</v>
      </c>
      <c r="L1885">
        <f>Sales_Data2[[#This Row],[Unit Price]]*Sales_Data2[[#This Row],[Quantity]]</f>
        <v>510000</v>
      </c>
      <c r="M1885">
        <f>Sales_Data2[[#This Row],[Cost Price]]*Sales_Data2[[#This Row],[Quantity]]</f>
        <v>408000</v>
      </c>
      <c r="N1885" s="3">
        <f>Sales_Data2[[#This Row],[Revenue]]-Sales_Data2[[#This Row],[COGS]]</f>
        <v>102000</v>
      </c>
      <c r="O18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47559|North|Lagos|Corporate|Online|Office Chair Pro|Furniture|85000|6|Aisha|68000</v>
      </c>
      <c r="P1885" s="3" t="str">
        <f>IF(COUNTIF(Sales_Data2[RowKey],Sales_Data2[[#This Row],[RowKey]])&gt;1,"Duplicate","Unique")</f>
        <v>Unique</v>
      </c>
      <c r="Q1885" s="3" t="str">
        <f>IF(ISNUMBER(Sales_Data2[[#This Row],[Date]]),"OK","Check")</f>
        <v>OK</v>
      </c>
      <c r="R1885" s="3" t="str">
        <f>IF(ISNUMBER(Sales_Data2[[#This Row],[Quantity]]),"OK","Check")</f>
        <v>OK</v>
      </c>
    </row>
    <row r="1886" spans="1:18">
      <c r="A1886" s="1">
        <v>47560</v>
      </c>
      <c r="B1886" t="s">
        <v>11</v>
      </c>
      <c r="C1886" t="s">
        <v>26</v>
      </c>
      <c r="D1886" t="s">
        <v>23</v>
      </c>
      <c r="E1886" t="s">
        <v>20</v>
      </c>
      <c r="F1886" t="s">
        <v>27</v>
      </c>
      <c r="G1886" t="s">
        <v>22</v>
      </c>
      <c r="H1886">
        <v>60000</v>
      </c>
      <c r="I1886">
        <v>4</v>
      </c>
      <c r="J1886" t="s">
        <v>28</v>
      </c>
      <c r="K1886">
        <f t="shared" si="29"/>
        <v>48000</v>
      </c>
      <c r="L1886">
        <f>Sales_Data2[[#This Row],[Unit Price]]*Sales_Data2[[#This Row],[Quantity]]</f>
        <v>240000</v>
      </c>
      <c r="M1886">
        <f>Sales_Data2[[#This Row],[Cost Price]]*Sales_Data2[[#This Row],[Quantity]]</f>
        <v>192000</v>
      </c>
      <c r="N1886" s="3">
        <f>Sales_Data2[[#This Row],[Revenue]]-Sales_Data2[[#This Row],[COGS]]</f>
        <v>48000</v>
      </c>
      <c r="O18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47560|West|Kano|Corporate|Store|Microwave M20|Home Appliances|60000|4|Musa|48000</v>
      </c>
      <c r="P1886" s="3" t="str">
        <f>IF(COUNTIF(Sales_Data2[RowKey],Sales_Data2[[#This Row],[RowKey]])&gt;1,"Duplicate","Unique")</f>
        <v>Unique</v>
      </c>
      <c r="Q1886" s="3" t="str">
        <f>IF(ISNUMBER(Sales_Data2[[#This Row],[Date]]),"OK","Check")</f>
        <v>OK</v>
      </c>
      <c r="R1886" s="3" t="str">
        <f>IF(ISNUMBER(Sales_Data2[[#This Row],[Quantity]]),"OK","Check")</f>
        <v>OK</v>
      </c>
    </row>
    <row r="1887" spans="1:18">
      <c r="A1887" s="1">
        <v>47561</v>
      </c>
      <c r="B1887" t="s">
        <v>18</v>
      </c>
      <c r="C1887" t="s">
        <v>12</v>
      </c>
      <c r="D1887" t="s">
        <v>13</v>
      </c>
      <c r="E1887" t="s">
        <v>20</v>
      </c>
      <c r="F1887" t="s">
        <v>41</v>
      </c>
      <c r="G1887" t="s">
        <v>22</v>
      </c>
      <c r="H1887">
        <v>220000</v>
      </c>
      <c r="I1887">
        <v>2</v>
      </c>
      <c r="J1887" t="s">
        <v>24</v>
      </c>
      <c r="K1887">
        <f t="shared" si="29"/>
        <v>176000</v>
      </c>
      <c r="L1887">
        <f>Sales_Data2[[#This Row],[Unit Price]]*Sales_Data2[[#This Row],[Quantity]]</f>
        <v>440000</v>
      </c>
      <c r="M1887">
        <f>Sales_Data2[[#This Row],[Cost Price]]*Sales_Data2[[#This Row],[Quantity]]</f>
        <v>352000</v>
      </c>
      <c r="N1887" s="3">
        <f>Sales_Data2[[#This Row],[Revenue]]-Sales_Data2[[#This Row],[COGS]]</f>
        <v>88000</v>
      </c>
      <c r="O18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47561|East|Port Harcourt|Retail|Store|Refrigerator R55|Home Appliances|220000|2|David|176000</v>
      </c>
      <c r="P1887" s="3" t="str">
        <f>IF(COUNTIF(Sales_Data2[RowKey],Sales_Data2[[#This Row],[RowKey]])&gt;1,"Duplicate","Unique")</f>
        <v>Unique</v>
      </c>
      <c r="Q1887" s="3" t="str">
        <f>IF(ISNUMBER(Sales_Data2[[#This Row],[Date]]),"OK","Check")</f>
        <v>OK</v>
      </c>
      <c r="R1887" s="3" t="str">
        <f>IF(ISNUMBER(Sales_Data2[[#This Row],[Quantity]]),"OK","Check")</f>
        <v>OK</v>
      </c>
    </row>
    <row r="1888" spans="1:18">
      <c r="A1888" s="1">
        <v>47562</v>
      </c>
      <c r="B1888" t="s">
        <v>18</v>
      </c>
      <c r="C1888" t="s">
        <v>32</v>
      </c>
      <c r="D1888" t="s">
        <v>23</v>
      </c>
      <c r="E1888" t="s">
        <v>14</v>
      </c>
      <c r="F1888" t="s">
        <v>30</v>
      </c>
      <c r="G1888" t="s">
        <v>31</v>
      </c>
      <c r="H1888">
        <v>300000</v>
      </c>
      <c r="I1888">
        <v>3</v>
      </c>
      <c r="J1888" t="s">
        <v>17</v>
      </c>
      <c r="K1888">
        <f t="shared" si="29"/>
        <v>240000</v>
      </c>
      <c r="L1888">
        <f>Sales_Data2[[#This Row],[Unit Price]]*Sales_Data2[[#This Row],[Quantity]]</f>
        <v>900000</v>
      </c>
      <c r="M1888">
        <f>Sales_Data2[[#This Row],[Cost Price]]*Sales_Data2[[#This Row],[Quantity]]</f>
        <v>720000</v>
      </c>
      <c r="N1888" s="3">
        <f>Sales_Data2[[#This Row],[Revenue]]-Sales_Data2[[#This Row],[COGS]]</f>
        <v>180000</v>
      </c>
      <c r="O18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47562|East|Abuja|Corporate|Online|Desktop PC D21|Electronics|300000|3|Chidinma|240000</v>
      </c>
      <c r="P1888" s="3" t="str">
        <f>IF(COUNTIF(Sales_Data2[RowKey],Sales_Data2[[#This Row],[RowKey]])&gt;1,"Duplicate","Unique")</f>
        <v>Unique</v>
      </c>
      <c r="Q1888" s="3" t="str">
        <f>IF(ISNUMBER(Sales_Data2[[#This Row],[Date]]),"OK","Check")</f>
        <v>OK</v>
      </c>
      <c r="R1888" s="3" t="str">
        <f>IF(ISNUMBER(Sales_Data2[[#This Row],[Quantity]]),"OK","Check")</f>
        <v>OK</v>
      </c>
    </row>
    <row r="1889" spans="1:18">
      <c r="A1889" s="1">
        <v>47563</v>
      </c>
      <c r="B1889" t="s">
        <v>25</v>
      </c>
      <c r="C1889" t="s">
        <v>12</v>
      </c>
      <c r="D1889" t="s">
        <v>23</v>
      </c>
      <c r="E1889" t="s">
        <v>14</v>
      </c>
      <c r="F1889" t="s">
        <v>41</v>
      </c>
      <c r="G1889" t="s">
        <v>22</v>
      </c>
      <c r="H1889">
        <v>220000</v>
      </c>
      <c r="I1889">
        <v>8</v>
      </c>
      <c r="J1889" t="s">
        <v>39</v>
      </c>
      <c r="K1889">
        <f t="shared" si="29"/>
        <v>176000</v>
      </c>
      <c r="L1889">
        <f>Sales_Data2[[#This Row],[Unit Price]]*Sales_Data2[[#This Row],[Quantity]]</f>
        <v>1760000</v>
      </c>
      <c r="M1889">
        <f>Sales_Data2[[#This Row],[Cost Price]]*Sales_Data2[[#This Row],[Quantity]]</f>
        <v>1408000</v>
      </c>
      <c r="N1889" s="3">
        <f>Sales_Data2[[#This Row],[Revenue]]-Sales_Data2[[#This Row],[COGS]]</f>
        <v>352000</v>
      </c>
      <c r="O18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47563|South|Port Harcourt|Corporate|Online|Refrigerator R55|Home Appliances|220000|8|Grace|176000</v>
      </c>
      <c r="P1889" s="3" t="str">
        <f>IF(COUNTIF(Sales_Data2[RowKey],Sales_Data2[[#This Row],[RowKey]])&gt;1,"Duplicate","Unique")</f>
        <v>Unique</v>
      </c>
      <c r="Q1889" s="3" t="str">
        <f>IF(ISNUMBER(Sales_Data2[[#This Row],[Date]]),"OK","Check")</f>
        <v>OK</v>
      </c>
      <c r="R1889" s="3" t="str">
        <f>IF(ISNUMBER(Sales_Data2[[#This Row],[Quantity]]),"OK","Check")</f>
        <v>OK</v>
      </c>
    </row>
    <row r="1890" spans="1:18">
      <c r="A1890" s="1">
        <v>47564</v>
      </c>
      <c r="B1890" t="s">
        <v>11</v>
      </c>
      <c r="C1890" t="s">
        <v>12</v>
      </c>
      <c r="D1890" t="s">
        <v>13</v>
      </c>
      <c r="E1890" t="s">
        <v>14</v>
      </c>
      <c r="F1890" t="s">
        <v>40</v>
      </c>
      <c r="G1890" t="s">
        <v>31</v>
      </c>
      <c r="H1890">
        <v>250000</v>
      </c>
      <c r="I1890">
        <v>8</v>
      </c>
      <c r="J1890" t="s">
        <v>37</v>
      </c>
      <c r="K1890">
        <f t="shared" si="29"/>
        <v>200000</v>
      </c>
      <c r="L1890">
        <f>Sales_Data2[[#This Row],[Unit Price]]*Sales_Data2[[#This Row],[Quantity]]</f>
        <v>2000000</v>
      </c>
      <c r="M1890">
        <f>Sales_Data2[[#This Row],[Cost Price]]*Sales_Data2[[#This Row],[Quantity]]</f>
        <v>1600000</v>
      </c>
      <c r="N1890" s="3">
        <f>Sales_Data2[[#This Row],[Revenue]]-Sales_Data2[[#This Row],[COGS]]</f>
        <v>400000</v>
      </c>
      <c r="O18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47564|West|Port Harcourt|Retail|Online|Smartphone Z10|Electronics|250000|8|Aisha|200000</v>
      </c>
      <c r="P1890" s="3" t="str">
        <f>IF(COUNTIF(Sales_Data2[RowKey],Sales_Data2[[#This Row],[RowKey]])&gt;1,"Duplicate","Unique")</f>
        <v>Unique</v>
      </c>
      <c r="Q1890" s="3" t="str">
        <f>IF(ISNUMBER(Sales_Data2[[#This Row],[Date]]),"OK","Check")</f>
        <v>OK</v>
      </c>
      <c r="R1890" s="3" t="str">
        <f>IF(ISNUMBER(Sales_Data2[[#This Row],[Quantity]]),"OK","Check")</f>
        <v>OK</v>
      </c>
    </row>
    <row r="1891" spans="1:18">
      <c r="A1891" s="1">
        <v>47565</v>
      </c>
      <c r="B1891" t="s">
        <v>25</v>
      </c>
      <c r="C1891" t="s">
        <v>12</v>
      </c>
      <c r="D1891" t="s">
        <v>13</v>
      </c>
      <c r="E1891" t="s">
        <v>14</v>
      </c>
      <c r="F1891" t="s">
        <v>15</v>
      </c>
      <c r="G1891" t="s">
        <v>16</v>
      </c>
      <c r="H1891">
        <v>85000</v>
      </c>
      <c r="I1891">
        <v>2</v>
      </c>
      <c r="J1891" t="s">
        <v>17</v>
      </c>
      <c r="K1891">
        <f t="shared" si="29"/>
        <v>68000</v>
      </c>
      <c r="L1891">
        <f>Sales_Data2[[#This Row],[Unit Price]]*Sales_Data2[[#This Row],[Quantity]]</f>
        <v>170000</v>
      </c>
      <c r="M1891">
        <f>Sales_Data2[[#This Row],[Cost Price]]*Sales_Data2[[#This Row],[Quantity]]</f>
        <v>136000</v>
      </c>
      <c r="N1891" s="3">
        <f>Sales_Data2[[#This Row],[Revenue]]-Sales_Data2[[#This Row],[COGS]]</f>
        <v>34000</v>
      </c>
      <c r="O18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47565|South|Port Harcourt|Retail|Online|Office Chair Pro|Furniture|85000|2|Chidinma|68000</v>
      </c>
      <c r="P1891" s="3" t="str">
        <f>IF(COUNTIF(Sales_Data2[RowKey],Sales_Data2[[#This Row],[RowKey]])&gt;1,"Duplicate","Unique")</f>
        <v>Unique</v>
      </c>
      <c r="Q1891" s="3" t="str">
        <f>IF(ISNUMBER(Sales_Data2[[#This Row],[Date]]),"OK","Check")</f>
        <v>OK</v>
      </c>
      <c r="R1891" s="3" t="str">
        <f>IF(ISNUMBER(Sales_Data2[[#This Row],[Quantity]]),"OK","Check")</f>
        <v>OK</v>
      </c>
    </row>
    <row r="1892" spans="1:18">
      <c r="A1892" s="1">
        <v>47566</v>
      </c>
      <c r="B1892" t="s">
        <v>29</v>
      </c>
      <c r="C1892" t="s">
        <v>26</v>
      </c>
      <c r="D1892" t="s">
        <v>23</v>
      </c>
      <c r="E1892" t="s">
        <v>20</v>
      </c>
      <c r="F1892" t="s">
        <v>36</v>
      </c>
      <c r="G1892" t="s">
        <v>31</v>
      </c>
      <c r="H1892">
        <v>150000</v>
      </c>
      <c r="I1892">
        <v>7</v>
      </c>
      <c r="J1892" t="s">
        <v>37</v>
      </c>
      <c r="K1892">
        <f t="shared" si="29"/>
        <v>120000</v>
      </c>
      <c r="L1892">
        <f>Sales_Data2[[#This Row],[Unit Price]]*Sales_Data2[[#This Row],[Quantity]]</f>
        <v>1050000</v>
      </c>
      <c r="M1892">
        <f>Sales_Data2[[#This Row],[Cost Price]]*Sales_Data2[[#This Row],[Quantity]]</f>
        <v>840000</v>
      </c>
      <c r="N1892" s="3">
        <f>Sales_Data2[[#This Row],[Revenue]]-Sales_Data2[[#This Row],[COGS]]</f>
        <v>210000</v>
      </c>
      <c r="O18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47566|North|Kano|Corporate|Store|Printer P50|Electronics|150000|7|Aisha|120000</v>
      </c>
      <c r="P1892" s="3" t="str">
        <f>IF(COUNTIF(Sales_Data2[RowKey],Sales_Data2[[#This Row],[RowKey]])&gt;1,"Duplicate","Unique")</f>
        <v>Unique</v>
      </c>
      <c r="Q1892" s="3" t="str">
        <f>IF(ISNUMBER(Sales_Data2[[#This Row],[Date]]),"OK","Check")</f>
        <v>OK</v>
      </c>
      <c r="R1892" s="3" t="str">
        <f>IF(ISNUMBER(Sales_Data2[[#This Row],[Quantity]]),"OK","Check")</f>
        <v>OK</v>
      </c>
    </row>
    <row r="1893" spans="1:18">
      <c r="A1893" s="1">
        <v>47567</v>
      </c>
      <c r="B1893" t="s">
        <v>25</v>
      </c>
      <c r="C1893" t="s">
        <v>26</v>
      </c>
      <c r="D1893" t="s">
        <v>13</v>
      </c>
      <c r="E1893" t="s">
        <v>14</v>
      </c>
      <c r="F1893" t="s">
        <v>21</v>
      </c>
      <c r="G1893" t="s">
        <v>22</v>
      </c>
      <c r="H1893">
        <v>30000</v>
      </c>
      <c r="I1893">
        <v>8</v>
      </c>
      <c r="J1893" t="s">
        <v>28</v>
      </c>
      <c r="K1893">
        <f t="shared" si="29"/>
        <v>24000</v>
      </c>
      <c r="L1893">
        <f>Sales_Data2[[#This Row],[Unit Price]]*Sales_Data2[[#This Row],[Quantity]]</f>
        <v>240000</v>
      </c>
      <c r="M1893">
        <f>Sales_Data2[[#This Row],[Cost Price]]*Sales_Data2[[#This Row],[Quantity]]</f>
        <v>192000</v>
      </c>
      <c r="N1893" s="3">
        <f>Sales_Data2[[#This Row],[Revenue]]-Sales_Data2[[#This Row],[COGS]]</f>
        <v>48000</v>
      </c>
      <c r="O18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47567|South|Kano|Retail|Online|Blender B10|Home Appliances|30000|8|Musa|24000</v>
      </c>
      <c r="P1893" s="3" t="str">
        <f>IF(COUNTIF(Sales_Data2[RowKey],Sales_Data2[[#This Row],[RowKey]])&gt;1,"Duplicate","Unique")</f>
        <v>Unique</v>
      </c>
      <c r="Q1893" s="3" t="str">
        <f>IF(ISNUMBER(Sales_Data2[[#This Row],[Date]]),"OK","Check")</f>
        <v>OK</v>
      </c>
      <c r="R1893" s="3" t="str">
        <f>IF(ISNUMBER(Sales_Data2[[#This Row],[Quantity]]),"OK","Check")</f>
        <v>OK</v>
      </c>
    </row>
    <row r="1894" spans="1:18">
      <c r="A1894" s="1">
        <v>47568</v>
      </c>
      <c r="B1894" t="s">
        <v>11</v>
      </c>
      <c r="C1894" t="s">
        <v>12</v>
      </c>
      <c r="D1894" t="s">
        <v>23</v>
      </c>
      <c r="E1894" t="s">
        <v>14</v>
      </c>
      <c r="F1894" t="s">
        <v>15</v>
      </c>
      <c r="G1894" t="s">
        <v>16</v>
      </c>
      <c r="H1894">
        <v>85000</v>
      </c>
      <c r="I1894">
        <v>2</v>
      </c>
      <c r="J1894" t="s">
        <v>37</v>
      </c>
      <c r="K1894">
        <f t="shared" si="29"/>
        <v>68000</v>
      </c>
      <c r="L1894">
        <f>Sales_Data2[[#This Row],[Unit Price]]*Sales_Data2[[#This Row],[Quantity]]</f>
        <v>170000</v>
      </c>
      <c r="M1894">
        <f>Sales_Data2[[#This Row],[Cost Price]]*Sales_Data2[[#This Row],[Quantity]]</f>
        <v>136000</v>
      </c>
      <c r="N1894" s="3">
        <f>Sales_Data2[[#This Row],[Revenue]]-Sales_Data2[[#This Row],[COGS]]</f>
        <v>34000</v>
      </c>
      <c r="O18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47568|West|Port Harcourt|Corporate|Online|Office Chair Pro|Furniture|85000|2|Aisha|68000</v>
      </c>
      <c r="P1894" s="3" t="str">
        <f>IF(COUNTIF(Sales_Data2[RowKey],Sales_Data2[[#This Row],[RowKey]])&gt;1,"Duplicate","Unique")</f>
        <v>Unique</v>
      </c>
      <c r="Q1894" s="3" t="str">
        <f>IF(ISNUMBER(Sales_Data2[[#This Row],[Date]]),"OK","Check")</f>
        <v>OK</v>
      </c>
      <c r="R1894" s="3" t="str">
        <f>IF(ISNUMBER(Sales_Data2[[#This Row],[Quantity]]),"OK","Check")</f>
        <v>OK</v>
      </c>
    </row>
    <row r="1895" spans="1:18">
      <c r="A1895" s="1">
        <v>47569</v>
      </c>
      <c r="B1895" t="s">
        <v>11</v>
      </c>
      <c r="C1895" t="s">
        <v>32</v>
      </c>
      <c r="D1895" t="s">
        <v>13</v>
      </c>
      <c r="E1895" t="s">
        <v>14</v>
      </c>
      <c r="F1895" t="s">
        <v>33</v>
      </c>
      <c r="G1895" t="s">
        <v>22</v>
      </c>
      <c r="H1895">
        <v>180000</v>
      </c>
      <c r="I1895">
        <v>5</v>
      </c>
      <c r="J1895" t="s">
        <v>24</v>
      </c>
      <c r="K1895">
        <f t="shared" si="29"/>
        <v>144000</v>
      </c>
      <c r="L1895">
        <f>Sales_Data2[[#This Row],[Unit Price]]*Sales_Data2[[#This Row],[Quantity]]</f>
        <v>900000</v>
      </c>
      <c r="M1895">
        <f>Sales_Data2[[#This Row],[Cost Price]]*Sales_Data2[[#This Row],[Quantity]]</f>
        <v>720000</v>
      </c>
      <c r="N1895" s="3">
        <f>Sales_Data2[[#This Row],[Revenue]]-Sales_Data2[[#This Row],[COGS]]</f>
        <v>180000</v>
      </c>
      <c r="O18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47569|West|Abuja|Retail|Online|Air Conditioner X2|Home Appliances|180000|5|David|144000</v>
      </c>
      <c r="P1895" s="3" t="str">
        <f>IF(COUNTIF(Sales_Data2[RowKey],Sales_Data2[[#This Row],[RowKey]])&gt;1,"Duplicate","Unique")</f>
        <v>Unique</v>
      </c>
      <c r="Q1895" s="3" t="str">
        <f>IF(ISNUMBER(Sales_Data2[[#This Row],[Date]]),"OK","Check")</f>
        <v>OK</v>
      </c>
      <c r="R1895" s="3" t="str">
        <f>IF(ISNUMBER(Sales_Data2[[#This Row],[Quantity]]),"OK","Check")</f>
        <v>OK</v>
      </c>
    </row>
    <row r="1896" spans="1:18">
      <c r="A1896" s="1">
        <v>47570</v>
      </c>
      <c r="B1896" t="s">
        <v>11</v>
      </c>
      <c r="C1896" t="s">
        <v>26</v>
      </c>
      <c r="D1896" t="s">
        <v>13</v>
      </c>
      <c r="E1896" t="s">
        <v>14</v>
      </c>
      <c r="F1896" t="s">
        <v>15</v>
      </c>
      <c r="G1896" t="s">
        <v>16</v>
      </c>
      <c r="H1896">
        <v>85000</v>
      </c>
      <c r="I1896">
        <v>9</v>
      </c>
      <c r="J1896" t="s">
        <v>37</v>
      </c>
      <c r="K1896">
        <f t="shared" si="29"/>
        <v>68000</v>
      </c>
      <c r="L1896">
        <f>Sales_Data2[[#This Row],[Unit Price]]*Sales_Data2[[#This Row],[Quantity]]</f>
        <v>765000</v>
      </c>
      <c r="M1896">
        <f>Sales_Data2[[#This Row],[Cost Price]]*Sales_Data2[[#This Row],[Quantity]]</f>
        <v>612000</v>
      </c>
      <c r="N1896" s="3">
        <f>Sales_Data2[[#This Row],[Revenue]]-Sales_Data2[[#This Row],[COGS]]</f>
        <v>153000</v>
      </c>
      <c r="O18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47570|West|Kano|Retail|Online|Office Chair Pro|Furniture|85000|9|Aisha|68000</v>
      </c>
      <c r="P1896" s="3" t="str">
        <f>IF(COUNTIF(Sales_Data2[RowKey],Sales_Data2[[#This Row],[RowKey]])&gt;1,"Duplicate","Unique")</f>
        <v>Unique</v>
      </c>
      <c r="Q1896" s="3" t="str">
        <f>IF(ISNUMBER(Sales_Data2[[#This Row],[Date]]),"OK","Check")</f>
        <v>OK</v>
      </c>
      <c r="R1896" s="3" t="str">
        <f>IF(ISNUMBER(Sales_Data2[[#This Row],[Quantity]]),"OK","Check")</f>
        <v>OK</v>
      </c>
    </row>
    <row r="1897" spans="1:18">
      <c r="A1897" s="1">
        <v>47571</v>
      </c>
      <c r="B1897" t="s">
        <v>11</v>
      </c>
      <c r="C1897" t="s">
        <v>32</v>
      </c>
      <c r="D1897" t="s">
        <v>23</v>
      </c>
      <c r="E1897" t="s">
        <v>14</v>
      </c>
      <c r="F1897" t="s">
        <v>38</v>
      </c>
      <c r="G1897" t="s">
        <v>31</v>
      </c>
      <c r="H1897">
        <v>420000</v>
      </c>
      <c r="I1897">
        <v>9</v>
      </c>
      <c r="J1897" t="s">
        <v>24</v>
      </c>
      <c r="K1897">
        <f t="shared" si="29"/>
        <v>336000</v>
      </c>
      <c r="L1897">
        <f>Sales_Data2[[#This Row],[Unit Price]]*Sales_Data2[[#This Row],[Quantity]]</f>
        <v>3780000</v>
      </c>
      <c r="M1897">
        <f>Sales_Data2[[#This Row],[Cost Price]]*Sales_Data2[[#This Row],[Quantity]]</f>
        <v>3024000</v>
      </c>
      <c r="N1897" s="3">
        <f>Sales_Data2[[#This Row],[Revenue]]-Sales_Data2[[#This Row],[COGS]]</f>
        <v>756000</v>
      </c>
      <c r="O18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47571|West|Abuja|Corporate|Online|Laptop A13|Electronics|420000|9|David|336000</v>
      </c>
      <c r="P1897" s="3" t="str">
        <f>IF(COUNTIF(Sales_Data2[RowKey],Sales_Data2[[#This Row],[RowKey]])&gt;1,"Duplicate","Unique")</f>
        <v>Unique</v>
      </c>
      <c r="Q1897" s="3" t="str">
        <f>IF(ISNUMBER(Sales_Data2[[#This Row],[Date]]),"OK","Check")</f>
        <v>OK</v>
      </c>
      <c r="R1897" s="3" t="str">
        <f>IF(ISNUMBER(Sales_Data2[[#This Row],[Quantity]]),"OK","Check")</f>
        <v>OK</v>
      </c>
    </row>
    <row r="1898" spans="1:18">
      <c r="A1898" s="1">
        <v>47572</v>
      </c>
      <c r="B1898" t="s">
        <v>29</v>
      </c>
      <c r="C1898" t="s">
        <v>32</v>
      </c>
      <c r="D1898" t="s">
        <v>13</v>
      </c>
      <c r="E1898" t="s">
        <v>14</v>
      </c>
      <c r="F1898" t="s">
        <v>34</v>
      </c>
      <c r="G1898" t="s">
        <v>16</v>
      </c>
      <c r="H1898">
        <v>320000</v>
      </c>
      <c r="I1898">
        <v>5</v>
      </c>
      <c r="J1898" t="s">
        <v>17</v>
      </c>
      <c r="K1898">
        <f t="shared" si="29"/>
        <v>256000</v>
      </c>
      <c r="L1898">
        <f>Sales_Data2[[#This Row],[Unit Price]]*Sales_Data2[[#This Row],[Quantity]]</f>
        <v>1600000</v>
      </c>
      <c r="M1898">
        <f>Sales_Data2[[#This Row],[Cost Price]]*Sales_Data2[[#This Row],[Quantity]]</f>
        <v>1280000</v>
      </c>
      <c r="N1898" s="3">
        <f>Sales_Data2[[#This Row],[Revenue]]-Sales_Data2[[#This Row],[COGS]]</f>
        <v>320000</v>
      </c>
      <c r="O18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47572|North|Abuja|Retail|Online|Sofa Classic|Furniture|320000|5|Chidinma|256000</v>
      </c>
      <c r="P1898" s="3" t="str">
        <f>IF(COUNTIF(Sales_Data2[RowKey],Sales_Data2[[#This Row],[RowKey]])&gt;1,"Duplicate","Unique")</f>
        <v>Unique</v>
      </c>
      <c r="Q1898" s="3" t="str">
        <f>IF(ISNUMBER(Sales_Data2[[#This Row],[Date]]),"OK","Check")</f>
        <v>OK</v>
      </c>
      <c r="R1898" s="3" t="str">
        <f>IF(ISNUMBER(Sales_Data2[[#This Row],[Quantity]]),"OK","Check")</f>
        <v>OK</v>
      </c>
    </row>
    <row r="1899" spans="1:18">
      <c r="A1899" s="1">
        <v>47573</v>
      </c>
      <c r="B1899" t="s">
        <v>11</v>
      </c>
      <c r="C1899" t="s">
        <v>19</v>
      </c>
      <c r="D1899" t="s">
        <v>13</v>
      </c>
      <c r="E1899" t="s">
        <v>14</v>
      </c>
      <c r="F1899" t="s">
        <v>34</v>
      </c>
      <c r="G1899" t="s">
        <v>16</v>
      </c>
      <c r="H1899">
        <v>320000</v>
      </c>
      <c r="I1899">
        <v>1</v>
      </c>
      <c r="J1899" t="s">
        <v>37</v>
      </c>
      <c r="K1899">
        <f t="shared" si="29"/>
        <v>256000</v>
      </c>
      <c r="L1899">
        <f>Sales_Data2[[#This Row],[Unit Price]]*Sales_Data2[[#This Row],[Quantity]]</f>
        <v>320000</v>
      </c>
      <c r="M1899">
        <f>Sales_Data2[[#This Row],[Cost Price]]*Sales_Data2[[#This Row],[Quantity]]</f>
        <v>256000</v>
      </c>
      <c r="N1899" s="3">
        <f>Sales_Data2[[#This Row],[Revenue]]-Sales_Data2[[#This Row],[COGS]]</f>
        <v>64000</v>
      </c>
      <c r="O18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47573|West|Lagos|Retail|Online|Sofa Classic|Furniture|320000|1|Aisha|256000</v>
      </c>
      <c r="P1899" s="3" t="str">
        <f>IF(COUNTIF(Sales_Data2[RowKey],Sales_Data2[[#This Row],[RowKey]])&gt;1,"Duplicate","Unique")</f>
        <v>Unique</v>
      </c>
      <c r="Q1899" s="3" t="str">
        <f>IF(ISNUMBER(Sales_Data2[[#This Row],[Date]]),"OK","Check")</f>
        <v>OK</v>
      </c>
      <c r="R1899" s="3" t="str">
        <f>IF(ISNUMBER(Sales_Data2[[#This Row],[Quantity]]),"OK","Check")</f>
        <v>OK</v>
      </c>
    </row>
    <row r="1900" spans="1:18">
      <c r="A1900" s="1">
        <v>47574</v>
      </c>
      <c r="B1900" t="s">
        <v>29</v>
      </c>
      <c r="C1900" t="s">
        <v>26</v>
      </c>
      <c r="D1900" t="s">
        <v>13</v>
      </c>
      <c r="E1900" t="s">
        <v>14</v>
      </c>
      <c r="F1900" t="s">
        <v>21</v>
      </c>
      <c r="G1900" t="s">
        <v>22</v>
      </c>
      <c r="H1900">
        <v>30000</v>
      </c>
      <c r="I1900">
        <v>10</v>
      </c>
      <c r="J1900" t="s">
        <v>35</v>
      </c>
      <c r="K1900">
        <f t="shared" si="29"/>
        <v>24000</v>
      </c>
      <c r="L1900">
        <f>Sales_Data2[[#This Row],[Unit Price]]*Sales_Data2[[#This Row],[Quantity]]</f>
        <v>300000</v>
      </c>
      <c r="M1900">
        <f>Sales_Data2[[#This Row],[Cost Price]]*Sales_Data2[[#This Row],[Quantity]]</f>
        <v>240000</v>
      </c>
      <c r="N1900" s="3">
        <f>Sales_Data2[[#This Row],[Revenue]]-Sales_Data2[[#This Row],[COGS]]</f>
        <v>60000</v>
      </c>
      <c r="O19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47574|North|Kano|Retail|Online|Blender B10|Home Appliances|30000|10|Peter|24000</v>
      </c>
      <c r="P1900" s="3" t="str">
        <f>IF(COUNTIF(Sales_Data2[RowKey],Sales_Data2[[#This Row],[RowKey]])&gt;1,"Duplicate","Unique")</f>
        <v>Unique</v>
      </c>
      <c r="Q1900" s="3" t="str">
        <f>IF(ISNUMBER(Sales_Data2[[#This Row],[Date]]),"OK","Check")</f>
        <v>OK</v>
      </c>
      <c r="R1900" s="3" t="str">
        <f>IF(ISNUMBER(Sales_Data2[[#This Row],[Quantity]]),"OK","Check")</f>
        <v>OK</v>
      </c>
    </row>
    <row r="1901" spans="1:18">
      <c r="A1901" s="1">
        <v>47575</v>
      </c>
      <c r="B1901" t="s">
        <v>18</v>
      </c>
      <c r="C1901" t="s">
        <v>12</v>
      </c>
      <c r="D1901" t="s">
        <v>13</v>
      </c>
      <c r="E1901" t="s">
        <v>20</v>
      </c>
      <c r="F1901" t="s">
        <v>33</v>
      </c>
      <c r="G1901" t="s">
        <v>22</v>
      </c>
      <c r="H1901">
        <v>180000</v>
      </c>
      <c r="I1901">
        <v>10</v>
      </c>
      <c r="J1901" t="s">
        <v>39</v>
      </c>
      <c r="K1901">
        <f t="shared" si="29"/>
        <v>144000</v>
      </c>
      <c r="L1901">
        <f>Sales_Data2[[#This Row],[Unit Price]]*Sales_Data2[[#This Row],[Quantity]]</f>
        <v>1800000</v>
      </c>
      <c r="M1901">
        <f>Sales_Data2[[#This Row],[Cost Price]]*Sales_Data2[[#This Row],[Quantity]]</f>
        <v>1440000</v>
      </c>
      <c r="N1901" s="3">
        <f>Sales_Data2[[#This Row],[Revenue]]-Sales_Data2[[#This Row],[COGS]]</f>
        <v>360000</v>
      </c>
      <c r="O19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47575|East|Port Harcourt|Retail|Store|Air Conditioner X2|Home Appliances|180000|10|Grace|144000</v>
      </c>
      <c r="P1901" s="3" t="str">
        <f>IF(COUNTIF(Sales_Data2[RowKey],Sales_Data2[[#This Row],[RowKey]])&gt;1,"Duplicate","Unique")</f>
        <v>Unique</v>
      </c>
      <c r="Q1901" s="3" t="str">
        <f>IF(ISNUMBER(Sales_Data2[[#This Row],[Date]]),"OK","Check")</f>
        <v>OK</v>
      </c>
      <c r="R1901" s="3" t="str">
        <f>IF(ISNUMBER(Sales_Data2[[#This Row],[Quantity]]),"OK","Check")</f>
        <v>OK</v>
      </c>
    </row>
    <row r="1902" spans="1:18">
      <c r="A1902" s="1">
        <v>47576</v>
      </c>
      <c r="B1902" t="s">
        <v>11</v>
      </c>
      <c r="C1902" t="s">
        <v>26</v>
      </c>
      <c r="D1902" t="s">
        <v>23</v>
      </c>
      <c r="E1902" t="s">
        <v>14</v>
      </c>
      <c r="F1902" t="s">
        <v>34</v>
      </c>
      <c r="G1902" t="s">
        <v>16</v>
      </c>
      <c r="H1902">
        <v>320000</v>
      </c>
      <c r="I1902">
        <v>9</v>
      </c>
      <c r="J1902" t="s">
        <v>28</v>
      </c>
      <c r="K1902">
        <f t="shared" si="29"/>
        <v>256000</v>
      </c>
      <c r="L1902">
        <f>Sales_Data2[[#This Row],[Unit Price]]*Sales_Data2[[#This Row],[Quantity]]</f>
        <v>2880000</v>
      </c>
      <c r="M1902">
        <f>Sales_Data2[[#This Row],[Cost Price]]*Sales_Data2[[#This Row],[Quantity]]</f>
        <v>2304000</v>
      </c>
      <c r="N1902" s="3">
        <f>Sales_Data2[[#This Row],[Revenue]]-Sales_Data2[[#This Row],[COGS]]</f>
        <v>576000</v>
      </c>
      <c r="O19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47576|West|Kano|Corporate|Online|Sofa Classic|Furniture|320000|9|Musa|256000</v>
      </c>
      <c r="P1902" s="3" t="str">
        <f>IF(COUNTIF(Sales_Data2[RowKey],Sales_Data2[[#This Row],[RowKey]])&gt;1,"Duplicate","Unique")</f>
        <v>Unique</v>
      </c>
      <c r="Q1902" s="3" t="str">
        <f>IF(ISNUMBER(Sales_Data2[[#This Row],[Date]]),"OK","Check")</f>
        <v>OK</v>
      </c>
      <c r="R1902" s="3" t="str">
        <f>IF(ISNUMBER(Sales_Data2[[#This Row],[Quantity]]),"OK","Check")</f>
        <v>OK</v>
      </c>
    </row>
    <row r="1903" spans="1:18">
      <c r="A1903" s="1">
        <v>47577</v>
      </c>
      <c r="B1903" t="s">
        <v>11</v>
      </c>
      <c r="C1903" t="s">
        <v>32</v>
      </c>
      <c r="D1903" t="s">
        <v>23</v>
      </c>
      <c r="E1903" t="s">
        <v>14</v>
      </c>
      <c r="F1903" t="s">
        <v>38</v>
      </c>
      <c r="G1903" t="s">
        <v>31</v>
      </c>
      <c r="H1903">
        <v>420000</v>
      </c>
      <c r="I1903">
        <v>2</v>
      </c>
      <c r="J1903" t="s">
        <v>37</v>
      </c>
      <c r="K1903">
        <f t="shared" si="29"/>
        <v>336000</v>
      </c>
      <c r="L1903">
        <f>Sales_Data2[[#This Row],[Unit Price]]*Sales_Data2[[#This Row],[Quantity]]</f>
        <v>840000</v>
      </c>
      <c r="M1903">
        <f>Sales_Data2[[#This Row],[Cost Price]]*Sales_Data2[[#This Row],[Quantity]]</f>
        <v>672000</v>
      </c>
      <c r="N1903" s="3">
        <f>Sales_Data2[[#This Row],[Revenue]]-Sales_Data2[[#This Row],[COGS]]</f>
        <v>168000</v>
      </c>
      <c r="O19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47577|West|Abuja|Corporate|Online|Laptop A13|Electronics|420000|2|Aisha|336000</v>
      </c>
      <c r="P1903" s="3" t="str">
        <f>IF(COUNTIF(Sales_Data2[RowKey],Sales_Data2[[#This Row],[RowKey]])&gt;1,"Duplicate","Unique")</f>
        <v>Unique</v>
      </c>
      <c r="Q1903" s="3" t="str">
        <f>IF(ISNUMBER(Sales_Data2[[#This Row],[Date]]),"OK","Check")</f>
        <v>OK</v>
      </c>
      <c r="R1903" s="3" t="str">
        <f>IF(ISNUMBER(Sales_Data2[[#This Row],[Quantity]]),"OK","Check")</f>
        <v>OK</v>
      </c>
    </row>
    <row r="1904" spans="1:18">
      <c r="A1904" s="1">
        <v>47578</v>
      </c>
      <c r="B1904" t="s">
        <v>29</v>
      </c>
      <c r="C1904" t="s">
        <v>12</v>
      </c>
      <c r="D1904" t="s">
        <v>13</v>
      </c>
      <c r="E1904" t="s">
        <v>14</v>
      </c>
      <c r="F1904" t="s">
        <v>30</v>
      </c>
      <c r="G1904" t="s">
        <v>31</v>
      </c>
      <c r="H1904">
        <v>300000</v>
      </c>
      <c r="I1904">
        <v>6</v>
      </c>
      <c r="J1904" t="s">
        <v>28</v>
      </c>
      <c r="K1904">
        <f t="shared" si="29"/>
        <v>240000</v>
      </c>
      <c r="L1904">
        <f>Sales_Data2[[#This Row],[Unit Price]]*Sales_Data2[[#This Row],[Quantity]]</f>
        <v>1800000</v>
      </c>
      <c r="M1904">
        <f>Sales_Data2[[#This Row],[Cost Price]]*Sales_Data2[[#This Row],[Quantity]]</f>
        <v>1440000</v>
      </c>
      <c r="N1904" s="3">
        <f>Sales_Data2[[#This Row],[Revenue]]-Sales_Data2[[#This Row],[COGS]]</f>
        <v>360000</v>
      </c>
      <c r="O19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47578|North|Port Harcourt|Retail|Online|Desktop PC D21|Electronics|300000|6|Musa|240000</v>
      </c>
      <c r="P1904" s="3" t="str">
        <f>IF(COUNTIF(Sales_Data2[RowKey],Sales_Data2[[#This Row],[RowKey]])&gt;1,"Duplicate","Unique")</f>
        <v>Unique</v>
      </c>
      <c r="Q1904" s="3" t="str">
        <f>IF(ISNUMBER(Sales_Data2[[#This Row],[Date]]),"OK","Check")</f>
        <v>OK</v>
      </c>
      <c r="R1904" s="3" t="str">
        <f>IF(ISNUMBER(Sales_Data2[[#This Row],[Quantity]]),"OK","Check")</f>
        <v>OK</v>
      </c>
    </row>
    <row r="1905" spans="1:18">
      <c r="A1905" s="1">
        <v>47579</v>
      </c>
      <c r="B1905" t="s">
        <v>29</v>
      </c>
      <c r="C1905" t="s">
        <v>26</v>
      </c>
      <c r="D1905" t="s">
        <v>23</v>
      </c>
      <c r="E1905" t="s">
        <v>20</v>
      </c>
      <c r="F1905" t="s">
        <v>21</v>
      </c>
      <c r="G1905" t="s">
        <v>22</v>
      </c>
      <c r="H1905">
        <v>30000</v>
      </c>
      <c r="I1905">
        <v>4</v>
      </c>
      <c r="J1905" t="s">
        <v>24</v>
      </c>
      <c r="K1905">
        <f t="shared" si="29"/>
        <v>24000</v>
      </c>
      <c r="L1905">
        <f>Sales_Data2[[#This Row],[Unit Price]]*Sales_Data2[[#This Row],[Quantity]]</f>
        <v>120000</v>
      </c>
      <c r="M1905">
        <f>Sales_Data2[[#This Row],[Cost Price]]*Sales_Data2[[#This Row],[Quantity]]</f>
        <v>96000</v>
      </c>
      <c r="N1905" s="3">
        <f>Sales_Data2[[#This Row],[Revenue]]-Sales_Data2[[#This Row],[COGS]]</f>
        <v>24000</v>
      </c>
      <c r="O19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47579|North|Kano|Corporate|Store|Blender B10|Home Appliances|30000|4|David|24000</v>
      </c>
      <c r="P1905" s="3" t="str">
        <f>IF(COUNTIF(Sales_Data2[RowKey],Sales_Data2[[#This Row],[RowKey]])&gt;1,"Duplicate","Unique")</f>
        <v>Unique</v>
      </c>
      <c r="Q1905" s="3" t="str">
        <f>IF(ISNUMBER(Sales_Data2[[#This Row],[Date]]),"OK","Check")</f>
        <v>OK</v>
      </c>
      <c r="R1905" s="3" t="str">
        <f>IF(ISNUMBER(Sales_Data2[[#This Row],[Quantity]]),"OK","Check")</f>
        <v>OK</v>
      </c>
    </row>
    <row r="1906" spans="1:18">
      <c r="A1906" s="1">
        <v>47580</v>
      </c>
      <c r="B1906" t="s">
        <v>25</v>
      </c>
      <c r="C1906" t="s">
        <v>32</v>
      </c>
      <c r="D1906" t="s">
        <v>23</v>
      </c>
      <c r="E1906" t="s">
        <v>20</v>
      </c>
      <c r="F1906" t="s">
        <v>34</v>
      </c>
      <c r="G1906" t="s">
        <v>16</v>
      </c>
      <c r="H1906">
        <v>320000</v>
      </c>
      <c r="I1906">
        <v>7</v>
      </c>
      <c r="J1906" t="s">
        <v>28</v>
      </c>
      <c r="K1906">
        <f t="shared" si="29"/>
        <v>256000</v>
      </c>
      <c r="L1906">
        <f>Sales_Data2[[#This Row],[Unit Price]]*Sales_Data2[[#This Row],[Quantity]]</f>
        <v>2240000</v>
      </c>
      <c r="M1906">
        <f>Sales_Data2[[#This Row],[Cost Price]]*Sales_Data2[[#This Row],[Quantity]]</f>
        <v>1792000</v>
      </c>
      <c r="N1906" s="3">
        <f>Sales_Data2[[#This Row],[Revenue]]-Sales_Data2[[#This Row],[COGS]]</f>
        <v>448000</v>
      </c>
      <c r="O19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47580|South|Abuja|Corporate|Store|Sofa Classic|Furniture|320000|7|Musa|256000</v>
      </c>
      <c r="P1906" s="3" t="str">
        <f>IF(COUNTIF(Sales_Data2[RowKey],Sales_Data2[[#This Row],[RowKey]])&gt;1,"Duplicate","Unique")</f>
        <v>Unique</v>
      </c>
      <c r="Q1906" s="3" t="str">
        <f>IF(ISNUMBER(Sales_Data2[[#This Row],[Date]]),"OK","Check")</f>
        <v>OK</v>
      </c>
      <c r="R1906" s="3" t="str">
        <f>IF(ISNUMBER(Sales_Data2[[#This Row],[Quantity]]),"OK","Check")</f>
        <v>OK</v>
      </c>
    </row>
    <row r="1907" spans="1:18">
      <c r="A1907" s="1">
        <v>47581</v>
      </c>
      <c r="B1907" t="s">
        <v>29</v>
      </c>
      <c r="C1907" t="s">
        <v>26</v>
      </c>
      <c r="D1907" t="s">
        <v>23</v>
      </c>
      <c r="E1907" t="s">
        <v>20</v>
      </c>
      <c r="F1907" t="s">
        <v>34</v>
      </c>
      <c r="G1907" t="s">
        <v>16</v>
      </c>
      <c r="H1907">
        <v>320000</v>
      </c>
      <c r="I1907">
        <v>1</v>
      </c>
      <c r="J1907" t="s">
        <v>37</v>
      </c>
      <c r="K1907">
        <f t="shared" si="29"/>
        <v>256000</v>
      </c>
      <c r="L1907">
        <f>Sales_Data2[[#This Row],[Unit Price]]*Sales_Data2[[#This Row],[Quantity]]</f>
        <v>320000</v>
      </c>
      <c r="M1907">
        <f>Sales_Data2[[#This Row],[Cost Price]]*Sales_Data2[[#This Row],[Quantity]]</f>
        <v>256000</v>
      </c>
      <c r="N1907" s="3">
        <f>Sales_Data2[[#This Row],[Revenue]]-Sales_Data2[[#This Row],[COGS]]</f>
        <v>64000</v>
      </c>
      <c r="O19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47581|North|Kano|Corporate|Store|Sofa Classic|Furniture|320000|1|Aisha|256000</v>
      </c>
      <c r="P1907" s="3" t="str">
        <f>IF(COUNTIF(Sales_Data2[RowKey],Sales_Data2[[#This Row],[RowKey]])&gt;1,"Duplicate","Unique")</f>
        <v>Unique</v>
      </c>
      <c r="Q1907" s="3" t="str">
        <f>IF(ISNUMBER(Sales_Data2[[#This Row],[Date]]),"OK","Check")</f>
        <v>OK</v>
      </c>
      <c r="R1907" s="3" t="str">
        <f>IF(ISNUMBER(Sales_Data2[[#This Row],[Quantity]]),"OK","Check")</f>
        <v>OK</v>
      </c>
    </row>
    <row r="1908" spans="1:18">
      <c r="A1908" s="1">
        <v>47582</v>
      </c>
      <c r="B1908" t="s">
        <v>29</v>
      </c>
      <c r="C1908" t="s">
        <v>26</v>
      </c>
      <c r="D1908" t="s">
        <v>23</v>
      </c>
      <c r="E1908" t="s">
        <v>14</v>
      </c>
      <c r="F1908" t="s">
        <v>30</v>
      </c>
      <c r="G1908" t="s">
        <v>31</v>
      </c>
      <c r="H1908">
        <v>300000</v>
      </c>
      <c r="I1908">
        <v>3</v>
      </c>
      <c r="J1908" t="s">
        <v>35</v>
      </c>
      <c r="K1908">
        <f t="shared" si="29"/>
        <v>240000</v>
      </c>
      <c r="L1908">
        <f>Sales_Data2[[#This Row],[Unit Price]]*Sales_Data2[[#This Row],[Quantity]]</f>
        <v>900000</v>
      </c>
      <c r="M1908">
        <f>Sales_Data2[[#This Row],[Cost Price]]*Sales_Data2[[#This Row],[Quantity]]</f>
        <v>720000</v>
      </c>
      <c r="N1908" s="3">
        <f>Sales_Data2[[#This Row],[Revenue]]-Sales_Data2[[#This Row],[COGS]]</f>
        <v>180000</v>
      </c>
      <c r="O19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47582|North|Kano|Corporate|Online|Desktop PC D21|Electronics|300000|3|Peter|240000</v>
      </c>
      <c r="P1908" s="3" t="str">
        <f>IF(COUNTIF(Sales_Data2[RowKey],Sales_Data2[[#This Row],[RowKey]])&gt;1,"Duplicate","Unique")</f>
        <v>Unique</v>
      </c>
      <c r="Q1908" s="3" t="str">
        <f>IF(ISNUMBER(Sales_Data2[[#This Row],[Date]]),"OK","Check")</f>
        <v>OK</v>
      </c>
      <c r="R1908" s="3" t="str">
        <f>IF(ISNUMBER(Sales_Data2[[#This Row],[Quantity]]),"OK","Check")</f>
        <v>OK</v>
      </c>
    </row>
    <row r="1909" spans="1:18">
      <c r="A1909" s="1">
        <v>47583</v>
      </c>
      <c r="B1909" t="s">
        <v>29</v>
      </c>
      <c r="C1909" t="s">
        <v>19</v>
      </c>
      <c r="D1909" t="s">
        <v>23</v>
      </c>
      <c r="E1909" t="s">
        <v>14</v>
      </c>
      <c r="F1909" t="s">
        <v>21</v>
      </c>
      <c r="G1909" t="s">
        <v>22</v>
      </c>
      <c r="H1909">
        <v>30000</v>
      </c>
      <c r="I1909">
        <v>6</v>
      </c>
      <c r="J1909" t="s">
        <v>28</v>
      </c>
      <c r="K1909">
        <f t="shared" si="29"/>
        <v>24000</v>
      </c>
      <c r="L1909">
        <f>Sales_Data2[[#This Row],[Unit Price]]*Sales_Data2[[#This Row],[Quantity]]</f>
        <v>180000</v>
      </c>
      <c r="M1909">
        <f>Sales_Data2[[#This Row],[Cost Price]]*Sales_Data2[[#This Row],[Quantity]]</f>
        <v>144000</v>
      </c>
      <c r="N1909" s="3">
        <f>Sales_Data2[[#This Row],[Revenue]]-Sales_Data2[[#This Row],[COGS]]</f>
        <v>36000</v>
      </c>
      <c r="O19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47583|North|Lagos|Corporate|Online|Blender B10|Home Appliances|30000|6|Musa|24000</v>
      </c>
      <c r="P1909" s="3" t="str">
        <f>IF(COUNTIF(Sales_Data2[RowKey],Sales_Data2[[#This Row],[RowKey]])&gt;1,"Duplicate","Unique")</f>
        <v>Unique</v>
      </c>
      <c r="Q1909" s="3" t="str">
        <f>IF(ISNUMBER(Sales_Data2[[#This Row],[Date]]),"OK","Check")</f>
        <v>OK</v>
      </c>
      <c r="R1909" s="3" t="str">
        <f>IF(ISNUMBER(Sales_Data2[[#This Row],[Quantity]]),"OK","Check")</f>
        <v>OK</v>
      </c>
    </row>
    <row r="1910" spans="1:18">
      <c r="A1910" s="1">
        <v>47584</v>
      </c>
      <c r="B1910" t="s">
        <v>18</v>
      </c>
      <c r="C1910" t="s">
        <v>26</v>
      </c>
      <c r="D1910" t="s">
        <v>23</v>
      </c>
      <c r="E1910" t="s">
        <v>20</v>
      </c>
      <c r="F1910" t="s">
        <v>41</v>
      </c>
      <c r="G1910" t="s">
        <v>22</v>
      </c>
      <c r="H1910">
        <v>220000</v>
      </c>
      <c r="I1910">
        <v>1</v>
      </c>
      <c r="J1910" t="s">
        <v>28</v>
      </c>
      <c r="K1910">
        <f t="shared" si="29"/>
        <v>176000</v>
      </c>
      <c r="L1910">
        <f>Sales_Data2[[#This Row],[Unit Price]]*Sales_Data2[[#This Row],[Quantity]]</f>
        <v>220000</v>
      </c>
      <c r="M1910">
        <f>Sales_Data2[[#This Row],[Cost Price]]*Sales_Data2[[#This Row],[Quantity]]</f>
        <v>176000</v>
      </c>
      <c r="N1910" s="3">
        <f>Sales_Data2[[#This Row],[Revenue]]-Sales_Data2[[#This Row],[COGS]]</f>
        <v>44000</v>
      </c>
      <c r="O19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47584|East|Kano|Corporate|Store|Refrigerator R55|Home Appliances|220000|1|Musa|176000</v>
      </c>
      <c r="P1910" s="3" t="str">
        <f>IF(COUNTIF(Sales_Data2[RowKey],Sales_Data2[[#This Row],[RowKey]])&gt;1,"Duplicate","Unique")</f>
        <v>Unique</v>
      </c>
      <c r="Q1910" s="3" t="str">
        <f>IF(ISNUMBER(Sales_Data2[[#This Row],[Date]]),"OK","Check")</f>
        <v>OK</v>
      </c>
      <c r="R1910" s="3" t="str">
        <f>IF(ISNUMBER(Sales_Data2[[#This Row],[Quantity]]),"OK","Check")</f>
        <v>OK</v>
      </c>
    </row>
    <row r="1911" spans="1:18">
      <c r="A1911" s="1">
        <v>47585</v>
      </c>
      <c r="B1911" t="s">
        <v>29</v>
      </c>
      <c r="C1911" t="s">
        <v>32</v>
      </c>
      <c r="D1911" t="s">
        <v>13</v>
      </c>
      <c r="E1911" t="s">
        <v>14</v>
      </c>
      <c r="F1911" t="s">
        <v>21</v>
      </c>
      <c r="G1911" t="s">
        <v>22</v>
      </c>
      <c r="H1911">
        <v>30000</v>
      </c>
      <c r="I1911">
        <v>9</v>
      </c>
      <c r="J1911" t="s">
        <v>35</v>
      </c>
      <c r="K1911">
        <f t="shared" si="29"/>
        <v>24000</v>
      </c>
      <c r="L1911">
        <f>Sales_Data2[[#This Row],[Unit Price]]*Sales_Data2[[#This Row],[Quantity]]</f>
        <v>270000</v>
      </c>
      <c r="M1911">
        <f>Sales_Data2[[#This Row],[Cost Price]]*Sales_Data2[[#This Row],[Quantity]]</f>
        <v>216000</v>
      </c>
      <c r="N1911" s="3">
        <f>Sales_Data2[[#This Row],[Revenue]]-Sales_Data2[[#This Row],[COGS]]</f>
        <v>54000</v>
      </c>
      <c r="O19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47585|North|Abuja|Retail|Online|Blender B10|Home Appliances|30000|9|Peter|24000</v>
      </c>
      <c r="P1911" s="3" t="str">
        <f>IF(COUNTIF(Sales_Data2[RowKey],Sales_Data2[[#This Row],[RowKey]])&gt;1,"Duplicate","Unique")</f>
        <v>Unique</v>
      </c>
      <c r="Q1911" s="3" t="str">
        <f>IF(ISNUMBER(Sales_Data2[[#This Row],[Date]]),"OK","Check")</f>
        <v>OK</v>
      </c>
      <c r="R1911" s="3" t="str">
        <f>IF(ISNUMBER(Sales_Data2[[#This Row],[Quantity]]),"OK","Check")</f>
        <v>OK</v>
      </c>
    </row>
    <row r="1912" spans="1:18">
      <c r="A1912" s="1">
        <v>47586</v>
      </c>
      <c r="B1912" t="s">
        <v>11</v>
      </c>
      <c r="C1912" t="s">
        <v>12</v>
      </c>
      <c r="D1912" t="s">
        <v>23</v>
      </c>
      <c r="E1912" t="s">
        <v>14</v>
      </c>
      <c r="F1912" t="s">
        <v>41</v>
      </c>
      <c r="G1912" t="s">
        <v>22</v>
      </c>
      <c r="H1912">
        <v>220000</v>
      </c>
      <c r="I1912">
        <v>10</v>
      </c>
      <c r="J1912" t="s">
        <v>35</v>
      </c>
      <c r="K1912">
        <f t="shared" si="29"/>
        <v>176000</v>
      </c>
      <c r="L1912">
        <f>Sales_Data2[[#This Row],[Unit Price]]*Sales_Data2[[#This Row],[Quantity]]</f>
        <v>2200000</v>
      </c>
      <c r="M1912">
        <f>Sales_Data2[[#This Row],[Cost Price]]*Sales_Data2[[#This Row],[Quantity]]</f>
        <v>1760000</v>
      </c>
      <c r="N1912" s="3">
        <f>Sales_Data2[[#This Row],[Revenue]]-Sales_Data2[[#This Row],[COGS]]</f>
        <v>440000</v>
      </c>
      <c r="O19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47586|West|Port Harcourt|Corporate|Online|Refrigerator R55|Home Appliances|220000|10|Peter|176000</v>
      </c>
      <c r="P1912" s="3" t="str">
        <f>IF(COUNTIF(Sales_Data2[RowKey],Sales_Data2[[#This Row],[RowKey]])&gt;1,"Duplicate","Unique")</f>
        <v>Unique</v>
      </c>
      <c r="Q1912" s="3" t="str">
        <f>IF(ISNUMBER(Sales_Data2[[#This Row],[Date]]),"OK","Check")</f>
        <v>OK</v>
      </c>
      <c r="R1912" s="3" t="str">
        <f>IF(ISNUMBER(Sales_Data2[[#This Row],[Quantity]]),"OK","Check")</f>
        <v>OK</v>
      </c>
    </row>
    <row r="1913" spans="1:18">
      <c r="A1913" s="1">
        <v>47587</v>
      </c>
      <c r="B1913" t="s">
        <v>18</v>
      </c>
      <c r="C1913" t="s">
        <v>26</v>
      </c>
      <c r="D1913" t="s">
        <v>13</v>
      </c>
      <c r="E1913" t="s">
        <v>14</v>
      </c>
      <c r="F1913" t="s">
        <v>41</v>
      </c>
      <c r="G1913" t="s">
        <v>22</v>
      </c>
      <c r="H1913">
        <v>220000</v>
      </c>
      <c r="I1913">
        <v>9</v>
      </c>
      <c r="J1913" t="s">
        <v>17</v>
      </c>
      <c r="K1913">
        <f t="shared" si="29"/>
        <v>176000</v>
      </c>
      <c r="L1913">
        <f>Sales_Data2[[#This Row],[Unit Price]]*Sales_Data2[[#This Row],[Quantity]]</f>
        <v>1980000</v>
      </c>
      <c r="M1913">
        <f>Sales_Data2[[#This Row],[Cost Price]]*Sales_Data2[[#This Row],[Quantity]]</f>
        <v>1584000</v>
      </c>
      <c r="N1913" s="3">
        <f>Sales_Data2[[#This Row],[Revenue]]-Sales_Data2[[#This Row],[COGS]]</f>
        <v>396000</v>
      </c>
      <c r="O19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47587|East|Kano|Retail|Online|Refrigerator R55|Home Appliances|220000|9|Chidinma|176000</v>
      </c>
      <c r="P1913" s="3" t="str">
        <f>IF(COUNTIF(Sales_Data2[RowKey],Sales_Data2[[#This Row],[RowKey]])&gt;1,"Duplicate","Unique")</f>
        <v>Unique</v>
      </c>
      <c r="Q1913" s="3" t="str">
        <f>IF(ISNUMBER(Sales_Data2[[#This Row],[Date]]),"OK","Check")</f>
        <v>OK</v>
      </c>
      <c r="R1913" s="3" t="str">
        <f>IF(ISNUMBER(Sales_Data2[[#This Row],[Quantity]]),"OK","Check")</f>
        <v>OK</v>
      </c>
    </row>
    <row r="1914" spans="1:18">
      <c r="A1914" s="1">
        <v>47588</v>
      </c>
      <c r="B1914" t="s">
        <v>11</v>
      </c>
      <c r="C1914" t="s">
        <v>32</v>
      </c>
      <c r="D1914" t="s">
        <v>23</v>
      </c>
      <c r="E1914" t="s">
        <v>14</v>
      </c>
      <c r="F1914" t="s">
        <v>27</v>
      </c>
      <c r="G1914" t="s">
        <v>22</v>
      </c>
      <c r="H1914">
        <v>60000</v>
      </c>
      <c r="I1914">
        <v>4</v>
      </c>
      <c r="J1914" t="s">
        <v>24</v>
      </c>
      <c r="K1914">
        <f t="shared" si="29"/>
        <v>48000</v>
      </c>
      <c r="L1914">
        <f>Sales_Data2[[#This Row],[Unit Price]]*Sales_Data2[[#This Row],[Quantity]]</f>
        <v>240000</v>
      </c>
      <c r="M1914">
        <f>Sales_Data2[[#This Row],[Cost Price]]*Sales_Data2[[#This Row],[Quantity]]</f>
        <v>192000</v>
      </c>
      <c r="N1914" s="3">
        <f>Sales_Data2[[#This Row],[Revenue]]-Sales_Data2[[#This Row],[COGS]]</f>
        <v>48000</v>
      </c>
      <c r="O19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47588|West|Abuja|Corporate|Online|Microwave M20|Home Appliances|60000|4|David|48000</v>
      </c>
      <c r="P1914" s="3" t="str">
        <f>IF(COUNTIF(Sales_Data2[RowKey],Sales_Data2[[#This Row],[RowKey]])&gt;1,"Duplicate","Unique")</f>
        <v>Unique</v>
      </c>
      <c r="Q1914" s="3" t="str">
        <f>IF(ISNUMBER(Sales_Data2[[#This Row],[Date]]),"OK","Check")</f>
        <v>OK</v>
      </c>
      <c r="R1914" s="3" t="str">
        <f>IF(ISNUMBER(Sales_Data2[[#This Row],[Quantity]]),"OK","Check")</f>
        <v>OK</v>
      </c>
    </row>
    <row r="1915" spans="1:18">
      <c r="A1915" s="1">
        <v>47589</v>
      </c>
      <c r="B1915" t="s">
        <v>25</v>
      </c>
      <c r="C1915" t="s">
        <v>26</v>
      </c>
      <c r="D1915" t="s">
        <v>23</v>
      </c>
      <c r="E1915" t="s">
        <v>20</v>
      </c>
      <c r="F1915" t="s">
        <v>41</v>
      </c>
      <c r="G1915" t="s">
        <v>22</v>
      </c>
      <c r="H1915">
        <v>220000</v>
      </c>
      <c r="I1915">
        <v>7</v>
      </c>
      <c r="J1915" t="s">
        <v>24</v>
      </c>
      <c r="K1915">
        <f t="shared" si="29"/>
        <v>176000</v>
      </c>
      <c r="L1915">
        <f>Sales_Data2[[#This Row],[Unit Price]]*Sales_Data2[[#This Row],[Quantity]]</f>
        <v>1540000</v>
      </c>
      <c r="M1915">
        <f>Sales_Data2[[#This Row],[Cost Price]]*Sales_Data2[[#This Row],[Quantity]]</f>
        <v>1232000</v>
      </c>
      <c r="N1915" s="3">
        <f>Sales_Data2[[#This Row],[Revenue]]-Sales_Data2[[#This Row],[COGS]]</f>
        <v>308000</v>
      </c>
      <c r="O19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47589|South|Kano|Corporate|Store|Refrigerator R55|Home Appliances|220000|7|David|176000</v>
      </c>
      <c r="P1915" s="3" t="str">
        <f>IF(COUNTIF(Sales_Data2[RowKey],Sales_Data2[[#This Row],[RowKey]])&gt;1,"Duplicate","Unique")</f>
        <v>Unique</v>
      </c>
      <c r="Q1915" s="3" t="str">
        <f>IF(ISNUMBER(Sales_Data2[[#This Row],[Date]]),"OK","Check")</f>
        <v>OK</v>
      </c>
      <c r="R1915" s="3" t="str">
        <f>IF(ISNUMBER(Sales_Data2[[#This Row],[Quantity]]),"OK","Check")</f>
        <v>OK</v>
      </c>
    </row>
    <row r="1916" spans="1:18">
      <c r="A1916" s="1">
        <v>47590</v>
      </c>
      <c r="B1916" t="s">
        <v>11</v>
      </c>
      <c r="C1916" t="s">
        <v>26</v>
      </c>
      <c r="D1916" t="s">
        <v>13</v>
      </c>
      <c r="E1916" t="s">
        <v>20</v>
      </c>
      <c r="F1916" t="s">
        <v>34</v>
      </c>
      <c r="G1916" t="s">
        <v>16</v>
      </c>
      <c r="H1916">
        <v>320000</v>
      </c>
      <c r="I1916">
        <v>9</v>
      </c>
      <c r="J1916" t="s">
        <v>28</v>
      </c>
      <c r="K1916">
        <f t="shared" si="29"/>
        <v>256000</v>
      </c>
      <c r="L1916">
        <f>Sales_Data2[[#This Row],[Unit Price]]*Sales_Data2[[#This Row],[Quantity]]</f>
        <v>2880000</v>
      </c>
      <c r="M1916">
        <f>Sales_Data2[[#This Row],[Cost Price]]*Sales_Data2[[#This Row],[Quantity]]</f>
        <v>2304000</v>
      </c>
      <c r="N1916" s="3">
        <f>Sales_Data2[[#This Row],[Revenue]]-Sales_Data2[[#This Row],[COGS]]</f>
        <v>576000</v>
      </c>
      <c r="O19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47590|West|Kano|Retail|Store|Sofa Classic|Furniture|320000|9|Musa|256000</v>
      </c>
      <c r="P1916" s="3" t="str">
        <f>IF(COUNTIF(Sales_Data2[RowKey],Sales_Data2[[#This Row],[RowKey]])&gt;1,"Duplicate","Unique")</f>
        <v>Unique</v>
      </c>
      <c r="Q1916" s="3" t="str">
        <f>IF(ISNUMBER(Sales_Data2[[#This Row],[Date]]),"OK","Check")</f>
        <v>OK</v>
      </c>
      <c r="R1916" s="3" t="str">
        <f>IF(ISNUMBER(Sales_Data2[[#This Row],[Quantity]]),"OK","Check")</f>
        <v>OK</v>
      </c>
    </row>
    <row r="1917" spans="1:18">
      <c r="A1917" s="1">
        <v>47591</v>
      </c>
      <c r="B1917" t="s">
        <v>11</v>
      </c>
      <c r="C1917" t="s">
        <v>19</v>
      </c>
      <c r="D1917" t="s">
        <v>23</v>
      </c>
      <c r="E1917" t="s">
        <v>20</v>
      </c>
      <c r="F1917" t="s">
        <v>15</v>
      </c>
      <c r="G1917" t="s">
        <v>16</v>
      </c>
      <c r="H1917">
        <v>85000</v>
      </c>
      <c r="I1917">
        <v>5</v>
      </c>
      <c r="J1917" t="s">
        <v>39</v>
      </c>
      <c r="K1917">
        <f t="shared" si="29"/>
        <v>68000</v>
      </c>
      <c r="L1917">
        <f>Sales_Data2[[#This Row],[Unit Price]]*Sales_Data2[[#This Row],[Quantity]]</f>
        <v>425000</v>
      </c>
      <c r="M1917">
        <f>Sales_Data2[[#This Row],[Cost Price]]*Sales_Data2[[#This Row],[Quantity]]</f>
        <v>340000</v>
      </c>
      <c r="N1917" s="3">
        <f>Sales_Data2[[#This Row],[Revenue]]-Sales_Data2[[#This Row],[COGS]]</f>
        <v>85000</v>
      </c>
      <c r="O19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47591|West|Lagos|Corporate|Store|Office Chair Pro|Furniture|85000|5|Grace|68000</v>
      </c>
      <c r="P1917" s="3" t="str">
        <f>IF(COUNTIF(Sales_Data2[RowKey],Sales_Data2[[#This Row],[RowKey]])&gt;1,"Duplicate","Unique")</f>
        <v>Unique</v>
      </c>
      <c r="Q1917" s="3" t="str">
        <f>IF(ISNUMBER(Sales_Data2[[#This Row],[Date]]),"OK","Check")</f>
        <v>OK</v>
      </c>
      <c r="R1917" s="3" t="str">
        <f>IF(ISNUMBER(Sales_Data2[[#This Row],[Quantity]]),"OK","Check")</f>
        <v>OK</v>
      </c>
    </row>
    <row r="1918" spans="1:18">
      <c r="A1918" s="1">
        <v>47592</v>
      </c>
      <c r="B1918" t="s">
        <v>29</v>
      </c>
      <c r="C1918" t="s">
        <v>32</v>
      </c>
      <c r="D1918" t="s">
        <v>13</v>
      </c>
      <c r="E1918" t="s">
        <v>14</v>
      </c>
      <c r="F1918" t="s">
        <v>40</v>
      </c>
      <c r="G1918" t="s">
        <v>31</v>
      </c>
      <c r="H1918">
        <v>250000</v>
      </c>
      <c r="I1918">
        <v>10</v>
      </c>
      <c r="J1918" t="s">
        <v>37</v>
      </c>
      <c r="K1918">
        <f t="shared" si="29"/>
        <v>200000</v>
      </c>
      <c r="L1918">
        <f>Sales_Data2[[#This Row],[Unit Price]]*Sales_Data2[[#This Row],[Quantity]]</f>
        <v>2500000</v>
      </c>
      <c r="M1918">
        <f>Sales_Data2[[#This Row],[Cost Price]]*Sales_Data2[[#This Row],[Quantity]]</f>
        <v>2000000</v>
      </c>
      <c r="N1918" s="3">
        <f>Sales_Data2[[#This Row],[Revenue]]-Sales_Data2[[#This Row],[COGS]]</f>
        <v>500000</v>
      </c>
      <c r="O19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47592|North|Abuja|Retail|Online|Smartphone Z10|Electronics|250000|10|Aisha|200000</v>
      </c>
      <c r="P1918" s="3" t="str">
        <f>IF(COUNTIF(Sales_Data2[RowKey],Sales_Data2[[#This Row],[RowKey]])&gt;1,"Duplicate","Unique")</f>
        <v>Unique</v>
      </c>
      <c r="Q1918" s="3" t="str">
        <f>IF(ISNUMBER(Sales_Data2[[#This Row],[Date]]),"OK","Check")</f>
        <v>OK</v>
      </c>
      <c r="R1918" s="3" t="str">
        <f>IF(ISNUMBER(Sales_Data2[[#This Row],[Quantity]]),"OK","Check")</f>
        <v>OK</v>
      </c>
    </row>
    <row r="1919" spans="1:18">
      <c r="A1919" s="1">
        <v>47593</v>
      </c>
      <c r="B1919" t="s">
        <v>18</v>
      </c>
      <c r="C1919" t="s">
        <v>32</v>
      </c>
      <c r="D1919" t="s">
        <v>13</v>
      </c>
      <c r="E1919" t="s">
        <v>20</v>
      </c>
      <c r="F1919" t="s">
        <v>34</v>
      </c>
      <c r="G1919" t="s">
        <v>16</v>
      </c>
      <c r="H1919">
        <v>320000</v>
      </c>
      <c r="I1919">
        <v>8</v>
      </c>
      <c r="J1919" t="s">
        <v>28</v>
      </c>
      <c r="K1919">
        <f t="shared" si="29"/>
        <v>256000</v>
      </c>
      <c r="L1919">
        <f>Sales_Data2[[#This Row],[Unit Price]]*Sales_Data2[[#This Row],[Quantity]]</f>
        <v>2560000</v>
      </c>
      <c r="M1919">
        <f>Sales_Data2[[#This Row],[Cost Price]]*Sales_Data2[[#This Row],[Quantity]]</f>
        <v>2048000</v>
      </c>
      <c r="N1919" s="3">
        <f>Sales_Data2[[#This Row],[Revenue]]-Sales_Data2[[#This Row],[COGS]]</f>
        <v>512000</v>
      </c>
      <c r="O19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47593|East|Abuja|Retail|Store|Sofa Classic|Furniture|320000|8|Musa|256000</v>
      </c>
      <c r="P1919" s="3" t="str">
        <f>IF(COUNTIF(Sales_Data2[RowKey],Sales_Data2[[#This Row],[RowKey]])&gt;1,"Duplicate","Unique")</f>
        <v>Unique</v>
      </c>
      <c r="Q1919" s="3" t="str">
        <f>IF(ISNUMBER(Sales_Data2[[#This Row],[Date]]),"OK","Check")</f>
        <v>OK</v>
      </c>
      <c r="R1919" s="3" t="str">
        <f>IF(ISNUMBER(Sales_Data2[[#This Row],[Quantity]]),"OK","Check")</f>
        <v>OK</v>
      </c>
    </row>
    <row r="1920" spans="1:18">
      <c r="A1920" s="1">
        <v>47594</v>
      </c>
      <c r="B1920" t="s">
        <v>29</v>
      </c>
      <c r="C1920" t="s">
        <v>12</v>
      </c>
      <c r="D1920" t="s">
        <v>23</v>
      </c>
      <c r="E1920" t="s">
        <v>20</v>
      </c>
      <c r="F1920" t="s">
        <v>36</v>
      </c>
      <c r="G1920" t="s">
        <v>31</v>
      </c>
      <c r="H1920">
        <v>150000</v>
      </c>
      <c r="I1920">
        <v>7</v>
      </c>
      <c r="J1920" t="s">
        <v>35</v>
      </c>
      <c r="K1920">
        <f t="shared" si="29"/>
        <v>120000</v>
      </c>
      <c r="L1920">
        <f>Sales_Data2[[#This Row],[Unit Price]]*Sales_Data2[[#This Row],[Quantity]]</f>
        <v>1050000</v>
      </c>
      <c r="M1920">
        <f>Sales_Data2[[#This Row],[Cost Price]]*Sales_Data2[[#This Row],[Quantity]]</f>
        <v>840000</v>
      </c>
      <c r="N1920" s="3">
        <f>Sales_Data2[[#This Row],[Revenue]]-Sales_Data2[[#This Row],[COGS]]</f>
        <v>210000</v>
      </c>
      <c r="O19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47594|North|Port Harcourt|Corporate|Store|Printer P50|Electronics|150000|7|Peter|120000</v>
      </c>
      <c r="P1920" s="3" t="str">
        <f>IF(COUNTIF(Sales_Data2[RowKey],Sales_Data2[[#This Row],[RowKey]])&gt;1,"Duplicate","Unique")</f>
        <v>Unique</v>
      </c>
      <c r="Q1920" s="3" t="str">
        <f>IF(ISNUMBER(Sales_Data2[[#This Row],[Date]]),"OK","Check")</f>
        <v>OK</v>
      </c>
      <c r="R1920" s="3" t="str">
        <f>IF(ISNUMBER(Sales_Data2[[#This Row],[Quantity]]),"OK","Check")</f>
        <v>OK</v>
      </c>
    </row>
    <row r="1921" spans="1:18">
      <c r="A1921" s="1">
        <v>47595</v>
      </c>
      <c r="B1921" t="s">
        <v>29</v>
      </c>
      <c r="C1921" t="s">
        <v>26</v>
      </c>
      <c r="D1921" t="s">
        <v>13</v>
      </c>
      <c r="E1921" t="s">
        <v>20</v>
      </c>
      <c r="F1921" t="s">
        <v>33</v>
      </c>
      <c r="G1921" t="s">
        <v>22</v>
      </c>
      <c r="H1921">
        <v>180000</v>
      </c>
      <c r="I1921">
        <v>8</v>
      </c>
      <c r="J1921" t="s">
        <v>35</v>
      </c>
      <c r="K1921">
        <f t="shared" si="29"/>
        <v>144000</v>
      </c>
      <c r="L1921">
        <f>Sales_Data2[[#This Row],[Unit Price]]*Sales_Data2[[#This Row],[Quantity]]</f>
        <v>1440000</v>
      </c>
      <c r="M1921">
        <f>Sales_Data2[[#This Row],[Cost Price]]*Sales_Data2[[#This Row],[Quantity]]</f>
        <v>1152000</v>
      </c>
      <c r="N1921" s="3">
        <f>Sales_Data2[[#This Row],[Revenue]]-Sales_Data2[[#This Row],[COGS]]</f>
        <v>288000</v>
      </c>
      <c r="O19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47595|North|Kano|Retail|Store|Air Conditioner X2|Home Appliances|180000|8|Peter|144000</v>
      </c>
      <c r="P1921" s="3" t="str">
        <f>IF(COUNTIF(Sales_Data2[RowKey],Sales_Data2[[#This Row],[RowKey]])&gt;1,"Duplicate","Unique")</f>
        <v>Unique</v>
      </c>
      <c r="Q1921" s="3" t="str">
        <f>IF(ISNUMBER(Sales_Data2[[#This Row],[Date]]),"OK","Check")</f>
        <v>OK</v>
      </c>
      <c r="R1921" s="3" t="str">
        <f>IF(ISNUMBER(Sales_Data2[[#This Row],[Quantity]]),"OK","Check")</f>
        <v>OK</v>
      </c>
    </row>
    <row r="1922" spans="1:18">
      <c r="A1922" s="1">
        <v>47596</v>
      </c>
      <c r="B1922" t="s">
        <v>11</v>
      </c>
      <c r="C1922" t="s">
        <v>32</v>
      </c>
      <c r="D1922" t="s">
        <v>13</v>
      </c>
      <c r="E1922" t="s">
        <v>14</v>
      </c>
      <c r="F1922" t="s">
        <v>34</v>
      </c>
      <c r="G1922" t="s">
        <v>16</v>
      </c>
      <c r="H1922">
        <v>320000</v>
      </c>
      <c r="I1922">
        <v>10</v>
      </c>
      <c r="J1922" t="s">
        <v>28</v>
      </c>
      <c r="K1922">
        <f t="shared" ref="K1922:K1985" si="30">H1922-H1922*0.2</f>
        <v>256000</v>
      </c>
      <c r="L1922">
        <f>Sales_Data2[[#This Row],[Unit Price]]*Sales_Data2[[#This Row],[Quantity]]</f>
        <v>3200000</v>
      </c>
      <c r="M1922">
        <f>Sales_Data2[[#This Row],[Cost Price]]*Sales_Data2[[#This Row],[Quantity]]</f>
        <v>2560000</v>
      </c>
      <c r="N1922" s="3">
        <f>Sales_Data2[[#This Row],[Revenue]]-Sales_Data2[[#This Row],[COGS]]</f>
        <v>640000</v>
      </c>
      <c r="O19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47596|West|Abuja|Retail|Online|Sofa Classic|Furniture|320000|10|Musa|256000</v>
      </c>
      <c r="P1922" s="3" t="str">
        <f>IF(COUNTIF(Sales_Data2[RowKey],Sales_Data2[[#This Row],[RowKey]])&gt;1,"Duplicate","Unique")</f>
        <v>Unique</v>
      </c>
      <c r="Q1922" s="3" t="str">
        <f>IF(ISNUMBER(Sales_Data2[[#This Row],[Date]]),"OK","Check")</f>
        <v>OK</v>
      </c>
      <c r="R1922" s="3" t="str">
        <f>IF(ISNUMBER(Sales_Data2[[#This Row],[Quantity]]),"OK","Check")</f>
        <v>OK</v>
      </c>
    </row>
    <row r="1923" spans="1:18">
      <c r="A1923" s="1">
        <v>47597</v>
      </c>
      <c r="B1923" t="s">
        <v>29</v>
      </c>
      <c r="C1923" t="s">
        <v>12</v>
      </c>
      <c r="D1923" t="s">
        <v>23</v>
      </c>
      <c r="E1923" t="s">
        <v>20</v>
      </c>
      <c r="F1923" t="s">
        <v>36</v>
      </c>
      <c r="G1923" t="s">
        <v>31</v>
      </c>
      <c r="H1923">
        <v>150000</v>
      </c>
      <c r="I1923">
        <v>7</v>
      </c>
      <c r="J1923" t="s">
        <v>39</v>
      </c>
      <c r="K1923">
        <f t="shared" si="30"/>
        <v>120000</v>
      </c>
      <c r="L1923">
        <f>Sales_Data2[[#This Row],[Unit Price]]*Sales_Data2[[#This Row],[Quantity]]</f>
        <v>1050000</v>
      </c>
      <c r="M1923">
        <f>Sales_Data2[[#This Row],[Cost Price]]*Sales_Data2[[#This Row],[Quantity]]</f>
        <v>840000</v>
      </c>
      <c r="N1923" s="3">
        <f>Sales_Data2[[#This Row],[Revenue]]-Sales_Data2[[#This Row],[COGS]]</f>
        <v>210000</v>
      </c>
      <c r="O19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47597|North|Port Harcourt|Corporate|Store|Printer P50|Electronics|150000|7|Grace|120000</v>
      </c>
      <c r="P1923" s="3" t="str">
        <f>IF(COUNTIF(Sales_Data2[RowKey],Sales_Data2[[#This Row],[RowKey]])&gt;1,"Duplicate","Unique")</f>
        <v>Unique</v>
      </c>
      <c r="Q1923" s="3" t="str">
        <f>IF(ISNUMBER(Sales_Data2[[#This Row],[Date]]),"OK","Check")</f>
        <v>OK</v>
      </c>
      <c r="R1923" s="3" t="str">
        <f>IF(ISNUMBER(Sales_Data2[[#This Row],[Quantity]]),"OK","Check")</f>
        <v>OK</v>
      </c>
    </row>
    <row r="1924" spans="1:18">
      <c r="A1924" s="1">
        <v>47598</v>
      </c>
      <c r="B1924" t="s">
        <v>25</v>
      </c>
      <c r="C1924" t="s">
        <v>19</v>
      </c>
      <c r="D1924" t="s">
        <v>23</v>
      </c>
      <c r="E1924" t="s">
        <v>20</v>
      </c>
      <c r="F1924" t="s">
        <v>41</v>
      </c>
      <c r="G1924" t="s">
        <v>22</v>
      </c>
      <c r="H1924">
        <v>220000</v>
      </c>
      <c r="I1924">
        <v>1</v>
      </c>
      <c r="J1924" t="s">
        <v>24</v>
      </c>
      <c r="K1924">
        <f t="shared" si="30"/>
        <v>176000</v>
      </c>
      <c r="L1924">
        <f>Sales_Data2[[#This Row],[Unit Price]]*Sales_Data2[[#This Row],[Quantity]]</f>
        <v>220000</v>
      </c>
      <c r="M1924">
        <f>Sales_Data2[[#This Row],[Cost Price]]*Sales_Data2[[#This Row],[Quantity]]</f>
        <v>176000</v>
      </c>
      <c r="N1924" s="3">
        <f>Sales_Data2[[#This Row],[Revenue]]-Sales_Data2[[#This Row],[COGS]]</f>
        <v>44000</v>
      </c>
      <c r="O19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47598|South|Lagos|Corporate|Store|Refrigerator R55|Home Appliances|220000|1|David|176000</v>
      </c>
      <c r="P1924" s="3" t="str">
        <f>IF(COUNTIF(Sales_Data2[RowKey],Sales_Data2[[#This Row],[RowKey]])&gt;1,"Duplicate","Unique")</f>
        <v>Unique</v>
      </c>
      <c r="Q1924" s="3" t="str">
        <f>IF(ISNUMBER(Sales_Data2[[#This Row],[Date]]),"OK","Check")</f>
        <v>OK</v>
      </c>
      <c r="R1924" s="3" t="str">
        <f>IF(ISNUMBER(Sales_Data2[[#This Row],[Quantity]]),"OK","Check")</f>
        <v>OK</v>
      </c>
    </row>
    <row r="1925" spans="1:18">
      <c r="A1925" s="1">
        <v>47599</v>
      </c>
      <c r="B1925" t="s">
        <v>29</v>
      </c>
      <c r="C1925" t="s">
        <v>32</v>
      </c>
      <c r="D1925" t="s">
        <v>23</v>
      </c>
      <c r="E1925" t="s">
        <v>14</v>
      </c>
      <c r="F1925" t="s">
        <v>41</v>
      </c>
      <c r="G1925" t="s">
        <v>22</v>
      </c>
      <c r="H1925">
        <v>220000</v>
      </c>
      <c r="I1925">
        <v>7</v>
      </c>
      <c r="J1925" t="s">
        <v>24</v>
      </c>
      <c r="K1925">
        <f t="shared" si="30"/>
        <v>176000</v>
      </c>
      <c r="L1925">
        <f>Sales_Data2[[#This Row],[Unit Price]]*Sales_Data2[[#This Row],[Quantity]]</f>
        <v>1540000</v>
      </c>
      <c r="M1925">
        <f>Sales_Data2[[#This Row],[Cost Price]]*Sales_Data2[[#This Row],[Quantity]]</f>
        <v>1232000</v>
      </c>
      <c r="N1925" s="3">
        <f>Sales_Data2[[#This Row],[Revenue]]-Sales_Data2[[#This Row],[COGS]]</f>
        <v>308000</v>
      </c>
      <c r="O19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47599|North|Abuja|Corporate|Online|Refrigerator R55|Home Appliances|220000|7|David|176000</v>
      </c>
      <c r="P1925" s="3" t="str">
        <f>IF(COUNTIF(Sales_Data2[RowKey],Sales_Data2[[#This Row],[RowKey]])&gt;1,"Duplicate","Unique")</f>
        <v>Unique</v>
      </c>
      <c r="Q1925" s="3" t="str">
        <f>IF(ISNUMBER(Sales_Data2[[#This Row],[Date]]),"OK","Check")</f>
        <v>OK</v>
      </c>
      <c r="R1925" s="3" t="str">
        <f>IF(ISNUMBER(Sales_Data2[[#This Row],[Quantity]]),"OK","Check")</f>
        <v>OK</v>
      </c>
    </row>
    <row r="1926" spans="1:18">
      <c r="A1926" s="1">
        <v>47600</v>
      </c>
      <c r="B1926" t="s">
        <v>25</v>
      </c>
      <c r="C1926" t="s">
        <v>32</v>
      </c>
      <c r="D1926" t="s">
        <v>23</v>
      </c>
      <c r="E1926" t="s">
        <v>20</v>
      </c>
      <c r="F1926" t="s">
        <v>36</v>
      </c>
      <c r="G1926" t="s">
        <v>31</v>
      </c>
      <c r="H1926">
        <v>150000</v>
      </c>
      <c r="I1926">
        <v>6</v>
      </c>
      <c r="J1926" t="s">
        <v>24</v>
      </c>
      <c r="K1926">
        <f t="shared" si="30"/>
        <v>120000</v>
      </c>
      <c r="L1926">
        <f>Sales_Data2[[#This Row],[Unit Price]]*Sales_Data2[[#This Row],[Quantity]]</f>
        <v>900000</v>
      </c>
      <c r="M1926">
        <f>Sales_Data2[[#This Row],[Cost Price]]*Sales_Data2[[#This Row],[Quantity]]</f>
        <v>720000</v>
      </c>
      <c r="N1926" s="3">
        <f>Sales_Data2[[#This Row],[Revenue]]-Sales_Data2[[#This Row],[COGS]]</f>
        <v>180000</v>
      </c>
      <c r="O19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47600|South|Abuja|Corporate|Store|Printer P50|Electronics|150000|6|David|120000</v>
      </c>
      <c r="P1926" s="3" t="str">
        <f>IF(COUNTIF(Sales_Data2[RowKey],Sales_Data2[[#This Row],[RowKey]])&gt;1,"Duplicate","Unique")</f>
        <v>Unique</v>
      </c>
      <c r="Q1926" s="3" t="str">
        <f>IF(ISNUMBER(Sales_Data2[[#This Row],[Date]]),"OK","Check")</f>
        <v>OK</v>
      </c>
      <c r="R1926" s="3" t="str">
        <f>IF(ISNUMBER(Sales_Data2[[#This Row],[Quantity]]),"OK","Check")</f>
        <v>OK</v>
      </c>
    </row>
    <row r="1927" spans="1:18">
      <c r="A1927" s="1">
        <v>47601</v>
      </c>
      <c r="B1927" t="s">
        <v>18</v>
      </c>
      <c r="C1927" t="s">
        <v>12</v>
      </c>
      <c r="D1927" t="s">
        <v>13</v>
      </c>
      <c r="E1927" t="s">
        <v>14</v>
      </c>
      <c r="F1927" t="s">
        <v>30</v>
      </c>
      <c r="G1927" t="s">
        <v>31</v>
      </c>
      <c r="H1927">
        <v>300000</v>
      </c>
      <c r="I1927">
        <v>8</v>
      </c>
      <c r="J1927" t="s">
        <v>28</v>
      </c>
      <c r="K1927">
        <f t="shared" si="30"/>
        <v>240000</v>
      </c>
      <c r="L1927">
        <f>Sales_Data2[[#This Row],[Unit Price]]*Sales_Data2[[#This Row],[Quantity]]</f>
        <v>2400000</v>
      </c>
      <c r="M1927">
        <f>Sales_Data2[[#This Row],[Cost Price]]*Sales_Data2[[#This Row],[Quantity]]</f>
        <v>1920000</v>
      </c>
      <c r="N1927" s="3">
        <f>Sales_Data2[[#This Row],[Revenue]]-Sales_Data2[[#This Row],[COGS]]</f>
        <v>480000</v>
      </c>
      <c r="O19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47601|East|Port Harcourt|Retail|Online|Desktop PC D21|Electronics|300000|8|Musa|240000</v>
      </c>
      <c r="P1927" s="3" t="str">
        <f>IF(COUNTIF(Sales_Data2[RowKey],Sales_Data2[[#This Row],[RowKey]])&gt;1,"Duplicate","Unique")</f>
        <v>Unique</v>
      </c>
      <c r="Q1927" s="3" t="str">
        <f>IF(ISNUMBER(Sales_Data2[[#This Row],[Date]]),"OK","Check")</f>
        <v>OK</v>
      </c>
      <c r="R1927" s="3" t="str">
        <f>IF(ISNUMBER(Sales_Data2[[#This Row],[Quantity]]),"OK","Check")</f>
        <v>OK</v>
      </c>
    </row>
    <row r="1928" spans="1:18">
      <c r="A1928" s="1">
        <v>47602</v>
      </c>
      <c r="B1928" t="s">
        <v>18</v>
      </c>
      <c r="C1928" t="s">
        <v>32</v>
      </c>
      <c r="D1928" t="s">
        <v>23</v>
      </c>
      <c r="E1928" t="s">
        <v>20</v>
      </c>
      <c r="F1928" t="s">
        <v>38</v>
      </c>
      <c r="G1928" t="s">
        <v>31</v>
      </c>
      <c r="H1928">
        <v>420000</v>
      </c>
      <c r="I1928">
        <v>10</v>
      </c>
      <c r="J1928" t="s">
        <v>39</v>
      </c>
      <c r="K1928">
        <f t="shared" si="30"/>
        <v>336000</v>
      </c>
      <c r="L1928">
        <f>Sales_Data2[[#This Row],[Unit Price]]*Sales_Data2[[#This Row],[Quantity]]</f>
        <v>4200000</v>
      </c>
      <c r="M1928">
        <f>Sales_Data2[[#This Row],[Cost Price]]*Sales_Data2[[#This Row],[Quantity]]</f>
        <v>3360000</v>
      </c>
      <c r="N1928" s="3">
        <f>Sales_Data2[[#This Row],[Revenue]]-Sales_Data2[[#This Row],[COGS]]</f>
        <v>840000</v>
      </c>
      <c r="O19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47602|East|Abuja|Corporate|Store|Laptop A13|Electronics|420000|10|Grace|336000</v>
      </c>
      <c r="P1928" s="3" t="str">
        <f>IF(COUNTIF(Sales_Data2[RowKey],Sales_Data2[[#This Row],[RowKey]])&gt;1,"Duplicate","Unique")</f>
        <v>Unique</v>
      </c>
      <c r="Q1928" s="3" t="str">
        <f>IF(ISNUMBER(Sales_Data2[[#This Row],[Date]]),"OK","Check")</f>
        <v>OK</v>
      </c>
      <c r="R1928" s="3" t="str">
        <f>IF(ISNUMBER(Sales_Data2[[#This Row],[Quantity]]),"OK","Check")</f>
        <v>OK</v>
      </c>
    </row>
    <row r="1929" spans="1:18">
      <c r="A1929" s="1">
        <v>47603</v>
      </c>
      <c r="B1929" t="s">
        <v>29</v>
      </c>
      <c r="C1929" t="s">
        <v>19</v>
      </c>
      <c r="D1929" t="s">
        <v>13</v>
      </c>
      <c r="E1929" t="s">
        <v>20</v>
      </c>
      <c r="F1929" t="s">
        <v>21</v>
      </c>
      <c r="G1929" t="s">
        <v>22</v>
      </c>
      <c r="H1929">
        <v>30000</v>
      </c>
      <c r="I1929">
        <v>1</v>
      </c>
      <c r="J1929" t="s">
        <v>24</v>
      </c>
      <c r="K1929">
        <f t="shared" si="30"/>
        <v>24000</v>
      </c>
      <c r="L1929">
        <f>Sales_Data2[[#This Row],[Unit Price]]*Sales_Data2[[#This Row],[Quantity]]</f>
        <v>30000</v>
      </c>
      <c r="M1929">
        <f>Sales_Data2[[#This Row],[Cost Price]]*Sales_Data2[[#This Row],[Quantity]]</f>
        <v>24000</v>
      </c>
      <c r="N1929" s="3">
        <f>Sales_Data2[[#This Row],[Revenue]]-Sales_Data2[[#This Row],[COGS]]</f>
        <v>6000</v>
      </c>
      <c r="O19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47603|North|Lagos|Retail|Store|Blender B10|Home Appliances|30000|1|David|24000</v>
      </c>
      <c r="P1929" s="3" t="str">
        <f>IF(COUNTIF(Sales_Data2[RowKey],Sales_Data2[[#This Row],[RowKey]])&gt;1,"Duplicate","Unique")</f>
        <v>Unique</v>
      </c>
      <c r="Q1929" s="3" t="str">
        <f>IF(ISNUMBER(Sales_Data2[[#This Row],[Date]]),"OK","Check")</f>
        <v>OK</v>
      </c>
      <c r="R1929" s="3" t="str">
        <f>IF(ISNUMBER(Sales_Data2[[#This Row],[Quantity]]),"OK","Check")</f>
        <v>OK</v>
      </c>
    </row>
    <row r="1930" spans="1:18">
      <c r="A1930" s="1">
        <v>47604</v>
      </c>
      <c r="B1930" t="s">
        <v>18</v>
      </c>
      <c r="C1930" t="s">
        <v>12</v>
      </c>
      <c r="D1930" t="s">
        <v>23</v>
      </c>
      <c r="E1930" t="s">
        <v>14</v>
      </c>
      <c r="F1930" t="s">
        <v>38</v>
      </c>
      <c r="G1930" t="s">
        <v>31</v>
      </c>
      <c r="H1930">
        <v>420000</v>
      </c>
      <c r="I1930">
        <v>7</v>
      </c>
      <c r="J1930" t="s">
        <v>17</v>
      </c>
      <c r="K1930">
        <f t="shared" si="30"/>
        <v>336000</v>
      </c>
      <c r="L1930">
        <f>Sales_Data2[[#This Row],[Unit Price]]*Sales_Data2[[#This Row],[Quantity]]</f>
        <v>2940000</v>
      </c>
      <c r="M1930">
        <f>Sales_Data2[[#This Row],[Cost Price]]*Sales_Data2[[#This Row],[Quantity]]</f>
        <v>2352000</v>
      </c>
      <c r="N1930" s="3">
        <f>Sales_Data2[[#This Row],[Revenue]]-Sales_Data2[[#This Row],[COGS]]</f>
        <v>588000</v>
      </c>
      <c r="O19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47604|East|Port Harcourt|Corporate|Online|Laptop A13|Electronics|420000|7|Chidinma|336000</v>
      </c>
      <c r="P1930" s="3" t="str">
        <f>IF(COUNTIF(Sales_Data2[RowKey],Sales_Data2[[#This Row],[RowKey]])&gt;1,"Duplicate","Unique")</f>
        <v>Unique</v>
      </c>
      <c r="Q1930" s="3" t="str">
        <f>IF(ISNUMBER(Sales_Data2[[#This Row],[Date]]),"OK","Check")</f>
        <v>OK</v>
      </c>
      <c r="R1930" s="3" t="str">
        <f>IF(ISNUMBER(Sales_Data2[[#This Row],[Quantity]]),"OK","Check")</f>
        <v>OK</v>
      </c>
    </row>
    <row r="1931" spans="1:18">
      <c r="A1931" s="1">
        <v>47605</v>
      </c>
      <c r="B1931" t="s">
        <v>29</v>
      </c>
      <c r="C1931" t="s">
        <v>12</v>
      </c>
      <c r="D1931" t="s">
        <v>23</v>
      </c>
      <c r="E1931" t="s">
        <v>20</v>
      </c>
      <c r="F1931" t="s">
        <v>33</v>
      </c>
      <c r="G1931" t="s">
        <v>22</v>
      </c>
      <c r="H1931">
        <v>180000</v>
      </c>
      <c r="I1931">
        <v>6</v>
      </c>
      <c r="J1931" t="s">
        <v>35</v>
      </c>
      <c r="K1931">
        <f t="shared" si="30"/>
        <v>144000</v>
      </c>
      <c r="L1931">
        <f>Sales_Data2[[#This Row],[Unit Price]]*Sales_Data2[[#This Row],[Quantity]]</f>
        <v>1080000</v>
      </c>
      <c r="M1931">
        <f>Sales_Data2[[#This Row],[Cost Price]]*Sales_Data2[[#This Row],[Quantity]]</f>
        <v>864000</v>
      </c>
      <c r="N1931" s="3">
        <f>Sales_Data2[[#This Row],[Revenue]]-Sales_Data2[[#This Row],[COGS]]</f>
        <v>216000</v>
      </c>
      <c r="O19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47605|North|Port Harcourt|Corporate|Store|Air Conditioner X2|Home Appliances|180000|6|Peter|144000</v>
      </c>
      <c r="P1931" s="3" t="str">
        <f>IF(COUNTIF(Sales_Data2[RowKey],Sales_Data2[[#This Row],[RowKey]])&gt;1,"Duplicate","Unique")</f>
        <v>Unique</v>
      </c>
      <c r="Q1931" s="3" t="str">
        <f>IF(ISNUMBER(Sales_Data2[[#This Row],[Date]]),"OK","Check")</f>
        <v>OK</v>
      </c>
      <c r="R1931" s="3" t="str">
        <f>IF(ISNUMBER(Sales_Data2[[#This Row],[Quantity]]),"OK","Check")</f>
        <v>OK</v>
      </c>
    </row>
    <row r="1932" spans="1:18">
      <c r="A1932" s="1">
        <v>47606</v>
      </c>
      <c r="B1932" t="s">
        <v>25</v>
      </c>
      <c r="C1932" t="s">
        <v>26</v>
      </c>
      <c r="D1932" t="s">
        <v>13</v>
      </c>
      <c r="E1932" t="s">
        <v>14</v>
      </c>
      <c r="F1932" t="s">
        <v>21</v>
      </c>
      <c r="G1932" t="s">
        <v>22</v>
      </c>
      <c r="H1932">
        <v>30000</v>
      </c>
      <c r="I1932">
        <v>10</v>
      </c>
      <c r="J1932" t="s">
        <v>39</v>
      </c>
      <c r="K1932">
        <f t="shared" si="30"/>
        <v>24000</v>
      </c>
      <c r="L1932">
        <f>Sales_Data2[[#This Row],[Unit Price]]*Sales_Data2[[#This Row],[Quantity]]</f>
        <v>300000</v>
      </c>
      <c r="M1932">
        <f>Sales_Data2[[#This Row],[Cost Price]]*Sales_Data2[[#This Row],[Quantity]]</f>
        <v>240000</v>
      </c>
      <c r="N1932" s="3">
        <f>Sales_Data2[[#This Row],[Revenue]]-Sales_Data2[[#This Row],[COGS]]</f>
        <v>60000</v>
      </c>
      <c r="O19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47606|South|Kano|Retail|Online|Blender B10|Home Appliances|30000|10|Grace|24000</v>
      </c>
      <c r="P1932" s="3" t="str">
        <f>IF(COUNTIF(Sales_Data2[RowKey],Sales_Data2[[#This Row],[RowKey]])&gt;1,"Duplicate","Unique")</f>
        <v>Unique</v>
      </c>
      <c r="Q1932" s="3" t="str">
        <f>IF(ISNUMBER(Sales_Data2[[#This Row],[Date]]),"OK","Check")</f>
        <v>OK</v>
      </c>
      <c r="R1932" s="3" t="str">
        <f>IF(ISNUMBER(Sales_Data2[[#This Row],[Quantity]]),"OK","Check")</f>
        <v>OK</v>
      </c>
    </row>
    <row r="1933" spans="1:18">
      <c r="A1933" s="1">
        <v>47607</v>
      </c>
      <c r="B1933" t="s">
        <v>11</v>
      </c>
      <c r="C1933" t="s">
        <v>12</v>
      </c>
      <c r="D1933" t="s">
        <v>13</v>
      </c>
      <c r="E1933" t="s">
        <v>20</v>
      </c>
      <c r="F1933" t="s">
        <v>41</v>
      </c>
      <c r="G1933" t="s">
        <v>22</v>
      </c>
      <c r="H1933">
        <v>220000</v>
      </c>
      <c r="I1933">
        <v>1</v>
      </c>
      <c r="J1933" t="s">
        <v>39</v>
      </c>
      <c r="K1933">
        <f t="shared" si="30"/>
        <v>176000</v>
      </c>
      <c r="L1933">
        <f>Sales_Data2[[#This Row],[Unit Price]]*Sales_Data2[[#This Row],[Quantity]]</f>
        <v>220000</v>
      </c>
      <c r="M1933">
        <f>Sales_Data2[[#This Row],[Cost Price]]*Sales_Data2[[#This Row],[Quantity]]</f>
        <v>176000</v>
      </c>
      <c r="N1933" s="3">
        <f>Sales_Data2[[#This Row],[Revenue]]-Sales_Data2[[#This Row],[COGS]]</f>
        <v>44000</v>
      </c>
      <c r="O19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47607|West|Port Harcourt|Retail|Store|Refrigerator R55|Home Appliances|220000|1|Grace|176000</v>
      </c>
      <c r="P1933" s="3" t="str">
        <f>IF(COUNTIF(Sales_Data2[RowKey],Sales_Data2[[#This Row],[RowKey]])&gt;1,"Duplicate","Unique")</f>
        <v>Unique</v>
      </c>
      <c r="Q1933" s="3" t="str">
        <f>IF(ISNUMBER(Sales_Data2[[#This Row],[Date]]),"OK","Check")</f>
        <v>OK</v>
      </c>
      <c r="R1933" s="3" t="str">
        <f>IF(ISNUMBER(Sales_Data2[[#This Row],[Quantity]]),"OK","Check")</f>
        <v>OK</v>
      </c>
    </row>
    <row r="1934" spans="1:18">
      <c r="A1934" s="1">
        <v>47608</v>
      </c>
      <c r="B1934" t="s">
        <v>25</v>
      </c>
      <c r="C1934" t="s">
        <v>26</v>
      </c>
      <c r="D1934" t="s">
        <v>13</v>
      </c>
      <c r="E1934" t="s">
        <v>14</v>
      </c>
      <c r="F1934" t="s">
        <v>34</v>
      </c>
      <c r="G1934" t="s">
        <v>16</v>
      </c>
      <c r="H1934">
        <v>320000</v>
      </c>
      <c r="I1934">
        <v>6</v>
      </c>
      <c r="J1934" t="s">
        <v>35</v>
      </c>
      <c r="K1934">
        <f t="shared" si="30"/>
        <v>256000</v>
      </c>
      <c r="L1934">
        <f>Sales_Data2[[#This Row],[Unit Price]]*Sales_Data2[[#This Row],[Quantity]]</f>
        <v>1920000</v>
      </c>
      <c r="M1934">
        <f>Sales_Data2[[#This Row],[Cost Price]]*Sales_Data2[[#This Row],[Quantity]]</f>
        <v>1536000</v>
      </c>
      <c r="N1934" s="3">
        <f>Sales_Data2[[#This Row],[Revenue]]-Sales_Data2[[#This Row],[COGS]]</f>
        <v>384000</v>
      </c>
      <c r="O19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47608|South|Kano|Retail|Online|Sofa Classic|Furniture|320000|6|Peter|256000</v>
      </c>
      <c r="P1934" s="3" t="str">
        <f>IF(COUNTIF(Sales_Data2[RowKey],Sales_Data2[[#This Row],[RowKey]])&gt;1,"Duplicate","Unique")</f>
        <v>Unique</v>
      </c>
      <c r="Q1934" s="3" t="str">
        <f>IF(ISNUMBER(Sales_Data2[[#This Row],[Date]]),"OK","Check")</f>
        <v>OK</v>
      </c>
      <c r="R1934" s="3" t="str">
        <f>IF(ISNUMBER(Sales_Data2[[#This Row],[Quantity]]),"OK","Check")</f>
        <v>OK</v>
      </c>
    </row>
    <row r="1935" spans="1:18">
      <c r="A1935" s="1">
        <v>47609</v>
      </c>
      <c r="B1935" t="s">
        <v>25</v>
      </c>
      <c r="C1935" t="s">
        <v>32</v>
      </c>
      <c r="D1935" t="s">
        <v>23</v>
      </c>
      <c r="E1935" t="s">
        <v>20</v>
      </c>
      <c r="F1935" t="s">
        <v>27</v>
      </c>
      <c r="G1935" t="s">
        <v>22</v>
      </c>
      <c r="H1935">
        <v>60000</v>
      </c>
      <c r="I1935">
        <v>10</v>
      </c>
      <c r="J1935" t="s">
        <v>24</v>
      </c>
      <c r="K1935">
        <f t="shared" si="30"/>
        <v>48000</v>
      </c>
      <c r="L1935">
        <f>Sales_Data2[[#This Row],[Unit Price]]*Sales_Data2[[#This Row],[Quantity]]</f>
        <v>600000</v>
      </c>
      <c r="M1935">
        <f>Sales_Data2[[#This Row],[Cost Price]]*Sales_Data2[[#This Row],[Quantity]]</f>
        <v>480000</v>
      </c>
      <c r="N1935" s="3">
        <f>Sales_Data2[[#This Row],[Revenue]]-Sales_Data2[[#This Row],[COGS]]</f>
        <v>120000</v>
      </c>
      <c r="O19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47609|South|Abuja|Corporate|Store|Microwave M20|Home Appliances|60000|10|David|48000</v>
      </c>
      <c r="P1935" s="3" t="str">
        <f>IF(COUNTIF(Sales_Data2[RowKey],Sales_Data2[[#This Row],[RowKey]])&gt;1,"Duplicate","Unique")</f>
        <v>Unique</v>
      </c>
      <c r="Q1935" s="3" t="str">
        <f>IF(ISNUMBER(Sales_Data2[[#This Row],[Date]]),"OK","Check")</f>
        <v>OK</v>
      </c>
      <c r="R1935" s="3" t="str">
        <f>IF(ISNUMBER(Sales_Data2[[#This Row],[Quantity]]),"OK","Check")</f>
        <v>OK</v>
      </c>
    </row>
    <row r="1936" spans="1:18">
      <c r="A1936" s="1">
        <v>47610</v>
      </c>
      <c r="B1936" t="s">
        <v>11</v>
      </c>
      <c r="C1936" t="s">
        <v>32</v>
      </c>
      <c r="D1936" t="s">
        <v>13</v>
      </c>
      <c r="E1936" t="s">
        <v>14</v>
      </c>
      <c r="F1936" t="s">
        <v>15</v>
      </c>
      <c r="G1936" t="s">
        <v>16</v>
      </c>
      <c r="H1936">
        <v>85000</v>
      </c>
      <c r="I1936">
        <v>7</v>
      </c>
      <c r="J1936" t="s">
        <v>39</v>
      </c>
      <c r="K1936">
        <f t="shared" si="30"/>
        <v>68000</v>
      </c>
      <c r="L1936">
        <f>Sales_Data2[[#This Row],[Unit Price]]*Sales_Data2[[#This Row],[Quantity]]</f>
        <v>595000</v>
      </c>
      <c r="M1936">
        <f>Sales_Data2[[#This Row],[Cost Price]]*Sales_Data2[[#This Row],[Quantity]]</f>
        <v>476000</v>
      </c>
      <c r="N1936" s="3">
        <f>Sales_Data2[[#This Row],[Revenue]]-Sales_Data2[[#This Row],[COGS]]</f>
        <v>119000</v>
      </c>
      <c r="O19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47610|West|Abuja|Retail|Online|Office Chair Pro|Furniture|85000|7|Grace|68000</v>
      </c>
      <c r="P1936" s="3" t="str">
        <f>IF(COUNTIF(Sales_Data2[RowKey],Sales_Data2[[#This Row],[RowKey]])&gt;1,"Duplicate","Unique")</f>
        <v>Unique</v>
      </c>
      <c r="Q1936" s="3" t="str">
        <f>IF(ISNUMBER(Sales_Data2[[#This Row],[Date]]),"OK","Check")</f>
        <v>OK</v>
      </c>
      <c r="R1936" s="3" t="str">
        <f>IF(ISNUMBER(Sales_Data2[[#This Row],[Quantity]]),"OK","Check")</f>
        <v>OK</v>
      </c>
    </row>
    <row r="1937" spans="1:18">
      <c r="A1937" s="1">
        <v>47611</v>
      </c>
      <c r="B1937" t="s">
        <v>18</v>
      </c>
      <c r="C1937" t="s">
        <v>32</v>
      </c>
      <c r="D1937" t="s">
        <v>23</v>
      </c>
      <c r="E1937" t="s">
        <v>14</v>
      </c>
      <c r="F1937" t="s">
        <v>40</v>
      </c>
      <c r="G1937" t="s">
        <v>31</v>
      </c>
      <c r="H1937">
        <v>250000</v>
      </c>
      <c r="I1937">
        <v>1</v>
      </c>
      <c r="J1937" t="s">
        <v>39</v>
      </c>
      <c r="K1937">
        <f t="shared" si="30"/>
        <v>200000</v>
      </c>
      <c r="L1937">
        <f>Sales_Data2[[#This Row],[Unit Price]]*Sales_Data2[[#This Row],[Quantity]]</f>
        <v>250000</v>
      </c>
      <c r="M1937">
        <f>Sales_Data2[[#This Row],[Cost Price]]*Sales_Data2[[#This Row],[Quantity]]</f>
        <v>200000</v>
      </c>
      <c r="N1937" s="3">
        <f>Sales_Data2[[#This Row],[Revenue]]-Sales_Data2[[#This Row],[COGS]]</f>
        <v>50000</v>
      </c>
      <c r="O19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47611|East|Abuja|Corporate|Online|Smartphone Z10|Electronics|250000|1|Grace|200000</v>
      </c>
      <c r="P1937" s="3" t="str">
        <f>IF(COUNTIF(Sales_Data2[RowKey],Sales_Data2[[#This Row],[RowKey]])&gt;1,"Duplicate","Unique")</f>
        <v>Unique</v>
      </c>
      <c r="Q1937" s="3" t="str">
        <f>IF(ISNUMBER(Sales_Data2[[#This Row],[Date]]),"OK","Check")</f>
        <v>OK</v>
      </c>
      <c r="R1937" s="3" t="str">
        <f>IF(ISNUMBER(Sales_Data2[[#This Row],[Quantity]]),"OK","Check")</f>
        <v>OK</v>
      </c>
    </row>
    <row r="1938" spans="1:18">
      <c r="A1938" s="1">
        <v>47612</v>
      </c>
      <c r="B1938" t="s">
        <v>29</v>
      </c>
      <c r="C1938" t="s">
        <v>32</v>
      </c>
      <c r="D1938" t="s">
        <v>23</v>
      </c>
      <c r="E1938" t="s">
        <v>20</v>
      </c>
      <c r="F1938" t="s">
        <v>41</v>
      </c>
      <c r="G1938" t="s">
        <v>22</v>
      </c>
      <c r="H1938">
        <v>220000</v>
      </c>
      <c r="I1938">
        <v>8</v>
      </c>
      <c r="J1938" t="s">
        <v>24</v>
      </c>
      <c r="K1938">
        <f t="shared" si="30"/>
        <v>176000</v>
      </c>
      <c r="L1938">
        <f>Sales_Data2[[#This Row],[Unit Price]]*Sales_Data2[[#This Row],[Quantity]]</f>
        <v>1760000</v>
      </c>
      <c r="M1938">
        <f>Sales_Data2[[#This Row],[Cost Price]]*Sales_Data2[[#This Row],[Quantity]]</f>
        <v>1408000</v>
      </c>
      <c r="N1938" s="3">
        <f>Sales_Data2[[#This Row],[Revenue]]-Sales_Data2[[#This Row],[COGS]]</f>
        <v>352000</v>
      </c>
      <c r="O19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47612|North|Abuja|Corporate|Store|Refrigerator R55|Home Appliances|220000|8|David|176000</v>
      </c>
      <c r="P1938" s="3" t="str">
        <f>IF(COUNTIF(Sales_Data2[RowKey],Sales_Data2[[#This Row],[RowKey]])&gt;1,"Duplicate","Unique")</f>
        <v>Unique</v>
      </c>
      <c r="Q1938" s="3" t="str">
        <f>IF(ISNUMBER(Sales_Data2[[#This Row],[Date]]),"OK","Check")</f>
        <v>OK</v>
      </c>
      <c r="R1938" s="3" t="str">
        <f>IF(ISNUMBER(Sales_Data2[[#This Row],[Quantity]]),"OK","Check")</f>
        <v>OK</v>
      </c>
    </row>
    <row r="1939" spans="1:18">
      <c r="A1939" s="1">
        <v>47613</v>
      </c>
      <c r="B1939" t="s">
        <v>29</v>
      </c>
      <c r="C1939" t="s">
        <v>19</v>
      </c>
      <c r="D1939" t="s">
        <v>13</v>
      </c>
      <c r="E1939" t="s">
        <v>14</v>
      </c>
      <c r="F1939" t="s">
        <v>40</v>
      </c>
      <c r="G1939" t="s">
        <v>31</v>
      </c>
      <c r="H1939">
        <v>250000</v>
      </c>
      <c r="I1939">
        <v>6</v>
      </c>
      <c r="J1939" t="s">
        <v>35</v>
      </c>
      <c r="K1939">
        <f t="shared" si="30"/>
        <v>200000</v>
      </c>
      <c r="L1939">
        <f>Sales_Data2[[#This Row],[Unit Price]]*Sales_Data2[[#This Row],[Quantity]]</f>
        <v>1500000</v>
      </c>
      <c r="M1939">
        <f>Sales_Data2[[#This Row],[Cost Price]]*Sales_Data2[[#This Row],[Quantity]]</f>
        <v>1200000</v>
      </c>
      <c r="N1939" s="3">
        <f>Sales_Data2[[#This Row],[Revenue]]-Sales_Data2[[#This Row],[COGS]]</f>
        <v>300000</v>
      </c>
      <c r="O19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47613|North|Lagos|Retail|Online|Smartphone Z10|Electronics|250000|6|Peter|200000</v>
      </c>
      <c r="P1939" s="3" t="str">
        <f>IF(COUNTIF(Sales_Data2[RowKey],Sales_Data2[[#This Row],[RowKey]])&gt;1,"Duplicate","Unique")</f>
        <v>Unique</v>
      </c>
      <c r="Q1939" s="3" t="str">
        <f>IF(ISNUMBER(Sales_Data2[[#This Row],[Date]]),"OK","Check")</f>
        <v>OK</v>
      </c>
      <c r="R1939" s="3" t="str">
        <f>IF(ISNUMBER(Sales_Data2[[#This Row],[Quantity]]),"OK","Check")</f>
        <v>OK</v>
      </c>
    </row>
    <row r="1940" spans="1:18">
      <c r="A1940" s="1">
        <v>47614</v>
      </c>
      <c r="B1940" t="s">
        <v>29</v>
      </c>
      <c r="C1940" t="s">
        <v>32</v>
      </c>
      <c r="D1940" t="s">
        <v>13</v>
      </c>
      <c r="E1940" t="s">
        <v>14</v>
      </c>
      <c r="F1940" t="s">
        <v>15</v>
      </c>
      <c r="G1940" t="s">
        <v>16</v>
      </c>
      <c r="H1940">
        <v>85000</v>
      </c>
      <c r="I1940">
        <v>7</v>
      </c>
      <c r="J1940" t="s">
        <v>35</v>
      </c>
      <c r="K1940">
        <f t="shared" si="30"/>
        <v>68000</v>
      </c>
      <c r="L1940">
        <f>Sales_Data2[[#This Row],[Unit Price]]*Sales_Data2[[#This Row],[Quantity]]</f>
        <v>595000</v>
      </c>
      <c r="M1940">
        <f>Sales_Data2[[#This Row],[Cost Price]]*Sales_Data2[[#This Row],[Quantity]]</f>
        <v>476000</v>
      </c>
      <c r="N1940" s="3">
        <f>Sales_Data2[[#This Row],[Revenue]]-Sales_Data2[[#This Row],[COGS]]</f>
        <v>119000</v>
      </c>
      <c r="O19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47614|North|Abuja|Retail|Online|Office Chair Pro|Furniture|85000|7|Peter|68000</v>
      </c>
      <c r="P1940" s="3" t="str">
        <f>IF(COUNTIF(Sales_Data2[RowKey],Sales_Data2[[#This Row],[RowKey]])&gt;1,"Duplicate","Unique")</f>
        <v>Unique</v>
      </c>
      <c r="Q1940" s="3" t="str">
        <f>IF(ISNUMBER(Sales_Data2[[#This Row],[Date]]),"OK","Check")</f>
        <v>OK</v>
      </c>
      <c r="R1940" s="3" t="str">
        <f>IF(ISNUMBER(Sales_Data2[[#This Row],[Quantity]]),"OK","Check")</f>
        <v>OK</v>
      </c>
    </row>
    <row r="1941" spans="1:18">
      <c r="A1941" s="1">
        <v>47615</v>
      </c>
      <c r="B1941" t="s">
        <v>25</v>
      </c>
      <c r="C1941" t="s">
        <v>26</v>
      </c>
      <c r="D1941" t="s">
        <v>13</v>
      </c>
      <c r="E1941" t="s">
        <v>20</v>
      </c>
      <c r="F1941" t="s">
        <v>15</v>
      </c>
      <c r="G1941" t="s">
        <v>16</v>
      </c>
      <c r="H1941">
        <v>85000</v>
      </c>
      <c r="I1941">
        <v>4</v>
      </c>
      <c r="J1941" t="s">
        <v>28</v>
      </c>
      <c r="K1941">
        <f t="shared" si="30"/>
        <v>68000</v>
      </c>
      <c r="L1941">
        <f>Sales_Data2[[#This Row],[Unit Price]]*Sales_Data2[[#This Row],[Quantity]]</f>
        <v>340000</v>
      </c>
      <c r="M1941">
        <f>Sales_Data2[[#This Row],[Cost Price]]*Sales_Data2[[#This Row],[Quantity]]</f>
        <v>272000</v>
      </c>
      <c r="N1941" s="3">
        <f>Sales_Data2[[#This Row],[Revenue]]-Sales_Data2[[#This Row],[COGS]]</f>
        <v>68000</v>
      </c>
      <c r="O19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47615|South|Kano|Retail|Store|Office Chair Pro|Furniture|85000|4|Musa|68000</v>
      </c>
      <c r="P1941" s="3" t="str">
        <f>IF(COUNTIF(Sales_Data2[RowKey],Sales_Data2[[#This Row],[RowKey]])&gt;1,"Duplicate","Unique")</f>
        <v>Unique</v>
      </c>
      <c r="Q1941" s="3" t="str">
        <f>IF(ISNUMBER(Sales_Data2[[#This Row],[Date]]),"OK","Check")</f>
        <v>OK</v>
      </c>
      <c r="R1941" s="3" t="str">
        <f>IF(ISNUMBER(Sales_Data2[[#This Row],[Quantity]]),"OK","Check")</f>
        <v>OK</v>
      </c>
    </row>
    <row r="1942" spans="1:18">
      <c r="A1942" s="1">
        <v>47616</v>
      </c>
      <c r="B1942" t="s">
        <v>18</v>
      </c>
      <c r="C1942" t="s">
        <v>32</v>
      </c>
      <c r="D1942" t="s">
        <v>23</v>
      </c>
      <c r="E1942" t="s">
        <v>20</v>
      </c>
      <c r="F1942" t="s">
        <v>38</v>
      </c>
      <c r="G1942" t="s">
        <v>31</v>
      </c>
      <c r="H1942">
        <v>420000</v>
      </c>
      <c r="I1942">
        <v>6</v>
      </c>
      <c r="J1942" t="s">
        <v>17</v>
      </c>
      <c r="K1942">
        <f t="shared" si="30"/>
        <v>336000</v>
      </c>
      <c r="L1942">
        <f>Sales_Data2[[#This Row],[Unit Price]]*Sales_Data2[[#This Row],[Quantity]]</f>
        <v>2520000</v>
      </c>
      <c r="M1942">
        <f>Sales_Data2[[#This Row],[Cost Price]]*Sales_Data2[[#This Row],[Quantity]]</f>
        <v>2016000</v>
      </c>
      <c r="N1942" s="3">
        <f>Sales_Data2[[#This Row],[Revenue]]-Sales_Data2[[#This Row],[COGS]]</f>
        <v>504000</v>
      </c>
      <c r="O19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47616|East|Abuja|Corporate|Store|Laptop A13|Electronics|420000|6|Chidinma|336000</v>
      </c>
      <c r="P1942" s="3" t="str">
        <f>IF(COUNTIF(Sales_Data2[RowKey],Sales_Data2[[#This Row],[RowKey]])&gt;1,"Duplicate","Unique")</f>
        <v>Unique</v>
      </c>
      <c r="Q1942" s="3" t="str">
        <f>IF(ISNUMBER(Sales_Data2[[#This Row],[Date]]),"OK","Check")</f>
        <v>OK</v>
      </c>
      <c r="R1942" s="3" t="str">
        <f>IF(ISNUMBER(Sales_Data2[[#This Row],[Quantity]]),"OK","Check")</f>
        <v>OK</v>
      </c>
    </row>
    <row r="1943" spans="1:18">
      <c r="A1943" s="1">
        <v>47617</v>
      </c>
      <c r="B1943" t="s">
        <v>18</v>
      </c>
      <c r="C1943" t="s">
        <v>12</v>
      </c>
      <c r="D1943" t="s">
        <v>23</v>
      </c>
      <c r="E1943" t="s">
        <v>20</v>
      </c>
      <c r="F1943" t="s">
        <v>40</v>
      </c>
      <c r="G1943" t="s">
        <v>31</v>
      </c>
      <c r="H1943">
        <v>250000</v>
      </c>
      <c r="I1943">
        <v>4</v>
      </c>
      <c r="J1943" t="s">
        <v>28</v>
      </c>
      <c r="K1943">
        <f t="shared" si="30"/>
        <v>200000</v>
      </c>
      <c r="L1943">
        <f>Sales_Data2[[#This Row],[Unit Price]]*Sales_Data2[[#This Row],[Quantity]]</f>
        <v>1000000</v>
      </c>
      <c r="M1943">
        <f>Sales_Data2[[#This Row],[Cost Price]]*Sales_Data2[[#This Row],[Quantity]]</f>
        <v>800000</v>
      </c>
      <c r="N1943" s="3">
        <f>Sales_Data2[[#This Row],[Revenue]]-Sales_Data2[[#This Row],[COGS]]</f>
        <v>200000</v>
      </c>
      <c r="O19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47617|East|Port Harcourt|Corporate|Store|Smartphone Z10|Electronics|250000|4|Musa|200000</v>
      </c>
      <c r="P1943" s="3" t="str">
        <f>IF(COUNTIF(Sales_Data2[RowKey],Sales_Data2[[#This Row],[RowKey]])&gt;1,"Duplicate","Unique")</f>
        <v>Unique</v>
      </c>
      <c r="Q1943" s="3" t="str">
        <f>IF(ISNUMBER(Sales_Data2[[#This Row],[Date]]),"OK","Check")</f>
        <v>OK</v>
      </c>
      <c r="R1943" s="3" t="str">
        <f>IF(ISNUMBER(Sales_Data2[[#This Row],[Quantity]]),"OK","Check")</f>
        <v>OK</v>
      </c>
    </row>
    <row r="1944" spans="1:18">
      <c r="A1944" s="1">
        <v>47618</v>
      </c>
      <c r="B1944" t="s">
        <v>11</v>
      </c>
      <c r="C1944" t="s">
        <v>12</v>
      </c>
      <c r="D1944" t="s">
        <v>13</v>
      </c>
      <c r="E1944" t="s">
        <v>20</v>
      </c>
      <c r="F1944" t="s">
        <v>21</v>
      </c>
      <c r="G1944" t="s">
        <v>22</v>
      </c>
      <c r="H1944">
        <v>30000</v>
      </c>
      <c r="I1944">
        <v>3</v>
      </c>
      <c r="J1944" t="s">
        <v>37</v>
      </c>
      <c r="K1944">
        <f t="shared" si="30"/>
        <v>24000</v>
      </c>
      <c r="L1944">
        <f>Sales_Data2[[#This Row],[Unit Price]]*Sales_Data2[[#This Row],[Quantity]]</f>
        <v>90000</v>
      </c>
      <c r="M1944">
        <f>Sales_Data2[[#This Row],[Cost Price]]*Sales_Data2[[#This Row],[Quantity]]</f>
        <v>72000</v>
      </c>
      <c r="N1944" s="3">
        <f>Sales_Data2[[#This Row],[Revenue]]-Sales_Data2[[#This Row],[COGS]]</f>
        <v>18000</v>
      </c>
      <c r="O19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47618|West|Port Harcourt|Retail|Store|Blender B10|Home Appliances|30000|3|Aisha|24000</v>
      </c>
      <c r="P1944" s="3" t="str">
        <f>IF(COUNTIF(Sales_Data2[RowKey],Sales_Data2[[#This Row],[RowKey]])&gt;1,"Duplicate","Unique")</f>
        <v>Unique</v>
      </c>
      <c r="Q1944" s="3" t="str">
        <f>IF(ISNUMBER(Sales_Data2[[#This Row],[Date]]),"OK","Check")</f>
        <v>OK</v>
      </c>
      <c r="R1944" s="3" t="str">
        <f>IF(ISNUMBER(Sales_Data2[[#This Row],[Quantity]]),"OK","Check")</f>
        <v>OK</v>
      </c>
    </row>
    <row r="1945" spans="1:18">
      <c r="A1945" s="1">
        <v>47619</v>
      </c>
      <c r="B1945" t="s">
        <v>29</v>
      </c>
      <c r="C1945" t="s">
        <v>32</v>
      </c>
      <c r="D1945" t="s">
        <v>23</v>
      </c>
      <c r="E1945" t="s">
        <v>14</v>
      </c>
      <c r="F1945" t="s">
        <v>34</v>
      </c>
      <c r="G1945" t="s">
        <v>16</v>
      </c>
      <c r="H1945">
        <v>320000</v>
      </c>
      <c r="I1945">
        <v>9</v>
      </c>
      <c r="J1945" t="s">
        <v>35</v>
      </c>
      <c r="K1945">
        <f t="shared" si="30"/>
        <v>256000</v>
      </c>
      <c r="L1945">
        <f>Sales_Data2[[#This Row],[Unit Price]]*Sales_Data2[[#This Row],[Quantity]]</f>
        <v>2880000</v>
      </c>
      <c r="M1945">
        <f>Sales_Data2[[#This Row],[Cost Price]]*Sales_Data2[[#This Row],[Quantity]]</f>
        <v>2304000</v>
      </c>
      <c r="N1945" s="3">
        <f>Sales_Data2[[#This Row],[Revenue]]-Sales_Data2[[#This Row],[COGS]]</f>
        <v>576000</v>
      </c>
      <c r="O19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47619|North|Abuja|Corporate|Online|Sofa Classic|Furniture|320000|9|Peter|256000</v>
      </c>
      <c r="P1945" s="3" t="str">
        <f>IF(COUNTIF(Sales_Data2[RowKey],Sales_Data2[[#This Row],[RowKey]])&gt;1,"Duplicate","Unique")</f>
        <v>Unique</v>
      </c>
      <c r="Q1945" s="3" t="str">
        <f>IF(ISNUMBER(Sales_Data2[[#This Row],[Date]]),"OK","Check")</f>
        <v>OK</v>
      </c>
      <c r="R1945" s="3" t="str">
        <f>IF(ISNUMBER(Sales_Data2[[#This Row],[Quantity]]),"OK","Check")</f>
        <v>OK</v>
      </c>
    </row>
    <row r="1946" spans="1:18">
      <c r="A1946" s="1">
        <v>47620</v>
      </c>
      <c r="B1946" t="s">
        <v>29</v>
      </c>
      <c r="C1946" t="s">
        <v>12</v>
      </c>
      <c r="D1946" t="s">
        <v>13</v>
      </c>
      <c r="E1946" t="s">
        <v>20</v>
      </c>
      <c r="F1946" t="s">
        <v>41</v>
      </c>
      <c r="G1946" t="s">
        <v>22</v>
      </c>
      <c r="H1946">
        <v>220000</v>
      </c>
      <c r="I1946">
        <v>7</v>
      </c>
      <c r="J1946" t="s">
        <v>28</v>
      </c>
      <c r="K1946">
        <f t="shared" si="30"/>
        <v>176000</v>
      </c>
      <c r="L1946">
        <f>Sales_Data2[[#This Row],[Unit Price]]*Sales_Data2[[#This Row],[Quantity]]</f>
        <v>1540000</v>
      </c>
      <c r="M1946">
        <f>Sales_Data2[[#This Row],[Cost Price]]*Sales_Data2[[#This Row],[Quantity]]</f>
        <v>1232000</v>
      </c>
      <c r="N1946" s="3">
        <f>Sales_Data2[[#This Row],[Revenue]]-Sales_Data2[[#This Row],[COGS]]</f>
        <v>308000</v>
      </c>
      <c r="O19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47620|North|Port Harcourt|Retail|Store|Refrigerator R55|Home Appliances|220000|7|Musa|176000</v>
      </c>
      <c r="P1946" s="3" t="str">
        <f>IF(COUNTIF(Sales_Data2[RowKey],Sales_Data2[[#This Row],[RowKey]])&gt;1,"Duplicate","Unique")</f>
        <v>Unique</v>
      </c>
      <c r="Q1946" s="3" t="str">
        <f>IF(ISNUMBER(Sales_Data2[[#This Row],[Date]]),"OK","Check")</f>
        <v>OK</v>
      </c>
      <c r="R1946" s="3" t="str">
        <f>IF(ISNUMBER(Sales_Data2[[#This Row],[Quantity]]),"OK","Check")</f>
        <v>OK</v>
      </c>
    </row>
    <row r="1947" spans="1:18">
      <c r="A1947" s="1">
        <v>47621</v>
      </c>
      <c r="B1947" t="s">
        <v>25</v>
      </c>
      <c r="C1947" t="s">
        <v>19</v>
      </c>
      <c r="D1947" t="s">
        <v>23</v>
      </c>
      <c r="E1947" t="s">
        <v>14</v>
      </c>
      <c r="F1947" t="s">
        <v>36</v>
      </c>
      <c r="G1947" t="s">
        <v>31</v>
      </c>
      <c r="H1947">
        <v>150000</v>
      </c>
      <c r="I1947">
        <v>5</v>
      </c>
      <c r="J1947" t="s">
        <v>17</v>
      </c>
      <c r="K1947">
        <f t="shared" si="30"/>
        <v>120000</v>
      </c>
      <c r="L1947">
        <f>Sales_Data2[[#This Row],[Unit Price]]*Sales_Data2[[#This Row],[Quantity]]</f>
        <v>750000</v>
      </c>
      <c r="M1947">
        <f>Sales_Data2[[#This Row],[Cost Price]]*Sales_Data2[[#This Row],[Quantity]]</f>
        <v>600000</v>
      </c>
      <c r="N1947" s="3">
        <f>Sales_Data2[[#This Row],[Revenue]]-Sales_Data2[[#This Row],[COGS]]</f>
        <v>150000</v>
      </c>
      <c r="O19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47621|South|Lagos|Corporate|Online|Printer P50|Electronics|150000|5|Chidinma|120000</v>
      </c>
      <c r="P1947" s="3" t="str">
        <f>IF(COUNTIF(Sales_Data2[RowKey],Sales_Data2[[#This Row],[RowKey]])&gt;1,"Duplicate","Unique")</f>
        <v>Unique</v>
      </c>
      <c r="Q1947" s="3" t="str">
        <f>IF(ISNUMBER(Sales_Data2[[#This Row],[Date]]),"OK","Check")</f>
        <v>OK</v>
      </c>
      <c r="R1947" s="3" t="str">
        <f>IF(ISNUMBER(Sales_Data2[[#This Row],[Quantity]]),"OK","Check")</f>
        <v>OK</v>
      </c>
    </row>
    <row r="1948" spans="1:18">
      <c r="A1948" s="1">
        <v>47622</v>
      </c>
      <c r="B1948" t="s">
        <v>25</v>
      </c>
      <c r="C1948" t="s">
        <v>12</v>
      </c>
      <c r="D1948" t="s">
        <v>23</v>
      </c>
      <c r="E1948" t="s">
        <v>20</v>
      </c>
      <c r="F1948" t="s">
        <v>15</v>
      </c>
      <c r="G1948" t="s">
        <v>16</v>
      </c>
      <c r="H1948">
        <v>85000</v>
      </c>
      <c r="I1948">
        <v>9</v>
      </c>
      <c r="J1948" t="s">
        <v>35</v>
      </c>
      <c r="K1948">
        <f t="shared" si="30"/>
        <v>68000</v>
      </c>
      <c r="L1948">
        <f>Sales_Data2[[#This Row],[Unit Price]]*Sales_Data2[[#This Row],[Quantity]]</f>
        <v>765000</v>
      </c>
      <c r="M1948">
        <f>Sales_Data2[[#This Row],[Cost Price]]*Sales_Data2[[#This Row],[Quantity]]</f>
        <v>612000</v>
      </c>
      <c r="N1948" s="3">
        <f>Sales_Data2[[#This Row],[Revenue]]-Sales_Data2[[#This Row],[COGS]]</f>
        <v>153000</v>
      </c>
      <c r="O19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47622|South|Port Harcourt|Corporate|Store|Office Chair Pro|Furniture|85000|9|Peter|68000</v>
      </c>
      <c r="P1948" s="3" t="str">
        <f>IF(COUNTIF(Sales_Data2[RowKey],Sales_Data2[[#This Row],[RowKey]])&gt;1,"Duplicate","Unique")</f>
        <v>Unique</v>
      </c>
      <c r="Q1948" s="3" t="str">
        <f>IF(ISNUMBER(Sales_Data2[[#This Row],[Date]]),"OK","Check")</f>
        <v>OK</v>
      </c>
      <c r="R1948" s="3" t="str">
        <f>IF(ISNUMBER(Sales_Data2[[#This Row],[Quantity]]),"OK","Check")</f>
        <v>OK</v>
      </c>
    </row>
    <row r="1949" spans="1:18">
      <c r="A1949" s="1">
        <v>47623</v>
      </c>
      <c r="B1949" t="s">
        <v>29</v>
      </c>
      <c r="C1949" t="s">
        <v>32</v>
      </c>
      <c r="D1949" t="s">
        <v>23</v>
      </c>
      <c r="E1949" t="s">
        <v>14</v>
      </c>
      <c r="F1949" t="s">
        <v>40</v>
      </c>
      <c r="G1949" t="s">
        <v>31</v>
      </c>
      <c r="H1949">
        <v>250000</v>
      </c>
      <c r="I1949">
        <v>10</v>
      </c>
      <c r="J1949" t="s">
        <v>17</v>
      </c>
      <c r="K1949">
        <f t="shared" si="30"/>
        <v>200000</v>
      </c>
      <c r="L1949">
        <f>Sales_Data2[[#This Row],[Unit Price]]*Sales_Data2[[#This Row],[Quantity]]</f>
        <v>2500000</v>
      </c>
      <c r="M1949">
        <f>Sales_Data2[[#This Row],[Cost Price]]*Sales_Data2[[#This Row],[Quantity]]</f>
        <v>2000000</v>
      </c>
      <c r="N1949" s="3">
        <f>Sales_Data2[[#This Row],[Revenue]]-Sales_Data2[[#This Row],[COGS]]</f>
        <v>500000</v>
      </c>
      <c r="O19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47623|North|Abuja|Corporate|Online|Smartphone Z10|Electronics|250000|10|Chidinma|200000</v>
      </c>
      <c r="P1949" s="3" t="str">
        <f>IF(COUNTIF(Sales_Data2[RowKey],Sales_Data2[[#This Row],[RowKey]])&gt;1,"Duplicate","Unique")</f>
        <v>Unique</v>
      </c>
      <c r="Q1949" s="3" t="str">
        <f>IF(ISNUMBER(Sales_Data2[[#This Row],[Date]]),"OK","Check")</f>
        <v>OK</v>
      </c>
      <c r="R1949" s="3" t="str">
        <f>IF(ISNUMBER(Sales_Data2[[#This Row],[Quantity]]),"OK","Check")</f>
        <v>OK</v>
      </c>
    </row>
    <row r="1950" spans="1:18">
      <c r="A1950" s="1">
        <v>47624</v>
      </c>
      <c r="B1950" t="s">
        <v>18</v>
      </c>
      <c r="C1950" t="s">
        <v>12</v>
      </c>
      <c r="D1950" t="s">
        <v>23</v>
      </c>
      <c r="E1950" t="s">
        <v>14</v>
      </c>
      <c r="F1950" t="s">
        <v>15</v>
      </c>
      <c r="G1950" t="s">
        <v>16</v>
      </c>
      <c r="H1950">
        <v>85000</v>
      </c>
      <c r="I1950">
        <v>7</v>
      </c>
      <c r="J1950" t="s">
        <v>24</v>
      </c>
      <c r="K1950">
        <f t="shared" si="30"/>
        <v>68000</v>
      </c>
      <c r="L1950">
        <f>Sales_Data2[[#This Row],[Unit Price]]*Sales_Data2[[#This Row],[Quantity]]</f>
        <v>595000</v>
      </c>
      <c r="M1950">
        <f>Sales_Data2[[#This Row],[Cost Price]]*Sales_Data2[[#This Row],[Quantity]]</f>
        <v>476000</v>
      </c>
      <c r="N1950" s="3">
        <f>Sales_Data2[[#This Row],[Revenue]]-Sales_Data2[[#This Row],[COGS]]</f>
        <v>119000</v>
      </c>
      <c r="O19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47624|East|Port Harcourt|Corporate|Online|Office Chair Pro|Furniture|85000|7|David|68000</v>
      </c>
      <c r="P1950" s="3" t="str">
        <f>IF(COUNTIF(Sales_Data2[RowKey],Sales_Data2[[#This Row],[RowKey]])&gt;1,"Duplicate","Unique")</f>
        <v>Unique</v>
      </c>
      <c r="Q1950" s="3" t="str">
        <f>IF(ISNUMBER(Sales_Data2[[#This Row],[Date]]),"OK","Check")</f>
        <v>OK</v>
      </c>
      <c r="R1950" s="3" t="str">
        <f>IF(ISNUMBER(Sales_Data2[[#This Row],[Quantity]]),"OK","Check")</f>
        <v>OK</v>
      </c>
    </row>
    <row r="1951" spans="1:18">
      <c r="A1951" s="1">
        <v>47625</v>
      </c>
      <c r="B1951" t="s">
        <v>18</v>
      </c>
      <c r="C1951" t="s">
        <v>19</v>
      </c>
      <c r="D1951" t="s">
        <v>13</v>
      </c>
      <c r="E1951" t="s">
        <v>14</v>
      </c>
      <c r="F1951" t="s">
        <v>30</v>
      </c>
      <c r="G1951" t="s">
        <v>31</v>
      </c>
      <c r="H1951">
        <v>300000</v>
      </c>
      <c r="I1951">
        <v>6</v>
      </c>
      <c r="J1951" t="s">
        <v>37</v>
      </c>
      <c r="K1951">
        <f t="shared" si="30"/>
        <v>240000</v>
      </c>
      <c r="L1951">
        <f>Sales_Data2[[#This Row],[Unit Price]]*Sales_Data2[[#This Row],[Quantity]]</f>
        <v>1800000</v>
      </c>
      <c r="M1951">
        <f>Sales_Data2[[#This Row],[Cost Price]]*Sales_Data2[[#This Row],[Quantity]]</f>
        <v>1440000</v>
      </c>
      <c r="N1951" s="3">
        <f>Sales_Data2[[#This Row],[Revenue]]-Sales_Data2[[#This Row],[COGS]]</f>
        <v>360000</v>
      </c>
      <c r="O19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47625|East|Lagos|Retail|Online|Desktop PC D21|Electronics|300000|6|Aisha|240000</v>
      </c>
      <c r="P1951" s="3" t="str">
        <f>IF(COUNTIF(Sales_Data2[RowKey],Sales_Data2[[#This Row],[RowKey]])&gt;1,"Duplicate","Unique")</f>
        <v>Unique</v>
      </c>
      <c r="Q1951" s="3" t="str">
        <f>IF(ISNUMBER(Sales_Data2[[#This Row],[Date]]),"OK","Check")</f>
        <v>OK</v>
      </c>
      <c r="R1951" s="3" t="str">
        <f>IF(ISNUMBER(Sales_Data2[[#This Row],[Quantity]]),"OK","Check")</f>
        <v>OK</v>
      </c>
    </row>
    <row r="1952" spans="1:18">
      <c r="A1952" s="1">
        <v>47626</v>
      </c>
      <c r="B1952" t="s">
        <v>11</v>
      </c>
      <c r="C1952" t="s">
        <v>12</v>
      </c>
      <c r="D1952" t="s">
        <v>13</v>
      </c>
      <c r="E1952" t="s">
        <v>20</v>
      </c>
      <c r="F1952" t="s">
        <v>30</v>
      </c>
      <c r="G1952" t="s">
        <v>31</v>
      </c>
      <c r="H1952">
        <v>300000</v>
      </c>
      <c r="I1952">
        <v>10</v>
      </c>
      <c r="J1952" t="s">
        <v>24</v>
      </c>
      <c r="K1952">
        <f t="shared" si="30"/>
        <v>240000</v>
      </c>
      <c r="L1952">
        <f>Sales_Data2[[#This Row],[Unit Price]]*Sales_Data2[[#This Row],[Quantity]]</f>
        <v>3000000</v>
      </c>
      <c r="M1952">
        <f>Sales_Data2[[#This Row],[Cost Price]]*Sales_Data2[[#This Row],[Quantity]]</f>
        <v>2400000</v>
      </c>
      <c r="N1952" s="3">
        <f>Sales_Data2[[#This Row],[Revenue]]-Sales_Data2[[#This Row],[COGS]]</f>
        <v>600000</v>
      </c>
      <c r="O19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47626|West|Port Harcourt|Retail|Store|Desktop PC D21|Electronics|300000|10|David|240000</v>
      </c>
      <c r="P1952" s="3" t="str">
        <f>IF(COUNTIF(Sales_Data2[RowKey],Sales_Data2[[#This Row],[RowKey]])&gt;1,"Duplicate","Unique")</f>
        <v>Unique</v>
      </c>
      <c r="Q1952" s="3" t="str">
        <f>IF(ISNUMBER(Sales_Data2[[#This Row],[Date]]),"OK","Check")</f>
        <v>OK</v>
      </c>
      <c r="R1952" s="3" t="str">
        <f>IF(ISNUMBER(Sales_Data2[[#This Row],[Quantity]]),"OK","Check")</f>
        <v>OK</v>
      </c>
    </row>
    <row r="1953" spans="1:18">
      <c r="A1953" s="1">
        <v>47627</v>
      </c>
      <c r="B1953" t="s">
        <v>18</v>
      </c>
      <c r="C1953" t="s">
        <v>19</v>
      </c>
      <c r="D1953" t="s">
        <v>23</v>
      </c>
      <c r="E1953" t="s">
        <v>14</v>
      </c>
      <c r="F1953" t="s">
        <v>33</v>
      </c>
      <c r="G1953" t="s">
        <v>22</v>
      </c>
      <c r="H1953">
        <v>180000</v>
      </c>
      <c r="I1953">
        <v>1</v>
      </c>
      <c r="J1953" t="s">
        <v>28</v>
      </c>
      <c r="K1953">
        <f t="shared" si="30"/>
        <v>144000</v>
      </c>
      <c r="L1953">
        <f>Sales_Data2[[#This Row],[Unit Price]]*Sales_Data2[[#This Row],[Quantity]]</f>
        <v>180000</v>
      </c>
      <c r="M1953">
        <f>Sales_Data2[[#This Row],[Cost Price]]*Sales_Data2[[#This Row],[Quantity]]</f>
        <v>144000</v>
      </c>
      <c r="N1953" s="3">
        <f>Sales_Data2[[#This Row],[Revenue]]-Sales_Data2[[#This Row],[COGS]]</f>
        <v>36000</v>
      </c>
      <c r="O19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47627|East|Lagos|Corporate|Online|Air Conditioner X2|Home Appliances|180000|1|Musa|144000</v>
      </c>
      <c r="P1953" s="3" t="str">
        <f>IF(COUNTIF(Sales_Data2[RowKey],Sales_Data2[[#This Row],[RowKey]])&gt;1,"Duplicate","Unique")</f>
        <v>Unique</v>
      </c>
      <c r="Q1953" s="3" t="str">
        <f>IF(ISNUMBER(Sales_Data2[[#This Row],[Date]]),"OK","Check")</f>
        <v>OK</v>
      </c>
      <c r="R1953" s="3" t="str">
        <f>IF(ISNUMBER(Sales_Data2[[#This Row],[Quantity]]),"OK","Check")</f>
        <v>OK</v>
      </c>
    </row>
    <row r="1954" spans="1:18">
      <c r="A1954" s="1">
        <v>47628</v>
      </c>
      <c r="B1954" t="s">
        <v>25</v>
      </c>
      <c r="C1954" t="s">
        <v>32</v>
      </c>
      <c r="D1954" t="s">
        <v>13</v>
      </c>
      <c r="E1954" t="s">
        <v>14</v>
      </c>
      <c r="F1954" t="s">
        <v>36</v>
      </c>
      <c r="G1954" t="s">
        <v>31</v>
      </c>
      <c r="H1954">
        <v>150000</v>
      </c>
      <c r="I1954">
        <v>7</v>
      </c>
      <c r="J1954" t="s">
        <v>37</v>
      </c>
      <c r="K1954">
        <f t="shared" si="30"/>
        <v>120000</v>
      </c>
      <c r="L1954">
        <f>Sales_Data2[[#This Row],[Unit Price]]*Sales_Data2[[#This Row],[Quantity]]</f>
        <v>1050000</v>
      </c>
      <c r="M1954">
        <f>Sales_Data2[[#This Row],[Cost Price]]*Sales_Data2[[#This Row],[Quantity]]</f>
        <v>840000</v>
      </c>
      <c r="N1954" s="3">
        <f>Sales_Data2[[#This Row],[Revenue]]-Sales_Data2[[#This Row],[COGS]]</f>
        <v>210000</v>
      </c>
      <c r="O19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47628|South|Abuja|Retail|Online|Printer P50|Electronics|150000|7|Aisha|120000</v>
      </c>
      <c r="P1954" s="3" t="str">
        <f>IF(COUNTIF(Sales_Data2[RowKey],Sales_Data2[[#This Row],[RowKey]])&gt;1,"Duplicate","Unique")</f>
        <v>Unique</v>
      </c>
      <c r="Q1954" s="3" t="str">
        <f>IF(ISNUMBER(Sales_Data2[[#This Row],[Date]]),"OK","Check")</f>
        <v>OK</v>
      </c>
      <c r="R1954" s="3" t="str">
        <f>IF(ISNUMBER(Sales_Data2[[#This Row],[Quantity]]),"OK","Check")</f>
        <v>OK</v>
      </c>
    </row>
    <row r="1955" spans="1:18">
      <c r="A1955" s="1">
        <v>47629</v>
      </c>
      <c r="B1955" t="s">
        <v>29</v>
      </c>
      <c r="C1955" t="s">
        <v>12</v>
      </c>
      <c r="D1955" t="s">
        <v>13</v>
      </c>
      <c r="E1955" t="s">
        <v>14</v>
      </c>
      <c r="F1955" t="s">
        <v>41</v>
      </c>
      <c r="G1955" t="s">
        <v>22</v>
      </c>
      <c r="H1955">
        <v>220000</v>
      </c>
      <c r="I1955">
        <v>5</v>
      </c>
      <c r="J1955" t="s">
        <v>24</v>
      </c>
      <c r="K1955">
        <f t="shared" si="30"/>
        <v>176000</v>
      </c>
      <c r="L1955">
        <f>Sales_Data2[[#This Row],[Unit Price]]*Sales_Data2[[#This Row],[Quantity]]</f>
        <v>1100000</v>
      </c>
      <c r="M1955">
        <f>Sales_Data2[[#This Row],[Cost Price]]*Sales_Data2[[#This Row],[Quantity]]</f>
        <v>880000</v>
      </c>
      <c r="N1955" s="3">
        <f>Sales_Data2[[#This Row],[Revenue]]-Sales_Data2[[#This Row],[COGS]]</f>
        <v>220000</v>
      </c>
      <c r="O19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47629|North|Port Harcourt|Retail|Online|Refrigerator R55|Home Appliances|220000|5|David|176000</v>
      </c>
      <c r="P1955" s="3" t="str">
        <f>IF(COUNTIF(Sales_Data2[RowKey],Sales_Data2[[#This Row],[RowKey]])&gt;1,"Duplicate","Unique")</f>
        <v>Unique</v>
      </c>
      <c r="Q1955" s="3" t="str">
        <f>IF(ISNUMBER(Sales_Data2[[#This Row],[Date]]),"OK","Check")</f>
        <v>OK</v>
      </c>
      <c r="R1955" s="3" t="str">
        <f>IF(ISNUMBER(Sales_Data2[[#This Row],[Quantity]]),"OK","Check")</f>
        <v>OK</v>
      </c>
    </row>
    <row r="1956" spans="1:18">
      <c r="A1956" s="1">
        <v>47630</v>
      </c>
      <c r="B1956" t="s">
        <v>18</v>
      </c>
      <c r="C1956" t="s">
        <v>12</v>
      </c>
      <c r="D1956" t="s">
        <v>13</v>
      </c>
      <c r="E1956" t="s">
        <v>14</v>
      </c>
      <c r="F1956" t="s">
        <v>38</v>
      </c>
      <c r="G1956" t="s">
        <v>31</v>
      </c>
      <c r="H1956">
        <v>420000</v>
      </c>
      <c r="I1956">
        <v>2</v>
      </c>
      <c r="J1956" t="s">
        <v>37</v>
      </c>
      <c r="K1956">
        <f t="shared" si="30"/>
        <v>336000</v>
      </c>
      <c r="L1956">
        <f>Sales_Data2[[#This Row],[Unit Price]]*Sales_Data2[[#This Row],[Quantity]]</f>
        <v>840000</v>
      </c>
      <c r="M1956">
        <f>Sales_Data2[[#This Row],[Cost Price]]*Sales_Data2[[#This Row],[Quantity]]</f>
        <v>672000</v>
      </c>
      <c r="N1956" s="3">
        <f>Sales_Data2[[#This Row],[Revenue]]-Sales_Data2[[#This Row],[COGS]]</f>
        <v>168000</v>
      </c>
      <c r="O19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47630|East|Port Harcourt|Retail|Online|Laptop A13|Electronics|420000|2|Aisha|336000</v>
      </c>
      <c r="P1956" s="3" t="str">
        <f>IF(COUNTIF(Sales_Data2[RowKey],Sales_Data2[[#This Row],[RowKey]])&gt;1,"Duplicate","Unique")</f>
        <v>Unique</v>
      </c>
      <c r="Q1956" s="3" t="str">
        <f>IF(ISNUMBER(Sales_Data2[[#This Row],[Date]]),"OK","Check")</f>
        <v>OK</v>
      </c>
      <c r="R1956" s="3" t="str">
        <f>IF(ISNUMBER(Sales_Data2[[#This Row],[Quantity]]),"OK","Check")</f>
        <v>OK</v>
      </c>
    </row>
    <row r="1957" spans="1:18">
      <c r="A1957" s="1">
        <v>47631</v>
      </c>
      <c r="B1957" t="s">
        <v>11</v>
      </c>
      <c r="C1957" t="s">
        <v>26</v>
      </c>
      <c r="D1957" t="s">
        <v>13</v>
      </c>
      <c r="E1957" t="s">
        <v>14</v>
      </c>
      <c r="F1957" t="s">
        <v>33</v>
      </c>
      <c r="G1957" t="s">
        <v>22</v>
      </c>
      <c r="H1957">
        <v>180000</v>
      </c>
      <c r="I1957">
        <v>9</v>
      </c>
      <c r="J1957" t="s">
        <v>35</v>
      </c>
      <c r="K1957">
        <f t="shared" si="30"/>
        <v>144000</v>
      </c>
      <c r="L1957">
        <f>Sales_Data2[[#This Row],[Unit Price]]*Sales_Data2[[#This Row],[Quantity]]</f>
        <v>1620000</v>
      </c>
      <c r="M1957">
        <f>Sales_Data2[[#This Row],[Cost Price]]*Sales_Data2[[#This Row],[Quantity]]</f>
        <v>1296000</v>
      </c>
      <c r="N1957" s="3">
        <f>Sales_Data2[[#This Row],[Revenue]]-Sales_Data2[[#This Row],[COGS]]</f>
        <v>324000</v>
      </c>
      <c r="O19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47631|West|Kano|Retail|Online|Air Conditioner X2|Home Appliances|180000|9|Peter|144000</v>
      </c>
      <c r="P1957" s="3" t="str">
        <f>IF(COUNTIF(Sales_Data2[RowKey],Sales_Data2[[#This Row],[RowKey]])&gt;1,"Duplicate","Unique")</f>
        <v>Unique</v>
      </c>
      <c r="Q1957" s="3" t="str">
        <f>IF(ISNUMBER(Sales_Data2[[#This Row],[Date]]),"OK","Check")</f>
        <v>OK</v>
      </c>
      <c r="R1957" s="3" t="str">
        <f>IF(ISNUMBER(Sales_Data2[[#This Row],[Quantity]]),"OK","Check")</f>
        <v>OK</v>
      </c>
    </row>
    <row r="1958" spans="1:18">
      <c r="A1958" s="1">
        <v>47632</v>
      </c>
      <c r="B1958" t="s">
        <v>29</v>
      </c>
      <c r="C1958" t="s">
        <v>32</v>
      </c>
      <c r="D1958" t="s">
        <v>13</v>
      </c>
      <c r="E1958" t="s">
        <v>14</v>
      </c>
      <c r="F1958" t="s">
        <v>41</v>
      </c>
      <c r="G1958" t="s">
        <v>22</v>
      </c>
      <c r="H1958">
        <v>220000</v>
      </c>
      <c r="I1958">
        <v>5</v>
      </c>
      <c r="J1958" t="s">
        <v>35</v>
      </c>
      <c r="K1958">
        <f t="shared" si="30"/>
        <v>176000</v>
      </c>
      <c r="L1958">
        <f>Sales_Data2[[#This Row],[Unit Price]]*Sales_Data2[[#This Row],[Quantity]]</f>
        <v>1100000</v>
      </c>
      <c r="M1958">
        <f>Sales_Data2[[#This Row],[Cost Price]]*Sales_Data2[[#This Row],[Quantity]]</f>
        <v>880000</v>
      </c>
      <c r="N1958" s="3">
        <f>Sales_Data2[[#This Row],[Revenue]]-Sales_Data2[[#This Row],[COGS]]</f>
        <v>220000</v>
      </c>
      <c r="O19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47632|North|Abuja|Retail|Online|Refrigerator R55|Home Appliances|220000|5|Peter|176000</v>
      </c>
      <c r="P1958" s="3" t="str">
        <f>IF(COUNTIF(Sales_Data2[RowKey],Sales_Data2[[#This Row],[RowKey]])&gt;1,"Duplicate","Unique")</f>
        <v>Unique</v>
      </c>
      <c r="Q1958" s="3" t="str">
        <f>IF(ISNUMBER(Sales_Data2[[#This Row],[Date]]),"OK","Check")</f>
        <v>OK</v>
      </c>
      <c r="R1958" s="3" t="str">
        <f>IF(ISNUMBER(Sales_Data2[[#This Row],[Quantity]]),"OK","Check")</f>
        <v>OK</v>
      </c>
    </row>
    <row r="1959" spans="1:18">
      <c r="A1959" s="1">
        <v>47633</v>
      </c>
      <c r="B1959" t="s">
        <v>29</v>
      </c>
      <c r="C1959" t="s">
        <v>26</v>
      </c>
      <c r="D1959" t="s">
        <v>13</v>
      </c>
      <c r="E1959" t="s">
        <v>14</v>
      </c>
      <c r="F1959" t="s">
        <v>33</v>
      </c>
      <c r="G1959" t="s">
        <v>22</v>
      </c>
      <c r="H1959">
        <v>180000</v>
      </c>
      <c r="I1959">
        <v>1</v>
      </c>
      <c r="J1959" t="s">
        <v>39</v>
      </c>
      <c r="K1959">
        <f t="shared" si="30"/>
        <v>144000</v>
      </c>
      <c r="L1959">
        <f>Sales_Data2[[#This Row],[Unit Price]]*Sales_Data2[[#This Row],[Quantity]]</f>
        <v>180000</v>
      </c>
      <c r="M1959">
        <f>Sales_Data2[[#This Row],[Cost Price]]*Sales_Data2[[#This Row],[Quantity]]</f>
        <v>144000</v>
      </c>
      <c r="N1959" s="3">
        <f>Sales_Data2[[#This Row],[Revenue]]-Sales_Data2[[#This Row],[COGS]]</f>
        <v>36000</v>
      </c>
      <c r="O19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47633|North|Kano|Retail|Online|Air Conditioner X2|Home Appliances|180000|1|Grace|144000</v>
      </c>
      <c r="P1959" s="3" t="str">
        <f>IF(COUNTIF(Sales_Data2[RowKey],Sales_Data2[[#This Row],[RowKey]])&gt;1,"Duplicate","Unique")</f>
        <v>Unique</v>
      </c>
      <c r="Q1959" s="3" t="str">
        <f>IF(ISNUMBER(Sales_Data2[[#This Row],[Date]]),"OK","Check")</f>
        <v>OK</v>
      </c>
      <c r="R1959" s="3" t="str">
        <f>IF(ISNUMBER(Sales_Data2[[#This Row],[Quantity]]),"OK","Check")</f>
        <v>OK</v>
      </c>
    </row>
    <row r="1960" spans="1:18">
      <c r="A1960" s="1">
        <v>47634</v>
      </c>
      <c r="B1960" t="s">
        <v>18</v>
      </c>
      <c r="C1960" t="s">
        <v>26</v>
      </c>
      <c r="D1960" t="s">
        <v>23</v>
      </c>
      <c r="E1960" t="s">
        <v>20</v>
      </c>
      <c r="F1960" t="s">
        <v>27</v>
      </c>
      <c r="G1960" t="s">
        <v>22</v>
      </c>
      <c r="H1960">
        <v>60000</v>
      </c>
      <c r="I1960">
        <v>2</v>
      </c>
      <c r="J1960" t="s">
        <v>39</v>
      </c>
      <c r="K1960">
        <f t="shared" si="30"/>
        <v>48000</v>
      </c>
      <c r="L1960">
        <f>Sales_Data2[[#This Row],[Unit Price]]*Sales_Data2[[#This Row],[Quantity]]</f>
        <v>120000</v>
      </c>
      <c r="M1960">
        <f>Sales_Data2[[#This Row],[Cost Price]]*Sales_Data2[[#This Row],[Quantity]]</f>
        <v>96000</v>
      </c>
      <c r="N1960" s="3">
        <f>Sales_Data2[[#This Row],[Revenue]]-Sales_Data2[[#This Row],[COGS]]</f>
        <v>24000</v>
      </c>
      <c r="O19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47634|East|Kano|Corporate|Store|Microwave M20|Home Appliances|60000|2|Grace|48000</v>
      </c>
      <c r="P1960" s="3" t="str">
        <f>IF(COUNTIF(Sales_Data2[RowKey],Sales_Data2[[#This Row],[RowKey]])&gt;1,"Duplicate","Unique")</f>
        <v>Unique</v>
      </c>
      <c r="Q1960" s="3" t="str">
        <f>IF(ISNUMBER(Sales_Data2[[#This Row],[Date]]),"OK","Check")</f>
        <v>OK</v>
      </c>
      <c r="R1960" s="3" t="str">
        <f>IF(ISNUMBER(Sales_Data2[[#This Row],[Quantity]]),"OK","Check")</f>
        <v>OK</v>
      </c>
    </row>
    <row r="1961" spans="1:18">
      <c r="A1961" s="1">
        <v>47635</v>
      </c>
      <c r="B1961" t="s">
        <v>29</v>
      </c>
      <c r="C1961" t="s">
        <v>26</v>
      </c>
      <c r="D1961" t="s">
        <v>13</v>
      </c>
      <c r="E1961" t="s">
        <v>14</v>
      </c>
      <c r="F1961" t="s">
        <v>30</v>
      </c>
      <c r="G1961" t="s">
        <v>31</v>
      </c>
      <c r="H1961">
        <v>300000</v>
      </c>
      <c r="I1961">
        <v>5</v>
      </c>
      <c r="J1961" t="s">
        <v>24</v>
      </c>
      <c r="K1961">
        <f t="shared" si="30"/>
        <v>240000</v>
      </c>
      <c r="L1961">
        <f>Sales_Data2[[#This Row],[Unit Price]]*Sales_Data2[[#This Row],[Quantity]]</f>
        <v>1500000</v>
      </c>
      <c r="M1961">
        <f>Sales_Data2[[#This Row],[Cost Price]]*Sales_Data2[[#This Row],[Quantity]]</f>
        <v>1200000</v>
      </c>
      <c r="N1961" s="3">
        <f>Sales_Data2[[#This Row],[Revenue]]-Sales_Data2[[#This Row],[COGS]]</f>
        <v>300000</v>
      </c>
      <c r="O19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47635|North|Kano|Retail|Online|Desktop PC D21|Electronics|300000|5|David|240000</v>
      </c>
      <c r="P1961" s="3" t="str">
        <f>IF(COUNTIF(Sales_Data2[RowKey],Sales_Data2[[#This Row],[RowKey]])&gt;1,"Duplicate","Unique")</f>
        <v>Unique</v>
      </c>
      <c r="Q1961" s="3" t="str">
        <f>IF(ISNUMBER(Sales_Data2[[#This Row],[Date]]),"OK","Check")</f>
        <v>OK</v>
      </c>
      <c r="R1961" s="3" t="str">
        <f>IF(ISNUMBER(Sales_Data2[[#This Row],[Quantity]]),"OK","Check")</f>
        <v>OK</v>
      </c>
    </row>
    <row r="1962" spans="1:18">
      <c r="A1962" s="1">
        <v>47636</v>
      </c>
      <c r="B1962" t="s">
        <v>29</v>
      </c>
      <c r="C1962" t="s">
        <v>26</v>
      </c>
      <c r="D1962" t="s">
        <v>13</v>
      </c>
      <c r="E1962" t="s">
        <v>20</v>
      </c>
      <c r="F1962" t="s">
        <v>30</v>
      </c>
      <c r="G1962" t="s">
        <v>31</v>
      </c>
      <c r="H1962">
        <v>300000</v>
      </c>
      <c r="I1962">
        <v>9</v>
      </c>
      <c r="J1962" t="s">
        <v>37</v>
      </c>
      <c r="K1962">
        <f t="shared" si="30"/>
        <v>240000</v>
      </c>
      <c r="L1962">
        <f>Sales_Data2[[#This Row],[Unit Price]]*Sales_Data2[[#This Row],[Quantity]]</f>
        <v>2700000</v>
      </c>
      <c r="M1962">
        <f>Sales_Data2[[#This Row],[Cost Price]]*Sales_Data2[[#This Row],[Quantity]]</f>
        <v>2160000</v>
      </c>
      <c r="N1962" s="3">
        <f>Sales_Data2[[#This Row],[Revenue]]-Sales_Data2[[#This Row],[COGS]]</f>
        <v>540000</v>
      </c>
      <c r="O19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47636|North|Kano|Retail|Store|Desktop PC D21|Electronics|300000|9|Aisha|240000</v>
      </c>
      <c r="P1962" s="3" t="str">
        <f>IF(COUNTIF(Sales_Data2[RowKey],Sales_Data2[[#This Row],[RowKey]])&gt;1,"Duplicate","Unique")</f>
        <v>Unique</v>
      </c>
      <c r="Q1962" s="3" t="str">
        <f>IF(ISNUMBER(Sales_Data2[[#This Row],[Date]]),"OK","Check")</f>
        <v>OK</v>
      </c>
      <c r="R1962" s="3" t="str">
        <f>IF(ISNUMBER(Sales_Data2[[#This Row],[Quantity]]),"OK","Check")</f>
        <v>OK</v>
      </c>
    </row>
    <row r="1963" spans="1:18">
      <c r="A1963" s="1">
        <v>47637</v>
      </c>
      <c r="B1963" t="s">
        <v>25</v>
      </c>
      <c r="C1963" t="s">
        <v>32</v>
      </c>
      <c r="D1963" t="s">
        <v>13</v>
      </c>
      <c r="E1963" t="s">
        <v>14</v>
      </c>
      <c r="F1963" t="s">
        <v>41</v>
      </c>
      <c r="G1963" t="s">
        <v>22</v>
      </c>
      <c r="H1963">
        <v>220000</v>
      </c>
      <c r="I1963">
        <v>1</v>
      </c>
      <c r="J1963" t="s">
        <v>37</v>
      </c>
      <c r="K1963">
        <f t="shared" si="30"/>
        <v>176000</v>
      </c>
      <c r="L1963">
        <f>Sales_Data2[[#This Row],[Unit Price]]*Sales_Data2[[#This Row],[Quantity]]</f>
        <v>220000</v>
      </c>
      <c r="M1963">
        <f>Sales_Data2[[#This Row],[Cost Price]]*Sales_Data2[[#This Row],[Quantity]]</f>
        <v>176000</v>
      </c>
      <c r="N1963" s="3">
        <f>Sales_Data2[[#This Row],[Revenue]]-Sales_Data2[[#This Row],[COGS]]</f>
        <v>44000</v>
      </c>
      <c r="O19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47637|South|Abuja|Retail|Online|Refrigerator R55|Home Appliances|220000|1|Aisha|176000</v>
      </c>
      <c r="P1963" s="3" t="str">
        <f>IF(COUNTIF(Sales_Data2[RowKey],Sales_Data2[[#This Row],[RowKey]])&gt;1,"Duplicate","Unique")</f>
        <v>Unique</v>
      </c>
      <c r="Q1963" s="3" t="str">
        <f>IF(ISNUMBER(Sales_Data2[[#This Row],[Date]]),"OK","Check")</f>
        <v>OK</v>
      </c>
      <c r="R1963" s="3" t="str">
        <f>IF(ISNUMBER(Sales_Data2[[#This Row],[Quantity]]),"OK","Check")</f>
        <v>OK</v>
      </c>
    </row>
    <row r="1964" spans="1:18">
      <c r="A1964" s="1">
        <v>47638</v>
      </c>
      <c r="B1964" t="s">
        <v>11</v>
      </c>
      <c r="C1964" t="s">
        <v>32</v>
      </c>
      <c r="D1964" t="s">
        <v>23</v>
      </c>
      <c r="E1964" t="s">
        <v>20</v>
      </c>
      <c r="F1964" t="s">
        <v>21</v>
      </c>
      <c r="G1964" t="s">
        <v>22</v>
      </c>
      <c r="H1964">
        <v>30000</v>
      </c>
      <c r="I1964">
        <v>5</v>
      </c>
      <c r="J1964" t="s">
        <v>37</v>
      </c>
      <c r="K1964">
        <f t="shared" si="30"/>
        <v>24000</v>
      </c>
      <c r="L1964">
        <f>Sales_Data2[[#This Row],[Unit Price]]*Sales_Data2[[#This Row],[Quantity]]</f>
        <v>150000</v>
      </c>
      <c r="M1964">
        <f>Sales_Data2[[#This Row],[Cost Price]]*Sales_Data2[[#This Row],[Quantity]]</f>
        <v>120000</v>
      </c>
      <c r="N1964" s="3">
        <f>Sales_Data2[[#This Row],[Revenue]]-Sales_Data2[[#This Row],[COGS]]</f>
        <v>30000</v>
      </c>
      <c r="O19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47638|West|Abuja|Corporate|Store|Blender B10|Home Appliances|30000|5|Aisha|24000</v>
      </c>
      <c r="P1964" s="3" t="str">
        <f>IF(COUNTIF(Sales_Data2[RowKey],Sales_Data2[[#This Row],[RowKey]])&gt;1,"Duplicate","Unique")</f>
        <v>Unique</v>
      </c>
      <c r="Q1964" s="3" t="str">
        <f>IF(ISNUMBER(Sales_Data2[[#This Row],[Date]]),"OK","Check")</f>
        <v>OK</v>
      </c>
      <c r="R1964" s="3" t="str">
        <f>IF(ISNUMBER(Sales_Data2[[#This Row],[Quantity]]),"OK","Check")</f>
        <v>OK</v>
      </c>
    </row>
    <row r="1965" spans="1:18">
      <c r="A1965" s="1">
        <v>47639</v>
      </c>
      <c r="B1965" t="s">
        <v>25</v>
      </c>
      <c r="C1965" t="s">
        <v>12</v>
      </c>
      <c r="D1965" t="s">
        <v>23</v>
      </c>
      <c r="E1965" t="s">
        <v>14</v>
      </c>
      <c r="F1965" t="s">
        <v>33</v>
      </c>
      <c r="G1965" t="s">
        <v>22</v>
      </c>
      <c r="H1965">
        <v>180000</v>
      </c>
      <c r="I1965">
        <v>1</v>
      </c>
      <c r="J1965" t="s">
        <v>17</v>
      </c>
      <c r="K1965">
        <f t="shared" si="30"/>
        <v>144000</v>
      </c>
      <c r="L1965">
        <f>Sales_Data2[[#This Row],[Unit Price]]*Sales_Data2[[#This Row],[Quantity]]</f>
        <v>180000</v>
      </c>
      <c r="M1965">
        <f>Sales_Data2[[#This Row],[Cost Price]]*Sales_Data2[[#This Row],[Quantity]]</f>
        <v>144000</v>
      </c>
      <c r="N1965" s="3">
        <f>Sales_Data2[[#This Row],[Revenue]]-Sales_Data2[[#This Row],[COGS]]</f>
        <v>36000</v>
      </c>
      <c r="O19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47639|South|Port Harcourt|Corporate|Online|Air Conditioner X2|Home Appliances|180000|1|Chidinma|144000</v>
      </c>
      <c r="P1965" s="3" t="str">
        <f>IF(COUNTIF(Sales_Data2[RowKey],Sales_Data2[[#This Row],[RowKey]])&gt;1,"Duplicate","Unique")</f>
        <v>Unique</v>
      </c>
      <c r="Q1965" s="3" t="str">
        <f>IF(ISNUMBER(Sales_Data2[[#This Row],[Date]]),"OK","Check")</f>
        <v>OK</v>
      </c>
      <c r="R1965" s="3" t="str">
        <f>IF(ISNUMBER(Sales_Data2[[#This Row],[Quantity]]),"OK","Check")</f>
        <v>OK</v>
      </c>
    </row>
    <row r="1966" spans="1:18">
      <c r="A1966" s="1">
        <v>47640</v>
      </c>
      <c r="B1966" t="s">
        <v>29</v>
      </c>
      <c r="C1966" t="s">
        <v>26</v>
      </c>
      <c r="D1966" t="s">
        <v>13</v>
      </c>
      <c r="E1966" t="s">
        <v>14</v>
      </c>
      <c r="F1966" t="s">
        <v>30</v>
      </c>
      <c r="G1966" t="s">
        <v>31</v>
      </c>
      <c r="H1966">
        <v>300000</v>
      </c>
      <c r="I1966">
        <v>6</v>
      </c>
      <c r="J1966" t="s">
        <v>37</v>
      </c>
      <c r="K1966">
        <f t="shared" si="30"/>
        <v>240000</v>
      </c>
      <c r="L1966">
        <f>Sales_Data2[[#This Row],[Unit Price]]*Sales_Data2[[#This Row],[Quantity]]</f>
        <v>1800000</v>
      </c>
      <c r="M1966">
        <f>Sales_Data2[[#This Row],[Cost Price]]*Sales_Data2[[#This Row],[Quantity]]</f>
        <v>1440000</v>
      </c>
      <c r="N1966" s="3">
        <f>Sales_Data2[[#This Row],[Revenue]]-Sales_Data2[[#This Row],[COGS]]</f>
        <v>360000</v>
      </c>
      <c r="O19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47640|North|Kano|Retail|Online|Desktop PC D21|Electronics|300000|6|Aisha|240000</v>
      </c>
      <c r="P1966" s="3" t="str">
        <f>IF(COUNTIF(Sales_Data2[RowKey],Sales_Data2[[#This Row],[RowKey]])&gt;1,"Duplicate","Unique")</f>
        <v>Unique</v>
      </c>
      <c r="Q1966" s="3" t="str">
        <f>IF(ISNUMBER(Sales_Data2[[#This Row],[Date]]),"OK","Check")</f>
        <v>OK</v>
      </c>
      <c r="R1966" s="3" t="str">
        <f>IF(ISNUMBER(Sales_Data2[[#This Row],[Quantity]]),"OK","Check")</f>
        <v>OK</v>
      </c>
    </row>
    <row r="1967" spans="1:18">
      <c r="A1967" s="1">
        <v>47641</v>
      </c>
      <c r="B1967" t="s">
        <v>11</v>
      </c>
      <c r="C1967" t="s">
        <v>26</v>
      </c>
      <c r="D1967" t="s">
        <v>13</v>
      </c>
      <c r="E1967" t="s">
        <v>20</v>
      </c>
      <c r="F1967" t="s">
        <v>41</v>
      </c>
      <c r="G1967" t="s">
        <v>22</v>
      </c>
      <c r="H1967">
        <v>220000</v>
      </c>
      <c r="I1967">
        <v>3</v>
      </c>
      <c r="J1967" t="s">
        <v>39</v>
      </c>
      <c r="K1967">
        <f t="shared" si="30"/>
        <v>176000</v>
      </c>
      <c r="L1967">
        <f>Sales_Data2[[#This Row],[Unit Price]]*Sales_Data2[[#This Row],[Quantity]]</f>
        <v>660000</v>
      </c>
      <c r="M1967">
        <f>Sales_Data2[[#This Row],[Cost Price]]*Sales_Data2[[#This Row],[Quantity]]</f>
        <v>528000</v>
      </c>
      <c r="N1967" s="3">
        <f>Sales_Data2[[#This Row],[Revenue]]-Sales_Data2[[#This Row],[COGS]]</f>
        <v>132000</v>
      </c>
      <c r="O19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47641|West|Kano|Retail|Store|Refrigerator R55|Home Appliances|220000|3|Grace|176000</v>
      </c>
      <c r="P1967" s="3" t="str">
        <f>IF(COUNTIF(Sales_Data2[RowKey],Sales_Data2[[#This Row],[RowKey]])&gt;1,"Duplicate","Unique")</f>
        <v>Unique</v>
      </c>
      <c r="Q1967" s="3" t="str">
        <f>IF(ISNUMBER(Sales_Data2[[#This Row],[Date]]),"OK","Check")</f>
        <v>OK</v>
      </c>
      <c r="R1967" s="3" t="str">
        <f>IF(ISNUMBER(Sales_Data2[[#This Row],[Quantity]]),"OK","Check")</f>
        <v>OK</v>
      </c>
    </row>
    <row r="1968" spans="1:18">
      <c r="A1968" s="1">
        <v>47642</v>
      </c>
      <c r="B1968" t="s">
        <v>29</v>
      </c>
      <c r="C1968" t="s">
        <v>12</v>
      </c>
      <c r="D1968" t="s">
        <v>13</v>
      </c>
      <c r="E1968" t="s">
        <v>20</v>
      </c>
      <c r="F1968" t="s">
        <v>34</v>
      </c>
      <c r="G1968" t="s">
        <v>16</v>
      </c>
      <c r="H1968">
        <v>320000</v>
      </c>
      <c r="I1968">
        <v>5</v>
      </c>
      <c r="J1968" t="s">
        <v>35</v>
      </c>
      <c r="K1968">
        <f t="shared" si="30"/>
        <v>256000</v>
      </c>
      <c r="L1968">
        <f>Sales_Data2[[#This Row],[Unit Price]]*Sales_Data2[[#This Row],[Quantity]]</f>
        <v>1600000</v>
      </c>
      <c r="M1968">
        <f>Sales_Data2[[#This Row],[Cost Price]]*Sales_Data2[[#This Row],[Quantity]]</f>
        <v>1280000</v>
      </c>
      <c r="N1968" s="3">
        <f>Sales_Data2[[#This Row],[Revenue]]-Sales_Data2[[#This Row],[COGS]]</f>
        <v>320000</v>
      </c>
      <c r="O19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47642|North|Port Harcourt|Retail|Store|Sofa Classic|Furniture|320000|5|Peter|256000</v>
      </c>
      <c r="P1968" s="3" t="str">
        <f>IF(COUNTIF(Sales_Data2[RowKey],Sales_Data2[[#This Row],[RowKey]])&gt;1,"Duplicate","Unique")</f>
        <v>Unique</v>
      </c>
      <c r="Q1968" s="3" t="str">
        <f>IF(ISNUMBER(Sales_Data2[[#This Row],[Date]]),"OK","Check")</f>
        <v>OK</v>
      </c>
      <c r="R1968" s="3" t="str">
        <f>IF(ISNUMBER(Sales_Data2[[#This Row],[Quantity]]),"OK","Check")</f>
        <v>OK</v>
      </c>
    </row>
    <row r="1969" spans="1:18">
      <c r="A1969" s="1">
        <v>47643</v>
      </c>
      <c r="B1969" t="s">
        <v>25</v>
      </c>
      <c r="C1969" t="s">
        <v>26</v>
      </c>
      <c r="D1969" t="s">
        <v>13</v>
      </c>
      <c r="E1969" t="s">
        <v>14</v>
      </c>
      <c r="F1969" t="s">
        <v>36</v>
      </c>
      <c r="G1969" t="s">
        <v>31</v>
      </c>
      <c r="H1969">
        <v>150000</v>
      </c>
      <c r="I1969">
        <v>2</v>
      </c>
      <c r="J1969" t="s">
        <v>35</v>
      </c>
      <c r="K1969">
        <f t="shared" si="30"/>
        <v>120000</v>
      </c>
      <c r="L1969">
        <f>Sales_Data2[[#This Row],[Unit Price]]*Sales_Data2[[#This Row],[Quantity]]</f>
        <v>300000</v>
      </c>
      <c r="M1969">
        <f>Sales_Data2[[#This Row],[Cost Price]]*Sales_Data2[[#This Row],[Quantity]]</f>
        <v>240000</v>
      </c>
      <c r="N1969" s="3">
        <f>Sales_Data2[[#This Row],[Revenue]]-Sales_Data2[[#This Row],[COGS]]</f>
        <v>60000</v>
      </c>
      <c r="O19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47643|South|Kano|Retail|Online|Printer P50|Electronics|150000|2|Peter|120000</v>
      </c>
      <c r="P1969" s="3" t="str">
        <f>IF(COUNTIF(Sales_Data2[RowKey],Sales_Data2[[#This Row],[RowKey]])&gt;1,"Duplicate","Unique")</f>
        <v>Unique</v>
      </c>
      <c r="Q1969" s="3" t="str">
        <f>IF(ISNUMBER(Sales_Data2[[#This Row],[Date]]),"OK","Check")</f>
        <v>OK</v>
      </c>
      <c r="R1969" s="3" t="str">
        <f>IF(ISNUMBER(Sales_Data2[[#This Row],[Quantity]]),"OK","Check")</f>
        <v>OK</v>
      </c>
    </row>
    <row r="1970" spans="1:18">
      <c r="A1970" s="1">
        <v>47644</v>
      </c>
      <c r="B1970" t="s">
        <v>11</v>
      </c>
      <c r="C1970" t="s">
        <v>12</v>
      </c>
      <c r="D1970" t="s">
        <v>13</v>
      </c>
      <c r="E1970" t="s">
        <v>14</v>
      </c>
      <c r="F1970" t="s">
        <v>33</v>
      </c>
      <c r="G1970" t="s">
        <v>22</v>
      </c>
      <c r="H1970">
        <v>180000</v>
      </c>
      <c r="I1970">
        <v>1</v>
      </c>
      <c r="J1970" t="s">
        <v>24</v>
      </c>
      <c r="K1970">
        <f t="shared" si="30"/>
        <v>144000</v>
      </c>
      <c r="L1970">
        <f>Sales_Data2[[#This Row],[Unit Price]]*Sales_Data2[[#This Row],[Quantity]]</f>
        <v>180000</v>
      </c>
      <c r="M1970">
        <f>Sales_Data2[[#This Row],[Cost Price]]*Sales_Data2[[#This Row],[Quantity]]</f>
        <v>144000</v>
      </c>
      <c r="N1970" s="3">
        <f>Sales_Data2[[#This Row],[Revenue]]-Sales_Data2[[#This Row],[COGS]]</f>
        <v>36000</v>
      </c>
      <c r="O19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47644|West|Port Harcourt|Retail|Online|Air Conditioner X2|Home Appliances|180000|1|David|144000</v>
      </c>
      <c r="P1970" s="3" t="str">
        <f>IF(COUNTIF(Sales_Data2[RowKey],Sales_Data2[[#This Row],[RowKey]])&gt;1,"Duplicate","Unique")</f>
        <v>Unique</v>
      </c>
      <c r="Q1970" s="3" t="str">
        <f>IF(ISNUMBER(Sales_Data2[[#This Row],[Date]]),"OK","Check")</f>
        <v>OK</v>
      </c>
      <c r="R1970" s="3" t="str">
        <f>IF(ISNUMBER(Sales_Data2[[#This Row],[Quantity]]),"OK","Check")</f>
        <v>OK</v>
      </c>
    </row>
    <row r="1971" spans="1:18">
      <c r="A1971" s="1">
        <v>47645</v>
      </c>
      <c r="B1971" t="s">
        <v>11</v>
      </c>
      <c r="C1971" t="s">
        <v>19</v>
      </c>
      <c r="D1971" t="s">
        <v>23</v>
      </c>
      <c r="E1971" t="s">
        <v>20</v>
      </c>
      <c r="F1971" t="s">
        <v>21</v>
      </c>
      <c r="G1971" t="s">
        <v>22</v>
      </c>
      <c r="H1971">
        <v>30000</v>
      </c>
      <c r="I1971">
        <v>10</v>
      </c>
      <c r="J1971" t="s">
        <v>37</v>
      </c>
      <c r="K1971">
        <f t="shared" si="30"/>
        <v>24000</v>
      </c>
      <c r="L1971">
        <f>Sales_Data2[[#This Row],[Unit Price]]*Sales_Data2[[#This Row],[Quantity]]</f>
        <v>300000</v>
      </c>
      <c r="M1971">
        <f>Sales_Data2[[#This Row],[Cost Price]]*Sales_Data2[[#This Row],[Quantity]]</f>
        <v>240000</v>
      </c>
      <c r="N1971" s="3">
        <f>Sales_Data2[[#This Row],[Revenue]]-Sales_Data2[[#This Row],[COGS]]</f>
        <v>60000</v>
      </c>
      <c r="O19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47645|West|Lagos|Corporate|Store|Blender B10|Home Appliances|30000|10|Aisha|24000</v>
      </c>
      <c r="P1971" s="3" t="str">
        <f>IF(COUNTIF(Sales_Data2[RowKey],Sales_Data2[[#This Row],[RowKey]])&gt;1,"Duplicate","Unique")</f>
        <v>Unique</v>
      </c>
      <c r="Q1971" s="3" t="str">
        <f>IF(ISNUMBER(Sales_Data2[[#This Row],[Date]]),"OK","Check")</f>
        <v>OK</v>
      </c>
      <c r="R1971" s="3" t="str">
        <f>IF(ISNUMBER(Sales_Data2[[#This Row],[Quantity]]),"OK","Check")</f>
        <v>OK</v>
      </c>
    </row>
    <row r="1972" spans="1:18">
      <c r="A1972" s="1">
        <v>47646</v>
      </c>
      <c r="B1972" t="s">
        <v>29</v>
      </c>
      <c r="C1972" t="s">
        <v>19</v>
      </c>
      <c r="D1972" t="s">
        <v>13</v>
      </c>
      <c r="E1972" t="s">
        <v>20</v>
      </c>
      <c r="F1972" t="s">
        <v>36</v>
      </c>
      <c r="G1972" t="s">
        <v>31</v>
      </c>
      <c r="H1972">
        <v>150000</v>
      </c>
      <c r="I1972">
        <v>4</v>
      </c>
      <c r="J1972" t="s">
        <v>24</v>
      </c>
      <c r="K1972">
        <f t="shared" si="30"/>
        <v>120000</v>
      </c>
      <c r="L1972">
        <f>Sales_Data2[[#This Row],[Unit Price]]*Sales_Data2[[#This Row],[Quantity]]</f>
        <v>600000</v>
      </c>
      <c r="M1972">
        <f>Sales_Data2[[#This Row],[Cost Price]]*Sales_Data2[[#This Row],[Quantity]]</f>
        <v>480000</v>
      </c>
      <c r="N1972" s="3">
        <f>Sales_Data2[[#This Row],[Revenue]]-Sales_Data2[[#This Row],[COGS]]</f>
        <v>120000</v>
      </c>
      <c r="O19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47646|North|Lagos|Retail|Store|Printer P50|Electronics|150000|4|David|120000</v>
      </c>
      <c r="P1972" s="3" t="str">
        <f>IF(COUNTIF(Sales_Data2[RowKey],Sales_Data2[[#This Row],[RowKey]])&gt;1,"Duplicate","Unique")</f>
        <v>Unique</v>
      </c>
      <c r="Q1972" s="3" t="str">
        <f>IF(ISNUMBER(Sales_Data2[[#This Row],[Date]]),"OK","Check")</f>
        <v>OK</v>
      </c>
      <c r="R1972" s="3" t="str">
        <f>IF(ISNUMBER(Sales_Data2[[#This Row],[Quantity]]),"OK","Check")</f>
        <v>OK</v>
      </c>
    </row>
    <row r="1973" spans="1:18">
      <c r="A1973" s="1">
        <v>47647</v>
      </c>
      <c r="B1973" t="s">
        <v>29</v>
      </c>
      <c r="C1973" t="s">
        <v>26</v>
      </c>
      <c r="D1973" t="s">
        <v>13</v>
      </c>
      <c r="E1973" t="s">
        <v>14</v>
      </c>
      <c r="F1973" t="s">
        <v>21</v>
      </c>
      <c r="G1973" t="s">
        <v>22</v>
      </c>
      <c r="H1973">
        <v>30000</v>
      </c>
      <c r="I1973">
        <v>1</v>
      </c>
      <c r="J1973" t="s">
        <v>24</v>
      </c>
      <c r="K1973">
        <f t="shared" si="30"/>
        <v>24000</v>
      </c>
      <c r="L1973">
        <f>Sales_Data2[[#This Row],[Unit Price]]*Sales_Data2[[#This Row],[Quantity]]</f>
        <v>30000</v>
      </c>
      <c r="M1973">
        <f>Sales_Data2[[#This Row],[Cost Price]]*Sales_Data2[[#This Row],[Quantity]]</f>
        <v>24000</v>
      </c>
      <c r="N1973" s="3">
        <f>Sales_Data2[[#This Row],[Revenue]]-Sales_Data2[[#This Row],[COGS]]</f>
        <v>6000</v>
      </c>
      <c r="O19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47647|North|Kano|Retail|Online|Blender B10|Home Appliances|30000|1|David|24000</v>
      </c>
      <c r="P1973" s="3" t="str">
        <f>IF(COUNTIF(Sales_Data2[RowKey],Sales_Data2[[#This Row],[RowKey]])&gt;1,"Duplicate","Unique")</f>
        <v>Unique</v>
      </c>
      <c r="Q1973" s="3" t="str">
        <f>IF(ISNUMBER(Sales_Data2[[#This Row],[Date]]),"OK","Check")</f>
        <v>OK</v>
      </c>
      <c r="R1973" s="3" t="str">
        <f>IF(ISNUMBER(Sales_Data2[[#This Row],[Quantity]]),"OK","Check")</f>
        <v>OK</v>
      </c>
    </row>
    <row r="1974" spans="1:18">
      <c r="A1974" s="1">
        <v>47648</v>
      </c>
      <c r="B1974" t="s">
        <v>29</v>
      </c>
      <c r="C1974" t="s">
        <v>19</v>
      </c>
      <c r="D1974" t="s">
        <v>13</v>
      </c>
      <c r="E1974" t="s">
        <v>14</v>
      </c>
      <c r="F1974" t="s">
        <v>21</v>
      </c>
      <c r="G1974" t="s">
        <v>22</v>
      </c>
      <c r="H1974">
        <v>30000</v>
      </c>
      <c r="I1974">
        <v>6</v>
      </c>
      <c r="J1974" t="s">
        <v>35</v>
      </c>
      <c r="K1974">
        <f t="shared" si="30"/>
        <v>24000</v>
      </c>
      <c r="L1974">
        <f>Sales_Data2[[#This Row],[Unit Price]]*Sales_Data2[[#This Row],[Quantity]]</f>
        <v>180000</v>
      </c>
      <c r="M1974">
        <f>Sales_Data2[[#This Row],[Cost Price]]*Sales_Data2[[#This Row],[Quantity]]</f>
        <v>144000</v>
      </c>
      <c r="N1974" s="3">
        <f>Sales_Data2[[#This Row],[Revenue]]-Sales_Data2[[#This Row],[COGS]]</f>
        <v>36000</v>
      </c>
      <c r="O19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47648|North|Lagos|Retail|Online|Blender B10|Home Appliances|30000|6|Peter|24000</v>
      </c>
      <c r="P1974" s="3" t="str">
        <f>IF(COUNTIF(Sales_Data2[RowKey],Sales_Data2[[#This Row],[RowKey]])&gt;1,"Duplicate","Unique")</f>
        <v>Unique</v>
      </c>
      <c r="Q1974" s="3" t="str">
        <f>IF(ISNUMBER(Sales_Data2[[#This Row],[Date]]),"OK","Check")</f>
        <v>OK</v>
      </c>
      <c r="R1974" s="3" t="str">
        <f>IF(ISNUMBER(Sales_Data2[[#This Row],[Quantity]]),"OK","Check")</f>
        <v>OK</v>
      </c>
    </row>
    <row r="1975" spans="1:18">
      <c r="A1975" s="1">
        <v>47649</v>
      </c>
      <c r="B1975" t="s">
        <v>25</v>
      </c>
      <c r="C1975" t="s">
        <v>12</v>
      </c>
      <c r="D1975" t="s">
        <v>23</v>
      </c>
      <c r="E1975" t="s">
        <v>14</v>
      </c>
      <c r="F1975" t="s">
        <v>33</v>
      </c>
      <c r="G1975" t="s">
        <v>22</v>
      </c>
      <c r="H1975">
        <v>180000</v>
      </c>
      <c r="I1975">
        <v>7</v>
      </c>
      <c r="J1975" t="s">
        <v>17</v>
      </c>
      <c r="K1975">
        <f t="shared" si="30"/>
        <v>144000</v>
      </c>
      <c r="L1975">
        <f>Sales_Data2[[#This Row],[Unit Price]]*Sales_Data2[[#This Row],[Quantity]]</f>
        <v>1260000</v>
      </c>
      <c r="M1975">
        <f>Sales_Data2[[#This Row],[Cost Price]]*Sales_Data2[[#This Row],[Quantity]]</f>
        <v>1008000</v>
      </c>
      <c r="N1975" s="3">
        <f>Sales_Data2[[#This Row],[Revenue]]-Sales_Data2[[#This Row],[COGS]]</f>
        <v>252000</v>
      </c>
      <c r="O19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47649|South|Port Harcourt|Corporate|Online|Air Conditioner X2|Home Appliances|180000|7|Chidinma|144000</v>
      </c>
      <c r="P1975" s="3" t="str">
        <f>IF(COUNTIF(Sales_Data2[RowKey],Sales_Data2[[#This Row],[RowKey]])&gt;1,"Duplicate","Unique")</f>
        <v>Unique</v>
      </c>
      <c r="Q1975" s="3" t="str">
        <f>IF(ISNUMBER(Sales_Data2[[#This Row],[Date]]),"OK","Check")</f>
        <v>OK</v>
      </c>
      <c r="R1975" s="3" t="str">
        <f>IF(ISNUMBER(Sales_Data2[[#This Row],[Quantity]]),"OK","Check")</f>
        <v>OK</v>
      </c>
    </row>
    <row r="1976" spans="1:18">
      <c r="A1976" s="1">
        <v>47650</v>
      </c>
      <c r="B1976" t="s">
        <v>25</v>
      </c>
      <c r="C1976" t="s">
        <v>32</v>
      </c>
      <c r="D1976" t="s">
        <v>13</v>
      </c>
      <c r="E1976" t="s">
        <v>14</v>
      </c>
      <c r="F1976" t="s">
        <v>27</v>
      </c>
      <c r="G1976" t="s">
        <v>22</v>
      </c>
      <c r="H1976">
        <v>60000</v>
      </c>
      <c r="I1976">
        <v>8</v>
      </c>
      <c r="J1976" t="s">
        <v>39</v>
      </c>
      <c r="K1976">
        <f t="shared" si="30"/>
        <v>48000</v>
      </c>
      <c r="L1976">
        <f>Sales_Data2[[#This Row],[Unit Price]]*Sales_Data2[[#This Row],[Quantity]]</f>
        <v>480000</v>
      </c>
      <c r="M1976">
        <f>Sales_Data2[[#This Row],[Cost Price]]*Sales_Data2[[#This Row],[Quantity]]</f>
        <v>384000</v>
      </c>
      <c r="N1976" s="3">
        <f>Sales_Data2[[#This Row],[Revenue]]-Sales_Data2[[#This Row],[COGS]]</f>
        <v>96000</v>
      </c>
      <c r="O19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47650|South|Abuja|Retail|Online|Microwave M20|Home Appliances|60000|8|Grace|48000</v>
      </c>
      <c r="P1976" s="3" t="str">
        <f>IF(COUNTIF(Sales_Data2[RowKey],Sales_Data2[[#This Row],[RowKey]])&gt;1,"Duplicate","Unique")</f>
        <v>Unique</v>
      </c>
      <c r="Q1976" s="3" t="str">
        <f>IF(ISNUMBER(Sales_Data2[[#This Row],[Date]]),"OK","Check")</f>
        <v>OK</v>
      </c>
      <c r="R1976" s="3" t="str">
        <f>IF(ISNUMBER(Sales_Data2[[#This Row],[Quantity]]),"OK","Check")</f>
        <v>OK</v>
      </c>
    </row>
    <row r="1977" spans="1:18">
      <c r="A1977" s="1">
        <v>47651</v>
      </c>
      <c r="B1977" t="s">
        <v>25</v>
      </c>
      <c r="C1977" t="s">
        <v>19</v>
      </c>
      <c r="D1977" t="s">
        <v>13</v>
      </c>
      <c r="E1977" t="s">
        <v>14</v>
      </c>
      <c r="F1977" t="s">
        <v>27</v>
      </c>
      <c r="G1977" t="s">
        <v>22</v>
      </c>
      <c r="H1977">
        <v>60000</v>
      </c>
      <c r="I1977">
        <v>2</v>
      </c>
      <c r="J1977" t="s">
        <v>37</v>
      </c>
      <c r="K1977">
        <f t="shared" si="30"/>
        <v>48000</v>
      </c>
      <c r="L1977">
        <f>Sales_Data2[[#This Row],[Unit Price]]*Sales_Data2[[#This Row],[Quantity]]</f>
        <v>120000</v>
      </c>
      <c r="M1977">
        <f>Sales_Data2[[#This Row],[Cost Price]]*Sales_Data2[[#This Row],[Quantity]]</f>
        <v>96000</v>
      </c>
      <c r="N1977" s="3">
        <f>Sales_Data2[[#This Row],[Revenue]]-Sales_Data2[[#This Row],[COGS]]</f>
        <v>24000</v>
      </c>
      <c r="O19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47651|South|Lagos|Retail|Online|Microwave M20|Home Appliances|60000|2|Aisha|48000</v>
      </c>
      <c r="P1977" s="3" t="str">
        <f>IF(COUNTIF(Sales_Data2[RowKey],Sales_Data2[[#This Row],[RowKey]])&gt;1,"Duplicate","Unique")</f>
        <v>Unique</v>
      </c>
      <c r="Q1977" s="3" t="str">
        <f>IF(ISNUMBER(Sales_Data2[[#This Row],[Date]]),"OK","Check")</f>
        <v>OK</v>
      </c>
      <c r="R1977" s="3" t="str">
        <f>IF(ISNUMBER(Sales_Data2[[#This Row],[Quantity]]),"OK","Check")</f>
        <v>OK</v>
      </c>
    </row>
    <row r="1978" spans="1:18">
      <c r="A1978" s="1">
        <v>47652</v>
      </c>
      <c r="B1978" t="s">
        <v>25</v>
      </c>
      <c r="C1978" t="s">
        <v>26</v>
      </c>
      <c r="D1978" t="s">
        <v>13</v>
      </c>
      <c r="E1978" t="s">
        <v>20</v>
      </c>
      <c r="F1978" t="s">
        <v>15</v>
      </c>
      <c r="G1978" t="s">
        <v>16</v>
      </c>
      <c r="H1978">
        <v>85000</v>
      </c>
      <c r="I1978">
        <v>1</v>
      </c>
      <c r="J1978" t="s">
        <v>35</v>
      </c>
      <c r="K1978">
        <f t="shared" si="30"/>
        <v>68000</v>
      </c>
      <c r="L1978">
        <f>Sales_Data2[[#This Row],[Unit Price]]*Sales_Data2[[#This Row],[Quantity]]</f>
        <v>85000</v>
      </c>
      <c r="M1978">
        <f>Sales_Data2[[#This Row],[Cost Price]]*Sales_Data2[[#This Row],[Quantity]]</f>
        <v>68000</v>
      </c>
      <c r="N1978" s="3">
        <f>Sales_Data2[[#This Row],[Revenue]]-Sales_Data2[[#This Row],[COGS]]</f>
        <v>17000</v>
      </c>
      <c r="O19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47652|South|Kano|Retail|Store|Office Chair Pro|Furniture|85000|1|Peter|68000</v>
      </c>
      <c r="P1978" s="3" t="str">
        <f>IF(COUNTIF(Sales_Data2[RowKey],Sales_Data2[[#This Row],[RowKey]])&gt;1,"Duplicate","Unique")</f>
        <v>Unique</v>
      </c>
      <c r="Q1978" s="3" t="str">
        <f>IF(ISNUMBER(Sales_Data2[[#This Row],[Date]]),"OK","Check")</f>
        <v>OK</v>
      </c>
      <c r="R1978" s="3" t="str">
        <f>IF(ISNUMBER(Sales_Data2[[#This Row],[Quantity]]),"OK","Check")</f>
        <v>OK</v>
      </c>
    </row>
    <row r="1979" spans="1:18">
      <c r="A1979" s="1">
        <v>47653</v>
      </c>
      <c r="B1979" t="s">
        <v>29</v>
      </c>
      <c r="C1979" t="s">
        <v>26</v>
      </c>
      <c r="D1979" t="s">
        <v>23</v>
      </c>
      <c r="E1979" t="s">
        <v>14</v>
      </c>
      <c r="F1979" t="s">
        <v>21</v>
      </c>
      <c r="G1979" t="s">
        <v>22</v>
      </c>
      <c r="H1979">
        <v>30000</v>
      </c>
      <c r="I1979">
        <v>8</v>
      </c>
      <c r="J1979" t="s">
        <v>37</v>
      </c>
      <c r="K1979">
        <f t="shared" si="30"/>
        <v>24000</v>
      </c>
      <c r="L1979">
        <f>Sales_Data2[[#This Row],[Unit Price]]*Sales_Data2[[#This Row],[Quantity]]</f>
        <v>240000</v>
      </c>
      <c r="M1979">
        <f>Sales_Data2[[#This Row],[Cost Price]]*Sales_Data2[[#This Row],[Quantity]]</f>
        <v>192000</v>
      </c>
      <c r="N1979" s="3">
        <f>Sales_Data2[[#This Row],[Revenue]]-Sales_Data2[[#This Row],[COGS]]</f>
        <v>48000</v>
      </c>
      <c r="O19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47653|North|Kano|Corporate|Online|Blender B10|Home Appliances|30000|8|Aisha|24000</v>
      </c>
      <c r="P1979" s="3" t="str">
        <f>IF(COUNTIF(Sales_Data2[RowKey],Sales_Data2[[#This Row],[RowKey]])&gt;1,"Duplicate","Unique")</f>
        <v>Unique</v>
      </c>
      <c r="Q1979" s="3" t="str">
        <f>IF(ISNUMBER(Sales_Data2[[#This Row],[Date]]),"OK","Check")</f>
        <v>OK</v>
      </c>
      <c r="R1979" s="3" t="str">
        <f>IF(ISNUMBER(Sales_Data2[[#This Row],[Quantity]]),"OK","Check")</f>
        <v>OK</v>
      </c>
    </row>
    <row r="1980" spans="1:18">
      <c r="A1980" s="1">
        <v>47654</v>
      </c>
      <c r="B1980" t="s">
        <v>29</v>
      </c>
      <c r="C1980" t="s">
        <v>32</v>
      </c>
      <c r="D1980" t="s">
        <v>13</v>
      </c>
      <c r="E1980" t="s">
        <v>20</v>
      </c>
      <c r="F1980" t="s">
        <v>27</v>
      </c>
      <c r="G1980" t="s">
        <v>22</v>
      </c>
      <c r="H1980">
        <v>60000</v>
      </c>
      <c r="I1980">
        <v>10</v>
      </c>
      <c r="J1980" t="s">
        <v>37</v>
      </c>
      <c r="K1980">
        <f t="shared" si="30"/>
        <v>48000</v>
      </c>
      <c r="L1980">
        <f>Sales_Data2[[#This Row],[Unit Price]]*Sales_Data2[[#This Row],[Quantity]]</f>
        <v>600000</v>
      </c>
      <c r="M1980">
        <f>Sales_Data2[[#This Row],[Cost Price]]*Sales_Data2[[#This Row],[Quantity]]</f>
        <v>480000</v>
      </c>
      <c r="N1980" s="3">
        <f>Sales_Data2[[#This Row],[Revenue]]-Sales_Data2[[#This Row],[COGS]]</f>
        <v>120000</v>
      </c>
      <c r="O19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47654|North|Abuja|Retail|Store|Microwave M20|Home Appliances|60000|10|Aisha|48000</v>
      </c>
      <c r="P1980" s="3" t="str">
        <f>IF(COUNTIF(Sales_Data2[RowKey],Sales_Data2[[#This Row],[RowKey]])&gt;1,"Duplicate","Unique")</f>
        <v>Unique</v>
      </c>
      <c r="Q1980" s="3" t="str">
        <f>IF(ISNUMBER(Sales_Data2[[#This Row],[Date]]),"OK","Check")</f>
        <v>OK</v>
      </c>
      <c r="R1980" s="3" t="str">
        <f>IF(ISNUMBER(Sales_Data2[[#This Row],[Quantity]]),"OK","Check")</f>
        <v>OK</v>
      </c>
    </row>
    <row r="1981" spans="1:18">
      <c r="A1981" s="1">
        <v>47655</v>
      </c>
      <c r="B1981" t="s">
        <v>11</v>
      </c>
      <c r="C1981" t="s">
        <v>12</v>
      </c>
      <c r="D1981" t="s">
        <v>23</v>
      </c>
      <c r="E1981" t="s">
        <v>20</v>
      </c>
      <c r="F1981" t="s">
        <v>36</v>
      </c>
      <c r="G1981" t="s">
        <v>31</v>
      </c>
      <c r="H1981">
        <v>150000</v>
      </c>
      <c r="I1981">
        <v>1</v>
      </c>
      <c r="J1981" t="s">
        <v>17</v>
      </c>
      <c r="K1981">
        <f t="shared" si="30"/>
        <v>120000</v>
      </c>
      <c r="L1981">
        <f>Sales_Data2[[#This Row],[Unit Price]]*Sales_Data2[[#This Row],[Quantity]]</f>
        <v>150000</v>
      </c>
      <c r="M1981">
        <f>Sales_Data2[[#This Row],[Cost Price]]*Sales_Data2[[#This Row],[Quantity]]</f>
        <v>120000</v>
      </c>
      <c r="N1981" s="3">
        <f>Sales_Data2[[#This Row],[Revenue]]-Sales_Data2[[#This Row],[COGS]]</f>
        <v>30000</v>
      </c>
      <c r="O19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47655|West|Port Harcourt|Corporate|Store|Printer P50|Electronics|150000|1|Chidinma|120000</v>
      </c>
      <c r="P1981" s="3" t="str">
        <f>IF(COUNTIF(Sales_Data2[RowKey],Sales_Data2[[#This Row],[RowKey]])&gt;1,"Duplicate","Unique")</f>
        <v>Unique</v>
      </c>
      <c r="Q1981" s="3" t="str">
        <f>IF(ISNUMBER(Sales_Data2[[#This Row],[Date]]),"OK","Check")</f>
        <v>OK</v>
      </c>
      <c r="R1981" s="3" t="str">
        <f>IF(ISNUMBER(Sales_Data2[[#This Row],[Quantity]]),"OK","Check")</f>
        <v>OK</v>
      </c>
    </row>
    <row r="1982" spans="1:18">
      <c r="A1982" s="1">
        <v>47656</v>
      </c>
      <c r="B1982" t="s">
        <v>25</v>
      </c>
      <c r="C1982" t="s">
        <v>12</v>
      </c>
      <c r="D1982" t="s">
        <v>23</v>
      </c>
      <c r="E1982" t="s">
        <v>20</v>
      </c>
      <c r="F1982" t="s">
        <v>27</v>
      </c>
      <c r="G1982" t="s">
        <v>22</v>
      </c>
      <c r="H1982">
        <v>60000</v>
      </c>
      <c r="I1982">
        <v>9</v>
      </c>
      <c r="J1982" t="s">
        <v>39</v>
      </c>
      <c r="K1982">
        <f t="shared" si="30"/>
        <v>48000</v>
      </c>
      <c r="L1982">
        <f>Sales_Data2[[#This Row],[Unit Price]]*Sales_Data2[[#This Row],[Quantity]]</f>
        <v>540000</v>
      </c>
      <c r="M1982">
        <f>Sales_Data2[[#This Row],[Cost Price]]*Sales_Data2[[#This Row],[Quantity]]</f>
        <v>432000</v>
      </c>
      <c r="N1982" s="3">
        <f>Sales_Data2[[#This Row],[Revenue]]-Sales_Data2[[#This Row],[COGS]]</f>
        <v>108000</v>
      </c>
      <c r="O19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47656|South|Port Harcourt|Corporate|Store|Microwave M20|Home Appliances|60000|9|Grace|48000</v>
      </c>
      <c r="P1982" s="3" t="str">
        <f>IF(COUNTIF(Sales_Data2[RowKey],Sales_Data2[[#This Row],[RowKey]])&gt;1,"Duplicate","Unique")</f>
        <v>Unique</v>
      </c>
      <c r="Q1982" s="3" t="str">
        <f>IF(ISNUMBER(Sales_Data2[[#This Row],[Date]]),"OK","Check")</f>
        <v>OK</v>
      </c>
      <c r="R1982" s="3" t="str">
        <f>IF(ISNUMBER(Sales_Data2[[#This Row],[Quantity]]),"OK","Check")</f>
        <v>OK</v>
      </c>
    </row>
    <row r="1983" spans="1:18">
      <c r="A1983" s="1">
        <v>47657</v>
      </c>
      <c r="B1983" t="s">
        <v>29</v>
      </c>
      <c r="C1983" t="s">
        <v>32</v>
      </c>
      <c r="D1983" t="s">
        <v>13</v>
      </c>
      <c r="E1983" t="s">
        <v>14</v>
      </c>
      <c r="F1983" t="s">
        <v>27</v>
      </c>
      <c r="G1983" t="s">
        <v>22</v>
      </c>
      <c r="H1983">
        <v>60000</v>
      </c>
      <c r="I1983">
        <v>5</v>
      </c>
      <c r="J1983" t="s">
        <v>39</v>
      </c>
      <c r="K1983">
        <f t="shared" si="30"/>
        <v>48000</v>
      </c>
      <c r="L1983">
        <f>Sales_Data2[[#This Row],[Unit Price]]*Sales_Data2[[#This Row],[Quantity]]</f>
        <v>300000</v>
      </c>
      <c r="M1983">
        <f>Sales_Data2[[#This Row],[Cost Price]]*Sales_Data2[[#This Row],[Quantity]]</f>
        <v>240000</v>
      </c>
      <c r="N1983" s="3">
        <f>Sales_Data2[[#This Row],[Revenue]]-Sales_Data2[[#This Row],[COGS]]</f>
        <v>60000</v>
      </c>
      <c r="O19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47657|North|Abuja|Retail|Online|Microwave M20|Home Appliances|60000|5|Grace|48000</v>
      </c>
      <c r="P1983" s="3" t="str">
        <f>IF(COUNTIF(Sales_Data2[RowKey],Sales_Data2[[#This Row],[RowKey]])&gt;1,"Duplicate","Unique")</f>
        <v>Unique</v>
      </c>
      <c r="Q1983" s="3" t="str">
        <f>IF(ISNUMBER(Sales_Data2[[#This Row],[Date]]),"OK","Check")</f>
        <v>OK</v>
      </c>
      <c r="R1983" s="3" t="str">
        <f>IF(ISNUMBER(Sales_Data2[[#This Row],[Quantity]]),"OK","Check")</f>
        <v>OK</v>
      </c>
    </row>
    <row r="1984" spans="1:18">
      <c r="A1984" s="1">
        <v>47658</v>
      </c>
      <c r="B1984" t="s">
        <v>18</v>
      </c>
      <c r="C1984" t="s">
        <v>12</v>
      </c>
      <c r="D1984" t="s">
        <v>13</v>
      </c>
      <c r="E1984" t="s">
        <v>20</v>
      </c>
      <c r="F1984" t="s">
        <v>41</v>
      </c>
      <c r="G1984" t="s">
        <v>22</v>
      </c>
      <c r="H1984">
        <v>220000</v>
      </c>
      <c r="I1984">
        <v>8</v>
      </c>
      <c r="J1984" t="s">
        <v>17</v>
      </c>
      <c r="K1984">
        <f t="shared" si="30"/>
        <v>176000</v>
      </c>
      <c r="L1984">
        <f>Sales_Data2[[#This Row],[Unit Price]]*Sales_Data2[[#This Row],[Quantity]]</f>
        <v>1760000</v>
      </c>
      <c r="M1984">
        <f>Sales_Data2[[#This Row],[Cost Price]]*Sales_Data2[[#This Row],[Quantity]]</f>
        <v>1408000</v>
      </c>
      <c r="N1984" s="3">
        <f>Sales_Data2[[#This Row],[Revenue]]-Sales_Data2[[#This Row],[COGS]]</f>
        <v>352000</v>
      </c>
      <c r="O19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47658|East|Port Harcourt|Retail|Store|Refrigerator R55|Home Appliances|220000|8|Chidinma|176000</v>
      </c>
      <c r="P1984" s="3" t="str">
        <f>IF(COUNTIF(Sales_Data2[RowKey],Sales_Data2[[#This Row],[RowKey]])&gt;1,"Duplicate","Unique")</f>
        <v>Unique</v>
      </c>
      <c r="Q1984" s="3" t="str">
        <f>IF(ISNUMBER(Sales_Data2[[#This Row],[Date]]),"OK","Check")</f>
        <v>OK</v>
      </c>
      <c r="R1984" s="3" t="str">
        <f>IF(ISNUMBER(Sales_Data2[[#This Row],[Quantity]]),"OK","Check")</f>
        <v>OK</v>
      </c>
    </row>
    <row r="1985" spans="1:18">
      <c r="A1985" s="1">
        <v>47659</v>
      </c>
      <c r="B1985" t="s">
        <v>11</v>
      </c>
      <c r="C1985" t="s">
        <v>12</v>
      </c>
      <c r="D1985" t="s">
        <v>13</v>
      </c>
      <c r="E1985" t="s">
        <v>20</v>
      </c>
      <c r="F1985" t="s">
        <v>15</v>
      </c>
      <c r="G1985" t="s">
        <v>16</v>
      </c>
      <c r="H1985">
        <v>85000</v>
      </c>
      <c r="I1985">
        <v>2</v>
      </c>
      <c r="J1985" t="s">
        <v>37</v>
      </c>
      <c r="K1985">
        <f t="shared" si="30"/>
        <v>68000</v>
      </c>
      <c r="L1985">
        <f>Sales_Data2[[#This Row],[Unit Price]]*Sales_Data2[[#This Row],[Quantity]]</f>
        <v>170000</v>
      </c>
      <c r="M1985">
        <f>Sales_Data2[[#This Row],[Cost Price]]*Sales_Data2[[#This Row],[Quantity]]</f>
        <v>136000</v>
      </c>
      <c r="N1985" s="3">
        <f>Sales_Data2[[#This Row],[Revenue]]-Sales_Data2[[#This Row],[COGS]]</f>
        <v>34000</v>
      </c>
      <c r="O19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47659|West|Port Harcourt|Retail|Store|Office Chair Pro|Furniture|85000|2|Aisha|68000</v>
      </c>
      <c r="P1985" s="3" t="str">
        <f>IF(COUNTIF(Sales_Data2[RowKey],Sales_Data2[[#This Row],[RowKey]])&gt;1,"Duplicate","Unique")</f>
        <v>Unique</v>
      </c>
      <c r="Q1985" s="3" t="str">
        <f>IF(ISNUMBER(Sales_Data2[[#This Row],[Date]]),"OK","Check")</f>
        <v>OK</v>
      </c>
      <c r="R1985" s="3" t="str">
        <f>IF(ISNUMBER(Sales_Data2[[#This Row],[Quantity]]),"OK","Check")</f>
        <v>OK</v>
      </c>
    </row>
    <row r="1986" spans="1:18">
      <c r="A1986" s="1">
        <v>47660</v>
      </c>
      <c r="B1986" t="s">
        <v>25</v>
      </c>
      <c r="C1986" t="s">
        <v>32</v>
      </c>
      <c r="D1986" t="s">
        <v>13</v>
      </c>
      <c r="E1986" t="s">
        <v>20</v>
      </c>
      <c r="F1986" t="s">
        <v>34</v>
      </c>
      <c r="G1986" t="s">
        <v>16</v>
      </c>
      <c r="H1986">
        <v>320000</v>
      </c>
      <c r="I1986">
        <v>7</v>
      </c>
      <c r="J1986" t="s">
        <v>37</v>
      </c>
      <c r="K1986">
        <f t="shared" ref="K1986:K2049" si="31">H1986-H1986*0.2</f>
        <v>256000</v>
      </c>
      <c r="L1986">
        <f>Sales_Data2[[#This Row],[Unit Price]]*Sales_Data2[[#This Row],[Quantity]]</f>
        <v>2240000</v>
      </c>
      <c r="M1986">
        <f>Sales_Data2[[#This Row],[Cost Price]]*Sales_Data2[[#This Row],[Quantity]]</f>
        <v>1792000</v>
      </c>
      <c r="N1986" s="3">
        <f>Sales_Data2[[#This Row],[Revenue]]-Sales_Data2[[#This Row],[COGS]]</f>
        <v>448000</v>
      </c>
      <c r="O19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47660|South|Abuja|Retail|Store|Sofa Classic|Furniture|320000|7|Aisha|256000</v>
      </c>
      <c r="P1986" s="3" t="str">
        <f>IF(COUNTIF(Sales_Data2[RowKey],Sales_Data2[[#This Row],[RowKey]])&gt;1,"Duplicate","Unique")</f>
        <v>Unique</v>
      </c>
      <c r="Q1986" s="3" t="str">
        <f>IF(ISNUMBER(Sales_Data2[[#This Row],[Date]]),"OK","Check")</f>
        <v>OK</v>
      </c>
      <c r="R1986" s="3" t="str">
        <f>IF(ISNUMBER(Sales_Data2[[#This Row],[Quantity]]),"OK","Check")</f>
        <v>OK</v>
      </c>
    </row>
    <row r="1987" spans="1:18">
      <c r="A1987" s="1">
        <v>47661</v>
      </c>
      <c r="B1987" t="s">
        <v>25</v>
      </c>
      <c r="C1987" t="s">
        <v>32</v>
      </c>
      <c r="D1987" t="s">
        <v>13</v>
      </c>
      <c r="E1987" t="s">
        <v>14</v>
      </c>
      <c r="F1987" t="s">
        <v>40</v>
      </c>
      <c r="G1987" t="s">
        <v>31</v>
      </c>
      <c r="H1987">
        <v>250000</v>
      </c>
      <c r="I1987">
        <v>4</v>
      </c>
      <c r="J1987" t="s">
        <v>17</v>
      </c>
      <c r="K1987">
        <f t="shared" si="31"/>
        <v>200000</v>
      </c>
      <c r="L1987">
        <f>Sales_Data2[[#This Row],[Unit Price]]*Sales_Data2[[#This Row],[Quantity]]</f>
        <v>1000000</v>
      </c>
      <c r="M1987">
        <f>Sales_Data2[[#This Row],[Cost Price]]*Sales_Data2[[#This Row],[Quantity]]</f>
        <v>800000</v>
      </c>
      <c r="N1987" s="3">
        <f>Sales_Data2[[#This Row],[Revenue]]-Sales_Data2[[#This Row],[COGS]]</f>
        <v>200000</v>
      </c>
      <c r="O19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47661|South|Abuja|Retail|Online|Smartphone Z10|Electronics|250000|4|Chidinma|200000</v>
      </c>
      <c r="P1987" s="3" t="str">
        <f>IF(COUNTIF(Sales_Data2[RowKey],Sales_Data2[[#This Row],[RowKey]])&gt;1,"Duplicate","Unique")</f>
        <v>Unique</v>
      </c>
      <c r="Q1987" s="3" t="str">
        <f>IF(ISNUMBER(Sales_Data2[[#This Row],[Date]]),"OK","Check")</f>
        <v>OK</v>
      </c>
      <c r="R1987" s="3" t="str">
        <f>IF(ISNUMBER(Sales_Data2[[#This Row],[Quantity]]),"OK","Check")</f>
        <v>OK</v>
      </c>
    </row>
    <row r="1988" spans="1:18">
      <c r="A1988" s="1">
        <v>47662</v>
      </c>
      <c r="B1988" t="s">
        <v>18</v>
      </c>
      <c r="C1988" t="s">
        <v>12</v>
      </c>
      <c r="D1988" t="s">
        <v>23</v>
      </c>
      <c r="E1988" t="s">
        <v>20</v>
      </c>
      <c r="F1988" t="s">
        <v>36</v>
      </c>
      <c r="G1988" t="s">
        <v>31</v>
      </c>
      <c r="H1988">
        <v>150000</v>
      </c>
      <c r="I1988">
        <v>6</v>
      </c>
      <c r="J1988" t="s">
        <v>24</v>
      </c>
      <c r="K1988">
        <f t="shared" si="31"/>
        <v>120000</v>
      </c>
      <c r="L1988">
        <f>Sales_Data2[[#This Row],[Unit Price]]*Sales_Data2[[#This Row],[Quantity]]</f>
        <v>900000</v>
      </c>
      <c r="M1988">
        <f>Sales_Data2[[#This Row],[Cost Price]]*Sales_Data2[[#This Row],[Quantity]]</f>
        <v>720000</v>
      </c>
      <c r="N1988" s="3">
        <f>Sales_Data2[[#This Row],[Revenue]]-Sales_Data2[[#This Row],[COGS]]</f>
        <v>180000</v>
      </c>
      <c r="O19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47662|East|Port Harcourt|Corporate|Store|Printer P50|Electronics|150000|6|David|120000</v>
      </c>
      <c r="P1988" s="3" t="str">
        <f>IF(COUNTIF(Sales_Data2[RowKey],Sales_Data2[[#This Row],[RowKey]])&gt;1,"Duplicate","Unique")</f>
        <v>Unique</v>
      </c>
      <c r="Q1988" s="3" t="str">
        <f>IF(ISNUMBER(Sales_Data2[[#This Row],[Date]]),"OK","Check")</f>
        <v>OK</v>
      </c>
      <c r="R1988" s="3" t="str">
        <f>IF(ISNUMBER(Sales_Data2[[#This Row],[Quantity]]),"OK","Check")</f>
        <v>OK</v>
      </c>
    </row>
    <row r="1989" spans="1:18">
      <c r="A1989" s="1">
        <v>47663</v>
      </c>
      <c r="B1989" t="s">
        <v>29</v>
      </c>
      <c r="C1989" t="s">
        <v>32</v>
      </c>
      <c r="D1989" t="s">
        <v>13</v>
      </c>
      <c r="E1989" t="s">
        <v>14</v>
      </c>
      <c r="F1989" t="s">
        <v>30</v>
      </c>
      <c r="G1989" t="s">
        <v>31</v>
      </c>
      <c r="H1989">
        <v>300000</v>
      </c>
      <c r="I1989">
        <v>8</v>
      </c>
      <c r="J1989" t="s">
        <v>24</v>
      </c>
      <c r="K1989">
        <f t="shared" si="31"/>
        <v>240000</v>
      </c>
      <c r="L1989">
        <f>Sales_Data2[[#This Row],[Unit Price]]*Sales_Data2[[#This Row],[Quantity]]</f>
        <v>2400000</v>
      </c>
      <c r="M1989">
        <f>Sales_Data2[[#This Row],[Cost Price]]*Sales_Data2[[#This Row],[Quantity]]</f>
        <v>1920000</v>
      </c>
      <c r="N1989" s="3">
        <f>Sales_Data2[[#This Row],[Revenue]]-Sales_Data2[[#This Row],[COGS]]</f>
        <v>480000</v>
      </c>
      <c r="O19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47663|North|Abuja|Retail|Online|Desktop PC D21|Electronics|300000|8|David|240000</v>
      </c>
      <c r="P1989" s="3" t="str">
        <f>IF(COUNTIF(Sales_Data2[RowKey],Sales_Data2[[#This Row],[RowKey]])&gt;1,"Duplicate","Unique")</f>
        <v>Unique</v>
      </c>
      <c r="Q1989" s="3" t="str">
        <f>IF(ISNUMBER(Sales_Data2[[#This Row],[Date]]),"OK","Check")</f>
        <v>OK</v>
      </c>
      <c r="R1989" s="3" t="str">
        <f>IF(ISNUMBER(Sales_Data2[[#This Row],[Quantity]]),"OK","Check")</f>
        <v>OK</v>
      </c>
    </row>
    <row r="1990" spans="1:18">
      <c r="A1990" s="1">
        <v>47664</v>
      </c>
      <c r="B1990" t="s">
        <v>11</v>
      </c>
      <c r="C1990" t="s">
        <v>19</v>
      </c>
      <c r="D1990" t="s">
        <v>13</v>
      </c>
      <c r="E1990" t="s">
        <v>20</v>
      </c>
      <c r="F1990" t="s">
        <v>30</v>
      </c>
      <c r="G1990" t="s">
        <v>31</v>
      </c>
      <c r="H1990">
        <v>300000</v>
      </c>
      <c r="I1990">
        <v>10</v>
      </c>
      <c r="J1990" t="s">
        <v>17</v>
      </c>
      <c r="K1990">
        <f t="shared" si="31"/>
        <v>240000</v>
      </c>
      <c r="L1990">
        <f>Sales_Data2[[#This Row],[Unit Price]]*Sales_Data2[[#This Row],[Quantity]]</f>
        <v>3000000</v>
      </c>
      <c r="M1990">
        <f>Sales_Data2[[#This Row],[Cost Price]]*Sales_Data2[[#This Row],[Quantity]]</f>
        <v>2400000</v>
      </c>
      <c r="N1990" s="3">
        <f>Sales_Data2[[#This Row],[Revenue]]-Sales_Data2[[#This Row],[COGS]]</f>
        <v>600000</v>
      </c>
      <c r="O19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47664|West|Lagos|Retail|Store|Desktop PC D21|Electronics|300000|10|Chidinma|240000</v>
      </c>
      <c r="P1990" s="3" t="str">
        <f>IF(COUNTIF(Sales_Data2[RowKey],Sales_Data2[[#This Row],[RowKey]])&gt;1,"Duplicate","Unique")</f>
        <v>Unique</v>
      </c>
      <c r="Q1990" s="3" t="str">
        <f>IF(ISNUMBER(Sales_Data2[[#This Row],[Date]]),"OK","Check")</f>
        <v>OK</v>
      </c>
      <c r="R1990" s="3" t="str">
        <f>IF(ISNUMBER(Sales_Data2[[#This Row],[Quantity]]),"OK","Check")</f>
        <v>OK</v>
      </c>
    </row>
    <row r="1991" spans="1:18">
      <c r="A1991" s="1">
        <v>47665</v>
      </c>
      <c r="B1991" t="s">
        <v>29</v>
      </c>
      <c r="C1991" t="s">
        <v>26</v>
      </c>
      <c r="D1991" t="s">
        <v>23</v>
      </c>
      <c r="E1991" t="s">
        <v>20</v>
      </c>
      <c r="F1991" t="s">
        <v>34</v>
      </c>
      <c r="G1991" t="s">
        <v>16</v>
      </c>
      <c r="H1991">
        <v>320000</v>
      </c>
      <c r="I1991">
        <v>1</v>
      </c>
      <c r="J1991" t="s">
        <v>28</v>
      </c>
      <c r="K1991">
        <f t="shared" si="31"/>
        <v>256000</v>
      </c>
      <c r="L1991">
        <f>Sales_Data2[[#This Row],[Unit Price]]*Sales_Data2[[#This Row],[Quantity]]</f>
        <v>320000</v>
      </c>
      <c r="M1991">
        <f>Sales_Data2[[#This Row],[Cost Price]]*Sales_Data2[[#This Row],[Quantity]]</f>
        <v>256000</v>
      </c>
      <c r="N1991" s="3">
        <f>Sales_Data2[[#This Row],[Revenue]]-Sales_Data2[[#This Row],[COGS]]</f>
        <v>64000</v>
      </c>
      <c r="O19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47665|North|Kano|Corporate|Store|Sofa Classic|Furniture|320000|1|Musa|256000</v>
      </c>
      <c r="P1991" s="3" t="str">
        <f>IF(COUNTIF(Sales_Data2[RowKey],Sales_Data2[[#This Row],[RowKey]])&gt;1,"Duplicate","Unique")</f>
        <v>Unique</v>
      </c>
      <c r="Q1991" s="3" t="str">
        <f>IF(ISNUMBER(Sales_Data2[[#This Row],[Date]]),"OK","Check")</f>
        <v>OK</v>
      </c>
      <c r="R1991" s="3" t="str">
        <f>IF(ISNUMBER(Sales_Data2[[#This Row],[Quantity]]),"OK","Check")</f>
        <v>OK</v>
      </c>
    </row>
    <row r="1992" spans="1:18">
      <c r="A1992" s="1">
        <v>47666</v>
      </c>
      <c r="B1992" t="s">
        <v>25</v>
      </c>
      <c r="C1992" t="s">
        <v>19</v>
      </c>
      <c r="D1992" t="s">
        <v>23</v>
      </c>
      <c r="E1992" t="s">
        <v>20</v>
      </c>
      <c r="F1992" t="s">
        <v>34</v>
      </c>
      <c r="G1992" t="s">
        <v>16</v>
      </c>
      <c r="H1992">
        <v>320000</v>
      </c>
      <c r="I1992">
        <v>3</v>
      </c>
      <c r="J1992" t="s">
        <v>28</v>
      </c>
      <c r="K1992">
        <f t="shared" si="31"/>
        <v>256000</v>
      </c>
      <c r="L1992">
        <f>Sales_Data2[[#This Row],[Unit Price]]*Sales_Data2[[#This Row],[Quantity]]</f>
        <v>960000</v>
      </c>
      <c r="M1992">
        <f>Sales_Data2[[#This Row],[Cost Price]]*Sales_Data2[[#This Row],[Quantity]]</f>
        <v>768000</v>
      </c>
      <c r="N1992" s="3">
        <f>Sales_Data2[[#This Row],[Revenue]]-Sales_Data2[[#This Row],[COGS]]</f>
        <v>192000</v>
      </c>
      <c r="O19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47666|South|Lagos|Corporate|Store|Sofa Classic|Furniture|320000|3|Musa|256000</v>
      </c>
      <c r="P1992" s="3" t="str">
        <f>IF(COUNTIF(Sales_Data2[RowKey],Sales_Data2[[#This Row],[RowKey]])&gt;1,"Duplicate","Unique")</f>
        <v>Unique</v>
      </c>
      <c r="Q1992" s="3" t="str">
        <f>IF(ISNUMBER(Sales_Data2[[#This Row],[Date]]),"OK","Check")</f>
        <v>OK</v>
      </c>
      <c r="R1992" s="3" t="str">
        <f>IF(ISNUMBER(Sales_Data2[[#This Row],[Quantity]]),"OK","Check")</f>
        <v>OK</v>
      </c>
    </row>
    <row r="1993" spans="1:18">
      <c r="A1993" s="1">
        <v>47667</v>
      </c>
      <c r="B1993" t="s">
        <v>11</v>
      </c>
      <c r="C1993" t="s">
        <v>12</v>
      </c>
      <c r="D1993" t="s">
        <v>23</v>
      </c>
      <c r="E1993" t="s">
        <v>14</v>
      </c>
      <c r="F1993" t="s">
        <v>36</v>
      </c>
      <c r="G1993" t="s">
        <v>31</v>
      </c>
      <c r="H1993">
        <v>150000</v>
      </c>
      <c r="I1993">
        <v>6</v>
      </c>
      <c r="J1993" t="s">
        <v>35</v>
      </c>
      <c r="K1993">
        <f t="shared" si="31"/>
        <v>120000</v>
      </c>
      <c r="L1993">
        <f>Sales_Data2[[#This Row],[Unit Price]]*Sales_Data2[[#This Row],[Quantity]]</f>
        <v>900000</v>
      </c>
      <c r="M1993">
        <f>Sales_Data2[[#This Row],[Cost Price]]*Sales_Data2[[#This Row],[Quantity]]</f>
        <v>720000</v>
      </c>
      <c r="N1993" s="3">
        <f>Sales_Data2[[#This Row],[Revenue]]-Sales_Data2[[#This Row],[COGS]]</f>
        <v>180000</v>
      </c>
      <c r="O19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47667|West|Port Harcourt|Corporate|Online|Printer P50|Electronics|150000|6|Peter|120000</v>
      </c>
      <c r="P1993" s="3" t="str">
        <f>IF(COUNTIF(Sales_Data2[RowKey],Sales_Data2[[#This Row],[RowKey]])&gt;1,"Duplicate","Unique")</f>
        <v>Unique</v>
      </c>
      <c r="Q1993" s="3" t="str">
        <f>IF(ISNUMBER(Sales_Data2[[#This Row],[Date]]),"OK","Check")</f>
        <v>OK</v>
      </c>
      <c r="R1993" s="3" t="str">
        <f>IF(ISNUMBER(Sales_Data2[[#This Row],[Quantity]]),"OK","Check")</f>
        <v>OK</v>
      </c>
    </row>
    <row r="1994" spans="1:18">
      <c r="A1994" s="1">
        <v>47668</v>
      </c>
      <c r="B1994" t="s">
        <v>18</v>
      </c>
      <c r="C1994" t="s">
        <v>19</v>
      </c>
      <c r="D1994" t="s">
        <v>13</v>
      </c>
      <c r="E1994" t="s">
        <v>14</v>
      </c>
      <c r="F1994" t="s">
        <v>33</v>
      </c>
      <c r="G1994" t="s">
        <v>22</v>
      </c>
      <c r="H1994">
        <v>180000</v>
      </c>
      <c r="I1994">
        <v>9</v>
      </c>
      <c r="J1994" t="s">
        <v>39</v>
      </c>
      <c r="K1994">
        <f t="shared" si="31"/>
        <v>144000</v>
      </c>
      <c r="L1994">
        <f>Sales_Data2[[#This Row],[Unit Price]]*Sales_Data2[[#This Row],[Quantity]]</f>
        <v>1620000</v>
      </c>
      <c r="M1994">
        <f>Sales_Data2[[#This Row],[Cost Price]]*Sales_Data2[[#This Row],[Quantity]]</f>
        <v>1296000</v>
      </c>
      <c r="N1994" s="3">
        <f>Sales_Data2[[#This Row],[Revenue]]-Sales_Data2[[#This Row],[COGS]]</f>
        <v>324000</v>
      </c>
      <c r="O19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47668|East|Lagos|Retail|Online|Air Conditioner X2|Home Appliances|180000|9|Grace|144000</v>
      </c>
      <c r="P1994" s="3" t="str">
        <f>IF(COUNTIF(Sales_Data2[RowKey],Sales_Data2[[#This Row],[RowKey]])&gt;1,"Duplicate","Unique")</f>
        <v>Unique</v>
      </c>
      <c r="Q1994" s="3" t="str">
        <f>IF(ISNUMBER(Sales_Data2[[#This Row],[Date]]),"OK","Check")</f>
        <v>OK</v>
      </c>
      <c r="R1994" s="3" t="str">
        <f>IF(ISNUMBER(Sales_Data2[[#This Row],[Quantity]]),"OK","Check")</f>
        <v>OK</v>
      </c>
    </row>
    <row r="1995" spans="1:18">
      <c r="A1995" s="1">
        <v>47669</v>
      </c>
      <c r="B1995" t="s">
        <v>25</v>
      </c>
      <c r="C1995" t="s">
        <v>32</v>
      </c>
      <c r="D1995" t="s">
        <v>13</v>
      </c>
      <c r="E1995" t="s">
        <v>14</v>
      </c>
      <c r="F1995" t="s">
        <v>27</v>
      </c>
      <c r="G1995" t="s">
        <v>22</v>
      </c>
      <c r="H1995">
        <v>60000</v>
      </c>
      <c r="I1995">
        <v>2</v>
      </c>
      <c r="J1995" t="s">
        <v>35</v>
      </c>
      <c r="K1995">
        <f t="shared" si="31"/>
        <v>48000</v>
      </c>
      <c r="L1995">
        <f>Sales_Data2[[#This Row],[Unit Price]]*Sales_Data2[[#This Row],[Quantity]]</f>
        <v>120000</v>
      </c>
      <c r="M1995">
        <f>Sales_Data2[[#This Row],[Cost Price]]*Sales_Data2[[#This Row],[Quantity]]</f>
        <v>96000</v>
      </c>
      <c r="N1995" s="3">
        <f>Sales_Data2[[#This Row],[Revenue]]-Sales_Data2[[#This Row],[COGS]]</f>
        <v>24000</v>
      </c>
      <c r="O19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47669|South|Abuja|Retail|Online|Microwave M20|Home Appliances|60000|2|Peter|48000</v>
      </c>
      <c r="P1995" s="3" t="str">
        <f>IF(COUNTIF(Sales_Data2[RowKey],Sales_Data2[[#This Row],[RowKey]])&gt;1,"Duplicate","Unique")</f>
        <v>Unique</v>
      </c>
      <c r="Q1995" s="3" t="str">
        <f>IF(ISNUMBER(Sales_Data2[[#This Row],[Date]]),"OK","Check")</f>
        <v>OK</v>
      </c>
      <c r="R1995" s="3" t="str">
        <f>IF(ISNUMBER(Sales_Data2[[#This Row],[Quantity]]),"OK","Check")</f>
        <v>OK</v>
      </c>
    </row>
    <row r="1996" spans="1:18">
      <c r="A1996" s="1">
        <v>47670</v>
      </c>
      <c r="B1996" t="s">
        <v>18</v>
      </c>
      <c r="C1996" t="s">
        <v>26</v>
      </c>
      <c r="D1996" t="s">
        <v>13</v>
      </c>
      <c r="E1996" t="s">
        <v>20</v>
      </c>
      <c r="F1996" t="s">
        <v>36</v>
      </c>
      <c r="G1996" t="s">
        <v>31</v>
      </c>
      <c r="H1996">
        <v>150000</v>
      </c>
      <c r="I1996">
        <v>5</v>
      </c>
      <c r="J1996" t="s">
        <v>35</v>
      </c>
      <c r="K1996">
        <f t="shared" si="31"/>
        <v>120000</v>
      </c>
      <c r="L1996">
        <f>Sales_Data2[[#This Row],[Unit Price]]*Sales_Data2[[#This Row],[Quantity]]</f>
        <v>750000</v>
      </c>
      <c r="M1996">
        <f>Sales_Data2[[#This Row],[Cost Price]]*Sales_Data2[[#This Row],[Quantity]]</f>
        <v>600000</v>
      </c>
      <c r="N1996" s="3">
        <f>Sales_Data2[[#This Row],[Revenue]]-Sales_Data2[[#This Row],[COGS]]</f>
        <v>150000</v>
      </c>
      <c r="O19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47670|East|Kano|Retail|Store|Printer P50|Electronics|150000|5|Peter|120000</v>
      </c>
      <c r="P1996" s="3" t="str">
        <f>IF(COUNTIF(Sales_Data2[RowKey],Sales_Data2[[#This Row],[RowKey]])&gt;1,"Duplicate","Unique")</f>
        <v>Unique</v>
      </c>
      <c r="Q1996" s="3" t="str">
        <f>IF(ISNUMBER(Sales_Data2[[#This Row],[Date]]),"OK","Check")</f>
        <v>OK</v>
      </c>
      <c r="R1996" s="3" t="str">
        <f>IF(ISNUMBER(Sales_Data2[[#This Row],[Quantity]]),"OK","Check")</f>
        <v>OK</v>
      </c>
    </row>
    <row r="1997" spans="1:18">
      <c r="A1997" s="1">
        <v>47671</v>
      </c>
      <c r="B1997" t="s">
        <v>18</v>
      </c>
      <c r="C1997" t="s">
        <v>26</v>
      </c>
      <c r="D1997" t="s">
        <v>13</v>
      </c>
      <c r="E1997" t="s">
        <v>20</v>
      </c>
      <c r="F1997" t="s">
        <v>33</v>
      </c>
      <c r="G1997" t="s">
        <v>22</v>
      </c>
      <c r="H1997">
        <v>180000</v>
      </c>
      <c r="I1997">
        <v>10</v>
      </c>
      <c r="J1997" t="s">
        <v>35</v>
      </c>
      <c r="K1997">
        <f t="shared" si="31"/>
        <v>144000</v>
      </c>
      <c r="L1997">
        <f>Sales_Data2[[#This Row],[Unit Price]]*Sales_Data2[[#This Row],[Quantity]]</f>
        <v>1800000</v>
      </c>
      <c r="M1997">
        <f>Sales_Data2[[#This Row],[Cost Price]]*Sales_Data2[[#This Row],[Quantity]]</f>
        <v>1440000</v>
      </c>
      <c r="N1997" s="3">
        <f>Sales_Data2[[#This Row],[Revenue]]-Sales_Data2[[#This Row],[COGS]]</f>
        <v>360000</v>
      </c>
      <c r="O19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47671|East|Kano|Retail|Store|Air Conditioner X2|Home Appliances|180000|10|Peter|144000</v>
      </c>
      <c r="P1997" s="3" t="str">
        <f>IF(COUNTIF(Sales_Data2[RowKey],Sales_Data2[[#This Row],[RowKey]])&gt;1,"Duplicate","Unique")</f>
        <v>Unique</v>
      </c>
      <c r="Q1997" s="3" t="str">
        <f>IF(ISNUMBER(Sales_Data2[[#This Row],[Date]]),"OK","Check")</f>
        <v>OK</v>
      </c>
      <c r="R1997" s="3" t="str">
        <f>IF(ISNUMBER(Sales_Data2[[#This Row],[Quantity]]),"OK","Check")</f>
        <v>OK</v>
      </c>
    </row>
    <row r="1998" spans="1:18">
      <c r="A1998" s="1">
        <v>47672</v>
      </c>
      <c r="B1998" t="s">
        <v>11</v>
      </c>
      <c r="C1998" t="s">
        <v>12</v>
      </c>
      <c r="D1998" t="s">
        <v>13</v>
      </c>
      <c r="E1998" t="s">
        <v>14</v>
      </c>
      <c r="F1998" t="s">
        <v>15</v>
      </c>
      <c r="G1998" t="s">
        <v>16</v>
      </c>
      <c r="H1998">
        <v>85000</v>
      </c>
      <c r="I1998">
        <v>7</v>
      </c>
      <c r="J1998" t="s">
        <v>37</v>
      </c>
      <c r="K1998">
        <f t="shared" si="31"/>
        <v>68000</v>
      </c>
      <c r="L1998">
        <f>Sales_Data2[[#This Row],[Unit Price]]*Sales_Data2[[#This Row],[Quantity]]</f>
        <v>595000</v>
      </c>
      <c r="M1998">
        <f>Sales_Data2[[#This Row],[Cost Price]]*Sales_Data2[[#This Row],[Quantity]]</f>
        <v>476000</v>
      </c>
      <c r="N1998" s="3">
        <f>Sales_Data2[[#This Row],[Revenue]]-Sales_Data2[[#This Row],[COGS]]</f>
        <v>119000</v>
      </c>
      <c r="O19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47672|West|Port Harcourt|Retail|Online|Office Chair Pro|Furniture|85000|7|Aisha|68000</v>
      </c>
      <c r="P1998" s="3" t="str">
        <f>IF(COUNTIF(Sales_Data2[RowKey],Sales_Data2[[#This Row],[RowKey]])&gt;1,"Duplicate","Unique")</f>
        <v>Unique</v>
      </c>
      <c r="Q1998" s="3" t="str">
        <f>IF(ISNUMBER(Sales_Data2[[#This Row],[Date]]),"OK","Check")</f>
        <v>OK</v>
      </c>
      <c r="R1998" s="3" t="str">
        <f>IF(ISNUMBER(Sales_Data2[[#This Row],[Quantity]]),"OK","Check")</f>
        <v>OK</v>
      </c>
    </row>
    <row r="1999" spans="1:18">
      <c r="A1999" s="1">
        <v>47673</v>
      </c>
      <c r="B1999" t="s">
        <v>18</v>
      </c>
      <c r="C1999" t="s">
        <v>32</v>
      </c>
      <c r="D1999" t="s">
        <v>23</v>
      </c>
      <c r="E1999" t="s">
        <v>20</v>
      </c>
      <c r="F1999" t="s">
        <v>38</v>
      </c>
      <c r="G1999" t="s">
        <v>31</v>
      </c>
      <c r="H1999">
        <v>420000</v>
      </c>
      <c r="I1999">
        <v>3</v>
      </c>
      <c r="J1999" t="s">
        <v>24</v>
      </c>
      <c r="K1999">
        <f t="shared" si="31"/>
        <v>336000</v>
      </c>
      <c r="L1999">
        <f>Sales_Data2[[#This Row],[Unit Price]]*Sales_Data2[[#This Row],[Quantity]]</f>
        <v>1260000</v>
      </c>
      <c r="M1999">
        <f>Sales_Data2[[#This Row],[Cost Price]]*Sales_Data2[[#This Row],[Quantity]]</f>
        <v>1008000</v>
      </c>
      <c r="N1999" s="3">
        <f>Sales_Data2[[#This Row],[Revenue]]-Sales_Data2[[#This Row],[COGS]]</f>
        <v>252000</v>
      </c>
      <c r="O19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47673|East|Abuja|Corporate|Store|Laptop A13|Electronics|420000|3|David|336000</v>
      </c>
      <c r="P1999" s="3" t="str">
        <f>IF(COUNTIF(Sales_Data2[RowKey],Sales_Data2[[#This Row],[RowKey]])&gt;1,"Duplicate","Unique")</f>
        <v>Unique</v>
      </c>
      <c r="Q1999" s="3" t="str">
        <f>IF(ISNUMBER(Sales_Data2[[#This Row],[Date]]),"OK","Check")</f>
        <v>OK</v>
      </c>
      <c r="R1999" s="3" t="str">
        <f>IF(ISNUMBER(Sales_Data2[[#This Row],[Quantity]]),"OK","Check")</f>
        <v>OK</v>
      </c>
    </row>
    <row r="2000" spans="1:18">
      <c r="A2000" s="1">
        <v>47674</v>
      </c>
      <c r="B2000" t="s">
        <v>18</v>
      </c>
      <c r="C2000" t="s">
        <v>32</v>
      </c>
      <c r="D2000" t="s">
        <v>23</v>
      </c>
      <c r="E2000" t="s">
        <v>14</v>
      </c>
      <c r="F2000" t="s">
        <v>30</v>
      </c>
      <c r="G2000" t="s">
        <v>31</v>
      </c>
      <c r="H2000">
        <v>300000</v>
      </c>
      <c r="I2000">
        <v>2</v>
      </c>
      <c r="J2000" t="s">
        <v>37</v>
      </c>
      <c r="K2000">
        <f t="shared" si="31"/>
        <v>240000</v>
      </c>
      <c r="L2000">
        <f>Sales_Data2[[#This Row],[Unit Price]]*Sales_Data2[[#This Row],[Quantity]]</f>
        <v>600000</v>
      </c>
      <c r="M2000">
        <f>Sales_Data2[[#This Row],[Cost Price]]*Sales_Data2[[#This Row],[Quantity]]</f>
        <v>480000</v>
      </c>
      <c r="N2000" s="3">
        <f>Sales_Data2[[#This Row],[Revenue]]-Sales_Data2[[#This Row],[COGS]]</f>
        <v>120000</v>
      </c>
      <c r="O200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47674|East|Abuja|Corporate|Online|Desktop PC D21|Electronics|300000|2|Aisha|240000</v>
      </c>
      <c r="P2000" s="3" t="str">
        <f>IF(COUNTIF(Sales_Data2[RowKey],Sales_Data2[[#This Row],[RowKey]])&gt;1,"Duplicate","Unique")</f>
        <v>Unique</v>
      </c>
      <c r="Q2000" s="3" t="str">
        <f>IF(ISNUMBER(Sales_Data2[[#This Row],[Date]]),"OK","Check")</f>
        <v>OK</v>
      </c>
      <c r="R2000" s="3" t="str">
        <f>IF(ISNUMBER(Sales_Data2[[#This Row],[Quantity]]),"OK","Check")</f>
        <v>OK</v>
      </c>
    </row>
    <row r="2001" spans="1:18">
      <c r="A2001" s="1">
        <v>47675</v>
      </c>
      <c r="B2001" t="s">
        <v>18</v>
      </c>
      <c r="C2001" t="s">
        <v>19</v>
      </c>
      <c r="D2001" t="s">
        <v>23</v>
      </c>
      <c r="E2001" t="s">
        <v>14</v>
      </c>
      <c r="F2001" t="s">
        <v>40</v>
      </c>
      <c r="G2001" t="s">
        <v>31</v>
      </c>
      <c r="H2001">
        <v>250000</v>
      </c>
      <c r="I2001">
        <v>3</v>
      </c>
      <c r="J2001" t="s">
        <v>37</v>
      </c>
      <c r="K2001">
        <f t="shared" si="31"/>
        <v>200000</v>
      </c>
      <c r="L2001">
        <f>Sales_Data2[[#This Row],[Unit Price]]*Sales_Data2[[#This Row],[Quantity]]</f>
        <v>750000</v>
      </c>
      <c r="M2001">
        <f>Sales_Data2[[#This Row],[Cost Price]]*Sales_Data2[[#This Row],[Quantity]]</f>
        <v>600000</v>
      </c>
      <c r="N2001" s="3">
        <f>Sales_Data2[[#This Row],[Revenue]]-Sales_Data2[[#This Row],[COGS]]</f>
        <v>150000</v>
      </c>
      <c r="O200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47675|East|Lagos|Corporate|Online|Smartphone Z10|Electronics|250000|3|Aisha|200000</v>
      </c>
      <c r="P2001" s="3" t="str">
        <f>IF(COUNTIF(Sales_Data2[RowKey],Sales_Data2[[#This Row],[RowKey]])&gt;1,"Duplicate","Unique")</f>
        <v>Unique</v>
      </c>
      <c r="Q2001" s="3" t="str">
        <f>IF(ISNUMBER(Sales_Data2[[#This Row],[Date]]),"OK","Check")</f>
        <v>OK</v>
      </c>
      <c r="R2001" s="3" t="str">
        <f>IF(ISNUMBER(Sales_Data2[[#This Row],[Quantity]]),"OK","Check")</f>
        <v>OK</v>
      </c>
    </row>
    <row r="2002" spans="1:18">
      <c r="A2002" s="1">
        <v>47676</v>
      </c>
      <c r="B2002" t="s">
        <v>18</v>
      </c>
      <c r="C2002" t="s">
        <v>12</v>
      </c>
      <c r="D2002" t="s">
        <v>13</v>
      </c>
      <c r="E2002" t="s">
        <v>20</v>
      </c>
      <c r="F2002" t="s">
        <v>36</v>
      </c>
      <c r="G2002" t="s">
        <v>31</v>
      </c>
      <c r="H2002">
        <v>150000</v>
      </c>
      <c r="I2002">
        <v>7</v>
      </c>
      <c r="J2002" t="s">
        <v>24</v>
      </c>
      <c r="K2002">
        <f t="shared" si="31"/>
        <v>120000</v>
      </c>
      <c r="L2002">
        <f>Sales_Data2[[#This Row],[Unit Price]]*Sales_Data2[[#This Row],[Quantity]]</f>
        <v>1050000</v>
      </c>
      <c r="M2002">
        <f>Sales_Data2[[#This Row],[Cost Price]]*Sales_Data2[[#This Row],[Quantity]]</f>
        <v>840000</v>
      </c>
      <c r="N2002" s="3">
        <f>Sales_Data2[[#This Row],[Revenue]]-Sales_Data2[[#This Row],[COGS]]</f>
        <v>210000</v>
      </c>
      <c r="O200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47676|East|Port Harcourt|Retail|Store|Printer P50|Electronics|150000|7|David|120000</v>
      </c>
      <c r="P2002" s="3" t="str">
        <f>IF(COUNTIF(Sales_Data2[RowKey],Sales_Data2[[#This Row],[RowKey]])&gt;1,"Duplicate","Unique")</f>
        <v>Unique</v>
      </c>
      <c r="Q2002" s="3" t="str">
        <f>IF(ISNUMBER(Sales_Data2[[#This Row],[Date]]),"OK","Check")</f>
        <v>OK</v>
      </c>
      <c r="R2002" s="3" t="str">
        <f>IF(ISNUMBER(Sales_Data2[[#This Row],[Quantity]]),"OK","Check")</f>
        <v>OK</v>
      </c>
    </row>
    <row r="2003" spans="1:18">
      <c r="A2003" s="1">
        <v>47677</v>
      </c>
      <c r="B2003" t="s">
        <v>11</v>
      </c>
      <c r="C2003" t="s">
        <v>12</v>
      </c>
      <c r="D2003" t="s">
        <v>23</v>
      </c>
      <c r="E2003" t="s">
        <v>14</v>
      </c>
      <c r="F2003" t="s">
        <v>38</v>
      </c>
      <c r="G2003" t="s">
        <v>31</v>
      </c>
      <c r="H2003">
        <v>420000</v>
      </c>
      <c r="I2003">
        <v>7</v>
      </c>
      <c r="J2003" t="s">
        <v>35</v>
      </c>
      <c r="K2003">
        <f t="shared" si="31"/>
        <v>336000</v>
      </c>
      <c r="L2003">
        <f>Sales_Data2[[#This Row],[Unit Price]]*Sales_Data2[[#This Row],[Quantity]]</f>
        <v>2940000</v>
      </c>
      <c r="M2003">
        <f>Sales_Data2[[#This Row],[Cost Price]]*Sales_Data2[[#This Row],[Quantity]]</f>
        <v>2352000</v>
      </c>
      <c r="N2003" s="3">
        <f>Sales_Data2[[#This Row],[Revenue]]-Sales_Data2[[#This Row],[COGS]]</f>
        <v>588000</v>
      </c>
      <c r="O200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47677|West|Port Harcourt|Corporate|Online|Laptop A13|Electronics|420000|7|Peter|336000</v>
      </c>
      <c r="P2003" s="3" t="str">
        <f>IF(COUNTIF(Sales_Data2[RowKey],Sales_Data2[[#This Row],[RowKey]])&gt;1,"Duplicate","Unique")</f>
        <v>Unique</v>
      </c>
      <c r="Q2003" s="3" t="str">
        <f>IF(ISNUMBER(Sales_Data2[[#This Row],[Date]]),"OK","Check")</f>
        <v>OK</v>
      </c>
      <c r="R2003" s="3" t="str">
        <f>IF(ISNUMBER(Sales_Data2[[#This Row],[Quantity]]),"OK","Check")</f>
        <v>OK</v>
      </c>
    </row>
    <row r="2004" spans="1:18">
      <c r="A2004" s="1">
        <v>47678</v>
      </c>
      <c r="B2004" t="s">
        <v>25</v>
      </c>
      <c r="C2004" t="s">
        <v>19</v>
      </c>
      <c r="D2004" t="s">
        <v>13</v>
      </c>
      <c r="E2004" t="s">
        <v>20</v>
      </c>
      <c r="F2004" t="s">
        <v>33</v>
      </c>
      <c r="G2004" t="s">
        <v>22</v>
      </c>
      <c r="H2004">
        <v>180000</v>
      </c>
      <c r="I2004">
        <v>7</v>
      </c>
      <c r="J2004" t="s">
        <v>28</v>
      </c>
      <c r="K2004">
        <f t="shared" si="31"/>
        <v>144000</v>
      </c>
      <c r="L2004">
        <f>Sales_Data2[[#This Row],[Unit Price]]*Sales_Data2[[#This Row],[Quantity]]</f>
        <v>1260000</v>
      </c>
      <c r="M2004">
        <f>Sales_Data2[[#This Row],[Cost Price]]*Sales_Data2[[#This Row],[Quantity]]</f>
        <v>1008000</v>
      </c>
      <c r="N2004" s="3">
        <f>Sales_Data2[[#This Row],[Revenue]]-Sales_Data2[[#This Row],[COGS]]</f>
        <v>252000</v>
      </c>
      <c r="O200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47678|South|Lagos|Retail|Store|Air Conditioner X2|Home Appliances|180000|7|Musa|144000</v>
      </c>
      <c r="P2004" s="3" t="str">
        <f>IF(COUNTIF(Sales_Data2[RowKey],Sales_Data2[[#This Row],[RowKey]])&gt;1,"Duplicate","Unique")</f>
        <v>Unique</v>
      </c>
      <c r="Q2004" s="3" t="str">
        <f>IF(ISNUMBER(Sales_Data2[[#This Row],[Date]]),"OK","Check")</f>
        <v>OK</v>
      </c>
      <c r="R2004" s="3" t="str">
        <f>IF(ISNUMBER(Sales_Data2[[#This Row],[Quantity]]),"OK","Check")</f>
        <v>OK</v>
      </c>
    </row>
    <row r="2005" spans="1:18">
      <c r="A2005" s="1">
        <v>47679</v>
      </c>
      <c r="B2005" t="s">
        <v>11</v>
      </c>
      <c r="C2005" t="s">
        <v>12</v>
      </c>
      <c r="D2005" t="s">
        <v>13</v>
      </c>
      <c r="E2005" t="s">
        <v>20</v>
      </c>
      <c r="F2005" t="s">
        <v>34</v>
      </c>
      <c r="G2005" t="s">
        <v>16</v>
      </c>
      <c r="H2005">
        <v>320000</v>
      </c>
      <c r="I2005">
        <v>2</v>
      </c>
      <c r="J2005" t="s">
        <v>39</v>
      </c>
      <c r="K2005">
        <f t="shared" si="31"/>
        <v>256000</v>
      </c>
      <c r="L2005">
        <f>Sales_Data2[[#This Row],[Unit Price]]*Sales_Data2[[#This Row],[Quantity]]</f>
        <v>640000</v>
      </c>
      <c r="M2005">
        <f>Sales_Data2[[#This Row],[Cost Price]]*Sales_Data2[[#This Row],[Quantity]]</f>
        <v>512000</v>
      </c>
      <c r="N2005" s="3">
        <f>Sales_Data2[[#This Row],[Revenue]]-Sales_Data2[[#This Row],[COGS]]</f>
        <v>128000</v>
      </c>
      <c r="O200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47679|West|Port Harcourt|Retail|Store|Sofa Classic|Furniture|320000|2|Grace|256000</v>
      </c>
      <c r="P2005" s="3" t="str">
        <f>IF(COUNTIF(Sales_Data2[RowKey],Sales_Data2[[#This Row],[RowKey]])&gt;1,"Duplicate","Unique")</f>
        <v>Unique</v>
      </c>
      <c r="Q2005" s="3" t="str">
        <f>IF(ISNUMBER(Sales_Data2[[#This Row],[Date]]),"OK","Check")</f>
        <v>OK</v>
      </c>
      <c r="R2005" s="3" t="str">
        <f>IF(ISNUMBER(Sales_Data2[[#This Row],[Quantity]]),"OK","Check")</f>
        <v>OK</v>
      </c>
    </row>
    <row r="2006" spans="1:18">
      <c r="A2006" s="1">
        <v>47680</v>
      </c>
      <c r="B2006" t="s">
        <v>29</v>
      </c>
      <c r="C2006" t="s">
        <v>12</v>
      </c>
      <c r="D2006" t="s">
        <v>23</v>
      </c>
      <c r="E2006" t="s">
        <v>20</v>
      </c>
      <c r="F2006" t="s">
        <v>34</v>
      </c>
      <c r="G2006" t="s">
        <v>16</v>
      </c>
      <c r="H2006">
        <v>320000</v>
      </c>
      <c r="I2006">
        <v>6</v>
      </c>
      <c r="J2006" t="s">
        <v>39</v>
      </c>
      <c r="K2006">
        <f t="shared" si="31"/>
        <v>256000</v>
      </c>
      <c r="L2006">
        <f>Sales_Data2[[#This Row],[Unit Price]]*Sales_Data2[[#This Row],[Quantity]]</f>
        <v>1920000</v>
      </c>
      <c r="M2006">
        <f>Sales_Data2[[#This Row],[Cost Price]]*Sales_Data2[[#This Row],[Quantity]]</f>
        <v>1536000</v>
      </c>
      <c r="N2006" s="3">
        <f>Sales_Data2[[#This Row],[Revenue]]-Sales_Data2[[#This Row],[COGS]]</f>
        <v>384000</v>
      </c>
      <c r="O200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47680|North|Port Harcourt|Corporate|Store|Sofa Classic|Furniture|320000|6|Grace|256000</v>
      </c>
      <c r="P2006" s="3" t="str">
        <f>IF(COUNTIF(Sales_Data2[RowKey],Sales_Data2[[#This Row],[RowKey]])&gt;1,"Duplicate","Unique")</f>
        <v>Unique</v>
      </c>
      <c r="Q2006" s="3" t="str">
        <f>IF(ISNUMBER(Sales_Data2[[#This Row],[Date]]),"OK","Check")</f>
        <v>OK</v>
      </c>
      <c r="R2006" s="3" t="str">
        <f>IF(ISNUMBER(Sales_Data2[[#This Row],[Quantity]]),"OK","Check")</f>
        <v>OK</v>
      </c>
    </row>
    <row r="2007" spans="1:18">
      <c r="A2007" s="1">
        <v>47681</v>
      </c>
      <c r="B2007" t="s">
        <v>18</v>
      </c>
      <c r="C2007" t="s">
        <v>26</v>
      </c>
      <c r="D2007" t="s">
        <v>23</v>
      </c>
      <c r="E2007" t="s">
        <v>14</v>
      </c>
      <c r="F2007" t="s">
        <v>21</v>
      </c>
      <c r="G2007" t="s">
        <v>22</v>
      </c>
      <c r="H2007">
        <v>30000</v>
      </c>
      <c r="I2007">
        <v>3</v>
      </c>
      <c r="J2007" t="s">
        <v>37</v>
      </c>
      <c r="K2007">
        <f t="shared" si="31"/>
        <v>24000</v>
      </c>
      <c r="L2007">
        <f>Sales_Data2[[#This Row],[Unit Price]]*Sales_Data2[[#This Row],[Quantity]]</f>
        <v>90000</v>
      </c>
      <c r="M2007">
        <f>Sales_Data2[[#This Row],[Cost Price]]*Sales_Data2[[#This Row],[Quantity]]</f>
        <v>72000</v>
      </c>
      <c r="N2007" s="3">
        <f>Sales_Data2[[#This Row],[Revenue]]-Sales_Data2[[#This Row],[COGS]]</f>
        <v>18000</v>
      </c>
      <c r="O200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47681|East|Kano|Corporate|Online|Blender B10|Home Appliances|30000|3|Aisha|24000</v>
      </c>
      <c r="P2007" s="3" t="str">
        <f>IF(COUNTIF(Sales_Data2[RowKey],Sales_Data2[[#This Row],[RowKey]])&gt;1,"Duplicate","Unique")</f>
        <v>Unique</v>
      </c>
      <c r="Q2007" s="3" t="str">
        <f>IF(ISNUMBER(Sales_Data2[[#This Row],[Date]]),"OK","Check")</f>
        <v>OK</v>
      </c>
      <c r="R2007" s="3" t="str">
        <f>IF(ISNUMBER(Sales_Data2[[#This Row],[Quantity]]),"OK","Check")</f>
        <v>OK</v>
      </c>
    </row>
    <row r="2008" spans="1:18">
      <c r="A2008" s="1">
        <v>47682</v>
      </c>
      <c r="B2008" t="s">
        <v>29</v>
      </c>
      <c r="C2008" t="s">
        <v>12</v>
      </c>
      <c r="D2008" t="s">
        <v>13</v>
      </c>
      <c r="E2008" t="s">
        <v>14</v>
      </c>
      <c r="F2008" t="s">
        <v>38</v>
      </c>
      <c r="G2008" t="s">
        <v>31</v>
      </c>
      <c r="H2008">
        <v>420000</v>
      </c>
      <c r="I2008">
        <v>3</v>
      </c>
      <c r="J2008" t="s">
        <v>17</v>
      </c>
      <c r="K2008">
        <f t="shared" si="31"/>
        <v>336000</v>
      </c>
      <c r="L2008">
        <f>Sales_Data2[[#This Row],[Unit Price]]*Sales_Data2[[#This Row],[Quantity]]</f>
        <v>1260000</v>
      </c>
      <c r="M2008">
        <f>Sales_Data2[[#This Row],[Cost Price]]*Sales_Data2[[#This Row],[Quantity]]</f>
        <v>1008000</v>
      </c>
      <c r="N2008" s="3">
        <f>Sales_Data2[[#This Row],[Revenue]]-Sales_Data2[[#This Row],[COGS]]</f>
        <v>252000</v>
      </c>
      <c r="O200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47682|North|Port Harcourt|Retail|Online|Laptop A13|Electronics|420000|3|Chidinma|336000</v>
      </c>
      <c r="P2008" s="3" t="str">
        <f>IF(COUNTIF(Sales_Data2[RowKey],Sales_Data2[[#This Row],[RowKey]])&gt;1,"Duplicate","Unique")</f>
        <v>Unique</v>
      </c>
      <c r="Q2008" s="3" t="str">
        <f>IF(ISNUMBER(Sales_Data2[[#This Row],[Date]]),"OK","Check")</f>
        <v>OK</v>
      </c>
      <c r="R2008" s="3" t="str">
        <f>IF(ISNUMBER(Sales_Data2[[#This Row],[Quantity]]),"OK","Check")</f>
        <v>OK</v>
      </c>
    </row>
    <row r="2009" spans="1:18">
      <c r="A2009" s="1">
        <v>47683</v>
      </c>
      <c r="B2009" t="s">
        <v>25</v>
      </c>
      <c r="C2009" t="s">
        <v>19</v>
      </c>
      <c r="D2009" t="s">
        <v>13</v>
      </c>
      <c r="E2009" t="s">
        <v>20</v>
      </c>
      <c r="F2009" t="s">
        <v>21</v>
      </c>
      <c r="G2009" t="s">
        <v>22</v>
      </c>
      <c r="H2009">
        <v>30000</v>
      </c>
      <c r="I2009">
        <v>9</v>
      </c>
      <c r="J2009" t="s">
        <v>35</v>
      </c>
      <c r="K2009">
        <f t="shared" si="31"/>
        <v>24000</v>
      </c>
      <c r="L2009">
        <f>Sales_Data2[[#This Row],[Unit Price]]*Sales_Data2[[#This Row],[Quantity]]</f>
        <v>270000</v>
      </c>
      <c r="M2009">
        <f>Sales_Data2[[#This Row],[Cost Price]]*Sales_Data2[[#This Row],[Quantity]]</f>
        <v>216000</v>
      </c>
      <c r="N2009" s="3">
        <f>Sales_Data2[[#This Row],[Revenue]]-Sales_Data2[[#This Row],[COGS]]</f>
        <v>54000</v>
      </c>
      <c r="O200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47683|South|Lagos|Retail|Store|Blender B10|Home Appliances|30000|9|Peter|24000</v>
      </c>
      <c r="P2009" s="3" t="str">
        <f>IF(COUNTIF(Sales_Data2[RowKey],Sales_Data2[[#This Row],[RowKey]])&gt;1,"Duplicate","Unique")</f>
        <v>Unique</v>
      </c>
      <c r="Q2009" s="3" t="str">
        <f>IF(ISNUMBER(Sales_Data2[[#This Row],[Date]]),"OK","Check")</f>
        <v>OK</v>
      </c>
      <c r="R2009" s="3" t="str">
        <f>IF(ISNUMBER(Sales_Data2[[#This Row],[Quantity]]),"OK","Check")</f>
        <v>OK</v>
      </c>
    </row>
    <row r="2010" spans="1:18">
      <c r="A2010" s="1">
        <v>47684</v>
      </c>
      <c r="B2010" t="s">
        <v>18</v>
      </c>
      <c r="C2010" t="s">
        <v>12</v>
      </c>
      <c r="D2010" t="s">
        <v>23</v>
      </c>
      <c r="E2010" t="s">
        <v>20</v>
      </c>
      <c r="F2010" t="s">
        <v>34</v>
      </c>
      <c r="G2010" t="s">
        <v>16</v>
      </c>
      <c r="H2010">
        <v>320000</v>
      </c>
      <c r="I2010">
        <v>4</v>
      </c>
      <c r="J2010" t="s">
        <v>17</v>
      </c>
      <c r="K2010">
        <f t="shared" si="31"/>
        <v>256000</v>
      </c>
      <c r="L2010">
        <f>Sales_Data2[[#This Row],[Unit Price]]*Sales_Data2[[#This Row],[Quantity]]</f>
        <v>1280000</v>
      </c>
      <c r="M2010">
        <f>Sales_Data2[[#This Row],[Cost Price]]*Sales_Data2[[#This Row],[Quantity]]</f>
        <v>1024000</v>
      </c>
      <c r="N2010" s="3">
        <f>Sales_Data2[[#This Row],[Revenue]]-Sales_Data2[[#This Row],[COGS]]</f>
        <v>256000</v>
      </c>
      <c r="O201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47684|East|Port Harcourt|Corporate|Store|Sofa Classic|Furniture|320000|4|Chidinma|256000</v>
      </c>
      <c r="P2010" s="3" t="str">
        <f>IF(COUNTIF(Sales_Data2[RowKey],Sales_Data2[[#This Row],[RowKey]])&gt;1,"Duplicate","Unique")</f>
        <v>Unique</v>
      </c>
      <c r="Q2010" s="3" t="str">
        <f>IF(ISNUMBER(Sales_Data2[[#This Row],[Date]]),"OK","Check")</f>
        <v>OK</v>
      </c>
      <c r="R2010" s="3" t="str">
        <f>IF(ISNUMBER(Sales_Data2[[#This Row],[Quantity]]),"OK","Check")</f>
        <v>OK</v>
      </c>
    </row>
    <row r="2011" spans="1:18">
      <c r="A2011" s="1">
        <v>47685</v>
      </c>
      <c r="B2011" t="s">
        <v>29</v>
      </c>
      <c r="C2011" t="s">
        <v>32</v>
      </c>
      <c r="D2011" t="s">
        <v>23</v>
      </c>
      <c r="E2011" t="s">
        <v>20</v>
      </c>
      <c r="F2011" t="s">
        <v>36</v>
      </c>
      <c r="G2011" t="s">
        <v>31</v>
      </c>
      <c r="H2011">
        <v>150000</v>
      </c>
      <c r="I2011">
        <v>5</v>
      </c>
      <c r="J2011" t="s">
        <v>24</v>
      </c>
      <c r="K2011">
        <f t="shared" si="31"/>
        <v>120000</v>
      </c>
      <c r="L2011">
        <f>Sales_Data2[[#This Row],[Unit Price]]*Sales_Data2[[#This Row],[Quantity]]</f>
        <v>750000</v>
      </c>
      <c r="M2011">
        <f>Sales_Data2[[#This Row],[Cost Price]]*Sales_Data2[[#This Row],[Quantity]]</f>
        <v>600000</v>
      </c>
      <c r="N2011" s="3">
        <f>Sales_Data2[[#This Row],[Revenue]]-Sales_Data2[[#This Row],[COGS]]</f>
        <v>150000</v>
      </c>
      <c r="O201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47685|North|Abuja|Corporate|Store|Printer P50|Electronics|150000|5|David|120000</v>
      </c>
      <c r="P2011" s="3" t="str">
        <f>IF(COUNTIF(Sales_Data2[RowKey],Sales_Data2[[#This Row],[RowKey]])&gt;1,"Duplicate","Unique")</f>
        <v>Unique</v>
      </c>
      <c r="Q2011" s="3" t="str">
        <f>IF(ISNUMBER(Sales_Data2[[#This Row],[Date]]),"OK","Check")</f>
        <v>OK</v>
      </c>
      <c r="R2011" s="3" t="str">
        <f>IF(ISNUMBER(Sales_Data2[[#This Row],[Quantity]]),"OK","Check")</f>
        <v>OK</v>
      </c>
    </row>
    <row r="2012" spans="1:18">
      <c r="A2012" s="1">
        <v>47686</v>
      </c>
      <c r="B2012" t="s">
        <v>25</v>
      </c>
      <c r="C2012" t="s">
        <v>12</v>
      </c>
      <c r="D2012" t="s">
        <v>23</v>
      </c>
      <c r="E2012" t="s">
        <v>20</v>
      </c>
      <c r="F2012" t="s">
        <v>15</v>
      </c>
      <c r="G2012" t="s">
        <v>16</v>
      </c>
      <c r="H2012">
        <v>85000</v>
      </c>
      <c r="I2012">
        <v>8</v>
      </c>
      <c r="J2012" t="s">
        <v>35</v>
      </c>
      <c r="K2012">
        <f t="shared" si="31"/>
        <v>68000</v>
      </c>
      <c r="L2012">
        <f>Sales_Data2[[#This Row],[Unit Price]]*Sales_Data2[[#This Row],[Quantity]]</f>
        <v>680000</v>
      </c>
      <c r="M2012">
        <f>Sales_Data2[[#This Row],[Cost Price]]*Sales_Data2[[#This Row],[Quantity]]</f>
        <v>544000</v>
      </c>
      <c r="N2012" s="3">
        <f>Sales_Data2[[#This Row],[Revenue]]-Sales_Data2[[#This Row],[COGS]]</f>
        <v>136000</v>
      </c>
      <c r="O201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47686|South|Port Harcourt|Corporate|Store|Office Chair Pro|Furniture|85000|8|Peter|68000</v>
      </c>
      <c r="P2012" s="3" t="str">
        <f>IF(COUNTIF(Sales_Data2[RowKey],Sales_Data2[[#This Row],[RowKey]])&gt;1,"Duplicate","Unique")</f>
        <v>Unique</v>
      </c>
      <c r="Q2012" s="3" t="str">
        <f>IF(ISNUMBER(Sales_Data2[[#This Row],[Date]]),"OK","Check")</f>
        <v>OK</v>
      </c>
      <c r="R2012" s="3" t="str">
        <f>IF(ISNUMBER(Sales_Data2[[#This Row],[Quantity]]),"OK","Check")</f>
        <v>OK</v>
      </c>
    </row>
    <row r="2013" spans="1:18">
      <c r="A2013" s="1">
        <v>47687</v>
      </c>
      <c r="B2013" t="s">
        <v>29</v>
      </c>
      <c r="C2013" t="s">
        <v>32</v>
      </c>
      <c r="D2013" t="s">
        <v>13</v>
      </c>
      <c r="E2013" t="s">
        <v>20</v>
      </c>
      <c r="F2013" t="s">
        <v>27</v>
      </c>
      <c r="G2013" t="s">
        <v>22</v>
      </c>
      <c r="H2013">
        <v>60000</v>
      </c>
      <c r="I2013">
        <v>1</v>
      </c>
      <c r="J2013" t="s">
        <v>17</v>
      </c>
      <c r="K2013">
        <f t="shared" si="31"/>
        <v>48000</v>
      </c>
      <c r="L2013">
        <f>Sales_Data2[[#This Row],[Unit Price]]*Sales_Data2[[#This Row],[Quantity]]</f>
        <v>60000</v>
      </c>
      <c r="M2013">
        <f>Sales_Data2[[#This Row],[Cost Price]]*Sales_Data2[[#This Row],[Quantity]]</f>
        <v>48000</v>
      </c>
      <c r="N2013" s="3">
        <f>Sales_Data2[[#This Row],[Revenue]]-Sales_Data2[[#This Row],[COGS]]</f>
        <v>12000</v>
      </c>
      <c r="O201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47687|North|Abuja|Retail|Store|Microwave M20|Home Appliances|60000|1|Chidinma|48000</v>
      </c>
      <c r="P2013" s="3" t="str">
        <f>IF(COUNTIF(Sales_Data2[RowKey],Sales_Data2[[#This Row],[RowKey]])&gt;1,"Duplicate","Unique")</f>
        <v>Unique</v>
      </c>
      <c r="Q2013" s="3" t="str">
        <f>IF(ISNUMBER(Sales_Data2[[#This Row],[Date]]),"OK","Check")</f>
        <v>OK</v>
      </c>
      <c r="R2013" s="3" t="str">
        <f>IF(ISNUMBER(Sales_Data2[[#This Row],[Quantity]]),"OK","Check")</f>
        <v>OK</v>
      </c>
    </row>
    <row r="2014" spans="1:18">
      <c r="A2014" s="1">
        <v>47688</v>
      </c>
      <c r="B2014" t="s">
        <v>25</v>
      </c>
      <c r="C2014" t="s">
        <v>19</v>
      </c>
      <c r="D2014" t="s">
        <v>13</v>
      </c>
      <c r="E2014" t="s">
        <v>14</v>
      </c>
      <c r="F2014" t="s">
        <v>41</v>
      </c>
      <c r="G2014" t="s">
        <v>22</v>
      </c>
      <c r="H2014">
        <v>220000</v>
      </c>
      <c r="I2014">
        <v>3</v>
      </c>
      <c r="J2014" t="s">
        <v>28</v>
      </c>
      <c r="K2014">
        <f t="shared" si="31"/>
        <v>176000</v>
      </c>
      <c r="L2014">
        <f>Sales_Data2[[#This Row],[Unit Price]]*Sales_Data2[[#This Row],[Quantity]]</f>
        <v>660000</v>
      </c>
      <c r="M2014">
        <f>Sales_Data2[[#This Row],[Cost Price]]*Sales_Data2[[#This Row],[Quantity]]</f>
        <v>528000</v>
      </c>
      <c r="N2014" s="3">
        <f>Sales_Data2[[#This Row],[Revenue]]-Sales_Data2[[#This Row],[COGS]]</f>
        <v>132000</v>
      </c>
      <c r="O201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47688|South|Lagos|Retail|Online|Refrigerator R55|Home Appliances|220000|3|Musa|176000</v>
      </c>
      <c r="P2014" s="3" t="str">
        <f>IF(COUNTIF(Sales_Data2[RowKey],Sales_Data2[[#This Row],[RowKey]])&gt;1,"Duplicate","Unique")</f>
        <v>Unique</v>
      </c>
      <c r="Q2014" s="3" t="str">
        <f>IF(ISNUMBER(Sales_Data2[[#This Row],[Date]]),"OK","Check")</f>
        <v>OK</v>
      </c>
      <c r="R2014" s="3" t="str">
        <f>IF(ISNUMBER(Sales_Data2[[#This Row],[Quantity]]),"OK","Check")</f>
        <v>OK</v>
      </c>
    </row>
    <row r="2015" spans="1:18">
      <c r="A2015" s="1">
        <v>47689</v>
      </c>
      <c r="B2015" t="s">
        <v>11</v>
      </c>
      <c r="C2015" t="s">
        <v>32</v>
      </c>
      <c r="D2015" t="s">
        <v>23</v>
      </c>
      <c r="E2015" t="s">
        <v>14</v>
      </c>
      <c r="F2015" t="s">
        <v>33</v>
      </c>
      <c r="G2015" t="s">
        <v>22</v>
      </c>
      <c r="H2015">
        <v>180000</v>
      </c>
      <c r="I2015">
        <v>2</v>
      </c>
      <c r="J2015" t="s">
        <v>37</v>
      </c>
      <c r="K2015">
        <f t="shared" si="31"/>
        <v>144000</v>
      </c>
      <c r="L2015">
        <f>Sales_Data2[[#This Row],[Unit Price]]*Sales_Data2[[#This Row],[Quantity]]</f>
        <v>360000</v>
      </c>
      <c r="M2015">
        <f>Sales_Data2[[#This Row],[Cost Price]]*Sales_Data2[[#This Row],[Quantity]]</f>
        <v>288000</v>
      </c>
      <c r="N2015" s="3">
        <f>Sales_Data2[[#This Row],[Revenue]]-Sales_Data2[[#This Row],[COGS]]</f>
        <v>72000</v>
      </c>
      <c r="O201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47689|West|Abuja|Corporate|Online|Air Conditioner X2|Home Appliances|180000|2|Aisha|144000</v>
      </c>
      <c r="P2015" s="3" t="str">
        <f>IF(COUNTIF(Sales_Data2[RowKey],Sales_Data2[[#This Row],[RowKey]])&gt;1,"Duplicate","Unique")</f>
        <v>Unique</v>
      </c>
      <c r="Q2015" s="3" t="str">
        <f>IF(ISNUMBER(Sales_Data2[[#This Row],[Date]]),"OK","Check")</f>
        <v>OK</v>
      </c>
      <c r="R2015" s="3" t="str">
        <f>IF(ISNUMBER(Sales_Data2[[#This Row],[Quantity]]),"OK","Check")</f>
        <v>OK</v>
      </c>
    </row>
    <row r="2016" spans="1:18">
      <c r="A2016" s="1">
        <v>47690</v>
      </c>
      <c r="B2016" t="s">
        <v>25</v>
      </c>
      <c r="C2016" t="s">
        <v>12</v>
      </c>
      <c r="D2016" t="s">
        <v>23</v>
      </c>
      <c r="E2016" t="s">
        <v>14</v>
      </c>
      <c r="F2016" t="s">
        <v>40</v>
      </c>
      <c r="G2016" t="s">
        <v>31</v>
      </c>
      <c r="H2016">
        <v>250000</v>
      </c>
      <c r="I2016">
        <v>9</v>
      </c>
      <c r="J2016" t="s">
        <v>24</v>
      </c>
      <c r="K2016">
        <f t="shared" si="31"/>
        <v>200000</v>
      </c>
      <c r="L2016">
        <f>Sales_Data2[[#This Row],[Unit Price]]*Sales_Data2[[#This Row],[Quantity]]</f>
        <v>2250000</v>
      </c>
      <c r="M2016">
        <f>Sales_Data2[[#This Row],[Cost Price]]*Sales_Data2[[#This Row],[Quantity]]</f>
        <v>1800000</v>
      </c>
      <c r="N2016" s="3">
        <f>Sales_Data2[[#This Row],[Revenue]]-Sales_Data2[[#This Row],[COGS]]</f>
        <v>450000</v>
      </c>
      <c r="O201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47690|South|Port Harcourt|Corporate|Online|Smartphone Z10|Electronics|250000|9|David|200000</v>
      </c>
      <c r="P2016" s="3" t="str">
        <f>IF(COUNTIF(Sales_Data2[RowKey],Sales_Data2[[#This Row],[RowKey]])&gt;1,"Duplicate","Unique")</f>
        <v>Unique</v>
      </c>
      <c r="Q2016" s="3" t="str">
        <f>IF(ISNUMBER(Sales_Data2[[#This Row],[Date]]),"OK","Check")</f>
        <v>OK</v>
      </c>
      <c r="R2016" s="3" t="str">
        <f>IF(ISNUMBER(Sales_Data2[[#This Row],[Quantity]]),"OK","Check")</f>
        <v>OK</v>
      </c>
    </row>
    <row r="2017" spans="1:18">
      <c r="A2017" s="1">
        <v>47691</v>
      </c>
      <c r="B2017" t="s">
        <v>11</v>
      </c>
      <c r="C2017" t="s">
        <v>12</v>
      </c>
      <c r="D2017" t="s">
        <v>23</v>
      </c>
      <c r="E2017" t="s">
        <v>14</v>
      </c>
      <c r="F2017" t="s">
        <v>30</v>
      </c>
      <c r="G2017" t="s">
        <v>31</v>
      </c>
      <c r="H2017">
        <v>300000</v>
      </c>
      <c r="I2017">
        <v>8</v>
      </c>
      <c r="J2017" t="s">
        <v>37</v>
      </c>
      <c r="K2017">
        <f t="shared" si="31"/>
        <v>240000</v>
      </c>
      <c r="L2017">
        <f>Sales_Data2[[#This Row],[Unit Price]]*Sales_Data2[[#This Row],[Quantity]]</f>
        <v>2400000</v>
      </c>
      <c r="M2017">
        <f>Sales_Data2[[#This Row],[Cost Price]]*Sales_Data2[[#This Row],[Quantity]]</f>
        <v>1920000</v>
      </c>
      <c r="N2017" s="3">
        <f>Sales_Data2[[#This Row],[Revenue]]-Sales_Data2[[#This Row],[COGS]]</f>
        <v>480000</v>
      </c>
      <c r="O201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47691|West|Port Harcourt|Corporate|Online|Desktop PC D21|Electronics|300000|8|Aisha|240000</v>
      </c>
      <c r="P2017" s="3" t="str">
        <f>IF(COUNTIF(Sales_Data2[RowKey],Sales_Data2[[#This Row],[RowKey]])&gt;1,"Duplicate","Unique")</f>
        <v>Unique</v>
      </c>
      <c r="Q2017" s="3" t="str">
        <f>IF(ISNUMBER(Sales_Data2[[#This Row],[Date]]),"OK","Check")</f>
        <v>OK</v>
      </c>
      <c r="R2017" s="3" t="str">
        <f>IF(ISNUMBER(Sales_Data2[[#This Row],[Quantity]]),"OK","Check")</f>
        <v>OK</v>
      </c>
    </row>
    <row r="2018" spans="1:18">
      <c r="A2018" s="1">
        <v>47692</v>
      </c>
      <c r="B2018" t="s">
        <v>11</v>
      </c>
      <c r="C2018" t="s">
        <v>19</v>
      </c>
      <c r="D2018" t="s">
        <v>13</v>
      </c>
      <c r="E2018" t="s">
        <v>14</v>
      </c>
      <c r="F2018" t="s">
        <v>36</v>
      </c>
      <c r="G2018" t="s">
        <v>31</v>
      </c>
      <c r="H2018">
        <v>150000</v>
      </c>
      <c r="I2018">
        <v>6</v>
      </c>
      <c r="J2018" t="s">
        <v>17</v>
      </c>
      <c r="K2018">
        <f t="shared" si="31"/>
        <v>120000</v>
      </c>
      <c r="L2018">
        <f>Sales_Data2[[#This Row],[Unit Price]]*Sales_Data2[[#This Row],[Quantity]]</f>
        <v>900000</v>
      </c>
      <c r="M2018">
        <f>Sales_Data2[[#This Row],[Cost Price]]*Sales_Data2[[#This Row],[Quantity]]</f>
        <v>720000</v>
      </c>
      <c r="N2018" s="3">
        <f>Sales_Data2[[#This Row],[Revenue]]-Sales_Data2[[#This Row],[COGS]]</f>
        <v>180000</v>
      </c>
      <c r="O201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47692|West|Lagos|Retail|Online|Printer P50|Electronics|150000|6|Chidinma|120000</v>
      </c>
      <c r="P2018" s="3" t="str">
        <f>IF(COUNTIF(Sales_Data2[RowKey],Sales_Data2[[#This Row],[RowKey]])&gt;1,"Duplicate","Unique")</f>
        <v>Unique</v>
      </c>
      <c r="Q2018" s="3" t="str">
        <f>IF(ISNUMBER(Sales_Data2[[#This Row],[Date]]),"OK","Check")</f>
        <v>OK</v>
      </c>
      <c r="R2018" s="3" t="str">
        <f>IF(ISNUMBER(Sales_Data2[[#This Row],[Quantity]]),"OK","Check")</f>
        <v>OK</v>
      </c>
    </row>
    <row r="2019" spans="1:18">
      <c r="A2019" s="1">
        <v>47693</v>
      </c>
      <c r="B2019" t="s">
        <v>29</v>
      </c>
      <c r="C2019" t="s">
        <v>32</v>
      </c>
      <c r="D2019" t="s">
        <v>23</v>
      </c>
      <c r="E2019" t="s">
        <v>20</v>
      </c>
      <c r="F2019" t="s">
        <v>15</v>
      </c>
      <c r="G2019" t="s">
        <v>16</v>
      </c>
      <c r="H2019">
        <v>85000</v>
      </c>
      <c r="I2019">
        <v>9</v>
      </c>
      <c r="J2019" t="s">
        <v>28</v>
      </c>
      <c r="K2019">
        <f t="shared" si="31"/>
        <v>68000</v>
      </c>
      <c r="L2019">
        <f>Sales_Data2[[#This Row],[Unit Price]]*Sales_Data2[[#This Row],[Quantity]]</f>
        <v>765000</v>
      </c>
      <c r="M2019">
        <f>Sales_Data2[[#This Row],[Cost Price]]*Sales_Data2[[#This Row],[Quantity]]</f>
        <v>612000</v>
      </c>
      <c r="N2019" s="3">
        <f>Sales_Data2[[#This Row],[Revenue]]-Sales_Data2[[#This Row],[COGS]]</f>
        <v>153000</v>
      </c>
      <c r="O201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47693|North|Abuja|Corporate|Store|Office Chair Pro|Furniture|85000|9|Musa|68000</v>
      </c>
      <c r="P2019" s="3" t="str">
        <f>IF(COUNTIF(Sales_Data2[RowKey],Sales_Data2[[#This Row],[RowKey]])&gt;1,"Duplicate","Unique")</f>
        <v>Unique</v>
      </c>
      <c r="Q2019" s="3" t="str">
        <f>IF(ISNUMBER(Sales_Data2[[#This Row],[Date]]),"OK","Check")</f>
        <v>OK</v>
      </c>
      <c r="R2019" s="3" t="str">
        <f>IF(ISNUMBER(Sales_Data2[[#This Row],[Quantity]]),"OK","Check")</f>
        <v>OK</v>
      </c>
    </row>
    <row r="2020" spans="1:18">
      <c r="A2020" s="1">
        <v>47694</v>
      </c>
      <c r="B2020" t="s">
        <v>29</v>
      </c>
      <c r="C2020" t="s">
        <v>26</v>
      </c>
      <c r="D2020" t="s">
        <v>23</v>
      </c>
      <c r="E2020" t="s">
        <v>14</v>
      </c>
      <c r="F2020" t="s">
        <v>27</v>
      </c>
      <c r="G2020" t="s">
        <v>22</v>
      </c>
      <c r="H2020">
        <v>60000</v>
      </c>
      <c r="I2020">
        <v>3</v>
      </c>
      <c r="J2020" t="s">
        <v>24</v>
      </c>
      <c r="K2020">
        <f t="shared" si="31"/>
        <v>48000</v>
      </c>
      <c r="L2020">
        <f>Sales_Data2[[#This Row],[Unit Price]]*Sales_Data2[[#This Row],[Quantity]]</f>
        <v>180000</v>
      </c>
      <c r="M2020">
        <f>Sales_Data2[[#This Row],[Cost Price]]*Sales_Data2[[#This Row],[Quantity]]</f>
        <v>144000</v>
      </c>
      <c r="N2020" s="3">
        <f>Sales_Data2[[#This Row],[Revenue]]-Sales_Data2[[#This Row],[COGS]]</f>
        <v>36000</v>
      </c>
      <c r="O202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47694|North|Kano|Corporate|Online|Microwave M20|Home Appliances|60000|3|David|48000</v>
      </c>
      <c r="P2020" s="3" t="str">
        <f>IF(COUNTIF(Sales_Data2[RowKey],Sales_Data2[[#This Row],[RowKey]])&gt;1,"Duplicate","Unique")</f>
        <v>Unique</v>
      </c>
      <c r="Q2020" s="3" t="str">
        <f>IF(ISNUMBER(Sales_Data2[[#This Row],[Date]]),"OK","Check")</f>
        <v>OK</v>
      </c>
      <c r="R2020" s="3" t="str">
        <f>IF(ISNUMBER(Sales_Data2[[#This Row],[Quantity]]),"OK","Check")</f>
        <v>OK</v>
      </c>
    </row>
    <row r="2021" spans="1:18">
      <c r="A2021" s="1">
        <v>47695</v>
      </c>
      <c r="B2021" t="s">
        <v>25</v>
      </c>
      <c r="C2021" t="s">
        <v>32</v>
      </c>
      <c r="D2021" t="s">
        <v>13</v>
      </c>
      <c r="E2021" t="s">
        <v>20</v>
      </c>
      <c r="F2021" t="s">
        <v>38</v>
      </c>
      <c r="G2021" t="s">
        <v>31</v>
      </c>
      <c r="H2021">
        <v>420000</v>
      </c>
      <c r="I2021">
        <v>7</v>
      </c>
      <c r="J2021" t="s">
        <v>35</v>
      </c>
      <c r="K2021">
        <f t="shared" si="31"/>
        <v>336000</v>
      </c>
      <c r="L2021">
        <f>Sales_Data2[[#This Row],[Unit Price]]*Sales_Data2[[#This Row],[Quantity]]</f>
        <v>2940000</v>
      </c>
      <c r="M2021">
        <f>Sales_Data2[[#This Row],[Cost Price]]*Sales_Data2[[#This Row],[Quantity]]</f>
        <v>2352000</v>
      </c>
      <c r="N2021" s="3">
        <f>Sales_Data2[[#This Row],[Revenue]]-Sales_Data2[[#This Row],[COGS]]</f>
        <v>588000</v>
      </c>
      <c r="O202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47695|South|Abuja|Retail|Store|Laptop A13|Electronics|420000|7|Peter|336000</v>
      </c>
      <c r="P2021" s="3" t="str">
        <f>IF(COUNTIF(Sales_Data2[RowKey],Sales_Data2[[#This Row],[RowKey]])&gt;1,"Duplicate","Unique")</f>
        <v>Unique</v>
      </c>
      <c r="Q2021" s="3" t="str">
        <f>IF(ISNUMBER(Sales_Data2[[#This Row],[Date]]),"OK","Check")</f>
        <v>OK</v>
      </c>
      <c r="R2021" s="3" t="str">
        <f>IF(ISNUMBER(Sales_Data2[[#This Row],[Quantity]]),"OK","Check")</f>
        <v>OK</v>
      </c>
    </row>
    <row r="2022" spans="1:18">
      <c r="A2022" s="1">
        <v>47696</v>
      </c>
      <c r="B2022" t="s">
        <v>25</v>
      </c>
      <c r="C2022" t="s">
        <v>12</v>
      </c>
      <c r="D2022" t="s">
        <v>23</v>
      </c>
      <c r="E2022" t="s">
        <v>14</v>
      </c>
      <c r="F2022" t="s">
        <v>15</v>
      </c>
      <c r="G2022" t="s">
        <v>16</v>
      </c>
      <c r="H2022">
        <v>85000</v>
      </c>
      <c r="I2022">
        <v>5</v>
      </c>
      <c r="J2022" t="s">
        <v>24</v>
      </c>
      <c r="K2022">
        <f t="shared" si="31"/>
        <v>68000</v>
      </c>
      <c r="L2022">
        <f>Sales_Data2[[#This Row],[Unit Price]]*Sales_Data2[[#This Row],[Quantity]]</f>
        <v>425000</v>
      </c>
      <c r="M2022">
        <f>Sales_Data2[[#This Row],[Cost Price]]*Sales_Data2[[#This Row],[Quantity]]</f>
        <v>340000</v>
      </c>
      <c r="N2022" s="3">
        <f>Sales_Data2[[#This Row],[Revenue]]-Sales_Data2[[#This Row],[COGS]]</f>
        <v>85000</v>
      </c>
      <c r="O202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47696|South|Port Harcourt|Corporate|Online|Office Chair Pro|Furniture|85000|5|David|68000</v>
      </c>
      <c r="P2022" s="3" t="str">
        <f>IF(COUNTIF(Sales_Data2[RowKey],Sales_Data2[[#This Row],[RowKey]])&gt;1,"Duplicate","Unique")</f>
        <v>Unique</v>
      </c>
      <c r="Q2022" s="3" t="str">
        <f>IF(ISNUMBER(Sales_Data2[[#This Row],[Date]]),"OK","Check")</f>
        <v>OK</v>
      </c>
      <c r="R2022" s="3" t="str">
        <f>IF(ISNUMBER(Sales_Data2[[#This Row],[Quantity]]),"OK","Check")</f>
        <v>OK</v>
      </c>
    </row>
    <row r="2023" spans="1:18">
      <c r="A2023" s="1">
        <v>47697</v>
      </c>
      <c r="B2023" t="s">
        <v>18</v>
      </c>
      <c r="C2023" t="s">
        <v>12</v>
      </c>
      <c r="D2023" t="s">
        <v>23</v>
      </c>
      <c r="E2023" t="s">
        <v>14</v>
      </c>
      <c r="F2023" t="s">
        <v>27</v>
      </c>
      <c r="G2023" t="s">
        <v>22</v>
      </c>
      <c r="H2023">
        <v>60000</v>
      </c>
      <c r="I2023">
        <v>7</v>
      </c>
      <c r="J2023" t="s">
        <v>24</v>
      </c>
      <c r="K2023">
        <f t="shared" si="31"/>
        <v>48000</v>
      </c>
      <c r="L2023">
        <f>Sales_Data2[[#This Row],[Unit Price]]*Sales_Data2[[#This Row],[Quantity]]</f>
        <v>420000</v>
      </c>
      <c r="M2023">
        <f>Sales_Data2[[#This Row],[Cost Price]]*Sales_Data2[[#This Row],[Quantity]]</f>
        <v>336000</v>
      </c>
      <c r="N2023" s="3">
        <f>Sales_Data2[[#This Row],[Revenue]]-Sales_Data2[[#This Row],[COGS]]</f>
        <v>84000</v>
      </c>
      <c r="O202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47697|East|Port Harcourt|Corporate|Online|Microwave M20|Home Appliances|60000|7|David|48000</v>
      </c>
      <c r="P2023" s="3" t="str">
        <f>IF(COUNTIF(Sales_Data2[RowKey],Sales_Data2[[#This Row],[RowKey]])&gt;1,"Duplicate","Unique")</f>
        <v>Unique</v>
      </c>
      <c r="Q2023" s="3" t="str">
        <f>IF(ISNUMBER(Sales_Data2[[#This Row],[Date]]),"OK","Check")</f>
        <v>OK</v>
      </c>
      <c r="R2023" s="3" t="str">
        <f>IF(ISNUMBER(Sales_Data2[[#This Row],[Quantity]]),"OK","Check")</f>
        <v>OK</v>
      </c>
    </row>
    <row r="2024" spans="1:18">
      <c r="A2024" s="1">
        <v>47698</v>
      </c>
      <c r="B2024" t="s">
        <v>18</v>
      </c>
      <c r="C2024" t="s">
        <v>32</v>
      </c>
      <c r="D2024" t="s">
        <v>13</v>
      </c>
      <c r="E2024" t="s">
        <v>14</v>
      </c>
      <c r="F2024" t="s">
        <v>33</v>
      </c>
      <c r="G2024" t="s">
        <v>22</v>
      </c>
      <c r="H2024">
        <v>180000</v>
      </c>
      <c r="I2024">
        <v>2</v>
      </c>
      <c r="J2024" t="s">
        <v>35</v>
      </c>
      <c r="K2024">
        <f t="shared" si="31"/>
        <v>144000</v>
      </c>
      <c r="L2024">
        <f>Sales_Data2[[#This Row],[Unit Price]]*Sales_Data2[[#This Row],[Quantity]]</f>
        <v>360000</v>
      </c>
      <c r="M2024">
        <f>Sales_Data2[[#This Row],[Cost Price]]*Sales_Data2[[#This Row],[Quantity]]</f>
        <v>288000</v>
      </c>
      <c r="N2024" s="3">
        <f>Sales_Data2[[#This Row],[Revenue]]-Sales_Data2[[#This Row],[COGS]]</f>
        <v>72000</v>
      </c>
      <c r="O202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47698|East|Abuja|Retail|Online|Air Conditioner X2|Home Appliances|180000|2|Peter|144000</v>
      </c>
      <c r="P2024" s="3" t="str">
        <f>IF(COUNTIF(Sales_Data2[RowKey],Sales_Data2[[#This Row],[RowKey]])&gt;1,"Duplicate","Unique")</f>
        <v>Unique</v>
      </c>
      <c r="Q2024" s="3" t="str">
        <f>IF(ISNUMBER(Sales_Data2[[#This Row],[Date]]),"OK","Check")</f>
        <v>OK</v>
      </c>
      <c r="R2024" s="3" t="str">
        <f>IF(ISNUMBER(Sales_Data2[[#This Row],[Quantity]]),"OK","Check")</f>
        <v>OK</v>
      </c>
    </row>
    <row r="2025" spans="1:18">
      <c r="A2025" s="1">
        <v>47699</v>
      </c>
      <c r="B2025" t="s">
        <v>11</v>
      </c>
      <c r="C2025" t="s">
        <v>12</v>
      </c>
      <c r="D2025" t="s">
        <v>23</v>
      </c>
      <c r="E2025" t="s">
        <v>20</v>
      </c>
      <c r="F2025" t="s">
        <v>40</v>
      </c>
      <c r="G2025" t="s">
        <v>31</v>
      </c>
      <c r="H2025">
        <v>250000</v>
      </c>
      <c r="I2025">
        <v>3</v>
      </c>
      <c r="J2025" t="s">
        <v>37</v>
      </c>
      <c r="K2025">
        <f t="shared" si="31"/>
        <v>200000</v>
      </c>
      <c r="L2025">
        <f>Sales_Data2[[#This Row],[Unit Price]]*Sales_Data2[[#This Row],[Quantity]]</f>
        <v>750000</v>
      </c>
      <c r="M2025">
        <f>Sales_Data2[[#This Row],[Cost Price]]*Sales_Data2[[#This Row],[Quantity]]</f>
        <v>600000</v>
      </c>
      <c r="N2025" s="3">
        <f>Sales_Data2[[#This Row],[Revenue]]-Sales_Data2[[#This Row],[COGS]]</f>
        <v>150000</v>
      </c>
      <c r="O202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47699|West|Port Harcourt|Corporate|Store|Smartphone Z10|Electronics|250000|3|Aisha|200000</v>
      </c>
      <c r="P2025" s="3" t="str">
        <f>IF(COUNTIF(Sales_Data2[RowKey],Sales_Data2[[#This Row],[RowKey]])&gt;1,"Duplicate","Unique")</f>
        <v>Unique</v>
      </c>
      <c r="Q2025" s="3" t="str">
        <f>IF(ISNUMBER(Sales_Data2[[#This Row],[Date]]),"OK","Check")</f>
        <v>OK</v>
      </c>
      <c r="R2025" s="3" t="str">
        <f>IF(ISNUMBER(Sales_Data2[[#This Row],[Quantity]]),"OK","Check")</f>
        <v>OK</v>
      </c>
    </row>
    <row r="2026" spans="1:18">
      <c r="A2026" s="1">
        <v>47700</v>
      </c>
      <c r="B2026" t="s">
        <v>18</v>
      </c>
      <c r="C2026" t="s">
        <v>26</v>
      </c>
      <c r="D2026" t="s">
        <v>23</v>
      </c>
      <c r="E2026" t="s">
        <v>14</v>
      </c>
      <c r="F2026" t="s">
        <v>33</v>
      </c>
      <c r="G2026" t="s">
        <v>22</v>
      </c>
      <c r="H2026">
        <v>180000</v>
      </c>
      <c r="I2026">
        <v>6</v>
      </c>
      <c r="J2026" t="s">
        <v>39</v>
      </c>
      <c r="K2026">
        <f t="shared" si="31"/>
        <v>144000</v>
      </c>
      <c r="L2026">
        <f>Sales_Data2[[#This Row],[Unit Price]]*Sales_Data2[[#This Row],[Quantity]]</f>
        <v>1080000</v>
      </c>
      <c r="M2026">
        <f>Sales_Data2[[#This Row],[Cost Price]]*Sales_Data2[[#This Row],[Quantity]]</f>
        <v>864000</v>
      </c>
      <c r="N2026" s="3">
        <f>Sales_Data2[[#This Row],[Revenue]]-Sales_Data2[[#This Row],[COGS]]</f>
        <v>216000</v>
      </c>
      <c r="O202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47700|East|Kano|Corporate|Online|Air Conditioner X2|Home Appliances|180000|6|Grace|144000</v>
      </c>
      <c r="P2026" s="3" t="str">
        <f>IF(COUNTIF(Sales_Data2[RowKey],Sales_Data2[[#This Row],[RowKey]])&gt;1,"Duplicate","Unique")</f>
        <v>Unique</v>
      </c>
      <c r="Q2026" s="3" t="str">
        <f>IF(ISNUMBER(Sales_Data2[[#This Row],[Date]]),"OK","Check")</f>
        <v>OK</v>
      </c>
      <c r="R2026" s="3" t="str">
        <f>IF(ISNUMBER(Sales_Data2[[#This Row],[Quantity]]),"OK","Check")</f>
        <v>OK</v>
      </c>
    </row>
    <row r="2027" spans="1:18">
      <c r="A2027" s="1">
        <v>47701</v>
      </c>
      <c r="B2027" t="s">
        <v>18</v>
      </c>
      <c r="C2027" t="s">
        <v>32</v>
      </c>
      <c r="D2027" t="s">
        <v>13</v>
      </c>
      <c r="E2027" t="s">
        <v>20</v>
      </c>
      <c r="F2027" t="s">
        <v>15</v>
      </c>
      <c r="G2027" t="s">
        <v>16</v>
      </c>
      <c r="H2027">
        <v>85000</v>
      </c>
      <c r="I2027">
        <v>2</v>
      </c>
      <c r="J2027" t="s">
        <v>39</v>
      </c>
      <c r="K2027">
        <f t="shared" si="31"/>
        <v>68000</v>
      </c>
      <c r="L2027">
        <f>Sales_Data2[[#This Row],[Unit Price]]*Sales_Data2[[#This Row],[Quantity]]</f>
        <v>170000</v>
      </c>
      <c r="M2027">
        <f>Sales_Data2[[#This Row],[Cost Price]]*Sales_Data2[[#This Row],[Quantity]]</f>
        <v>136000</v>
      </c>
      <c r="N2027" s="3">
        <f>Sales_Data2[[#This Row],[Revenue]]-Sales_Data2[[#This Row],[COGS]]</f>
        <v>34000</v>
      </c>
      <c r="O202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47701|East|Abuja|Retail|Store|Office Chair Pro|Furniture|85000|2|Grace|68000</v>
      </c>
      <c r="P2027" s="3" t="str">
        <f>IF(COUNTIF(Sales_Data2[RowKey],Sales_Data2[[#This Row],[RowKey]])&gt;1,"Duplicate","Unique")</f>
        <v>Unique</v>
      </c>
      <c r="Q2027" s="3" t="str">
        <f>IF(ISNUMBER(Sales_Data2[[#This Row],[Date]]),"OK","Check")</f>
        <v>OK</v>
      </c>
      <c r="R2027" s="3" t="str">
        <f>IF(ISNUMBER(Sales_Data2[[#This Row],[Quantity]]),"OK","Check")</f>
        <v>OK</v>
      </c>
    </row>
    <row r="2028" spans="1:18">
      <c r="A2028" s="1">
        <v>47702</v>
      </c>
      <c r="B2028" t="s">
        <v>29</v>
      </c>
      <c r="C2028" t="s">
        <v>32</v>
      </c>
      <c r="D2028" t="s">
        <v>23</v>
      </c>
      <c r="E2028" t="s">
        <v>20</v>
      </c>
      <c r="F2028" t="s">
        <v>40</v>
      </c>
      <c r="G2028" t="s">
        <v>31</v>
      </c>
      <c r="H2028">
        <v>250000</v>
      </c>
      <c r="I2028">
        <v>5</v>
      </c>
      <c r="J2028" t="s">
        <v>28</v>
      </c>
      <c r="K2028">
        <f t="shared" si="31"/>
        <v>200000</v>
      </c>
      <c r="L2028">
        <f>Sales_Data2[[#This Row],[Unit Price]]*Sales_Data2[[#This Row],[Quantity]]</f>
        <v>1250000</v>
      </c>
      <c r="M2028">
        <f>Sales_Data2[[#This Row],[Cost Price]]*Sales_Data2[[#This Row],[Quantity]]</f>
        <v>1000000</v>
      </c>
      <c r="N2028" s="3">
        <f>Sales_Data2[[#This Row],[Revenue]]-Sales_Data2[[#This Row],[COGS]]</f>
        <v>250000</v>
      </c>
      <c r="O202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47702|North|Abuja|Corporate|Store|Smartphone Z10|Electronics|250000|5|Musa|200000</v>
      </c>
      <c r="P2028" s="3" t="str">
        <f>IF(COUNTIF(Sales_Data2[RowKey],Sales_Data2[[#This Row],[RowKey]])&gt;1,"Duplicate","Unique")</f>
        <v>Unique</v>
      </c>
      <c r="Q2028" s="3" t="str">
        <f>IF(ISNUMBER(Sales_Data2[[#This Row],[Date]]),"OK","Check")</f>
        <v>OK</v>
      </c>
      <c r="R2028" s="3" t="str">
        <f>IF(ISNUMBER(Sales_Data2[[#This Row],[Quantity]]),"OK","Check")</f>
        <v>OK</v>
      </c>
    </row>
    <row r="2029" spans="1:18">
      <c r="A2029" s="1">
        <v>47703</v>
      </c>
      <c r="B2029" t="s">
        <v>11</v>
      </c>
      <c r="C2029" t="s">
        <v>12</v>
      </c>
      <c r="D2029" t="s">
        <v>23</v>
      </c>
      <c r="E2029" t="s">
        <v>20</v>
      </c>
      <c r="F2029" t="s">
        <v>41</v>
      </c>
      <c r="G2029" t="s">
        <v>22</v>
      </c>
      <c r="H2029">
        <v>220000</v>
      </c>
      <c r="I2029">
        <v>2</v>
      </c>
      <c r="J2029" t="s">
        <v>37</v>
      </c>
      <c r="K2029">
        <f t="shared" si="31"/>
        <v>176000</v>
      </c>
      <c r="L2029">
        <f>Sales_Data2[[#This Row],[Unit Price]]*Sales_Data2[[#This Row],[Quantity]]</f>
        <v>440000</v>
      </c>
      <c r="M2029">
        <f>Sales_Data2[[#This Row],[Cost Price]]*Sales_Data2[[#This Row],[Quantity]]</f>
        <v>352000</v>
      </c>
      <c r="N2029" s="3">
        <f>Sales_Data2[[#This Row],[Revenue]]-Sales_Data2[[#This Row],[COGS]]</f>
        <v>88000</v>
      </c>
      <c r="O202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47703|West|Port Harcourt|Corporate|Store|Refrigerator R55|Home Appliances|220000|2|Aisha|176000</v>
      </c>
      <c r="P2029" s="3" t="str">
        <f>IF(COUNTIF(Sales_Data2[RowKey],Sales_Data2[[#This Row],[RowKey]])&gt;1,"Duplicate","Unique")</f>
        <v>Unique</v>
      </c>
      <c r="Q2029" s="3" t="str">
        <f>IF(ISNUMBER(Sales_Data2[[#This Row],[Date]]),"OK","Check")</f>
        <v>OK</v>
      </c>
      <c r="R2029" s="3" t="str">
        <f>IF(ISNUMBER(Sales_Data2[[#This Row],[Quantity]]),"OK","Check")</f>
        <v>OK</v>
      </c>
    </row>
    <row r="2030" spans="1:18">
      <c r="A2030" s="1">
        <v>47704</v>
      </c>
      <c r="B2030" t="s">
        <v>25</v>
      </c>
      <c r="C2030" t="s">
        <v>32</v>
      </c>
      <c r="D2030" t="s">
        <v>13</v>
      </c>
      <c r="E2030" t="s">
        <v>14</v>
      </c>
      <c r="F2030" t="s">
        <v>21</v>
      </c>
      <c r="G2030" t="s">
        <v>22</v>
      </c>
      <c r="H2030">
        <v>30000</v>
      </c>
      <c r="I2030">
        <v>2</v>
      </c>
      <c r="J2030" t="s">
        <v>24</v>
      </c>
      <c r="K2030">
        <f t="shared" si="31"/>
        <v>24000</v>
      </c>
      <c r="L2030">
        <f>Sales_Data2[[#This Row],[Unit Price]]*Sales_Data2[[#This Row],[Quantity]]</f>
        <v>60000</v>
      </c>
      <c r="M2030">
        <f>Sales_Data2[[#This Row],[Cost Price]]*Sales_Data2[[#This Row],[Quantity]]</f>
        <v>48000</v>
      </c>
      <c r="N2030" s="3">
        <f>Sales_Data2[[#This Row],[Revenue]]-Sales_Data2[[#This Row],[COGS]]</f>
        <v>12000</v>
      </c>
      <c r="O203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47704|South|Abuja|Retail|Online|Blender B10|Home Appliances|30000|2|David|24000</v>
      </c>
      <c r="P2030" s="3" t="str">
        <f>IF(COUNTIF(Sales_Data2[RowKey],Sales_Data2[[#This Row],[RowKey]])&gt;1,"Duplicate","Unique")</f>
        <v>Unique</v>
      </c>
      <c r="Q2030" s="3" t="str">
        <f>IF(ISNUMBER(Sales_Data2[[#This Row],[Date]]),"OK","Check")</f>
        <v>OK</v>
      </c>
      <c r="R2030" s="3" t="str">
        <f>IF(ISNUMBER(Sales_Data2[[#This Row],[Quantity]]),"OK","Check")</f>
        <v>OK</v>
      </c>
    </row>
    <row r="2031" spans="1:18">
      <c r="A2031" s="1">
        <v>47705</v>
      </c>
      <c r="B2031" t="s">
        <v>18</v>
      </c>
      <c r="C2031" t="s">
        <v>26</v>
      </c>
      <c r="D2031" t="s">
        <v>23</v>
      </c>
      <c r="E2031" t="s">
        <v>20</v>
      </c>
      <c r="F2031" t="s">
        <v>38</v>
      </c>
      <c r="G2031" t="s">
        <v>31</v>
      </c>
      <c r="H2031">
        <v>420000</v>
      </c>
      <c r="I2031">
        <v>10</v>
      </c>
      <c r="J2031" t="s">
        <v>37</v>
      </c>
      <c r="K2031">
        <f t="shared" si="31"/>
        <v>336000</v>
      </c>
      <c r="L2031">
        <f>Sales_Data2[[#This Row],[Unit Price]]*Sales_Data2[[#This Row],[Quantity]]</f>
        <v>4200000</v>
      </c>
      <c r="M2031">
        <f>Sales_Data2[[#This Row],[Cost Price]]*Sales_Data2[[#This Row],[Quantity]]</f>
        <v>3360000</v>
      </c>
      <c r="N2031" s="3">
        <f>Sales_Data2[[#This Row],[Revenue]]-Sales_Data2[[#This Row],[COGS]]</f>
        <v>840000</v>
      </c>
      <c r="O203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47705|East|Kano|Corporate|Store|Laptop A13|Electronics|420000|10|Aisha|336000</v>
      </c>
      <c r="P2031" s="3" t="str">
        <f>IF(COUNTIF(Sales_Data2[RowKey],Sales_Data2[[#This Row],[RowKey]])&gt;1,"Duplicate","Unique")</f>
        <v>Unique</v>
      </c>
      <c r="Q2031" s="3" t="str">
        <f>IF(ISNUMBER(Sales_Data2[[#This Row],[Date]]),"OK","Check")</f>
        <v>OK</v>
      </c>
      <c r="R2031" s="3" t="str">
        <f>IF(ISNUMBER(Sales_Data2[[#This Row],[Quantity]]),"OK","Check")</f>
        <v>OK</v>
      </c>
    </row>
    <row r="2032" spans="1:18">
      <c r="A2032" s="1">
        <v>47706</v>
      </c>
      <c r="B2032" t="s">
        <v>29</v>
      </c>
      <c r="C2032" t="s">
        <v>32</v>
      </c>
      <c r="D2032" t="s">
        <v>23</v>
      </c>
      <c r="E2032" t="s">
        <v>14</v>
      </c>
      <c r="F2032" t="s">
        <v>41</v>
      </c>
      <c r="G2032" t="s">
        <v>22</v>
      </c>
      <c r="H2032">
        <v>220000</v>
      </c>
      <c r="I2032">
        <v>2</v>
      </c>
      <c r="J2032" t="s">
        <v>35</v>
      </c>
      <c r="K2032">
        <f t="shared" si="31"/>
        <v>176000</v>
      </c>
      <c r="L2032">
        <f>Sales_Data2[[#This Row],[Unit Price]]*Sales_Data2[[#This Row],[Quantity]]</f>
        <v>440000</v>
      </c>
      <c r="M2032">
        <f>Sales_Data2[[#This Row],[Cost Price]]*Sales_Data2[[#This Row],[Quantity]]</f>
        <v>352000</v>
      </c>
      <c r="N2032" s="3">
        <f>Sales_Data2[[#This Row],[Revenue]]-Sales_Data2[[#This Row],[COGS]]</f>
        <v>88000</v>
      </c>
      <c r="O203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47706|North|Abuja|Corporate|Online|Refrigerator R55|Home Appliances|220000|2|Peter|176000</v>
      </c>
      <c r="P2032" s="3" t="str">
        <f>IF(COUNTIF(Sales_Data2[RowKey],Sales_Data2[[#This Row],[RowKey]])&gt;1,"Duplicate","Unique")</f>
        <v>Unique</v>
      </c>
      <c r="Q2032" s="3" t="str">
        <f>IF(ISNUMBER(Sales_Data2[[#This Row],[Date]]),"OK","Check")</f>
        <v>OK</v>
      </c>
      <c r="R2032" s="3" t="str">
        <f>IF(ISNUMBER(Sales_Data2[[#This Row],[Quantity]]),"OK","Check")</f>
        <v>OK</v>
      </c>
    </row>
    <row r="2033" spans="1:18">
      <c r="A2033" s="1">
        <v>47707</v>
      </c>
      <c r="B2033" t="s">
        <v>25</v>
      </c>
      <c r="C2033" t="s">
        <v>26</v>
      </c>
      <c r="D2033" t="s">
        <v>23</v>
      </c>
      <c r="E2033" t="s">
        <v>20</v>
      </c>
      <c r="F2033" t="s">
        <v>41</v>
      </c>
      <c r="G2033" t="s">
        <v>22</v>
      </c>
      <c r="H2033">
        <v>220000</v>
      </c>
      <c r="I2033">
        <v>10</v>
      </c>
      <c r="J2033" t="s">
        <v>24</v>
      </c>
      <c r="K2033">
        <f t="shared" si="31"/>
        <v>176000</v>
      </c>
      <c r="L2033">
        <f>Sales_Data2[[#This Row],[Unit Price]]*Sales_Data2[[#This Row],[Quantity]]</f>
        <v>2200000</v>
      </c>
      <c r="M2033">
        <f>Sales_Data2[[#This Row],[Cost Price]]*Sales_Data2[[#This Row],[Quantity]]</f>
        <v>1760000</v>
      </c>
      <c r="N2033" s="3">
        <f>Sales_Data2[[#This Row],[Revenue]]-Sales_Data2[[#This Row],[COGS]]</f>
        <v>440000</v>
      </c>
      <c r="O203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47707|South|Kano|Corporate|Store|Refrigerator R55|Home Appliances|220000|10|David|176000</v>
      </c>
      <c r="P2033" s="3" t="str">
        <f>IF(COUNTIF(Sales_Data2[RowKey],Sales_Data2[[#This Row],[RowKey]])&gt;1,"Duplicate","Unique")</f>
        <v>Unique</v>
      </c>
      <c r="Q2033" s="3" t="str">
        <f>IF(ISNUMBER(Sales_Data2[[#This Row],[Date]]),"OK","Check")</f>
        <v>OK</v>
      </c>
      <c r="R2033" s="3" t="str">
        <f>IF(ISNUMBER(Sales_Data2[[#This Row],[Quantity]]),"OK","Check")</f>
        <v>OK</v>
      </c>
    </row>
    <row r="2034" spans="1:18">
      <c r="A2034" s="1">
        <v>47708</v>
      </c>
      <c r="B2034" t="s">
        <v>11</v>
      </c>
      <c r="C2034" t="s">
        <v>19</v>
      </c>
      <c r="D2034" t="s">
        <v>23</v>
      </c>
      <c r="E2034" t="s">
        <v>20</v>
      </c>
      <c r="F2034" t="s">
        <v>34</v>
      </c>
      <c r="G2034" t="s">
        <v>16</v>
      </c>
      <c r="H2034">
        <v>320000</v>
      </c>
      <c r="I2034">
        <v>6</v>
      </c>
      <c r="J2034" t="s">
        <v>35</v>
      </c>
      <c r="K2034">
        <f t="shared" si="31"/>
        <v>256000</v>
      </c>
      <c r="L2034">
        <f>Sales_Data2[[#This Row],[Unit Price]]*Sales_Data2[[#This Row],[Quantity]]</f>
        <v>1920000</v>
      </c>
      <c r="M2034">
        <f>Sales_Data2[[#This Row],[Cost Price]]*Sales_Data2[[#This Row],[Quantity]]</f>
        <v>1536000</v>
      </c>
      <c r="N2034" s="3">
        <f>Sales_Data2[[#This Row],[Revenue]]-Sales_Data2[[#This Row],[COGS]]</f>
        <v>384000</v>
      </c>
      <c r="O203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47708|West|Lagos|Corporate|Store|Sofa Classic|Furniture|320000|6|Peter|256000</v>
      </c>
      <c r="P2034" s="3" t="str">
        <f>IF(COUNTIF(Sales_Data2[RowKey],Sales_Data2[[#This Row],[RowKey]])&gt;1,"Duplicate","Unique")</f>
        <v>Unique</v>
      </c>
      <c r="Q2034" s="3" t="str">
        <f>IF(ISNUMBER(Sales_Data2[[#This Row],[Date]]),"OK","Check")</f>
        <v>OK</v>
      </c>
      <c r="R2034" s="3" t="str">
        <f>IF(ISNUMBER(Sales_Data2[[#This Row],[Quantity]]),"OK","Check")</f>
        <v>OK</v>
      </c>
    </row>
    <row r="2035" spans="1:18">
      <c r="A2035" s="1">
        <v>47709</v>
      </c>
      <c r="B2035" t="s">
        <v>29</v>
      </c>
      <c r="C2035" t="s">
        <v>12</v>
      </c>
      <c r="D2035" t="s">
        <v>23</v>
      </c>
      <c r="E2035" t="s">
        <v>20</v>
      </c>
      <c r="F2035" t="s">
        <v>38</v>
      </c>
      <c r="G2035" t="s">
        <v>31</v>
      </c>
      <c r="H2035">
        <v>420000</v>
      </c>
      <c r="I2035">
        <v>8</v>
      </c>
      <c r="J2035" t="s">
        <v>35</v>
      </c>
      <c r="K2035">
        <f t="shared" si="31"/>
        <v>336000</v>
      </c>
      <c r="L2035">
        <f>Sales_Data2[[#This Row],[Unit Price]]*Sales_Data2[[#This Row],[Quantity]]</f>
        <v>3360000</v>
      </c>
      <c r="M2035">
        <f>Sales_Data2[[#This Row],[Cost Price]]*Sales_Data2[[#This Row],[Quantity]]</f>
        <v>2688000</v>
      </c>
      <c r="N2035" s="3">
        <f>Sales_Data2[[#This Row],[Revenue]]-Sales_Data2[[#This Row],[COGS]]</f>
        <v>672000</v>
      </c>
      <c r="O203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47709|North|Port Harcourt|Corporate|Store|Laptop A13|Electronics|420000|8|Peter|336000</v>
      </c>
      <c r="P2035" s="3" t="str">
        <f>IF(COUNTIF(Sales_Data2[RowKey],Sales_Data2[[#This Row],[RowKey]])&gt;1,"Duplicate","Unique")</f>
        <v>Unique</v>
      </c>
      <c r="Q2035" s="3" t="str">
        <f>IF(ISNUMBER(Sales_Data2[[#This Row],[Date]]),"OK","Check")</f>
        <v>OK</v>
      </c>
      <c r="R2035" s="3" t="str">
        <f>IF(ISNUMBER(Sales_Data2[[#This Row],[Quantity]]),"OK","Check")</f>
        <v>OK</v>
      </c>
    </row>
    <row r="2036" spans="1:18">
      <c r="A2036" s="1">
        <v>47710</v>
      </c>
      <c r="B2036" t="s">
        <v>18</v>
      </c>
      <c r="C2036" t="s">
        <v>32</v>
      </c>
      <c r="D2036" t="s">
        <v>13</v>
      </c>
      <c r="E2036" t="s">
        <v>20</v>
      </c>
      <c r="F2036" t="s">
        <v>41</v>
      </c>
      <c r="G2036" t="s">
        <v>22</v>
      </c>
      <c r="H2036">
        <v>220000</v>
      </c>
      <c r="I2036">
        <v>9</v>
      </c>
      <c r="J2036" t="s">
        <v>35</v>
      </c>
      <c r="K2036">
        <f t="shared" si="31"/>
        <v>176000</v>
      </c>
      <c r="L2036">
        <f>Sales_Data2[[#This Row],[Unit Price]]*Sales_Data2[[#This Row],[Quantity]]</f>
        <v>1980000</v>
      </c>
      <c r="M2036">
        <f>Sales_Data2[[#This Row],[Cost Price]]*Sales_Data2[[#This Row],[Quantity]]</f>
        <v>1584000</v>
      </c>
      <c r="N2036" s="3">
        <f>Sales_Data2[[#This Row],[Revenue]]-Sales_Data2[[#This Row],[COGS]]</f>
        <v>396000</v>
      </c>
      <c r="O203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47710|East|Abuja|Retail|Store|Refrigerator R55|Home Appliances|220000|9|Peter|176000</v>
      </c>
      <c r="P2036" s="3" t="str">
        <f>IF(COUNTIF(Sales_Data2[RowKey],Sales_Data2[[#This Row],[RowKey]])&gt;1,"Duplicate","Unique")</f>
        <v>Unique</v>
      </c>
      <c r="Q2036" s="3" t="str">
        <f>IF(ISNUMBER(Sales_Data2[[#This Row],[Date]]),"OK","Check")</f>
        <v>OK</v>
      </c>
      <c r="R2036" s="3" t="str">
        <f>IF(ISNUMBER(Sales_Data2[[#This Row],[Quantity]]),"OK","Check")</f>
        <v>OK</v>
      </c>
    </row>
    <row r="2037" spans="1:18">
      <c r="A2037" s="1">
        <v>47711</v>
      </c>
      <c r="B2037" t="s">
        <v>29</v>
      </c>
      <c r="C2037" t="s">
        <v>19</v>
      </c>
      <c r="D2037" t="s">
        <v>23</v>
      </c>
      <c r="E2037" t="s">
        <v>14</v>
      </c>
      <c r="F2037" t="s">
        <v>41</v>
      </c>
      <c r="G2037" t="s">
        <v>22</v>
      </c>
      <c r="H2037">
        <v>220000</v>
      </c>
      <c r="I2037">
        <v>2</v>
      </c>
      <c r="J2037" t="s">
        <v>39</v>
      </c>
      <c r="K2037">
        <f t="shared" si="31"/>
        <v>176000</v>
      </c>
      <c r="L2037">
        <f>Sales_Data2[[#This Row],[Unit Price]]*Sales_Data2[[#This Row],[Quantity]]</f>
        <v>440000</v>
      </c>
      <c r="M2037">
        <f>Sales_Data2[[#This Row],[Cost Price]]*Sales_Data2[[#This Row],[Quantity]]</f>
        <v>352000</v>
      </c>
      <c r="N2037" s="3">
        <f>Sales_Data2[[#This Row],[Revenue]]-Sales_Data2[[#This Row],[COGS]]</f>
        <v>88000</v>
      </c>
      <c r="O203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47711|North|Lagos|Corporate|Online|Refrigerator R55|Home Appliances|220000|2|Grace|176000</v>
      </c>
      <c r="P2037" s="3" t="str">
        <f>IF(COUNTIF(Sales_Data2[RowKey],Sales_Data2[[#This Row],[RowKey]])&gt;1,"Duplicate","Unique")</f>
        <v>Unique</v>
      </c>
      <c r="Q2037" s="3" t="str">
        <f>IF(ISNUMBER(Sales_Data2[[#This Row],[Date]]),"OK","Check")</f>
        <v>OK</v>
      </c>
      <c r="R2037" s="3" t="str">
        <f>IF(ISNUMBER(Sales_Data2[[#This Row],[Quantity]]),"OK","Check")</f>
        <v>OK</v>
      </c>
    </row>
    <row r="2038" spans="1:18">
      <c r="A2038" s="1">
        <v>47712</v>
      </c>
      <c r="B2038" t="s">
        <v>25</v>
      </c>
      <c r="C2038" t="s">
        <v>32</v>
      </c>
      <c r="D2038" t="s">
        <v>13</v>
      </c>
      <c r="E2038" t="s">
        <v>14</v>
      </c>
      <c r="F2038" t="s">
        <v>36</v>
      </c>
      <c r="G2038" t="s">
        <v>31</v>
      </c>
      <c r="H2038">
        <v>150000</v>
      </c>
      <c r="I2038">
        <v>4</v>
      </c>
      <c r="J2038" t="s">
        <v>37</v>
      </c>
      <c r="K2038">
        <f t="shared" si="31"/>
        <v>120000</v>
      </c>
      <c r="L2038">
        <f>Sales_Data2[[#This Row],[Unit Price]]*Sales_Data2[[#This Row],[Quantity]]</f>
        <v>600000</v>
      </c>
      <c r="M2038">
        <f>Sales_Data2[[#This Row],[Cost Price]]*Sales_Data2[[#This Row],[Quantity]]</f>
        <v>480000</v>
      </c>
      <c r="N2038" s="3">
        <f>Sales_Data2[[#This Row],[Revenue]]-Sales_Data2[[#This Row],[COGS]]</f>
        <v>120000</v>
      </c>
      <c r="O203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47712|South|Abuja|Retail|Online|Printer P50|Electronics|150000|4|Aisha|120000</v>
      </c>
      <c r="P2038" s="3" t="str">
        <f>IF(COUNTIF(Sales_Data2[RowKey],Sales_Data2[[#This Row],[RowKey]])&gt;1,"Duplicate","Unique")</f>
        <v>Unique</v>
      </c>
      <c r="Q2038" s="3" t="str">
        <f>IF(ISNUMBER(Sales_Data2[[#This Row],[Date]]),"OK","Check")</f>
        <v>OK</v>
      </c>
      <c r="R2038" s="3" t="str">
        <f>IF(ISNUMBER(Sales_Data2[[#This Row],[Quantity]]),"OK","Check")</f>
        <v>OK</v>
      </c>
    </row>
    <row r="2039" spans="1:18">
      <c r="A2039" s="1">
        <v>47713</v>
      </c>
      <c r="B2039" t="s">
        <v>18</v>
      </c>
      <c r="C2039" t="s">
        <v>26</v>
      </c>
      <c r="D2039" t="s">
        <v>13</v>
      </c>
      <c r="E2039" t="s">
        <v>20</v>
      </c>
      <c r="F2039" t="s">
        <v>30</v>
      </c>
      <c r="G2039" t="s">
        <v>31</v>
      </c>
      <c r="H2039">
        <v>300000</v>
      </c>
      <c r="I2039">
        <v>7</v>
      </c>
      <c r="J2039" t="s">
        <v>39</v>
      </c>
      <c r="K2039">
        <f t="shared" si="31"/>
        <v>240000</v>
      </c>
      <c r="L2039">
        <f>Sales_Data2[[#This Row],[Unit Price]]*Sales_Data2[[#This Row],[Quantity]]</f>
        <v>2100000</v>
      </c>
      <c r="M2039">
        <f>Sales_Data2[[#This Row],[Cost Price]]*Sales_Data2[[#This Row],[Quantity]]</f>
        <v>1680000</v>
      </c>
      <c r="N2039" s="3">
        <f>Sales_Data2[[#This Row],[Revenue]]-Sales_Data2[[#This Row],[COGS]]</f>
        <v>420000</v>
      </c>
      <c r="O203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47713|East|Kano|Retail|Store|Desktop PC D21|Electronics|300000|7|Grace|240000</v>
      </c>
      <c r="P2039" s="3" t="str">
        <f>IF(COUNTIF(Sales_Data2[RowKey],Sales_Data2[[#This Row],[RowKey]])&gt;1,"Duplicate","Unique")</f>
        <v>Unique</v>
      </c>
      <c r="Q2039" s="3" t="str">
        <f>IF(ISNUMBER(Sales_Data2[[#This Row],[Date]]),"OK","Check")</f>
        <v>OK</v>
      </c>
      <c r="R2039" s="3" t="str">
        <f>IF(ISNUMBER(Sales_Data2[[#This Row],[Quantity]]),"OK","Check")</f>
        <v>OK</v>
      </c>
    </row>
    <row r="2040" spans="1:18">
      <c r="A2040" s="1">
        <v>47714</v>
      </c>
      <c r="B2040" t="s">
        <v>25</v>
      </c>
      <c r="C2040" t="s">
        <v>19</v>
      </c>
      <c r="D2040" t="s">
        <v>23</v>
      </c>
      <c r="E2040" t="s">
        <v>14</v>
      </c>
      <c r="F2040" t="s">
        <v>38</v>
      </c>
      <c r="G2040" t="s">
        <v>31</v>
      </c>
      <c r="H2040">
        <v>420000</v>
      </c>
      <c r="I2040">
        <v>4</v>
      </c>
      <c r="J2040" t="s">
        <v>39</v>
      </c>
      <c r="K2040">
        <f t="shared" si="31"/>
        <v>336000</v>
      </c>
      <c r="L2040">
        <f>Sales_Data2[[#This Row],[Unit Price]]*Sales_Data2[[#This Row],[Quantity]]</f>
        <v>1680000</v>
      </c>
      <c r="M2040">
        <f>Sales_Data2[[#This Row],[Cost Price]]*Sales_Data2[[#This Row],[Quantity]]</f>
        <v>1344000</v>
      </c>
      <c r="N2040" s="3">
        <f>Sales_Data2[[#This Row],[Revenue]]-Sales_Data2[[#This Row],[COGS]]</f>
        <v>336000</v>
      </c>
      <c r="O204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47714|South|Lagos|Corporate|Online|Laptop A13|Electronics|420000|4|Grace|336000</v>
      </c>
      <c r="P2040" s="3" t="str">
        <f>IF(COUNTIF(Sales_Data2[RowKey],Sales_Data2[[#This Row],[RowKey]])&gt;1,"Duplicate","Unique")</f>
        <v>Unique</v>
      </c>
      <c r="Q2040" s="3" t="str">
        <f>IF(ISNUMBER(Sales_Data2[[#This Row],[Date]]),"OK","Check")</f>
        <v>OK</v>
      </c>
      <c r="R2040" s="3" t="str">
        <f>IF(ISNUMBER(Sales_Data2[[#This Row],[Quantity]]),"OK","Check")</f>
        <v>OK</v>
      </c>
    </row>
    <row r="2041" spans="1:18">
      <c r="A2041" s="1">
        <v>47715</v>
      </c>
      <c r="B2041" t="s">
        <v>11</v>
      </c>
      <c r="C2041" t="s">
        <v>26</v>
      </c>
      <c r="D2041" t="s">
        <v>23</v>
      </c>
      <c r="E2041" t="s">
        <v>20</v>
      </c>
      <c r="F2041" t="s">
        <v>27</v>
      </c>
      <c r="G2041" t="s">
        <v>22</v>
      </c>
      <c r="H2041">
        <v>60000</v>
      </c>
      <c r="I2041">
        <v>4</v>
      </c>
      <c r="J2041" t="s">
        <v>37</v>
      </c>
      <c r="K2041">
        <f t="shared" si="31"/>
        <v>48000</v>
      </c>
      <c r="L2041">
        <f>Sales_Data2[[#This Row],[Unit Price]]*Sales_Data2[[#This Row],[Quantity]]</f>
        <v>240000</v>
      </c>
      <c r="M2041">
        <f>Sales_Data2[[#This Row],[Cost Price]]*Sales_Data2[[#This Row],[Quantity]]</f>
        <v>192000</v>
      </c>
      <c r="N2041" s="3">
        <f>Sales_Data2[[#This Row],[Revenue]]-Sales_Data2[[#This Row],[COGS]]</f>
        <v>48000</v>
      </c>
      <c r="O204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47715|West|Kano|Corporate|Store|Microwave M20|Home Appliances|60000|4|Aisha|48000</v>
      </c>
      <c r="P2041" s="3" t="str">
        <f>IF(COUNTIF(Sales_Data2[RowKey],Sales_Data2[[#This Row],[RowKey]])&gt;1,"Duplicate","Unique")</f>
        <v>Unique</v>
      </c>
      <c r="Q2041" s="3" t="str">
        <f>IF(ISNUMBER(Sales_Data2[[#This Row],[Date]]),"OK","Check")</f>
        <v>OK</v>
      </c>
      <c r="R2041" s="3" t="str">
        <f>IF(ISNUMBER(Sales_Data2[[#This Row],[Quantity]]),"OK","Check")</f>
        <v>OK</v>
      </c>
    </row>
    <row r="2042" spans="1:18">
      <c r="A2042" s="1">
        <v>47716</v>
      </c>
      <c r="B2042" t="s">
        <v>29</v>
      </c>
      <c r="C2042" t="s">
        <v>26</v>
      </c>
      <c r="D2042" t="s">
        <v>13</v>
      </c>
      <c r="E2042" t="s">
        <v>14</v>
      </c>
      <c r="F2042" t="s">
        <v>33</v>
      </c>
      <c r="G2042" t="s">
        <v>22</v>
      </c>
      <c r="H2042">
        <v>180000</v>
      </c>
      <c r="I2042">
        <v>6</v>
      </c>
      <c r="J2042" t="s">
        <v>17</v>
      </c>
      <c r="K2042">
        <f t="shared" si="31"/>
        <v>144000</v>
      </c>
      <c r="L2042">
        <f>Sales_Data2[[#This Row],[Unit Price]]*Sales_Data2[[#This Row],[Quantity]]</f>
        <v>1080000</v>
      </c>
      <c r="M2042">
        <f>Sales_Data2[[#This Row],[Cost Price]]*Sales_Data2[[#This Row],[Quantity]]</f>
        <v>864000</v>
      </c>
      <c r="N2042" s="3">
        <f>Sales_Data2[[#This Row],[Revenue]]-Sales_Data2[[#This Row],[COGS]]</f>
        <v>216000</v>
      </c>
      <c r="O204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47716|North|Kano|Retail|Online|Air Conditioner X2|Home Appliances|180000|6|Chidinma|144000</v>
      </c>
      <c r="P2042" s="3" t="str">
        <f>IF(COUNTIF(Sales_Data2[RowKey],Sales_Data2[[#This Row],[RowKey]])&gt;1,"Duplicate","Unique")</f>
        <v>Unique</v>
      </c>
      <c r="Q2042" s="3" t="str">
        <f>IF(ISNUMBER(Sales_Data2[[#This Row],[Date]]),"OK","Check")</f>
        <v>OK</v>
      </c>
      <c r="R2042" s="3" t="str">
        <f>IF(ISNUMBER(Sales_Data2[[#This Row],[Quantity]]),"OK","Check")</f>
        <v>OK</v>
      </c>
    </row>
    <row r="2043" spans="1:18">
      <c r="A2043" s="1">
        <v>47717</v>
      </c>
      <c r="B2043" t="s">
        <v>25</v>
      </c>
      <c r="C2043" t="s">
        <v>26</v>
      </c>
      <c r="D2043" t="s">
        <v>23</v>
      </c>
      <c r="E2043" t="s">
        <v>14</v>
      </c>
      <c r="F2043" t="s">
        <v>30</v>
      </c>
      <c r="G2043" t="s">
        <v>31</v>
      </c>
      <c r="H2043">
        <v>300000</v>
      </c>
      <c r="I2043">
        <v>8</v>
      </c>
      <c r="J2043" t="s">
        <v>35</v>
      </c>
      <c r="K2043">
        <f t="shared" si="31"/>
        <v>240000</v>
      </c>
      <c r="L2043">
        <f>Sales_Data2[[#This Row],[Unit Price]]*Sales_Data2[[#This Row],[Quantity]]</f>
        <v>2400000</v>
      </c>
      <c r="M2043">
        <f>Sales_Data2[[#This Row],[Cost Price]]*Sales_Data2[[#This Row],[Quantity]]</f>
        <v>1920000</v>
      </c>
      <c r="N2043" s="3">
        <f>Sales_Data2[[#This Row],[Revenue]]-Sales_Data2[[#This Row],[COGS]]</f>
        <v>480000</v>
      </c>
      <c r="O204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47717|South|Kano|Corporate|Online|Desktop PC D21|Electronics|300000|8|Peter|240000</v>
      </c>
      <c r="P2043" s="3" t="str">
        <f>IF(COUNTIF(Sales_Data2[RowKey],Sales_Data2[[#This Row],[RowKey]])&gt;1,"Duplicate","Unique")</f>
        <v>Unique</v>
      </c>
      <c r="Q2043" s="3" t="str">
        <f>IF(ISNUMBER(Sales_Data2[[#This Row],[Date]]),"OK","Check")</f>
        <v>OK</v>
      </c>
      <c r="R2043" s="3" t="str">
        <f>IF(ISNUMBER(Sales_Data2[[#This Row],[Quantity]]),"OK","Check")</f>
        <v>OK</v>
      </c>
    </row>
    <row r="2044" spans="1:18">
      <c r="A2044" s="1">
        <v>47718</v>
      </c>
      <c r="B2044" t="s">
        <v>11</v>
      </c>
      <c r="C2044" t="s">
        <v>12</v>
      </c>
      <c r="D2044" t="s">
        <v>13</v>
      </c>
      <c r="E2044" t="s">
        <v>20</v>
      </c>
      <c r="F2044" t="s">
        <v>34</v>
      </c>
      <c r="G2044" t="s">
        <v>16</v>
      </c>
      <c r="H2044">
        <v>320000</v>
      </c>
      <c r="I2044">
        <v>10</v>
      </c>
      <c r="J2044" t="s">
        <v>17</v>
      </c>
      <c r="K2044">
        <f t="shared" si="31"/>
        <v>256000</v>
      </c>
      <c r="L2044">
        <f>Sales_Data2[[#This Row],[Unit Price]]*Sales_Data2[[#This Row],[Quantity]]</f>
        <v>3200000</v>
      </c>
      <c r="M2044">
        <f>Sales_Data2[[#This Row],[Cost Price]]*Sales_Data2[[#This Row],[Quantity]]</f>
        <v>2560000</v>
      </c>
      <c r="N2044" s="3">
        <f>Sales_Data2[[#This Row],[Revenue]]-Sales_Data2[[#This Row],[COGS]]</f>
        <v>640000</v>
      </c>
      <c r="O204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47718|West|Port Harcourt|Retail|Store|Sofa Classic|Furniture|320000|10|Chidinma|256000</v>
      </c>
      <c r="P2044" s="3" t="str">
        <f>IF(COUNTIF(Sales_Data2[RowKey],Sales_Data2[[#This Row],[RowKey]])&gt;1,"Duplicate","Unique")</f>
        <v>Unique</v>
      </c>
      <c r="Q2044" s="3" t="str">
        <f>IF(ISNUMBER(Sales_Data2[[#This Row],[Date]]),"OK","Check")</f>
        <v>OK</v>
      </c>
      <c r="R2044" s="3" t="str">
        <f>IF(ISNUMBER(Sales_Data2[[#This Row],[Quantity]]),"OK","Check")</f>
        <v>OK</v>
      </c>
    </row>
    <row r="2045" spans="1:18">
      <c r="A2045" s="1">
        <v>47719</v>
      </c>
      <c r="B2045" t="s">
        <v>11</v>
      </c>
      <c r="C2045" t="s">
        <v>19</v>
      </c>
      <c r="D2045" t="s">
        <v>13</v>
      </c>
      <c r="E2045" t="s">
        <v>20</v>
      </c>
      <c r="F2045" t="s">
        <v>21</v>
      </c>
      <c r="G2045" t="s">
        <v>22</v>
      </c>
      <c r="H2045">
        <v>30000</v>
      </c>
      <c r="I2045">
        <v>1</v>
      </c>
      <c r="J2045" t="s">
        <v>17</v>
      </c>
      <c r="K2045">
        <f t="shared" si="31"/>
        <v>24000</v>
      </c>
      <c r="L2045">
        <f>Sales_Data2[[#This Row],[Unit Price]]*Sales_Data2[[#This Row],[Quantity]]</f>
        <v>30000</v>
      </c>
      <c r="M2045">
        <f>Sales_Data2[[#This Row],[Cost Price]]*Sales_Data2[[#This Row],[Quantity]]</f>
        <v>24000</v>
      </c>
      <c r="N2045" s="3">
        <f>Sales_Data2[[#This Row],[Revenue]]-Sales_Data2[[#This Row],[COGS]]</f>
        <v>6000</v>
      </c>
      <c r="O204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47719|West|Lagos|Retail|Store|Blender B10|Home Appliances|30000|1|Chidinma|24000</v>
      </c>
      <c r="P2045" s="3" t="str">
        <f>IF(COUNTIF(Sales_Data2[RowKey],Sales_Data2[[#This Row],[RowKey]])&gt;1,"Duplicate","Unique")</f>
        <v>Unique</v>
      </c>
      <c r="Q2045" s="3" t="str">
        <f>IF(ISNUMBER(Sales_Data2[[#This Row],[Date]]),"OK","Check")</f>
        <v>OK</v>
      </c>
      <c r="R2045" s="3" t="str">
        <f>IF(ISNUMBER(Sales_Data2[[#This Row],[Quantity]]),"OK","Check")</f>
        <v>OK</v>
      </c>
    </row>
    <row r="2046" spans="1:18">
      <c r="A2046" s="1">
        <v>47720</v>
      </c>
      <c r="B2046" t="s">
        <v>18</v>
      </c>
      <c r="C2046" t="s">
        <v>19</v>
      </c>
      <c r="D2046" t="s">
        <v>23</v>
      </c>
      <c r="E2046" t="s">
        <v>20</v>
      </c>
      <c r="F2046" t="s">
        <v>15</v>
      </c>
      <c r="G2046" t="s">
        <v>16</v>
      </c>
      <c r="H2046">
        <v>85000</v>
      </c>
      <c r="I2046">
        <v>2</v>
      </c>
      <c r="J2046" t="s">
        <v>35</v>
      </c>
      <c r="K2046">
        <f t="shared" si="31"/>
        <v>68000</v>
      </c>
      <c r="L2046">
        <f>Sales_Data2[[#This Row],[Unit Price]]*Sales_Data2[[#This Row],[Quantity]]</f>
        <v>170000</v>
      </c>
      <c r="M2046">
        <f>Sales_Data2[[#This Row],[Cost Price]]*Sales_Data2[[#This Row],[Quantity]]</f>
        <v>136000</v>
      </c>
      <c r="N2046" s="3">
        <f>Sales_Data2[[#This Row],[Revenue]]-Sales_Data2[[#This Row],[COGS]]</f>
        <v>34000</v>
      </c>
      <c r="O204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47720|East|Lagos|Corporate|Store|Office Chair Pro|Furniture|85000|2|Peter|68000</v>
      </c>
      <c r="P2046" s="3" t="str">
        <f>IF(COUNTIF(Sales_Data2[RowKey],Sales_Data2[[#This Row],[RowKey]])&gt;1,"Duplicate","Unique")</f>
        <v>Unique</v>
      </c>
      <c r="Q2046" s="3" t="str">
        <f>IF(ISNUMBER(Sales_Data2[[#This Row],[Date]]),"OK","Check")</f>
        <v>OK</v>
      </c>
      <c r="R2046" s="3" t="str">
        <f>IF(ISNUMBER(Sales_Data2[[#This Row],[Quantity]]),"OK","Check")</f>
        <v>OK</v>
      </c>
    </row>
    <row r="2047" spans="1:18">
      <c r="A2047" s="1">
        <v>47721</v>
      </c>
      <c r="B2047" t="s">
        <v>11</v>
      </c>
      <c r="C2047" t="s">
        <v>12</v>
      </c>
      <c r="D2047" t="s">
        <v>23</v>
      </c>
      <c r="E2047" t="s">
        <v>14</v>
      </c>
      <c r="F2047" t="s">
        <v>15</v>
      </c>
      <c r="G2047" t="s">
        <v>16</v>
      </c>
      <c r="H2047">
        <v>85000</v>
      </c>
      <c r="I2047">
        <v>5</v>
      </c>
      <c r="J2047" t="s">
        <v>37</v>
      </c>
      <c r="K2047">
        <f t="shared" si="31"/>
        <v>68000</v>
      </c>
      <c r="L2047">
        <f>Sales_Data2[[#This Row],[Unit Price]]*Sales_Data2[[#This Row],[Quantity]]</f>
        <v>425000</v>
      </c>
      <c r="M2047">
        <f>Sales_Data2[[#This Row],[Cost Price]]*Sales_Data2[[#This Row],[Quantity]]</f>
        <v>340000</v>
      </c>
      <c r="N2047" s="3">
        <f>Sales_Data2[[#This Row],[Revenue]]-Sales_Data2[[#This Row],[COGS]]</f>
        <v>85000</v>
      </c>
      <c r="O204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47721|West|Port Harcourt|Corporate|Online|Office Chair Pro|Furniture|85000|5|Aisha|68000</v>
      </c>
      <c r="P2047" s="3" t="str">
        <f>IF(COUNTIF(Sales_Data2[RowKey],Sales_Data2[[#This Row],[RowKey]])&gt;1,"Duplicate","Unique")</f>
        <v>Unique</v>
      </c>
      <c r="Q2047" s="3" t="str">
        <f>IF(ISNUMBER(Sales_Data2[[#This Row],[Date]]),"OK","Check")</f>
        <v>OK</v>
      </c>
      <c r="R2047" s="3" t="str">
        <f>IF(ISNUMBER(Sales_Data2[[#This Row],[Quantity]]),"OK","Check")</f>
        <v>OK</v>
      </c>
    </row>
    <row r="2048" spans="1:18">
      <c r="A2048" s="1">
        <v>47722</v>
      </c>
      <c r="B2048" t="s">
        <v>25</v>
      </c>
      <c r="C2048" t="s">
        <v>12</v>
      </c>
      <c r="D2048" t="s">
        <v>13</v>
      </c>
      <c r="E2048" t="s">
        <v>20</v>
      </c>
      <c r="F2048" t="s">
        <v>40</v>
      </c>
      <c r="G2048" t="s">
        <v>31</v>
      </c>
      <c r="H2048">
        <v>250000</v>
      </c>
      <c r="I2048">
        <v>8</v>
      </c>
      <c r="J2048" t="s">
        <v>37</v>
      </c>
      <c r="K2048">
        <f t="shared" si="31"/>
        <v>200000</v>
      </c>
      <c r="L2048">
        <f>Sales_Data2[[#This Row],[Unit Price]]*Sales_Data2[[#This Row],[Quantity]]</f>
        <v>2000000</v>
      </c>
      <c r="M2048">
        <f>Sales_Data2[[#This Row],[Cost Price]]*Sales_Data2[[#This Row],[Quantity]]</f>
        <v>1600000</v>
      </c>
      <c r="N2048" s="3">
        <f>Sales_Data2[[#This Row],[Revenue]]-Sales_Data2[[#This Row],[COGS]]</f>
        <v>400000</v>
      </c>
      <c r="O204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47722|South|Port Harcourt|Retail|Store|Smartphone Z10|Electronics|250000|8|Aisha|200000</v>
      </c>
      <c r="P2048" s="3" t="str">
        <f>IF(COUNTIF(Sales_Data2[RowKey],Sales_Data2[[#This Row],[RowKey]])&gt;1,"Duplicate","Unique")</f>
        <v>Unique</v>
      </c>
      <c r="Q2048" s="3" t="str">
        <f>IF(ISNUMBER(Sales_Data2[[#This Row],[Date]]),"OK","Check")</f>
        <v>OK</v>
      </c>
      <c r="R2048" s="3" t="str">
        <f>IF(ISNUMBER(Sales_Data2[[#This Row],[Quantity]]),"OK","Check")</f>
        <v>OK</v>
      </c>
    </row>
    <row r="2049" spans="1:18">
      <c r="A2049" s="1">
        <v>47723</v>
      </c>
      <c r="B2049" t="s">
        <v>29</v>
      </c>
      <c r="C2049" t="s">
        <v>26</v>
      </c>
      <c r="D2049" t="s">
        <v>23</v>
      </c>
      <c r="E2049" t="s">
        <v>14</v>
      </c>
      <c r="F2049" t="s">
        <v>30</v>
      </c>
      <c r="G2049" t="s">
        <v>31</v>
      </c>
      <c r="H2049">
        <v>300000</v>
      </c>
      <c r="I2049">
        <v>8</v>
      </c>
      <c r="J2049" t="s">
        <v>35</v>
      </c>
      <c r="K2049">
        <f t="shared" si="31"/>
        <v>240000</v>
      </c>
      <c r="L2049">
        <f>Sales_Data2[[#This Row],[Unit Price]]*Sales_Data2[[#This Row],[Quantity]]</f>
        <v>2400000</v>
      </c>
      <c r="M2049">
        <f>Sales_Data2[[#This Row],[Cost Price]]*Sales_Data2[[#This Row],[Quantity]]</f>
        <v>1920000</v>
      </c>
      <c r="N2049" s="3">
        <f>Sales_Data2[[#This Row],[Revenue]]-Sales_Data2[[#This Row],[COGS]]</f>
        <v>480000</v>
      </c>
      <c r="O204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47723|North|Kano|Corporate|Online|Desktop PC D21|Electronics|300000|8|Peter|240000</v>
      </c>
      <c r="P2049" s="3" t="str">
        <f>IF(COUNTIF(Sales_Data2[RowKey],Sales_Data2[[#This Row],[RowKey]])&gt;1,"Duplicate","Unique")</f>
        <v>Unique</v>
      </c>
      <c r="Q2049" s="3" t="str">
        <f>IF(ISNUMBER(Sales_Data2[[#This Row],[Date]]),"OK","Check")</f>
        <v>OK</v>
      </c>
      <c r="R2049" s="3" t="str">
        <f>IF(ISNUMBER(Sales_Data2[[#This Row],[Quantity]]),"OK","Check")</f>
        <v>OK</v>
      </c>
    </row>
    <row r="2050" spans="1:18">
      <c r="A2050" s="1">
        <v>47724</v>
      </c>
      <c r="B2050" t="s">
        <v>11</v>
      </c>
      <c r="C2050" t="s">
        <v>19</v>
      </c>
      <c r="D2050" t="s">
        <v>23</v>
      </c>
      <c r="E2050" t="s">
        <v>20</v>
      </c>
      <c r="F2050" t="s">
        <v>33</v>
      </c>
      <c r="G2050" t="s">
        <v>22</v>
      </c>
      <c r="H2050">
        <v>180000</v>
      </c>
      <c r="I2050">
        <v>9</v>
      </c>
      <c r="J2050" t="s">
        <v>28</v>
      </c>
      <c r="K2050">
        <f t="shared" ref="K2050:K2099" si="32">H2050-H2050*0.2</f>
        <v>144000</v>
      </c>
      <c r="L2050">
        <f>Sales_Data2[[#This Row],[Unit Price]]*Sales_Data2[[#This Row],[Quantity]]</f>
        <v>1620000</v>
      </c>
      <c r="M2050">
        <f>Sales_Data2[[#This Row],[Cost Price]]*Sales_Data2[[#This Row],[Quantity]]</f>
        <v>1296000</v>
      </c>
      <c r="N2050" s="3">
        <f>Sales_Data2[[#This Row],[Revenue]]-Sales_Data2[[#This Row],[COGS]]</f>
        <v>324000</v>
      </c>
      <c r="O205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47724|West|Lagos|Corporate|Store|Air Conditioner X2|Home Appliances|180000|9|Musa|144000</v>
      </c>
      <c r="P2050" s="3" t="str">
        <f>IF(COUNTIF(Sales_Data2[RowKey],Sales_Data2[[#This Row],[RowKey]])&gt;1,"Duplicate","Unique")</f>
        <v>Unique</v>
      </c>
      <c r="Q2050" s="3" t="str">
        <f>IF(ISNUMBER(Sales_Data2[[#This Row],[Date]]),"OK","Check")</f>
        <v>OK</v>
      </c>
      <c r="R2050" s="3" t="str">
        <f>IF(ISNUMBER(Sales_Data2[[#This Row],[Quantity]]),"OK","Check")</f>
        <v>OK</v>
      </c>
    </row>
    <row r="2051" spans="1:18">
      <c r="A2051" s="1">
        <v>47725</v>
      </c>
      <c r="B2051" t="s">
        <v>29</v>
      </c>
      <c r="C2051" t="s">
        <v>32</v>
      </c>
      <c r="D2051" t="s">
        <v>23</v>
      </c>
      <c r="E2051" t="s">
        <v>14</v>
      </c>
      <c r="F2051" t="s">
        <v>27</v>
      </c>
      <c r="G2051" t="s">
        <v>22</v>
      </c>
      <c r="H2051">
        <v>60000</v>
      </c>
      <c r="I2051">
        <v>4</v>
      </c>
      <c r="J2051" t="s">
        <v>35</v>
      </c>
      <c r="K2051">
        <f t="shared" si="32"/>
        <v>48000</v>
      </c>
      <c r="L2051">
        <f>Sales_Data2[[#This Row],[Unit Price]]*Sales_Data2[[#This Row],[Quantity]]</f>
        <v>240000</v>
      </c>
      <c r="M2051">
        <f>Sales_Data2[[#This Row],[Cost Price]]*Sales_Data2[[#This Row],[Quantity]]</f>
        <v>192000</v>
      </c>
      <c r="N2051" s="3">
        <f>Sales_Data2[[#This Row],[Revenue]]-Sales_Data2[[#This Row],[COGS]]</f>
        <v>48000</v>
      </c>
      <c r="O205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47725|North|Abuja|Corporate|Online|Microwave M20|Home Appliances|60000|4|Peter|48000</v>
      </c>
      <c r="P2051" s="3" t="str">
        <f>IF(COUNTIF(Sales_Data2[RowKey],Sales_Data2[[#This Row],[RowKey]])&gt;1,"Duplicate","Unique")</f>
        <v>Unique</v>
      </c>
      <c r="Q2051" s="3" t="str">
        <f>IF(ISNUMBER(Sales_Data2[[#This Row],[Date]]),"OK","Check")</f>
        <v>OK</v>
      </c>
      <c r="R2051" s="3" t="str">
        <f>IF(ISNUMBER(Sales_Data2[[#This Row],[Quantity]]),"OK","Check")</f>
        <v>OK</v>
      </c>
    </row>
    <row r="2052" spans="1:18">
      <c r="A2052" s="1">
        <v>47726</v>
      </c>
      <c r="B2052" t="s">
        <v>25</v>
      </c>
      <c r="C2052" t="s">
        <v>12</v>
      </c>
      <c r="D2052" t="s">
        <v>13</v>
      </c>
      <c r="E2052" t="s">
        <v>20</v>
      </c>
      <c r="F2052" t="s">
        <v>27</v>
      </c>
      <c r="G2052" t="s">
        <v>22</v>
      </c>
      <c r="H2052">
        <v>60000</v>
      </c>
      <c r="I2052">
        <v>3</v>
      </c>
      <c r="J2052" t="s">
        <v>35</v>
      </c>
      <c r="K2052">
        <f t="shared" si="32"/>
        <v>48000</v>
      </c>
      <c r="L2052">
        <f>Sales_Data2[[#This Row],[Unit Price]]*Sales_Data2[[#This Row],[Quantity]]</f>
        <v>180000</v>
      </c>
      <c r="M2052">
        <f>Sales_Data2[[#This Row],[Cost Price]]*Sales_Data2[[#This Row],[Quantity]]</f>
        <v>144000</v>
      </c>
      <c r="N2052" s="3">
        <f>Sales_Data2[[#This Row],[Revenue]]-Sales_Data2[[#This Row],[COGS]]</f>
        <v>36000</v>
      </c>
      <c r="O205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47726|South|Port Harcourt|Retail|Store|Microwave M20|Home Appliances|60000|3|Peter|48000</v>
      </c>
      <c r="P2052" s="3" t="str">
        <f>IF(COUNTIF(Sales_Data2[RowKey],Sales_Data2[[#This Row],[RowKey]])&gt;1,"Duplicate","Unique")</f>
        <v>Unique</v>
      </c>
      <c r="Q2052" s="3" t="str">
        <f>IF(ISNUMBER(Sales_Data2[[#This Row],[Date]]),"OK","Check")</f>
        <v>OK</v>
      </c>
      <c r="R2052" s="3" t="str">
        <f>IF(ISNUMBER(Sales_Data2[[#This Row],[Quantity]]),"OK","Check")</f>
        <v>OK</v>
      </c>
    </row>
    <row r="2053" spans="1:18">
      <c r="A2053" s="1">
        <v>47727</v>
      </c>
      <c r="B2053" t="s">
        <v>25</v>
      </c>
      <c r="C2053" t="s">
        <v>12</v>
      </c>
      <c r="D2053" t="s">
        <v>13</v>
      </c>
      <c r="E2053" t="s">
        <v>14</v>
      </c>
      <c r="F2053" t="s">
        <v>41</v>
      </c>
      <c r="G2053" t="s">
        <v>22</v>
      </c>
      <c r="H2053">
        <v>220000</v>
      </c>
      <c r="I2053">
        <v>6</v>
      </c>
      <c r="J2053" t="s">
        <v>37</v>
      </c>
      <c r="K2053">
        <f t="shared" si="32"/>
        <v>176000</v>
      </c>
      <c r="L2053">
        <f>Sales_Data2[[#This Row],[Unit Price]]*Sales_Data2[[#This Row],[Quantity]]</f>
        <v>1320000</v>
      </c>
      <c r="M2053">
        <f>Sales_Data2[[#This Row],[Cost Price]]*Sales_Data2[[#This Row],[Quantity]]</f>
        <v>1056000</v>
      </c>
      <c r="N2053" s="3">
        <f>Sales_Data2[[#This Row],[Revenue]]-Sales_Data2[[#This Row],[COGS]]</f>
        <v>264000</v>
      </c>
      <c r="O205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47727|South|Port Harcourt|Retail|Online|Refrigerator R55|Home Appliances|220000|6|Aisha|176000</v>
      </c>
      <c r="P2053" s="3" t="str">
        <f>IF(COUNTIF(Sales_Data2[RowKey],Sales_Data2[[#This Row],[RowKey]])&gt;1,"Duplicate","Unique")</f>
        <v>Unique</v>
      </c>
      <c r="Q2053" s="3" t="str">
        <f>IF(ISNUMBER(Sales_Data2[[#This Row],[Date]]),"OK","Check")</f>
        <v>OK</v>
      </c>
      <c r="R2053" s="3" t="str">
        <f>IF(ISNUMBER(Sales_Data2[[#This Row],[Quantity]]),"OK","Check")</f>
        <v>OK</v>
      </c>
    </row>
    <row r="2054" spans="1:18">
      <c r="A2054" s="1">
        <v>47728</v>
      </c>
      <c r="B2054" t="s">
        <v>18</v>
      </c>
      <c r="C2054" t="s">
        <v>26</v>
      </c>
      <c r="D2054" t="s">
        <v>13</v>
      </c>
      <c r="E2054" t="s">
        <v>20</v>
      </c>
      <c r="F2054" t="s">
        <v>34</v>
      </c>
      <c r="G2054" t="s">
        <v>16</v>
      </c>
      <c r="H2054">
        <v>320000</v>
      </c>
      <c r="I2054">
        <v>9</v>
      </c>
      <c r="J2054" t="s">
        <v>35</v>
      </c>
      <c r="K2054">
        <f t="shared" si="32"/>
        <v>256000</v>
      </c>
      <c r="L2054">
        <f>Sales_Data2[[#This Row],[Unit Price]]*Sales_Data2[[#This Row],[Quantity]]</f>
        <v>2880000</v>
      </c>
      <c r="M2054">
        <f>Sales_Data2[[#This Row],[Cost Price]]*Sales_Data2[[#This Row],[Quantity]]</f>
        <v>2304000</v>
      </c>
      <c r="N2054" s="3">
        <f>Sales_Data2[[#This Row],[Revenue]]-Sales_Data2[[#This Row],[COGS]]</f>
        <v>576000</v>
      </c>
      <c r="O205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47728|East|Kano|Retail|Store|Sofa Classic|Furniture|320000|9|Peter|256000</v>
      </c>
      <c r="P2054" s="3" t="str">
        <f>IF(COUNTIF(Sales_Data2[RowKey],Sales_Data2[[#This Row],[RowKey]])&gt;1,"Duplicate","Unique")</f>
        <v>Unique</v>
      </c>
      <c r="Q2054" s="3" t="str">
        <f>IF(ISNUMBER(Sales_Data2[[#This Row],[Date]]),"OK","Check")</f>
        <v>OK</v>
      </c>
      <c r="R2054" s="3" t="str">
        <f>IF(ISNUMBER(Sales_Data2[[#This Row],[Quantity]]),"OK","Check")</f>
        <v>OK</v>
      </c>
    </row>
    <row r="2055" spans="1:18">
      <c r="A2055" s="1">
        <v>47729</v>
      </c>
      <c r="B2055" t="s">
        <v>25</v>
      </c>
      <c r="C2055" t="s">
        <v>26</v>
      </c>
      <c r="D2055" t="s">
        <v>13</v>
      </c>
      <c r="E2055" t="s">
        <v>20</v>
      </c>
      <c r="F2055" t="s">
        <v>38</v>
      </c>
      <c r="G2055" t="s">
        <v>31</v>
      </c>
      <c r="H2055">
        <v>420000</v>
      </c>
      <c r="I2055">
        <v>3</v>
      </c>
      <c r="J2055" t="s">
        <v>24</v>
      </c>
      <c r="K2055">
        <f t="shared" si="32"/>
        <v>336000</v>
      </c>
      <c r="L2055">
        <f>Sales_Data2[[#This Row],[Unit Price]]*Sales_Data2[[#This Row],[Quantity]]</f>
        <v>1260000</v>
      </c>
      <c r="M2055">
        <f>Sales_Data2[[#This Row],[Cost Price]]*Sales_Data2[[#This Row],[Quantity]]</f>
        <v>1008000</v>
      </c>
      <c r="N2055" s="3">
        <f>Sales_Data2[[#This Row],[Revenue]]-Sales_Data2[[#This Row],[COGS]]</f>
        <v>252000</v>
      </c>
      <c r="O205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47729|South|Kano|Retail|Store|Laptop A13|Electronics|420000|3|David|336000</v>
      </c>
      <c r="P2055" s="3" t="str">
        <f>IF(COUNTIF(Sales_Data2[RowKey],Sales_Data2[[#This Row],[RowKey]])&gt;1,"Duplicate","Unique")</f>
        <v>Unique</v>
      </c>
      <c r="Q2055" s="3" t="str">
        <f>IF(ISNUMBER(Sales_Data2[[#This Row],[Date]]),"OK","Check")</f>
        <v>OK</v>
      </c>
      <c r="R2055" s="3" t="str">
        <f>IF(ISNUMBER(Sales_Data2[[#This Row],[Quantity]]),"OK","Check")</f>
        <v>OK</v>
      </c>
    </row>
    <row r="2056" spans="1:18">
      <c r="A2056" s="1">
        <v>47730</v>
      </c>
      <c r="B2056" t="s">
        <v>18</v>
      </c>
      <c r="C2056" t="s">
        <v>32</v>
      </c>
      <c r="D2056" t="s">
        <v>23</v>
      </c>
      <c r="E2056" t="s">
        <v>20</v>
      </c>
      <c r="F2056" t="s">
        <v>33</v>
      </c>
      <c r="G2056" t="s">
        <v>22</v>
      </c>
      <c r="H2056">
        <v>180000</v>
      </c>
      <c r="I2056">
        <v>9</v>
      </c>
      <c r="J2056" t="s">
        <v>17</v>
      </c>
      <c r="K2056">
        <f t="shared" si="32"/>
        <v>144000</v>
      </c>
      <c r="L2056">
        <f>Sales_Data2[[#This Row],[Unit Price]]*Sales_Data2[[#This Row],[Quantity]]</f>
        <v>1620000</v>
      </c>
      <c r="M2056">
        <f>Sales_Data2[[#This Row],[Cost Price]]*Sales_Data2[[#This Row],[Quantity]]</f>
        <v>1296000</v>
      </c>
      <c r="N2056" s="3">
        <f>Sales_Data2[[#This Row],[Revenue]]-Sales_Data2[[#This Row],[COGS]]</f>
        <v>324000</v>
      </c>
      <c r="O205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47730|East|Abuja|Corporate|Store|Air Conditioner X2|Home Appliances|180000|9|Chidinma|144000</v>
      </c>
      <c r="P2056" s="3" t="str">
        <f>IF(COUNTIF(Sales_Data2[RowKey],Sales_Data2[[#This Row],[RowKey]])&gt;1,"Duplicate","Unique")</f>
        <v>Unique</v>
      </c>
      <c r="Q2056" s="3" t="str">
        <f>IF(ISNUMBER(Sales_Data2[[#This Row],[Date]]),"OK","Check")</f>
        <v>OK</v>
      </c>
      <c r="R2056" s="3" t="str">
        <f>IF(ISNUMBER(Sales_Data2[[#This Row],[Quantity]]),"OK","Check")</f>
        <v>OK</v>
      </c>
    </row>
    <row r="2057" spans="1:18">
      <c r="A2057" s="1">
        <v>47731</v>
      </c>
      <c r="B2057" t="s">
        <v>25</v>
      </c>
      <c r="C2057" t="s">
        <v>32</v>
      </c>
      <c r="D2057" t="s">
        <v>23</v>
      </c>
      <c r="E2057" t="s">
        <v>20</v>
      </c>
      <c r="F2057" t="s">
        <v>27</v>
      </c>
      <c r="G2057" t="s">
        <v>22</v>
      </c>
      <c r="H2057">
        <v>60000</v>
      </c>
      <c r="I2057">
        <v>1</v>
      </c>
      <c r="J2057" t="s">
        <v>17</v>
      </c>
      <c r="K2057">
        <f t="shared" si="32"/>
        <v>48000</v>
      </c>
      <c r="L2057">
        <f>Sales_Data2[[#This Row],[Unit Price]]*Sales_Data2[[#This Row],[Quantity]]</f>
        <v>60000</v>
      </c>
      <c r="M2057">
        <f>Sales_Data2[[#This Row],[Cost Price]]*Sales_Data2[[#This Row],[Quantity]]</f>
        <v>48000</v>
      </c>
      <c r="N2057" s="3">
        <f>Sales_Data2[[#This Row],[Revenue]]-Sales_Data2[[#This Row],[COGS]]</f>
        <v>12000</v>
      </c>
      <c r="O205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47731|South|Abuja|Corporate|Store|Microwave M20|Home Appliances|60000|1|Chidinma|48000</v>
      </c>
      <c r="P2057" s="3" t="str">
        <f>IF(COUNTIF(Sales_Data2[RowKey],Sales_Data2[[#This Row],[RowKey]])&gt;1,"Duplicate","Unique")</f>
        <v>Unique</v>
      </c>
      <c r="Q2057" s="3" t="str">
        <f>IF(ISNUMBER(Sales_Data2[[#This Row],[Date]]),"OK","Check")</f>
        <v>OK</v>
      </c>
      <c r="R2057" s="3" t="str">
        <f>IF(ISNUMBER(Sales_Data2[[#This Row],[Quantity]]),"OK","Check")</f>
        <v>OK</v>
      </c>
    </row>
    <row r="2058" spans="1:18">
      <c r="A2058" s="1">
        <v>47732</v>
      </c>
      <c r="B2058" t="s">
        <v>11</v>
      </c>
      <c r="C2058" t="s">
        <v>26</v>
      </c>
      <c r="D2058" t="s">
        <v>23</v>
      </c>
      <c r="E2058" t="s">
        <v>20</v>
      </c>
      <c r="F2058" t="s">
        <v>40</v>
      </c>
      <c r="G2058" t="s">
        <v>31</v>
      </c>
      <c r="H2058">
        <v>250000</v>
      </c>
      <c r="I2058">
        <v>5</v>
      </c>
      <c r="J2058" t="s">
        <v>35</v>
      </c>
      <c r="K2058">
        <f t="shared" si="32"/>
        <v>200000</v>
      </c>
      <c r="L2058">
        <f>Sales_Data2[[#This Row],[Unit Price]]*Sales_Data2[[#This Row],[Quantity]]</f>
        <v>1250000</v>
      </c>
      <c r="M2058">
        <f>Sales_Data2[[#This Row],[Cost Price]]*Sales_Data2[[#This Row],[Quantity]]</f>
        <v>1000000</v>
      </c>
      <c r="N2058" s="3">
        <f>Sales_Data2[[#This Row],[Revenue]]-Sales_Data2[[#This Row],[COGS]]</f>
        <v>250000</v>
      </c>
      <c r="O205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47732|West|Kano|Corporate|Store|Smartphone Z10|Electronics|250000|5|Peter|200000</v>
      </c>
      <c r="P2058" s="3" t="str">
        <f>IF(COUNTIF(Sales_Data2[RowKey],Sales_Data2[[#This Row],[RowKey]])&gt;1,"Duplicate","Unique")</f>
        <v>Unique</v>
      </c>
      <c r="Q2058" s="3" t="str">
        <f>IF(ISNUMBER(Sales_Data2[[#This Row],[Date]]),"OK","Check")</f>
        <v>OK</v>
      </c>
      <c r="R2058" s="3" t="str">
        <f>IF(ISNUMBER(Sales_Data2[[#This Row],[Quantity]]),"OK","Check")</f>
        <v>OK</v>
      </c>
    </row>
    <row r="2059" spans="1:18">
      <c r="A2059" s="1">
        <v>47733</v>
      </c>
      <c r="B2059" t="s">
        <v>11</v>
      </c>
      <c r="C2059" t="s">
        <v>12</v>
      </c>
      <c r="D2059" t="s">
        <v>23</v>
      </c>
      <c r="E2059" t="s">
        <v>20</v>
      </c>
      <c r="F2059" t="s">
        <v>21</v>
      </c>
      <c r="G2059" t="s">
        <v>22</v>
      </c>
      <c r="H2059">
        <v>30000</v>
      </c>
      <c r="I2059">
        <v>8</v>
      </c>
      <c r="J2059" t="s">
        <v>17</v>
      </c>
      <c r="K2059">
        <f t="shared" si="32"/>
        <v>24000</v>
      </c>
      <c r="L2059">
        <f>Sales_Data2[[#This Row],[Unit Price]]*Sales_Data2[[#This Row],[Quantity]]</f>
        <v>240000</v>
      </c>
      <c r="M2059">
        <f>Sales_Data2[[#This Row],[Cost Price]]*Sales_Data2[[#This Row],[Quantity]]</f>
        <v>192000</v>
      </c>
      <c r="N2059" s="3">
        <f>Sales_Data2[[#This Row],[Revenue]]-Sales_Data2[[#This Row],[COGS]]</f>
        <v>48000</v>
      </c>
      <c r="O205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47733|West|Port Harcourt|Corporate|Store|Blender B10|Home Appliances|30000|8|Chidinma|24000</v>
      </c>
      <c r="P2059" s="3" t="str">
        <f>IF(COUNTIF(Sales_Data2[RowKey],Sales_Data2[[#This Row],[RowKey]])&gt;1,"Duplicate","Unique")</f>
        <v>Unique</v>
      </c>
      <c r="Q2059" s="3" t="str">
        <f>IF(ISNUMBER(Sales_Data2[[#This Row],[Date]]),"OK","Check")</f>
        <v>OK</v>
      </c>
      <c r="R2059" s="3" t="str">
        <f>IF(ISNUMBER(Sales_Data2[[#This Row],[Quantity]]),"OK","Check")</f>
        <v>OK</v>
      </c>
    </row>
    <row r="2060" spans="1:18">
      <c r="A2060" s="1">
        <v>47734</v>
      </c>
      <c r="B2060" t="s">
        <v>29</v>
      </c>
      <c r="C2060" t="s">
        <v>12</v>
      </c>
      <c r="D2060" t="s">
        <v>13</v>
      </c>
      <c r="E2060" t="s">
        <v>14</v>
      </c>
      <c r="F2060" t="s">
        <v>33</v>
      </c>
      <c r="G2060" t="s">
        <v>22</v>
      </c>
      <c r="H2060">
        <v>180000</v>
      </c>
      <c r="I2060">
        <v>6</v>
      </c>
      <c r="J2060" t="s">
        <v>17</v>
      </c>
      <c r="K2060">
        <f t="shared" si="32"/>
        <v>144000</v>
      </c>
      <c r="L2060">
        <f>Sales_Data2[[#This Row],[Unit Price]]*Sales_Data2[[#This Row],[Quantity]]</f>
        <v>1080000</v>
      </c>
      <c r="M2060">
        <f>Sales_Data2[[#This Row],[Cost Price]]*Sales_Data2[[#This Row],[Quantity]]</f>
        <v>864000</v>
      </c>
      <c r="N2060" s="3">
        <f>Sales_Data2[[#This Row],[Revenue]]-Sales_Data2[[#This Row],[COGS]]</f>
        <v>216000</v>
      </c>
      <c r="O206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47734|North|Port Harcourt|Retail|Online|Air Conditioner X2|Home Appliances|180000|6|Chidinma|144000</v>
      </c>
      <c r="P2060" s="3" t="str">
        <f>IF(COUNTIF(Sales_Data2[RowKey],Sales_Data2[[#This Row],[RowKey]])&gt;1,"Duplicate","Unique")</f>
        <v>Unique</v>
      </c>
      <c r="Q2060" s="3" t="str">
        <f>IF(ISNUMBER(Sales_Data2[[#This Row],[Date]]),"OK","Check")</f>
        <v>OK</v>
      </c>
      <c r="R2060" s="3" t="str">
        <f>IF(ISNUMBER(Sales_Data2[[#This Row],[Quantity]]),"OK","Check")</f>
        <v>OK</v>
      </c>
    </row>
    <row r="2061" spans="1:18">
      <c r="A2061" s="1">
        <v>47735</v>
      </c>
      <c r="B2061" t="s">
        <v>18</v>
      </c>
      <c r="C2061" t="s">
        <v>26</v>
      </c>
      <c r="D2061" t="s">
        <v>13</v>
      </c>
      <c r="E2061" t="s">
        <v>20</v>
      </c>
      <c r="F2061" t="s">
        <v>27</v>
      </c>
      <c r="G2061" t="s">
        <v>22</v>
      </c>
      <c r="H2061">
        <v>60000</v>
      </c>
      <c r="I2061">
        <v>1</v>
      </c>
      <c r="J2061" t="s">
        <v>28</v>
      </c>
      <c r="K2061">
        <f t="shared" si="32"/>
        <v>48000</v>
      </c>
      <c r="L2061">
        <f>Sales_Data2[[#This Row],[Unit Price]]*Sales_Data2[[#This Row],[Quantity]]</f>
        <v>60000</v>
      </c>
      <c r="M2061">
        <f>Sales_Data2[[#This Row],[Cost Price]]*Sales_Data2[[#This Row],[Quantity]]</f>
        <v>48000</v>
      </c>
      <c r="N2061" s="3">
        <f>Sales_Data2[[#This Row],[Revenue]]-Sales_Data2[[#This Row],[COGS]]</f>
        <v>12000</v>
      </c>
      <c r="O206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47735|East|Kano|Retail|Store|Microwave M20|Home Appliances|60000|1|Musa|48000</v>
      </c>
      <c r="P2061" s="3" t="str">
        <f>IF(COUNTIF(Sales_Data2[RowKey],Sales_Data2[[#This Row],[RowKey]])&gt;1,"Duplicate","Unique")</f>
        <v>Unique</v>
      </c>
      <c r="Q2061" s="3" t="str">
        <f>IF(ISNUMBER(Sales_Data2[[#This Row],[Date]]),"OK","Check")</f>
        <v>OK</v>
      </c>
      <c r="R2061" s="3" t="str">
        <f>IF(ISNUMBER(Sales_Data2[[#This Row],[Quantity]]),"OK","Check")</f>
        <v>OK</v>
      </c>
    </row>
    <row r="2062" spans="1:18">
      <c r="A2062" s="1">
        <v>47736</v>
      </c>
      <c r="B2062" t="s">
        <v>18</v>
      </c>
      <c r="C2062" t="s">
        <v>26</v>
      </c>
      <c r="D2062" t="s">
        <v>13</v>
      </c>
      <c r="E2062" t="s">
        <v>14</v>
      </c>
      <c r="F2062" t="s">
        <v>36</v>
      </c>
      <c r="G2062" t="s">
        <v>31</v>
      </c>
      <c r="H2062">
        <v>150000</v>
      </c>
      <c r="I2062">
        <v>5</v>
      </c>
      <c r="J2062" t="s">
        <v>39</v>
      </c>
      <c r="K2062">
        <f t="shared" si="32"/>
        <v>120000</v>
      </c>
      <c r="L2062">
        <f>Sales_Data2[[#This Row],[Unit Price]]*Sales_Data2[[#This Row],[Quantity]]</f>
        <v>750000</v>
      </c>
      <c r="M2062">
        <f>Sales_Data2[[#This Row],[Cost Price]]*Sales_Data2[[#This Row],[Quantity]]</f>
        <v>600000</v>
      </c>
      <c r="N2062" s="3">
        <f>Sales_Data2[[#This Row],[Revenue]]-Sales_Data2[[#This Row],[COGS]]</f>
        <v>150000</v>
      </c>
      <c r="O206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47736|East|Kano|Retail|Online|Printer P50|Electronics|150000|5|Grace|120000</v>
      </c>
      <c r="P2062" s="3" t="str">
        <f>IF(COUNTIF(Sales_Data2[RowKey],Sales_Data2[[#This Row],[RowKey]])&gt;1,"Duplicate","Unique")</f>
        <v>Unique</v>
      </c>
      <c r="Q2062" s="3" t="str">
        <f>IF(ISNUMBER(Sales_Data2[[#This Row],[Date]]),"OK","Check")</f>
        <v>OK</v>
      </c>
      <c r="R2062" s="3" t="str">
        <f>IF(ISNUMBER(Sales_Data2[[#This Row],[Quantity]]),"OK","Check")</f>
        <v>OK</v>
      </c>
    </row>
    <row r="2063" spans="1:18">
      <c r="A2063" s="1">
        <v>47737</v>
      </c>
      <c r="B2063" t="s">
        <v>29</v>
      </c>
      <c r="C2063" t="s">
        <v>19</v>
      </c>
      <c r="D2063" t="s">
        <v>23</v>
      </c>
      <c r="E2063" t="s">
        <v>20</v>
      </c>
      <c r="F2063" t="s">
        <v>15</v>
      </c>
      <c r="G2063" t="s">
        <v>16</v>
      </c>
      <c r="H2063">
        <v>85000</v>
      </c>
      <c r="I2063">
        <v>1</v>
      </c>
      <c r="J2063" t="s">
        <v>39</v>
      </c>
      <c r="K2063">
        <f t="shared" si="32"/>
        <v>68000</v>
      </c>
      <c r="L2063">
        <f>Sales_Data2[[#This Row],[Unit Price]]*Sales_Data2[[#This Row],[Quantity]]</f>
        <v>85000</v>
      </c>
      <c r="M2063">
        <f>Sales_Data2[[#This Row],[Cost Price]]*Sales_Data2[[#This Row],[Quantity]]</f>
        <v>68000</v>
      </c>
      <c r="N2063" s="3">
        <f>Sales_Data2[[#This Row],[Revenue]]-Sales_Data2[[#This Row],[COGS]]</f>
        <v>17000</v>
      </c>
      <c r="O206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47737|North|Lagos|Corporate|Store|Office Chair Pro|Furniture|85000|1|Grace|68000</v>
      </c>
      <c r="P2063" s="3" t="str">
        <f>IF(COUNTIF(Sales_Data2[RowKey],Sales_Data2[[#This Row],[RowKey]])&gt;1,"Duplicate","Unique")</f>
        <v>Unique</v>
      </c>
      <c r="Q2063" s="3" t="str">
        <f>IF(ISNUMBER(Sales_Data2[[#This Row],[Date]]),"OK","Check")</f>
        <v>OK</v>
      </c>
      <c r="R2063" s="3" t="str">
        <f>IF(ISNUMBER(Sales_Data2[[#This Row],[Quantity]]),"OK","Check")</f>
        <v>OK</v>
      </c>
    </row>
    <row r="2064" spans="1:18">
      <c r="A2064" s="1">
        <v>47738</v>
      </c>
      <c r="B2064" t="s">
        <v>25</v>
      </c>
      <c r="C2064" t="s">
        <v>19</v>
      </c>
      <c r="D2064" t="s">
        <v>23</v>
      </c>
      <c r="E2064" t="s">
        <v>20</v>
      </c>
      <c r="F2064" t="s">
        <v>36</v>
      </c>
      <c r="G2064" t="s">
        <v>31</v>
      </c>
      <c r="H2064">
        <v>150000</v>
      </c>
      <c r="I2064">
        <v>7</v>
      </c>
      <c r="J2064" t="s">
        <v>35</v>
      </c>
      <c r="K2064">
        <f t="shared" si="32"/>
        <v>120000</v>
      </c>
      <c r="L2064">
        <f>Sales_Data2[[#This Row],[Unit Price]]*Sales_Data2[[#This Row],[Quantity]]</f>
        <v>1050000</v>
      </c>
      <c r="M2064">
        <f>Sales_Data2[[#This Row],[Cost Price]]*Sales_Data2[[#This Row],[Quantity]]</f>
        <v>840000</v>
      </c>
      <c r="N2064" s="3">
        <f>Sales_Data2[[#This Row],[Revenue]]-Sales_Data2[[#This Row],[COGS]]</f>
        <v>210000</v>
      </c>
      <c r="O206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47738|South|Lagos|Corporate|Store|Printer P50|Electronics|150000|7|Peter|120000</v>
      </c>
      <c r="P2064" s="3" t="str">
        <f>IF(COUNTIF(Sales_Data2[RowKey],Sales_Data2[[#This Row],[RowKey]])&gt;1,"Duplicate","Unique")</f>
        <v>Unique</v>
      </c>
      <c r="Q2064" s="3" t="str">
        <f>IF(ISNUMBER(Sales_Data2[[#This Row],[Date]]),"OK","Check")</f>
        <v>OK</v>
      </c>
      <c r="R2064" s="3" t="str">
        <f>IF(ISNUMBER(Sales_Data2[[#This Row],[Quantity]]),"OK","Check")</f>
        <v>OK</v>
      </c>
    </row>
    <row r="2065" spans="1:18">
      <c r="A2065" s="1">
        <v>47739</v>
      </c>
      <c r="B2065" t="s">
        <v>29</v>
      </c>
      <c r="C2065" t="s">
        <v>26</v>
      </c>
      <c r="D2065" t="s">
        <v>23</v>
      </c>
      <c r="E2065" t="s">
        <v>20</v>
      </c>
      <c r="F2065" t="s">
        <v>33</v>
      </c>
      <c r="G2065" t="s">
        <v>22</v>
      </c>
      <c r="H2065">
        <v>180000</v>
      </c>
      <c r="I2065">
        <v>4</v>
      </c>
      <c r="J2065" t="s">
        <v>17</v>
      </c>
      <c r="K2065">
        <f t="shared" si="32"/>
        <v>144000</v>
      </c>
      <c r="L2065">
        <f>Sales_Data2[[#This Row],[Unit Price]]*Sales_Data2[[#This Row],[Quantity]]</f>
        <v>720000</v>
      </c>
      <c r="M2065">
        <f>Sales_Data2[[#This Row],[Cost Price]]*Sales_Data2[[#This Row],[Quantity]]</f>
        <v>576000</v>
      </c>
      <c r="N2065" s="3">
        <f>Sales_Data2[[#This Row],[Revenue]]-Sales_Data2[[#This Row],[COGS]]</f>
        <v>144000</v>
      </c>
      <c r="O206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47739|North|Kano|Corporate|Store|Air Conditioner X2|Home Appliances|180000|4|Chidinma|144000</v>
      </c>
      <c r="P2065" s="3" t="str">
        <f>IF(COUNTIF(Sales_Data2[RowKey],Sales_Data2[[#This Row],[RowKey]])&gt;1,"Duplicate","Unique")</f>
        <v>Unique</v>
      </c>
      <c r="Q2065" s="3" t="str">
        <f>IF(ISNUMBER(Sales_Data2[[#This Row],[Date]]),"OK","Check")</f>
        <v>OK</v>
      </c>
      <c r="R2065" s="3" t="str">
        <f>IF(ISNUMBER(Sales_Data2[[#This Row],[Quantity]]),"OK","Check")</f>
        <v>OK</v>
      </c>
    </row>
    <row r="2066" spans="1:18">
      <c r="A2066" s="1">
        <v>47740</v>
      </c>
      <c r="B2066" t="s">
        <v>29</v>
      </c>
      <c r="C2066" t="s">
        <v>26</v>
      </c>
      <c r="D2066" t="s">
        <v>23</v>
      </c>
      <c r="E2066" t="s">
        <v>20</v>
      </c>
      <c r="F2066" t="s">
        <v>15</v>
      </c>
      <c r="G2066" t="s">
        <v>16</v>
      </c>
      <c r="H2066">
        <v>85000</v>
      </c>
      <c r="I2066">
        <v>8</v>
      </c>
      <c r="J2066" t="s">
        <v>17</v>
      </c>
      <c r="K2066">
        <f t="shared" si="32"/>
        <v>68000</v>
      </c>
      <c r="L2066">
        <f>Sales_Data2[[#This Row],[Unit Price]]*Sales_Data2[[#This Row],[Quantity]]</f>
        <v>680000</v>
      </c>
      <c r="M2066">
        <f>Sales_Data2[[#This Row],[Cost Price]]*Sales_Data2[[#This Row],[Quantity]]</f>
        <v>544000</v>
      </c>
      <c r="N2066" s="3">
        <f>Sales_Data2[[#This Row],[Revenue]]-Sales_Data2[[#This Row],[COGS]]</f>
        <v>136000</v>
      </c>
      <c r="O206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47740|North|Kano|Corporate|Store|Office Chair Pro|Furniture|85000|8|Chidinma|68000</v>
      </c>
      <c r="P2066" s="3" t="str">
        <f>IF(COUNTIF(Sales_Data2[RowKey],Sales_Data2[[#This Row],[RowKey]])&gt;1,"Duplicate","Unique")</f>
        <v>Unique</v>
      </c>
      <c r="Q2066" s="3" t="str">
        <f>IF(ISNUMBER(Sales_Data2[[#This Row],[Date]]),"OK","Check")</f>
        <v>OK</v>
      </c>
      <c r="R2066" s="3" t="str">
        <f>IF(ISNUMBER(Sales_Data2[[#This Row],[Quantity]]),"OK","Check")</f>
        <v>OK</v>
      </c>
    </row>
    <row r="2067" spans="1:18">
      <c r="A2067" s="1">
        <v>47741</v>
      </c>
      <c r="B2067" t="s">
        <v>29</v>
      </c>
      <c r="C2067" t="s">
        <v>32</v>
      </c>
      <c r="D2067" t="s">
        <v>23</v>
      </c>
      <c r="E2067" t="s">
        <v>20</v>
      </c>
      <c r="F2067" t="s">
        <v>34</v>
      </c>
      <c r="G2067" t="s">
        <v>16</v>
      </c>
      <c r="H2067">
        <v>320000</v>
      </c>
      <c r="I2067">
        <v>4</v>
      </c>
      <c r="J2067" t="s">
        <v>24</v>
      </c>
      <c r="K2067">
        <f t="shared" si="32"/>
        <v>256000</v>
      </c>
      <c r="L2067">
        <f>Sales_Data2[[#This Row],[Unit Price]]*Sales_Data2[[#This Row],[Quantity]]</f>
        <v>1280000</v>
      </c>
      <c r="M2067">
        <f>Sales_Data2[[#This Row],[Cost Price]]*Sales_Data2[[#This Row],[Quantity]]</f>
        <v>1024000</v>
      </c>
      <c r="N2067" s="3">
        <f>Sales_Data2[[#This Row],[Revenue]]-Sales_Data2[[#This Row],[COGS]]</f>
        <v>256000</v>
      </c>
      <c r="O206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47741|North|Abuja|Corporate|Store|Sofa Classic|Furniture|320000|4|David|256000</v>
      </c>
      <c r="P2067" s="3" t="str">
        <f>IF(COUNTIF(Sales_Data2[RowKey],Sales_Data2[[#This Row],[RowKey]])&gt;1,"Duplicate","Unique")</f>
        <v>Unique</v>
      </c>
      <c r="Q2067" s="3" t="str">
        <f>IF(ISNUMBER(Sales_Data2[[#This Row],[Date]]),"OK","Check")</f>
        <v>OK</v>
      </c>
      <c r="R2067" s="3" t="str">
        <f>IF(ISNUMBER(Sales_Data2[[#This Row],[Quantity]]),"OK","Check")</f>
        <v>OK</v>
      </c>
    </row>
    <row r="2068" spans="1:18">
      <c r="A2068" s="1">
        <v>47742</v>
      </c>
      <c r="B2068" t="s">
        <v>11</v>
      </c>
      <c r="C2068" t="s">
        <v>26</v>
      </c>
      <c r="D2068" t="s">
        <v>13</v>
      </c>
      <c r="E2068" t="s">
        <v>20</v>
      </c>
      <c r="F2068" t="s">
        <v>40</v>
      </c>
      <c r="G2068" t="s">
        <v>31</v>
      </c>
      <c r="H2068">
        <v>250000</v>
      </c>
      <c r="I2068">
        <v>6</v>
      </c>
      <c r="J2068" t="s">
        <v>35</v>
      </c>
      <c r="K2068">
        <f t="shared" si="32"/>
        <v>200000</v>
      </c>
      <c r="L2068">
        <f>Sales_Data2[[#This Row],[Unit Price]]*Sales_Data2[[#This Row],[Quantity]]</f>
        <v>1500000</v>
      </c>
      <c r="M2068">
        <f>Sales_Data2[[#This Row],[Cost Price]]*Sales_Data2[[#This Row],[Quantity]]</f>
        <v>1200000</v>
      </c>
      <c r="N2068" s="3">
        <f>Sales_Data2[[#This Row],[Revenue]]-Sales_Data2[[#This Row],[COGS]]</f>
        <v>300000</v>
      </c>
      <c r="O206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47742|West|Kano|Retail|Store|Smartphone Z10|Electronics|250000|6|Peter|200000</v>
      </c>
      <c r="P2068" s="3" t="str">
        <f>IF(COUNTIF(Sales_Data2[RowKey],Sales_Data2[[#This Row],[RowKey]])&gt;1,"Duplicate","Unique")</f>
        <v>Unique</v>
      </c>
      <c r="Q2068" s="3" t="str">
        <f>IF(ISNUMBER(Sales_Data2[[#This Row],[Date]]),"OK","Check")</f>
        <v>OK</v>
      </c>
      <c r="R2068" s="3" t="str">
        <f>IF(ISNUMBER(Sales_Data2[[#This Row],[Quantity]]),"OK","Check")</f>
        <v>OK</v>
      </c>
    </row>
    <row r="2069" spans="1:18">
      <c r="A2069" s="1">
        <v>47743</v>
      </c>
      <c r="B2069" t="s">
        <v>11</v>
      </c>
      <c r="C2069" t="s">
        <v>26</v>
      </c>
      <c r="D2069" t="s">
        <v>13</v>
      </c>
      <c r="E2069" t="s">
        <v>20</v>
      </c>
      <c r="F2069" t="s">
        <v>41</v>
      </c>
      <c r="G2069" t="s">
        <v>22</v>
      </c>
      <c r="H2069">
        <v>220000</v>
      </c>
      <c r="I2069">
        <v>5</v>
      </c>
      <c r="J2069" t="s">
        <v>28</v>
      </c>
      <c r="K2069">
        <f t="shared" si="32"/>
        <v>176000</v>
      </c>
      <c r="L2069">
        <f>Sales_Data2[[#This Row],[Unit Price]]*Sales_Data2[[#This Row],[Quantity]]</f>
        <v>1100000</v>
      </c>
      <c r="M2069">
        <f>Sales_Data2[[#This Row],[Cost Price]]*Sales_Data2[[#This Row],[Quantity]]</f>
        <v>880000</v>
      </c>
      <c r="N2069" s="3">
        <f>Sales_Data2[[#This Row],[Revenue]]-Sales_Data2[[#This Row],[COGS]]</f>
        <v>220000</v>
      </c>
      <c r="O206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47743|West|Kano|Retail|Store|Refrigerator R55|Home Appliances|220000|5|Musa|176000</v>
      </c>
      <c r="P2069" s="3" t="str">
        <f>IF(COUNTIF(Sales_Data2[RowKey],Sales_Data2[[#This Row],[RowKey]])&gt;1,"Duplicate","Unique")</f>
        <v>Unique</v>
      </c>
      <c r="Q2069" s="3" t="str">
        <f>IF(ISNUMBER(Sales_Data2[[#This Row],[Date]]),"OK","Check")</f>
        <v>OK</v>
      </c>
      <c r="R2069" s="3" t="str">
        <f>IF(ISNUMBER(Sales_Data2[[#This Row],[Quantity]]),"OK","Check")</f>
        <v>OK</v>
      </c>
    </row>
    <row r="2070" spans="1:18">
      <c r="A2070" s="1">
        <v>47744</v>
      </c>
      <c r="B2070" t="s">
        <v>25</v>
      </c>
      <c r="C2070" t="s">
        <v>19</v>
      </c>
      <c r="D2070" t="s">
        <v>23</v>
      </c>
      <c r="E2070" t="s">
        <v>20</v>
      </c>
      <c r="F2070" t="s">
        <v>30</v>
      </c>
      <c r="G2070" t="s">
        <v>31</v>
      </c>
      <c r="H2070">
        <v>300000</v>
      </c>
      <c r="I2070">
        <v>8</v>
      </c>
      <c r="J2070" t="s">
        <v>37</v>
      </c>
      <c r="K2070">
        <f t="shared" si="32"/>
        <v>240000</v>
      </c>
      <c r="L2070">
        <f>Sales_Data2[[#This Row],[Unit Price]]*Sales_Data2[[#This Row],[Quantity]]</f>
        <v>2400000</v>
      </c>
      <c r="M2070">
        <f>Sales_Data2[[#This Row],[Cost Price]]*Sales_Data2[[#This Row],[Quantity]]</f>
        <v>1920000</v>
      </c>
      <c r="N2070" s="3">
        <f>Sales_Data2[[#This Row],[Revenue]]-Sales_Data2[[#This Row],[COGS]]</f>
        <v>480000</v>
      </c>
      <c r="O207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47744|South|Lagos|Corporate|Store|Desktop PC D21|Electronics|300000|8|Aisha|240000</v>
      </c>
      <c r="P2070" s="3" t="str">
        <f>IF(COUNTIF(Sales_Data2[RowKey],Sales_Data2[[#This Row],[RowKey]])&gt;1,"Duplicate","Unique")</f>
        <v>Unique</v>
      </c>
      <c r="Q2070" s="3" t="str">
        <f>IF(ISNUMBER(Sales_Data2[[#This Row],[Date]]),"OK","Check")</f>
        <v>OK</v>
      </c>
      <c r="R2070" s="3" t="str">
        <f>IF(ISNUMBER(Sales_Data2[[#This Row],[Quantity]]),"OK","Check")</f>
        <v>OK</v>
      </c>
    </row>
    <row r="2071" spans="1:18">
      <c r="A2071" s="1">
        <v>47745</v>
      </c>
      <c r="B2071" t="s">
        <v>25</v>
      </c>
      <c r="C2071" t="s">
        <v>32</v>
      </c>
      <c r="D2071" t="s">
        <v>13</v>
      </c>
      <c r="E2071" t="s">
        <v>20</v>
      </c>
      <c r="F2071" t="s">
        <v>27</v>
      </c>
      <c r="G2071" t="s">
        <v>22</v>
      </c>
      <c r="H2071">
        <v>60000</v>
      </c>
      <c r="I2071">
        <v>10</v>
      </c>
      <c r="J2071" t="s">
        <v>28</v>
      </c>
      <c r="K2071">
        <f t="shared" si="32"/>
        <v>48000</v>
      </c>
      <c r="L2071">
        <f>Sales_Data2[[#This Row],[Unit Price]]*Sales_Data2[[#This Row],[Quantity]]</f>
        <v>600000</v>
      </c>
      <c r="M2071">
        <f>Sales_Data2[[#This Row],[Cost Price]]*Sales_Data2[[#This Row],[Quantity]]</f>
        <v>480000</v>
      </c>
      <c r="N2071" s="3">
        <f>Sales_Data2[[#This Row],[Revenue]]-Sales_Data2[[#This Row],[COGS]]</f>
        <v>120000</v>
      </c>
      <c r="O207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47745|South|Abuja|Retail|Store|Microwave M20|Home Appliances|60000|10|Musa|48000</v>
      </c>
      <c r="P2071" s="3" t="str">
        <f>IF(COUNTIF(Sales_Data2[RowKey],Sales_Data2[[#This Row],[RowKey]])&gt;1,"Duplicate","Unique")</f>
        <v>Unique</v>
      </c>
      <c r="Q2071" s="3" t="str">
        <f>IF(ISNUMBER(Sales_Data2[[#This Row],[Date]]),"OK","Check")</f>
        <v>OK</v>
      </c>
      <c r="R2071" s="3" t="str">
        <f>IF(ISNUMBER(Sales_Data2[[#This Row],[Quantity]]),"OK","Check")</f>
        <v>OK</v>
      </c>
    </row>
    <row r="2072" spans="1:18">
      <c r="A2072" s="1">
        <v>47746</v>
      </c>
      <c r="B2072" t="s">
        <v>25</v>
      </c>
      <c r="C2072" t="s">
        <v>19</v>
      </c>
      <c r="D2072" t="s">
        <v>13</v>
      </c>
      <c r="E2072" t="s">
        <v>20</v>
      </c>
      <c r="F2072" t="s">
        <v>33</v>
      </c>
      <c r="G2072" t="s">
        <v>22</v>
      </c>
      <c r="H2072">
        <v>180000</v>
      </c>
      <c r="I2072">
        <v>6</v>
      </c>
      <c r="J2072" t="s">
        <v>39</v>
      </c>
      <c r="K2072">
        <f t="shared" si="32"/>
        <v>144000</v>
      </c>
      <c r="L2072">
        <f>Sales_Data2[[#This Row],[Unit Price]]*Sales_Data2[[#This Row],[Quantity]]</f>
        <v>1080000</v>
      </c>
      <c r="M2072">
        <f>Sales_Data2[[#This Row],[Cost Price]]*Sales_Data2[[#This Row],[Quantity]]</f>
        <v>864000</v>
      </c>
      <c r="N2072" s="3">
        <f>Sales_Data2[[#This Row],[Revenue]]-Sales_Data2[[#This Row],[COGS]]</f>
        <v>216000</v>
      </c>
      <c r="O207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47746|South|Lagos|Retail|Store|Air Conditioner X2|Home Appliances|180000|6|Grace|144000</v>
      </c>
      <c r="P2072" s="3" t="str">
        <f>IF(COUNTIF(Sales_Data2[RowKey],Sales_Data2[[#This Row],[RowKey]])&gt;1,"Duplicate","Unique")</f>
        <v>Unique</v>
      </c>
      <c r="Q2072" s="3" t="str">
        <f>IF(ISNUMBER(Sales_Data2[[#This Row],[Date]]),"OK","Check")</f>
        <v>OK</v>
      </c>
      <c r="R2072" s="3" t="str">
        <f>IF(ISNUMBER(Sales_Data2[[#This Row],[Quantity]]),"OK","Check")</f>
        <v>OK</v>
      </c>
    </row>
    <row r="2073" spans="1:18">
      <c r="A2073" s="1">
        <v>47747</v>
      </c>
      <c r="B2073" t="s">
        <v>25</v>
      </c>
      <c r="C2073" t="s">
        <v>26</v>
      </c>
      <c r="D2073" t="s">
        <v>23</v>
      </c>
      <c r="E2073" t="s">
        <v>20</v>
      </c>
      <c r="F2073" t="s">
        <v>27</v>
      </c>
      <c r="G2073" t="s">
        <v>22</v>
      </c>
      <c r="H2073">
        <v>60000</v>
      </c>
      <c r="I2073">
        <v>3</v>
      </c>
      <c r="J2073" t="s">
        <v>37</v>
      </c>
      <c r="K2073">
        <f t="shared" si="32"/>
        <v>48000</v>
      </c>
      <c r="L2073">
        <f>Sales_Data2[[#This Row],[Unit Price]]*Sales_Data2[[#This Row],[Quantity]]</f>
        <v>180000</v>
      </c>
      <c r="M2073">
        <f>Sales_Data2[[#This Row],[Cost Price]]*Sales_Data2[[#This Row],[Quantity]]</f>
        <v>144000</v>
      </c>
      <c r="N2073" s="3">
        <f>Sales_Data2[[#This Row],[Revenue]]-Sales_Data2[[#This Row],[COGS]]</f>
        <v>36000</v>
      </c>
      <c r="O207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47747|South|Kano|Corporate|Store|Microwave M20|Home Appliances|60000|3|Aisha|48000</v>
      </c>
      <c r="P2073" s="3" t="str">
        <f>IF(COUNTIF(Sales_Data2[RowKey],Sales_Data2[[#This Row],[RowKey]])&gt;1,"Duplicate","Unique")</f>
        <v>Unique</v>
      </c>
      <c r="Q2073" s="3" t="str">
        <f>IF(ISNUMBER(Sales_Data2[[#This Row],[Date]]),"OK","Check")</f>
        <v>OK</v>
      </c>
      <c r="R2073" s="3" t="str">
        <f>IF(ISNUMBER(Sales_Data2[[#This Row],[Quantity]]),"OK","Check")</f>
        <v>OK</v>
      </c>
    </row>
    <row r="2074" spans="1:18">
      <c r="A2074" s="1">
        <v>47748</v>
      </c>
      <c r="B2074" t="s">
        <v>25</v>
      </c>
      <c r="C2074" t="s">
        <v>26</v>
      </c>
      <c r="D2074" t="s">
        <v>13</v>
      </c>
      <c r="E2074" t="s">
        <v>20</v>
      </c>
      <c r="F2074" t="s">
        <v>21</v>
      </c>
      <c r="G2074" t="s">
        <v>22</v>
      </c>
      <c r="H2074">
        <v>30000</v>
      </c>
      <c r="I2074">
        <v>4</v>
      </c>
      <c r="J2074" t="s">
        <v>24</v>
      </c>
      <c r="K2074">
        <f t="shared" si="32"/>
        <v>24000</v>
      </c>
      <c r="L2074">
        <f>Sales_Data2[[#This Row],[Unit Price]]*Sales_Data2[[#This Row],[Quantity]]</f>
        <v>120000</v>
      </c>
      <c r="M2074">
        <f>Sales_Data2[[#This Row],[Cost Price]]*Sales_Data2[[#This Row],[Quantity]]</f>
        <v>96000</v>
      </c>
      <c r="N2074" s="3">
        <f>Sales_Data2[[#This Row],[Revenue]]-Sales_Data2[[#This Row],[COGS]]</f>
        <v>24000</v>
      </c>
      <c r="O207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47748|South|Kano|Retail|Store|Blender B10|Home Appliances|30000|4|David|24000</v>
      </c>
      <c r="P2074" s="3" t="str">
        <f>IF(COUNTIF(Sales_Data2[RowKey],Sales_Data2[[#This Row],[RowKey]])&gt;1,"Duplicate","Unique")</f>
        <v>Unique</v>
      </c>
      <c r="Q2074" s="3" t="str">
        <f>IF(ISNUMBER(Sales_Data2[[#This Row],[Date]]),"OK","Check")</f>
        <v>OK</v>
      </c>
      <c r="R2074" s="3" t="str">
        <f>IF(ISNUMBER(Sales_Data2[[#This Row],[Quantity]]),"OK","Check")</f>
        <v>OK</v>
      </c>
    </row>
    <row r="2075" spans="1:18">
      <c r="A2075" s="1">
        <v>47749</v>
      </c>
      <c r="B2075" t="s">
        <v>18</v>
      </c>
      <c r="C2075" t="s">
        <v>12</v>
      </c>
      <c r="D2075" t="s">
        <v>23</v>
      </c>
      <c r="E2075" t="s">
        <v>20</v>
      </c>
      <c r="F2075" t="s">
        <v>27</v>
      </c>
      <c r="G2075" t="s">
        <v>22</v>
      </c>
      <c r="H2075">
        <v>60000</v>
      </c>
      <c r="I2075">
        <v>4</v>
      </c>
      <c r="J2075" t="s">
        <v>37</v>
      </c>
      <c r="K2075">
        <f t="shared" si="32"/>
        <v>48000</v>
      </c>
      <c r="L2075">
        <f>Sales_Data2[[#This Row],[Unit Price]]*Sales_Data2[[#This Row],[Quantity]]</f>
        <v>240000</v>
      </c>
      <c r="M2075">
        <f>Sales_Data2[[#This Row],[Cost Price]]*Sales_Data2[[#This Row],[Quantity]]</f>
        <v>192000</v>
      </c>
      <c r="N2075" s="3">
        <f>Sales_Data2[[#This Row],[Revenue]]-Sales_Data2[[#This Row],[COGS]]</f>
        <v>48000</v>
      </c>
      <c r="O207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47749|East|Port Harcourt|Corporate|Store|Microwave M20|Home Appliances|60000|4|Aisha|48000</v>
      </c>
      <c r="P2075" s="3" t="str">
        <f>IF(COUNTIF(Sales_Data2[RowKey],Sales_Data2[[#This Row],[RowKey]])&gt;1,"Duplicate","Unique")</f>
        <v>Unique</v>
      </c>
      <c r="Q2075" s="3" t="str">
        <f>IF(ISNUMBER(Sales_Data2[[#This Row],[Date]]),"OK","Check")</f>
        <v>OK</v>
      </c>
      <c r="R2075" s="3" t="str">
        <f>IF(ISNUMBER(Sales_Data2[[#This Row],[Quantity]]),"OK","Check")</f>
        <v>OK</v>
      </c>
    </row>
    <row r="2076" spans="1:18">
      <c r="A2076" s="1">
        <v>47750</v>
      </c>
      <c r="B2076" t="s">
        <v>11</v>
      </c>
      <c r="C2076" t="s">
        <v>26</v>
      </c>
      <c r="D2076" t="s">
        <v>23</v>
      </c>
      <c r="E2076" t="s">
        <v>20</v>
      </c>
      <c r="F2076" t="s">
        <v>33</v>
      </c>
      <c r="G2076" t="s">
        <v>22</v>
      </c>
      <c r="H2076">
        <v>180000</v>
      </c>
      <c r="I2076">
        <v>5</v>
      </c>
      <c r="J2076" t="s">
        <v>28</v>
      </c>
      <c r="K2076">
        <f t="shared" si="32"/>
        <v>144000</v>
      </c>
      <c r="L2076">
        <f>Sales_Data2[[#This Row],[Unit Price]]*Sales_Data2[[#This Row],[Quantity]]</f>
        <v>900000</v>
      </c>
      <c r="M2076">
        <f>Sales_Data2[[#This Row],[Cost Price]]*Sales_Data2[[#This Row],[Quantity]]</f>
        <v>720000</v>
      </c>
      <c r="N2076" s="3">
        <f>Sales_Data2[[#This Row],[Revenue]]-Sales_Data2[[#This Row],[COGS]]</f>
        <v>180000</v>
      </c>
      <c r="O207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47750|West|Kano|Corporate|Store|Air Conditioner X2|Home Appliances|180000|5|Musa|144000</v>
      </c>
      <c r="P2076" s="3" t="str">
        <f>IF(COUNTIF(Sales_Data2[RowKey],Sales_Data2[[#This Row],[RowKey]])&gt;1,"Duplicate","Unique")</f>
        <v>Unique</v>
      </c>
      <c r="Q2076" s="3" t="str">
        <f>IF(ISNUMBER(Sales_Data2[[#This Row],[Date]]),"OK","Check")</f>
        <v>OK</v>
      </c>
      <c r="R2076" s="3" t="str">
        <f>IF(ISNUMBER(Sales_Data2[[#This Row],[Quantity]]),"OK","Check")</f>
        <v>OK</v>
      </c>
    </row>
    <row r="2077" spans="1:18">
      <c r="A2077" s="1">
        <v>47751</v>
      </c>
      <c r="B2077" t="s">
        <v>29</v>
      </c>
      <c r="C2077" t="s">
        <v>12</v>
      </c>
      <c r="D2077" t="s">
        <v>13</v>
      </c>
      <c r="E2077" t="s">
        <v>20</v>
      </c>
      <c r="F2077" t="s">
        <v>15</v>
      </c>
      <c r="G2077" t="s">
        <v>16</v>
      </c>
      <c r="H2077">
        <v>85000</v>
      </c>
      <c r="I2077">
        <v>9</v>
      </c>
      <c r="J2077" t="s">
        <v>24</v>
      </c>
      <c r="K2077">
        <f t="shared" si="32"/>
        <v>68000</v>
      </c>
      <c r="L2077">
        <f>Sales_Data2[[#This Row],[Unit Price]]*Sales_Data2[[#This Row],[Quantity]]</f>
        <v>765000</v>
      </c>
      <c r="M2077">
        <f>Sales_Data2[[#This Row],[Cost Price]]*Sales_Data2[[#This Row],[Quantity]]</f>
        <v>612000</v>
      </c>
      <c r="N2077" s="3">
        <f>Sales_Data2[[#This Row],[Revenue]]-Sales_Data2[[#This Row],[COGS]]</f>
        <v>153000</v>
      </c>
      <c r="O207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47751|North|Port Harcourt|Retail|Store|Office Chair Pro|Furniture|85000|9|David|68000</v>
      </c>
      <c r="P2077" s="3" t="str">
        <f>IF(COUNTIF(Sales_Data2[RowKey],Sales_Data2[[#This Row],[RowKey]])&gt;1,"Duplicate","Unique")</f>
        <v>Unique</v>
      </c>
      <c r="Q2077" s="3" t="str">
        <f>IF(ISNUMBER(Sales_Data2[[#This Row],[Date]]),"OK","Check")</f>
        <v>OK</v>
      </c>
      <c r="R2077" s="3" t="str">
        <f>IF(ISNUMBER(Sales_Data2[[#This Row],[Quantity]]),"OK","Check")</f>
        <v>OK</v>
      </c>
    </row>
    <row r="2078" spans="1:18">
      <c r="A2078" s="1">
        <v>47752</v>
      </c>
      <c r="B2078" t="s">
        <v>11</v>
      </c>
      <c r="C2078" t="s">
        <v>32</v>
      </c>
      <c r="D2078" t="s">
        <v>13</v>
      </c>
      <c r="E2078" t="s">
        <v>20</v>
      </c>
      <c r="F2078" t="s">
        <v>15</v>
      </c>
      <c r="G2078" t="s">
        <v>16</v>
      </c>
      <c r="H2078">
        <v>85000</v>
      </c>
      <c r="I2078">
        <v>9</v>
      </c>
      <c r="J2078" t="s">
        <v>37</v>
      </c>
      <c r="K2078">
        <f t="shared" si="32"/>
        <v>68000</v>
      </c>
      <c r="L2078">
        <f>Sales_Data2[[#This Row],[Unit Price]]*Sales_Data2[[#This Row],[Quantity]]</f>
        <v>765000</v>
      </c>
      <c r="M2078">
        <f>Sales_Data2[[#This Row],[Cost Price]]*Sales_Data2[[#This Row],[Quantity]]</f>
        <v>612000</v>
      </c>
      <c r="N2078" s="3">
        <f>Sales_Data2[[#This Row],[Revenue]]-Sales_Data2[[#This Row],[COGS]]</f>
        <v>153000</v>
      </c>
      <c r="O207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47752|West|Abuja|Retail|Store|Office Chair Pro|Furniture|85000|9|Aisha|68000</v>
      </c>
      <c r="P2078" s="3" t="str">
        <f>IF(COUNTIF(Sales_Data2[RowKey],Sales_Data2[[#This Row],[RowKey]])&gt;1,"Duplicate","Unique")</f>
        <v>Unique</v>
      </c>
      <c r="Q2078" s="3" t="str">
        <f>IF(ISNUMBER(Sales_Data2[[#This Row],[Date]]),"OK","Check")</f>
        <v>OK</v>
      </c>
      <c r="R2078" s="3" t="str">
        <f>IF(ISNUMBER(Sales_Data2[[#This Row],[Quantity]]),"OK","Check")</f>
        <v>OK</v>
      </c>
    </row>
    <row r="2079" spans="1:18">
      <c r="A2079" s="1">
        <v>47753</v>
      </c>
      <c r="B2079" t="s">
        <v>29</v>
      </c>
      <c r="C2079" t="s">
        <v>12</v>
      </c>
      <c r="D2079" t="s">
        <v>23</v>
      </c>
      <c r="E2079" t="s">
        <v>20</v>
      </c>
      <c r="F2079" t="s">
        <v>33</v>
      </c>
      <c r="G2079" t="s">
        <v>22</v>
      </c>
      <c r="H2079">
        <v>180000</v>
      </c>
      <c r="I2079">
        <v>8</v>
      </c>
      <c r="J2079" t="s">
        <v>39</v>
      </c>
      <c r="K2079">
        <f t="shared" si="32"/>
        <v>144000</v>
      </c>
      <c r="L2079">
        <f>Sales_Data2[[#This Row],[Unit Price]]*Sales_Data2[[#This Row],[Quantity]]</f>
        <v>1440000</v>
      </c>
      <c r="M2079">
        <f>Sales_Data2[[#This Row],[Cost Price]]*Sales_Data2[[#This Row],[Quantity]]</f>
        <v>1152000</v>
      </c>
      <c r="N2079" s="3">
        <f>Sales_Data2[[#This Row],[Revenue]]-Sales_Data2[[#This Row],[COGS]]</f>
        <v>288000</v>
      </c>
      <c r="O207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47753|North|Port Harcourt|Corporate|Store|Air Conditioner X2|Home Appliances|180000|8|Grace|144000</v>
      </c>
      <c r="P2079" s="3" t="str">
        <f>IF(COUNTIF(Sales_Data2[RowKey],Sales_Data2[[#This Row],[RowKey]])&gt;1,"Duplicate","Unique")</f>
        <v>Unique</v>
      </c>
      <c r="Q2079" s="3" t="str">
        <f>IF(ISNUMBER(Sales_Data2[[#This Row],[Date]]),"OK","Check")</f>
        <v>OK</v>
      </c>
      <c r="R2079" s="3" t="str">
        <f>IF(ISNUMBER(Sales_Data2[[#This Row],[Quantity]]),"OK","Check")</f>
        <v>OK</v>
      </c>
    </row>
    <row r="2080" spans="1:18">
      <c r="A2080" s="1">
        <v>47754</v>
      </c>
      <c r="B2080" t="s">
        <v>29</v>
      </c>
      <c r="C2080" t="s">
        <v>19</v>
      </c>
      <c r="D2080" t="s">
        <v>23</v>
      </c>
      <c r="E2080" t="s">
        <v>20</v>
      </c>
      <c r="F2080" t="s">
        <v>36</v>
      </c>
      <c r="G2080" t="s">
        <v>31</v>
      </c>
      <c r="H2080">
        <v>150000</v>
      </c>
      <c r="I2080">
        <v>2</v>
      </c>
      <c r="J2080" t="s">
        <v>39</v>
      </c>
      <c r="K2080">
        <f t="shared" si="32"/>
        <v>120000</v>
      </c>
      <c r="L2080">
        <f>Sales_Data2[[#This Row],[Unit Price]]*Sales_Data2[[#This Row],[Quantity]]</f>
        <v>300000</v>
      </c>
      <c r="M2080">
        <f>Sales_Data2[[#This Row],[Cost Price]]*Sales_Data2[[#This Row],[Quantity]]</f>
        <v>240000</v>
      </c>
      <c r="N2080" s="3">
        <f>Sales_Data2[[#This Row],[Revenue]]-Sales_Data2[[#This Row],[COGS]]</f>
        <v>60000</v>
      </c>
      <c r="O208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47754|North|Lagos|Corporate|Store|Printer P50|Electronics|150000|2|Grace|120000</v>
      </c>
      <c r="P2080" s="3" t="str">
        <f>IF(COUNTIF(Sales_Data2[RowKey],Sales_Data2[[#This Row],[RowKey]])&gt;1,"Duplicate","Unique")</f>
        <v>Unique</v>
      </c>
      <c r="Q2080" s="3" t="str">
        <f>IF(ISNUMBER(Sales_Data2[[#This Row],[Date]]),"OK","Check")</f>
        <v>OK</v>
      </c>
      <c r="R2080" s="3" t="str">
        <f>IF(ISNUMBER(Sales_Data2[[#This Row],[Quantity]]),"OK","Check")</f>
        <v>OK</v>
      </c>
    </row>
    <row r="2081" spans="1:18">
      <c r="A2081" s="1">
        <v>47755</v>
      </c>
      <c r="B2081" t="s">
        <v>18</v>
      </c>
      <c r="C2081" t="s">
        <v>26</v>
      </c>
      <c r="D2081" t="s">
        <v>23</v>
      </c>
      <c r="E2081" t="s">
        <v>20</v>
      </c>
      <c r="F2081" t="s">
        <v>21</v>
      </c>
      <c r="G2081" t="s">
        <v>22</v>
      </c>
      <c r="H2081">
        <v>30000</v>
      </c>
      <c r="I2081">
        <v>3</v>
      </c>
      <c r="J2081" t="s">
        <v>17</v>
      </c>
      <c r="K2081">
        <f t="shared" si="32"/>
        <v>24000</v>
      </c>
      <c r="L2081">
        <f>Sales_Data2[[#This Row],[Unit Price]]*Sales_Data2[[#This Row],[Quantity]]</f>
        <v>90000</v>
      </c>
      <c r="M2081">
        <f>Sales_Data2[[#This Row],[Cost Price]]*Sales_Data2[[#This Row],[Quantity]]</f>
        <v>72000</v>
      </c>
      <c r="N2081" s="3">
        <f>Sales_Data2[[#This Row],[Revenue]]-Sales_Data2[[#This Row],[COGS]]</f>
        <v>18000</v>
      </c>
      <c r="O208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47755|East|Kano|Corporate|Store|Blender B10|Home Appliances|30000|3|Chidinma|24000</v>
      </c>
      <c r="P2081" s="3" t="str">
        <f>IF(COUNTIF(Sales_Data2[RowKey],Sales_Data2[[#This Row],[RowKey]])&gt;1,"Duplicate","Unique")</f>
        <v>Unique</v>
      </c>
      <c r="Q2081" s="3" t="str">
        <f>IF(ISNUMBER(Sales_Data2[[#This Row],[Date]]),"OK","Check")</f>
        <v>OK</v>
      </c>
      <c r="R2081" s="3" t="str">
        <f>IF(ISNUMBER(Sales_Data2[[#This Row],[Quantity]]),"OK","Check")</f>
        <v>OK</v>
      </c>
    </row>
    <row r="2082" spans="1:18">
      <c r="A2082" s="1">
        <v>47756</v>
      </c>
      <c r="B2082" t="s">
        <v>29</v>
      </c>
      <c r="C2082" t="s">
        <v>12</v>
      </c>
      <c r="D2082" t="s">
        <v>23</v>
      </c>
      <c r="E2082" t="s">
        <v>20</v>
      </c>
      <c r="F2082" t="s">
        <v>21</v>
      </c>
      <c r="G2082" t="s">
        <v>22</v>
      </c>
      <c r="H2082">
        <v>30000</v>
      </c>
      <c r="I2082">
        <v>5</v>
      </c>
      <c r="J2082" t="s">
        <v>24</v>
      </c>
      <c r="K2082">
        <f t="shared" si="32"/>
        <v>24000</v>
      </c>
      <c r="L2082">
        <f>Sales_Data2[[#This Row],[Unit Price]]*Sales_Data2[[#This Row],[Quantity]]</f>
        <v>150000</v>
      </c>
      <c r="M2082">
        <f>Sales_Data2[[#This Row],[Cost Price]]*Sales_Data2[[#This Row],[Quantity]]</f>
        <v>120000</v>
      </c>
      <c r="N2082" s="3">
        <f>Sales_Data2[[#This Row],[Revenue]]-Sales_Data2[[#This Row],[COGS]]</f>
        <v>30000</v>
      </c>
      <c r="O208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47756|North|Port Harcourt|Corporate|Store|Blender B10|Home Appliances|30000|5|David|24000</v>
      </c>
      <c r="P2082" s="3" t="str">
        <f>IF(COUNTIF(Sales_Data2[RowKey],Sales_Data2[[#This Row],[RowKey]])&gt;1,"Duplicate","Unique")</f>
        <v>Unique</v>
      </c>
      <c r="Q2082" s="3" t="str">
        <f>IF(ISNUMBER(Sales_Data2[[#This Row],[Date]]),"OK","Check")</f>
        <v>OK</v>
      </c>
      <c r="R2082" s="3" t="str">
        <f>IF(ISNUMBER(Sales_Data2[[#This Row],[Quantity]]),"OK","Check")</f>
        <v>OK</v>
      </c>
    </row>
    <row r="2083" spans="1:18">
      <c r="A2083" s="1">
        <v>47757</v>
      </c>
      <c r="B2083" t="s">
        <v>18</v>
      </c>
      <c r="C2083" t="s">
        <v>19</v>
      </c>
      <c r="D2083" t="s">
        <v>23</v>
      </c>
      <c r="E2083" t="s">
        <v>20</v>
      </c>
      <c r="F2083" t="s">
        <v>21</v>
      </c>
      <c r="G2083" t="s">
        <v>22</v>
      </c>
      <c r="H2083">
        <v>30000</v>
      </c>
      <c r="I2083">
        <v>7</v>
      </c>
      <c r="J2083" t="s">
        <v>39</v>
      </c>
      <c r="K2083">
        <f t="shared" si="32"/>
        <v>24000</v>
      </c>
      <c r="L2083">
        <f>Sales_Data2[[#This Row],[Unit Price]]*Sales_Data2[[#This Row],[Quantity]]</f>
        <v>210000</v>
      </c>
      <c r="M2083">
        <f>Sales_Data2[[#This Row],[Cost Price]]*Sales_Data2[[#This Row],[Quantity]]</f>
        <v>168000</v>
      </c>
      <c r="N2083" s="3">
        <f>Sales_Data2[[#This Row],[Revenue]]-Sales_Data2[[#This Row],[COGS]]</f>
        <v>42000</v>
      </c>
      <c r="O208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47757|East|Lagos|Corporate|Store|Blender B10|Home Appliances|30000|7|Grace|24000</v>
      </c>
      <c r="P2083" s="3" t="str">
        <f>IF(COUNTIF(Sales_Data2[RowKey],Sales_Data2[[#This Row],[RowKey]])&gt;1,"Duplicate","Unique")</f>
        <v>Unique</v>
      </c>
      <c r="Q2083" s="3" t="str">
        <f>IF(ISNUMBER(Sales_Data2[[#This Row],[Date]]),"OK","Check")</f>
        <v>OK</v>
      </c>
      <c r="R2083" s="3" t="str">
        <f>IF(ISNUMBER(Sales_Data2[[#This Row],[Quantity]]),"OK","Check")</f>
        <v>OK</v>
      </c>
    </row>
    <row r="2084" spans="1:18">
      <c r="A2084" s="1">
        <v>47758</v>
      </c>
      <c r="B2084" t="s">
        <v>18</v>
      </c>
      <c r="C2084" t="s">
        <v>12</v>
      </c>
      <c r="D2084" t="s">
        <v>13</v>
      </c>
      <c r="E2084" t="s">
        <v>20</v>
      </c>
      <c r="F2084" t="s">
        <v>33</v>
      </c>
      <c r="G2084" t="s">
        <v>22</v>
      </c>
      <c r="H2084">
        <v>180000</v>
      </c>
      <c r="I2084">
        <v>4</v>
      </c>
      <c r="J2084" t="s">
        <v>17</v>
      </c>
      <c r="K2084">
        <f t="shared" si="32"/>
        <v>144000</v>
      </c>
      <c r="L2084">
        <f>Sales_Data2[[#This Row],[Unit Price]]*Sales_Data2[[#This Row],[Quantity]]</f>
        <v>720000</v>
      </c>
      <c r="M2084">
        <f>Sales_Data2[[#This Row],[Cost Price]]*Sales_Data2[[#This Row],[Quantity]]</f>
        <v>576000</v>
      </c>
      <c r="N2084" s="3">
        <f>Sales_Data2[[#This Row],[Revenue]]-Sales_Data2[[#This Row],[COGS]]</f>
        <v>144000</v>
      </c>
      <c r="O208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47758|East|Port Harcourt|Retail|Store|Air Conditioner X2|Home Appliances|180000|4|Chidinma|144000</v>
      </c>
      <c r="P2084" s="3" t="str">
        <f>IF(COUNTIF(Sales_Data2[RowKey],Sales_Data2[[#This Row],[RowKey]])&gt;1,"Duplicate","Unique")</f>
        <v>Unique</v>
      </c>
      <c r="Q2084" s="3" t="str">
        <f>IF(ISNUMBER(Sales_Data2[[#This Row],[Date]]),"OK","Check")</f>
        <v>OK</v>
      </c>
      <c r="R2084" s="3" t="str">
        <f>IF(ISNUMBER(Sales_Data2[[#This Row],[Quantity]]),"OK","Check")</f>
        <v>OK</v>
      </c>
    </row>
    <row r="2085" spans="1:18">
      <c r="A2085" s="1">
        <v>47759</v>
      </c>
      <c r="B2085" t="s">
        <v>18</v>
      </c>
      <c r="C2085" t="s">
        <v>12</v>
      </c>
      <c r="D2085" t="s">
        <v>23</v>
      </c>
      <c r="E2085" t="s">
        <v>20</v>
      </c>
      <c r="F2085" t="s">
        <v>33</v>
      </c>
      <c r="G2085" t="s">
        <v>22</v>
      </c>
      <c r="H2085">
        <v>180000</v>
      </c>
      <c r="I2085">
        <v>1</v>
      </c>
      <c r="J2085" t="s">
        <v>35</v>
      </c>
      <c r="K2085">
        <f t="shared" si="32"/>
        <v>144000</v>
      </c>
      <c r="L2085">
        <f>Sales_Data2[[#This Row],[Unit Price]]*Sales_Data2[[#This Row],[Quantity]]</f>
        <v>180000</v>
      </c>
      <c r="M2085">
        <f>Sales_Data2[[#This Row],[Cost Price]]*Sales_Data2[[#This Row],[Quantity]]</f>
        <v>144000</v>
      </c>
      <c r="N2085" s="3">
        <f>Sales_Data2[[#This Row],[Revenue]]-Sales_Data2[[#This Row],[COGS]]</f>
        <v>36000</v>
      </c>
      <c r="O208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47759|East|Port Harcourt|Corporate|Store|Air Conditioner X2|Home Appliances|180000|1|Peter|144000</v>
      </c>
      <c r="P2085" s="3" t="str">
        <f>IF(COUNTIF(Sales_Data2[RowKey],Sales_Data2[[#This Row],[RowKey]])&gt;1,"Duplicate","Unique")</f>
        <v>Unique</v>
      </c>
      <c r="Q2085" s="3" t="str">
        <f>IF(ISNUMBER(Sales_Data2[[#This Row],[Date]]),"OK","Check")</f>
        <v>OK</v>
      </c>
      <c r="R2085" s="3" t="str">
        <f>IF(ISNUMBER(Sales_Data2[[#This Row],[Quantity]]),"OK","Check")</f>
        <v>OK</v>
      </c>
    </row>
    <row r="2086" spans="1:18">
      <c r="A2086" s="1">
        <v>47760</v>
      </c>
      <c r="B2086" t="s">
        <v>25</v>
      </c>
      <c r="C2086" t="s">
        <v>19</v>
      </c>
      <c r="D2086" t="s">
        <v>13</v>
      </c>
      <c r="E2086" t="s">
        <v>20</v>
      </c>
      <c r="F2086" t="s">
        <v>27</v>
      </c>
      <c r="G2086" t="s">
        <v>22</v>
      </c>
      <c r="H2086">
        <v>60000</v>
      </c>
      <c r="I2086">
        <v>10</v>
      </c>
      <c r="J2086" t="s">
        <v>37</v>
      </c>
      <c r="K2086">
        <f t="shared" si="32"/>
        <v>48000</v>
      </c>
      <c r="L2086">
        <f>Sales_Data2[[#This Row],[Unit Price]]*Sales_Data2[[#This Row],[Quantity]]</f>
        <v>600000</v>
      </c>
      <c r="M2086">
        <f>Sales_Data2[[#This Row],[Cost Price]]*Sales_Data2[[#This Row],[Quantity]]</f>
        <v>480000</v>
      </c>
      <c r="N2086" s="3">
        <f>Sales_Data2[[#This Row],[Revenue]]-Sales_Data2[[#This Row],[COGS]]</f>
        <v>120000</v>
      </c>
      <c r="O208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47760|South|Lagos|Retail|Store|Microwave M20|Home Appliances|60000|10|Aisha|48000</v>
      </c>
      <c r="P2086" s="3" t="str">
        <f>IF(COUNTIF(Sales_Data2[RowKey],Sales_Data2[[#This Row],[RowKey]])&gt;1,"Duplicate","Unique")</f>
        <v>Unique</v>
      </c>
      <c r="Q2086" s="3" t="str">
        <f>IF(ISNUMBER(Sales_Data2[[#This Row],[Date]]),"OK","Check")</f>
        <v>OK</v>
      </c>
      <c r="R2086" s="3" t="str">
        <f>IF(ISNUMBER(Sales_Data2[[#This Row],[Quantity]]),"OK","Check")</f>
        <v>OK</v>
      </c>
    </row>
    <row r="2087" spans="1:18">
      <c r="A2087" s="1">
        <v>47761</v>
      </c>
      <c r="B2087" t="s">
        <v>29</v>
      </c>
      <c r="C2087" t="s">
        <v>19</v>
      </c>
      <c r="D2087" t="s">
        <v>13</v>
      </c>
      <c r="E2087" t="s">
        <v>20</v>
      </c>
      <c r="F2087" t="s">
        <v>40</v>
      </c>
      <c r="G2087" t="s">
        <v>31</v>
      </c>
      <c r="H2087">
        <v>250000</v>
      </c>
      <c r="I2087">
        <v>8</v>
      </c>
      <c r="J2087" t="s">
        <v>28</v>
      </c>
      <c r="K2087">
        <f t="shared" si="32"/>
        <v>200000</v>
      </c>
      <c r="L2087">
        <f>Sales_Data2[[#This Row],[Unit Price]]*Sales_Data2[[#This Row],[Quantity]]</f>
        <v>2000000</v>
      </c>
      <c r="M2087">
        <f>Sales_Data2[[#This Row],[Cost Price]]*Sales_Data2[[#This Row],[Quantity]]</f>
        <v>1600000</v>
      </c>
      <c r="N2087" s="3">
        <f>Sales_Data2[[#This Row],[Revenue]]-Sales_Data2[[#This Row],[COGS]]</f>
        <v>400000</v>
      </c>
      <c r="O208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47761|North|Lagos|Retail|Store|Smartphone Z10|Electronics|250000|8|Musa|200000</v>
      </c>
      <c r="P2087" s="3" t="str">
        <f>IF(COUNTIF(Sales_Data2[RowKey],Sales_Data2[[#This Row],[RowKey]])&gt;1,"Duplicate","Unique")</f>
        <v>Unique</v>
      </c>
      <c r="Q2087" s="3" t="str">
        <f>IF(ISNUMBER(Sales_Data2[[#This Row],[Date]]),"OK","Check")</f>
        <v>OK</v>
      </c>
      <c r="R2087" s="3" t="str">
        <f>IF(ISNUMBER(Sales_Data2[[#This Row],[Quantity]]),"OK","Check")</f>
        <v>OK</v>
      </c>
    </row>
    <row r="2088" spans="1:18">
      <c r="A2088" s="1">
        <v>47762</v>
      </c>
      <c r="B2088" t="s">
        <v>29</v>
      </c>
      <c r="C2088" t="s">
        <v>26</v>
      </c>
      <c r="D2088" t="s">
        <v>13</v>
      </c>
      <c r="E2088" t="s">
        <v>20</v>
      </c>
      <c r="F2088" t="s">
        <v>21</v>
      </c>
      <c r="G2088" t="s">
        <v>22</v>
      </c>
      <c r="H2088">
        <v>30000</v>
      </c>
      <c r="I2088">
        <v>8</v>
      </c>
      <c r="J2088" t="s">
        <v>37</v>
      </c>
      <c r="K2088">
        <f t="shared" si="32"/>
        <v>24000</v>
      </c>
      <c r="L2088">
        <f>Sales_Data2[[#This Row],[Unit Price]]*Sales_Data2[[#This Row],[Quantity]]</f>
        <v>240000</v>
      </c>
      <c r="M2088">
        <f>Sales_Data2[[#This Row],[Cost Price]]*Sales_Data2[[#This Row],[Quantity]]</f>
        <v>192000</v>
      </c>
      <c r="N2088" s="3">
        <f>Sales_Data2[[#This Row],[Revenue]]-Sales_Data2[[#This Row],[COGS]]</f>
        <v>48000</v>
      </c>
      <c r="O208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47762|North|Kano|Retail|Store|Blender B10|Home Appliances|30000|8|Aisha|24000</v>
      </c>
      <c r="P2088" s="3" t="str">
        <f>IF(COUNTIF(Sales_Data2[RowKey],Sales_Data2[[#This Row],[RowKey]])&gt;1,"Duplicate","Unique")</f>
        <v>Unique</v>
      </c>
      <c r="Q2088" s="3" t="str">
        <f>IF(ISNUMBER(Sales_Data2[[#This Row],[Date]]),"OK","Check")</f>
        <v>OK</v>
      </c>
      <c r="R2088" s="3" t="str">
        <f>IF(ISNUMBER(Sales_Data2[[#This Row],[Quantity]]),"OK","Check")</f>
        <v>OK</v>
      </c>
    </row>
    <row r="2089" spans="1:18">
      <c r="A2089" s="1">
        <v>47763</v>
      </c>
      <c r="B2089" t="s">
        <v>29</v>
      </c>
      <c r="C2089" t="s">
        <v>12</v>
      </c>
      <c r="D2089" t="s">
        <v>23</v>
      </c>
      <c r="E2089" t="s">
        <v>14</v>
      </c>
      <c r="F2089" t="s">
        <v>33</v>
      </c>
      <c r="G2089" t="s">
        <v>22</v>
      </c>
      <c r="H2089">
        <v>180000</v>
      </c>
      <c r="I2089">
        <v>4</v>
      </c>
      <c r="J2089" t="s">
        <v>28</v>
      </c>
      <c r="K2089">
        <f t="shared" si="32"/>
        <v>144000</v>
      </c>
      <c r="L2089">
        <f>Sales_Data2[[#This Row],[Unit Price]]*Sales_Data2[[#This Row],[Quantity]]</f>
        <v>720000</v>
      </c>
      <c r="M2089">
        <f>Sales_Data2[[#This Row],[Cost Price]]*Sales_Data2[[#This Row],[Quantity]]</f>
        <v>576000</v>
      </c>
      <c r="N2089" s="3">
        <f>Sales_Data2[[#This Row],[Revenue]]-Sales_Data2[[#This Row],[COGS]]</f>
        <v>144000</v>
      </c>
      <c r="O208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47763|North|Port Harcourt|Corporate|Online|Air Conditioner X2|Home Appliances|180000|4|Musa|144000</v>
      </c>
      <c r="P2089" s="3" t="str">
        <f>IF(COUNTIF(Sales_Data2[RowKey],Sales_Data2[[#This Row],[RowKey]])&gt;1,"Duplicate","Unique")</f>
        <v>Unique</v>
      </c>
      <c r="Q2089" s="3" t="str">
        <f>IF(ISNUMBER(Sales_Data2[[#This Row],[Date]]),"OK","Check")</f>
        <v>OK</v>
      </c>
      <c r="R2089" s="3" t="str">
        <f>IF(ISNUMBER(Sales_Data2[[#This Row],[Quantity]]),"OK","Check")</f>
        <v>OK</v>
      </c>
    </row>
    <row r="2090" spans="1:18">
      <c r="A2090" s="1">
        <v>47764</v>
      </c>
      <c r="B2090" t="s">
        <v>18</v>
      </c>
      <c r="C2090" t="s">
        <v>19</v>
      </c>
      <c r="D2090" t="s">
        <v>23</v>
      </c>
      <c r="E2090" t="s">
        <v>14</v>
      </c>
      <c r="F2090" t="s">
        <v>36</v>
      </c>
      <c r="G2090" t="s">
        <v>31</v>
      </c>
      <c r="H2090">
        <v>150000</v>
      </c>
      <c r="I2090">
        <v>1</v>
      </c>
      <c r="J2090" t="s">
        <v>28</v>
      </c>
      <c r="K2090">
        <f t="shared" si="32"/>
        <v>120000</v>
      </c>
      <c r="L2090">
        <f>Sales_Data2[[#This Row],[Unit Price]]*Sales_Data2[[#This Row],[Quantity]]</f>
        <v>150000</v>
      </c>
      <c r="M2090">
        <f>Sales_Data2[[#This Row],[Cost Price]]*Sales_Data2[[#This Row],[Quantity]]</f>
        <v>120000</v>
      </c>
      <c r="N2090" s="3">
        <f>Sales_Data2[[#This Row],[Revenue]]-Sales_Data2[[#This Row],[COGS]]</f>
        <v>30000</v>
      </c>
      <c r="O2090"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47764|East|Lagos|Corporate|Online|Printer P50|Electronics|150000|1|Musa|120000</v>
      </c>
      <c r="P2090" s="3" t="str">
        <f>IF(COUNTIF(Sales_Data2[RowKey],Sales_Data2[[#This Row],[RowKey]])&gt;1,"Duplicate","Unique")</f>
        <v>Unique</v>
      </c>
      <c r="Q2090" s="3" t="str">
        <f>IF(ISNUMBER(Sales_Data2[[#This Row],[Date]]),"OK","Check")</f>
        <v>OK</v>
      </c>
      <c r="R2090" s="3" t="str">
        <f>IF(ISNUMBER(Sales_Data2[[#This Row],[Quantity]]),"OK","Check")</f>
        <v>OK</v>
      </c>
    </row>
    <row r="2091" spans="1:18">
      <c r="A2091" s="1">
        <v>47765</v>
      </c>
      <c r="B2091" t="s">
        <v>29</v>
      </c>
      <c r="C2091" t="s">
        <v>32</v>
      </c>
      <c r="D2091" t="s">
        <v>13</v>
      </c>
      <c r="E2091" t="s">
        <v>20</v>
      </c>
      <c r="F2091" t="s">
        <v>30</v>
      </c>
      <c r="G2091" t="s">
        <v>31</v>
      </c>
      <c r="H2091">
        <v>300000</v>
      </c>
      <c r="I2091">
        <v>3</v>
      </c>
      <c r="J2091" t="s">
        <v>17</v>
      </c>
      <c r="K2091">
        <f t="shared" si="32"/>
        <v>240000</v>
      </c>
      <c r="L2091">
        <f>Sales_Data2[[#This Row],[Unit Price]]*Sales_Data2[[#This Row],[Quantity]]</f>
        <v>900000</v>
      </c>
      <c r="M2091">
        <f>Sales_Data2[[#This Row],[Cost Price]]*Sales_Data2[[#This Row],[Quantity]]</f>
        <v>720000</v>
      </c>
      <c r="N2091" s="3">
        <f>Sales_Data2[[#This Row],[Revenue]]-Sales_Data2[[#This Row],[COGS]]</f>
        <v>180000</v>
      </c>
      <c r="O2091"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47765|North|Abuja|Retail|Store|Desktop PC D21|Electronics|300000|3|Chidinma|240000</v>
      </c>
      <c r="P2091" s="3" t="str">
        <f>IF(COUNTIF(Sales_Data2[RowKey],Sales_Data2[[#This Row],[RowKey]])&gt;1,"Duplicate","Unique")</f>
        <v>Unique</v>
      </c>
      <c r="Q2091" s="3" t="str">
        <f>IF(ISNUMBER(Sales_Data2[[#This Row],[Date]]),"OK","Check")</f>
        <v>OK</v>
      </c>
      <c r="R2091" s="3" t="str">
        <f>IF(ISNUMBER(Sales_Data2[[#This Row],[Quantity]]),"OK","Check")</f>
        <v>OK</v>
      </c>
    </row>
    <row r="2092" spans="1:18">
      <c r="A2092" s="1">
        <v>47766</v>
      </c>
      <c r="B2092" t="s">
        <v>11</v>
      </c>
      <c r="C2092" t="s">
        <v>26</v>
      </c>
      <c r="D2092" t="s">
        <v>13</v>
      </c>
      <c r="E2092" t="s">
        <v>14</v>
      </c>
      <c r="F2092" t="s">
        <v>34</v>
      </c>
      <c r="G2092" t="s">
        <v>16</v>
      </c>
      <c r="H2092">
        <v>320000</v>
      </c>
      <c r="I2092">
        <v>5</v>
      </c>
      <c r="J2092" t="s">
        <v>17</v>
      </c>
      <c r="K2092">
        <f t="shared" si="32"/>
        <v>256000</v>
      </c>
      <c r="L2092">
        <f>Sales_Data2[[#This Row],[Unit Price]]*Sales_Data2[[#This Row],[Quantity]]</f>
        <v>1600000</v>
      </c>
      <c r="M2092">
        <f>Sales_Data2[[#This Row],[Cost Price]]*Sales_Data2[[#This Row],[Quantity]]</f>
        <v>1280000</v>
      </c>
      <c r="N2092" s="3">
        <f>Sales_Data2[[#This Row],[Revenue]]-Sales_Data2[[#This Row],[COGS]]</f>
        <v>320000</v>
      </c>
      <c r="O2092"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47766|West|Kano|Retail|Online|Sofa Classic|Furniture|320000|5|Chidinma|256000</v>
      </c>
      <c r="P2092" s="3" t="str">
        <f>IF(COUNTIF(Sales_Data2[RowKey],Sales_Data2[[#This Row],[RowKey]])&gt;1,"Duplicate","Unique")</f>
        <v>Unique</v>
      </c>
      <c r="Q2092" s="3" t="str">
        <f>IF(ISNUMBER(Sales_Data2[[#This Row],[Date]]),"OK","Check")</f>
        <v>OK</v>
      </c>
      <c r="R2092" s="3" t="str">
        <f>IF(ISNUMBER(Sales_Data2[[#This Row],[Quantity]]),"OK","Check")</f>
        <v>OK</v>
      </c>
    </row>
    <row r="2093" spans="1:18">
      <c r="A2093" s="1">
        <v>47767</v>
      </c>
      <c r="B2093" t="s">
        <v>11</v>
      </c>
      <c r="C2093" t="s">
        <v>32</v>
      </c>
      <c r="D2093" t="s">
        <v>23</v>
      </c>
      <c r="E2093" t="s">
        <v>14</v>
      </c>
      <c r="F2093" t="s">
        <v>30</v>
      </c>
      <c r="G2093" t="s">
        <v>31</v>
      </c>
      <c r="H2093">
        <v>300000</v>
      </c>
      <c r="I2093">
        <v>1</v>
      </c>
      <c r="J2093" t="s">
        <v>24</v>
      </c>
      <c r="K2093">
        <f t="shared" si="32"/>
        <v>240000</v>
      </c>
      <c r="L2093">
        <f>Sales_Data2[[#This Row],[Unit Price]]*Sales_Data2[[#This Row],[Quantity]]</f>
        <v>300000</v>
      </c>
      <c r="M2093">
        <f>Sales_Data2[[#This Row],[Cost Price]]*Sales_Data2[[#This Row],[Quantity]]</f>
        <v>240000</v>
      </c>
      <c r="N2093" s="3">
        <f>Sales_Data2[[#This Row],[Revenue]]-Sales_Data2[[#This Row],[COGS]]</f>
        <v>60000</v>
      </c>
      <c r="O2093"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47767|West|Abuja|Corporate|Online|Desktop PC D21|Electronics|300000|1|David|240000</v>
      </c>
      <c r="P2093" s="3" t="str">
        <f>IF(COUNTIF(Sales_Data2[RowKey],Sales_Data2[[#This Row],[RowKey]])&gt;1,"Duplicate","Unique")</f>
        <v>Unique</v>
      </c>
      <c r="Q2093" s="3" t="str">
        <f>IF(ISNUMBER(Sales_Data2[[#This Row],[Date]]),"OK","Check")</f>
        <v>OK</v>
      </c>
      <c r="R2093" s="3" t="str">
        <f>IF(ISNUMBER(Sales_Data2[[#This Row],[Quantity]]),"OK","Check")</f>
        <v>OK</v>
      </c>
    </row>
    <row r="2094" spans="1:18">
      <c r="A2094" s="1">
        <v>47768</v>
      </c>
      <c r="B2094" t="s">
        <v>11</v>
      </c>
      <c r="C2094" t="s">
        <v>19</v>
      </c>
      <c r="D2094" t="s">
        <v>23</v>
      </c>
      <c r="E2094" t="s">
        <v>14</v>
      </c>
      <c r="F2094" t="s">
        <v>36</v>
      </c>
      <c r="G2094" t="s">
        <v>31</v>
      </c>
      <c r="H2094">
        <v>150000</v>
      </c>
      <c r="I2094">
        <v>4</v>
      </c>
      <c r="J2094" t="s">
        <v>28</v>
      </c>
      <c r="K2094">
        <f t="shared" si="32"/>
        <v>120000</v>
      </c>
      <c r="L2094">
        <f>Sales_Data2[[#This Row],[Unit Price]]*Sales_Data2[[#This Row],[Quantity]]</f>
        <v>600000</v>
      </c>
      <c r="M2094">
        <f>Sales_Data2[[#This Row],[Cost Price]]*Sales_Data2[[#This Row],[Quantity]]</f>
        <v>480000</v>
      </c>
      <c r="N2094" s="3">
        <f>Sales_Data2[[#This Row],[Revenue]]-Sales_Data2[[#This Row],[COGS]]</f>
        <v>120000</v>
      </c>
      <c r="O2094"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47768|West|Lagos|Corporate|Online|Printer P50|Electronics|150000|4|Musa|120000</v>
      </c>
      <c r="P2094" s="3" t="str">
        <f>IF(COUNTIF(Sales_Data2[RowKey],Sales_Data2[[#This Row],[RowKey]])&gt;1,"Duplicate","Unique")</f>
        <v>Unique</v>
      </c>
      <c r="Q2094" s="3" t="str">
        <f>IF(ISNUMBER(Sales_Data2[[#This Row],[Date]]),"OK","Check")</f>
        <v>OK</v>
      </c>
      <c r="R2094" s="3" t="str">
        <f>IF(ISNUMBER(Sales_Data2[[#This Row],[Quantity]]),"OK","Check")</f>
        <v>OK</v>
      </c>
    </row>
    <row r="2095" spans="1:18">
      <c r="A2095" s="1">
        <v>47769</v>
      </c>
      <c r="B2095" t="s">
        <v>25</v>
      </c>
      <c r="C2095" t="s">
        <v>12</v>
      </c>
      <c r="D2095" t="s">
        <v>23</v>
      </c>
      <c r="E2095" t="s">
        <v>14</v>
      </c>
      <c r="F2095" t="s">
        <v>40</v>
      </c>
      <c r="G2095" t="s">
        <v>31</v>
      </c>
      <c r="H2095">
        <v>250000</v>
      </c>
      <c r="I2095">
        <v>2</v>
      </c>
      <c r="J2095" t="s">
        <v>35</v>
      </c>
      <c r="K2095">
        <f t="shared" si="32"/>
        <v>200000</v>
      </c>
      <c r="L2095">
        <f>Sales_Data2[[#This Row],[Unit Price]]*Sales_Data2[[#This Row],[Quantity]]</f>
        <v>500000</v>
      </c>
      <c r="M2095">
        <f>Sales_Data2[[#This Row],[Cost Price]]*Sales_Data2[[#This Row],[Quantity]]</f>
        <v>400000</v>
      </c>
      <c r="N2095" s="3">
        <f>Sales_Data2[[#This Row],[Revenue]]-Sales_Data2[[#This Row],[COGS]]</f>
        <v>100000</v>
      </c>
      <c r="O2095"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47769|South|Port Harcourt|Corporate|Online|Smartphone Z10|Electronics|250000|2|Peter|200000</v>
      </c>
      <c r="P2095" s="3" t="str">
        <f>IF(COUNTIF(Sales_Data2[RowKey],Sales_Data2[[#This Row],[RowKey]])&gt;1,"Duplicate","Unique")</f>
        <v>Unique</v>
      </c>
      <c r="Q2095" s="3" t="str">
        <f>IF(ISNUMBER(Sales_Data2[[#This Row],[Date]]),"OK","Check")</f>
        <v>OK</v>
      </c>
      <c r="R2095" s="3" t="str">
        <f>IF(ISNUMBER(Sales_Data2[[#This Row],[Quantity]]),"OK","Check")</f>
        <v>OK</v>
      </c>
    </row>
    <row r="2096" spans="1:18">
      <c r="A2096" s="1">
        <v>47770</v>
      </c>
      <c r="B2096" t="s">
        <v>29</v>
      </c>
      <c r="C2096" t="s">
        <v>19</v>
      </c>
      <c r="D2096" t="s">
        <v>13</v>
      </c>
      <c r="E2096" t="s">
        <v>20</v>
      </c>
      <c r="F2096" t="s">
        <v>40</v>
      </c>
      <c r="G2096" t="s">
        <v>31</v>
      </c>
      <c r="H2096">
        <v>250000</v>
      </c>
      <c r="I2096">
        <v>10</v>
      </c>
      <c r="J2096" t="s">
        <v>37</v>
      </c>
      <c r="K2096">
        <f t="shared" si="32"/>
        <v>200000</v>
      </c>
      <c r="L2096">
        <f>Sales_Data2[[#This Row],[Unit Price]]*Sales_Data2[[#This Row],[Quantity]]</f>
        <v>2500000</v>
      </c>
      <c r="M2096">
        <f>Sales_Data2[[#This Row],[Cost Price]]*Sales_Data2[[#This Row],[Quantity]]</f>
        <v>2000000</v>
      </c>
      <c r="N2096" s="3">
        <f>Sales_Data2[[#This Row],[Revenue]]-Sales_Data2[[#This Row],[COGS]]</f>
        <v>500000</v>
      </c>
      <c r="O2096"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47770|North|Lagos|Retail|Store|Smartphone Z10|Electronics|250000|10|Aisha|200000</v>
      </c>
      <c r="P2096" s="3" t="str">
        <f>IF(COUNTIF(Sales_Data2[RowKey],Sales_Data2[[#This Row],[RowKey]])&gt;1,"Duplicate","Unique")</f>
        <v>Unique</v>
      </c>
      <c r="Q2096" s="3" t="str">
        <f>IF(ISNUMBER(Sales_Data2[[#This Row],[Date]]),"OK","Check")</f>
        <v>OK</v>
      </c>
      <c r="R2096" s="3" t="str">
        <f>IF(ISNUMBER(Sales_Data2[[#This Row],[Quantity]]),"OK","Check")</f>
        <v>OK</v>
      </c>
    </row>
    <row r="2097" spans="1:18">
      <c r="A2097" s="1">
        <v>47771</v>
      </c>
      <c r="B2097" t="s">
        <v>25</v>
      </c>
      <c r="C2097" t="s">
        <v>32</v>
      </c>
      <c r="D2097" t="s">
        <v>23</v>
      </c>
      <c r="E2097" t="s">
        <v>20</v>
      </c>
      <c r="F2097" t="s">
        <v>36</v>
      </c>
      <c r="G2097" t="s">
        <v>31</v>
      </c>
      <c r="H2097">
        <v>150000</v>
      </c>
      <c r="I2097">
        <v>2</v>
      </c>
      <c r="J2097" t="s">
        <v>17</v>
      </c>
      <c r="K2097">
        <f t="shared" si="32"/>
        <v>120000</v>
      </c>
      <c r="L2097">
        <f>Sales_Data2[[#This Row],[Unit Price]]*Sales_Data2[[#This Row],[Quantity]]</f>
        <v>300000</v>
      </c>
      <c r="M2097">
        <f>Sales_Data2[[#This Row],[Cost Price]]*Sales_Data2[[#This Row],[Quantity]]</f>
        <v>240000</v>
      </c>
      <c r="N2097" s="3">
        <f>Sales_Data2[[#This Row],[Revenue]]-Sales_Data2[[#This Row],[COGS]]</f>
        <v>60000</v>
      </c>
      <c r="O2097"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47771|South|Abuja|Corporate|Store|Printer P50|Electronics|150000|2|Chidinma|120000</v>
      </c>
      <c r="P2097" s="3" t="str">
        <f>IF(COUNTIF(Sales_Data2[RowKey],Sales_Data2[[#This Row],[RowKey]])&gt;1,"Duplicate","Unique")</f>
        <v>Unique</v>
      </c>
      <c r="Q2097" s="3" t="str">
        <f>IF(ISNUMBER(Sales_Data2[[#This Row],[Date]]),"OK","Check")</f>
        <v>OK</v>
      </c>
      <c r="R2097" s="3" t="str">
        <f>IF(ISNUMBER(Sales_Data2[[#This Row],[Quantity]]),"OK","Check")</f>
        <v>OK</v>
      </c>
    </row>
    <row r="2098" spans="1:18">
      <c r="A2098" s="1">
        <v>47772</v>
      </c>
      <c r="B2098" t="s">
        <v>25</v>
      </c>
      <c r="C2098" t="s">
        <v>12</v>
      </c>
      <c r="D2098" t="s">
        <v>13</v>
      </c>
      <c r="E2098" t="s">
        <v>14</v>
      </c>
      <c r="F2098" t="s">
        <v>40</v>
      </c>
      <c r="G2098" t="s">
        <v>31</v>
      </c>
      <c r="H2098">
        <v>250000</v>
      </c>
      <c r="I2098">
        <v>9</v>
      </c>
      <c r="J2098" t="s">
        <v>35</v>
      </c>
      <c r="K2098">
        <f t="shared" si="32"/>
        <v>200000</v>
      </c>
      <c r="L2098">
        <f>Sales_Data2[[#This Row],[Unit Price]]*Sales_Data2[[#This Row],[Quantity]]</f>
        <v>2250000</v>
      </c>
      <c r="M2098">
        <f>Sales_Data2[[#This Row],[Cost Price]]*Sales_Data2[[#This Row],[Quantity]]</f>
        <v>1800000</v>
      </c>
      <c r="N2098" s="3">
        <f>Sales_Data2[[#This Row],[Revenue]]-Sales_Data2[[#This Row],[COGS]]</f>
        <v>450000</v>
      </c>
      <c r="O2098"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47772|South|Port Harcourt|Retail|Online|Smartphone Z10|Electronics|250000|9|Peter|200000</v>
      </c>
      <c r="P2098" s="3" t="str">
        <f>IF(COUNTIF(Sales_Data2[RowKey],Sales_Data2[[#This Row],[RowKey]])&gt;1,"Duplicate","Unique")</f>
        <v>Unique</v>
      </c>
      <c r="Q2098" s="3" t="str">
        <f>IF(ISNUMBER(Sales_Data2[[#This Row],[Date]]),"OK","Check")</f>
        <v>OK</v>
      </c>
      <c r="R2098" s="3" t="str">
        <f>IF(ISNUMBER(Sales_Data2[[#This Row],[Quantity]]),"OK","Check")</f>
        <v>OK</v>
      </c>
    </row>
    <row r="2099" spans="1:18">
      <c r="A2099" s="1">
        <v>47773</v>
      </c>
      <c r="B2099" t="s">
        <v>25</v>
      </c>
      <c r="C2099" t="s">
        <v>12</v>
      </c>
      <c r="D2099" t="s">
        <v>13</v>
      </c>
      <c r="E2099" t="s">
        <v>14</v>
      </c>
      <c r="F2099" t="s">
        <v>34</v>
      </c>
      <c r="G2099" t="s">
        <v>16</v>
      </c>
      <c r="H2099">
        <v>320000</v>
      </c>
      <c r="I2099">
        <v>4</v>
      </c>
      <c r="J2099" t="s">
        <v>24</v>
      </c>
      <c r="K2099">
        <f t="shared" si="32"/>
        <v>256000</v>
      </c>
      <c r="L2099">
        <f>Sales_Data2[[#This Row],[Unit Price]]*Sales_Data2[[#This Row],[Quantity]]</f>
        <v>1280000</v>
      </c>
      <c r="M2099">
        <f>Sales_Data2[[#This Row],[Cost Price]]*Sales_Data2[[#This Row],[Quantity]]</f>
        <v>1024000</v>
      </c>
      <c r="N2099" s="3">
        <f>Sales_Data2[[#This Row],[Revenue]]-Sales_Data2[[#This Row],[COGS]]</f>
        <v>256000</v>
      </c>
      <c r="O2099" s="3" t="str">
        <f>Sales_Data2[[#This Row],[Date]]&amp;"|"&amp;Sales_Data2[[#This Row],[Region]]&amp;"|"&amp;Sales_Data2[[#This Row],[City]]&amp;"|"&amp;Sales_Data2[[#This Row],[Customer Type]]&amp;"|"&amp;Sales_Data2[[#This Row],[Channel]]&amp;"|"&amp;Sales_Data2[[#This Row],[Product]]&amp;"|"&amp;Sales_Data2[[#This Row],[Category]]&amp;"|"&amp;Sales_Data2[[#This Row],[Unit Price]]&amp;"|"&amp;Sales_Data2[[#This Row],[Quantity]]&amp;"|"&amp;Sales_Data2[[#This Row],[Sales Rep]]&amp;"|"&amp;Sales_Data2[[#This Row],[Cost Price]]</f>
        <v>47773|South|Port Harcourt|Retail|Online|Sofa Classic|Furniture|320000|4|David|256000</v>
      </c>
      <c r="P2099" s="3" t="str">
        <f>IF(COUNTIF(Sales_Data2[RowKey],Sales_Data2[[#This Row],[RowKey]])&gt;1,"Duplicate","Unique")</f>
        <v>Unique</v>
      </c>
      <c r="Q2099" s="3" t="str">
        <f>IF(ISNUMBER(Sales_Data2[[#This Row],[Date]]),"OK","Check")</f>
        <v>OK</v>
      </c>
      <c r="R2099" s="3" t="str">
        <f>IF(ISNUMBER(Sales_Data2[[#This Row],[Quantity]]),"OK","Check")</f>
        <v>OK</v>
      </c>
    </row>
    <row r="2101" spans="1:18">
      <c r="A2101" s="4" t="s">
        <v>69</v>
      </c>
      <c r="B2101" s="4"/>
      <c r="C2101" s="4"/>
      <c r="D2101" s="4"/>
      <c r="E2101" s="4"/>
      <c r="F2101" s="4"/>
      <c r="G2101" s="4"/>
      <c r="H2101" s="4"/>
      <c r="I2101" s="4"/>
      <c r="J2101" s="4"/>
      <c r="K2101" s="4"/>
      <c r="L2101" s="4"/>
      <c r="M2101" s="4"/>
      <c r="N2101" s="4"/>
      <c r="O2101" s="4"/>
      <c r="P2101" s="4"/>
      <c r="Q2101" s="5"/>
      <c r="R2101" s="5"/>
    </row>
    <row r="2102" spans="1:18">
      <c r="A2102" s="3">
        <f>COUNTBLANK(Sales_Data[Date])</f>
        <v>0</v>
      </c>
      <c r="B2102" s="3">
        <f>COUNTBLANK(Sales_Data[Region])</f>
        <v>0</v>
      </c>
      <c r="C2102" s="3">
        <f>COUNTBLANK(Sales_Data[City])</f>
        <v>0</v>
      </c>
      <c r="D2102" s="3">
        <f>COUNTBLANK(Sales_Data[Customer Type])</f>
        <v>0</v>
      </c>
      <c r="E2102" s="3">
        <f>COUNTBLANK(Sales_Data[Channel])</f>
        <v>0</v>
      </c>
      <c r="F2102" s="3">
        <f>COUNTBLANK(Sales_Data[Product])</f>
        <v>0</v>
      </c>
      <c r="G2102" s="3">
        <f>COUNTBLANK(Sales_Data[Category])</f>
        <v>0</v>
      </c>
      <c r="H2102" s="3">
        <f>COUNTBLANK(Sales_Data[Unit Price])</f>
        <v>0</v>
      </c>
      <c r="I2102" s="3">
        <f>COUNTBLANK(Sales_Data[Quantity])</f>
        <v>0</v>
      </c>
      <c r="J2102" s="3">
        <f>COUNTBLANK(Sales_Data[Sales Rep])</f>
        <v>0</v>
      </c>
      <c r="K2102" s="3">
        <f>COUNTBLANK(Sales_Data[Cost Price])</f>
        <v>0</v>
      </c>
      <c r="L2102" s="3">
        <f>COUNTBLANK(Sales_Data[Revenue])</f>
        <v>0</v>
      </c>
      <c r="M2102" s="3">
        <f>COUNTBLANK(Sales_Data[COGS])</f>
        <v>0</v>
      </c>
      <c r="N2102" s="3">
        <f>COUNTBLANK(Sales_Data[Profit])</f>
        <v>0</v>
      </c>
      <c r="O2102" s="3">
        <f>COUNTBLANK(Sales_Data[Date])</f>
        <v>0</v>
      </c>
      <c r="P2102" s="3">
        <f>COUNTBLANK(Sales_Data[Region])</f>
        <v>0</v>
      </c>
      <c r="Q2102" s="3"/>
      <c r="R2102" s="3"/>
    </row>
  </sheetData>
  <mergeCells count="1">
    <mergeCell ref="A2101:P2101"/>
  </mergeCell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topLeftCell="A4" workbookViewId="0">
      <selection activeCell="A30" sqref="A30"/>
    </sheetView>
  </sheetViews>
  <sheetFormatPr defaultColWidth="9" defaultRowHeight="14.5"/>
  <cols>
    <col min="1" max="1" width="63.453125" customWidth="1"/>
  </cols>
  <sheetData>
    <row r="1" spans="1:1">
      <c r="A1" t="s">
        <v>42</v>
      </c>
    </row>
    <row r="3" spans="1:1">
      <c r="A3" t="s">
        <v>43</v>
      </c>
    </row>
    <row r="5" spans="1:1">
      <c r="A5" t="s">
        <v>44</v>
      </c>
    </row>
    <row r="7" spans="1:1">
      <c r="A7" t="s">
        <v>45</v>
      </c>
    </row>
    <row r="9" spans="1:1">
      <c r="A9" t="s">
        <v>46</v>
      </c>
    </row>
    <row r="11" spans="1:1">
      <c r="A11" t="s">
        <v>47</v>
      </c>
    </row>
    <row r="13" spans="1:1">
      <c r="A13" t="s">
        <v>48</v>
      </c>
    </row>
    <row r="15" spans="1:1">
      <c r="A15" t="s">
        <v>49</v>
      </c>
    </row>
    <row r="17" spans="1:1">
      <c r="A17" t="s">
        <v>50</v>
      </c>
    </row>
    <row r="19" spans="1:1">
      <c r="A19" t="s">
        <v>51</v>
      </c>
    </row>
    <row r="21" spans="1:1">
      <c r="A21" t="s">
        <v>52</v>
      </c>
    </row>
    <row r="23" spans="1:1">
      <c r="A23" t="s">
        <v>53</v>
      </c>
    </row>
    <row r="25" spans="1:1">
      <c r="A25" t="s">
        <v>54</v>
      </c>
    </row>
    <row r="27" spans="1:1">
      <c r="A27" t="s">
        <v>55</v>
      </c>
    </row>
    <row r="29" spans="1:1">
      <c r="A29" t="s">
        <v>56</v>
      </c>
    </row>
    <row r="30" spans="1:1">
      <c r="A30" s="18" t="s">
        <v>57</v>
      </c>
    </row>
  </sheetData>
  <hyperlinks>
    <hyperlink ref="A30" r:id="rId1" xr:uid="{00000000-0004-0000-01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6ABA2F-2876-4124-AA53-883698D8B5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Sales_Dashboard</vt:lpstr>
      <vt:lpstr>Sales_Pivot</vt:lpstr>
      <vt:lpstr>Sales Data</vt:lpstr>
      <vt:lpstr>Sales_Data2</vt:lpstr>
      <vt:lpstr>QA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JOEL MOKOLO</cp:lastModifiedBy>
  <dcterms:created xsi:type="dcterms:W3CDTF">2025-11-23T21:32:00Z</dcterms:created>
  <dcterms:modified xsi:type="dcterms:W3CDTF">2026-08-29T09:59:19Z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